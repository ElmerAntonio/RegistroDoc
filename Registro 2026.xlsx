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RegistroDoc\"/>
    </mc:Choice>
  </mc:AlternateContent>
  <xr:revisionPtr revIDLastSave="0" documentId="13_ncr:1_{506C647B-9467-47BF-8815-54A89F8D1740}" xr6:coauthVersionLast="47" xr6:coauthVersionMax="47" xr10:uidLastSave="{00000000-0000-0000-0000-000000000000}"/>
  <bookViews>
    <workbookView xWindow="-108" yWindow="-108" windowWidth="23256" windowHeight="12456" tabRatio="803" activeTab="6" xr2:uid="{00000000-000D-0000-FFFF-FFFF00000000}"/>
  </bookViews>
  <sheets>
    <sheet name="PORTADA_VISTOSA" sheetId="41" r:id="rId1"/>
    <sheet name="Caratula" sheetId="36" r:id="rId2"/>
    <sheet name="Portada" sheetId="37" r:id="rId3"/>
    <sheet name="Horarios" sheetId="38" r:id="rId4"/>
    <sheet name="Guía del Registro" sheetId="39" r:id="rId5"/>
    <sheet name="Observaciones" sheetId="40" r:id="rId6"/>
    <sheet name="MAESTRO" sheetId="3" r:id="rId7"/>
    <sheet name="DASHBOARD" sheetId="6" r:id="rId8"/>
    <sheet name="GRAFICOS" sheetId="42" r:id="rId9"/>
    <sheet name="RESUMEN_7°" sheetId="7" r:id="rId10"/>
    <sheet name="RESUMEN_8°" sheetId="8" r:id="rId11"/>
    <sheet name="RESUMEN_9°" sheetId="9" r:id="rId12"/>
    <sheet name="REPORTE_DIRECCIÓN" sheetId="10" r:id="rId13"/>
    <sheet name="REPORTE_APROBADOS" sheetId="11" r:id="rId14"/>
    <sheet name="REPORTE_DOCENTE" sheetId="12" r:id="rId15"/>
    <sheet name="Asistencia (7°)" sheetId="13" r:id="rId16"/>
    <sheet name="Asistencia (8°)" sheetId="14" r:id="rId17"/>
    <sheet name="Asistencia (9°)" sheetId="15" r:id="rId18"/>
    <sheet name="PROM (Ingles 7°)" sheetId="16" r:id="rId19"/>
    <sheet name="Planilla (Ingles 7°) " sheetId="17" r:id="rId20"/>
    <sheet name="PROM (Hogar y Desarrollo 7°)" sheetId="18" r:id="rId21"/>
    <sheet name="Planilla (Hogar y Desarrollo 7)" sheetId="19" r:id="rId22"/>
    <sheet name="PROM (Agropecuaria 7°)" sheetId="20" r:id="rId23"/>
    <sheet name="Planilla (Agropecuaria 7°)" sheetId="21" r:id="rId24"/>
    <sheet name="PROM (Ingles 8°)" sheetId="22" r:id="rId25"/>
    <sheet name="Planilla (Ingles 8°)" sheetId="23" r:id="rId26"/>
    <sheet name="PROM (Comercio 8°)" sheetId="24" r:id="rId27"/>
    <sheet name="Planilla (Comercio 8°)" sheetId="25" r:id="rId28"/>
    <sheet name="PROM (Agropecuaria 8°)" sheetId="26" r:id="rId29"/>
    <sheet name="Planilla (Agropecuaria 8°) " sheetId="27" r:id="rId30"/>
    <sheet name="PROM (Ingles 9°)" sheetId="28" r:id="rId31"/>
    <sheet name="Planilla (Ingles 9°) " sheetId="29" r:id="rId32"/>
    <sheet name="PROM (Comercio 9°)" sheetId="30" r:id="rId33"/>
    <sheet name="Planilla (Comercio 9°)" sheetId="31" r:id="rId34"/>
    <sheet name="PROM (Artistica 9°)" sheetId="32" r:id="rId35"/>
    <sheet name="Planilla (Artistica 9°)" sheetId="33" r:id="rId36"/>
    <sheet name="PROM (Agropecuaria 9°)" sheetId="34" r:id="rId37"/>
    <sheet name="Planilla (Agropecuaria 9°)" sheetId="35"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42" l="1"/>
  <c r="N7" i="42"/>
  <c r="N6" i="42"/>
  <c r="M8" i="42"/>
  <c r="M7" i="42"/>
  <c r="M6" i="42"/>
  <c r="J9" i="42"/>
  <c r="I9" i="42"/>
  <c r="J8" i="42"/>
  <c r="I8" i="42"/>
  <c r="J7" i="42"/>
  <c r="I7" i="42"/>
  <c r="J6" i="42"/>
  <c r="I6" i="42"/>
  <c r="F125" i="42"/>
  <c r="E125" i="42"/>
  <c r="D125" i="42"/>
  <c r="C125" i="42"/>
  <c r="F124" i="42"/>
  <c r="E124" i="42"/>
  <c r="D124" i="42"/>
  <c r="C124" i="42"/>
  <c r="F123" i="42"/>
  <c r="E123" i="42"/>
  <c r="D123" i="42"/>
  <c r="C123" i="42"/>
  <c r="F122" i="42"/>
  <c r="E122" i="42"/>
  <c r="D122" i="42"/>
  <c r="C122" i="42"/>
  <c r="F121" i="42"/>
  <c r="E121" i="42"/>
  <c r="D121" i="42"/>
  <c r="C121" i="42"/>
  <c r="F120" i="42"/>
  <c r="E120" i="42"/>
  <c r="D120" i="42"/>
  <c r="C120" i="42"/>
  <c r="F119" i="42"/>
  <c r="E119" i="42"/>
  <c r="D119" i="42"/>
  <c r="C119" i="42"/>
  <c r="F118" i="42"/>
  <c r="E118" i="42"/>
  <c r="D118" i="42"/>
  <c r="C118" i="42"/>
  <c r="F117" i="42"/>
  <c r="E117" i="42"/>
  <c r="D117" i="42"/>
  <c r="C117" i="42"/>
  <c r="F116" i="42"/>
  <c r="E116" i="42"/>
  <c r="D116" i="42"/>
  <c r="C116" i="42"/>
  <c r="F115" i="42"/>
  <c r="E115" i="42"/>
  <c r="D115" i="42"/>
  <c r="C115" i="42"/>
  <c r="F114" i="42"/>
  <c r="E114" i="42"/>
  <c r="D114" i="42"/>
  <c r="C114" i="42"/>
  <c r="F113" i="42"/>
  <c r="E113" i="42"/>
  <c r="D113" i="42"/>
  <c r="C113" i="42"/>
  <c r="F112" i="42"/>
  <c r="E112" i="42"/>
  <c r="D112" i="42"/>
  <c r="C112" i="42"/>
  <c r="F111" i="42"/>
  <c r="E111" i="42"/>
  <c r="D111" i="42"/>
  <c r="C111" i="42"/>
  <c r="F110" i="42"/>
  <c r="E110" i="42"/>
  <c r="D110" i="42"/>
  <c r="C110" i="42"/>
  <c r="F109" i="42"/>
  <c r="E109" i="42"/>
  <c r="D109" i="42"/>
  <c r="C109" i="42"/>
  <c r="F108" i="42"/>
  <c r="E108" i="42"/>
  <c r="D108" i="42"/>
  <c r="C108" i="42"/>
  <c r="F107" i="42"/>
  <c r="E107" i="42"/>
  <c r="D107" i="42"/>
  <c r="C107" i="42"/>
  <c r="F106" i="42"/>
  <c r="E106" i="42"/>
  <c r="D106" i="42"/>
  <c r="C106" i="42"/>
  <c r="F105" i="42"/>
  <c r="E105" i="42"/>
  <c r="D105" i="42"/>
  <c r="C105" i="42"/>
  <c r="F104" i="42"/>
  <c r="E104" i="42"/>
  <c r="D104" i="42"/>
  <c r="C104" i="42"/>
  <c r="F103" i="42"/>
  <c r="E103" i="42"/>
  <c r="D103" i="42"/>
  <c r="C103" i="42"/>
  <c r="F102" i="42"/>
  <c r="E102" i="42"/>
  <c r="D102" i="42"/>
  <c r="C102" i="42"/>
  <c r="F101" i="42"/>
  <c r="E101" i="42"/>
  <c r="D101" i="42"/>
  <c r="C101" i="42"/>
  <c r="F100" i="42"/>
  <c r="E100" i="42"/>
  <c r="D100" i="42"/>
  <c r="C100" i="42"/>
  <c r="F99" i="42"/>
  <c r="E99" i="42"/>
  <c r="D99" i="42"/>
  <c r="C99" i="42"/>
  <c r="F98" i="42"/>
  <c r="E98" i="42"/>
  <c r="D98" i="42"/>
  <c r="C98" i="42"/>
  <c r="F97" i="42"/>
  <c r="E97" i="42"/>
  <c r="D97" i="42"/>
  <c r="C97" i="42"/>
  <c r="F96" i="42"/>
  <c r="E96" i="42"/>
  <c r="D96" i="42"/>
  <c r="C96" i="42"/>
  <c r="F95" i="42"/>
  <c r="E95" i="42"/>
  <c r="D95" i="42"/>
  <c r="C95" i="42"/>
  <c r="F94" i="42"/>
  <c r="E94" i="42"/>
  <c r="D94" i="42"/>
  <c r="C94" i="42"/>
  <c r="F93" i="42"/>
  <c r="E93" i="42"/>
  <c r="D93" i="42"/>
  <c r="C93" i="42"/>
  <c r="F92" i="42"/>
  <c r="E92" i="42"/>
  <c r="D92" i="42"/>
  <c r="C92" i="42"/>
  <c r="F91" i="42"/>
  <c r="E91" i="42"/>
  <c r="D91" i="42"/>
  <c r="C91" i="42"/>
  <c r="F90" i="42"/>
  <c r="E90" i="42"/>
  <c r="D90" i="42"/>
  <c r="C90" i="42"/>
  <c r="F89" i="42"/>
  <c r="E89" i="42"/>
  <c r="D89" i="42"/>
  <c r="C89" i="42"/>
  <c r="F88" i="42"/>
  <c r="E88" i="42"/>
  <c r="D88" i="42"/>
  <c r="C88" i="42"/>
  <c r="F87" i="42"/>
  <c r="E87" i="42"/>
  <c r="D87" i="42"/>
  <c r="C87" i="42"/>
  <c r="F86" i="42"/>
  <c r="E86" i="42"/>
  <c r="D86" i="42"/>
  <c r="C86" i="42"/>
  <c r="F85" i="42"/>
  <c r="E85" i="42"/>
  <c r="D85" i="42"/>
  <c r="C85" i="42"/>
  <c r="F84" i="42"/>
  <c r="E84" i="42"/>
  <c r="D84" i="42"/>
  <c r="C84" i="42"/>
  <c r="F83" i="42"/>
  <c r="E83" i="42"/>
  <c r="D83" i="42"/>
  <c r="C83" i="42"/>
  <c r="F82" i="42"/>
  <c r="E82" i="42"/>
  <c r="D82" i="42"/>
  <c r="C82" i="42"/>
  <c r="F81" i="42"/>
  <c r="E81" i="42"/>
  <c r="D81" i="42"/>
  <c r="C81" i="42"/>
  <c r="F80" i="42"/>
  <c r="E80" i="42"/>
  <c r="D80" i="42"/>
  <c r="C80" i="42"/>
  <c r="F79" i="42"/>
  <c r="E79" i="42"/>
  <c r="D79" i="42"/>
  <c r="C79" i="42"/>
  <c r="F78" i="42"/>
  <c r="E78" i="42"/>
  <c r="D78" i="42"/>
  <c r="C78" i="42"/>
  <c r="F77" i="42"/>
  <c r="E77" i="42"/>
  <c r="D77" i="42"/>
  <c r="C77" i="42"/>
  <c r="F76" i="42"/>
  <c r="E76" i="42"/>
  <c r="D76" i="42"/>
  <c r="C76" i="42"/>
  <c r="F75" i="42"/>
  <c r="E75" i="42"/>
  <c r="D75" i="42"/>
  <c r="C75" i="42"/>
  <c r="F74" i="42"/>
  <c r="E74" i="42"/>
  <c r="D74" i="42"/>
  <c r="C74" i="42"/>
  <c r="F73" i="42"/>
  <c r="E73" i="42"/>
  <c r="D73" i="42"/>
  <c r="C73" i="42"/>
  <c r="F72" i="42"/>
  <c r="E72" i="42"/>
  <c r="D72" i="42"/>
  <c r="C72" i="42"/>
  <c r="F71" i="42"/>
  <c r="E71" i="42"/>
  <c r="D71" i="42"/>
  <c r="C71" i="42"/>
  <c r="F70" i="42"/>
  <c r="E70" i="42"/>
  <c r="D70" i="42"/>
  <c r="C70" i="42"/>
  <c r="F69" i="42"/>
  <c r="E69" i="42"/>
  <c r="D69" i="42"/>
  <c r="C69" i="42"/>
  <c r="F68" i="42"/>
  <c r="E68" i="42"/>
  <c r="D68" i="42"/>
  <c r="C68" i="42"/>
  <c r="F67" i="42"/>
  <c r="E67" i="42"/>
  <c r="D67" i="42"/>
  <c r="C67" i="42"/>
  <c r="F66" i="42"/>
  <c r="E66" i="42"/>
  <c r="D66" i="42"/>
  <c r="C66" i="42"/>
  <c r="F65" i="42"/>
  <c r="E65" i="42"/>
  <c r="D65" i="42"/>
  <c r="C65" i="42"/>
  <c r="F64" i="42"/>
  <c r="E64" i="42"/>
  <c r="D64" i="42"/>
  <c r="C64" i="42"/>
  <c r="F63" i="42"/>
  <c r="E63" i="42"/>
  <c r="D63" i="42"/>
  <c r="C63" i="42"/>
  <c r="F62" i="42"/>
  <c r="E62" i="42"/>
  <c r="D62" i="42"/>
  <c r="C62" i="42"/>
  <c r="F61" i="42"/>
  <c r="E61" i="42"/>
  <c r="D61" i="42"/>
  <c r="C61" i="42"/>
  <c r="F60" i="42"/>
  <c r="E60" i="42"/>
  <c r="D60" i="42"/>
  <c r="C60" i="42"/>
  <c r="F59" i="42"/>
  <c r="E59" i="42"/>
  <c r="D59" i="42"/>
  <c r="C59" i="42"/>
  <c r="F58" i="42"/>
  <c r="E58" i="42"/>
  <c r="D58" i="42"/>
  <c r="C58" i="42"/>
  <c r="F57" i="42"/>
  <c r="E57" i="42"/>
  <c r="D57" i="42"/>
  <c r="C57" i="42"/>
  <c r="F56" i="42"/>
  <c r="E56" i="42"/>
  <c r="D56" i="42"/>
  <c r="C56" i="42"/>
  <c r="F55" i="42"/>
  <c r="E55" i="42"/>
  <c r="D55" i="42"/>
  <c r="C55" i="42"/>
  <c r="F54" i="42"/>
  <c r="E54" i="42"/>
  <c r="D54" i="42"/>
  <c r="C54" i="42"/>
  <c r="F53" i="42"/>
  <c r="E53" i="42"/>
  <c r="D53" i="42"/>
  <c r="C53" i="42"/>
  <c r="F52" i="42"/>
  <c r="E52" i="42"/>
  <c r="D52" i="42"/>
  <c r="C52" i="42"/>
  <c r="F51" i="42"/>
  <c r="E51" i="42"/>
  <c r="D51" i="42"/>
  <c r="C51" i="42"/>
  <c r="F50" i="42"/>
  <c r="E50" i="42"/>
  <c r="D50" i="42"/>
  <c r="C50" i="42"/>
  <c r="F49" i="42"/>
  <c r="E49" i="42"/>
  <c r="D49" i="42"/>
  <c r="C49" i="42"/>
  <c r="F48" i="42"/>
  <c r="E48" i="42"/>
  <c r="D48" i="42"/>
  <c r="C48" i="42"/>
  <c r="F47" i="42"/>
  <c r="E47" i="42"/>
  <c r="D47" i="42"/>
  <c r="C47" i="42"/>
  <c r="F46" i="42"/>
  <c r="E46" i="42"/>
  <c r="D46" i="42"/>
  <c r="C46" i="42"/>
  <c r="F45" i="42"/>
  <c r="E45" i="42"/>
  <c r="D45" i="42"/>
  <c r="C45" i="42"/>
  <c r="F44" i="42"/>
  <c r="E44" i="42"/>
  <c r="D44" i="42"/>
  <c r="C44" i="42"/>
  <c r="F43" i="42"/>
  <c r="E43" i="42"/>
  <c r="D43" i="42"/>
  <c r="C43" i="42"/>
  <c r="F42" i="42"/>
  <c r="E42" i="42"/>
  <c r="D42" i="42"/>
  <c r="C42" i="42"/>
  <c r="F41" i="42"/>
  <c r="E41" i="42"/>
  <c r="D41" i="42"/>
  <c r="C41" i="42"/>
  <c r="F40" i="42"/>
  <c r="E40" i="42"/>
  <c r="D40" i="42"/>
  <c r="C40" i="42"/>
  <c r="F39" i="42"/>
  <c r="E39" i="42"/>
  <c r="D39" i="42"/>
  <c r="C39" i="42"/>
  <c r="F38" i="42"/>
  <c r="E38" i="42"/>
  <c r="D38" i="42"/>
  <c r="C38" i="42"/>
  <c r="F37" i="42"/>
  <c r="E37" i="42"/>
  <c r="D37" i="42"/>
  <c r="C37" i="42"/>
  <c r="F36" i="42"/>
  <c r="E36" i="42"/>
  <c r="D36" i="42"/>
  <c r="C36" i="42"/>
  <c r="F35" i="42"/>
  <c r="E35" i="42"/>
  <c r="D35" i="42"/>
  <c r="C35" i="42"/>
  <c r="F34" i="42"/>
  <c r="E34" i="42"/>
  <c r="D34" i="42"/>
  <c r="C34" i="42"/>
  <c r="F33" i="42"/>
  <c r="E33" i="42"/>
  <c r="D33" i="42"/>
  <c r="C33" i="42"/>
  <c r="F32" i="42"/>
  <c r="E32" i="42"/>
  <c r="D32" i="42"/>
  <c r="C32" i="42"/>
  <c r="F31" i="42"/>
  <c r="E31" i="42"/>
  <c r="D31" i="42"/>
  <c r="C31" i="42"/>
  <c r="F30" i="42"/>
  <c r="E30" i="42"/>
  <c r="D30" i="42"/>
  <c r="C30" i="42"/>
  <c r="F29" i="42"/>
  <c r="E29" i="42"/>
  <c r="D29" i="42"/>
  <c r="C29" i="42"/>
  <c r="F28" i="42"/>
  <c r="E28" i="42"/>
  <c r="D28" i="42"/>
  <c r="C28" i="42"/>
  <c r="F27" i="42"/>
  <c r="E27" i="42"/>
  <c r="D27" i="42"/>
  <c r="C27" i="42"/>
  <c r="F26" i="42"/>
  <c r="E26" i="42"/>
  <c r="D26" i="42"/>
  <c r="C26" i="42"/>
  <c r="F25" i="42"/>
  <c r="E25" i="42"/>
  <c r="D25" i="42"/>
  <c r="C25" i="42"/>
  <c r="F24" i="42"/>
  <c r="E24" i="42"/>
  <c r="D24" i="42"/>
  <c r="C24" i="42"/>
  <c r="F23" i="42"/>
  <c r="E23" i="42"/>
  <c r="D23" i="42"/>
  <c r="C23" i="42"/>
  <c r="F22" i="42"/>
  <c r="E22" i="42"/>
  <c r="D22" i="42"/>
  <c r="C22" i="42"/>
  <c r="F21" i="42"/>
  <c r="E21" i="42"/>
  <c r="D21" i="42"/>
  <c r="C21" i="42"/>
  <c r="F20" i="42"/>
  <c r="E20" i="42"/>
  <c r="D20" i="42"/>
  <c r="C20" i="42"/>
  <c r="F19" i="42"/>
  <c r="E19" i="42"/>
  <c r="D19" i="42"/>
  <c r="C19" i="42"/>
  <c r="F18" i="42"/>
  <c r="E18" i="42"/>
  <c r="D18" i="42"/>
  <c r="C18" i="42"/>
  <c r="F17" i="42"/>
  <c r="E17" i="42"/>
  <c r="D17" i="42"/>
  <c r="C17" i="42"/>
  <c r="F16" i="42"/>
  <c r="E16" i="42"/>
  <c r="D16" i="42"/>
  <c r="C16" i="42"/>
  <c r="F15" i="42"/>
  <c r="E15" i="42"/>
  <c r="D15" i="42"/>
  <c r="C15" i="42"/>
  <c r="F14" i="42"/>
  <c r="E14" i="42"/>
  <c r="D14" i="42"/>
  <c r="C14" i="42"/>
  <c r="F13" i="42"/>
  <c r="E13" i="42"/>
  <c r="D13" i="42"/>
  <c r="C13" i="42"/>
  <c r="F12" i="42"/>
  <c r="E12" i="42"/>
  <c r="D12" i="42"/>
  <c r="C12" i="42"/>
  <c r="F11" i="42"/>
  <c r="E11" i="42"/>
  <c r="D11" i="42"/>
  <c r="C11" i="42"/>
  <c r="F10" i="42"/>
  <c r="E10" i="42"/>
  <c r="D10" i="42"/>
  <c r="C10" i="42"/>
  <c r="F9" i="42"/>
  <c r="E9" i="42"/>
  <c r="D9" i="42"/>
  <c r="C9" i="42"/>
  <c r="F8" i="42"/>
  <c r="E8" i="42"/>
  <c r="D8" i="42"/>
  <c r="C8" i="42"/>
  <c r="F7" i="42"/>
  <c r="E7" i="42"/>
  <c r="D7" i="42"/>
  <c r="C7" i="42"/>
  <c r="F6" i="42"/>
  <c r="E6" i="42"/>
  <c r="D6" i="42"/>
  <c r="C6" i="42"/>
  <c r="B13" i="6"/>
  <c r="B14" i="6"/>
  <c r="H6" i="6"/>
  <c r="H7" i="6"/>
  <c r="H8" i="6"/>
  <c r="E6" i="6"/>
  <c r="E7" i="6"/>
  <c r="E8" i="6"/>
  <c r="B6" i="6"/>
  <c r="B9" i="6" s="1"/>
  <c r="B7" i="6"/>
  <c r="B8" i="6"/>
  <c r="C55" i="35"/>
  <c r="C54" i="35"/>
  <c r="C53" i="35"/>
  <c r="C52" i="35"/>
  <c r="F51" i="35"/>
  <c r="I51" i="35" s="1"/>
  <c r="C51" i="35"/>
  <c r="C50" i="35"/>
  <c r="H49" i="35"/>
  <c r="C49" i="35"/>
  <c r="C48" i="35"/>
  <c r="C47" i="35"/>
  <c r="C46" i="35"/>
  <c r="G45" i="35"/>
  <c r="C45" i="35"/>
  <c r="C44" i="35"/>
  <c r="F43" i="35"/>
  <c r="I43" i="35" s="1"/>
  <c r="C43" i="35"/>
  <c r="C42" i="35"/>
  <c r="H41" i="35"/>
  <c r="C41" i="35"/>
  <c r="C40" i="35"/>
  <c r="C39" i="35"/>
  <c r="C38" i="35"/>
  <c r="G37" i="35"/>
  <c r="C37" i="35"/>
  <c r="C36" i="35"/>
  <c r="F35" i="35"/>
  <c r="I35" i="35" s="1"/>
  <c r="C35" i="35"/>
  <c r="C34" i="35"/>
  <c r="H33" i="35"/>
  <c r="C33" i="35"/>
  <c r="C32" i="35"/>
  <c r="C31" i="35"/>
  <c r="C30" i="35"/>
  <c r="C29" i="35"/>
  <c r="C28" i="35"/>
  <c r="C27" i="35"/>
  <c r="C26" i="35"/>
  <c r="H25" i="35"/>
  <c r="C25" i="35"/>
  <c r="C24" i="35"/>
  <c r="C23" i="35"/>
  <c r="C22" i="35"/>
  <c r="C21" i="35"/>
  <c r="C20" i="35"/>
  <c r="F19" i="35"/>
  <c r="I19" i="35" s="1"/>
  <c r="C19" i="35"/>
  <c r="C18" i="35"/>
  <c r="H17" i="35"/>
  <c r="C17" i="35"/>
  <c r="C16" i="35"/>
  <c r="CT49" i="34"/>
  <c r="CQ49" i="34"/>
  <c r="CF49" i="34"/>
  <c r="CU49" i="34" s="1"/>
  <c r="B44" i="34"/>
  <c r="B43" i="34"/>
  <c r="B42" i="34"/>
  <c r="CU41" i="34"/>
  <c r="H52" i="35" s="1"/>
  <c r="CT41" i="34"/>
  <c r="CQ41" i="34"/>
  <c r="CF41" i="34"/>
  <c r="BM41" i="34"/>
  <c r="G52" i="35" s="1"/>
  <c r="BL41" i="34"/>
  <c r="BI41" i="34"/>
  <c r="AX41" i="34"/>
  <c r="AD41" i="34"/>
  <c r="AA41" i="34"/>
  <c r="P41" i="34"/>
  <c r="AE41" i="34" s="1"/>
  <c r="F52" i="35" s="1"/>
  <c r="I52" i="35" s="1"/>
  <c r="B41" i="34"/>
  <c r="AI41" i="34" s="1"/>
  <c r="BQ41" i="34" s="1"/>
  <c r="CT40" i="34"/>
  <c r="CQ40" i="34"/>
  <c r="CF40" i="34"/>
  <c r="CU40" i="34" s="1"/>
  <c r="H51" i="35" s="1"/>
  <c r="BL40" i="34"/>
  <c r="BI40" i="34"/>
  <c r="AX40" i="34"/>
  <c r="BM40" i="34" s="1"/>
  <c r="G51" i="35" s="1"/>
  <c r="AI40" i="34"/>
  <c r="BQ40" i="34" s="1"/>
  <c r="AD40" i="34"/>
  <c r="AA40" i="34"/>
  <c r="P40" i="34"/>
  <c r="AE40" i="34" s="1"/>
  <c r="B40" i="34"/>
  <c r="CU39" i="34"/>
  <c r="H50" i="35" s="1"/>
  <c r="CT39" i="34"/>
  <c r="CQ39" i="34"/>
  <c r="CF39" i="34"/>
  <c r="BQ39" i="34"/>
  <c r="BL39" i="34"/>
  <c r="BI39" i="34"/>
  <c r="AX39" i="34"/>
  <c r="BM39" i="34" s="1"/>
  <c r="G50" i="35" s="1"/>
  <c r="AI39" i="34"/>
  <c r="AE39" i="34"/>
  <c r="F50" i="35" s="1"/>
  <c r="I50" i="35" s="1"/>
  <c r="AD39" i="34"/>
  <c r="AA39" i="34"/>
  <c r="P39" i="34"/>
  <c r="B39" i="34"/>
  <c r="CT38" i="34"/>
  <c r="CQ38" i="34"/>
  <c r="CF38" i="34"/>
  <c r="CU38" i="34" s="1"/>
  <c r="BL38" i="34"/>
  <c r="BI38" i="34"/>
  <c r="AX38" i="34"/>
  <c r="BM38" i="34" s="1"/>
  <c r="G49" i="35" s="1"/>
  <c r="AI38" i="34"/>
  <c r="BQ38" i="34" s="1"/>
  <c r="AD38" i="34"/>
  <c r="AA38" i="34"/>
  <c r="P38" i="34"/>
  <c r="AE38" i="34" s="1"/>
  <c r="F49" i="35" s="1"/>
  <c r="I49" i="35" s="1"/>
  <c r="B38" i="34"/>
  <c r="CT37" i="34"/>
  <c r="CQ37" i="34"/>
  <c r="CF37" i="34"/>
  <c r="CU37" i="34" s="1"/>
  <c r="H48" i="35" s="1"/>
  <c r="BQ37" i="34"/>
  <c r="BL37" i="34"/>
  <c r="BI37" i="34"/>
  <c r="AX37" i="34"/>
  <c r="BM37" i="34" s="1"/>
  <c r="G48" i="35" s="1"/>
  <c r="AI37" i="34"/>
  <c r="AE37" i="34"/>
  <c r="F48" i="35" s="1"/>
  <c r="I48" i="35" s="1"/>
  <c r="AD37" i="34"/>
  <c r="AA37" i="34"/>
  <c r="P37" i="34"/>
  <c r="B37" i="34"/>
  <c r="CT36" i="34"/>
  <c r="CQ36" i="34"/>
  <c r="CF36" i="34"/>
  <c r="CU36" i="34" s="1"/>
  <c r="H47" i="35" s="1"/>
  <c r="BQ36" i="34"/>
  <c r="BM36" i="34"/>
  <c r="G47" i="35" s="1"/>
  <c r="BL36" i="34"/>
  <c r="BI36" i="34"/>
  <c r="AX36" i="34"/>
  <c r="AI36" i="34"/>
  <c r="AD36" i="34"/>
  <c r="AA36" i="34"/>
  <c r="P36" i="34"/>
  <c r="AE36" i="34" s="1"/>
  <c r="F47" i="35" s="1"/>
  <c r="I47" i="35" s="1"/>
  <c r="B36" i="34"/>
  <c r="CT35" i="34"/>
  <c r="CQ35" i="34"/>
  <c r="CF35" i="34"/>
  <c r="CU35" i="34" s="1"/>
  <c r="H46" i="35" s="1"/>
  <c r="BL35" i="34"/>
  <c r="BI35" i="34"/>
  <c r="AX35" i="34"/>
  <c r="BM35" i="34" s="1"/>
  <c r="G46" i="35" s="1"/>
  <c r="AD35" i="34"/>
  <c r="AA35" i="34"/>
  <c r="P35" i="34"/>
  <c r="AE35" i="34" s="1"/>
  <c r="F46" i="35" s="1"/>
  <c r="I46" i="35" s="1"/>
  <c r="B35" i="34"/>
  <c r="AI35" i="34" s="1"/>
  <c r="BQ35" i="34" s="1"/>
  <c r="CT34" i="34"/>
  <c r="CQ34" i="34"/>
  <c r="CF34" i="34"/>
  <c r="CU34" i="34" s="1"/>
  <c r="H45" i="35" s="1"/>
  <c r="BQ34" i="34"/>
  <c r="BM34" i="34"/>
  <c r="BL34" i="34"/>
  <c r="BI34" i="34"/>
  <c r="AX34" i="34"/>
  <c r="AI34" i="34"/>
  <c r="AD34" i="34"/>
  <c r="AA34" i="34"/>
  <c r="P34" i="34"/>
  <c r="AE34" i="34" s="1"/>
  <c r="F45" i="35" s="1"/>
  <c r="I45" i="35" s="1"/>
  <c r="B34" i="34"/>
  <c r="CU33" i="34"/>
  <c r="H44" i="35" s="1"/>
  <c r="CT33" i="34"/>
  <c r="CQ33" i="34"/>
  <c r="CF33" i="34"/>
  <c r="BL33" i="34"/>
  <c r="BI33" i="34"/>
  <c r="AX33" i="34"/>
  <c r="BM33" i="34" s="1"/>
  <c r="G44" i="35" s="1"/>
  <c r="AD33" i="34"/>
  <c r="AA33" i="34"/>
  <c r="P33" i="34"/>
  <c r="AE33" i="34" s="1"/>
  <c r="F44" i="35" s="1"/>
  <c r="I44" i="35" s="1"/>
  <c r="B33" i="34"/>
  <c r="AI33" i="34" s="1"/>
  <c r="BQ33" i="34" s="1"/>
  <c r="CT32" i="34"/>
  <c r="CQ32" i="34"/>
  <c r="CF32" i="34"/>
  <c r="CU32" i="34" s="1"/>
  <c r="H43" i="35" s="1"/>
  <c r="BL32" i="34"/>
  <c r="BI32" i="34"/>
  <c r="AX32" i="34"/>
  <c r="BM32" i="34" s="1"/>
  <c r="G43" i="35" s="1"/>
  <c r="AD32" i="34"/>
  <c r="AA32" i="34"/>
  <c r="P32" i="34"/>
  <c r="AE32" i="34" s="1"/>
  <c r="B32" i="34"/>
  <c r="AI32" i="34" s="1"/>
  <c r="BQ32" i="34" s="1"/>
  <c r="CU31" i="34"/>
  <c r="H42" i="35" s="1"/>
  <c r="CT31" i="34"/>
  <c r="CQ31" i="34"/>
  <c r="CF31" i="34"/>
  <c r="BQ31" i="34"/>
  <c r="BL31" i="34"/>
  <c r="BI31" i="34"/>
  <c r="AX31" i="34"/>
  <c r="BM31" i="34" s="1"/>
  <c r="G42" i="35" s="1"/>
  <c r="AI31" i="34"/>
  <c r="AE31" i="34"/>
  <c r="F42" i="35" s="1"/>
  <c r="I42" i="35" s="1"/>
  <c r="AD31" i="34"/>
  <c r="AA31" i="34"/>
  <c r="P31" i="34"/>
  <c r="B31" i="34"/>
  <c r="CT30" i="34"/>
  <c r="CQ30" i="34"/>
  <c r="CF30" i="34"/>
  <c r="CU30" i="34" s="1"/>
  <c r="BL30" i="34"/>
  <c r="BI30" i="34"/>
  <c r="AX30" i="34"/>
  <c r="BM30" i="34" s="1"/>
  <c r="G41" i="35" s="1"/>
  <c r="AI30" i="34"/>
  <c r="BQ30" i="34" s="1"/>
  <c r="AD30" i="34"/>
  <c r="AA30" i="34"/>
  <c r="P30" i="34"/>
  <c r="AE30" i="34" s="1"/>
  <c r="F41" i="35" s="1"/>
  <c r="I41" i="35" s="1"/>
  <c r="B30" i="34"/>
  <c r="CT29" i="34"/>
  <c r="CQ29" i="34"/>
  <c r="CF29" i="34"/>
  <c r="CU29" i="34" s="1"/>
  <c r="H40" i="35" s="1"/>
  <c r="BL29" i="34"/>
  <c r="BI29" i="34"/>
  <c r="AX29" i="34"/>
  <c r="BM29" i="34" s="1"/>
  <c r="G40" i="35" s="1"/>
  <c r="AI29" i="34"/>
  <c r="BQ29" i="34" s="1"/>
  <c r="AE29" i="34"/>
  <c r="F40" i="35" s="1"/>
  <c r="I40" i="35" s="1"/>
  <c r="AD29" i="34"/>
  <c r="AA29" i="34"/>
  <c r="P29" i="34"/>
  <c r="B29" i="34"/>
  <c r="CT28" i="34"/>
  <c r="CQ28" i="34"/>
  <c r="CF28" i="34"/>
  <c r="CU28" i="34" s="1"/>
  <c r="H39" i="35" s="1"/>
  <c r="BQ28" i="34"/>
  <c r="BM28" i="34"/>
  <c r="G39" i="35" s="1"/>
  <c r="BL28" i="34"/>
  <c r="BI28" i="34"/>
  <c r="AX28" i="34"/>
  <c r="AI28" i="34"/>
  <c r="AE28" i="34"/>
  <c r="F39" i="35" s="1"/>
  <c r="I39" i="35" s="1"/>
  <c r="AD28" i="34"/>
  <c r="AA28" i="34"/>
  <c r="P28" i="34"/>
  <c r="B28" i="34"/>
  <c r="CT27" i="34"/>
  <c r="CQ27" i="34"/>
  <c r="CF27" i="34"/>
  <c r="CU27" i="34" s="1"/>
  <c r="H38" i="35" s="1"/>
  <c r="BL27" i="34"/>
  <c r="BI27" i="34"/>
  <c r="AX27" i="34"/>
  <c r="BM27" i="34" s="1"/>
  <c r="G38" i="35" s="1"/>
  <c r="AD27" i="34"/>
  <c r="AA27" i="34"/>
  <c r="P27" i="34"/>
  <c r="AE27" i="34" s="1"/>
  <c r="F38" i="35" s="1"/>
  <c r="I38" i="35" s="1"/>
  <c r="B27" i="34"/>
  <c r="AI27" i="34" s="1"/>
  <c r="BQ27" i="34" s="1"/>
  <c r="CT26" i="34"/>
  <c r="CQ26" i="34"/>
  <c r="CF26" i="34"/>
  <c r="CU26" i="34" s="1"/>
  <c r="H37" i="35" s="1"/>
  <c r="BQ26" i="34"/>
  <c r="BM26" i="34"/>
  <c r="BL26" i="34"/>
  <c r="BI26" i="34"/>
  <c r="AX26" i="34"/>
  <c r="AI26" i="34"/>
  <c r="AD26" i="34"/>
  <c r="AA26" i="34"/>
  <c r="P26" i="34"/>
  <c r="AE26" i="34" s="1"/>
  <c r="F37" i="35" s="1"/>
  <c r="I37" i="35" s="1"/>
  <c r="B26" i="34"/>
  <c r="CU25" i="34"/>
  <c r="H36" i="35" s="1"/>
  <c r="CT25" i="34"/>
  <c r="CQ25" i="34"/>
  <c r="CF25" i="34"/>
  <c r="BM25" i="34"/>
  <c r="G36" i="35" s="1"/>
  <c r="BL25" i="34"/>
  <c r="BI25" i="34"/>
  <c r="AX25" i="34"/>
  <c r="AD25" i="34"/>
  <c r="AA25" i="34"/>
  <c r="P25" i="34"/>
  <c r="AE25" i="34" s="1"/>
  <c r="F36" i="35" s="1"/>
  <c r="I36" i="35" s="1"/>
  <c r="B25" i="34"/>
  <c r="AI25" i="34" s="1"/>
  <c r="BQ25" i="34" s="1"/>
  <c r="CT24" i="34"/>
  <c r="CQ24" i="34"/>
  <c r="CF24" i="34"/>
  <c r="CU24" i="34" s="1"/>
  <c r="H35" i="35" s="1"/>
  <c r="BL24" i="34"/>
  <c r="BI24" i="34"/>
  <c r="AX24" i="34"/>
  <c r="BM24" i="34" s="1"/>
  <c r="G35" i="35" s="1"/>
  <c r="AD24" i="34"/>
  <c r="AA24" i="34"/>
  <c r="P24" i="34"/>
  <c r="AE24" i="34" s="1"/>
  <c r="B24" i="34"/>
  <c r="AI24" i="34" s="1"/>
  <c r="BQ24" i="34" s="1"/>
  <c r="CU23" i="34"/>
  <c r="H34" i="35" s="1"/>
  <c r="CT23" i="34"/>
  <c r="CQ23" i="34"/>
  <c r="CF23" i="34"/>
  <c r="BQ23" i="34"/>
  <c r="BL23" i="34"/>
  <c r="BI23" i="34"/>
  <c r="AX23" i="34"/>
  <c r="BM23" i="34" s="1"/>
  <c r="G34" i="35" s="1"/>
  <c r="AI23" i="34"/>
  <c r="AE23" i="34"/>
  <c r="F34" i="35" s="1"/>
  <c r="I34" i="35" s="1"/>
  <c r="AD23" i="34"/>
  <c r="AA23" i="34"/>
  <c r="P23" i="34"/>
  <c r="B23" i="34"/>
  <c r="CU22" i="34"/>
  <c r="CT22" i="34"/>
  <c r="CQ22" i="34"/>
  <c r="CF22" i="34"/>
  <c r="BL22" i="34"/>
  <c r="BI22" i="34"/>
  <c r="AX22" i="34"/>
  <c r="BM22" i="34" s="1"/>
  <c r="G33" i="35" s="1"/>
  <c r="AI22" i="34"/>
  <c r="BQ22" i="34" s="1"/>
  <c r="AD22" i="34"/>
  <c r="AA22" i="34"/>
  <c r="P22" i="34"/>
  <c r="AE22" i="34" s="1"/>
  <c r="F33" i="35" s="1"/>
  <c r="I33" i="35" s="1"/>
  <c r="B22" i="34"/>
  <c r="CT21" i="34"/>
  <c r="CQ21" i="34"/>
  <c r="CF21" i="34"/>
  <c r="CU21" i="34" s="1"/>
  <c r="H32" i="35" s="1"/>
  <c r="BL21" i="34"/>
  <c r="BI21" i="34"/>
  <c r="AX21" i="34"/>
  <c r="BM21" i="34" s="1"/>
  <c r="G32" i="35" s="1"/>
  <c r="AE21" i="34"/>
  <c r="F32" i="35" s="1"/>
  <c r="I32" i="35" s="1"/>
  <c r="AD21" i="34"/>
  <c r="AA21" i="34"/>
  <c r="P21" i="34"/>
  <c r="B21" i="34"/>
  <c r="AI21" i="34" s="1"/>
  <c r="BQ21" i="34" s="1"/>
  <c r="CT20" i="34"/>
  <c r="CQ20" i="34"/>
  <c r="CF20" i="34"/>
  <c r="CU20" i="34" s="1"/>
  <c r="H31" i="35" s="1"/>
  <c r="BQ20" i="34"/>
  <c r="BM20" i="34"/>
  <c r="G31" i="35" s="1"/>
  <c r="BL20" i="34"/>
  <c r="BI20" i="34"/>
  <c r="AX20" i="34"/>
  <c r="AI20" i="34"/>
  <c r="AE20" i="34"/>
  <c r="F31" i="35" s="1"/>
  <c r="I31" i="35" s="1"/>
  <c r="AD20" i="34"/>
  <c r="AA20" i="34"/>
  <c r="P20" i="34"/>
  <c r="B20" i="34"/>
  <c r="CT19" i="34"/>
  <c r="CQ19" i="34"/>
  <c r="CF19" i="34"/>
  <c r="CU19" i="34" s="1"/>
  <c r="H30" i="35" s="1"/>
  <c r="BL19" i="34"/>
  <c r="BI19" i="34"/>
  <c r="AX19" i="34"/>
  <c r="BM19" i="34" s="1"/>
  <c r="G30" i="35" s="1"/>
  <c r="AD19" i="34"/>
  <c r="AA19" i="34"/>
  <c r="P19" i="34"/>
  <c r="AE19" i="34" s="1"/>
  <c r="F30" i="35" s="1"/>
  <c r="I30" i="35" s="1"/>
  <c r="B19" i="34"/>
  <c r="AI19" i="34" s="1"/>
  <c r="BQ19" i="34" s="1"/>
  <c r="CT18" i="34"/>
  <c r="CQ18" i="34"/>
  <c r="CF18" i="34"/>
  <c r="CU18" i="34" s="1"/>
  <c r="H29" i="35" s="1"/>
  <c r="BM18" i="34"/>
  <c r="G29" i="35" s="1"/>
  <c r="BL18" i="34"/>
  <c r="BI18" i="34"/>
  <c r="AX18" i="34"/>
  <c r="AD18" i="34"/>
  <c r="AA18" i="34"/>
  <c r="P18" i="34"/>
  <c r="AE18" i="34" s="1"/>
  <c r="F29" i="35" s="1"/>
  <c r="I29" i="35" s="1"/>
  <c r="B18" i="34"/>
  <c r="AI18" i="34" s="1"/>
  <c r="BQ18" i="34" s="1"/>
  <c r="CU17" i="34"/>
  <c r="H28" i="35" s="1"/>
  <c r="CT17" i="34"/>
  <c r="CQ17" i="34"/>
  <c r="CF17" i="34"/>
  <c r="BL17" i="34"/>
  <c r="BI17" i="34"/>
  <c r="AX17" i="34"/>
  <c r="BM17" i="34" s="1"/>
  <c r="G28" i="35" s="1"/>
  <c r="AD17" i="34"/>
  <c r="AA17" i="34"/>
  <c r="P17" i="34"/>
  <c r="AE17" i="34" s="1"/>
  <c r="F28" i="35" s="1"/>
  <c r="I28" i="35" s="1"/>
  <c r="B17" i="34"/>
  <c r="AI17" i="34" s="1"/>
  <c r="BQ17" i="34" s="1"/>
  <c r="CU16" i="34"/>
  <c r="H27" i="35" s="1"/>
  <c r="CT16" i="34"/>
  <c r="CQ16" i="34"/>
  <c r="CF16" i="34"/>
  <c r="BL16" i="34"/>
  <c r="BI16" i="34"/>
  <c r="AX16" i="34"/>
  <c r="BM16" i="34" s="1"/>
  <c r="G27" i="35" s="1"/>
  <c r="AI16" i="34"/>
  <c r="BQ16" i="34" s="1"/>
  <c r="AD16" i="34"/>
  <c r="AA16" i="34"/>
  <c r="P16" i="34"/>
  <c r="AE16" i="34" s="1"/>
  <c r="F27" i="35" s="1"/>
  <c r="I27" i="35" s="1"/>
  <c r="B16" i="34"/>
  <c r="CU15" i="34"/>
  <c r="H26" i="35" s="1"/>
  <c r="CT15" i="34"/>
  <c r="CQ15" i="34"/>
  <c r="CF15" i="34"/>
  <c r="BL15" i="34"/>
  <c r="BI15" i="34"/>
  <c r="AX15" i="34"/>
  <c r="BM15" i="34" s="1"/>
  <c r="G26" i="35" s="1"/>
  <c r="AI15" i="34"/>
  <c r="BQ15" i="34" s="1"/>
  <c r="AE15" i="34"/>
  <c r="F26" i="35" s="1"/>
  <c r="I26" i="35" s="1"/>
  <c r="AD15" i="34"/>
  <c r="AA15" i="34"/>
  <c r="P15" i="34"/>
  <c r="B15" i="34"/>
  <c r="CU14" i="34"/>
  <c r="CT14" i="34"/>
  <c r="CQ14" i="34"/>
  <c r="CF14" i="34"/>
  <c r="BL14" i="34"/>
  <c r="BI14" i="34"/>
  <c r="AX14" i="34"/>
  <c r="BM14" i="34" s="1"/>
  <c r="G25" i="35" s="1"/>
  <c r="AI14" i="34"/>
  <c r="BQ14" i="34" s="1"/>
  <c r="AD14" i="34"/>
  <c r="AA14" i="34"/>
  <c r="P14" i="34"/>
  <c r="AE14" i="34" s="1"/>
  <c r="F25" i="35" s="1"/>
  <c r="I25" i="35" s="1"/>
  <c r="B14" i="34"/>
  <c r="CT13" i="34"/>
  <c r="CQ13" i="34"/>
  <c r="CF13" i="34"/>
  <c r="CU13" i="34" s="1"/>
  <c r="H24" i="35" s="1"/>
  <c r="BL13" i="34"/>
  <c r="BI13" i="34"/>
  <c r="AX13" i="34"/>
  <c r="BM13" i="34" s="1"/>
  <c r="G24" i="35" s="1"/>
  <c r="AE13" i="34"/>
  <c r="F24" i="35" s="1"/>
  <c r="I24" i="35" s="1"/>
  <c r="AD13" i="34"/>
  <c r="AA13" i="34"/>
  <c r="P13" i="34"/>
  <c r="B13" i="34"/>
  <c r="AI13" i="34" s="1"/>
  <c r="BQ13" i="34" s="1"/>
  <c r="CT12" i="34"/>
  <c r="CQ12" i="34"/>
  <c r="CF12" i="34"/>
  <c r="CU12" i="34" s="1"/>
  <c r="H23" i="35" s="1"/>
  <c r="BQ12" i="34"/>
  <c r="BM12" i="34"/>
  <c r="G23" i="35" s="1"/>
  <c r="BL12" i="34"/>
  <c r="BI12" i="34"/>
  <c r="AX12" i="34"/>
  <c r="AI12" i="34"/>
  <c r="AD12" i="34"/>
  <c r="AA12" i="34"/>
  <c r="P12" i="34"/>
  <c r="AE12" i="34" s="1"/>
  <c r="F23" i="35" s="1"/>
  <c r="I23" i="35" s="1"/>
  <c r="B12" i="34"/>
  <c r="CT11" i="34"/>
  <c r="CQ11" i="34"/>
  <c r="CF11" i="34"/>
  <c r="CU11" i="34" s="1"/>
  <c r="H22" i="35" s="1"/>
  <c r="BM11" i="34"/>
  <c r="G22" i="35" s="1"/>
  <c r="BL11" i="34"/>
  <c r="BI11" i="34"/>
  <c r="AX11" i="34"/>
  <c r="AD11" i="34"/>
  <c r="AA11" i="34"/>
  <c r="P11" i="34"/>
  <c r="AE11" i="34" s="1"/>
  <c r="F22" i="35" s="1"/>
  <c r="I22" i="35" s="1"/>
  <c r="B11" i="34"/>
  <c r="AI11" i="34" s="1"/>
  <c r="BQ11" i="34" s="1"/>
  <c r="CT10" i="34"/>
  <c r="CQ10" i="34"/>
  <c r="CF10" i="34"/>
  <c r="CU10" i="34" s="1"/>
  <c r="H21" i="35" s="1"/>
  <c r="BM10" i="34"/>
  <c r="G21" i="35" s="1"/>
  <c r="BL10" i="34"/>
  <c r="BI10" i="34"/>
  <c r="AX10" i="34"/>
  <c r="AD10" i="34"/>
  <c r="AA10" i="34"/>
  <c r="P10" i="34"/>
  <c r="AE10" i="34" s="1"/>
  <c r="F21" i="35" s="1"/>
  <c r="I21" i="35" s="1"/>
  <c r="B10" i="34"/>
  <c r="AI10" i="34" s="1"/>
  <c r="BQ10" i="34" s="1"/>
  <c r="CU9" i="34"/>
  <c r="H20" i="35" s="1"/>
  <c r="CT9" i="34"/>
  <c r="CQ9" i="34"/>
  <c r="CF9" i="34"/>
  <c r="BL9" i="34"/>
  <c r="BI9" i="34"/>
  <c r="AX9" i="34"/>
  <c r="BM9" i="34" s="1"/>
  <c r="G20" i="35" s="1"/>
  <c r="AD9" i="34"/>
  <c r="AA9" i="34"/>
  <c r="P9" i="34"/>
  <c r="AE9" i="34" s="1"/>
  <c r="F20" i="35" s="1"/>
  <c r="I20" i="35" s="1"/>
  <c r="B9" i="34"/>
  <c r="AI9" i="34" s="1"/>
  <c r="BQ9" i="34" s="1"/>
  <c r="CU8" i="34"/>
  <c r="H19" i="35" s="1"/>
  <c r="CT8" i="34"/>
  <c r="CQ8" i="34"/>
  <c r="CF8" i="34"/>
  <c r="BL8" i="34"/>
  <c r="BI8" i="34"/>
  <c r="AX8" i="34"/>
  <c r="BM8" i="34" s="1"/>
  <c r="G19" i="35" s="1"/>
  <c r="AI8" i="34"/>
  <c r="BQ8" i="34" s="1"/>
  <c r="AD8" i="34"/>
  <c r="AA8" i="34"/>
  <c r="P8" i="34"/>
  <c r="AE8" i="34" s="1"/>
  <c r="B8" i="34"/>
  <c r="CU7" i="34"/>
  <c r="H18" i="35" s="1"/>
  <c r="CT7" i="34"/>
  <c r="CQ7" i="34"/>
  <c r="CF7" i="34"/>
  <c r="BQ7" i="34"/>
  <c r="BL7" i="34"/>
  <c r="BI7" i="34"/>
  <c r="AX7" i="34"/>
  <c r="BM7" i="34" s="1"/>
  <c r="G18" i="35" s="1"/>
  <c r="AI7" i="34"/>
  <c r="AE7" i="34"/>
  <c r="F18" i="35" s="1"/>
  <c r="I18" i="35" s="1"/>
  <c r="AD7" i="34"/>
  <c r="AA7" i="34"/>
  <c r="P7" i="34"/>
  <c r="B7" i="34"/>
  <c r="CU6" i="34"/>
  <c r="CT6" i="34"/>
  <c r="CQ6" i="34"/>
  <c r="CF6" i="34"/>
  <c r="BM6" i="34"/>
  <c r="G17" i="35" s="1"/>
  <c r="BL6" i="34"/>
  <c r="BI6" i="34"/>
  <c r="AX6" i="34"/>
  <c r="AI6" i="34"/>
  <c r="BQ6" i="34" s="1"/>
  <c r="AD6" i="34"/>
  <c r="AA6" i="34"/>
  <c r="P6" i="34"/>
  <c r="AE6" i="34" s="1"/>
  <c r="F17" i="35" s="1"/>
  <c r="I17" i="35" s="1"/>
  <c r="B6" i="34"/>
  <c r="CT5" i="34"/>
  <c r="CQ5" i="34"/>
  <c r="CF5" i="34"/>
  <c r="CU5" i="34" s="1"/>
  <c r="H16" i="35" s="1"/>
  <c r="BL5" i="34"/>
  <c r="BI5" i="34"/>
  <c r="AX5" i="34"/>
  <c r="BM5" i="34" s="1"/>
  <c r="G16" i="35" s="1"/>
  <c r="AI5" i="34"/>
  <c r="BQ5" i="34" s="1"/>
  <c r="AE5" i="34"/>
  <c r="F16" i="35" s="1"/>
  <c r="I16" i="35" s="1"/>
  <c r="AD5" i="34"/>
  <c r="AA5" i="34"/>
  <c r="P5" i="34"/>
  <c r="B5" i="34"/>
  <c r="C55" i="33"/>
  <c r="C54" i="33"/>
  <c r="C53" i="33"/>
  <c r="H52" i="33"/>
  <c r="C52" i="33"/>
  <c r="C51" i="33"/>
  <c r="C50" i="33"/>
  <c r="H49" i="33"/>
  <c r="C49" i="33"/>
  <c r="C48" i="33"/>
  <c r="C47" i="33"/>
  <c r="C46" i="33"/>
  <c r="C45" i="33"/>
  <c r="C44" i="33"/>
  <c r="C43" i="33"/>
  <c r="C42" i="33"/>
  <c r="C41" i="33"/>
  <c r="C40" i="33"/>
  <c r="C39" i="33"/>
  <c r="C38" i="33"/>
  <c r="C37" i="33"/>
  <c r="C36" i="33"/>
  <c r="C35" i="33"/>
  <c r="C34" i="33"/>
  <c r="H33" i="33"/>
  <c r="C33" i="33"/>
  <c r="C32" i="33"/>
  <c r="C31" i="33"/>
  <c r="C30" i="33"/>
  <c r="C29" i="33"/>
  <c r="C28" i="33"/>
  <c r="C27" i="33"/>
  <c r="C26" i="33"/>
  <c r="C25" i="33"/>
  <c r="C24" i="33"/>
  <c r="C23" i="33"/>
  <c r="C22" i="33"/>
  <c r="C21" i="33"/>
  <c r="C20" i="33"/>
  <c r="C19" i="33"/>
  <c r="C18" i="33"/>
  <c r="C17" i="33"/>
  <c r="C16" i="33"/>
  <c r="CT49" i="32"/>
  <c r="CQ49" i="32"/>
  <c r="CF49" i="32"/>
  <c r="CU49" i="32" s="1"/>
  <c r="B44" i="32"/>
  <c r="B43" i="32"/>
  <c r="B42" i="32"/>
  <c r="CU41" i="32"/>
  <c r="CT41" i="32"/>
  <c r="CQ41" i="32"/>
  <c r="CF41" i="32"/>
  <c r="BL41" i="32"/>
  <c r="BI41" i="32"/>
  <c r="AX41" i="32"/>
  <c r="BM41" i="32" s="1"/>
  <c r="G52" i="33" s="1"/>
  <c r="AE41" i="32"/>
  <c r="F52" i="33" s="1"/>
  <c r="I52" i="33" s="1"/>
  <c r="AD41" i="32"/>
  <c r="AA41" i="32"/>
  <c r="P41" i="32"/>
  <c r="B41" i="32"/>
  <c r="AI41" i="32" s="1"/>
  <c r="BQ41" i="32" s="1"/>
  <c r="CT40" i="32"/>
  <c r="CQ40" i="32"/>
  <c r="CF40" i="32"/>
  <c r="CU40" i="32" s="1"/>
  <c r="H51" i="33" s="1"/>
  <c r="BL40" i="32"/>
  <c r="BI40" i="32"/>
  <c r="AX40" i="32"/>
  <c r="BM40" i="32" s="1"/>
  <c r="G51" i="33" s="1"/>
  <c r="AI40" i="32"/>
  <c r="BQ40" i="32" s="1"/>
  <c r="AD40" i="32"/>
  <c r="AA40" i="32"/>
  <c r="P40" i="32"/>
  <c r="AE40" i="32" s="1"/>
  <c r="F51" i="33" s="1"/>
  <c r="I51" i="33" s="1"/>
  <c r="B40" i="32"/>
  <c r="CU39" i="32"/>
  <c r="H50" i="33" s="1"/>
  <c r="CT39" i="32"/>
  <c r="CQ39" i="32"/>
  <c r="CF39" i="32"/>
  <c r="BQ39" i="32"/>
  <c r="BL39" i="32"/>
  <c r="BI39" i="32"/>
  <c r="AX39" i="32"/>
  <c r="BM39" i="32" s="1"/>
  <c r="G50" i="33" s="1"/>
  <c r="AI39" i="32"/>
  <c r="AE39" i="32"/>
  <c r="F50" i="33" s="1"/>
  <c r="I50" i="33" s="1"/>
  <c r="AD39" i="32"/>
  <c r="AA39" i="32"/>
  <c r="P39" i="32"/>
  <c r="B39" i="32"/>
  <c r="CT38" i="32"/>
  <c r="CQ38" i="32"/>
  <c r="CF38" i="32"/>
  <c r="CU38" i="32" s="1"/>
  <c r="BM38" i="32"/>
  <c r="G49" i="33" s="1"/>
  <c r="BL38" i="32"/>
  <c r="BI38" i="32"/>
  <c r="AX38" i="32"/>
  <c r="AI38" i="32"/>
  <c r="BQ38" i="32" s="1"/>
  <c r="AD38" i="32"/>
  <c r="AA38" i="32"/>
  <c r="P38" i="32"/>
  <c r="AE38" i="32" s="1"/>
  <c r="F49" i="33" s="1"/>
  <c r="I49" i="33" s="1"/>
  <c r="B38" i="32"/>
  <c r="CT37" i="32"/>
  <c r="CQ37" i="32"/>
  <c r="CF37" i="32"/>
  <c r="CU37" i="32" s="1"/>
  <c r="H48" i="33" s="1"/>
  <c r="BL37" i="32"/>
  <c r="BI37" i="32"/>
  <c r="AX37" i="32"/>
  <c r="BM37" i="32" s="1"/>
  <c r="G48" i="33" s="1"/>
  <c r="AE37" i="32"/>
  <c r="F48" i="33" s="1"/>
  <c r="I48" i="33" s="1"/>
  <c r="AD37" i="32"/>
  <c r="AA37" i="32"/>
  <c r="P37" i="32"/>
  <c r="B37" i="32"/>
  <c r="AI37" i="32" s="1"/>
  <c r="BQ37" i="32" s="1"/>
  <c r="CT36" i="32"/>
  <c r="CQ36" i="32"/>
  <c r="CF36" i="32"/>
  <c r="CU36" i="32" s="1"/>
  <c r="H47" i="33" s="1"/>
  <c r="BQ36" i="32"/>
  <c r="BM36" i="32"/>
  <c r="G47" i="33" s="1"/>
  <c r="BL36" i="32"/>
  <c r="BI36" i="32"/>
  <c r="AX36" i="32"/>
  <c r="AI36" i="32"/>
  <c r="AD36" i="32"/>
  <c r="AA36" i="32"/>
  <c r="P36" i="32"/>
  <c r="AE36" i="32" s="1"/>
  <c r="F47" i="33" s="1"/>
  <c r="I47" i="33" s="1"/>
  <c r="B36" i="32"/>
  <c r="CT35" i="32"/>
  <c r="CQ35" i="32"/>
  <c r="CF35" i="32"/>
  <c r="CU35" i="32" s="1"/>
  <c r="H46" i="33" s="1"/>
  <c r="BM35" i="32"/>
  <c r="G46" i="33" s="1"/>
  <c r="BL35" i="32"/>
  <c r="BI35" i="32"/>
  <c r="AX35" i="32"/>
  <c r="AD35" i="32"/>
  <c r="AA35" i="32"/>
  <c r="P35" i="32"/>
  <c r="AE35" i="32" s="1"/>
  <c r="F46" i="33" s="1"/>
  <c r="I46" i="33" s="1"/>
  <c r="B35" i="32"/>
  <c r="AI35" i="32" s="1"/>
  <c r="BQ35" i="32" s="1"/>
  <c r="CT34" i="32"/>
  <c r="CQ34" i="32"/>
  <c r="CF34" i="32"/>
  <c r="CU34" i="32" s="1"/>
  <c r="H45" i="33" s="1"/>
  <c r="BM34" i="32"/>
  <c r="G45" i="33" s="1"/>
  <c r="BL34" i="32"/>
  <c r="BI34" i="32"/>
  <c r="AX34" i="32"/>
  <c r="AI34" i="32"/>
  <c r="BQ34" i="32" s="1"/>
  <c r="AD34" i="32"/>
  <c r="AA34" i="32"/>
  <c r="P34" i="32"/>
  <c r="AE34" i="32" s="1"/>
  <c r="F45" i="33" s="1"/>
  <c r="I45" i="33" s="1"/>
  <c r="B34" i="32"/>
  <c r="CU33" i="32"/>
  <c r="H44" i="33" s="1"/>
  <c r="CT33" i="32"/>
  <c r="CQ33" i="32"/>
  <c r="CF33" i="32"/>
  <c r="BL33" i="32"/>
  <c r="BI33" i="32"/>
  <c r="AX33" i="32"/>
  <c r="BM33" i="32" s="1"/>
  <c r="G44" i="33" s="1"/>
  <c r="AE33" i="32"/>
  <c r="F44" i="33" s="1"/>
  <c r="I44" i="33" s="1"/>
  <c r="AD33" i="32"/>
  <c r="AA33" i="32"/>
  <c r="P33" i="32"/>
  <c r="B33" i="32"/>
  <c r="AI33" i="32" s="1"/>
  <c r="BQ33" i="32" s="1"/>
  <c r="CU32" i="32"/>
  <c r="H43" i="33" s="1"/>
  <c r="CT32" i="32"/>
  <c r="CQ32" i="32"/>
  <c r="CF32" i="32"/>
  <c r="BM32" i="32"/>
  <c r="G43" i="33" s="1"/>
  <c r="BL32" i="32"/>
  <c r="BI32" i="32"/>
  <c r="AX32" i="32"/>
  <c r="AD32" i="32"/>
  <c r="AA32" i="32"/>
  <c r="P32" i="32"/>
  <c r="AE32" i="32" s="1"/>
  <c r="F43" i="33" s="1"/>
  <c r="I43" i="33" s="1"/>
  <c r="B32" i="32"/>
  <c r="AI32" i="32" s="1"/>
  <c r="BQ32" i="32" s="1"/>
  <c r="CU31" i="32"/>
  <c r="H42" i="33" s="1"/>
  <c r="CT31" i="32"/>
  <c r="CQ31" i="32"/>
  <c r="CF31" i="32"/>
  <c r="BL31" i="32"/>
  <c r="BI31" i="32"/>
  <c r="AX31" i="32"/>
  <c r="BM31" i="32" s="1"/>
  <c r="G42" i="33" s="1"/>
  <c r="AI31" i="32"/>
  <c r="BQ31" i="32" s="1"/>
  <c r="AE31" i="32"/>
  <c r="F42" i="33" s="1"/>
  <c r="I42" i="33" s="1"/>
  <c r="AD31" i="32"/>
  <c r="AA31" i="32"/>
  <c r="P31" i="32"/>
  <c r="B31" i="32"/>
  <c r="CU30" i="32"/>
  <c r="H41" i="33" s="1"/>
  <c r="CT30" i="32"/>
  <c r="CQ30" i="32"/>
  <c r="CF30" i="32"/>
  <c r="BL30" i="32"/>
  <c r="BI30" i="32"/>
  <c r="AX30" i="32"/>
  <c r="BM30" i="32" s="1"/>
  <c r="G41" i="33" s="1"/>
  <c r="AI30" i="32"/>
  <c r="BQ30" i="32" s="1"/>
  <c r="AE30" i="32"/>
  <c r="F41" i="33" s="1"/>
  <c r="I41" i="33" s="1"/>
  <c r="AD30" i="32"/>
  <c r="AA30" i="32"/>
  <c r="P30" i="32"/>
  <c r="B30" i="32"/>
  <c r="CT29" i="32"/>
  <c r="CQ29" i="32"/>
  <c r="CF29" i="32"/>
  <c r="CU29" i="32" s="1"/>
  <c r="H40" i="33" s="1"/>
  <c r="BQ29" i="32"/>
  <c r="BL29" i="32"/>
  <c r="BI29" i="32"/>
  <c r="AX29" i="32"/>
  <c r="BM29" i="32" s="1"/>
  <c r="G40" i="33" s="1"/>
  <c r="AI29" i="32"/>
  <c r="AE29" i="32"/>
  <c r="F40" i="33" s="1"/>
  <c r="I40" i="33" s="1"/>
  <c r="AD29" i="32"/>
  <c r="AA29" i="32"/>
  <c r="P29" i="32"/>
  <c r="B29" i="32"/>
  <c r="CT28" i="32"/>
  <c r="CQ28" i="32"/>
  <c r="CF28" i="32"/>
  <c r="CU28" i="32" s="1"/>
  <c r="H39" i="33" s="1"/>
  <c r="BQ28" i="32"/>
  <c r="BM28" i="32"/>
  <c r="G39" i="33" s="1"/>
  <c r="BL28" i="32"/>
  <c r="BI28" i="32"/>
  <c r="AX28" i="32"/>
  <c r="AI28" i="32"/>
  <c r="AD28" i="32"/>
  <c r="AA28" i="32"/>
  <c r="P28" i="32"/>
  <c r="AE28" i="32" s="1"/>
  <c r="F39" i="33" s="1"/>
  <c r="I39" i="33" s="1"/>
  <c r="B28" i="32"/>
  <c r="CU27" i="32"/>
  <c r="H38" i="33" s="1"/>
  <c r="CT27" i="32"/>
  <c r="CQ27" i="32"/>
  <c r="CF27" i="32"/>
  <c r="BL27" i="32"/>
  <c r="BI27" i="32"/>
  <c r="AX27" i="32"/>
  <c r="BM27" i="32" s="1"/>
  <c r="G38" i="33" s="1"/>
  <c r="AD27" i="32"/>
  <c r="AA27" i="32"/>
  <c r="P27" i="32"/>
  <c r="AE27" i="32" s="1"/>
  <c r="F38" i="33" s="1"/>
  <c r="I38" i="33" s="1"/>
  <c r="B27" i="32"/>
  <c r="AI27" i="32" s="1"/>
  <c r="BQ27" i="32" s="1"/>
  <c r="CT26" i="32"/>
  <c r="CQ26" i="32"/>
  <c r="CF26" i="32"/>
  <c r="CU26" i="32" s="1"/>
  <c r="H37" i="33" s="1"/>
  <c r="BM26" i="32"/>
  <c r="G37" i="33" s="1"/>
  <c r="BL26" i="32"/>
  <c r="BI26" i="32"/>
  <c r="AX26" i="32"/>
  <c r="AE26" i="32"/>
  <c r="F37" i="33" s="1"/>
  <c r="I37" i="33" s="1"/>
  <c r="AD26" i="32"/>
  <c r="AA26" i="32"/>
  <c r="P26" i="32"/>
  <c r="B26" i="32"/>
  <c r="AI26" i="32" s="1"/>
  <c r="BQ26" i="32" s="1"/>
  <c r="CT25" i="32"/>
  <c r="CQ25" i="32"/>
  <c r="CF25" i="32"/>
  <c r="CU25" i="32" s="1"/>
  <c r="H36" i="33" s="1"/>
  <c r="BQ25" i="32"/>
  <c r="BL25" i="32"/>
  <c r="BI25" i="32"/>
  <c r="AX25" i="32"/>
  <c r="BM25" i="32" s="1"/>
  <c r="G36" i="33" s="1"/>
  <c r="AD25" i="32"/>
  <c r="AA25" i="32"/>
  <c r="P25" i="32"/>
  <c r="AE25" i="32" s="1"/>
  <c r="F36" i="33" s="1"/>
  <c r="I36" i="33" s="1"/>
  <c r="B25" i="32"/>
  <c r="AI25" i="32" s="1"/>
  <c r="CT24" i="32"/>
  <c r="CQ24" i="32"/>
  <c r="CF24" i="32"/>
  <c r="CU24" i="32" s="1"/>
  <c r="H35" i="33" s="1"/>
  <c r="BM24" i="32"/>
  <c r="G35" i="33" s="1"/>
  <c r="BL24" i="32"/>
  <c r="BI24" i="32"/>
  <c r="AX24" i="32"/>
  <c r="AD24" i="32"/>
  <c r="AA24" i="32"/>
  <c r="P24" i="32"/>
  <c r="AE24" i="32" s="1"/>
  <c r="F35" i="33" s="1"/>
  <c r="I35" i="33" s="1"/>
  <c r="B24" i="32"/>
  <c r="AI24" i="32" s="1"/>
  <c r="BQ24" i="32" s="1"/>
  <c r="CU23" i="32"/>
  <c r="H34" i="33" s="1"/>
  <c r="CT23" i="32"/>
  <c r="CQ23" i="32"/>
  <c r="CF23" i="32"/>
  <c r="BL23" i="32"/>
  <c r="BI23" i="32"/>
  <c r="AX23" i="32"/>
  <c r="BM23" i="32" s="1"/>
  <c r="G34" i="33" s="1"/>
  <c r="AD23" i="32"/>
  <c r="AA23" i="32"/>
  <c r="P23" i="32"/>
  <c r="AE23" i="32" s="1"/>
  <c r="F34" i="33" s="1"/>
  <c r="I34" i="33" s="1"/>
  <c r="B23" i="32"/>
  <c r="AI23" i="32" s="1"/>
  <c r="BQ23" i="32" s="1"/>
  <c r="CU22" i="32"/>
  <c r="CT22" i="32"/>
  <c r="CQ22" i="32"/>
  <c r="CF22" i="32"/>
  <c r="BL22" i="32"/>
  <c r="BI22" i="32"/>
  <c r="AX22" i="32"/>
  <c r="BM22" i="32" s="1"/>
  <c r="G33" i="33" s="1"/>
  <c r="AI22" i="32"/>
  <c r="BQ22" i="32" s="1"/>
  <c r="AE22" i="32"/>
  <c r="F33" i="33" s="1"/>
  <c r="I33" i="33" s="1"/>
  <c r="AD22" i="32"/>
  <c r="AA22" i="32"/>
  <c r="P22" i="32"/>
  <c r="B22" i="32"/>
  <c r="CT21" i="32"/>
  <c r="CQ21" i="32"/>
  <c r="CF21" i="32"/>
  <c r="CU21" i="32" s="1"/>
  <c r="H32" i="33" s="1"/>
  <c r="BL21" i="32"/>
  <c r="BI21" i="32"/>
  <c r="AX21" i="32"/>
  <c r="BM21" i="32" s="1"/>
  <c r="G32" i="33" s="1"/>
  <c r="AI21" i="32"/>
  <c r="BQ21" i="32" s="1"/>
  <c r="AE21" i="32"/>
  <c r="F32" i="33" s="1"/>
  <c r="I32" i="33" s="1"/>
  <c r="AD21" i="32"/>
  <c r="AA21" i="32"/>
  <c r="P21" i="32"/>
  <c r="B21" i="32"/>
  <c r="CT20" i="32"/>
  <c r="CQ20" i="32"/>
  <c r="CF20" i="32"/>
  <c r="CU20" i="32" s="1"/>
  <c r="H31" i="33" s="1"/>
  <c r="BQ20" i="32"/>
  <c r="BM20" i="32"/>
  <c r="G31" i="33" s="1"/>
  <c r="BL20" i="32"/>
  <c r="BI20" i="32"/>
  <c r="AX20" i="32"/>
  <c r="AI20" i="32"/>
  <c r="AD20" i="32"/>
  <c r="AA20" i="32"/>
  <c r="P20" i="32"/>
  <c r="AE20" i="32" s="1"/>
  <c r="F31" i="33" s="1"/>
  <c r="I31" i="33" s="1"/>
  <c r="B20" i="32"/>
  <c r="CT19" i="32"/>
  <c r="CQ19" i="32"/>
  <c r="CF19" i="32"/>
  <c r="CU19" i="32" s="1"/>
  <c r="H30" i="33" s="1"/>
  <c r="BM19" i="32"/>
  <c r="G30" i="33" s="1"/>
  <c r="BL19" i="32"/>
  <c r="BI19" i="32"/>
  <c r="AX19" i="32"/>
  <c r="AD19" i="32"/>
  <c r="AA19" i="32"/>
  <c r="P19" i="32"/>
  <c r="AE19" i="32" s="1"/>
  <c r="F30" i="33" s="1"/>
  <c r="I30" i="33" s="1"/>
  <c r="B19" i="32"/>
  <c r="AI19" i="32" s="1"/>
  <c r="BQ19" i="32" s="1"/>
  <c r="CT18" i="32"/>
  <c r="CQ18" i="32"/>
  <c r="CF18" i="32"/>
  <c r="CU18" i="32" s="1"/>
  <c r="H29" i="33" s="1"/>
  <c r="BM18" i="32"/>
  <c r="G29" i="33" s="1"/>
  <c r="BL18" i="32"/>
  <c r="BI18" i="32"/>
  <c r="AX18" i="32"/>
  <c r="AD18" i="32"/>
  <c r="AA18" i="32"/>
  <c r="P18" i="32"/>
  <c r="AE18" i="32" s="1"/>
  <c r="F29" i="33" s="1"/>
  <c r="I29" i="33" s="1"/>
  <c r="B18" i="32"/>
  <c r="AI18" i="32" s="1"/>
  <c r="BQ18" i="32" s="1"/>
  <c r="CU17" i="32"/>
  <c r="H28" i="33" s="1"/>
  <c r="CT17" i="32"/>
  <c r="CQ17" i="32"/>
  <c r="CF17" i="32"/>
  <c r="BL17" i="32"/>
  <c r="BI17" i="32"/>
  <c r="AX17" i="32"/>
  <c r="BM17" i="32" s="1"/>
  <c r="G28" i="33" s="1"/>
  <c r="AD17" i="32"/>
  <c r="AA17" i="32"/>
  <c r="P17" i="32"/>
  <c r="AE17" i="32" s="1"/>
  <c r="F28" i="33" s="1"/>
  <c r="I28" i="33" s="1"/>
  <c r="B17" i="32"/>
  <c r="AI17" i="32" s="1"/>
  <c r="BQ17" i="32" s="1"/>
  <c r="CU16" i="32"/>
  <c r="H27" i="33" s="1"/>
  <c r="CT16" i="32"/>
  <c r="CQ16" i="32"/>
  <c r="CF16" i="32"/>
  <c r="BL16" i="32"/>
  <c r="BI16" i="32"/>
  <c r="AX16" i="32"/>
  <c r="BM16" i="32" s="1"/>
  <c r="G27" i="33" s="1"/>
  <c r="AI16" i="32"/>
  <c r="BQ16" i="32" s="1"/>
  <c r="AD16" i="32"/>
  <c r="AA16" i="32"/>
  <c r="P16" i="32"/>
  <c r="AE16" i="32" s="1"/>
  <c r="F27" i="33" s="1"/>
  <c r="I27" i="33" s="1"/>
  <c r="B16" i="32"/>
  <c r="CU15" i="32"/>
  <c r="H26" i="33" s="1"/>
  <c r="CT15" i="32"/>
  <c r="CQ15" i="32"/>
  <c r="CF15" i="32"/>
  <c r="BL15" i="32"/>
  <c r="BI15" i="32"/>
  <c r="AX15" i="32"/>
  <c r="BM15" i="32" s="1"/>
  <c r="G26" i="33" s="1"/>
  <c r="AI15" i="32"/>
  <c r="BQ15" i="32" s="1"/>
  <c r="AE15" i="32"/>
  <c r="F26" i="33" s="1"/>
  <c r="I26" i="33" s="1"/>
  <c r="AD15" i="32"/>
  <c r="AA15" i="32"/>
  <c r="P15" i="32"/>
  <c r="B15" i="32"/>
  <c r="CT14" i="32"/>
  <c r="CQ14" i="32"/>
  <c r="CF14" i="32"/>
  <c r="CU14" i="32" s="1"/>
  <c r="H25" i="33" s="1"/>
  <c r="BL14" i="32"/>
  <c r="BI14" i="32"/>
  <c r="AX14" i="32"/>
  <c r="BM14" i="32" s="1"/>
  <c r="G25" i="33" s="1"/>
  <c r="AI14" i="32"/>
  <c r="BQ14" i="32" s="1"/>
  <c r="AE14" i="32"/>
  <c r="F25" i="33" s="1"/>
  <c r="I25" i="33" s="1"/>
  <c r="AD14" i="32"/>
  <c r="AA14" i="32"/>
  <c r="P14" i="32"/>
  <c r="B14" i="32"/>
  <c r="CT13" i="32"/>
  <c r="CQ13" i="32"/>
  <c r="CF13" i="32"/>
  <c r="CU13" i="32" s="1"/>
  <c r="H24" i="33" s="1"/>
  <c r="BQ13" i="32"/>
  <c r="BL13" i="32"/>
  <c r="BI13" i="32"/>
  <c r="AX13" i="32"/>
  <c r="BM13" i="32" s="1"/>
  <c r="G24" i="33" s="1"/>
  <c r="AI13" i="32"/>
  <c r="AE13" i="32"/>
  <c r="F24" i="33" s="1"/>
  <c r="I24" i="33" s="1"/>
  <c r="AD13" i="32"/>
  <c r="AA13" i="32"/>
  <c r="P13" i="32"/>
  <c r="B13" i="32"/>
  <c r="CT12" i="32"/>
  <c r="CQ12" i="32"/>
  <c r="CF12" i="32"/>
  <c r="CU12" i="32" s="1"/>
  <c r="H23" i="33" s="1"/>
  <c r="BQ12" i="32"/>
  <c r="BM12" i="32"/>
  <c r="G23" i="33" s="1"/>
  <c r="BL12" i="32"/>
  <c r="BI12" i="32"/>
  <c r="AX12" i="32"/>
  <c r="AI12" i="32"/>
  <c r="AD12" i="32"/>
  <c r="AA12" i="32"/>
  <c r="P12" i="32"/>
  <c r="AE12" i="32" s="1"/>
  <c r="F23" i="33" s="1"/>
  <c r="I23" i="33" s="1"/>
  <c r="B12" i="32"/>
  <c r="CT11" i="32"/>
  <c r="CQ11" i="32"/>
  <c r="CF11" i="32"/>
  <c r="CU11" i="32" s="1"/>
  <c r="H22" i="33" s="1"/>
  <c r="BM11" i="32"/>
  <c r="G22" i="33" s="1"/>
  <c r="BL11" i="32"/>
  <c r="BI11" i="32"/>
  <c r="AX11" i="32"/>
  <c r="AD11" i="32"/>
  <c r="AA11" i="32"/>
  <c r="P11" i="32"/>
  <c r="AE11" i="32" s="1"/>
  <c r="F22" i="33" s="1"/>
  <c r="I22" i="33" s="1"/>
  <c r="B11" i="32"/>
  <c r="AI11" i="32" s="1"/>
  <c r="BQ11" i="32" s="1"/>
  <c r="CT10" i="32"/>
  <c r="CQ10" i="32"/>
  <c r="CF10" i="32"/>
  <c r="CU10" i="32" s="1"/>
  <c r="H21" i="33" s="1"/>
  <c r="BM10" i="32"/>
  <c r="G21" i="33" s="1"/>
  <c r="BL10" i="32"/>
  <c r="BI10" i="32"/>
  <c r="AX10" i="32"/>
  <c r="AD10" i="32"/>
  <c r="AA10" i="32"/>
  <c r="P10" i="32"/>
  <c r="AE10" i="32" s="1"/>
  <c r="F21" i="33" s="1"/>
  <c r="I21" i="33" s="1"/>
  <c r="B10" i="32"/>
  <c r="AI10" i="32" s="1"/>
  <c r="BQ10" i="32" s="1"/>
  <c r="CU9" i="32"/>
  <c r="H20" i="33" s="1"/>
  <c r="CT9" i="32"/>
  <c r="CQ9" i="32"/>
  <c r="CF9" i="32"/>
  <c r="BL9" i="32"/>
  <c r="BI9" i="32"/>
  <c r="AX9" i="32"/>
  <c r="BM9" i="32" s="1"/>
  <c r="G20" i="33" s="1"/>
  <c r="AD9" i="32"/>
  <c r="AA9" i="32"/>
  <c r="P9" i="32"/>
  <c r="AE9" i="32" s="1"/>
  <c r="F20" i="33" s="1"/>
  <c r="I20" i="33" s="1"/>
  <c r="B9" i="32"/>
  <c r="AI9" i="32" s="1"/>
  <c r="BQ9" i="32" s="1"/>
  <c r="CU8" i="32"/>
  <c r="H19" i="33" s="1"/>
  <c r="CT8" i="32"/>
  <c r="CQ8" i="32"/>
  <c r="CF8" i="32"/>
  <c r="BL8" i="32"/>
  <c r="BI8" i="32"/>
  <c r="AX8" i="32"/>
  <c r="BM8" i="32" s="1"/>
  <c r="G19" i="33" s="1"/>
  <c r="AI8" i="32"/>
  <c r="BQ8" i="32" s="1"/>
  <c r="AD8" i="32"/>
  <c r="AA8" i="32"/>
  <c r="P8" i="32"/>
  <c r="AE8" i="32" s="1"/>
  <c r="F19" i="33" s="1"/>
  <c r="I19" i="33" s="1"/>
  <c r="B8" i="32"/>
  <c r="CU7" i="32"/>
  <c r="H18" i="33" s="1"/>
  <c r="CT7" i="32"/>
  <c r="CQ7" i="32"/>
  <c r="CF7" i="32"/>
  <c r="BL7" i="32"/>
  <c r="BI7" i="32"/>
  <c r="AX7" i="32"/>
  <c r="BM7" i="32" s="1"/>
  <c r="G18" i="33" s="1"/>
  <c r="AI7" i="32"/>
  <c r="BQ7" i="32" s="1"/>
  <c r="AE7" i="32"/>
  <c r="F18" i="33" s="1"/>
  <c r="I18" i="33" s="1"/>
  <c r="AD7" i="32"/>
  <c r="AA7" i="32"/>
  <c r="P7" i="32"/>
  <c r="B7" i="32"/>
  <c r="CT6" i="32"/>
  <c r="CQ6" i="32"/>
  <c r="CF6" i="32"/>
  <c r="CU6" i="32" s="1"/>
  <c r="H17" i="33" s="1"/>
  <c r="BL6" i="32"/>
  <c r="BI6" i="32"/>
  <c r="AX6" i="32"/>
  <c r="BM6" i="32" s="1"/>
  <c r="G17" i="33" s="1"/>
  <c r="AI6" i="32"/>
  <c r="BQ6" i="32" s="1"/>
  <c r="AE6" i="32"/>
  <c r="F17" i="33" s="1"/>
  <c r="I17" i="33" s="1"/>
  <c r="AD6" i="32"/>
  <c r="AA6" i="32"/>
  <c r="P6" i="32"/>
  <c r="B6" i="32"/>
  <c r="CT5" i="32"/>
  <c r="CQ5" i="32"/>
  <c r="CF5" i="32"/>
  <c r="CU5" i="32" s="1"/>
  <c r="H16" i="33" s="1"/>
  <c r="BQ5" i="32"/>
  <c r="BL5" i="32"/>
  <c r="BI5" i="32"/>
  <c r="AX5" i="32"/>
  <c r="BM5" i="32" s="1"/>
  <c r="G16" i="33" s="1"/>
  <c r="AI5" i="32"/>
  <c r="AE5" i="32"/>
  <c r="F16" i="33" s="1"/>
  <c r="I16" i="33" s="1"/>
  <c r="AD5" i="32"/>
  <c r="AA5" i="32"/>
  <c r="P5" i="32"/>
  <c r="B5" i="32"/>
  <c r="C55" i="31"/>
  <c r="C54" i="31"/>
  <c r="C53" i="31"/>
  <c r="C52" i="31"/>
  <c r="C51" i="31"/>
  <c r="H50" i="31"/>
  <c r="C50" i="31"/>
  <c r="C49" i="31"/>
  <c r="I48" i="31"/>
  <c r="C48" i="31"/>
  <c r="G47" i="31"/>
  <c r="C47" i="31"/>
  <c r="C46" i="31"/>
  <c r="H45" i="31"/>
  <c r="C45" i="31"/>
  <c r="C44" i="31"/>
  <c r="C43" i="31"/>
  <c r="H42" i="31"/>
  <c r="C42" i="31"/>
  <c r="C41" i="31"/>
  <c r="I40" i="31"/>
  <c r="C40" i="31"/>
  <c r="C39" i="31"/>
  <c r="C38" i="31"/>
  <c r="I37" i="31"/>
  <c r="C37" i="31"/>
  <c r="C36" i="31"/>
  <c r="C35" i="31"/>
  <c r="H34" i="31"/>
  <c r="C34" i="31"/>
  <c r="C33" i="31"/>
  <c r="C32" i="31"/>
  <c r="C31" i="31"/>
  <c r="C30" i="31"/>
  <c r="C29" i="31"/>
  <c r="C28" i="31"/>
  <c r="C27" i="31"/>
  <c r="C26" i="31"/>
  <c r="C25" i="31"/>
  <c r="C24" i="31"/>
  <c r="C23" i="31"/>
  <c r="C22" i="31"/>
  <c r="C21" i="31"/>
  <c r="C20" i="31"/>
  <c r="C19" i="31"/>
  <c r="H18" i="31"/>
  <c r="C18" i="31"/>
  <c r="C17" i="31"/>
  <c r="C16" i="31"/>
  <c r="CT49" i="30"/>
  <c r="CQ49" i="30"/>
  <c r="CU49" i="30" s="1"/>
  <c r="B44" i="30"/>
  <c r="B43" i="30"/>
  <c r="B42" i="30"/>
  <c r="CT41" i="30"/>
  <c r="CQ41" i="30"/>
  <c r="CF41" i="30"/>
  <c r="CU41" i="30" s="1"/>
  <c r="H52" i="31" s="1"/>
  <c r="BQ41" i="30"/>
  <c r="BM41" i="30"/>
  <c r="G52" i="31" s="1"/>
  <c r="BL41" i="30"/>
  <c r="BI41" i="30"/>
  <c r="AX41" i="30"/>
  <c r="AI41" i="30"/>
  <c r="AD41" i="30"/>
  <c r="AA41" i="30"/>
  <c r="P41" i="30"/>
  <c r="AE41" i="30" s="1"/>
  <c r="F52" i="31" s="1"/>
  <c r="I52" i="31" s="1"/>
  <c r="B41" i="30"/>
  <c r="CT40" i="30"/>
  <c r="CQ40" i="30"/>
  <c r="CF40" i="30"/>
  <c r="CU40" i="30" s="1"/>
  <c r="H51" i="31" s="1"/>
  <c r="BM40" i="30"/>
  <c r="G51" i="31" s="1"/>
  <c r="BL40" i="30"/>
  <c r="BI40" i="30"/>
  <c r="AX40" i="30"/>
  <c r="AD40" i="30"/>
  <c r="AA40" i="30"/>
  <c r="P40" i="30"/>
  <c r="AE40" i="30" s="1"/>
  <c r="F51" i="31" s="1"/>
  <c r="I51" i="31" s="1"/>
  <c r="B40" i="30"/>
  <c r="AI40" i="30" s="1"/>
  <c r="BQ40" i="30" s="1"/>
  <c r="CT39" i="30"/>
  <c r="CQ39" i="30"/>
  <c r="CF39" i="30"/>
  <c r="CU39" i="30" s="1"/>
  <c r="BM39" i="30"/>
  <c r="G50" i="31" s="1"/>
  <c r="BL39" i="30"/>
  <c r="BI39" i="30"/>
  <c r="AX39" i="30"/>
  <c r="AD39" i="30"/>
  <c r="AA39" i="30"/>
  <c r="P39" i="30"/>
  <c r="AE39" i="30" s="1"/>
  <c r="F50" i="31" s="1"/>
  <c r="I50" i="31" s="1"/>
  <c r="B39" i="30"/>
  <c r="AI39" i="30" s="1"/>
  <c r="BQ39" i="30" s="1"/>
  <c r="CU38" i="30"/>
  <c r="H49" i="31" s="1"/>
  <c r="CT38" i="30"/>
  <c r="CQ38" i="30"/>
  <c r="CF38" i="30"/>
  <c r="BM38" i="30"/>
  <c r="G49" i="31" s="1"/>
  <c r="BL38" i="30"/>
  <c r="BI38" i="30"/>
  <c r="AX38" i="30"/>
  <c r="AD38" i="30"/>
  <c r="AA38" i="30"/>
  <c r="P38" i="30"/>
  <c r="AE38" i="30" s="1"/>
  <c r="F49" i="31" s="1"/>
  <c r="I49" i="31" s="1"/>
  <c r="B38" i="30"/>
  <c r="AI38" i="30" s="1"/>
  <c r="BQ38" i="30" s="1"/>
  <c r="CU37" i="30"/>
  <c r="H48" i="31" s="1"/>
  <c r="CT37" i="30"/>
  <c r="CQ37" i="30"/>
  <c r="CF37" i="30"/>
  <c r="BL37" i="30"/>
  <c r="BI37" i="30"/>
  <c r="AX37" i="30"/>
  <c r="BM37" i="30" s="1"/>
  <c r="G48" i="31" s="1"/>
  <c r="AI37" i="30"/>
  <c r="BQ37" i="30" s="1"/>
  <c r="AD37" i="30"/>
  <c r="AA37" i="30"/>
  <c r="P37" i="30"/>
  <c r="AE37" i="30" s="1"/>
  <c r="F48" i="31" s="1"/>
  <c r="B37" i="30"/>
  <c r="CU36" i="30"/>
  <c r="H47" i="31" s="1"/>
  <c r="CT36" i="30"/>
  <c r="CQ36" i="30"/>
  <c r="CF36" i="30"/>
  <c r="BL36" i="30"/>
  <c r="BI36" i="30"/>
  <c r="AX36" i="30"/>
  <c r="BM36" i="30" s="1"/>
  <c r="AI36" i="30"/>
  <c r="BQ36" i="30" s="1"/>
  <c r="AE36" i="30"/>
  <c r="F47" i="31" s="1"/>
  <c r="I47" i="31" s="1"/>
  <c r="AD36" i="30"/>
  <c r="AA36" i="30"/>
  <c r="P36" i="30"/>
  <c r="B36" i="30"/>
  <c r="CT35" i="30"/>
  <c r="CQ35" i="30"/>
  <c r="CF35" i="30"/>
  <c r="CU35" i="30" s="1"/>
  <c r="H46" i="31" s="1"/>
  <c r="BL35" i="30"/>
  <c r="BI35" i="30"/>
  <c r="AX35" i="30"/>
  <c r="BM35" i="30" s="1"/>
  <c r="G46" i="31" s="1"/>
  <c r="AI35" i="30"/>
  <c r="BQ35" i="30" s="1"/>
  <c r="AD35" i="30"/>
  <c r="AA35" i="30"/>
  <c r="P35" i="30"/>
  <c r="AE35" i="30" s="1"/>
  <c r="F46" i="31" s="1"/>
  <c r="I46" i="31" s="1"/>
  <c r="B35" i="30"/>
  <c r="CT34" i="30"/>
  <c r="CQ34" i="30"/>
  <c r="CF34" i="30"/>
  <c r="CU34" i="30" s="1"/>
  <c r="BL34" i="30"/>
  <c r="BI34" i="30"/>
  <c r="AX34" i="30"/>
  <c r="BM34" i="30" s="1"/>
  <c r="G45" i="31" s="1"/>
  <c r="AI34" i="30"/>
  <c r="BQ34" i="30" s="1"/>
  <c r="AE34" i="30"/>
  <c r="F45" i="31" s="1"/>
  <c r="I45" i="31" s="1"/>
  <c r="AD34" i="30"/>
  <c r="AA34" i="30"/>
  <c r="P34" i="30"/>
  <c r="B34" i="30"/>
  <c r="CT33" i="30"/>
  <c r="CQ33" i="30"/>
  <c r="CF33" i="30"/>
  <c r="CU33" i="30" s="1"/>
  <c r="H44" i="31" s="1"/>
  <c r="BQ33" i="30"/>
  <c r="BM33" i="30"/>
  <c r="G44" i="31" s="1"/>
  <c r="BL33" i="30"/>
  <c r="BI33" i="30"/>
  <c r="AX33" i="30"/>
  <c r="AI33" i="30"/>
  <c r="AD33" i="30"/>
  <c r="AA33" i="30"/>
  <c r="P33" i="30"/>
  <c r="AE33" i="30" s="1"/>
  <c r="F44" i="31" s="1"/>
  <c r="I44" i="31" s="1"/>
  <c r="B33" i="30"/>
  <c r="CT32" i="30"/>
  <c r="CQ32" i="30"/>
  <c r="CF32" i="30"/>
  <c r="CU32" i="30" s="1"/>
  <c r="H43" i="31" s="1"/>
  <c r="BM32" i="30"/>
  <c r="G43" i="31" s="1"/>
  <c r="BL32" i="30"/>
  <c r="BI32" i="30"/>
  <c r="AX32" i="30"/>
  <c r="AD32" i="30"/>
  <c r="AA32" i="30"/>
  <c r="P32" i="30"/>
  <c r="AE32" i="30" s="1"/>
  <c r="F43" i="31" s="1"/>
  <c r="I43" i="31" s="1"/>
  <c r="B32" i="30"/>
  <c r="AI32" i="30" s="1"/>
  <c r="BQ32" i="30" s="1"/>
  <c r="CT31" i="30"/>
  <c r="CQ31" i="30"/>
  <c r="CF31" i="30"/>
  <c r="CU31" i="30" s="1"/>
  <c r="BM31" i="30"/>
  <c r="G42" i="31" s="1"/>
  <c r="BL31" i="30"/>
  <c r="BI31" i="30"/>
  <c r="AX31" i="30"/>
  <c r="AD31" i="30"/>
  <c r="AA31" i="30"/>
  <c r="P31" i="30"/>
  <c r="AE31" i="30" s="1"/>
  <c r="F42" i="31" s="1"/>
  <c r="I42" i="31" s="1"/>
  <c r="B31" i="30"/>
  <c r="AI31" i="30" s="1"/>
  <c r="BQ31" i="30" s="1"/>
  <c r="CU30" i="30"/>
  <c r="H41" i="31" s="1"/>
  <c r="CT30" i="30"/>
  <c r="CQ30" i="30"/>
  <c r="CF30" i="30"/>
  <c r="BL30" i="30"/>
  <c r="BI30" i="30"/>
  <c r="AX30" i="30"/>
  <c r="BM30" i="30" s="1"/>
  <c r="G41" i="31" s="1"/>
  <c r="AE30" i="30"/>
  <c r="F41" i="31" s="1"/>
  <c r="I41" i="31" s="1"/>
  <c r="AD30" i="30"/>
  <c r="AA30" i="30"/>
  <c r="P30" i="30"/>
  <c r="B30" i="30"/>
  <c r="AI30" i="30" s="1"/>
  <c r="BQ30" i="30" s="1"/>
  <c r="CT29" i="30"/>
  <c r="CQ29" i="30"/>
  <c r="CF29" i="30"/>
  <c r="CU29" i="30" s="1"/>
  <c r="H40" i="31" s="1"/>
  <c r="BL29" i="30"/>
  <c r="BI29" i="30"/>
  <c r="AX29" i="30"/>
  <c r="BM29" i="30" s="1"/>
  <c r="G40" i="31" s="1"/>
  <c r="AI29" i="30"/>
  <c r="BQ29" i="30" s="1"/>
  <c r="AD29" i="30"/>
  <c r="AA29" i="30"/>
  <c r="P29" i="30"/>
  <c r="AE29" i="30" s="1"/>
  <c r="F40" i="31" s="1"/>
  <c r="B29" i="30"/>
  <c r="CU28" i="30"/>
  <c r="H39" i="31" s="1"/>
  <c r="CT28" i="30"/>
  <c r="CQ28" i="30"/>
  <c r="CF28" i="30"/>
  <c r="BQ28" i="30"/>
  <c r="BM28" i="30"/>
  <c r="G39" i="31" s="1"/>
  <c r="BL28" i="30"/>
  <c r="BI28" i="30"/>
  <c r="AX28" i="30"/>
  <c r="AI28" i="30"/>
  <c r="AD28" i="30"/>
  <c r="AA28" i="30"/>
  <c r="P28" i="30"/>
  <c r="AE28" i="30" s="1"/>
  <c r="F39" i="31" s="1"/>
  <c r="I39" i="31" s="1"/>
  <c r="B28" i="30"/>
  <c r="CT27" i="30"/>
  <c r="CQ27" i="30"/>
  <c r="CF27" i="30"/>
  <c r="CU27" i="30" s="1"/>
  <c r="H38" i="31" s="1"/>
  <c r="BM27" i="30"/>
  <c r="G38" i="31" s="1"/>
  <c r="BL27" i="30"/>
  <c r="BI27" i="30"/>
  <c r="AX27" i="30"/>
  <c r="AD27" i="30"/>
  <c r="AA27" i="30"/>
  <c r="P27" i="30"/>
  <c r="AE27" i="30" s="1"/>
  <c r="F38" i="31" s="1"/>
  <c r="I38" i="31" s="1"/>
  <c r="B27" i="30"/>
  <c r="AI27" i="30" s="1"/>
  <c r="BQ27" i="30" s="1"/>
  <c r="CU26" i="30"/>
  <c r="H37" i="31" s="1"/>
  <c r="CT26" i="30"/>
  <c r="CQ26" i="30"/>
  <c r="CF26" i="30"/>
  <c r="BL26" i="30"/>
  <c r="BI26" i="30"/>
  <c r="AX26" i="30"/>
  <c r="BM26" i="30" s="1"/>
  <c r="G37" i="31" s="1"/>
  <c r="AI26" i="30"/>
  <c r="BQ26" i="30" s="1"/>
  <c r="AE26" i="30"/>
  <c r="F37" i="31" s="1"/>
  <c r="AD26" i="30"/>
  <c r="AA26" i="30"/>
  <c r="P26" i="30"/>
  <c r="B26" i="30"/>
  <c r="CU25" i="30"/>
  <c r="H36" i="31" s="1"/>
  <c r="CT25" i="30"/>
  <c r="CQ25" i="30"/>
  <c r="CF25" i="30"/>
  <c r="BL25" i="30"/>
  <c r="BI25" i="30"/>
  <c r="AX25" i="30"/>
  <c r="BM25" i="30" s="1"/>
  <c r="G36" i="31" s="1"/>
  <c r="AI25" i="30"/>
  <c r="BQ25" i="30" s="1"/>
  <c r="AE25" i="30"/>
  <c r="F36" i="31" s="1"/>
  <c r="I36" i="31" s="1"/>
  <c r="AD25" i="30"/>
  <c r="AA25" i="30"/>
  <c r="P25" i="30"/>
  <c r="B25" i="30"/>
  <c r="CT24" i="30"/>
  <c r="CQ24" i="30"/>
  <c r="CF24" i="30"/>
  <c r="CU24" i="30" s="1"/>
  <c r="H35" i="31" s="1"/>
  <c r="BL24" i="30"/>
  <c r="BI24" i="30"/>
  <c r="AX24" i="30"/>
  <c r="BM24" i="30" s="1"/>
  <c r="G35" i="31" s="1"/>
  <c r="AI24" i="30"/>
  <c r="BQ24" i="30" s="1"/>
  <c r="AE24" i="30"/>
  <c r="F35" i="31" s="1"/>
  <c r="I35" i="31" s="1"/>
  <c r="AD24" i="30"/>
  <c r="AA24" i="30"/>
  <c r="P24" i="30"/>
  <c r="B24" i="30"/>
  <c r="CT23" i="30"/>
  <c r="CQ23" i="30"/>
  <c r="CF23" i="30"/>
  <c r="CU23" i="30" s="1"/>
  <c r="BQ23" i="30"/>
  <c r="BM23" i="30"/>
  <c r="G34" i="31" s="1"/>
  <c r="BL23" i="30"/>
  <c r="BI23" i="30"/>
  <c r="AX23" i="30"/>
  <c r="AI23" i="30"/>
  <c r="AD23" i="30"/>
  <c r="AA23" i="30"/>
  <c r="P23" i="30"/>
  <c r="AE23" i="30" s="1"/>
  <c r="F34" i="31" s="1"/>
  <c r="I34" i="31" s="1"/>
  <c r="B23" i="30"/>
  <c r="CT22" i="30"/>
  <c r="CQ22" i="30"/>
  <c r="CF22" i="30"/>
  <c r="CU22" i="30" s="1"/>
  <c r="H33" i="31" s="1"/>
  <c r="BM22" i="30"/>
  <c r="G33" i="31" s="1"/>
  <c r="BL22" i="30"/>
  <c r="BI22" i="30"/>
  <c r="AX22" i="30"/>
  <c r="AD22" i="30"/>
  <c r="AA22" i="30"/>
  <c r="P22" i="30"/>
  <c r="AE22" i="30" s="1"/>
  <c r="F33" i="31" s="1"/>
  <c r="I33" i="31" s="1"/>
  <c r="B22" i="30"/>
  <c r="AI22" i="30" s="1"/>
  <c r="BQ22" i="30" s="1"/>
  <c r="CT21" i="30"/>
  <c r="CQ21" i="30"/>
  <c r="CF21" i="30"/>
  <c r="CU21" i="30" s="1"/>
  <c r="H32" i="31" s="1"/>
  <c r="BM21" i="30"/>
  <c r="G32" i="31" s="1"/>
  <c r="BL21" i="30"/>
  <c r="BI21" i="30"/>
  <c r="AX21" i="30"/>
  <c r="AD21" i="30"/>
  <c r="AA21" i="30"/>
  <c r="P21" i="30"/>
  <c r="AE21" i="30" s="1"/>
  <c r="F32" i="31" s="1"/>
  <c r="I32" i="31" s="1"/>
  <c r="B21" i="30"/>
  <c r="AI21" i="30" s="1"/>
  <c r="BQ21" i="30" s="1"/>
  <c r="CU20" i="30"/>
  <c r="H31" i="31" s="1"/>
  <c r="CT20" i="30"/>
  <c r="CQ20" i="30"/>
  <c r="CF20" i="30"/>
  <c r="BL20" i="30"/>
  <c r="BI20" i="30"/>
  <c r="AX20" i="30"/>
  <c r="BM20" i="30" s="1"/>
  <c r="G31" i="31" s="1"/>
  <c r="AD20" i="30"/>
  <c r="AA20" i="30"/>
  <c r="P20" i="30"/>
  <c r="AE20" i="30" s="1"/>
  <c r="F31" i="31" s="1"/>
  <c r="I31" i="31" s="1"/>
  <c r="B20" i="30"/>
  <c r="AI20" i="30" s="1"/>
  <c r="BQ20" i="30" s="1"/>
  <c r="CU19" i="30"/>
  <c r="H30" i="31" s="1"/>
  <c r="CT19" i="30"/>
  <c r="CQ19" i="30"/>
  <c r="CF19" i="30"/>
  <c r="BL19" i="30"/>
  <c r="BI19" i="30"/>
  <c r="AX19" i="30"/>
  <c r="BM19" i="30" s="1"/>
  <c r="G30" i="31" s="1"/>
  <c r="AI19" i="30"/>
  <c r="BQ19" i="30" s="1"/>
  <c r="AD19" i="30"/>
  <c r="AA19" i="30"/>
  <c r="P19" i="30"/>
  <c r="AE19" i="30" s="1"/>
  <c r="F30" i="31" s="1"/>
  <c r="I30" i="31" s="1"/>
  <c r="B19" i="30"/>
  <c r="CU18" i="30"/>
  <c r="H29" i="31" s="1"/>
  <c r="CT18" i="30"/>
  <c r="CQ18" i="30"/>
  <c r="CF18" i="30"/>
  <c r="BL18" i="30"/>
  <c r="BI18" i="30"/>
  <c r="AX18" i="30"/>
  <c r="BM18" i="30" s="1"/>
  <c r="G29" i="31" s="1"/>
  <c r="AI18" i="30"/>
  <c r="BQ18" i="30" s="1"/>
  <c r="AE18" i="30"/>
  <c r="F29" i="31" s="1"/>
  <c r="I29" i="31" s="1"/>
  <c r="AD18" i="30"/>
  <c r="AA18" i="30"/>
  <c r="P18" i="30"/>
  <c r="B18" i="30"/>
  <c r="CT17" i="30"/>
  <c r="CQ17" i="30"/>
  <c r="CF17" i="30"/>
  <c r="CU17" i="30" s="1"/>
  <c r="H28" i="31" s="1"/>
  <c r="BL17" i="30"/>
  <c r="BI17" i="30"/>
  <c r="AX17" i="30"/>
  <c r="BM17" i="30" s="1"/>
  <c r="G28" i="31" s="1"/>
  <c r="AI17" i="30"/>
  <c r="BQ17" i="30" s="1"/>
  <c r="AE17" i="30"/>
  <c r="F28" i="31" s="1"/>
  <c r="I28" i="31" s="1"/>
  <c r="AD17" i="30"/>
  <c r="AA17" i="30"/>
  <c r="P17" i="30"/>
  <c r="B17" i="30"/>
  <c r="CT16" i="30"/>
  <c r="CQ16" i="30"/>
  <c r="CF16" i="30"/>
  <c r="CU16" i="30" s="1"/>
  <c r="H27" i="31" s="1"/>
  <c r="BQ16" i="30"/>
  <c r="BL16" i="30"/>
  <c r="BI16" i="30"/>
  <c r="AX16" i="30"/>
  <c r="BM16" i="30" s="1"/>
  <c r="G27" i="31" s="1"/>
  <c r="AI16" i="30"/>
  <c r="AE16" i="30"/>
  <c r="F27" i="31" s="1"/>
  <c r="I27" i="31" s="1"/>
  <c r="AD16" i="30"/>
  <c r="AA16" i="30"/>
  <c r="P16" i="30"/>
  <c r="B16" i="30"/>
  <c r="CT15" i="30"/>
  <c r="CQ15" i="30"/>
  <c r="CF15" i="30"/>
  <c r="CU15" i="30" s="1"/>
  <c r="H26" i="31" s="1"/>
  <c r="BQ15" i="30"/>
  <c r="BM15" i="30"/>
  <c r="G26" i="31" s="1"/>
  <c r="BL15" i="30"/>
  <c r="BI15" i="30"/>
  <c r="AX15" i="30"/>
  <c r="AI15" i="30"/>
  <c r="AD15" i="30"/>
  <c r="AA15" i="30"/>
  <c r="P15" i="30"/>
  <c r="AE15" i="30" s="1"/>
  <c r="F26" i="31" s="1"/>
  <c r="I26" i="31" s="1"/>
  <c r="B15" i="30"/>
  <c r="CT14" i="30"/>
  <c r="CQ14" i="30"/>
  <c r="CF14" i="30"/>
  <c r="CU14" i="30" s="1"/>
  <c r="H25" i="31" s="1"/>
  <c r="BM14" i="30"/>
  <c r="G25" i="31" s="1"/>
  <c r="BL14" i="30"/>
  <c r="BI14" i="30"/>
  <c r="AX14" i="30"/>
  <c r="AD14" i="30"/>
  <c r="AA14" i="30"/>
  <c r="P14" i="30"/>
  <c r="AE14" i="30" s="1"/>
  <c r="F25" i="31" s="1"/>
  <c r="I25" i="31" s="1"/>
  <c r="B14" i="30"/>
  <c r="AI14" i="30" s="1"/>
  <c r="BQ14" i="30" s="1"/>
  <c r="CT13" i="30"/>
  <c r="CQ13" i="30"/>
  <c r="CF13" i="30"/>
  <c r="CU13" i="30" s="1"/>
  <c r="H24" i="31" s="1"/>
  <c r="BM13" i="30"/>
  <c r="G24" i="31" s="1"/>
  <c r="BL13" i="30"/>
  <c r="BI13" i="30"/>
  <c r="AX13" i="30"/>
  <c r="AD13" i="30"/>
  <c r="AA13" i="30"/>
  <c r="P13" i="30"/>
  <c r="AE13" i="30" s="1"/>
  <c r="F24" i="31" s="1"/>
  <c r="I24" i="31" s="1"/>
  <c r="B13" i="30"/>
  <c r="AI13" i="30" s="1"/>
  <c r="BQ13" i="30" s="1"/>
  <c r="CU12" i="30"/>
  <c r="H23" i="31" s="1"/>
  <c r="CT12" i="30"/>
  <c r="CQ12" i="30"/>
  <c r="CF12" i="30"/>
  <c r="BQ12" i="30"/>
  <c r="BL12" i="30"/>
  <c r="BI12" i="30"/>
  <c r="AX12" i="30"/>
  <c r="BM12" i="30" s="1"/>
  <c r="G23" i="31" s="1"/>
  <c r="AD12" i="30"/>
  <c r="AA12" i="30"/>
  <c r="P12" i="30"/>
  <c r="AE12" i="30" s="1"/>
  <c r="F23" i="31" s="1"/>
  <c r="I23" i="31" s="1"/>
  <c r="B12" i="30"/>
  <c r="AI12" i="30" s="1"/>
  <c r="CU11" i="30"/>
  <c r="H22" i="31" s="1"/>
  <c r="CT11" i="30"/>
  <c r="CQ11" i="30"/>
  <c r="CF11" i="30"/>
  <c r="BL11" i="30"/>
  <c r="BI11" i="30"/>
  <c r="AX11" i="30"/>
  <c r="BM11" i="30" s="1"/>
  <c r="G22" i="31" s="1"/>
  <c r="AI11" i="30"/>
  <c r="BQ11" i="30" s="1"/>
  <c r="AD11" i="30"/>
  <c r="AA11" i="30"/>
  <c r="P11" i="30"/>
  <c r="AE11" i="30" s="1"/>
  <c r="F22" i="31" s="1"/>
  <c r="I22" i="31" s="1"/>
  <c r="B11" i="30"/>
  <c r="CU10" i="30"/>
  <c r="H21" i="31" s="1"/>
  <c r="CT10" i="30"/>
  <c r="CQ10" i="30"/>
  <c r="CF10" i="30"/>
  <c r="BL10" i="30"/>
  <c r="BI10" i="30"/>
  <c r="AX10" i="30"/>
  <c r="BM10" i="30" s="1"/>
  <c r="G21" i="31" s="1"/>
  <c r="AE10" i="30"/>
  <c r="F21" i="31" s="1"/>
  <c r="I21" i="31" s="1"/>
  <c r="AD10" i="30"/>
  <c r="AA10" i="30"/>
  <c r="P10" i="30"/>
  <c r="B10" i="30"/>
  <c r="AI10" i="30" s="1"/>
  <c r="BQ10" i="30" s="1"/>
  <c r="CU9" i="30"/>
  <c r="H20" i="31" s="1"/>
  <c r="CT9" i="30"/>
  <c r="CQ9" i="30"/>
  <c r="CF9" i="30"/>
  <c r="BL9" i="30"/>
  <c r="BI9" i="30"/>
  <c r="AX9" i="30"/>
  <c r="BM9" i="30" s="1"/>
  <c r="G20" i="31" s="1"/>
  <c r="AI9" i="30"/>
  <c r="BQ9" i="30" s="1"/>
  <c r="AE9" i="30"/>
  <c r="F20" i="31" s="1"/>
  <c r="I20" i="31" s="1"/>
  <c r="AD9" i="30"/>
  <c r="AA9" i="30"/>
  <c r="P9" i="30"/>
  <c r="B9" i="30"/>
  <c r="CT8" i="30"/>
  <c r="CQ8" i="30"/>
  <c r="CF8" i="30"/>
  <c r="CU8" i="30" s="1"/>
  <c r="H19" i="31" s="1"/>
  <c r="BQ8" i="30"/>
  <c r="BL8" i="30"/>
  <c r="BI8" i="30"/>
  <c r="AX8" i="30"/>
  <c r="BM8" i="30" s="1"/>
  <c r="G19" i="31" s="1"/>
  <c r="AI8" i="30"/>
  <c r="AE8" i="30"/>
  <c r="F19" i="31" s="1"/>
  <c r="I19" i="31" s="1"/>
  <c r="AD8" i="30"/>
  <c r="AA8" i="30"/>
  <c r="P8" i="30"/>
  <c r="B8" i="30"/>
  <c r="CT7" i="30"/>
  <c r="CQ7" i="30"/>
  <c r="CF7" i="30"/>
  <c r="CU7" i="30" s="1"/>
  <c r="BQ7" i="30"/>
  <c r="BM7" i="30"/>
  <c r="G18" i="31" s="1"/>
  <c r="BL7" i="30"/>
  <c r="BI7" i="30"/>
  <c r="AX7" i="30"/>
  <c r="AI7" i="30"/>
  <c r="AD7" i="30"/>
  <c r="AA7" i="30"/>
  <c r="P7" i="30"/>
  <c r="AE7" i="30" s="1"/>
  <c r="F18" i="31" s="1"/>
  <c r="I18" i="31" s="1"/>
  <c r="B7" i="30"/>
  <c r="CT6" i="30"/>
  <c r="CQ6" i="30"/>
  <c r="CF6" i="30"/>
  <c r="CU6" i="30" s="1"/>
  <c r="H17" i="31" s="1"/>
  <c r="BM6" i="30"/>
  <c r="G17" i="31" s="1"/>
  <c r="BL6" i="30"/>
  <c r="BI6" i="30"/>
  <c r="AX6" i="30"/>
  <c r="AE6" i="30"/>
  <c r="F17" i="31" s="1"/>
  <c r="I17" i="31" s="1"/>
  <c r="AD6" i="30"/>
  <c r="AA6" i="30"/>
  <c r="P6" i="30"/>
  <c r="B6" i="30"/>
  <c r="AI6" i="30" s="1"/>
  <c r="BQ6" i="30" s="1"/>
  <c r="CT5" i="30"/>
  <c r="CQ5" i="30"/>
  <c r="CF5" i="30"/>
  <c r="CU5" i="30" s="1"/>
  <c r="H16" i="31" s="1"/>
  <c r="BM5" i="30"/>
  <c r="G16" i="31" s="1"/>
  <c r="BL5" i="30"/>
  <c r="BI5" i="30"/>
  <c r="AX5" i="30"/>
  <c r="AD5" i="30"/>
  <c r="AA5" i="30"/>
  <c r="P5" i="30"/>
  <c r="AE5" i="30" s="1"/>
  <c r="F16" i="31" s="1"/>
  <c r="I16" i="31" s="1"/>
  <c r="B5" i="30"/>
  <c r="AI5" i="30" s="1"/>
  <c r="BQ5" i="30" s="1"/>
  <c r="C55" i="29"/>
  <c r="C54" i="29"/>
  <c r="C53" i="29"/>
  <c r="C52" i="29"/>
  <c r="C51" i="29"/>
  <c r="F50" i="29"/>
  <c r="I50" i="29" s="1"/>
  <c r="C50" i="29"/>
  <c r="C49" i="29"/>
  <c r="G48" i="29"/>
  <c r="F48" i="29"/>
  <c r="I48" i="29" s="1"/>
  <c r="C48" i="29"/>
  <c r="F47" i="29"/>
  <c r="I47" i="29" s="1"/>
  <c r="C47" i="29"/>
  <c r="C46" i="29"/>
  <c r="I45" i="29"/>
  <c r="C45" i="29"/>
  <c r="C44" i="29"/>
  <c r="C43" i="29"/>
  <c r="C42" i="29"/>
  <c r="C41" i="29"/>
  <c r="C40" i="29"/>
  <c r="C39" i="29"/>
  <c r="C38" i="29"/>
  <c r="C37" i="29"/>
  <c r="C36" i="29"/>
  <c r="C35" i="29"/>
  <c r="C34" i="29"/>
  <c r="C33" i="29"/>
  <c r="C32" i="29"/>
  <c r="F31" i="29"/>
  <c r="I31" i="29" s="1"/>
  <c r="C31" i="29"/>
  <c r="I30" i="29"/>
  <c r="H30" i="29"/>
  <c r="C30" i="29"/>
  <c r="C29" i="29"/>
  <c r="C28" i="29"/>
  <c r="C27" i="29"/>
  <c r="C26" i="29"/>
  <c r="C25" i="29"/>
  <c r="C24" i="29"/>
  <c r="C23" i="29"/>
  <c r="C22" i="29"/>
  <c r="C21" i="29"/>
  <c r="C20" i="29"/>
  <c r="C19" i="29"/>
  <c r="H18" i="29"/>
  <c r="C18" i="29"/>
  <c r="C17" i="29"/>
  <c r="C16" i="29"/>
  <c r="B44" i="28"/>
  <c r="B43" i="28"/>
  <c r="CF42" i="28"/>
  <c r="B42" i="28"/>
  <c r="CT41" i="28"/>
  <c r="CQ41" i="28"/>
  <c r="CF41" i="28"/>
  <c r="CU41" i="28" s="1"/>
  <c r="H52" i="29" s="1"/>
  <c r="BM41" i="28"/>
  <c r="G52" i="29" s="1"/>
  <c r="BL41" i="28"/>
  <c r="BI41" i="28"/>
  <c r="AX41" i="28"/>
  <c r="AD41" i="28"/>
  <c r="AA41" i="28"/>
  <c r="P41" i="28"/>
  <c r="AE41" i="28" s="1"/>
  <c r="F52" i="29" s="1"/>
  <c r="I52" i="29" s="1"/>
  <c r="B41" i="28"/>
  <c r="CU40" i="28"/>
  <c r="H51" i="29" s="1"/>
  <c r="CT40" i="28"/>
  <c r="CQ40" i="28"/>
  <c r="CF40" i="28"/>
  <c r="BQ40" i="28"/>
  <c r="BL40" i="28"/>
  <c r="BI40" i="28"/>
  <c r="AX40" i="28"/>
  <c r="BM40" i="28" s="1"/>
  <c r="G51" i="29" s="1"/>
  <c r="AD40" i="28"/>
  <c r="AA40" i="28"/>
  <c r="P40" i="28"/>
  <c r="AE40" i="28" s="1"/>
  <c r="F51" i="29" s="1"/>
  <c r="I51" i="29" s="1"/>
  <c r="B40" i="28"/>
  <c r="AI40" i="28" s="1"/>
  <c r="CU39" i="28"/>
  <c r="H50" i="29" s="1"/>
  <c r="CT39" i="28"/>
  <c r="CQ39" i="28"/>
  <c r="CF39" i="28"/>
  <c r="BL39" i="28"/>
  <c r="BI39" i="28"/>
  <c r="AX39" i="28"/>
  <c r="BM39" i="28" s="1"/>
  <c r="G50" i="29" s="1"/>
  <c r="AI39" i="28"/>
  <c r="AD39" i="28"/>
  <c r="AA39" i="28"/>
  <c r="P39" i="28"/>
  <c r="AE39" i="28" s="1"/>
  <c r="B39" i="28"/>
  <c r="BQ39" i="28" s="1"/>
  <c r="CU38" i="28"/>
  <c r="H49" i="29" s="1"/>
  <c r="CT38" i="28"/>
  <c r="CQ38" i="28"/>
  <c r="CF38" i="28"/>
  <c r="BL38" i="28"/>
  <c r="BI38" i="28"/>
  <c r="AX38" i="28"/>
  <c r="BM38" i="28" s="1"/>
  <c r="G49" i="29" s="1"/>
  <c r="AI38" i="28"/>
  <c r="AE38" i="28"/>
  <c r="F49" i="29" s="1"/>
  <c r="I49" i="29" s="1"/>
  <c r="AD38" i="28"/>
  <c r="AA38" i="28"/>
  <c r="P38" i="28"/>
  <c r="B38" i="28"/>
  <c r="BQ38" i="28" s="1"/>
  <c r="CT37" i="28"/>
  <c r="CQ37" i="28"/>
  <c r="CF37" i="28"/>
  <c r="CU37" i="28" s="1"/>
  <c r="H48" i="29" s="1"/>
  <c r="BL37" i="28"/>
  <c r="BI37" i="28"/>
  <c r="AX37" i="28"/>
  <c r="BM37" i="28" s="1"/>
  <c r="AI37" i="28"/>
  <c r="AE37" i="28"/>
  <c r="AD37" i="28"/>
  <c r="AA37" i="28"/>
  <c r="P37" i="28"/>
  <c r="B37" i="28"/>
  <c r="BQ37" i="28" s="1"/>
  <c r="CT36" i="28"/>
  <c r="CQ36" i="28"/>
  <c r="CF36" i="28"/>
  <c r="CU36" i="28" s="1"/>
  <c r="H47" i="29" s="1"/>
  <c r="BQ36" i="28"/>
  <c r="BL36" i="28"/>
  <c r="BI36" i="28"/>
  <c r="AX36" i="28"/>
  <c r="BM36" i="28" s="1"/>
  <c r="G47" i="29" s="1"/>
  <c r="AI36" i="28"/>
  <c r="AE36" i="28"/>
  <c r="AD36" i="28"/>
  <c r="AA36" i="28"/>
  <c r="P36" i="28"/>
  <c r="B36" i="28"/>
  <c r="CT35" i="28"/>
  <c r="CQ35" i="28"/>
  <c r="CF35" i="28"/>
  <c r="CU35" i="28" s="1"/>
  <c r="H46" i="29" s="1"/>
  <c r="BQ35" i="28"/>
  <c r="BM35" i="28"/>
  <c r="G46" i="29" s="1"/>
  <c r="BL35" i="28"/>
  <c r="BI35" i="28"/>
  <c r="AX35" i="28"/>
  <c r="AI35" i="28"/>
  <c r="AD35" i="28"/>
  <c r="AA35" i="28"/>
  <c r="P35" i="28"/>
  <c r="AE35" i="28" s="1"/>
  <c r="F46" i="29" s="1"/>
  <c r="I46" i="29" s="1"/>
  <c r="B35" i="28"/>
  <c r="CT34" i="28"/>
  <c r="CQ34" i="28"/>
  <c r="CF34" i="28"/>
  <c r="CU34" i="28" s="1"/>
  <c r="H45" i="29" s="1"/>
  <c r="BM34" i="28"/>
  <c r="G45" i="29" s="1"/>
  <c r="BL34" i="28"/>
  <c r="BI34" i="28"/>
  <c r="AX34" i="28"/>
  <c r="AD34" i="28"/>
  <c r="AA34" i="28"/>
  <c r="P34" i="28"/>
  <c r="AE34" i="28" s="1"/>
  <c r="F45" i="29" s="1"/>
  <c r="B34" i="28"/>
  <c r="CT33" i="28"/>
  <c r="CQ33" i="28"/>
  <c r="CF33" i="28"/>
  <c r="CU33" i="28" s="1"/>
  <c r="H44" i="29" s="1"/>
  <c r="BM33" i="28"/>
  <c r="G44" i="29" s="1"/>
  <c r="BL33" i="28"/>
  <c r="BI33" i="28"/>
  <c r="AX33" i="28"/>
  <c r="AD33" i="28"/>
  <c r="AA33" i="28"/>
  <c r="P33" i="28"/>
  <c r="AE33" i="28" s="1"/>
  <c r="F44" i="29" s="1"/>
  <c r="I44" i="29" s="1"/>
  <c r="B33" i="28"/>
  <c r="CU32" i="28"/>
  <c r="H43" i="29" s="1"/>
  <c r="CT32" i="28"/>
  <c r="CQ32" i="28"/>
  <c r="CF32" i="28"/>
  <c r="BQ32" i="28"/>
  <c r="BL32" i="28"/>
  <c r="BI32" i="28"/>
  <c r="AX32" i="28"/>
  <c r="BM32" i="28" s="1"/>
  <c r="G43" i="29" s="1"/>
  <c r="AD32" i="28"/>
  <c r="AA32" i="28"/>
  <c r="P32" i="28"/>
  <c r="AE32" i="28" s="1"/>
  <c r="F43" i="29" s="1"/>
  <c r="I43" i="29" s="1"/>
  <c r="B32" i="28"/>
  <c r="AI32" i="28" s="1"/>
  <c r="CU31" i="28"/>
  <c r="H42" i="29" s="1"/>
  <c r="CT31" i="28"/>
  <c r="CQ31" i="28"/>
  <c r="CF31" i="28"/>
  <c r="BL31" i="28"/>
  <c r="BI31" i="28"/>
  <c r="AX31" i="28"/>
  <c r="BM31" i="28" s="1"/>
  <c r="G42" i="29" s="1"/>
  <c r="AI31" i="28"/>
  <c r="AD31" i="28"/>
  <c r="AA31" i="28"/>
  <c r="P31" i="28"/>
  <c r="AE31" i="28" s="1"/>
  <c r="F42" i="29" s="1"/>
  <c r="I42" i="29" s="1"/>
  <c r="B31" i="28"/>
  <c r="BQ31" i="28" s="1"/>
  <c r="CU30" i="28"/>
  <c r="H41" i="29" s="1"/>
  <c r="CT30" i="28"/>
  <c r="CQ30" i="28"/>
  <c r="CF30" i="28"/>
  <c r="BL30" i="28"/>
  <c r="BI30" i="28"/>
  <c r="AX30" i="28"/>
  <c r="BM30" i="28" s="1"/>
  <c r="G41" i="29" s="1"/>
  <c r="AI30" i="28"/>
  <c r="AE30" i="28"/>
  <c r="F41" i="29" s="1"/>
  <c r="I41" i="29" s="1"/>
  <c r="AD30" i="28"/>
  <c r="AA30" i="28"/>
  <c r="P30" i="28"/>
  <c r="B30" i="28"/>
  <c r="BQ30" i="28" s="1"/>
  <c r="CT29" i="28"/>
  <c r="CQ29" i="28"/>
  <c r="CF29" i="28"/>
  <c r="CU29" i="28" s="1"/>
  <c r="H40" i="29" s="1"/>
  <c r="BQ29" i="28"/>
  <c r="BL29" i="28"/>
  <c r="BI29" i="28"/>
  <c r="AX29" i="28"/>
  <c r="BM29" i="28" s="1"/>
  <c r="G40" i="29" s="1"/>
  <c r="AI29" i="28"/>
  <c r="AE29" i="28"/>
  <c r="F40" i="29" s="1"/>
  <c r="I40" i="29" s="1"/>
  <c r="AD29" i="28"/>
  <c r="AA29" i="28"/>
  <c r="P29" i="28"/>
  <c r="B29" i="28"/>
  <c r="CT28" i="28"/>
  <c r="CQ28" i="28"/>
  <c r="CF28" i="28"/>
  <c r="CU28" i="28" s="1"/>
  <c r="H39" i="29" s="1"/>
  <c r="BQ28" i="28"/>
  <c r="BL28" i="28"/>
  <c r="BI28" i="28"/>
  <c r="AX28" i="28"/>
  <c r="BM28" i="28" s="1"/>
  <c r="G39" i="29" s="1"/>
  <c r="AI28" i="28"/>
  <c r="AE28" i="28"/>
  <c r="F39" i="29" s="1"/>
  <c r="I39" i="29" s="1"/>
  <c r="AD28" i="28"/>
  <c r="AA28" i="28"/>
  <c r="P28" i="28"/>
  <c r="B28" i="28"/>
  <c r="CT27" i="28"/>
  <c r="CQ27" i="28"/>
  <c r="CF27" i="28"/>
  <c r="CU27" i="28" s="1"/>
  <c r="H38" i="29" s="1"/>
  <c r="BQ27" i="28"/>
  <c r="BM27" i="28"/>
  <c r="G38" i="29" s="1"/>
  <c r="BL27" i="28"/>
  <c r="BI27" i="28"/>
  <c r="AX27" i="28"/>
  <c r="AI27" i="28"/>
  <c r="AD27" i="28"/>
  <c r="AA27" i="28"/>
  <c r="P27" i="28"/>
  <c r="AE27" i="28" s="1"/>
  <c r="F38" i="29" s="1"/>
  <c r="I38" i="29" s="1"/>
  <c r="B27" i="28"/>
  <c r="CT26" i="28"/>
  <c r="CQ26" i="28"/>
  <c r="CF26" i="28"/>
  <c r="CU26" i="28" s="1"/>
  <c r="H37" i="29" s="1"/>
  <c r="BM26" i="28"/>
  <c r="G37" i="29" s="1"/>
  <c r="BL26" i="28"/>
  <c r="BI26" i="28"/>
  <c r="AX26" i="28"/>
  <c r="AD26" i="28"/>
  <c r="AA26" i="28"/>
  <c r="P26" i="28"/>
  <c r="AE26" i="28" s="1"/>
  <c r="F37" i="29" s="1"/>
  <c r="I37" i="29" s="1"/>
  <c r="B26" i="28"/>
  <c r="CT25" i="28"/>
  <c r="CQ25" i="28"/>
  <c r="CF25" i="28"/>
  <c r="CU25" i="28" s="1"/>
  <c r="H36" i="29" s="1"/>
  <c r="BM25" i="28"/>
  <c r="G36" i="29" s="1"/>
  <c r="BL25" i="28"/>
  <c r="BI25" i="28"/>
  <c r="AX25" i="28"/>
  <c r="AD25" i="28"/>
  <c r="AA25" i="28"/>
  <c r="P25" i="28"/>
  <c r="AE25" i="28" s="1"/>
  <c r="F36" i="29" s="1"/>
  <c r="I36" i="29" s="1"/>
  <c r="B25" i="28"/>
  <c r="CU24" i="28"/>
  <c r="H35" i="29" s="1"/>
  <c r="CT24" i="28"/>
  <c r="CQ24" i="28"/>
  <c r="CF24" i="28"/>
  <c r="BL24" i="28"/>
  <c r="BI24" i="28"/>
  <c r="AX24" i="28"/>
  <c r="BM24" i="28" s="1"/>
  <c r="G35" i="29" s="1"/>
  <c r="AD24" i="28"/>
  <c r="AA24" i="28"/>
  <c r="P24" i="28"/>
  <c r="AE24" i="28" s="1"/>
  <c r="F35" i="29" s="1"/>
  <c r="I35" i="29" s="1"/>
  <c r="B24" i="28"/>
  <c r="AI24" i="28" s="1"/>
  <c r="CU23" i="28"/>
  <c r="H34" i="29" s="1"/>
  <c r="CT23" i="28"/>
  <c r="CQ23" i="28"/>
  <c r="CF23" i="28"/>
  <c r="BL23" i="28"/>
  <c r="BI23" i="28"/>
  <c r="AX23" i="28"/>
  <c r="BM23" i="28" s="1"/>
  <c r="G34" i="29" s="1"/>
  <c r="AI23" i="28"/>
  <c r="AD23" i="28"/>
  <c r="AA23" i="28"/>
  <c r="P23" i="28"/>
  <c r="AE23" i="28" s="1"/>
  <c r="F34" i="29" s="1"/>
  <c r="I34" i="29" s="1"/>
  <c r="B23" i="28"/>
  <c r="BQ23" i="28" s="1"/>
  <c r="CU22" i="28"/>
  <c r="H33" i="29" s="1"/>
  <c r="CT22" i="28"/>
  <c r="CQ22" i="28"/>
  <c r="CF22" i="28"/>
  <c r="BL22" i="28"/>
  <c r="BI22" i="28"/>
  <c r="AX22" i="28"/>
  <c r="BM22" i="28" s="1"/>
  <c r="G33" i="29" s="1"/>
  <c r="AI22" i="28"/>
  <c r="AE22" i="28"/>
  <c r="F33" i="29" s="1"/>
  <c r="I33" i="29" s="1"/>
  <c r="AD22" i="28"/>
  <c r="AA22" i="28"/>
  <c r="P22" i="28"/>
  <c r="B22" i="28"/>
  <c r="BQ22" i="28" s="1"/>
  <c r="CT21" i="28"/>
  <c r="CQ21" i="28"/>
  <c r="CF21" i="28"/>
  <c r="CU21" i="28" s="1"/>
  <c r="H32" i="29" s="1"/>
  <c r="BL21" i="28"/>
  <c r="BI21" i="28"/>
  <c r="AX21" i="28"/>
  <c r="BM21" i="28" s="1"/>
  <c r="G32" i="29" s="1"/>
  <c r="AI21" i="28"/>
  <c r="AE21" i="28"/>
  <c r="F32" i="29" s="1"/>
  <c r="I32" i="29" s="1"/>
  <c r="AD21" i="28"/>
  <c r="AA21" i="28"/>
  <c r="P21" i="28"/>
  <c r="B21" i="28"/>
  <c r="BQ21" i="28" s="1"/>
  <c r="CT20" i="28"/>
  <c r="CQ20" i="28"/>
  <c r="CF20" i="28"/>
  <c r="CU20" i="28" s="1"/>
  <c r="H31" i="29" s="1"/>
  <c r="BQ20" i="28"/>
  <c r="BL20" i="28"/>
  <c r="BI20" i="28"/>
  <c r="AX20" i="28"/>
  <c r="BM20" i="28" s="1"/>
  <c r="G31" i="29" s="1"/>
  <c r="AI20" i="28"/>
  <c r="AE20" i="28"/>
  <c r="AD20" i="28"/>
  <c r="AA20" i="28"/>
  <c r="P20" i="28"/>
  <c r="B20" i="28"/>
  <c r="CT19" i="28"/>
  <c r="CQ19" i="28"/>
  <c r="CF19" i="28"/>
  <c r="CU19" i="28" s="1"/>
  <c r="BQ19" i="28"/>
  <c r="BM19" i="28"/>
  <c r="G30" i="29" s="1"/>
  <c r="BL19" i="28"/>
  <c r="BI19" i="28"/>
  <c r="AX19" i="28"/>
  <c r="AI19" i="28"/>
  <c r="AD19" i="28"/>
  <c r="AA19" i="28"/>
  <c r="P19" i="28"/>
  <c r="AE19" i="28" s="1"/>
  <c r="F30" i="29" s="1"/>
  <c r="B19" i="28"/>
  <c r="CT18" i="28"/>
  <c r="CQ18" i="28"/>
  <c r="CF18" i="28"/>
  <c r="CU18" i="28" s="1"/>
  <c r="H29" i="29" s="1"/>
  <c r="BM18" i="28"/>
  <c r="G29" i="29" s="1"/>
  <c r="BL18" i="28"/>
  <c r="BI18" i="28"/>
  <c r="AX18" i="28"/>
  <c r="AD18" i="28"/>
  <c r="AA18" i="28"/>
  <c r="P18" i="28"/>
  <c r="AE18" i="28" s="1"/>
  <c r="F29" i="29" s="1"/>
  <c r="I29" i="29" s="1"/>
  <c r="B18" i="28"/>
  <c r="CT17" i="28"/>
  <c r="CQ17" i="28"/>
  <c r="CF17" i="28"/>
  <c r="CU17" i="28" s="1"/>
  <c r="H28" i="29" s="1"/>
  <c r="BM17" i="28"/>
  <c r="G28" i="29" s="1"/>
  <c r="BL17" i="28"/>
  <c r="BI17" i="28"/>
  <c r="AX17" i="28"/>
  <c r="AD17" i="28"/>
  <c r="AA17" i="28"/>
  <c r="P17" i="28"/>
  <c r="AE17" i="28" s="1"/>
  <c r="F28" i="29" s="1"/>
  <c r="I28" i="29" s="1"/>
  <c r="B17" i="28"/>
  <c r="CU16" i="28"/>
  <c r="H27" i="29" s="1"/>
  <c r="CT16" i="28"/>
  <c r="CQ16" i="28"/>
  <c r="CF16" i="28"/>
  <c r="BL16" i="28"/>
  <c r="BI16" i="28"/>
  <c r="AX16" i="28"/>
  <c r="BM16" i="28" s="1"/>
  <c r="G27" i="29" s="1"/>
  <c r="AD16" i="28"/>
  <c r="AA16" i="28"/>
  <c r="P16" i="28"/>
  <c r="AE16" i="28" s="1"/>
  <c r="F27" i="29" s="1"/>
  <c r="I27" i="29" s="1"/>
  <c r="B16" i="28"/>
  <c r="AI16" i="28" s="1"/>
  <c r="CU15" i="28"/>
  <c r="H26" i="29" s="1"/>
  <c r="CT15" i="28"/>
  <c r="CQ15" i="28"/>
  <c r="CF15" i="28"/>
  <c r="BL15" i="28"/>
  <c r="BI15" i="28"/>
  <c r="AX15" i="28"/>
  <c r="BM15" i="28" s="1"/>
  <c r="G26" i="29" s="1"/>
  <c r="AI15" i="28"/>
  <c r="AD15" i="28"/>
  <c r="AA15" i="28"/>
  <c r="P15" i="28"/>
  <c r="AE15" i="28" s="1"/>
  <c r="F26" i="29" s="1"/>
  <c r="I26" i="29" s="1"/>
  <c r="B15" i="28"/>
  <c r="BQ15" i="28" s="1"/>
  <c r="CU14" i="28"/>
  <c r="H25" i="29" s="1"/>
  <c r="CT14" i="28"/>
  <c r="CQ14" i="28"/>
  <c r="CF14" i="28"/>
  <c r="BL14" i="28"/>
  <c r="BI14" i="28"/>
  <c r="AX14" i="28"/>
  <c r="BM14" i="28" s="1"/>
  <c r="G25" i="29" s="1"/>
  <c r="AI14" i="28"/>
  <c r="AE14" i="28"/>
  <c r="F25" i="29" s="1"/>
  <c r="I25" i="29" s="1"/>
  <c r="AD14" i="28"/>
  <c r="AA14" i="28"/>
  <c r="P14" i="28"/>
  <c r="B14" i="28"/>
  <c r="BQ14" i="28" s="1"/>
  <c r="CT13" i="28"/>
  <c r="CQ13" i="28"/>
  <c r="CF13" i="28"/>
  <c r="CU13" i="28" s="1"/>
  <c r="H24" i="29" s="1"/>
  <c r="BL13" i="28"/>
  <c r="BI13" i="28"/>
  <c r="AX13" i="28"/>
  <c r="BM13" i="28" s="1"/>
  <c r="G24" i="29" s="1"/>
  <c r="AI13" i="28"/>
  <c r="AE13" i="28"/>
  <c r="F24" i="29" s="1"/>
  <c r="I24" i="29" s="1"/>
  <c r="AD13" i="28"/>
  <c r="AA13" i="28"/>
  <c r="P13" i="28"/>
  <c r="B13" i="28"/>
  <c r="BQ13" i="28" s="1"/>
  <c r="CT12" i="28"/>
  <c r="CQ12" i="28"/>
  <c r="CF12" i="28"/>
  <c r="CU12" i="28" s="1"/>
  <c r="H23" i="29" s="1"/>
  <c r="BQ12" i="28"/>
  <c r="BL12" i="28"/>
  <c r="BI12" i="28"/>
  <c r="AX12" i="28"/>
  <c r="BM12" i="28" s="1"/>
  <c r="G23" i="29" s="1"/>
  <c r="AI12" i="28"/>
  <c r="AE12" i="28"/>
  <c r="F23" i="29" s="1"/>
  <c r="I23" i="29" s="1"/>
  <c r="AD12" i="28"/>
  <c r="AA12" i="28"/>
  <c r="P12" i="28"/>
  <c r="B12" i="28"/>
  <c r="CT11" i="28"/>
  <c r="CQ11" i="28"/>
  <c r="CF11" i="28"/>
  <c r="CU11" i="28" s="1"/>
  <c r="H22" i="29" s="1"/>
  <c r="BQ11" i="28"/>
  <c r="BM11" i="28"/>
  <c r="G22" i="29" s="1"/>
  <c r="BL11" i="28"/>
  <c r="BI11" i="28"/>
  <c r="AX11" i="28"/>
  <c r="AI11" i="28"/>
  <c r="AD11" i="28"/>
  <c r="AA11" i="28"/>
  <c r="P11" i="28"/>
  <c r="AE11" i="28" s="1"/>
  <c r="F22" i="29" s="1"/>
  <c r="I22" i="29" s="1"/>
  <c r="B11" i="28"/>
  <c r="CT10" i="28"/>
  <c r="CQ10" i="28"/>
  <c r="CF10" i="28"/>
  <c r="CU10" i="28" s="1"/>
  <c r="H21" i="29" s="1"/>
  <c r="BM10" i="28"/>
  <c r="G21" i="29" s="1"/>
  <c r="BL10" i="28"/>
  <c r="BI10" i="28"/>
  <c r="AX10" i="28"/>
  <c r="AD10" i="28"/>
  <c r="AA10" i="28"/>
  <c r="P10" i="28"/>
  <c r="AE10" i="28" s="1"/>
  <c r="F21" i="29" s="1"/>
  <c r="I21" i="29" s="1"/>
  <c r="B10" i="28"/>
  <c r="CT9" i="28"/>
  <c r="CQ9" i="28"/>
  <c r="CF9" i="28"/>
  <c r="CU9" i="28" s="1"/>
  <c r="H20" i="29" s="1"/>
  <c r="BM9" i="28"/>
  <c r="G20" i="29" s="1"/>
  <c r="BL9" i="28"/>
  <c r="BI9" i="28"/>
  <c r="AX9" i="28"/>
  <c r="AD9" i="28"/>
  <c r="AA9" i="28"/>
  <c r="P9" i="28"/>
  <c r="AE9" i="28" s="1"/>
  <c r="F20" i="29" s="1"/>
  <c r="I20" i="29" s="1"/>
  <c r="B9" i="28"/>
  <c r="CU8" i="28"/>
  <c r="H19" i="29" s="1"/>
  <c r="CT8" i="28"/>
  <c r="CQ8" i="28"/>
  <c r="CF8" i="28"/>
  <c r="BL8" i="28"/>
  <c r="BI8" i="28"/>
  <c r="AX8" i="28"/>
  <c r="BM8" i="28" s="1"/>
  <c r="G19" i="29" s="1"/>
  <c r="AD8" i="28"/>
  <c r="AA8" i="28"/>
  <c r="P8" i="28"/>
  <c r="AE8" i="28" s="1"/>
  <c r="F19" i="29" s="1"/>
  <c r="I19" i="29" s="1"/>
  <c r="B8" i="28"/>
  <c r="AI8" i="28" s="1"/>
  <c r="CU7" i="28"/>
  <c r="CT7" i="28"/>
  <c r="CQ7" i="28"/>
  <c r="CF7" i="28"/>
  <c r="BL7" i="28"/>
  <c r="BI7" i="28"/>
  <c r="AX7" i="28"/>
  <c r="BM7" i="28" s="1"/>
  <c r="G18" i="29" s="1"/>
  <c r="AI7" i="28"/>
  <c r="AD7" i="28"/>
  <c r="AA7" i="28"/>
  <c r="P7" i="28"/>
  <c r="AE7" i="28" s="1"/>
  <c r="F18" i="29" s="1"/>
  <c r="I18" i="29" s="1"/>
  <c r="B7" i="28"/>
  <c r="BQ7" i="28" s="1"/>
  <c r="CU6" i="28"/>
  <c r="H17" i="29" s="1"/>
  <c r="CT6" i="28"/>
  <c r="CQ6" i="28"/>
  <c r="CF6" i="28"/>
  <c r="BL6" i="28"/>
  <c r="BI6" i="28"/>
  <c r="AX6" i="28"/>
  <c r="BM6" i="28" s="1"/>
  <c r="G17" i="29" s="1"/>
  <c r="AI6" i="28"/>
  <c r="AE6" i="28"/>
  <c r="F17" i="29" s="1"/>
  <c r="I17" i="29" s="1"/>
  <c r="AD6" i="28"/>
  <c r="AA6" i="28"/>
  <c r="P6" i="28"/>
  <c r="B6" i="28"/>
  <c r="BQ6" i="28" s="1"/>
  <c r="CT5" i="28"/>
  <c r="CQ5" i="28"/>
  <c r="CF5" i="28"/>
  <c r="CU5" i="28" s="1"/>
  <c r="H16" i="29" s="1"/>
  <c r="BQ5" i="28"/>
  <c r="BL5" i="28"/>
  <c r="BI5" i="28"/>
  <c r="AX5" i="28"/>
  <c r="BM5" i="28" s="1"/>
  <c r="G16" i="29" s="1"/>
  <c r="AI5" i="28"/>
  <c r="AE5" i="28"/>
  <c r="F16" i="29" s="1"/>
  <c r="I16" i="29" s="1"/>
  <c r="AD5" i="28"/>
  <c r="AA5" i="28"/>
  <c r="P5" i="28"/>
  <c r="B5" i="28"/>
  <c r="C55" i="27"/>
  <c r="C54" i="27"/>
  <c r="C53" i="27"/>
  <c r="C52" i="27"/>
  <c r="C51" i="27"/>
  <c r="C50" i="27"/>
  <c r="F49" i="27"/>
  <c r="I49" i="27" s="1"/>
  <c r="C49" i="27"/>
  <c r="C48" i="27"/>
  <c r="G47" i="27"/>
  <c r="C47" i="27"/>
  <c r="C46" i="27"/>
  <c r="C45" i="27"/>
  <c r="C44" i="27"/>
  <c r="C43" i="27"/>
  <c r="C42" i="27"/>
  <c r="C41" i="27"/>
  <c r="C40" i="27"/>
  <c r="I39" i="27"/>
  <c r="C39" i="27"/>
  <c r="C38" i="27"/>
  <c r="I37" i="27"/>
  <c r="C37" i="27"/>
  <c r="G36" i="27"/>
  <c r="F36" i="27"/>
  <c r="I36" i="27" s="1"/>
  <c r="C36" i="27"/>
  <c r="C35" i="27"/>
  <c r="I34" i="27"/>
  <c r="C34" i="27"/>
  <c r="C33" i="27"/>
  <c r="C32" i="27"/>
  <c r="C31" i="27"/>
  <c r="C30" i="27"/>
  <c r="C29" i="27"/>
  <c r="F28" i="27"/>
  <c r="I28" i="27" s="1"/>
  <c r="C28" i="27"/>
  <c r="C27" i="27"/>
  <c r="C26" i="27"/>
  <c r="G25" i="27"/>
  <c r="F25" i="27"/>
  <c r="I25" i="27" s="1"/>
  <c r="C25" i="27"/>
  <c r="C24" i="27"/>
  <c r="F23" i="27"/>
  <c r="I23" i="27" s="1"/>
  <c r="C23" i="27"/>
  <c r="C22" i="27"/>
  <c r="I21" i="27"/>
  <c r="C21" i="27"/>
  <c r="C20" i="27"/>
  <c r="C19" i="27"/>
  <c r="G18" i="27"/>
  <c r="C18" i="27"/>
  <c r="C17" i="27"/>
  <c r="F16" i="27"/>
  <c r="I16" i="27" s="1"/>
  <c r="C16" i="27"/>
  <c r="CT49" i="26"/>
  <c r="CQ49" i="26"/>
  <c r="CF49" i="26"/>
  <c r="CU49" i="26" s="1"/>
  <c r="B44" i="26"/>
  <c r="B43" i="26"/>
  <c r="B42" i="26"/>
  <c r="CU41" i="26"/>
  <c r="H52" i="27" s="1"/>
  <c r="CT41" i="26"/>
  <c r="CQ41" i="26"/>
  <c r="CF41" i="26"/>
  <c r="BQ41" i="26"/>
  <c r="BL41" i="26"/>
  <c r="BI41" i="26"/>
  <c r="AX41" i="26"/>
  <c r="BM41" i="26" s="1"/>
  <c r="G52" i="27" s="1"/>
  <c r="AI41" i="26"/>
  <c r="AE41" i="26"/>
  <c r="F52" i="27" s="1"/>
  <c r="I52" i="27" s="1"/>
  <c r="AD41" i="26"/>
  <c r="AA41" i="26"/>
  <c r="P41" i="26"/>
  <c r="B41" i="26"/>
  <c r="CU40" i="26"/>
  <c r="H51" i="27" s="1"/>
  <c r="CT40" i="26"/>
  <c r="CQ40" i="26"/>
  <c r="CF40" i="26"/>
  <c r="BL40" i="26"/>
  <c r="BI40" i="26"/>
  <c r="AX40" i="26"/>
  <c r="BM40" i="26" s="1"/>
  <c r="G51" i="27" s="1"/>
  <c r="AI40" i="26"/>
  <c r="BQ40" i="26" s="1"/>
  <c r="AD40" i="26"/>
  <c r="AA40" i="26"/>
  <c r="P40" i="26"/>
  <c r="AE40" i="26" s="1"/>
  <c r="F51" i="27" s="1"/>
  <c r="I51" i="27" s="1"/>
  <c r="B40" i="26"/>
  <c r="CT39" i="26"/>
  <c r="CQ39" i="26"/>
  <c r="CF39" i="26"/>
  <c r="CU39" i="26" s="1"/>
  <c r="H50" i="27" s="1"/>
  <c r="BM39" i="26"/>
  <c r="G50" i="27" s="1"/>
  <c r="BL39" i="26"/>
  <c r="BI39" i="26"/>
  <c r="AX39" i="26"/>
  <c r="AE39" i="26"/>
  <c r="F50" i="27" s="1"/>
  <c r="I50" i="27" s="1"/>
  <c r="AD39" i="26"/>
  <c r="AA39" i="26"/>
  <c r="P39" i="26"/>
  <c r="B39" i="26"/>
  <c r="AI39" i="26" s="1"/>
  <c r="BQ39" i="26" s="1"/>
  <c r="CT38" i="26"/>
  <c r="CQ38" i="26"/>
  <c r="CF38" i="26"/>
  <c r="CU38" i="26" s="1"/>
  <c r="H49" i="27" s="1"/>
  <c r="BM38" i="26"/>
  <c r="G49" i="27" s="1"/>
  <c r="BL38" i="26"/>
  <c r="BI38" i="26"/>
  <c r="AX38" i="26"/>
  <c r="AE38" i="26"/>
  <c r="AD38" i="26"/>
  <c r="AA38" i="26"/>
  <c r="P38" i="26"/>
  <c r="B38" i="26"/>
  <c r="AI38" i="26" s="1"/>
  <c r="BQ38" i="26" s="1"/>
  <c r="CU37" i="26"/>
  <c r="H48" i="27" s="1"/>
  <c r="CT37" i="26"/>
  <c r="CQ37" i="26"/>
  <c r="CF37" i="26"/>
  <c r="BQ37" i="26"/>
  <c r="BL37" i="26"/>
  <c r="BI37" i="26"/>
  <c r="AX37" i="26"/>
  <c r="BM37" i="26" s="1"/>
  <c r="G48" i="27" s="1"/>
  <c r="AD37" i="26"/>
  <c r="AA37" i="26"/>
  <c r="P37" i="26"/>
  <c r="AE37" i="26" s="1"/>
  <c r="F48" i="27" s="1"/>
  <c r="I48" i="27" s="1"/>
  <c r="B37" i="26"/>
  <c r="AI37" i="26" s="1"/>
  <c r="CU36" i="26"/>
  <c r="H47" i="27" s="1"/>
  <c r="CT36" i="26"/>
  <c r="CQ36" i="26"/>
  <c r="CF36" i="26"/>
  <c r="BQ36" i="26"/>
  <c r="BM36" i="26"/>
  <c r="BL36" i="26"/>
  <c r="BI36" i="26"/>
  <c r="AX36" i="26"/>
  <c r="AI36" i="26"/>
  <c r="AD36" i="26"/>
  <c r="AA36" i="26"/>
  <c r="P36" i="26"/>
  <c r="AE36" i="26" s="1"/>
  <c r="F47" i="27" s="1"/>
  <c r="I47" i="27" s="1"/>
  <c r="B36" i="26"/>
  <c r="CU35" i="26"/>
  <c r="H46" i="27" s="1"/>
  <c r="CT35" i="26"/>
  <c r="CQ35" i="26"/>
  <c r="CF35" i="26"/>
  <c r="BM35" i="26"/>
  <c r="G46" i="27" s="1"/>
  <c r="BL35" i="26"/>
  <c r="BI35" i="26"/>
  <c r="AX35" i="26"/>
  <c r="AE35" i="26"/>
  <c r="F46" i="27" s="1"/>
  <c r="I46" i="27" s="1"/>
  <c r="AD35" i="26"/>
  <c r="AA35" i="26"/>
  <c r="P35" i="26"/>
  <c r="B35" i="26"/>
  <c r="AI35" i="26" s="1"/>
  <c r="BQ35" i="26" s="1"/>
  <c r="CT34" i="26"/>
  <c r="CQ34" i="26"/>
  <c r="CF34" i="26"/>
  <c r="CU34" i="26" s="1"/>
  <c r="H45" i="27" s="1"/>
  <c r="BL34" i="26"/>
  <c r="BI34" i="26"/>
  <c r="AX34" i="26"/>
  <c r="BM34" i="26" s="1"/>
  <c r="G45" i="27" s="1"/>
  <c r="AE34" i="26"/>
  <c r="F45" i="27" s="1"/>
  <c r="I45" i="27" s="1"/>
  <c r="AD34" i="26"/>
  <c r="AA34" i="26"/>
  <c r="P34" i="26"/>
  <c r="B34" i="26"/>
  <c r="AI34" i="26" s="1"/>
  <c r="BQ34" i="26" s="1"/>
  <c r="CU33" i="26"/>
  <c r="H44" i="27" s="1"/>
  <c r="CT33" i="26"/>
  <c r="CQ33" i="26"/>
  <c r="CF33" i="26"/>
  <c r="BQ33" i="26"/>
  <c r="BL33" i="26"/>
  <c r="BI33" i="26"/>
  <c r="AX33" i="26"/>
  <c r="BM33" i="26" s="1"/>
  <c r="G44" i="27" s="1"/>
  <c r="AI33" i="26"/>
  <c r="AE33" i="26"/>
  <c r="F44" i="27" s="1"/>
  <c r="I44" i="27" s="1"/>
  <c r="AD33" i="26"/>
  <c r="AA33" i="26"/>
  <c r="P33" i="26"/>
  <c r="B33" i="26"/>
  <c r="CU32" i="26"/>
  <c r="H43" i="27" s="1"/>
  <c r="CT32" i="26"/>
  <c r="CQ32" i="26"/>
  <c r="CF32" i="26"/>
  <c r="BL32" i="26"/>
  <c r="BI32" i="26"/>
  <c r="AX32" i="26"/>
  <c r="BM32" i="26" s="1"/>
  <c r="G43" i="27" s="1"/>
  <c r="AI32" i="26"/>
  <c r="BQ32" i="26" s="1"/>
  <c r="AD32" i="26"/>
  <c r="AA32" i="26"/>
  <c r="P32" i="26"/>
  <c r="AE32" i="26" s="1"/>
  <c r="F43" i="27" s="1"/>
  <c r="I43" i="27" s="1"/>
  <c r="B32" i="26"/>
  <c r="CT31" i="26"/>
  <c r="CQ31" i="26"/>
  <c r="CF31" i="26"/>
  <c r="CU31" i="26" s="1"/>
  <c r="H42" i="27" s="1"/>
  <c r="BM31" i="26"/>
  <c r="G42" i="27" s="1"/>
  <c r="BL31" i="26"/>
  <c r="BI31" i="26"/>
  <c r="AX31" i="26"/>
  <c r="AI31" i="26"/>
  <c r="BQ31" i="26" s="1"/>
  <c r="AE31" i="26"/>
  <c r="F42" i="27" s="1"/>
  <c r="I42" i="27" s="1"/>
  <c r="AD31" i="26"/>
  <c r="AA31" i="26"/>
  <c r="P31" i="26"/>
  <c r="B31" i="26"/>
  <c r="CT30" i="26"/>
  <c r="CQ30" i="26"/>
  <c r="CF30" i="26"/>
  <c r="CU30" i="26" s="1"/>
  <c r="H41" i="27" s="1"/>
  <c r="BM30" i="26"/>
  <c r="G41" i="27" s="1"/>
  <c r="BL30" i="26"/>
  <c r="BI30" i="26"/>
  <c r="AX30" i="26"/>
  <c r="AE30" i="26"/>
  <c r="F41" i="27" s="1"/>
  <c r="I41" i="27" s="1"/>
  <c r="AD30" i="26"/>
  <c r="AA30" i="26"/>
  <c r="P30" i="26"/>
  <c r="B30" i="26"/>
  <c r="AI30" i="26" s="1"/>
  <c r="BQ30" i="26" s="1"/>
  <c r="CT29" i="26"/>
  <c r="CQ29" i="26"/>
  <c r="CF29" i="26"/>
  <c r="CU29" i="26" s="1"/>
  <c r="H40" i="27" s="1"/>
  <c r="BL29" i="26"/>
  <c r="BI29" i="26"/>
  <c r="AX29" i="26"/>
  <c r="BM29" i="26" s="1"/>
  <c r="G40" i="27" s="1"/>
  <c r="AD29" i="26"/>
  <c r="AA29" i="26"/>
  <c r="P29" i="26"/>
  <c r="AE29" i="26" s="1"/>
  <c r="F40" i="27" s="1"/>
  <c r="I40" i="27" s="1"/>
  <c r="B29" i="26"/>
  <c r="AI29" i="26" s="1"/>
  <c r="BQ29" i="26" s="1"/>
  <c r="CU28" i="26"/>
  <c r="H39" i="27" s="1"/>
  <c r="CT28" i="26"/>
  <c r="CQ28" i="26"/>
  <c r="CF28" i="26"/>
  <c r="BM28" i="26"/>
  <c r="G39" i="27" s="1"/>
  <c r="BL28" i="26"/>
  <c r="BI28" i="26"/>
  <c r="AX28" i="26"/>
  <c r="AI28" i="26"/>
  <c r="BQ28" i="26" s="1"/>
  <c r="AD28" i="26"/>
  <c r="AA28" i="26"/>
  <c r="P28" i="26"/>
  <c r="AE28" i="26" s="1"/>
  <c r="F39" i="27" s="1"/>
  <c r="B28" i="26"/>
  <c r="CU27" i="26"/>
  <c r="H38" i="27" s="1"/>
  <c r="CT27" i="26"/>
  <c r="CQ27" i="26"/>
  <c r="CF27" i="26"/>
  <c r="BM27" i="26"/>
  <c r="G38" i="27" s="1"/>
  <c r="BL27" i="26"/>
  <c r="BI27" i="26"/>
  <c r="AX27" i="26"/>
  <c r="AE27" i="26"/>
  <c r="F38" i="27" s="1"/>
  <c r="I38" i="27" s="1"/>
  <c r="AD27" i="26"/>
  <c r="AA27" i="26"/>
  <c r="P27" i="26"/>
  <c r="B27" i="26"/>
  <c r="AI27" i="26" s="1"/>
  <c r="BQ27" i="26" s="1"/>
  <c r="CT26" i="26"/>
  <c r="CQ26" i="26"/>
  <c r="CF26" i="26"/>
  <c r="CU26" i="26" s="1"/>
  <c r="H37" i="27" s="1"/>
  <c r="BL26" i="26"/>
  <c r="BI26" i="26"/>
  <c r="AX26" i="26"/>
  <c r="BM26" i="26" s="1"/>
  <c r="G37" i="27" s="1"/>
  <c r="AE26" i="26"/>
  <c r="F37" i="27" s="1"/>
  <c r="AD26" i="26"/>
  <c r="AA26" i="26"/>
  <c r="P26" i="26"/>
  <c r="B26" i="26"/>
  <c r="AI26" i="26" s="1"/>
  <c r="BQ26" i="26" s="1"/>
  <c r="CU25" i="26"/>
  <c r="H36" i="27" s="1"/>
  <c r="CT25" i="26"/>
  <c r="CQ25" i="26"/>
  <c r="CF25" i="26"/>
  <c r="BQ25" i="26"/>
  <c r="BL25" i="26"/>
  <c r="BI25" i="26"/>
  <c r="AX25" i="26"/>
  <c r="BM25" i="26" s="1"/>
  <c r="AI25" i="26"/>
  <c r="AE25" i="26"/>
  <c r="AD25" i="26"/>
  <c r="AA25" i="26"/>
  <c r="P25" i="26"/>
  <c r="B25" i="26"/>
  <c r="CU24" i="26"/>
  <c r="H35" i="27" s="1"/>
  <c r="CT24" i="26"/>
  <c r="CQ24" i="26"/>
  <c r="CF24" i="26"/>
  <c r="BL24" i="26"/>
  <c r="BI24" i="26"/>
  <c r="AX24" i="26"/>
  <c r="BM24" i="26" s="1"/>
  <c r="G35" i="27" s="1"/>
  <c r="AI24" i="26"/>
  <c r="BQ24" i="26" s="1"/>
  <c r="AD24" i="26"/>
  <c r="AA24" i="26"/>
  <c r="P24" i="26"/>
  <c r="AE24" i="26" s="1"/>
  <c r="F35" i="27" s="1"/>
  <c r="I35" i="27" s="1"/>
  <c r="B24" i="26"/>
  <c r="CT23" i="26"/>
  <c r="CQ23" i="26"/>
  <c r="CF23" i="26"/>
  <c r="CU23" i="26" s="1"/>
  <c r="H34" i="27" s="1"/>
  <c r="BM23" i="26"/>
  <c r="G34" i="27" s="1"/>
  <c r="BL23" i="26"/>
  <c r="BI23" i="26"/>
  <c r="AX23" i="26"/>
  <c r="AE23" i="26"/>
  <c r="F34" i="27" s="1"/>
  <c r="AD23" i="26"/>
  <c r="AA23" i="26"/>
  <c r="P23" i="26"/>
  <c r="B23" i="26"/>
  <c r="AI23" i="26" s="1"/>
  <c r="BQ23" i="26" s="1"/>
  <c r="CT22" i="26"/>
  <c r="CQ22" i="26"/>
  <c r="CF22" i="26"/>
  <c r="CU22" i="26" s="1"/>
  <c r="H33" i="27" s="1"/>
  <c r="BM22" i="26"/>
  <c r="G33" i="27" s="1"/>
  <c r="BL22" i="26"/>
  <c r="BI22" i="26"/>
  <c r="AX22" i="26"/>
  <c r="AE22" i="26"/>
  <c r="F33" i="27" s="1"/>
  <c r="I33" i="27" s="1"/>
  <c r="AD22" i="26"/>
  <c r="AA22" i="26"/>
  <c r="P22" i="26"/>
  <c r="B22" i="26"/>
  <c r="AI22" i="26" s="1"/>
  <c r="BQ22" i="26" s="1"/>
  <c r="CT21" i="26"/>
  <c r="CQ21" i="26"/>
  <c r="CF21" i="26"/>
  <c r="CU21" i="26" s="1"/>
  <c r="H32" i="27" s="1"/>
  <c r="BL21" i="26"/>
  <c r="BI21" i="26"/>
  <c r="AX21" i="26"/>
  <c r="BM21" i="26" s="1"/>
  <c r="G32" i="27" s="1"/>
  <c r="AD21" i="26"/>
  <c r="AA21" i="26"/>
  <c r="P21" i="26"/>
  <c r="AE21" i="26" s="1"/>
  <c r="F32" i="27" s="1"/>
  <c r="I32" i="27" s="1"/>
  <c r="B21" i="26"/>
  <c r="AI21" i="26" s="1"/>
  <c r="BQ21" i="26" s="1"/>
  <c r="CU20" i="26"/>
  <c r="H31" i="27" s="1"/>
  <c r="CT20" i="26"/>
  <c r="CQ20" i="26"/>
  <c r="CF20" i="26"/>
  <c r="BQ20" i="26"/>
  <c r="BM20" i="26"/>
  <c r="G31" i="27" s="1"/>
  <c r="BL20" i="26"/>
  <c r="BI20" i="26"/>
  <c r="AX20" i="26"/>
  <c r="AI20" i="26"/>
  <c r="AD20" i="26"/>
  <c r="AA20" i="26"/>
  <c r="P20" i="26"/>
  <c r="AE20" i="26" s="1"/>
  <c r="F31" i="27" s="1"/>
  <c r="I31" i="27" s="1"/>
  <c r="B20" i="26"/>
  <c r="CU19" i="26"/>
  <c r="H30" i="27" s="1"/>
  <c r="CT19" i="26"/>
  <c r="CQ19" i="26"/>
  <c r="CF19" i="26"/>
  <c r="BM19" i="26"/>
  <c r="G30" i="27" s="1"/>
  <c r="BL19" i="26"/>
  <c r="BI19" i="26"/>
  <c r="AX19" i="26"/>
  <c r="AD19" i="26"/>
  <c r="AA19" i="26"/>
  <c r="P19" i="26"/>
  <c r="AE19" i="26" s="1"/>
  <c r="F30" i="27" s="1"/>
  <c r="I30" i="27" s="1"/>
  <c r="B19" i="26"/>
  <c r="AI19" i="26" s="1"/>
  <c r="BQ19" i="26" s="1"/>
  <c r="CT18" i="26"/>
  <c r="CQ18" i="26"/>
  <c r="CF18" i="26"/>
  <c r="CU18" i="26" s="1"/>
  <c r="H29" i="27" s="1"/>
  <c r="BL18" i="26"/>
  <c r="BI18" i="26"/>
  <c r="AX18" i="26"/>
  <c r="BM18" i="26" s="1"/>
  <c r="G29" i="27" s="1"/>
  <c r="AE18" i="26"/>
  <c r="F29" i="27" s="1"/>
  <c r="I29" i="27" s="1"/>
  <c r="AD18" i="26"/>
  <c r="AA18" i="26"/>
  <c r="P18" i="26"/>
  <c r="B18" i="26"/>
  <c r="AI18" i="26" s="1"/>
  <c r="BQ18" i="26" s="1"/>
  <c r="CU17" i="26"/>
  <c r="H28" i="27" s="1"/>
  <c r="CT17" i="26"/>
  <c r="CQ17" i="26"/>
  <c r="CF17" i="26"/>
  <c r="BQ17" i="26"/>
  <c r="BL17" i="26"/>
  <c r="BI17" i="26"/>
  <c r="AX17" i="26"/>
  <c r="BM17" i="26" s="1"/>
  <c r="G28" i="27" s="1"/>
  <c r="AI17" i="26"/>
  <c r="AE17" i="26"/>
  <c r="AD17" i="26"/>
  <c r="AA17" i="26"/>
  <c r="P17" i="26"/>
  <c r="B17" i="26"/>
  <c r="CU16" i="26"/>
  <c r="H27" i="27" s="1"/>
  <c r="CT16" i="26"/>
  <c r="CQ16" i="26"/>
  <c r="CF16" i="26"/>
  <c r="BM16" i="26"/>
  <c r="G27" i="27" s="1"/>
  <c r="BL16" i="26"/>
  <c r="BI16" i="26"/>
  <c r="AX16" i="26"/>
  <c r="AI16" i="26"/>
  <c r="BQ16" i="26" s="1"/>
  <c r="AD16" i="26"/>
  <c r="AA16" i="26"/>
  <c r="P16" i="26"/>
  <c r="AE16" i="26" s="1"/>
  <c r="F27" i="27" s="1"/>
  <c r="I27" i="27" s="1"/>
  <c r="B16" i="26"/>
  <c r="CT15" i="26"/>
  <c r="CQ15" i="26"/>
  <c r="CF15" i="26"/>
  <c r="CU15" i="26" s="1"/>
  <c r="H26" i="27" s="1"/>
  <c r="BM15" i="26"/>
  <c r="G26" i="27" s="1"/>
  <c r="BL15" i="26"/>
  <c r="BI15" i="26"/>
  <c r="AX15" i="26"/>
  <c r="AI15" i="26"/>
  <c r="BQ15" i="26" s="1"/>
  <c r="AE15" i="26"/>
  <c r="F26" i="27" s="1"/>
  <c r="I26" i="27" s="1"/>
  <c r="AD15" i="26"/>
  <c r="AA15" i="26"/>
  <c r="P15" i="26"/>
  <c r="B15" i="26"/>
  <c r="CT14" i="26"/>
  <c r="CQ14" i="26"/>
  <c r="CF14" i="26"/>
  <c r="CU14" i="26" s="1"/>
  <c r="H25" i="27" s="1"/>
  <c r="BM14" i="26"/>
  <c r="BL14" i="26"/>
  <c r="BI14" i="26"/>
  <c r="AX14" i="26"/>
  <c r="AE14" i="26"/>
  <c r="AD14" i="26"/>
  <c r="AA14" i="26"/>
  <c r="P14" i="26"/>
  <c r="B14" i="26"/>
  <c r="AI14" i="26" s="1"/>
  <c r="BQ14" i="26" s="1"/>
  <c r="CT13" i="26"/>
  <c r="CQ13" i="26"/>
  <c r="CF13" i="26"/>
  <c r="CU13" i="26" s="1"/>
  <c r="H24" i="27" s="1"/>
  <c r="BL13" i="26"/>
  <c r="BI13" i="26"/>
  <c r="AX13" i="26"/>
  <c r="BM13" i="26" s="1"/>
  <c r="G24" i="27" s="1"/>
  <c r="AD13" i="26"/>
  <c r="AA13" i="26"/>
  <c r="P13" i="26"/>
  <c r="AE13" i="26" s="1"/>
  <c r="F24" i="27" s="1"/>
  <c r="I24" i="27" s="1"/>
  <c r="B13" i="26"/>
  <c r="AI13" i="26" s="1"/>
  <c r="BQ13" i="26" s="1"/>
  <c r="CU12" i="26"/>
  <c r="H23" i="27" s="1"/>
  <c r="CT12" i="26"/>
  <c r="CQ12" i="26"/>
  <c r="CF12" i="26"/>
  <c r="BM12" i="26"/>
  <c r="G23" i="27" s="1"/>
  <c r="BL12" i="26"/>
  <c r="BI12" i="26"/>
  <c r="AX12" i="26"/>
  <c r="AI12" i="26"/>
  <c r="BQ12" i="26" s="1"/>
  <c r="AD12" i="26"/>
  <c r="AA12" i="26"/>
  <c r="P12" i="26"/>
  <c r="AE12" i="26" s="1"/>
  <c r="B12" i="26"/>
  <c r="CU11" i="26"/>
  <c r="H22" i="27" s="1"/>
  <c r="CT11" i="26"/>
  <c r="CQ11" i="26"/>
  <c r="CF11" i="26"/>
  <c r="BM11" i="26"/>
  <c r="G22" i="27" s="1"/>
  <c r="BL11" i="26"/>
  <c r="BI11" i="26"/>
  <c r="AX11" i="26"/>
  <c r="AI11" i="26"/>
  <c r="BQ11" i="26" s="1"/>
  <c r="AD11" i="26"/>
  <c r="AA11" i="26"/>
  <c r="P11" i="26"/>
  <c r="AE11" i="26" s="1"/>
  <c r="F22" i="27" s="1"/>
  <c r="I22" i="27" s="1"/>
  <c r="B11" i="26"/>
  <c r="CT10" i="26"/>
  <c r="CQ10" i="26"/>
  <c r="CF10" i="26"/>
  <c r="CU10" i="26" s="1"/>
  <c r="H21" i="27" s="1"/>
  <c r="BL10" i="26"/>
  <c r="BI10" i="26"/>
  <c r="AX10" i="26"/>
  <c r="BM10" i="26" s="1"/>
  <c r="G21" i="27" s="1"/>
  <c r="AE10" i="26"/>
  <c r="F21" i="27" s="1"/>
  <c r="AD10" i="26"/>
  <c r="AA10" i="26"/>
  <c r="P10" i="26"/>
  <c r="B10" i="26"/>
  <c r="AI10" i="26" s="1"/>
  <c r="BQ10" i="26" s="1"/>
  <c r="CT9" i="26"/>
  <c r="CQ9" i="26"/>
  <c r="CF9" i="26"/>
  <c r="CU9" i="26" s="1"/>
  <c r="H20" i="27" s="1"/>
  <c r="BQ9" i="26"/>
  <c r="BL9" i="26"/>
  <c r="BI9" i="26"/>
  <c r="AX9" i="26"/>
  <c r="BM9" i="26" s="1"/>
  <c r="G20" i="27" s="1"/>
  <c r="AI9" i="26"/>
  <c r="AE9" i="26"/>
  <c r="F20" i="27" s="1"/>
  <c r="I20" i="27" s="1"/>
  <c r="AD9" i="26"/>
  <c r="AA9" i="26"/>
  <c r="P9" i="26"/>
  <c r="B9" i="26"/>
  <c r="CU8" i="26"/>
  <c r="H19" i="27" s="1"/>
  <c r="CT8" i="26"/>
  <c r="CQ8" i="26"/>
  <c r="CF8" i="26"/>
  <c r="BQ8" i="26"/>
  <c r="BM8" i="26"/>
  <c r="G19" i="27" s="1"/>
  <c r="BL8" i="26"/>
  <c r="BI8" i="26"/>
  <c r="AX8" i="26"/>
  <c r="AI8" i="26"/>
  <c r="AD8" i="26"/>
  <c r="AA8" i="26"/>
  <c r="P8" i="26"/>
  <c r="AE8" i="26" s="1"/>
  <c r="F19" i="27" s="1"/>
  <c r="I19" i="27" s="1"/>
  <c r="B8" i="26"/>
  <c r="CT7" i="26"/>
  <c r="CQ7" i="26"/>
  <c r="CF7" i="26"/>
  <c r="CU7" i="26" s="1"/>
  <c r="H18" i="27" s="1"/>
  <c r="BM7" i="26"/>
  <c r="BL7" i="26"/>
  <c r="BI7" i="26"/>
  <c r="AX7" i="26"/>
  <c r="AI7" i="26"/>
  <c r="BQ7" i="26" s="1"/>
  <c r="AD7" i="26"/>
  <c r="AA7" i="26"/>
  <c r="P7" i="26"/>
  <c r="AE7" i="26" s="1"/>
  <c r="F18" i="27" s="1"/>
  <c r="I18" i="27" s="1"/>
  <c r="B7" i="26"/>
  <c r="CT6" i="26"/>
  <c r="CQ6" i="26"/>
  <c r="CF6" i="26"/>
  <c r="CU6" i="26" s="1"/>
  <c r="H17" i="27" s="1"/>
  <c r="BM6" i="26"/>
  <c r="G17" i="27" s="1"/>
  <c r="BL6" i="26"/>
  <c r="BI6" i="26"/>
  <c r="AX6" i="26"/>
  <c r="AE6" i="26"/>
  <c r="F17" i="27" s="1"/>
  <c r="I17" i="27" s="1"/>
  <c r="AD6" i="26"/>
  <c r="AA6" i="26"/>
  <c r="P6" i="26"/>
  <c r="B6" i="26"/>
  <c r="AI6" i="26" s="1"/>
  <c r="BQ6" i="26" s="1"/>
  <c r="CT5" i="26"/>
  <c r="CQ5" i="26"/>
  <c r="CF5" i="26"/>
  <c r="CU5" i="26" s="1"/>
  <c r="H16" i="27" s="1"/>
  <c r="BL5" i="26"/>
  <c r="BI5" i="26"/>
  <c r="AX5" i="26"/>
  <c r="BM5" i="26" s="1"/>
  <c r="G16" i="27" s="1"/>
  <c r="AE5" i="26"/>
  <c r="AD5" i="26"/>
  <c r="AA5" i="26"/>
  <c r="P5" i="26"/>
  <c r="B5" i="26"/>
  <c r="AI5" i="26" s="1"/>
  <c r="BQ5" i="26" s="1"/>
  <c r="C55" i="25"/>
  <c r="C54" i="25"/>
  <c r="C53" i="25"/>
  <c r="C52" i="25"/>
  <c r="C51" i="25"/>
  <c r="C50" i="25"/>
  <c r="C49" i="25"/>
  <c r="C48" i="25"/>
  <c r="C47" i="25"/>
  <c r="C46" i="25"/>
  <c r="F45" i="25"/>
  <c r="I45" i="25" s="1"/>
  <c r="C45" i="25"/>
  <c r="F44" i="25"/>
  <c r="I44" i="25" s="1"/>
  <c r="C44" i="25"/>
  <c r="C43" i="25"/>
  <c r="G42" i="25"/>
  <c r="C42" i="25"/>
  <c r="C41" i="25"/>
  <c r="C40" i="25"/>
  <c r="C39" i="25"/>
  <c r="C38" i="25"/>
  <c r="G37" i="25"/>
  <c r="F37" i="25"/>
  <c r="I37" i="25" s="1"/>
  <c r="C37" i="25"/>
  <c r="C36" i="25"/>
  <c r="I35" i="25"/>
  <c r="C35" i="25"/>
  <c r="C34" i="25"/>
  <c r="C33" i="25"/>
  <c r="G32" i="25"/>
  <c r="C32" i="25"/>
  <c r="C31" i="25"/>
  <c r="C30" i="25"/>
  <c r="C29" i="25"/>
  <c r="C28" i="25"/>
  <c r="I27" i="25"/>
  <c r="H27" i="25"/>
  <c r="C27" i="25"/>
  <c r="C26" i="25"/>
  <c r="C25" i="25"/>
  <c r="C24" i="25"/>
  <c r="C23" i="25"/>
  <c r="C22" i="25"/>
  <c r="G21" i="25"/>
  <c r="F21" i="25"/>
  <c r="I21" i="25" s="1"/>
  <c r="C21" i="25"/>
  <c r="C20" i="25"/>
  <c r="I19" i="25"/>
  <c r="H19" i="25"/>
  <c r="C19" i="25"/>
  <c r="C18" i="25"/>
  <c r="C17" i="25"/>
  <c r="C16" i="25"/>
  <c r="CT49" i="24"/>
  <c r="CQ49" i="24"/>
  <c r="CU49" i="24" s="1"/>
  <c r="B44" i="24"/>
  <c r="B43" i="24"/>
  <c r="B42" i="24"/>
  <c r="CT41" i="24"/>
  <c r="CQ41" i="24"/>
  <c r="CF41" i="24"/>
  <c r="CU41" i="24" s="1"/>
  <c r="H52" i="25" s="1"/>
  <c r="BL41" i="24"/>
  <c r="BI41" i="24"/>
  <c r="AX41" i="24"/>
  <c r="BM41" i="24" s="1"/>
  <c r="G52" i="25" s="1"/>
  <c r="AE41" i="24"/>
  <c r="F52" i="25" s="1"/>
  <c r="I52" i="25" s="1"/>
  <c r="AD41" i="24"/>
  <c r="AA41" i="24"/>
  <c r="P41" i="24"/>
  <c r="B41" i="24"/>
  <c r="AI41" i="24" s="1"/>
  <c r="BQ41" i="24" s="1"/>
  <c r="CU40" i="24"/>
  <c r="H51" i="25" s="1"/>
  <c r="CT40" i="24"/>
  <c r="CQ40" i="24"/>
  <c r="CF40" i="24"/>
  <c r="BQ40" i="24"/>
  <c r="BL40" i="24"/>
  <c r="BI40" i="24"/>
  <c r="AX40" i="24"/>
  <c r="BM40" i="24" s="1"/>
  <c r="G51" i="25" s="1"/>
  <c r="AI40" i="24"/>
  <c r="AD40" i="24"/>
  <c r="AA40" i="24"/>
  <c r="P40" i="24"/>
  <c r="AE40" i="24" s="1"/>
  <c r="F51" i="25" s="1"/>
  <c r="I51" i="25" s="1"/>
  <c r="B40" i="24"/>
  <c r="CU39" i="24"/>
  <c r="H50" i="25" s="1"/>
  <c r="CT39" i="24"/>
  <c r="CQ39" i="24"/>
  <c r="CF39" i="24"/>
  <c r="BL39" i="24"/>
  <c r="BI39" i="24"/>
  <c r="AX39" i="24"/>
  <c r="BM39" i="24" s="1"/>
  <c r="G50" i="25" s="1"/>
  <c r="AI39" i="24"/>
  <c r="BQ39" i="24" s="1"/>
  <c r="AD39" i="24"/>
  <c r="AA39" i="24"/>
  <c r="P39" i="24"/>
  <c r="AE39" i="24" s="1"/>
  <c r="F50" i="25" s="1"/>
  <c r="I50" i="25" s="1"/>
  <c r="B39" i="24"/>
  <c r="CT38" i="24"/>
  <c r="CQ38" i="24"/>
  <c r="CF38" i="24"/>
  <c r="CU38" i="24" s="1"/>
  <c r="H49" i="25" s="1"/>
  <c r="BM38" i="24"/>
  <c r="G49" i="25" s="1"/>
  <c r="BL38" i="24"/>
  <c r="BI38" i="24"/>
  <c r="AX38" i="24"/>
  <c r="AI38" i="24"/>
  <c r="BQ38" i="24" s="1"/>
  <c r="AE38" i="24"/>
  <c r="F49" i="25" s="1"/>
  <c r="I49" i="25" s="1"/>
  <c r="AD38" i="24"/>
  <c r="AA38" i="24"/>
  <c r="P38" i="24"/>
  <c r="B38" i="24"/>
  <c r="CT37" i="24"/>
  <c r="CQ37" i="24"/>
  <c r="CF37" i="24"/>
  <c r="CU37" i="24" s="1"/>
  <c r="H48" i="25" s="1"/>
  <c r="BL37" i="24"/>
  <c r="BI37" i="24"/>
  <c r="AX37" i="24"/>
  <c r="BM37" i="24" s="1"/>
  <c r="G48" i="25" s="1"/>
  <c r="AE37" i="24"/>
  <c r="F48" i="25" s="1"/>
  <c r="I48" i="25" s="1"/>
  <c r="AD37" i="24"/>
  <c r="AA37" i="24"/>
  <c r="P37" i="24"/>
  <c r="B37" i="24"/>
  <c r="AI37" i="24" s="1"/>
  <c r="BQ37" i="24" s="1"/>
  <c r="CT36" i="24"/>
  <c r="CQ36" i="24"/>
  <c r="CF36" i="24"/>
  <c r="CU36" i="24" s="1"/>
  <c r="H47" i="25" s="1"/>
  <c r="BQ36" i="24"/>
  <c r="BL36" i="24"/>
  <c r="BI36" i="24"/>
  <c r="AX36" i="24"/>
  <c r="BM36" i="24" s="1"/>
  <c r="G47" i="25" s="1"/>
  <c r="AI36" i="24"/>
  <c r="AD36" i="24"/>
  <c r="AA36" i="24"/>
  <c r="P36" i="24"/>
  <c r="AE36" i="24" s="1"/>
  <c r="F47" i="25" s="1"/>
  <c r="I47" i="25" s="1"/>
  <c r="B36" i="24"/>
  <c r="CU35" i="24"/>
  <c r="H46" i="25" s="1"/>
  <c r="CT35" i="24"/>
  <c r="CQ35" i="24"/>
  <c r="CF35" i="24"/>
  <c r="BQ35" i="24"/>
  <c r="BM35" i="24"/>
  <c r="G46" i="25" s="1"/>
  <c r="BL35" i="24"/>
  <c r="BI35" i="24"/>
  <c r="AX35" i="24"/>
  <c r="AI35" i="24"/>
  <c r="AD35" i="24"/>
  <c r="AA35" i="24"/>
  <c r="P35" i="24"/>
  <c r="AE35" i="24" s="1"/>
  <c r="F46" i="25" s="1"/>
  <c r="I46" i="25" s="1"/>
  <c r="B35" i="24"/>
  <c r="CT34" i="24"/>
  <c r="CQ34" i="24"/>
  <c r="CF34" i="24"/>
  <c r="CU34" i="24" s="1"/>
  <c r="H45" i="25" s="1"/>
  <c r="BM34" i="24"/>
  <c r="G45" i="25" s="1"/>
  <c r="BL34" i="24"/>
  <c r="BI34" i="24"/>
  <c r="AX34" i="24"/>
  <c r="AD34" i="24"/>
  <c r="AA34" i="24"/>
  <c r="P34" i="24"/>
  <c r="AE34" i="24" s="1"/>
  <c r="B34" i="24"/>
  <c r="AI34" i="24" s="1"/>
  <c r="BQ34" i="24" s="1"/>
  <c r="CT33" i="24"/>
  <c r="CQ33" i="24"/>
  <c r="CF33" i="24"/>
  <c r="CU33" i="24" s="1"/>
  <c r="H44" i="25" s="1"/>
  <c r="BL33" i="24"/>
  <c r="BI33" i="24"/>
  <c r="AX33" i="24"/>
  <c r="BM33" i="24" s="1"/>
  <c r="G44" i="25" s="1"/>
  <c r="AE33" i="24"/>
  <c r="AD33" i="24"/>
  <c r="AA33" i="24"/>
  <c r="P33" i="24"/>
  <c r="B33" i="24"/>
  <c r="AI33" i="24" s="1"/>
  <c r="BQ33" i="24" s="1"/>
  <c r="CU32" i="24"/>
  <c r="H43" i="25" s="1"/>
  <c r="CT32" i="24"/>
  <c r="CQ32" i="24"/>
  <c r="CF32" i="24"/>
  <c r="BQ32" i="24"/>
  <c r="BL32" i="24"/>
  <c r="BI32" i="24"/>
  <c r="AX32" i="24"/>
  <c r="BM32" i="24" s="1"/>
  <c r="G43" i="25" s="1"/>
  <c r="AI32" i="24"/>
  <c r="AD32" i="24"/>
  <c r="AA32" i="24"/>
  <c r="P32" i="24"/>
  <c r="AE32" i="24" s="1"/>
  <c r="F43" i="25" s="1"/>
  <c r="I43" i="25" s="1"/>
  <c r="B32" i="24"/>
  <c r="CU31" i="24"/>
  <c r="H42" i="25" s="1"/>
  <c r="CT31" i="24"/>
  <c r="CQ31" i="24"/>
  <c r="CF31" i="24"/>
  <c r="BL31" i="24"/>
  <c r="BI31" i="24"/>
  <c r="AX31" i="24"/>
  <c r="BM31" i="24" s="1"/>
  <c r="AI31" i="24"/>
  <c r="BQ31" i="24" s="1"/>
  <c r="AD31" i="24"/>
  <c r="AA31" i="24"/>
  <c r="P31" i="24"/>
  <c r="AE31" i="24" s="1"/>
  <c r="F42" i="25" s="1"/>
  <c r="I42" i="25" s="1"/>
  <c r="B31" i="24"/>
  <c r="CT30" i="24"/>
  <c r="CQ30" i="24"/>
  <c r="CF30" i="24"/>
  <c r="CU30" i="24" s="1"/>
  <c r="H41" i="25" s="1"/>
  <c r="BM30" i="24"/>
  <c r="G41" i="25" s="1"/>
  <c r="BL30" i="24"/>
  <c r="BI30" i="24"/>
  <c r="AX30" i="24"/>
  <c r="AI30" i="24"/>
  <c r="BQ30" i="24" s="1"/>
  <c r="AE30" i="24"/>
  <c r="F41" i="25" s="1"/>
  <c r="I41" i="25" s="1"/>
  <c r="AD30" i="24"/>
  <c r="AA30" i="24"/>
  <c r="P30" i="24"/>
  <c r="B30" i="24"/>
  <c r="CT29" i="24"/>
  <c r="CQ29" i="24"/>
  <c r="CF29" i="24"/>
  <c r="CU29" i="24" s="1"/>
  <c r="H40" i="25" s="1"/>
  <c r="BL29" i="24"/>
  <c r="BI29" i="24"/>
  <c r="AX29" i="24"/>
  <c r="BM29" i="24" s="1"/>
  <c r="G40" i="25" s="1"/>
  <c r="AE29" i="24"/>
  <c r="F40" i="25" s="1"/>
  <c r="I40" i="25" s="1"/>
  <c r="AD29" i="24"/>
  <c r="AA29" i="24"/>
  <c r="P29" i="24"/>
  <c r="B29" i="24"/>
  <c r="AI29" i="24" s="1"/>
  <c r="BQ29" i="24" s="1"/>
  <c r="CT28" i="24"/>
  <c r="CQ28" i="24"/>
  <c r="CF28" i="24"/>
  <c r="CU28" i="24" s="1"/>
  <c r="H39" i="25" s="1"/>
  <c r="BQ28" i="24"/>
  <c r="BL28" i="24"/>
  <c r="BI28" i="24"/>
  <c r="AX28" i="24"/>
  <c r="BM28" i="24" s="1"/>
  <c r="G39" i="25" s="1"/>
  <c r="AI28" i="24"/>
  <c r="AD28" i="24"/>
  <c r="AA28" i="24"/>
  <c r="P28" i="24"/>
  <c r="AE28" i="24" s="1"/>
  <c r="F39" i="25" s="1"/>
  <c r="I39" i="25" s="1"/>
  <c r="B28" i="24"/>
  <c r="CU27" i="24"/>
  <c r="H38" i="25" s="1"/>
  <c r="CT27" i="24"/>
  <c r="CQ27" i="24"/>
  <c r="CF27" i="24"/>
  <c r="BQ27" i="24"/>
  <c r="BM27" i="24"/>
  <c r="G38" i="25" s="1"/>
  <c r="BL27" i="24"/>
  <c r="BI27" i="24"/>
  <c r="AX27" i="24"/>
  <c r="AI27" i="24"/>
  <c r="AD27" i="24"/>
  <c r="AA27" i="24"/>
  <c r="P27" i="24"/>
  <c r="AE27" i="24" s="1"/>
  <c r="F38" i="25" s="1"/>
  <c r="I38" i="25" s="1"/>
  <c r="B27" i="24"/>
  <c r="CT26" i="24"/>
  <c r="CQ26" i="24"/>
  <c r="CF26" i="24"/>
  <c r="CU26" i="24" s="1"/>
  <c r="H37" i="25" s="1"/>
  <c r="BM26" i="24"/>
  <c r="BL26" i="24"/>
  <c r="BI26" i="24"/>
  <c r="AX26" i="24"/>
  <c r="AD26" i="24"/>
  <c r="AA26" i="24"/>
  <c r="P26" i="24"/>
  <c r="AE26" i="24" s="1"/>
  <c r="B26" i="24"/>
  <c r="AI26" i="24" s="1"/>
  <c r="BQ26" i="24" s="1"/>
  <c r="CT25" i="24"/>
  <c r="CQ25" i="24"/>
  <c r="CF25" i="24"/>
  <c r="CU25" i="24" s="1"/>
  <c r="H36" i="25" s="1"/>
  <c r="BL25" i="24"/>
  <c r="BI25" i="24"/>
  <c r="AX25" i="24"/>
  <c r="BM25" i="24" s="1"/>
  <c r="G36" i="25" s="1"/>
  <c r="AE25" i="24"/>
  <c r="F36" i="25" s="1"/>
  <c r="I36" i="25" s="1"/>
  <c r="AD25" i="24"/>
  <c r="AA25" i="24"/>
  <c r="P25" i="24"/>
  <c r="B25" i="24"/>
  <c r="AI25" i="24" s="1"/>
  <c r="BQ25" i="24" s="1"/>
  <c r="CU24" i="24"/>
  <c r="H35" i="25" s="1"/>
  <c r="CT24" i="24"/>
  <c r="CQ24" i="24"/>
  <c r="CF24" i="24"/>
  <c r="BQ24" i="24"/>
  <c r="BL24" i="24"/>
  <c r="BI24" i="24"/>
  <c r="AX24" i="24"/>
  <c r="BM24" i="24" s="1"/>
  <c r="G35" i="25" s="1"/>
  <c r="AI24" i="24"/>
  <c r="AD24" i="24"/>
  <c r="AA24" i="24"/>
  <c r="P24" i="24"/>
  <c r="AE24" i="24" s="1"/>
  <c r="F35" i="25" s="1"/>
  <c r="B24" i="24"/>
  <c r="CU23" i="24"/>
  <c r="H34" i="25" s="1"/>
  <c r="CT23" i="24"/>
  <c r="CQ23" i="24"/>
  <c r="CF23" i="24"/>
  <c r="BL23" i="24"/>
  <c r="BI23" i="24"/>
  <c r="AX23" i="24"/>
  <c r="BM23" i="24" s="1"/>
  <c r="G34" i="25" s="1"/>
  <c r="AI23" i="24"/>
  <c r="BQ23" i="24" s="1"/>
  <c r="AD23" i="24"/>
  <c r="AA23" i="24"/>
  <c r="P23" i="24"/>
  <c r="AE23" i="24" s="1"/>
  <c r="F34" i="25" s="1"/>
  <c r="I34" i="25" s="1"/>
  <c r="B23" i="24"/>
  <c r="CT22" i="24"/>
  <c r="CQ22" i="24"/>
  <c r="CF22" i="24"/>
  <c r="CU22" i="24" s="1"/>
  <c r="H33" i="25" s="1"/>
  <c r="BM22" i="24"/>
  <c r="G33" i="25" s="1"/>
  <c r="BL22" i="24"/>
  <c r="BI22" i="24"/>
  <c r="AX22" i="24"/>
  <c r="AI22" i="24"/>
  <c r="BQ22" i="24" s="1"/>
  <c r="AE22" i="24"/>
  <c r="F33" i="25" s="1"/>
  <c r="I33" i="25" s="1"/>
  <c r="AD22" i="24"/>
  <c r="AA22" i="24"/>
  <c r="P22" i="24"/>
  <c r="B22" i="24"/>
  <c r="CT21" i="24"/>
  <c r="CQ21" i="24"/>
  <c r="CF21" i="24"/>
  <c r="CU21" i="24" s="1"/>
  <c r="H32" i="25" s="1"/>
  <c r="BL21" i="24"/>
  <c r="BI21" i="24"/>
  <c r="AX21" i="24"/>
  <c r="BM21" i="24" s="1"/>
  <c r="AE21" i="24"/>
  <c r="F32" i="25" s="1"/>
  <c r="I32" i="25" s="1"/>
  <c r="AD21" i="24"/>
  <c r="AA21" i="24"/>
  <c r="P21" i="24"/>
  <c r="B21" i="24"/>
  <c r="AI21" i="24" s="1"/>
  <c r="BQ21" i="24" s="1"/>
  <c r="CT20" i="24"/>
  <c r="CQ20" i="24"/>
  <c r="CF20" i="24"/>
  <c r="CU20" i="24" s="1"/>
  <c r="H31" i="25" s="1"/>
  <c r="BQ20" i="24"/>
  <c r="BL20" i="24"/>
  <c r="BI20" i="24"/>
  <c r="AX20" i="24"/>
  <c r="BM20" i="24" s="1"/>
  <c r="G31" i="25" s="1"/>
  <c r="AI20" i="24"/>
  <c r="AD20" i="24"/>
  <c r="AA20" i="24"/>
  <c r="P20" i="24"/>
  <c r="AE20" i="24" s="1"/>
  <c r="F31" i="25" s="1"/>
  <c r="I31" i="25" s="1"/>
  <c r="B20" i="24"/>
  <c r="CU19" i="24"/>
  <c r="H30" i="25" s="1"/>
  <c r="CT19" i="24"/>
  <c r="CQ19" i="24"/>
  <c r="CF19" i="24"/>
  <c r="BQ19" i="24"/>
  <c r="BM19" i="24"/>
  <c r="G30" i="25" s="1"/>
  <c r="BL19" i="24"/>
  <c r="BI19" i="24"/>
  <c r="AX19" i="24"/>
  <c r="AI19" i="24"/>
  <c r="AD19" i="24"/>
  <c r="AA19" i="24"/>
  <c r="P19" i="24"/>
  <c r="AE19" i="24" s="1"/>
  <c r="F30" i="25" s="1"/>
  <c r="I30" i="25" s="1"/>
  <c r="B19" i="24"/>
  <c r="CT18" i="24"/>
  <c r="CQ18" i="24"/>
  <c r="CF18" i="24"/>
  <c r="CU18" i="24" s="1"/>
  <c r="H29" i="25" s="1"/>
  <c r="BM18" i="24"/>
  <c r="G29" i="25" s="1"/>
  <c r="BL18" i="24"/>
  <c r="BI18" i="24"/>
  <c r="AX18" i="24"/>
  <c r="AD18" i="24"/>
  <c r="AA18" i="24"/>
  <c r="P18" i="24"/>
  <c r="AE18" i="24" s="1"/>
  <c r="F29" i="25" s="1"/>
  <c r="I29" i="25" s="1"/>
  <c r="B18" i="24"/>
  <c r="AI18" i="24" s="1"/>
  <c r="BQ18" i="24" s="1"/>
  <c r="CT17" i="24"/>
  <c r="CQ17" i="24"/>
  <c r="CF17" i="24"/>
  <c r="CU17" i="24" s="1"/>
  <c r="H28" i="25" s="1"/>
  <c r="BL17" i="24"/>
  <c r="BI17" i="24"/>
  <c r="AX17" i="24"/>
  <c r="BM17" i="24" s="1"/>
  <c r="G28" i="25" s="1"/>
  <c r="AE17" i="24"/>
  <c r="F28" i="25" s="1"/>
  <c r="I28" i="25" s="1"/>
  <c r="AD17" i="24"/>
  <c r="AA17" i="24"/>
  <c r="P17" i="24"/>
  <c r="B17" i="24"/>
  <c r="AI17" i="24" s="1"/>
  <c r="BQ17" i="24" s="1"/>
  <c r="CU16" i="24"/>
  <c r="CT16" i="24"/>
  <c r="CQ16" i="24"/>
  <c r="CF16" i="24"/>
  <c r="BQ16" i="24"/>
  <c r="BL16" i="24"/>
  <c r="BI16" i="24"/>
  <c r="AX16" i="24"/>
  <c r="BM16" i="24" s="1"/>
  <c r="G27" i="25" s="1"/>
  <c r="AI16" i="24"/>
  <c r="AD16" i="24"/>
  <c r="AA16" i="24"/>
  <c r="P16" i="24"/>
  <c r="AE16" i="24" s="1"/>
  <c r="F27" i="25" s="1"/>
  <c r="B16" i="24"/>
  <c r="CU15" i="24"/>
  <c r="H26" i="25" s="1"/>
  <c r="CT15" i="24"/>
  <c r="CQ15" i="24"/>
  <c r="CF15" i="24"/>
  <c r="BL15" i="24"/>
  <c r="BI15" i="24"/>
  <c r="AX15" i="24"/>
  <c r="BM15" i="24" s="1"/>
  <c r="G26" i="25" s="1"/>
  <c r="AI15" i="24"/>
  <c r="BQ15" i="24" s="1"/>
  <c r="AD15" i="24"/>
  <c r="AA15" i="24"/>
  <c r="P15" i="24"/>
  <c r="AE15" i="24" s="1"/>
  <c r="F26" i="25" s="1"/>
  <c r="I26" i="25" s="1"/>
  <c r="B15" i="24"/>
  <c r="CT14" i="24"/>
  <c r="CQ14" i="24"/>
  <c r="CF14" i="24"/>
  <c r="CU14" i="24" s="1"/>
  <c r="H25" i="25" s="1"/>
  <c r="BM14" i="24"/>
  <c r="G25" i="25" s="1"/>
  <c r="BL14" i="24"/>
  <c r="BI14" i="24"/>
  <c r="AX14" i="24"/>
  <c r="AI14" i="24"/>
  <c r="BQ14" i="24" s="1"/>
  <c r="AE14" i="24"/>
  <c r="F25" i="25" s="1"/>
  <c r="I25" i="25" s="1"/>
  <c r="AD14" i="24"/>
  <c r="AA14" i="24"/>
  <c r="P14" i="24"/>
  <c r="B14" i="24"/>
  <c r="CT13" i="24"/>
  <c r="CQ13" i="24"/>
  <c r="CF13" i="24"/>
  <c r="CU13" i="24" s="1"/>
  <c r="H24" i="25" s="1"/>
  <c r="BL13" i="24"/>
  <c r="BI13" i="24"/>
  <c r="AX13" i="24"/>
  <c r="BM13" i="24" s="1"/>
  <c r="G24" i="25" s="1"/>
  <c r="AE13" i="24"/>
  <c r="F24" i="25" s="1"/>
  <c r="I24" i="25" s="1"/>
  <c r="AD13" i="24"/>
  <c r="AA13" i="24"/>
  <c r="P13" i="24"/>
  <c r="B13" i="24"/>
  <c r="AI13" i="24" s="1"/>
  <c r="BQ13" i="24" s="1"/>
  <c r="CT12" i="24"/>
  <c r="CQ12" i="24"/>
  <c r="CF12" i="24"/>
  <c r="CU12" i="24" s="1"/>
  <c r="H23" i="25" s="1"/>
  <c r="BQ12" i="24"/>
  <c r="BL12" i="24"/>
  <c r="BI12" i="24"/>
  <c r="AX12" i="24"/>
  <c r="BM12" i="24" s="1"/>
  <c r="G23" i="25" s="1"/>
  <c r="AI12" i="24"/>
  <c r="AD12" i="24"/>
  <c r="AA12" i="24"/>
  <c r="P12" i="24"/>
  <c r="AE12" i="24" s="1"/>
  <c r="F23" i="25" s="1"/>
  <c r="I23" i="25" s="1"/>
  <c r="B12" i="24"/>
  <c r="CU11" i="24"/>
  <c r="H22" i="25" s="1"/>
  <c r="CT11" i="24"/>
  <c r="CQ11" i="24"/>
  <c r="CF11" i="24"/>
  <c r="BQ11" i="24"/>
  <c r="BM11" i="24"/>
  <c r="G22" i="25" s="1"/>
  <c r="BL11" i="24"/>
  <c r="BI11" i="24"/>
  <c r="AX11" i="24"/>
  <c r="AI11" i="24"/>
  <c r="AD11" i="24"/>
  <c r="AA11" i="24"/>
  <c r="P11" i="24"/>
  <c r="AE11" i="24" s="1"/>
  <c r="F22" i="25" s="1"/>
  <c r="I22" i="25" s="1"/>
  <c r="B11" i="24"/>
  <c r="CT10" i="24"/>
  <c r="CQ10" i="24"/>
  <c r="CF10" i="24"/>
  <c r="CU10" i="24" s="1"/>
  <c r="H21" i="25" s="1"/>
  <c r="BM10" i="24"/>
  <c r="BL10" i="24"/>
  <c r="BI10" i="24"/>
  <c r="AX10" i="24"/>
  <c r="AD10" i="24"/>
  <c r="AA10" i="24"/>
  <c r="P10" i="24"/>
  <c r="AE10" i="24" s="1"/>
  <c r="B10" i="24"/>
  <c r="AI10" i="24" s="1"/>
  <c r="BQ10" i="24" s="1"/>
  <c r="CT9" i="24"/>
  <c r="CQ9" i="24"/>
  <c r="CF9" i="24"/>
  <c r="CU9" i="24" s="1"/>
  <c r="H20" i="25" s="1"/>
  <c r="BL9" i="24"/>
  <c r="BI9" i="24"/>
  <c r="AX9" i="24"/>
  <c r="BM9" i="24" s="1"/>
  <c r="G20" i="25" s="1"/>
  <c r="AE9" i="24"/>
  <c r="F20" i="25" s="1"/>
  <c r="I20" i="25" s="1"/>
  <c r="AD9" i="24"/>
  <c r="AA9" i="24"/>
  <c r="P9" i="24"/>
  <c r="B9" i="24"/>
  <c r="AI9" i="24" s="1"/>
  <c r="BQ9" i="24" s="1"/>
  <c r="CU8" i="24"/>
  <c r="CT8" i="24"/>
  <c r="CQ8" i="24"/>
  <c r="CF8" i="24"/>
  <c r="BQ8" i="24"/>
  <c r="BL8" i="24"/>
  <c r="BI8" i="24"/>
  <c r="AX8" i="24"/>
  <c r="BM8" i="24" s="1"/>
  <c r="G19" i="25" s="1"/>
  <c r="AI8" i="24"/>
  <c r="AD8" i="24"/>
  <c r="AA8" i="24"/>
  <c r="P8" i="24"/>
  <c r="AE8" i="24" s="1"/>
  <c r="F19" i="25" s="1"/>
  <c r="B8" i="24"/>
  <c r="CU7" i="24"/>
  <c r="H18" i="25" s="1"/>
  <c r="CT7" i="24"/>
  <c r="CQ7" i="24"/>
  <c r="CF7" i="24"/>
  <c r="BL7" i="24"/>
  <c r="BI7" i="24"/>
  <c r="AX7" i="24"/>
  <c r="BM7" i="24" s="1"/>
  <c r="G18" i="25" s="1"/>
  <c r="AI7" i="24"/>
  <c r="BQ7" i="24" s="1"/>
  <c r="AD7" i="24"/>
  <c r="AA7" i="24"/>
  <c r="P7" i="24"/>
  <c r="AE7" i="24" s="1"/>
  <c r="F18" i="25" s="1"/>
  <c r="I18" i="25" s="1"/>
  <c r="B7" i="24"/>
  <c r="CT6" i="24"/>
  <c r="CQ6" i="24"/>
  <c r="CF6" i="24"/>
  <c r="CU6" i="24" s="1"/>
  <c r="H17" i="25" s="1"/>
  <c r="BL6" i="24"/>
  <c r="BI6" i="24"/>
  <c r="AX6" i="24"/>
  <c r="BM6" i="24" s="1"/>
  <c r="G17" i="25" s="1"/>
  <c r="AI6" i="24"/>
  <c r="BQ6" i="24" s="1"/>
  <c r="AE6" i="24"/>
  <c r="F17" i="25" s="1"/>
  <c r="I17" i="25" s="1"/>
  <c r="AD6" i="24"/>
  <c r="AA6" i="24"/>
  <c r="P6" i="24"/>
  <c r="B6" i="24"/>
  <c r="CT5" i="24"/>
  <c r="CQ5" i="24"/>
  <c r="CF5" i="24"/>
  <c r="CU5" i="24" s="1"/>
  <c r="H16" i="25" s="1"/>
  <c r="BL5" i="24"/>
  <c r="BI5" i="24"/>
  <c r="AX5" i="24"/>
  <c r="BM5" i="24" s="1"/>
  <c r="G16" i="25" s="1"/>
  <c r="AE5" i="24"/>
  <c r="F16" i="25" s="1"/>
  <c r="I16" i="25" s="1"/>
  <c r="AD5" i="24"/>
  <c r="AA5" i="24"/>
  <c r="P5" i="24"/>
  <c r="B5" i="24"/>
  <c r="AI5" i="24" s="1"/>
  <c r="BQ5" i="24" s="1"/>
  <c r="C55" i="23"/>
  <c r="C54" i="23"/>
  <c r="C53" i="23"/>
  <c r="C52" i="23"/>
  <c r="C51" i="23"/>
  <c r="C50" i="23"/>
  <c r="F49" i="23"/>
  <c r="I49" i="23" s="1"/>
  <c r="C49" i="23"/>
  <c r="C48" i="23"/>
  <c r="G47" i="23"/>
  <c r="C47" i="23"/>
  <c r="C46" i="23"/>
  <c r="I45" i="23"/>
  <c r="C45" i="23"/>
  <c r="C44" i="23"/>
  <c r="C43" i="23"/>
  <c r="C42" i="23"/>
  <c r="F41" i="23"/>
  <c r="I41" i="23" s="1"/>
  <c r="C41" i="23"/>
  <c r="C40" i="23"/>
  <c r="G39" i="23"/>
  <c r="C39" i="23"/>
  <c r="C38" i="23"/>
  <c r="C37" i="23"/>
  <c r="C36" i="23"/>
  <c r="C35" i="23"/>
  <c r="C34" i="23"/>
  <c r="C33" i="23"/>
  <c r="C32" i="23"/>
  <c r="G31" i="23"/>
  <c r="C31" i="23"/>
  <c r="C30" i="23"/>
  <c r="C29" i="23"/>
  <c r="C28" i="23"/>
  <c r="C27" i="23"/>
  <c r="C26" i="23"/>
  <c r="F25" i="23"/>
  <c r="I25" i="23" s="1"/>
  <c r="C25" i="23"/>
  <c r="C24" i="23"/>
  <c r="G23" i="23"/>
  <c r="C23" i="23"/>
  <c r="C22" i="23"/>
  <c r="C21" i="23"/>
  <c r="C20" i="23"/>
  <c r="C19" i="23"/>
  <c r="C18" i="23"/>
  <c r="C17" i="23"/>
  <c r="C16" i="23"/>
  <c r="CT49" i="22"/>
  <c r="CQ49" i="22"/>
  <c r="CF49" i="22"/>
  <c r="CU49" i="22" s="1"/>
  <c r="B44" i="22"/>
  <c r="B43" i="22"/>
  <c r="B42" i="22"/>
  <c r="CT41" i="22"/>
  <c r="CQ41" i="22"/>
  <c r="CF41" i="22"/>
  <c r="CU41" i="22" s="1"/>
  <c r="H52" i="23" s="1"/>
  <c r="BL41" i="22"/>
  <c r="BI41" i="22"/>
  <c r="AX41" i="22"/>
  <c r="BM41" i="22" s="1"/>
  <c r="G52" i="23" s="1"/>
  <c r="AI41" i="22"/>
  <c r="BQ41" i="22" s="1"/>
  <c r="AE41" i="22"/>
  <c r="F52" i="23" s="1"/>
  <c r="I52" i="23" s="1"/>
  <c r="AD41" i="22"/>
  <c r="AA41" i="22"/>
  <c r="P41" i="22"/>
  <c r="B41" i="22"/>
  <c r="CT40" i="22"/>
  <c r="CQ40" i="22"/>
  <c r="CF40" i="22"/>
  <c r="CU40" i="22" s="1"/>
  <c r="H51" i="23" s="1"/>
  <c r="BL40" i="22"/>
  <c r="BI40" i="22"/>
  <c r="AX40" i="22"/>
  <c r="BM40" i="22" s="1"/>
  <c r="G51" i="23" s="1"/>
  <c r="AE40" i="22"/>
  <c r="F51" i="23" s="1"/>
  <c r="I51" i="23" s="1"/>
  <c r="AD40" i="22"/>
  <c r="AA40" i="22"/>
  <c r="P40" i="22"/>
  <c r="B40" i="22"/>
  <c r="AI40" i="22" s="1"/>
  <c r="BQ40" i="22" s="1"/>
  <c r="CT39" i="22"/>
  <c r="CQ39" i="22"/>
  <c r="CF39" i="22"/>
  <c r="CU39" i="22" s="1"/>
  <c r="H50" i="23" s="1"/>
  <c r="BQ39" i="22"/>
  <c r="BL39" i="22"/>
  <c r="BI39" i="22"/>
  <c r="AX39" i="22"/>
  <c r="BM39" i="22" s="1"/>
  <c r="G50" i="23" s="1"/>
  <c r="AI39" i="22"/>
  <c r="AD39" i="22"/>
  <c r="AA39" i="22"/>
  <c r="P39" i="22"/>
  <c r="AE39" i="22" s="1"/>
  <c r="F50" i="23" s="1"/>
  <c r="I50" i="23" s="1"/>
  <c r="B39" i="22"/>
  <c r="CT38" i="22"/>
  <c r="CQ38" i="22"/>
  <c r="CF38" i="22"/>
  <c r="CU38" i="22" s="1"/>
  <c r="H49" i="23" s="1"/>
  <c r="BM38" i="22"/>
  <c r="G49" i="23" s="1"/>
  <c r="BL38" i="22"/>
  <c r="BI38" i="22"/>
  <c r="AX38" i="22"/>
  <c r="AD38" i="22"/>
  <c r="AA38" i="22"/>
  <c r="P38" i="22"/>
  <c r="AE38" i="22" s="1"/>
  <c r="B38" i="22"/>
  <c r="AI38" i="22" s="1"/>
  <c r="BQ38" i="22" s="1"/>
  <c r="CT37" i="22"/>
  <c r="CQ37" i="22"/>
  <c r="CF37" i="22"/>
  <c r="CU37" i="22" s="1"/>
  <c r="H48" i="23" s="1"/>
  <c r="BM37" i="22"/>
  <c r="G48" i="23" s="1"/>
  <c r="BL37" i="22"/>
  <c r="BI37" i="22"/>
  <c r="AX37" i="22"/>
  <c r="AD37" i="22"/>
  <c r="AA37" i="22"/>
  <c r="P37" i="22"/>
  <c r="AE37" i="22" s="1"/>
  <c r="F48" i="23" s="1"/>
  <c r="I48" i="23" s="1"/>
  <c r="B37" i="22"/>
  <c r="AI37" i="22" s="1"/>
  <c r="BQ37" i="22" s="1"/>
  <c r="CT36" i="22"/>
  <c r="CQ36" i="22"/>
  <c r="CF36" i="22"/>
  <c r="CU36" i="22" s="1"/>
  <c r="H47" i="23" s="1"/>
  <c r="BL36" i="22"/>
  <c r="BI36" i="22"/>
  <c r="AX36" i="22"/>
  <c r="BM36" i="22" s="1"/>
  <c r="AD36" i="22"/>
  <c r="AA36" i="22"/>
  <c r="P36" i="22"/>
  <c r="AE36" i="22" s="1"/>
  <c r="F47" i="23" s="1"/>
  <c r="I47" i="23" s="1"/>
  <c r="B36" i="22"/>
  <c r="AI36" i="22" s="1"/>
  <c r="BQ36" i="22" s="1"/>
  <c r="CU35" i="22"/>
  <c r="H46" i="23" s="1"/>
  <c r="CT35" i="22"/>
  <c r="CQ35" i="22"/>
  <c r="CF35" i="22"/>
  <c r="BL35" i="22"/>
  <c r="BI35" i="22"/>
  <c r="AX35" i="22"/>
  <c r="BM35" i="22" s="1"/>
  <c r="G46" i="23" s="1"/>
  <c r="AD35" i="22"/>
  <c r="AA35" i="22"/>
  <c r="P35" i="22"/>
  <c r="AE35" i="22" s="1"/>
  <c r="F46" i="23" s="1"/>
  <c r="I46" i="23" s="1"/>
  <c r="B35" i="22"/>
  <c r="AI35" i="22" s="1"/>
  <c r="BQ35" i="22" s="1"/>
  <c r="CU34" i="22"/>
  <c r="H45" i="23" s="1"/>
  <c r="CT34" i="22"/>
  <c r="CQ34" i="22"/>
  <c r="CF34" i="22"/>
  <c r="BL34" i="22"/>
  <c r="BI34" i="22"/>
  <c r="AX34" i="22"/>
  <c r="BM34" i="22" s="1"/>
  <c r="G45" i="23" s="1"/>
  <c r="AI34" i="22"/>
  <c r="BQ34" i="22" s="1"/>
  <c r="AD34" i="22"/>
  <c r="AA34" i="22"/>
  <c r="P34" i="22"/>
  <c r="AE34" i="22" s="1"/>
  <c r="F45" i="23" s="1"/>
  <c r="B34" i="22"/>
  <c r="CT33" i="22"/>
  <c r="CQ33" i="22"/>
  <c r="CF33" i="22"/>
  <c r="CU33" i="22" s="1"/>
  <c r="H44" i="23" s="1"/>
  <c r="BL33" i="22"/>
  <c r="BI33" i="22"/>
  <c r="AX33" i="22"/>
  <c r="BM33" i="22" s="1"/>
  <c r="G44" i="23" s="1"/>
  <c r="AI33" i="22"/>
  <c r="BQ33" i="22" s="1"/>
  <c r="AE33" i="22"/>
  <c r="F44" i="23" s="1"/>
  <c r="I44" i="23" s="1"/>
  <c r="AD33" i="22"/>
  <c r="AA33" i="22"/>
  <c r="P33" i="22"/>
  <c r="B33" i="22"/>
  <c r="CT32" i="22"/>
  <c r="CQ32" i="22"/>
  <c r="CF32" i="22"/>
  <c r="CU32" i="22" s="1"/>
  <c r="H43" i="23" s="1"/>
  <c r="BL32" i="22"/>
  <c r="BI32" i="22"/>
  <c r="AX32" i="22"/>
  <c r="BM32" i="22" s="1"/>
  <c r="G43" i="23" s="1"/>
  <c r="AE32" i="22"/>
  <c r="F43" i="23" s="1"/>
  <c r="I43" i="23" s="1"/>
  <c r="AD32" i="22"/>
  <c r="AA32" i="22"/>
  <c r="P32" i="22"/>
  <c r="B32" i="22"/>
  <c r="AI32" i="22" s="1"/>
  <c r="BQ32" i="22" s="1"/>
  <c r="CT31" i="22"/>
  <c r="CQ31" i="22"/>
  <c r="CF31" i="22"/>
  <c r="CU31" i="22" s="1"/>
  <c r="H42" i="23" s="1"/>
  <c r="BQ31" i="22"/>
  <c r="BL31" i="22"/>
  <c r="BI31" i="22"/>
  <c r="AX31" i="22"/>
  <c r="BM31" i="22" s="1"/>
  <c r="G42" i="23" s="1"/>
  <c r="AI31" i="22"/>
  <c r="AD31" i="22"/>
  <c r="AA31" i="22"/>
  <c r="P31" i="22"/>
  <c r="AE31" i="22" s="1"/>
  <c r="F42" i="23" s="1"/>
  <c r="I42" i="23" s="1"/>
  <c r="B31" i="22"/>
  <c r="CT30" i="22"/>
  <c r="CQ30" i="22"/>
  <c r="CF30" i="22"/>
  <c r="CU30" i="22" s="1"/>
  <c r="H41" i="23" s="1"/>
  <c r="BQ30" i="22"/>
  <c r="BM30" i="22"/>
  <c r="G41" i="23" s="1"/>
  <c r="BL30" i="22"/>
  <c r="BI30" i="22"/>
  <c r="AX30" i="22"/>
  <c r="AI30" i="22"/>
  <c r="AD30" i="22"/>
  <c r="AA30" i="22"/>
  <c r="P30" i="22"/>
  <c r="AE30" i="22" s="1"/>
  <c r="B30" i="22"/>
  <c r="CT29" i="22"/>
  <c r="CQ29" i="22"/>
  <c r="CF29" i="22"/>
  <c r="CU29" i="22" s="1"/>
  <c r="H40" i="23" s="1"/>
  <c r="BM29" i="22"/>
  <c r="G40" i="23" s="1"/>
  <c r="BL29" i="22"/>
  <c r="BI29" i="22"/>
  <c r="AX29" i="22"/>
  <c r="AD29" i="22"/>
  <c r="AA29" i="22"/>
  <c r="P29" i="22"/>
  <c r="AE29" i="22" s="1"/>
  <c r="F40" i="23" s="1"/>
  <c r="I40" i="23" s="1"/>
  <c r="B29" i="22"/>
  <c r="AI29" i="22" s="1"/>
  <c r="BQ29" i="22" s="1"/>
  <c r="CT28" i="22"/>
  <c r="CQ28" i="22"/>
  <c r="CF28" i="22"/>
  <c r="CU28" i="22" s="1"/>
  <c r="H39" i="23" s="1"/>
  <c r="BL28" i="22"/>
  <c r="BI28" i="22"/>
  <c r="AX28" i="22"/>
  <c r="BM28" i="22" s="1"/>
  <c r="AD28" i="22"/>
  <c r="AA28" i="22"/>
  <c r="P28" i="22"/>
  <c r="AE28" i="22" s="1"/>
  <c r="F39" i="23" s="1"/>
  <c r="I39" i="23" s="1"/>
  <c r="B28" i="22"/>
  <c r="AI28" i="22" s="1"/>
  <c r="BQ28" i="22" s="1"/>
  <c r="CU27" i="22"/>
  <c r="H38" i="23" s="1"/>
  <c r="CT27" i="22"/>
  <c r="CQ27" i="22"/>
  <c r="CF27" i="22"/>
  <c r="BL27" i="22"/>
  <c r="BI27" i="22"/>
  <c r="AX27" i="22"/>
  <c r="BM27" i="22" s="1"/>
  <c r="G38" i="23" s="1"/>
  <c r="AD27" i="22"/>
  <c r="AA27" i="22"/>
  <c r="P27" i="22"/>
  <c r="AE27" i="22" s="1"/>
  <c r="F38" i="23" s="1"/>
  <c r="I38" i="23" s="1"/>
  <c r="B27" i="22"/>
  <c r="AI27" i="22" s="1"/>
  <c r="BQ27" i="22" s="1"/>
  <c r="CU26" i="22"/>
  <c r="H37" i="23" s="1"/>
  <c r="CT26" i="22"/>
  <c r="CQ26" i="22"/>
  <c r="CF26" i="22"/>
  <c r="BL26" i="22"/>
  <c r="BI26" i="22"/>
  <c r="AX26" i="22"/>
  <c r="BM26" i="22" s="1"/>
  <c r="G37" i="23" s="1"/>
  <c r="AI26" i="22"/>
  <c r="BQ26" i="22" s="1"/>
  <c r="AD26" i="22"/>
  <c r="AA26" i="22"/>
  <c r="P26" i="22"/>
  <c r="AE26" i="22" s="1"/>
  <c r="F37" i="23" s="1"/>
  <c r="I37" i="23" s="1"/>
  <c r="B26" i="22"/>
  <c r="CT25" i="22"/>
  <c r="CQ25" i="22"/>
  <c r="CF25" i="22"/>
  <c r="CU25" i="22" s="1"/>
  <c r="H36" i="23" s="1"/>
  <c r="BL25" i="22"/>
  <c r="BI25" i="22"/>
  <c r="AX25" i="22"/>
  <c r="BM25" i="22" s="1"/>
  <c r="G36" i="23" s="1"/>
  <c r="AI25" i="22"/>
  <c r="BQ25" i="22" s="1"/>
  <c r="AE25" i="22"/>
  <c r="F36" i="23" s="1"/>
  <c r="I36" i="23" s="1"/>
  <c r="AD25" i="22"/>
  <c r="AA25" i="22"/>
  <c r="P25" i="22"/>
  <c r="B25" i="22"/>
  <c r="CT24" i="22"/>
  <c r="CQ24" i="22"/>
  <c r="CF24" i="22"/>
  <c r="CU24" i="22" s="1"/>
  <c r="H35" i="23" s="1"/>
  <c r="BL24" i="22"/>
  <c r="BI24" i="22"/>
  <c r="AX24" i="22"/>
  <c r="BM24" i="22" s="1"/>
  <c r="G35" i="23" s="1"/>
  <c r="AE24" i="22"/>
  <c r="F35" i="23" s="1"/>
  <c r="I35" i="23" s="1"/>
  <c r="AD24" i="22"/>
  <c r="AA24" i="22"/>
  <c r="P24" i="22"/>
  <c r="B24" i="22"/>
  <c r="AI24" i="22" s="1"/>
  <c r="BQ24" i="22" s="1"/>
  <c r="CT23" i="22"/>
  <c r="CQ23" i="22"/>
  <c r="CF23" i="22"/>
  <c r="CU23" i="22" s="1"/>
  <c r="H34" i="23" s="1"/>
  <c r="BQ23" i="22"/>
  <c r="BL23" i="22"/>
  <c r="BI23" i="22"/>
  <c r="AX23" i="22"/>
  <c r="BM23" i="22" s="1"/>
  <c r="G34" i="23" s="1"/>
  <c r="AI23" i="22"/>
  <c r="AD23" i="22"/>
  <c r="AA23" i="22"/>
  <c r="P23" i="22"/>
  <c r="AE23" i="22" s="1"/>
  <c r="F34" i="23" s="1"/>
  <c r="I34" i="23" s="1"/>
  <c r="B23" i="22"/>
  <c r="CT22" i="22"/>
  <c r="CQ22" i="22"/>
  <c r="CF22" i="22"/>
  <c r="CU22" i="22" s="1"/>
  <c r="H33" i="23" s="1"/>
  <c r="BQ22" i="22"/>
  <c r="BM22" i="22"/>
  <c r="G33" i="23" s="1"/>
  <c r="BL22" i="22"/>
  <c r="BI22" i="22"/>
  <c r="AX22" i="22"/>
  <c r="AI22" i="22"/>
  <c r="AD22" i="22"/>
  <c r="AA22" i="22"/>
  <c r="P22" i="22"/>
  <c r="AE22" i="22" s="1"/>
  <c r="F33" i="23" s="1"/>
  <c r="I33" i="23" s="1"/>
  <c r="B22" i="22"/>
  <c r="CT21" i="22"/>
  <c r="CQ21" i="22"/>
  <c r="CF21" i="22"/>
  <c r="CU21" i="22" s="1"/>
  <c r="H32" i="23" s="1"/>
  <c r="BM21" i="22"/>
  <c r="G32" i="23" s="1"/>
  <c r="BL21" i="22"/>
  <c r="BI21" i="22"/>
  <c r="AX21" i="22"/>
  <c r="AD21" i="22"/>
  <c r="AA21" i="22"/>
  <c r="P21" i="22"/>
  <c r="AE21" i="22" s="1"/>
  <c r="F32" i="23" s="1"/>
  <c r="I32" i="23" s="1"/>
  <c r="B21" i="22"/>
  <c r="AI21" i="22" s="1"/>
  <c r="BQ21" i="22" s="1"/>
  <c r="CT20" i="22"/>
  <c r="CQ20" i="22"/>
  <c r="CF20" i="22"/>
  <c r="CU20" i="22" s="1"/>
  <c r="H31" i="23" s="1"/>
  <c r="BL20" i="22"/>
  <c r="BI20" i="22"/>
  <c r="AX20" i="22"/>
  <c r="BM20" i="22" s="1"/>
  <c r="AD20" i="22"/>
  <c r="AA20" i="22"/>
  <c r="P20" i="22"/>
  <c r="AE20" i="22" s="1"/>
  <c r="F31" i="23" s="1"/>
  <c r="I31" i="23" s="1"/>
  <c r="B20" i="22"/>
  <c r="AI20" i="22" s="1"/>
  <c r="BQ20" i="22" s="1"/>
  <c r="CU19" i="22"/>
  <c r="H30" i="23" s="1"/>
  <c r="CT19" i="22"/>
  <c r="CQ19" i="22"/>
  <c r="CF19" i="22"/>
  <c r="BL19" i="22"/>
  <c r="BI19" i="22"/>
  <c r="AX19" i="22"/>
  <c r="BM19" i="22" s="1"/>
  <c r="G30" i="23" s="1"/>
  <c r="AD19" i="22"/>
  <c r="AA19" i="22"/>
  <c r="P19" i="22"/>
  <c r="AE19" i="22" s="1"/>
  <c r="F30" i="23" s="1"/>
  <c r="I30" i="23" s="1"/>
  <c r="B19" i="22"/>
  <c r="AI19" i="22" s="1"/>
  <c r="BQ19" i="22" s="1"/>
  <c r="CU18" i="22"/>
  <c r="H29" i="23" s="1"/>
  <c r="CT18" i="22"/>
  <c r="CQ18" i="22"/>
  <c r="CF18" i="22"/>
  <c r="BL18" i="22"/>
  <c r="BI18" i="22"/>
  <c r="AX18" i="22"/>
  <c r="BM18" i="22" s="1"/>
  <c r="G29" i="23" s="1"/>
  <c r="AI18" i="22"/>
  <c r="BQ18" i="22" s="1"/>
  <c r="AD18" i="22"/>
  <c r="AA18" i="22"/>
  <c r="P18" i="22"/>
  <c r="AE18" i="22" s="1"/>
  <c r="F29" i="23" s="1"/>
  <c r="I29" i="23" s="1"/>
  <c r="B18" i="22"/>
  <c r="CT17" i="22"/>
  <c r="CQ17" i="22"/>
  <c r="CF17" i="22"/>
  <c r="CU17" i="22" s="1"/>
  <c r="H28" i="23" s="1"/>
  <c r="BL17" i="22"/>
  <c r="BI17" i="22"/>
  <c r="AX17" i="22"/>
  <c r="BM17" i="22" s="1"/>
  <c r="G28" i="23" s="1"/>
  <c r="AI17" i="22"/>
  <c r="BQ17" i="22" s="1"/>
  <c r="AE17" i="22"/>
  <c r="F28" i="23" s="1"/>
  <c r="I28" i="23" s="1"/>
  <c r="AD17" i="22"/>
  <c r="AA17" i="22"/>
  <c r="P17" i="22"/>
  <c r="B17" i="22"/>
  <c r="CT16" i="22"/>
  <c r="CQ16" i="22"/>
  <c r="CF16" i="22"/>
  <c r="CU16" i="22" s="1"/>
  <c r="H27" i="23" s="1"/>
  <c r="BL16" i="22"/>
  <c r="BI16" i="22"/>
  <c r="AX16" i="22"/>
  <c r="BM16" i="22" s="1"/>
  <c r="G27" i="23" s="1"/>
  <c r="AE16" i="22"/>
  <c r="F27" i="23" s="1"/>
  <c r="I27" i="23" s="1"/>
  <c r="AD16" i="22"/>
  <c r="AA16" i="22"/>
  <c r="P16" i="22"/>
  <c r="B16" i="22"/>
  <c r="AI16" i="22" s="1"/>
  <c r="BQ16" i="22" s="1"/>
  <c r="CT15" i="22"/>
  <c r="CQ15" i="22"/>
  <c r="CF15" i="22"/>
  <c r="CU15" i="22" s="1"/>
  <c r="H26" i="23" s="1"/>
  <c r="BQ15" i="22"/>
  <c r="BL15" i="22"/>
  <c r="BI15" i="22"/>
  <c r="AX15" i="22"/>
  <c r="BM15" i="22" s="1"/>
  <c r="G26" i="23" s="1"/>
  <c r="AI15" i="22"/>
  <c r="AD15" i="22"/>
  <c r="AA15" i="22"/>
  <c r="P15" i="22"/>
  <c r="AE15" i="22" s="1"/>
  <c r="F26" i="23" s="1"/>
  <c r="I26" i="23" s="1"/>
  <c r="B15" i="22"/>
  <c r="CT14" i="22"/>
  <c r="CQ14" i="22"/>
  <c r="CF14" i="22"/>
  <c r="CU14" i="22" s="1"/>
  <c r="H25" i="23" s="1"/>
  <c r="BQ14" i="22"/>
  <c r="BM14" i="22"/>
  <c r="G25" i="23" s="1"/>
  <c r="BL14" i="22"/>
  <c r="BI14" i="22"/>
  <c r="AX14" i="22"/>
  <c r="AI14" i="22"/>
  <c r="AD14" i="22"/>
  <c r="AA14" i="22"/>
  <c r="P14" i="22"/>
  <c r="AE14" i="22" s="1"/>
  <c r="B14" i="22"/>
  <c r="CT13" i="22"/>
  <c r="CQ13" i="22"/>
  <c r="CF13" i="22"/>
  <c r="CU13" i="22" s="1"/>
  <c r="H24" i="23" s="1"/>
  <c r="BM13" i="22"/>
  <c r="G24" i="23" s="1"/>
  <c r="BL13" i="22"/>
  <c r="BI13" i="22"/>
  <c r="AX13" i="22"/>
  <c r="AD13" i="22"/>
  <c r="AA13" i="22"/>
  <c r="P13" i="22"/>
  <c r="AE13" i="22" s="1"/>
  <c r="F24" i="23" s="1"/>
  <c r="I24" i="23" s="1"/>
  <c r="B13" i="22"/>
  <c r="AI13" i="22" s="1"/>
  <c r="BQ13" i="22" s="1"/>
  <c r="CT12" i="22"/>
  <c r="CQ12" i="22"/>
  <c r="CF12" i="22"/>
  <c r="CU12" i="22" s="1"/>
  <c r="H23" i="23" s="1"/>
  <c r="BL12" i="22"/>
  <c r="BI12" i="22"/>
  <c r="AX12" i="22"/>
  <c r="BM12" i="22" s="1"/>
  <c r="AE12" i="22"/>
  <c r="F23" i="23" s="1"/>
  <c r="I23" i="23" s="1"/>
  <c r="AD12" i="22"/>
  <c r="AA12" i="22"/>
  <c r="P12" i="22"/>
  <c r="B12" i="22"/>
  <c r="AI12" i="22" s="1"/>
  <c r="BQ12" i="22" s="1"/>
  <c r="CU11" i="22"/>
  <c r="H22" i="23" s="1"/>
  <c r="CT11" i="22"/>
  <c r="CQ11" i="22"/>
  <c r="CF11" i="22"/>
  <c r="BL11" i="22"/>
  <c r="BI11" i="22"/>
  <c r="AX11" i="22"/>
  <c r="BM11" i="22" s="1"/>
  <c r="G22" i="23" s="1"/>
  <c r="AI11" i="22"/>
  <c r="BQ11" i="22" s="1"/>
  <c r="AD11" i="22"/>
  <c r="AA11" i="22"/>
  <c r="P11" i="22"/>
  <c r="AE11" i="22" s="1"/>
  <c r="F22" i="23" s="1"/>
  <c r="I22" i="23" s="1"/>
  <c r="B11" i="22"/>
  <c r="CU10" i="22"/>
  <c r="H21" i="23" s="1"/>
  <c r="CT10" i="22"/>
  <c r="CQ10" i="22"/>
  <c r="CF10" i="22"/>
  <c r="BL10" i="22"/>
  <c r="BI10" i="22"/>
  <c r="AX10" i="22"/>
  <c r="BM10" i="22" s="1"/>
  <c r="G21" i="23" s="1"/>
  <c r="AI10" i="22"/>
  <c r="BQ10" i="22" s="1"/>
  <c r="AD10" i="22"/>
  <c r="AA10" i="22"/>
  <c r="P10" i="22"/>
  <c r="AE10" i="22" s="1"/>
  <c r="F21" i="23" s="1"/>
  <c r="I21" i="23" s="1"/>
  <c r="B10" i="22"/>
  <c r="CT9" i="22"/>
  <c r="CQ9" i="22"/>
  <c r="CF9" i="22"/>
  <c r="CU9" i="22" s="1"/>
  <c r="H20" i="23" s="1"/>
  <c r="BL9" i="22"/>
  <c r="BI9" i="22"/>
  <c r="AX9" i="22"/>
  <c r="BM9" i="22" s="1"/>
  <c r="G20" i="23" s="1"/>
  <c r="AI9" i="22"/>
  <c r="BQ9" i="22" s="1"/>
  <c r="AE9" i="22"/>
  <c r="F20" i="23" s="1"/>
  <c r="I20" i="23" s="1"/>
  <c r="AD9" i="22"/>
  <c r="AA9" i="22"/>
  <c r="P9" i="22"/>
  <c r="B9" i="22"/>
  <c r="CU8" i="22"/>
  <c r="H19" i="23" s="1"/>
  <c r="CT8" i="22"/>
  <c r="CQ8" i="22"/>
  <c r="CF8" i="22"/>
  <c r="BL8" i="22"/>
  <c r="BI8" i="22"/>
  <c r="AX8" i="22"/>
  <c r="BM8" i="22" s="1"/>
  <c r="G19" i="23" s="1"/>
  <c r="AD8" i="22"/>
  <c r="AA8" i="22"/>
  <c r="P8" i="22"/>
  <c r="AE8" i="22" s="1"/>
  <c r="F19" i="23" s="1"/>
  <c r="I19" i="23" s="1"/>
  <c r="B8" i="22"/>
  <c r="AI8" i="22" s="1"/>
  <c r="BQ8" i="22" s="1"/>
  <c r="CT7" i="22"/>
  <c r="CQ7" i="22"/>
  <c r="CF7" i="22"/>
  <c r="CU7" i="22" s="1"/>
  <c r="H18" i="23" s="1"/>
  <c r="BM7" i="22"/>
  <c r="G18" i="23" s="1"/>
  <c r="BL7" i="22"/>
  <c r="BI7" i="22"/>
  <c r="AX7" i="22"/>
  <c r="AD7" i="22"/>
  <c r="AA7" i="22"/>
  <c r="P7" i="22"/>
  <c r="AE7" i="22" s="1"/>
  <c r="F18" i="23" s="1"/>
  <c r="I18" i="23" s="1"/>
  <c r="B7" i="22"/>
  <c r="AI7" i="22" s="1"/>
  <c r="BQ7" i="22" s="1"/>
  <c r="CT6" i="22"/>
  <c r="CQ6" i="22"/>
  <c r="CF6" i="22"/>
  <c r="CU6" i="22" s="1"/>
  <c r="H17" i="23" s="1"/>
  <c r="BM6" i="22"/>
  <c r="G17" i="23" s="1"/>
  <c r="BL6" i="22"/>
  <c r="BI6" i="22"/>
  <c r="AX6" i="22"/>
  <c r="AD6" i="22"/>
  <c r="AA6" i="22"/>
  <c r="P6" i="22"/>
  <c r="AE6" i="22" s="1"/>
  <c r="F17" i="23" s="1"/>
  <c r="I17" i="23" s="1"/>
  <c r="B6" i="22"/>
  <c r="AI6" i="22" s="1"/>
  <c r="BQ6" i="22" s="1"/>
  <c r="CU5" i="22"/>
  <c r="H16" i="23" s="1"/>
  <c r="CT5" i="22"/>
  <c r="CQ5" i="22"/>
  <c r="CF5" i="22"/>
  <c r="BL5" i="22"/>
  <c r="BI5" i="22"/>
  <c r="AX5" i="22"/>
  <c r="BM5" i="22" s="1"/>
  <c r="G16" i="23" s="1"/>
  <c r="AD5" i="22"/>
  <c r="AA5" i="22"/>
  <c r="P5" i="22"/>
  <c r="AE5" i="22" s="1"/>
  <c r="F16" i="23" s="1"/>
  <c r="I16" i="23" s="1"/>
  <c r="B5" i="22"/>
  <c r="AI5" i="22" s="1"/>
  <c r="BQ5" i="22" s="1"/>
  <c r="C55" i="21"/>
  <c r="C54" i="21"/>
  <c r="C53" i="21"/>
  <c r="C52" i="21"/>
  <c r="G51" i="21"/>
  <c r="C51" i="21"/>
  <c r="C50" i="21"/>
  <c r="I49" i="21"/>
  <c r="C49" i="21"/>
  <c r="C48" i="21"/>
  <c r="C47" i="21"/>
  <c r="H46" i="21"/>
  <c r="C46" i="21"/>
  <c r="F45" i="21"/>
  <c r="I45" i="21" s="1"/>
  <c r="C45" i="21"/>
  <c r="C44" i="21"/>
  <c r="C43" i="21"/>
  <c r="C42" i="21"/>
  <c r="C41" i="21"/>
  <c r="F40" i="21"/>
  <c r="I40" i="21" s="1"/>
  <c r="C40" i="21"/>
  <c r="C39" i="21"/>
  <c r="H38" i="21"/>
  <c r="C38" i="21"/>
  <c r="F37" i="21"/>
  <c r="I37" i="21" s="1"/>
  <c r="C37" i="21"/>
  <c r="C36" i="21"/>
  <c r="H35" i="21"/>
  <c r="G35" i="21"/>
  <c r="C35" i="21"/>
  <c r="C34" i="21"/>
  <c r="C33" i="21"/>
  <c r="F32" i="21"/>
  <c r="I32" i="21" s="1"/>
  <c r="C32" i="21"/>
  <c r="C31" i="21"/>
  <c r="C30" i="21"/>
  <c r="F29" i="21"/>
  <c r="I29" i="21" s="1"/>
  <c r="C29" i="21"/>
  <c r="C28" i="21"/>
  <c r="G27" i="21"/>
  <c r="C27" i="21"/>
  <c r="C26" i="21"/>
  <c r="C25" i="21"/>
  <c r="C24" i="21"/>
  <c r="C23" i="21"/>
  <c r="C22" i="21"/>
  <c r="F21" i="21"/>
  <c r="I21" i="21" s="1"/>
  <c r="C21" i="21"/>
  <c r="C20" i="21"/>
  <c r="C19" i="21"/>
  <c r="C18" i="21"/>
  <c r="C17" i="21"/>
  <c r="C16" i="21"/>
  <c r="CF49" i="20"/>
  <c r="B44" i="20"/>
  <c r="B43" i="20"/>
  <c r="B42" i="20"/>
  <c r="CT41" i="20"/>
  <c r="CQ41" i="20"/>
  <c r="CF41" i="20"/>
  <c r="CU41" i="20" s="1"/>
  <c r="H52" i="21" s="1"/>
  <c r="BL41" i="20"/>
  <c r="BI41" i="20"/>
  <c r="AX41" i="20"/>
  <c r="BM41" i="20" s="1"/>
  <c r="G52" i="21" s="1"/>
  <c r="AI41" i="20"/>
  <c r="BQ41" i="20" s="1"/>
  <c r="AE41" i="20"/>
  <c r="F52" i="21" s="1"/>
  <c r="I52" i="21" s="1"/>
  <c r="AD41" i="20"/>
  <c r="AA41" i="20"/>
  <c r="P41" i="20"/>
  <c r="B41" i="20"/>
  <c r="CT40" i="20"/>
  <c r="CQ40" i="20"/>
  <c r="CF40" i="20"/>
  <c r="CU40" i="20" s="1"/>
  <c r="H51" i="21" s="1"/>
  <c r="BQ40" i="20"/>
  <c r="BL40" i="20"/>
  <c r="BI40" i="20"/>
  <c r="AX40" i="20"/>
  <c r="BM40" i="20" s="1"/>
  <c r="AI40" i="20"/>
  <c r="AE40" i="20"/>
  <c r="F51" i="21" s="1"/>
  <c r="I51" i="21" s="1"/>
  <c r="AD40" i="20"/>
  <c r="AA40" i="20"/>
  <c r="P40" i="20"/>
  <c r="B40" i="20"/>
  <c r="CT39" i="20"/>
  <c r="CQ39" i="20"/>
  <c r="CF39" i="20"/>
  <c r="CU39" i="20" s="1"/>
  <c r="H50" i="21" s="1"/>
  <c r="BQ39" i="20"/>
  <c r="BM39" i="20"/>
  <c r="G50" i="21" s="1"/>
  <c r="BL39" i="20"/>
  <c r="BI39" i="20"/>
  <c r="AX39" i="20"/>
  <c r="AI39" i="20"/>
  <c r="AD39" i="20"/>
  <c r="AA39" i="20"/>
  <c r="P39" i="20"/>
  <c r="AE39" i="20" s="1"/>
  <c r="F50" i="21" s="1"/>
  <c r="I50" i="21" s="1"/>
  <c r="B39" i="20"/>
  <c r="CT38" i="20"/>
  <c r="CQ38" i="20"/>
  <c r="CF38" i="20"/>
  <c r="CU38" i="20" s="1"/>
  <c r="H49" i="21" s="1"/>
  <c r="BM38" i="20"/>
  <c r="G49" i="21" s="1"/>
  <c r="BL38" i="20"/>
  <c r="BI38" i="20"/>
  <c r="AX38" i="20"/>
  <c r="AD38" i="20"/>
  <c r="AA38" i="20"/>
  <c r="P38" i="20"/>
  <c r="AE38" i="20" s="1"/>
  <c r="F49" i="21" s="1"/>
  <c r="B38" i="20"/>
  <c r="AI38" i="20" s="1"/>
  <c r="BQ38" i="20" s="1"/>
  <c r="CT37" i="20"/>
  <c r="CQ37" i="20"/>
  <c r="CF37" i="20"/>
  <c r="CU37" i="20" s="1"/>
  <c r="H48" i="21" s="1"/>
  <c r="BM37" i="20"/>
  <c r="G48" i="21" s="1"/>
  <c r="BL37" i="20"/>
  <c r="BI37" i="20"/>
  <c r="AX37" i="20"/>
  <c r="AD37" i="20"/>
  <c r="AA37" i="20"/>
  <c r="P37" i="20"/>
  <c r="AE37" i="20" s="1"/>
  <c r="F48" i="21" s="1"/>
  <c r="I48" i="21" s="1"/>
  <c r="B37" i="20"/>
  <c r="AI37" i="20" s="1"/>
  <c r="BQ37" i="20" s="1"/>
  <c r="CU36" i="20"/>
  <c r="H47" i="21" s="1"/>
  <c r="CT36" i="20"/>
  <c r="CQ36" i="20"/>
  <c r="CF36" i="20"/>
  <c r="BL36" i="20"/>
  <c r="BI36" i="20"/>
  <c r="AX36" i="20"/>
  <c r="BM36" i="20" s="1"/>
  <c r="G47" i="21" s="1"/>
  <c r="AD36" i="20"/>
  <c r="AA36" i="20"/>
  <c r="P36" i="20"/>
  <c r="AE36" i="20" s="1"/>
  <c r="F47" i="21" s="1"/>
  <c r="I47" i="21" s="1"/>
  <c r="B36" i="20"/>
  <c r="AI36" i="20" s="1"/>
  <c r="BQ36" i="20" s="1"/>
  <c r="CU35" i="20"/>
  <c r="CT35" i="20"/>
  <c r="CQ35" i="20"/>
  <c r="CF35" i="20"/>
  <c r="BL35" i="20"/>
  <c r="BI35" i="20"/>
  <c r="AX35" i="20"/>
  <c r="BM35" i="20" s="1"/>
  <c r="G46" i="21" s="1"/>
  <c r="AI35" i="20"/>
  <c r="BQ35" i="20" s="1"/>
  <c r="AD35" i="20"/>
  <c r="AA35" i="20"/>
  <c r="P35" i="20"/>
  <c r="AE35" i="20" s="1"/>
  <c r="F46" i="21" s="1"/>
  <c r="I46" i="21" s="1"/>
  <c r="B35" i="20"/>
  <c r="CU34" i="20"/>
  <c r="H45" i="21" s="1"/>
  <c r="CT34" i="20"/>
  <c r="CQ34" i="20"/>
  <c r="CF34" i="20"/>
  <c r="BL34" i="20"/>
  <c r="BI34" i="20"/>
  <c r="AX34" i="20"/>
  <c r="BM34" i="20" s="1"/>
  <c r="G45" i="21" s="1"/>
  <c r="AI34" i="20"/>
  <c r="BQ34" i="20" s="1"/>
  <c r="AE34" i="20"/>
  <c r="AD34" i="20"/>
  <c r="AA34" i="20"/>
  <c r="P34" i="20"/>
  <c r="B34" i="20"/>
  <c r="CT33" i="20"/>
  <c r="CQ33" i="20"/>
  <c r="CF33" i="20"/>
  <c r="CU33" i="20" s="1"/>
  <c r="H44" i="21" s="1"/>
  <c r="BL33" i="20"/>
  <c r="BI33" i="20"/>
  <c r="AX33" i="20"/>
  <c r="BM33" i="20" s="1"/>
  <c r="G44" i="21" s="1"/>
  <c r="AI33" i="20"/>
  <c r="BQ33" i="20" s="1"/>
  <c r="AE33" i="20"/>
  <c r="F44" i="21" s="1"/>
  <c r="I44" i="21" s="1"/>
  <c r="AD33" i="20"/>
  <c r="AA33" i="20"/>
  <c r="P33" i="20"/>
  <c r="B33" i="20"/>
  <c r="CT32" i="20"/>
  <c r="CQ32" i="20"/>
  <c r="CF32" i="20"/>
  <c r="CU32" i="20" s="1"/>
  <c r="H43" i="21" s="1"/>
  <c r="BQ32" i="20"/>
  <c r="BL32" i="20"/>
  <c r="BI32" i="20"/>
  <c r="AX32" i="20"/>
  <c r="BM32" i="20" s="1"/>
  <c r="G43" i="21" s="1"/>
  <c r="AI32" i="20"/>
  <c r="AE32" i="20"/>
  <c r="F43" i="21" s="1"/>
  <c r="I43" i="21" s="1"/>
  <c r="AD32" i="20"/>
  <c r="AA32" i="20"/>
  <c r="P32" i="20"/>
  <c r="B32" i="20"/>
  <c r="CT31" i="20"/>
  <c r="CQ31" i="20"/>
  <c r="CF31" i="20"/>
  <c r="CU31" i="20" s="1"/>
  <c r="H42" i="21" s="1"/>
  <c r="BQ31" i="20"/>
  <c r="BM31" i="20"/>
  <c r="G42" i="21" s="1"/>
  <c r="BL31" i="20"/>
  <c r="BI31" i="20"/>
  <c r="AX31" i="20"/>
  <c r="AI31" i="20"/>
  <c r="AD31" i="20"/>
  <c r="AA31" i="20"/>
  <c r="P31" i="20"/>
  <c r="AE31" i="20" s="1"/>
  <c r="F42" i="21" s="1"/>
  <c r="I42" i="21" s="1"/>
  <c r="B31" i="20"/>
  <c r="CT30" i="20"/>
  <c r="CQ30" i="20"/>
  <c r="CF30" i="20"/>
  <c r="CU30" i="20" s="1"/>
  <c r="H41" i="21" s="1"/>
  <c r="BM30" i="20"/>
  <c r="G41" i="21" s="1"/>
  <c r="BL30" i="20"/>
  <c r="BI30" i="20"/>
  <c r="AX30" i="20"/>
  <c r="AD30" i="20"/>
  <c r="AA30" i="20"/>
  <c r="P30" i="20"/>
  <c r="AE30" i="20" s="1"/>
  <c r="F41" i="21" s="1"/>
  <c r="I41" i="21" s="1"/>
  <c r="B30" i="20"/>
  <c r="AI30" i="20" s="1"/>
  <c r="BQ30" i="20" s="1"/>
  <c r="CT29" i="20"/>
  <c r="CQ29" i="20"/>
  <c r="CF29" i="20"/>
  <c r="CU29" i="20" s="1"/>
  <c r="H40" i="21" s="1"/>
  <c r="BM29" i="20"/>
  <c r="G40" i="21" s="1"/>
  <c r="BL29" i="20"/>
  <c r="BI29" i="20"/>
  <c r="AX29" i="20"/>
  <c r="AD29" i="20"/>
  <c r="AA29" i="20"/>
  <c r="P29" i="20"/>
  <c r="AE29" i="20" s="1"/>
  <c r="B29" i="20"/>
  <c r="AI29" i="20" s="1"/>
  <c r="BQ29" i="20" s="1"/>
  <c r="CU28" i="20"/>
  <c r="H39" i="21" s="1"/>
  <c r="CT28" i="20"/>
  <c r="CQ28" i="20"/>
  <c r="CF28" i="20"/>
  <c r="BL28" i="20"/>
  <c r="BI28" i="20"/>
  <c r="AX28" i="20"/>
  <c r="BM28" i="20" s="1"/>
  <c r="G39" i="21" s="1"/>
  <c r="AD28" i="20"/>
  <c r="AA28" i="20"/>
  <c r="P28" i="20"/>
  <c r="AE28" i="20" s="1"/>
  <c r="F39" i="21" s="1"/>
  <c r="I39" i="21" s="1"/>
  <c r="B28" i="20"/>
  <c r="AI28" i="20" s="1"/>
  <c r="BQ28" i="20" s="1"/>
  <c r="CU27" i="20"/>
  <c r="CT27" i="20"/>
  <c r="CQ27" i="20"/>
  <c r="CF27" i="20"/>
  <c r="BL27" i="20"/>
  <c r="BI27" i="20"/>
  <c r="AX27" i="20"/>
  <c r="BM27" i="20" s="1"/>
  <c r="G38" i="21" s="1"/>
  <c r="AI27" i="20"/>
  <c r="BQ27" i="20" s="1"/>
  <c r="AD27" i="20"/>
  <c r="AA27" i="20"/>
  <c r="P27" i="20"/>
  <c r="AE27" i="20" s="1"/>
  <c r="F38" i="21" s="1"/>
  <c r="I38" i="21" s="1"/>
  <c r="B27" i="20"/>
  <c r="CU26" i="20"/>
  <c r="H37" i="21" s="1"/>
  <c r="CT26" i="20"/>
  <c r="CQ26" i="20"/>
  <c r="CF26" i="20"/>
  <c r="BL26" i="20"/>
  <c r="BI26" i="20"/>
  <c r="AX26" i="20"/>
  <c r="BM26" i="20" s="1"/>
  <c r="G37" i="21" s="1"/>
  <c r="AI26" i="20"/>
  <c r="BQ26" i="20" s="1"/>
  <c r="AE26" i="20"/>
  <c r="AD26" i="20"/>
  <c r="AA26" i="20"/>
  <c r="P26" i="20"/>
  <c r="B26" i="20"/>
  <c r="CT25" i="20"/>
  <c r="CQ25" i="20"/>
  <c r="CF25" i="20"/>
  <c r="CU25" i="20" s="1"/>
  <c r="H36" i="21" s="1"/>
  <c r="BL25" i="20"/>
  <c r="BI25" i="20"/>
  <c r="AX25" i="20"/>
  <c r="BM25" i="20" s="1"/>
  <c r="G36" i="21" s="1"/>
  <c r="AI25" i="20"/>
  <c r="BQ25" i="20" s="1"/>
  <c r="AE25" i="20"/>
  <c r="F36" i="21" s="1"/>
  <c r="I36" i="21" s="1"/>
  <c r="AD25" i="20"/>
  <c r="AA25" i="20"/>
  <c r="P25" i="20"/>
  <c r="B25" i="20"/>
  <c r="CT24" i="20"/>
  <c r="CQ24" i="20"/>
  <c r="CF24" i="20"/>
  <c r="CU24" i="20" s="1"/>
  <c r="BQ24" i="20"/>
  <c r="BL24" i="20"/>
  <c r="BI24" i="20"/>
  <c r="AX24" i="20"/>
  <c r="BM24" i="20" s="1"/>
  <c r="AI24" i="20"/>
  <c r="AE24" i="20"/>
  <c r="F35" i="21" s="1"/>
  <c r="I35" i="21" s="1"/>
  <c r="AD24" i="20"/>
  <c r="AA24" i="20"/>
  <c r="P24" i="20"/>
  <c r="B24" i="20"/>
  <c r="CT23" i="20"/>
  <c r="CQ23" i="20"/>
  <c r="CF23" i="20"/>
  <c r="CU23" i="20" s="1"/>
  <c r="H34" i="21" s="1"/>
  <c r="BQ23" i="20"/>
  <c r="BM23" i="20"/>
  <c r="G34" i="21" s="1"/>
  <c r="BL23" i="20"/>
  <c r="BI23" i="20"/>
  <c r="AX23" i="20"/>
  <c r="AI23" i="20"/>
  <c r="AD23" i="20"/>
  <c r="AA23" i="20"/>
  <c r="P23" i="20"/>
  <c r="AE23" i="20" s="1"/>
  <c r="F34" i="21" s="1"/>
  <c r="I34" i="21" s="1"/>
  <c r="B23" i="20"/>
  <c r="CT22" i="20"/>
  <c r="CQ22" i="20"/>
  <c r="CF22" i="20"/>
  <c r="CU22" i="20" s="1"/>
  <c r="H33" i="21" s="1"/>
  <c r="BM22" i="20"/>
  <c r="G33" i="21" s="1"/>
  <c r="BL22" i="20"/>
  <c r="BI22" i="20"/>
  <c r="AX22" i="20"/>
  <c r="AD22" i="20"/>
  <c r="AA22" i="20"/>
  <c r="P22" i="20"/>
  <c r="AE22" i="20" s="1"/>
  <c r="F33" i="21" s="1"/>
  <c r="I33" i="21" s="1"/>
  <c r="B22" i="20"/>
  <c r="AI22" i="20" s="1"/>
  <c r="BQ22" i="20" s="1"/>
  <c r="CT21" i="20"/>
  <c r="CQ21" i="20"/>
  <c r="CF21" i="20"/>
  <c r="CU21" i="20" s="1"/>
  <c r="H32" i="21" s="1"/>
  <c r="BM21" i="20"/>
  <c r="G32" i="21" s="1"/>
  <c r="BL21" i="20"/>
  <c r="BI21" i="20"/>
  <c r="AX21" i="20"/>
  <c r="AD21" i="20"/>
  <c r="AA21" i="20"/>
  <c r="P21" i="20"/>
  <c r="AE21" i="20" s="1"/>
  <c r="B21" i="20"/>
  <c r="AI21" i="20" s="1"/>
  <c r="BQ21" i="20" s="1"/>
  <c r="CU20" i="20"/>
  <c r="H31" i="21" s="1"/>
  <c r="CT20" i="20"/>
  <c r="CQ20" i="20"/>
  <c r="CF20" i="20"/>
  <c r="BL20" i="20"/>
  <c r="BI20" i="20"/>
  <c r="AX20" i="20"/>
  <c r="BM20" i="20" s="1"/>
  <c r="G31" i="21" s="1"/>
  <c r="AD20" i="20"/>
  <c r="AA20" i="20"/>
  <c r="P20" i="20"/>
  <c r="AE20" i="20" s="1"/>
  <c r="F31" i="21" s="1"/>
  <c r="I31" i="21" s="1"/>
  <c r="B20" i="20"/>
  <c r="AI20" i="20" s="1"/>
  <c r="BQ20" i="20" s="1"/>
  <c r="CU19" i="20"/>
  <c r="H30" i="21" s="1"/>
  <c r="CT19" i="20"/>
  <c r="CQ19" i="20"/>
  <c r="CF19" i="20"/>
  <c r="BL19" i="20"/>
  <c r="BI19" i="20"/>
  <c r="AX19" i="20"/>
  <c r="BM19" i="20" s="1"/>
  <c r="G30" i="21" s="1"/>
  <c r="AI19" i="20"/>
  <c r="BQ19" i="20" s="1"/>
  <c r="AD19" i="20"/>
  <c r="AA19" i="20"/>
  <c r="P19" i="20"/>
  <c r="AE19" i="20" s="1"/>
  <c r="F30" i="21" s="1"/>
  <c r="I30" i="21" s="1"/>
  <c r="B19" i="20"/>
  <c r="CU18" i="20"/>
  <c r="H29" i="21" s="1"/>
  <c r="CT18" i="20"/>
  <c r="CQ18" i="20"/>
  <c r="CF18" i="20"/>
  <c r="BL18" i="20"/>
  <c r="BI18" i="20"/>
  <c r="AX18" i="20"/>
  <c r="BM18" i="20" s="1"/>
  <c r="G29" i="21" s="1"/>
  <c r="AI18" i="20"/>
  <c r="BQ18" i="20" s="1"/>
  <c r="AE18" i="20"/>
  <c r="AD18" i="20"/>
  <c r="AA18" i="20"/>
  <c r="P18" i="20"/>
  <c r="B18" i="20"/>
  <c r="CT17" i="20"/>
  <c r="CQ17" i="20"/>
  <c r="CF17" i="20"/>
  <c r="CU17" i="20" s="1"/>
  <c r="H28" i="21" s="1"/>
  <c r="BL17" i="20"/>
  <c r="BI17" i="20"/>
  <c r="AX17" i="20"/>
  <c r="BM17" i="20" s="1"/>
  <c r="G28" i="21" s="1"/>
  <c r="AI17" i="20"/>
  <c r="BQ17" i="20" s="1"/>
  <c r="AE17" i="20"/>
  <c r="F28" i="21" s="1"/>
  <c r="I28" i="21" s="1"/>
  <c r="AD17" i="20"/>
  <c r="AA17" i="20"/>
  <c r="P17" i="20"/>
  <c r="B17" i="20"/>
  <c r="CT16" i="20"/>
  <c r="CQ16" i="20"/>
  <c r="CF16" i="20"/>
  <c r="CU16" i="20" s="1"/>
  <c r="H27" i="21" s="1"/>
  <c r="BQ16" i="20"/>
  <c r="BL16" i="20"/>
  <c r="BI16" i="20"/>
  <c r="AX16" i="20"/>
  <c r="BM16" i="20" s="1"/>
  <c r="AI16" i="20"/>
  <c r="AE16" i="20"/>
  <c r="F27" i="21" s="1"/>
  <c r="I27" i="21" s="1"/>
  <c r="AD16" i="20"/>
  <c r="AA16" i="20"/>
  <c r="P16" i="20"/>
  <c r="B16" i="20"/>
  <c r="CT15" i="20"/>
  <c r="CQ15" i="20"/>
  <c r="CF15" i="20"/>
  <c r="CU15" i="20" s="1"/>
  <c r="H26" i="21" s="1"/>
  <c r="BQ15" i="20"/>
  <c r="BM15" i="20"/>
  <c r="G26" i="21" s="1"/>
  <c r="BL15" i="20"/>
  <c r="BI15" i="20"/>
  <c r="AX15" i="20"/>
  <c r="AI15" i="20"/>
  <c r="AD15" i="20"/>
  <c r="AA15" i="20"/>
  <c r="P15" i="20"/>
  <c r="AE15" i="20" s="1"/>
  <c r="F26" i="21" s="1"/>
  <c r="I26" i="21" s="1"/>
  <c r="B15" i="20"/>
  <c r="CT14" i="20"/>
  <c r="CQ14" i="20"/>
  <c r="CF14" i="20"/>
  <c r="CU14" i="20" s="1"/>
  <c r="H25" i="21" s="1"/>
  <c r="BM14" i="20"/>
  <c r="G25" i="21" s="1"/>
  <c r="BL14" i="20"/>
  <c r="BI14" i="20"/>
  <c r="AX14" i="20"/>
  <c r="AD14" i="20"/>
  <c r="AA14" i="20"/>
  <c r="P14" i="20"/>
  <c r="AE14" i="20" s="1"/>
  <c r="F25" i="21" s="1"/>
  <c r="I25" i="21" s="1"/>
  <c r="B14" i="20"/>
  <c r="AI14" i="20" s="1"/>
  <c r="BQ14" i="20" s="1"/>
  <c r="CT13" i="20"/>
  <c r="CQ13" i="20"/>
  <c r="CF13" i="20"/>
  <c r="CU13" i="20" s="1"/>
  <c r="H24" i="21" s="1"/>
  <c r="BM13" i="20"/>
  <c r="G24" i="21" s="1"/>
  <c r="BL13" i="20"/>
  <c r="BI13" i="20"/>
  <c r="AX13" i="20"/>
  <c r="AD13" i="20"/>
  <c r="AA13" i="20"/>
  <c r="P13" i="20"/>
  <c r="AE13" i="20" s="1"/>
  <c r="F24" i="21" s="1"/>
  <c r="I24" i="21" s="1"/>
  <c r="B13" i="20"/>
  <c r="AI13" i="20" s="1"/>
  <c r="BQ13" i="20" s="1"/>
  <c r="CU12" i="20"/>
  <c r="H23" i="21" s="1"/>
  <c r="CT12" i="20"/>
  <c r="CQ12" i="20"/>
  <c r="CF12" i="20"/>
  <c r="BL12" i="20"/>
  <c r="BI12" i="20"/>
  <c r="AX12" i="20"/>
  <c r="BM12" i="20" s="1"/>
  <c r="G23" i="21" s="1"/>
  <c r="AD12" i="20"/>
  <c r="AA12" i="20"/>
  <c r="P12" i="20"/>
  <c r="AE12" i="20" s="1"/>
  <c r="F23" i="21" s="1"/>
  <c r="I23" i="21" s="1"/>
  <c r="B12" i="20"/>
  <c r="AI12" i="20" s="1"/>
  <c r="BQ12" i="20" s="1"/>
  <c r="CU11" i="20"/>
  <c r="H22" i="21" s="1"/>
  <c r="CT11" i="20"/>
  <c r="CQ11" i="20"/>
  <c r="CF11" i="20"/>
  <c r="BL11" i="20"/>
  <c r="BI11" i="20"/>
  <c r="AX11" i="20"/>
  <c r="BM11" i="20" s="1"/>
  <c r="G22" i="21" s="1"/>
  <c r="AI11" i="20"/>
  <c r="BQ11" i="20" s="1"/>
  <c r="AD11" i="20"/>
  <c r="AA11" i="20"/>
  <c r="P11" i="20"/>
  <c r="AE11" i="20" s="1"/>
  <c r="F22" i="21" s="1"/>
  <c r="I22" i="21" s="1"/>
  <c r="B11" i="20"/>
  <c r="CU10" i="20"/>
  <c r="H21" i="21" s="1"/>
  <c r="CT10" i="20"/>
  <c r="CQ10" i="20"/>
  <c r="CF10" i="20"/>
  <c r="BL10" i="20"/>
  <c r="BI10" i="20"/>
  <c r="AX10" i="20"/>
  <c r="BM10" i="20" s="1"/>
  <c r="G21" i="21" s="1"/>
  <c r="AI10" i="20"/>
  <c r="BQ10" i="20" s="1"/>
  <c r="AE10" i="20"/>
  <c r="AD10" i="20"/>
  <c r="AA10" i="20"/>
  <c r="P10" i="20"/>
  <c r="B10" i="20"/>
  <c r="CT9" i="20"/>
  <c r="CQ9" i="20"/>
  <c r="CF9" i="20"/>
  <c r="CU9" i="20" s="1"/>
  <c r="H20" i="21" s="1"/>
  <c r="BL9" i="20"/>
  <c r="BI9" i="20"/>
  <c r="AX9" i="20"/>
  <c r="BM9" i="20" s="1"/>
  <c r="G20" i="21" s="1"/>
  <c r="AI9" i="20"/>
  <c r="BQ9" i="20" s="1"/>
  <c r="AE9" i="20"/>
  <c r="F20" i="21" s="1"/>
  <c r="I20" i="21" s="1"/>
  <c r="AD9" i="20"/>
  <c r="AA9" i="20"/>
  <c r="P9" i="20"/>
  <c r="B9" i="20"/>
  <c r="CT8" i="20"/>
  <c r="CQ8" i="20"/>
  <c r="CF8" i="20"/>
  <c r="CU8" i="20" s="1"/>
  <c r="H19" i="21" s="1"/>
  <c r="BQ8" i="20"/>
  <c r="BL8" i="20"/>
  <c r="BI8" i="20"/>
  <c r="AX8" i="20"/>
  <c r="BM8" i="20" s="1"/>
  <c r="G19" i="21" s="1"/>
  <c r="AI8" i="20"/>
  <c r="AE8" i="20"/>
  <c r="F19" i="21" s="1"/>
  <c r="I19" i="21" s="1"/>
  <c r="AD8" i="20"/>
  <c r="AA8" i="20"/>
  <c r="P8" i="20"/>
  <c r="B8" i="20"/>
  <c r="CT7" i="20"/>
  <c r="CQ7" i="20"/>
  <c r="CF7" i="20"/>
  <c r="CU7" i="20" s="1"/>
  <c r="H18" i="21" s="1"/>
  <c r="BQ7" i="20"/>
  <c r="BM7" i="20"/>
  <c r="G18" i="21" s="1"/>
  <c r="BL7" i="20"/>
  <c r="BI7" i="20"/>
  <c r="AX7" i="20"/>
  <c r="AI7" i="20"/>
  <c r="AD7" i="20"/>
  <c r="AA7" i="20"/>
  <c r="P7" i="20"/>
  <c r="AE7" i="20" s="1"/>
  <c r="F18" i="21" s="1"/>
  <c r="I18" i="21" s="1"/>
  <c r="B7" i="20"/>
  <c r="CT6" i="20"/>
  <c r="CQ6" i="20"/>
  <c r="CF6" i="20"/>
  <c r="CU6" i="20" s="1"/>
  <c r="H17" i="21" s="1"/>
  <c r="BM6" i="20"/>
  <c r="G17" i="21" s="1"/>
  <c r="BL6" i="20"/>
  <c r="BI6" i="20"/>
  <c r="AX6" i="20"/>
  <c r="AD6" i="20"/>
  <c r="AA6" i="20"/>
  <c r="P6" i="20"/>
  <c r="AE6" i="20" s="1"/>
  <c r="F17" i="21" s="1"/>
  <c r="I17" i="21" s="1"/>
  <c r="B6" i="20"/>
  <c r="AI6" i="20" s="1"/>
  <c r="BQ6" i="20" s="1"/>
  <c r="CT5" i="20"/>
  <c r="CQ5" i="20"/>
  <c r="CF5" i="20"/>
  <c r="CU5" i="20" s="1"/>
  <c r="H16" i="21" s="1"/>
  <c r="BM5" i="20"/>
  <c r="G16" i="21" s="1"/>
  <c r="BL5" i="20"/>
  <c r="BI5" i="20"/>
  <c r="AX5" i="20"/>
  <c r="AD5" i="20"/>
  <c r="AA5" i="20"/>
  <c r="P5" i="20"/>
  <c r="AE5" i="20" s="1"/>
  <c r="F16" i="21" s="1"/>
  <c r="I16" i="21" s="1"/>
  <c r="B5" i="20"/>
  <c r="AI5" i="20" s="1"/>
  <c r="BQ5" i="20" s="1"/>
  <c r="C55" i="19"/>
  <c r="C54" i="19"/>
  <c r="C53" i="19"/>
  <c r="C52" i="19"/>
  <c r="I51" i="19"/>
  <c r="C51" i="19"/>
  <c r="N50" i="19"/>
  <c r="C50" i="19"/>
  <c r="C49" i="19"/>
  <c r="C48" i="19"/>
  <c r="C47" i="19"/>
  <c r="C46" i="19"/>
  <c r="C45" i="19"/>
  <c r="C44" i="19"/>
  <c r="C43" i="19"/>
  <c r="N42" i="19"/>
  <c r="C42" i="19"/>
  <c r="C41" i="19"/>
  <c r="C40" i="19"/>
  <c r="C39" i="19"/>
  <c r="C38" i="19"/>
  <c r="C37" i="19"/>
  <c r="C36" i="19"/>
  <c r="C35" i="19"/>
  <c r="N34" i="19"/>
  <c r="C34" i="19"/>
  <c r="C33" i="19"/>
  <c r="C32" i="19"/>
  <c r="C31" i="19"/>
  <c r="C30" i="19"/>
  <c r="C29" i="19"/>
  <c r="C28" i="19"/>
  <c r="C27" i="19"/>
  <c r="N26" i="19"/>
  <c r="C26" i="19"/>
  <c r="C25" i="19"/>
  <c r="C24" i="19"/>
  <c r="C23" i="19"/>
  <c r="C22" i="19"/>
  <c r="C21" i="19"/>
  <c r="C20" i="19"/>
  <c r="C19" i="19"/>
  <c r="N18" i="19"/>
  <c r="C18" i="19"/>
  <c r="C17" i="19"/>
  <c r="C16" i="19"/>
  <c r="CT49" i="18"/>
  <c r="CQ49" i="18"/>
  <c r="CF49" i="18"/>
  <c r="CU49" i="18" s="1"/>
  <c r="B44" i="18"/>
  <c r="B43" i="18"/>
  <c r="B42" i="18"/>
  <c r="CU41" i="18"/>
  <c r="CQ41" i="18"/>
  <c r="CF41" i="18"/>
  <c r="BL41" i="18"/>
  <c r="BI41" i="18"/>
  <c r="AX41" i="18"/>
  <c r="BM41" i="18" s="1"/>
  <c r="G52" i="19" s="1"/>
  <c r="AD41" i="18"/>
  <c r="AA41" i="18"/>
  <c r="P41" i="18"/>
  <c r="AE41" i="18" s="1"/>
  <c r="F52" i="19" s="1"/>
  <c r="I52" i="19" s="1"/>
  <c r="B41" i="18"/>
  <c r="AI41" i="18" s="1"/>
  <c r="BQ41" i="18" s="1"/>
  <c r="CU40" i="18"/>
  <c r="CQ40" i="18"/>
  <c r="CF40" i="18"/>
  <c r="BL40" i="18"/>
  <c r="BI40" i="18"/>
  <c r="AX40" i="18"/>
  <c r="BM40" i="18" s="1"/>
  <c r="G51" i="19" s="1"/>
  <c r="AI40" i="18"/>
  <c r="BQ40" i="18" s="1"/>
  <c r="AE40" i="18"/>
  <c r="F51" i="19" s="1"/>
  <c r="AD40" i="18"/>
  <c r="AA40" i="18"/>
  <c r="P40" i="18"/>
  <c r="B40" i="18"/>
  <c r="CU39" i="18"/>
  <c r="CQ39" i="18"/>
  <c r="CF39" i="18"/>
  <c r="BM39" i="18"/>
  <c r="G50" i="19" s="1"/>
  <c r="BL39" i="18"/>
  <c r="BI39" i="18"/>
  <c r="AX39" i="18"/>
  <c r="AI39" i="18"/>
  <c r="BQ39" i="18" s="1"/>
  <c r="AE39" i="18"/>
  <c r="F50" i="19" s="1"/>
  <c r="I50" i="19" s="1"/>
  <c r="AD39" i="18"/>
  <c r="AA39" i="18"/>
  <c r="P39" i="18"/>
  <c r="B39" i="18"/>
  <c r="CQ38" i="18"/>
  <c r="CF38" i="18"/>
  <c r="CU38" i="18" s="1"/>
  <c r="BQ38" i="18"/>
  <c r="BL38" i="18"/>
  <c r="BI38" i="18"/>
  <c r="AX38" i="18"/>
  <c r="BM38" i="18" s="1"/>
  <c r="G49" i="19" s="1"/>
  <c r="AI38" i="18"/>
  <c r="AE38" i="18"/>
  <c r="F49" i="19" s="1"/>
  <c r="I49" i="19" s="1"/>
  <c r="AD38" i="18"/>
  <c r="AA38" i="18"/>
  <c r="P38" i="18"/>
  <c r="B38" i="18"/>
  <c r="CU37" i="18"/>
  <c r="CQ37" i="18"/>
  <c r="CF37" i="18"/>
  <c r="BM37" i="18"/>
  <c r="G48" i="19" s="1"/>
  <c r="BL37" i="18"/>
  <c r="BI37" i="18"/>
  <c r="AX37" i="18"/>
  <c r="AD37" i="18"/>
  <c r="AA37" i="18"/>
  <c r="P37" i="18"/>
  <c r="AE37" i="18" s="1"/>
  <c r="F48" i="19" s="1"/>
  <c r="I48" i="19" s="1"/>
  <c r="B37" i="18"/>
  <c r="AI37" i="18" s="1"/>
  <c r="BQ37" i="18" s="1"/>
  <c r="CQ36" i="18"/>
  <c r="CF36" i="18"/>
  <c r="CU36" i="18" s="1"/>
  <c r="BL36" i="18"/>
  <c r="BI36" i="18"/>
  <c r="AX36" i="18"/>
  <c r="BM36" i="18" s="1"/>
  <c r="G47" i="19" s="1"/>
  <c r="AD36" i="18"/>
  <c r="AA36" i="18"/>
  <c r="P36" i="18"/>
  <c r="AE36" i="18" s="1"/>
  <c r="F47" i="19" s="1"/>
  <c r="I47" i="19" s="1"/>
  <c r="B36" i="18"/>
  <c r="AI36" i="18" s="1"/>
  <c r="BQ36" i="18" s="1"/>
  <c r="CU35" i="18"/>
  <c r="CQ35" i="18"/>
  <c r="CF35" i="18"/>
  <c r="BM35" i="18"/>
  <c r="G46" i="19" s="1"/>
  <c r="BL35" i="18"/>
  <c r="BI35" i="18"/>
  <c r="AX35" i="18"/>
  <c r="AI35" i="18"/>
  <c r="BQ35" i="18" s="1"/>
  <c r="AE35" i="18"/>
  <c r="F46" i="19" s="1"/>
  <c r="I46" i="19" s="1"/>
  <c r="AD35" i="18"/>
  <c r="AA35" i="18"/>
  <c r="P35" i="18"/>
  <c r="B35" i="18"/>
  <c r="CQ34" i="18"/>
  <c r="CF34" i="18"/>
  <c r="CU34" i="18" s="1"/>
  <c r="BQ34" i="18"/>
  <c r="BL34" i="18"/>
  <c r="BI34" i="18"/>
  <c r="AX34" i="18"/>
  <c r="BM34" i="18" s="1"/>
  <c r="G45" i="19" s="1"/>
  <c r="AI34" i="18"/>
  <c r="AE34" i="18"/>
  <c r="F45" i="19" s="1"/>
  <c r="I45" i="19" s="1"/>
  <c r="AD34" i="18"/>
  <c r="AA34" i="18"/>
  <c r="P34" i="18"/>
  <c r="B34" i="18"/>
  <c r="CU33" i="18"/>
  <c r="CQ33" i="18"/>
  <c r="CF33" i="18"/>
  <c r="BM33" i="18"/>
  <c r="G44" i="19" s="1"/>
  <c r="BL33" i="18"/>
  <c r="BI33" i="18"/>
  <c r="AX33" i="18"/>
  <c r="AD33" i="18"/>
  <c r="AA33" i="18"/>
  <c r="P33" i="18"/>
  <c r="AE33" i="18" s="1"/>
  <c r="F44" i="19" s="1"/>
  <c r="I44" i="19" s="1"/>
  <c r="B33" i="18"/>
  <c r="AI33" i="18" s="1"/>
  <c r="BQ33" i="18" s="1"/>
  <c r="CQ32" i="18"/>
  <c r="CF32" i="18"/>
  <c r="CU32" i="18" s="1"/>
  <c r="BL32" i="18"/>
  <c r="BI32" i="18"/>
  <c r="AX32" i="18"/>
  <c r="BM32" i="18" s="1"/>
  <c r="G43" i="19" s="1"/>
  <c r="AD32" i="18"/>
  <c r="AA32" i="18"/>
  <c r="P32" i="18"/>
  <c r="AE32" i="18" s="1"/>
  <c r="F43" i="19" s="1"/>
  <c r="I43" i="19" s="1"/>
  <c r="B32" i="18"/>
  <c r="AI32" i="18" s="1"/>
  <c r="BQ32" i="18" s="1"/>
  <c r="CU31" i="18"/>
  <c r="CQ31" i="18"/>
  <c r="CF31" i="18"/>
  <c r="BM31" i="18"/>
  <c r="G42" i="19" s="1"/>
  <c r="BL31" i="18"/>
  <c r="BI31" i="18"/>
  <c r="AX31" i="18"/>
  <c r="AI31" i="18"/>
  <c r="BQ31" i="18" s="1"/>
  <c r="AE31" i="18"/>
  <c r="F42" i="19" s="1"/>
  <c r="I42" i="19" s="1"/>
  <c r="AD31" i="18"/>
  <c r="AA31" i="18"/>
  <c r="P31" i="18"/>
  <c r="B31" i="18"/>
  <c r="CQ30" i="18"/>
  <c r="CF30" i="18"/>
  <c r="CU30" i="18" s="1"/>
  <c r="BQ30" i="18"/>
  <c r="BL30" i="18"/>
  <c r="BI30" i="18"/>
  <c r="AX30" i="18"/>
  <c r="BM30" i="18" s="1"/>
  <c r="G41" i="19" s="1"/>
  <c r="AI30" i="18"/>
  <c r="AE30" i="18"/>
  <c r="F41" i="19" s="1"/>
  <c r="I41" i="19" s="1"/>
  <c r="AD30" i="18"/>
  <c r="AA30" i="18"/>
  <c r="P30" i="18"/>
  <c r="B30" i="18"/>
  <c r="CU29" i="18"/>
  <c r="CQ29" i="18"/>
  <c r="CF29" i="18"/>
  <c r="BM29" i="18"/>
  <c r="G40" i="19" s="1"/>
  <c r="BL29" i="18"/>
  <c r="BI29" i="18"/>
  <c r="AX29" i="18"/>
  <c r="AD29" i="18"/>
  <c r="AA29" i="18"/>
  <c r="P29" i="18"/>
  <c r="AE29" i="18" s="1"/>
  <c r="F40" i="19" s="1"/>
  <c r="I40" i="19" s="1"/>
  <c r="B29" i="18"/>
  <c r="AI29" i="18" s="1"/>
  <c r="BQ29" i="18" s="1"/>
  <c r="CQ28" i="18"/>
  <c r="CF28" i="18"/>
  <c r="CU28" i="18" s="1"/>
  <c r="BL28" i="18"/>
  <c r="BI28" i="18"/>
  <c r="AX28" i="18"/>
  <c r="BM28" i="18" s="1"/>
  <c r="G39" i="19" s="1"/>
  <c r="AD28" i="18"/>
  <c r="AA28" i="18"/>
  <c r="P28" i="18"/>
  <c r="AE28" i="18" s="1"/>
  <c r="F39" i="19" s="1"/>
  <c r="I39" i="19" s="1"/>
  <c r="B28" i="18"/>
  <c r="AI28" i="18" s="1"/>
  <c r="BQ28" i="18" s="1"/>
  <c r="CU27" i="18"/>
  <c r="CQ27" i="18"/>
  <c r="CF27" i="18"/>
  <c r="BM27" i="18"/>
  <c r="G38" i="19" s="1"/>
  <c r="BL27" i="18"/>
  <c r="BI27" i="18"/>
  <c r="AX27" i="18"/>
  <c r="AI27" i="18"/>
  <c r="BQ27" i="18" s="1"/>
  <c r="AE27" i="18"/>
  <c r="F38" i="19" s="1"/>
  <c r="I38" i="19" s="1"/>
  <c r="AD27" i="18"/>
  <c r="AA27" i="18"/>
  <c r="P27" i="18"/>
  <c r="B27" i="18"/>
  <c r="CQ26" i="18"/>
  <c r="CF26" i="18"/>
  <c r="CU26" i="18" s="1"/>
  <c r="BQ26" i="18"/>
  <c r="BL26" i="18"/>
  <c r="BI26" i="18"/>
  <c r="AX26" i="18"/>
  <c r="BM26" i="18" s="1"/>
  <c r="G37" i="19" s="1"/>
  <c r="AI26" i="18"/>
  <c r="AE26" i="18"/>
  <c r="F37" i="19" s="1"/>
  <c r="I37" i="19" s="1"/>
  <c r="AD26" i="18"/>
  <c r="AA26" i="18"/>
  <c r="P26" i="18"/>
  <c r="B26" i="18"/>
  <c r="CU25" i="18"/>
  <c r="CQ25" i="18"/>
  <c r="CF25" i="18"/>
  <c r="BM25" i="18"/>
  <c r="G36" i="19" s="1"/>
  <c r="BL25" i="18"/>
  <c r="BI25" i="18"/>
  <c r="AX25" i="18"/>
  <c r="AD25" i="18"/>
  <c r="AA25" i="18"/>
  <c r="P25" i="18"/>
  <c r="AE25" i="18" s="1"/>
  <c r="F36" i="19" s="1"/>
  <c r="I36" i="19" s="1"/>
  <c r="B25" i="18"/>
  <c r="AI25" i="18" s="1"/>
  <c r="BQ25" i="18" s="1"/>
  <c r="CQ24" i="18"/>
  <c r="CF24" i="18"/>
  <c r="CU24" i="18" s="1"/>
  <c r="BL24" i="18"/>
  <c r="BI24" i="18"/>
  <c r="AX24" i="18"/>
  <c r="BM24" i="18" s="1"/>
  <c r="G35" i="19" s="1"/>
  <c r="AD24" i="18"/>
  <c r="AA24" i="18"/>
  <c r="P24" i="18"/>
  <c r="AE24" i="18" s="1"/>
  <c r="F35" i="19" s="1"/>
  <c r="I35" i="19" s="1"/>
  <c r="B24" i="18"/>
  <c r="AI24" i="18" s="1"/>
  <c r="BQ24" i="18" s="1"/>
  <c r="CU23" i="18"/>
  <c r="CQ23" i="18"/>
  <c r="CF23" i="18"/>
  <c r="BM23" i="18"/>
  <c r="G34" i="19" s="1"/>
  <c r="BL23" i="18"/>
  <c r="BI23" i="18"/>
  <c r="AX23" i="18"/>
  <c r="AI23" i="18"/>
  <c r="BQ23" i="18" s="1"/>
  <c r="AE23" i="18"/>
  <c r="F34" i="19" s="1"/>
  <c r="I34" i="19" s="1"/>
  <c r="AD23" i="18"/>
  <c r="AA23" i="18"/>
  <c r="P23" i="18"/>
  <c r="B23" i="18"/>
  <c r="CQ22" i="18"/>
  <c r="CF22" i="18"/>
  <c r="CU22" i="18" s="1"/>
  <c r="BQ22" i="18"/>
  <c r="BL22" i="18"/>
  <c r="BI22" i="18"/>
  <c r="AX22" i="18"/>
  <c r="BM22" i="18" s="1"/>
  <c r="G33" i="19" s="1"/>
  <c r="AI22" i="18"/>
  <c r="AE22" i="18"/>
  <c r="F33" i="19" s="1"/>
  <c r="I33" i="19" s="1"/>
  <c r="AD22" i="18"/>
  <c r="AA22" i="18"/>
  <c r="P22" i="18"/>
  <c r="B22" i="18"/>
  <c r="CU21" i="18"/>
  <c r="CQ21" i="18"/>
  <c r="CF21" i="18"/>
  <c r="BM21" i="18"/>
  <c r="G32" i="19" s="1"/>
  <c r="BL21" i="18"/>
  <c r="BI21" i="18"/>
  <c r="AX21" i="18"/>
  <c r="AD21" i="18"/>
  <c r="AA21" i="18"/>
  <c r="P21" i="18"/>
  <c r="AE21" i="18" s="1"/>
  <c r="F32" i="19" s="1"/>
  <c r="I32" i="19" s="1"/>
  <c r="B21" i="18"/>
  <c r="AI21" i="18" s="1"/>
  <c r="BQ21" i="18" s="1"/>
  <c r="CQ20" i="18"/>
  <c r="CF20" i="18"/>
  <c r="CU20" i="18" s="1"/>
  <c r="BL20" i="18"/>
  <c r="BI20" i="18"/>
  <c r="AX20" i="18"/>
  <c r="BM20" i="18" s="1"/>
  <c r="G31" i="19" s="1"/>
  <c r="AD20" i="18"/>
  <c r="AA20" i="18"/>
  <c r="P20" i="18"/>
  <c r="AE20" i="18" s="1"/>
  <c r="F31" i="19" s="1"/>
  <c r="I31" i="19" s="1"/>
  <c r="B20" i="18"/>
  <c r="AI20" i="18" s="1"/>
  <c r="BQ20" i="18" s="1"/>
  <c r="CU19" i="18"/>
  <c r="CQ19" i="18"/>
  <c r="CF19" i="18"/>
  <c r="BM19" i="18"/>
  <c r="G30" i="19" s="1"/>
  <c r="BL19" i="18"/>
  <c r="BI19" i="18"/>
  <c r="AX19" i="18"/>
  <c r="AI19" i="18"/>
  <c r="BQ19" i="18" s="1"/>
  <c r="AE19" i="18"/>
  <c r="F30" i="19" s="1"/>
  <c r="I30" i="19" s="1"/>
  <c r="AD19" i="18"/>
  <c r="AA19" i="18"/>
  <c r="P19" i="18"/>
  <c r="B19" i="18"/>
  <c r="CQ18" i="18"/>
  <c r="CF18" i="18"/>
  <c r="CU18" i="18" s="1"/>
  <c r="BQ18" i="18"/>
  <c r="BL18" i="18"/>
  <c r="BI18" i="18"/>
  <c r="AX18" i="18"/>
  <c r="BM18" i="18" s="1"/>
  <c r="G29" i="19" s="1"/>
  <c r="AI18" i="18"/>
  <c r="AE18" i="18"/>
  <c r="F29" i="19" s="1"/>
  <c r="I29" i="19" s="1"/>
  <c r="AD18" i="18"/>
  <c r="AA18" i="18"/>
  <c r="P18" i="18"/>
  <c r="B18" i="18"/>
  <c r="CU17" i="18"/>
  <c r="CQ17" i="18"/>
  <c r="CF17" i="18"/>
  <c r="BM17" i="18"/>
  <c r="G28" i="19" s="1"/>
  <c r="BL17" i="18"/>
  <c r="BI17" i="18"/>
  <c r="AX17" i="18"/>
  <c r="AD17" i="18"/>
  <c r="AA17" i="18"/>
  <c r="P17" i="18"/>
  <c r="AE17" i="18" s="1"/>
  <c r="F28" i="19" s="1"/>
  <c r="I28" i="19" s="1"/>
  <c r="B17" i="18"/>
  <c r="AI17" i="18" s="1"/>
  <c r="BQ17" i="18" s="1"/>
  <c r="CQ16" i="18"/>
  <c r="CF16" i="18"/>
  <c r="CU16" i="18" s="1"/>
  <c r="BL16" i="18"/>
  <c r="BI16" i="18"/>
  <c r="AX16" i="18"/>
  <c r="BM16" i="18" s="1"/>
  <c r="G27" i="19" s="1"/>
  <c r="AD16" i="18"/>
  <c r="AA16" i="18"/>
  <c r="P16" i="18"/>
  <c r="AE16" i="18" s="1"/>
  <c r="F27" i="19" s="1"/>
  <c r="I27" i="19" s="1"/>
  <c r="B16" i="18"/>
  <c r="AI16" i="18" s="1"/>
  <c r="BQ16" i="18" s="1"/>
  <c r="CU15" i="18"/>
  <c r="CQ15" i="18"/>
  <c r="CF15" i="18"/>
  <c r="BM15" i="18"/>
  <c r="G26" i="19" s="1"/>
  <c r="BL15" i="18"/>
  <c r="BI15" i="18"/>
  <c r="AX15" i="18"/>
  <c r="AI15" i="18"/>
  <c r="BQ15" i="18" s="1"/>
  <c r="AE15" i="18"/>
  <c r="F26" i="19" s="1"/>
  <c r="I26" i="19" s="1"/>
  <c r="AD15" i="18"/>
  <c r="AA15" i="18"/>
  <c r="P15" i="18"/>
  <c r="B15" i="18"/>
  <c r="CQ14" i="18"/>
  <c r="CF14" i="18"/>
  <c r="CU14" i="18" s="1"/>
  <c r="BQ14" i="18"/>
  <c r="BL14" i="18"/>
  <c r="BI14" i="18"/>
  <c r="AX14" i="18"/>
  <c r="BM14" i="18" s="1"/>
  <c r="G25" i="19" s="1"/>
  <c r="AI14" i="18"/>
  <c r="AE14" i="18"/>
  <c r="F25" i="19" s="1"/>
  <c r="I25" i="19" s="1"/>
  <c r="AD14" i="18"/>
  <c r="AA14" i="18"/>
  <c r="P14" i="18"/>
  <c r="B14" i="18"/>
  <c r="CU13" i="18"/>
  <c r="CQ13" i="18"/>
  <c r="CF13" i="18"/>
  <c r="BM13" i="18"/>
  <c r="G24" i="19" s="1"/>
  <c r="BL13" i="18"/>
  <c r="BI13" i="18"/>
  <c r="AX13" i="18"/>
  <c r="AD13" i="18"/>
  <c r="AA13" i="18"/>
  <c r="P13" i="18"/>
  <c r="AE13" i="18" s="1"/>
  <c r="F24" i="19" s="1"/>
  <c r="I24" i="19" s="1"/>
  <c r="B13" i="18"/>
  <c r="AI13" i="18" s="1"/>
  <c r="BQ13" i="18" s="1"/>
  <c r="CQ12" i="18"/>
  <c r="CF12" i="18"/>
  <c r="CU12" i="18" s="1"/>
  <c r="BL12" i="18"/>
  <c r="BI12" i="18"/>
  <c r="AX12" i="18"/>
  <c r="BM12" i="18" s="1"/>
  <c r="G23" i="19" s="1"/>
  <c r="AD12" i="18"/>
  <c r="AA12" i="18"/>
  <c r="P12" i="18"/>
  <c r="AE12" i="18" s="1"/>
  <c r="F23" i="19" s="1"/>
  <c r="I23" i="19" s="1"/>
  <c r="B12" i="18"/>
  <c r="AI12" i="18" s="1"/>
  <c r="BQ12" i="18" s="1"/>
  <c r="CU11" i="18"/>
  <c r="CQ11" i="18"/>
  <c r="CF11" i="18"/>
  <c r="BM11" i="18"/>
  <c r="G22" i="19" s="1"/>
  <c r="BL11" i="18"/>
  <c r="BI11" i="18"/>
  <c r="AX11" i="18"/>
  <c r="AI11" i="18"/>
  <c r="BQ11" i="18" s="1"/>
  <c r="AE11" i="18"/>
  <c r="F22" i="19" s="1"/>
  <c r="I22" i="19" s="1"/>
  <c r="AD11" i="18"/>
  <c r="AA11" i="18"/>
  <c r="P11" i="18"/>
  <c r="B11" i="18"/>
  <c r="CQ10" i="18"/>
  <c r="CF10" i="18"/>
  <c r="CU10" i="18" s="1"/>
  <c r="BQ10" i="18"/>
  <c r="BL10" i="18"/>
  <c r="BI10" i="18"/>
  <c r="AX10" i="18"/>
  <c r="BM10" i="18" s="1"/>
  <c r="G21" i="19" s="1"/>
  <c r="AI10" i="18"/>
  <c r="AE10" i="18"/>
  <c r="F21" i="19" s="1"/>
  <c r="I21" i="19" s="1"/>
  <c r="AD10" i="18"/>
  <c r="AA10" i="18"/>
  <c r="P10" i="18"/>
  <c r="B10" i="18"/>
  <c r="CU9" i="18"/>
  <c r="CQ9" i="18"/>
  <c r="CF9" i="18"/>
  <c r="BM9" i="18"/>
  <c r="G20" i="19" s="1"/>
  <c r="BL9" i="18"/>
  <c r="BI9" i="18"/>
  <c r="AX9" i="18"/>
  <c r="AD9" i="18"/>
  <c r="AA9" i="18"/>
  <c r="P9" i="18"/>
  <c r="AE9" i="18" s="1"/>
  <c r="F20" i="19" s="1"/>
  <c r="I20" i="19" s="1"/>
  <c r="B9" i="18"/>
  <c r="AI9" i="18" s="1"/>
  <c r="BQ9" i="18" s="1"/>
  <c r="CQ8" i="18"/>
  <c r="CF8" i="18"/>
  <c r="CU8" i="18" s="1"/>
  <c r="BL8" i="18"/>
  <c r="BI8" i="18"/>
  <c r="AX8" i="18"/>
  <c r="BM8" i="18" s="1"/>
  <c r="G19" i="19" s="1"/>
  <c r="AD8" i="18"/>
  <c r="AA8" i="18"/>
  <c r="P8" i="18"/>
  <c r="AE8" i="18" s="1"/>
  <c r="F19" i="19" s="1"/>
  <c r="I19" i="19" s="1"/>
  <c r="B8" i="18"/>
  <c r="AI8" i="18" s="1"/>
  <c r="BQ8" i="18" s="1"/>
  <c r="CU7" i="18"/>
  <c r="CQ7" i="18"/>
  <c r="CF7" i="18"/>
  <c r="BM7" i="18"/>
  <c r="G18" i="19" s="1"/>
  <c r="BL7" i="18"/>
  <c r="BI7" i="18"/>
  <c r="AX7" i="18"/>
  <c r="AI7" i="18"/>
  <c r="BQ7" i="18" s="1"/>
  <c r="AE7" i="18"/>
  <c r="F18" i="19" s="1"/>
  <c r="I18" i="19" s="1"/>
  <c r="AD7" i="18"/>
  <c r="AA7" i="18"/>
  <c r="P7" i="18"/>
  <c r="B7" i="18"/>
  <c r="CQ6" i="18"/>
  <c r="CF6" i="18"/>
  <c r="CU6" i="18" s="1"/>
  <c r="BQ6" i="18"/>
  <c r="BL6" i="18"/>
  <c r="BI6" i="18"/>
  <c r="AX6" i="18"/>
  <c r="BM6" i="18" s="1"/>
  <c r="G17" i="19" s="1"/>
  <c r="AI6" i="18"/>
  <c r="AE6" i="18"/>
  <c r="F17" i="19" s="1"/>
  <c r="I17" i="19" s="1"/>
  <c r="AD6" i="18"/>
  <c r="AA6" i="18"/>
  <c r="P6" i="18"/>
  <c r="B6" i="18"/>
  <c r="CU5" i="18"/>
  <c r="CQ5" i="18"/>
  <c r="CF5" i="18"/>
  <c r="BM5" i="18"/>
  <c r="G16" i="19" s="1"/>
  <c r="BL5" i="18"/>
  <c r="BI5" i="18"/>
  <c r="AX5" i="18"/>
  <c r="AD5" i="18"/>
  <c r="AA5" i="18"/>
  <c r="P5" i="18"/>
  <c r="AE5" i="18" s="1"/>
  <c r="F16" i="19" s="1"/>
  <c r="I16" i="19" s="1"/>
  <c r="B5" i="18"/>
  <c r="AI5" i="18" s="1"/>
  <c r="BQ5" i="18" s="1"/>
  <c r="C55" i="17"/>
  <c r="C54" i="17"/>
  <c r="C53" i="17"/>
  <c r="G52" i="17"/>
  <c r="C52" i="17"/>
  <c r="C51" i="17"/>
  <c r="N50" i="17"/>
  <c r="F50" i="17"/>
  <c r="I50" i="17" s="1"/>
  <c r="C50" i="17"/>
  <c r="C49" i="17"/>
  <c r="C48" i="17"/>
  <c r="C47" i="17"/>
  <c r="C46" i="17"/>
  <c r="C45" i="17"/>
  <c r="G44" i="17"/>
  <c r="C44" i="17"/>
  <c r="C43" i="17"/>
  <c r="N42" i="17"/>
  <c r="F42" i="17"/>
  <c r="I42" i="17" s="1"/>
  <c r="C42" i="17"/>
  <c r="C41" i="17"/>
  <c r="C40" i="17"/>
  <c r="C39" i="17"/>
  <c r="C38" i="17"/>
  <c r="C37" i="17"/>
  <c r="G36" i="17"/>
  <c r="C36" i="17"/>
  <c r="C35" i="17"/>
  <c r="N34" i="17"/>
  <c r="F34" i="17"/>
  <c r="I34" i="17" s="1"/>
  <c r="C34" i="17"/>
  <c r="C33" i="17"/>
  <c r="C32" i="17"/>
  <c r="C31" i="17"/>
  <c r="C30" i="17"/>
  <c r="C29" i="17"/>
  <c r="G28" i="17"/>
  <c r="C28" i="17"/>
  <c r="C27" i="17"/>
  <c r="N26" i="17"/>
  <c r="F26" i="17"/>
  <c r="I26" i="17" s="1"/>
  <c r="C26" i="17"/>
  <c r="C25" i="17"/>
  <c r="C24" i="17"/>
  <c r="C23" i="17"/>
  <c r="C22" i="17"/>
  <c r="C21" i="17"/>
  <c r="G20" i="17"/>
  <c r="C20" i="17"/>
  <c r="C19" i="17"/>
  <c r="N18" i="17"/>
  <c r="F18" i="17"/>
  <c r="I18" i="17" s="1"/>
  <c r="C18" i="17"/>
  <c r="J17" i="17"/>
  <c r="C17" i="17"/>
  <c r="C16" i="17"/>
  <c r="B44" i="16"/>
  <c r="B43" i="16"/>
  <c r="B42" i="16"/>
  <c r="CU41" i="16"/>
  <c r="H52" i="19" s="1"/>
  <c r="CT41" i="16"/>
  <c r="CQ41" i="16"/>
  <c r="CF41" i="16"/>
  <c r="BM41" i="16"/>
  <c r="BL41" i="16"/>
  <c r="BI41" i="16"/>
  <c r="AX41" i="16"/>
  <c r="AI41" i="16"/>
  <c r="BQ41" i="16" s="1"/>
  <c r="AE41" i="16"/>
  <c r="F52" i="17" s="1"/>
  <c r="I52" i="17" s="1"/>
  <c r="AD41" i="16"/>
  <c r="AA41" i="16"/>
  <c r="P41" i="16"/>
  <c r="B41" i="16"/>
  <c r="CT40" i="16"/>
  <c r="CQ40" i="16"/>
  <c r="CF40" i="16"/>
  <c r="CU40" i="16" s="1"/>
  <c r="BL40" i="16"/>
  <c r="BI40" i="16"/>
  <c r="AX40" i="16"/>
  <c r="BM40" i="16" s="1"/>
  <c r="G51" i="17" s="1"/>
  <c r="AE40" i="16"/>
  <c r="F51" i="17" s="1"/>
  <c r="I51" i="17" s="1"/>
  <c r="AD40" i="16"/>
  <c r="AA40" i="16"/>
  <c r="P40" i="16"/>
  <c r="B40" i="16"/>
  <c r="AI40" i="16" s="1"/>
  <c r="BQ40" i="16" s="1"/>
  <c r="CT39" i="16"/>
  <c r="CQ39" i="16"/>
  <c r="CF39" i="16"/>
  <c r="CU39" i="16" s="1"/>
  <c r="BQ39" i="16"/>
  <c r="BL39" i="16"/>
  <c r="BI39" i="16"/>
  <c r="AX39" i="16"/>
  <c r="BM39" i="16" s="1"/>
  <c r="G50" i="17" s="1"/>
  <c r="AI39" i="16"/>
  <c r="AE39" i="16"/>
  <c r="AD39" i="16"/>
  <c r="AA39" i="16"/>
  <c r="P39" i="16"/>
  <c r="B39" i="16"/>
  <c r="CU38" i="16"/>
  <c r="H49" i="19" s="1"/>
  <c r="CT38" i="16"/>
  <c r="CQ38" i="16"/>
  <c r="CF38" i="16"/>
  <c r="BQ38" i="16"/>
  <c r="BM38" i="16"/>
  <c r="G49" i="17" s="1"/>
  <c r="BL38" i="16"/>
  <c r="BI38" i="16"/>
  <c r="AX38" i="16"/>
  <c r="AI38" i="16"/>
  <c r="AD38" i="16"/>
  <c r="AA38" i="16"/>
  <c r="P38" i="16"/>
  <c r="AE38" i="16" s="1"/>
  <c r="F49" i="17" s="1"/>
  <c r="I49" i="17" s="1"/>
  <c r="B38" i="16"/>
  <c r="CT37" i="16"/>
  <c r="CQ37" i="16"/>
  <c r="CF37" i="16"/>
  <c r="CU37" i="16" s="1"/>
  <c r="BM37" i="16"/>
  <c r="G48" i="17" s="1"/>
  <c r="BL37" i="16"/>
  <c r="BI37" i="16"/>
  <c r="AX37" i="16"/>
  <c r="AD37" i="16"/>
  <c r="AA37" i="16"/>
  <c r="P37" i="16"/>
  <c r="AE37" i="16" s="1"/>
  <c r="F48" i="17" s="1"/>
  <c r="I48" i="17" s="1"/>
  <c r="B37" i="16"/>
  <c r="AI37" i="16" s="1"/>
  <c r="BQ37" i="16" s="1"/>
  <c r="CT36" i="16"/>
  <c r="CQ36" i="16"/>
  <c r="CF36" i="16"/>
  <c r="CU36" i="16" s="1"/>
  <c r="BM36" i="16"/>
  <c r="G47" i="17" s="1"/>
  <c r="BL36" i="16"/>
  <c r="BI36" i="16"/>
  <c r="AX36" i="16"/>
  <c r="AE36" i="16"/>
  <c r="F47" i="17" s="1"/>
  <c r="I47" i="17" s="1"/>
  <c r="AD36" i="16"/>
  <c r="AA36" i="16"/>
  <c r="P36" i="16"/>
  <c r="B36" i="16"/>
  <c r="AI36" i="16" s="1"/>
  <c r="BQ36" i="16" s="1"/>
  <c r="CU35" i="16"/>
  <c r="CT35" i="16"/>
  <c r="CQ35" i="16"/>
  <c r="CF35" i="16"/>
  <c r="BL35" i="16"/>
  <c r="BI35" i="16"/>
  <c r="AX35" i="16"/>
  <c r="BM35" i="16" s="1"/>
  <c r="G46" i="17" s="1"/>
  <c r="AD35" i="16"/>
  <c r="AA35" i="16"/>
  <c r="P35" i="16"/>
  <c r="AE35" i="16" s="1"/>
  <c r="F46" i="17" s="1"/>
  <c r="I46" i="17" s="1"/>
  <c r="B35" i="16"/>
  <c r="AI35" i="16" s="1"/>
  <c r="BQ35" i="16" s="1"/>
  <c r="CU34" i="16"/>
  <c r="H45" i="19" s="1"/>
  <c r="CT34" i="16"/>
  <c r="CQ34" i="16"/>
  <c r="CF34" i="16"/>
  <c r="BL34" i="16"/>
  <c r="BI34" i="16"/>
  <c r="AX34" i="16"/>
  <c r="BM34" i="16" s="1"/>
  <c r="G45" i="17" s="1"/>
  <c r="AI34" i="16"/>
  <c r="BQ34" i="16" s="1"/>
  <c r="AD34" i="16"/>
  <c r="AA34" i="16"/>
  <c r="P34" i="16"/>
  <c r="AE34" i="16" s="1"/>
  <c r="F45" i="17" s="1"/>
  <c r="I45" i="17" s="1"/>
  <c r="B34" i="16"/>
  <c r="CU33" i="16"/>
  <c r="H44" i="19" s="1"/>
  <c r="CT33" i="16"/>
  <c r="CQ33" i="16"/>
  <c r="CF33" i="16"/>
  <c r="BM33" i="16"/>
  <c r="BL33" i="16"/>
  <c r="BI33" i="16"/>
  <c r="AX33" i="16"/>
  <c r="AI33" i="16"/>
  <c r="BQ33" i="16" s="1"/>
  <c r="AE33" i="16"/>
  <c r="F44" i="17" s="1"/>
  <c r="I44" i="17" s="1"/>
  <c r="AD33" i="16"/>
  <c r="AA33" i="16"/>
  <c r="P33" i="16"/>
  <c r="B33" i="16"/>
  <c r="CT32" i="16"/>
  <c r="CQ32" i="16"/>
  <c r="CF32" i="16"/>
  <c r="CU32" i="16" s="1"/>
  <c r="BL32" i="16"/>
  <c r="BI32" i="16"/>
  <c r="AX32" i="16"/>
  <c r="BM32" i="16" s="1"/>
  <c r="G43" i="17" s="1"/>
  <c r="AE32" i="16"/>
  <c r="F43" i="17" s="1"/>
  <c r="I43" i="17" s="1"/>
  <c r="AD32" i="16"/>
  <c r="AA32" i="16"/>
  <c r="P32" i="16"/>
  <c r="B32" i="16"/>
  <c r="AI32" i="16" s="1"/>
  <c r="BQ32" i="16" s="1"/>
  <c r="CT31" i="16"/>
  <c r="CQ31" i="16"/>
  <c r="CF31" i="16"/>
  <c r="CU31" i="16" s="1"/>
  <c r="BQ31" i="16"/>
  <c r="BL31" i="16"/>
  <c r="BI31" i="16"/>
  <c r="AX31" i="16"/>
  <c r="BM31" i="16" s="1"/>
  <c r="G42" i="17" s="1"/>
  <c r="AI31" i="16"/>
  <c r="AE31" i="16"/>
  <c r="AD31" i="16"/>
  <c r="AA31" i="16"/>
  <c r="P31" i="16"/>
  <c r="B31" i="16"/>
  <c r="CU30" i="16"/>
  <c r="H41" i="19" s="1"/>
  <c r="CT30" i="16"/>
  <c r="CQ30" i="16"/>
  <c r="CF30" i="16"/>
  <c r="BQ30" i="16"/>
  <c r="BM30" i="16"/>
  <c r="G41" i="17" s="1"/>
  <c r="BL30" i="16"/>
  <c r="BI30" i="16"/>
  <c r="AX30" i="16"/>
  <c r="AI30" i="16"/>
  <c r="AD30" i="16"/>
  <c r="AA30" i="16"/>
  <c r="P30" i="16"/>
  <c r="AE30" i="16" s="1"/>
  <c r="F41" i="17" s="1"/>
  <c r="I41" i="17" s="1"/>
  <c r="B30" i="16"/>
  <c r="CT29" i="16"/>
  <c r="CQ29" i="16"/>
  <c r="CF29" i="16"/>
  <c r="CU29" i="16" s="1"/>
  <c r="BM29" i="16"/>
  <c r="G40" i="17" s="1"/>
  <c r="BL29" i="16"/>
  <c r="BI29" i="16"/>
  <c r="AX29" i="16"/>
  <c r="AD29" i="16"/>
  <c r="AA29" i="16"/>
  <c r="P29" i="16"/>
  <c r="AE29" i="16" s="1"/>
  <c r="F40" i="17" s="1"/>
  <c r="I40" i="17" s="1"/>
  <c r="B29" i="16"/>
  <c r="AI29" i="16" s="1"/>
  <c r="BQ29" i="16" s="1"/>
  <c r="CT28" i="16"/>
  <c r="CQ28" i="16"/>
  <c r="CF28" i="16"/>
  <c r="CU28" i="16" s="1"/>
  <c r="BM28" i="16"/>
  <c r="G39" i="17" s="1"/>
  <c r="BL28" i="16"/>
  <c r="BI28" i="16"/>
  <c r="AX28" i="16"/>
  <c r="AE28" i="16"/>
  <c r="F39" i="17" s="1"/>
  <c r="I39" i="17" s="1"/>
  <c r="AD28" i="16"/>
  <c r="AA28" i="16"/>
  <c r="P28" i="16"/>
  <c r="B28" i="16"/>
  <c r="AI28" i="16" s="1"/>
  <c r="BQ28" i="16" s="1"/>
  <c r="CU27" i="16"/>
  <c r="CT27" i="16"/>
  <c r="CQ27" i="16"/>
  <c r="CF27" i="16"/>
  <c r="BL27" i="16"/>
  <c r="BI27" i="16"/>
  <c r="AX27" i="16"/>
  <c r="BM27" i="16" s="1"/>
  <c r="G38" i="17" s="1"/>
  <c r="AD27" i="16"/>
  <c r="AA27" i="16"/>
  <c r="P27" i="16"/>
  <c r="AE27" i="16" s="1"/>
  <c r="F38" i="17" s="1"/>
  <c r="I38" i="17" s="1"/>
  <c r="B27" i="16"/>
  <c r="AI27" i="16" s="1"/>
  <c r="BQ27" i="16" s="1"/>
  <c r="CU26" i="16"/>
  <c r="CT26" i="16"/>
  <c r="CQ26" i="16"/>
  <c r="CF26" i="16"/>
  <c r="BL26" i="16"/>
  <c r="BI26" i="16"/>
  <c r="AX26" i="16"/>
  <c r="BM26" i="16" s="1"/>
  <c r="G37" i="17" s="1"/>
  <c r="AI26" i="16"/>
  <c r="BQ26" i="16" s="1"/>
  <c r="AD26" i="16"/>
  <c r="AA26" i="16"/>
  <c r="P26" i="16"/>
  <c r="AE26" i="16" s="1"/>
  <c r="F37" i="17" s="1"/>
  <c r="I37" i="17" s="1"/>
  <c r="B26" i="16"/>
  <c r="CU25" i="16"/>
  <c r="H36" i="19" s="1"/>
  <c r="CT25" i="16"/>
  <c r="CQ25" i="16"/>
  <c r="CF25" i="16"/>
  <c r="BM25" i="16"/>
  <c r="BL25" i="16"/>
  <c r="BI25" i="16"/>
  <c r="AX25" i="16"/>
  <c r="AI25" i="16"/>
  <c r="BQ25" i="16" s="1"/>
  <c r="AE25" i="16"/>
  <c r="F36" i="17" s="1"/>
  <c r="I36" i="17" s="1"/>
  <c r="AD25" i="16"/>
  <c r="AA25" i="16"/>
  <c r="P25" i="16"/>
  <c r="B25" i="16"/>
  <c r="CT24" i="16"/>
  <c r="CQ24" i="16"/>
  <c r="CF24" i="16"/>
  <c r="CU24" i="16" s="1"/>
  <c r="BL24" i="16"/>
  <c r="BI24" i="16"/>
  <c r="AX24" i="16"/>
  <c r="BM24" i="16" s="1"/>
  <c r="G35" i="17" s="1"/>
  <c r="AE24" i="16"/>
  <c r="F35" i="17" s="1"/>
  <c r="I35" i="17" s="1"/>
  <c r="AD24" i="16"/>
  <c r="AA24" i="16"/>
  <c r="P24" i="16"/>
  <c r="B24" i="16"/>
  <c r="AI24" i="16" s="1"/>
  <c r="BQ24" i="16" s="1"/>
  <c r="CT23" i="16"/>
  <c r="CQ23" i="16"/>
  <c r="CF23" i="16"/>
  <c r="CU23" i="16" s="1"/>
  <c r="BQ23" i="16"/>
  <c r="BL23" i="16"/>
  <c r="BI23" i="16"/>
  <c r="AX23" i="16"/>
  <c r="BM23" i="16" s="1"/>
  <c r="G34" i="17" s="1"/>
  <c r="AI23" i="16"/>
  <c r="AE23" i="16"/>
  <c r="AD23" i="16"/>
  <c r="AA23" i="16"/>
  <c r="P23" i="16"/>
  <c r="B23" i="16"/>
  <c r="CU22" i="16"/>
  <c r="H33" i="19" s="1"/>
  <c r="CT22" i="16"/>
  <c r="CQ22" i="16"/>
  <c r="CF22" i="16"/>
  <c r="BQ22" i="16"/>
  <c r="BM22" i="16"/>
  <c r="G33" i="17" s="1"/>
  <c r="BL22" i="16"/>
  <c r="BI22" i="16"/>
  <c r="AX22" i="16"/>
  <c r="AI22" i="16"/>
  <c r="AD22" i="16"/>
  <c r="AA22" i="16"/>
  <c r="P22" i="16"/>
  <c r="AE22" i="16" s="1"/>
  <c r="F33" i="17" s="1"/>
  <c r="I33" i="17" s="1"/>
  <c r="B22" i="16"/>
  <c r="CT21" i="16"/>
  <c r="CQ21" i="16"/>
  <c r="CF21" i="16"/>
  <c r="CU21" i="16" s="1"/>
  <c r="BM21" i="16"/>
  <c r="G32" i="17" s="1"/>
  <c r="BL21" i="16"/>
  <c r="BI21" i="16"/>
  <c r="AX21" i="16"/>
  <c r="AD21" i="16"/>
  <c r="AA21" i="16"/>
  <c r="P21" i="16"/>
  <c r="AE21" i="16" s="1"/>
  <c r="F32" i="17" s="1"/>
  <c r="I32" i="17" s="1"/>
  <c r="B21" i="16"/>
  <c r="AI21" i="16" s="1"/>
  <c r="BQ21" i="16" s="1"/>
  <c r="CT20" i="16"/>
  <c r="CQ20" i="16"/>
  <c r="CF20" i="16"/>
  <c r="CU20" i="16" s="1"/>
  <c r="BM20" i="16"/>
  <c r="G31" i="17" s="1"/>
  <c r="BL20" i="16"/>
  <c r="BI20" i="16"/>
  <c r="AX20" i="16"/>
  <c r="AE20" i="16"/>
  <c r="F31" i="17" s="1"/>
  <c r="I31" i="17" s="1"/>
  <c r="AD20" i="16"/>
  <c r="AA20" i="16"/>
  <c r="P20" i="16"/>
  <c r="B20" i="16"/>
  <c r="AI20" i="16" s="1"/>
  <c r="BQ20" i="16" s="1"/>
  <c r="CU19" i="16"/>
  <c r="CT19" i="16"/>
  <c r="CQ19" i="16"/>
  <c r="CF19" i="16"/>
  <c r="BL19" i="16"/>
  <c r="BI19" i="16"/>
  <c r="AX19" i="16"/>
  <c r="BM19" i="16" s="1"/>
  <c r="G30" i="17" s="1"/>
  <c r="AD19" i="16"/>
  <c r="AA19" i="16"/>
  <c r="P19" i="16"/>
  <c r="AE19" i="16" s="1"/>
  <c r="F30" i="17" s="1"/>
  <c r="I30" i="17" s="1"/>
  <c r="B19" i="16"/>
  <c r="AI19" i="16" s="1"/>
  <c r="BQ19" i="16" s="1"/>
  <c r="CU18" i="16"/>
  <c r="CT18" i="16"/>
  <c r="CQ18" i="16"/>
  <c r="CF18" i="16"/>
  <c r="BL18" i="16"/>
  <c r="BI18" i="16"/>
  <c r="AX18" i="16"/>
  <c r="BM18" i="16" s="1"/>
  <c r="G29" i="17" s="1"/>
  <c r="AI18" i="16"/>
  <c r="BQ18" i="16" s="1"/>
  <c r="AD18" i="16"/>
  <c r="AA18" i="16"/>
  <c r="P18" i="16"/>
  <c r="AE18" i="16" s="1"/>
  <c r="F29" i="17" s="1"/>
  <c r="I29" i="17" s="1"/>
  <c r="B18" i="16"/>
  <c r="CU17" i="16"/>
  <c r="H28" i="19" s="1"/>
  <c r="CT17" i="16"/>
  <c r="CQ17" i="16"/>
  <c r="CF17" i="16"/>
  <c r="BM17" i="16"/>
  <c r="BL17" i="16"/>
  <c r="BI17" i="16"/>
  <c r="AX17" i="16"/>
  <c r="AI17" i="16"/>
  <c r="BQ17" i="16" s="1"/>
  <c r="AE17" i="16"/>
  <c r="F28" i="17" s="1"/>
  <c r="I28" i="17" s="1"/>
  <c r="AD17" i="16"/>
  <c r="AA17" i="16"/>
  <c r="P17" i="16"/>
  <c r="B17" i="16"/>
  <c r="CT16" i="16"/>
  <c r="CQ16" i="16"/>
  <c r="CF16" i="16"/>
  <c r="CU16" i="16" s="1"/>
  <c r="BL16" i="16"/>
  <c r="BI16" i="16"/>
  <c r="AX16" i="16"/>
  <c r="BM16" i="16" s="1"/>
  <c r="G27" i="17" s="1"/>
  <c r="AE16" i="16"/>
  <c r="F27" i="17" s="1"/>
  <c r="I27" i="17" s="1"/>
  <c r="AD16" i="16"/>
  <c r="AA16" i="16"/>
  <c r="P16" i="16"/>
  <c r="B16" i="16"/>
  <c r="AI16" i="16" s="1"/>
  <c r="BQ16" i="16" s="1"/>
  <c r="CT15" i="16"/>
  <c r="CQ15" i="16"/>
  <c r="CF15" i="16"/>
  <c r="CU15" i="16" s="1"/>
  <c r="BQ15" i="16"/>
  <c r="BL15" i="16"/>
  <c r="BI15" i="16"/>
  <c r="AX15" i="16"/>
  <c r="BM15" i="16" s="1"/>
  <c r="G26" i="17" s="1"/>
  <c r="AI15" i="16"/>
  <c r="AE15" i="16"/>
  <c r="AD15" i="16"/>
  <c r="AA15" i="16"/>
  <c r="P15" i="16"/>
  <c r="B15" i="16"/>
  <c r="CU14" i="16"/>
  <c r="H25" i="19" s="1"/>
  <c r="CT14" i="16"/>
  <c r="CQ14" i="16"/>
  <c r="CF14" i="16"/>
  <c r="BQ14" i="16"/>
  <c r="BM14" i="16"/>
  <c r="G25" i="17" s="1"/>
  <c r="BL14" i="16"/>
  <c r="BI14" i="16"/>
  <c r="AX14" i="16"/>
  <c r="AI14" i="16"/>
  <c r="AD14" i="16"/>
  <c r="AA14" i="16"/>
  <c r="P14" i="16"/>
  <c r="AE14" i="16" s="1"/>
  <c r="F25" i="17" s="1"/>
  <c r="I25" i="17" s="1"/>
  <c r="B14" i="16"/>
  <c r="CT13" i="16"/>
  <c r="CQ13" i="16"/>
  <c r="CF13" i="16"/>
  <c r="CU13" i="16" s="1"/>
  <c r="BM13" i="16"/>
  <c r="G24" i="17" s="1"/>
  <c r="BL13" i="16"/>
  <c r="BI13" i="16"/>
  <c r="AX13" i="16"/>
  <c r="AD13" i="16"/>
  <c r="AA13" i="16"/>
  <c r="P13" i="16"/>
  <c r="AE13" i="16" s="1"/>
  <c r="F24" i="17" s="1"/>
  <c r="I24" i="17" s="1"/>
  <c r="B13" i="16"/>
  <c r="AI13" i="16" s="1"/>
  <c r="BQ13" i="16" s="1"/>
  <c r="CT12" i="16"/>
  <c r="CQ12" i="16"/>
  <c r="CF12" i="16"/>
  <c r="CU12" i="16" s="1"/>
  <c r="BM12" i="16"/>
  <c r="G23" i="17" s="1"/>
  <c r="BL12" i="16"/>
  <c r="BI12" i="16"/>
  <c r="AX12" i="16"/>
  <c r="AE12" i="16"/>
  <c r="F23" i="17" s="1"/>
  <c r="I23" i="17" s="1"/>
  <c r="AD12" i="16"/>
  <c r="AA12" i="16"/>
  <c r="P12" i="16"/>
  <c r="B12" i="16"/>
  <c r="AI12" i="16" s="1"/>
  <c r="BQ12" i="16" s="1"/>
  <c r="CU11" i="16"/>
  <c r="CT11" i="16"/>
  <c r="CQ11" i="16"/>
  <c r="CF11" i="16"/>
  <c r="BL11" i="16"/>
  <c r="BI11" i="16"/>
  <c r="AX11" i="16"/>
  <c r="BM11" i="16" s="1"/>
  <c r="G22" i="17" s="1"/>
  <c r="AD11" i="16"/>
  <c r="AA11" i="16"/>
  <c r="P11" i="16"/>
  <c r="AE11" i="16" s="1"/>
  <c r="F22" i="17" s="1"/>
  <c r="I22" i="17" s="1"/>
  <c r="B11" i="16"/>
  <c r="AI11" i="16" s="1"/>
  <c r="BQ11" i="16" s="1"/>
  <c r="CU10" i="16"/>
  <c r="CT10" i="16"/>
  <c r="CQ10" i="16"/>
  <c r="CF10" i="16"/>
  <c r="BL10" i="16"/>
  <c r="BI10" i="16"/>
  <c r="AX10" i="16"/>
  <c r="BM10" i="16" s="1"/>
  <c r="G21" i="17" s="1"/>
  <c r="AI10" i="16"/>
  <c r="BQ10" i="16" s="1"/>
  <c r="AD10" i="16"/>
  <c r="AA10" i="16"/>
  <c r="P10" i="16"/>
  <c r="AE10" i="16" s="1"/>
  <c r="F21" i="17" s="1"/>
  <c r="I21" i="17" s="1"/>
  <c r="B10" i="16"/>
  <c r="CU9" i="16"/>
  <c r="H20" i="19" s="1"/>
  <c r="CT9" i="16"/>
  <c r="CQ9" i="16"/>
  <c r="CF9" i="16"/>
  <c r="BM9" i="16"/>
  <c r="BL9" i="16"/>
  <c r="BI9" i="16"/>
  <c r="AX9" i="16"/>
  <c r="AI9" i="16"/>
  <c r="BQ9" i="16" s="1"/>
  <c r="AE9" i="16"/>
  <c r="F20" i="17" s="1"/>
  <c r="I20" i="17" s="1"/>
  <c r="AD9" i="16"/>
  <c r="AA9" i="16"/>
  <c r="P9" i="16"/>
  <c r="B9" i="16"/>
  <c r="CT8" i="16"/>
  <c r="CQ8" i="16"/>
  <c r="CF8" i="16"/>
  <c r="CU8" i="16" s="1"/>
  <c r="BL8" i="16"/>
  <c r="BI8" i="16"/>
  <c r="AX8" i="16"/>
  <c r="BM8" i="16" s="1"/>
  <c r="G19" i="17" s="1"/>
  <c r="AE8" i="16"/>
  <c r="F19" i="17" s="1"/>
  <c r="I19" i="17" s="1"/>
  <c r="AD8" i="16"/>
  <c r="AA8" i="16"/>
  <c r="P8" i="16"/>
  <c r="B8" i="16"/>
  <c r="AI8" i="16" s="1"/>
  <c r="BQ8" i="16" s="1"/>
  <c r="CU7" i="16"/>
  <c r="CT7" i="16"/>
  <c r="CQ7" i="16"/>
  <c r="CF7" i="16"/>
  <c r="BQ7" i="16"/>
  <c r="BL7" i="16"/>
  <c r="BI7" i="16"/>
  <c r="AX7" i="16"/>
  <c r="BM7" i="16" s="1"/>
  <c r="G18" i="17" s="1"/>
  <c r="AI7" i="16"/>
  <c r="AE7" i="16"/>
  <c r="AD7" i="16"/>
  <c r="AA7" i="16"/>
  <c r="P7" i="16"/>
  <c r="B7" i="16"/>
  <c r="CU6" i="16"/>
  <c r="H17" i="19" s="1"/>
  <c r="CT6" i="16"/>
  <c r="CQ6" i="16"/>
  <c r="CF6" i="16"/>
  <c r="BM6" i="16"/>
  <c r="G17" i="17" s="1"/>
  <c r="BL6" i="16"/>
  <c r="BI6" i="16"/>
  <c r="AX6" i="16"/>
  <c r="AI6" i="16"/>
  <c r="BQ6" i="16" s="1"/>
  <c r="AD6" i="16"/>
  <c r="AA6" i="16"/>
  <c r="P6" i="16"/>
  <c r="AE6" i="16" s="1"/>
  <c r="F17" i="17" s="1"/>
  <c r="I17" i="17" s="1"/>
  <c r="B6" i="16"/>
  <c r="CT5" i="16"/>
  <c r="CQ5" i="16"/>
  <c r="CF5" i="16"/>
  <c r="CU5" i="16" s="1"/>
  <c r="BM5" i="16"/>
  <c r="G16" i="17" s="1"/>
  <c r="BL5" i="16"/>
  <c r="BI5" i="16"/>
  <c r="AX5" i="16"/>
  <c r="AD5" i="16"/>
  <c r="AA5" i="16"/>
  <c r="P5" i="16"/>
  <c r="AE5" i="16" s="1"/>
  <c r="F16" i="17" s="1"/>
  <c r="I16" i="17" s="1"/>
  <c r="B5" i="16"/>
  <c r="AI5" i="16" s="1"/>
  <c r="BQ5" i="16" s="1"/>
  <c r="BJ128" i="15"/>
  <c r="BI128" i="15"/>
  <c r="BI127" i="15"/>
  <c r="BI126" i="15"/>
  <c r="BJ125" i="15"/>
  <c r="BI125" i="15"/>
  <c r="B125" i="15"/>
  <c r="BJ124" i="15"/>
  <c r="BI124" i="15"/>
  <c r="BJ123" i="15"/>
  <c r="BI123" i="15"/>
  <c r="BI122" i="15"/>
  <c r="BJ121" i="15"/>
  <c r="BI121" i="15"/>
  <c r="BJ120" i="15"/>
  <c r="BI120" i="15"/>
  <c r="BI119" i="15"/>
  <c r="BI118" i="15"/>
  <c r="BJ117" i="15"/>
  <c r="BI117" i="15"/>
  <c r="BI116" i="15"/>
  <c r="BI115" i="15"/>
  <c r="BI114" i="15"/>
  <c r="BJ113" i="15"/>
  <c r="BI113" i="15"/>
  <c r="B113" i="15"/>
  <c r="BI112" i="15"/>
  <c r="BJ111" i="15"/>
  <c r="BI111" i="15"/>
  <c r="BI110" i="15"/>
  <c r="BJ109" i="15"/>
  <c r="BI109" i="15"/>
  <c r="B109" i="15"/>
  <c r="BJ108" i="15"/>
  <c r="BI108" i="15"/>
  <c r="BJ107" i="15"/>
  <c r="BI107" i="15"/>
  <c r="BI106" i="15"/>
  <c r="BJ105" i="15"/>
  <c r="BI105" i="15"/>
  <c r="BJ104" i="15"/>
  <c r="BI104" i="15"/>
  <c r="BI103" i="15"/>
  <c r="BI102" i="15"/>
  <c r="BJ101" i="15"/>
  <c r="BI101" i="15"/>
  <c r="BI100" i="15"/>
  <c r="BI99" i="15"/>
  <c r="BI98" i="15"/>
  <c r="BJ97" i="15"/>
  <c r="BI97" i="15"/>
  <c r="B97" i="15"/>
  <c r="BI96" i="15"/>
  <c r="BJ95" i="15"/>
  <c r="BI95" i="15"/>
  <c r="BI94" i="15"/>
  <c r="BJ93" i="15"/>
  <c r="BI93" i="15"/>
  <c r="B93" i="15"/>
  <c r="BJ92" i="15"/>
  <c r="BI92" i="15"/>
  <c r="BI91" i="15"/>
  <c r="BI87" i="15"/>
  <c r="BJ87" i="15" s="1"/>
  <c r="BI86" i="15"/>
  <c r="BJ86" i="15" s="1"/>
  <c r="BI85" i="15"/>
  <c r="BJ85" i="15" s="1"/>
  <c r="BI84" i="15"/>
  <c r="BJ84" i="15" s="1"/>
  <c r="BI83" i="15"/>
  <c r="BJ83" i="15" s="1"/>
  <c r="BI82" i="15"/>
  <c r="BJ82" i="15" s="1"/>
  <c r="BI81" i="15"/>
  <c r="BJ81" i="15" s="1"/>
  <c r="BI80" i="15"/>
  <c r="BJ80" i="15" s="1"/>
  <c r="B80" i="15"/>
  <c r="BJ79" i="15"/>
  <c r="BI79" i="15"/>
  <c r="B79" i="15"/>
  <c r="B124" i="15" s="1"/>
  <c r="BI78" i="15"/>
  <c r="BJ78" i="15" s="1"/>
  <c r="BJ77" i="15"/>
  <c r="BI77" i="15"/>
  <c r="BI76" i="15"/>
  <c r="BJ76" i="15" s="1"/>
  <c r="B76" i="15"/>
  <c r="B121" i="15" s="1"/>
  <c r="BJ75" i="15"/>
  <c r="BI75" i="15"/>
  <c r="B75" i="15"/>
  <c r="B120" i="15" s="1"/>
  <c r="BJ74" i="15"/>
  <c r="BI74" i="15"/>
  <c r="BI73" i="15"/>
  <c r="BJ73" i="15" s="1"/>
  <c r="BI72" i="15"/>
  <c r="BJ72" i="15" s="1"/>
  <c r="B72" i="15"/>
  <c r="B117" i="15" s="1"/>
  <c r="BJ71" i="15"/>
  <c r="BI71" i="15"/>
  <c r="BI70" i="15"/>
  <c r="BJ70" i="15" s="1"/>
  <c r="BI69" i="15"/>
  <c r="BJ69" i="15" s="1"/>
  <c r="BI68" i="15"/>
  <c r="BJ68" i="15" s="1"/>
  <c r="B68" i="15"/>
  <c r="BJ67" i="15"/>
  <c r="BI67" i="15"/>
  <c r="BI66" i="15"/>
  <c r="BJ66" i="15" s="1"/>
  <c r="BI65" i="15"/>
  <c r="BJ65" i="15" s="1"/>
  <c r="BI64" i="15"/>
  <c r="BJ64" i="15" s="1"/>
  <c r="B64" i="15"/>
  <c r="BJ63" i="15"/>
  <c r="BI63" i="15"/>
  <c r="B63" i="15"/>
  <c r="B108" i="15" s="1"/>
  <c r="BI62" i="15"/>
  <c r="BJ62" i="15" s="1"/>
  <c r="BJ61" i="15"/>
  <c r="BI61" i="15"/>
  <c r="BI60" i="15"/>
  <c r="BJ60" i="15" s="1"/>
  <c r="B60" i="15"/>
  <c r="B105" i="15" s="1"/>
  <c r="BJ59" i="15"/>
  <c r="BI59" i="15"/>
  <c r="B59" i="15"/>
  <c r="B104" i="15" s="1"/>
  <c r="BJ58" i="15"/>
  <c r="BI58" i="15"/>
  <c r="BI57" i="15"/>
  <c r="BJ57" i="15" s="1"/>
  <c r="BI56" i="15"/>
  <c r="BJ56" i="15" s="1"/>
  <c r="B56" i="15"/>
  <c r="B101" i="15" s="1"/>
  <c r="BJ55" i="15"/>
  <c r="BI55" i="15"/>
  <c r="BI54" i="15"/>
  <c r="BJ54" i="15" s="1"/>
  <c r="BI53" i="15"/>
  <c r="BJ53" i="15" s="1"/>
  <c r="B53" i="15"/>
  <c r="B98" i="15" s="1"/>
  <c r="BI52" i="15"/>
  <c r="BJ52" i="15" s="1"/>
  <c r="B52" i="15"/>
  <c r="BJ51" i="15"/>
  <c r="BI51" i="15"/>
  <c r="B51" i="15"/>
  <c r="B96" i="15" s="1"/>
  <c r="BI50" i="15"/>
  <c r="BJ50" i="15" s="1"/>
  <c r="BI49" i="15"/>
  <c r="BJ49" i="15" s="1"/>
  <c r="BI48" i="15"/>
  <c r="BJ48" i="15" s="1"/>
  <c r="M18" i="17" s="1"/>
  <c r="B48" i="15"/>
  <c r="BJ47" i="15"/>
  <c r="BI47" i="15"/>
  <c r="BI46" i="15"/>
  <c r="BJ46" i="15" s="1"/>
  <c r="BJ43" i="15"/>
  <c r="BI43" i="15"/>
  <c r="BJ42" i="15"/>
  <c r="BI42" i="15"/>
  <c r="B42" i="15"/>
  <c r="BJ41" i="15"/>
  <c r="BI41" i="15"/>
  <c r="B41" i="15"/>
  <c r="BJ40" i="15"/>
  <c r="BI40" i="15"/>
  <c r="B40" i="15"/>
  <c r="BI39" i="15"/>
  <c r="B39" i="15"/>
  <c r="B82" i="15" s="1"/>
  <c r="B127" i="15" s="1"/>
  <c r="BJ38" i="15"/>
  <c r="BI38" i="15"/>
  <c r="B38" i="15"/>
  <c r="B81" i="15" s="1"/>
  <c r="B126" i="15" s="1"/>
  <c r="BJ37" i="15"/>
  <c r="BI37" i="15"/>
  <c r="B37" i="15"/>
  <c r="BJ36" i="15"/>
  <c r="BI36" i="15"/>
  <c r="B36" i="15"/>
  <c r="BI35" i="15"/>
  <c r="B35" i="15"/>
  <c r="B78" i="15" s="1"/>
  <c r="B123" i="15" s="1"/>
  <c r="BJ34" i="15"/>
  <c r="BI34" i="15"/>
  <c r="B34" i="15"/>
  <c r="B77" i="15" s="1"/>
  <c r="B122" i="15" s="1"/>
  <c r="BJ33" i="15"/>
  <c r="BI33" i="15"/>
  <c r="B33" i="15"/>
  <c r="BI32" i="15"/>
  <c r="B32" i="15"/>
  <c r="BI31" i="15"/>
  <c r="B31" i="15"/>
  <c r="B74" i="15" s="1"/>
  <c r="B119" i="15" s="1"/>
  <c r="BJ30" i="15"/>
  <c r="BI30" i="15"/>
  <c r="B30" i="15"/>
  <c r="B73" i="15" s="1"/>
  <c r="B118" i="15" s="1"/>
  <c r="BI29" i="15"/>
  <c r="B29" i="15"/>
  <c r="BJ28" i="15"/>
  <c r="BI28" i="15"/>
  <c r="B28" i="15"/>
  <c r="B71" i="15" s="1"/>
  <c r="B116" i="15" s="1"/>
  <c r="BI27" i="15"/>
  <c r="B27" i="15"/>
  <c r="B70" i="15" s="1"/>
  <c r="B115" i="15" s="1"/>
  <c r="BJ26" i="15"/>
  <c r="BI26" i="15"/>
  <c r="J39" i="33" s="1"/>
  <c r="B26" i="15"/>
  <c r="B69" i="15" s="1"/>
  <c r="B114" i="15" s="1"/>
  <c r="BJ25" i="15"/>
  <c r="BI25" i="15"/>
  <c r="B25" i="15"/>
  <c r="BI24" i="15"/>
  <c r="B24" i="15"/>
  <c r="B67" i="15" s="1"/>
  <c r="B112" i="15" s="1"/>
  <c r="BI23" i="15"/>
  <c r="B23" i="15"/>
  <c r="B66" i="15" s="1"/>
  <c r="B111" i="15" s="1"/>
  <c r="BJ22" i="15"/>
  <c r="BI22" i="15"/>
  <c r="B22" i="15"/>
  <c r="B65" i="15" s="1"/>
  <c r="B110" i="15" s="1"/>
  <c r="BI21" i="15"/>
  <c r="B21" i="15"/>
  <c r="BJ20" i="15"/>
  <c r="BI20" i="15"/>
  <c r="B20" i="15"/>
  <c r="BI19" i="15"/>
  <c r="B19" i="15"/>
  <c r="B62" i="15" s="1"/>
  <c r="B107" i="15" s="1"/>
  <c r="BJ18" i="15"/>
  <c r="BI18" i="15"/>
  <c r="B18" i="15"/>
  <c r="B61" i="15" s="1"/>
  <c r="B106" i="15" s="1"/>
  <c r="BJ17" i="15"/>
  <c r="BI17" i="15"/>
  <c r="B17" i="15"/>
  <c r="BI16" i="15"/>
  <c r="B16" i="15"/>
  <c r="BI15" i="15"/>
  <c r="B15" i="15"/>
  <c r="B58" i="15" s="1"/>
  <c r="B103" i="15" s="1"/>
  <c r="BJ14" i="15"/>
  <c r="BI14" i="15"/>
  <c r="B14" i="15"/>
  <c r="B57" i="15" s="1"/>
  <c r="B102" i="15" s="1"/>
  <c r="BI13" i="15"/>
  <c r="B13" i="15"/>
  <c r="BJ12" i="15"/>
  <c r="BI12" i="15"/>
  <c r="B12" i="15"/>
  <c r="B55" i="15" s="1"/>
  <c r="B100" i="15" s="1"/>
  <c r="BI11" i="15"/>
  <c r="B11" i="15"/>
  <c r="B54" i="15" s="1"/>
  <c r="B99" i="15" s="1"/>
  <c r="BJ10" i="15"/>
  <c r="BI10" i="15"/>
  <c r="B10" i="15"/>
  <c r="BJ9" i="15"/>
  <c r="BI9" i="15"/>
  <c r="B9" i="15"/>
  <c r="BJ8" i="15"/>
  <c r="BI8" i="15"/>
  <c r="B8" i="15"/>
  <c r="BI7" i="15"/>
  <c r="B7" i="15"/>
  <c r="B50" i="15" s="1"/>
  <c r="B95" i="15" s="1"/>
  <c r="BJ6" i="15"/>
  <c r="BI6" i="15"/>
  <c r="B6" i="15"/>
  <c r="B49" i="15" s="1"/>
  <c r="B94" i="15" s="1"/>
  <c r="BJ5" i="15"/>
  <c r="BI5" i="15"/>
  <c r="B5" i="15"/>
  <c r="BJ4" i="15"/>
  <c r="BI4" i="15"/>
  <c r="B4" i="15"/>
  <c r="B47" i="15" s="1"/>
  <c r="B92" i="15" s="1"/>
  <c r="BI3" i="15"/>
  <c r="B3" i="15"/>
  <c r="B46" i="15" s="1"/>
  <c r="BJ128" i="14"/>
  <c r="BI128" i="14"/>
  <c r="BI127" i="14"/>
  <c r="BJ127" i="14" s="1"/>
  <c r="BI126" i="14"/>
  <c r="BJ126" i="14" s="1"/>
  <c r="BJ125" i="14"/>
  <c r="BI125" i="14"/>
  <c r="BI124" i="14"/>
  <c r="BJ124" i="14" s="1"/>
  <c r="BI123" i="14"/>
  <c r="BJ123" i="14" s="1"/>
  <c r="BI122" i="14"/>
  <c r="BJ122" i="14" s="1"/>
  <c r="BJ121" i="14"/>
  <c r="BI121" i="14"/>
  <c r="BI120" i="14"/>
  <c r="BJ120" i="14" s="1"/>
  <c r="BI119" i="14"/>
  <c r="BJ119" i="14" s="1"/>
  <c r="BI118" i="14"/>
  <c r="BJ118" i="14" s="1"/>
  <c r="BJ117" i="14"/>
  <c r="BI117" i="14"/>
  <c r="BI116" i="14"/>
  <c r="BJ116" i="14" s="1"/>
  <c r="BI115" i="14"/>
  <c r="BJ115" i="14" s="1"/>
  <c r="BI114" i="14"/>
  <c r="BJ114" i="14" s="1"/>
  <c r="BJ113" i="14"/>
  <c r="BI113" i="14"/>
  <c r="BI112" i="14"/>
  <c r="BJ112" i="14" s="1"/>
  <c r="BI111" i="14"/>
  <c r="BJ111" i="14" s="1"/>
  <c r="BI110" i="14"/>
  <c r="BJ110" i="14" s="1"/>
  <c r="BJ109" i="14"/>
  <c r="BI109" i="14"/>
  <c r="BI108" i="14"/>
  <c r="BJ108" i="14" s="1"/>
  <c r="BI107" i="14"/>
  <c r="BJ107" i="14" s="1"/>
  <c r="BJ106" i="14"/>
  <c r="BI106" i="14"/>
  <c r="BJ105" i="14"/>
  <c r="BI105" i="14"/>
  <c r="BJ104" i="14"/>
  <c r="BI104" i="14"/>
  <c r="BI103" i="14"/>
  <c r="BJ103" i="14" s="1"/>
  <c r="BJ102" i="14"/>
  <c r="BI102" i="14"/>
  <c r="BI101" i="14"/>
  <c r="BJ101" i="14" s="1"/>
  <c r="BJ100" i="14"/>
  <c r="BI100" i="14"/>
  <c r="BI99" i="14"/>
  <c r="BJ99" i="14" s="1"/>
  <c r="BJ98" i="14"/>
  <c r="BI98" i="14"/>
  <c r="BI97" i="14"/>
  <c r="BJ97" i="14" s="1"/>
  <c r="BJ96" i="14"/>
  <c r="BI96" i="14"/>
  <c r="BI95" i="14"/>
  <c r="BJ95" i="14" s="1"/>
  <c r="BJ94" i="14"/>
  <c r="BI94" i="14"/>
  <c r="BI93" i="14"/>
  <c r="BJ93" i="14" s="1"/>
  <c r="BJ92" i="14"/>
  <c r="BI92" i="14"/>
  <c r="BI91" i="14"/>
  <c r="BJ91" i="14" s="1"/>
  <c r="BJ87" i="14"/>
  <c r="BI87" i="14"/>
  <c r="BJ86" i="14"/>
  <c r="BI86" i="14"/>
  <c r="BJ85" i="14"/>
  <c r="BI85" i="14"/>
  <c r="BJ84" i="14"/>
  <c r="BI84" i="14"/>
  <c r="BJ83" i="14"/>
  <c r="BI83" i="14"/>
  <c r="BJ82" i="14"/>
  <c r="BI82" i="14"/>
  <c r="BI81" i="14"/>
  <c r="BJ81" i="14" s="1"/>
  <c r="BJ80" i="14"/>
  <c r="BI80" i="14"/>
  <c r="BI79" i="14"/>
  <c r="BJ79" i="14" s="1"/>
  <c r="BJ78" i="14"/>
  <c r="BI78" i="14"/>
  <c r="B78" i="14"/>
  <c r="B123" i="14" s="1"/>
  <c r="BJ77" i="14"/>
  <c r="BI77" i="14"/>
  <c r="BJ76" i="14"/>
  <c r="BI76" i="14"/>
  <c r="BI75" i="14"/>
  <c r="BJ75" i="14" s="1"/>
  <c r="BJ74" i="14"/>
  <c r="BI74" i="14"/>
  <c r="BI73" i="14"/>
  <c r="BJ73" i="14" s="1"/>
  <c r="BJ72" i="14"/>
  <c r="BI72" i="14"/>
  <c r="BI71" i="14"/>
  <c r="BJ71" i="14" s="1"/>
  <c r="BJ70" i="14"/>
  <c r="BI70" i="14"/>
  <c r="B70" i="14"/>
  <c r="B115" i="14" s="1"/>
  <c r="BJ69" i="14"/>
  <c r="BI69" i="14"/>
  <c r="BJ68" i="14"/>
  <c r="BI68" i="14"/>
  <c r="BI67" i="14"/>
  <c r="BJ67" i="14" s="1"/>
  <c r="BJ66" i="14"/>
  <c r="BI66" i="14"/>
  <c r="BI65" i="14"/>
  <c r="BJ65" i="14" s="1"/>
  <c r="BJ64" i="14"/>
  <c r="BI64" i="14"/>
  <c r="BI63" i="14"/>
  <c r="BJ63" i="14" s="1"/>
  <c r="BJ62" i="14"/>
  <c r="BI62" i="14"/>
  <c r="B62" i="14"/>
  <c r="B107" i="14" s="1"/>
  <c r="BJ61" i="14"/>
  <c r="BI61" i="14"/>
  <c r="BJ60" i="14"/>
  <c r="BI60" i="14"/>
  <c r="BI59" i="14"/>
  <c r="BJ59" i="14" s="1"/>
  <c r="BJ58" i="14"/>
  <c r="BI58" i="14"/>
  <c r="BI57" i="14"/>
  <c r="BJ57" i="14" s="1"/>
  <c r="BJ56" i="14"/>
  <c r="BI56" i="14"/>
  <c r="BI55" i="14"/>
  <c r="BJ55" i="14" s="1"/>
  <c r="BJ54" i="14"/>
  <c r="BI54" i="14"/>
  <c r="B54" i="14"/>
  <c r="B99" i="14" s="1"/>
  <c r="BJ53" i="14"/>
  <c r="BI53" i="14"/>
  <c r="BJ52" i="14"/>
  <c r="BI52" i="14"/>
  <c r="B52" i="14"/>
  <c r="B97" i="14" s="1"/>
  <c r="BI51" i="14"/>
  <c r="BJ51" i="14" s="1"/>
  <c r="BJ50" i="14"/>
  <c r="BI50" i="14"/>
  <c r="BI49" i="14"/>
  <c r="BJ49" i="14" s="1"/>
  <c r="BJ48" i="14"/>
  <c r="BI48" i="14"/>
  <c r="BI47" i="14"/>
  <c r="BJ47" i="14" s="1"/>
  <c r="BJ46" i="14"/>
  <c r="BI46" i="14"/>
  <c r="B46" i="14"/>
  <c r="B91" i="14" s="1"/>
  <c r="BJ43" i="14"/>
  <c r="BI43" i="14"/>
  <c r="BI42" i="14"/>
  <c r="B42" i="14"/>
  <c r="BJ41" i="14"/>
  <c r="BI41" i="14"/>
  <c r="B41" i="14"/>
  <c r="BJ40" i="14"/>
  <c r="BI40" i="14"/>
  <c r="B40" i="14"/>
  <c r="BJ39" i="14"/>
  <c r="BI39" i="14"/>
  <c r="B39" i="14"/>
  <c r="B82" i="14" s="1"/>
  <c r="B127" i="14" s="1"/>
  <c r="BI38" i="14"/>
  <c r="C9" i="12" s="1"/>
  <c r="B38" i="14"/>
  <c r="B81" i="14" s="1"/>
  <c r="B126" i="14" s="1"/>
  <c r="BJ37" i="14"/>
  <c r="BI37" i="14"/>
  <c r="B37" i="14"/>
  <c r="B80" i="14" s="1"/>
  <c r="B125" i="14" s="1"/>
  <c r="BI36" i="14"/>
  <c r="B36" i="14"/>
  <c r="B79" i="14" s="1"/>
  <c r="B124" i="14" s="1"/>
  <c r="BJ35" i="14"/>
  <c r="BI35" i="14"/>
  <c r="B35" i="14"/>
  <c r="BI34" i="14"/>
  <c r="B34" i="14"/>
  <c r="B77" i="14" s="1"/>
  <c r="B122" i="14" s="1"/>
  <c r="BJ33" i="14"/>
  <c r="BI33" i="14"/>
  <c r="B33" i="14"/>
  <c r="B76" i="14" s="1"/>
  <c r="B121" i="14" s="1"/>
  <c r="BJ32" i="14"/>
  <c r="BI32" i="14"/>
  <c r="B32" i="14"/>
  <c r="B75" i="14" s="1"/>
  <c r="B120" i="14" s="1"/>
  <c r="BJ31" i="14"/>
  <c r="BI31" i="14"/>
  <c r="B31" i="14"/>
  <c r="B74" i="14" s="1"/>
  <c r="B119" i="14" s="1"/>
  <c r="BI30" i="14"/>
  <c r="B30" i="14"/>
  <c r="B73" i="14" s="1"/>
  <c r="B118" i="14" s="1"/>
  <c r="BJ29" i="14"/>
  <c r="BI29" i="14"/>
  <c r="B29" i="14"/>
  <c r="B72" i="14" s="1"/>
  <c r="B117" i="14" s="1"/>
  <c r="BI28" i="14"/>
  <c r="B28" i="14"/>
  <c r="B71" i="14" s="1"/>
  <c r="B116" i="14" s="1"/>
  <c r="BJ27" i="14"/>
  <c r="BI27" i="14"/>
  <c r="B27" i="14"/>
  <c r="BI26" i="14"/>
  <c r="B26" i="14"/>
  <c r="B69" i="14" s="1"/>
  <c r="B114" i="14" s="1"/>
  <c r="BJ25" i="14"/>
  <c r="BI25" i="14"/>
  <c r="B25" i="14"/>
  <c r="B68" i="14" s="1"/>
  <c r="B113" i="14" s="1"/>
  <c r="BJ24" i="14"/>
  <c r="BI24" i="14"/>
  <c r="B24" i="14"/>
  <c r="B67" i="14" s="1"/>
  <c r="B112" i="14" s="1"/>
  <c r="BJ23" i="14"/>
  <c r="BI23" i="14"/>
  <c r="B23" i="14"/>
  <c r="B66" i="14" s="1"/>
  <c r="B111" i="14" s="1"/>
  <c r="BI22" i="14"/>
  <c r="B22" i="14"/>
  <c r="B65" i="14" s="1"/>
  <c r="B110" i="14" s="1"/>
  <c r="BJ21" i="14"/>
  <c r="BI21" i="14"/>
  <c r="B21" i="14"/>
  <c r="B64" i="14" s="1"/>
  <c r="B109" i="14" s="1"/>
  <c r="BI20" i="14"/>
  <c r="B20" i="14"/>
  <c r="B63" i="14" s="1"/>
  <c r="B108" i="14" s="1"/>
  <c r="BJ19" i="14"/>
  <c r="BI19" i="14"/>
  <c r="B19" i="14"/>
  <c r="BI18" i="14"/>
  <c r="B18" i="14"/>
  <c r="B61" i="14" s="1"/>
  <c r="B106" i="14" s="1"/>
  <c r="BJ17" i="14"/>
  <c r="BI17" i="14"/>
  <c r="B17" i="14"/>
  <c r="B60" i="14" s="1"/>
  <c r="B105" i="14" s="1"/>
  <c r="BJ16" i="14"/>
  <c r="BI16" i="14"/>
  <c r="B16" i="14"/>
  <c r="B59" i="14" s="1"/>
  <c r="B104" i="14" s="1"/>
  <c r="BJ15" i="14"/>
  <c r="BI15" i="14"/>
  <c r="B15" i="14"/>
  <c r="B58" i="14" s="1"/>
  <c r="B103" i="14" s="1"/>
  <c r="BI14" i="14"/>
  <c r="B14" i="14"/>
  <c r="B57" i="14" s="1"/>
  <c r="B102" i="14" s="1"/>
  <c r="BJ13" i="14"/>
  <c r="BI13" i="14"/>
  <c r="B13" i="14"/>
  <c r="B56" i="14" s="1"/>
  <c r="B101" i="14" s="1"/>
  <c r="BI12" i="14"/>
  <c r="B12" i="14"/>
  <c r="B55" i="14" s="1"/>
  <c r="B100" i="14" s="1"/>
  <c r="BJ11" i="14"/>
  <c r="BI11" i="14"/>
  <c r="B11" i="14"/>
  <c r="BI10" i="14"/>
  <c r="B10" i="14"/>
  <c r="B53" i="14" s="1"/>
  <c r="B98" i="14" s="1"/>
  <c r="BJ9" i="14"/>
  <c r="BI9" i="14"/>
  <c r="B9" i="14"/>
  <c r="BJ8" i="14"/>
  <c r="BI8" i="14"/>
  <c r="B8" i="14"/>
  <c r="B51" i="14" s="1"/>
  <c r="B96" i="14" s="1"/>
  <c r="BJ7" i="14"/>
  <c r="BI7" i="14"/>
  <c r="B7" i="14"/>
  <c r="B50" i="14" s="1"/>
  <c r="B95" i="14" s="1"/>
  <c r="BI6" i="14"/>
  <c r="B6" i="14"/>
  <c r="B49" i="14" s="1"/>
  <c r="B94" i="14" s="1"/>
  <c r="BJ5" i="14"/>
  <c r="BI5" i="14"/>
  <c r="B5" i="14"/>
  <c r="B48" i="14" s="1"/>
  <c r="B93" i="14" s="1"/>
  <c r="BI4" i="14"/>
  <c r="B4" i="14"/>
  <c r="B47" i="14" s="1"/>
  <c r="B92" i="14" s="1"/>
  <c r="BJ3" i="14"/>
  <c r="BI3" i="14"/>
  <c r="B3" i="14"/>
  <c r="BI128" i="13"/>
  <c r="BJ128" i="13" s="1"/>
  <c r="BI127" i="13"/>
  <c r="BJ127" i="13" s="1"/>
  <c r="BJ126" i="13"/>
  <c r="BI126" i="13"/>
  <c r="BI125" i="13"/>
  <c r="BJ125" i="13" s="1"/>
  <c r="BJ124" i="13"/>
  <c r="BI124" i="13"/>
  <c r="BJ123" i="13"/>
  <c r="BI123" i="13"/>
  <c r="BJ122" i="13"/>
  <c r="BI122" i="13"/>
  <c r="BI121" i="13"/>
  <c r="BJ121" i="13" s="1"/>
  <c r="BJ120" i="13"/>
  <c r="BI120" i="13"/>
  <c r="BI119" i="13"/>
  <c r="BJ119" i="13" s="1"/>
  <c r="BJ118" i="13"/>
  <c r="BI118" i="13"/>
  <c r="BI117" i="13"/>
  <c r="BJ117" i="13" s="1"/>
  <c r="BJ116" i="13"/>
  <c r="BI116" i="13"/>
  <c r="BJ115" i="13"/>
  <c r="BI115" i="13"/>
  <c r="BJ114" i="13"/>
  <c r="BI114" i="13"/>
  <c r="BI113" i="13"/>
  <c r="BJ113" i="13" s="1"/>
  <c r="BJ112" i="13"/>
  <c r="BI112" i="13"/>
  <c r="BI111" i="13"/>
  <c r="BJ111" i="13" s="1"/>
  <c r="BJ110" i="13"/>
  <c r="BI110" i="13"/>
  <c r="BI109" i="13"/>
  <c r="BJ109" i="13" s="1"/>
  <c r="BJ108" i="13"/>
  <c r="BI108" i="13"/>
  <c r="B108" i="13"/>
  <c r="BJ107" i="13"/>
  <c r="BI107" i="13"/>
  <c r="BJ106" i="13"/>
  <c r="BI106" i="13"/>
  <c r="B106" i="13"/>
  <c r="BI105" i="13"/>
  <c r="BJ105" i="13" s="1"/>
  <c r="BJ104" i="13"/>
  <c r="BI104" i="13"/>
  <c r="BI103" i="13"/>
  <c r="BJ103" i="13" s="1"/>
  <c r="BJ102" i="13"/>
  <c r="BI102" i="13"/>
  <c r="BI101" i="13"/>
  <c r="BJ101" i="13" s="1"/>
  <c r="BJ100" i="13"/>
  <c r="BI100" i="13"/>
  <c r="B100" i="13"/>
  <c r="BJ99" i="13"/>
  <c r="BI99" i="13"/>
  <c r="BJ98" i="13"/>
  <c r="BI98" i="13"/>
  <c r="BI97" i="13"/>
  <c r="BJ97" i="13" s="1"/>
  <c r="BJ96" i="13"/>
  <c r="BI96" i="13"/>
  <c r="BI95" i="13"/>
  <c r="BJ95" i="13" s="1"/>
  <c r="BJ94" i="13"/>
  <c r="BI94" i="13"/>
  <c r="BI93" i="13"/>
  <c r="BJ93" i="13" s="1"/>
  <c r="BJ92" i="13"/>
  <c r="BI92" i="13"/>
  <c r="B92" i="13"/>
  <c r="BJ91" i="13"/>
  <c r="BI91" i="13"/>
  <c r="BJ87" i="13"/>
  <c r="BI87" i="13"/>
  <c r="BJ86" i="13"/>
  <c r="BI86" i="13"/>
  <c r="BJ85" i="13"/>
  <c r="BI85" i="13"/>
  <c r="BJ84" i="13"/>
  <c r="BI84" i="13"/>
  <c r="BJ83" i="13"/>
  <c r="BI83" i="13"/>
  <c r="BJ82" i="13"/>
  <c r="BI82" i="13"/>
  <c r="B82" i="13"/>
  <c r="B127" i="13" s="1"/>
  <c r="BJ81" i="13"/>
  <c r="BI81" i="13"/>
  <c r="BJ80" i="13"/>
  <c r="BI80" i="13"/>
  <c r="BI79" i="13"/>
  <c r="BJ79" i="13" s="1"/>
  <c r="BJ78" i="13"/>
  <c r="BI78" i="13"/>
  <c r="BI77" i="13"/>
  <c r="BJ77" i="13" s="1"/>
  <c r="BJ76" i="13"/>
  <c r="BI76" i="13"/>
  <c r="BI75" i="13"/>
  <c r="BJ75" i="13" s="1"/>
  <c r="BJ74" i="13"/>
  <c r="BI74" i="13"/>
  <c r="B74" i="13"/>
  <c r="B119" i="13" s="1"/>
  <c r="BJ73" i="13"/>
  <c r="BI73" i="13"/>
  <c r="BJ72" i="13"/>
  <c r="BI72" i="13"/>
  <c r="BI71" i="13"/>
  <c r="BJ71" i="13" s="1"/>
  <c r="BJ70" i="13"/>
  <c r="BI70" i="13"/>
  <c r="BI69" i="13"/>
  <c r="BJ69" i="13" s="1"/>
  <c r="BJ68" i="13"/>
  <c r="BI68" i="13"/>
  <c r="BI67" i="13"/>
  <c r="BJ67" i="13" s="1"/>
  <c r="BJ66" i="13"/>
  <c r="BI66" i="13"/>
  <c r="B66" i="13"/>
  <c r="B111" i="13" s="1"/>
  <c r="BJ65" i="13"/>
  <c r="BI65" i="13"/>
  <c r="BJ64" i="13"/>
  <c r="BI64" i="13"/>
  <c r="BI63" i="13"/>
  <c r="BJ63" i="13" s="1"/>
  <c r="B63" i="13"/>
  <c r="BJ62" i="13"/>
  <c r="BI62" i="13"/>
  <c r="BI61" i="13"/>
  <c r="BJ61" i="13" s="1"/>
  <c r="BJ60" i="13"/>
  <c r="BI60" i="13"/>
  <c r="BI59" i="13"/>
  <c r="BJ59" i="13" s="1"/>
  <c r="BJ58" i="13"/>
  <c r="BI58" i="13"/>
  <c r="B58" i="13"/>
  <c r="B103" i="13" s="1"/>
  <c r="BJ57" i="13"/>
  <c r="BI57" i="13"/>
  <c r="BJ56" i="13"/>
  <c r="BI56" i="13"/>
  <c r="BI55" i="13"/>
  <c r="BJ55" i="13" s="1"/>
  <c r="B55" i="13"/>
  <c r="BJ54" i="13"/>
  <c r="BI54" i="13"/>
  <c r="BI53" i="13"/>
  <c r="BJ53" i="13" s="1"/>
  <c r="BJ52" i="13"/>
  <c r="BI52" i="13"/>
  <c r="BI51" i="13"/>
  <c r="BJ51" i="13" s="1"/>
  <c r="BJ50" i="13"/>
  <c r="BI50" i="13"/>
  <c r="B50" i="13"/>
  <c r="B95" i="13" s="1"/>
  <c r="BJ49" i="13"/>
  <c r="BI49" i="13"/>
  <c r="BJ48" i="13"/>
  <c r="BI48" i="13"/>
  <c r="BI47" i="13"/>
  <c r="BJ47" i="13" s="1"/>
  <c r="B47" i="13"/>
  <c r="BJ46" i="13"/>
  <c r="BI46" i="13"/>
  <c r="BI43" i="13"/>
  <c r="BJ43" i="13" s="1"/>
  <c r="BI42" i="13"/>
  <c r="B42" i="13"/>
  <c r="BJ41" i="13"/>
  <c r="BI41" i="13"/>
  <c r="B41" i="13"/>
  <c r="BI40" i="13"/>
  <c r="B40" i="13"/>
  <c r="BJ39" i="13"/>
  <c r="BI39" i="13"/>
  <c r="B39" i="13"/>
  <c r="BI38" i="13"/>
  <c r="B38" i="13"/>
  <c r="B81" i="13" s="1"/>
  <c r="B126" i="13" s="1"/>
  <c r="BJ37" i="13"/>
  <c r="BI37" i="13"/>
  <c r="B37" i="13"/>
  <c r="B80" i="13" s="1"/>
  <c r="B125" i="13" s="1"/>
  <c r="BJ36" i="13"/>
  <c r="BI36" i="13"/>
  <c r="B36" i="13"/>
  <c r="B79" i="13" s="1"/>
  <c r="B124" i="13" s="1"/>
  <c r="BJ35" i="13"/>
  <c r="BI35" i="13"/>
  <c r="B35" i="13"/>
  <c r="B78" i="13" s="1"/>
  <c r="B123" i="13" s="1"/>
  <c r="BI34" i="13"/>
  <c r="B34" i="13"/>
  <c r="B77" i="13" s="1"/>
  <c r="B122" i="13" s="1"/>
  <c r="BJ33" i="13"/>
  <c r="BI33" i="13"/>
  <c r="B33" i="13"/>
  <c r="B76" i="13" s="1"/>
  <c r="B121" i="13" s="1"/>
  <c r="BI32" i="13"/>
  <c r="B32" i="13"/>
  <c r="B75" i="13" s="1"/>
  <c r="B120" i="13" s="1"/>
  <c r="BJ31" i="13"/>
  <c r="BI31" i="13"/>
  <c r="B31" i="13"/>
  <c r="BI30" i="13"/>
  <c r="B30" i="13"/>
  <c r="B73" i="13" s="1"/>
  <c r="B118" i="13" s="1"/>
  <c r="BJ29" i="13"/>
  <c r="BI29" i="13"/>
  <c r="B29" i="13"/>
  <c r="B72" i="13" s="1"/>
  <c r="B117" i="13" s="1"/>
  <c r="BJ28" i="13"/>
  <c r="BI28" i="13"/>
  <c r="B28" i="13"/>
  <c r="B71" i="13" s="1"/>
  <c r="B116" i="13" s="1"/>
  <c r="BJ27" i="13"/>
  <c r="BI27" i="13"/>
  <c r="B27" i="13"/>
  <c r="B70" i="13" s="1"/>
  <c r="B115" i="13" s="1"/>
  <c r="BI26" i="13"/>
  <c r="B26" i="13"/>
  <c r="B69" i="13" s="1"/>
  <c r="B114" i="13" s="1"/>
  <c r="BJ25" i="13"/>
  <c r="BI25" i="13"/>
  <c r="B25" i="13"/>
  <c r="B68" i="13" s="1"/>
  <c r="B113" i="13" s="1"/>
  <c r="BI24" i="13"/>
  <c r="B24" i="13"/>
  <c r="B67" i="13" s="1"/>
  <c r="B112" i="13" s="1"/>
  <c r="BJ23" i="13"/>
  <c r="BI23" i="13"/>
  <c r="B23" i="13"/>
  <c r="BI22" i="13"/>
  <c r="B22" i="13"/>
  <c r="B65" i="13" s="1"/>
  <c r="B110" i="13" s="1"/>
  <c r="BJ21" i="13"/>
  <c r="BI21" i="13"/>
  <c r="B21" i="13"/>
  <c r="B64" i="13" s="1"/>
  <c r="B109" i="13" s="1"/>
  <c r="BJ20" i="13"/>
  <c r="BI20" i="13"/>
  <c r="B20" i="13"/>
  <c r="BJ19" i="13"/>
  <c r="BI19" i="13"/>
  <c r="B19" i="13"/>
  <c r="B62" i="13" s="1"/>
  <c r="B107" i="13" s="1"/>
  <c r="BI18" i="13"/>
  <c r="B18" i="13"/>
  <c r="B61" i="13" s="1"/>
  <c r="BJ17" i="13"/>
  <c r="BI17" i="13"/>
  <c r="B17" i="13"/>
  <c r="B60" i="13" s="1"/>
  <c r="B105" i="13" s="1"/>
  <c r="BI16" i="13"/>
  <c r="B16" i="13"/>
  <c r="B59" i="13" s="1"/>
  <c r="B104" i="13" s="1"/>
  <c r="BJ15" i="13"/>
  <c r="BI15" i="13"/>
  <c r="B15" i="13"/>
  <c r="BI14" i="13"/>
  <c r="B14" i="13"/>
  <c r="B57" i="13" s="1"/>
  <c r="B102" i="13" s="1"/>
  <c r="BJ13" i="13"/>
  <c r="BI13" i="13"/>
  <c r="B13" i="13"/>
  <c r="B56" i="13" s="1"/>
  <c r="B101" i="13" s="1"/>
  <c r="BJ12" i="13"/>
  <c r="BI12" i="13"/>
  <c r="B12" i="13"/>
  <c r="BJ11" i="13"/>
  <c r="BI11" i="13"/>
  <c r="B11" i="13"/>
  <c r="B54" i="13" s="1"/>
  <c r="B99" i="13" s="1"/>
  <c r="BI10" i="13"/>
  <c r="B10" i="13"/>
  <c r="B53" i="13" s="1"/>
  <c r="B98" i="13" s="1"/>
  <c r="BJ9" i="13"/>
  <c r="BI9" i="13"/>
  <c r="B9" i="13"/>
  <c r="B52" i="13" s="1"/>
  <c r="B97" i="13" s="1"/>
  <c r="BI8" i="13"/>
  <c r="B8" i="13"/>
  <c r="B51" i="13" s="1"/>
  <c r="B96" i="13" s="1"/>
  <c r="BJ7" i="13"/>
  <c r="BI7" i="13"/>
  <c r="B7" i="13"/>
  <c r="BI6" i="13"/>
  <c r="B6" i="13"/>
  <c r="B49" i="13" s="1"/>
  <c r="B94" i="13" s="1"/>
  <c r="BJ5" i="13"/>
  <c r="BI5" i="13"/>
  <c r="B5" i="13"/>
  <c r="B48" i="13" s="1"/>
  <c r="B93" i="13" s="1"/>
  <c r="BJ4" i="13"/>
  <c r="BI4" i="13"/>
  <c r="B4" i="13"/>
  <c r="BJ3" i="13"/>
  <c r="BI3" i="13"/>
  <c r="B3" i="13"/>
  <c r="B46" i="13" s="1"/>
  <c r="B91" i="13" s="1"/>
  <c r="B7" i="12"/>
  <c r="D6" i="12"/>
  <c r="C6" i="12"/>
  <c r="B6" i="12"/>
  <c r="B130" i="11"/>
  <c r="C127" i="11"/>
  <c r="E119" i="11"/>
  <c r="D117" i="11"/>
  <c r="B111" i="11"/>
  <c r="A109" i="11"/>
  <c r="D102" i="11"/>
  <c r="C100" i="11"/>
  <c r="A94" i="11"/>
  <c r="E89" i="11"/>
  <c r="B88" i="11"/>
  <c r="D87" i="11"/>
  <c r="A86" i="11"/>
  <c r="C85" i="11"/>
  <c r="E83" i="11"/>
  <c r="C83" i="11"/>
  <c r="E81" i="11"/>
  <c r="B81" i="11"/>
  <c r="D79" i="11"/>
  <c r="A79" i="11"/>
  <c r="D77" i="11"/>
  <c r="B77" i="11"/>
  <c r="E75" i="11"/>
  <c r="C75" i="11"/>
  <c r="A74" i="11"/>
  <c r="D73" i="11"/>
  <c r="B72" i="11"/>
  <c r="D71" i="11"/>
  <c r="C70" i="11"/>
  <c r="E69" i="11"/>
  <c r="D68" i="11"/>
  <c r="B68" i="11"/>
  <c r="A67" i="11"/>
  <c r="D66" i="11"/>
  <c r="C65" i="11"/>
  <c r="A65" i="11"/>
  <c r="E63" i="11"/>
  <c r="C63" i="11"/>
  <c r="B62" i="11"/>
  <c r="E61" i="11"/>
  <c r="D60" i="11"/>
  <c r="B60" i="11"/>
  <c r="A59" i="11"/>
  <c r="D58" i="11"/>
  <c r="C57" i="11"/>
  <c r="A57" i="11"/>
  <c r="E55" i="11"/>
  <c r="C55" i="11"/>
  <c r="B54" i="11"/>
  <c r="E53" i="11"/>
  <c r="D52" i="11"/>
  <c r="B52" i="11"/>
  <c r="A51" i="11"/>
  <c r="D50" i="11"/>
  <c r="D45" i="11"/>
  <c r="B45" i="11"/>
  <c r="A44" i="11"/>
  <c r="D43" i="11"/>
  <c r="C42" i="11"/>
  <c r="A42" i="11"/>
  <c r="E40" i="11"/>
  <c r="C40" i="11"/>
  <c r="B39" i="11"/>
  <c r="E38" i="11"/>
  <c r="D37" i="11"/>
  <c r="B37" i="11"/>
  <c r="A36" i="11"/>
  <c r="D35" i="11"/>
  <c r="C34" i="11"/>
  <c r="A34" i="11"/>
  <c r="E32" i="11"/>
  <c r="C32" i="11"/>
  <c r="B31" i="11"/>
  <c r="E30" i="11"/>
  <c r="D29" i="11"/>
  <c r="B29" i="11"/>
  <c r="A28" i="11"/>
  <c r="D27" i="11"/>
  <c r="C26" i="11"/>
  <c r="A26" i="11"/>
  <c r="E24" i="11"/>
  <c r="C24" i="11"/>
  <c r="B23" i="11"/>
  <c r="E22" i="11"/>
  <c r="D21" i="11"/>
  <c r="B21" i="11"/>
  <c r="A20" i="11"/>
  <c r="D19" i="11"/>
  <c r="C18" i="11"/>
  <c r="A18" i="11"/>
  <c r="E16" i="11"/>
  <c r="C16" i="11"/>
  <c r="B15" i="11"/>
  <c r="E14" i="11"/>
  <c r="D13" i="11"/>
  <c r="B13" i="11"/>
  <c r="A12" i="11"/>
  <c r="D11" i="11"/>
  <c r="C10" i="11"/>
  <c r="E8" i="11"/>
  <c r="C8" i="11"/>
  <c r="E140" i="10"/>
  <c r="D140" i="10"/>
  <c r="C140" i="10"/>
  <c r="B140" i="10"/>
  <c r="A140" i="10"/>
  <c r="A97" i="10"/>
  <c r="E85" i="10"/>
  <c r="C79" i="10"/>
  <c r="E77" i="10"/>
  <c r="A73" i="10"/>
  <c r="A65" i="10"/>
  <c r="D58" i="10"/>
  <c r="B52" i="10"/>
  <c r="D34" i="10"/>
  <c r="B28" i="10"/>
  <c r="D26" i="10"/>
  <c r="D17" i="10"/>
  <c r="B17" i="10"/>
  <c r="D16" i="10"/>
  <c r="B16" i="10"/>
  <c r="B15" i="10"/>
  <c r="B11" i="10"/>
  <c r="B10" i="10"/>
  <c r="B9" i="10"/>
  <c r="B8" i="10"/>
  <c r="O46" i="8"/>
  <c r="M46" i="8"/>
  <c r="G46" i="8"/>
  <c r="E46" i="8"/>
  <c r="S44" i="8"/>
  <c r="R44" i="8"/>
  <c r="Q44" i="8"/>
  <c r="P44" i="8"/>
  <c r="O44" i="8"/>
  <c r="N44" i="8"/>
  <c r="M44" i="8"/>
  <c r="L44" i="8"/>
  <c r="K44" i="8"/>
  <c r="J44" i="8"/>
  <c r="I44" i="8"/>
  <c r="H44" i="8"/>
  <c r="G44" i="8"/>
  <c r="F44" i="8"/>
  <c r="E44" i="8"/>
  <c r="D44" i="8"/>
  <c r="C44" i="8"/>
  <c r="B44" i="8"/>
  <c r="S43" i="8"/>
  <c r="E88" i="11" s="1"/>
  <c r="R43" i="8"/>
  <c r="Q43" i="8"/>
  <c r="P43" i="8"/>
  <c r="O43" i="8"/>
  <c r="N43" i="8"/>
  <c r="M43" i="8"/>
  <c r="L43" i="8"/>
  <c r="K43" i="8"/>
  <c r="J43" i="8"/>
  <c r="I43" i="8"/>
  <c r="H43" i="8"/>
  <c r="G43" i="8"/>
  <c r="F43" i="8"/>
  <c r="E43" i="8"/>
  <c r="D43" i="8"/>
  <c r="C43" i="8"/>
  <c r="B43" i="8"/>
  <c r="G96" i="6" s="1"/>
  <c r="S42" i="8"/>
  <c r="R42" i="8"/>
  <c r="Q42" i="8"/>
  <c r="P42" i="8"/>
  <c r="O42" i="8"/>
  <c r="N42" i="8"/>
  <c r="M42" i="8"/>
  <c r="L42" i="8"/>
  <c r="K42" i="8"/>
  <c r="J42" i="8"/>
  <c r="I42" i="8"/>
  <c r="H42" i="8"/>
  <c r="G42" i="8"/>
  <c r="F42" i="8"/>
  <c r="E42" i="8"/>
  <c r="D42" i="8"/>
  <c r="C42" i="8"/>
  <c r="B42" i="8"/>
  <c r="S41" i="8"/>
  <c r="B86" i="11" s="1"/>
  <c r="R41" i="8"/>
  <c r="Q41" i="8"/>
  <c r="P41" i="8"/>
  <c r="O41" i="8"/>
  <c r="N41" i="8"/>
  <c r="M41" i="8"/>
  <c r="L41" i="8"/>
  <c r="K41" i="8"/>
  <c r="J41" i="8"/>
  <c r="I41" i="8"/>
  <c r="H41" i="8"/>
  <c r="G41" i="8"/>
  <c r="F41" i="8"/>
  <c r="G94" i="6" s="1"/>
  <c r="E41" i="8"/>
  <c r="D41" i="8"/>
  <c r="C41" i="8"/>
  <c r="B41" i="8"/>
  <c r="S40" i="8"/>
  <c r="E85" i="11" s="1"/>
  <c r="R40" i="8"/>
  <c r="Q40" i="8"/>
  <c r="P40" i="8"/>
  <c r="O40" i="8"/>
  <c r="N40" i="8"/>
  <c r="M40" i="8"/>
  <c r="L40" i="8"/>
  <c r="K40" i="8"/>
  <c r="J40" i="8"/>
  <c r="I40" i="8"/>
  <c r="H40" i="8"/>
  <c r="G40" i="8"/>
  <c r="F40" i="8"/>
  <c r="E40" i="8"/>
  <c r="D40" i="8"/>
  <c r="C40" i="8"/>
  <c r="B40" i="8"/>
  <c r="S39" i="8"/>
  <c r="R39" i="8"/>
  <c r="Q39" i="8"/>
  <c r="P39" i="8"/>
  <c r="O39" i="8"/>
  <c r="N39" i="8"/>
  <c r="M39" i="8"/>
  <c r="L39" i="8"/>
  <c r="K39" i="8"/>
  <c r="J39" i="8"/>
  <c r="I39" i="8"/>
  <c r="H39" i="8"/>
  <c r="G39" i="8"/>
  <c r="F39" i="8"/>
  <c r="E39" i="8"/>
  <c r="D39" i="8"/>
  <c r="C39" i="8"/>
  <c r="B39" i="8"/>
  <c r="G92" i="6" s="1"/>
  <c r="S38" i="8"/>
  <c r="A83" i="11" s="1"/>
  <c r="R38" i="8"/>
  <c r="Q38" i="8"/>
  <c r="P38" i="8"/>
  <c r="O38" i="8"/>
  <c r="N38" i="8"/>
  <c r="M38" i="8"/>
  <c r="L38" i="8"/>
  <c r="K38" i="8"/>
  <c r="J38" i="8"/>
  <c r="I38" i="8"/>
  <c r="H38" i="8"/>
  <c r="G38" i="8"/>
  <c r="F38" i="8"/>
  <c r="E38" i="8"/>
  <c r="D38" i="8"/>
  <c r="C38" i="8"/>
  <c r="B38" i="8"/>
  <c r="S37" i="8"/>
  <c r="D82" i="11" s="1"/>
  <c r="R37" i="8"/>
  <c r="Q37" i="8"/>
  <c r="P37" i="8"/>
  <c r="O37" i="8"/>
  <c r="N37" i="8"/>
  <c r="M37" i="8"/>
  <c r="L37" i="8"/>
  <c r="K37" i="8"/>
  <c r="J37" i="8"/>
  <c r="I37" i="8"/>
  <c r="H37" i="8"/>
  <c r="G37" i="8"/>
  <c r="F37" i="8"/>
  <c r="G90" i="6" s="1"/>
  <c r="E37" i="8"/>
  <c r="D37" i="8"/>
  <c r="C37" i="8"/>
  <c r="B37" i="8"/>
  <c r="S36" i="8"/>
  <c r="D81" i="11" s="1"/>
  <c r="R36" i="8"/>
  <c r="Q36" i="8"/>
  <c r="P36" i="8"/>
  <c r="O36" i="8"/>
  <c r="N36" i="8"/>
  <c r="M36" i="8"/>
  <c r="L36" i="8"/>
  <c r="K36" i="8"/>
  <c r="J36" i="8"/>
  <c r="I36" i="8"/>
  <c r="H36" i="8"/>
  <c r="G36" i="8"/>
  <c r="F36" i="8"/>
  <c r="E36" i="8"/>
  <c r="D36" i="8"/>
  <c r="C36" i="8"/>
  <c r="B36" i="8"/>
  <c r="S35" i="8"/>
  <c r="E80" i="11" s="1"/>
  <c r="R35" i="8"/>
  <c r="Q35" i="8"/>
  <c r="P35" i="8"/>
  <c r="O35" i="8"/>
  <c r="N35" i="8"/>
  <c r="M35" i="8"/>
  <c r="L35" i="8"/>
  <c r="K35" i="8"/>
  <c r="J35" i="8"/>
  <c r="I35" i="8"/>
  <c r="H35" i="8"/>
  <c r="G35" i="8"/>
  <c r="F35" i="8"/>
  <c r="E35" i="8"/>
  <c r="D35" i="8"/>
  <c r="C35" i="8"/>
  <c r="B35" i="8"/>
  <c r="G88" i="6" s="1"/>
  <c r="S34" i="8"/>
  <c r="R34" i="8"/>
  <c r="Q34" i="8"/>
  <c r="P34" i="8"/>
  <c r="O34" i="8"/>
  <c r="N34" i="8"/>
  <c r="M34" i="8"/>
  <c r="L34" i="8"/>
  <c r="K34" i="8"/>
  <c r="J34" i="8"/>
  <c r="I34" i="8"/>
  <c r="H34" i="8"/>
  <c r="G34" i="8"/>
  <c r="F34" i="8"/>
  <c r="E34" i="8"/>
  <c r="D34" i="8"/>
  <c r="C34" i="8"/>
  <c r="B34" i="8"/>
  <c r="S33" i="8"/>
  <c r="B78" i="11" s="1"/>
  <c r="R33" i="8"/>
  <c r="Q33" i="8"/>
  <c r="P33" i="8"/>
  <c r="O33" i="8"/>
  <c r="N33" i="8"/>
  <c r="M33" i="8"/>
  <c r="L33" i="8"/>
  <c r="K33" i="8"/>
  <c r="J33" i="8"/>
  <c r="I33" i="8"/>
  <c r="H33" i="8"/>
  <c r="G33" i="8"/>
  <c r="F33" i="8"/>
  <c r="G86" i="6" s="1"/>
  <c r="E33" i="8"/>
  <c r="D33" i="8"/>
  <c r="C33" i="8"/>
  <c r="B33" i="8"/>
  <c r="S32" i="8"/>
  <c r="A77" i="11" s="1"/>
  <c r="R32" i="8"/>
  <c r="Q32" i="8"/>
  <c r="P32" i="8"/>
  <c r="O32" i="8"/>
  <c r="N32" i="8"/>
  <c r="M32" i="8"/>
  <c r="L32" i="8"/>
  <c r="K32" i="8"/>
  <c r="J32" i="8"/>
  <c r="I32" i="8"/>
  <c r="H32" i="8"/>
  <c r="G32" i="8"/>
  <c r="F32" i="8"/>
  <c r="E32" i="8"/>
  <c r="D32" i="8"/>
  <c r="C32" i="8"/>
  <c r="B32" i="8"/>
  <c r="S31" i="8"/>
  <c r="D76" i="11" s="1"/>
  <c r="R31" i="8"/>
  <c r="Q31" i="8"/>
  <c r="P31" i="8"/>
  <c r="O31" i="8"/>
  <c r="N31" i="8"/>
  <c r="M31" i="8"/>
  <c r="L31" i="8"/>
  <c r="K31" i="8"/>
  <c r="J31" i="8"/>
  <c r="I31" i="8"/>
  <c r="H31" i="8"/>
  <c r="G31" i="8"/>
  <c r="F31" i="8"/>
  <c r="E31" i="8"/>
  <c r="D31" i="8"/>
  <c r="C31" i="8"/>
  <c r="B31" i="8"/>
  <c r="G84" i="6" s="1"/>
  <c r="S30" i="8"/>
  <c r="A75" i="11" s="1"/>
  <c r="R30" i="8"/>
  <c r="Q30" i="8"/>
  <c r="P30" i="8"/>
  <c r="O30" i="8"/>
  <c r="N30" i="8"/>
  <c r="M30" i="8"/>
  <c r="L30" i="8"/>
  <c r="K30" i="8"/>
  <c r="J30" i="8"/>
  <c r="I30" i="8"/>
  <c r="H30" i="8"/>
  <c r="G30" i="8"/>
  <c r="F30" i="8"/>
  <c r="E30" i="8"/>
  <c r="D30" i="8"/>
  <c r="C30" i="8"/>
  <c r="B30" i="8"/>
  <c r="S29" i="8"/>
  <c r="E74" i="11" s="1"/>
  <c r="R29" i="8"/>
  <c r="Q29" i="8"/>
  <c r="P29" i="8"/>
  <c r="O29" i="8"/>
  <c r="N29" i="8"/>
  <c r="M29" i="8"/>
  <c r="L29" i="8"/>
  <c r="K29" i="8"/>
  <c r="J29" i="8"/>
  <c r="I29" i="8"/>
  <c r="H29" i="8"/>
  <c r="G29" i="8"/>
  <c r="F29" i="8"/>
  <c r="G82" i="6" s="1"/>
  <c r="E29" i="8"/>
  <c r="D29" i="8"/>
  <c r="C29" i="8"/>
  <c r="B29" i="8"/>
  <c r="S28" i="8"/>
  <c r="C73" i="11" s="1"/>
  <c r="R28" i="8"/>
  <c r="Q28" i="8"/>
  <c r="P28" i="8"/>
  <c r="O28" i="8"/>
  <c r="N28" i="8"/>
  <c r="M28" i="8"/>
  <c r="L28" i="8"/>
  <c r="K28" i="8"/>
  <c r="J28" i="8"/>
  <c r="I28" i="8"/>
  <c r="H28" i="8"/>
  <c r="G28" i="8"/>
  <c r="F28" i="8"/>
  <c r="E28" i="8"/>
  <c r="D28" i="8"/>
  <c r="C28" i="8"/>
  <c r="B28" i="8"/>
  <c r="S27" i="8"/>
  <c r="E72" i="11" s="1"/>
  <c r="R27" i="8"/>
  <c r="Q27" i="8"/>
  <c r="P27" i="8"/>
  <c r="O27" i="8"/>
  <c r="N27" i="8"/>
  <c r="M27" i="8"/>
  <c r="L27" i="8"/>
  <c r="K27" i="8"/>
  <c r="J27" i="8"/>
  <c r="I27" i="8"/>
  <c r="H27" i="8"/>
  <c r="G27" i="8"/>
  <c r="F27" i="8"/>
  <c r="E27" i="8"/>
  <c r="D27" i="8"/>
  <c r="C27" i="8"/>
  <c r="B27" i="8"/>
  <c r="G80" i="6" s="1"/>
  <c r="S26" i="8"/>
  <c r="E71" i="11" s="1"/>
  <c r="R26" i="8"/>
  <c r="Q26" i="8"/>
  <c r="P26" i="8"/>
  <c r="O26" i="8"/>
  <c r="N26" i="8"/>
  <c r="M26" i="8"/>
  <c r="L26" i="8"/>
  <c r="K26" i="8"/>
  <c r="J26" i="8"/>
  <c r="I26" i="8"/>
  <c r="H26" i="8"/>
  <c r="G26" i="8"/>
  <c r="F26" i="8"/>
  <c r="E26" i="8"/>
  <c r="D26" i="8"/>
  <c r="C26" i="8"/>
  <c r="B26" i="8"/>
  <c r="S25" i="8"/>
  <c r="B70" i="11" s="1"/>
  <c r="R25" i="8"/>
  <c r="Q25" i="8"/>
  <c r="P25" i="8"/>
  <c r="O25" i="8"/>
  <c r="N25" i="8"/>
  <c r="M25" i="8"/>
  <c r="L25" i="8"/>
  <c r="K25" i="8"/>
  <c r="J25" i="8"/>
  <c r="I25" i="8"/>
  <c r="H25" i="8"/>
  <c r="G25" i="8"/>
  <c r="F25" i="8"/>
  <c r="G78" i="6" s="1"/>
  <c r="E25" i="8"/>
  <c r="D25" i="8"/>
  <c r="C25" i="8"/>
  <c r="B25" i="8"/>
  <c r="S24" i="8"/>
  <c r="D69" i="11" s="1"/>
  <c r="R24" i="8"/>
  <c r="Q24" i="8"/>
  <c r="P24" i="8"/>
  <c r="O24" i="8"/>
  <c r="N24" i="8"/>
  <c r="M24" i="8"/>
  <c r="L24" i="8"/>
  <c r="K24" i="8"/>
  <c r="J24" i="8"/>
  <c r="I24" i="8"/>
  <c r="H24" i="8"/>
  <c r="G24" i="8"/>
  <c r="F24" i="8"/>
  <c r="E24" i="8"/>
  <c r="D24" i="8"/>
  <c r="C24" i="8"/>
  <c r="B24" i="8"/>
  <c r="S23" i="8"/>
  <c r="A68" i="11" s="1"/>
  <c r="R23" i="8"/>
  <c r="Q23" i="8"/>
  <c r="P23" i="8"/>
  <c r="O23" i="8"/>
  <c r="N23" i="8"/>
  <c r="M23" i="8"/>
  <c r="L23" i="8"/>
  <c r="K23" i="8"/>
  <c r="J23" i="8"/>
  <c r="I23" i="8"/>
  <c r="H23" i="8"/>
  <c r="G23" i="8"/>
  <c r="F23" i="8"/>
  <c r="E23" i="8"/>
  <c r="D23" i="8"/>
  <c r="C23" i="8"/>
  <c r="B23" i="8"/>
  <c r="G76" i="6" s="1"/>
  <c r="S22" i="8"/>
  <c r="E67" i="11" s="1"/>
  <c r="R22" i="8"/>
  <c r="Q22" i="8"/>
  <c r="P22" i="8"/>
  <c r="O22" i="8"/>
  <c r="N22" i="8"/>
  <c r="M22" i="8"/>
  <c r="L22" i="8"/>
  <c r="K22" i="8"/>
  <c r="J22" i="8"/>
  <c r="I22" i="8"/>
  <c r="H22" i="8"/>
  <c r="G22" i="8"/>
  <c r="F22" i="8"/>
  <c r="E22" i="8"/>
  <c r="D22" i="8"/>
  <c r="C22" i="8"/>
  <c r="B22" i="8"/>
  <c r="S21" i="8"/>
  <c r="C66" i="11" s="1"/>
  <c r="R21" i="8"/>
  <c r="Q21" i="8"/>
  <c r="P21" i="8"/>
  <c r="O21" i="8"/>
  <c r="N21" i="8"/>
  <c r="M21" i="8"/>
  <c r="L21" i="8"/>
  <c r="K21" i="8"/>
  <c r="J21" i="8"/>
  <c r="I21" i="8"/>
  <c r="H21" i="8"/>
  <c r="G21" i="8"/>
  <c r="F21" i="8"/>
  <c r="G74" i="6" s="1"/>
  <c r="E21" i="8"/>
  <c r="D21" i="8"/>
  <c r="C21" i="8"/>
  <c r="B21" i="8"/>
  <c r="S20" i="8"/>
  <c r="E65" i="11" s="1"/>
  <c r="R20" i="8"/>
  <c r="Q20" i="8"/>
  <c r="P20" i="8"/>
  <c r="O20" i="8"/>
  <c r="N20" i="8"/>
  <c r="M20" i="8"/>
  <c r="L20" i="8"/>
  <c r="K20" i="8"/>
  <c r="J20" i="8"/>
  <c r="I20" i="8"/>
  <c r="H20" i="8"/>
  <c r="G20" i="8"/>
  <c r="F20" i="8"/>
  <c r="E20" i="8"/>
  <c r="D20" i="8"/>
  <c r="C20" i="8"/>
  <c r="B20" i="8"/>
  <c r="S19" i="8"/>
  <c r="E64" i="11" s="1"/>
  <c r="R19" i="8"/>
  <c r="Q19" i="8"/>
  <c r="P19" i="8"/>
  <c r="O19" i="8"/>
  <c r="N19" i="8"/>
  <c r="M19" i="8"/>
  <c r="L19" i="8"/>
  <c r="K19" i="8"/>
  <c r="J19" i="8"/>
  <c r="I19" i="8"/>
  <c r="H19" i="8"/>
  <c r="G19" i="8"/>
  <c r="F19" i="8"/>
  <c r="E19" i="8"/>
  <c r="D19" i="8"/>
  <c r="C19" i="8"/>
  <c r="B19" i="8"/>
  <c r="G72" i="6" s="1"/>
  <c r="S18" i="8"/>
  <c r="B63" i="11" s="1"/>
  <c r="R18" i="8"/>
  <c r="Q18" i="8"/>
  <c r="P18" i="8"/>
  <c r="O18" i="8"/>
  <c r="N18" i="8"/>
  <c r="M18" i="8"/>
  <c r="L18" i="8"/>
  <c r="K18" i="8"/>
  <c r="J18" i="8"/>
  <c r="I18" i="8"/>
  <c r="H18" i="8"/>
  <c r="G18" i="8"/>
  <c r="F18" i="8"/>
  <c r="E18" i="8"/>
  <c r="D18" i="8"/>
  <c r="C18" i="8"/>
  <c r="B18" i="8"/>
  <c r="C71" i="6" s="1"/>
  <c r="S17" i="8"/>
  <c r="E62" i="11" s="1"/>
  <c r="R17" i="8"/>
  <c r="Q17" i="8"/>
  <c r="P17" i="8"/>
  <c r="O17" i="8"/>
  <c r="N17" i="8"/>
  <c r="M17" i="8"/>
  <c r="L17" i="8"/>
  <c r="K17" i="8"/>
  <c r="J17" i="8"/>
  <c r="I17" i="8"/>
  <c r="H17" i="8"/>
  <c r="G17" i="8"/>
  <c r="F17" i="8"/>
  <c r="G70" i="6" s="1"/>
  <c r="E17" i="8"/>
  <c r="D17" i="8"/>
  <c r="C17" i="8"/>
  <c r="B17" i="8"/>
  <c r="S16" i="8"/>
  <c r="D61" i="11" s="1"/>
  <c r="R16" i="8"/>
  <c r="Q16" i="8"/>
  <c r="P16" i="8"/>
  <c r="O16" i="8"/>
  <c r="N16" i="8"/>
  <c r="M16" i="8"/>
  <c r="L16" i="8"/>
  <c r="K16" i="8"/>
  <c r="J16" i="8"/>
  <c r="I16" i="8"/>
  <c r="H16" i="8"/>
  <c r="G16" i="8"/>
  <c r="F16" i="8"/>
  <c r="G69" i="6" s="1"/>
  <c r="E16" i="8"/>
  <c r="D16" i="8"/>
  <c r="C16" i="8"/>
  <c r="B16" i="8"/>
  <c r="S15" i="8"/>
  <c r="A60" i="11" s="1"/>
  <c r="R15" i="8"/>
  <c r="Q15" i="8"/>
  <c r="P15" i="8"/>
  <c r="O15" i="8"/>
  <c r="N15" i="8"/>
  <c r="M15" i="8"/>
  <c r="L15" i="8"/>
  <c r="K15" i="8"/>
  <c r="J15" i="8"/>
  <c r="I15" i="8"/>
  <c r="H15" i="8"/>
  <c r="G15" i="8"/>
  <c r="F15" i="8"/>
  <c r="E15" i="8"/>
  <c r="D15" i="8"/>
  <c r="C15" i="8"/>
  <c r="B15" i="8"/>
  <c r="G68" i="6" s="1"/>
  <c r="S14" i="8"/>
  <c r="E59" i="11" s="1"/>
  <c r="R14" i="8"/>
  <c r="Q14" i="8"/>
  <c r="P14" i="8"/>
  <c r="O14" i="8"/>
  <c r="N14" i="8"/>
  <c r="M14" i="8"/>
  <c r="L14" i="8"/>
  <c r="K14" i="8"/>
  <c r="J14" i="8"/>
  <c r="I14" i="8"/>
  <c r="H14" i="8"/>
  <c r="G14" i="8"/>
  <c r="F14" i="8"/>
  <c r="E14" i="8"/>
  <c r="D14" i="8"/>
  <c r="C14" i="8"/>
  <c r="B14" i="8"/>
  <c r="C67" i="6" s="1"/>
  <c r="S13" i="8"/>
  <c r="C58" i="11" s="1"/>
  <c r="R13" i="8"/>
  <c r="Q13" i="8"/>
  <c r="P13" i="8"/>
  <c r="O13" i="8"/>
  <c r="N13" i="8"/>
  <c r="M13" i="8"/>
  <c r="L13" i="8"/>
  <c r="K13" i="8"/>
  <c r="J13" i="8"/>
  <c r="I13" i="8"/>
  <c r="H13" i="8"/>
  <c r="G13" i="8"/>
  <c r="F13" i="8"/>
  <c r="G66" i="6" s="1"/>
  <c r="E13" i="8"/>
  <c r="D13" i="8"/>
  <c r="C13" i="8"/>
  <c r="B13" i="8"/>
  <c r="S12" i="8"/>
  <c r="E57" i="11" s="1"/>
  <c r="R12" i="8"/>
  <c r="Q12" i="8"/>
  <c r="P12" i="8"/>
  <c r="O12" i="8"/>
  <c r="N12" i="8"/>
  <c r="M12" i="8"/>
  <c r="L12" i="8"/>
  <c r="K12" i="8"/>
  <c r="J12" i="8"/>
  <c r="I12" i="8"/>
  <c r="H12" i="8"/>
  <c r="G12" i="8"/>
  <c r="F12" i="8"/>
  <c r="G65" i="6" s="1"/>
  <c r="E12" i="8"/>
  <c r="D12" i="8"/>
  <c r="C12" i="8"/>
  <c r="B12" i="8"/>
  <c r="S11" i="8"/>
  <c r="E56" i="11" s="1"/>
  <c r="R11" i="8"/>
  <c r="Q11" i="8"/>
  <c r="P11" i="8"/>
  <c r="O11" i="8"/>
  <c r="N11" i="8"/>
  <c r="M11" i="8"/>
  <c r="L11" i="8"/>
  <c r="K11" i="8"/>
  <c r="J11" i="8"/>
  <c r="I11" i="8"/>
  <c r="H11" i="8"/>
  <c r="G11" i="8"/>
  <c r="F11" i="8"/>
  <c r="E11" i="8"/>
  <c r="D11" i="8"/>
  <c r="C11" i="8"/>
  <c r="B11" i="8"/>
  <c r="G64" i="6" s="1"/>
  <c r="S10" i="8"/>
  <c r="B55" i="11" s="1"/>
  <c r="R10" i="8"/>
  <c r="Q10" i="8"/>
  <c r="P10" i="8"/>
  <c r="O10" i="8"/>
  <c r="N10" i="8"/>
  <c r="M10" i="8"/>
  <c r="L10" i="8"/>
  <c r="K10" i="8"/>
  <c r="J10" i="8"/>
  <c r="I10" i="8"/>
  <c r="H10" i="8"/>
  <c r="G10" i="8"/>
  <c r="F10" i="8"/>
  <c r="E10" i="8"/>
  <c r="D10" i="8"/>
  <c r="C10" i="8"/>
  <c r="B10" i="8"/>
  <c r="C63" i="6" s="1"/>
  <c r="S9" i="8"/>
  <c r="E54" i="11" s="1"/>
  <c r="R9" i="8"/>
  <c r="Q9" i="8"/>
  <c r="P9" i="8"/>
  <c r="O9" i="8"/>
  <c r="N9" i="8"/>
  <c r="M9" i="8"/>
  <c r="L9" i="8"/>
  <c r="K9" i="8"/>
  <c r="J9" i="8"/>
  <c r="I9" i="8"/>
  <c r="H9" i="8"/>
  <c r="G9" i="8"/>
  <c r="F9" i="8"/>
  <c r="G62" i="6" s="1"/>
  <c r="E9" i="8"/>
  <c r="D9" i="8"/>
  <c r="C9" i="8"/>
  <c r="B9" i="8"/>
  <c r="S8" i="8"/>
  <c r="D53" i="11" s="1"/>
  <c r="R8" i="8"/>
  <c r="Q8" i="8"/>
  <c r="P8" i="8"/>
  <c r="O8" i="8"/>
  <c r="N8" i="8"/>
  <c r="M8" i="8"/>
  <c r="L8" i="8"/>
  <c r="K8" i="8"/>
  <c r="J8" i="8"/>
  <c r="I8" i="8"/>
  <c r="H8" i="8"/>
  <c r="G8" i="8"/>
  <c r="F8" i="8"/>
  <c r="G61" i="6" s="1"/>
  <c r="E8" i="8"/>
  <c r="D8" i="8"/>
  <c r="C8" i="8"/>
  <c r="B8" i="8"/>
  <c r="S7" i="8"/>
  <c r="A52" i="11" s="1"/>
  <c r="R7" i="8"/>
  <c r="Q7" i="8"/>
  <c r="P7" i="8"/>
  <c r="O7" i="8"/>
  <c r="N7" i="8"/>
  <c r="M7" i="8"/>
  <c r="L7" i="8"/>
  <c r="K7" i="8"/>
  <c r="J7" i="8"/>
  <c r="I7" i="8"/>
  <c r="H7" i="8"/>
  <c r="G7" i="8"/>
  <c r="F7" i="8"/>
  <c r="E7" i="8"/>
  <c r="D7" i="8"/>
  <c r="C7" i="8"/>
  <c r="B7" i="8"/>
  <c r="G60" i="6" s="1"/>
  <c r="S6" i="8"/>
  <c r="E51" i="11" s="1"/>
  <c r="R6" i="8"/>
  <c r="Q6" i="8"/>
  <c r="P6" i="8"/>
  <c r="O6" i="8"/>
  <c r="N6" i="8"/>
  <c r="M6" i="8"/>
  <c r="L6" i="8"/>
  <c r="K6" i="8"/>
  <c r="J6" i="8"/>
  <c r="I6" i="8"/>
  <c r="H6" i="8"/>
  <c r="G6" i="8"/>
  <c r="F6" i="8"/>
  <c r="E6" i="8"/>
  <c r="D6" i="8"/>
  <c r="C6" i="8"/>
  <c r="B6" i="8"/>
  <c r="C59" i="6" s="1"/>
  <c r="S5" i="8"/>
  <c r="C8" i="12" s="1"/>
  <c r="R5" i="8"/>
  <c r="Q5" i="8"/>
  <c r="Q46" i="8" s="1"/>
  <c r="P5" i="8"/>
  <c r="O5" i="8"/>
  <c r="N5" i="8"/>
  <c r="N46" i="8" s="1"/>
  <c r="M5" i="8"/>
  <c r="L5" i="8"/>
  <c r="K5" i="8"/>
  <c r="K46" i="8" s="1"/>
  <c r="J5" i="8"/>
  <c r="I5" i="8"/>
  <c r="I46" i="8" s="1"/>
  <c r="H5" i="8"/>
  <c r="G5" i="8"/>
  <c r="F5" i="8"/>
  <c r="E5" i="8"/>
  <c r="D5" i="8"/>
  <c r="C5" i="8"/>
  <c r="C46" i="8" s="1"/>
  <c r="B5" i="8"/>
  <c r="M46" i="7"/>
  <c r="E46" i="7"/>
  <c r="S44" i="7"/>
  <c r="A45" i="11" s="1"/>
  <c r="R44" i="7"/>
  <c r="Q44" i="7"/>
  <c r="P44" i="7"/>
  <c r="O44" i="7"/>
  <c r="N44" i="7"/>
  <c r="M44" i="7"/>
  <c r="L44" i="7"/>
  <c r="K44" i="7"/>
  <c r="J44" i="7"/>
  <c r="I44" i="7"/>
  <c r="H44" i="7"/>
  <c r="G44" i="7"/>
  <c r="F44" i="7"/>
  <c r="G57" i="6" s="1"/>
  <c r="E44" i="7"/>
  <c r="D44" i="7"/>
  <c r="C44" i="7"/>
  <c r="B44" i="7"/>
  <c r="S43" i="7"/>
  <c r="E44" i="11" s="1"/>
  <c r="R43" i="7"/>
  <c r="Q43" i="7"/>
  <c r="P43" i="7"/>
  <c r="O43" i="7"/>
  <c r="N43" i="7"/>
  <c r="M43" i="7"/>
  <c r="L43" i="7"/>
  <c r="K43" i="7"/>
  <c r="J43" i="7"/>
  <c r="I43" i="7"/>
  <c r="H43" i="7"/>
  <c r="G43" i="7"/>
  <c r="F43" i="7"/>
  <c r="E43" i="7"/>
  <c r="D43" i="7"/>
  <c r="C43" i="7"/>
  <c r="B43" i="7"/>
  <c r="S42" i="7"/>
  <c r="C43" i="11" s="1"/>
  <c r="R42" i="7"/>
  <c r="Q42" i="7"/>
  <c r="P42" i="7"/>
  <c r="O42" i="7"/>
  <c r="N42" i="7"/>
  <c r="M42" i="7"/>
  <c r="L42" i="7"/>
  <c r="K42" i="7"/>
  <c r="J42" i="7"/>
  <c r="I42" i="7"/>
  <c r="H42" i="7"/>
  <c r="G42" i="7"/>
  <c r="F42" i="7"/>
  <c r="E42" i="7"/>
  <c r="D42" i="7"/>
  <c r="C42" i="7"/>
  <c r="B42" i="7"/>
  <c r="C55" i="6" s="1"/>
  <c r="S41" i="7"/>
  <c r="E42" i="11" s="1"/>
  <c r="R41" i="7"/>
  <c r="Q41" i="7"/>
  <c r="P41" i="7"/>
  <c r="O41" i="7"/>
  <c r="N41" i="7"/>
  <c r="M41" i="7"/>
  <c r="L41" i="7"/>
  <c r="K41" i="7"/>
  <c r="J41" i="7"/>
  <c r="I41" i="7"/>
  <c r="H41" i="7"/>
  <c r="G41" i="7"/>
  <c r="F41" i="7"/>
  <c r="E41" i="7"/>
  <c r="D41" i="7"/>
  <c r="C41" i="7"/>
  <c r="B41" i="7"/>
  <c r="S40" i="7"/>
  <c r="E41" i="11" s="1"/>
  <c r="R40" i="7"/>
  <c r="Q40" i="7"/>
  <c r="P40" i="7"/>
  <c r="O40" i="7"/>
  <c r="N40" i="7"/>
  <c r="M40" i="7"/>
  <c r="L40" i="7"/>
  <c r="K40" i="7"/>
  <c r="J40" i="7"/>
  <c r="I40" i="7"/>
  <c r="H40" i="7"/>
  <c r="G40" i="7"/>
  <c r="F40" i="7"/>
  <c r="G53" i="6" s="1"/>
  <c r="E40" i="7"/>
  <c r="D40" i="7"/>
  <c r="C40" i="7"/>
  <c r="B40" i="7"/>
  <c r="S39" i="7"/>
  <c r="B40" i="11" s="1"/>
  <c r="R39" i="7"/>
  <c r="Q39" i="7"/>
  <c r="P39" i="7"/>
  <c r="O39" i="7"/>
  <c r="N39" i="7"/>
  <c r="M39" i="7"/>
  <c r="L39" i="7"/>
  <c r="K39" i="7"/>
  <c r="J39" i="7"/>
  <c r="I39" i="7"/>
  <c r="H39" i="7"/>
  <c r="G39" i="7"/>
  <c r="F39" i="7"/>
  <c r="E39" i="7"/>
  <c r="D39" i="7"/>
  <c r="C39" i="7"/>
  <c r="B39" i="7"/>
  <c r="S38" i="7"/>
  <c r="E39" i="11" s="1"/>
  <c r="R38" i="7"/>
  <c r="Q38" i="7"/>
  <c r="P38" i="7"/>
  <c r="O38" i="7"/>
  <c r="N38" i="7"/>
  <c r="M38" i="7"/>
  <c r="L38" i="7"/>
  <c r="K38" i="7"/>
  <c r="J38" i="7"/>
  <c r="I38" i="7"/>
  <c r="H38" i="7"/>
  <c r="G38" i="7"/>
  <c r="F38" i="7"/>
  <c r="E38" i="7"/>
  <c r="D38" i="7"/>
  <c r="C38" i="7"/>
  <c r="B38" i="7"/>
  <c r="C51" i="6" s="1"/>
  <c r="S37" i="7"/>
  <c r="D38" i="11" s="1"/>
  <c r="R37" i="7"/>
  <c r="Q37" i="7"/>
  <c r="P37" i="7"/>
  <c r="O37" i="7"/>
  <c r="N37" i="7"/>
  <c r="M37" i="7"/>
  <c r="L37" i="7"/>
  <c r="K37" i="7"/>
  <c r="J37" i="7"/>
  <c r="I37" i="7"/>
  <c r="H37" i="7"/>
  <c r="G37" i="7"/>
  <c r="F37" i="7"/>
  <c r="E37" i="7"/>
  <c r="D37" i="7"/>
  <c r="C37" i="7"/>
  <c r="B37" i="7"/>
  <c r="S36" i="7"/>
  <c r="A37" i="11" s="1"/>
  <c r="R36" i="7"/>
  <c r="Q36" i="7"/>
  <c r="P36" i="7"/>
  <c r="O36" i="7"/>
  <c r="N36" i="7"/>
  <c r="M36" i="7"/>
  <c r="L36" i="7"/>
  <c r="K36" i="7"/>
  <c r="J36" i="7"/>
  <c r="I36" i="7"/>
  <c r="H36" i="7"/>
  <c r="G36" i="7"/>
  <c r="F36" i="7"/>
  <c r="E36" i="7"/>
  <c r="D36" i="7"/>
  <c r="C36" i="7"/>
  <c r="B36" i="7"/>
  <c r="S35" i="7"/>
  <c r="E36" i="11" s="1"/>
  <c r="R35" i="7"/>
  <c r="Q35" i="7"/>
  <c r="P35" i="7"/>
  <c r="O35" i="7"/>
  <c r="N35" i="7"/>
  <c r="M35" i="7"/>
  <c r="L35" i="7"/>
  <c r="K35" i="7"/>
  <c r="J35" i="7"/>
  <c r="I35" i="7"/>
  <c r="H35" i="7"/>
  <c r="G35" i="7"/>
  <c r="F35" i="7"/>
  <c r="E35" i="7"/>
  <c r="D35" i="7"/>
  <c r="C35" i="7"/>
  <c r="B35" i="7"/>
  <c r="S34" i="7"/>
  <c r="C35" i="11" s="1"/>
  <c r="R34" i="7"/>
  <c r="Q34" i="7"/>
  <c r="P34" i="7"/>
  <c r="O34" i="7"/>
  <c r="N34" i="7"/>
  <c r="M34" i="7"/>
  <c r="L34" i="7"/>
  <c r="K34" i="7"/>
  <c r="J34" i="7"/>
  <c r="I34" i="7"/>
  <c r="H34" i="7"/>
  <c r="G34" i="7"/>
  <c r="F34" i="7"/>
  <c r="E34" i="7"/>
  <c r="D34" i="7"/>
  <c r="C34" i="7"/>
  <c r="B34" i="7"/>
  <c r="S33" i="7"/>
  <c r="E34" i="11" s="1"/>
  <c r="R33" i="7"/>
  <c r="Q33" i="7"/>
  <c r="P33" i="7"/>
  <c r="O33" i="7"/>
  <c r="N33" i="7"/>
  <c r="M33" i="7"/>
  <c r="L33" i="7"/>
  <c r="K33" i="7"/>
  <c r="J33" i="7"/>
  <c r="I33" i="7"/>
  <c r="H33" i="7"/>
  <c r="G33" i="7"/>
  <c r="F33" i="7"/>
  <c r="E33" i="7"/>
  <c r="D33" i="7"/>
  <c r="C33" i="7"/>
  <c r="B33" i="7"/>
  <c r="S32" i="7"/>
  <c r="E33" i="11" s="1"/>
  <c r="R32" i="7"/>
  <c r="Q32" i="7"/>
  <c r="P32" i="7"/>
  <c r="O32" i="7"/>
  <c r="N32" i="7"/>
  <c r="M32" i="7"/>
  <c r="L32" i="7"/>
  <c r="K32" i="7"/>
  <c r="J32" i="7"/>
  <c r="I32" i="7"/>
  <c r="H32" i="7"/>
  <c r="G32" i="7"/>
  <c r="F32" i="7"/>
  <c r="E32" i="7"/>
  <c r="D32" i="7"/>
  <c r="C32" i="7"/>
  <c r="B32" i="7"/>
  <c r="S31" i="7"/>
  <c r="B32" i="11" s="1"/>
  <c r="R31" i="7"/>
  <c r="Q31" i="7"/>
  <c r="P31" i="7"/>
  <c r="O31" i="7"/>
  <c r="N31" i="7"/>
  <c r="M31" i="7"/>
  <c r="L31" i="7"/>
  <c r="K31" i="7"/>
  <c r="J31" i="7"/>
  <c r="I31" i="7"/>
  <c r="H31" i="7"/>
  <c r="G31" i="7"/>
  <c r="F31" i="7"/>
  <c r="E31" i="7"/>
  <c r="D31" i="7"/>
  <c r="C31" i="7"/>
  <c r="B31" i="7"/>
  <c r="S30" i="7"/>
  <c r="E31" i="11" s="1"/>
  <c r="R30" i="7"/>
  <c r="Q30" i="7"/>
  <c r="P30" i="7"/>
  <c r="O30" i="7"/>
  <c r="N30" i="7"/>
  <c r="M30" i="7"/>
  <c r="L30" i="7"/>
  <c r="K30" i="7"/>
  <c r="J30" i="7"/>
  <c r="I30" i="7"/>
  <c r="H30" i="7"/>
  <c r="G30" i="7"/>
  <c r="F30" i="7"/>
  <c r="E30" i="7"/>
  <c r="D30" i="7"/>
  <c r="C30" i="7"/>
  <c r="B30" i="7"/>
  <c r="S29" i="7"/>
  <c r="D30" i="11" s="1"/>
  <c r="R29" i="7"/>
  <c r="Q29" i="7"/>
  <c r="P29" i="7"/>
  <c r="O29" i="7"/>
  <c r="N29" i="7"/>
  <c r="M29" i="7"/>
  <c r="L29" i="7"/>
  <c r="K29" i="7"/>
  <c r="J29" i="7"/>
  <c r="I29" i="7"/>
  <c r="H29" i="7"/>
  <c r="G29" i="7"/>
  <c r="F29" i="7"/>
  <c r="E29" i="7"/>
  <c r="D29" i="7"/>
  <c r="C29" i="7"/>
  <c r="B29" i="7"/>
  <c r="S28" i="7"/>
  <c r="A29" i="11" s="1"/>
  <c r="R28" i="7"/>
  <c r="Q28" i="7"/>
  <c r="P28" i="7"/>
  <c r="O28" i="7"/>
  <c r="N28" i="7"/>
  <c r="M28" i="7"/>
  <c r="L28" i="7"/>
  <c r="K28" i="7"/>
  <c r="J28" i="7"/>
  <c r="I28" i="7"/>
  <c r="H28" i="7"/>
  <c r="G28" i="7"/>
  <c r="F28" i="7"/>
  <c r="E28" i="7"/>
  <c r="D28" i="7"/>
  <c r="C28" i="7"/>
  <c r="B28" i="7"/>
  <c r="S27" i="7"/>
  <c r="E28" i="11" s="1"/>
  <c r="R27" i="7"/>
  <c r="Q27" i="7"/>
  <c r="P27" i="7"/>
  <c r="O27" i="7"/>
  <c r="N27" i="7"/>
  <c r="M27" i="7"/>
  <c r="L27" i="7"/>
  <c r="K27" i="7"/>
  <c r="J27" i="7"/>
  <c r="I27" i="7"/>
  <c r="H27" i="7"/>
  <c r="G27" i="7"/>
  <c r="F27" i="7"/>
  <c r="E27" i="7"/>
  <c r="D27" i="7"/>
  <c r="C27" i="7"/>
  <c r="B27" i="7"/>
  <c r="S26" i="7"/>
  <c r="C27" i="11" s="1"/>
  <c r="R26" i="7"/>
  <c r="Q26" i="7"/>
  <c r="P26" i="7"/>
  <c r="O26" i="7"/>
  <c r="N26" i="7"/>
  <c r="M26" i="7"/>
  <c r="L26" i="7"/>
  <c r="K26" i="7"/>
  <c r="J26" i="7"/>
  <c r="I26" i="7"/>
  <c r="H26" i="7"/>
  <c r="G26" i="7"/>
  <c r="F26" i="7"/>
  <c r="E26" i="7"/>
  <c r="D26" i="7"/>
  <c r="C26" i="7"/>
  <c r="B26" i="7"/>
  <c r="S25" i="7"/>
  <c r="E26" i="11" s="1"/>
  <c r="R25" i="7"/>
  <c r="Q25" i="7"/>
  <c r="P25" i="7"/>
  <c r="O25" i="7"/>
  <c r="N25" i="7"/>
  <c r="M25" i="7"/>
  <c r="L25" i="7"/>
  <c r="K25" i="7"/>
  <c r="J25" i="7"/>
  <c r="I25" i="7"/>
  <c r="H25" i="7"/>
  <c r="G25" i="7"/>
  <c r="F25" i="7"/>
  <c r="E25" i="7"/>
  <c r="D25" i="7"/>
  <c r="C25" i="7"/>
  <c r="B25" i="7"/>
  <c r="S24" i="7"/>
  <c r="E25" i="11" s="1"/>
  <c r="R24" i="7"/>
  <c r="Q24" i="7"/>
  <c r="P24" i="7"/>
  <c r="O24" i="7"/>
  <c r="N24" i="7"/>
  <c r="M24" i="7"/>
  <c r="L24" i="7"/>
  <c r="K24" i="7"/>
  <c r="J24" i="7"/>
  <c r="I24" i="7"/>
  <c r="H24" i="7"/>
  <c r="G24" i="7"/>
  <c r="F24" i="7"/>
  <c r="E24" i="7"/>
  <c r="D24" i="7"/>
  <c r="C24" i="7"/>
  <c r="B24" i="7"/>
  <c r="S23" i="7"/>
  <c r="B24" i="11" s="1"/>
  <c r="R23" i="7"/>
  <c r="Q23" i="7"/>
  <c r="P23" i="7"/>
  <c r="O23" i="7"/>
  <c r="N23" i="7"/>
  <c r="M23" i="7"/>
  <c r="L23" i="7"/>
  <c r="K23" i="7"/>
  <c r="J23" i="7"/>
  <c r="I23" i="7"/>
  <c r="H23" i="7"/>
  <c r="G23" i="7"/>
  <c r="F23" i="7"/>
  <c r="E23" i="7"/>
  <c r="D23" i="7"/>
  <c r="C23" i="7"/>
  <c r="B23" i="7"/>
  <c r="S22" i="7"/>
  <c r="E23" i="11" s="1"/>
  <c r="R22" i="7"/>
  <c r="Q22" i="7"/>
  <c r="P22" i="7"/>
  <c r="O22" i="7"/>
  <c r="N22" i="7"/>
  <c r="M22" i="7"/>
  <c r="L22" i="7"/>
  <c r="K22" i="7"/>
  <c r="J22" i="7"/>
  <c r="I22" i="7"/>
  <c r="H22" i="7"/>
  <c r="G22" i="7"/>
  <c r="F22" i="7"/>
  <c r="E22" i="7"/>
  <c r="D22" i="7"/>
  <c r="C22" i="7"/>
  <c r="B22" i="7"/>
  <c r="S21" i="7"/>
  <c r="D22" i="11" s="1"/>
  <c r="R21" i="7"/>
  <c r="Q21" i="7"/>
  <c r="P21" i="7"/>
  <c r="O21" i="7"/>
  <c r="N21" i="7"/>
  <c r="M21" i="7"/>
  <c r="L21" i="7"/>
  <c r="K21" i="7"/>
  <c r="J21" i="7"/>
  <c r="I21" i="7"/>
  <c r="H21" i="7"/>
  <c r="G21" i="7"/>
  <c r="F21" i="7"/>
  <c r="E21" i="7"/>
  <c r="D21" i="7"/>
  <c r="C21" i="7"/>
  <c r="B21" i="7"/>
  <c r="S20" i="7"/>
  <c r="A21" i="11" s="1"/>
  <c r="R20" i="7"/>
  <c r="Q20" i="7"/>
  <c r="P20" i="7"/>
  <c r="O20" i="7"/>
  <c r="N20" i="7"/>
  <c r="M20" i="7"/>
  <c r="L20" i="7"/>
  <c r="K20" i="7"/>
  <c r="J20" i="7"/>
  <c r="I20" i="7"/>
  <c r="H20" i="7"/>
  <c r="G20" i="7"/>
  <c r="F20" i="7"/>
  <c r="E20" i="7"/>
  <c r="D20" i="7"/>
  <c r="C20" i="7"/>
  <c r="B20" i="7"/>
  <c r="S19" i="7"/>
  <c r="E20" i="11" s="1"/>
  <c r="R19" i="7"/>
  <c r="Q19" i="7"/>
  <c r="P19" i="7"/>
  <c r="O19" i="7"/>
  <c r="N19" i="7"/>
  <c r="M19" i="7"/>
  <c r="L19" i="7"/>
  <c r="K19" i="7"/>
  <c r="J19" i="7"/>
  <c r="I19" i="7"/>
  <c r="H19" i="7"/>
  <c r="G19" i="7"/>
  <c r="F19" i="7"/>
  <c r="E19" i="7"/>
  <c r="D19" i="7"/>
  <c r="C19" i="7"/>
  <c r="B19" i="7"/>
  <c r="S18" i="7"/>
  <c r="C19" i="11" s="1"/>
  <c r="R18" i="7"/>
  <c r="Q18" i="7"/>
  <c r="P18" i="7"/>
  <c r="O18" i="7"/>
  <c r="N18" i="7"/>
  <c r="M18" i="7"/>
  <c r="L18" i="7"/>
  <c r="K18" i="7"/>
  <c r="J18" i="7"/>
  <c r="I18" i="7"/>
  <c r="H18" i="7"/>
  <c r="G18" i="7"/>
  <c r="F18" i="7"/>
  <c r="E18" i="7"/>
  <c r="D18" i="7"/>
  <c r="C18" i="7"/>
  <c r="B18" i="7"/>
  <c r="S17" i="7"/>
  <c r="E18" i="11" s="1"/>
  <c r="R17" i="7"/>
  <c r="Q17" i="7"/>
  <c r="P17" i="7"/>
  <c r="O17" i="7"/>
  <c r="N17" i="7"/>
  <c r="M17" i="7"/>
  <c r="L17" i="7"/>
  <c r="K17" i="7"/>
  <c r="J17" i="7"/>
  <c r="I17" i="7"/>
  <c r="H17" i="7"/>
  <c r="G17" i="7"/>
  <c r="F17" i="7"/>
  <c r="E17" i="7"/>
  <c r="D17" i="7"/>
  <c r="C17" i="7"/>
  <c r="B17" i="7"/>
  <c r="S16" i="7"/>
  <c r="E17" i="11" s="1"/>
  <c r="R16" i="7"/>
  <c r="Q16" i="7"/>
  <c r="P16" i="7"/>
  <c r="O16" i="7"/>
  <c r="N16" i="7"/>
  <c r="M16" i="7"/>
  <c r="L16" i="7"/>
  <c r="K16" i="7"/>
  <c r="J16" i="7"/>
  <c r="I16" i="7"/>
  <c r="H16" i="7"/>
  <c r="G16" i="7"/>
  <c r="F16" i="7"/>
  <c r="E16" i="7"/>
  <c r="D16" i="7"/>
  <c r="C16" i="7"/>
  <c r="B16" i="7"/>
  <c r="S15" i="7"/>
  <c r="B16" i="11" s="1"/>
  <c r="R15" i="7"/>
  <c r="Q15" i="7"/>
  <c r="P15" i="7"/>
  <c r="O15" i="7"/>
  <c r="N15" i="7"/>
  <c r="M15" i="7"/>
  <c r="L15" i="7"/>
  <c r="K15" i="7"/>
  <c r="J15" i="7"/>
  <c r="I15" i="7"/>
  <c r="H15" i="7"/>
  <c r="G15" i="7"/>
  <c r="F15" i="7"/>
  <c r="E15" i="7"/>
  <c r="D15" i="7"/>
  <c r="C15" i="7"/>
  <c r="B15" i="7"/>
  <c r="S14" i="7"/>
  <c r="E15" i="11" s="1"/>
  <c r="R14" i="7"/>
  <c r="Q14" i="7"/>
  <c r="P14" i="7"/>
  <c r="O14" i="7"/>
  <c r="N14" i="7"/>
  <c r="M14" i="7"/>
  <c r="L14" i="7"/>
  <c r="K14" i="7"/>
  <c r="J14" i="7"/>
  <c r="I14" i="7"/>
  <c r="H14" i="7"/>
  <c r="G14" i="7"/>
  <c r="F14" i="7"/>
  <c r="E14" i="7"/>
  <c r="D14" i="7"/>
  <c r="C14" i="7"/>
  <c r="B14" i="7"/>
  <c r="S13" i="7"/>
  <c r="D14" i="11" s="1"/>
  <c r="R13" i="7"/>
  <c r="Q13" i="7"/>
  <c r="P13" i="7"/>
  <c r="O13" i="7"/>
  <c r="N13" i="7"/>
  <c r="M13" i="7"/>
  <c r="L13" i="7"/>
  <c r="K13" i="7"/>
  <c r="J13" i="7"/>
  <c r="I13" i="7"/>
  <c r="H13" i="7"/>
  <c r="G13" i="7"/>
  <c r="F13" i="7"/>
  <c r="E13" i="7"/>
  <c r="D13" i="7"/>
  <c r="C13" i="7"/>
  <c r="B13" i="7"/>
  <c r="S12" i="7"/>
  <c r="A13" i="11" s="1"/>
  <c r="R12" i="7"/>
  <c r="Q12" i="7"/>
  <c r="P12" i="7"/>
  <c r="O12" i="7"/>
  <c r="N12" i="7"/>
  <c r="M12" i="7"/>
  <c r="L12" i="7"/>
  <c r="K12" i="7"/>
  <c r="J12" i="7"/>
  <c r="I12" i="7"/>
  <c r="H12" i="7"/>
  <c r="G12" i="7"/>
  <c r="F12" i="7"/>
  <c r="E12" i="7"/>
  <c r="D12" i="7"/>
  <c r="C12" i="7"/>
  <c r="B12" i="7"/>
  <c r="S11" i="7"/>
  <c r="E12" i="11" s="1"/>
  <c r="R11" i="7"/>
  <c r="Q11" i="7"/>
  <c r="P11" i="7"/>
  <c r="O11" i="7"/>
  <c r="N11" i="7"/>
  <c r="M11" i="7"/>
  <c r="L11" i="7"/>
  <c r="K11" i="7"/>
  <c r="J11" i="7"/>
  <c r="I11" i="7"/>
  <c r="H11" i="7"/>
  <c r="G11" i="7"/>
  <c r="F11" i="7"/>
  <c r="E11" i="7"/>
  <c r="D11" i="7"/>
  <c r="C11" i="7"/>
  <c r="B11" i="7"/>
  <c r="S10" i="7"/>
  <c r="C11" i="11" s="1"/>
  <c r="R10" i="7"/>
  <c r="Q10" i="7"/>
  <c r="P10" i="7"/>
  <c r="O10" i="7"/>
  <c r="N10" i="7"/>
  <c r="M10" i="7"/>
  <c r="L10" i="7"/>
  <c r="K10" i="7"/>
  <c r="J10" i="7"/>
  <c r="I10" i="7"/>
  <c r="H10" i="7"/>
  <c r="G10" i="7"/>
  <c r="F10" i="7"/>
  <c r="E10" i="7"/>
  <c r="D10" i="7"/>
  <c r="C10" i="7"/>
  <c r="B10" i="7"/>
  <c r="S9" i="7"/>
  <c r="R9" i="7"/>
  <c r="Q9" i="7"/>
  <c r="P9" i="7"/>
  <c r="O9" i="7"/>
  <c r="N9" i="7"/>
  <c r="M9" i="7"/>
  <c r="L9" i="7"/>
  <c r="K9" i="7"/>
  <c r="J9" i="7"/>
  <c r="I9" i="7"/>
  <c r="H9" i="7"/>
  <c r="G9" i="7"/>
  <c r="F9" i="7"/>
  <c r="E9" i="7"/>
  <c r="D9" i="7"/>
  <c r="C9" i="7"/>
  <c r="B9" i="7"/>
  <c r="S8" i="7"/>
  <c r="R8" i="7"/>
  <c r="Q8" i="7"/>
  <c r="P8" i="7"/>
  <c r="O8" i="7"/>
  <c r="N8" i="7"/>
  <c r="M8" i="7"/>
  <c r="L8" i="7"/>
  <c r="K8" i="7"/>
  <c r="J8" i="7"/>
  <c r="I8" i="7"/>
  <c r="H8" i="7"/>
  <c r="G8" i="7"/>
  <c r="F8" i="7"/>
  <c r="B10" i="12" s="1"/>
  <c r="E8" i="7"/>
  <c r="D8" i="7"/>
  <c r="C8" i="7"/>
  <c r="B8" i="7"/>
  <c r="S7" i="7"/>
  <c r="B8" i="11" s="1"/>
  <c r="R7" i="7"/>
  <c r="Q7" i="7"/>
  <c r="P7" i="7"/>
  <c r="O7" i="7"/>
  <c r="N7" i="7"/>
  <c r="M7" i="7"/>
  <c r="L7" i="7"/>
  <c r="K7" i="7"/>
  <c r="J7" i="7"/>
  <c r="I7" i="7"/>
  <c r="H7" i="7"/>
  <c r="G7" i="7"/>
  <c r="G46" i="7" s="1"/>
  <c r="F7" i="7"/>
  <c r="E7" i="7"/>
  <c r="D7" i="7"/>
  <c r="C7" i="7"/>
  <c r="B7" i="7"/>
  <c r="S6" i="7"/>
  <c r="R6" i="7"/>
  <c r="Q6" i="7"/>
  <c r="P6" i="7"/>
  <c r="O6" i="7"/>
  <c r="O46" i="7" s="1"/>
  <c r="N6" i="7"/>
  <c r="M6" i="7"/>
  <c r="L6" i="7"/>
  <c r="K6" i="7"/>
  <c r="J6" i="7"/>
  <c r="I6" i="7"/>
  <c r="H6" i="7"/>
  <c r="G6" i="7"/>
  <c r="F6" i="7"/>
  <c r="E6" i="7"/>
  <c r="D6" i="7"/>
  <c r="C6" i="7"/>
  <c r="B6" i="7"/>
  <c r="S5" i="7"/>
  <c r="R5" i="7"/>
  <c r="G15" i="10" s="1"/>
  <c r="Q5" i="7"/>
  <c r="P5" i="7"/>
  <c r="O5" i="7"/>
  <c r="N5" i="7"/>
  <c r="M5" i="7"/>
  <c r="L5" i="7"/>
  <c r="L46" i="7" s="1"/>
  <c r="K5" i="7"/>
  <c r="K46" i="7" s="1"/>
  <c r="J5" i="7"/>
  <c r="J46" i="7" s="1"/>
  <c r="I5" i="7"/>
  <c r="H5" i="7"/>
  <c r="G5" i="7"/>
  <c r="F5" i="7"/>
  <c r="E5" i="7"/>
  <c r="D5" i="7"/>
  <c r="D46" i="7" s="1"/>
  <c r="C5" i="7"/>
  <c r="C46" i="7" s="1"/>
  <c r="B5" i="7"/>
  <c r="B137" i="6"/>
  <c r="D136" i="6"/>
  <c r="B136" i="6"/>
  <c r="B135" i="6"/>
  <c r="B134" i="6"/>
  <c r="B133" i="6"/>
  <c r="B132" i="6"/>
  <c r="C131" i="6"/>
  <c r="E131" i="6" s="1"/>
  <c r="B131" i="6"/>
  <c r="B130" i="6"/>
  <c r="B129" i="6"/>
  <c r="B128" i="6"/>
  <c r="B127" i="6"/>
  <c r="C126" i="6"/>
  <c r="E126" i="6" s="1"/>
  <c r="B126" i="6"/>
  <c r="B125" i="6"/>
  <c r="E124" i="6"/>
  <c r="B124" i="6"/>
  <c r="C123" i="6"/>
  <c r="F123" i="6" s="1"/>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G97" i="6"/>
  <c r="A99" i="10" s="1"/>
  <c r="F97" i="6"/>
  <c r="D97" i="6"/>
  <c r="C97" i="6"/>
  <c r="E97" i="6" s="1"/>
  <c r="B97" i="6"/>
  <c r="B96" i="6"/>
  <c r="G95" i="6"/>
  <c r="F95" i="6"/>
  <c r="E95" i="6"/>
  <c r="D95" i="6"/>
  <c r="C95" i="6"/>
  <c r="B95" i="6"/>
  <c r="F94" i="6"/>
  <c r="E94" i="6"/>
  <c r="D94" i="6"/>
  <c r="C94" i="6"/>
  <c r="B94" i="6"/>
  <c r="G93" i="6"/>
  <c r="D93" i="6"/>
  <c r="C93" i="6"/>
  <c r="F93" i="6" s="1"/>
  <c r="B93" i="6"/>
  <c r="B92" i="6"/>
  <c r="G91" i="6"/>
  <c r="F91" i="6"/>
  <c r="E91" i="6"/>
  <c r="D91" i="6"/>
  <c r="C91" i="6"/>
  <c r="B91" i="6"/>
  <c r="F90" i="6"/>
  <c r="E90" i="6"/>
  <c r="D90" i="6"/>
  <c r="C90" i="6"/>
  <c r="B90" i="6"/>
  <c r="G89" i="6"/>
  <c r="A91" i="10" s="1"/>
  <c r="D89" i="6"/>
  <c r="C89" i="6"/>
  <c r="F89" i="6" s="1"/>
  <c r="B89" i="6"/>
  <c r="B88" i="6"/>
  <c r="G87" i="6"/>
  <c r="F87" i="6"/>
  <c r="E87" i="6"/>
  <c r="D87" i="6"/>
  <c r="C87" i="6"/>
  <c r="B87" i="6"/>
  <c r="F86" i="6"/>
  <c r="E86" i="6"/>
  <c r="D86" i="6"/>
  <c r="C86" i="6"/>
  <c r="B86" i="6"/>
  <c r="G85" i="6"/>
  <c r="C87" i="10" s="1"/>
  <c r="D85" i="6"/>
  <c r="C85" i="6"/>
  <c r="F85" i="6" s="1"/>
  <c r="B85" i="6"/>
  <c r="B84" i="6"/>
  <c r="G83" i="6"/>
  <c r="F83" i="6"/>
  <c r="E83" i="6"/>
  <c r="D83" i="6"/>
  <c r="C83" i="6"/>
  <c r="B83" i="6"/>
  <c r="F82" i="6"/>
  <c r="E82" i="6"/>
  <c r="D82" i="6"/>
  <c r="C82" i="6"/>
  <c r="B82" i="6"/>
  <c r="G81" i="6"/>
  <c r="D81" i="6"/>
  <c r="C81" i="6"/>
  <c r="F81" i="6" s="1"/>
  <c r="B81" i="6"/>
  <c r="B80" i="6"/>
  <c r="G79" i="6"/>
  <c r="F79" i="6"/>
  <c r="E79" i="6"/>
  <c r="D79" i="6"/>
  <c r="C79" i="6"/>
  <c r="B79" i="6"/>
  <c r="F78" i="6"/>
  <c r="E78" i="6"/>
  <c r="D78" i="6"/>
  <c r="C78" i="6"/>
  <c r="B78" i="6"/>
  <c r="G77" i="6"/>
  <c r="E79" i="10" s="1"/>
  <c r="D77" i="6"/>
  <c r="C77" i="6"/>
  <c r="F77" i="6" s="1"/>
  <c r="B77" i="6"/>
  <c r="B76" i="6"/>
  <c r="G75" i="6"/>
  <c r="F75" i="6"/>
  <c r="E75" i="6"/>
  <c r="D75" i="6"/>
  <c r="C75" i="6"/>
  <c r="B75" i="6"/>
  <c r="F74" i="6"/>
  <c r="E74" i="6"/>
  <c r="D74" i="6"/>
  <c r="C74" i="6"/>
  <c r="B74" i="6"/>
  <c r="G73" i="6"/>
  <c r="D73" i="6"/>
  <c r="C73" i="6"/>
  <c r="F73" i="6" s="1"/>
  <c r="B73" i="6"/>
  <c r="B72" i="6"/>
  <c r="G71" i="6"/>
  <c r="B71" i="6"/>
  <c r="F70" i="6"/>
  <c r="E70" i="6"/>
  <c r="D70" i="6"/>
  <c r="C70" i="6"/>
  <c r="B70" i="6"/>
  <c r="D69" i="6"/>
  <c r="C69" i="6"/>
  <c r="F69" i="6" s="1"/>
  <c r="B69" i="6"/>
  <c r="B68" i="6"/>
  <c r="G67" i="6"/>
  <c r="B67" i="6"/>
  <c r="F66" i="6"/>
  <c r="E66" i="6"/>
  <c r="D66" i="6"/>
  <c r="C66" i="6"/>
  <c r="B66" i="6"/>
  <c r="D65" i="6"/>
  <c r="C65" i="6"/>
  <c r="F65" i="6" s="1"/>
  <c r="B65" i="6"/>
  <c r="B64" i="6"/>
  <c r="G63" i="6"/>
  <c r="B63" i="6"/>
  <c r="F62" i="6"/>
  <c r="E62" i="6"/>
  <c r="D62" i="6"/>
  <c r="C62" i="6"/>
  <c r="B62" i="6"/>
  <c r="D61" i="6"/>
  <c r="C61" i="6"/>
  <c r="F61" i="6" s="1"/>
  <c r="B61" i="6"/>
  <c r="B60" i="6"/>
  <c r="G59" i="6"/>
  <c r="B59" i="6"/>
  <c r="F58" i="6"/>
  <c r="E58" i="6"/>
  <c r="D58" i="6"/>
  <c r="C58" i="6"/>
  <c r="B58" i="6"/>
  <c r="D57" i="6"/>
  <c r="C57" i="6"/>
  <c r="F57" i="6" s="1"/>
  <c r="B57" i="6"/>
  <c r="G56" i="6"/>
  <c r="F56" i="6"/>
  <c r="D56" i="6"/>
  <c r="C56" i="6"/>
  <c r="E56" i="6" s="1"/>
  <c r="B56" i="6"/>
  <c r="B55" i="6"/>
  <c r="G54" i="6"/>
  <c r="F54" i="6"/>
  <c r="E54" i="6"/>
  <c r="D54" i="6"/>
  <c r="C54" i="6"/>
  <c r="B54" i="6"/>
  <c r="D53" i="6"/>
  <c r="C53" i="6"/>
  <c r="F53" i="6" s="1"/>
  <c r="B53" i="6"/>
  <c r="G52" i="6"/>
  <c r="B54" i="10" s="1"/>
  <c r="F52" i="6"/>
  <c r="D52" i="6"/>
  <c r="C52" i="6"/>
  <c r="E52" i="6" s="1"/>
  <c r="B52" i="6"/>
  <c r="B51" i="6"/>
  <c r="D52" i="10"/>
  <c r="D50" i="10"/>
  <c r="B46" i="10"/>
  <c r="D42" i="10"/>
  <c r="B30" i="10"/>
  <c r="B22" i="10"/>
  <c r="U46" i="9"/>
  <c r="O46" i="9"/>
  <c r="M46" i="9"/>
  <c r="G46" i="9"/>
  <c r="E46" i="9"/>
  <c r="W44" i="9"/>
  <c r="V44" i="9"/>
  <c r="U44" i="9"/>
  <c r="T44" i="9"/>
  <c r="S44" i="9"/>
  <c r="R44" i="9"/>
  <c r="Q44" i="9"/>
  <c r="P44" i="9"/>
  <c r="O44" i="9"/>
  <c r="N44" i="9"/>
  <c r="M44" i="9"/>
  <c r="L44" i="9"/>
  <c r="K44" i="9"/>
  <c r="J44" i="9"/>
  <c r="I44" i="9"/>
  <c r="H44" i="9"/>
  <c r="G44" i="9"/>
  <c r="F44" i="9"/>
  <c r="E44" i="9"/>
  <c r="D44" i="9"/>
  <c r="C44" i="9"/>
  <c r="B44" i="9"/>
  <c r="G137" i="6" s="1"/>
  <c r="W43" i="9"/>
  <c r="D132" i="11" s="1"/>
  <c r="V43" i="9"/>
  <c r="U43" i="9"/>
  <c r="T43" i="9"/>
  <c r="S43" i="9"/>
  <c r="R43" i="9"/>
  <c r="Q43" i="9"/>
  <c r="P43" i="9"/>
  <c r="O43" i="9"/>
  <c r="N43" i="9"/>
  <c r="M43" i="9"/>
  <c r="L43" i="9"/>
  <c r="K43" i="9"/>
  <c r="J43" i="9"/>
  <c r="I43" i="9"/>
  <c r="H43" i="9"/>
  <c r="G43" i="9"/>
  <c r="F43" i="9"/>
  <c r="E43" i="9"/>
  <c r="D43" i="9"/>
  <c r="C43" i="9"/>
  <c r="B43" i="9"/>
  <c r="C136" i="6" s="1"/>
  <c r="F136" i="6" s="1"/>
  <c r="W42" i="9"/>
  <c r="V42" i="9"/>
  <c r="U42" i="9"/>
  <c r="T42" i="9"/>
  <c r="S42" i="9"/>
  <c r="R42" i="9"/>
  <c r="Q42" i="9"/>
  <c r="P42" i="9"/>
  <c r="O42" i="9"/>
  <c r="N42" i="9"/>
  <c r="M42" i="9"/>
  <c r="L42" i="9"/>
  <c r="K42" i="9"/>
  <c r="J42" i="9"/>
  <c r="I42" i="9"/>
  <c r="H42" i="9"/>
  <c r="G42" i="9"/>
  <c r="F42" i="9"/>
  <c r="E42" i="9"/>
  <c r="D42" i="9"/>
  <c r="C42" i="9"/>
  <c r="B42" i="9"/>
  <c r="G135" i="6" s="1"/>
  <c r="W41" i="9"/>
  <c r="V41" i="9"/>
  <c r="U41" i="9"/>
  <c r="T41" i="9"/>
  <c r="S41" i="9"/>
  <c r="R41" i="9"/>
  <c r="Q41" i="9"/>
  <c r="P41" i="9"/>
  <c r="O41" i="9"/>
  <c r="N41" i="9"/>
  <c r="M41" i="9"/>
  <c r="L41" i="9"/>
  <c r="K41" i="9"/>
  <c r="J41" i="9"/>
  <c r="I41" i="9"/>
  <c r="H41" i="9"/>
  <c r="G41" i="9"/>
  <c r="F41" i="9"/>
  <c r="E41" i="9"/>
  <c r="D41" i="9"/>
  <c r="C41" i="9"/>
  <c r="B41" i="9"/>
  <c r="W40" i="9"/>
  <c r="C129" i="11" s="1"/>
  <c r="V40" i="9"/>
  <c r="U40" i="9"/>
  <c r="T40" i="9"/>
  <c r="S40" i="9"/>
  <c r="R40" i="9"/>
  <c r="Q40" i="9"/>
  <c r="P40" i="9"/>
  <c r="O40" i="9"/>
  <c r="N40" i="9"/>
  <c r="M40" i="9"/>
  <c r="L40" i="9"/>
  <c r="K40" i="9"/>
  <c r="J40" i="9"/>
  <c r="I40" i="9"/>
  <c r="H40" i="9"/>
  <c r="G40" i="9"/>
  <c r="F40" i="9"/>
  <c r="E40" i="9"/>
  <c r="D40" i="9"/>
  <c r="C40" i="9"/>
  <c r="B40" i="9"/>
  <c r="G133" i="6" s="1"/>
  <c r="W39" i="9"/>
  <c r="V39" i="9"/>
  <c r="U39" i="9"/>
  <c r="T39" i="9"/>
  <c r="S39" i="9"/>
  <c r="R39" i="9"/>
  <c r="Q39" i="9"/>
  <c r="P39" i="9"/>
  <c r="O39" i="9"/>
  <c r="N39" i="9"/>
  <c r="M39" i="9"/>
  <c r="L39" i="9"/>
  <c r="K39" i="9"/>
  <c r="J39" i="9"/>
  <c r="I39" i="9"/>
  <c r="H39" i="9"/>
  <c r="G39" i="9"/>
  <c r="F39" i="9"/>
  <c r="E39" i="9"/>
  <c r="D39" i="9"/>
  <c r="C39" i="9"/>
  <c r="B39" i="9"/>
  <c r="C132" i="6" s="1"/>
  <c r="F132" i="6" s="1"/>
  <c r="W38" i="9"/>
  <c r="V38" i="9"/>
  <c r="U38" i="9"/>
  <c r="T38" i="9"/>
  <c r="S38" i="9"/>
  <c r="R38" i="9"/>
  <c r="Q38" i="9"/>
  <c r="P38" i="9"/>
  <c r="O38" i="9"/>
  <c r="N38" i="9"/>
  <c r="M38" i="9"/>
  <c r="L38" i="9"/>
  <c r="K38" i="9"/>
  <c r="J38" i="9"/>
  <c r="I38" i="9"/>
  <c r="H38" i="9"/>
  <c r="G38" i="9"/>
  <c r="F38" i="9"/>
  <c r="E38" i="9"/>
  <c r="D38" i="9"/>
  <c r="C38" i="9"/>
  <c r="B38" i="9"/>
  <c r="G131" i="6" s="1"/>
  <c r="W37" i="9"/>
  <c r="V37" i="9"/>
  <c r="U37" i="9"/>
  <c r="T37" i="9"/>
  <c r="S37" i="9"/>
  <c r="R37" i="9"/>
  <c r="Q37" i="9"/>
  <c r="P37" i="9"/>
  <c r="O37" i="9"/>
  <c r="N37" i="9"/>
  <c r="M37" i="9"/>
  <c r="L37" i="9"/>
  <c r="K37" i="9"/>
  <c r="J37" i="9"/>
  <c r="I37" i="9"/>
  <c r="H37" i="9"/>
  <c r="G37" i="9"/>
  <c r="F37" i="9"/>
  <c r="E37" i="9"/>
  <c r="D37" i="9"/>
  <c r="C37" i="9"/>
  <c r="B37" i="9"/>
  <c r="C130" i="6" s="1"/>
  <c r="W36" i="9"/>
  <c r="V36" i="9"/>
  <c r="U36" i="9"/>
  <c r="T36" i="9"/>
  <c r="S36" i="9"/>
  <c r="R36" i="9"/>
  <c r="Q36" i="9"/>
  <c r="P36" i="9"/>
  <c r="O36" i="9"/>
  <c r="N36" i="9"/>
  <c r="M36" i="9"/>
  <c r="L36" i="9"/>
  <c r="K36" i="9"/>
  <c r="J36" i="9"/>
  <c r="I36" i="9"/>
  <c r="H36" i="9"/>
  <c r="G36" i="9"/>
  <c r="F36" i="9"/>
  <c r="E36" i="9"/>
  <c r="D36" i="9"/>
  <c r="C36" i="9"/>
  <c r="B36" i="9"/>
  <c r="C129" i="6" s="1"/>
  <c r="W35" i="9"/>
  <c r="B124" i="11" s="1"/>
  <c r="V35" i="9"/>
  <c r="U35" i="9"/>
  <c r="T35" i="9"/>
  <c r="S35" i="9"/>
  <c r="R35" i="9"/>
  <c r="Q35" i="9"/>
  <c r="P35" i="9"/>
  <c r="O35" i="9"/>
  <c r="N35" i="9"/>
  <c r="M35" i="9"/>
  <c r="L35" i="9"/>
  <c r="K35" i="9"/>
  <c r="J35" i="9"/>
  <c r="I35" i="9"/>
  <c r="H35" i="9"/>
  <c r="G35" i="9"/>
  <c r="F35" i="9"/>
  <c r="E35" i="9"/>
  <c r="D35" i="9"/>
  <c r="C35" i="9"/>
  <c r="B35" i="9"/>
  <c r="C128" i="6" s="1"/>
  <c r="F128" i="6" s="1"/>
  <c r="W34" i="9"/>
  <c r="V34" i="9"/>
  <c r="U34" i="9"/>
  <c r="T34" i="9"/>
  <c r="S34" i="9"/>
  <c r="R34" i="9"/>
  <c r="Q34" i="9"/>
  <c r="P34" i="9"/>
  <c r="O34" i="9"/>
  <c r="N34" i="9"/>
  <c r="M34" i="9"/>
  <c r="L34" i="9"/>
  <c r="K34" i="9"/>
  <c r="J34" i="9"/>
  <c r="I34" i="9"/>
  <c r="H34" i="9"/>
  <c r="G34" i="9"/>
  <c r="F34" i="9"/>
  <c r="G127" i="6" s="1"/>
  <c r="E34" i="9"/>
  <c r="D34" i="9"/>
  <c r="C34" i="9"/>
  <c r="B34" i="9"/>
  <c r="C127" i="6" s="1"/>
  <c r="W33" i="9"/>
  <c r="V33" i="9"/>
  <c r="U33" i="9"/>
  <c r="T33" i="9"/>
  <c r="S33" i="9"/>
  <c r="R33" i="9"/>
  <c r="Q33" i="9"/>
  <c r="P33" i="9"/>
  <c r="O33" i="9"/>
  <c r="N33" i="9"/>
  <c r="M33" i="9"/>
  <c r="L33" i="9"/>
  <c r="K33" i="9"/>
  <c r="J33" i="9"/>
  <c r="I33" i="9"/>
  <c r="H33" i="9"/>
  <c r="G33" i="9"/>
  <c r="F33" i="9"/>
  <c r="E33" i="9"/>
  <c r="D33" i="9"/>
  <c r="C33" i="9"/>
  <c r="B33" i="9"/>
  <c r="W32" i="9"/>
  <c r="E121" i="11" s="1"/>
  <c r="V32" i="9"/>
  <c r="U32" i="9"/>
  <c r="T32" i="9"/>
  <c r="S32" i="9"/>
  <c r="R32" i="9"/>
  <c r="Q32" i="9"/>
  <c r="P32" i="9"/>
  <c r="O32" i="9"/>
  <c r="N32" i="9"/>
  <c r="M32" i="9"/>
  <c r="L32" i="9"/>
  <c r="K32" i="9"/>
  <c r="J32" i="9"/>
  <c r="I32" i="9"/>
  <c r="H32" i="9"/>
  <c r="G32" i="9"/>
  <c r="F32" i="9"/>
  <c r="E32" i="9"/>
  <c r="D32" i="9"/>
  <c r="C32" i="9"/>
  <c r="B32" i="9"/>
  <c r="G125" i="6" s="1"/>
  <c r="W31" i="9"/>
  <c r="V31" i="9"/>
  <c r="U31" i="9"/>
  <c r="T31" i="9"/>
  <c r="S31" i="9"/>
  <c r="R31" i="9"/>
  <c r="Q31" i="9"/>
  <c r="P31" i="9"/>
  <c r="O31" i="9"/>
  <c r="N31" i="9"/>
  <c r="M31" i="9"/>
  <c r="L31" i="9"/>
  <c r="K31" i="9"/>
  <c r="J31" i="9"/>
  <c r="I31" i="9"/>
  <c r="H31" i="9"/>
  <c r="G31" i="9"/>
  <c r="F31" i="9"/>
  <c r="E31" i="9"/>
  <c r="D31" i="9"/>
  <c r="C31" i="9"/>
  <c r="B31" i="9"/>
  <c r="C124" i="6" s="1"/>
  <c r="F124" i="6" s="1"/>
  <c r="W30" i="9"/>
  <c r="V30" i="9"/>
  <c r="U30" i="9"/>
  <c r="T30" i="9"/>
  <c r="S30" i="9"/>
  <c r="R30" i="9"/>
  <c r="Q30" i="9"/>
  <c r="P30" i="9"/>
  <c r="O30" i="9"/>
  <c r="N30" i="9"/>
  <c r="M30" i="9"/>
  <c r="L30" i="9"/>
  <c r="K30" i="9"/>
  <c r="J30" i="9"/>
  <c r="I30" i="9"/>
  <c r="H30" i="9"/>
  <c r="G30" i="9"/>
  <c r="F30" i="9"/>
  <c r="E30" i="9"/>
  <c r="D30" i="9"/>
  <c r="C30" i="9"/>
  <c r="B30" i="9"/>
  <c r="G123" i="6" s="1"/>
  <c r="W29" i="9"/>
  <c r="V29" i="9"/>
  <c r="U29" i="9"/>
  <c r="T29" i="9"/>
  <c r="S29" i="9"/>
  <c r="R29" i="9"/>
  <c r="Q29" i="9"/>
  <c r="P29" i="9"/>
  <c r="O29" i="9"/>
  <c r="N29" i="9"/>
  <c r="M29" i="9"/>
  <c r="L29" i="9"/>
  <c r="K29" i="9"/>
  <c r="J29" i="9"/>
  <c r="I29" i="9"/>
  <c r="H29" i="9"/>
  <c r="G29" i="9"/>
  <c r="F29" i="9"/>
  <c r="E29" i="9"/>
  <c r="D29" i="9"/>
  <c r="C29" i="9"/>
  <c r="B29" i="9"/>
  <c r="C122" i="6" s="1"/>
  <c r="W28" i="9"/>
  <c r="V28" i="9"/>
  <c r="U28" i="9"/>
  <c r="T28" i="9"/>
  <c r="S28" i="9"/>
  <c r="R28" i="9"/>
  <c r="Q28" i="9"/>
  <c r="P28" i="9"/>
  <c r="O28" i="9"/>
  <c r="N28" i="9"/>
  <c r="M28" i="9"/>
  <c r="L28" i="9"/>
  <c r="K28" i="9"/>
  <c r="J28" i="9"/>
  <c r="I28" i="9"/>
  <c r="H28" i="9"/>
  <c r="G28" i="9"/>
  <c r="F28" i="9"/>
  <c r="E28" i="9"/>
  <c r="D28" i="9"/>
  <c r="C28" i="9"/>
  <c r="B28" i="9"/>
  <c r="C121" i="6" s="1"/>
  <c r="W27" i="9"/>
  <c r="V27" i="9"/>
  <c r="U27" i="9"/>
  <c r="T27" i="9"/>
  <c r="S27" i="9"/>
  <c r="R27" i="9"/>
  <c r="Q27" i="9"/>
  <c r="P27" i="9"/>
  <c r="O27" i="9"/>
  <c r="N27" i="9"/>
  <c r="M27" i="9"/>
  <c r="L27" i="9"/>
  <c r="K27" i="9"/>
  <c r="J27" i="9"/>
  <c r="I27" i="9"/>
  <c r="H27" i="9"/>
  <c r="G27" i="9"/>
  <c r="F27" i="9"/>
  <c r="E27" i="9"/>
  <c r="D27" i="9"/>
  <c r="C27" i="9"/>
  <c r="B27" i="9"/>
  <c r="C120" i="6" s="1"/>
  <c r="W26" i="9"/>
  <c r="V26" i="9"/>
  <c r="U26" i="9"/>
  <c r="T26" i="9"/>
  <c r="S26" i="9"/>
  <c r="R26" i="9"/>
  <c r="Q26" i="9"/>
  <c r="P26" i="9"/>
  <c r="O26" i="9"/>
  <c r="N26" i="9"/>
  <c r="M26" i="9"/>
  <c r="L26" i="9"/>
  <c r="K26" i="9"/>
  <c r="J26" i="9"/>
  <c r="I26" i="9"/>
  <c r="H26" i="9"/>
  <c r="G26" i="9"/>
  <c r="F26" i="9"/>
  <c r="G119" i="6" s="1"/>
  <c r="E26" i="9"/>
  <c r="D26" i="9"/>
  <c r="C26" i="9"/>
  <c r="B26" i="9"/>
  <c r="C119" i="6" s="1"/>
  <c r="W25" i="9"/>
  <c r="V25" i="9"/>
  <c r="U25" i="9"/>
  <c r="T25" i="9"/>
  <c r="S25" i="9"/>
  <c r="R25" i="9"/>
  <c r="Q25" i="9"/>
  <c r="P25" i="9"/>
  <c r="O25" i="9"/>
  <c r="N25" i="9"/>
  <c r="M25" i="9"/>
  <c r="L25" i="9"/>
  <c r="K25" i="9"/>
  <c r="J25" i="9"/>
  <c r="I25" i="9"/>
  <c r="H25" i="9"/>
  <c r="G25" i="9"/>
  <c r="F25" i="9"/>
  <c r="E25" i="9"/>
  <c r="D25" i="9"/>
  <c r="C25" i="9"/>
  <c r="B25" i="9"/>
  <c r="C118" i="6" s="1"/>
  <c r="W24" i="9"/>
  <c r="B113" i="11" s="1"/>
  <c r="V24" i="9"/>
  <c r="U24" i="9"/>
  <c r="T24" i="9"/>
  <c r="S24" i="9"/>
  <c r="R24" i="9"/>
  <c r="Q24" i="9"/>
  <c r="P24" i="9"/>
  <c r="O24" i="9"/>
  <c r="N24" i="9"/>
  <c r="M24" i="9"/>
  <c r="L24" i="9"/>
  <c r="K24" i="9"/>
  <c r="J24" i="9"/>
  <c r="I24" i="9"/>
  <c r="H24" i="9"/>
  <c r="G24" i="9"/>
  <c r="F24" i="9"/>
  <c r="E24" i="9"/>
  <c r="D24" i="9"/>
  <c r="C24" i="9"/>
  <c r="B24" i="9"/>
  <c r="G117" i="6" s="1"/>
  <c r="W23" i="9"/>
  <c r="E112" i="11" s="1"/>
  <c r="V23" i="9"/>
  <c r="U23" i="9"/>
  <c r="T23" i="9"/>
  <c r="S23" i="9"/>
  <c r="R23" i="9"/>
  <c r="Q23" i="9"/>
  <c r="P23" i="9"/>
  <c r="O23" i="9"/>
  <c r="N23" i="9"/>
  <c r="M23" i="9"/>
  <c r="L23" i="9"/>
  <c r="K23" i="9"/>
  <c r="J23" i="9"/>
  <c r="I23" i="9"/>
  <c r="H23" i="9"/>
  <c r="G23" i="9"/>
  <c r="F23" i="9"/>
  <c r="E23" i="9"/>
  <c r="D23" i="9"/>
  <c r="C23" i="9"/>
  <c r="B23" i="9"/>
  <c r="G116" i="6" s="1"/>
  <c r="W22" i="9"/>
  <c r="V22" i="9"/>
  <c r="U22" i="9"/>
  <c r="T22" i="9"/>
  <c r="S22" i="9"/>
  <c r="R22" i="9"/>
  <c r="Q22" i="9"/>
  <c r="P22" i="9"/>
  <c r="O22" i="9"/>
  <c r="N22" i="9"/>
  <c r="M22" i="9"/>
  <c r="L22" i="9"/>
  <c r="K22" i="9"/>
  <c r="J22" i="9"/>
  <c r="I22" i="9"/>
  <c r="H22" i="9"/>
  <c r="G22" i="9"/>
  <c r="F22" i="9"/>
  <c r="E22" i="9"/>
  <c r="D22" i="9"/>
  <c r="C22" i="9"/>
  <c r="B22" i="9"/>
  <c r="C115" i="6" s="1"/>
  <c r="W21" i="9"/>
  <c r="D110" i="11" s="1"/>
  <c r="V21" i="9"/>
  <c r="U21" i="9"/>
  <c r="T21" i="9"/>
  <c r="S21" i="9"/>
  <c r="R21" i="9"/>
  <c r="Q21" i="9"/>
  <c r="P21" i="9"/>
  <c r="O21" i="9"/>
  <c r="N21" i="9"/>
  <c r="M21" i="9"/>
  <c r="L21" i="9"/>
  <c r="K21" i="9"/>
  <c r="J21" i="9"/>
  <c r="I21" i="9"/>
  <c r="H21" i="9"/>
  <c r="G21" i="9"/>
  <c r="F21" i="9"/>
  <c r="E21" i="9"/>
  <c r="D21" i="9"/>
  <c r="C21" i="9"/>
  <c r="B21" i="9"/>
  <c r="C114" i="6" s="1"/>
  <c r="W20" i="9"/>
  <c r="V20" i="9"/>
  <c r="U20" i="9"/>
  <c r="T20" i="9"/>
  <c r="S20" i="9"/>
  <c r="R20" i="9"/>
  <c r="Q20" i="9"/>
  <c r="P20" i="9"/>
  <c r="O20" i="9"/>
  <c r="N20" i="9"/>
  <c r="M20" i="9"/>
  <c r="L20" i="9"/>
  <c r="K20" i="9"/>
  <c r="J20" i="9"/>
  <c r="I20" i="9"/>
  <c r="H20" i="9"/>
  <c r="G20" i="9"/>
  <c r="F20" i="9"/>
  <c r="E20" i="9"/>
  <c r="D20" i="9"/>
  <c r="C20" i="9"/>
  <c r="B20" i="9"/>
  <c r="G113" i="6" s="1"/>
  <c r="W19" i="9"/>
  <c r="V19" i="9"/>
  <c r="U19" i="9"/>
  <c r="T19" i="9"/>
  <c r="S19" i="9"/>
  <c r="R19" i="9"/>
  <c r="Q19" i="9"/>
  <c r="P19" i="9"/>
  <c r="O19" i="9"/>
  <c r="N19" i="9"/>
  <c r="M19" i="9"/>
  <c r="L19" i="9"/>
  <c r="K19" i="9"/>
  <c r="J19" i="9"/>
  <c r="I19" i="9"/>
  <c r="H19" i="9"/>
  <c r="G19" i="9"/>
  <c r="F19" i="9"/>
  <c r="E19" i="9"/>
  <c r="D19" i="9"/>
  <c r="C19" i="9"/>
  <c r="B19" i="9"/>
  <c r="G112" i="6" s="1"/>
  <c r="W18" i="9"/>
  <c r="V18" i="9"/>
  <c r="U18" i="9"/>
  <c r="T18" i="9"/>
  <c r="S18" i="9"/>
  <c r="R18" i="9"/>
  <c r="Q18" i="9"/>
  <c r="P18" i="9"/>
  <c r="O18" i="9"/>
  <c r="N18" i="9"/>
  <c r="M18" i="9"/>
  <c r="L18" i="9"/>
  <c r="K18" i="9"/>
  <c r="J18" i="9"/>
  <c r="I18" i="9"/>
  <c r="H18" i="9"/>
  <c r="G18" i="9"/>
  <c r="F18" i="9"/>
  <c r="E18" i="9"/>
  <c r="D18" i="9"/>
  <c r="C18" i="9"/>
  <c r="B18" i="9"/>
  <c r="C111" i="6" s="1"/>
  <c r="W17" i="9"/>
  <c r="V17" i="9"/>
  <c r="U17" i="9"/>
  <c r="T17" i="9"/>
  <c r="S17" i="9"/>
  <c r="R17" i="9"/>
  <c r="Q17" i="9"/>
  <c r="P17" i="9"/>
  <c r="O17" i="9"/>
  <c r="N17" i="9"/>
  <c r="M17" i="9"/>
  <c r="L17" i="9"/>
  <c r="K17" i="9"/>
  <c r="J17" i="9"/>
  <c r="I17" i="9"/>
  <c r="H17" i="9"/>
  <c r="G17" i="9"/>
  <c r="F17" i="9"/>
  <c r="E17" i="9"/>
  <c r="D17" i="9"/>
  <c r="C17" i="9"/>
  <c r="B17" i="9"/>
  <c r="C110" i="6" s="1"/>
  <c r="W16" i="9"/>
  <c r="V16" i="9"/>
  <c r="U16" i="9"/>
  <c r="T16" i="9"/>
  <c r="S16" i="9"/>
  <c r="R16" i="9"/>
  <c r="Q16" i="9"/>
  <c r="P16" i="9"/>
  <c r="O16" i="9"/>
  <c r="N16" i="9"/>
  <c r="M16" i="9"/>
  <c r="L16" i="9"/>
  <c r="K16" i="9"/>
  <c r="J16" i="9"/>
  <c r="I16" i="9"/>
  <c r="H16" i="9"/>
  <c r="G16" i="9"/>
  <c r="F16" i="9"/>
  <c r="E16" i="9"/>
  <c r="D16" i="9"/>
  <c r="C16" i="9"/>
  <c r="B16" i="9"/>
  <c r="G109" i="6" s="1"/>
  <c r="W15" i="9"/>
  <c r="E104" i="11" s="1"/>
  <c r="V15" i="9"/>
  <c r="U15" i="9"/>
  <c r="T15" i="9"/>
  <c r="S15" i="9"/>
  <c r="R15" i="9"/>
  <c r="Q15" i="9"/>
  <c r="P15" i="9"/>
  <c r="O15" i="9"/>
  <c r="N15" i="9"/>
  <c r="M15" i="9"/>
  <c r="L15" i="9"/>
  <c r="K15" i="9"/>
  <c r="J15" i="9"/>
  <c r="I15" i="9"/>
  <c r="H15" i="9"/>
  <c r="G15" i="9"/>
  <c r="F15" i="9"/>
  <c r="E15" i="9"/>
  <c r="D15" i="9"/>
  <c r="C15" i="9"/>
  <c r="B15" i="9"/>
  <c r="G108" i="6" s="1"/>
  <c r="W14" i="9"/>
  <c r="V14" i="9"/>
  <c r="U14" i="9"/>
  <c r="T14" i="9"/>
  <c r="S14" i="9"/>
  <c r="R14" i="9"/>
  <c r="Q14" i="9"/>
  <c r="P14" i="9"/>
  <c r="O14" i="9"/>
  <c r="N14" i="9"/>
  <c r="M14" i="9"/>
  <c r="L14" i="9"/>
  <c r="K14" i="9"/>
  <c r="J14" i="9"/>
  <c r="I14" i="9"/>
  <c r="H14" i="9"/>
  <c r="G14" i="9"/>
  <c r="F14" i="9"/>
  <c r="E14" i="9"/>
  <c r="D14" i="9"/>
  <c r="C14" i="9"/>
  <c r="B14" i="9"/>
  <c r="C107" i="6" s="1"/>
  <c r="W13" i="9"/>
  <c r="A102" i="11" s="1"/>
  <c r="V13" i="9"/>
  <c r="U13" i="9"/>
  <c r="T13" i="9"/>
  <c r="S13" i="9"/>
  <c r="R13" i="9"/>
  <c r="Q13" i="9"/>
  <c r="P13" i="9"/>
  <c r="O13" i="9"/>
  <c r="N13" i="9"/>
  <c r="M13" i="9"/>
  <c r="L13" i="9"/>
  <c r="K13" i="9"/>
  <c r="J13" i="9"/>
  <c r="I13" i="9"/>
  <c r="H13" i="9"/>
  <c r="G13" i="9"/>
  <c r="F13" i="9"/>
  <c r="E13" i="9"/>
  <c r="D13" i="9"/>
  <c r="C13" i="9"/>
  <c r="B13" i="9"/>
  <c r="C106" i="6" s="1"/>
  <c r="W12" i="9"/>
  <c r="V12" i="9"/>
  <c r="U12" i="9"/>
  <c r="T12" i="9"/>
  <c r="S12" i="9"/>
  <c r="R12" i="9"/>
  <c r="Q12" i="9"/>
  <c r="P12" i="9"/>
  <c r="O12" i="9"/>
  <c r="N12" i="9"/>
  <c r="M12" i="9"/>
  <c r="L12" i="9"/>
  <c r="K12" i="9"/>
  <c r="J12" i="9"/>
  <c r="I12" i="9"/>
  <c r="H12" i="9"/>
  <c r="G12" i="9"/>
  <c r="F12" i="9"/>
  <c r="E12" i="9"/>
  <c r="D12" i="9"/>
  <c r="C12" i="9"/>
  <c r="B12" i="9"/>
  <c r="G105" i="6" s="1"/>
  <c r="W11" i="9"/>
  <c r="V11" i="9"/>
  <c r="U11" i="9"/>
  <c r="T11" i="9"/>
  <c r="S11" i="9"/>
  <c r="R11" i="9"/>
  <c r="Q11" i="9"/>
  <c r="P11" i="9"/>
  <c r="O11" i="9"/>
  <c r="N11" i="9"/>
  <c r="M11" i="9"/>
  <c r="L11" i="9"/>
  <c r="K11" i="9"/>
  <c r="J11" i="9"/>
  <c r="I11" i="9"/>
  <c r="H11" i="9"/>
  <c r="G11" i="9"/>
  <c r="F11" i="9"/>
  <c r="E11" i="9"/>
  <c r="D11" i="9"/>
  <c r="C11" i="9"/>
  <c r="B11" i="9"/>
  <c r="G104" i="6" s="1"/>
  <c r="W10" i="9"/>
  <c r="V10" i="9"/>
  <c r="U10" i="9"/>
  <c r="T10" i="9"/>
  <c r="S10" i="9"/>
  <c r="R10" i="9"/>
  <c r="Q10" i="9"/>
  <c r="P10" i="9"/>
  <c r="O10" i="9"/>
  <c r="N10" i="9"/>
  <c r="M10" i="9"/>
  <c r="L10" i="9"/>
  <c r="K10" i="9"/>
  <c r="J10" i="9"/>
  <c r="I10" i="9"/>
  <c r="H10" i="9"/>
  <c r="G10" i="9"/>
  <c r="F10" i="9"/>
  <c r="E10" i="9"/>
  <c r="D10" i="9"/>
  <c r="C10" i="9"/>
  <c r="B10" i="9"/>
  <c r="C103" i="6" s="1"/>
  <c r="W9" i="9"/>
  <c r="V9" i="9"/>
  <c r="U9" i="9"/>
  <c r="T9" i="9"/>
  <c r="S9" i="9"/>
  <c r="R9" i="9"/>
  <c r="Q9" i="9"/>
  <c r="P9" i="9"/>
  <c r="O9" i="9"/>
  <c r="N9" i="9"/>
  <c r="M9" i="9"/>
  <c r="L9" i="9"/>
  <c r="K9" i="9"/>
  <c r="J9" i="9"/>
  <c r="I9" i="9"/>
  <c r="H9" i="9"/>
  <c r="G9" i="9"/>
  <c r="F9" i="9"/>
  <c r="E9" i="9"/>
  <c r="D9" i="9"/>
  <c r="C9" i="9"/>
  <c r="B9" i="9"/>
  <c r="C102" i="6" s="1"/>
  <c r="W8" i="9"/>
  <c r="V8" i="9"/>
  <c r="U8" i="9"/>
  <c r="T8" i="9"/>
  <c r="S8" i="9"/>
  <c r="R8" i="9"/>
  <c r="Q8" i="9"/>
  <c r="P8" i="9"/>
  <c r="O8" i="9"/>
  <c r="N8" i="9"/>
  <c r="M8" i="9"/>
  <c r="L8" i="9"/>
  <c r="K8" i="9"/>
  <c r="J8" i="9"/>
  <c r="I8" i="9"/>
  <c r="H8" i="9"/>
  <c r="G8" i="9"/>
  <c r="F8" i="9"/>
  <c r="E8" i="9"/>
  <c r="D8" i="9"/>
  <c r="C8" i="9"/>
  <c r="B8" i="9"/>
  <c r="G101" i="6" s="1"/>
  <c r="W7" i="9"/>
  <c r="B96" i="11" s="1"/>
  <c r="V7" i="9"/>
  <c r="U7" i="9"/>
  <c r="T7" i="9"/>
  <c r="S7" i="9"/>
  <c r="R7" i="9"/>
  <c r="Q7" i="9"/>
  <c r="P7" i="9"/>
  <c r="O7" i="9"/>
  <c r="N7" i="9"/>
  <c r="M7" i="9"/>
  <c r="L7" i="9"/>
  <c r="K7" i="9"/>
  <c r="J7" i="9"/>
  <c r="I7" i="9"/>
  <c r="H7" i="9"/>
  <c r="G7" i="9"/>
  <c r="F7" i="9"/>
  <c r="E7" i="9"/>
  <c r="D7" i="9"/>
  <c r="C7" i="9"/>
  <c r="B7" i="9"/>
  <c r="G100" i="6" s="1"/>
  <c r="W6" i="9"/>
  <c r="V6" i="9"/>
  <c r="U6" i="9"/>
  <c r="T6" i="9"/>
  <c r="S6" i="9"/>
  <c r="R6" i="9"/>
  <c r="Q6" i="9"/>
  <c r="P6" i="9"/>
  <c r="O6" i="9"/>
  <c r="N6" i="9"/>
  <c r="M6" i="9"/>
  <c r="L6" i="9"/>
  <c r="K6" i="9"/>
  <c r="J6" i="9"/>
  <c r="I6" i="9"/>
  <c r="H6" i="9"/>
  <c r="G6" i="9"/>
  <c r="F6" i="9"/>
  <c r="E6" i="9"/>
  <c r="D6" i="9"/>
  <c r="C6" i="9"/>
  <c r="B6" i="9"/>
  <c r="C99" i="6" s="1"/>
  <c r="W5" i="9"/>
  <c r="V5" i="9"/>
  <c r="V46" i="9" s="1"/>
  <c r="U5" i="9"/>
  <c r="T5" i="9"/>
  <c r="T46" i="9" s="1"/>
  <c r="S5" i="9"/>
  <c r="S46" i="9" s="1"/>
  <c r="R5" i="9"/>
  <c r="R46" i="9" s="1"/>
  <c r="Q5" i="9"/>
  <c r="Q46" i="9" s="1"/>
  <c r="P5" i="9"/>
  <c r="P46" i="9" s="1"/>
  <c r="O5" i="9"/>
  <c r="N5" i="9"/>
  <c r="N46" i="9" s="1"/>
  <c r="M5" i="9"/>
  <c r="L5" i="9"/>
  <c r="L46" i="9" s="1"/>
  <c r="K5" i="9"/>
  <c r="K46" i="9" s="1"/>
  <c r="J5" i="9"/>
  <c r="J46" i="9" s="1"/>
  <c r="I5" i="9"/>
  <c r="I46" i="9" s="1"/>
  <c r="H5" i="9"/>
  <c r="H46" i="9" s="1"/>
  <c r="G5" i="9"/>
  <c r="F5" i="9"/>
  <c r="F17" i="10" s="1"/>
  <c r="E5" i="9"/>
  <c r="D5" i="9"/>
  <c r="D46" i="9" s="1"/>
  <c r="C5" i="9"/>
  <c r="C46" i="9" s="1"/>
  <c r="B5" i="9"/>
  <c r="C98" i="6" s="1"/>
  <c r="E6" i="12" l="1"/>
  <c r="B63" i="10"/>
  <c r="A63" i="10"/>
  <c r="D63" i="10"/>
  <c r="E63" i="10"/>
  <c r="C63" i="10"/>
  <c r="E67" i="10"/>
  <c r="D67" i="10"/>
  <c r="C67" i="10"/>
  <c r="B67" i="10"/>
  <c r="A67" i="10"/>
  <c r="E67" i="6"/>
  <c r="D67" i="6"/>
  <c r="F67" i="6"/>
  <c r="E71" i="6"/>
  <c r="D71" i="6"/>
  <c r="F71" i="6"/>
  <c r="B103" i="10"/>
  <c r="A103" i="10"/>
  <c r="D103" i="10"/>
  <c r="E103" i="10"/>
  <c r="C103" i="10"/>
  <c r="B111" i="10"/>
  <c r="A111" i="10"/>
  <c r="D111" i="10"/>
  <c r="E111" i="10"/>
  <c r="C111" i="10"/>
  <c r="B127" i="10"/>
  <c r="A127" i="10"/>
  <c r="D127" i="10"/>
  <c r="E127" i="10"/>
  <c r="C127" i="10"/>
  <c r="B135" i="10"/>
  <c r="A135" i="10"/>
  <c r="D135" i="10"/>
  <c r="E135" i="10"/>
  <c r="C135" i="10"/>
  <c r="E62" i="10"/>
  <c r="D62" i="10"/>
  <c r="C62" i="10"/>
  <c r="A62" i="10"/>
  <c r="B62" i="10"/>
  <c r="A68" i="10"/>
  <c r="E68" i="10"/>
  <c r="C68" i="10"/>
  <c r="D68" i="10"/>
  <c r="B68" i="10"/>
  <c r="C74" i="10"/>
  <c r="B74" i="10"/>
  <c r="A74" i="10"/>
  <c r="E74" i="10"/>
  <c r="D74" i="10"/>
  <c r="E80" i="10"/>
  <c r="D80" i="10"/>
  <c r="C80" i="10"/>
  <c r="B80" i="10"/>
  <c r="A80" i="10"/>
  <c r="C82" i="10"/>
  <c r="B82" i="10"/>
  <c r="A82" i="10"/>
  <c r="E82" i="10"/>
  <c r="D82" i="10"/>
  <c r="E86" i="10"/>
  <c r="D86" i="10"/>
  <c r="C86" i="10"/>
  <c r="A86" i="10"/>
  <c r="B86" i="10"/>
  <c r="C90" i="10"/>
  <c r="B90" i="10"/>
  <c r="A90" i="10"/>
  <c r="E90" i="10"/>
  <c r="D90" i="10"/>
  <c r="A92" i="10"/>
  <c r="E92" i="10"/>
  <c r="C92" i="10"/>
  <c r="D92" i="10"/>
  <c r="B92" i="10"/>
  <c r="E94" i="10"/>
  <c r="D94" i="10"/>
  <c r="C94" i="10"/>
  <c r="A94" i="10"/>
  <c r="B94" i="10"/>
  <c r="E96" i="10"/>
  <c r="D96" i="10"/>
  <c r="C96" i="10"/>
  <c r="B96" i="10"/>
  <c r="A96" i="10"/>
  <c r="C98" i="10"/>
  <c r="B98" i="10"/>
  <c r="A98" i="10"/>
  <c r="E98" i="10"/>
  <c r="D98" i="10"/>
  <c r="E102" i="10"/>
  <c r="D102" i="10"/>
  <c r="C102" i="10"/>
  <c r="A102" i="10"/>
  <c r="B102" i="10"/>
  <c r="C106" i="10"/>
  <c r="B106" i="10"/>
  <c r="A106" i="10"/>
  <c r="E106" i="10"/>
  <c r="D106" i="10"/>
  <c r="E110" i="10"/>
  <c r="D110" i="10"/>
  <c r="C110" i="10"/>
  <c r="A110" i="10"/>
  <c r="B110" i="10"/>
  <c r="C114" i="10"/>
  <c r="B114" i="10"/>
  <c r="A114" i="10"/>
  <c r="E114" i="10"/>
  <c r="D114" i="10"/>
  <c r="E118" i="10"/>
  <c r="D118" i="10"/>
  <c r="C118" i="10"/>
  <c r="A118" i="10"/>
  <c r="B118" i="10"/>
  <c r="F120" i="6"/>
  <c r="E120" i="6"/>
  <c r="D120" i="6"/>
  <c r="E121" i="10"/>
  <c r="D121" i="10"/>
  <c r="B121" i="10"/>
  <c r="C121" i="10"/>
  <c r="A121" i="10"/>
  <c r="E107" i="6"/>
  <c r="D107" i="6"/>
  <c r="F107" i="6"/>
  <c r="E111" i="6"/>
  <c r="D111" i="6"/>
  <c r="F111" i="6"/>
  <c r="E115" i="6"/>
  <c r="D115" i="6"/>
  <c r="F115" i="6"/>
  <c r="D119" i="6"/>
  <c r="F119" i="6"/>
  <c r="E119" i="6"/>
  <c r="D125" i="10"/>
  <c r="C125" i="10"/>
  <c r="B125" i="10"/>
  <c r="A125" i="10"/>
  <c r="E125" i="10"/>
  <c r="D127" i="6"/>
  <c r="F127" i="6"/>
  <c r="E127" i="6"/>
  <c r="D133" i="10"/>
  <c r="C133" i="10"/>
  <c r="B133" i="10"/>
  <c r="A133" i="10"/>
  <c r="E133" i="10"/>
  <c r="E137" i="10"/>
  <c r="D137" i="10"/>
  <c r="B137" i="10"/>
  <c r="A137" i="10"/>
  <c r="C137" i="10"/>
  <c r="E107" i="10"/>
  <c r="D107" i="10"/>
  <c r="C107" i="10"/>
  <c r="B107" i="10"/>
  <c r="A107" i="10"/>
  <c r="B119" i="10"/>
  <c r="A119" i="10"/>
  <c r="D119" i="10"/>
  <c r="E119" i="10"/>
  <c r="C119" i="10"/>
  <c r="F121" i="6"/>
  <c r="D121" i="6"/>
  <c r="E121" i="6"/>
  <c r="E129" i="6"/>
  <c r="D129" i="6"/>
  <c r="F129" i="6"/>
  <c r="E64" i="10"/>
  <c r="D64" i="10"/>
  <c r="C64" i="10"/>
  <c r="B64" i="10"/>
  <c r="A64" i="10"/>
  <c r="E70" i="10"/>
  <c r="D70" i="10"/>
  <c r="C70" i="10"/>
  <c r="A70" i="10"/>
  <c r="B70" i="10"/>
  <c r="E78" i="10"/>
  <c r="D78" i="10"/>
  <c r="C78" i="10"/>
  <c r="A78" i="10"/>
  <c r="B78" i="10"/>
  <c r="E88" i="10"/>
  <c r="D88" i="10"/>
  <c r="C88" i="10"/>
  <c r="B88" i="10"/>
  <c r="A88" i="10"/>
  <c r="E103" i="6"/>
  <c r="D103" i="6"/>
  <c r="F103" i="6"/>
  <c r="E27" i="10"/>
  <c r="D27" i="10"/>
  <c r="C27" i="10"/>
  <c r="B27" i="10"/>
  <c r="A27" i="10"/>
  <c r="B31" i="10"/>
  <c r="A31" i="10"/>
  <c r="D31" i="10"/>
  <c r="E31" i="10"/>
  <c r="C31" i="10"/>
  <c r="E35" i="10"/>
  <c r="D35" i="10"/>
  <c r="C35" i="10"/>
  <c r="B35" i="10"/>
  <c r="A35" i="10"/>
  <c r="B39" i="10"/>
  <c r="A39" i="10"/>
  <c r="D39" i="10"/>
  <c r="E39" i="10"/>
  <c r="C39" i="10"/>
  <c r="E43" i="10"/>
  <c r="D43" i="10"/>
  <c r="C43" i="10"/>
  <c r="B43" i="10"/>
  <c r="A43" i="10"/>
  <c r="B47" i="10"/>
  <c r="A47" i="10"/>
  <c r="D47" i="10"/>
  <c r="C47" i="10"/>
  <c r="E47" i="10"/>
  <c r="E51" i="10"/>
  <c r="D51" i="10"/>
  <c r="C51" i="10"/>
  <c r="B51" i="10"/>
  <c r="A51" i="10"/>
  <c r="E51" i="6"/>
  <c r="D51" i="6"/>
  <c r="F51" i="6"/>
  <c r="B55" i="10"/>
  <c r="A55" i="10"/>
  <c r="D55" i="10"/>
  <c r="E55" i="10"/>
  <c r="C55" i="10"/>
  <c r="E55" i="6"/>
  <c r="D55" i="6"/>
  <c r="F55" i="6"/>
  <c r="E59" i="10"/>
  <c r="D59" i="10"/>
  <c r="C59" i="10"/>
  <c r="B59" i="10"/>
  <c r="A59" i="10"/>
  <c r="E59" i="6"/>
  <c r="D59" i="6"/>
  <c r="F59" i="6"/>
  <c r="E63" i="6"/>
  <c r="D63" i="6"/>
  <c r="F63" i="6"/>
  <c r="B71" i="10"/>
  <c r="A71" i="10"/>
  <c r="D71" i="10"/>
  <c r="E71" i="10"/>
  <c r="C71" i="10"/>
  <c r="E115" i="10"/>
  <c r="D115" i="10"/>
  <c r="C115" i="10"/>
  <c r="B115" i="10"/>
  <c r="A115" i="10"/>
  <c r="E129" i="10"/>
  <c r="D129" i="10"/>
  <c r="B129" i="10"/>
  <c r="C129" i="10"/>
  <c r="A129" i="10"/>
  <c r="E139" i="10"/>
  <c r="D139" i="10"/>
  <c r="C139" i="10"/>
  <c r="B139" i="10"/>
  <c r="A139" i="10"/>
  <c r="C66" i="10"/>
  <c r="B66" i="10"/>
  <c r="A66" i="10"/>
  <c r="E66" i="10"/>
  <c r="D66" i="10"/>
  <c r="E72" i="10"/>
  <c r="D72" i="10"/>
  <c r="C72" i="10"/>
  <c r="B72" i="10"/>
  <c r="A72" i="10"/>
  <c r="A76" i="10"/>
  <c r="E76" i="10"/>
  <c r="C76" i="10"/>
  <c r="D76" i="10"/>
  <c r="B76" i="10"/>
  <c r="A84" i="10"/>
  <c r="E84" i="10"/>
  <c r="C84" i="10"/>
  <c r="D84" i="10"/>
  <c r="B84" i="10"/>
  <c r="E99" i="6"/>
  <c r="D99" i="6"/>
  <c r="F99" i="6"/>
  <c r="F98" i="6"/>
  <c r="D98" i="6"/>
  <c r="E98" i="6"/>
  <c r="F102" i="6"/>
  <c r="D102" i="6"/>
  <c r="E102" i="6"/>
  <c r="F106" i="6"/>
  <c r="D106" i="6"/>
  <c r="E106" i="6"/>
  <c r="F110" i="6"/>
  <c r="D110" i="6"/>
  <c r="E110" i="6"/>
  <c r="F114" i="6"/>
  <c r="D114" i="6"/>
  <c r="E114" i="6"/>
  <c r="F118" i="6"/>
  <c r="D118" i="6"/>
  <c r="E118" i="6"/>
  <c r="E122" i="6"/>
  <c r="D122" i="6"/>
  <c r="F122" i="6"/>
  <c r="F130" i="6"/>
  <c r="E130" i="6"/>
  <c r="D130" i="6"/>
  <c r="M19" i="35"/>
  <c r="M19" i="33"/>
  <c r="M19" i="31"/>
  <c r="M19" i="27"/>
  <c r="M19" i="29"/>
  <c r="M19" i="25"/>
  <c r="M19" i="23"/>
  <c r="M19" i="21"/>
  <c r="M19" i="19"/>
  <c r="M19" i="17"/>
  <c r="M23" i="33"/>
  <c r="M23" i="35"/>
  <c r="M23" i="31"/>
  <c r="M23" i="27"/>
  <c r="M23" i="29"/>
  <c r="M23" i="23"/>
  <c r="M23" i="21"/>
  <c r="M23" i="25"/>
  <c r="M23" i="19"/>
  <c r="M23" i="17"/>
  <c r="M32" i="35"/>
  <c r="M32" i="33"/>
  <c r="M32" i="31"/>
  <c r="M32" i="29"/>
  <c r="M32" i="27"/>
  <c r="M32" i="25"/>
  <c r="M32" i="23"/>
  <c r="M32" i="21"/>
  <c r="M32" i="19"/>
  <c r="M32" i="17"/>
  <c r="N25" i="35"/>
  <c r="N25" i="33"/>
  <c r="N25" i="31"/>
  <c r="N25" i="29"/>
  <c r="N25" i="27"/>
  <c r="N25" i="25"/>
  <c r="N25" i="21"/>
  <c r="N25" i="19"/>
  <c r="N25" i="23"/>
  <c r="N25" i="17"/>
  <c r="BJ100" i="15"/>
  <c r="O30" i="35"/>
  <c r="O30" i="31"/>
  <c r="O30" i="33"/>
  <c r="O30" i="29"/>
  <c r="O30" i="27"/>
  <c r="O30" i="25"/>
  <c r="O30" i="23"/>
  <c r="O30" i="21"/>
  <c r="O30" i="19"/>
  <c r="O30" i="17"/>
  <c r="O34" i="35"/>
  <c r="O34" i="33"/>
  <c r="O34" i="29"/>
  <c r="O34" i="27"/>
  <c r="O34" i="31"/>
  <c r="O34" i="23"/>
  <c r="O34" i="25"/>
  <c r="O34" i="21"/>
  <c r="O34" i="19"/>
  <c r="O34" i="17"/>
  <c r="C95" i="11"/>
  <c r="B95" i="11"/>
  <c r="A95" i="11"/>
  <c r="E95" i="11"/>
  <c r="D99" i="11"/>
  <c r="B99" i="11"/>
  <c r="E99" i="11"/>
  <c r="C99" i="11"/>
  <c r="A99" i="11"/>
  <c r="E103" i="11"/>
  <c r="D103" i="11"/>
  <c r="C103" i="11"/>
  <c r="B103" i="11"/>
  <c r="A103" i="11"/>
  <c r="D107" i="11"/>
  <c r="B107" i="11"/>
  <c r="E107" i="11"/>
  <c r="C107" i="11"/>
  <c r="A107" i="11"/>
  <c r="E111" i="11"/>
  <c r="D111" i="11"/>
  <c r="C111" i="11"/>
  <c r="A111" i="11"/>
  <c r="D115" i="11"/>
  <c r="B115" i="11"/>
  <c r="E115" i="11"/>
  <c r="A115" i="11"/>
  <c r="D119" i="11"/>
  <c r="A119" i="11"/>
  <c r="C119" i="11"/>
  <c r="D123" i="11"/>
  <c r="B123" i="11"/>
  <c r="E123" i="11"/>
  <c r="C123" i="11"/>
  <c r="A123" i="11"/>
  <c r="D127" i="11"/>
  <c r="E127" i="11"/>
  <c r="B127" i="11"/>
  <c r="D131" i="11"/>
  <c r="B131" i="11"/>
  <c r="E131" i="11"/>
  <c r="C131" i="11"/>
  <c r="A131" i="11"/>
  <c r="F46" i="9"/>
  <c r="G51" i="6"/>
  <c r="G55" i="6"/>
  <c r="D61" i="10"/>
  <c r="C61" i="10"/>
  <c r="B61" i="10"/>
  <c r="A61" i="10"/>
  <c r="E65" i="10"/>
  <c r="D65" i="10"/>
  <c r="B65" i="10"/>
  <c r="D69" i="10"/>
  <c r="C69" i="10"/>
  <c r="B69" i="10"/>
  <c r="A69" i="10"/>
  <c r="E73" i="10"/>
  <c r="D73" i="10"/>
  <c r="B73" i="10"/>
  <c r="D77" i="10"/>
  <c r="C77" i="10"/>
  <c r="B77" i="10"/>
  <c r="A77" i="10"/>
  <c r="E81" i="10"/>
  <c r="D81" i="10"/>
  <c r="B81" i="10"/>
  <c r="D85" i="10"/>
  <c r="C85" i="10"/>
  <c r="B85" i="10"/>
  <c r="A85" i="10"/>
  <c r="E89" i="10"/>
  <c r="D89" i="10"/>
  <c r="B89" i="10"/>
  <c r="D93" i="10"/>
  <c r="C93" i="10"/>
  <c r="B93" i="10"/>
  <c r="A93" i="10"/>
  <c r="E97" i="10"/>
  <c r="D97" i="10"/>
  <c r="B97" i="10"/>
  <c r="G99" i="6"/>
  <c r="C101" i="6"/>
  <c r="G103" i="6"/>
  <c r="C105" i="6"/>
  <c r="G107" i="6"/>
  <c r="C109" i="6"/>
  <c r="G111" i="6"/>
  <c r="C113" i="6"/>
  <c r="G115" i="6"/>
  <c r="C117" i="6"/>
  <c r="G124" i="6"/>
  <c r="D126" i="6"/>
  <c r="G129" i="6"/>
  <c r="C133" i="6"/>
  <c r="E136" i="6"/>
  <c r="D6" i="11"/>
  <c r="C6" i="11"/>
  <c r="B8" i="12"/>
  <c r="B6" i="11"/>
  <c r="C46" i="11"/>
  <c r="A6" i="11"/>
  <c r="D15" i="10"/>
  <c r="C15" i="10"/>
  <c r="E15" i="10" s="1"/>
  <c r="E10" i="11"/>
  <c r="D10" i="11"/>
  <c r="B10" i="11"/>
  <c r="C65" i="10"/>
  <c r="C97" i="10"/>
  <c r="B119" i="11"/>
  <c r="B49" i="22"/>
  <c r="B91" i="15"/>
  <c r="J34" i="35"/>
  <c r="J34" i="33"/>
  <c r="J34" i="31"/>
  <c r="J34" i="29"/>
  <c r="BJ21" i="15"/>
  <c r="D9" i="12"/>
  <c r="C10" i="12"/>
  <c r="F16" i="10"/>
  <c r="F46" i="8"/>
  <c r="J51" i="27"/>
  <c r="J51" i="25"/>
  <c r="J51" i="23"/>
  <c r="BJ38" i="14"/>
  <c r="N21" i="35"/>
  <c r="N21" i="33"/>
  <c r="N21" i="31"/>
  <c r="N21" i="29"/>
  <c r="N21" i="23"/>
  <c r="N21" i="27"/>
  <c r="N21" i="19"/>
  <c r="N21" i="21"/>
  <c r="N21" i="25"/>
  <c r="N21" i="17"/>
  <c r="BJ96" i="15"/>
  <c r="E94" i="11"/>
  <c r="C94" i="11"/>
  <c r="C134" i="11"/>
  <c r="C17" i="10"/>
  <c r="E17" i="10" s="1"/>
  <c r="D8" i="12"/>
  <c r="D7" i="12"/>
  <c r="D94" i="11"/>
  <c r="B94" i="11"/>
  <c r="A98" i="11"/>
  <c r="E98" i="11"/>
  <c r="D98" i="11"/>
  <c r="B98" i="11"/>
  <c r="E102" i="11"/>
  <c r="C102" i="11"/>
  <c r="B102" i="11"/>
  <c r="A106" i="11"/>
  <c r="B106" i="11"/>
  <c r="D106" i="11"/>
  <c r="E110" i="11"/>
  <c r="C110" i="11"/>
  <c r="B110" i="11"/>
  <c r="A110" i="11"/>
  <c r="A114" i="11"/>
  <c r="D114" i="11"/>
  <c r="C114" i="11"/>
  <c r="B114" i="11"/>
  <c r="E118" i="11"/>
  <c r="C118" i="11"/>
  <c r="D118" i="11"/>
  <c r="B118" i="11"/>
  <c r="A118" i="11"/>
  <c r="A122" i="11"/>
  <c r="E122" i="11"/>
  <c r="D122" i="11"/>
  <c r="B122" i="11"/>
  <c r="E126" i="11"/>
  <c r="C126" i="11"/>
  <c r="A126" i="11"/>
  <c r="D126" i="11"/>
  <c r="B126" i="11"/>
  <c r="A130" i="11"/>
  <c r="E130" i="11"/>
  <c r="D130" i="11"/>
  <c r="C130" i="11"/>
  <c r="E24" i="10"/>
  <c r="D24" i="10"/>
  <c r="C24" i="10"/>
  <c r="B24" i="10"/>
  <c r="A24" i="10"/>
  <c r="A28" i="10"/>
  <c r="E28" i="10"/>
  <c r="C28" i="10"/>
  <c r="E32" i="10"/>
  <c r="D32" i="10"/>
  <c r="C32" i="10"/>
  <c r="B32" i="10"/>
  <c r="A32" i="10"/>
  <c r="A36" i="10"/>
  <c r="E36" i="10"/>
  <c r="C36" i="10"/>
  <c r="E40" i="10"/>
  <c r="D40" i="10"/>
  <c r="C40" i="10"/>
  <c r="B40" i="10"/>
  <c r="A40" i="10"/>
  <c r="A44" i="10"/>
  <c r="E44" i="10"/>
  <c r="C44" i="10"/>
  <c r="E48" i="10"/>
  <c r="D48" i="10"/>
  <c r="C48" i="10"/>
  <c r="B48" i="10"/>
  <c r="A48" i="10"/>
  <c r="A52" i="10"/>
  <c r="E52" i="10"/>
  <c r="C52" i="10"/>
  <c r="E53" i="6"/>
  <c r="E56" i="10"/>
  <c r="D56" i="10"/>
  <c r="C56" i="10"/>
  <c r="B56" i="10"/>
  <c r="A56" i="10"/>
  <c r="E57" i="6"/>
  <c r="G58" i="6"/>
  <c r="C60" i="6"/>
  <c r="E61" i="6"/>
  <c r="C64" i="6"/>
  <c r="E65" i="6"/>
  <c r="C68" i="6"/>
  <c r="E69" i="6"/>
  <c r="C72" i="6"/>
  <c r="E73" i="6"/>
  <c r="C76" i="6"/>
  <c r="E77" i="6"/>
  <c r="C80" i="6"/>
  <c r="E81" i="6"/>
  <c r="C84" i="6"/>
  <c r="E85" i="6"/>
  <c r="C88" i="6"/>
  <c r="E89" i="6"/>
  <c r="C92" i="6"/>
  <c r="E93" i="6"/>
  <c r="C96" i="6"/>
  <c r="G98" i="6"/>
  <c r="C100" i="6"/>
  <c r="G102" i="6"/>
  <c r="C104" i="6"/>
  <c r="G106" i="6"/>
  <c r="C108" i="6"/>
  <c r="G110" i="6"/>
  <c r="C112" i="6"/>
  <c r="G114" i="6"/>
  <c r="C116" i="6"/>
  <c r="G118" i="6"/>
  <c r="G121" i="6"/>
  <c r="E123" i="6"/>
  <c r="C125" i="6"/>
  <c r="F126" i="6"/>
  <c r="E128" i="6"/>
  <c r="C135" i="6"/>
  <c r="E7" i="11"/>
  <c r="D7" i="11"/>
  <c r="C7" i="11"/>
  <c r="A7" i="11"/>
  <c r="D28" i="10"/>
  <c r="C73" i="10"/>
  <c r="E6" i="11"/>
  <c r="D95" i="11"/>
  <c r="B104" i="11"/>
  <c r="A132" i="11"/>
  <c r="L19" i="35"/>
  <c r="K19" i="35"/>
  <c r="L19" i="33"/>
  <c r="K19" i="33"/>
  <c r="L19" i="31"/>
  <c r="K19" i="31"/>
  <c r="L19" i="29"/>
  <c r="K19" i="29"/>
  <c r="K19" i="27"/>
  <c r="K19" i="25"/>
  <c r="K19" i="21"/>
  <c r="K19" i="19"/>
  <c r="K19" i="23"/>
  <c r="K19" i="17"/>
  <c r="L22" i="35"/>
  <c r="K22" i="35"/>
  <c r="L22" i="33"/>
  <c r="K22" i="33"/>
  <c r="K22" i="29"/>
  <c r="L22" i="31"/>
  <c r="K22" i="31"/>
  <c r="K22" i="23"/>
  <c r="L22" i="29"/>
  <c r="K22" i="27"/>
  <c r="K22" i="25"/>
  <c r="K22" i="21"/>
  <c r="K22" i="19"/>
  <c r="K22" i="17"/>
  <c r="L25" i="35"/>
  <c r="L25" i="33"/>
  <c r="K25" i="33"/>
  <c r="K25" i="35"/>
  <c r="K25" i="31"/>
  <c r="L25" i="31"/>
  <c r="K25" i="27"/>
  <c r="L25" i="29"/>
  <c r="K25" i="23"/>
  <c r="K25" i="29"/>
  <c r="K25" i="21"/>
  <c r="K25" i="19"/>
  <c r="K25" i="25"/>
  <c r="K25" i="17"/>
  <c r="M16" i="35"/>
  <c r="M16" i="33"/>
  <c r="M16" i="31"/>
  <c r="M16" i="29"/>
  <c r="M16" i="27"/>
  <c r="M16" i="25"/>
  <c r="M16" i="23"/>
  <c r="M16" i="21"/>
  <c r="M16" i="19"/>
  <c r="M16" i="17"/>
  <c r="M43" i="35"/>
  <c r="M43" i="33"/>
  <c r="M43" i="31"/>
  <c r="M43" i="29"/>
  <c r="M43" i="27"/>
  <c r="M43" i="25"/>
  <c r="M43" i="23"/>
  <c r="M43" i="21"/>
  <c r="M43" i="19"/>
  <c r="M43" i="17"/>
  <c r="O50" i="35"/>
  <c r="O50" i="33"/>
  <c r="O50" i="29"/>
  <c r="O50" i="27"/>
  <c r="O50" i="31"/>
  <c r="O50" i="23"/>
  <c r="O50" i="21"/>
  <c r="O50" i="19"/>
  <c r="O50" i="25"/>
  <c r="O50" i="17"/>
  <c r="G128" i="6"/>
  <c r="C137" i="6"/>
  <c r="F15" i="10"/>
  <c r="F46" i="7"/>
  <c r="N46" i="7"/>
  <c r="J46" i="8"/>
  <c r="C11" i="12"/>
  <c r="B36" i="10"/>
  <c r="E61" i="10"/>
  <c r="A81" i="10"/>
  <c r="E93" i="10"/>
  <c r="B7" i="11"/>
  <c r="C122" i="11"/>
  <c r="J31" i="21"/>
  <c r="J31" i="19"/>
  <c r="J31" i="17"/>
  <c r="BJ18" i="13"/>
  <c r="B9" i="12"/>
  <c r="E9" i="12" s="1"/>
  <c r="J37" i="21"/>
  <c r="J37" i="19"/>
  <c r="J37" i="17"/>
  <c r="BJ24" i="13"/>
  <c r="L52" i="21"/>
  <c r="L52" i="19"/>
  <c r="L52" i="17"/>
  <c r="L24" i="27"/>
  <c r="L24" i="25"/>
  <c r="L24" i="23"/>
  <c r="L30" i="27"/>
  <c r="L30" i="25"/>
  <c r="L30" i="23"/>
  <c r="D11" i="12"/>
  <c r="G17" i="10"/>
  <c r="P46" i="8"/>
  <c r="N41" i="35"/>
  <c r="N41" i="33"/>
  <c r="N41" i="31"/>
  <c r="N41" i="29"/>
  <c r="N41" i="25"/>
  <c r="N41" i="27"/>
  <c r="N41" i="21"/>
  <c r="N41" i="19"/>
  <c r="N41" i="23"/>
  <c r="N41" i="17"/>
  <c r="BJ116" i="15"/>
  <c r="D97" i="11"/>
  <c r="C97" i="11"/>
  <c r="B97" i="11"/>
  <c r="A97" i="11"/>
  <c r="B101" i="11"/>
  <c r="E101" i="11"/>
  <c r="D101" i="11"/>
  <c r="C101" i="11"/>
  <c r="A101" i="11"/>
  <c r="D105" i="11"/>
  <c r="E105" i="11"/>
  <c r="C105" i="11"/>
  <c r="B105" i="11"/>
  <c r="A105" i="11"/>
  <c r="B109" i="11"/>
  <c r="E109" i="11"/>
  <c r="D109" i="11"/>
  <c r="C109" i="11"/>
  <c r="D113" i="11"/>
  <c r="E113" i="11"/>
  <c r="C113" i="11"/>
  <c r="A113" i="11"/>
  <c r="B117" i="11"/>
  <c r="E117" i="11"/>
  <c r="C117" i="11"/>
  <c r="D121" i="11"/>
  <c r="B121" i="11"/>
  <c r="C121" i="11"/>
  <c r="A121" i="11"/>
  <c r="B125" i="11"/>
  <c r="E125" i="11"/>
  <c r="D125" i="11"/>
  <c r="C125" i="11"/>
  <c r="D129" i="11"/>
  <c r="B129" i="11"/>
  <c r="A129" i="11"/>
  <c r="E129" i="11"/>
  <c r="B133" i="11"/>
  <c r="E133" i="11"/>
  <c r="D133" i="11"/>
  <c r="C133" i="11"/>
  <c r="A133" i="11"/>
  <c r="E75" i="10"/>
  <c r="D75" i="10"/>
  <c r="C75" i="10"/>
  <c r="B75" i="10"/>
  <c r="B79" i="10"/>
  <c r="A79" i="10"/>
  <c r="D79" i="10"/>
  <c r="E83" i="10"/>
  <c r="D83" i="10"/>
  <c r="C83" i="10"/>
  <c r="B83" i="10"/>
  <c r="B87" i="10"/>
  <c r="A87" i="10"/>
  <c r="D87" i="10"/>
  <c r="E91" i="10"/>
  <c r="D91" i="10"/>
  <c r="C91" i="10"/>
  <c r="B91" i="10"/>
  <c r="B95" i="10"/>
  <c r="A95" i="10"/>
  <c r="D95" i="10"/>
  <c r="E99" i="10"/>
  <c r="D99" i="10"/>
  <c r="C99" i="10"/>
  <c r="B99" i="10"/>
  <c r="G120" i="6"/>
  <c r="D132" i="6"/>
  <c r="D36" i="10"/>
  <c r="A75" i="10"/>
  <c r="C81" i="10"/>
  <c r="E87" i="10"/>
  <c r="E97" i="11"/>
  <c r="C106" i="11"/>
  <c r="E114" i="11"/>
  <c r="D131" i="6"/>
  <c r="D10" i="12"/>
  <c r="G136" i="6"/>
  <c r="H46" i="8"/>
  <c r="M51" i="35"/>
  <c r="M51" i="33"/>
  <c r="M51" i="31"/>
  <c r="M51" i="29"/>
  <c r="M51" i="27"/>
  <c r="M51" i="25"/>
  <c r="M51" i="23"/>
  <c r="M51" i="21"/>
  <c r="M51" i="19"/>
  <c r="M51" i="17"/>
  <c r="G122" i="6"/>
  <c r="G126" i="6"/>
  <c r="G130" i="6"/>
  <c r="G134" i="6"/>
  <c r="E132" i="6"/>
  <c r="C134" i="6"/>
  <c r="H46" i="7"/>
  <c r="P46" i="7"/>
  <c r="D46" i="8"/>
  <c r="L46" i="8"/>
  <c r="B44" i="10"/>
  <c r="E69" i="10"/>
  <c r="A89" i="10"/>
  <c r="C95" i="10"/>
  <c r="C98" i="11"/>
  <c r="E106" i="11"/>
  <c r="C115" i="11"/>
  <c r="A125" i="11"/>
  <c r="J47" i="21"/>
  <c r="J47" i="19"/>
  <c r="J47" i="17"/>
  <c r="BJ34" i="13"/>
  <c r="J53" i="19"/>
  <c r="J53" i="21"/>
  <c r="J53" i="17"/>
  <c r="BJ40" i="13"/>
  <c r="D123" i="6"/>
  <c r="D128" i="6"/>
  <c r="F131" i="6"/>
  <c r="O46" i="35"/>
  <c r="O46" i="31"/>
  <c r="O46" i="33"/>
  <c r="O46" i="29"/>
  <c r="O46" i="27"/>
  <c r="O46" i="25"/>
  <c r="O46" i="23"/>
  <c r="O46" i="21"/>
  <c r="O46" i="19"/>
  <c r="O46" i="17"/>
  <c r="C96" i="11"/>
  <c r="A96" i="11"/>
  <c r="E96" i="11"/>
  <c r="D96" i="11"/>
  <c r="E100" i="11"/>
  <c r="D100" i="11"/>
  <c r="B100" i="11"/>
  <c r="C104" i="11"/>
  <c r="A104" i="11"/>
  <c r="D104" i="11"/>
  <c r="E108" i="11"/>
  <c r="B108" i="11"/>
  <c r="A108" i="11"/>
  <c r="D108" i="11"/>
  <c r="C112" i="11"/>
  <c r="A112" i="11"/>
  <c r="D112" i="11"/>
  <c r="B112" i="11"/>
  <c r="E116" i="11"/>
  <c r="D116" i="11"/>
  <c r="C116" i="11"/>
  <c r="B116" i="11"/>
  <c r="A116" i="11"/>
  <c r="C120" i="11"/>
  <c r="A120" i="11"/>
  <c r="E120" i="11"/>
  <c r="D120" i="11"/>
  <c r="B120" i="11"/>
  <c r="E124" i="11"/>
  <c r="C124" i="11"/>
  <c r="A124" i="11"/>
  <c r="D124" i="11"/>
  <c r="C128" i="11"/>
  <c r="A128" i="11"/>
  <c r="E128" i="11"/>
  <c r="D128" i="11"/>
  <c r="B128" i="11"/>
  <c r="E132" i="11"/>
  <c r="C132" i="11"/>
  <c r="B132" i="11"/>
  <c r="E22" i="10"/>
  <c r="D22" i="10"/>
  <c r="C22" i="10"/>
  <c r="A22" i="10"/>
  <c r="C26" i="10"/>
  <c r="B26" i="10"/>
  <c r="A26" i="10"/>
  <c r="E26" i="10"/>
  <c r="E30" i="10"/>
  <c r="D30" i="10"/>
  <c r="C30" i="10"/>
  <c r="A30" i="10"/>
  <c r="C34" i="10"/>
  <c r="B34" i="10"/>
  <c r="A34" i="10"/>
  <c r="E34" i="10"/>
  <c r="E38" i="10"/>
  <c r="D38" i="10"/>
  <c r="C38" i="10"/>
  <c r="A38" i="10"/>
  <c r="C42" i="10"/>
  <c r="B42" i="10"/>
  <c r="A42" i="10"/>
  <c r="E42" i="10"/>
  <c r="E46" i="10"/>
  <c r="D46" i="10"/>
  <c r="C46" i="10"/>
  <c r="A46" i="10"/>
  <c r="C50" i="10"/>
  <c r="B50" i="10"/>
  <c r="A50" i="10"/>
  <c r="E50" i="10"/>
  <c r="E54" i="10"/>
  <c r="D54" i="10"/>
  <c r="C54" i="10"/>
  <c r="A54" i="10"/>
  <c r="C58" i="10"/>
  <c r="B58" i="10"/>
  <c r="A58" i="10"/>
  <c r="E58" i="10"/>
  <c r="D124" i="6"/>
  <c r="G132" i="6"/>
  <c r="I46" i="7"/>
  <c r="Q46" i="7"/>
  <c r="E9" i="11"/>
  <c r="D9" i="11"/>
  <c r="C9" i="11"/>
  <c r="B9" i="11"/>
  <c r="A9" i="11"/>
  <c r="B38" i="10"/>
  <c r="D44" i="10"/>
  <c r="A83" i="10"/>
  <c r="C89" i="10"/>
  <c r="E95" i="10"/>
  <c r="A10" i="11"/>
  <c r="A100" i="11"/>
  <c r="C108" i="11"/>
  <c r="A117" i="11"/>
  <c r="A127" i="11"/>
  <c r="E79" i="11"/>
  <c r="C79" i="11"/>
  <c r="E87" i="11"/>
  <c r="C87" i="11"/>
  <c r="C16" i="10"/>
  <c r="E16" i="10" s="1"/>
  <c r="D8" i="11"/>
  <c r="E11" i="11"/>
  <c r="C13" i="11"/>
  <c r="A15" i="11"/>
  <c r="D16" i="11"/>
  <c r="B18" i="11"/>
  <c r="E19" i="11"/>
  <c r="C21" i="11"/>
  <c r="A23" i="11"/>
  <c r="D24" i="11"/>
  <c r="B26" i="11"/>
  <c r="E27" i="11"/>
  <c r="C29" i="11"/>
  <c r="A31" i="11"/>
  <c r="D32" i="11"/>
  <c r="B34" i="11"/>
  <c r="E35" i="11"/>
  <c r="C37" i="11"/>
  <c r="A39" i="11"/>
  <c r="D40" i="11"/>
  <c r="B42" i="11"/>
  <c r="E43" i="11"/>
  <c r="C45" i="11"/>
  <c r="E50" i="11"/>
  <c r="C52" i="11"/>
  <c r="A54" i="11"/>
  <c r="D55" i="11"/>
  <c r="B57" i="11"/>
  <c r="E58" i="11"/>
  <c r="C60" i="11"/>
  <c r="A62" i="11"/>
  <c r="D63" i="11"/>
  <c r="B65" i="11"/>
  <c r="E66" i="11"/>
  <c r="C68" i="11"/>
  <c r="A70" i="11"/>
  <c r="A72" i="11"/>
  <c r="E73" i="11"/>
  <c r="D75" i="11"/>
  <c r="C77" i="11"/>
  <c r="B79" i="11"/>
  <c r="D83" i="11"/>
  <c r="D85" i="11"/>
  <c r="A88" i="11"/>
  <c r="C90" i="11"/>
  <c r="L16" i="21"/>
  <c r="L16" i="19"/>
  <c r="L16" i="17"/>
  <c r="J19" i="21"/>
  <c r="J19" i="19"/>
  <c r="J19" i="17"/>
  <c r="BJ6" i="13"/>
  <c r="L28" i="21"/>
  <c r="L28" i="19"/>
  <c r="L28" i="17"/>
  <c r="L34" i="19"/>
  <c r="L34" i="17"/>
  <c r="L34" i="21"/>
  <c r="J27" i="27"/>
  <c r="J27" i="23"/>
  <c r="J27" i="25"/>
  <c r="BJ14" i="14"/>
  <c r="J33" i="27"/>
  <c r="J33" i="23"/>
  <c r="J33" i="25"/>
  <c r="BJ20" i="14"/>
  <c r="L48" i="27"/>
  <c r="L48" i="25"/>
  <c r="L48" i="23"/>
  <c r="L54" i="25"/>
  <c r="L54" i="27"/>
  <c r="L54" i="23"/>
  <c r="J28" i="35"/>
  <c r="J28" i="33"/>
  <c r="J28" i="31"/>
  <c r="J28" i="29"/>
  <c r="BJ15" i="15"/>
  <c r="M20" i="35"/>
  <c r="M20" i="33"/>
  <c r="M20" i="31"/>
  <c r="M20" i="29"/>
  <c r="M20" i="23"/>
  <c r="M20" i="27"/>
  <c r="M20" i="25"/>
  <c r="M20" i="21"/>
  <c r="M20" i="19"/>
  <c r="M20" i="17"/>
  <c r="M24" i="35"/>
  <c r="M24" i="31"/>
  <c r="M24" i="33"/>
  <c r="M24" i="29"/>
  <c r="M24" i="27"/>
  <c r="M24" i="25"/>
  <c r="M24" i="23"/>
  <c r="M24" i="21"/>
  <c r="M24" i="19"/>
  <c r="M24" i="17"/>
  <c r="M42" i="35"/>
  <c r="M42" i="33"/>
  <c r="M42" i="31"/>
  <c r="M42" i="27"/>
  <c r="M42" i="29"/>
  <c r="M42" i="23"/>
  <c r="M42" i="25"/>
  <c r="M42" i="21"/>
  <c r="M42" i="19"/>
  <c r="M42" i="17"/>
  <c r="N31" i="35"/>
  <c r="N31" i="33"/>
  <c r="N31" i="31"/>
  <c r="N31" i="27"/>
  <c r="N31" i="29"/>
  <c r="N31" i="23"/>
  <c r="N31" i="25"/>
  <c r="N31" i="21"/>
  <c r="N31" i="19"/>
  <c r="BJ106" i="15"/>
  <c r="N31" i="17"/>
  <c r="N40" i="35"/>
  <c r="N40" i="33"/>
  <c r="N40" i="31"/>
  <c r="N40" i="27"/>
  <c r="N40" i="29"/>
  <c r="N40" i="23"/>
  <c r="N40" i="25"/>
  <c r="N40" i="19"/>
  <c r="N40" i="21"/>
  <c r="N40" i="17"/>
  <c r="BJ115" i="15"/>
  <c r="D84" i="11"/>
  <c r="B84" i="11"/>
  <c r="B12" i="11"/>
  <c r="E13" i="11"/>
  <c r="C15" i="11"/>
  <c r="A17" i="11"/>
  <c r="D18" i="11"/>
  <c r="B20" i="11"/>
  <c r="E21" i="11"/>
  <c r="C23" i="11"/>
  <c r="A25" i="11"/>
  <c r="D26" i="11"/>
  <c r="B28" i="11"/>
  <c r="E29" i="11"/>
  <c r="C31" i="11"/>
  <c r="A33" i="11"/>
  <c r="D34" i="11"/>
  <c r="B36" i="11"/>
  <c r="E37" i="11"/>
  <c r="C39" i="11"/>
  <c r="A41" i="11"/>
  <c r="D42" i="11"/>
  <c r="B44" i="11"/>
  <c r="E45" i="11"/>
  <c r="B51" i="11"/>
  <c r="E52" i="11"/>
  <c r="C54" i="11"/>
  <c r="A56" i="11"/>
  <c r="D57" i="11"/>
  <c r="B59" i="11"/>
  <c r="E60" i="11"/>
  <c r="C62" i="11"/>
  <c r="A64" i="11"/>
  <c r="D65" i="11"/>
  <c r="B67" i="11"/>
  <c r="E68" i="11"/>
  <c r="D70" i="11"/>
  <c r="C72" i="11"/>
  <c r="B74" i="11"/>
  <c r="A76" i="11"/>
  <c r="E77" i="11"/>
  <c r="A80" i="11"/>
  <c r="A82" i="11"/>
  <c r="A84" i="11"/>
  <c r="C86" i="11"/>
  <c r="C88" i="11"/>
  <c r="C7" i="12"/>
  <c r="E7" i="12" s="1"/>
  <c r="J20" i="19"/>
  <c r="J20" i="17"/>
  <c r="J20" i="21"/>
  <c r="P20" i="21" s="1"/>
  <c r="J23" i="21"/>
  <c r="J23" i="19"/>
  <c r="J23" i="17"/>
  <c r="BJ10" i="13"/>
  <c r="J29" i="21"/>
  <c r="J29" i="19"/>
  <c r="J29" i="17"/>
  <c r="BJ16" i="13"/>
  <c r="L44" i="21"/>
  <c r="L44" i="19"/>
  <c r="L44" i="17"/>
  <c r="L50" i="19"/>
  <c r="L50" i="17"/>
  <c r="L50" i="21"/>
  <c r="J43" i="27"/>
  <c r="J43" i="23"/>
  <c r="J43" i="25"/>
  <c r="BJ30" i="14"/>
  <c r="J49" i="27"/>
  <c r="J49" i="25"/>
  <c r="J49" i="23"/>
  <c r="BJ36" i="14"/>
  <c r="J45" i="35"/>
  <c r="J45" i="33"/>
  <c r="J45" i="31"/>
  <c r="J45" i="29"/>
  <c r="BJ32" i="15"/>
  <c r="M25" i="35"/>
  <c r="M25" i="33"/>
  <c r="M25" i="31"/>
  <c r="M25" i="29"/>
  <c r="M25" i="27"/>
  <c r="M25" i="25"/>
  <c r="M25" i="21"/>
  <c r="M25" i="19"/>
  <c r="M25" i="23"/>
  <c r="M25" i="17"/>
  <c r="M29" i="35"/>
  <c r="M29" i="33"/>
  <c r="M29" i="31"/>
  <c r="M29" i="29"/>
  <c r="M29" i="27"/>
  <c r="M29" i="25"/>
  <c r="M29" i="23"/>
  <c r="M29" i="19"/>
  <c r="M29" i="17"/>
  <c r="M29" i="21"/>
  <c r="M38" i="35"/>
  <c r="M38" i="33"/>
  <c r="M38" i="31"/>
  <c r="M38" i="29"/>
  <c r="M38" i="27"/>
  <c r="M38" i="25"/>
  <c r="M38" i="23"/>
  <c r="M38" i="21"/>
  <c r="M38" i="19"/>
  <c r="M38" i="17"/>
  <c r="M52" i="35"/>
  <c r="M52" i="33"/>
  <c r="M52" i="29"/>
  <c r="M52" i="27"/>
  <c r="M52" i="23"/>
  <c r="M52" i="25"/>
  <c r="M52" i="21"/>
  <c r="M52" i="19"/>
  <c r="M52" i="17"/>
  <c r="M52" i="31"/>
  <c r="N27" i="35"/>
  <c r="N27" i="31"/>
  <c r="N27" i="33"/>
  <c r="N27" i="29"/>
  <c r="N27" i="25"/>
  <c r="N27" i="27"/>
  <c r="N27" i="23"/>
  <c r="N27" i="21"/>
  <c r="N27" i="19"/>
  <c r="N27" i="17"/>
  <c r="BJ102" i="15"/>
  <c r="N47" i="35"/>
  <c r="N47" i="33"/>
  <c r="N47" i="31"/>
  <c r="N47" i="27"/>
  <c r="N47" i="29"/>
  <c r="N47" i="23"/>
  <c r="N47" i="25"/>
  <c r="N47" i="21"/>
  <c r="N47" i="19"/>
  <c r="BJ122" i="15"/>
  <c r="N47" i="17"/>
  <c r="C12" i="11"/>
  <c r="A14" i="11"/>
  <c r="D15" i="11"/>
  <c r="B17" i="11"/>
  <c r="C20" i="11"/>
  <c r="A22" i="11"/>
  <c r="D23" i="11"/>
  <c r="B25" i="11"/>
  <c r="C28" i="11"/>
  <c r="A30" i="11"/>
  <c r="D31" i="11"/>
  <c r="B33" i="11"/>
  <c r="C36" i="11"/>
  <c r="A38" i="11"/>
  <c r="D39" i="11"/>
  <c r="B41" i="11"/>
  <c r="C44" i="11"/>
  <c r="C51" i="11"/>
  <c r="A53" i="11"/>
  <c r="D54" i="11"/>
  <c r="B56" i="11"/>
  <c r="C59" i="11"/>
  <c r="A61" i="11"/>
  <c r="D62" i="11"/>
  <c r="B64" i="11"/>
  <c r="C67" i="11"/>
  <c r="A69" i="11"/>
  <c r="E70" i="11"/>
  <c r="D72" i="11"/>
  <c r="C74" i="11"/>
  <c r="B76" i="11"/>
  <c r="A78" i="11"/>
  <c r="B80" i="11"/>
  <c r="B82" i="11"/>
  <c r="C84" i="11"/>
  <c r="D86" i="11"/>
  <c r="D88" i="11"/>
  <c r="B11" i="12"/>
  <c r="L17" i="21"/>
  <c r="L17" i="19"/>
  <c r="L17" i="17"/>
  <c r="P17" i="17" s="1"/>
  <c r="L20" i="21"/>
  <c r="L20" i="19"/>
  <c r="L20" i="17"/>
  <c r="L26" i="19"/>
  <c r="L26" i="17"/>
  <c r="L26" i="21"/>
  <c r="J19" i="27"/>
  <c r="J19" i="23"/>
  <c r="J19" i="25"/>
  <c r="BJ6" i="14"/>
  <c r="J25" i="23"/>
  <c r="J25" i="27"/>
  <c r="J25" i="25"/>
  <c r="BJ12" i="14"/>
  <c r="L40" i="27"/>
  <c r="L40" i="25"/>
  <c r="L40" i="23"/>
  <c r="L46" i="27"/>
  <c r="L46" i="25"/>
  <c r="L46" i="23"/>
  <c r="P39" i="33"/>
  <c r="J42" i="35"/>
  <c r="J42" i="33"/>
  <c r="J42" i="31"/>
  <c r="J42" i="29"/>
  <c r="BJ29" i="15"/>
  <c r="L51" i="35"/>
  <c r="K51" i="35"/>
  <c r="L51" i="33"/>
  <c r="K51" i="33"/>
  <c r="L51" i="31"/>
  <c r="K51" i="31"/>
  <c r="L51" i="29"/>
  <c r="K51" i="29"/>
  <c r="K51" i="27"/>
  <c r="K51" i="21"/>
  <c r="K51" i="25"/>
  <c r="K51" i="19"/>
  <c r="K51" i="23"/>
  <c r="K51" i="17"/>
  <c r="L54" i="35"/>
  <c r="L54" i="33"/>
  <c r="L54" i="31"/>
  <c r="L54" i="29"/>
  <c r="M39" i="33"/>
  <c r="M39" i="35"/>
  <c r="M39" i="31"/>
  <c r="M39" i="27"/>
  <c r="M39" i="25"/>
  <c r="M39" i="23"/>
  <c r="M39" i="29"/>
  <c r="M39" i="21"/>
  <c r="M39" i="19"/>
  <c r="M39" i="17"/>
  <c r="M48" i="35"/>
  <c r="M48" i="33"/>
  <c r="M48" i="31"/>
  <c r="M48" i="29"/>
  <c r="M48" i="27"/>
  <c r="M48" i="25"/>
  <c r="M48" i="23"/>
  <c r="M48" i="21"/>
  <c r="M48" i="19"/>
  <c r="M48" i="17"/>
  <c r="N28" i="35"/>
  <c r="N28" i="33"/>
  <c r="N28" i="31"/>
  <c r="N28" i="29"/>
  <c r="N28" i="25"/>
  <c r="N28" i="23"/>
  <c r="N28" i="21"/>
  <c r="N28" i="19"/>
  <c r="N28" i="27"/>
  <c r="N28" i="17"/>
  <c r="BJ103" i="15"/>
  <c r="N37" i="35"/>
  <c r="N37" i="33"/>
  <c r="N37" i="31"/>
  <c r="N37" i="29"/>
  <c r="N37" i="27"/>
  <c r="N37" i="23"/>
  <c r="N37" i="25"/>
  <c r="N37" i="19"/>
  <c r="N37" i="21"/>
  <c r="N37" i="17"/>
  <c r="BJ112" i="15"/>
  <c r="R46" i="7"/>
  <c r="C81" i="11"/>
  <c r="A81" i="11"/>
  <c r="C89" i="11"/>
  <c r="A89" i="11"/>
  <c r="R46" i="8"/>
  <c r="G16" i="10"/>
  <c r="A11" i="11"/>
  <c r="D12" i="11"/>
  <c r="B14" i="11"/>
  <c r="C17" i="11"/>
  <c r="A19" i="11"/>
  <c r="D20" i="11"/>
  <c r="B22" i="11"/>
  <c r="C25" i="11"/>
  <c r="A27" i="11"/>
  <c r="D28" i="11"/>
  <c r="B30" i="11"/>
  <c r="C33" i="11"/>
  <c r="A35" i="11"/>
  <c r="D36" i="11"/>
  <c r="B38" i="11"/>
  <c r="C41" i="11"/>
  <c r="A43" i="11"/>
  <c r="D44" i="11"/>
  <c r="A50" i="11"/>
  <c r="D51" i="11"/>
  <c r="B53" i="11"/>
  <c r="C56" i="11"/>
  <c r="A58" i="11"/>
  <c r="D59" i="11"/>
  <c r="B61" i="11"/>
  <c r="C64" i="11"/>
  <c r="A66" i="11"/>
  <c r="D67" i="11"/>
  <c r="B69" i="11"/>
  <c r="A71" i="11"/>
  <c r="D74" i="11"/>
  <c r="C76" i="11"/>
  <c r="C78" i="11"/>
  <c r="C80" i="11"/>
  <c r="C82" i="11"/>
  <c r="E84" i="11"/>
  <c r="E86" i="11"/>
  <c r="J39" i="21"/>
  <c r="J39" i="19"/>
  <c r="J39" i="17"/>
  <c r="BJ26" i="13"/>
  <c r="J45" i="21"/>
  <c r="J45" i="19"/>
  <c r="J45" i="17"/>
  <c r="BJ32" i="13"/>
  <c r="L16" i="27"/>
  <c r="L16" i="25"/>
  <c r="L16" i="23"/>
  <c r="L22" i="27"/>
  <c r="L22" i="25"/>
  <c r="L22" i="23"/>
  <c r="J36" i="35"/>
  <c r="J36" i="33"/>
  <c r="J36" i="31"/>
  <c r="J36" i="29"/>
  <c r="BJ23" i="15"/>
  <c r="M26" i="35"/>
  <c r="M26" i="33"/>
  <c r="M26" i="31"/>
  <c r="M26" i="27"/>
  <c r="M26" i="29"/>
  <c r="M26" i="23"/>
  <c r="M26" i="25"/>
  <c r="M26" i="21"/>
  <c r="M26" i="19"/>
  <c r="M26" i="17"/>
  <c r="M40" i="35"/>
  <c r="M40" i="31"/>
  <c r="M40" i="33"/>
  <c r="M40" i="29"/>
  <c r="M40" i="27"/>
  <c r="M40" i="23"/>
  <c r="M40" i="25"/>
  <c r="M40" i="21"/>
  <c r="M40" i="19"/>
  <c r="M40" i="17"/>
  <c r="N43" i="35"/>
  <c r="N43" i="31"/>
  <c r="N43" i="33"/>
  <c r="N43" i="29"/>
  <c r="N43" i="27"/>
  <c r="N43" i="25"/>
  <c r="N43" i="23"/>
  <c r="N43" i="21"/>
  <c r="N43" i="19"/>
  <c r="N43" i="17"/>
  <c r="BJ118" i="15"/>
  <c r="H19" i="19"/>
  <c r="H19" i="17"/>
  <c r="H37" i="19"/>
  <c r="H37" i="17"/>
  <c r="H40" i="17"/>
  <c r="H40" i="19"/>
  <c r="H51" i="19"/>
  <c r="H51" i="17"/>
  <c r="A8" i="11"/>
  <c r="B11" i="11"/>
  <c r="C14" i="11"/>
  <c r="A16" i="11"/>
  <c r="D17" i="11"/>
  <c r="B19" i="11"/>
  <c r="C22" i="11"/>
  <c r="A24" i="11"/>
  <c r="D25" i="11"/>
  <c r="B27" i="11"/>
  <c r="C30" i="11"/>
  <c r="A32" i="11"/>
  <c r="D33" i="11"/>
  <c r="B35" i="11"/>
  <c r="C38" i="11"/>
  <c r="A40" i="11"/>
  <c r="D41" i="11"/>
  <c r="B43" i="11"/>
  <c r="B50" i="11"/>
  <c r="C53" i="11"/>
  <c r="A55" i="11"/>
  <c r="D56" i="11"/>
  <c r="B58" i="11"/>
  <c r="C61" i="11"/>
  <c r="A63" i="11"/>
  <c r="D64" i="11"/>
  <c r="B66" i="11"/>
  <c r="C69" i="11"/>
  <c r="B71" i="11"/>
  <c r="A73" i="11"/>
  <c r="E76" i="11"/>
  <c r="D78" i="11"/>
  <c r="D80" i="11"/>
  <c r="E82" i="11"/>
  <c r="A85" i="11"/>
  <c r="A87" i="11"/>
  <c r="B89" i="11"/>
  <c r="J21" i="21"/>
  <c r="J21" i="19"/>
  <c r="J21" i="17"/>
  <c r="BJ8" i="13"/>
  <c r="L24" i="21"/>
  <c r="L24" i="19"/>
  <c r="L24" i="17"/>
  <c r="J27" i="21"/>
  <c r="J27" i="19"/>
  <c r="J27" i="17"/>
  <c r="BJ14" i="13"/>
  <c r="L36" i="21"/>
  <c r="L36" i="19"/>
  <c r="L36" i="17"/>
  <c r="L42" i="19"/>
  <c r="L42" i="17"/>
  <c r="L42" i="21"/>
  <c r="J35" i="27"/>
  <c r="J35" i="23"/>
  <c r="J35" i="25"/>
  <c r="BJ22" i="14"/>
  <c r="J41" i="27"/>
  <c r="J41" i="23"/>
  <c r="J41" i="25"/>
  <c r="BJ28" i="14"/>
  <c r="L30" i="35"/>
  <c r="K30" i="35"/>
  <c r="L30" i="33"/>
  <c r="K30" i="33"/>
  <c r="K30" i="27"/>
  <c r="L30" i="29"/>
  <c r="K30" i="29"/>
  <c r="L30" i="31"/>
  <c r="K30" i="23"/>
  <c r="K30" i="25"/>
  <c r="K30" i="21"/>
  <c r="Q30" i="21" s="1"/>
  <c r="K30" i="19"/>
  <c r="K30" i="17"/>
  <c r="K30" i="31"/>
  <c r="L33" i="35"/>
  <c r="L33" i="33"/>
  <c r="K33" i="33"/>
  <c r="K33" i="35"/>
  <c r="K33" i="31"/>
  <c r="Q33" i="31" s="1"/>
  <c r="L33" i="31"/>
  <c r="K33" i="27"/>
  <c r="L33" i="29"/>
  <c r="K33" i="29"/>
  <c r="K33" i="23"/>
  <c r="K33" i="21"/>
  <c r="K33" i="19"/>
  <c r="K33" i="25"/>
  <c r="Q33" i="25" s="1"/>
  <c r="K33" i="17"/>
  <c r="M22" i="35"/>
  <c r="M22" i="33"/>
  <c r="M22" i="31"/>
  <c r="M22" i="29"/>
  <c r="M22" i="27"/>
  <c r="M22" i="25"/>
  <c r="M22" i="23"/>
  <c r="M22" i="21"/>
  <c r="M22" i="19"/>
  <c r="M22" i="17"/>
  <c r="M27" i="35"/>
  <c r="M27" i="33"/>
  <c r="M27" i="31"/>
  <c r="M27" i="29"/>
  <c r="M27" i="25"/>
  <c r="M27" i="27"/>
  <c r="M27" i="23"/>
  <c r="M27" i="21"/>
  <c r="M27" i="19"/>
  <c r="M27" i="17"/>
  <c r="M35" i="35"/>
  <c r="M35" i="33"/>
  <c r="M35" i="31"/>
  <c r="M35" i="29"/>
  <c r="M35" i="27"/>
  <c r="M35" i="25"/>
  <c r="M35" i="23"/>
  <c r="M35" i="21"/>
  <c r="M35" i="19"/>
  <c r="M35" i="17"/>
  <c r="O18" i="35"/>
  <c r="O18" i="33"/>
  <c r="O18" i="29"/>
  <c r="O18" i="31"/>
  <c r="O18" i="23"/>
  <c r="O18" i="27"/>
  <c r="O18" i="25"/>
  <c r="O18" i="21"/>
  <c r="O18" i="19"/>
  <c r="O18" i="17"/>
  <c r="N44" i="35"/>
  <c r="N44" i="33"/>
  <c r="N44" i="31"/>
  <c r="N44" i="29"/>
  <c r="N44" i="27"/>
  <c r="N44" i="25"/>
  <c r="N44" i="23"/>
  <c r="N44" i="21"/>
  <c r="N44" i="19"/>
  <c r="N44" i="17"/>
  <c r="BJ119" i="15"/>
  <c r="C50" i="11"/>
  <c r="C71" i="11"/>
  <c r="B73" i="11"/>
  <c r="B75" i="11"/>
  <c r="E78" i="11"/>
  <c r="B83" i="11"/>
  <c r="B85" i="11"/>
  <c r="B87" i="11"/>
  <c r="D89" i="11"/>
  <c r="L18" i="19"/>
  <c r="L18" i="17"/>
  <c r="L18" i="21"/>
  <c r="J55" i="21"/>
  <c r="J55" i="19"/>
  <c r="J55" i="17"/>
  <c r="BJ42" i="13"/>
  <c r="J17" i="27"/>
  <c r="J17" i="23"/>
  <c r="J17" i="25"/>
  <c r="BJ4" i="14"/>
  <c r="L32" i="27"/>
  <c r="L32" i="25"/>
  <c r="L32" i="23"/>
  <c r="L38" i="27"/>
  <c r="L38" i="25"/>
  <c r="L38" i="23"/>
  <c r="L27" i="35"/>
  <c r="K27" i="35"/>
  <c r="L27" i="33"/>
  <c r="K27" i="33"/>
  <c r="L27" i="31"/>
  <c r="K27" i="31"/>
  <c r="L27" i="29"/>
  <c r="K27" i="29"/>
  <c r="K27" i="27"/>
  <c r="K27" i="25"/>
  <c r="K27" i="21"/>
  <c r="K27" i="19"/>
  <c r="K27" i="23"/>
  <c r="K27" i="17"/>
  <c r="J37" i="35"/>
  <c r="J37" i="33"/>
  <c r="J37" i="31"/>
  <c r="J37" i="29"/>
  <c r="BJ24" i="15"/>
  <c r="M36" i="35"/>
  <c r="M36" i="33"/>
  <c r="M36" i="29"/>
  <c r="M36" i="27"/>
  <c r="M36" i="31"/>
  <c r="M36" i="23"/>
  <c r="M36" i="25"/>
  <c r="M36" i="21"/>
  <c r="M36" i="19"/>
  <c r="M36" i="17"/>
  <c r="M41" i="35"/>
  <c r="M41" i="33"/>
  <c r="M41" i="31"/>
  <c r="M41" i="29"/>
  <c r="M41" i="27"/>
  <c r="M41" i="25"/>
  <c r="M41" i="21"/>
  <c r="M41" i="19"/>
  <c r="M41" i="23"/>
  <c r="M41" i="17"/>
  <c r="M45" i="35"/>
  <c r="M45" i="33"/>
  <c r="M45" i="31"/>
  <c r="M45" i="27"/>
  <c r="M45" i="29"/>
  <c r="M45" i="25"/>
  <c r="M45" i="23"/>
  <c r="M45" i="19"/>
  <c r="M45" i="17"/>
  <c r="M45" i="21"/>
  <c r="N24" i="35"/>
  <c r="N24" i="33"/>
  <c r="N24" i="31"/>
  <c r="N24" i="29"/>
  <c r="N24" i="27"/>
  <c r="N24" i="25"/>
  <c r="N24" i="23"/>
  <c r="N24" i="19"/>
  <c r="N24" i="21"/>
  <c r="N24" i="17"/>
  <c r="BJ99" i="15"/>
  <c r="H27" i="19"/>
  <c r="H27" i="17"/>
  <c r="H48" i="17"/>
  <c r="H48" i="19"/>
  <c r="J18" i="21"/>
  <c r="J18" i="19"/>
  <c r="P18" i="19" s="1"/>
  <c r="J18" i="17"/>
  <c r="P18" i="17" s="1"/>
  <c r="J26" i="21"/>
  <c r="J26" i="19"/>
  <c r="P26" i="19" s="1"/>
  <c r="J26" i="17"/>
  <c r="J34" i="21"/>
  <c r="J34" i="19"/>
  <c r="P34" i="19" s="1"/>
  <c r="J34" i="17"/>
  <c r="P34" i="17" s="1"/>
  <c r="J42" i="21"/>
  <c r="P42" i="21" s="1"/>
  <c r="J42" i="19"/>
  <c r="J42" i="17"/>
  <c r="P42" i="17" s="1"/>
  <c r="J50" i="21"/>
  <c r="J50" i="19"/>
  <c r="P50" i="19" s="1"/>
  <c r="J50" i="17"/>
  <c r="P50" i="17" s="1"/>
  <c r="J22" i="27"/>
  <c r="J22" i="23"/>
  <c r="J22" i="25"/>
  <c r="P22" i="25" s="1"/>
  <c r="J30" i="27"/>
  <c r="J30" i="23"/>
  <c r="J30" i="25"/>
  <c r="J38" i="27"/>
  <c r="J38" i="23"/>
  <c r="J38" i="25"/>
  <c r="J46" i="27"/>
  <c r="J46" i="25"/>
  <c r="P46" i="25" s="1"/>
  <c r="J46" i="23"/>
  <c r="J54" i="27"/>
  <c r="J54" i="25"/>
  <c r="J54" i="23"/>
  <c r="J16" i="35"/>
  <c r="J16" i="33"/>
  <c r="J16" i="31"/>
  <c r="J16" i="29"/>
  <c r="BJ3" i="15"/>
  <c r="J22" i="35"/>
  <c r="J22" i="33"/>
  <c r="J22" i="31"/>
  <c r="J22" i="29"/>
  <c r="J25" i="35"/>
  <c r="P25" i="35" s="1"/>
  <c r="J25" i="33"/>
  <c r="P25" i="33" s="1"/>
  <c r="J25" i="31"/>
  <c r="P25" i="31" s="1"/>
  <c r="J25" i="29"/>
  <c r="P25" i="29" s="1"/>
  <c r="K39" i="35"/>
  <c r="L39" i="35"/>
  <c r="L39" i="33"/>
  <c r="K39" i="33"/>
  <c r="L39" i="31"/>
  <c r="K39" i="31"/>
  <c r="L39" i="29"/>
  <c r="K39" i="29"/>
  <c r="K39" i="27"/>
  <c r="K39" i="25"/>
  <c r="K39" i="23"/>
  <c r="K39" i="19"/>
  <c r="K39" i="17"/>
  <c r="K39" i="21"/>
  <c r="J48" i="35"/>
  <c r="J48" i="33"/>
  <c r="J48" i="29"/>
  <c r="J48" i="31"/>
  <c r="BJ35" i="15"/>
  <c r="J54" i="35"/>
  <c r="J54" i="33"/>
  <c r="J54" i="31"/>
  <c r="J54" i="29"/>
  <c r="H16" i="17"/>
  <c r="H16" i="19"/>
  <c r="H23" i="19"/>
  <c r="H23" i="17"/>
  <c r="H30" i="19"/>
  <c r="H30" i="17"/>
  <c r="H34" i="19"/>
  <c r="H34" i="17"/>
  <c r="J16" i="21"/>
  <c r="J16" i="19"/>
  <c r="J16" i="17"/>
  <c r="J24" i="21"/>
  <c r="J24" i="19"/>
  <c r="P24" i="19" s="1"/>
  <c r="J24" i="17"/>
  <c r="P24" i="17" s="1"/>
  <c r="J32" i="21"/>
  <c r="J32" i="19"/>
  <c r="P32" i="19" s="1"/>
  <c r="J32" i="17"/>
  <c r="J40" i="21"/>
  <c r="J40" i="19"/>
  <c r="J40" i="17"/>
  <c r="J48" i="21"/>
  <c r="J48" i="19"/>
  <c r="J48" i="17"/>
  <c r="J20" i="25"/>
  <c r="J20" i="27"/>
  <c r="J20" i="23"/>
  <c r="J28" i="25"/>
  <c r="J28" i="23"/>
  <c r="J28" i="27"/>
  <c r="P28" i="27" s="1"/>
  <c r="J36" i="27"/>
  <c r="J36" i="25"/>
  <c r="J36" i="23"/>
  <c r="P36" i="23" s="1"/>
  <c r="J44" i="27"/>
  <c r="J44" i="23"/>
  <c r="J44" i="25"/>
  <c r="P44" i="25" s="1"/>
  <c r="J52" i="27"/>
  <c r="J52" i="25"/>
  <c r="J52" i="23"/>
  <c r="J17" i="35"/>
  <c r="J17" i="31"/>
  <c r="P17" i="31" s="1"/>
  <c r="J17" i="33"/>
  <c r="J17" i="29"/>
  <c r="K31" i="35"/>
  <c r="L31" i="35"/>
  <c r="L31" i="33"/>
  <c r="K31" i="33"/>
  <c r="L31" i="31"/>
  <c r="K31" i="31"/>
  <c r="L31" i="29"/>
  <c r="K31" i="29"/>
  <c r="K31" i="27"/>
  <c r="K31" i="25"/>
  <c r="K31" i="23"/>
  <c r="K31" i="19"/>
  <c r="K31" i="17"/>
  <c r="K31" i="21"/>
  <c r="J40" i="35"/>
  <c r="J40" i="33"/>
  <c r="J40" i="31"/>
  <c r="J40" i="29"/>
  <c r="BJ27" i="15"/>
  <c r="J46" i="35"/>
  <c r="J46" i="33"/>
  <c r="J46" i="31"/>
  <c r="P46" i="31" s="1"/>
  <c r="J46" i="29"/>
  <c r="J49" i="35"/>
  <c r="J49" i="33"/>
  <c r="J49" i="31"/>
  <c r="J49" i="29"/>
  <c r="H31" i="19"/>
  <c r="H31" i="17"/>
  <c r="H38" i="19"/>
  <c r="H38" i="17"/>
  <c r="H42" i="19"/>
  <c r="H42" i="17"/>
  <c r="L32" i="21"/>
  <c r="L32" i="19"/>
  <c r="L32" i="17"/>
  <c r="J35" i="21"/>
  <c r="J35" i="19"/>
  <c r="J35" i="17"/>
  <c r="L40" i="21"/>
  <c r="L40" i="19"/>
  <c r="L40" i="17"/>
  <c r="J43" i="21"/>
  <c r="J43" i="19"/>
  <c r="J43" i="17"/>
  <c r="L48" i="21"/>
  <c r="L48" i="19"/>
  <c r="L48" i="17"/>
  <c r="J51" i="21"/>
  <c r="J51" i="19"/>
  <c r="J51" i="17"/>
  <c r="L20" i="27"/>
  <c r="L20" i="23"/>
  <c r="L20" i="25"/>
  <c r="J23" i="27"/>
  <c r="J23" i="25"/>
  <c r="J23" i="23"/>
  <c r="L28" i="27"/>
  <c r="L28" i="23"/>
  <c r="L28" i="25"/>
  <c r="J31" i="25"/>
  <c r="J31" i="27"/>
  <c r="J31" i="23"/>
  <c r="L36" i="27"/>
  <c r="L36" i="23"/>
  <c r="L36" i="25"/>
  <c r="J39" i="27"/>
  <c r="J39" i="25"/>
  <c r="J39" i="23"/>
  <c r="L44" i="27"/>
  <c r="L44" i="25"/>
  <c r="L44" i="23"/>
  <c r="J47" i="27"/>
  <c r="J47" i="25"/>
  <c r="J47" i="23"/>
  <c r="L52" i="27"/>
  <c r="L52" i="25"/>
  <c r="L52" i="23"/>
  <c r="J55" i="27"/>
  <c r="J55" i="23"/>
  <c r="J55" i="25"/>
  <c r="L17" i="35"/>
  <c r="L17" i="33"/>
  <c r="K17" i="33"/>
  <c r="K17" i="35"/>
  <c r="K17" i="31"/>
  <c r="L17" i="31"/>
  <c r="K17" i="29"/>
  <c r="L17" i="29"/>
  <c r="K17" i="27"/>
  <c r="K17" i="23"/>
  <c r="K17" i="21"/>
  <c r="K17" i="19"/>
  <c r="K17" i="17"/>
  <c r="Q17" i="17" s="1"/>
  <c r="K17" i="25"/>
  <c r="J20" i="35"/>
  <c r="J20" i="33"/>
  <c r="J20" i="31"/>
  <c r="J20" i="29"/>
  <c r="BJ7" i="15"/>
  <c r="J26" i="35"/>
  <c r="J26" i="33"/>
  <c r="J26" i="31"/>
  <c r="J26" i="29"/>
  <c r="J29" i="35"/>
  <c r="J29" i="33"/>
  <c r="J29" i="31"/>
  <c r="J29" i="29"/>
  <c r="L43" i="35"/>
  <c r="K43" i="35"/>
  <c r="L43" i="33"/>
  <c r="K43" i="33"/>
  <c r="L43" i="31"/>
  <c r="K43" i="31"/>
  <c r="L43" i="29"/>
  <c r="K43" i="29"/>
  <c r="K43" i="25"/>
  <c r="K43" i="27"/>
  <c r="K43" i="21"/>
  <c r="K43" i="19"/>
  <c r="K43" i="23"/>
  <c r="K43" i="17"/>
  <c r="L46" i="35"/>
  <c r="K46" i="35"/>
  <c r="Q46" i="35" s="1"/>
  <c r="L46" i="33"/>
  <c r="K46" i="33"/>
  <c r="Q46" i="33" s="1"/>
  <c r="K46" i="27"/>
  <c r="L46" i="31"/>
  <c r="L46" i="29"/>
  <c r="K46" i="31"/>
  <c r="K46" i="29"/>
  <c r="Q46" i="29" s="1"/>
  <c r="K46" i="23"/>
  <c r="Q46" i="23" s="1"/>
  <c r="K46" i="25"/>
  <c r="K46" i="21"/>
  <c r="Q46" i="21" s="1"/>
  <c r="K46" i="19"/>
  <c r="Q46" i="19" s="1"/>
  <c r="K46" i="17"/>
  <c r="L49" i="35"/>
  <c r="L49" i="33"/>
  <c r="K49" i="33"/>
  <c r="K49" i="35"/>
  <c r="K49" i="31"/>
  <c r="L49" i="31"/>
  <c r="K49" i="27"/>
  <c r="L49" i="29"/>
  <c r="K49" i="29"/>
  <c r="K49" i="25"/>
  <c r="K49" i="23"/>
  <c r="K49" i="21"/>
  <c r="K49" i="19"/>
  <c r="K49" i="17"/>
  <c r="Q49" i="17" s="1"/>
  <c r="J52" i="35"/>
  <c r="J52" i="33"/>
  <c r="J52" i="31"/>
  <c r="J52" i="29"/>
  <c r="BJ39" i="15"/>
  <c r="M17" i="35"/>
  <c r="M17" i="33"/>
  <c r="M17" i="31"/>
  <c r="M17" i="29"/>
  <c r="M17" i="27"/>
  <c r="M17" i="25"/>
  <c r="M17" i="21"/>
  <c r="M17" i="19"/>
  <c r="M17" i="23"/>
  <c r="M17" i="17"/>
  <c r="M30" i="35"/>
  <c r="M30" i="33"/>
  <c r="M30" i="31"/>
  <c r="M30" i="29"/>
  <c r="M30" i="25"/>
  <c r="M30" i="23"/>
  <c r="M30" i="21"/>
  <c r="M30" i="27"/>
  <c r="M30" i="19"/>
  <c r="M30" i="17"/>
  <c r="M33" i="35"/>
  <c r="M33" i="33"/>
  <c r="M33" i="31"/>
  <c r="M33" i="29"/>
  <c r="M33" i="27"/>
  <c r="M33" i="25"/>
  <c r="M33" i="21"/>
  <c r="M33" i="19"/>
  <c r="M33" i="23"/>
  <c r="M33" i="17"/>
  <c r="M46" i="35"/>
  <c r="M46" i="33"/>
  <c r="M46" i="31"/>
  <c r="M46" i="29"/>
  <c r="M46" i="27"/>
  <c r="M46" i="25"/>
  <c r="M46" i="23"/>
  <c r="M46" i="21"/>
  <c r="M46" i="19"/>
  <c r="M46" i="17"/>
  <c r="M49" i="35"/>
  <c r="M49" i="33"/>
  <c r="M49" i="31"/>
  <c r="M49" i="29"/>
  <c r="M49" i="27"/>
  <c r="M49" i="25"/>
  <c r="M49" i="21"/>
  <c r="M49" i="19"/>
  <c r="M49" i="23"/>
  <c r="M49" i="17"/>
  <c r="N16" i="35"/>
  <c r="N16" i="33"/>
  <c r="N16" i="31"/>
  <c r="N16" i="29"/>
  <c r="N16" i="27"/>
  <c r="N16" i="25"/>
  <c r="N16" i="23"/>
  <c r="N16" i="19"/>
  <c r="N16" i="21"/>
  <c r="N16" i="17"/>
  <c r="N19" i="35"/>
  <c r="N19" i="33"/>
  <c r="N19" i="31"/>
  <c r="N19" i="29"/>
  <c r="N19" i="25"/>
  <c r="N19" i="23"/>
  <c r="N19" i="21"/>
  <c r="N19" i="19"/>
  <c r="N19" i="27"/>
  <c r="N19" i="17"/>
  <c r="BJ94" i="15"/>
  <c r="O22" i="35"/>
  <c r="O22" i="33"/>
  <c r="O22" i="31"/>
  <c r="O22" i="29"/>
  <c r="O22" i="27"/>
  <c r="O22" i="25"/>
  <c r="O22" i="23"/>
  <c r="O22" i="21"/>
  <c r="O22" i="19"/>
  <c r="O22" i="17"/>
  <c r="N29" i="35"/>
  <c r="N29" i="33"/>
  <c r="N29" i="31"/>
  <c r="N29" i="27"/>
  <c r="N29" i="29"/>
  <c r="N29" i="23"/>
  <c r="N29" i="19"/>
  <c r="N29" i="25"/>
  <c r="N29" i="21"/>
  <c r="N29" i="17"/>
  <c r="N32" i="35"/>
  <c r="N32" i="33"/>
  <c r="N32" i="31"/>
  <c r="N32" i="29"/>
  <c r="N32" i="25"/>
  <c r="N32" i="23"/>
  <c r="N32" i="19"/>
  <c r="N32" i="21"/>
  <c r="N32" i="17"/>
  <c r="N32" i="27"/>
  <c r="N35" i="35"/>
  <c r="N35" i="33"/>
  <c r="N35" i="31"/>
  <c r="N35" i="29"/>
  <c r="N35" i="27"/>
  <c r="N35" i="25"/>
  <c r="N35" i="23"/>
  <c r="N35" i="21"/>
  <c r="N35" i="19"/>
  <c r="N35" i="17"/>
  <c r="BJ110" i="15"/>
  <c r="O38" i="35"/>
  <c r="O38" i="33"/>
  <c r="O38" i="31"/>
  <c r="O38" i="29"/>
  <c r="O38" i="27"/>
  <c r="O38" i="25"/>
  <c r="O38" i="23"/>
  <c r="O38" i="21"/>
  <c r="O38" i="19"/>
  <c r="O38" i="17"/>
  <c r="N45" i="35"/>
  <c r="N45" i="33"/>
  <c r="N45" i="31"/>
  <c r="N45" i="27"/>
  <c r="N45" i="29"/>
  <c r="N45" i="25"/>
  <c r="N45" i="23"/>
  <c r="N45" i="19"/>
  <c r="N45" i="21"/>
  <c r="N45" i="17"/>
  <c r="N48" i="35"/>
  <c r="N48" i="33"/>
  <c r="N48" i="31"/>
  <c r="N48" i="29"/>
  <c r="N48" i="27"/>
  <c r="N48" i="23"/>
  <c r="N48" i="19"/>
  <c r="N48" i="25"/>
  <c r="N48" i="21"/>
  <c r="N48" i="17"/>
  <c r="N51" i="33"/>
  <c r="N51" i="35"/>
  <c r="N51" i="31"/>
  <c r="N51" i="29"/>
  <c r="N51" i="27"/>
  <c r="N51" i="23"/>
  <c r="N51" i="21"/>
  <c r="N51" i="19"/>
  <c r="N51" i="25"/>
  <c r="N51" i="17"/>
  <c r="BJ126" i="15"/>
  <c r="H21" i="19"/>
  <c r="H21" i="17"/>
  <c r="H24" i="17"/>
  <c r="H24" i="19"/>
  <c r="H35" i="19"/>
  <c r="H35" i="17"/>
  <c r="J22" i="21"/>
  <c r="J22" i="19"/>
  <c r="P22" i="19" s="1"/>
  <c r="J22" i="17"/>
  <c r="J30" i="21"/>
  <c r="P30" i="21" s="1"/>
  <c r="J30" i="19"/>
  <c r="J30" i="17"/>
  <c r="BJ22" i="13"/>
  <c r="J38" i="21"/>
  <c r="J38" i="19"/>
  <c r="J38" i="17"/>
  <c r="BJ30" i="13"/>
  <c r="J46" i="21"/>
  <c r="P46" i="21" s="1"/>
  <c r="J46" i="19"/>
  <c r="J46" i="17"/>
  <c r="BJ38" i="13"/>
  <c r="J54" i="21"/>
  <c r="J54" i="19"/>
  <c r="J54" i="17"/>
  <c r="J18" i="27"/>
  <c r="J18" i="25"/>
  <c r="P18" i="25" s="1"/>
  <c r="J18" i="23"/>
  <c r="BJ10" i="14"/>
  <c r="J26" i="27"/>
  <c r="J26" i="25"/>
  <c r="J26" i="23"/>
  <c r="BJ18" i="14"/>
  <c r="J34" i="27"/>
  <c r="J34" i="25"/>
  <c r="P34" i="25" s="1"/>
  <c r="J34" i="23"/>
  <c r="BJ26" i="14"/>
  <c r="J42" i="27"/>
  <c r="J42" i="25"/>
  <c r="J42" i="23"/>
  <c r="BJ34" i="14"/>
  <c r="J50" i="27"/>
  <c r="J50" i="25"/>
  <c r="J50" i="23"/>
  <c r="BJ42" i="14"/>
  <c r="K23" i="35"/>
  <c r="L23" i="35"/>
  <c r="L23" i="33"/>
  <c r="K23" i="33"/>
  <c r="L23" i="31"/>
  <c r="K23" i="31"/>
  <c r="L23" i="29"/>
  <c r="K23" i="29"/>
  <c r="K23" i="27"/>
  <c r="K23" i="25"/>
  <c r="K23" i="23"/>
  <c r="K23" i="19"/>
  <c r="K23" i="17"/>
  <c r="K23" i="21"/>
  <c r="BJ13" i="15"/>
  <c r="BJ16" i="15"/>
  <c r="J32" i="35"/>
  <c r="J32" i="33"/>
  <c r="J32" i="31"/>
  <c r="J32" i="29"/>
  <c r="BJ19" i="15"/>
  <c r="J38" i="35"/>
  <c r="P38" i="35" s="1"/>
  <c r="J38" i="33"/>
  <c r="J38" i="31"/>
  <c r="J38" i="29"/>
  <c r="J41" i="35"/>
  <c r="J41" i="33"/>
  <c r="J41" i="31"/>
  <c r="P41" i="31" s="1"/>
  <c r="J41" i="29"/>
  <c r="L55" i="35"/>
  <c r="L55" i="33"/>
  <c r="L55" i="31"/>
  <c r="L55" i="29"/>
  <c r="BJ91" i="15"/>
  <c r="O29" i="35"/>
  <c r="O29" i="33"/>
  <c r="O29" i="31"/>
  <c r="O29" i="27"/>
  <c r="O29" i="29"/>
  <c r="O29" i="23"/>
  <c r="O29" i="25"/>
  <c r="O29" i="21"/>
  <c r="O29" i="19"/>
  <c r="O29" i="17"/>
  <c r="O32" i="35"/>
  <c r="O32" i="33"/>
  <c r="O32" i="31"/>
  <c r="O32" i="29"/>
  <c r="O32" i="27"/>
  <c r="O32" i="23"/>
  <c r="O32" i="25"/>
  <c r="O32" i="19"/>
  <c r="O32" i="21"/>
  <c r="O32" i="17"/>
  <c r="O45" i="35"/>
  <c r="O45" i="33"/>
  <c r="O45" i="31"/>
  <c r="O45" i="27"/>
  <c r="O45" i="29"/>
  <c r="O45" i="25"/>
  <c r="O45" i="23"/>
  <c r="O45" i="21"/>
  <c r="O45" i="19"/>
  <c r="O45" i="17"/>
  <c r="O48" i="35"/>
  <c r="O48" i="33"/>
  <c r="O48" i="31"/>
  <c r="O48" i="29"/>
  <c r="O48" i="27"/>
  <c r="O48" i="23"/>
  <c r="O48" i="25"/>
  <c r="O48" i="19"/>
  <c r="O48" i="21"/>
  <c r="O48" i="17"/>
  <c r="N52" i="35"/>
  <c r="N52" i="33"/>
  <c r="N52" i="29"/>
  <c r="N52" i="27"/>
  <c r="N52" i="25"/>
  <c r="N52" i="23"/>
  <c r="N52" i="21"/>
  <c r="N52" i="19"/>
  <c r="BJ127" i="15"/>
  <c r="N52" i="17"/>
  <c r="N52" i="31"/>
  <c r="H39" i="19"/>
  <c r="H39" i="17"/>
  <c r="H46" i="19"/>
  <c r="H46" i="17"/>
  <c r="H50" i="19"/>
  <c r="H50" i="17"/>
  <c r="J17" i="19"/>
  <c r="J17" i="21"/>
  <c r="L22" i="21"/>
  <c r="L22" i="19"/>
  <c r="L22" i="17"/>
  <c r="J25" i="19"/>
  <c r="J25" i="21"/>
  <c r="J25" i="17"/>
  <c r="L30" i="21"/>
  <c r="L30" i="19"/>
  <c r="L30" i="17"/>
  <c r="J33" i="19"/>
  <c r="J33" i="21"/>
  <c r="J33" i="17"/>
  <c r="L38" i="21"/>
  <c r="L38" i="19"/>
  <c r="L38" i="17"/>
  <c r="J41" i="19"/>
  <c r="J41" i="21"/>
  <c r="P41" i="21" s="1"/>
  <c r="J41" i="17"/>
  <c r="L46" i="21"/>
  <c r="L46" i="19"/>
  <c r="L46" i="17"/>
  <c r="J49" i="19"/>
  <c r="J49" i="21"/>
  <c r="J49" i="17"/>
  <c r="L54" i="21"/>
  <c r="L54" i="19"/>
  <c r="L54" i="17"/>
  <c r="L18" i="25"/>
  <c r="L18" i="23"/>
  <c r="L18" i="27"/>
  <c r="J21" i="27"/>
  <c r="P21" i="27" s="1"/>
  <c r="J21" i="25"/>
  <c r="J21" i="23"/>
  <c r="P21" i="23" s="1"/>
  <c r="L26" i="25"/>
  <c r="L26" i="23"/>
  <c r="L26" i="27"/>
  <c r="J29" i="27"/>
  <c r="J29" i="25"/>
  <c r="J29" i="23"/>
  <c r="P29" i="23" s="1"/>
  <c r="L34" i="25"/>
  <c r="L34" i="23"/>
  <c r="L34" i="27"/>
  <c r="J37" i="27"/>
  <c r="J37" i="25"/>
  <c r="P37" i="25" s="1"/>
  <c r="J37" i="23"/>
  <c r="L42" i="27"/>
  <c r="L42" i="23"/>
  <c r="L42" i="25"/>
  <c r="J45" i="27"/>
  <c r="P45" i="27" s="1"/>
  <c r="J45" i="25"/>
  <c r="J45" i="23"/>
  <c r="L50" i="27"/>
  <c r="L50" i="25"/>
  <c r="L50" i="23"/>
  <c r="J53" i="27"/>
  <c r="J53" i="25"/>
  <c r="J53" i="23"/>
  <c r="J18" i="35"/>
  <c r="J18" i="33"/>
  <c r="J18" i="31"/>
  <c r="J18" i="29"/>
  <c r="J21" i="35"/>
  <c r="J21" i="33"/>
  <c r="J21" i="31"/>
  <c r="J21" i="29"/>
  <c r="P21" i="29" s="1"/>
  <c r="L35" i="35"/>
  <c r="K35" i="35"/>
  <c r="L35" i="33"/>
  <c r="K35" i="33"/>
  <c r="L35" i="31"/>
  <c r="K35" i="31"/>
  <c r="L35" i="29"/>
  <c r="K35" i="29"/>
  <c r="K35" i="27"/>
  <c r="K35" i="25"/>
  <c r="K35" i="21"/>
  <c r="K35" i="19"/>
  <c r="K35" i="23"/>
  <c r="K35" i="17"/>
  <c r="L38" i="35"/>
  <c r="K38" i="35"/>
  <c r="Q38" i="35" s="1"/>
  <c r="L38" i="33"/>
  <c r="K38" i="33"/>
  <c r="Q38" i="33" s="1"/>
  <c r="K38" i="29"/>
  <c r="Q38" i="29" s="1"/>
  <c r="K38" i="27"/>
  <c r="Q38" i="27" s="1"/>
  <c r="L38" i="31"/>
  <c r="K38" i="31"/>
  <c r="L38" i="29"/>
  <c r="K38" i="23"/>
  <c r="Q38" i="23" s="1"/>
  <c r="K38" i="25"/>
  <c r="K38" i="21"/>
  <c r="Q38" i="21" s="1"/>
  <c r="K38" i="19"/>
  <c r="K38" i="17"/>
  <c r="Q38" i="17" s="1"/>
  <c r="L41" i="35"/>
  <c r="L41" i="33"/>
  <c r="K41" i="33"/>
  <c r="K41" i="35"/>
  <c r="K41" i="31"/>
  <c r="L41" i="31"/>
  <c r="K41" i="27"/>
  <c r="K41" i="29"/>
  <c r="K41" i="25"/>
  <c r="K41" i="23"/>
  <c r="L41" i="29"/>
  <c r="K41" i="21"/>
  <c r="K41" i="19"/>
  <c r="K41" i="17"/>
  <c r="J44" i="35"/>
  <c r="J44" i="33"/>
  <c r="J44" i="31"/>
  <c r="J44" i="29"/>
  <c r="BJ31" i="15"/>
  <c r="J50" i="35"/>
  <c r="P50" i="35" s="1"/>
  <c r="J50" i="33"/>
  <c r="J50" i="31"/>
  <c r="J50" i="29"/>
  <c r="J53" i="35"/>
  <c r="J53" i="33"/>
  <c r="J53" i="31"/>
  <c r="J53" i="29"/>
  <c r="M18" i="35"/>
  <c r="M18" i="31"/>
  <c r="M18" i="33"/>
  <c r="M18" i="29"/>
  <c r="M18" i="27"/>
  <c r="M18" i="23"/>
  <c r="M18" i="25"/>
  <c r="M18" i="21"/>
  <c r="M18" i="19"/>
  <c r="M21" i="35"/>
  <c r="M21" i="33"/>
  <c r="M21" i="31"/>
  <c r="M21" i="29"/>
  <c r="M21" i="25"/>
  <c r="M21" i="23"/>
  <c r="M21" i="19"/>
  <c r="M21" i="27"/>
  <c r="M21" i="17"/>
  <c r="M21" i="21"/>
  <c r="M34" i="35"/>
  <c r="M34" i="33"/>
  <c r="M34" i="31"/>
  <c r="M34" i="29"/>
  <c r="M34" i="27"/>
  <c r="M34" i="23"/>
  <c r="M34" i="25"/>
  <c r="M34" i="21"/>
  <c r="M34" i="19"/>
  <c r="M34" i="17"/>
  <c r="M37" i="35"/>
  <c r="M37" i="33"/>
  <c r="M37" i="31"/>
  <c r="M37" i="29"/>
  <c r="M37" i="27"/>
  <c r="M37" i="25"/>
  <c r="M37" i="23"/>
  <c r="M37" i="19"/>
  <c r="M37" i="17"/>
  <c r="M37" i="21"/>
  <c r="M50" i="35"/>
  <c r="M50" i="33"/>
  <c r="M50" i="31"/>
  <c r="M50" i="29"/>
  <c r="M50" i="27"/>
  <c r="M50" i="23"/>
  <c r="M50" i="21"/>
  <c r="M50" i="25"/>
  <c r="M50" i="19"/>
  <c r="M50" i="17"/>
  <c r="N17" i="35"/>
  <c r="N17" i="33"/>
  <c r="N17" i="31"/>
  <c r="N17" i="29"/>
  <c r="N17" i="27"/>
  <c r="N17" i="25"/>
  <c r="N17" i="21"/>
  <c r="N17" i="19"/>
  <c r="N17" i="23"/>
  <c r="N17" i="17"/>
  <c r="N20" i="35"/>
  <c r="N20" i="33"/>
  <c r="N20" i="31"/>
  <c r="N20" i="29"/>
  <c r="N20" i="27"/>
  <c r="N20" i="25"/>
  <c r="N20" i="23"/>
  <c r="N20" i="21"/>
  <c r="N20" i="19"/>
  <c r="N20" i="17"/>
  <c r="N23" i="35"/>
  <c r="N23" i="33"/>
  <c r="N23" i="31"/>
  <c r="N23" i="23"/>
  <c r="N23" i="27"/>
  <c r="N23" i="25"/>
  <c r="N23" i="29"/>
  <c r="N23" i="21"/>
  <c r="N23" i="19"/>
  <c r="BJ98" i="15"/>
  <c r="N23" i="17"/>
  <c r="O26" i="35"/>
  <c r="O26" i="33"/>
  <c r="O26" i="27"/>
  <c r="O26" i="29"/>
  <c r="O26" i="31"/>
  <c r="O26" i="23"/>
  <c r="O26" i="25"/>
  <c r="O26" i="21"/>
  <c r="O26" i="19"/>
  <c r="O26" i="17"/>
  <c r="N33" i="35"/>
  <c r="N33" i="33"/>
  <c r="N33" i="31"/>
  <c r="N33" i="29"/>
  <c r="N33" i="27"/>
  <c r="N33" i="25"/>
  <c r="N33" i="21"/>
  <c r="N33" i="19"/>
  <c r="N33" i="23"/>
  <c r="N33" i="17"/>
  <c r="N36" i="35"/>
  <c r="N36" i="33"/>
  <c r="N36" i="31"/>
  <c r="N36" i="29"/>
  <c r="N36" i="25"/>
  <c r="N36" i="23"/>
  <c r="N36" i="21"/>
  <c r="N36" i="19"/>
  <c r="N36" i="27"/>
  <c r="N36" i="17"/>
  <c r="N39" i="35"/>
  <c r="N39" i="33"/>
  <c r="N39" i="31"/>
  <c r="N39" i="27"/>
  <c r="N39" i="29"/>
  <c r="N39" i="23"/>
  <c r="N39" i="21"/>
  <c r="N39" i="19"/>
  <c r="BJ114" i="15"/>
  <c r="N39" i="17"/>
  <c r="N39" i="25"/>
  <c r="O42" i="35"/>
  <c r="O42" i="33"/>
  <c r="O42" i="27"/>
  <c r="O42" i="31"/>
  <c r="O42" i="29"/>
  <c r="O42" i="23"/>
  <c r="O42" i="25"/>
  <c r="O42" i="21"/>
  <c r="O42" i="19"/>
  <c r="O42" i="17"/>
  <c r="H29" i="19"/>
  <c r="H29" i="17"/>
  <c r="H32" i="17"/>
  <c r="H32" i="19"/>
  <c r="H43" i="19"/>
  <c r="H43" i="17"/>
  <c r="L25" i="21"/>
  <c r="L25" i="19"/>
  <c r="L25" i="17"/>
  <c r="J28" i="19"/>
  <c r="P28" i="19" s="1"/>
  <c r="J28" i="17"/>
  <c r="P28" i="17" s="1"/>
  <c r="J28" i="21"/>
  <c r="P28" i="21" s="1"/>
  <c r="L33" i="21"/>
  <c r="L33" i="19"/>
  <c r="L33" i="17"/>
  <c r="J36" i="19"/>
  <c r="J36" i="17"/>
  <c r="P36" i="17" s="1"/>
  <c r="J36" i="21"/>
  <c r="L41" i="21"/>
  <c r="L41" i="19"/>
  <c r="L41" i="17"/>
  <c r="J44" i="19"/>
  <c r="P44" i="19" s="1"/>
  <c r="J44" i="17"/>
  <c r="P44" i="17" s="1"/>
  <c r="J44" i="21"/>
  <c r="P44" i="21" s="1"/>
  <c r="L49" i="21"/>
  <c r="L49" i="19"/>
  <c r="L49" i="17"/>
  <c r="J52" i="19"/>
  <c r="P52" i="19" s="1"/>
  <c r="J52" i="17"/>
  <c r="J52" i="21"/>
  <c r="P52" i="21" s="1"/>
  <c r="J16" i="27"/>
  <c r="P16" i="27" s="1"/>
  <c r="J16" i="25"/>
  <c r="P16" i="25" s="1"/>
  <c r="J16" i="23"/>
  <c r="L21" i="27"/>
  <c r="L21" i="25"/>
  <c r="L21" i="23"/>
  <c r="J24" i="27"/>
  <c r="P24" i="27" s="1"/>
  <c r="J24" i="25"/>
  <c r="P24" i="25" s="1"/>
  <c r="J24" i="23"/>
  <c r="L29" i="25"/>
  <c r="L29" i="27"/>
  <c r="L29" i="23"/>
  <c r="J32" i="27"/>
  <c r="P32" i="27" s="1"/>
  <c r="J32" i="25"/>
  <c r="P32" i="25" s="1"/>
  <c r="J32" i="23"/>
  <c r="L37" i="27"/>
  <c r="L37" i="25"/>
  <c r="L37" i="23"/>
  <c r="J40" i="27"/>
  <c r="P40" i="27" s="1"/>
  <c r="J40" i="23"/>
  <c r="P40" i="23" s="1"/>
  <c r="J40" i="25"/>
  <c r="P40" i="25" s="1"/>
  <c r="L45" i="27"/>
  <c r="L45" i="25"/>
  <c r="L45" i="23"/>
  <c r="J48" i="27"/>
  <c r="J48" i="25"/>
  <c r="P48" i="25" s="1"/>
  <c r="J48" i="23"/>
  <c r="P48" i="23" s="1"/>
  <c r="L53" i="27"/>
  <c r="L53" i="25"/>
  <c r="L53" i="23"/>
  <c r="L18" i="35"/>
  <c r="K18" i="35"/>
  <c r="L18" i="33"/>
  <c r="L18" i="31"/>
  <c r="K18" i="31"/>
  <c r="Q18" i="31" s="1"/>
  <c r="K18" i="33"/>
  <c r="K18" i="29"/>
  <c r="L18" i="29"/>
  <c r="K18" i="25"/>
  <c r="K18" i="23"/>
  <c r="Q18" i="23" s="1"/>
  <c r="K18" i="21"/>
  <c r="Q18" i="21" s="1"/>
  <c r="K18" i="19"/>
  <c r="K18" i="27"/>
  <c r="Q18" i="27" s="1"/>
  <c r="K18" i="17"/>
  <c r="Q18" i="17" s="1"/>
  <c r="K21" i="35"/>
  <c r="K21" i="33"/>
  <c r="L21" i="35"/>
  <c r="L21" i="33"/>
  <c r="L21" i="31"/>
  <c r="K21" i="31"/>
  <c r="L21" i="29"/>
  <c r="K21" i="29"/>
  <c r="K21" i="27"/>
  <c r="K21" i="25"/>
  <c r="K21" i="23"/>
  <c r="K21" i="21"/>
  <c r="K21" i="19"/>
  <c r="K21" i="17"/>
  <c r="J24" i="35"/>
  <c r="J24" i="33"/>
  <c r="J24" i="31"/>
  <c r="J24" i="29"/>
  <c r="BJ11" i="15"/>
  <c r="J30" i="35"/>
  <c r="P30" i="35" s="1"/>
  <c r="J30" i="33"/>
  <c r="J30" i="31"/>
  <c r="J30" i="29"/>
  <c r="P30" i="29" s="1"/>
  <c r="J33" i="35"/>
  <c r="J33" i="33"/>
  <c r="J33" i="31"/>
  <c r="P33" i="31" s="1"/>
  <c r="J33" i="29"/>
  <c r="K47" i="35"/>
  <c r="L47" i="35"/>
  <c r="L47" i="33"/>
  <c r="K47" i="33"/>
  <c r="L47" i="31"/>
  <c r="K47" i="31"/>
  <c r="K47" i="27"/>
  <c r="L47" i="29"/>
  <c r="K47" i="29"/>
  <c r="K47" i="25"/>
  <c r="K47" i="23"/>
  <c r="K47" i="19"/>
  <c r="K47" i="17"/>
  <c r="K47" i="21"/>
  <c r="L50" i="35"/>
  <c r="K50" i="35"/>
  <c r="Q50" i="35" s="1"/>
  <c r="L50" i="33"/>
  <c r="L50" i="31"/>
  <c r="K50" i="33"/>
  <c r="K50" i="31"/>
  <c r="Q50" i="31" s="1"/>
  <c r="K50" i="29"/>
  <c r="L50" i="29"/>
  <c r="K50" i="27"/>
  <c r="Q50" i="27" s="1"/>
  <c r="K50" i="25"/>
  <c r="K50" i="23"/>
  <c r="Q50" i="23" s="1"/>
  <c r="K50" i="21"/>
  <c r="Q50" i="21" s="1"/>
  <c r="K50" i="19"/>
  <c r="Q50" i="19" s="1"/>
  <c r="K50" i="17"/>
  <c r="L53" i="33"/>
  <c r="L53" i="35"/>
  <c r="L53" i="31"/>
  <c r="L53" i="29"/>
  <c r="M28" i="35"/>
  <c r="M28" i="33"/>
  <c r="M28" i="27"/>
  <c r="M28" i="31"/>
  <c r="M28" i="29"/>
  <c r="M28" i="23"/>
  <c r="M28" i="25"/>
  <c r="M28" i="21"/>
  <c r="M28" i="19"/>
  <c r="M28" i="17"/>
  <c r="M31" i="33"/>
  <c r="M31" i="35"/>
  <c r="M31" i="31"/>
  <c r="M31" i="27"/>
  <c r="M31" i="29"/>
  <c r="M31" i="23"/>
  <c r="M31" i="21"/>
  <c r="M31" i="25"/>
  <c r="M31" i="19"/>
  <c r="M31" i="17"/>
  <c r="M44" i="35"/>
  <c r="M44" i="33"/>
  <c r="M44" i="27"/>
  <c r="M44" i="31"/>
  <c r="M44" i="29"/>
  <c r="M44" i="23"/>
  <c r="M44" i="25"/>
  <c r="M44" i="21"/>
  <c r="M44" i="19"/>
  <c r="M44" i="17"/>
  <c r="M47" i="33"/>
  <c r="M47" i="35"/>
  <c r="M47" i="31"/>
  <c r="M47" i="27"/>
  <c r="M47" i="29"/>
  <c r="M47" i="25"/>
  <c r="M47" i="23"/>
  <c r="M47" i="21"/>
  <c r="M47" i="19"/>
  <c r="M47" i="17"/>
  <c r="O17" i="35"/>
  <c r="O17" i="33"/>
  <c r="O17" i="31"/>
  <c r="O17" i="29"/>
  <c r="O17" i="27"/>
  <c r="O17" i="25"/>
  <c r="O17" i="23"/>
  <c r="O17" i="21"/>
  <c r="O17" i="19"/>
  <c r="O17" i="17"/>
  <c r="O20" i="35"/>
  <c r="O20" i="33"/>
  <c r="O20" i="31"/>
  <c r="O20" i="29"/>
  <c r="O20" i="27"/>
  <c r="O20" i="25"/>
  <c r="O20" i="21"/>
  <c r="O20" i="19"/>
  <c r="O20" i="23"/>
  <c r="O20" i="17"/>
  <c r="O33" i="35"/>
  <c r="O33" i="33"/>
  <c r="O33" i="31"/>
  <c r="O33" i="29"/>
  <c r="O33" i="27"/>
  <c r="O33" i="25"/>
  <c r="O33" i="23"/>
  <c r="O33" i="21"/>
  <c r="O33" i="19"/>
  <c r="O33" i="17"/>
  <c r="O36" i="35"/>
  <c r="O36" i="33"/>
  <c r="O36" i="31"/>
  <c r="O36" i="29"/>
  <c r="O36" i="27"/>
  <c r="O36" i="25"/>
  <c r="O36" i="21"/>
  <c r="O36" i="19"/>
  <c r="O36" i="23"/>
  <c r="O36" i="17"/>
  <c r="O49" i="35"/>
  <c r="O49" i="33"/>
  <c r="O49" i="31"/>
  <c r="O49" i="29"/>
  <c r="O49" i="27"/>
  <c r="O49" i="25"/>
  <c r="O49" i="23"/>
  <c r="O49" i="21"/>
  <c r="O49" i="19"/>
  <c r="O49" i="17"/>
  <c r="H18" i="19"/>
  <c r="H18" i="17"/>
  <c r="H22" i="19"/>
  <c r="H22" i="17"/>
  <c r="H26" i="19"/>
  <c r="H26" i="17"/>
  <c r="H47" i="19"/>
  <c r="H47" i="17"/>
  <c r="J23" i="35"/>
  <c r="P23" i="35" s="1"/>
  <c r="J23" i="31"/>
  <c r="P23" i="31" s="1"/>
  <c r="J23" i="29"/>
  <c r="J23" i="33"/>
  <c r="J31" i="35"/>
  <c r="P31" i="35" s="1"/>
  <c r="J31" i="33"/>
  <c r="P31" i="33" s="1"/>
  <c r="J31" i="31"/>
  <c r="P31" i="31" s="1"/>
  <c r="J31" i="29"/>
  <c r="P31" i="29" s="1"/>
  <c r="J39" i="35"/>
  <c r="J39" i="31"/>
  <c r="J39" i="29"/>
  <c r="J47" i="35"/>
  <c r="P47" i="35" s="1"/>
  <c r="J47" i="33"/>
  <c r="J47" i="31"/>
  <c r="P47" i="31" s="1"/>
  <c r="J47" i="29"/>
  <c r="P47" i="29" s="1"/>
  <c r="J55" i="35"/>
  <c r="J55" i="33"/>
  <c r="J55" i="31"/>
  <c r="J55" i="29"/>
  <c r="N22" i="35"/>
  <c r="N22" i="33"/>
  <c r="N22" i="31"/>
  <c r="N22" i="29"/>
  <c r="N22" i="27"/>
  <c r="N22" i="25"/>
  <c r="N22" i="23"/>
  <c r="N22" i="21"/>
  <c r="N22" i="19"/>
  <c r="N30" i="35"/>
  <c r="N30" i="33"/>
  <c r="N30" i="31"/>
  <c r="N30" i="29"/>
  <c r="N30" i="27"/>
  <c r="N30" i="25"/>
  <c r="N30" i="23"/>
  <c r="N30" i="21"/>
  <c r="N30" i="19"/>
  <c r="N38" i="35"/>
  <c r="N38" i="33"/>
  <c r="N38" i="31"/>
  <c r="N38" i="29"/>
  <c r="N38" i="27"/>
  <c r="N38" i="25"/>
  <c r="N38" i="23"/>
  <c r="N38" i="21"/>
  <c r="N38" i="19"/>
  <c r="N46" i="35"/>
  <c r="N46" i="33"/>
  <c r="N46" i="31"/>
  <c r="N46" i="29"/>
  <c r="N46" i="27"/>
  <c r="N46" i="25"/>
  <c r="N46" i="23"/>
  <c r="N46" i="21"/>
  <c r="N46" i="19"/>
  <c r="H45" i="17"/>
  <c r="N49" i="35"/>
  <c r="N49" i="33"/>
  <c r="N49" i="31"/>
  <c r="N49" i="29"/>
  <c r="N49" i="27"/>
  <c r="N49" i="25"/>
  <c r="N49" i="21"/>
  <c r="N49" i="19"/>
  <c r="N49" i="23"/>
  <c r="N49" i="17"/>
  <c r="H20" i="17"/>
  <c r="N22" i="17"/>
  <c r="H28" i="17"/>
  <c r="N30" i="17"/>
  <c r="H36" i="17"/>
  <c r="N38" i="17"/>
  <c r="H44" i="17"/>
  <c r="N46" i="17"/>
  <c r="H52" i="17"/>
  <c r="AI33" i="28"/>
  <c r="BQ33" i="28"/>
  <c r="J19" i="35"/>
  <c r="P19" i="35" s="1"/>
  <c r="J19" i="33"/>
  <c r="P19" i="33" s="1"/>
  <c r="J19" i="31"/>
  <c r="P19" i="31" s="1"/>
  <c r="J19" i="29"/>
  <c r="P19" i="29" s="1"/>
  <c r="J27" i="35"/>
  <c r="P27" i="35" s="1"/>
  <c r="J27" i="33"/>
  <c r="P27" i="33" s="1"/>
  <c r="J27" i="31"/>
  <c r="P27" i="31" s="1"/>
  <c r="J27" i="29"/>
  <c r="P27" i="29" s="1"/>
  <c r="J35" i="35"/>
  <c r="P35" i="35" s="1"/>
  <c r="J35" i="33"/>
  <c r="P35" i="33" s="1"/>
  <c r="J35" i="31"/>
  <c r="P35" i="31" s="1"/>
  <c r="J35" i="29"/>
  <c r="P35" i="29" s="1"/>
  <c r="J43" i="35"/>
  <c r="P43" i="35" s="1"/>
  <c r="J43" i="33"/>
  <c r="P43" i="33" s="1"/>
  <c r="J43" i="31"/>
  <c r="P43" i="31" s="1"/>
  <c r="J43" i="29"/>
  <c r="J51" i="35"/>
  <c r="P51" i="35" s="1"/>
  <c r="J51" i="33"/>
  <c r="P51" i="33" s="1"/>
  <c r="J51" i="31"/>
  <c r="P51" i="31" s="1"/>
  <c r="J51" i="29"/>
  <c r="P51" i="29" s="1"/>
  <c r="N18" i="35"/>
  <c r="N18" i="33"/>
  <c r="N18" i="31"/>
  <c r="N18" i="29"/>
  <c r="N18" i="27"/>
  <c r="N18" i="23"/>
  <c r="N18" i="25"/>
  <c r="N18" i="21"/>
  <c r="N26" i="35"/>
  <c r="N26" i="33"/>
  <c r="N26" i="31"/>
  <c r="N26" i="27"/>
  <c r="N26" i="29"/>
  <c r="N26" i="23"/>
  <c r="N26" i="25"/>
  <c r="N26" i="21"/>
  <c r="N34" i="35"/>
  <c r="N34" i="33"/>
  <c r="N34" i="31"/>
  <c r="N34" i="29"/>
  <c r="N34" i="27"/>
  <c r="N34" i="23"/>
  <c r="N34" i="25"/>
  <c r="N34" i="21"/>
  <c r="N42" i="35"/>
  <c r="N42" i="33"/>
  <c r="N42" i="31"/>
  <c r="N42" i="27"/>
  <c r="N42" i="29"/>
  <c r="N42" i="25"/>
  <c r="N42" i="23"/>
  <c r="N42" i="21"/>
  <c r="N50" i="33"/>
  <c r="N50" i="35"/>
  <c r="N50" i="31"/>
  <c r="N50" i="29"/>
  <c r="N50" i="27"/>
  <c r="N50" i="25"/>
  <c r="N50" i="23"/>
  <c r="N50" i="21"/>
  <c r="H17" i="17"/>
  <c r="H25" i="17"/>
  <c r="H33" i="17"/>
  <c r="H41" i="17"/>
  <c r="H49" i="17"/>
  <c r="AI34" i="28"/>
  <c r="BQ34" i="28"/>
  <c r="AI10" i="28"/>
  <c r="BQ10" i="28"/>
  <c r="AI18" i="28"/>
  <c r="BQ18" i="28"/>
  <c r="AI26" i="28"/>
  <c r="BQ26" i="28"/>
  <c r="AI41" i="28"/>
  <c r="BQ41" i="28"/>
  <c r="AI9" i="28"/>
  <c r="BQ9" i="28"/>
  <c r="AI17" i="28"/>
  <c r="BQ17" i="28"/>
  <c r="AI25" i="28"/>
  <c r="BQ25" i="28"/>
  <c r="BQ8" i="28"/>
  <c r="BQ16" i="28"/>
  <c r="BQ24" i="28"/>
  <c r="E11" i="12" l="1"/>
  <c r="E10" i="12"/>
  <c r="L53" i="21"/>
  <c r="L53" i="19"/>
  <c r="L53" i="17"/>
  <c r="P16" i="23"/>
  <c r="P50" i="29"/>
  <c r="Q38" i="19"/>
  <c r="P18" i="31"/>
  <c r="P33" i="17"/>
  <c r="P25" i="19"/>
  <c r="P38" i="29"/>
  <c r="P42" i="27"/>
  <c r="P26" i="27"/>
  <c r="L51" i="21"/>
  <c r="L51" i="19"/>
  <c r="L51" i="17"/>
  <c r="L35" i="21"/>
  <c r="L35" i="19"/>
  <c r="P35" i="19" s="1"/>
  <c r="L35" i="17"/>
  <c r="Q49" i="29"/>
  <c r="P51" i="21"/>
  <c r="P49" i="33"/>
  <c r="P28" i="25"/>
  <c r="P40" i="19"/>
  <c r="P16" i="17"/>
  <c r="P22" i="33"/>
  <c r="P30" i="25"/>
  <c r="P50" i="21"/>
  <c r="Q30" i="31"/>
  <c r="K45" i="35"/>
  <c r="Q45" i="35" s="1"/>
  <c r="K45" i="33"/>
  <c r="Q45" i="33" s="1"/>
  <c r="L45" i="35"/>
  <c r="L45" i="31"/>
  <c r="K45" i="31"/>
  <c r="Q45" i="31" s="1"/>
  <c r="L45" i="29"/>
  <c r="K45" i="29"/>
  <c r="Q45" i="29" s="1"/>
  <c r="K45" i="27"/>
  <c r="Q45" i="27" s="1"/>
  <c r="K45" i="25"/>
  <c r="Q45" i="25" s="1"/>
  <c r="K45" i="23"/>
  <c r="Q45" i="23" s="1"/>
  <c r="K45" i="21"/>
  <c r="Q45" i="21" s="1"/>
  <c r="K45" i="19"/>
  <c r="Q45" i="19" s="1"/>
  <c r="K45" i="17"/>
  <c r="Q45" i="17" s="1"/>
  <c r="L45" i="33"/>
  <c r="L27" i="27"/>
  <c r="L27" i="25"/>
  <c r="P27" i="25" s="1"/>
  <c r="L27" i="23"/>
  <c r="Q22" i="25"/>
  <c r="E123" i="10"/>
  <c r="D123" i="10"/>
  <c r="C123" i="10"/>
  <c r="B123" i="10"/>
  <c r="A123" i="10"/>
  <c r="F104" i="6"/>
  <c r="E104" i="6"/>
  <c r="D104" i="6"/>
  <c r="F88" i="6"/>
  <c r="E88" i="6"/>
  <c r="D88" i="6"/>
  <c r="F72" i="6"/>
  <c r="E72" i="6"/>
  <c r="D72" i="6"/>
  <c r="L51" i="27"/>
  <c r="L51" i="25"/>
  <c r="P51" i="25" s="1"/>
  <c r="L51" i="23"/>
  <c r="D117" i="10"/>
  <c r="C117" i="10"/>
  <c r="B117" i="10"/>
  <c r="A117" i="10"/>
  <c r="E117" i="10"/>
  <c r="D101" i="10"/>
  <c r="C101" i="10"/>
  <c r="B101" i="10"/>
  <c r="A101" i="10"/>
  <c r="E101" i="10"/>
  <c r="E41" i="10"/>
  <c r="D41" i="10"/>
  <c r="B41" i="10"/>
  <c r="C41" i="10"/>
  <c r="A41" i="10"/>
  <c r="O25" i="35"/>
  <c r="O25" i="33"/>
  <c r="O25" i="31"/>
  <c r="Q25" i="31" s="1"/>
  <c r="O25" i="29"/>
  <c r="O25" i="25"/>
  <c r="Q25" i="25" s="1"/>
  <c r="O25" i="27"/>
  <c r="O25" i="23"/>
  <c r="Q25" i="23" s="1"/>
  <c r="O25" i="21"/>
  <c r="O25" i="19"/>
  <c r="O25" i="17"/>
  <c r="P20" i="25"/>
  <c r="L21" i="21"/>
  <c r="L21" i="19"/>
  <c r="L21" i="17"/>
  <c r="K36" i="35"/>
  <c r="Q36" i="35" s="1"/>
  <c r="L36" i="35"/>
  <c r="L36" i="33"/>
  <c r="K36" i="33"/>
  <c r="Q36" i="33" s="1"/>
  <c r="L36" i="31"/>
  <c r="K36" i="31"/>
  <c r="Q36" i="31" s="1"/>
  <c r="L36" i="29"/>
  <c r="K36" i="29"/>
  <c r="Q36" i="29" s="1"/>
  <c r="K36" i="27"/>
  <c r="Q36" i="27" s="1"/>
  <c r="K36" i="23"/>
  <c r="Q36" i="23" s="1"/>
  <c r="K36" i="25"/>
  <c r="Q36" i="25" s="1"/>
  <c r="K36" i="21"/>
  <c r="Q36" i="21" s="1"/>
  <c r="K36" i="19"/>
  <c r="Q36" i="19" s="1"/>
  <c r="K36" i="17"/>
  <c r="Q36" i="17" s="1"/>
  <c r="P43" i="29"/>
  <c r="P39" i="31"/>
  <c r="Q50" i="17"/>
  <c r="Q47" i="33"/>
  <c r="Q50" i="33"/>
  <c r="P30" i="31"/>
  <c r="Q18" i="19"/>
  <c r="P36" i="19"/>
  <c r="P50" i="31"/>
  <c r="Q41" i="17"/>
  <c r="P18" i="33"/>
  <c r="P45" i="23"/>
  <c r="P37" i="27"/>
  <c r="P33" i="21"/>
  <c r="P38" i="31"/>
  <c r="K29" i="35"/>
  <c r="Q29" i="35" s="1"/>
  <c r="K29" i="33"/>
  <c r="Q29" i="33" s="1"/>
  <c r="L29" i="35"/>
  <c r="P29" i="35" s="1"/>
  <c r="L29" i="31"/>
  <c r="K29" i="31"/>
  <c r="Q29" i="31" s="1"/>
  <c r="L29" i="29"/>
  <c r="K29" i="29"/>
  <c r="Q29" i="29" s="1"/>
  <c r="L29" i="33"/>
  <c r="P29" i="33" s="1"/>
  <c r="K29" i="25"/>
  <c r="Q29" i="25" s="1"/>
  <c r="K29" i="27"/>
  <c r="Q29" i="27" s="1"/>
  <c r="K29" i="23"/>
  <c r="Q29" i="23" s="1"/>
  <c r="K29" i="21"/>
  <c r="Q29" i="21" s="1"/>
  <c r="K29" i="19"/>
  <c r="Q29" i="19" s="1"/>
  <c r="K29" i="17"/>
  <c r="Q29" i="17" s="1"/>
  <c r="L55" i="27"/>
  <c r="L55" i="23"/>
  <c r="L55" i="25"/>
  <c r="L39" i="27"/>
  <c r="L39" i="23"/>
  <c r="L39" i="25"/>
  <c r="L23" i="27"/>
  <c r="L23" i="23"/>
  <c r="P23" i="23" s="1"/>
  <c r="L23" i="25"/>
  <c r="P23" i="25" s="1"/>
  <c r="P46" i="17"/>
  <c r="P30" i="17"/>
  <c r="Q46" i="17"/>
  <c r="P20" i="35"/>
  <c r="Q17" i="29"/>
  <c r="P49" i="35"/>
  <c r="P17" i="29"/>
  <c r="P44" i="23"/>
  <c r="P20" i="23"/>
  <c r="P40" i="21"/>
  <c r="P16" i="19"/>
  <c r="P22" i="35"/>
  <c r="P30" i="23"/>
  <c r="P26" i="21"/>
  <c r="O24" i="35"/>
  <c r="O24" i="33"/>
  <c r="O24" i="31"/>
  <c r="O24" i="29"/>
  <c r="O24" i="27"/>
  <c r="O24" i="23"/>
  <c r="O24" i="25"/>
  <c r="O24" i="19"/>
  <c r="O24" i="21"/>
  <c r="O24" i="17"/>
  <c r="Q33" i="27"/>
  <c r="Q30" i="17"/>
  <c r="Q30" i="27"/>
  <c r="P41" i="27"/>
  <c r="P45" i="29"/>
  <c r="L43" i="27"/>
  <c r="L43" i="25"/>
  <c r="L43" i="23"/>
  <c r="P43" i="23" s="1"/>
  <c r="O31" i="35"/>
  <c r="Q31" i="35" s="1"/>
  <c r="O31" i="33"/>
  <c r="O31" i="31"/>
  <c r="Q31" i="31" s="1"/>
  <c r="O31" i="29"/>
  <c r="Q31" i="29" s="1"/>
  <c r="O31" i="27"/>
  <c r="Q31" i="27" s="1"/>
  <c r="O31" i="25"/>
  <c r="O31" i="21"/>
  <c r="Q31" i="21" s="1"/>
  <c r="O31" i="23"/>
  <c r="O31" i="19"/>
  <c r="O31" i="17"/>
  <c r="K28" i="35"/>
  <c r="L28" i="35"/>
  <c r="L28" i="33"/>
  <c r="K28" i="33"/>
  <c r="L28" i="31"/>
  <c r="P28" i="31" s="1"/>
  <c r="K28" i="31"/>
  <c r="K28" i="27"/>
  <c r="L28" i="29"/>
  <c r="K28" i="29"/>
  <c r="K28" i="23"/>
  <c r="K28" i="25"/>
  <c r="K28" i="21"/>
  <c r="K28" i="19"/>
  <c r="Q28" i="19" s="1"/>
  <c r="K28" i="17"/>
  <c r="O41" i="35"/>
  <c r="Q41" i="35" s="1"/>
  <c r="O41" i="33"/>
  <c r="O41" i="31"/>
  <c r="Q41" i="31" s="1"/>
  <c r="O41" i="29"/>
  <c r="O41" i="25"/>
  <c r="Q41" i="25" s="1"/>
  <c r="O41" i="27"/>
  <c r="Q41" i="27" s="1"/>
  <c r="O41" i="23"/>
  <c r="O41" i="21"/>
  <c r="O41" i="19"/>
  <c r="O41" i="17"/>
  <c r="L37" i="21"/>
  <c r="L37" i="19"/>
  <c r="L37" i="17"/>
  <c r="Q25" i="19"/>
  <c r="Q25" i="35"/>
  <c r="Q22" i="27"/>
  <c r="Q22" i="35"/>
  <c r="E120" i="10"/>
  <c r="D120" i="10"/>
  <c r="C120" i="10"/>
  <c r="B120" i="10"/>
  <c r="A120" i="10"/>
  <c r="E104" i="10"/>
  <c r="D104" i="10"/>
  <c r="C104" i="10"/>
  <c r="B104" i="10"/>
  <c r="A104" i="10"/>
  <c r="P51" i="23"/>
  <c r="D113" i="6"/>
  <c r="F113" i="6"/>
  <c r="E113" i="6"/>
  <c r="D37" i="10"/>
  <c r="C37" i="10"/>
  <c r="B37" i="10"/>
  <c r="A37" i="10"/>
  <c r="E37" i="10"/>
  <c r="L17" i="23"/>
  <c r="L17" i="27"/>
  <c r="L17" i="25"/>
  <c r="P39" i="17"/>
  <c r="P39" i="35"/>
  <c r="P30" i="33"/>
  <c r="P48" i="27"/>
  <c r="P24" i="23"/>
  <c r="P50" i="33"/>
  <c r="Q41" i="19"/>
  <c r="Q38" i="25"/>
  <c r="P18" i="35"/>
  <c r="P45" i="25"/>
  <c r="P41" i="17"/>
  <c r="P33" i="19"/>
  <c r="P38" i="33"/>
  <c r="L26" i="35"/>
  <c r="K26" i="35"/>
  <c r="Q26" i="35" s="1"/>
  <c r="L26" i="33"/>
  <c r="L26" i="31"/>
  <c r="P26" i="31" s="1"/>
  <c r="K26" i="31"/>
  <c r="Q26" i="31" s="1"/>
  <c r="K26" i="33"/>
  <c r="Q26" i="33" s="1"/>
  <c r="K26" i="29"/>
  <c r="Q26" i="29" s="1"/>
  <c r="K26" i="27"/>
  <c r="Q26" i="27" s="1"/>
  <c r="K26" i="25"/>
  <c r="Q26" i="25" s="1"/>
  <c r="L26" i="29"/>
  <c r="P26" i="29" s="1"/>
  <c r="K26" i="23"/>
  <c r="Q26" i="23" s="1"/>
  <c r="K26" i="21"/>
  <c r="Q26" i="21" s="1"/>
  <c r="K26" i="19"/>
  <c r="Q26" i="19" s="1"/>
  <c r="K26" i="17"/>
  <c r="Q26" i="17" s="1"/>
  <c r="P50" i="23"/>
  <c r="P34" i="23"/>
  <c r="P18" i="23"/>
  <c r="P46" i="19"/>
  <c r="P30" i="19"/>
  <c r="Q49" i="27"/>
  <c r="Q46" i="27"/>
  <c r="Q17" i="25"/>
  <c r="P23" i="27"/>
  <c r="P35" i="17"/>
  <c r="P46" i="29"/>
  <c r="P17" i="33"/>
  <c r="P44" i="27"/>
  <c r="P20" i="27"/>
  <c r="P32" i="17"/>
  <c r="P16" i="21"/>
  <c r="Q39" i="29"/>
  <c r="L16" i="35"/>
  <c r="K16" i="35"/>
  <c r="L16" i="33"/>
  <c r="K16" i="33"/>
  <c r="L16" i="31"/>
  <c r="K16" i="31"/>
  <c r="L16" i="29"/>
  <c r="K16" i="29"/>
  <c r="Q16" i="29" s="1"/>
  <c r="K16" i="27"/>
  <c r="K16" i="25"/>
  <c r="K16" i="23"/>
  <c r="K16" i="21"/>
  <c r="K16" i="19"/>
  <c r="K16" i="17"/>
  <c r="P46" i="23"/>
  <c r="P30" i="27"/>
  <c r="P42" i="19"/>
  <c r="K37" i="35"/>
  <c r="K37" i="33"/>
  <c r="L37" i="35"/>
  <c r="L37" i="33"/>
  <c r="L37" i="31"/>
  <c r="K37" i="31"/>
  <c r="L37" i="29"/>
  <c r="P37" i="29" s="1"/>
  <c r="K37" i="29"/>
  <c r="Q37" i="29" s="1"/>
  <c r="K37" i="27"/>
  <c r="Q37" i="27" s="1"/>
  <c r="K37" i="25"/>
  <c r="K37" i="23"/>
  <c r="K37" i="21"/>
  <c r="K37" i="19"/>
  <c r="K37" i="17"/>
  <c r="Q37" i="17" s="1"/>
  <c r="Q27" i="21"/>
  <c r="Q33" i="17"/>
  <c r="Q30" i="19"/>
  <c r="Q30" i="33"/>
  <c r="L35" i="27"/>
  <c r="L35" i="25"/>
  <c r="L35" i="23"/>
  <c r="L39" i="19"/>
  <c r="L39" i="21"/>
  <c r="P39" i="21" s="1"/>
  <c r="L39" i="17"/>
  <c r="O37" i="35"/>
  <c r="O37" i="33"/>
  <c r="O37" i="31"/>
  <c r="O37" i="27"/>
  <c r="O37" i="29"/>
  <c r="O37" i="23"/>
  <c r="O37" i="25"/>
  <c r="O37" i="21"/>
  <c r="O37" i="19"/>
  <c r="O37" i="17"/>
  <c r="L25" i="27"/>
  <c r="L25" i="23"/>
  <c r="P25" i="23" s="1"/>
  <c r="L25" i="25"/>
  <c r="P25" i="25" s="1"/>
  <c r="P45" i="31"/>
  <c r="P43" i="25"/>
  <c r="P28" i="29"/>
  <c r="P27" i="23"/>
  <c r="L19" i="21"/>
  <c r="L19" i="19"/>
  <c r="P19" i="19" s="1"/>
  <c r="L19" i="17"/>
  <c r="C138" i="10"/>
  <c r="B138" i="10"/>
  <c r="A138" i="10"/>
  <c r="E138" i="10"/>
  <c r="D138" i="10"/>
  <c r="P37" i="17"/>
  <c r="Q25" i="21"/>
  <c r="Q25" i="33"/>
  <c r="F116" i="6"/>
  <c r="E116" i="6"/>
  <c r="D116" i="6"/>
  <c r="F100" i="6"/>
  <c r="E100" i="6"/>
  <c r="D100" i="6"/>
  <c r="F84" i="6"/>
  <c r="E84" i="6"/>
  <c r="D84" i="6"/>
  <c r="F68" i="6"/>
  <c r="E68" i="6"/>
  <c r="D68" i="6"/>
  <c r="E113" i="10"/>
  <c r="D113" i="10"/>
  <c r="B113" i="10"/>
  <c r="C113" i="10"/>
  <c r="A113" i="10"/>
  <c r="E33" i="10"/>
  <c r="D33" i="10"/>
  <c r="B33" i="10"/>
  <c r="C33" i="10"/>
  <c r="A33" i="10"/>
  <c r="Q25" i="29"/>
  <c r="Q22" i="23"/>
  <c r="D135" i="6"/>
  <c r="F135" i="6"/>
  <c r="E135" i="6"/>
  <c r="A116" i="10"/>
  <c r="E116" i="10"/>
  <c r="C116" i="10"/>
  <c r="D116" i="10"/>
  <c r="B116" i="10"/>
  <c r="A100" i="10"/>
  <c r="E100" i="10"/>
  <c r="C100" i="10"/>
  <c r="D100" i="10"/>
  <c r="B100" i="10"/>
  <c r="P51" i="27"/>
  <c r="E133" i="6"/>
  <c r="D133" i="6"/>
  <c r="F133" i="6"/>
  <c r="F109" i="6"/>
  <c r="D109" i="6"/>
  <c r="E109" i="6"/>
  <c r="D29" i="10"/>
  <c r="C29" i="10"/>
  <c r="B29" i="10"/>
  <c r="A29" i="10"/>
  <c r="E29" i="10"/>
  <c r="Q18" i="35"/>
  <c r="Q41" i="21"/>
  <c r="Q43" i="35"/>
  <c r="P16" i="29"/>
  <c r="O47" i="35"/>
  <c r="Q47" i="35" s="1"/>
  <c r="O47" i="33"/>
  <c r="O47" i="31"/>
  <c r="O47" i="29"/>
  <c r="O47" i="27"/>
  <c r="Q47" i="27" s="1"/>
  <c r="O47" i="21"/>
  <c r="O47" i="23"/>
  <c r="Q47" i="23" s="1"/>
  <c r="O47" i="19"/>
  <c r="Q47" i="19" s="1"/>
  <c r="O47" i="25"/>
  <c r="Q47" i="25" s="1"/>
  <c r="O47" i="17"/>
  <c r="E136" i="10"/>
  <c r="D136" i="10"/>
  <c r="C136" i="10"/>
  <c r="B136" i="10"/>
  <c r="A136" i="10"/>
  <c r="P37" i="19"/>
  <c r="Q50" i="25"/>
  <c r="P33" i="29"/>
  <c r="L24" i="35"/>
  <c r="P24" i="35" s="1"/>
  <c r="K24" i="35"/>
  <c r="Q24" i="35" s="1"/>
  <c r="L24" i="33"/>
  <c r="K24" i="33"/>
  <c r="Q24" i="33" s="1"/>
  <c r="L24" i="31"/>
  <c r="K24" i="31"/>
  <c r="Q24" i="31" s="1"/>
  <c r="L24" i="29"/>
  <c r="P24" i="29" s="1"/>
  <c r="K24" i="29"/>
  <c r="Q24" i="29" s="1"/>
  <c r="K24" i="27"/>
  <c r="Q24" i="27" s="1"/>
  <c r="K24" i="25"/>
  <c r="Q24" i="25" s="1"/>
  <c r="K24" i="23"/>
  <c r="Q24" i="23" s="1"/>
  <c r="K24" i="21"/>
  <c r="Q24" i="21" s="1"/>
  <c r="K24" i="19"/>
  <c r="K24" i="17"/>
  <c r="Q24" i="17" s="1"/>
  <c r="Q18" i="25"/>
  <c r="P32" i="23"/>
  <c r="P52" i="17"/>
  <c r="K44" i="35"/>
  <c r="Q44" i="35" s="1"/>
  <c r="L44" i="35"/>
  <c r="P44" i="35" s="1"/>
  <c r="L44" i="33"/>
  <c r="K44" i="33"/>
  <c r="L44" i="31"/>
  <c r="K44" i="31"/>
  <c r="K44" i="27"/>
  <c r="L44" i="29"/>
  <c r="K44" i="29"/>
  <c r="Q44" i="29" s="1"/>
  <c r="K44" i="23"/>
  <c r="K44" i="25"/>
  <c r="K44" i="21"/>
  <c r="K44" i="19"/>
  <c r="K44" i="17"/>
  <c r="Q41" i="33"/>
  <c r="P21" i="31"/>
  <c r="P21" i="25"/>
  <c r="P49" i="17"/>
  <c r="P41" i="19"/>
  <c r="P17" i="21"/>
  <c r="P41" i="29"/>
  <c r="L32" i="35"/>
  <c r="P32" i="35" s="1"/>
  <c r="K32" i="35"/>
  <c r="Q32" i="35" s="1"/>
  <c r="L32" i="33"/>
  <c r="K32" i="33"/>
  <c r="Q32" i="33" s="1"/>
  <c r="L32" i="31"/>
  <c r="K32" i="31"/>
  <c r="Q32" i="31" s="1"/>
  <c r="L32" i="29"/>
  <c r="K32" i="29"/>
  <c r="Q32" i="29" s="1"/>
  <c r="K32" i="25"/>
  <c r="Q32" i="25" s="1"/>
  <c r="K32" i="23"/>
  <c r="Q32" i="23" s="1"/>
  <c r="K32" i="21"/>
  <c r="Q32" i="21" s="1"/>
  <c r="K32" i="19"/>
  <c r="Q32" i="19" s="1"/>
  <c r="K32" i="17"/>
  <c r="Q32" i="17" s="1"/>
  <c r="K32" i="27"/>
  <c r="Q32" i="27" s="1"/>
  <c r="P50" i="27"/>
  <c r="P34" i="27"/>
  <c r="P18" i="27"/>
  <c r="L43" i="21"/>
  <c r="L43" i="19"/>
  <c r="P43" i="19" s="1"/>
  <c r="L43" i="17"/>
  <c r="P43" i="17" s="1"/>
  <c r="P22" i="17"/>
  <c r="Q49" i="19"/>
  <c r="Q49" i="31"/>
  <c r="Q46" i="25"/>
  <c r="Q43" i="25"/>
  <c r="P26" i="35"/>
  <c r="Q17" i="19"/>
  <c r="Q17" i="35"/>
  <c r="P39" i="23"/>
  <c r="P35" i="21"/>
  <c r="P46" i="33"/>
  <c r="Q31" i="17"/>
  <c r="P17" i="35"/>
  <c r="P36" i="25"/>
  <c r="P48" i="17"/>
  <c r="P32" i="21"/>
  <c r="P16" i="31"/>
  <c r="P46" i="27"/>
  <c r="P22" i="23"/>
  <c r="P18" i="21"/>
  <c r="P37" i="31"/>
  <c r="P17" i="25"/>
  <c r="Q33" i="19"/>
  <c r="Q33" i="35"/>
  <c r="Q30" i="25"/>
  <c r="Q30" i="35"/>
  <c r="P35" i="23"/>
  <c r="L27" i="21"/>
  <c r="L27" i="19"/>
  <c r="L27" i="17"/>
  <c r="P21" i="17"/>
  <c r="O43" i="35"/>
  <c r="O43" i="33"/>
  <c r="Q43" i="33" s="1"/>
  <c r="O43" i="31"/>
  <c r="Q43" i="31" s="1"/>
  <c r="O43" i="27"/>
  <c r="Q43" i="27" s="1"/>
  <c r="O43" i="29"/>
  <c r="O43" i="25"/>
  <c r="O43" i="23"/>
  <c r="Q43" i="23" s="1"/>
  <c r="O43" i="19"/>
  <c r="Q43" i="19" s="1"/>
  <c r="O43" i="17"/>
  <c r="O43" i="21"/>
  <c r="Q43" i="21" s="1"/>
  <c r="P36" i="29"/>
  <c r="P39" i="19"/>
  <c r="P25" i="27"/>
  <c r="P45" i="35"/>
  <c r="P43" i="27"/>
  <c r="P20" i="17"/>
  <c r="P28" i="33"/>
  <c r="L33" i="27"/>
  <c r="L33" i="23"/>
  <c r="L33" i="25"/>
  <c r="E134" i="10"/>
  <c r="D134" i="10"/>
  <c r="C134" i="10"/>
  <c r="A134" i="10"/>
  <c r="B134" i="10"/>
  <c r="A132" i="10"/>
  <c r="E132" i="10"/>
  <c r="C132" i="10"/>
  <c r="D132" i="10"/>
  <c r="B132" i="10"/>
  <c r="P37" i="21"/>
  <c r="Q22" i="31"/>
  <c r="F112" i="6"/>
  <c r="E112" i="6"/>
  <c r="D112" i="6"/>
  <c r="F96" i="6"/>
  <c r="E96" i="6"/>
  <c r="D96" i="6"/>
  <c r="F80" i="6"/>
  <c r="E80" i="6"/>
  <c r="D80" i="6"/>
  <c r="F64" i="6"/>
  <c r="E64" i="6"/>
  <c r="D64" i="6"/>
  <c r="E131" i="10"/>
  <c r="D131" i="10"/>
  <c r="C131" i="10"/>
  <c r="B131" i="10"/>
  <c r="A131" i="10"/>
  <c r="D109" i="10"/>
  <c r="C109" i="10"/>
  <c r="B109" i="10"/>
  <c r="A109" i="10"/>
  <c r="E109" i="10"/>
  <c r="E57" i="10"/>
  <c r="D57" i="10"/>
  <c r="B57" i="10"/>
  <c r="C57" i="10"/>
  <c r="A57" i="10"/>
  <c r="E25" i="10"/>
  <c r="D25" i="10"/>
  <c r="B25" i="10"/>
  <c r="C25" i="10"/>
  <c r="A25" i="10"/>
  <c r="P27" i="27"/>
  <c r="P47" i="33"/>
  <c r="O39" i="35"/>
  <c r="Q39" i="35" s="1"/>
  <c r="O39" i="33"/>
  <c r="O39" i="31"/>
  <c r="Q39" i="31" s="1"/>
  <c r="O39" i="29"/>
  <c r="O39" i="27"/>
  <c r="Q39" i="27" s="1"/>
  <c r="O39" i="25"/>
  <c r="Q39" i="25" s="1"/>
  <c r="O39" i="21"/>
  <c r="Q39" i="21" s="1"/>
  <c r="O39" i="23"/>
  <c r="O39" i="19"/>
  <c r="O39" i="17"/>
  <c r="P44" i="29"/>
  <c r="Q35" i="31"/>
  <c r="P17" i="19"/>
  <c r="P32" i="29"/>
  <c r="L47" i="27"/>
  <c r="P47" i="27" s="1"/>
  <c r="L47" i="25"/>
  <c r="L47" i="23"/>
  <c r="P47" i="23" s="1"/>
  <c r="P38" i="17"/>
  <c r="O51" i="35"/>
  <c r="Q51" i="35" s="1"/>
  <c r="O51" i="33"/>
  <c r="Q51" i="33" s="1"/>
  <c r="O51" i="31"/>
  <c r="Q51" i="31" s="1"/>
  <c r="O51" i="29"/>
  <c r="O51" i="27"/>
  <c r="O51" i="23"/>
  <c r="Q51" i="23" s="1"/>
  <c r="O51" i="25"/>
  <c r="Q51" i="25" s="1"/>
  <c r="O51" i="19"/>
  <c r="Q51" i="19" s="1"/>
  <c r="O51" i="17"/>
  <c r="Q51" i="17" s="1"/>
  <c r="O51" i="21"/>
  <c r="Q51" i="21" s="1"/>
  <c r="Q49" i="21"/>
  <c r="Q49" i="35"/>
  <c r="Q43" i="29"/>
  <c r="P29" i="29"/>
  <c r="K20" i="35"/>
  <c r="Q20" i="35" s="1"/>
  <c r="L20" i="35"/>
  <c r="L20" i="33"/>
  <c r="P20" i="33" s="1"/>
  <c r="K20" i="33"/>
  <c r="Q20" i="33" s="1"/>
  <c r="L20" i="31"/>
  <c r="K20" i="31"/>
  <c r="Q20" i="31" s="1"/>
  <c r="L20" i="29"/>
  <c r="K20" i="27"/>
  <c r="Q20" i="27" s="1"/>
  <c r="K20" i="23"/>
  <c r="Q20" i="23" s="1"/>
  <c r="K20" i="29"/>
  <c r="Q20" i="29" s="1"/>
  <c r="K20" i="25"/>
  <c r="Q20" i="25" s="1"/>
  <c r="K20" i="21"/>
  <c r="Q20" i="21" s="1"/>
  <c r="K20" i="19"/>
  <c r="Q20" i="19" s="1"/>
  <c r="K20" i="17"/>
  <c r="Q20" i="17" s="1"/>
  <c r="Q17" i="21"/>
  <c r="Q17" i="33"/>
  <c r="P39" i="25"/>
  <c r="P46" i="35"/>
  <c r="Q31" i="19"/>
  <c r="Q31" i="33"/>
  <c r="P52" i="23"/>
  <c r="P36" i="27"/>
  <c r="P48" i="19"/>
  <c r="Q39" i="17"/>
  <c r="P16" i="33"/>
  <c r="P38" i="25"/>
  <c r="P22" i="27"/>
  <c r="P37" i="33"/>
  <c r="P17" i="23"/>
  <c r="Q33" i="21"/>
  <c r="Q33" i="33"/>
  <c r="Q30" i="23"/>
  <c r="P35" i="27"/>
  <c r="P27" i="17"/>
  <c r="P21" i="19"/>
  <c r="P36" i="31"/>
  <c r="O28" i="35"/>
  <c r="O28" i="33"/>
  <c r="O28" i="31"/>
  <c r="O28" i="29"/>
  <c r="O28" i="27"/>
  <c r="O28" i="25"/>
  <c r="O28" i="21"/>
  <c r="O28" i="19"/>
  <c r="O28" i="17"/>
  <c r="O28" i="23"/>
  <c r="Q51" i="27"/>
  <c r="O27" i="35"/>
  <c r="O27" i="33"/>
  <c r="Q27" i="33" s="1"/>
  <c r="O27" i="31"/>
  <c r="O27" i="29"/>
  <c r="Q27" i="29" s="1"/>
  <c r="O27" i="27"/>
  <c r="Q27" i="27" s="1"/>
  <c r="O27" i="25"/>
  <c r="Q27" i="25" s="1"/>
  <c r="O27" i="23"/>
  <c r="Q27" i="23" s="1"/>
  <c r="O27" i="19"/>
  <c r="Q27" i="19" s="1"/>
  <c r="O27" i="17"/>
  <c r="O27" i="21"/>
  <c r="L49" i="27"/>
  <c r="P49" i="27" s="1"/>
  <c r="L49" i="25"/>
  <c r="L49" i="23"/>
  <c r="P20" i="19"/>
  <c r="O40" i="35"/>
  <c r="O40" i="33"/>
  <c r="O40" i="31"/>
  <c r="O40" i="27"/>
  <c r="O40" i="29"/>
  <c r="O40" i="23"/>
  <c r="O40" i="25"/>
  <c r="O40" i="19"/>
  <c r="O40" i="21"/>
  <c r="O40" i="17"/>
  <c r="P28" i="35"/>
  <c r="P33" i="25"/>
  <c r="P19" i="21"/>
  <c r="E128" i="10"/>
  <c r="D128" i="10"/>
  <c r="C128" i="10"/>
  <c r="B128" i="10"/>
  <c r="A128" i="10"/>
  <c r="C122" i="10"/>
  <c r="B122" i="10"/>
  <c r="A122" i="10"/>
  <c r="E122" i="10"/>
  <c r="D122" i="10"/>
  <c r="E137" i="6"/>
  <c r="F137" i="6"/>
  <c r="D137" i="6"/>
  <c r="Q22" i="17"/>
  <c r="E112" i="10"/>
  <c r="D112" i="10"/>
  <c r="C112" i="10"/>
  <c r="B112" i="10"/>
  <c r="A112" i="10"/>
  <c r="O21" i="35"/>
  <c r="O21" i="33"/>
  <c r="O21" i="31"/>
  <c r="Q21" i="31" s="1"/>
  <c r="O21" i="27"/>
  <c r="O21" i="29"/>
  <c r="Q21" i="29" s="1"/>
  <c r="O21" i="23"/>
  <c r="Q21" i="23" s="1"/>
  <c r="O21" i="25"/>
  <c r="Q21" i="25" s="1"/>
  <c r="O21" i="21"/>
  <c r="Q21" i="21" s="1"/>
  <c r="O21" i="19"/>
  <c r="Q21" i="19" s="1"/>
  <c r="O21" i="17"/>
  <c r="Q21" i="17" s="1"/>
  <c r="L34" i="35"/>
  <c r="P34" i="35" s="1"/>
  <c r="K34" i="35"/>
  <c r="Q34" i="35" s="1"/>
  <c r="L34" i="33"/>
  <c r="P34" i="33" s="1"/>
  <c r="L34" i="31"/>
  <c r="K34" i="33"/>
  <c r="Q34" i="33" s="1"/>
  <c r="K34" i="31"/>
  <c r="Q34" i="31" s="1"/>
  <c r="K34" i="29"/>
  <c r="Q34" i="29" s="1"/>
  <c r="L34" i="29"/>
  <c r="K34" i="27"/>
  <c r="Q34" i="27" s="1"/>
  <c r="K34" i="25"/>
  <c r="Q34" i="25" s="1"/>
  <c r="K34" i="23"/>
  <c r="Q34" i="23" s="1"/>
  <c r="K34" i="21"/>
  <c r="Q34" i="21" s="1"/>
  <c r="K34" i="19"/>
  <c r="Q34" i="19" s="1"/>
  <c r="K34" i="17"/>
  <c r="Q34" i="17" s="1"/>
  <c r="F105" i="6"/>
  <c r="D105" i="6"/>
  <c r="E105" i="6"/>
  <c r="D53" i="10"/>
  <c r="C53" i="10"/>
  <c r="B53" i="10"/>
  <c r="A53" i="10"/>
  <c r="E53" i="10"/>
  <c r="D21" i="10"/>
  <c r="C21" i="10"/>
  <c r="B21" i="10"/>
  <c r="A21" i="10"/>
  <c r="E21" i="10"/>
  <c r="Q35" i="29"/>
  <c r="P50" i="25"/>
  <c r="Q17" i="31"/>
  <c r="Q27" i="35"/>
  <c r="P35" i="25"/>
  <c r="P45" i="33"/>
  <c r="P19" i="17"/>
  <c r="O23" i="35"/>
  <c r="Q23" i="35" s="1"/>
  <c r="O23" i="33"/>
  <c r="Q23" i="33" s="1"/>
  <c r="O23" i="31"/>
  <c r="Q23" i="31" s="1"/>
  <c r="O23" i="29"/>
  <c r="Q23" i="29" s="1"/>
  <c r="O23" i="27"/>
  <c r="Q23" i="27" s="1"/>
  <c r="O23" i="25"/>
  <c r="O23" i="21"/>
  <c r="O23" i="23"/>
  <c r="O23" i="19"/>
  <c r="Q23" i="19" s="1"/>
  <c r="O23" i="17"/>
  <c r="Q23" i="17" s="1"/>
  <c r="Q41" i="23"/>
  <c r="Q38" i="31"/>
  <c r="P21" i="33"/>
  <c r="P49" i="21"/>
  <c r="L31" i="27"/>
  <c r="P31" i="27" s="1"/>
  <c r="L31" i="23"/>
  <c r="P31" i="23" s="1"/>
  <c r="L31" i="25"/>
  <c r="P31" i="25" s="1"/>
  <c r="P23" i="33"/>
  <c r="Q47" i="21"/>
  <c r="Q47" i="31"/>
  <c r="P33" i="33"/>
  <c r="P24" i="31"/>
  <c r="Q21" i="27"/>
  <c r="Q21" i="35"/>
  <c r="Q18" i="29"/>
  <c r="P44" i="31"/>
  <c r="P21" i="35"/>
  <c r="P29" i="25"/>
  <c r="P49" i="19"/>
  <c r="P25" i="17"/>
  <c r="O52" i="35"/>
  <c r="O52" i="33"/>
  <c r="O52" i="31"/>
  <c r="O52" i="29"/>
  <c r="O52" i="25"/>
  <c r="O52" i="21"/>
  <c r="O52" i="19"/>
  <c r="O52" i="27"/>
  <c r="O52" i="23"/>
  <c r="O52" i="17"/>
  <c r="P41" i="33"/>
  <c r="P32" i="31"/>
  <c r="Q23" i="23"/>
  <c r="P42" i="23"/>
  <c r="P26" i="23"/>
  <c r="P38" i="19"/>
  <c r="P22" i="21"/>
  <c r="O35" i="35"/>
  <c r="Q35" i="35" s="1"/>
  <c r="O35" i="33"/>
  <c r="O35" i="31"/>
  <c r="O35" i="29"/>
  <c r="O35" i="27"/>
  <c r="Q35" i="27" s="1"/>
  <c r="O35" i="25"/>
  <c r="Q35" i="25" s="1"/>
  <c r="O35" i="23"/>
  <c r="Q35" i="23" s="1"/>
  <c r="O35" i="19"/>
  <c r="O35" i="17"/>
  <c r="Q35" i="17" s="1"/>
  <c r="O35" i="21"/>
  <c r="Q35" i="21" s="1"/>
  <c r="L52" i="33"/>
  <c r="P52" i="33" s="1"/>
  <c r="L52" i="35"/>
  <c r="P52" i="35" s="1"/>
  <c r="K52" i="35"/>
  <c r="K52" i="33"/>
  <c r="L52" i="31"/>
  <c r="P52" i="31" s="1"/>
  <c r="K52" i="31"/>
  <c r="Q52" i="31" s="1"/>
  <c r="L52" i="29"/>
  <c r="K52" i="29"/>
  <c r="Q52" i="29" s="1"/>
  <c r="K52" i="27"/>
  <c r="K52" i="23"/>
  <c r="K52" i="25"/>
  <c r="Q52" i="25" s="1"/>
  <c r="K52" i="21"/>
  <c r="Q52" i="21" s="1"/>
  <c r="K52" i="19"/>
  <c r="Q52" i="19" s="1"/>
  <c r="K52" i="17"/>
  <c r="Q52" i="17" s="1"/>
  <c r="Q49" i="23"/>
  <c r="Q49" i="33"/>
  <c r="P29" i="31"/>
  <c r="P20" i="29"/>
  <c r="Q17" i="23"/>
  <c r="P39" i="27"/>
  <c r="P51" i="17"/>
  <c r="P43" i="21"/>
  <c r="P49" i="29"/>
  <c r="L40" i="35"/>
  <c r="P40" i="35" s="1"/>
  <c r="K40" i="35"/>
  <c r="L40" i="33"/>
  <c r="P40" i="33" s="1"/>
  <c r="K40" i="33"/>
  <c r="Q40" i="33" s="1"/>
  <c r="L40" i="31"/>
  <c r="P40" i="31" s="1"/>
  <c r="K40" i="31"/>
  <c r="Q40" i="31" s="1"/>
  <c r="L40" i="29"/>
  <c r="K40" i="29"/>
  <c r="Q40" i="29" s="1"/>
  <c r="K40" i="27"/>
  <c r="Q40" i="27" s="1"/>
  <c r="K40" i="23"/>
  <c r="Q40" i="23" s="1"/>
  <c r="K40" i="21"/>
  <c r="Q40" i="21" s="1"/>
  <c r="K40" i="25"/>
  <c r="K40" i="19"/>
  <c r="Q40" i="19" s="1"/>
  <c r="K40" i="17"/>
  <c r="Q40" i="17" s="1"/>
  <c r="Q31" i="23"/>
  <c r="P52" i="25"/>
  <c r="P48" i="21"/>
  <c r="Q39" i="19"/>
  <c r="Q39" i="33"/>
  <c r="P22" i="29"/>
  <c r="P16" i="35"/>
  <c r="P38" i="23"/>
  <c r="P34" i="21"/>
  <c r="P37" i="35"/>
  <c r="P17" i="27"/>
  <c r="Q33" i="23"/>
  <c r="L41" i="27"/>
  <c r="L41" i="23"/>
  <c r="P41" i="23" s="1"/>
  <c r="L41" i="25"/>
  <c r="P41" i="25" s="1"/>
  <c r="P27" i="19"/>
  <c r="P21" i="21"/>
  <c r="P36" i="33"/>
  <c r="L45" i="21"/>
  <c r="P45" i="21" s="1"/>
  <c r="L45" i="19"/>
  <c r="P45" i="19" s="1"/>
  <c r="L45" i="17"/>
  <c r="P45" i="17" s="1"/>
  <c r="Q51" i="29"/>
  <c r="L42" i="35"/>
  <c r="P42" i="35" s="1"/>
  <c r="K42" i="35"/>
  <c r="Q42" i="35" s="1"/>
  <c r="L42" i="33"/>
  <c r="P42" i="33" s="1"/>
  <c r="L42" i="31"/>
  <c r="P42" i="31" s="1"/>
  <c r="K42" i="31"/>
  <c r="Q42" i="31" s="1"/>
  <c r="K42" i="29"/>
  <c r="Q42" i="29" s="1"/>
  <c r="K42" i="33"/>
  <c r="Q42" i="33" s="1"/>
  <c r="K42" i="27"/>
  <c r="Q42" i="27" s="1"/>
  <c r="L42" i="29"/>
  <c r="P42" i="29" s="1"/>
  <c r="K42" i="23"/>
  <c r="Q42" i="23" s="1"/>
  <c r="K42" i="25"/>
  <c r="Q42" i="25" s="1"/>
  <c r="K42" i="21"/>
  <c r="Q42" i="21" s="1"/>
  <c r="K42" i="19"/>
  <c r="Q42" i="19" s="1"/>
  <c r="K42" i="17"/>
  <c r="Q42" i="17" s="1"/>
  <c r="L19" i="27"/>
  <c r="P19" i="27" s="1"/>
  <c r="L19" i="25"/>
  <c r="L19" i="23"/>
  <c r="P19" i="23" s="1"/>
  <c r="P49" i="23"/>
  <c r="P29" i="21"/>
  <c r="P33" i="23"/>
  <c r="A124" i="10"/>
  <c r="E124" i="10"/>
  <c r="C124" i="10"/>
  <c r="D124" i="10"/>
  <c r="B124" i="10"/>
  <c r="L31" i="19"/>
  <c r="P31" i="19" s="1"/>
  <c r="L31" i="21"/>
  <c r="P31" i="21" s="1"/>
  <c r="L31" i="17"/>
  <c r="C130" i="10"/>
  <c r="B130" i="10"/>
  <c r="A130" i="10"/>
  <c r="E130" i="10"/>
  <c r="D130" i="10"/>
  <c r="Q25" i="27"/>
  <c r="Q22" i="19"/>
  <c r="Q22" i="29"/>
  <c r="E125" i="6"/>
  <c r="F125" i="6"/>
  <c r="D125" i="6"/>
  <c r="F108" i="6"/>
  <c r="E108" i="6"/>
  <c r="D108" i="6"/>
  <c r="F92" i="6"/>
  <c r="E92" i="6"/>
  <c r="D92" i="6"/>
  <c r="F76" i="6"/>
  <c r="E76" i="6"/>
  <c r="D76" i="6"/>
  <c r="F60" i="6"/>
  <c r="E60" i="6"/>
  <c r="D60" i="6"/>
  <c r="P34" i="29"/>
  <c r="E126" i="10"/>
  <c r="D126" i="10"/>
  <c r="C126" i="10"/>
  <c r="A126" i="10"/>
  <c r="B126" i="10"/>
  <c r="E105" i="10"/>
  <c r="D105" i="10"/>
  <c r="B105" i="10"/>
  <c r="C105" i="10"/>
  <c r="A105" i="10"/>
  <c r="E49" i="10"/>
  <c r="D49" i="10"/>
  <c r="B49" i="10"/>
  <c r="C49" i="10"/>
  <c r="A49" i="10"/>
  <c r="Q47" i="29"/>
  <c r="Q23" i="21"/>
  <c r="P26" i="33"/>
  <c r="L29" i="21"/>
  <c r="L29" i="19"/>
  <c r="P29" i="19" s="1"/>
  <c r="L29" i="17"/>
  <c r="P29" i="17" s="1"/>
  <c r="Q21" i="33"/>
  <c r="P39" i="29"/>
  <c r="P23" i="29"/>
  <c r="Q50" i="29"/>
  <c r="Q47" i="17"/>
  <c r="P33" i="35"/>
  <c r="P24" i="33"/>
  <c r="Q18" i="33"/>
  <c r="P36" i="21"/>
  <c r="P44" i="33"/>
  <c r="Q41" i="29"/>
  <c r="Q35" i="19"/>
  <c r="Q35" i="33"/>
  <c r="P18" i="29"/>
  <c r="P37" i="23"/>
  <c r="P29" i="27"/>
  <c r="P25" i="21"/>
  <c r="O16" i="35"/>
  <c r="O16" i="31"/>
  <c r="O16" i="33"/>
  <c r="O16" i="29"/>
  <c r="O16" i="27"/>
  <c r="O16" i="23"/>
  <c r="O16" i="25"/>
  <c r="O16" i="19"/>
  <c r="O16" i="21"/>
  <c r="O16" i="17"/>
  <c r="P41" i="35"/>
  <c r="P32" i="33"/>
  <c r="Q23" i="25"/>
  <c r="P42" i="25"/>
  <c r="P26" i="25"/>
  <c r="P38" i="21"/>
  <c r="O19" i="35"/>
  <c r="O19" i="33"/>
  <c r="Q19" i="33" s="1"/>
  <c r="O19" i="31"/>
  <c r="Q19" i="31" s="1"/>
  <c r="O19" i="29"/>
  <c r="Q19" i="29" s="1"/>
  <c r="O19" i="25"/>
  <c r="Q19" i="25" s="1"/>
  <c r="O19" i="23"/>
  <c r="Q19" i="23" s="1"/>
  <c r="O19" i="19"/>
  <c r="Q19" i="19" s="1"/>
  <c r="O19" i="27"/>
  <c r="Q19" i="27" s="1"/>
  <c r="O19" i="17"/>
  <c r="Q19" i="17" s="1"/>
  <c r="O19" i="21"/>
  <c r="Q19" i="21" s="1"/>
  <c r="P52" i="29"/>
  <c r="Q49" i="25"/>
  <c r="Q46" i="31"/>
  <c r="Q43" i="17"/>
  <c r="P20" i="31"/>
  <c r="Q17" i="27"/>
  <c r="P47" i="25"/>
  <c r="P51" i="19"/>
  <c r="P49" i="31"/>
  <c r="P40" i="29"/>
  <c r="Q31" i="25"/>
  <c r="P52" i="27"/>
  <c r="P28" i="23"/>
  <c r="P40" i="17"/>
  <c r="P24" i="21"/>
  <c r="L48" i="35"/>
  <c r="P48" i="35" s="1"/>
  <c r="K48" i="35"/>
  <c r="Q48" i="35" s="1"/>
  <c r="L48" i="33"/>
  <c r="P48" i="33" s="1"/>
  <c r="K48" i="33"/>
  <c r="Q48" i="33" s="1"/>
  <c r="L48" i="31"/>
  <c r="P48" i="31" s="1"/>
  <c r="K48" i="31"/>
  <c r="Q48" i="31" s="1"/>
  <c r="L48" i="29"/>
  <c r="P48" i="29" s="1"/>
  <c r="K48" i="29"/>
  <c r="Q48" i="29" s="1"/>
  <c r="K48" i="27"/>
  <c r="Q48" i="27" s="1"/>
  <c r="K48" i="25"/>
  <c r="Q48" i="25" s="1"/>
  <c r="K48" i="23"/>
  <c r="Q48" i="23" s="1"/>
  <c r="K48" i="21"/>
  <c r="Q48" i="21" s="1"/>
  <c r="K48" i="19"/>
  <c r="Q48" i="19" s="1"/>
  <c r="K48" i="17"/>
  <c r="Q48" i="17" s="1"/>
  <c r="Q39" i="23"/>
  <c r="P22" i="31"/>
  <c r="P38" i="27"/>
  <c r="P26" i="17"/>
  <c r="Q27" i="17"/>
  <c r="Q27" i="31"/>
  <c r="L55" i="19"/>
  <c r="L55" i="17"/>
  <c r="L55" i="21"/>
  <c r="O44" i="35"/>
  <c r="O44" i="33"/>
  <c r="O44" i="31"/>
  <c r="O44" i="29"/>
  <c r="O44" i="25"/>
  <c r="O44" i="27"/>
  <c r="O44" i="21"/>
  <c r="O44" i="19"/>
  <c r="O44" i="17"/>
  <c r="O44" i="23"/>
  <c r="Q33" i="29"/>
  <c r="Q30" i="29"/>
  <c r="P27" i="21"/>
  <c r="P36" i="35"/>
  <c r="P19" i="25"/>
  <c r="P49" i="25"/>
  <c r="L23" i="19"/>
  <c r="P23" i="19" s="1"/>
  <c r="L23" i="21"/>
  <c r="P23" i="21" s="1"/>
  <c r="L23" i="17"/>
  <c r="P23" i="17" s="1"/>
  <c r="P33" i="27"/>
  <c r="L47" i="19"/>
  <c r="P47" i="19" s="1"/>
  <c r="L47" i="21"/>
  <c r="P47" i="21" s="1"/>
  <c r="L47" i="17"/>
  <c r="P47" i="17" s="1"/>
  <c r="D134" i="6"/>
  <c r="F134" i="6"/>
  <c r="E134" i="6"/>
  <c r="B23" i="10"/>
  <c r="A23" i="10"/>
  <c r="D23" i="10"/>
  <c r="E23" i="10"/>
  <c r="C23" i="10"/>
  <c r="P31" i="17"/>
  <c r="Q25" i="17"/>
  <c r="Q22" i="21"/>
  <c r="Q22" i="33"/>
  <c r="Q19" i="35"/>
  <c r="A108" i="10"/>
  <c r="E108" i="10"/>
  <c r="C108" i="10"/>
  <c r="D108" i="10"/>
  <c r="B108" i="10"/>
  <c r="A60" i="10"/>
  <c r="E60" i="10"/>
  <c r="C60" i="10"/>
  <c r="B60" i="10"/>
  <c r="D60" i="10"/>
  <c r="P34" i="31"/>
  <c r="E8" i="12"/>
  <c r="F117" i="6"/>
  <c r="D117" i="6"/>
  <c r="E117" i="6"/>
  <c r="F101" i="6"/>
  <c r="D101" i="6"/>
  <c r="E101" i="6"/>
  <c r="D45" i="10"/>
  <c r="C45" i="10"/>
  <c r="B45" i="10"/>
  <c r="A45" i="10"/>
  <c r="E45" i="10"/>
  <c r="Q44" i="21" l="1"/>
  <c r="Q44" i="33"/>
  <c r="Q37" i="25"/>
  <c r="Q37" i="33"/>
  <c r="Q16" i="23"/>
  <c r="Q44" i="25"/>
  <c r="Q24" i="19"/>
  <c r="Q37" i="35"/>
  <c r="Q16" i="25"/>
  <c r="Q16" i="35"/>
  <c r="Q28" i="27"/>
  <c r="Q44" i="23"/>
  <c r="Q16" i="27"/>
  <c r="Q28" i="17"/>
  <c r="Q28" i="31"/>
  <c r="Q40" i="25"/>
  <c r="Q52" i="33"/>
  <c r="Q37" i="31"/>
  <c r="Q28" i="21"/>
  <c r="Q28" i="33"/>
  <c r="Q52" i="35"/>
  <c r="Q44" i="27"/>
  <c r="Q37" i="19"/>
  <c r="Q16" i="17"/>
  <c r="Q16" i="31"/>
  <c r="Q28" i="25"/>
  <c r="Q40" i="35"/>
  <c r="Q52" i="23"/>
  <c r="Q44" i="17"/>
  <c r="Q44" i="31"/>
  <c r="Q37" i="21"/>
  <c r="Q16" i="19"/>
  <c r="Q28" i="23"/>
  <c r="Q52" i="27"/>
  <c r="Q44" i="19"/>
  <c r="Q37" i="23"/>
  <c r="Q16" i="21"/>
  <c r="Q16" i="33"/>
  <c r="Q28" i="29"/>
  <c r="Q28" i="35"/>
</calcChain>
</file>

<file path=xl/sharedStrings.xml><?xml version="1.0" encoding="utf-8"?>
<sst xmlns="http://schemas.openxmlformats.org/spreadsheetml/2006/main" count="1189" uniqueCount="284">
  <si>
    <t>CUADRO DE NOTAS FINALES — 9° GRADO · ESCUELA CERRO CACICÓN 2026</t>
  </si>
  <si>
    <t>Nota: Las calificaciones se obtienen automáticamente de las hojas PROM de cada materia</t>
  </si>
  <si>
    <t>No.</t>
  </si>
  <si>
    <t>APELLIDO, NOMBRE</t>
  </si>
  <si>
    <t>INGLÉS</t>
  </si>
  <si>
    <t>AGROPECUARIA</t>
  </si>
  <si>
    <t>COMERCIO</t>
  </si>
  <si>
    <t>TECNOLOGÍA</t>
  </si>
  <si>
    <t>ED. ARTÍSTICA</t>
  </si>
  <si>
    <t>ESTADO</t>
  </si>
  <si>
    <t>T1</t>
  </si>
  <si>
    <t>T2</t>
  </si>
  <si>
    <t>T3</t>
  </si>
  <si>
    <t>FINAL</t>
  </si>
  <si>
    <t>PROMEDIO DEL GRUPO</t>
  </si>
  <si>
    <t>Año lectivo:</t>
  </si>
  <si>
    <t>Elmer Tugri</t>
  </si>
  <si>
    <t>GRADO</t>
  </si>
  <si>
    <t>OBSERVACIONES</t>
  </si>
  <si>
    <t>7°</t>
  </si>
  <si>
    <t>8°</t>
  </si>
  <si>
    <t>9°</t>
  </si>
  <si>
    <t>TRIMESTRES</t>
  </si>
  <si>
    <t>No</t>
  </si>
  <si>
    <t>HOJA MAESTRO — ESCUELA CERRO CACICÓN · AÑO LECTIVO 2026</t>
  </si>
  <si>
    <t>Ingresa aquí los nombres de cada grado. Se copiarán automáticamente a TODAS las hojas.</t>
  </si>
  <si>
    <t>7° GRADO</t>
  </si>
  <si>
    <t>8° GRADO</t>
  </si>
  <si>
    <t>9° GRADO</t>
  </si>
  <si>
    <t>⚠ IMPORTANTE: Solo edita esta hoja para nombres. Todas las demás hojas se actualizan automáticamente.</t>
  </si>
  <si>
    <t>Matriculados</t>
  </si>
  <si>
    <t>Aprobados</t>
  </si>
  <si>
    <t>Reprobados</t>
  </si>
  <si>
    <t>INGLÉS FINAL</t>
  </si>
  <si>
    <t>TECNOLOGÍA FINAL</t>
  </si>
  <si>
    <t>CUADRO DE NOTAS FINALES — 7° GRADO · ESCUELA CERRO CACICÓN 2026</t>
  </si>
  <si>
    <t>HOGAR Y DESARROLLO</t>
  </si>
  <si>
    <t>CUADRO DE NOTAS FINALES — 8° GRADO · ESCUELA CERRO CACICÓN 2026</t>
  </si>
  <si>
    <t>MINISTERIO DE EDUCACIÓN DE PANAMÁ</t>
  </si>
  <si>
    <t>ESCUELA CERRO CACICÓN — COMARCA NGÄBE BUGLÉ</t>
  </si>
  <si>
    <t>INFORME ACADÉMICO GENERAL — AÑO LECTIVO 2026</t>
  </si>
  <si>
    <t>Docente: Elmer Tugri  |  Premedia Multigrado Modalidad Flexible  |  Fecha: =TEXT(TODAY(),"DD/MM/YYYY")</t>
  </si>
  <si>
    <t>1. MATRÍCULA GENERAL</t>
  </si>
  <si>
    <t>TOTAL MATRICULADOS</t>
  </si>
  <si>
    <t>HOMBRES</t>
  </si>
  <si>
    <t>MUJERES</t>
  </si>
  <si>
    <t>TOTAL GENERAL</t>
  </si>
  <si>
    <t>2. RENDIMIENTO ACADÉMICO POR GRADO</t>
  </si>
  <si>
    <t>MATRICULADOS</t>
  </si>
  <si>
    <t>APROBADOS</t>
  </si>
  <si>
    <t>REPROBADOS</t>
  </si>
  <si>
    <t>% APROBACIÓN</t>
  </si>
  <si>
    <t>PROMEDIO INGLÉS</t>
  </si>
  <si>
    <t>PROMEDIO TECNOLOGÍA</t>
  </si>
  <si>
    <t>3. ESTUDIANTES CON DEFICIENCIAS (NOTA FINAL &lt;3.0)</t>
  </si>
  <si>
    <t>4. FIRMAS Y APROBACIÓN</t>
  </si>
  <si>
    <t>Docente:  Elmer Tugri</t>
  </si>
  <si>
    <t>Firma: _________________________________</t>
  </si>
  <si>
    <t xml:space="preserve">Director(a):  </t>
  </si>
  <si>
    <t xml:space="preserve">Fecha de entrega:  </t>
  </si>
  <si>
    <t>LISTA DE ESTUDIANTES APROBADOS — AÑO LECTIVO 2026</t>
  </si>
  <si>
    <t>Escuela Cerro Cacicón · Prof. Elmer Tugri · Premedia Multigrado</t>
  </si>
  <si>
    <t>ESTUDIANTES APROBADOS — 7° GRADO</t>
  </si>
  <si>
    <t>NOTA PROMEDIO</t>
  </si>
  <si>
    <t>Total aprobados 7°:</t>
  </si>
  <si>
    <t>ESTUDIANTES APROBADOS — 8° GRADO</t>
  </si>
  <si>
    <t>Total aprobados 8°:</t>
  </si>
  <si>
    <t>ESTUDIANTES APROBADOS — 9° GRADO</t>
  </si>
  <si>
    <t>Total aprobados 9°:</t>
  </si>
  <si>
    <t>MI REPORTE DOCENTE — CONTROL PERSONAL 2026</t>
  </si>
  <si>
    <t>Prof. Elmer Tugri · Escuela Cerro Cacicón · Actualización automática</t>
  </si>
  <si>
    <t>RESUMEN RÁPIDO</t>
  </si>
  <si>
    <t>TOTAL</t>
  </si>
  <si>
    <t>Con ausencias &gt;5</t>
  </si>
  <si>
    <t>Prom. Inglés</t>
  </si>
  <si>
    <t>Prom. Tecnología</t>
  </si>
  <si>
    <t>NOTAS Y SEGUIMIENTO PERSONAL (escribe aquí lo que necesites)</t>
  </si>
  <si>
    <t>NOMBRE                          ALUMNA-ALUMNO</t>
  </si>
  <si>
    <t>ASISTENCIA DEL__17__DE___Marzo______AL__13___DE_____Junio_____</t>
  </si>
  <si>
    <t>PRIMER TRIMESTRE</t>
  </si>
  <si>
    <t>TOTAL AUSENCIAS</t>
  </si>
  <si>
    <t>TOTAL TARDANZAS</t>
  </si>
  <si>
    <t>ASISTENCIA DEL__23__DE____JUNIO____AL__12___DE___SEPTIEMBRE__</t>
  </si>
  <si>
    <t>SEGUNDO TRIMESTRE</t>
  </si>
  <si>
    <t>.</t>
  </si>
  <si>
    <t>ASISTENCIA DEL___22__DE___SEPTIEMBRE__AL__19__DE___DICIEMBRE___</t>
  </si>
  <si>
    <t>TERCER TRIMESTRE</t>
  </si>
  <si>
    <t>CALIFICACIONES-PRIMER TRIMESTRE</t>
  </si>
  <si>
    <t>CALIFICACIONES-SEGUNDO TRIMESTRE</t>
  </si>
  <si>
    <t>CALIFICACIONES-TERCER TIMESTRE</t>
  </si>
  <si>
    <t>CALIFICACIONES-TERCER BIMESTRE</t>
  </si>
  <si>
    <t>NOTAS PARCIALES 1/3</t>
  </si>
  <si>
    <t>PROMEDIO</t>
  </si>
  <si>
    <t>NOTAS DE APRECIACIÓN</t>
  </si>
  <si>
    <t>PRUEBAS TRIMESTRALES 1/3</t>
  </si>
  <si>
    <t>CALIFICACIÓN           TRIMESTRAL</t>
  </si>
  <si>
    <t>PRUEBAS BIMESTRALES 1/3</t>
  </si>
  <si>
    <t>CALIFICACIÓN           BIMESTRAL</t>
  </si>
  <si>
    <t xml:space="preserve">MINISTERIO DE EDUCACION </t>
  </si>
  <si>
    <t>ESCUELA CERRO CACICON</t>
  </si>
  <si>
    <t>CACICON, COMARCA NGABE BUGLE</t>
  </si>
  <si>
    <t>INFORME DE CALIFICACIONES, AUSENCIAS Y TARDANZAS 2024</t>
  </si>
  <si>
    <t>AÑO LECTIVO:</t>
  </si>
  <si>
    <t xml:space="preserve">GRUPO: </t>
  </si>
  <si>
    <t>PROF. CONSEJERO (A):</t>
  </si>
  <si>
    <t>DIGNA</t>
  </si>
  <si>
    <t xml:space="preserve">ASIGNATURA: </t>
  </si>
  <si>
    <t>INGLES</t>
  </si>
  <si>
    <t>PROFESOR:</t>
  </si>
  <si>
    <t>ELMER TUGRI</t>
  </si>
  <si>
    <t>AUSENCIAS/TARDANZAS</t>
  </si>
  <si>
    <t xml:space="preserve">TOTAL FINAL </t>
  </si>
  <si>
    <t xml:space="preserve"> CEDULA</t>
  </si>
  <si>
    <t>I</t>
  </si>
  <si>
    <t>II</t>
  </si>
  <si>
    <t>III</t>
  </si>
  <si>
    <t>NOTA FINAL</t>
  </si>
  <si>
    <t>A</t>
  </si>
  <si>
    <t>T</t>
  </si>
  <si>
    <t>CALIFICACIONES-TERCER TRIMESTRE</t>
  </si>
  <si>
    <t xml:space="preserve">T. - HOGAR Y DESARROLLO </t>
  </si>
  <si>
    <t>8° A - 8° B</t>
  </si>
  <si>
    <t>SANTIAGO - ELMER</t>
  </si>
  <si>
    <t xml:space="preserve">ELMER TUGRI </t>
  </si>
  <si>
    <t>CINTYA</t>
  </si>
  <si>
    <t>ARTISTICAS</t>
  </si>
  <si>
    <t>Registro de Asistencia</t>
  </si>
  <si>
    <t>y Evaluación</t>
  </si>
  <si>
    <t>para Docentes de Centros</t>
  </si>
  <si>
    <t>Educativos Oficiales</t>
  </si>
  <si>
    <t xml:space="preserve">Prof.  Elmer Tugri </t>
  </si>
  <si>
    <t xml:space="preserve"> Insturctor Vocacional Pre-Media</t>
  </si>
  <si>
    <t xml:space="preserve">Grupo: </t>
  </si>
  <si>
    <t>REGISTRO DE ASISTENCIA Y EVALUACIÓN</t>
  </si>
  <si>
    <t xml:space="preserve">PARA PROFESORES DE LOS CENTROS </t>
  </si>
  <si>
    <t>EDUCATIVOS OFICIALES</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</si>
  <si>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</si>
  <si>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</si>
  <si>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</si>
  <si>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</si>
  <si>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</si>
  <si>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</si>
  <si>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</si>
  <si>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</si>
  <si>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</si>
  <si>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</si>
  <si>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</si>
  <si>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</si>
  <si>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</si>
  <si>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</si>
  <si>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</si>
  <si>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</si>
  <si>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</si>
  <si>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</si>
  <si>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</si>
  <si>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</si>
  <si>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</si>
  <si>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Escuela Cerro Cacicon</t>
  </si>
  <si>
    <t>Teléfono:</t>
  </si>
  <si>
    <t>Correo Electrónico:</t>
  </si>
  <si>
    <t>elmer.tugri7@meduca.edu.pa</t>
  </si>
  <si>
    <t>Regional:</t>
  </si>
  <si>
    <t>Comarca Ngabe Bugle</t>
  </si>
  <si>
    <t>Distrito de:</t>
  </si>
  <si>
    <t>MÜNA</t>
  </si>
  <si>
    <t>Corregimiento de:</t>
  </si>
  <si>
    <t>MARACA</t>
  </si>
  <si>
    <t>Zona Escolar:</t>
  </si>
  <si>
    <t>Profesor:</t>
  </si>
  <si>
    <t>MATUTINA</t>
  </si>
  <si>
    <t>Tecnología (7° a 9°) - Expresiones Artísticas (9°) - Ingles (7° a 9°)</t>
  </si>
  <si>
    <t>Grados:</t>
  </si>
  <si>
    <t>PERIODO</t>
  </si>
  <si>
    <t>HORAS</t>
  </si>
  <si>
    <t>LUNES</t>
  </si>
  <si>
    <t>MARTES</t>
  </si>
  <si>
    <t>MIERCOLES</t>
  </si>
  <si>
    <t>JUEVES</t>
  </si>
  <si>
    <t>VIERNES</t>
  </si>
  <si>
    <t>8:00 -8:35</t>
  </si>
  <si>
    <t xml:space="preserve">ACTO CIVO </t>
  </si>
  <si>
    <t>TECNOLOGIA 9°</t>
  </si>
  <si>
    <t>8:35 - 9:10</t>
  </si>
  <si>
    <t>TECNOLOGIA 7°</t>
  </si>
  <si>
    <t>INGLES 9°</t>
  </si>
  <si>
    <t>INGLES 8°</t>
  </si>
  <si>
    <t>9:10 - 9:45</t>
  </si>
  <si>
    <t>INGLES 7°</t>
  </si>
  <si>
    <t>IV</t>
  </si>
  <si>
    <t>9:45 - 10:20</t>
  </si>
  <si>
    <t>TECNOLOGIA 8°</t>
  </si>
  <si>
    <t>Artística 9°</t>
  </si>
  <si>
    <t>RECESO ACADÉMICO</t>
  </si>
  <si>
    <t>V</t>
  </si>
  <si>
    <t>10:40 - 11:15</t>
  </si>
  <si>
    <t>VI</t>
  </si>
  <si>
    <t>11:15 - 11:50</t>
  </si>
  <si>
    <t>VII</t>
  </si>
  <si>
    <t>11:50 - 12:25</t>
  </si>
  <si>
    <t>PROYECTOS</t>
  </si>
  <si>
    <t>VIII</t>
  </si>
  <si>
    <t>12:25 - 1:00</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</si>
  <si>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</si>
  <si>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</si>
  <si>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</si>
  <si>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</si>
  <si>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</si>
  <si>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</si>
  <si>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</si>
  <si>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</si>
  <si>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</si>
  <si>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</si>
  <si>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</si>
  <si>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</si>
  <si>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</si>
  <si>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</si>
  <si>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</si>
  <si>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</si>
  <si>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</si>
  <si>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</si>
  <si>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</si>
  <si>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</si>
  <si>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</si>
  <si>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</si>
  <si>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</si>
  <si>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</si>
  <si>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</si>
  <si>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</si>
  <si>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</si>
  <si>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</si>
  <si>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</si>
  <si>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</si>
  <si>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</si>
  <si>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</si>
  <si>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</si>
  <si>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</si>
  <si>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</si>
  <si>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</si>
  <si>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</si>
  <si>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</si>
  <si>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REGISTRODOC MULTIGRADO</t>
  </si>
  <si>
    <t>PORTADA ACADEMICA</t>
  </si>
  <si>
    <t>Control de notas y asistencia</t>
  </si>
  <si>
    <t>INFORMACION INSTITUCIONAL</t>
  </si>
  <si>
    <t>Escuela</t>
  </si>
  <si>
    <t>Docente</t>
  </si>
  <si>
    <t>Ano lectivo</t>
  </si>
  <si>
    <t>Grados</t>
  </si>
  <si>
    <t>7°, 8° y 9°</t>
  </si>
  <si>
    <t>Materias</t>
  </si>
  <si>
    <t>Ingles, Agropecuaria, Comercio, Hogar y Desarrollo, Artistica</t>
  </si>
  <si>
    <t>HOJAS CLAVE DEL LIBRO</t>
  </si>
  <si>
    <t>MAESTRO</t>
  </si>
  <si>
    <t>Lista base de estudiantes por grado</t>
  </si>
  <si>
    <t>DASHBOARD</t>
  </si>
  <si>
    <t>Resumen visual con graficas</t>
  </si>
  <si>
    <t>Asistencia 7/8/9</t>
  </si>
  <si>
    <t>Registro directo por hoja de grado</t>
  </si>
  <si>
    <t>PROM y PLANILLAS</t>
  </si>
  <si>
    <t>Calificaciones por materia y grado</t>
  </si>
  <si>
    <t>DASHBOARD ACADEMICO</t>
  </si>
  <si>
    <t>Indicador</t>
  </si>
  <si>
    <t>Valor</t>
  </si>
  <si>
    <t>Total estudiantes 7°</t>
  </si>
  <si>
    <t>Total estudiantes 8°</t>
  </si>
  <si>
    <t>Total estudiantes 9°</t>
  </si>
  <si>
    <t>Total general</t>
  </si>
  <si>
    <t>Grado</t>
  </si>
  <si>
    <t>Riesgo Academico</t>
  </si>
  <si>
    <t>Riesgo Inasistencia</t>
  </si>
  <si>
    <t>Prioridad</t>
  </si>
  <si>
    <t>Descripcion</t>
  </si>
  <si>
    <t>Atencion academica</t>
  </si>
  <si>
    <t>Atencion asistencia</t>
  </si>
  <si>
    <t>GRAFICOS Y ALERTAS DE RENDIMIENTO</t>
  </si>
  <si>
    <t>Estudiante</t>
  </si>
  <si>
    <t>Ausencias</t>
  </si>
  <si>
    <t>NotaFinal</t>
  </si>
  <si>
    <t>TareasVacias</t>
  </si>
  <si>
    <t>Mas inasistencia</t>
  </si>
  <si>
    <t>Nota mas baja</t>
  </si>
  <si>
    <t>No entrega tareas</t>
  </si>
  <si>
    <t>Mejor estudiante</t>
  </si>
  <si>
    <t>RiesgoAcademico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</si>
</sst>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 #,##0.00000_-;\-* #,##0.00000_-;_-* &quot;-&quot;??_-;_-@_-"/>
    <numFmt numFmtId="166" formatCode="_-* #,##0.0000000000000_-;\-* #,##0.0000000000000_-;_-* &quot;-&quot;??_-;_-@_-"/>
    <numFmt numFmtId="167" formatCode="[$-180A]d&quot; de &quot;mmmm&quot; de &quot;yyyy;@"/>
    <numFmt numFmtId="168" formatCode="0.000"/>
  </numFmts>
  <fonts count="60">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i/>
      <sz val="9"/>
      <color rgb="FF1F3864"/>
      <name val="Arial"/>
    </font>
    <font>
      <b/>
      <sz val="10"/>
      <color rgb="FFFFFFFF"/>
      <name val="Arial"/>
    </font>
    <font>
      <b/>
      <sz val="10"/>
      <name val="Arial"/>
    </font>
    <font>
      <b/>
      <sz val="10"/>
      <color rgb="FF375623"/>
      <name val="Arial"/>
    </font>
    <font>
      <b/>
      <sz val="10"/>
      <color rgb="FF1F3864"/>
      <name val="Arial"/>
    </font>
    <font>
      <i/>
      <sz val="9"/>
      <color rgb="FF7030A0"/>
      <name val="Arial"/>
    </font>
    <font>
      <i/>
      <sz val="9"/>
      <color rgb="FFC55A11"/>
      <name val="Arial"/>
    </font>
    <font>
      <sz val="9"/>
      <name val="Arial"/>
    </font>
    <font>
      <b/>
      <sz val="12"/>
      <color rgb="FFFFFFFF"/>
      <name val="Arial"/>
    </font>
    <font>
      <b/>
      <sz val="10"/>
      <color rgb="FF000000"/>
      <name val="Arial"/>
    </font>
    <font>
      <b/>
      <sz val="11"/>
      <color rgb="FF1F3864"/>
      <name val="Arial"/>
    </font>
    <font>
      <i/>
      <sz val="10"/>
      <color rgb="FF595959"/>
      <name val="Arial"/>
    </font>
    <font>
      <sz val="10"/>
      <color rgb="FF375623"/>
      <name val="Arial"/>
    </font>
    <font>
      <b/>
      <sz val="11"/>
      <color rgb="FF375623"/>
      <name val="Arial"/>
    </font>
    <font>
      <sz val="10"/>
      <color rgb="FFC55A11"/>
      <name val="Arial"/>
    </font>
    <font>
      <b/>
      <sz val="11"/>
      <color rgb="FFC55A11"/>
      <name val="Arial"/>
    </font>
    <font>
      <b/>
      <sz val="11"/>
      <color rgb="FFFFFFFF"/>
      <name val="Calibri"/>
      <family val="2"/>
      <scheme val="minor"/>
    </font>
    <font>
      <b/>
      <sz val="30"/>
      <color rgb="FFFFFFFF"/>
      <name val="Calibri"/>
      <family val="2"/>
      <scheme val="minor"/>
    </font>
    <font>
      <b/>
      <sz val="16"/>
      <color rgb="FFDCEBFF"/>
      <name val="Calibri"/>
      <family val="2"/>
      <scheme val="minor"/>
    </font>
    <font>
      <sz val="12"/>
      <color rgb="FFC8DCF5"/>
      <name val="Calibri"/>
      <family val="2"/>
      <scheme val="minor"/>
    </font>
    <font>
      <b/>
      <sz val="11"/>
      <color rgb="FF1F3864"/>
      <name val="Calibri"/>
      <family val="2"/>
      <scheme val="minor"/>
    </font>
    <font>
      <b/>
      <sz val="14"/>
      <color rgb="FF1F3864"/>
      <name val="Calibri"/>
      <family val="2"/>
      <scheme val="minor"/>
    </font>
    <font>
      <b/>
      <sz val="11"/>
      <color rgb="FF006633"/>
      <name val="Calibri"/>
      <family val="2"/>
      <scheme val="minor"/>
    </font>
    <font>
      <b/>
      <sz val="24"/>
      <color rgb="FFFFFFFF"/>
      <name val="Calibri"/>
      <family val="2"/>
      <scheme val="minor"/>
    </font>
    <font>
      <b/>
      <sz val="11"/>
      <color rgb="FF3C3C3C"/>
      <name val="Calibri"/>
      <family val="2"/>
      <scheme val="minor"/>
    </font>
    <font>
      <b/>
      <sz val="12"/>
      <color rgb="FF3C3C3C"/>
      <name val="Calibri"/>
      <family val="2"/>
      <scheme val="minor"/>
    </font>
    <font>
      <b/>
      <sz val="22"/>
      <color rgb="FFFFFFFF"/>
      <name val="Calibri"/>
      <family val="2"/>
      <scheme val="minor"/>
    </font>
    <font>
      <b/>
      <sz val="10"/>
      <color rgb="FFFFFFFF"/>
      <name val="Calibri"/>
      <family val="2"/>
      <scheme val="minor"/>
    </font>
    <font>
      <sz val="10"/>
      <color rgb="FF1F3864"/>
      <name val="Arial"/>
      <family val="2"/>
    </font>
  </fonts>
  <fills count="2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27">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s>
  <cellStyleXfs count="3">
    <xf numFmtId="0" fontId="0" fillId="0" borderId="0"/>
    <xf numFmtId="43" fontId="13" fillId="0" borderId="0"/>
    <xf numFmtId="0" fontId="18" fillId="0" borderId="0"/>
  </cellStyleXfs>
  <cellXfs count="311">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0" fillId="0" borderId="8"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10" xfId="0" applyFont="1" applyBorder="1" applyAlignment="1">
      <alignment horizontal="left"/>
    </xf>
    <xf numFmtId="0" fontId="8" fillId="0" borderId="0" xfId="0" applyFont="1"/>
    <xf numFmtId="0" fontId="9" fillId="0" borderId="0" xfId="0" applyFont="1" applyAlignment="1">
      <alignment vertical="center"/>
    </xf>
    <xf numFmtId="0" fontId="8" fillId="3" borderId="0" xfId="0" applyFont="1" applyFill="1"/>
    <xf numFmtId="0" fontId="9" fillId="0" borderId="6" xfId="0" applyFont="1" applyBorder="1" applyAlignment="1">
      <alignment horizontal="center"/>
    </xf>
    <xf numFmtId="0" fontId="7" fillId="0" borderId="11" xfId="0" applyFont="1" applyBorder="1" applyAlignment="1">
      <alignment horizontal="left"/>
    </xf>
    <xf numFmtId="0" fontId="6" fillId="0" borderId="11"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6" xfId="0" applyBorder="1"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7"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10" xfId="0" applyNumberFormat="1" applyFont="1" applyBorder="1" applyAlignment="1">
      <alignment horizontal="center" vertical="center" wrapText="1"/>
    </xf>
    <xf numFmtId="164" fontId="0" fillId="0" borderId="12" xfId="0" applyNumberFormat="1" applyBorder="1"/>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4" fillId="0" borderId="2" xfId="1" applyNumberFormat="1" applyFont="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2" xfId="1" applyNumberFormat="1" applyFont="1" applyBorder="1" applyAlignment="1">
      <alignment horizontal="left"/>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0" fillId="0" borderId="10" xfId="0" applyBorder="1"/>
    <xf numFmtId="0" fontId="5" fillId="0" borderId="6" xfId="0" applyFont="1" applyBorder="1" applyAlignment="1">
      <alignment horizontal="center" vertical="center" textRotation="90"/>
    </xf>
    <xf numFmtId="0" fontId="5" fillId="0" borderId="12" xfId="0" applyFont="1" applyBorder="1" applyAlignment="1">
      <alignment horizontal="center" vertical="center" textRotation="90"/>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167" fontId="0" fillId="0" borderId="2" xfId="0" applyNumberFormat="1" applyBorder="1" applyAlignment="1">
      <alignment horizontal="left" textRotation="90"/>
    </xf>
    <xf numFmtId="0" fontId="0" fillId="0" borderId="17" xfId="0" applyBorder="1" applyAlignment="1">
      <alignment horizontal="center"/>
    </xf>
    <xf numFmtId="2" fontId="10" fillId="0" borderId="2" xfId="0" applyNumberFormat="1" applyFont="1" applyBorder="1" applyAlignment="1">
      <alignment horizontal="center"/>
    </xf>
    <xf numFmtId="168" fontId="10" fillId="0" borderId="2" xfId="0" applyNumberFormat="1" applyFont="1" applyBorder="1" applyAlignment="1">
      <alignment horizontal="center"/>
    </xf>
    <xf numFmtId="0" fontId="2" fillId="0" borderId="0" xfId="0" applyFont="1" applyAlignment="1">
      <alignment horizontal="center" vertical="center"/>
    </xf>
    <xf numFmtId="0" fontId="21" fillId="0" borderId="10"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9" xfId="0" applyBorder="1" applyAlignment="1">
      <alignment vertical="center"/>
    </xf>
    <xf numFmtId="0" fontId="0" fillId="0" borderId="0" xfId="0" applyAlignment="1">
      <alignment vertical="center"/>
    </xf>
    <xf numFmtId="0" fontId="2" fillId="0" borderId="19"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2"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7" xfId="0" applyFont="1" applyBorder="1"/>
    <xf numFmtId="0" fontId="12" fillId="0" borderId="2" xfId="0" applyFont="1" applyBorder="1" applyAlignment="1">
      <alignment horizontal="center" vertical="center" wrapText="1"/>
    </xf>
    <xf numFmtId="0" fontId="0" fillId="0" borderId="14" xfId="0" applyBorder="1"/>
    <xf numFmtId="164" fontId="0" fillId="0" borderId="12" xfId="0" applyNumberFormat="1" applyBorder="1" applyAlignment="1">
      <alignment textRotation="90"/>
    </xf>
    <xf numFmtId="164" fontId="0" fillId="0" borderId="12" xfId="0" applyNumberFormat="1" applyBorder="1" applyAlignment="1">
      <alignment textRotation="90" wrapText="1"/>
    </xf>
    <xf numFmtId="164" fontId="0" fillId="0" borderId="2" xfId="0" applyNumberFormat="1" applyBorder="1" applyAlignment="1">
      <alignment textRotation="90"/>
    </xf>
    <xf numFmtId="164" fontId="0" fillId="0" borderId="2" xfId="0" applyNumberFormat="1" applyBorder="1" applyAlignment="1">
      <alignment textRotation="90" wrapText="1"/>
    </xf>
    <xf numFmtId="164" fontId="4" fillId="0" borderId="6" xfId="0" applyNumberFormat="1" applyFont="1" applyBorder="1" applyAlignment="1">
      <alignment horizontal="center" textRotation="90"/>
    </xf>
    <xf numFmtId="164" fontId="4" fillId="0" borderId="5" xfId="0" applyNumberFormat="1" applyFont="1" applyBorder="1" applyAlignment="1">
      <alignment horizontal="center" textRotation="90"/>
    </xf>
    <xf numFmtId="0" fontId="6" fillId="3" borderId="2" xfId="0" applyFont="1" applyFill="1" applyBorder="1"/>
    <xf numFmtId="165" fontId="4" fillId="0" borderId="6" xfId="1" applyNumberFormat="1" applyFont="1" applyBorder="1" applyAlignment="1">
      <alignment horizontal="center" textRotation="90"/>
    </xf>
    <xf numFmtId="165" fontId="0" fillId="0" borderId="6" xfId="1" applyNumberFormat="1" applyFont="1" applyBorder="1" applyAlignment="1">
      <alignment horizontal="center" textRotation="90"/>
    </xf>
    <xf numFmtId="164" fontId="4" fillId="0" borderId="12" xfId="0" applyNumberFormat="1" applyFont="1" applyBorder="1" applyAlignment="1">
      <alignment textRotation="90"/>
    </xf>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165" fontId="4" fillId="0" borderId="2" xfId="1" applyNumberFormat="1" applyFont="1" applyBorder="1" applyAlignment="1">
      <alignment textRotation="90" wrapText="1"/>
    </xf>
    <xf numFmtId="165" fontId="0" fillId="0" borderId="2" xfId="1" applyNumberFormat="1" applyFont="1" applyBorder="1" applyAlignment="1">
      <alignment textRotation="90"/>
    </xf>
    <xf numFmtId="1" fontId="0" fillId="0" borderId="2" xfId="0" applyNumberFormat="1" applyBorder="1" applyAlignment="1">
      <alignment horizontal="center" vertical="center"/>
    </xf>
    <xf numFmtId="14" fontId="2" fillId="0" borderId="10" xfId="0" applyNumberFormat="1" applyFont="1" applyBorder="1" applyAlignment="1">
      <alignment horizontal="center" vertical="center" wrapText="1"/>
    </xf>
    <xf numFmtId="0" fontId="1" fillId="0" borderId="6" xfId="0" applyFont="1" applyBorder="1" applyAlignment="1">
      <alignment horizontal="center" vertical="center" textRotation="90"/>
    </xf>
    <xf numFmtId="0" fontId="1" fillId="0" borderId="12" xfId="0" applyFont="1" applyBorder="1" applyAlignment="1">
      <alignment horizontal="center" vertical="center" textRotation="90"/>
    </xf>
    <xf numFmtId="0" fontId="26" fillId="6" borderId="22" xfId="0" applyFont="1" applyFill="1" applyBorder="1" applyAlignment="1">
      <alignment horizontal="center" vertical="center"/>
    </xf>
    <xf numFmtId="0" fontId="26" fillId="7" borderId="22" xfId="0" applyFont="1" applyFill="1" applyBorder="1" applyAlignment="1">
      <alignment horizontal="center" vertical="center"/>
    </xf>
    <xf numFmtId="0" fontId="26" fillId="8" borderId="22" xfId="0" applyFont="1" applyFill="1" applyBorder="1" applyAlignment="1">
      <alignment horizontal="center" vertical="center"/>
    </xf>
    <xf numFmtId="0" fontId="27" fillId="9" borderId="22" xfId="0" applyFont="1" applyFill="1" applyBorder="1" applyAlignment="1">
      <alignment horizontal="center" vertical="center"/>
    </xf>
    <xf numFmtId="0" fontId="28" fillId="9" borderId="22" xfId="0" applyFont="1" applyFill="1" applyBorder="1" applyAlignment="1">
      <alignment horizontal="left" vertical="center"/>
    </xf>
    <xf numFmtId="0" fontId="27" fillId="10" borderId="22" xfId="0" applyFont="1" applyFill="1" applyBorder="1" applyAlignment="1">
      <alignment horizontal="center" vertical="center"/>
    </xf>
    <xf numFmtId="0" fontId="28" fillId="10" borderId="22" xfId="0" applyFont="1" applyFill="1" applyBorder="1" applyAlignment="1">
      <alignment horizontal="left" vertical="center"/>
    </xf>
    <xf numFmtId="0" fontId="26" fillId="4" borderId="22" xfId="0" applyFont="1" applyFill="1" applyBorder="1" applyAlignment="1">
      <alignment horizontal="center" vertical="center"/>
    </xf>
    <xf numFmtId="0" fontId="26" fillId="11" borderId="22" xfId="0" applyFont="1" applyFill="1" applyBorder="1" applyAlignment="1">
      <alignment horizontal="center" vertical="center"/>
    </xf>
    <xf numFmtId="0" fontId="28" fillId="10" borderId="22" xfId="0" applyFont="1" applyFill="1" applyBorder="1" applyAlignment="1">
      <alignment horizontal="center" vertical="center"/>
    </xf>
    <xf numFmtId="0" fontId="33" fillId="10" borderId="22" xfId="0" applyFont="1" applyFill="1" applyBorder="1" applyAlignment="1">
      <alignment horizontal="center" vertical="center"/>
    </xf>
    <xf numFmtId="0" fontId="34" fillId="12" borderId="22" xfId="0" applyFont="1" applyFill="1" applyBorder="1" applyAlignment="1">
      <alignment horizontal="center" vertical="center"/>
    </xf>
    <xf numFmtId="0" fontId="28" fillId="9" borderId="22" xfId="0" applyFont="1" applyFill="1" applyBorder="1" applyAlignment="1">
      <alignment horizontal="center" vertical="center"/>
    </xf>
    <xf numFmtId="0" fontId="33" fillId="9" borderId="22" xfId="0" applyFont="1" applyFill="1" applyBorder="1" applyAlignment="1">
      <alignment horizontal="center" vertical="center"/>
    </xf>
    <xf numFmtId="0" fontId="35" fillId="13" borderId="22" xfId="0" applyFont="1" applyFill="1" applyBorder="1" applyAlignment="1">
      <alignment horizontal="center" vertical="center"/>
    </xf>
    <xf numFmtId="0" fontId="0" fillId="13" borderId="22" xfId="0" applyFill="1" applyBorder="1"/>
    <xf numFmtId="0" fontId="0" fillId="12" borderId="22" xfId="0" applyFill="1" applyBorder="1"/>
    <xf numFmtId="0" fontId="26" fillId="6" borderId="22" xfId="0" applyFont="1" applyFill="1" applyBorder="1" applyAlignment="1">
      <alignment horizontal="center" vertical="center" wrapText="1"/>
    </xf>
    <xf numFmtId="0" fontId="38" fillId="5" borderId="22" xfId="0" applyFont="1" applyFill="1" applyBorder="1" applyAlignment="1">
      <alignment horizontal="center" vertical="center"/>
    </xf>
    <xf numFmtId="0" fontId="38" fillId="5" borderId="22" xfId="0" applyFont="1" applyFill="1" applyBorder="1" applyAlignment="1">
      <alignment horizontal="left" vertical="center"/>
    </xf>
    <xf numFmtId="0" fontId="38" fillId="9" borderId="22" xfId="0" applyFont="1" applyFill="1" applyBorder="1" applyAlignment="1">
      <alignment horizontal="center" vertical="center"/>
    </xf>
    <xf numFmtId="0" fontId="38" fillId="9" borderId="22" xfId="0" applyFont="1" applyFill="1" applyBorder="1" applyAlignment="1">
      <alignment horizontal="left" vertical="center"/>
    </xf>
    <xf numFmtId="0" fontId="38" fillId="14" borderId="22" xfId="0" applyFont="1" applyFill="1" applyBorder="1" applyAlignment="1">
      <alignment horizontal="center" vertical="center"/>
    </xf>
    <xf numFmtId="0" fontId="38" fillId="14" borderId="22" xfId="0" applyFont="1" applyFill="1" applyBorder="1" applyAlignment="1">
      <alignment horizontal="left" vertical="center"/>
    </xf>
    <xf numFmtId="0" fontId="38" fillId="15" borderId="22" xfId="0" applyFont="1" applyFill="1" applyBorder="1" applyAlignment="1">
      <alignment horizontal="center" vertical="center"/>
    </xf>
    <xf numFmtId="0" fontId="38" fillId="15" borderId="22" xfId="0" applyFont="1" applyFill="1" applyBorder="1" applyAlignment="1">
      <alignment horizontal="left" vertical="center"/>
    </xf>
    <xf numFmtId="0" fontId="40" fillId="9" borderId="22" xfId="0" applyFont="1" applyFill="1" applyBorder="1" applyAlignment="1">
      <alignment horizontal="center" vertical="center"/>
    </xf>
    <xf numFmtId="0" fontId="35" fillId="9" borderId="22" xfId="0" applyFont="1" applyFill="1" applyBorder="1" applyAlignment="1">
      <alignment horizontal="center" vertical="center"/>
    </xf>
    <xf numFmtId="0" fontId="0" fillId="9" borderId="22" xfId="0" applyFill="1" applyBorder="1"/>
    <xf numFmtId="0" fontId="40" fillId="10" borderId="22" xfId="0" applyFont="1" applyFill="1" applyBorder="1" applyAlignment="1">
      <alignment horizontal="center" vertical="center"/>
    </xf>
    <xf numFmtId="0" fontId="35" fillId="10" borderId="22" xfId="0" applyFont="1" applyFill="1" applyBorder="1" applyAlignment="1">
      <alignment horizontal="center" vertical="center"/>
    </xf>
    <xf numFmtId="0" fontId="0" fillId="10" borderId="22" xfId="0" applyFill="1" applyBorder="1"/>
    <xf numFmtId="0" fontId="41" fillId="13" borderId="22" xfId="0" applyFont="1" applyFill="1" applyBorder="1" applyAlignment="1">
      <alignment horizontal="center" vertical="center"/>
    </xf>
    <xf numFmtId="0" fontId="26" fillId="8" borderId="22" xfId="0" applyFont="1" applyFill="1" applyBorder="1" applyAlignment="1">
      <alignment horizontal="center" vertical="center" wrapText="1"/>
    </xf>
    <xf numFmtId="0" fontId="26" fillId="4" borderId="22" xfId="0" applyFont="1" applyFill="1" applyBorder="1" applyAlignment="1">
      <alignment horizontal="center" vertical="center" wrapText="1"/>
    </xf>
    <xf numFmtId="0" fontId="28" fillId="12" borderId="22" xfId="0" applyFont="1" applyFill="1" applyBorder="1" applyAlignment="1">
      <alignment horizontal="center" vertical="center"/>
    </xf>
    <xf numFmtId="0" fontId="28" fillId="12" borderId="22" xfId="0" applyFont="1" applyFill="1" applyBorder="1" applyAlignment="1">
      <alignment horizontal="left" vertical="center"/>
    </xf>
    <xf numFmtId="0" fontId="44" fillId="12" borderId="22" xfId="0" applyFont="1" applyFill="1" applyBorder="1" applyAlignment="1">
      <alignment horizontal="center" vertical="center"/>
    </xf>
    <xf numFmtId="0" fontId="26" fillId="7" borderId="22" xfId="0" applyFont="1" applyFill="1" applyBorder="1" applyAlignment="1">
      <alignment horizontal="center" vertical="center" wrapText="1"/>
    </xf>
    <xf numFmtId="0" fontId="33" fillId="5" borderId="22" xfId="0" applyFont="1" applyFill="1" applyBorder="1" applyAlignment="1">
      <alignment horizontal="left" vertical="center"/>
    </xf>
    <xf numFmtId="0" fontId="41" fillId="5" borderId="22" xfId="0" applyFont="1" applyFill="1" applyBorder="1" applyAlignment="1">
      <alignment horizontal="center" vertical="center"/>
    </xf>
    <xf numFmtId="0" fontId="46" fillId="5" borderId="22" xfId="0" applyFont="1" applyFill="1" applyBorder="1" applyAlignment="1">
      <alignment horizontal="center" vertical="center"/>
    </xf>
    <xf numFmtId="0" fontId="33" fillId="12" borderId="22" xfId="0" applyFont="1" applyFill="1" applyBorder="1" applyAlignment="1">
      <alignment horizontal="left" vertical="center"/>
    </xf>
    <xf numFmtId="0" fontId="41" fillId="12" borderId="22" xfId="0" applyFont="1" applyFill="1" applyBorder="1" applyAlignment="1">
      <alignment horizontal="center" vertical="center"/>
    </xf>
    <xf numFmtId="0" fontId="46" fillId="12" borderId="22" xfId="0" applyFont="1" applyFill="1" applyBorder="1" applyAlignment="1">
      <alignment horizontal="center" vertical="center"/>
    </xf>
    <xf numFmtId="0" fontId="33" fillId="16" borderId="22" xfId="0" applyFont="1" applyFill="1" applyBorder="1" applyAlignment="1">
      <alignment horizontal="left" vertical="center"/>
    </xf>
    <xf numFmtId="0" fontId="41" fillId="16" borderId="22" xfId="0" applyFont="1" applyFill="1" applyBorder="1" applyAlignment="1">
      <alignment horizontal="center" vertical="center"/>
    </xf>
    <xf numFmtId="0" fontId="46" fillId="16" borderId="22" xfId="0" applyFont="1" applyFill="1" applyBorder="1" applyAlignment="1">
      <alignment horizontal="center" vertical="center"/>
    </xf>
    <xf numFmtId="0" fontId="33" fillId="17" borderId="22" xfId="0" applyFont="1" applyFill="1" applyBorder="1" applyAlignment="1">
      <alignment horizontal="left" vertical="center"/>
    </xf>
    <xf numFmtId="0" fontId="41" fillId="17" borderId="22" xfId="0" applyFont="1" applyFill="1" applyBorder="1" applyAlignment="1">
      <alignment horizontal="center" vertical="center"/>
    </xf>
    <xf numFmtId="0" fontId="46" fillId="17" borderId="22" xfId="0" applyFont="1" applyFill="1" applyBorder="1" applyAlignment="1">
      <alignment horizontal="center" vertical="center"/>
    </xf>
    <xf numFmtId="0" fontId="0" fillId="0" borderId="25" xfId="0" applyBorder="1"/>
    <xf numFmtId="0" fontId="0" fillId="0" borderId="23" xfId="0" applyBorder="1"/>
    <xf numFmtId="0" fontId="0" fillId="18" borderId="0" xfId="0" applyFill="1"/>
    <xf numFmtId="0" fontId="0" fillId="19" borderId="0" xfId="0" applyFill="1"/>
    <xf numFmtId="0" fontId="0" fillId="20" borderId="19" xfId="0" applyFill="1" applyBorder="1"/>
    <xf numFmtId="0" fontId="0" fillId="20" borderId="0" xfId="0" applyFill="1"/>
    <xf numFmtId="0" fontId="51" fillId="20" borderId="19" xfId="0" applyFont="1" applyFill="1" applyBorder="1"/>
    <xf numFmtId="0" fontId="0" fillId="20" borderId="16" xfId="0" applyFill="1" applyBorder="1"/>
    <xf numFmtId="0" fontId="0" fillId="20" borderId="17" xfId="0" applyFill="1" applyBorder="1"/>
    <xf numFmtId="0" fontId="0" fillId="20" borderId="26" xfId="0" applyFill="1" applyBorder="1"/>
    <xf numFmtId="0" fontId="0" fillId="20" borderId="18" xfId="0" applyFill="1" applyBorder="1"/>
    <xf numFmtId="0" fontId="53" fillId="20" borderId="19" xfId="0" applyFont="1" applyFill="1" applyBorder="1"/>
    <xf numFmtId="0" fontId="0" fillId="21" borderId="0" xfId="0" applyFill="1"/>
    <xf numFmtId="0" fontId="47" fillId="19" borderId="0" xfId="0" applyFont="1" applyFill="1"/>
    <xf numFmtId="0" fontId="47" fillId="22" borderId="0" xfId="0" applyFont="1" applyFill="1"/>
    <xf numFmtId="0" fontId="47" fillId="23" borderId="0" xfId="0" applyFont="1" applyFill="1"/>
    <xf numFmtId="0" fontId="47" fillId="24" borderId="0" xfId="0" applyFont="1" applyFill="1"/>
    <xf numFmtId="0" fontId="0" fillId="25" borderId="0" xfId="0" applyFill="1"/>
    <xf numFmtId="0" fontId="58" fillId="19" borderId="0" xfId="0" applyFont="1" applyFill="1"/>
    <xf numFmtId="0" fontId="58" fillId="22" borderId="0" xfId="0" applyFont="1" applyFill="1"/>
    <xf numFmtId="0" fontId="58" fillId="24" borderId="0" xfId="0" applyFont="1" applyFill="1"/>
    <xf numFmtId="0" fontId="17" fillId="0" borderId="0" xfId="0" applyFont="1" applyAlignment="1">
      <alignment horizontal="center" vertical="center"/>
    </xf>
    <xf numFmtId="0" fontId="0" fillId="0" borderId="0" xfId="0"/>
    <xf numFmtId="0" fontId="0" fillId="0" borderId="17" xfId="0" applyBorder="1" applyAlignment="1">
      <alignment horizontal="center"/>
    </xf>
    <xf numFmtId="0" fontId="0" fillId="0" borderId="17" xfId="0" applyBorder="1"/>
    <xf numFmtId="0" fontId="22" fillId="0" borderId="17" xfId="0" applyFont="1" applyBorder="1" applyAlignment="1">
      <alignment horizontal="center"/>
    </xf>
    <xf numFmtId="0" fontId="18" fillId="0" borderId="17" xfId="2" applyBorder="1" applyAlignment="1">
      <alignment horizontal="center"/>
    </xf>
    <xf numFmtId="0" fontId="57" fillId="19" borderId="0" xfId="0" applyFont="1" applyFill="1"/>
    <xf numFmtId="0" fontId="0" fillId="19" borderId="0" xfId="0" applyFill="1"/>
    <xf numFmtId="0" fontId="55" fillId="25" borderId="0" xfId="0" applyFont="1" applyFill="1"/>
    <xf numFmtId="0" fontId="0" fillId="25" borderId="0" xfId="0" applyFill="1"/>
    <xf numFmtId="0" fontId="48" fillId="19" borderId="0" xfId="0" applyFont="1" applyFill="1" applyAlignment="1">
      <alignment horizontal="center"/>
    </xf>
    <xf numFmtId="0" fontId="0" fillId="19" borderId="0" xfId="0" applyFill="1" applyAlignment="1">
      <alignment horizontal="center"/>
    </xf>
    <xf numFmtId="0" fontId="49" fillId="19" borderId="0" xfId="0" applyFont="1" applyFill="1" applyAlignment="1">
      <alignment horizontal="center"/>
    </xf>
    <xf numFmtId="0" fontId="50" fillId="19" borderId="0" xfId="0" applyFont="1" applyFill="1" applyAlignment="1">
      <alignment horizontal="center"/>
    </xf>
    <xf numFmtId="0" fontId="52" fillId="20" borderId="14" xfId="0" applyFont="1" applyFill="1" applyBorder="1"/>
    <xf numFmtId="0" fontId="0" fillId="20" borderId="20" xfId="0" applyFill="1" applyBorder="1"/>
    <xf numFmtId="0" fontId="0" fillId="20" borderId="15" xfId="0" applyFill="1" applyBorder="1"/>
    <xf numFmtId="0" fontId="23" fillId="4" borderId="0" xfId="0" applyFont="1" applyFill="1" applyAlignment="1">
      <alignment horizontal="center" vertical="center"/>
    </xf>
    <xf numFmtId="0" fontId="29" fillId="0" borderId="0" xfId="0" applyFont="1" applyAlignment="1">
      <alignment horizontal="center" vertical="center"/>
    </xf>
    <xf numFmtId="0" fontId="24" fillId="5" borderId="0" xfId="0" applyFont="1" applyFill="1" applyAlignment="1">
      <alignment horizontal="center" vertical="center"/>
    </xf>
    <xf numFmtId="0" fontId="25" fillId="7" borderId="22" xfId="0" applyFont="1" applyFill="1" applyBorder="1" applyAlignment="1">
      <alignment horizontal="center" vertical="center"/>
    </xf>
    <xf numFmtId="0" fontId="0" fillId="0" borderId="23" xfId="0" applyBorder="1"/>
    <xf numFmtId="0" fontId="25" fillId="6" borderId="22" xfId="0" applyFont="1" applyFill="1" applyBorder="1" applyAlignment="1">
      <alignment horizontal="center" vertical="center"/>
    </xf>
    <xf numFmtId="0" fontId="25" fillId="8" borderId="22" xfId="0" applyFont="1" applyFill="1" applyBorder="1" applyAlignment="1">
      <alignment horizontal="center" vertical="center"/>
    </xf>
    <xf numFmtId="0" fontId="56" fillId="21" borderId="0" xfId="0" applyFont="1" applyFill="1"/>
    <xf numFmtId="0" fontId="0" fillId="21" borderId="0" xfId="0" applyFill="1"/>
    <xf numFmtId="0" fontId="54" fillId="19" borderId="0" xfId="0" applyFont="1" applyFill="1"/>
    <xf numFmtId="0" fontId="30" fillId="4" borderId="0" xfId="0" applyFont="1" applyFill="1" applyAlignment="1">
      <alignment horizontal="center" vertical="center"/>
    </xf>
    <xf numFmtId="0" fontId="32" fillId="4" borderId="22" xfId="0" applyFont="1" applyFill="1" applyBorder="1" applyAlignment="1">
      <alignment horizontal="center" vertical="center"/>
    </xf>
    <xf numFmtId="0" fontId="0" fillId="0" borderId="24" xfId="0" applyBorder="1"/>
    <xf numFmtId="0" fontId="32" fillId="11" borderId="22" xfId="0" applyFont="1" applyFill="1" applyBorder="1" applyAlignment="1">
      <alignment horizontal="center" vertical="center"/>
    </xf>
    <xf numFmtId="0" fontId="0" fillId="0" borderId="25" xfId="0" applyBorder="1"/>
    <xf numFmtId="0" fontId="32" fillId="6" borderId="22" xfId="0" applyFont="1" applyFill="1" applyBorder="1" applyAlignment="1">
      <alignment horizontal="center" vertical="center"/>
    </xf>
    <xf numFmtId="0" fontId="32" fillId="8" borderId="22" xfId="0" applyFont="1" applyFill="1" applyBorder="1" applyAlignment="1">
      <alignment horizontal="center" vertical="center" wrapText="1"/>
    </xf>
    <xf numFmtId="0" fontId="31" fillId="5" borderId="0" xfId="0" applyFont="1" applyFill="1" applyAlignment="1">
      <alignment horizontal="center" vertical="center"/>
    </xf>
    <xf numFmtId="0" fontId="30" fillId="7" borderId="0" xfId="0" applyFont="1" applyFill="1" applyAlignment="1">
      <alignment horizontal="center" vertical="center"/>
    </xf>
    <xf numFmtId="0" fontId="32" fillId="7" borderId="22" xfId="0" applyFont="1" applyFill="1" applyBorder="1" applyAlignment="1">
      <alignment horizontal="center" vertical="center"/>
    </xf>
    <xf numFmtId="0" fontId="36" fillId="14" borderId="0" xfId="0" applyFont="1" applyFill="1" applyAlignment="1">
      <alignment horizontal="center" vertical="center"/>
    </xf>
    <xf numFmtId="0" fontId="30" fillId="8" borderId="0" xfId="0" applyFont="1" applyFill="1" applyAlignment="1">
      <alignment horizontal="center" vertical="center"/>
    </xf>
    <xf numFmtId="0" fontId="32" fillId="8" borderId="22" xfId="0" applyFont="1" applyFill="1" applyBorder="1" applyAlignment="1">
      <alignment horizontal="center" vertical="center"/>
    </xf>
    <xf numFmtId="0" fontId="37" fillId="15" borderId="0" xfId="0" applyFont="1" applyFill="1" applyAlignment="1">
      <alignment horizontal="center" vertical="center"/>
    </xf>
    <xf numFmtId="0" fontId="39" fillId="4" borderId="22" xfId="0" applyFont="1" applyFill="1" applyBorder="1" applyAlignment="1">
      <alignment horizontal="center" vertical="center" wrapText="1"/>
    </xf>
    <xf numFmtId="0" fontId="35" fillId="0" borderId="0" xfId="0" applyFont="1" applyAlignment="1">
      <alignment horizontal="left" vertical="center"/>
    </xf>
    <xf numFmtId="0" fontId="42" fillId="0" borderId="0" xfId="0" applyFont="1"/>
    <xf numFmtId="0" fontId="25" fillId="4" borderId="22" xfId="0" applyFont="1" applyFill="1" applyBorder="1" applyAlignment="1">
      <alignment horizontal="center" vertical="center" wrapText="1"/>
    </xf>
    <xf numFmtId="0" fontId="25" fillId="8" borderId="22" xfId="0" applyFont="1" applyFill="1" applyBorder="1" applyAlignment="1">
      <alignment horizontal="center" vertical="center" wrapText="1"/>
    </xf>
    <xf numFmtId="0" fontId="25" fillId="6" borderId="22" xfId="0" applyFont="1" applyFill="1" applyBorder="1" applyAlignment="1">
      <alignment horizontal="center" vertical="center" wrapText="1"/>
    </xf>
    <xf numFmtId="0" fontId="43" fillId="12" borderId="22" xfId="0" applyFont="1" applyFill="1" applyBorder="1" applyAlignment="1">
      <alignment horizontal="center" vertical="center" wrapText="1"/>
    </xf>
    <xf numFmtId="0" fontId="34" fillId="12" borderId="22" xfId="0" applyFont="1" applyFill="1" applyBorder="1" applyAlignment="1">
      <alignment horizontal="right" vertical="center"/>
    </xf>
    <xf numFmtId="0" fontId="25" fillId="11" borderId="22" xfId="0" applyFont="1" applyFill="1" applyBorder="1" applyAlignment="1">
      <alignment horizontal="center" vertical="center" wrapText="1"/>
    </xf>
    <xf numFmtId="0" fontId="25" fillId="7" borderId="22" xfId="0" applyFont="1" applyFill="1" applyBorder="1" applyAlignment="1">
      <alignment horizontal="center" vertical="center" wrapText="1"/>
    </xf>
    <xf numFmtId="0" fontId="0" fillId="9" borderId="22" xfId="0" applyFill="1" applyBorder="1"/>
    <xf numFmtId="0" fontId="0" fillId="10" borderId="22" xfId="0" applyFill="1" applyBorder="1"/>
    <xf numFmtId="0" fontId="45" fillId="15" borderId="22"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xf numFmtId="0" fontId="0" fillId="0" borderId="11" xfId="0" applyBorder="1"/>
    <xf numFmtId="14" fontId="3" fillId="0" borderId="3" xfId="0" applyNumberFormat="1" applyFont="1" applyBorder="1" applyAlignment="1">
      <alignment horizontal="center" vertical="center" wrapText="1"/>
    </xf>
    <xf numFmtId="0" fontId="0" fillId="0" borderId="12" xfId="0" applyBorder="1"/>
    <xf numFmtId="14" fontId="2" fillId="0" borderId="2" xfId="0" applyNumberFormat="1" applyFont="1" applyBorder="1" applyAlignment="1">
      <alignment horizontal="center" vertical="center" wrapText="1"/>
    </xf>
    <xf numFmtId="0" fontId="0" fillId="0" borderId="2" xfId="0" applyBorder="1" applyAlignment="1">
      <alignment horizontal="center" vertical="center"/>
    </xf>
    <xf numFmtId="0" fontId="0" fillId="0" borderId="15" xfId="0" applyBorder="1"/>
    <xf numFmtId="0" fontId="0" fillId="0" borderId="16" xfId="0" applyBorder="1"/>
    <xf numFmtId="0" fontId="0" fillId="0" borderId="18" xfId="0" applyBorder="1"/>
    <xf numFmtId="14" fontId="3" fillId="0" borderId="2" xfId="0" applyNumberFormat="1" applyFont="1" applyBorder="1" applyAlignment="1">
      <alignment horizontal="center" vertical="center" wrapText="1"/>
    </xf>
    <xf numFmtId="0" fontId="4" fillId="0" borderId="2" xfId="0" applyFont="1" applyBorder="1" applyAlignment="1">
      <alignment horizontal="center"/>
    </xf>
    <xf numFmtId="0" fontId="0" fillId="0" borderId="13" xfId="0" applyBorder="1"/>
    <xf numFmtId="14" fontId="2" fillId="0" borderId="9" xfId="0" applyNumberFormat="1" applyFont="1" applyBorder="1" applyAlignment="1">
      <alignment horizontal="center" vertical="center" wrapText="1"/>
    </xf>
    <xf numFmtId="0" fontId="0" fillId="0" borderId="21" xfId="0" applyBorder="1"/>
    <xf numFmtId="0" fontId="4" fillId="0" borderId="0" xfId="0" applyFont="1" applyAlignment="1">
      <alignment horizontal="center" vertical="center"/>
    </xf>
    <xf numFmtId="0" fontId="0" fillId="0" borderId="2" xfId="0" applyBorder="1"/>
    <xf numFmtId="0" fontId="5" fillId="0" borderId="0" xfId="0" applyFont="1" applyAlignment="1">
      <alignment horizontal="center" vertical="center" textRotation="90"/>
    </xf>
    <xf numFmtId="166" fontId="0" fillId="0" borderId="0" xfId="1" applyNumberFormat="1" applyFont="1"/>
    <xf numFmtId="164" fontId="0" fillId="0" borderId="0" xfId="1" applyNumberFormat="1" applyFont="1"/>
    <xf numFmtId="14" fontId="3" fillId="0" borderId="0" xfId="0" applyNumberFormat="1" applyFont="1" applyAlignment="1">
      <alignment horizontal="center" vertical="center" wrapText="1"/>
    </xf>
    <xf numFmtId="0" fontId="1" fillId="0" borderId="2" xfId="0" applyFont="1" applyBorder="1" applyAlignment="1">
      <alignment horizontal="distributed" vertical="distributed" textRotation="90" shrinkToFit="1"/>
    </xf>
    <xf numFmtId="0" fontId="4" fillId="0" borderId="0" xfId="0" applyFont="1" applyAlignment="1">
      <alignment horizontal="center"/>
    </xf>
    <xf numFmtId="0" fontId="1" fillId="0" borderId="0" xfId="0" applyFont="1" applyAlignment="1">
      <alignment horizontal="distributed" vertical="distributed" textRotation="90" shrinkToFit="1"/>
    </xf>
    <xf numFmtId="0" fontId="4" fillId="0" borderId="2" xfId="0" applyFont="1" applyBorder="1" applyAlignment="1">
      <alignment horizontal="center" vertical="center"/>
    </xf>
    <xf numFmtId="0" fontId="1" fillId="0" borderId="0" xfId="0" applyFont="1" applyAlignment="1">
      <alignment horizontal="center" vertical="center" wrapText="1"/>
    </xf>
    <xf numFmtId="164" fontId="5" fillId="0" borderId="2" xfId="0" applyNumberFormat="1" applyFont="1" applyBorder="1" applyAlignment="1">
      <alignment horizontal="center" vertical="center" textRotation="90"/>
    </xf>
    <xf numFmtId="164" fontId="4" fillId="0" borderId="2" xfId="0" applyNumberFormat="1" applyFont="1" applyBorder="1" applyAlignment="1">
      <alignment horizontal="center"/>
    </xf>
    <xf numFmtId="164" fontId="1" fillId="0" borderId="2" xfId="0" applyNumberFormat="1" applyFont="1" applyBorder="1" applyAlignment="1">
      <alignment horizontal="distributed" vertical="distributed" textRotation="90" shrinkToFit="1"/>
    </xf>
    <xf numFmtId="0" fontId="1" fillId="0" borderId="2" xfId="0" applyFont="1" applyBorder="1" applyAlignment="1">
      <alignment horizontal="center" vertical="center" wrapText="1"/>
    </xf>
    <xf numFmtId="0" fontId="5" fillId="0" borderId="2" xfId="0" applyFont="1" applyBorder="1" applyAlignment="1">
      <alignment horizontal="center" vertical="center" textRotation="90"/>
    </xf>
    <xf numFmtId="0" fontId="2" fillId="0" borderId="2" xfId="0" applyFont="1" applyBorder="1" applyAlignment="1">
      <alignment horizontal="center" vertical="center"/>
    </xf>
    <xf numFmtId="164" fontId="0" fillId="0" borderId="0" xfId="0" applyNumberFormat="1"/>
    <xf numFmtId="166" fontId="4" fillId="0" borderId="2" xfId="1" applyNumberFormat="1" applyFont="1" applyBorder="1" applyAlignment="1">
      <alignment horizontal="center"/>
    </xf>
    <xf numFmtId="164" fontId="1" fillId="0" borderId="2" xfId="0" applyNumberFormat="1" applyFont="1" applyBorder="1" applyAlignment="1">
      <alignment horizontal="center" vertical="center" wrapText="1"/>
    </xf>
    <xf numFmtId="14" fontId="2" fillId="0" borderId="0" xfId="0" applyNumberFormat="1" applyFont="1" applyAlignment="1">
      <alignment horizontal="center" vertical="center" wrapText="1"/>
    </xf>
    <xf numFmtId="165" fontId="0" fillId="0" borderId="0" xfId="1" applyNumberFormat="1" applyFont="1" applyAlignment="1">
      <alignment horizontal="left"/>
    </xf>
    <xf numFmtId="0" fontId="0" fillId="0" borderId="0" xfId="0" applyAlignment="1">
      <alignment horizontal="left"/>
    </xf>
    <xf numFmtId="0" fontId="2" fillId="0" borderId="0" xfId="0" applyFont="1" applyAlignment="1">
      <alignment horizontal="center" vertical="center"/>
    </xf>
    <xf numFmtId="164" fontId="0" fillId="0" borderId="0" xfId="1" applyNumberFormat="1" applyFont="1" applyAlignment="1">
      <alignment horizontal="center"/>
    </xf>
    <xf numFmtId="0" fontId="9" fillId="0" borderId="2" xfId="0" applyFont="1" applyBorder="1" applyAlignment="1">
      <alignment horizontal="center" wrapText="1"/>
    </xf>
    <xf numFmtId="0" fontId="9" fillId="0" borderId="2" xfId="0" applyFont="1" applyBorder="1" applyAlignment="1">
      <alignment horizontal="center" vertical="center"/>
    </xf>
    <xf numFmtId="0" fontId="9" fillId="0" borderId="0" xfId="0" applyFont="1" applyAlignment="1">
      <alignment horizontal="center" vertical="center"/>
    </xf>
    <xf numFmtId="0" fontId="9" fillId="2" borderId="2" xfId="0" applyFont="1" applyFill="1" applyBorder="1" applyAlignment="1">
      <alignment horizontal="left" vertical="center"/>
    </xf>
    <xf numFmtId="0" fontId="9" fillId="0" borderId="2" xfId="0" applyFont="1" applyBorder="1" applyAlignment="1">
      <alignment horizontal="center"/>
    </xf>
    <xf numFmtId="0" fontId="6" fillId="3" borderId="12" xfId="0" applyFont="1" applyFill="1" applyBorder="1" applyAlignment="1">
      <alignment horizontal="center" vertical="center"/>
    </xf>
    <xf numFmtId="0" fontId="10" fillId="0" borderId="2" xfId="0" applyFont="1" applyBorder="1" applyAlignment="1">
      <alignment horizontal="center"/>
    </xf>
    <xf numFmtId="0" fontId="6" fillId="3" borderId="2" xfId="0" applyFont="1" applyFill="1" applyBorder="1" applyAlignment="1">
      <alignment horizontal="center" vertical="center"/>
    </xf>
    <xf numFmtId="0" fontId="20" fillId="0" borderId="0" xfId="0" applyFont="1" applyAlignment="1">
      <alignment horizontal="center"/>
    </xf>
    <xf numFmtId="164" fontId="9" fillId="0" borderId="6" xfId="0" applyNumberFormat="1" applyFont="1" applyBorder="1" applyAlignment="1">
      <alignment horizontal="center" vertical="center" wrapText="1"/>
    </xf>
    <xf numFmtId="0" fontId="0" fillId="0" borderId="5" xfId="0" applyBorder="1"/>
    <xf numFmtId="0" fontId="8" fillId="0" borderId="2" xfId="0" applyFont="1" applyBorder="1" applyAlignment="1">
      <alignment horizontal="center"/>
    </xf>
    <xf numFmtId="0" fontId="9" fillId="2" borderId="2" xfId="0" applyFont="1" applyFill="1" applyBorder="1" applyAlignment="1">
      <alignment horizontal="center" vertical="center"/>
    </xf>
    <xf numFmtId="0" fontId="9" fillId="0" borderId="2" xfId="0" applyFont="1" applyBorder="1" applyAlignment="1">
      <alignment horizontal="center" vertical="center" wrapText="1"/>
    </xf>
    <xf numFmtId="0" fontId="9" fillId="2" borderId="6" xfId="0" applyFont="1" applyFill="1" applyBorder="1" applyAlignment="1">
      <alignment horizontal="left" vertical="center"/>
    </xf>
    <xf numFmtId="0" fontId="9" fillId="3" borderId="6" xfId="0" applyFont="1" applyFill="1" applyBorder="1" applyAlignment="1">
      <alignment horizontal="center" vertical="center"/>
    </xf>
    <xf numFmtId="0" fontId="11" fillId="0" borderId="2" xfId="0" applyFont="1" applyBorder="1" applyAlignment="1">
      <alignment horizontal="center" vertical="center" wrapText="1"/>
    </xf>
    <xf numFmtId="0" fontId="14" fillId="0" borderId="0" xfId="0" applyFont="1" applyAlignment="1">
      <alignment horizontal="center"/>
    </xf>
    <xf numFmtId="0" fontId="15" fillId="0" borderId="0" xfId="0" applyFont="1" applyAlignment="1">
      <alignment horizontal="right" vertical="center"/>
    </xf>
    <xf numFmtId="0" fontId="16" fillId="0" borderId="0" xfId="0" applyFont="1" applyAlignment="1">
      <alignment horizontal="right"/>
    </xf>
    <xf numFmtId="0" fontId="8" fillId="0" borderId="2" xfId="0" applyFont="1" applyBorder="1" applyAlignment="1">
      <alignment horizontal="center" vertical="center" wrapText="1"/>
    </xf>
    <xf numFmtId="0" fontId="17" fillId="0" borderId="2" xfId="0" applyFont="1"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0" borderId="20" xfId="0" applyBorder="1"/>
    <xf numFmtId="0" fontId="2" fillId="0" borderId="0" xfId="0" applyFont="1"/>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59" fillId="5" borderId="22" xfId="0" applyFont="1" applyFill="1" applyBorder="1" applyAlignment="1">
      <alignment horizontal="center" vertical="center" wrapText="1"/>
    </xf>
  </cellXfs>
  <cellStyles count="3">
    <cellStyle name="Hipervínculo" xfId="2" builtinId="8"/>
    <cellStyle name="Millares" xfId="1" builtinId="3"/>
    <cellStyle name="Normal" xfId="0" builtinId="0"/>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b/>
        <color rgb="FF9C0006"/>
      </font>
      <fill>
        <patternFill patternType="solid">
          <fgColor rgb="FFFFCCCC"/>
        </patternFill>
      </fill>
    </dxf>
    <dxf>
      <font>
        <b/>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PA"/>
              <a:t>Ausencias por grado</a:t>
            </a:r>
          </a:p>
        </c:rich>
      </c:tx>
      <c:overlay val="0"/>
    </c:title>
    <c:autoTitleDeleted val="0"/>
    <c:plotArea>
      <c:layout/>
      <c:barChart>
        <c:barDir val="col"/>
        <c:grouping val="clustered"/>
        <c:varyColors val="0"/>
        <c:ser>
          <c:idx val="0"/>
          <c:order val="0"/>
          <c:tx>
            <c:strRef>
              <c:f>GRAFICOS!$L$5</c:f>
              <c:strCache>
                <c:ptCount val="1"/>
                <c:pt idx="0">
                  <c:v>Grado</c:v>
                </c:pt>
              </c:strCache>
            </c:strRef>
          </c:tx>
          <c:invertIfNegative val="0"/>
          <c:val>
            <c:numRef>
              <c:f>GRAFICOS!$L$6:$L$8</c:f>
              <c:numCache>
                <c:formatCode>General</c:formatCode>
                <c:ptCount val="3"/>
                <c:pt idx="0">
                  <c:v>7</c:v>
                </c:pt>
                <c:pt idx="1">
                  <c:v>8</c:v>
                </c:pt>
                <c:pt idx="2">
                  <c:v>9</c:v>
                </c:pt>
              </c:numCache>
            </c:numRef>
          </c:val>
          <c:extLst>
            <c:ext xmlns:c16="http://schemas.microsoft.com/office/drawing/2014/chart" uri="{C3380CC4-5D6E-409C-BE32-E72D297353CC}">
              <c16:uniqueId val="{00000001-FAEF-4BF4-B159-7A417E26FB6A}"/>
            </c:ext>
          </c:extLst>
        </c:ser>
        <c:ser>
          <c:idx val="1"/>
          <c:order val="1"/>
          <c:tx>
            <c:strRef>
              <c:f>GRAFICOS!$M$5</c:f>
              <c:strCache>
                <c:ptCount val="1"/>
                <c:pt idx="0">
                  <c:v>Ausencias</c:v>
                </c:pt>
              </c:strCache>
            </c:strRef>
          </c:tx>
          <c:invertIfNegative val="0"/>
          <c:val>
            <c:numRef>
              <c:f>GRAFICOS!$M$6:$M$8</c:f>
              <c:numCache>
                <c:formatCode>General</c:formatCode>
                <c:ptCount val="3"/>
                <c:pt idx="0">
                  <c:v>0</c:v>
                </c:pt>
                <c:pt idx="1">
                  <c:v>0</c:v>
                </c:pt>
                <c:pt idx="2">
                  <c:v>0</c:v>
                </c:pt>
              </c:numCache>
            </c:numRef>
          </c:val>
          <c:extLst>
            <c:ext xmlns:c16="http://schemas.microsoft.com/office/drawing/2014/chart" uri="{C3380CC4-5D6E-409C-BE32-E72D297353CC}">
              <c16:uniqueId val="{00000002-FAEF-4BF4-B159-7A417E26FB6A}"/>
            </c:ext>
          </c:extLst>
        </c:ser>
        <c:dLbls>
          <c:showLegendKey val="0"/>
          <c:showVal val="0"/>
          <c:showCatName val="0"/>
          <c:showSerName val="0"/>
          <c:showPercent val="0"/>
          <c:showBubbleSize val="0"/>
        </c:dLbls>
        <c:gapWidth val="150"/>
        <c:axId val="1748733040"/>
        <c:axId val="1748732080"/>
      </c:barChart>
      <c:catAx>
        <c:axId val="1748733040"/>
        <c:scaling>
          <c:orientation val="minMax"/>
        </c:scaling>
        <c:delete val="0"/>
        <c:axPos val="b"/>
        <c:majorTickMark val="out"/>
        <c:minorTickMark val="none"/>
        <c:tickLblPos val="nextTo"/>
        <c:crossAx val="1748732080"/>
        <c:crosses val="autoZero"/>
        <c:auto val="1"/>
        <c:lblAlgn val="ctr"/>
        <c:lblOffset val="100"/>
        <c:noMultiLvlLbl val="0"/>
      </c:catAx>
      <c:valAx>
        <c:axId val="1748732080"/>
        <c:scaling>
          <c:orientation val="minMax"/>
        </c:scaling>
        <c:delete val="0"/>
        <c:axPos val="l"/>
        <c:majorGridlines/>
        <c:numFmt formatCode="General" sourceLinked="1"/>
        <c:majorTickMark val="out"/>
        <c:minorTickMark val="none"/>
        <c:tickLblPos val="nextTo"/>
        <c:crossAx val="1748733040"/>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s-PA"/>
              <a:t>Estudiantes en riesgo academico</a:t>
            </a:r>
          </a:p>
        </c:rich>
      </c:tx>
      <c:overlay val="0"/>
    </c:title>
    <c:autoTitleDeleted val="0"/>
    <c:plotArea>
      <c:layout/>
      <c:barChart>
        <c:barDir val="bar"/>
        <c:grouping val="clustered"/>
        <c:varyColors val="0"/>
        <c:ser>
          <c:idx val="0"/>
          <c:order val="0"/>
          <c:invertIfNegative val="0"/>
          <c:cat>
            <c:strRef>
              <c:f>GRAFICOS!$L$5:$N$5</c:f>
              <c:strCache>
                <c:ptCount val="3"/>
                <c:pt idx="0">
                  <c:v>Grado</c:v>
                </c:pt>
                <c:pt idx="1">
                  <c:v>Ausencias</c:v>
                </c:pt>
                <c:pt idx="2">
                  <c:v>RiesgoAcademico</c:v>
                </c:pt>
              </c:strCache>
            </c:strRef>
          </c:cat>
          <c:val>
            <c:numRef>
              <c:f>GRAFICOS!$L$6:$N$6</c:f>
              <c:numCache>
                <c:formatCode>General</c:formatCode>
                <c:ptCount val="3"/>
                <c:pt idx="0">
                  <c:v>7</c:v>
                </c:pt>
                <c:pt idx="1">
                  <c:v>0</c:v>
                </c:pt>
                <c:pt idx="2">
                  <c:v>0</c:v>
                </c:pt>
              </c:numCache>
            </c:numRef>
          </c:val>
          <c:extLst>
            <c:ext xmlns:c16="http://schemas.microsoft.com/office/drawing/2014/chart" uri="{C3380CC4-5D6E-409C-BE32-E72D297353CC}">
              <c16:uniqueId val="{00000001-AB80-48D5-B15F-219DA6F6DFDF}"/>
            </c:ext>
          </c:extLst>
        </c:ser>
        <c:ser>
          <c:idx val="1"/>
          <c:order val="1"/>
          <c:invertIfNegative val="0"/>
          <c:cat>
            <c:strRef>
              <c:f>GRAFICOS!$L$5:$N$5</c:f>
              <c:strCache>
                <c:ptCount val="3"/>
                <c:pt idx="0">
                  <c:v>Grado</c:v>
                </c:pt>
                <c:pt idx="1">
                  <c:v>Ausencias</c:v>
                </c:pt>
                <c:pt idx="2">
                  <c:v>RiesgoAcademico</c:v>
                </c:pt>
              </c:strCache>
            </c:strRef>
          </c:cat>
          <c:val>
            <c:numRef>
              <c:f>GRAFICOS!$L$7:$N$7</c:f>
              <c:numCache>
                <c:formatCode>General</c:formatCode>
                <c:ptCount val="3"/>
                <c:pt idx="0">
                  <c:v>8</c:v>
                </c:pt>
                <c:pt idx="1">
                  <c:v>0</c:v>
                </c:pt>
                <c:pt idx="2">
                  <c:v>0</c:v>
                </c:pt>
              </c:numCache>
            </c:numRef>
          </c:val>
          <c:extLst>
            <c:ext xmlns:c16="http://schemas.microsoft.com/office/drawing/2014/chart" uri="{C3380CC4-5D6E-409C-BE32-E72D297353CC}">
              <c16:uniqueId val="{00000002-AB80-48D5-B15F-219DA6F6DFDF}"/>
            </c:ext>
          </c:extLst>
        </c:ser>
        <c:ser>
          <c:idx val="2"/>
          <c:order val="2"/>
          <c:invertIfNegative val="0"/>
          <c:cat>
            <c:strRef>
              <c:f>GRAFICOS!$L$5:$N$5</c:f>
              <c:strCache>
                <c:ptCount val="3"/>
                <c:pt idx="0">
                  <c:v>Grado</c:v>
                </c:pt>
                <c:pt idx="1">
                  <c:v>Ausencias</c:v>
                </c:pt>
                <c:pt idx="2">
                  <c:v>RiesgoAcademico</c:v>
                </c:pt>
              </c:strCache>
            </c:strRef>
          </c:cat>
          <c:val>
            <c:numRef>
              <c:f>GRAFICOS!$L$8:$N$8</c:f>
              <c:numCache>
                <c:formatCode>General</c:formatCode>
                <c:ptCount val="3"/>
                <c:pt idx="0">
                  <c:v>9</c:v>
                </c:pt>
                <c:pt idx="1">
                  <c:v>0</c:v>
                </c:pt>
                <c:pt idx="2">
                  <c:v>0</c:v>
                </c:pt>
              </c:numCache>
            </c:numRef>
          </c:val>
          <c:extLst>
            <c:ext xmlns:c16="http://schemas.microsoft.com/office/drawing/2014/chart" uri="{C3380CC4-5D6E-409C-BE32-E72D297353CC}">
              <c16:uniqueId val="{00000003-AB80-48D5-B15F-219DA6F6DFDF}"/>
            </c:ext>
          </c:extLst>
        </c:ser>
        <c:dLbls>
          <c:showLegendKey val="0"/>
          <c:showVal val="0"/>
          <c:showCatName val="0"/>
          <c:showSerName val="0"/>
          <c:showPercent val="0"/>
          <c:showBubbleSize val="0"/>
        </c:dLbls>
        <c:gapWidth val="150"/>
        <c:axId val="1748735920"/>
        <c:axId val="1748736400"/>
      </c:barChart>
      <c:catAx>
        <c:axId val="1748735920"/>
        <c:scaling>
          <c:orientation val="minMax"/>
        </c:scaling>
        <c:delete val="0"/>
        <c:axPos val="l"/>
        <c:numFmt formatCode="General" sourceLinked="1"/>
        <c:majorTickMark val="out"/>
        <c:minorTickMark val="none"/>
        <c:tickLblPos val="nextTo"/>
        <c:crossAx val="1748736400"/>
        <c:crosses val="autoZero"/>
        <c:auto val="1"/>
        <c:lblAlgn val="ctr"/>
        <c:lblOffset val="100"/>
        <c:noMultiLvlLbl val="0"/>
      </c:catAx>
      <c:valAx>
        <c:axId val="1748736400"/>
        <c:scaling>
          <c:orientation val="minMax"/>
        </c:scaling>
        <c:delete val="0"/>
        <c:axPos val="b"/>
        <c:majorGridlines/>
        <c:numFmt formatCode="General" sourceLinked="1"/>
        <c:majorTickMark val="out"/>
        <c:minorTickMark val="none"/>
        <c:tickLblPos val="nextTo"/>
        <c:crossAx val="1748735920"/>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23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24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2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11</xdr:row>
      <xdr:rowOff>0</xdr:rowOff>
    </xdr:from>
    <xdr:to>
      <xdr:col>13</xdr:col>
      <xdr:colOff>71120</xdr:colOff>
      <xdr:row>26</xdr:row>
      <xdr:rowOff>50800</xdr:rowOff>
    </xdr:to>
    <xdr:graphicFrame macro="">
      <xdr:nvGraphicFramePr>
        <xdr:cNvPr id="2" name="Gráfico 1">
          <a:extLst>
            <a:ext uri="{FF2B5EF4-FFF2-40B4-BE49-F238E27FC236}">
              <a16:creationId xmlns:a16="http://schemas.microsoft.com/office/drawing/2014/main" id="{E41D68A7-2A3C-A5DD-8BF4-BDF6231DE6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510540</xdr:colOff>
      <xdr:row>28</xdr:row>
      <xdr:rowOff>152400</xdr:rowOff>
    </xdr:from>
    <xdr:to>
      <xdr:col>11</xdr:col>
      <xdr:colOff>726440</xdr:colOff>
      <xdr:row>44</xdr:row>
      <xdr:rowOff>20320</xdr:rowOff>
    </xdr:to>
    <xdr:graphicFrame macro="">
      <xdr:nvGraphicFramePr>
        <xdr:cNvPr id="3" name="Gráfico 2">
          <a:extLst>
            <a:ext uri="{FF2B5EF4-FFF2-40B4-BE49-F238E27FC236}">
              <a16:creationId xmlns:a16="http://schemas.microsoft.com/office/drawing/2014/main" id="{E65F4F1E-8132-F0AD-7727-F2DAA20603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1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6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1135" cy="599822"/>
        </a:xfrm>
        <a:prstGeom prst="rect">
          <a:avLst/>
        </a:prstGeom>
        <a:solidFill>
          <a:srgbClr val="002060"/>
        </a:solid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8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A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E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4B970-B462-4526-9C29-F8492DD1347A}">
  <sheetPr>
    <tabColor theme="3" tint="-0.499984740745262"/>
  </sheetPr>
  <dimension ref="A1:K40"/>
  <sheetViews>
    <sheetView workbookViewId="0">
      <selection sqref="A1:K1"/>
    </sheetView>
  </sheetViews>
  <sheetFormatPr baseColWidth="10" defaultRowHeight="14.4"/>
  <cols>
    <col min="1" max="11" width="12.77734375" customWidth="1"/>
  </cols>
  <sheetData>
    <row r="1" spans="1:11" ht="37.950000000000003" customHeight="1">
      <c r="A1" s="195" t="s">
        <v>240</v>
      </c>
      <c r="B1" s="196"/>
      <c r="C1" s="196"/>
      <c r="D1" s="196"/>
      <c r="E1" s="196"/>
      <c r="F1" s="196"/>
      <c r="G1" s="196"/>
      <c r="H1" s="196"/>
      <c r="I1" s="196"/>
      <c r="J1" s="196"/>
      <c r="K1" s="196"/>
    </row>
    <row r="2" spans="1:11" ht="21">
      <c r="A2" s="197" t="s">
        <v>241</v>
      </c>
      <c r="B2" s="196"/>
      <c r="C2" s="196"/>
      <c r="D2" s="196"/>
      <c r="E2" s="196"/>
      <c r="F2" s="196"/>
      <c r="G2" s="196"/>
      <c r="H2" s="196"/>
      <c r="I2" s="196"/>
      <c r="J2" s="196"/>
      <c r="K2" s="196"/>
    </row>
    <row r="3" spans="1:11" ht="15.6">
      <c r="A3" s="198" t="s">
        <v>242</v>
      </c>
      <c r="B3" s="196"/>
      <c r="C3" s="196"/>
      <c r="D3" s="196"/>
      <c r="E3" s="196"/>
      <c r="F3" s="196"/>
      <c r="G3" s="196"/>
      <c r="H3" s="196"/>
      <c r="I3" s="196"/>
      <c r="J3" s="196"/>
      <c r="K3" s="196"/>
    </row>
    <row r="4" spans="1:11">
      <c r="A4" s="167"/>
      <c r="B4" s="167"/>
      <c r="C4" s="167"/>
      <c r="D4" s="167"/>
      <c r="E4" s="167"/>
      <c r="F4" s="167"/>
      <c r="G4" s="167"/>
      <c r="H4" s="167"/>
      <c r="I4" s="167"/>
      <c r="J4" s="167"/>
      <c r="K4" s="167"/>
    </row>
    <row r="5" spans="1:11">
      <c r="A5" s="166"/>
      <c r="B5" s="166"/>
      <c r="C5" s="166"/>
      <c r="D5" s="166"/>
      <c r="E5" s="166"/>
      <c r="F5" s="166"/>
      <c r="G5" s="166"/>
      <c r="H5" s="166"/>
      <c r="I5" s="166"/>
      <c r="J5" s="166"/>
      <c r="K5" s="166"/>
    </row>
    <row r="6" spans="1:11">
      <c r="A6" s="166"/>
      <c r="B6" s="166"/>
      <c r="C6" s="166"/>
      <c r="D6" s="166"/>
      <c r="E6" s="166"/>
      <c r="F6" s="166"/>
      <c r="G6" s="166"/>
      <c r="H6" s="166"/>
      <c r="I6" s="166"/>
      <c r="J6" s="166"/>
      <c r="K6" s="166"/>
    </row>
    <row r="7" spans="1:11" ht="18">
      <c r="A7" s="166"/>
      <c r="B7" s="199" t="s">
        <v>243</v>
      </c>
      <c r="C7" s="200"/>
      <c r="D7" s="200"/>
      <c r="E7" s="200"/>
      <c r="F7" s="200"/>
      <c r="G7" s="200"/>
      <c r="H7" s="200"/>
      <c r="I7" s="200"/>
      <c r="J7" s="201"/>
      <c r="K7" s="166"/>
    </row>
    <row r="8" spans="1:11">
      <c r="A8" s="166"/>
      <c r="B8" s="168"/>
      <c r="C8" s="169"/>
      <c r="D8" s="169"/>
      <c r="E8" s="169"/>
      <c r="F8" s="169"/>
      <c r="G8" s="169"/>
      <c r="H8" s="169"/>
      <c r="I8" s="169"/>
      <c r="J8" s="173"/>
      <c r="K8" s="166"/>
    </row>
    <row r="9" spans="1:11">
      <c r="A9" s="166"/>
      <c r="B9" s="170" t="s">
        <v>244</v>
      </c>
      <c r="C9" s="169" t="s">
        <v>157</v>
      </c>
      <c r="D9" s="169"/>
      <c r="E9" s="169"/>
      <c r="F9" s="169"/>
      <c r="G9" s="169"/>
      <c r="H9" s="169"/>
      <c r="I9" s="169"/>
      <c r="J9" s="173"/>
      <c r="K9" s="166"/>
    </row>
    <row r="10" spans="1:11">
      <c r="A10" s="166"/>
      <c r="B10" s="170" t="s">
        <v>245</v>
      </c>
      <c r="C10" s="169" t="s">
        <v>16</v>
      </c>
      <c r="D10" s="169"/>
      <c r="E10" s="169"/>
      <c r="F10" s="169"/>
      <c r="G10" s="169"/>
      <c r="H10" s="169"/>
      <c r="I10" s="169"/>
      <c r="J10" s="173"/>
      <c r="K10" s="166"/>
    </row>
    <row r="11" spans="1:11">
      <c r="A11" s="166"/>
      <c r="B11" s="170" t="s">
        <v>246</v>
      </c>
      <c r="C11" s="169">
        <v>2026</v>
      </c>
      <c r="D11" s="169"/>
      <c r="E11" s="169"/>
      <c r="F11" s="169"/>
      <c r="G11" s="169"/>
      <c r="H11" s="169"/>
      <c r="I11" s="169"/>
      <c r="J11" s="173"/>
      <c r="K11" s="166"/>
    </row>
    <row r="12" spans="1:11">
      <c r="A12" s="166"/>
      <c r="B12" s="170" t="s">
        <v>247</v>
      </c>
      <c r="C12" s="169" t="s">
        <v>248</v>
      </c>
      <c r="D12" s="169"/>
      <c r="E12" s="169"/>
      <c r="F12" s="169"/>
      <c r="G12" s="169"/>
      <c r="H12" s="169"/>
      <c r="I12" s="169"/>
      <c r="J12" s="173"/>
      <c r="K12" s="166"/>
    </row>
    <row r="13" spans="1:11">
      <c r="A13" s="166"/>
      <c r="B13" s="170" t="s">
        <v>249</v>
      </c>
      <c r="C13" s="169" t="s">
        <v>250</v>
      </c>
      <c r="D13" s="169"/>
      <c r="E13" s="169"/>
      <c r="F13" s="169"/>
      <c r="G13" s="169"/>
      <c r="H13" s="169"/>
      <c r="I13" s="169"/>
      <c r="J13" s="173"/>
      <c r="K13" s="166"/>
    </row>
    <row r="14" spans="1:11">
      <c r="A14" s="166"/>
      <c r="B14" s="168"/>
      <c r="C14" s="169"/>
      <c r="D14" s="169"/>
      <c r="E14" s="169"/>
      <c r="F14" s="169"/>
      <c r="G14" s="169"/>
      <c r="H14" s="169"/>
      <c r="I14" s="169"/>
      <c r="J14" s="173"/>
      <c r="K14" s="166"/>
    </row>
    <row r="15" spans="1:11">
      <c r="A15" s="166"/>
      <c r="B15" s="171"/>
      <c r="C15" s="172"/>
      <c r="D15" s="172"/>
      <c r="E15" s="172"/>
      <c r="F15" s="172"/>
      <c r="G15" s="172"/>
      <c r="H15" s="172"/>
      <c r="I15" s="172"/>
      <c r="J15" s="174"/>
      <c r="K15" s="166"/>
    </row>
    <row r="16" spans="1:11">
      <c r="A16" s="166"/>
      <c r="B16" s="166"/>
      <c r="C16" s="166"/>
      <c r="D16" s="166"/>
      <c r="E16" s="166"/>
      <c r="F16" s="166"/>
      <c r="G16" s="166"/>
      <c r="H16" s="166"/>
      <c r="I16" s="166"/>
      <c r="J16" s="166"/>
      <c r="K16" s="166"/>
    </row>
    <row r="17" spans="1:11">
      <c r="A17" s="166"/>
      <c r="B17" s="166"/>
      <c r="C17" s="166"/>
      <c r="D17" s="166"/>
      <c r="E17" s="166"/>
      <c r="F17" s="166"/>
      <c r="G17" s="166"/>
      <c r="H17" s="166"/>
      <c r="I17" s="166"/>
      <c r="J17" s="166"/>
      <c r="K17" s="166"/>
    </row>
    <row r="18" spans="1:11" ht="18">
      <c r="A18" s="166"/>
      <c r="B18" s="199" t="s">
        <v>251</v>
      </c>
      <c r="C18" s="200"/>
      <c r="D18" s="200"/>
      <c r="E18" s="200"/>
      <c r="F18" s="200"/>
      <c r="G18" s="200"/>
      <c r="H18" s="200"/>
      <c r="I18" s="200"/>
      <c r="J18" s="201"/>
      <c r="K18" s="166"/>
    </row>
    <row r="19" spans="1:11">
      <c r="A19" s="166"/>
      <c r="B19" s="168"/>
      <c r="C19" s="169"/>
      <c r="D19" s="169"/>
      <c r="E19" s="169"/>
      <c r="F19" s="169"/>
      <c r="G19" s="169"/>
      <c r="H19" s="169"/>
      <c r="I19" s="169"/>
      <c r="J19" s="173"/>
      <c r="K19" s="166"/>
    </row>
    <row r="20" spans="1:11">
      <c r="A20" s="166"/>
      <c r="B20" s="175" t="s">
        <v>252</v>
      </c>
      <c r="C20" s="169" t="s">
        <v>253</v>
      </c>
      <c r="D20" s="169"/>
      <c r="E20" s="169"/>
      <c r="F20" s="169"/>
      <c r="G20" s="169"/>
      <c r="H20" s="169"/>
      <c r="I20" s="169"/>
      <c r="J20" s="173"/>
      <c r="K20" s="166"/>
    </row>
    <row r="21" spans="1:11">
      <c r="A21" s="166"/>
      <c r="B21" s="175" t="s">
        <v>254</v>
      </c>
      <c r="C21" s="169" t="s">
        <v>255</v>
      </c>
      <c r="D21" s="169"/>
      <c r="E21" s="169"/>
      <c r="F21" s="169"/>
      <c r="G21" s="169"/>
      <c r="H21" s="169"/>
      <c r="I21" s="169"/>
      <c r="J21" s="173"/>
      <c r="K21" s="166"/>
    </row>
    <row r="22" spans="1:11">
      <c r="A22" s="166"/>
      <c r="B22" s="175" t="s">
        <v>256</v>
      </c>
      <c r="C22" s="169" t="s">
        <v>257</v>
      </c>
      <c r="D22" s="169"/>
      <c r="E22" s="169"/>
      <c r="F22" s="169"/>
      <c r="G22" s="169"/>
      <c r="H22" s="169"/>
      <c r="I22" s="169"/>
      <c r="J22" s="173"/>
      <c r="K22" s="166"/>
    </row>
    <row r="23" spans="1:11">
      <c r="A23" s="166"/>
      <c r="B23" s="175" t="s">
        <v>258</v>
      </c>
      <c r="C23" s="169" t="s">
        <v>259</v>
      </c>
      <c r="D23" s="169"/>
      <c r="E23" s="169"/>
      <c r="F23" s="169"/>
      <c r="G23" s="169"/>
      <c r="H23" s="169"/>
      <c r="I23" s="169"/>
      <c r="J23" s="173"/>
      <c r="K23" s="166"/>
    </row>
    <row r="24" spans="1:11">
      <c r="A24" s="166"/>
      <c r="B24" s="168"/>
      <c r="C24" s="169"/>
      <c r="D24" s="169"/>
      <c r="E24" s="169"/>
      <c r="F24" s="169"/>
      <c r="G24" s="169"/>
      <c r="H24" s="169"/>
      <c r="I24" s="169"/>
      <c r="J24" s="173"/>
      <c r="K24" s="166"/>
    </row>
    <row r="25" spans="1:11">
      <c r="A25" s="166"/>
      <c r="B25" s="168"/>
      <c r="C25" s="169"/>
      <c r="D25" s="169"/>
      <c r="E25" s="169"/>
      <c r="F25" s="169"/>
      <c r="G25" s="169"/>
      <c r="H25" s="169"/>
      <c r="I25" s="169"/>
      <c r="J25" s="173"/>
      <c r="K25" s="166"/>
    </row>
    <row r="26" spans="1:11">
      <c r="A26" s="166"/>
      <c r="B26" s="168"/>
      <c r="C26" s="169"/>
      <c r="D26" s="169"/>
      <c r="E26" s="169"/>
      <c r="F26" s="169"/>
      <c r="G26" s="169"/>
      <c r="H26" s="169"/>
      <c r="I26" s="169"/>
      <c r="J26" s="173"/>
      <c r="K26" s="166"/>
    </row>
    <row r="27" spans="1:11">
      <c r="A27" s="166"/>
      <c r="B27" s="168"/>
      <c r="C27" s="169"/>
      <c r="D27" s="169"/>
      <c r="E27" s="169"/>
      <c r="F27" s="169"/>
      <c r="G27" s="169"/>
      <c r="H27" s="169"/>
      <c r="I27" s="169"/>
      <c r="J27" s="173"/>
      <c r="K27" s="166"/>
    </row>
    <row r="28" spans="1:11">
      <c r="A28" s="166"/>
      <c r="B28" s="168"/>
      <c r="C28" s="169"/>
      <c r="D28" s="169"/>
      <c r="E28" s="169"/>
      <c r="F28" s="169"/>
      <c r="G28" s="169"/>
      <c r="H28" s="169"/>
      <c r="I28" s="169"/>
      <c r="J28" s="173"/>
      <c r="K28" s="166"/>
    </row>
    <row r="29" spans="1:11">
      <c r="A29" s="166"/>
      <c r="B29" s="168"/>
      <c r="C29" s="169"/>
      <c r="D29" s="169"/>
      <c r="E29" s="169"/>
      <c r="F29" s="169"/>
      <c r="G29" s="169"/>
      <c r="H29" s="169"/>
      <c r="I29" s="169"/>
      <c r="J29" s="173"/>
      <c r="K29" s="166"/>
    </row>
    <row r="30" spans="1:11">
      <c r="A30" s="166"/>
      <c r="B30" s="171"/>
      <c r="C30" s="172"/>
      <c r="D30" s="172"/>
      <c r="E30" s="172"/>
      <c r="F30" s="172"/>
      <c r="G30" s="172"/>
      <c r="H30" s="172"/>
      <c r="I30" s="172"/>
      <c r="J30" s="174"/>
      <c r="K30" s="166"/>
    </row>
    <row r="31" spans="1:11">
      <c r="A31" s="166"/>
      <c r="B31" s="166"/>
      <c r="C31" s="166"/>
      <c r="D31" s="166"/>
      <c r="E31" s="166"/>
      <c r="F31" s="166"/>
      <c r="G31" s="166"/>
      <c r="H31" s="166"/>
      <c r="I31" s="166"/>
      <c r="J31" s="166"/>
      <c r="K31" s="166"/>
    </row>
    <row r="32" spans="1:11">
      <c r="A32" s="166"/>
      <c r="B32" s="166"/>
      <c r="C32" s="166"/>
      <c r="D32" s="166"/>
      <c r="E32" s="166"/>
      <c r="F32" s="166"/>
      <c r="G32" s="166"/>
      <c r="H32" s="166"/>
      <c r="I32" s="166"/>
      <c r="J32" s="166"/>
      <c r="K32" s="166"/>
    </row>
    <row r="33" spans="1:11">
      <c r="A33" s="166"/>
      <c r="B33" s="166"/>
      <c r="C33" s="166"/>
      <c r="D33" s="166"/>
      <c r="E33" s="166"/>
      <c r="F33" s="166"/>
      <c r="G33" s="166"/>
      <c r="H33" s="166"/>
      <c r="I33" s="166"/>
      <c r="J33" s="166"/>
      <c r="K33" s="166"/>
    </row>
    <row r="34" spans="1:11">
      <c r="A34" s="166"/>
      <c r="B34" s="166"/>
      <c r="C34" s="166"/>
      <c r="D34" s="166"/>
      <c r="E34" s="166"/>
      <c r="F34" s="166"/>
      <c r="G34" s="166"/>
      <c r="H34" s="166"/>
      <c r="I34" s="166"/>
      <c r="J34" s="166"/>
      <c r="K34" s="166"/>
    </row>
    <row r="35" spans="1:11">
      <c r="A35" s="166"/>
      <c r="B35" s="166"/>
      <c r="C35" s="166"/>
      <c r="D35" s="166"/>
      <c r="E35" s="166"/>
      <c r="F35" s="166"/>
      <c r="G35" s="166"/>
      <c r="H35" s="166"/>
      <c r="I35" s="166"/>
      <c r="J35" s="166"/>
      <c r="K35" s="166"/>
    </row>
    <row r="36" spans="1:11">
      <c r="A36" s="166"/>
      <c r="B36" s="166"/>
      <c r="C36" s="166"/>
      <c r="D36" s="166"/>
      <c r="E36" s="166"/>
      <c r="F36" s="166"/>
      <c r="G36" s="166"/>
      <c r="H36" s="166"/>
      <c r="I36" s="166"/>
      <c r="J36" s="166"/>
      <c r="K36" s="166"/>
    </row>
    <row r="37" spans="1:11">
      <c r="A37" s="166"/>
      <c r="B37" s="166"/>
      <c r="C37" s="166"/>
      <c r="D37" s="166"/>
      <c r="E37" s="166"/>
      <c r="F37" s="166"/>
      <c r="G37" s="166"/>
      <c r="H37" s="166"/>
      <c r="I37" s="166"/>
      <c r="J37" s="166"/>
      <c r="K37" s="166"/>
    </row>
    <row r="38" spans="1:11">
      <c r="A38" s="166"/>
      <c r="B38" s="166"/>
      <c r="C38" s="166"/>
      <c r="D38" s="166"/>
      <c r="E38" s="166"/>
      <c r="F38" s="166"/>
      <c r="G38" s="166"/>
      <c r="H38" s="166"/>
      <c r="I38" s="166"/>
      <c r="J38" s="166"/>
      <c r="K38" s="166"/>
    </row>
    <row r="39" spans="1:11">
      <c r="A39" s="166"/>
      <c r="B39" s="166"/>
      <c r="C39" s="166"/>
      <c r="D39" s="166"/>
      <c r="E39" s="166"/>
      <c r="F39" s="166"/>
      <c r="G39" s="166"/>
      <c r="H39" s="166"/>
      <c r="I39" s="166"/>
      <c r="J39" s="166"/>
      <c r="K39" s="166"/>
    </row>
    <row r="40" spans="1:11">
      <c r="A40" s="166"/>
      <c r="B40" s="166"/>
      <c r="C40" s="166"/>
      <c r="D40" s="166"/>
      <c r="E40" s="166"/>
      <c r="F40" s="166"/>
      <c r="G40" s="166"/>
      <c r="H40" s="166"/>
      <c r="I40" s="166"/>
      <c r="J40" s="166"/>
      <c r="K40" s="166"/>
    </row>
  </sheetData>
  <mergeCells count="5">
    <mergeCell ref="A1:K1"/>
    <mergeCell ref="A2:K2"/>
    <mergeCell ref="A3:K3"/>
    <mergeCell ref="B7:J7"/>
    <mergeCell ref="B18:J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Hoja1">
    <tabColor theme="0" tint="-0.249977111117893"/>
  </sheetPr>
  <dimension ref="A7:AD25"/>
  <sheetViews>
    <sheetView topLeftCell="A7" workbookViewId="0">
      <selection activeCell="A16" sqref="A16:AD16"/>
    </sheetView>
  </sheetViews>
  <sheetFormatPr baseColWidth="10" defaultRowHeight="14.4"/>
  <cols>
    <col min="1" max="39" width="2.6640625" customWidth="1"/>
  </cols>
  <sheetData>
    <row r="7" spans="1:30">
      <c r="L7" s="296"/>
      <c r="M7" s="186"/>
      <c r="N7" s="186"/>
      <c r="O7" s="186"/>
      <c r="P7" s="186"/>
      <c r="Q7" s="186"/>
      <c r="R7" s="186"/>
      <c r="S7" s="186"/>
      <c r="T7" s="186"/>
    </row>
    <row r="15" spans="1:30" ht="31.8" customHeight="1">
      <c r="A15" s="297" t="s">
        <v>126</v>
      </c>
      <c r="B15" s="186"/>
      <c r="C15" s="186"/>
      <c r="D15" s="186"/>
      <c r="E15" s="186"/>
      <c r="F15" s="186"/>
      <c r="G15" s="186"/>
      <c r="H15" s="186"/>
      <c r="I15" s="186"/>
      <c r="J15" s="186"/>
      <c r="K15" s="186"/>
      <c r="L15" s="186"/>
      <c r="M15" s="186"/>
      <c r="N15" s="186"/>
      <c r="O15" s="186"/>
      <c r="P15" s="186"/>
      <c r="Q15" s="186"/>
      <c r="R15" s="186"/>
      <c r="S15" s="186"/>
      <c r="T15" s="186"/>
      <c r="U15" s="186"/>
      <c r="V15" s="186"/>
      <c r="W15" s="186"/>
      <c r="X15" s="186"/>
      <c r="Y15" s="186"/>
      <c r="Z15" s="186"/>
      <c r="AA15" s="186"/>
      <c r="AB15" s="186"/>
      <c r="AC15" s="186"/>
      <c r="AD15" s="186"/>
    </row>
    <row r="16" spans="1:30" ht="31.8" customHeight="1">
      <c r="A16" s="297" t="s">
        <v>127</v>
      </c>
      <c r="B16" s="186"/>
      <c r="C16" s="186"/>
      <c r="D16" s="186"/>
      <c r="E16" s="186"/>
      <c r="F16" s="186"/>
      <c r="G16" s="186"/>
      <c r="H16" s="186"/>
      <c r="I16" s="186"/>
      <c r="J16" s="186"/>
      <c r="K16" s="186"/>
      <c r="L16" s="186"/>
      <c r="M16" s="186"/>
      <c r="N16" s="186"/>
      <c r="O16" s="186"/>
      <c r="P16" s="186"/>
      <c r="Q16" s="186"/>
      <c r="R16" s="186"/>
      <c r="S16" s="186"/>
      <c r="T16" s="186"/>
      <c r="U16" s="186"/>
      <c r="V16" s="186"/>
      <c r="W16" s="186"/>
      <c r="X16" s="186"/>
      <c r="Y16" s="186"/>
      <c r="Z16" s="186"/>
      <c r="AA16" s="186"/>
      <c r="AB16" s="186"/>
      <c r="AC16" s="186"/>
      <c r="AD16" s="186"/>
    </row>
    <row r="17" spans="1:30" ht="31.8" customHeight="1">
      <c r="A17" s="297" t="s">
        <v>128</v>
      </c>
      <c r="B17" s="186"/>
      <c r="C17" s="186"/>
      <c r="D17" s="186"/>
      <c r="E17" s="186"/>
      <c r="F17" s="186"/>
      <c r="G17" s="186"/>
      <c r="H17" s="186"/>
      <c r="I17" s="186"/>
      <c r="J17" s="186"/>
      <c r="K17" s="186"/>
      <c r="L17" s="186"/>
      <c r="M17" s="186"/>
      <c r="N17" s="186"/>
      <c r="O17" s="186"/>
      <c r="P17" s="186"/>
      <c r="Q17" s="186"/>
      <c r="R17" s="186"/>
      <c r="S17" s="186"/>
      <c r="T17" s="186"/>
      <c r="U17" s="186"/>
      <c r="V17" s="186"/>
      <c r="W17" s="186"/>
      <c r="X17" s="186"/>
      <c r="Y17" s="186"/>
      <c r="Z17" s="186"/>
      <c r="AA17" s="186"/>
      <c r="AB17" s="186"/>
      <c r="AC17" s="186"/>
      <c r="AD17" s="186"/>
    </row>
    <row r="18" spans="1:30" ht="31.8" customHeight="1">
      <c r="A18" s="297" t="s">
        <v>129</v>
      </c>
      <c r="B18" s="186"/>
      <c r="C18" s="186"/>
      <c r="D18" s="186"/>
      <c r="E18" s="186"/>
      <c r="F18" s="186"/>
      <c r="G18" s="186"/>
      <c r="H18" s="186"/>
      <c r="I18" s="186"/>
      <c r="J18" s="186"/>
      <c r="K18" s="186"/>
      <c r="L18" s="186"/>
      <c r="M18" s="186"/>
      <c r="N18" s="186"/>
      <c r="O18" s="186"/>
      <c r="P18" s="186"/>
      <c r="Q18" s="186"/>
      <c r="R18" s="186"/>
      <c r="S18" s="186"/>
      <c r="T18" s="186"/>
      <c r="U18" s="186"/>
      <c r="V18" s="186"/>
      <c r="W18" s="186"/>
      <c r="X18" s="186"/>
      <c r="Y18" s="186"/>
      <c r="Z18" s="186"/>
      <c r="AA18" s="186"/>
      <c r="AB18" s="186"/>
      <c r="AC18" s="186"/>
      <c r="AD18" s="186"/>
    </row>
    <row r="23" spans="1:30" ht="17.399999999999999" customHeight="1">
      <c r="Q23" s="298" t="s">
        <v>130</v>
      </c>
      <c r="R23" s="186"/>
      <c r="S23" s="186"/>
      <c r="T23" s="186"/>
      <c r="U23" s="186"/>
      <c r="V23" s="186"/>
      <c r="W23" s="186"/>
      <c r="X23" s="186"/>
      <c r="Y23" s="186"/>
      <c r="Z23" s="186"/>
      <c r="AA23" s="186"/>
      <c r="AB23" s="186"/>
      <c r="AC23" s="186"/>
      <c r="AD23" s="186"/>
    </row>
    <row r="24" spans="1:30" ht="17.399999999999999" customHeight="1">
      <c r="Q24" s="298" t="s">
        <v>131</v>
      </c>
      <c r="R24" s="186"/>
      <c r="S24" s="186"/>
      <c r="T24" s="186"/>
      <c r="U24" s="186"/>
      <c r="V24" s="186"/>
      <c r="W24" s="186"/>
      <c r="X24" s="186"/>
      <c r="Y24" s="186"/>
      <c r="Z24" s="186"/>
      <c r="AA24" s="186"/>
      <c r="AB24" s="186"/>
      <c r="AC24" s="186"/>
      <c r="AD24" s="186"/>
    </row>
    <row r="25" spans="1:30" ht="17.399999999999999" customHeight="1">
      <c r="Q25" s="298" t="s">
        <v>132</v>
      </c>
      <c r="R25" s="186"/>
      <c r="S25" s="186"/>
      <c r="T25" s="186"/>
      <c r="U25" s="186"/>
      <c r="V25" s="186"/>
      <c r="W25" s="186"/>
      <c r="X25" s="186"/>
      <c r="Y25" s="186"/>
      <c r="Z25" s="186"/>
      <c r="AA25" s="186"/>
      <c r="AB25" s="186"/>
      <c r="AC25" s="186"/>
      <c r="AD25" s="186"/>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Hoja2">
    <tabColor theme="0" tint="-0.249977111117893"/>
  </sheetPr>
  <dimension ref="A4:AZ43"/>
  <sheetViews>
    <sheetView workbookViewId="0">
      <selection activeCell="AB16" sqref="AB16"/>
    </sheetView>
  </sheetViews>
  <sheetFormatPr baseColWidth="10" defaultRowHeight="14.4"/>
  <cols>
    <col min="1" max="1" width="6.44140625" customWidth="1"/>
    <col min="2" max="63" width="1.6640625" customWidth="1"/>
  </cols>
  <sheetData>
    <row r="4" spans="1:52" ht="18" customHeight="1">
      <c r="A4" s="185" t="s">
        <v>133</v>
      </c>
      <c r="B4" s="186"/>
      <c r="C4" s="186"/>
      <c r="D4" s="186"/>
      <c r="E4" s="186"/>
      <c r="F4" s="186"/>
      <c r="G4" s="186"/>
      <c r="H4" s="186"/>
      <c r="I4" s="186"/>
      <c r="J4" s="186"/>
      <c r="K4" s="186"/>
      <c r="L4" s="186"/>
      <c r="M4" s="186"/>
      <c r="N4" s="186"/>
      <c r="O4" s="186"/>
      <c r="P4" s="186"/>
      <c r="Q4" s="186"/>
      <c r="R4" s="186"/>
      <c r="S4" s="186"/>
      <c r="T4" s="186"/>
      <c r="U4" s="186"/>
      <c r="V4" s="186"/>
      <c r="W4" s="186"/>
      <c r="X4" s="186"/>
      <c r="Y4" s="186"/>
      <c r="Z4" s="186"/>
      <c r="AA4" s="186"/>
      <c r="AB4" s="186"/>
      <c r="AC4" s="186"/>
      <c r="AD4" s="186"/>
      <c r="AE4" s="186"/>
      <c r="AF4" s="186"/>
      <c r="AG4" s="186"/>
      <c r="AH4" s="186"/>
      <c r="AI4" s="186"/>
      <c r="AJ4" s="186"/>
      <c r="AK4" s="186"/>
      <c r="AL4" s="186"/>
      <c r="AM4" s="186"/>
      <c r="AN4" s="186"/>
      <c r="AO4" s="186"/>
      <c r="AP4" s="186"/>
      <c r="AQ4" s="186"/>
      <c r="AR4" s="186"/>
      <c r="AS4" s="186"/>
      <c r="AT4" s="186"/>
      <c r="AU4" s="186"/>
      <c r="AV4" s="186"/>
      <c r="AW4" s="186"/>
      <c r="AX4" s="186"/>
      <c r="AY4" s="186"/>
      <c r="AZ4" s="186"/>
    </row>
    <row r="5" spans="1:52" ht="18" customHeight="1">
      <c r="A5" s="185" t="s">
        <v>134</v>
      </c>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c r="AF5" s="186"/>
      <c r="AG5" s="186"/>
      <c r="AH5" s="186"/>
      <c r="AI5" s="186"/>
      <c r="AJ5" s="186"/>
      <c r="AK5" s="186"/>
      <c r="AL5" s="186"/>
      <c r="AM5" s="186"/>
      <c r="AN5" s="186"/>
      <c r="AO5" s="186"/>
      <c r="AP5" s="186"/>
      <c r="AQ5" s="186"/>
      <c r="AR5" s="186"/>
      <c r="AS5" s="186"/>
      <c r="AT5" s="186"/>
      <c r="AU5" s="186"/>
      <c r="AV5" s="186"/>
      <c r="AW5" s="186"/>
      <c r="AX5" s="186"/>
      <c r="AY5" s="186"/>
      <c r="AZ5" s="186"/>
    </row>
    <row r="6" spans="1:52" ht="18" customHeight="1">
      <c r="A6" s="185" t="s">
        <v>135</v>
      </c>
      <c r="B6" s="186"/>
      <c r="C6" s="186"/>
      <c r="D6" s="186"/>
      <c r="E6" s="186"/>
      <c r="F6" s="186"/>
      <c r="G6" s="186"/>
      <c r="H6" s="186"/>
      <c r="I6" s="186"/>
      <c r="J6" s="186"/>
      <c r="K6" s="186"/>
      <c r="L6" s="186"/>
      <c r="M6" s="186"/>
      <c r="N6" s="186"/>
      <c r="O6" s="186"/>
      <c r="P6" s="186"/>
      <c r="Q6" s="186"/>
      <c r="R6" s="186"/>
      <c r="S6" s="186"/>
      <c r="T6" s="186"/>
      <c r="U6" s="186"/>
      <c r="V6" s="186"/>
      <c r="W6" s="186"/>
      <c r="X6" s="186"/>
      <c r="Y6" s="186"/>
      <c r="Z6" s="186"/>
      <c r="AA6" s="186"/>
      <c r="AB6" s="186"/>
      <c r="AC6" s="186"/>
      <c r="AD6" s="186"/>
      <c r="AE6" s="186"/>
      <c r="AF6" s="186"/>
      <c r="AG6" s="186"/>
      <c r="AH6" s="186"/>
      <c r="AI6" s="186"/>
      <c r="AJ6" s="186"/>
      <c r="AK6" s="186"/>
      <c r="AL6" s="186"/>
      <c r="AM6" s="186"/>
      <c r="AN6" s="186"/>
      <c r="AO6" s="186"/>
      <c r="AP6" s="186"/>
      <c r="AQ6" s="186"/>
      <c r="AR6" s="186"/>
      <c r="AS6" s="186"/>
      <c r="AT6" s="186"/>
      <c r="AU6" s="186"/>
      <c r="AV6" s="186"/>
      <c r="AW6" s="186"/>
      <c r="AX6" s="186"/>
      <c r="AY6" s="186"/>
      <c r="AZ6" s="186"/>
    </row>
    <row r="7" spans="1:52" ht="18" customHeight="1"/>
    <row r="8" spans="1:52">
      <c r="A8" t="s">
        <v>15</v>
      </c>
      <c r="E8" s="71"/>
      <c r="F8" s="71"/>
      <c r="G8" s="71"/>
      <c r="H8" s="71"/>
      <c r="I8" s="71"/>
      <c r="J8" s="71"/>
      <c r="K8" s="71"/>
      <c r="L8" s="71"/>
      <c r="M8" s="71"/>
      <c r="N8" s="71"/>
      <c r="O8" s="71"/>
      <c r="P8" s="187">
        <v>2026</v>
      </c>
      <c r="Q8" s="188"/>
      <c r="R8" s="188"/>
      <c r="S8" s="188"/>
      <c r="T8" s="188"/>
      <c r="U8" s="188"/>
      <c r="V8" s="188"/>
      <c r="W8" s="188"/>
      <c r="X8" s="188"/>
      <c r="Y8" s="188"/>
      <c r="Z8" s="188"/>
      <c r="AA8" s="188"/>
      <c r="AB8" s="188"/>
      <c r="AC8" s="188"/>
      <c r="AD8" s="188"/>
      <c r="AE8" s="188"/>
      <c r="AF8" s="188"/>
      <c r="AG8" s="71"/>
      <c r="AH8" s="71"/>
      <c r="AI8" s="71"/>
      <c r="AJ8" s="71"/>
      <c r="AK8" s="71"/>
      <c r="AL8" s="71"/>
      <c r="AM8" s="71"/>
      <c r="AN8" s="71"/>
      <c r="AO8" s="71"/>
      <c r="AP8" s="71"/>
      <c r="AQ8" s="71"/>
      <c r="AR8" s="71"/>
      <c r="AS8" s="71"/>
      <c r="AT8" s="71"/>
      <c r="AU8" s="71"/>
      <c r="AV8" s="71"/>
      <c r="AW8" s="71"/>
      <c r="AX8" s="71"/>
      <c r="AY8" s="71"/>
    </row>
    <row r="10" spans="1:52" ht="19.5" customHeight="1">
      <c r="A10" t="s">
        <v>136</v>
      </c>
      <c r="B10" s="71"/>
      <c r="C10" s="71"/>
      <c r="D10" s="71"/>
      <c r="E10" s="71"/>
      <c r="F10" s="71"/>
      <c r="G10" s="71"/>
      <c r="H10" s="71"/>
      <c r="I10" s="71"/>
      <c r="J10" s="71"/>
      <c r="K10" s="71"/>
      <c r="L10" s="71"/>
      <c r="M10" s="71"/>
      <c r="N10" s="71"/>
      <c r="O10" s="71"/>
      <c r="P10" s="71"/>
      <c r="Q10" s="71"/>
      <c r="R10" s="187"/>
      <c r="S10" s="188"/>
      <c r="T10" s="188"/>
      <c r="U10" s="188"/>
      <c r="V10" s="188"/>
      <c r="W10" s="188"/>
      <c r="X10" s="188"/>
      <c r="Y10" s="188"/>
      <c r="Z10" s="188"/>
      <c r="AA10" s="188"/>
      <c r="AB10" s="188"/>
      <c r="AC10" s="188"/>
      <c r="AD10" s="188"/>
      <c r="AE10" s="188"/>
      <c r="AF10" s="188"/>
      <c r="AG10" s="71"/>
      <c r="AH10" s="71"/>
      <c r="AI10" s="71"/>
      <c r="AJ10" s="71"/>
      <c r="AK10" s="71"/>
      <c r="AL10" s="71"/>
      <c r="AM10" s="71"/>
      <c r="AN10" s="71"/>
      <c r="AO10" s="71"/>
      <c r="AP10" s="71"/>
      <c r="AQ10" s="71"/>
      <c r="AR10" s="71"/>
      <c r="AS10" s="71"/>
      <c r="AT10" s="71"/>
      <c r="AU10" s="71"/>
      <c r="AV10" s="71"/>
      <c r="AW10" s="71"/>
      <c r="AX10" s="71"/>
      <c r="AY10" s="71"/>
    </row>
    <row r="11" spans="1:52" ht="18" customHeight="1"/>
    <row r="12" spans="1:52" ht="18" customHeight="1">
      <c r="A12" t="s">
        <v>137</v>
      </c>
      <c r="G12" s="30"/>
      <c r="H12" s="30"/>
      <c r="I12" s="30"/>
      <c r="J12" s="30"/>
      <c r="K12" s="30"/>
      <c r="L12" s="30"/>
      <c r="M12" s="30"/>
      <c r="N12" s="30"/>
      <c r="O12" s="187" t="s">
        <v>138</v>
      </c>
      <c r="P12" s="188"/>
      <c r="Q12" s="188"/>
      <c r="R12" s="188"/>
      <c r="S12" s="188"/>
      <c r="T12" s="188"/>
      <c r="U12" s="188"/>
      <c r="V12" s="188"/>
      <c r="W12" s="188"/>
      <c r="X12" s="188"/>
      <c r="Y12" s="188"/>
      <c r="Z12" s="188"/>
      <c r="AA12" s="188"/>
      <c r="AB12" s="188"/>
      <c r="AC12" s="188"/>
      <c r="AD12" s="188"/>
      <c r="AE12" s="188"/>
      <c r="AF12" s="188"/>
      <c r="AG12" s="188"/>
      <c r="AH12" s="188"/>
      <c r="AI12" s="188"/>
      <c r="AJ12" s="188"/>
      <c r="AK12" s="188"/>
      <c r="AL12" s="188"/>
      <c r="AM12" s="30"/>
      <c r="AN12" s="30"/>
      <c r="AO12" s="30"/>
      <c r="AP12" s="30"/>
      <c r="AQ12" s="30"/>
      <c r="AR12" s="30"/>
      <c r="AS12" s="30"/>
      <c r="AT12" s="30"/>
      <c r="AU12" s="30"/>
      <c r="AV12" s="30"/>
      <c r="AW12" s="30"/>
      <c r="AX12" s="30"/>
      <c r="AY12" s="30"/>
    </row>
    <row r="13" spans="1:52" ht="18" customHeight="1"/>
    <row r="14" spans="1:52" ht="18" customHeight="1">
      <c r="A14" t="s">
        <v>139</v>
      </c>
      <c r="J14" s="71"/>
      <c r="K14" s="71"/>
      <c r="L14" s="71"/>
      <c r="M14" s="71"/>
      <c r="N14" s="71"/>
      <c r="O14" s="71"/>
      <c r="P14" s="187" t="s">
        <v>140</v>
      </c>
      <c r="Q14" s="188"/>
      <c r="R14" s="188"/>
      <c r="S14" s="188"/>
      <c r="T14" s="188"/>
      <c r="U14" s="188"/>
      <c r="V14" s="188"/>
      <c r="W14" s="188"/>
      <c r="X14" s="188"/>
      <c r="Y14" s="188"/>
      <c r="Z14" s="188"/>
      <c r="AA14" s="188"/>
      <c r="AB14" s="188"/>
      <c r="AC14" s="188"/>
      <c r="AD14" s="188"/>
      <c r="AE14" s="188"/>
      <c r="AF14" s="188"/>
      <c r="AG14" s="188"/>
      <c r="AH14" s="188"/>
      <c r="AI14" s="188"/>
      <c r="AJ14" s="188"/>
      <c r="AK14" s="188"/>
      <c r="AL14" s="188"/>
      <c r="AM14" s="188"/>
      <c r="AN14" s="188"/>
      <c r="AO14" s="188"/>
      <c r="AP14" s="71"/>
      <c r="AQ14" s="71"/>
      <c r="AR14" s="71"/>
      <c r="AS14" s="71"/>
      <c r="AT14" s="71"/>
      <c r="AU14" s="71"/>
      <c r="AV14" s="71"/>
      <c r="AW14" s="71"/>
      <c r="AX14" s="71"/>
      <c r="AY14" s="71"/>
    </row>
    <row r="15" spans="1:52" ht="18" customHeight="1"/>
    <row r="16" spans="1:52" ht="18" customHeight="1">
      <c r="A16" s="31" t="s">
        <v>141</v>
      </c>
      <c r="F16" s="30"/>
      <c r="G16" s="71"/>
      <c r="H16" s="187" t="s">
        <v>142</v>
      </c>
      <c r="I16" s="188"/>
      <c r="J16" s="188"/>
      <c r="K16" s="188"/>
      <c r="L16" s="188"/>
      <c r="M16" s="188"/>
      <c r="N16" s="188"/>
      <c r="O16" s="188"/>
      <c r="P16" s="188"/>
      <c r="Q16" s="188"/>
      <c r="R16" s="188"/>
      <c r="S16" s="71"/>
      <c r="T16" s="71"/>
      <c r="V16" t="s">
        <v>143</v>
      </c>
      <c r="Z16" s="30"/>
      <c r="AA16" s="30"/>
      <c r="AB16" s="30"/>
      <c r="AC16" s="30"/>
      <c r="AD16" s="30"/>
      <c r="AE16" s="30"/>
      <c r="AF16" s="30"/>
      <c r="AG16" s="30"/>
      <c r="AI16" t="s">
        <v>144</v>
      </c>
      <c r="AJ16" s="30"/>
      <c r="AO16" s="30"/>
      <c r="AP16" s="30"/>
      <c r="AQ16" s="187"/>
      <c r="AR16" s="188"/>
      <c r="AS16" s="188"/>
      <c r="AT16" s="188"/>
      <c r="AU16" s="188"/>
      <c r="AV16" s="188"/>
      <c r="AW16" s="188"/>
      <c r="AX16" s="30"/>
      <c r="AY16" s="30"/>
    </row>
    <row r="17" spans="1:51" ht="18" customHeight="1">
      <c r="A17" s="31"/>
    </row>
    <row r="18" spans="1:51" ht="18" customHeight="1">
      <c r="A18" s="31" t="s">
        <v>145</v>
      </c>
      <c r="O18" s="30"/>
      <c r="P18" s="71"/>
      <c r="Q18" s="71"/>
      <c r="R18" s="71"/>
      <c r="S18" s="71"/>
      <c r="T18" s="71"/>
      <c r="U18" s="187" t="s">
        <v>146</v>
      </c>
      <c r="V18" s="188"/>
      <c r="W18" s="188"/>
      <c r="X18" s="188"/>
      <c r="Y18" s="188"/>
      <c r="Z18" s="188"/>
      <c r="AA18" s="188"/>
      <c r="AB18" s="188"/>
      <c r="AC18" s="188"/>
      <c r="AD18" s="188"/>
      <c r="AE18" s="188"/>
      <c r="AF18" s="188"/>
      <c r="AG18" s="188"/>
      <c r="AH18" s="188"/>
      <c r="AI18" s="188"/>
      <c r="AJ18" s="188"/>
      <c r="AK18" s="188"/>
      <c r="AL18" s="188"/>
      <c r="AM18" s="188"/>
      <c r="AN18" s="188"/>
      <c r="AO18" s="188"/>
      <c r="AP18" s="188"/>
      <c r="AQ18" s="71"/>
      <c r="AR18" s="71"/>
      <c r="AS18" s="71"/>
      <c r="AT18" s="71"/>
      <c r="AU18" s="71"/>
      <c r="AV18" s="71"/>
      <c r="AW18" s="71"/>
      <c r="AX18" s="71"/>
      <c r="AY18" s="30"/>
    </row>
    <row r="19" spans="1:51" ht="18" customHeight="1">
      <c r="A19" s="31"/>
    </row>
    <row r="20" spans="1:51" ht="18" customHeight="1">
      <c r="A20" s="31" t="s">
        <v>147</v>
      </c>
      <c r="C20" s="30"/>
      <c r="D20" s="71"/>
      <c r="E20" s="71"/>
      <c r="F20" s="71"/>
      <c r="G20" s="71"/>
      <c r="H20" s="187" t="s">
        <v>148</v>
      </c>
      <c r="I20" s="188"/>
      <c r="J20" s="188"/>
      <c r="K20" s="188"/>
      <c r="L20" s="188"/>
      <c r="M20" s="188"/>
      <c r="N20" s="188"/>
      <c r="O20" s="188"/>
      <c r="P20" s="188"/>
      <c r="Q20" s="71"/>
      <c r="R20" s="71"/>
      <c r="S20" s="71"/>
      <c r="T20" s="71"/>
      <c r="U20" s="71"/>
      <c r="V20" s="71"/>
      <c r="W20" s="30"/>
      <c r="X20" t="s">
        <v>149</v>
      </c>
      <c r="AD20" s="187" t="s">
        <v>150</v>
      </c>
      <c r="AE20" s="188"/>
      <c r="AF20" s="188"/>
      <c r="AG20" s="188"/>
      <c r="AH20" s="188"/>
      <c r="AI20" s="188"/>
      <c r="AJ20" s="188"/>
      <c r="AK20" s="188"/>
      <c r="AL20" s="188"/>
      <c r="AM20" s="188"/>
      <c r="AN20" s="188"/>
      <c r="AO20" s="188"/>
      <c r="AP20" s="188"/>
      <c r="AQ20" s="188"/>
      <c r="AR20" s="188"/>
      <c r="AS20" s="188"/>
      <c r="AT20" s="188"/>
      <c r="AU20" s="188"/>
      <c r="AV20" s="188"/>
      <c r="AW20" s="188"/>
      <c r="AX20" s="188"/>
      <c r="AY20" s="188"/>
    </row>
    <row r="21" spans="1:51" ht="18" customHeight="1">
      <c r="A21" s="31"/>
    </row>
    <row r="22" spans="1:51" ht="18" customHeight="1">
      <c r="A22" s="31" t="s">
        <v>151</v>
      </c>
      <c r="J22" s="30"/>
      <c r="K22" s="30"/>
      <c r="L22" s="30"/>
      <c r="M22" s="30"/>
      <c r="N22" s="30"/>
      <c r="O22" s="30"/>
      <c r="P22" s="30"/>
      <c r="Q22" s="30"/>
      <c r="R22" s="30"/>
      <c r="S22" s="187" t="s">
        <v>152</v>
      </c>
      <c r="T22" s="188"/>
      <c r="U22" s="188"/>
      <c r="V22" s="188"/>
      <c r="W22" s="188"/>
      <c r="X22" s="188"/>
      <c r="Y22" s="188"/>
      <c r="Z22" s="188"/>
      <c r="AA22" s="188"/>
      <c r="AB22" s="188"/>
      <c r="AC22" s="188"/>
      <c r="AD22" s="188"/>
      <c r="AE22" s="188"/>
      <c r="AF22" s="188"/>
      <c r="AG22" s="188"/>
      <c r="AH22" s="188"/>
      <c r="AI22" s="188"/>
      <c r="AJ22" s="188"/>
      <c r="AK22" s="188"/>
      <c r="AL22" s="188"/>
      <c r="AM22" s="188"/>
      <c r="AN22" s="188"/>
      <c r="AO22" s="188"/>
      <c r="AP22" s="30"/>
      <c r="AQ22" s="30"/>
      <c r="AR22" s="30"/>
      <c r="AS22" s="30"/>
      <c r="AT22" s="30"/>
      <c r="AU22" s="30"/>
      <c r="AV22" s="30"/>
      <c r="AW22" s="30"/>
      <c r="AX22" s="30"/>
      <c r="AY22" s="30"/>
    </row>
    <row r="23" spans="1:51" ht="18" customHeight="1">
      <c r="A23" s="31"/>
    </row>
    <row r="24" spans="1:51" ht="18" customHeight="1">
      <c r="A24" s="31" t="s">
        <v>153</v>
      </c>
      <c r="L24" s="30"/>
      <c r="M24" s="30"/>
      <c r="N24" s="30"/>
      <c r="O24" s="30"/>
      <c r="P24" s="30"/>
      <c r="Q24" s="30"/>
      <c r="R24" s="30"/>
      <c r="S24" s="30"/>
      <c r="T24" s="187" t="s">
        <v>154</v>
      </c>
      <c r="U24" s="188"/>
      <c r="V24" s="188"/>
      <c r="W24" s="188"/>
      <c r="X24" s="188"/>
      <c r="Y24" s="188"/>
      <c r="Z24" s="188"/>
      <c r="AA24" s="188"/>
      <c r="AB24" s="188"/>
      <c r="AC24" s="188"/>
      <c r="AD24" s="188"/>
      <c r="AE24" s="188"/>
      <c r="AF24" s="188"/>
      <c r="AG24" s="188"/>
      <c r="AH24" s="188"/>
      <c r="AI24" s="188"/>
      <c r="AJ24" s="188"/>
      <c r="AK24" s="188"/>
      <c r="AL24" s="188"/>
      <c r="AM24" s="188"/>
      <c r="AN24" s="188"/>
      <c r="AO24" s="188"/>
      <c r="AP24" s="188"/>
      <c r="AQ24" s="188"/>
      <c r="AR24" s="30"/>
      <c r="AS24" s="30"/>
      <c r="AT24" s="30"/>
      <c r="AU24" s="30"/>
      <c r="AV24" s="30"/>
      <c r="AW24" s="30"/>
      <c r="AX24" s="30"/>
      <c r="AY24" s="30"/>
    </row>
    <row r="25" spans="1:51" ht="18" customHeight="1">
      <c r="A25" s="31"/>
    </row>
    <row r="26" spans="1:51" ht="18" customHeight="1">
      <c r="A26" s="31" t="s">
        <v>155</v>
      </c>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row>
    <row r="27" spans="1:51" ht="18" customHeight="1">
      <c r="A27" s="31"/>
    </row>
    <row r="28" spans="1:51" ht="18" customHeight="1">
      <c r="A28" s="31" t="s">
        <v>156</v>
      </c>
      <c r="H28" s="30"/>
      <c r="I28" s="30"/>
      <c r="J28" s="30"/>
      <c r="K28" s="30"/>
      <c r="L28" s="71"/>
      <c r="M28" s="71"/>
      <c r="N28" s="71"/>
      <c r="O28" s="71"/>
      <c r="P28" s="71"/>
      <c r="Q28" s="187" t="s">
        <v>157</v>
      </c>
      <c r="R28" s="188"/>
      <c r="S28" s="188"/>
      <c r="T28" s="188"/>
      <c r="U28" s="188"/>
      <c r="V28" s="188"/>
      <c r="W28" s="188"/>
      <c r="X28" s="188"/>
      <c r="Y28" s="188"/>
      <c r="Z28" s="188"/>
      <c r="AA28" s="188"/>
      <c r="AB28" s="188"/>
      <c r="AC28" s="188"/>
      <c r="AD28" s="188"/>
      <c r="AE28" s="188"/>
      <c r="AF28" s="188"/>
      <c r="AG28" s="188"/>
      <c r="AH28" s="188"/>
      <c r="AI28" s="188"/>
      <c r="AJ28" s="188"/>
      <c r="AK28" s="188"/>
      <c r="AL28" s="188"/>
      <c r="AM28" s="188"/>
      <c r="AN28" s="188"/>
      <c r="AO28" s="188"/>
      <c r="AP28" s="188"/>
      <c r="AQ28" s="188"/>
      <c r="AR28" s="71"/>
      <c r="AS28" s="30"/>
      <c r="AT28" s="30"/>
      <c r="AU28" s="30"/>
      <c r="AV28" s="30"/>
      <c r="AW28" s="30"/>
      <c r="AX28" s="30"/>
      <c r="AY28" s="30"/>
    </row>
    <row r="29" spans="1:51" ht="18" customHeight="1">
      <c r="A29" s="31"/>
    </row>
    <row r="30" spans="1:51" ht="18" customHeight="1">
      <c r="A30" s="31" t="s">
        <v>158</v>
      </c>
      <c r="D30" s="30"/>
      <c r="E30" s="30"/>
      <c r="F30" s="187">
        <v>64185780</v>
      </c>
      <c r="G30" s="188"/>
      <c r="H30" s="188"/>
      <c r="I30" s="188"/>
      <c r="J30" s="188"/>
      <c r="K30" s="188"/>
      <c r="L30" s="188"/>
      <c r="M30" s="188"/>
      <c r="N30" s="188"/>
      <c r="O30" s="188"/>
      <c r="P30" s="188"/>
      <c r="Q30" s="71"/>
      <c r="R30" s="71"/>
      <c r="S30" s="30"/>
      <c r="U30" t="s">
        <v>159</v>
      </c>
      <c r="AE30" s="30"/>
      <c r="AF30" s="190" t="s">
        <v>160</v>
      </c>
      <c r="AG30" s="188"/>
      <c r="AH30" s="188"/>
      <c r="AI30" s="188"/>
      <c r="AJ30" s="188"/>
      <c r="AK30" s="188"/>
      <c r="AL30" s="188"/>
      <c r="AM30" s="188"/>
      <c r="AN30" s="188"/>
      <c r="AO30" s="188"/>
      <c r="AP30" s="188"/>
      <c r="AQ30" s="188"/>
      <c r="AR30" s="188"/>
      <c r="AS30" s="188"/>
      <c r="AT30" s="188"/>
      <c r="AU30" s="188"/>
      <c r="AV30" s="188"/>
      <c r="AW30" s="188"/>
      <c r="AX30" s="188"/>
      <c r="AY30" s="30"/>
    </row>
    <row r="31" spans="1:51" ht="18" customHeight="1">
      <c r="A31" s="31"/>
    </row>
    <row r="32" spans="1:51" ht="18" customHeight="1">
      <c r="A32" s="31" t="s">
        <v>161</v>
      </c>
      <c r="E32" s="30"/>
      <c r="F32" s="30"/>
      <c r="G32" s="71"/>
      <c r="H32" s="71"/>
      <c r="I32" s="71"/>
      <c r="J32" s="71"/>
      <c r="K32" s="71"/>
      <c r="L32" s="71"/>
      <c r="M32" s="187" t="s">
        <v>162</v>
      </c>
      <c r="N32" s="188"/>
      <c r="O32" s="188"/>
      <c r="P32" s="188"/>
      <c r="Q32" s="188"/>
      <c r="R32" s="188"/>
      <c r="S32" s="188"/>
      <c r="T32" s="188"/>
      <c r="U32" s="188"/>
      <c r="V32" s="188"/>
      <c r="W32" s="188"/>
      <c r="X32" s="188"/>
      <c r="Y32" s="188"/>
      <c r="Z32" s="188"/>
      <c r="AA32" s="188"/>
      <c r="AB32" s="188"/>
      <c r="AC32" s="188"/>
      <c r="AD32" s="188"/>
      <c r="AE32" s="188"/>
      <c r="AF32" s="188"/>
      <c r="AG32" s="188"/>
      <c r="AH32" s="188"/>
      <c r="AI32" s="188"/>
      <c r="AJ32" s="188"/>
      <c r="AK32" s="188"/>
      <c r="AL32" s="188"/>
      <c r="AM32" s="188"/>
      <c r="AN32" s="188"/>
      <c r="AO32" s="188"/>
      <c r="AP32" s="188"/>
      <c r="AQ32" s="71"/>
      <c r="AR32" s="71"/>
      <c r="AS32" s="71"/>
      <c r="AT32" s="71"/>
      <c r="AU32" s="71"/>
      <c r="AV32" s="71"/>
      <c r="AW32" s="71"/>
      <c r="AX32" s="30"/>
      <c r="AY32" s="30"/>
    </row>
    <row r="33" spans="1:51" ht="18" customHeight="1">
      <c r="A33" s="31"/>
    </row>
    <row r="34" spans="1:51" ht="18" customHeight="1">
      <c r="A34" s="31" t="s">
        <v>163</v>
      </c>
      <c r="E34" s="30"/>
      <c r="F34" s="30"/>
      <c r="G34" s="30"/>
      <c r="H34" s="30"/>
      <c r="I34" s="30"/>
      <c r="J34" s="30"/>
      <c r="K34" s="30"/>
      <c r="L34" s="187" t="s">
        <v>164</v>
      </c>
      <c r="M34" s="188"/>
      <c r="N34" s="188"/>
      <c r="O34" s="188"/>
      <c r="P34" s="188"/>
      <c r="Q34" s="188"/>
      <c r="R34" s="188"/>
      <c r="S34" s="188"/>
      <c r="T34" s="188"/>
      <c r="U34" s="188"/>
      <c r="V34" s="188"/>
      <c r="W34" s="188"/>
      <c r="X34" s="188"/>
      <c r="Y34" s="188"/>
      <c r="Z34" s="188"/>
      <c r="AA34" s="188"/>
      <c r="AB34" s="188"/>
      <c r="AC34" s="188"/>
      <c r="AD34" s="188"/>
      <c r="AE34" s="188"/>
      <c r="AF34" s="188"/>
      <c r="AG34" s="188"/>
      <c r="AH34" s="188"/>
      <c r="AI34" s="188"/>
      <c r="AJ34" s="188"/>
      <c r="AK34" s="188"/>
      <c r="AL34" s="188"/>
      <c r="AM34" s="188"/>
      <c r="AN34" s="188"/>
      <c r="AO34" s="188"/>
      <c r="AP34" s="188"/>
      <c r="AQ34" s="188"/>
      <c r="AR34" s="188"/>
      <c r="AS34" s="30"/>
      <c r="AT34" s="30"/>
      <c r="AU34" s="30"/>
      <c r="AV34" s="30"/>
      <c r="AW34" s="30"/>
      <c r="AX34" s="30"/>
      <c r="AY34" s="30"/>
    </row>
    <row r="35" spans="1:51" ht="18" customHeight="1">
      <c r="A35" s="31"/>
    </row>
    <row r="36" spans="1:51" ht="18" customHeight="1">
      <c r="A36" s="31" t="s">
        <v>165</v>
      </c>
      <c r="I36" s="30"/>
      <c r="J36" s="30"/>
      <c r="K36" s="30"/>
      <c r="L36" s="30"/>
      <c r="M36" s="30"/>
      <c r="N36" s="30"/>
      <c r="O36" s="30"/>
      <c r="P36" s="30"/>
      <c r="Q36" s="187" t="s">
        <v>166</v>
      </c>
      <c r="R36" s="188"/>
      <c r="S36" s="188"/>
      <c r="T36" s="188"/>
      <c r="U36" s="188"/>
      <c r="V36" s="188"/>
      <c r="W36" s="188"/>
      <c r="X36" s="188"/>
      <c r="Y36" s="188"/>
      <c r="Z36" s="188"/>
      <c r="AA36" s="188"/>
      <c r="AB36" s="188"/>
      <c r="AC36" s="188"/>
      <c r="AD36" s="188"/>
      <c r="AE36" s="188"/>
      <c r="AF36" s="188"/>
      <c r="AG36" s="188"/>
      <c r="AH36" s="188"/>
      <c r="AI36" s="188"/>
      <c r="AJ36" s="188"/>
      <c r="AK36" s="188"/>
      <c r="AL36" s="188"/>
      <c r="AM36" s="188"/>
      <c r="AN36" s="188"/>
      <c r="AO36" s="188"/>
      <c r="AP36" s="188"/>
      <c r="AQ36" s="188"/>
      <c r="AR36" s="30"/>
      <c r="AS36" s="30"/>
      <c r="AT36" s="30"/>
      <c r="AU36" s="30"/>
      <c r="AV36" s="30"/>
      <c r="AW36" s="30"/>
      <c r="AX36" s="30"/>
      <c r="AY36" s="30"/>
    </row>
    <row r="37" spans="1:51" ht="18" customHeight="1">
      <c r="A37" s="31"/>
    </row>
    <row r="38" spans="1:51" ht="18" customHeight="1">
      <c r="A38" s="31" t="s">
        <v>167</v>
      </c>
      <c r="F38" s="30"/>
      <c r="G38" s="88"/>
      <c r="H38" s="88"/>
      <c r="I38" s="88"/>
      <c r="J38" s="88"/>
      <c r="K38" s="88"/>
      <c r="L38" s="88"/>
      <c r="M38" s="88"/>
      <c r="N38" s="88"/>
      <c r="O38" s="189">
        <v>31</v>
      </c>
      <c r="P38" s="188"/>
      <c r="Q38" s="188"/>
      <c r="R38" s="188"/>
      <c r="S38" s="188"/>
      <c r="T38" s="188"/>
      <c r="U38" s="188"/>
      <c r="V38" s="188"/>
      <c r="W38" s="188"/>
      <c r="X38" s="188"/>
      <c r="Y38" s="188"/>
      <c r="Z38" s="188"/>
      <c r="AA38" s="188"/>
      <c r="AB38" s="188"/>
      <c r="AC38" s="188"/>
      <c r="AD38" s="188"/>
      <c r="AE38" s="188"/>
      <c r="AF38" s="188"/>
      <c r="AG38" s="188"/>
      <c r="AH38" s="188"/>
      <c r="AI38" s="188"/>
      <c r="AJ38" s="188"/>
      <c r="AK38" s="188"/>
      <c r="AL38" s="188"/>
      <c r="AM38" s="88"/>
      <c r="AN38" s="88"/>
      <c r="AO38" s="88"/>
      <c r="AP38" s="88"/>
      <c r="AQ38" s="88"/>
      <c r="AR38" s="88"/>
      <c r="AS38" s="88"/>
      <c r="AT38" s="88"/>
      <c r="AU38" s="88"/>
      <c r="AV38" s="88"/>
      <c r="AW38" s="88"/>
      <c r="AX38" s="88"/>
      <c r="AY38" s="88"/>
    </row>
    <row r="39" spans="1:51" ht="18" customHeight="1"/>
    <row r="40" spans="1:51" ht="18" customHeight="1"/>
    <row r="41" spans="1:51" ht="18" customHeight="1"/>
    <row r="42" spans="1:51" ht="15.6" customHeight="1">
      <c r="A42" s="31"/>
    </row>
    <row r="43" spans="1:51" ht="15.6" customHeight="1">
      <c r="A43" s="31"/>
    </row>
  </sheetData>
  <mergeCells count="21">
    <mergeCell ref="O38:AL38"/>
    <mergeCell ref="AQ16:AW16"/>
    <mergeCell ref="H20:P20"/>
    <mergeCell ref="A6:AZ6"/>
    <mergeCell ref="T24:AQ24"/>
    <mergeCell ref="R10:AF10"/>
    <mergeCell ref="Q28:AQ28"/>
    <mergeCell ref="AF30:AX30"/>
    <mergeCell ref="A4:AZ4"/>
    <mergeCell ref="P8:AF8"/>
    <mergeCell ref="Q36:AQ36"/>
    <mergeCell ref="O12:AL12"/>
    <mergeCell ref="AD20:AY20"/>
    <mergeCell ref="H16:R16"/>
    <mergeCell ref="L34:AR34"/>
    <mergeCell ref="M32:AP32"/>
    <mergeCell ref="P14:AO14"/>
    <mergeCell ref="S22:AO22"/>
    <mergeCell ref="U18:AP18"/>
    <mergeCell ref="A5:AZ5"/>
    <mergeCell ref="F30:P30"/>
  </mergeCells>
  <hyperlinks>
    <hyperlink ref="AF30" r:id="rId1" xr:uid="{00000000-0004-0000-2400-000000000000}"/>
  </hyperlinks>
  <pageMargins left="0.62992125984251968" right="0.23622047244094491" top="0.74803149606299213" bottom="0.74803149606299213" header="0.31496062992125978" footer="0.31496062992125978"/>
  <pageSetup orientation="portrait"/>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Hoja3">
    <tabColor theme="0" tint="-0.249977111117893"/>
  </sheetPr>
  <dimension ref="A1:X65"/>
  <sheetViews>
    <sheetView workbookViewId="0">
      <selection activeCell="AB16" sqref="AB16"/>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168</v>
      </c>
      <c r="N2" s="30"/>
      <c r="O2" s="187" t="s">
        <v>16</v>
      </c>
      <c r="P2" s="188"/>
      <c r="Q2" s="188"/>
      <c r="R2" s="30"/>
    </row>
    <row r="3" spans="1:24" ht="16.05" customHeight="1"/>
    <row r="4" spans="1:24" ht="16.05" customHeight="1">
      <c r="C4" t="s">
        <v>147</v>
      </c>
      <c r="H4" s="187" t="s">
        <v>169</v>
      </c>
      <c r="I4" s="188"/>
      <c r="J4" s="188"/>
      <c r="K4" s="188"/>
      <c r="L4" s="188"/>
      <c r="M4" s="188"/>
      <c r="N4" s="188"/>
      <c r="O4" s="188"/>
      <c r="P4" s="188"/>
      <c r="Q4" s="188"/>
      <c r="R4" s="188"/>
    </row>
    <row r="5" spans="1:24" ht="16.05" customHeight="1"/>
    <row r="6" spans="1:24" ht="16.05" customHeight="1">
      <c r="C6" t="s">
        <v>149</v>
      </c>
      <c r="I6" s="187" t="s">
        <v>170</v>
      </c>
      <c r="J6" s="188"/>
      <c r="K6" s="188"/>
      <c r="L6" s="188"/>
      <c r="M6" s="188"/>
      <c r="N6" s="188"/>
      <c r="O6" s="188"/>
      <c r="P6" s="188"/>
      <c r="Q6" s="188"/>
      <c r="R6" s="188"/>
    </row>
    <row r="7" spans="1:24" ht="16.05" customHeight="1"/>
    <row r="8" spans="1:24" ht="16.05" customHeight="1">
      <c r="C8" t="s">
        <v>171</v>
      </c>
      <c r="H8" s="30"/>
      <c r="I8" s="30"/>
      <c r="J8" s="30"/>
      <c r="K8" s="30"/>
      <c r="L8" s="30"/>
      <c r="M8" s="30"/>
      <c r="N8" s="30"/>
      <c r="O8" s="187"/>
      <c r="P8" s="188"/>
      <c r="Q8" s="188"/>
      <c r="R8" s="30"/>
    </row>
    <row r="9" spans="1:24" ht="18" customHeight="1"/>
    <row r="10" spans="1:24" s="31" customFormat="1" ht="22.95" customHeight="1">
      <c r="D10" s="270" t="s">
        <v>172</v>
      </c>
      <c r="E10" s="251"/>
      <c r="F10" s="251"/>
      <c r="G10" s="251"/>
      <c r="H10" s="251"/>
      <c r="I10" s="241"/>
      <c r="J10" s="76" t="s">
        <v>173</v>
      </c>
      <c r="K10" s="76"/>
      <c r="L10" s="76"/>
      <c r="M10" s="76"/>
      <c r="N10" s="76"/>
      <c r="O10" s="28" t="s">
        <v>174</v>
      </c>
      <c r="P10" s="28" t="s">
        <v>175</v>
      </c>
      <c r="Q10" s="28" t="s">
        <v>176</v>
      </c>
      <c r="R10" s="28" t="s">
        <v>177</v>
      </c>
      <c r="S10" s="28" t="s">
        <v>178</v>
      </c>
      <c r="T10" s="80"/>
      <c r="U10" s="81"/>
      <c r="V10" s="81"/>
      <c r="W10" s="81"/>
      <c r="X10" s="81"/>
    </row>
    <row r="11" spans="1:24" ht="22.95" customHeight="1">
      <c r="D11" s="245" t="s">
        <v>113</v>
      </c>
      <c r="E11" s="251"/>
      <c r="F11" s="251"/>
      <c r="G11" s="251"/>
      <c r="H11" s="251"/>
      <c r="I11" s="241"/>
      <c r="J11" s="299" t="s">
        <v>179</v>
      </c>
      <c r="K11" s="251"/>
      <c r="L11" s="251"/>
      <c r="M11" s="251"/>
      <c r="N11" s="241"/>
      <c r="O11" s="27" t="s">
        <v>180</v>
      </c>
      <c r="P11" s="83" t="s">
        <v>181</v>
      </c>
      <c r="Q11" s="83" t="s">
        <v>181</v>
      </c>
      <c r="R11" s="27"/>
      <c r="S11" s="84"/>
      <c r="T11" s="78"/>
      <c r="U11" s="79"/>
      <c r="V11" s="79"/>
      <c r="W11" s="79"/>
      <c r="X11" s="79"/>
    </row>
    <row r="12" spans="1:24" ht="22.95" customHeight="1">
      <c r="D12" s="245" t="s">
        <v>114</v>
      </c>
      <c r="E12" s="251"/>
      <c r="F12" s="251"/>
      <c r="G12" s="251"/>
      <c r="H12" s="251"/>
      <c r="I12" s="241"/>
      <c r="J12" s="299" t="s">
        <v>182</v>
      </c>
      <c r="K12" s="251"/>
      <c r="L12" s="251"/>
      <c r="M12" s="251"/>
      <c r="N12" s="241"/>
      <c r="O12" s="245" t="s">
        <v>183</v>
      </c>
      <c r="P12" s="245" t="s">
        <v>184</v>
      </c>
      <c r="Q12" s="245" t="s">
        <v>185</v>
      </c>
      <c r="R12" s="27"/>
      <c r="S12" s="84"/>
      <c r="T12" s="78"/>
      <c r="U12" s="79"/>
      <c r="V12" s="79"/>
      <c r="W12" s="79"/>
      <c r="X12" s="79"/>
    </row>
    <row r="13" spans="1:24" ht="22.95" customHeight="1">
      <c r="D13" s="245" t="s">
        <v>115</v>
      </c>
      <c r="E13" s="251"/>
      <c r="F13" s="251"/>
      <c r="G13" s="251"/>
      <c r="H13" s="251"/>
      <c r="I13" s="241"/>
      <c r="J13" s="299" t="s">
        <v>186</v>
      </c>
      <c r="K13" s="251"/>
      <c r="L13" s="251"/>
      <c r="M13" s="251"/>
      <c r="N13" s="241"/>
      <c r="O13" s="243"/>
      <c r="P13" s="243"/>
      <c r="Q13" s="243"/>
      <c r="R13" s="245" t="s">
        <v>187</v>
      </c>
      <c r="S13" s="27"/>
      <c r="T13" s="78"/>
      <c r="U13" s="79"/>
      <c r="V13" s="79"/>
      <c r="W13" s="79"/>
      <c r="X13" s="79"/>
    </row>
    <row r="14" spans="1:24" ht="22.95" customHeight="1">
      <c r="D14" s="302" t="s">
        <v>188</v>
      </c>
      <c r="E14" s="303"/>
      <c r="F14" s="303"/>
      <c r="G14" s="303"/>
      <c r="H14" s="303"/>
      <c r="I14" s="246"/>
      <c r="J14" s="299" t="s">
        <v>189</v>
      </c>
      <c r="K14" s="251"/>
      <c r="L14" s="251"/>
      <c r="M14" s="251"/>
      <c r="N14" s="241"/>
      <c r="O14" s="83" t="s">
        <v>190</v>
      </c>
      <c r="P14" s="83"/>
      <c r="Q14" s="83" t="s">
        <v>187</v>
      </c>
      <c r="R14" s="243"/>
      <c r="S14" s="84" t="s">
        <v>191</v>
      </c>
      <c r="T14" s="78"/>
      <c r="U14" s="79"/>
      <c r="V14" s="79"/>
      <c r="W14" s="79"/>
      <c r="X14" s="79"/>
    </row>
    <row r="15" spans="1:24" ht="22.95" customHeight="1">
      <c r="A15" s="79"/>
      <c r="B15" s="82"/>
      <c r="C15" s="82"/>
      <c r="D15" s="300" t="s">
        <v>192</v>
      </c>
      <c r="E15" s="251"/>
      <c r="F15" s="251"/>
      <c r="G15" s="251"/>
      <c r="H15" s="251"/>
      <c r="I15" s="251"/>
      <c r="J15" s="251"/>
      <c r="K15" s="251"/>
      <c r="L15" s="251"/>
      <c r="M15" s="251"/>
      <c r="N15" s="251"/>
      <c r="O15" s="251"/>
      <c r="P15" s="251"/>
      <c r="Q15" s="251"/>
      <c r="R15" s="251"/>
      <c r="S15" s="241"/>
    </row>
    <row r="16" spans="1:24" ht="22.95" customHeight="1">
      <c r="B16" s="79"/>
      <c r="C16" s="79"/>
      <c r="D16" s="245" t="s">
        <v>193</v>
      </c>
      <c r="E16" s="251"/>
      <c r="F16" s="251"/>
      <c r="G16" s="251"/>
      <c r="H16" s="251"/>
      <c r="I16" s="241"/>
      <c r="J16" s="299" t="s">
        <v>194</v>
      </c>
      <c r="K16" s="251"/>
      <c r="L16" s="251"/>
      <c r="M16" s="251"/>
      <c r="N16" s="241"/>
      <c r="O16" s="83" t="s">
        <v>190</v>
      </c>
      <c r="P16" s="84"/>
      <c r="Q16" s="84" t="s">
        <v>187</v>
      </c>
      <c r="R16" s="245" t="s">
        <v>191</v>
      </c>
      <c r="S16" s="84" t="s">
        <v>191</v>
      </c>
    </row>
    <row r="17" spans="1:19" ht="22.95" customHeight="1">
      <c r="B17" s="79"/>
      <c r="C17" s="79"/>
      <c r="D17" s="245" t="s">
        <v>195</v>
      </c>
      <c r="E17" s="251"/>
      <c r="F17" s="251"/>
      <c r="G17" s="251"/>
      <c r="H17" s="251"/>
      <c r="I17" s="241"/>
      <c r="J17" s="299" t="s">
        <v>196</v>
      </c>
      <c r="K17" s="251"/>
      <c r="L17" s="251"/>
      <c r="M17" s="251"/>
      <c r="N17" s="241"/>
      <c r="O17" s="245" t="s">
        <v>185</v>
      </c>
      <c r="P17" s="27"/>
      <c r="Q17" s="245" t="s">
        <v>190</v>
      </c>
      <c r="R17" s="243"/>
      <c r="S17" s="83" t="s">
        <v>181</v>
      </c>
    </row>
    <row r="18" spans="1:19" ht="22.95" customHeight="1">
      <c r="B18" s="79"/>
      <c r="C18" s="79"/>
      <c r="D18" s="245" t="s">
        <v>197</v>
      </c>
      <c r="E18" s="251"/>
      <c r="F18" s="251"/>
      <c r="G18" s="251"/>
      <c r="H18" s="251"/>
      <c r="I18" s="241"/>
      <c r="J18" s="299" t="s">
        <v>198</v>
      </c>
      <c r="K18" s="251"/>
      <c r="L18" s="251"/>
      <c r="M18" s="251"/>
      <c r="N18" s="241"/>
      <c r="O18" s="243"/>
      <c r="P18" s="245" t="s">
        <v>183</v>
      </c>
      <c r="Q18" s="243"/>
      <c r="R18" s="245" t="s">
        <v>184</v>
      </c>
      <c r="S18" s="245" t="s">
        <v>199</v>
      </c>
    </row>
    <row r="19" spans="1:19" ht="22.95" customHeight="1">
      <c r="B19" s="79"/>
      <c r="C19" s="79"/>
      <c r="D19" s="245" t="s">
        <v>200</v>
      </c>
      <c r="E19" s="251"/>
      <c r="F19" s="251"/>
      <c r="G19" s="251"/>
      <c r="H19" s="251"/>
      <c r="I19" s="241"/>
      <c r="J19" s="299" t="s">
        <v>201</v>
      </c>
      <c r="K19" s="251"/>
      <c r="L19" s="251"/>
      <c r="M19" s="251"/>
      <c r="N19" s="241"/>
      <c r="O19" s="89"/>
      <c r="P19" s="243"/>
      <c r="Q19" s="27" t="s">
        <v>181</v>
      </c>
      <c r="R19" s="243"/>
      <c r="S19" s="243"/>
    </row>
    <row r="20" spans="1:19" ht="18" customHeight="1">
      <c r="A20" s="32"/>
      <c r="B20" s="32"/>
      <c r="C20" s="32"/>
      <c r="D20" s="32"/>
      <c r="E20" s="32"/>
      <c r="F20" s="32"/>
      <c r="G20" s="32"/>
      <c r="H20" s="32"/>
      <c r="I20" s="32"/>
      <c r="J20" s="32"/>
      <c r="K20" s="32"/>
      <c r="L20" s="32"/>
      <c r="M20" s="32"/>
      <c r="N20" s="32"/>
      <c r="O20" s="32"/>
      <c r="P20" s="32"/>
      <c r="Q20" s="32"/>
      <c r="R20" s="32"/>
      <c r="S20" s="32"/>
    </row>
    <row r="21" spans="1:19" ht="18" customHeight="1">
      <c r="A21" s="185"/>
      <c r="B21" s="186"/>
      <c r="C21" s="186"/>
      <c r="D21" s="186"/>
      <c r="E21" s="186"/>
      <c r="F21" s="186"/>
      <c r="G21" s="186"/>
      <c r="H21" s="186"/>
      <c r="I21" s="186"/>
      <c r="J21" s="186"/>
      <c r="K21" s="186"/>
      <c r="L21" s="186"/>
      <c r="M21" s="186"/>
      <c r="N21" s="186"/>
      <c r="O21" s="186"/>
      <c r="P21" s="186"/>
      <c r="Q21" s="186"/>
      <c r="R21" s="186"/>
      <c r="S21" s="186"/>
    </row>
    <row r="22" spans="1:19" ht="18" customHeight="1">
      <c r="A22" s="185"/>
      <c r="B22" s="186"/>
      <c r="C22" s="186"/>
      <c r="D22" s="186"/>
      <c r="E22" s="186"/>
      <c r="F22" s="186"/>
      <c r="G22" s="186"/>
      <c r="H22" s="186"/>
      <c r="I22" s="186"/>
      <c r="J22" s="186"/>
      <c r="K22" s="186"/>
      <c r="L22" s="186"/>
      <c r="M22" s="186"/>
      <c r="N22" s="186"/>
      <c r="O22" s="186"/>
      <c r="P22" s="186"/>
      <c r="Q22" s="186"/>
      <c r="R22" s="186"/>
      <c r="S22" s="186"/>
    </row>
    <row r="23" spans="1:19" ht="18" customHeight="1"/>
    <row r="24" spans="1:19" s="31" customFormat="1" ht="22.95" customHeight="1">
      <c r="A24" s="277"/>
      <c r="B24" s="304"/>
      <c r="C24" s="304"/>
      <c r="D24" s="304"/>
      <c r="E24" s="304"/>
      <c r="F24" s="304"/>
      <c r="G24" s="277"/>
      <c r="H24" s="304"/>
      <c r="I24" s="304"/>
      <c r="J24" s="304"/>
      <c r="K24" s="304"/>
      <c r="L24" s="304"/>
      <c r="M24" s="304"/>
      <c r="N24" s="304"/>
      <c r="O24" s="74"/>
      <c r="P24" s="74"/>
      <c r="Q24" s="74"/>
      <c r="R24" s="74"/>
      <c r="S24" s="74"/>
    </row>
    <row r="25" spans="1:19" ht="22.95" customHeight="1">
      <c r="A25" s="301"/>
      <c r="B25" s="186"/>
      <c r="C25" s="186"/>
      <c r="D25" s="186"/>
      <c r="E25" s="186"/>
      <c r="F25" s="186"/>
      <c r="G25" s="301"/>
      <c r="H25" s="186"/>
      <c r="I25" s="186"/>
      <c r="J25" s="186"/>
      <c r="K25" s="186"/>
      <c r="L25" s="186"/>
      <c r="M25" s="186"/>
      <c r="N25" s="186"/>
      <c r="O25" s="32"/>
      <c r="P25" s="32"/>
      <c r="Q25" s="32"/>
      <c r="R25" s="32"/>
      <c r="S25" s="32"/>
    </row>
    <row r="26" spans="1:19" ht="22.95" customHeight="1">
      <c r="A26" s="301"/>
      <c r="B26" s="186"/>
      <c r="C26" s="186"/>
      <c r="D26" s="186"/>
      <c r="E26" s="186"/>
      <c r="F26" s="186"/>
      <c r="G26" s="301"/>
      <c r="H26" s="186"/>
      <c r="I26" s="186"/>
      <c r="J26" s="186"/>
      <c r="K26" s="186"/>
      <c r="L26" s="186"/>
      <c r="M26" s="186"/>
      <c r="N26" s="186"/>
      <c r="O26" s="32"/>
      <c r="P26" s="32"/>
      <c r="Q26" s="32"/>
      <c r="R26" s="32"/>
      <c r="S26" s="32"/>
    </row>
    <row r="27" spans="1:19" ht="22.95" customHeight="1">
      <c r="A27" s="301"/>
      <c r="B27" s="186"/>
      <c r="C27" s="186"/>
      <c r="D27" s="186"/>
      <c r="E27" s="186"/>
      <c r="F27" s="186"/>
      <c r="G27" s="301"/>
      <c r="H27" s="186"/>
      <c r="I27" s="186"/>
      <c r="J27" s="186"/>
      <c r="K27" s="186"/>
      <c r="L27" s="186"/>
      <c r="M27" s="186"/>
      <c r="N27" s="186"/>
      <c r="O27" s="32"/>
      <c r="P27" s="32"/>
      <c r="Q27" s="32"/>
      <c r="R27" s="32"/>
      <c r="S27" s="32"/>
    </row>
    <row r="28" spans="1:19" ht="22.95" customHeight="1">
      <c r="A28" s="301"/>
      <c r="B28" s="186"/>
      <c r="C28" s="186"/>
      <c r="D28" s="186"/>
      <c r="E28" s="186"/>
      <c r="F28" s="186"/>
      <c r="G28" s="301"/>
      <c r="H28" s="186"/>
      <c r="I28" s="186"/>
      <c r="J28" s="186"/>
      <c r="K28" s="186"/>
      <c r="L28" s="186"/>
      <c r="M28" s="186"/>
      <c r="N28" s="186"/>
      <c r="O28" s="32"/>
      <c r="P28" s="32"/>
      <c r="Q28" s="32"/>
      <c r="R28" s="32"/>
      <c r="S28" s="32"/>
    </row>
    <row r="29" spans="1:19" ht="22.95" customHeight="1">
      <c r="A29" s="185"/>
      <c r="B29" s="186"/>
      <c r="C29" s="186"/>
      <c r="D29" s="186"/>
      <c r="E29" s="186"/>
      <c r="F29" s="186"/>
      <c r="G29" s="186"/>
      <c r="H29" s="186"/>
      <c r="I29" s="186"/>
      <c r="J29" s="186"/>
      <c r="K29" s="186"/>
      <c r="L29" s="186"/>
      <c r="M29" s="186"/>
      <c r="N29" s="186"/>
      <c r="O29" s="186"/>
      <c r="P29" s="186"/>
      <c r="Q29" s="186"/>
      <c r="R29" s="186"/>
      <c r="S29" s="186"/>
    </row>
    <row r="30" spans="1:19" ht="22.95" customHeight="1">
      <c r="A30" s="301"/>
      <c r="B30" s="186"/>
      <c r="C30" s="186"/>
      <c r="D30" s="186"/>
      <c r="E30" s="186"/>
      <c r="F30" s="186"/>
      <c r="G30" s="301"/>
      <c r="H30" s="186"/>
      <c r="I30" s="186"/>
      <c r="J30" s="186"/>
      <c r="K30" s="186"/>
      <c r="L30" s="186"/>
      <c r="M30" s="186"/>
      <c r="N30" s="186"/>
      <c r="O30" s="32"/>
      <c r="P30" s="32"/>
      <c r="Q30" s="32"/>
      <c r="R30" s="32"/>
      <c r="S30" s="32"/>
    </row>
    <row r="31" spans="1:19" ht="22.95" customHeight="1">
      <c r="A31" s="301"/>
      <c r="B31" s="186"/>
      <c r="C31" s="186"/>
      <c r="D31" s="186"/>
      <c r="E31" s="186"/>
      <c r="F31" s="186"/>
      <c r="G31" s="301"/>
      <c r="H31" s="186"/>
      <c r="I31" s="186"/>
      <c r="J31" s="186"/>
      <c r="K31" s="186"/>
      <c r="L31" s="186"/>
      <c r="M31" s="186"/>
      <c r="N31" s="186"/>
      <c r="O31" s="32"/>
      <c r="P31" s="32"/>
      <c r="Q31" s="32"/>
      <c r="R31" s="32"/>
      <c r="S31" s="32"/>
    </row>
    <row r="32" spans="1:19" ht="22.95" customHeight="1">
      <c r="A32" s="301"/>
      <c r="B32" s="186"/>
      <c r="C32" s="186"/>
      <c r="D32" s="186"/>
      <c r="E32" s="186"/>
      <c r="F32" s="186"/>
      <c r="G32" s="301"/>
      <c r="H32" s="186"/>
      <c r="I32" s="186"/>
      <c r="J32" s="186"/>
      <c r="K32" s="186"/>
      <c r="L32" s="186"/>
      <c r="M32" s="186"/>
      <c r="N32" s="186"/>
      <c r="O32" s="32"/>
      <c r="P32" s="32"/>
      <c r="Q32" s="32"/>
      <c r="R32" s="32"/>
      <c r="S32" s="32"/>
    </row>
    <row r="33" spans="1:19" ht="22.95" customHeight="1">
      <c r="A33" s="301"/>
      <c r="B33" s="186"/>
      <c r="C33" s="186"/>
      <c r="D33" s="186"/>
      <c r="E33" s="186"/>
      <c r="F33" s="186"/>
      <c r="G33" s="301"/>
      <c r="H33" s="186"/>
      <c r="I33" s="186"/>
      <c r="J33" s="186"/>
      <c r="K33" s="186"/>
      <c r="L33" s="186"/>
      <c r="M33" s="186"/>
      <c r="N33" s="186"/>
      <c r="O33" s="32"/>
      <c r="P33" s="32"/>
      <c r="Q33" s="32"/>
      <c r="R33" s="32"/>
      <c r="S33" s="32"/>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53">
    <mergeCell ref="G32:N32"/>
    <mergeCell ref="Q12:Q13"/>
    <mergeCell ref="J18:N18"/>
    <mergeCell ref="A21:S21"/>
    <mergeCell ref="G31:N31"/>
    <mergeCell ref="A25:F25"/>
    <mergeCell ref="A22:S22"/>
    <mergeCell ref="A27:F27"/>
    <mergeCell ref="J14:N14"/>
    <mergeCell ref="D17:I17"/>
    <mergeCell ref="R16:R17"/>
    <mergeCell ref="G27:N27"/>
    <mergeCell ref="A26:F26"/>
    <mergeCell ref="D16:I16"/>
    <mergeCell ref="J19:N19"/>
    <mergeCell ref="O2:Q2"/>
    <mergeCell ref="A28:F28"/>
    <mergeCell ref="D14:I14"/>
    <mergeCell ref="J11:N11"/>
    <mergeCell ref="G30:N30"/>
    <mergeCell ref="O17:O18"/>
    <mergeCell ref="J16:N16"/>
    <mergeCell ref="Q17:Q18"/>
    <mergeCell ref="P12:P13"/>
    <mergeCell ref="G24:N24"/>
    <mergeCell ref="A30:F30"/>
    <mergeCell ref="P18:P19"/>
    <mergeCell ref="D19:I19"/>
    <mergeCell ref="A24:F24"/>
    <mergeCell ref="D10:I10"/>
    <mergeCell ref="G26:N26"/>
    <mergeCell ref="H4:R4"/>
    <mergeCell ref="D15:S15"/>
    <mergeCell ref="A29:S29"/>
    <mergeCell ref="A33:F33"/>
    <mergeCell ref="D18:I18"/>
    <mergeCell ref="A32:F32"/>
    <mergeCell ref="D12:I12"/>
    <mergeCell ref="O12:O13"/>
    <mergeCell ref="G28:N28"/>
    <mergeCell ref="O8:Q8"/>
    <mergeCell ref="I6:R6"/>
    <mergeCell ref="R18:R19"/>
    <mergeCell ref="G33:N33"/>
    <mergeCell ref="A31:F31"/>
    <mergeCell ref="J12:N12"/>
    <mergeCell ref="G25:N25"/>
    <mergeCell ref="D11:I11"/>
    <mergeCell ref="S18:S19"/>
    <mergeCell ref="J17:N17"/>
    <mergeCell ref="R13:R14"/>
    <mergeCell ref="D13:I13"/>
    <mergeCell ref="J13:N13"/>
  </mergeCells>
  <pageMargins left="0.25" right="0.25"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33" t="s">
        <v>202</v>
      </c>
      <c r="C1" s="34" t="s">
        <v>203</v>
      </c>
    </row>
    <row r="2" spans="1:3" ht="13.05" customHeight="1">
      <c r="A2" s="35"/>
      <c r="C2" s="305" t="s">
        <v>204</v>
      </c>
    </row>
    <row r="3" spans="1:3">
      <c r="A3" s="306" t="s">
        <v>205</v>
      </c>
      <c r="C3" s="186"/>
    </row>
    <row r="4" spans="1:3" ht="11.25" customHeight="1">
      <c r="A4" s="186"/>
      <c r="C4" s="186"/>
    </row>
    <row r="5" spans="1:3" ht="55.2" customHeight="1">
      <c r="A5" s="186"/>
      <c r="C5" s="34" t="s">
        <v>206</v>
      </c>
    </row>
    <row r="6" spans="1:3">
      <c r="A6" s="186"/>
      <c r="C6" s="34"/>
    </row>
    <row r="7" spans="1:3" ht="15.6" customHeight="1">
      <c r="A7" s="39"/>
      <c r="C7" s="36" t="s">
        <v>207</v>
      </c>
    </row>
    <row r="8" spans="1:3">
      <c r="A8" s="39"/>
      <c r="C8" s="34"/>
    </row>
    <row r="9" spans="1:3" ht="13.05" customHeight="1">
      <c r="A9" s="37"/>
      <c r="C9" s="305" t="s">
        <v>208</v>
      </c>
    </row>
    <row r="10" spans="1:3" ht="14.4" customHeight="1">
      <c r="A10" s="305" t="s">
        <v>209</v>
      </c>
      <c r="C10" s="186"/>
    </row>
    <row r="11" spans="1:3">
      <c r="A11" s="186"/>
      <c r="C11" s="186"/>
    </row>
    <row r="12" spans="1:3">
      <c r="A12" s="186"/>
      <c r="C12" s="186"/>
    </row>
    <row r="13" spans="1:3" ht="8.25" customHeight="1">
      <c r="A13" s="186"/>
      <c r="C13" s="186"/>
    </row>
    <row r="14" spans="1:3" ht="13.05" customHeight="1">
      <c r="C14" s="34"/>
    </row>
    <row r="15" spans="1:3" ht="14.4" customHeight="1">
      <c r="A15" s="305" t="s">
        <v>210</v>
      </c>
      <c r="C15" s="305" t="s">
        <v>211</v>
      </c>
    </row>
    <row r="16" spans="1:3">
      <c r="A16" s="186"/>
      <c r="C16" s="186"/>
    </row>
    <row r="17" spans="1:3" ht="13.05" customHeight="1">
      <c r="C17" s="186"/>
    </row>
    <row r="18" spans="1:3" ht="14.4" customHeight="1">
      <c r="A18" s="305" t="s">
        <v>212</v>
      </c>
      <c r="C18" s="34" t="s">
        <v>213</v>
      </c>
    </row>
    <row r="19" spans="1:3">
      <c r="A19" s="186"/>
      <c r="C19" s="34" t="s">
        <v>214</v>
      </c>
    </row>
    <row r="20" spans="1:3">
      <c r="A20" s="186"/>
      <c r="C20" s="34" t="s">
        <v>215</v>
      </c>
    </row>
    <row r="21" spans="1:3">
      <c r="A21" s="186"/>
      <c r="C21" s="34" t="s">
        <v>216</v>
      </c>
    </row>
    <row r="22" spans="1:3" ht="13.05" customHeight="1">
      <c r="A22" s="34"/>
      <c r="C22" s="34" t="s">
        <v>217</v>
      </c>
    </row>
    <row r="23" spans="1:3">
      <c r="A23" s="38" t="s">
        <v>218</v>
      </c>
      <c r="C23" s="34" t="s">
        <v>219</v>
      </c>
    </row>
    <row r="24" spans="1:3" ht="13.05" customHeight="1">
      <c r="A24" s="38"/>
      <c r="C24" s="34" t="s">
        <v>220</v>
      </c>
    </row>
    <row r="25" spans="1:3" ht="14.4" customHeight="1">
      <c r="A25" s="305" t="s">
        <v>221</v>
      </c>
      <c r="C25" s="34" t="s">
        <v>222</v>
      </c>
    </row>
    <row r="26" spans="1:3">
      <c r="A26" s="186"/>
      <c r="C26" s="34"/>
    </row>
    <row r="27" spans="1:3" ht="10.5" customHeight="1">
      <c r="A27" s="186"/>
      <c r="C27" s="307" t="s">
        <v>223</v>
      </c>
    </row>
    <row r="28" spans="1:3" ht="10.5" customHeight="1">
      <c r="A28" s="34"/>
      <c r="C28" s="186"/>
    </row>
    <row r="29" spans="1:3" ht="14.4" customHeight="1">
      <c r="A29" s="305" t="s">
        <v>224</v>
      </c>
      <c r="C29" s="34"/>
    </row>
    <row r="30" spans="1:3">
      <c r="A30" s="186"/>
      <c r="C30" s="305" t="s">
        <v>225</v>
      </c>
    </row>
    <row r="31" spans="1:3" ht="13.05" customHeight="1">
      <c r="A31" s="39"/>
      <c r="C31" s="186"/>
    </row>
    <row r="32" spans="1:3" ht="14.4" customHeight="1">
      <c r="A32" s="305" t="s">
        <v>226</v>
      </c>
      <c r="C32" s="186"/>
    </row>
    <row r="33" spans="1:3" ht="12" customHeight="1">
      <c r="A33" s="186"/>
      <c r="C33" s="186"/>
    </row>
    <row r="34" spans="1:3" ht="14.4" customHeight="1">
      <c r="A34" s="305" t="s">
        <v>227</v>
      </c>
      <c r="C34" s="34"/>
    </row>
    <row r="35" spans="1:3" ht="12" customHeight="1">
      <c r="A35" s="186"/>
      <c r="C35" s="305" t="s">
        <v>228</v>
      </c>
    </row>
    <row r="36" spans="1:3" ht="14.4" customHeight="1">
      <c r="A36" s="305" t="s">
        <v>229</v>
      </c>
      <c r="C36" s="186"/>
    </row>
    <row r="37" spans="1:3" ht="12" customHeight="1">
      <c r="A37" s="186"/>
      <c r="C37" s="305" t="s">
        <v>230</v>
      </c>
    </row>
    <row r="38" spans="1:3" ht="14.4" customHeight="1">
      <c r="A38" s="305" t="s">
        <v>231</v>
      </c>
      <c r="C38" s="186"/>
    </row>
    <row r="39" spans="1:3" ht="12" customHeight="1">
      <c r="A39" s="186"/>
      <c r="C39" s="34" t="s">
        <v>232</v>
      </c>
    </row>
    <row r="40" spans="1:3" ht="14.4" customHeight="1">
      <c r="A40" s="305" t="s">
        <v>233</v>
      </c>
      <c r="C40" s="305" t="s">
        <v>234</v>
      </c>
    </row>
    <row r="41" spans="1:3">
      <c r="A41" s="186"/>
      <c r="C41" s="186"/>
    </row>
    <row r="42" spans="1:3" ht="13.05" customHeight="1">
      <c r="A42" s="34"/>
      <c r="C42" s="305" t="s">
        <v>235</v>
      </c>
    </row>
    <row r="43" spans="1:3" ht="14.4" customHeight="1">
      <c r="A43" s="308" t="s">
        <v>236</v>
      </c>
      <c r="C43" s="186"/>
    </row>
    <row r="44" spans="1:3">
      <c r="A44" s="186"/>
      <c r="C44" s="305" t="s">
        <v>237</v>
      </c>
    </row>
    <row r="45" spans="1:3" ht="13.05" customHeight="1">
      <c r="A45" s="34"/>
      <c r="C45" s="186"/>
    </row>
    <row r="46" spans="1:3" ht="27.6" customHeight="1">
      <c r="A46" s="34" t="s">
        <v>238</v>
      </c>
      <c r="C46" s="34"/>
    </row>
    <row r="47" spans="1:3" ht="27.6" customHeight="1">
      <c r="A47" s="40" t="s">
        <v>239</v>
      </c>
      <c r="C47" s="34"/>
    </row>
    <row r="48" spans="1:3">
      <c r="A48" s="34"/>
      <c r="C48" s="34"/>
    </row>
    <row r="49" spans="1:3">
      <c r="A49" s="34"/>
      <c r="C49" s="34"/>
    </row>
    <row r="50" spans="1:3">
      <c r="A50" s="34"/>
      <c r="C50" s="34"/>
    </row>
    <row r="51" spans="1:3" ht="12.75" customHeight="1">
      <c r="C51" s="34"/>
    </row>
    <row r="52" spans="1:3" ht="30" customHeight="1">
      <c r="C52" s="34"/>
    </row>
    <row r="53" spans="1:3" ht="11.25" customHeight="1">
      <c r="A53" s="34"/>
      <c r="C53" s="34"/>
    </row>
    <row r="54" spans="1:3">
      <c r="C54" s="34"/>
    </row>
    <row r="55" spans="1:3">
      <c r="C55" s="34"/>
    </row>
    <row r="56" spans="1:3">
      <c r="A56" s="34"/>
      <c r="C56" s="34"/>
    </row>
    <row r="57" spans="1:3">
      <c r="A57" s="34"/>
      <c r="C57" s="34"/>
    </row>
    <row r="58" spans="1:3">
      <c r="A58" s="34"/>
      <c r="C58" s="34"/>
    </row>
    <row r="59" spans="1:3">
      <c r="A59" s="34"/>
      <c r="C59" s="34"/>
    </row>
    <row r="60" spans="1:3">
      <c r="A60" s="34"/>
      <c r="C60" s="34"/>
    </row>
    <row r="61" spans="1:3">
      <c r="A61" s="34"/>
      <c r="C61" s="34"/>
    </row>
    <row r="62" spans="1:3">
      <c r="A62" s="34"/>
      <c r="C62" s="34"/>
    </row>
    <row r="63" spans="1:3">
      <c r="A63" s="34"/>
      <c r="C63" s="34"/>
    </row>
    <row r="64" spans="1:3">
      <c r="A64" s="34"/>
      <c r="C64" s="34"/>
    </row>
    <row r="65" spans="1:3">
      <c r="A65" s="34"/>
      <c r="C65" s="34"/>
    </row>
    <row r="66" spans="1:3">
      <c r="A66" s="34"/>
      <c r="C66" s="34"/>
    </row>
    <row r="67" spans="1:3">
      <c r="A67" s="34"/>
      <c r="C67" s="34"/>
    </row>
    <row r="68" spans="1:3">
      <c r="A68" s="34"/>
      <c r="C68" s="34"/>
    </row>
    <row r="69" spans="1:3">
      <c r="A69" s="34"/>
      <c r="C69" s="34"/>
    </row>
    <row r="70" spans="1:3">
      <c r="A70" s="34"/>
      <c r="C70" s="34"/>
    </row>
    <row r="71" spans="1:3">
      <c r="A71" s="34"/>
      <c r="C71" s="34"/>
    </row>
    <row r="72" spans="1:3">
      <c r="A72" s="34"/>
      <c r="C72" s="34"/>
    </row>
    <row r="73" spans="1:3">
      <c r="A73" s="34"/>
      <c r="C73" s="34"/>
    </row>
    <row r="74" spans="1:3">
      <c r="A74" s="34"/>
      <c r="C74" s="34"/>
    </row>
    <row r="75" spans="1:3">
      <c r="A75" s="34"/>
      <c r="C75" s="34"/>
    </row>
    <row r="76" spans="1:3">
      <c r="A76" s="34"/>
      <c r="C76" s="34"/>
    </row>
    <row r="77" spans="1:3">
      <c r="A77" s="34"/>
      <c r="C77" s="34"/>
    </row>
    <row r="78" spans="1:3">
      <c r="A78" s="34"/>
      <c r="C78" s="34"/>
    </row>
    <row r="79" spans="1:3">
      <c r="A79" s="34"/>
      <c r="C79" s="34"/>
    </row>
    <row r="80" spans="1:3">
      <c r="A80" s="34"/>
      <c r="C80" s="34"/>
    </row>
    <row r="81" spans="1:3">
      <c r="A81" s="34"/>
      <c r="C81" s="34"/>
    </row>
    <row r="82" spans="1:3">
      <c r="A82" s="34"/>
      <c r="C82" s="34"/>
    </row>
    <row r="83" spans="1:3">
      <c r="A83" s="34"/>
      <c r="C83" s="34"/>
    </row>
    <row r="84" spans="1:3">
      <c r="A84" s="34"/>
      <c r="C84" s="34"/>
    </row>
    <row r="85" spans="1:3">
      <c r="A85" s="34"/>
      <c r="C85" s="34"/>
    </row>
    <row r="86" spans="1:3">
      <c r="A86" s="34"/>
      <c r="C86" s="34"/>
    </row>
    <row r="87" spans="1:3">
      <c r="A87" s="34"/>
    </row>
    <row r="88" spans="1:3">
      <c r="A88" s="34"/>
    </row>
    <row r="89" spans="1:3">
      <c r="A89" s="34"/>
    </row>
    <row r="90" spans="1:3">
      <c r="A90" s="34"/>
    </row>
    <row r="91" spans="1:3">
      <c r="A91" s="34"/>
    </row>
    <row r="92" spans="1:3">
      <c r="A92" s="34"/>
    </row>
    <row r="93" spans="1:3">
      <c r="A93" s="34"/>
    </row>
    <row r="94" spans="1:3">
      <c r="A94" s="34"/>
    </row>
    <row r="95" spans="1:3">
      <c r="A95" s="34"/>
    </row>
    <row r="96" spans="1:3">
      <c r="A96" s="34"/>
    </row>
    <row r="97" spans="1:1">
      <c r="A97" s="34"/>
    </row>
    <row r="98" spans="1:1">
      <c r="A98" s="34"/>
    </row>
    <row r="99" spans="1:1">
      <c r="A99" s="34"/>
    </row>
    <row r="100" spans="1:1">
      <c r="A100" s="34"/>
    </row>
    <row r="101" spans="1:1">
      <c r="A101" s="34"/>
    </row>
    <row r="102" spans="1:1">
      <c r="A102" s="34"/>
    </row>
    <row r="103" spans="1:1">
      <c r="A103" s="34"/>
    </row>
    <row r="104" spans="1:1">
      <c r="A104" s="34"/>
    </row>
    <row r="105" spans="1:1">
      <c r="A105" s="34"/>
    </row>
    <row r="106" spans="1:1">
      <c r="A106" s="34"/>
    </row>
    <row r="107" spans="1:1">
      <c r="A107" s="34"/>
    </row>
    <row r="108" spans="1:1">
      <c r="A108" s="34"/>
    </row>
    <row r="109" spans="1:1">
      <c r="A109" s="34"/>
    </row>
    <row r="110" spans="1:1">
      <c r="A110" s="34"/>
    </row>
    <row r="111" spans="1:1">
      <c r="A111" s="34"/>
    </row>
    <row r="112" spans="1:1">
      <c r="A112" s="34"/>
    </row>
    <row r="113" spans="1:1">
      <c r="A113" s="34"/>
    </row>
    <row r="114" spans="1:1">
      <c r="A114" s="34"/>
    </row>
    <row r="115" spans="1:1">
      <c r="A115" s="34"/>
    </row>
    <row r="116" spans="1:1">
      <c r="A116" s="34"/>
    </row>
    <row r="117" spans="1:1">
      <c r="A117" s="34"/>
    </row>
    <row r="118" spans="1:1">
      <c r="A118" s="34"/>
    </row>
    <row r="119" spans="1:1">
      <c r="A119" s="34"/>
    </row>
    <row r="120" spans="1:1">
      <c r="A120" s="34"/>
    </row>
    <row r="121" spans="1:1">
      <c r="A121" s="34"/>
    </row>
    <row r="122" spans="1:1">
      <c r="A122" s="34"/>
    </row>
    <row r="123" spans="1:1">
      <c r="A123" s="34"/>
    </row>
    <row r="124" spans="1:1">
      <c r="A124" s="34"/>
    </row>
  </sheetData>
  <mergeCells count="22">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C9:C13"/>
    <mergeCell ref="C42:C43"/>
    <mergeCell ref="C2:C4"/>
    <mergeCell ref="A36:A37"/>
    <mergeCell ref="C30:C33"/>
    <mergeCell ref="A40:A41"/>
  </mergeCells>
  <pageMargins left="0.62992125984251968" right="0.23622047244094491" top="0.74803149606299213" bottom="0" header="0.31496062992125978" footer="0.31496062992125978"/>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309" t="s">
        <v>18</v>
      </c>
      <c r="B4" s="186"/>
      <c r="C4" s="186"/>
      <c r="D4" s="186"/>
      <c r="E4" s="186"/>
      <c r="F4" s="186"/>
      <c r="G4" s="186"/>
      <c r="H4" s="186"/>
    </row>
    <row r="7" spans="1:8" ht="25.05" customHeight="1">
      <c r="A7" s="30"/>
      <c r="B7" s="30"/>
      <c r="C7" s="30"/>
      <c r="D7" s="30"/>
      <c r="E7" s="30"/>
      <c r="F7" s="30"/>
      <c r="G7" s="30"/>
    </row>
    <row r="8" spans="1:8" ht="25.05" customHeight="1">
      <c r="A8" s="30"/>
      <c r="B8" s="30"/>
      <c r="C8" s="30"/>
      <c r="D8" s="30"/>
      <c r="E8" s="30"/>
      <c r="F8" s="30"/>
      <c r="G8" s="30"/>
    </row>
    <row r="9" spans="1:8" ht="25.05" customHeight="1">
      <c r="A9" s="30"/>
      <c r="B9" s="30"/>
      <c r="C9" s="30"/>
      <c r="D9" s="30"/>
      <c r="E9" s="30"/>
      <c r="F9" s="30"/>
      <c r="G9" s="30"/>
    </row>
    <row r="10" spans="1:8" ht="25.05" customHeight="1">
      <c r="A10" s="30"/>
      <c r="B10" s="30"/>
      <c r="C10" s="30"/>
      <c r="D10" s="30"/>
      <c r="E10" s="30"/>
      <c r="F10" s="30"/>
      <c r="G10" s="30"/>
    </row>
    <row r="11" spans="1:8" ht="25.05" customHeight="1">
      <c r="A11" s="30"/>
      <c r="B11" s="30"/>
      <c r="C11" s="30"/>
      <c r="D11" s="30"/>
      <c r="E11" s="30"/>
      <c r="F11" s="30"/>
      <c r="G11" s="30"/>
    </row>
    <row r="12" spans="1:8" ht="25.05" customHeight="1">
      <c r="A12" s="30"/>
      <c r="B12" s="30"/>
      <c r="C12" s="30"/>
      <c r="D12" s="30"/>
      <c r="E12" s="30"/>
      <c r="F12" s="30"/>
      <c r="G12" s="30"/>
    </row>
    <row r="13" spans="1:8" ht="25.05" customHeight="1">
      <c r="A13" s="30"/>
      <c r="B13" s="30"/>
      <c r="C13" s="30"/>
      <c r="D13" s="30"/>
      <c r="E13" s="30"/>
      <c r="F13" s="30"/>
      <c r="G13" s="30"/>
    </row>
    <row r="14" spans="1:8" ht="25.05" customHeight="1">
      <c r="A14" s="30"/>
      <c r="B14" s="30"/>
      <c r="C14" s="30"/>
      <c r="D14" s="30"/>
      <c r="E14" s="30"/>
      <c r="F14" s="30"/>
      <c r="G14" s="30"/>
    </row>
    <row r="15" spans="1:8" ht="25.05" customHeight="1">
      <c r="A15" s="30"/>
      <c r="B15" s="30"/>
      <c r="C15" s="30"/>
      <c r="D15" s="30"/>
      <c r="E15" s="30"/>
      <c r="F15" s="30"/>
      <c r="G15" s="30"/>
    </row>
    <row r="16" spans="1:8" ht="25.05" customHeight="1">
      <c r="A16" s="30"/>
      <c r="B16" s="30"/>
      <c r="C16" s="30"/>
      <c r="D16" s="30"/>
      <c r="E16" s="30"/>
      <c r="F16" s="30"/>
      <c r="G16" s="30"/>
    </row>
    <row r="17" spans="1:7" ht="25.05" customHeight="1">
      <c r="A17" s="30"/>
      <c r="B17" s="30"/>
      <c r="C17" s="30"/>
      <c r="D17" s="30"/>
      <c r="E17" s="30"/>
      <c r="F17" s="30"/>
      <c r="G17" s="30"/>
    </row>
    <row r="18" spans="1:7" ht="25.05" customHeight="1">
      <c r="A18" s="30"/>
      <c r="B18" s="30"/>
      <c r="C18" s="30"/>
      <c r="D18" s="30"/>
      <c r="E18" s="30"/>
      <c r="F18" s="30"/>
      <c r="G18" s="30"/>
    </row>
    <row r="19" spans="1:7" ht="25.05" customHeight="1">
      <c r="A19" s="30"/>
      <c r="B19" s="30"/>
      <c r="C19" s="30"/>
      <c r="D19" s="30"/>
      <c r="E19" s="30"/>
      <c r="F19" s="30"/>
      <c r="G19" s="30"/>
    </row>
    <row r="20" spans="1:7" ht="25.05" customHeight="1">
      <c r="A20" s="30"/>
      <c r="B20" s="30"/>
      <c r="C20" s="30"/>
      <c r="D20" s="30"/>
      <c r="E20" s="30"/>
      <c r="F20" s="30"/>
      <c r="G20" s="30"/>
    </row>
    <row r="21" spans="1:7" ht="25.05" customHeight="1">
      <c r="A21" s="30"/>
      <c r="B21" s="30"/>
      <c r="C21" s="30"/>
      <c r="D21" s="30"/>
      <c r="E21" s="30"/>
      <c r="F21" s="30"/>
      <c r="G21" s="30"/>
    </row>
    <row r="22" spans="1:7" ht="25.05" customHeight="1">
      <c r="A22" s="30"/>
      <c r="B22" s="30"/>
      <c r="C22" s="30"/>
      <c r="D22" s="30"/>
      <c r="E22" s="30"/>
      <c r="F22" s="30"/>
      <c r="G22" s="30"/>
    </row>
    <row r="23" spans="1:7" ht="25.05" customHeight="1">
      <c r="A23" s="30"/>
      <c r="B23" s="30"/>
      <c r="C23" s="30"/>
      <c r="D23" s="30"/>
      <c r="E23" s="30"/>
      <c r="F23" s="30"/>
      <c r="G23" s="30"/>
    </row>
    <row r="24" spans="1:7" ht="25.05" customHeight="1">
      <c r="A24" s="30"/>
      <c r="B24" s="30"/>
      <c r="C24" s="30"/>
      <c r="D24" s="30"/>
      <c r="E24" s="30"/>
      <c r="F24" s="30"/>
      <c r="G24" s="30"/>
    </row>
    <row r="25" spans="1:7" ht="25.05" customHeight="1">
      <c r="A25" s="30"/>
      <c r="B25" s="30"/>
      <c r="C25" s="30"/>
      <c r="D25" s="30"/>
      <c r="E25" s="30"/>
      <c r="F25" s="30"/>
      <c r="G25" s="30"/>
    </row>
    <row r="26" spans="1:7" ht="25.05" customHeight="1">
      <c r="A26" s="30"/>
      <c r="B26" s="30"/>
      <c r="C26" s="30"/>
      <c r="D26" s="30"/>
      <c r="E26" s="30"/>
      <c r="F26" s="30"/>
      <c r="G26" s="30"/>
    </row>
    <row r="27" spans="1:7" ht="25.05" customHeight="1">
      <c r="A27" s="30"/>
      <c r="B27" s="30"/>
      <c r="C27" s="30"/>
      <c r="D27" s="30"/>
      <c r="E27" s="30"/>
      <c r="F27" s="30"/>
      <c r="G27" s="30"/>
    </row>
    <row r="28" spans="1:7" ht="25.05" customHeight="1">
      <c r="A28" s="30"/>
      <c r="B28" s="30"/>
      <c r="C28" s="30"/>
      <c r="D28" s="30"/>
      <c r="E28" s="30"/>
      <c r="F28" s="30"/>
      <c r="G28" s="30"/>
    </row>
    <row r="29" spans="1:7" ht="25.05" customHeight="1"/>
    <row r="30" spans="1:7" ht="25.05" customHeight="1"/>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G46"/>
  <sheetViews>
    <sheetView tabSelected="1" workbookViewId="0">
      <selection sqref="A1:G1"/>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 min="7" max="7" width="3" customWidth="1"/>
  </cols>
  <sheetData>
    <row r="1" spans="1:7" ht="30" customHeight="1">
      <c r="A1" s="202" t="s">
        <v>24</v>
      </c>
      <c r="B1" s="186"/>
      <c r="C1" s="186"/>
      <c r="D1" s="186"/>
      <c r="E1" s="186"/>
      <c r="F1" s="186"/>
      <c r="G1" s="186"/>
    </row>
    <row r="2" spans="1:7" ht="18" customHeight="1">
      <c r="A2" s="204" t="s">
        <v>25</v>
      </c>
      <c r="B2" s="186"/>
      <c r="C2" s="186"/>
      <c r="D2" s="186"/>
      <c r="E2" s="186"/>
      <c r="F2" s="186"/>
      <c r="G2" s="186"/>
    </row>
    <row r="3" spans="1:7" ht="22.05" customHeight="1">
      <c r="A3" s="207" t="s">
        <v>26</v>
      </c>
      <c r="B3" s="206"/>
      <c r="C3" s="205" t="s">
        <v>27</v>
      </c>
      <c r="D3" s="206"/>
      <c r="E3" s="208" t="s">
        <v>28</v>
      </c>
      <c r="F3" s="206"/>
    </row>
    <row r="4" spans="1:7" ht="18" customHeight="1">
      <c r="A4" s="113" t="s">
        <v>2</v>
      </c>
      <c r="B4" s="113" t="s">
        <v>3</v>
      </c>
      <c r="C4" s="114" t="s">
        <v>2</v>
      </c>
      <c r="D4" s="114" t="s">
        <v>3</v>
      </c>
      <c r="E4" s="115" t="s">
        <v>2</v>
      </c>
      <c r="F4" s="115" t="s">
        <v>3</v>
      </c>
    </row>
    <row r="5" spans="1:7" ht="16.05" customHeight="1">
      <c r="A5" s="116">
        <v>1</v>
      </c>
      <c r="B5" s="117"/>
      <c r="C5" s="116">
        <v>1</v>
      </c>
      <c r="D5" s="117"/>
      <c r="E5" s="116">
        <v>1</v>
      </c>
      <c r="F5" s="117"/>
    </row>
    <row r="6" spans="1:7" ht="16.05" customHeight="1">
      <c r="A6" s="118">
        <v>2</v>
      </c>
      <c r="B6" s="119"/>
      <c r="C6" s="118">
        <v>2</v>
      </c>
      <c r="D6" s="119"/>
      <c r="E6" s="118">
        <v>2</v>
      </c>
      <c r="F6" s="119"/>
    </row>
    <row r="7" spans="1:7" ht="16.05" customHeight="1">
      <c r="A7" s="116">
        <v>3</v>
      </c>
      <c r="B7" s="117"/>
      <c r="C7" s="116">
        <v>3</v>
      </c>
      <c r="D7" s="117"/>
      <c r="E7" s="116">
        <v>3</v>
      </c>
      <c r="F7" s="117"/>
    </row>
    <row r="8" spans="1:7" ht="16.05" customHeight="1">
      <c r="A8" s="118">
        <v>4</v>
      </c>
      <c r="B8" s="119"/>
      <c r="C8" s="118">
        <v>4</v>
      </c>
      <c r="D8" s="119"/>
      <c r="E8" s="118">
        <v>4</v>
      </c>
      <c r="F8" s="119"/>
    </row>
    <row r="9" spans="1:7" ht="16.05" customHeight="1">
      <c r="A9" s="116">
        <v>5</v>
      </c>
      <c r="B9" s="117"/>
      <c r="C9" s="116">
        <v>5</v>
      </c>
      <c r="D9" s="117"/>
      <c r="E9" s="116">
        <v>5</v>
      </c>
      <c r="F9" s="117"/>
    </row>
    <row r="10" spans="1:7" ht="16.05" customHeight="1">
      <c r="A10" s="118">
        <v>6</v>
      </c>
      <c r="B10" s="119"/>
      <c r="C10" s="118">
        <v>6</v>
      </c>
      <c r="D10" s="119"/>
      <c r="E10" s="118">
        <v>6</v>
      </c>
      <c r="F10" s="119"/>
    </row>
    <row r="11" spans="1:7" ht="16.05" customHeight="1">
      <c r="A11" s="116">
        <v>7</v>
      </c>
      <c r="B11" s="117"/>
      <c r="C11" s="116">
        <v>7</v>
      </c>
      <c r="D11" s="117"/>
      <c r="E11" s="116">
        <v>7</v>
      </c>
      <c r="F11" s="117"/>
    </row>
    <row r="12" spans="1:7" ht="16.05" customHeight="1">
      <c r="A12" s="118">
        <v>8</v>
      </c>
      <c r="B12" s="119"/>
      <c r="C12" s="118">
        <v>8</v>
      </c>
      <c r="D12" s="119"/>
      <c r="E12" s="118">
        <v>8</v>
      </c>
      <c r="F12" s="119"/>
    </row>
    <row r="13" spans="1:7" ht="16.05" customHeight="1">
      <c r="A13" s="116">
        <v>9</v>
      </c>
      <c r="B13" s="117"/>
      <c r="C13" s="116">
        <v>9</v>
      </c>
      <c r="D13" s="117"/>
      <c r="E13" s="116">
        <v>9</v>
      </c>
      <c r="F13" s="117"/>
    </row>
    <row r="14" spans="1:7" ht="16.05" customHeight="1">
      <c r="A14" s="118">
        <v>10</v>
      </c>
      <c r="B14" s="119"/>
      <c r="C14" s="118">
        <v>10</v>
      </c>
      <c r="D14" s="119"/>
      <c r="E14" s="118">
        <v>10</v>
      </c>
      <c r="F14" s="119"/>
    </row>
    <row r="15" spans="1:7" ht="16.05" customHeight="1">
      <c r="A15" s="116">
        <v>11</v>
      </c>
      <c r="B15" s="117"/>
      <c r="C15" s="116">
        <v>11</v>
      </c>
      <c r="D15" s="117"/>
      <c r="E15" s="116">
        <v>11</v>
      </c>
      <c r="F15" s="117"/>
    </row>
    <row r="16" spans="1:7" ht="16.05" customHeight="1">
      <c r="A16" s="118">
        <v>12</v>
      </c>
      <c r="B16" s="119"/>
      <c r="C16" s="118">
        <v>12</v>
      </c>
      <c r="D16" s="119"/>
      <c r="E16" s="118">
        <v>12</v>
      </c>
      <c r="F16" s="119"/>
    </row>
    <row r="17" spans="1:6" ht="16.05" customHeight="1">
      <c r="A17" s="116">
        <v>13</v>
      </c>
      <c r="B17" s="117"/>
      <c r="C17" s="116">
        <v>13</v>
      </c>
      <c r="D17" s="117"/>
      <c r="E17" s="116">
        <v>13</v>
      </c>
      <c r="F17" s="117"/>
    </row>
    <row r="18" spans="1:6" ht="16.05" customHeight="1">
      <c r="A18" s="118">
        <v>14</v>
      </c>
      <c r="B18" s="119"/>
      <c r="C18" s="118">
        <v>14</v>
      </c>
      <c r="D18" s="119"/>
      <c r="E18" s="118">
        <v>14</v>
      </c>
      <c r="F18" s="119"/>
    </row>
    <row r="19" spans="1:6" ht="16.05" customHeight="1">
      <c r="A19" s="116">
        <v>15</v>
      </c>
      <c r="B19" s="117"/>
      <c r="C19" s="116">
        <v>15</v>
      </c>
      <c r="D19" s="117"/>
      <c r="E19" s="116">
        <v>15</v>
      </c>
      <c r="F19" s="117"/>
    </row>
    <row r="20" spans="1:6" ht="16.05" customHeight="1">
      <c r="A20" s="118">
        <v>16</v>
      </c>
      <c r="B20" s="119"/>
      <c r="C20" s="118">
        <v>16</v>
      </c>
      <c r="D20" s="119"/>
      <c r="E20" s="118">
        <v>16</v>
      </c>
      <c r="F20" s="119"/>
    </row>
    <row r="21" spans="1:6" ht="16.05" customHeight="1">
      <c r="A21" s="116">
        <v>17</v>
      </c>
      <c r="B21" s="117"/>
      <c r="C21" s="116">
        <v>17</v>
      </c>
      <c r="D21" s="117"/>
      <c r="E21" s="116">
        <v>17</v>
      </c>
      <c r="F21" s="117"/>
    </row>
    <row r="22" spans="1:6" ht="16.05" customHeight="1">
      <c r="A22" s="118">
        <v>18</v>
      </c>
      <c r="B22" s="119"/>
      <c r="C22" s="118">
        <v>18</v>
      </c>
      <c r="D22" s="119"/>
      <c r="E22" s="118">
        <v>18</v>
      </c>
      <c r="F22" s="119"/>
    </row>
    <row r="23" spans="1:6" ht="16.05" customHeight="1">
      <c r="A23" s="116">
        <v>19</v>
      </c>
      <c r="B23" s="117"/>
      <c r="C23" s="116">
        <v>19</v>
      </c>
      <c r="D23" s="117"/>
      <c r="E23" s="116">
        <v>19</v>
      </c>
      <c r="F23" s="117"/>
    </row>
    <row r="24" spans="1:6" ht="16.05" customHeight="1">
      <c r="A24" s="118">
        <v>20</v>
      </c>
      <c r="B24" s="119"/>
      <c r="C24" s="118">
        <v>20</v>
      </c>
      <c r="D24" s="119"/>
      <c r="E24" s="118">
        <v>20</v>
      </c>
      <c r="F24" s="119"/>
    </row>
    <row r="25" spans="1:6" ht="16.05" customHeight="1">
      <c r="A25" s="116">
        <v>21</v>
      </c>
      <c r="B25" s="117"/>
      <c r="C25" s="116">
        <v>21</v>
      </c>
      <c r="D25" s="117"/>
      <c r="E25" s="116">
        <v>21</v>
      </c>
      <c r="F25" s="117"/>
    </row>
    <row r="26" spans="1:6" ht="16.05" customHeight="1">
      <c r="A26" s="118">
        <v>22</v>
      </c>
      <c r="B26" s="119"/>
      <c r="C26" s="118">
        <v>22</v>
      </c>
      <c r="D26" s="119"/>
      <c r="E26" s="118">
        <v>22</v>
      </c>
      <c r="F26" s="119"/>
    </row>
    <row r="27" spans="1:6" ht="16.05" customHeight="1">
      <c r="A27" s="116">
        <v>23</v>
      </c>
      <c r="B27" s="117"/>
      <c r="C27" s="116">
        <v>23</v>
      </c>
      <c r="D27" s="117"/>
      <c r="E27" s="116">
        <v>23</v>
      </c>
      <c r="F27" s="117"/>
    </row>
    <row r="28" spans="1:6" ht="16.05" customHeight="1">
      <c r="A28" s="118">
        <v>24</v>
      </c>
      <c r="B28" s="119"/>
      <c r="C28" s="118">
        <v>24</v>
      </c>
      <c r="D28" s="119"/>
      <c r="E28" s="118">
        <v>24</v>
      </c>
      <c r="F28" s="119"/>
    </row>
    <row r="29" spans="1:6" ht="16.05" customHeight="1">
      <c r="A29" s="116">
        <v>25</v>
      </c>
      <c r="B29" s="117"/>
      <c r="C29" s="116">
        <v>25</v>
      </c>
      <c r="D29" s="117"/>
      <c r="E29" s="116">
        <v>25</v>
      </c>
      <c r="F29" s="117"/>
    </row>
    <row r="30" spans="1:6" ht="16.05" customHeight="1">
      <c r="A30" s="118">
        <v>26</v>
      </c>
      <c r="B30" s="119"/>
      <c r="C30" s="118">
        <v>26</v>
      </c>
      <c r="D30" s="119"/>
      <c r="E30" s="118">
        <v>26</v>
      </c>
      <c r="F30" s="119"/>
    </row>
    <row r="31" spans="1:6" ht="16.05" customHeight="1">
      <c r="A31" s="116">
        <v>27</v>
      </c>
      <c r="B31" s="117"/>
      <c r="C31" s="116">
        <v>27</v>
      </c>
      <c r="D31" s="117"/>
      <c r="E31" s="116">
        <v>27</v>
      </c>
      <c r="F31" s="117"/>
    </row>
    <row r="32" spans="1:6" ht="16.05" customHeight="1">
      <c r="A32" s="118">
        <v>28</v>
      </c>
      <c r="B32" s="119"/>
      <c r="C32" s="118">
        <v>28</v>
      </c>
      <c r="D32" s="119"/>
      <c r="E32" s="118">
        <v>28</v>
      </c>
      <c r="F32" s="119"/>
    </row>
    <row r="33" spans="1:6" ht="16.05" customHeight="1">
      <c r="A33" s="116">
        <v>29</v>
      </c>
      <c r="B33" s="117"/>
      <c r="C33" s="116">
        <v>29</v>
      </c>
      <c r="D33" s="117"/>
      <c r="E33" s="116">
        <v>29</v>
      </c>
      <c r="F33" s="117"/>
    </row>
    <row r="34" spans="1:6" ht="16.05" customHeight="1">
      <c r="A34" s="118">
        <v>30</v>
      </c>
      <c r="B34" s="119"/>
      <c r="C34" s="118">
        <v>30</v>
      </c>
      <c r="D34" s="119"/>
      <c r="E34" s="118">
        <v>30</v>
      </c>
      <c r="F34" s="119"/>
    </row>
    <row r="35" spans="1:6" ht="16.05" customHeight="1">
      <c r="A35" s="116">
        <v>31</v>
      </c>
      <c r="B35" s="117"/>
      <c r="C35" s="116">
        <v>31</v>
      </c>
      <c r="D35" s="117"/>
      <c r="E35" s="116">
        <v>31</v>
      </c>
      <c r="F35" s="117"/>
    </row>
    <row r="36" spans="1:6" ht="16.05" customHeight="1">
      <c r="A36" s="118">
        <v>32</v>
      </c>
      <c r="B36" s="119"/>
      <c r="C36" s="118">
        <v>32</v>
      </c>
      <c r="D36" s="119"/>
      <c r="E36" s="118">
        <v>32</v>
      </c>
      <c r="F36" s="119"/>
    </row>
    <row r="37" spans="1:6" ht="16.05" customHeight="1">
      <c r="A37" s="116">
        <v>33</v>
      </c>
      <c r="B37" s="117"/>
      <c r="C37" s="116">
        <v>33</v>
      </c>
      <c r="D37" s="117"/>
      <c r="E37" s="116">
        <v>33</v>
      </c>
      <c r="F37" s="117"/>
    </row>
    <row r="38" spans="1:6" ht="16.05" customHeight="1">
      <c r="A38" s="118">
        <v>34</v>
      </c>
      <c r="B38" s="119"/>
      <c r="C38" s="118">
        <v>34</v>
      </c>
      <c r="D38" s="119"/>
      <c r="E38" s="118">
        <v>34</v>
      </c>
      <c r="F38" s="119"/>
    </row>
    <row r="39" spans="1:6" ht="16.05" customHeight="1">
      <c r="A39" s="116">
        <v>35</v>
      </c>
      <c r="B39" s="117"/>
      <c r="C39" s="116">
        <v>35</v>
      </c>
      <c r="D39" s="117"/>
      <c r="E39" s="116">
        <v>35</v>
      </c>
      <c r="F39" s="117"/>
    </row>
    <row r="40" spans="1:6" ht="16.05" customHeight="1">
      <c r="A40" s="118">
        <v>36</v>
      </c>
      <c r="B40" s="119"/>
      <c r="C40" s="118">
        <v>36</v>
      </c>
      <c r="D40" s="119"/>
      <c r="E40" s="118">
        <v>36</v>
      </c>
      <c r="F40" s="119"/>
    </row>
    <row r="41" spans="1:6" ht="16.05" customHeight="1">
      <c r="A41" s="116">
        <v>37</v>
      </c>
      <c r="B41" s="117"/>
      <c r="C41" s="116">
        <v>37</v>
      </c>
      <c r="D41" s="117"/>
      <c r="E41" s="116">
        <v>37</v>
      </c>
      <c r="F41" s="117"/>
    </row>
    <row r="42" spans="1:6" ht="16.05" customHeight="1">
      <c r="A42" s="118">
        <v>38</v>
      </c>
      <c r="B42" s="119"/>
      <c r="C42" s="118">
        <v>38</v>
      </c>
      <c r="D42" s="119"/>
      <c r="E42" s="118">
        <v>38</v>
      </c>
      <c r="F42" s="119"/>
    </row>
    <row r="43" spans="1:6" ht="16.05" customHeight="1">
      <c r="A43" s="116">
        <v>39</v>
      </c>
      <c r="B43" s="117"/>
      <c r="C43" s="116">
        <v>39</v>
      </c>
      <c r="D43" s="117"/>
      <c r="E43" s="116">
        <v>39</v>
      </c>
      <c r="F43" s="117"/>
    </row>
    <row r="44" spans="1:6" ht="16.05" customHeight="1">
      <c r="A44" s="118">
        <v>40</v>
      </c>
      <c r="B44" s="119"/>
      <c r="C44" s="118">
        <v>40</v>
      </c>
      <c r="D44" s="119"/>
      <c r="E44" s="118">
        <v>40</v>
      </c>
      <c r="F44" s="119"/>
    </row>
    <row r="46" spans="1:6">
      <c r="A46" s="203" t="s">
        <v>29</v>
      </c>
      <c r="B46" s="186"/>
      <c r="C46" s="186"/>
      <c r="D46" s="186"/>
      <c r="E46" s="186"/>
      <c r="F46" s="186"/>
    </row>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75623"/>
  </sheetPr>
  <dimension ref="A1:R137"/>
  <sheetViews>
    <sheetView workbookViewId="0">
      <selection activeCell="D6" sqref="D6"/>
    </sheetView>
  </sheetViews>
  <sheetFormatPr baseColWidth="10" defaultColWidth="8.88671875" defaultRowHeight="14.4"/>
  <cols>
    <col min="1" max="1" width="28.77734375" customWidth="1"/>
    <col min="2" max="2" width="45.77734375" customWidth="1"/>
    <col min="3" max="3" width="28" customWidth="1"/>
    <col min="4" max="5" width="18.77734375" customWidth="1"/>
    <col min="6" max="6" width="10" customWidth="1"/>
    <col min="7" max="8" width="20.77734375" customWidth="1"/>
  </cols>
  <sheetData>
    <row r="1" spans="1:18" ht="30" customHeight="1">
      <c r="A1" s="211" t="s">
        <v>260</v>
      </c>
      <c r="B1" s="192"/>
      <c r="C1" s="192"/>
      <c r="D1" s="192"/>
      <c r="E1" s="192"/>
      <c r="F1" s="192"/>
      <c r="G1" s="192"/>
      <c r="H1" s="192"/>
      <c r="I1" s="192"/>
      <c r="J1" s="192"/>
      <c r="K1" s="192"/>
      <c r="L1" s="192"/>
      <c r="M1" s="192"/>
      <c r="N1" s="192"/>
    </row>
    <row r="2" spans="1:18" ht="13.95" customHeight="1">
      <c r="A2" s="167"/>
      <c r="B2" s="167"/>
      <c r="C2" s="167"/>
      <c r="D2" s="167"/>
      <c r="E2" s="167"/>
      <c r="F2" s="167"/>
      <c r="G2" s="167"/>
      <c r="H2" s="167"/>
      <c r="I2" s="167"/>
      <c r="J2" s="167"/>
      <c r="K2" s="167"/>
      <c r="L2" s="167"/>
      <c r="M2" s="167"/>
      <c r="N2" s="167"/>
    </row>
    <row r="3" spans="1:18">
      <c r="A3" s="167"/>
      <c r="B3" s="167"/>
      <c r="C3" s="167"/>
      <c r="D3" s="167"/>
      <c r="E3" s="167"/>
      <c r="F3" s="167"/>
      <c r="G3" s="167"/>
      <c r="H3" s="167"/>
      <c r="I3" s="167"/>
      <c r="J3" s="167"/>
      <c r="K3" s="167"/>
      <c r="L3" s="167"/>
      <c r="M3" s="167"/>
      <c r="N3" s="167"/>
    </row>
    <row r="4" spans="1:18" ht="19.95" customHeight="1">
      <c r="A4" s="176"/>
      <c r="B4" s="176"/>
      <c r="C4" s="176"/>
      <c r="D4" s="176"/>
      <c r="E4" s="176"/>
      <c r="F4" s="176"/>
      <c r="G4" s="176"/>
      <c r="H4" s="176"/>
      <c r="I4" s="176"/>
      <c r="J4" s="176"/>
      <c r="K4" s="176"/>
      <c r="L4" s="176"/>
      <c r="M4" s="176"/>
      <c r="N4" s="176"/>
      <c r="O4" s="164"/>
      <c r="Q4" s="165"/>
    </row>
    <row r="5" spans="1:18" ht="18" customHeight="1">
      <c r="A5" s="177" t="s">
        <v>261</v>
      </c>
      <c r="B5" s="177" t="s">
        <v>262</v>
      </c>
      <c r="C5" s="176"/>
      <c r="D5" s="178" t="s">
        <v>267</v>
      </c>
      <c r="E5" s="178" t="s">
        <v>268</v>
      </c>
      <c r="F5" s="176"/>
      <c r="G5" s="179" t="s">
        <v>267</v>
      </c>
      <c r="H5" s="179" t="s">
        <v>269</v>
      </c>
      <c r="I5" s="176"/>
      <c r="J5" s="176"/>
      <c r="K5" s="176"/>
      <c r="L5" s="176"/>
      <c r="M5" s="176"/>
      <c r="N5" s="176"/>
      <c r="O5" s="165"/>
      <c r="Q5" s="165"/>
    </row>
    <row r="6" spans="1:18" ht="18" customHeight="1">
      <c r="A6" s="176" t="s">
        <v>263</v>
      </c>
      <c r="B6" s="176">
        <f>IFERROR(COUNTA(MAESTRO!B5:B44),0)</f>
        <v>0</v>
      </c>
      <c r="C6" s="176"/>
      <c r="D6" s="176" t="s">
        <v>19</v>
      </c>
      <c r="E6" s="176">
        <f>IFERROR(COUNTIF('PROM (Ingles 7°)'!N5:N44,"&lt;3"),0)</f>
        <v>0</v>
      </c>
      <c r="F6" s="176"/>
      <c r="G6" s="176" t="s">
        <v>19</v>
      </c>
      <c r="H6" s="176">
        <f>IFERROR(SUMPRODUCT(--('Asistencia (7°)'!C3:AZ42="A")),0)</f>
        <v>0</v>
      </c>
      <c r="I6" s="176"/>
      <c r="J6" s="176"/>
      <c r="K6" s="176"/>
      <c r="L6" s="176"/>
      <c r="M6" s="176"/>
      <c r="N6" s="176"/>
      <c r="O6" s="165"/>
      <c r="Q6" s="165"/>
    </row>
    <row r="7" spans="1:18" ht="18" customHeight="1">
      <c r="A7" s="176" t="s">
        <v>264</v>
      </c>
      <c r="B7" s="176">
        <f>IFERROR(COUNTA(MAESTRO!D5:D44),0)</f>
        <v>0</v>
      </c>
      <c r="C7" s="176"/>
      <c r="D7" s="176" t="s">
        <v>20</v>
      </c>
      <c r="E7" s="176">
        <f>IFERROR(COUNTIF('PROM (Ingles 8°)'!N5:N44,"&lt;3"),0)</f>
        <v>0</v>
      </c>
      <c r="F7" s="176"/>
      <c r="G7" s="176" t="s">
        <v>20</v>
      </c>
      <c r="H7" s="176">
        <f>IFERROR(SUMPRODUCT(--('Asistencia (8°)'!C3:AZ42="A")),0)</f>
        <v>0</v>
      </c>
      <c r="I7" s="176"/>
      <c r="J7" s="176"/>
      <c r="K7" s="176"/>
      <c r="L7" s="176"/>
      <c r="M7" s="176"/>
      <c r="N7" s="176"/>
      <c r="O7" s="165"/>
      <c r="Q7" s="165"/>
    </row>
    <row r="8" spans="1:18" ht="18" customHeight="1">
      <c r="A8" s="176" t="s">
        <v>265</v>
      </c>
      <c r="B8" s="176">
        <f>IFERROR(COUNTA(MAESTRO!F5:F44),0)</f>
        <v>0</v>
      </c>
      <c r="C8" s="176"/>
      <c r="D8" s="176" t="s">
        <v>21</v>
      </c>
      <c r="E8" s="176">
        <f>IFERROR(COUNTIF('PROM (Ingles 9°)'!N5:N44,"&lt;3"),0)</f>
        <v>0</v>
      </c>
      <c r="F8" s="176"/>
      <c r="G8" s="176" t="s">
        <v>21</v>
      </c>
      <c r="H8" s="176">
        <f>IFERROR(SUMPRODUCT(--('Asistencia (9°)'!C3:AZ42="A")),0)</f>
        <v>0</v>
      </c>
      <c r="I8" s="176"/>
      <c r="J8" s="176"/>
      <c r="K8" s="176"/>
      <c r="L8" s="176"/>
      <c r="M8" s="176"/>
      <c r="N8" s="176"/>
      <c r="O8" s="165"/>
      <c r="Q8" s="165"/>
    </row>
    <row r="9" spans="1:18">
      <c r="A9" s="176" t="s">
        <v>266</v>
      </c>
      <c r="B9" s="176">
        <f>SUM(B6:B8)</f>
        <v>0</v>
      </c>
      <c r="C9" s="176"/>
      <c r="D9" s="176"/>
      <c r="E9" s="176"/>
      <c r="F9" s="176"/>
      <c r="G9" s="176"/>
      <c r="H9" s="176"/>
      <c r="I9" s="176"/>
      <c r="J9" s="176"/>
      <c r="K9" s="176"/>
      <c r="L9" s="176"/>
      <c r="M9" s="176"/>
      <c r="N9" s="176"/>
    </row>
    <row r="10" spans="1:18" ht="18" customHeight="1">
      <c r="A10" s="176"/>
      <c r="B10" s="176"/>
      <c r="C10" s="176"/>
      <c r="D10" s="176"/>
      <c r="E10" s="176"/>
      <c r="F10" s="176"/>
      <c r="G10" s="176"/>
      <c r="H10" s="176"/>
      <c r="I10" s="176"/>
      <c r="J10" s="176"/>
      <c r="K10" s="176"/>
      <c r="L10" s="176"/>
      <c r="M10" s="176"/>
      <c r="N10" s="176"/>
      <c r="O10" s="164"/>
      <c r="Q10" s="164"/>
      <c r="R10" s="165"/>
    </row>
    <row r="11" spans="1:18" ht="16.05" customHeight="1">
      <c r="A11" s="176"/>
      <c r="B11" s="176"/>
      <c r="C11" s="176"/>
      <c r="D11" s="176"/>
      <c r="E11" s="176"/>
      <c r="F11" s="176"/>
      <c r="G11" s="176"/>
      <c r="H11" s="176"/>
      <c r="I11" s="176"/>
      <c r="J11" s="176"/>
      <c r="K11" s="176"/>
      <c r="L11" s="176"/>
      <c r="M11" s="176"/>
      <c r="N11" s="176"/>
      <c r="O11" s="164"/>
      <c r="Q11" s="164"/>
      <c r="R11" s="165"/>
    </row>
    <row r="12" spans="1:18" ht="16.05" customHeight="1">
      <c r="A12" s="180" t="s">
        <v>270</v>
      </c>
      <c r="B12" s="180" t="s">
        <v>271</v>
      </c>
      <c r="C12" s="176"/>
      <c r="D12" s="176"/>
      <c r="E12" s="176"/>
      <c r="F12" s="176"/>
      <c r="G12" s="176"/>
      <c r="H12" s="176"/>
      <c r="I12" s="176"/>
      <c r="J12" s="176"/>
      <c r="K12" s="176"/>
      <c r="L12" s="176"/>
      <c r="M12" s="176"/>
      <c r="N12" s="176"/>
      <c r="O12" s="164"/>
      <c r="P12" s="164"/>
      <c r="Q12" s="164"/>
      <c r="R12" s="165"/>
    </row>
    <row r="13" spans="1:18" ht="16.05" customHeight="1">
      <c r="A13" s="176" t="s">
        <v>272</v>
      </c>
      <c r="B13" s="176" t="str">
        <f>IF(MAX(E6:E8)&gt;0,"Reforzar grado "&amp;INDEX(D6:D8,MATCH(MAX(E6:E8),E6:E8,0)),"Sin alertas")</f>
        <v>Sin alertas</v>
      </c>
      <c r="C13" s="176"/>
      <c r="D13" s="176"/>
      <c r="E13" s="176"/>
      <c r="F13" s="176"/>
      <c r="G13" s="176"/>
      <c r="H13" s="176"/>
      <c r="I13" s="176"/>
      <c r="J13" s="176"/>
      <c r="K13" s="176"/>
      <c r="L13" s="176"/>
      <c r="M13" s="176"/>
      <c r="N13" s="176"/>
      <c r="O13" s="164"/>
      <c r="P13" s="164"/>
      <c r="Q13" s="164"/>
      <c r="R13" s="165"/>
    </row>
    <row r="14" spans="1:18" ht="16.05" customHeight="1">
      <c r="A14" s="176" t="s">
        <v>273</v>
      </c>
      <c r="B14" s="176" t="str">
        <f>IF(MAX(H6:H8)&gt;0,"Revisar ausencias en grado "&amp;INDEX(G6:G8,MATCH(MAX(H6:H8),H6:H8,0)),"Sin alertas")</f>
        <v>Sin alertas</v>
      </c>
      <c r="C14" s="176"/>
      <c r="D14" s="176"/>
      <c r="E14" s="176"/>
      <c r="F14" s="176"/>
      <c r="G14" s="176"/>
      <c r="H14" s="176"/>
      <c r="I14" s="176"/>
      <c r="J14" s="176"/>
      <c r="K14" s="176"/>
      <c r="L14" s="176"/>
      <c r="M14" s="176"/>
      <c r="N14" s="176"/>
      <c r="O14" s="164"/>
      <c r="P14" s="164"/>
      <c r="Q14" s="164"/>
      <c r="R14" s="165"/>
    </row>
    <row r="15" spans="1:18">
      <c r="A15" s="176"/>
      <c r="B15" s="176"/>
      <c r="C15" s="176"/>
      <c r="D15" s="176"/>
      <c r="E15" s="176"/>
      <c r="F15" s="176"/>
      <c r="G15" s="176"/>
      <c r="H15" s="176"/>
      <c r="I15" s="176"/>
      <c r="J15" s="176"/>
      <c r="K15" s="176"/>
      <c r="L15" s="176"/>
      <c r="M15" s="176"/>
      <c r="N15" s="176"/>
    </row>
    <row r="16" spans="1:18" ht="19.95" customHeight="1">
      <c r="A16" s="209"/>
      <c r="B16" s="210"/>
      <c r="C16" s="210"/>
      <c r="D16" s="210"/>
      <c r="E16" s="210"/>
      <c r="F16" s="210"/>
      <c r="G16" s="210"/>
      <c r="H16" s="210"/>
      <c r="I16" s="176"/>
      <c r="J16" s="176"/>
      <c r="K16" s="176"/>
      <c r="L16" s="176"/>
      <c r="M16" s="176"/>
      <c r="N16" s="176"/>
      <c r="O16" s="164"/>
      <c r="P16" s="164"/>
      <c r="Q16" s="164"/>
      <c r="R16" s="165"/>
    </row>
    <row r="17" spans="1:14" ht="18" customHeight="1">
      <c r="A17" s="210"/>
      <c r="B17" s="210"/>
      <c r="C17" s="210"/>
      <c r="D17" s="210"/>
      <c r="E17" s="210"/>
      <c r="F17" s="210"/>
      <c r="G17" s="210"/>
      <c r="H17" s="210"/>
      <c r="I17" s="176"/>
      <c r="J17" s="176"/>
      <c r="K17" s="176"/>
      <c r="L17" s="176"/>
      <c r="M17" s="176"/>
      <c r="N17" s="176"/>
    </row>
    <row r="18" spans="1:14" ht="13.95" customHeight="1">
      <c r="A18" s="210"/>
      <c r="B18" s="210"/>
      <c r="C18" s="210"/>
      <c r="D18" s="210"/>
      <c r="E18" s="210"/>
      <c r="F18" s="210"/>
      <c r="G18" s="210"/>
      <c r="H18" s="210"/>
      <c r="I18" s="176"/>
      <c r="J18" s="176"/>
      <c r="K18" s="176"/>
      <c r="L18" s="176"/>
      <c r="M18" s="176"/>
      <c r="N18" s="176"/>
    </row>
    <row r="19" spans="1:14" ht="13.95" customHeight="1">
      <c r="A19" s="176"/>
      <c r="B19" s="176"/>
      <c r="C19" s="176"/>
      <c r="D19" s="176"/>
      <c r="E19" s="176"/>
      <c r="F19" s="176"/>
      <c r="G19" s="176"/>
      <c r="H19" s="176"/>
      <c r="I19" s="176"/>
      <c r="J19" s="176"/>
      <c r="K19" s="176"/>
      <c r="L19" s="176"/>
      <c r="M19" s="176"/>
      <c r="N19" s="176"/>
    </row>
    <row r="20" spans="1:14" ht="13.95" customHeight="1">
      <c r="A20" s="176"/>
      <c r="B20" s="176"/>
      <c r="C20" s="176"/>
      <c r="D20" s="176"/>
      <c r="E20" s="176"/>
      <c r="F20" s="176"/>
      <c r="G20" s="176"/>
      <c r="H20" s="176"/>
      <c r="I20" s="176"/>
      <c r="J20" s="176"/>
      <c r="K20" s="176"/>
      <c r="L20" s="176"/>
      <c r="M20" s="176"/>
      <c r="N20" s="176"/>
    </row>
    <row r="21" spans="1:14" ht="13.95" customHeight="1">
      <c r="A21" s="176"/>
      <c r="B21" s="176"/>
      <c r="C21" s="176"/>
      <c r="D21" s="176"/>
      <c r="E21" s="176"/>
      <c r="F21" s="176"/>
      <c r="G21" s="176"/>
      <c r="H21" s="176"/>
      <c r="I21" s="176"/>
      <c r="J21" s="176"/>
      <c r="K21" s="176"/>
      <c r="L21" s="176"/>
      <c r="M21" s="176"/>
      <c r="N21" s="176"/>
    </row>
    <row r="22" spans="1:14" ht="13.95" customHeight="1">
      <c r="A22" s="176"/>
      <c r="B22" s="176"/>
      <c r="C22" s="176"/>
      <c r="D22" s="176"/>
      <c r="E22" s="176"/>
      <c r="F22" s="176"/>
      <c r="G22" s="176"/>
      <c r="H22" s="176"/>
      <c r="I22" s="176"/>
      <c r="J22" s="176"/>
      <c r="K22" s="176"/>
      <c r="L22" s="176"/>
      <c r="M22" s="176"/>
      <c r="N22" s="176"/>
    </row>
    <row r="23" spans="1:14" ht="13.95" customHeight="1">
      <c r="A23" s="176"/>
      <c r="B23" s="176"/>
      <c r="C23" s="176"/>
      <c r="D23" s="176"/>
      <c r="E23" s="176"/>
      <c r="F23" s="176"/>
      <c r="G23" s="176"/>
      <c r="H23" s="176"/>
      <c r="I23" s="176"/>
      <c r="J23" s="176"/>
      <c r="K23" s="176"/>
      <c r="L23" s="176"/>
      <c r="M23" s="176"/>
      <c r="N23" s="176"/>
    </row>
    <row r="24" spans="1:14" ht="13.95" customHeight="1">
      <c r="A24" s="176"/>
      <c r="B24" s="176"/>
      <c r="C24" s="176"/>
      <c r="D24" s="176"/>
      <c r="E24" s="176"/>
      <c r="F24" s="176"/>
      <c r="G24" s="176"/>
      <c r="H24" s="176"/>
      <c r="I24" s="176"/>
      <c r="J24" s="176"/>
      <c r="K24" s="176"/>
      <c r="L24" s="176"/>
      <c r="M24" s="176"/>
      <c r="N24" s="176"/>
    </row>
    <row r="25" spans="1:14" ht="13.95" customHeight="1">
      <c r="A25" s="176"/>
      <c r="B25" s="176"/>
      <c r="C25" s="176"/>
      <c r="D25" s="176"/>
      <c r="E25" s="176"/>
      <c r="F25" s="176"/>
      <c r="G25" s="176"/>
      <c r="H25" s="176"/>
      <c r="I25" s="176"/>
      <c r="J25" s="176"/>
      <c r="K25" s="176"/>
      <c r="L25" s="176"/>
      <c r="M25" s="176"/>
      <c r="N25" s="176"/>
    </row>
    <row r="26" spans="1:14" ht="13.95" customHeight="1">
      <c r="A26" s="176"/>
      <c r="B26" s="176"/>
      <c r="C26" s="176"/>
      <c r="D26" s="176"/>
      <c r="E26" s="176"/>
      <c r="F26" s="176"/>
      <c r="G26" s="176"/>
      <c r="H26" s="176"/>
      <c r="I26" s="176"/>
      <c r="J26" s="176"/>
      <c r="K26" s="176"/>
      <c r="L26" s="176"/>
      <c r="M26" s="176"/>
      <c r="N26" s="176"/>
    </row>
    <row r="27" spans="1:14" ht="13.95" customHeight="1">
      <c r="A27" s="176"/>
      <c r="B27" s="176"/>
      <c r="C27" s="176"/>
      <c r="D27" s="176"/>
      <c r="E27" s="176"/>
      <c r="F27" s="176"/>
      <c r="G27" s="176"/>
      <c r="H27" s="176"/>
      <c r="I27" s="176"/>
      <c r="J27" s="176"/>
      <c r="K27" s="176"/>
      <c r="L27" s="176"/>
      <c r="M27" s="176"/>
      <c r="N27" s="176"/>
    </row>
    <row r="28" spans="1:14" ht="13.95" customHeight="1">
      <c r="A28" s="176"/>
      <c r="B28" s="176"/>
      <c r="C28" s="176"/>
      <c r="D28" s="176"/>
      <c r="E28" s="176"/>
      <c r="F28" s="176"/>
      <c r="G28" s="176"/>
      <c r="H28" s="176"/>
      <c r="I28" s="176"/>
      <c r="J28" s="176"/>
      <c r="K28" s="176"/>
      <c r="L28" s="176"/>
      <c r="M28" s="176"/>
      <c r="N28" s="176"/>
    </row>
    <row r="29" spans="1:14" ht="13.95" customHeight="1">
      <c r="A29" s="176"/>
      <c r="B29" s="176"/>
      <c r="C29" s="176"/>
      <c r="D29" s="176"/>
      <c r="E29" s="176"/>
      <c r="F29" s="176"/>
      <c r="G29" s="176"/>
      <c r="H29" s="176"/>
      <c r="I29" s="176"/>
      <c r="J29" s="176"/>
      <c r="K29" s="176"/>
      <c r="L29" s="176"/>
      <c r="M29" s="176"/>
      <c r="N29" s="176"/>
    </row>
    <row r="30" spans="1:14" ht="13.95" customHeight="1">
      <c r="A30" s="176"/>
      <c r="B30" s="176"/>
      <c r="C30" s="176"/>
      <c r="D30" s="176"/>
      <c r="E30" s="176"/>
      <c r="F30" s="176"/>
      <c r="G30" s="176"/>
      <c r="H30" s="176"/>
      <c r="I30" s="176"/>
      <c r="J30" s="176"/>
      <c r="K30" s="176"/>
      <c r="L30" s="176"/>
      <c r="M30" s="176"/>
      <c r="N30" s="176"/>
    </row>
    <row r="31" spans="1:14" ht="13.95" customHeight="1">
      <c r="A31" s="176"/>
      <c r="B31" s="176"/>
      <c r="C31" s="176"/>
      <c r="D31" s="176"/>
      <c r="E31" s="176"/>
      <c r="F31" s="176"/>
      <c r="G31" s="176"/>
      <c r="H31" s="176"/>
      <c r="I31" s="176"/>
      <c r="J31" s="176"/>
      <c r="K31" s="176"/>
      <c r="L31" s="176"/>
      <c r="M31" s="176"/>
      <c r="N31" s="176"/>
    </row>
    <row r="32" spans="1:14" ht="13.95" customHeight="1">
      <c r="A32" s="176"/>
      <c r="B32" s="176"/>
      <c r="C32" s="176"/>
      <c r="D32" s="176"/>
      <c r="E32" s="176"/>
      <c r="F32" s="176"/>
      <c r="G32" s="176"/>
      <c r="H32" s="176"/>
      <c r="I32" s="176"/>
      <c r="J32" s="176"/>
      <c r="K32" s="176"/>
      <c r="L32" s="176"/>
      <c r="M32" s="176"/>
      <c r="N32" s="176"/>
    </row>
    <row r="33" spans="1:14" ht="13.95" customHeight="1">
      <c r="A33" s="176"/>
      <c r="B33" s="176"/>
      <c r="C33" s="176"/>
      <c r="D33" s="176"/>
      <c r="E33" s="176"/>
      <c r="F33" s="176"/>
      <c r="G33" s="176"/>
      <c r="H33" s="176"/>
      <c r="I33" s="176"/>
      <c r="J33" s="176"/>
      <c r="K33" s="176"/>
      <c r="L33" s="176"/>
      <c r="M33" s="176"/>
      <c r="N33" s="176"/>
    </row>
    <row r="34" spans="1:14" ht="13.95" customHeight="1">
      <c r="A34" s="176"/>
      <c r="B34" s="176"/>
      <c r="C34" s="176"/>
      <c r="D34" s="176"/>
      <c r="E34" s="176"/>
      <c r="F34" s="176"/>
      <c r="G34" s="176"/>
      <c r="H34" s="176"/>
      <c r="I34" s="176"/>
      <c r="J34" s="176"/>
      <c r="K34" s="176"/>
      <c r="L34" s="176"/>
      <c r="M34" s="176"/>
      <c r="N34" s="176"/>
    </row>
    <row r="35" spans="1:14" ht="13.95" customHeight="1">
      <c r="A35" s="176"/>
      <c r="B35" s="176"/>
      <c r="C35" s="176"/>
      <c r="D35" s="176"/>
      <c r="E35" s="176"/>
      <c r="F35" s="176"/>
      <c r="G35" s="176"/>
      <c r="H35" s="176"/>
      <c r="I35" s="176"/>
      <c r="J35" s="176"/>
      <c r="K35" s="176"/>
      <c r="L35" s="176"/>
      <c r="M35" s="176"/>
      <c r="N35" s="176"/>
    </row>
    <row r="36" spans="1:14" ht="13.95" customHeight="1">
      <c r="A36" s="176"/>
      <c r="B36" s="176"/>
      <c r="C36" s="176"/>
      <c r="D36" s="176"/>
      <c r="E36" s="176"/>
      <c r="F36" s="176"/>
      <c r="G36" s="176"/>
      <c r="H36" s="176"/>
      <c r="I36" s="176"/>
      <c r="J36" s="176"/>
      <c r="K36" s="176"/>
      <c r="L36" s="176"/>
      <c r="M36" s="176"/>
      <c r="N36" s="176"/>
    </row>
    <row r="37" spans="1:14" ht="13.95" customHeight="1">
      <c r="A37" s="176"/>
      <c r="B37" s="176"/>
      <c r="C37" s="176"/>
      <c r="D37" s="176"/>
      <c r="E37" s="176"/>
      <c r="F37" s="176"/>
      <c r="G37" s="176"/>
      <c r="H37" s="176"/>
      <c r="I37" s="176"/>
      <c r="J37" s="176"/>
      <c r="K37" s="176"/>
      <c r="L37" s="176"/>
      <c r="M37" s="176"/>
      <c r="N37" s="176"/>
    </row>
    <row r="38" spans="1:14" ht="13.95" customHeight="1">
      <c r="A38" s="176"/>
      <c r="B38" s="176"/>
      <c r="C38" s="176"/>
      <c r="D38" s="176"/>
      <c r="E38" s="176"/>
      <c r="F38" s="176"/>
      <c r="G38" s="176"/>
      <c r="H38" s="176"/>
      <c r="I38" s="176"/>
      <c r="J38" s="176"/>
      <c r="K38" s="176"/>
      <c r="L38" s="176"/>
      <c r="M38" s="176"/>
      <c r="N38" s="176"/>
    </row>
    <row r="39" spans="1:14" ht="13.95" customHeight="1">
      <c r="A39" s="176"/>
      <c r="B39" s="176"/>
      <c r="C39" s="176"/>
      <c r="D39" s="176"/>
      <c r="E39" s="176"/>
      <c r="F39" s="176"/>
      <c r="G39" s="176"/>
      <c r="H39" s="176"/>
      <c r="I39" s="176"/>
      <c r="J39" s="176"/>
      <c r="K39" s="176"/>
      <c r="L39" s="176"/>
      <c r="M39" s="176"/>
      <c r="N39" s="176"/>
    </row>
    <row r="40" spans="1:14" ht="13.95" customHeight="1">
      <c r="A40" s="176"/>
      <c r="B40" s="176"/>
      <c r="C40" s="176"/>
      <c r="D40" s="176"/>
      <c r="E40" s="176"/>
      <c r="F40" s="176"/>
      <c r="G40" s="176"/>
      <c r="H40" s="176"/>
      <c r="I40" s="176"/>
      <c r="J40" s="176"/>
      <c r="K40" s="176"/>
      <c r="L40" s="176"/>
      <c r="M40" s="176"/>
      <c r="N40" s="176"/>
    </row>
    <row r="41" spans="1:14" ht="13.95" customHeight="1">
      <c r="A41" s="176"/>
      <c r="B41" s="176"/>
      <c r="C41" s="176"/>
      <c r="D41" s="176"/>
      <c r="E41" s="176"/>
      <c r="F41" s="176"/>
      <c r="G41" s="176"/>
      <c r="H41" s="176"/>
      <c r="I41" s="176"/>
      <c r="J41" s="176"/>
      <c r="K41" s="176"/>
      <c r="L41" s="176"/>
      <c r="M41" s="176"/>
      <c r="N41" s="176"/>
    </row>
    <row r="42" spans="1:14" ht="13.95" customHeight="1">
      <c r="A42" s="176"/>
      <c r="B42" s="176"/>
      <c r="C42" s="176"/>
      <c r="D42" s="176"/>
      <c r="E42" s="176"/>
      <c r="F42" s="176"/>
      <c r="G42" s="176"/>
      <c r="H42" s="176"/>
      <c r="I42" s="176"/>
      <c r="J42" s="176"/>
      <c r="K42" s="176"/>
      <c r="L42" s="176"/>
      <c r="M42" s="176"/>
      <c r="N42" s="176"/>
    </row>
    <row r="43" spans="1:14" ht="13.95" customHeight="1">
      <c r="A43" s="176"/>
      <c r="B43" s="176"/>
      <c r="C43" s="176"/>
      <c r="D43" s="176"/>
      <c r="E43" s="176"/>
      <c r="F43" s="176"/>
      <c r="G43" s="176"/>
      <c r="H43" s="176"/>
      <c r="I43" s="176"/>
      <c r="J43" s="176"/>
      <c r="K43" s="176"/>
      <c r="L43" s="176"/>
      <c r="M43" s="176"/>
      <c r="N43" s="176"/>
    </row>
    <row r="44" spans="1:14" ht="13.95" customHeight="1">
      <c r="A44" s="176"/>
      <c r="B44" s="176"/>
      <c r="C44" s="176"/>
      <c r="D44" s="176"/>
      <c r="E44" s="176"/>
      <c r="F44" s="176"/>
      <c r="G44" s="176"/>
      <c r="H44" s="176"/>
      <c r="I44" s="176"/>
      <c r="J44" s="176"/>
      <c r="K44" s="176"/>
      <c r="L44" s="176"/>
      <c r="M44" s="176"/>
      <c r="N44" s="176"/>
    </row>
    <row r="45" spans="1:14" ht="13.95" customHeight="1">
      <c r="A45" s="176"/>
      <c r="B45" s="176"/>
      <c r="C45" s="176"/>
      <c r="D45" s="176"/>
      <c r="E45" s="176"/>
      <c r="F45" s="176"/>
      <c r="G45" s="176"/>
      <c r="H45" s="176"/>
      <c r="I45" s="176"/>
      <c r="J45" s="176"/>
      <c r="K45" s="176"/>
      <c r="L45" s="176"/>
      <c r="M45" s="176"/>
      <c r="N45" s="176"/>
    </row>
    <row r="46" spans="1:14" ht="13.95" customHeight="1">
      <c r="A46" s="176"/>
      <c r="B46" s="176"/>
      <c r="C46" s="176"/>
      <c r="D46" s="176"/>
      <c r="E46" s="176"/>
      <c r="F46" s="176"/>
      <c r="G46" s="176"/>
      <c r="H46" s="176"/>
      <c r="I46" s="176"/>
      <c r="J46" s="176"/>
      <c r="K46" s="176"/>
      <c r="L46" s="176"/>
      <c r="M46" s="176"/>
      <c r="N46" s="176"/>
    </row>
    <row r="47" spans="1:14" ht="13.95" customHeight="1">
      <c r="A47" s="176"/>
      <c r="B47" s="176"/>
      <c r="C47" s="176"/>
      <c r="D47" s="176"/>
      <c r="E47" s="176"/>
      <c r="F47" s="176"/>
      <c r="G47" s="176"/>
      <c r="H47" s="176"/>
      <c r="I47" s="176"/>
      <c r="J47" s="176"/>
      <c r="K47" s="176"/>
      <c r="L47" s="176"/>
      <c r="M47" s="176"/>
      <c r="N47" s="176"/>
    </row>
    <row r="48" spans="1:14" ht="13.95" customHeight="1">
      <c r="A48" s="176"/>
      <c r="B48" s="176"/>
      <c r="C48" s="176"/>
      <c r="D48" s="176"/>
      <c r="E48" s="176"/>
      <c r="F48" s="176"/>
      <c r="G48" s="176"/>
      <c r="H48" s="176"/>
      <c r="I48" s="176"/>
      <c r="J48" s="176"/>
      <c r="K48" s="176"/>
      <c r="L48" s="176"/>
      <c r="M48" s="176"/>
      <c r="N48" s="176"/>
    </row>
    <row r="49" spans="1:14" ht="13.95" customHeight="1">
      <c r="A49" s="176"/>
      <c r="B49" s="176"/>
      <c r="C49" s="176"/>
      <c r="D49" s="176"/>
      <c r="E49" s="176"/>
      <c r="F49" s="176"/>
      <c r="G49" s="176"/>
      <c r="H49" s="176"/>
      <c r="I49" s="176"/>
      <c r="J49" s="176"/>
      <c r="K49" s="176"/>
      <c r="L49" s="176"/>
      <c r="M49" s="176"/>
      <c r="N49" s="176"/>
    </row>
    <row r="50" spans="1:14" ht="13.95" customHeight="1">
      <c r="A50" s="176"/>
      <c r="B50" s="176"/>
      <c r="C50" s="176"/>
      <c r="D50" s="176"/>
      <c r="E50" s="176"/>
      <c r="F50" s="176"/>
      <c r="G50" s="176"/>
      <c r="H50" s="176"/>
      <c r="I50" s="176"/>
      <c r="J50" s="176"/>
      <c r="K50" s="176"/>
      <c r="L50" s="176"/>
      <c r="M50" s="176"/>
      <c r="N50" s="176"/>
    </row>
    <row r="51" spans="1:14" ht="13.95" customHeight="1">
      <c r="A51" s="133" t="s">
        <v>19</v>
      </c>
      <c r="B51" s="133">
        <f>RESUMEN_7°!A38</f>
        <v>34</v>
      </c>
      <c r="C51" s="134">
        <f>RESUMEN_7°!B38</f>
        <v>0</v>
      </c>
      <c r="D51" s="133" t="str">
        <f>IF(C51="","",IFERROR(RESUMEN_7°!F38,""))</f>
        <v/>
      </c>
      <c r="E51" s="133" t="str">
        <f>IF(C51="","",IFERROR(RESUMEN_7°!R38,""))</f>
        <v/>
      </c>
      <c r="F51" s="133">
        <f>IF(C51="","",IFERROR('Asistencia (7°)'!BI36,""))</f>
        <v>0</v>
      </c>
      <c r="G51" s="133" t="str">
        <f>IF(AND(RESUMEN_7°!B38=""),"",IF(OR(IFERROR(RESUMEN_7°!F38,0)&lt;3,IFERROR(RESUMEN_7°!R38,0)&lt;3),"⚠ REVISAR","OK"))</f>
        <v>OK</v>
      </c>
    </row>
    <row r="52" spans="1:14" ht="13.95" customHeight="1">
      <c r="A52" s="131" t="s">
        <v>19</v>
      </c>
      <c r="B52" s="131">
        <f>RESUMEN_7°!A39</f>
        <v>35</v>
      </c>
      <c r="C52" s="132">
        <f>RESUMEN_7°!B39</f>
        <v>0</v>
      </c>
      <c r="D52" s="131" t="str">
        <f>IF(C52="","",IFERROR(RESUMEN_7°!F39,""))</f>
        <v/>
      </c>
      <c r="E52" s="131" t="str">
        <f>IF(C52="","",IFERROR(RESUMEN_7°!R39,""))</f>
        <v/>
      </c>
      <c r="F52" s="131">
        <f>IF(C52="","",IFERROR('Asistencia (7°)'!BI37,""))</f>
        <v>0</v>
      </c>
      <c r="G52" s="131" t="str">
        <f>IF(AND(RESUMEN_7°!B39=""),"",IF(OR(IFERROR(RESUMEN_7°!F39,0)&lt;3,IFERROR(RESUMEN_7°!R39,0)&lt;3),"⚠ REVISAR","OK"))</f>
        <v>OK</v>
      </c>
    </row>
    <row r="53" spans="1:14" ht="13.95" customHeight="1">
      <c r="A53" s="133" t="s">
        <v>19</v>
      </c>
      <c r="B53" s="133">
        <f>RESUMEN_7°!A40</f>
        <v>36</v>
      </c>
      <c r="C53" s="134">
        <f>RESUMEN_7°!B40</f>
        <v>0</v>
      </c>
      <c r="D53" s="133" t="str">
        <f>IF(C53="","",IFERROR(RESUMEN_7°!F40,""))</f>
        <v/>
      </c>
      <c r="E53" s="133" t="str">
        <f>IF(C53="","",IFERROR(RESUMEN_7°!R40,""))</f>
        <v/>
      </c>
      <c r="F53" s="133">
        <f>IF(C53="","",IFERROR('Asistencia (7°)'!BI38,""))</f>
        <v>0</v>
      </c>
      <c r="G53" s="133" t="str">
        <f>IF(AND(RESUMEN_7°!B40=""),"",IF(OR(IFERROR(RESUMEN_7°!F40,0)&lt;3,IFERROR(RESUMEN_7°!R40,0)&lt;3),"⚠ REVISAR","OK"))</f>
        <v>OK</v>
      </c>
    </row>
    <row r="54" spans="1:14" ht="13.95" customHeight="1">
      <c r="A54" s="131" t="s">
        <v>19</v>
      </c>
      <c r="B54" s="131">
        <f>RESUMEN_7°!A41</f>
        <v>37</v>
      </c>
      <c r="C54" s="132">
        <f>RESUMEN_7°!B41</f>
        <v>0</v>
      </c>
      <c r="D54" s="131" t="str">
        <f>IF(C54="","",IFERROR(RESUMEN_7°!F41,""))</f>
        <v/>
      </c>
      <c r="E54" s="131" t="str">
        <f>IF(C54="","",IFERROR(RESUMEN_7°!R41,""))</f>
        <v/>
      </c>
      <c r="F54" s="131">
        <f>IF(C54="","",IFERROR('Asistencia (7°)'!BI39,""))</f>
        <v>0</v>
      </c>
      <c r="G54" s="131" t="str">
        <f>IF(AND(RESUMEN_7°!B41=""),"",IF(OR(IFERROR(RESUMEN_7°!F41,0)&lt;3,IFERROR(RESUMEN_7°!R41,0)&lt;3),"⚠ REVISAR","OK"))</f>
        <v>OK</v>
      </c>
    </row>
    <row r="55" spans="1:14" ht="13.95" customHeight="1">
      <c r="A55" s="133" t="s">
        <v>19</v>
      </c>
      <c r="B55" s="133">
        <f>RESUMEN_7°!A42</f>
        <v>38</v>
      </c>
      <c r="C55" s="134">
        <f>RESUMEN_7°!B42</f>
        <v>0</v>
      </c>
      <c r="D55" s="133" t="str">
        <f>IF(C55="","",IFERROR(RESUMEN_7°!F42,""))</f>
        <v/>
      </c>
      <c r="E55" s="133" t="str">
        <f>IF(C55="","",IFERROR(RESUMEN_7°!R42,""))</f>
        <v/>
      </c>
      <c r="F55" s="133">
        <f>IF(C55="","",IFERROR('Asistencia (7°)'!BI40,""))</f>
        <v>0</v>
      </c>
      <c r="G55" s="133" t="str">
        <f>IF(AND(RESUMEN_7°!B42=""),"",IF(OR(IFERROR(RESUMEN_7°!F42,0)&lt;3,IFERROR(RESUMEN_7°!R42,0)&lt;3),"⚠ REVISAR","OK"))</f>
        <v>OK</v>
      </c>
    </row>
    <row r="56" spans="1:14" ht="13.95" customHeight="1">
      <c r="A56" s="131" t="s">
        <v>19</v>
      </c>
      <c r="B56" s="131">
        <f>RESUMEN_7°!A43</f>
        <v>39</v>
      </c>
      <c r="C56" s="132">
        <f>RESUMEN_7°!B43</f>
        <v>0</v>
      </c>
      <c r="D56" s="131" t="str">
        <f>IF(C56="","",IFERROR(RESUMEN_7°!F43,""))</f>
        <v/>
      </c>
      <c r="E56" s="131" t="str">
        <f>IF(C56="","",IFERROR(RESUMEN_7°!R43,""))</f>
        <v/>
      </c>
      <c r="F56" s="131">
        <f>IF(C56="","",IFERROR('Asistencia (7°)'!BI41,""))</f>
        <v>0</v>
      </c>
      <c r="G56" s="131" t="str">
        <f>IF(AND(RESUMEN_7°!B43=""),"",IF(OR(IFERROR(RESUMEN_7°!F43,0)&lt;3,IFERROR(RESUMEN_7°!R43,0)&lt;3),"⚠ REVISAR","OK"))</f>
        <v>OK</v>
      </c>
    </row>
    <row r="57" spans="1:14" ht="13.95" customHeight="1">
      <c r="A57" s="133" t="s">
        <v>19</v>
      </c>
      <c r="B57" s="133">
        <f>RESUMEN_7°!A44</f>
        <v>40</v>
      </c>
      <c r="C57" s="134">
        <f>RESUMEN_7°!B44</f>
        <v>0</v>
      </c>
      <c r="D57" s="133" t="str">
        <f>IF(C57="","",IFERROR(RESUMEN_7°!F44,""))</f>
        <v/>
      </c>
      <c r="E57" s="133" t="str">
        <f>IF(C57="","",IFERROR(RESUMEN_7°!R44,""))</f>
        <v/>
      </c>
      <c r="F57" s="133">
        <f>IF(C57="","",IFERROR('Asistencia (7°)'!BI42,""))</f>
        <v>0</v>
      </c>
      <c r="G57" s="133" t="str">
        <f>IF(AND(RESUMEN_7°!B44=""),"",IF(OR(IFERROR(RESUMEN_7°!F44,0)&lt;3,IFERROR(RESUMEN_7°!R44,0)&lt;3),"⚠ REVISAR","OK"))</f>
        <v>OK</v>
      </c>
    </row>
    <row r="58" spans="1:14" ht="13.95" customHeight="1">
      <c r="A58" s="135" t="s">
        <v>20</v>
      </c>
      <c r="B58" s="135">
        <f>RESUMEN_8°!A5</f>
        <v>1</v>
      </c>
      <c r="C58" s="136">
        <f>RESUMEN_8°!B5</f>
        <v>0</v>
      </c>
      <c r="D58" s="135" t="str">
        <f>IF(C58="","",IFERROR(RESUMEN_8°!F5,""))</f>
        <v/>
      </c>
      <c r="E58" s="135" t="str">
        <f>IF(C58="","",IFERROR(RESUMEN_8°!R5,""))</f>
        <v/>
      </c>
      <c r="F58" s="135">
        <f>IF(C58="","",IFERROR('Asistencia (8°)'!BI3,""))</f>
        <v>0</v>
      </c>
      <c r="G58" s="135" t="str">
        <f>IF(AND(RESUMEN_8°!B5=""),"",IF(OR(IFERROR(RESUMEN_8°!F5,0)&lt;3,IFERROR(RESUMEN_8°!R5,0)&lt;3),"⚠ REVISAR","OK"))</f>
        <v>OK</v>
      </c>
    </row>
    <row r="59" spans="1:14" ht="13.95" customHeight="1">
      <c r="A59" s="133" t="s">
        <v>20</v>
      </c>
      <c r="B59" s="133">
        <f>RESUMEN_8°!A6</f>
        <v>2</v>
      </c>
      <c r="C59" s="134">
        <f>RESUMEN_8°!B6</f>
        <v>0</v>
      </c>
      <c r="D59" s="133" t="str">
        <f>IF(C59="","",IFERROR(RESUMEN_8°!F6,""))</f>
        <v/>
      </c>
      <c r="E59" s="133" t="str">
        <f>IF(C59="","",IFERROR(RESUMEN_8°!R6,""))</f>
        <v/>
      </c>
      <c r="F59" s="133">
        <f>IF(C59="","",IFERROR('Asistencia (8°)'!BI4,""))</f>
        <v>0</v>
      </c>
      <c r="G59" s="133" t="str">
        <f>IF(AND(RESUMEN_8°!B6=""),"",IF(OR(IFERROR(RESUMEN_8°!F6,0)&lt;3,IFERROR(RESUMEN_8°!R6,0)&lt;3),"⚠ REVISAR","OK"))</f>
        <v>OK</v>
      </c>
    </row>
    <row r="60" spans="1:14" ht="13.95" customHeight="1">
      <c r="A60" s="135" t="s">
        <v>20</v>
      </c>
      <c r="B60" s="135">
        <f>RESUMEN_8°!A7</f>
        <v>3</v>
      </c>
      <c r="C60" s="136">
        <f>RESUMEN_8°!B7</f>
        <v>0</v>
      </c>
      <c r="D60" s="135" t="str">
        <f>IF(C60="","",IFERROR(RESUMEN_8°!F7,""))</f>
        <v/>
      </c>
      <c r="E60" s="135" t="str">
        <f>IF(C60="","",IFERROR(RESUMEN_8°!R7,""))</f>
        <v/>
      </c>
      <c r="F60" s="135">
        <f>IF(C60="","",IFERROR('Asistencia (8°)'!BI5,""))</f>
        <v>0</v>
      </c>
      <c r="G60" s="135" t="str">
        <f>IF(AND(RESUMEN_8°!B7=""),"",IF(OR(IFERROR(RESUMEN_8°!F7,0)&lt;3,IFERROR(RESUMEN_8°!R7,0)&lt;3),"⚠ REVISAR","OK"))</f>
        <v>OK</v>
      </c>
    </row>
    <row r="61" spans="1:14" ht="13.95" customHeight="1">
      <c r="A61" s="133" t="s">
        <v>20</v>
      </c>
      <c r="B61" s="133">
        <f>RESUMEN_8°!A8</f>
        <v>4</v>
      </c>
      <c r="C61" s="134">
        <f>RESUMEN_8°!B8</f>
        <v>0</v>
      </c>
      <c r="D61" s="133" t="str">
        <f>IF(C61="","",IFERROR(RESUMEN_8°!F8,""))</f>
        <v/>
      </c>
      <c r="E61" s="133" t="str">
        <f>IF(C61="","",IFERROR(RESUMEN_8°!R8,""))</f>
        <v/>
      </c>
      <c r="F61" s="133">
        <f>IF(C61="","",IFERROR('Asistencia (8°)'!BI6,""))</f>
        <v>0</v>
      </c>
      <c r="G61" s="133" t="str">
        <f>IF(AND(RESUMEN_8°!B8=""),"",IF(OR(IFERROR(RESUMEN_8°!F8,0)&lt;3,IFERROR(RESUMEN_8°!R8,0)&lt;3),"⚠ REVISAR","OK"))</f>
        <v>OK</v>
      </c>
    </row>
    <row r="62" spans="1:14" ht="13.95" customHeight="1">
      <c r="A62" s="135" t="s">
        <v>20</v>
      </c>
      <c r="B62" s="135">
        <f>RESUMEN_8°!A9</f>
        <v>5</v>
      </c>
      <c r="C62" s="136">
        <f>RESUMEN_8°!B9</f>
        <v>0</v>
      </c>
      <c r="D62" s="135" t="str">
        <f>IF(C62="","",IFERROR(RESUMEN_8°!F9,""))</f>
        <v/>
      </c>
      <c r="E62" s="135" t="str">
        <f>IF(C62="","",IFERROR(RESUMEN_8°!R9,""))</f>
        <v/>
      </c>
      <c r="F62" s="135">
        <f>IF(C62="","",IFERROR('Asistencia (8°)'!BI7,""))</f>
        <v>0</v>
      </c>
      <c r="G62" s="135" t="str">
        <f>IF(AND(RESUMEN_8°!B9=""),"",IF(OR(IFERROR(RESUMEN_8°!F9,0)&lt;3,IFERROR(RESUMEN_8°!R9,0)&lt;3),"⚠ REVISAR","OK"))</f>
        <v>OK</v>
      </c>
    </row>
    <row r="63" spans="1:14" ht="13.95" customHeight="1">
      <c r="A63" s="133" t="s">
        <v>20</v>
      </c>
      <c r="B63" s="133">
        <f>RESUMEN_8°!A10</f>
        <v>6</v>
      </c>
      <c r="C63" s="134">
        <f>RESUMEN_8°!B10</f>
        <v>0</v>
      </c>
      <c r="D63" s="133" t="str">
        <f>IF(C63="","",IFERROR(RESUMEN_8°!F10,""))</f>
        <v/>
      </c>
      <c r="E63" s="133" t="str">
        <f>IF(C63="","",IFERROR(RESUMEN_8°!R10,""))</f>
        <v/>
      </c>
      <c r="F63" s="133">
        <f>IF(C63="","",IFERROR('Asistencia (8°)'!BI8,""))</f>
        <v>0</v>
      </c>
      <c r="G63" s="133" t="str">
        <f>IF(AND(RESUMEN_8°!B10=""),"",IF(OR(IFERROR(RESUMEN_8°!F10,0)&lt;3,IFERROR(RESUMEN_8°!R10,0)&lt;3),"⚠ REVISAR","OK"))</f>
        <v>OK</v>
      </c>
    </row>
    <row r="64" spans="1:14" ht="13.95" customHeight="1">
      <c r="A64" s="135" t="s">
        <v>20</v>
      </c>
      <c r="B64" s="135">
        <f>RESUMEN_8°!A11</f>
        <v>7</v>
      </c>
      <c r="C64" s="136">
        <f>RESUMEN_8°!B11</f>
        <v>0</v>
      </c>
      <c r="D64" s="135" t="str">
        <f>IF(C64="","",IFERROR(RESUMEN_8°!F11,""))</f>
        <v/>
      </c>
      <c r="E64" s="135" t="str">
        <f>IF(C64="","",IFERROR(RESUMEN_8°!R11,""))</f>
        <v/>
      </c>
      <c r="F64" s="135">
        <f>IF(C64="","",IFERROR('Asistencia (8°)'!BI9,""))</f>
        <v>0</v>
      </c>
      <c r="G64" s="135" t="str">
        <f>IF(AND(RESUMEN_8°!B11=""),"",IF(OR(IFERROR(RESUMEN_8°!F11,0)&lt;3,IFERROR(RESUMEN_8°!R11,0)&lt;3),"⚠ REVISAR","OK"))</f>
        <v>OK</v>
      </c>
    </row>
    <row r="65" spans="1:7" ht="13.95" customHeight="1">
      <c r="A65" s="133" t="s">
        <v>20</v>
      </c>
      <c r="B65" s="133">
        <f>RESUMEN_8°!A12</f>
        <v>8</v>
      </c>
      <c r="C65" s="134">
        <f>RESUMEN_8°!B12</f>
        <v>0</v>
      </c>
      <c r="D65" s="133" t="str">
        <f>IF(C65="","",IFERROR(RESUMEN_8°!F12,""))</f>
        <v/>
      </c>
      <c r="E65" s="133" t="str">
        <f>IF(C65="","",IFERROR(RESUMEN_8°!R12,""))</f>
        <v/>
      </c>
      <c r="F65" s="133">
        <f>IF(C65="","",IFERROR('Asistencia (8°)'!BI10,""))</f>
        <v>0</v>
      </c>
      <c r="G65" s="133" t="str">
        <f>IF(AND(RESUMEN_8°!B12=""),"",IF(OR(IFERROR(RESUMEN_8°!F12,0)&lt;3,IFERROR(RESUMEN_8°!R12,0)&lt;3),"⚠ REVISAR","OK"))</f>
        <v>OK</v>
      </c>
    </row>
    <row r="66" spans="1:7" ht="13.95" customHeight="1">
      <c r="A66" s="135" t="s">
        <v>20</v>
      </c>
      <c r="B66" s="135">
        <f>RESUMEN_8°!A13</f>
        <v>9</v>
      </c>
      <c r="C66" s="136">
        <f>RESUMEN_8°!B13</f>
        <v>0</v>
      </c>
      <c r="D66" s="135" t="str">
        <f>IF(C66="","",IFERROR(RESUMEN_8°!F13,""))</f>
        <v/>
      </c>
      <c r="E66" s="135" t="str">
        <f>IF(C66="","",IFERROR(RESUMEN_8°!R13,""))</f>
        <v/>
      </c>
      <c r="F66" s="135">
        <f>IF(C66="","",IFERROR('Asistencia (8°)'!BI11,""))</f>
        <v>0</v>
      </c>
      <c r="G66" s="135" t="str">
        <f>IF(AND(RESUMEN_8°!B13=""),"",IF(OR(IFERROR(RESUMEN_8°!F13,0)&lt;3,IFERROR(RESUMEN_8°!R13,0)&lt;3),"⚠ REVISAR","OK"))</f>
        <v>OK</v>
      </c>
    </row>
    <row r="67" spans="1:7" ht="13.95" customHeight="1">
      <c r="A67" s="133" t="s">
        <v>20</v>
      </c>
      <c r="B67" s="133">
        <f>RESUMEN_8°!A14</f>
        <v>10</v>
      </c>
      <c r="C67" s="134">
        <f>RESUMEN_8°!B14</f>
        <v>0</v>
      </c>
      <c r="D67" s="133" t="str">
        <f>IF(C67="","",IFERROR(RESUMEN_8°!F14,""))</f>
        <v/>
      </c>
      <c r="E67" s="133" t="str">
        <f>IF(C67="","",IFERROR(RESUMEN_8°!R14,""))</f>
        <v/>
      </c>
      <c r="F67" s="133">
        <f>IF(C67="","",IFERROR('Asistencia (8°)'!BI12,""))</f>
        <v>0</v>
      </c>
      <c r="G67" s="133" t="str">
        <f>IF(AND(RESUMEN_8°!B14=""),"",IF(OR(IFERROR(RESUMEN_8°!F14,0)&lt;3,IFERROR(RESUMEN_8°!R14,0)&lt;3),"⚠ REVISAR","OK"))</f>
        <v>OK</v>
      </c>
    </row>
    <row r="68" spans="1:7" ht="13.95" customHeight="1">
      <c r="A68" s="135" t="s">
        <v>20</v>
      </c>
      <c r="B68" s="135">
        <f>RESUMEN_8°!A15</f>
        <v>11</v>
      </c>
      <c r="C68" s="136">
        <f>RESUMEN_8°!B15</f>
        <v>0</v>
      </c>
      <c r="D68" s="135" t="str">
        <f>IF(C68="","",IFERROR(RESUMEN_8°!F15,""))</f>
        <v/>
      </c>
      <c r="E68" s="135" t="str">
        <f>IF(C68="","",IFERROR(RESUMEN_8°!R15,""))</f>
        <v/>
      </c>
      <c r="F68" s="135">
        <f>IF(C68="","",IFERROR('Asistencia (8°)'!BI13,""))</f>
        <v>0</v>
      </c>
      <c r="G68" s="135" t="str">
        <f>IF(AND(RESUMEN_8°!B15=""),"",IF(OR(IFERROR(RESUMEN_8°!F15,0)&lt;3,IFERROR(RESUMEN_8°!R15,0)&lt;3),"⚠ REVISAR","OK"))</f>
        <v>OK</v>
      </c>
    </row>
    <row r="69" spans="1:7" ht="13.95" customHeight="1">
      <c r="A69" s="133" t="s">
        <v>20</v>
      </c>
      <c r="B69" s="133">
        <f>RESUMEN_8°!A16</f>
        <v>12</v>
      </c>
      <c r="C69" s="134">
        <f>RESUMEN_8°!B16</f>
        <v>0</v>
      </c>
      <c r="D69" s="133" t="str">
        <f>IF(C69="","",IFERROR(RESUMEN_8°!F16,""))</f>
        <v/>
      </c>
      <c r="E69" s="133" t="str">
        <f>IF(C69="","",IFERROR(RESUMEN_8°!R16,""))</f>
        <v/>
      </c>
      <c r="F69" s="133">
        <f>IF(C69="","",IFERROR('Asistencia (8°)'!BI14,""))</f>
        <v>0</v>
      </c>
      <c r="G69" s="133" t="str">
        <f>IF(AND(RESUMEN_8°!B16=""),"",IF(OR(IFERROR(RESUMEN_8°!F16,0)&lt;3,IFERROR(RESUMEN_8°!R16,0)&lt;3),"⚠ REVISAR","OK"))</f>
        <v>OK</v>
      </c>
    </row>
    <row r="70" spans="1:7" ht="13.95" customHeight="1">
      <c r="A70" s="135" t="s">
        <v>20</v>
      </c>
      <c r="B70" s="135">
        <f>RESUMEN_8°!A17</f>
        <v>13</v>
      </c>
      <c r="C70" s="136">
        <f>RESUMEN_8°!B17</f>
        <v>0</v>
      </c>
      <c r="D70" s="135" t="str">
        <f>IF(C70="","",IFERROR(RESUMEN_8°!F17,""))</f>
        <v/>
      </c>
      <c r="E70" s="135" t="str">
        <f>IF(C70="","",IFERROR(RESUMEN_8°!R17,""))</f>
        <v/>
      </c>
      <c r="F70" s="135">
        <f>IF(C70="","",IFERROR('Asistencia (8°)'!BI15,""))</f>
        <v>0</v>
      </c>
      <c r="G70" s="135" t="str">
        <f>IF(AND(RESUMEN_8°!B17=""),"",IF(OR(IFERROR(RESUMEN_8°!F17,0)&lt;3,IFERROR(RESUMEN_8°!R17,0)&lt;3),"⚠ REVISAR","OK"))</f>
        <v>OK</v>
      </c>
    </row>
    <row r="71" spans="1:7" ht="13.95" customHeight="1">
      <c r="A71" s="133" t="s">
        <v>20</v>
      </c>
      <c r="B71" s="133">
        <f>RESUMEN_8°!A18</f>
        <v>14</v>
      </c>
      <c r="C71" s="134">
        <f>RESUMEN_8°!B18</f>
        <v>0</v>
      </c>
      <c r="D71" s="133" t="str">
        <f>IF(C71="","",IFERROR(RESUMEN_8°!F18,""))</f>
        <v/>
      </c>
      <c r="E71" s="133" t="str">
        <f>IF(C71="","",IFERROR(RESUMEN_8°!R18,""))</f>
        <v/>
      </c>
      <c r="F71" s="133">
        <f>IF(C71="","",IFERROR('Asistencia (8°)'!BI16,""))</f>
        <v>0</v>
      </c>
      <c r="G71" s="133" t="str">
        <f>IF(AND(RESUMEN_8°!B18=""),"",IF(OR(IFERROR(RESUMEN_8°!F18,0)&lt;3,IFERROR(RESUMEN_8°!R18,0)&lt;3),"⚠ REVISAR","OK"))</f>
        <v>OK</v>
      </c>
    </row>
    <row r="72" spans="1:7" ht="13.95" customHeight="1">
      <c r="A72" s="135" t="s">
        <v>20</v>
      </c>
      <c r="B72" s="135">
        <f>RESUMEN_8°!A19</f>
        <v>15</v>
      </c>
      <c r="C72" s="136">
        <f>RESUMEN_8°!B19</f>
        <v>0</v>
      </c>
      <c r="D72" s="135" t="str">
        <f>IF(C72="","",IFERROR(RESUMEN_8°!F19,""))</f>
        <v/>
      </c>
      <c r="E72" s="135" t="str">
        <f>IF(C72="","",IFERROR(RESUMEN_8°!R19,""))</f>
        <v/>
      </c>
      <c r="F72" s="135">
        <f>IF(C72="","",IFERROR('Asistencia (8°)'!BI17,""))</f>
        <v>0</v>
      </c>
      <c r="G72" s="135" t="str">
        <f>IF(AND(RESUMEN_8°!B19=""),"",IF(OR(IFERROR(RESUMEN_8°!F19,0)&lt;3,IFERROR(RESUMEN_8°!R19,0)&lt;3),"⚠ REVISAR","OK"))</f>
        <v>OK</v>
      </c>
    </row>
    <row r="73" spans="1:7" ht="13.95" customHeight="1">
      <c r="A73" s="133" t="s">
        <v>20</v>
      </c>
      <c r="B73" s="133">
        <f>RESUMEN_8°!A20</f>
        <v>16</v>
      </c>
      <c r="C73" s="134">
        <f>RESUMEN_8°!B20</f>
        <v>0</v>
      </c>
      <c r="D73" s="133" t="str">
        <f>IF(C73="","",IFERROR(RESUMEN_8°!F20,""))</f>
        <v/>
      </c>
      <c r="E73" s="133" t="str">
        <f>IF(C73="","",IFERROR(RESUMEN_8°!R20,""))</f>
        <v/>
      </c>
      <c r="F73" s="133">
        <f>IF(C73="","",IFERROR('Asistencia (8°)'!BI18,""))</f>
        <v>0</v>
      </c>
      <c r="G73" s="133" t="str">
        <f>IF(AND(RESUMEN_8°!B20=""),"",IF(OR(IFERROR(RESUMEN_8°!F20,0)&lt;3,IFERROR(RESUMEN_8°!R20,0)&lt;3),"⚠ REVISAR","OK"))</f>
        <v>OK</v>
      </c>
    </row>
    <row r="74" spans="1:7" ht="13.95" customHeight="1">
      <c r="A74" s="135" t="s">
        <v>20</v>
      </c>
      <c r="B74" s="135">
        <f>RESUMEN_8°!A21</f>
        <v>17</v>
      </c>
      <c r="C74" s="136">
        <f>RESUMEN_8°!B21</f>
        <v>0</v>
      </c>
      <c r="D74" s="135" t="str">
        <f>IF(C74="","",IFERROR(RESUMEN_8°!F21,""))</f>
        <v/>
      </c>
      <c r="E74" s="135" t="str">
        <f>IF(C74="","",IFERROR(RESUMEN_8°!R21,""))</f>
        <v/>
      </c>
      <c r="F74" s="135">
        <f>IF(C74="","",IFERROR('Asistencia (8°)'!BI19,""))</f>
        <v>0</v>
      </c>
      <c r="G74" s="135" t="str">
        <f>IF(AND(RESUMEN_8°!B21=""),"",IF(OR(IFERROR(RESUMEN_8°!F21,0)&lt;3,IFERROR(RESUMEN_8°!R21,0)&lt;3),"⚠ REVISAR","OK"))</f>
        <v>OK</v>
      </c>
    </row>
    <row r="75" spans="1:7" ht="13.95" customHeight="1">
      <c r="A75" s="133" t="s">
        <v>20</v>
      </c>
      <c r="B75" s="133">
        <f>RESUMEN_8°!A22</f>
        <v>18</v>
      </c>
      <c r="C75" s="134">
        <f>RESUMEN_8°!B22</f>
        <v>0</v>
      </c>
      <c r="D75" s="133" t="str">
        <f>IF(C75="","",IFERROR(RESUMEN_8°!F22,""))</f>
        <v/>
      </c>
      <c r="E75" s="133" t="str">
        <f>IF(C75="","",IFERROR(RESUMEN_8°!R22,""))</f>
        <v/>
      </c>
      <c r="F75" s="133">
        <f>IF(C75="","",IFERROR('Asistencia (8°)'!BI20,""))</f>
        <v>0</v>
      </c>
      <c r="G75" s="133" t="str">
        <f>IF(AND(RESUMEN_8°!B22=""),"",IF(OR(IFERROR(RESUMEN_8°!F22,0)&lt;3,IFERROR(RESUMEN_8°!R22,0)&lt;3),"⚠ REVISAR","OK"))</f>
        <v>OK</v>
      </c>
    </row>
    <row r="76" spans="1:7" ht="13.95" customHeight="1">
      <c r="A76" s="135" t="s">
        <v>20</v>
      </c>
      <c r="B76" s="135">
        <f>RESUMEN_8°!A23</f>
        <v>19</v>
      </c>
      <c r="C76" s="136">
        <f>RESUMEN_8°!B23</f>
        <v>0</v>
      </c>
      <c r="D76" s="135" t="str">
        <f>IF(C76="","",IFERROR(RESUMEN_8°!F23,""))</f>
        <v/>
      </c>
      <c r="E76" s="135" t="str">
        <f>IF(C76="","",IFERROR(RESUMEN_8°!R23,""))</f>
        <v/>
      </c>
      <c r="F76" s="135">
        <f>IF(C76="","",IFERROR('Asistencia (8°)'!BI21,""))</f>
        <v>0</v>
      </c>
      <c r="G76" s="135" t="str">
        <f>IF(AND(RESUMEN_8°!B23=""),"",IF(OR(IFERROR(RESUMEN_8°!F23,0)&lt;3,IFERROR(RESUMEN_8°!R23,0)&lt;3),"⚠ REVISAR","OK"))</f>
        <v>OK</v>
      </c>
    </row>
    <row r="77" spans="1:7" ht="13.95" customHeight="1">
      <c r="A77" s="133" t="s">
        <v>20</v>
      </c>
      <c r="B77" s="133">
        <f>RESUMEN_8°!A24</f>
        <v>20</v>
      </c>
      <c r="C77" s="134">
        <f>RESUMEN_8°!B24</f>
        <v>0</v>
      </c>
      <c r="D77" s="133" t="str">
        <f>IF(C77="","",IFERROR(RESUMEN_8°!F24,""))</f>
        <v/>
      </c>
      <c r="E77" s="133" t="str">
        <f>IF(C77="","",IFERROR(RESUMEN_8°!R24,""))</f>
        <v/>
      </c>
      <c r="F77" s="133">
        <f>IF(C77="","",IFERROR('Asistencia (8°)'!BI22,""))</f>
        <v>0</v>
      </c>
      <c r="G77" s="133" t="str">
        <f>IF(AND(RESUMEN_8°!B24=""),"",IF(OR(IFERROR(RESUMEN_8°!F24,0)&lt;3,IFERROR(RESUMEN_8°!R24,0)&lt;3),"⚠ REVISAR","OK"))</f>
        <v>OK</v>
      </c>
    </row>
    <row r="78" spans="1:7" ht="13.95" customHeight="1">
      <c r="A78" s="135" t="s">
        <v>20</v>
      </c>
      <c r="B78" s="135">
        <f>RESUMEN_8°!A25</f>
        <v>21</v>
      </c>
      <c r="C78" s="136">
        <f>RESUMEN_8°!B25</f>
        <v>0</v>
      </c>
      <c r="D78" s="135" t="str">
        <f>IF(C78="","",IFERROR(RESUMEN_8°!F25,""))</f>
        <v/>
      </c>
      <c r="E78" s="135" t="str">
        <f>IF(C78="","",IFERROR(RESUMEN_8°!R25,""))</f>
        <v/>
      </c>
      <c r="F78" s="135">
        <f>IF(C78="","",IFERROR('Asistencia (8°)'!BI23,""))</f>
        <v>0</v>
      </c>
      <c r="G78" s="135" t="str">
        <f>IF(AND(RESUMEN_8°!B25=""),"",IF(OR(IFERROR(RESUMEN_8°!F25,0)&lt;3,IFERROR(RESUMEN_8°!R25,0)&lt;3),"⚠ REVISAR","OK"))</f>
        <v>OK</v>
      </c>
    </row>
    <row r="79" spans="1:7" ht="13.95" customHeight="1">
      <c r="A79" s="133" t="s">
        <v>20</v>
      </c>
      <c r="B79" s="133">
        <f>RESUMEN_8°!A26</f>
        <v>22</v>
      </c>
      <c r="C79" s="134">
        <f>RESUMEN_8°!B26</f>
        <v>0</v>
      </c>
      <c r="D79" s="133" t="str">
        <f>IF(C79="","",IFERROR(RESUMEN_8°!F26,""))</f>
        <v/>
      </c>
      <c r="E79" s="133" t="str">
        <f>IF(C79="","",IFERROR(RESUMEN_8°!R26,""))</f>
        <v/>
      </c>
      <c r="F79" s="133">
        <f>IF(C79="","",IFERROR('Asistencia (8°)'!BI24,""))</f>
        <v>0</v>
      </c>
      <c r="G79" s="133" t="str">
        <f>IF(AND(RESUMEN_8°!B26=""),"",IF(OR(IFERROR(RESUMEN_8°!F26,0)&lt;3,IFERROR(RESUMEN_8°!R26,0)&lt;3),"⚠ REVISAR","OK"))</f>
        <v>OK</v>
      </c>
    </row>
    <row r="80" spans="1:7" ht="13.95" customHeight="1">
      <c r="A80" s="135" t="s">
        <v>20</v>
      </c>
      <c r="B80" s="135">
        <f>RESUMEN_8°!A27</f>
        <v>23</v>
      </c>
      <c r="C80" s="136">
        <f>RESUMEN_8°!B27</f>
        <v>0</v>
      </c>
      <c r="D80" s="135" t="str">
        <f>IF(C80="","",IFERROR(RESUMEN_8°!F27,""))</f>
        <v/>
      </c>
      <c r="E80" s="135" t="str">
        <f>IF(C80="","",IFERROR(RESUMEN_8°!R27,""))</f>
        <v/>
      </c>
      <c r="F80" s="135">
        <f>IF(C80="","",IFERROR('Asistencia (8°)'!BI25,""))</f>
        <v>0</v>
      </c>
      <c r="G80" s="135" t="str">
        <f>IF(AND(RESUMEN_8°!B27=""),"",IF(OR(IFERROR(RESUMEN_8°!F27,0)&lt;3,IFERROR(RESUMEN_8°!R27,0)&lt;3),"⚠ REVISAR","OK"))</f>
        <v>OK</v>
      </c>
    </row>
    <row r="81" spans="1:7" ht="13.95" customHeight="1">
      <c r="A81" s="133" t="s">
        <v>20</v>
      </c>
      <c r="B81" s="133">
        <f>RESUMEN_8°!A28</f>
        <v>24</v>
      </c>
      <c r="C81" s="134">
        <f>RESUMEN_8°!B28</f>
        <v>0</v>
      </c>
      <c r="D81" s="133" t="str">
        <f>IF(C81="","",IFERROR(RESUMEN_8°!F28,""))</f>
        <v/>
      </c>
      <c r="E81" s="133" t="str">
        <f>IF(C81="","",IFERROR(RESUMEN_8°!R28,""))</f>
        <v/>
      </c>
      <c r="F81" s="133">
        <f>IF(C81="","",IFERROR('Asistencia (8°)'!BI26,""))</f>
        <v>0</v>
      </c>
      <c r="G81" s="133" t="str">
        <f>IF(AND(RESUMEN_8°!B28=""),"",IF(OR(IFERROR(RESUMEN_8°!F28,0)&lt;3,IFERROR(RESUMEN_8°!R28,0)&lt;3),"⚠ REVISAR","OK"))</f>
        <v>OK</v>
      </c>
    </row>
    <row r="82" spans="1:7" ht="13.95" customHeight="1">
      <c r="A82" s="135" t="s">
        <v>20</v>
      </c>
      <c r="B82" s="135">
        <f>RESUMEN_8°!A29</f>
        <v>25</v>
      </c>
      <c r="C82" s="136">
        <f>RESUMEN_8°!B29</f>
        <v>0</v>
      </c>
      <c r="D82" s="135" t="str">
        <f>IF(C82="","",IFERROR(RESUMEN_8°!F29,""))</f>
        <v/>
      </c>
      <c r="E82" s="135" t="str">
        <f>IF(C82="","",IFERROR(RESUMEN_8°!R29,""))</f>
        <v/>
      </c>
      <c r="F82" s="135">
        <f>IF(C82="","",IFERROR('Asistencia (8°)'!BI27,""))</f>
        <v>0</v>
      </c>
      <c r="G82" s="135" t="str">
        <f>IF(AND(RESUMEN_8°!B29=""),"",IF(OR(IFERROR(RESUMEN_8°!F29,0)&lt;3,IFERROR(RESUMEN_8°!R29,0)&lt;3),"⚠ REVISAR","OK"))</f>
        <v>OK</v>
      </c>
    </row>
    <row r="83" spans="1:7" ht="13.95" customHeight="1">
      <c r="A83" s="133" t="s">
        <v>20</v>
      </c>
      <c r="B83" s="133">
        <f>RESUMEN_8°!A30</f>
        <v>26</v>
      </c>
      <c r="C83" s="134">
        <f>RESUMEN_8°!B30</f>
        <v>0</v>
      </c>
      <c r="D83" s="133" t="str">
        <f>IF(C83="","",IFERROR(RESUMEN_8°!F30,""))</f>
        <v/>
      </c>
      <c r="E83" s="133" t="str">
        <f>IF(C83="","",IFERROR(RESUMEN_8°!R30,""))</f>
        <v/>
      </c>
      <c r="F83" s="133">
        <f>IF(C83="","",IFERROR('Asistencia (8°)'!BI28,""))</f>
        <v>0</v>
      </c>
      <c r="G83" s="133" t="str">
        <f>IF(AND(RESUMEN_8°!B30=""),"",IF(OR(IFERROR(RESUMEN_8°!F30,0)&lt;3,IFERROR(RESUMEN_8°!R30,0)&lt;3),"⚠ REVISAR","OK"))</f>
        <v>OK</v>
      </c>
    </row>
    <row r="84" spans="1:7" ht="13.95" customHeight="1">
      <c r="A84" s="135" t="s">
        <v>20</v>
      </c>
      <c r="B84" s="135">
        <f>RESUMEN_8°!A31</f>
        <v>27</v>
      </c>
      <c r="C84" s="136">
        <f>RESUMEN_8°!B31</f>
        <v>0</v>
      </c>
      <c r="D84" s="135" t="str">
        <f>IF(C84="","",IFERROR(RESUMEN_8°!F31,""))</f>
        <v/>
      </c>
      <c r="E84" s="135" t="str">
        <f>IF(C84="","",IFERROR(RESUMEN_8°!R31,""))</f>
        <v/>
      </c>
      <c r="F84" s="135">
        <f>IF(C84="","",IFERROR('Asistencia (8°)'!BI29,""))</f>
        <v>0</v>
      </c>
      <c r="G84" s="135" t="str">
        <f>IF(AND(RESUMEN_8°!B31=""),"",IF(OR(IFERROR(RESUMEN_8°!F31,0)&lt;3,IFERROR(RESUMEN_8°!R31,0)&lt;3),"⚠ REVISAR","OK"))</f>
        <v>OK</v>
      </c>
    </row>
    <row r="85" spans="1:7" ht="13.95" customHeight="1">
      <c r="A85" s="133" t="s">
        <v>20</v>
      </c>
      <c r="B85" s="133">
        <f>RESUMEN_8°!A32</f>
        <v>28</v>
      </c>
      <c r="C85" s="134">
        <f>RESUMEN_8°!B32</f>
        <v>0</v>
      </c>
      <c r="D85" s="133" t="str">
        <f>IF(C85="","",IFERROR(RESUMEN_8°!F32,""))</f>
        <v/>
      </c>
      <c r="E85" s="133" t="str">
        <f>IF(C85="","",IFERROR(RESUMEN_8°!R32,""))</f>
        <v/>
      </c>
      <c r="F85" s="133">
        <f>IF(C85="","",IFERROR('Asistencia (8°)'!BI30,""))</f>
        <v>0</v>
      </c>
      <c r="G85" s="133" t="str">
        <f>IF(AND(RESUMEN_8°!B32=""),"",IF(OR(IFERROR(RESUMEN_8°!F32,0)&lt;3,IFERROR(RESUMEN_8°!R32,0)&lt;3),"⚠ REVISAR","OK"))</f>
        <v>OK</v>
      </c>
    </row>
    <row r="86" spans="1:7" ht="13.95" customHeight="1">
      <c r="A86" s="135" t="s">
        <v>20</v>
      </c>
      <c r="B86" s="135">
        <f>RESUMEN_8°!A33</f>
        <v>29</v>
      </c>
      <c r="C86" s="136">
        <f>RESUMEN_8°!B33</f>
        <v>0</v>
      </c>
      <c r="D86" s="135" t="str">
        <f>IF(C86="","",IFERROR(RESUMEN_8°!F33,""))</f>
        <v/>
      </c>
      <c r="E86" s="135" t="str">
        <f>IF(C86="","",IFERROR(RESUMEN_8°!R33,""))</f>
        <v/>
      </c>
      <c r="F86" s="135">
        <f>IF(C86="","",IFERROR('Asistencia (8°)'!BI31,""))</f>
        <v>0</v>
      </c>
      <c r="G86" s="135" t="str">
        <f>IF(AND(RESUMEN_8°!B33=""),"",IF(OR(IFERROR(RESUMEN_8°!F33,0)&lt;3,IFERROR(RESUMEN_8°!R33,0)&lt;3),"⚠ REVISAR","OK"))</f>
        <v>OK</v>
      </c>
    </row>
    <row r="87" spans="1:7" ht="13.95" customHeight="1">
      <c r="A87" s="133" t="s">
        <v>20</v>
      </c>
      <c r="B87" s="133">
        <f>RESUMEN_8°!A34</f>
        <v>30</v>
      </c>
      <c r="C87" s="134">
        <f>RESUMEN_8°!B34</f>
        <v>0</v>
      </c>
      <c r="D87" s="133" t="str">
        <f>IF(C87="","",IFERROR(RESUMEN_8°!F34,""))</f>
        <v/>
      </c>
      <c r="E87" s="133" t="str">
        <f>IF(C87="","",IFERROR(RESUMEN_8°!R34,""))</f>
        <v/>
      </c>
      <c r="F87" s="133">
        <f>IF(C87="","",IFERROR('Asistencia (8°)'!BI32,""))</f>
        <v>0</v>
      </c>
      <c r="G87" s="133" t="str">
        <f>IF(AND(RESUMEN_8°!B34=""),"",IF(OR(IFERROR(RESUMEN_8°!F34,0)&lt;3,IFERROR(RESUMEN_8°!R34,0)&lt;3),"⚠ REVISAR","OK"))</f>
        <v>OK</v>
      </c>
    </row>
    <row r="88" spans="1:7" ht="13.95" customHeight="1">
      <c r="A88" s="135" t="s">
        <v>20</v>
      </c>
      <c r="B88" s="135">
        <f>RESUMEN_8°!A35</f>
        <v>31</v>
      </c>
      <c r="C88" s="136">
        <f>RESUMEN_8°!B35</f>
        <v>0</v>
      </c>
      <c r="D88" s="135" t="str">
        <f>IF(C88="","",IFERROR(RESUMEN_8°!F35,""))</f>
        <v/>
      </c>
      <c r="E88" s="135" t="str">
        <f>IF(C88="","",IFERROR(RESUMEN_8°!R35,""))</f>
        <v/>
      </c>
      <c r="F88" s="135">
        <f>IF(C88="","",IFERROR('Asistencia (8°)'!BI33,""))</f>
        <v>0</v>
      </c>
      <c r="G88" s="135" t="str">
        <f>IF(AND(RESUMEN_8°!B35=""),"",IF(OR(IFERROR(RESUMEN_8°!F35,0)&lt;3,IFERROR(RESUMEN_8°!R35,0)&lt;3),"⚠ REVISAR","OK"))</f>
        <v>OK</v>
      </c>
    </row>
    <row r="89" spans="1:7" ht="13.95" customHeight="1">
      <c r="A89" s="133" t="s">
        <v>20</v>
      </c>
      <c r="B89" s="133">
        <f>RESUMEN_8°!A36</f>
        <v>32</v>
      </c>
      <c r="C89" s="134">
        <f>RESUMEN_8°!B36</f>
        <v>0</v>
      </c>
      <c r="D89" s="133" t="str">
        <f>IF(C89="","",IFERROR(RESUMEN_8°!F36,""))</f>
        <v/>
      </c>
      <c r="E89" s="133" t="str">
        <f>IF(C89="","",IFERROR(RESUMEN_8°!R36,""))</f>
        <v/>
      </c>
      <c r="F89" s="133">
        <f>IF(C89="","",IFERROR('Asistencia (8°)'!BI34,""))</f>
        <v>0</v>
      </c>
      <c r="G89" s="133" t="str">
        <f>IF(AND(RESUMEN_8°!B36=""),"",IF(OR(IFERROR(RESUMEN_8°!F36,0)&lt;3,IFERROR(RESUMEN_8°!R36,0)&lt;3),"⚠ REVISAR","OK"))</f>
        <v>OK</v>
      </c>
    </row>
    <row r="90" spans="1:7" ht="13.95" customHeight="1">
      <c r="A90" s="135" t="s">
        <v>20</v>
      </c>
      <c r="B90" s="135">
        <f>RESUMEN_8°!A37</f>
        <v>33</v>
      </c>
      <c r="C90" s="136">
        <f>RESUMEN_8°!B37</f>
        <v>0</v>
      </c>
      <c r="D90" s="135" t="str">
        <f>IF(C90="","",IFERROR(RESUMEN_8°!F37,""))</f>
        <v/>
      </c>
      <c r="E90" s="135" t="str">
        <f>IF(C90="","",IFERROR(RESUMEN_8°!R37,""))</f>
        <v/>
      </c>
      <c r="F90" s="135">
        <f>IF(C90="","",IFERROR('Asistencia (8°)'!BI35,""))</f>
        <v>0</v>
      </c>
      <c r="G90" s="135" t="str">
        <f>IF(AND(RESUMEN_8°!B37=""),"",IF(OR(IFERROR(RESUMEN_8°!F37,0)&lt;3,IFERROR(RESUMEN_8°!R37,0)&lt;3),"⚠ REVISAR","OK"))</f>
        <v>OK</v>
      </c>
    </row>
    <row r="91" spans="1:7" ht="13.95" customHeight="1">
      <c r="A91" s="133" t="s">
        <v>20</v>
      </c>
      <c r="B91" s="133">
        <f>RESUMEN_8°!A38</f>
        <v>34</v>
      </c>
      <c r="C91" s="134">
        <f>RESUMEN_8°!B38</f>
        <v>0</v>
      </c>
      <c r="D91" s="133" t="str">
        <f>IF(C91="","",IFERROR(RESUMEN_8°!F38,""))</f>
        <v/>
      </c>
      <c r="E91" s="133" t="str">
        <f>IF(C91="","",IFERROR(RESUMEN_8°!R38,""))</f>
        <v/>
      </c>
      <c r="F91" s="133">
        <f>IF(C91="","",IFERROR('Asistencia (8°)'!BI36,""))</f>
        <v>0</v>
      </c>
      <c r="G91" s="133" t="str">
        <f>IF(AND(RESUMEN_8°!B38=""),"",IF(OR(IFERROR(RESUMEN_8°!F38,0)&lt;3,IFERROR(RESUMEN_8°!R38,0)&lt;3),"⚠ REVISAR","OK"))</f>
        <v>OK</v>
      </c>
    </row>
    <row r="92" spans="1:7" ht="13.95" customHeight="1">
      <c r="A92" s="135" t="s">
        <v>20</v>
      </c>
      <c r="B92" s="135">
        <f>RESUMEN_8°!A39</f>
        <v>35</v>
      </c>
      <c r="C92" s="136">
        <f>RESUMEN_8°!B39</f>
        <v>0</v>
      </c>
      <c r="D92" s="135" t="str">
        <f>IF(C92="","",IFERROR(RESUMEN_8°!F39,""))</f>
        <v/>
      </c>
      <c r="E92" s="135" t="str">
        <f>IF(C92="","",IFERROR(RESUMEN_8°!R39,""))</f>
        <v/>
      </c>
      <c r="F92" s="135">
        <f>IF(C92="","",IFERROR('Asistencia (8°)'!BI37,""))</f>
        <v>0</v>
      </c>
      <c r="G92" s="135" t="str">
        <f>IF(AND(RESUMEN_8°!B39=""),"",IF(OR(IFERROR(RESUMEN_8°!F39,0)&lt;3,IFERROR(RESUMEN_8°!R39,0)&lt;3),"⚠ REVISAR","OK"))</f>
        <v>OK</v>
      </c>
    </row>
    <row r="93" spans="1:7" ht="13.95" customHeight="1">
      <c r="A93" s="133" t="s">
        <v>20</v>
      </c>
      <c r="B93" s="133">
        <f>RESUMEN_8°!A40</f>
        <v>36</v>
      </c>
      <c r="C93" s="134">
        <f>RESUMEN_8°!B40</f>
        <v>0</v>
      </c>
      <c r="D93" s="133" t="str">
        <f>IF(C93="","",IFERROR(RESUMEN_8°!F40,""))</f>
        <v/>
      </c>
      <c r="E93" s="133" t="str">
        <f>IF(C93="","",IFERROR(RESUMEN_8°!R40,""))</f>
        <v/>
      </c>
      <c r="F93" s="133">
        <f>IF(C93="","",IFERROR('Asistencia (8°)'!BI38,""))</f>
        <v>0</v>
      </c>
      <c r="G93" s="133" t="str">
        <f>IF(AND(RESUMEN_8°!B40=""),"",IF(OR(IFERROR(RESUMEN_8°!F40,0)&lt;3,IFERROR(RESUMEN_8°!R40,0)&lt;3),"⚠ REVISAR","OK"))</f>
        <v>OK</v>
      </c>
    </row>
    <row r="94" spans="1:7" ht="13.95" customHeight="1">
      <c r="A94" s="135" t="s">
        <v>20</v>
      </c>
      <c r="B94" s="135">
        <f>RESUMEN_8°!A41</f>
        <v>37</v>
      </c>
      <c r="C94" s="136">
        <f>RESUMEN_8°!B41</f>
        <v>0</v>
      </c>
      <c r="D94" s="135" t="str">
        <f>IF(C94="","",IFERROR(RESUMEN_8°!F41,""))</f>
        <v/>
      </c>
      <c r="E94" s="135" t="str">
        <f>IF(C94="","",IFERROR(RESUMEN_8°!R41,""))</f>
        <v/>
      </c>
      <c r="F94" s="135">
        <f>IF(C94="","",IFERROR('Asistencia (8°)'!BI39,""))</f>
        <v>0</v>
      </c>
      <c r="G94" s="135" t="str">
        <f>IF(AND(RESUMEN_8°!B41=""),"",IF(OR(IFERROR(RESUMEN_8°!F41,0)&lt;3,IFERROR(RESUMEN_8°!R41,0)&lt;3),"⚠ REVISAR","OK"))</f>
        <v>OK</v>
      </c>
    </row>
    <row r="95" spans="1:7" ht="13.95" customHeight="1">
      <c r="A95" s="133" t="s">
        <v>20</v>
      </c>
      <c r="B95" s="133">
        <f>RESUMEN_8°!A42</f>
        <v>38</v>
      </c>
      <c r="C95" s="134">
        <f>RESUMEN_8°!B42</f>
        <v>0</v>
      </c>
      <c r="D95" s="133" t="str">
        <f>IF(C95="","",IFERROR(RESUMEN_8°!F42,""))</f>
        <v/>
      </c>
      <c r="E95" s="133" t="str">
        <f>IF(C95="","",IFERROR(RESUMEN_8°!R42,""))</f>
        <v/>
      </c>
      <c r="F95" s="133">
        <f>IF(C95="","",IFERROR('Asistencia (8°)'!BI40,""))</f>
        <v>0</v>
      </c>
      <c r="G95" s="133" t="str">
        <f>IF(AND(RESUMEN_8°!B42=""),"",IF(OR(IFERROR(RESUMEN_8°!F42,0)&lt;3,IFERROR(RESUMEN_8°!R42,0)&lt;3),"⚠ REVISAR","OK"))</f>
        <v>OK</v>
      </c>
    </row>
    <row r="96" spans="1:7" ht="13.95" customHeight="1">
      <c r="A96" s="135" t="s">
        <v>20</v>
      </c>
      <c r="B96" s="135">
        <f>RESUMEN_8°!A43</f>
        <v>39</v>
      </c>
      <c r="C96" s="136">
        <f>RESUMEN_8°!B43</f>
        <v>0</v>
      </c>
      <c r="D96" s="135" t="str">
        <f>IF(C96="","",IFERROR(RESUMEN_8°!F43,""))</f>
        <v/>
      </c>
      <c r="E96" s="135" t="str">
        <f>IF(C96="","",IFERROR(RESUMEN_8°!R43,""))</f>
        <v/>
      </c>
      <c r="F96" s="135">
        <f>IF(C96="","",IFERROR('Asistencia (8°)'!BI41,""))</f>
        <v>0</v>
      </c>
      <c r="G96" s="135" t="str">
        <f>IF(AND(RESUMEN_8°!B43=""),"",IF(OR(IFERROR(RESUMEN_8°!F43,0)&lt;3,IFERROR(RESUMEN_8°!R43,0)&lt;3),"⚠ REVISAR","OK"))</f>
        <v>OK</v>
      </c>
    </row>
    <row r="97" spans="1:7" ht="13.95" customHeight="1">
      <c r="A97" s="133" t="s">
        <v>20</v>
      </c>
      <c r="B97" s="133">
        <f>RESUMEN_8°!A44</f>
        <v>40</v>
      </c>
      <c r="C97" s="134">
        <f>RESUMEN_8°!B44</f>
        <v>0</v>
      </c>
      <c r="D97" s="133" t="str">
        <f>IF(C97="","",IFERROR(RESUMEN_8°!F44,""))</f>
        <v/>
      </c>
      <c r="E97" s="133" t="str">
        <f>IF(C97="","",IFERROR(RESUMEN_8°!R44,""))</f>
        <v/>
      </c>
      <c r="F97" s="133">
        <f>IF(C97="","",IFERROR('Asistencia (8°)'!BI42,""))</f>
        <v>0</v>
      </c>
      <c r="G97" s="133" t="str">
        <f>IF(AND(RESUMEN_8°!B44=""),"",IF(OR(IFERROR(RESUMEN_8°!F44,0)&lt;3,IFERROR(RESUMEN_8°!R44,0)&lt;3),"⚠ REVISAR","OK"))</f>
        <v>OK</v>
      </c>
    </row>
    <row r="98" spans="1:7" ht="13.95" customHeight="1">
      <c r="A98" s="137" t="s">
        <v>21</v>
      </c>
      <c r="B98" s="137">
        <f>RESUMEN_9°!A5</f>
        <v>1</v>
      </c>
      <c r="C98" s="138">
        <f>RESUMEN_9°!B5</f>
        <v>0</v>
      </c>
      <c r="D98" s="137" t="str">
        <f>IF(C98="","",IFERROR(RESUMEN_9°!F5,""))</f>
        <v/>
      </c>
      <c r="E98" s="137" t="str">
        <f>IF(C98="","",IFERROR(RESUMEN_9°!V5,""))</f>
        <v/>
      </c>
      <c r="F98" s="137">
        <f>IF(C98="","",IFERROR('Asistencia (9°)'!BI3,""))</f>
        <v>0</v>
      </c>
      <c r="G98" s="137" t="str">
        <f>IF(AND(RESUMEN_9°!B5=""),"",IF(OR(IFERROR(RESUMEN_9°!F5,0)&lt;3,IFERROR(RESUMEN_9°!V5,0)&lt;3),"⚠ REVISAR","OK"))</f>
        <v>OK</v>
      </c>
    </row>
    <row r="99" spans="1:7" ht="13.95" customHeight="1">
      <c r="A99" s="133" t="s">
        <v>21</v>
      </c>
      <c r="B99" s="133">
        <f>RESUMEN_9°!A6</f>
        <v>2</v>
      </c>
      <c r="C99" s="134">
        <f>RESUMEN_9°!B6</f>
        <v>0</v>
      </c>
      <c r="D99" s="133" t="str">
        <f>IF(C99="","",IFERROR(RESUMEN_9°!F6,""))</f>
        <v/>
      </c>
      <c r="E99" s="133" t="str">
        <f>IF(C99="","",IFERROR(RESUMEN_9°!V6,""))</f>
        <v/>
      </c>
      <c r="F99" s="133">
        <f>IF(C99="","",IFERROR('Asistencia (9°)'!BI4,""))</f>
        <v>0</v>
      </c>
      <c r="G99" s="133" t="str">
        <f>IF(AND(RESUMEN_9°!B6=""),"",IF(OR(IFERROR(RESUMEN_9°!F6,0)&lt;3,IFERROR(RESUMEN_9°!V6,0)&lt;3),"⚠ REVISAR","OK"))</f>
        <v>OK</v>
      </c>
    </row>
    <row r="100" spans="1:7" ht="13.95" customHeight="1">
      <c r="A100" s="137" t="s">
        <v>21</v>
      </c>
      <c r="B100" s="137">
        <f>RESUMEN_9°!A7</f>
        <v>3</v>
      </c>
      <c r="C100" s="138">
        <f>RESUMEN_9°!B7</f>
        <v>0</v>
      </c>
      <c r="D100" s="137" t="str">
        <f>IF(C100="","",IFERROR(RESUMEN_9°!F7,""))</f>
        <v/>
      </c>
      <c r="E100" s="137" t="str">
        <f>IF(C100="","",IFERROR(RESUMEN_9°!V7,""))</f>
        <v/>
      </c>
      <c r="F100" s="137">
        <f>IF(C100="","",IFERROR('Asistencia (9°)'!BI5,""))</f>
        <v>0</v>
      </c>
      <c r="G100" s="137" t="str">
        <f>IF(AND(RESUMEN_9°!B7=""),"",IF(OR(IFERROR(RESUMEN_9°!F7,0)&lt;3,IFERROR(RESUMEN_9°!V7,0)&lt;3),"⚠ REVISAR","OK"))</f>
        <v>OK</v>
      </c>
    </row>
    <row r="101" spans="1:7" ht="13.95" customHeight="1">
      <c r="A101" s="133" t="s">
        <v>21</v>
      </c>
      <c r="B101" s="133">
        <f>RESUMEN_9°!A8</f>
        <v>4</v>
      </c>
      <c r="C101" s="134">
        <f>RESUMEN_9°!B8</f>
        <v>0</v>
      </c>
      <c r="D101" s="133" t="str">
        <f>IF(C101="","",IFERROR(RESUMEN_9°!F8,""))</f>
        <v/>
      </c>
      <c r="E101" s="133" t="str">
        <f>IF(C101="","",IFERROR(RESUMEN_9°!V8,""))</f>
        <v/>
      </c>
      <c r="F101" s="133">
        <f>IF(C101="","",IFERROR('Asistencia (9°)'!BI6,""))</f>
        <v>0</v>
      </c>
      <c r="G101" s="133" t="str">
        <f>IF(AND(RESUMEN_9°!B8=""),"",IF(OR(IFERROR(RESUMEN_9°!F8,0)&lt;3,IFERROR(RESUMEN_9°!V8,0)&lt;3),"⚠ REVISAR","OK"))</f>
        <v>OK</v>
      </c>
    </row>
    <row r="102" spans="1:7" ht="13.95" customHeight="1">
      <c r="A102" s="137" t="s">
        <v>21</v>
      </c>
      <c r="B102" s="137">
        <f>RESUMEN_9°!A9</f>
        <v>5</v>
      </c>
      <c r="C102" s="138">
        <f>RESUMEN_9°!B9</f>
        <v>0</v>
      </c>
      <c r="D102" s="137" t="str">
        <f>IF(C102="","",IFERROR(RESUMEN_9°!F9,""))</f>
        <v/>
      </c>
      <c r="E102" s="137" t="str">
        <f>IF(C102="","",IFERROR(RESUMEN_9°!V9,""))</f>
        <v/>
      </c>
      <c r="F102" s="137">
        <f>IF(C102="","",IFERROR('Asistencia (9°)'!BI7,""))</f>
        <v>0</v>
      </c>
      <c r="G102" s="137" t="str">
        <f>IF(AND(RESUMEN_9°!B9=""),"",IF(OR(IFERROR(RESUMEN_9°!F9,0)&lt;3,IFERROR(RESUMEN_9°!V9,0)&lt;3),"⚠ REVISAR","OK"))</f>
        <v>OK</v>
      </c>
    </row>
    <row r="103" spans="1:7" ht="13.95" customHeight="1">
      <c r="A103" s="133" t="s">
        <v>21</v>
      </c>
      <c r="B103" s="133">
        <f>RESUMEN_9°!A10</f>
        <v>6</v>
      </c>
      <c r="C103" s="134">
        <f>RESUMEN_9°!B10</f>
        <v>0</v>
      </c>
      <c r="D103" s="133" t="str">
        <f>IF(C103="","",IFERROR(RESUMEN_9°!F10,""))</f>
        <v/>
      </c>
      <c r="E103" s="133" t="str">
        <f>IF(C103="","",IFERROR(RESUMEN_9°!V10,""))</f>
        <v/>
      </c>
      <c r="F103" s="133">
        <f>IF(C103="","",IFERROR('Asistencia (9°)'!BI8,""))</f>
        <v>0</v>
      </c>
      <c r="G103" s="133" t="str">
        <f>IF(AND(RESUMEN_9°!B10=""),"",IF(OR(IFERROR(RESUMEN_9°!F10,0)&lt;3,IFERROR(RESUMEN_9°!V10,0)&lt;3),"⚠ REVISAR","OK"))</f>
        <v>OK</v>
      </c>
    </row>
    <row r="104" spans="1:7" ht="13.95" customHeight="1">
      <c r="A104" s="137" t="s">
        <v>21</v>
      </c>
      <c r="B104" s="137">
        <f>RESUMEN_9°!A11</f>
        <v>7</v>
      </c>
      <c r="C104" s="138">
        <f>RESUMEN_9°!B11</f>
        <v>0</v>
      </c>
      <c r="D104" s="137" t="str">
        <f>IF(C104="","",IFERROR(RESUMEN_9°!F11,""))</f>
        <v/>
      </c>
      <c r="E104" s="137" t="str">
        <f>IF(C104="","",IFERROR(RESUMEN_9°!V11,""))</f>
        <v/>
      </c>
      <c r="F104" s="137">
        <f>IF(C104="","",IFERROR('Asistencia (9°)'!BI9,""))</f>
        <v>0</v>
      </c>
      <c r="G104" s="137" t="str">
        <f>IF(AND(RESUMEN_9°!B11=""),"",IF(OR(IFERROR(RESUMEN_9°!F11,0)&lt;3,IFERROR(RESUMEN_9°!V11,0)&lt;3),"⚠ REVISAR","OK"))</f>
        <v>OK</v>
      </c>
    </row>
    <row r="105" spans="1:7" ht="13.95" customHeight="1">
      <c r="A105" s="133" t="s">
        <v>21</v>
      </c>
      <c r="B105" s="133">
        <f>RESUMEN_9°!A12</f>
        <v>8</v>
      </c>
      <c r="C105" s="134">
        <f>RESUMEN_9°!B12</f>
        <v>0</v>
      </c>
      <c r="D105" s="133" t="str">
        <f>IF(C105="","",IFERROR(RESUMEN_9°!F12,""))</f>
        <v/>
      </c>
      <c r="E105" s="133" t="str">
        <f>IF(C105="","",IFERROR(RESUMEN_9°!V12,""))</f>
        <v/>
      </c>
      <c r="F105" s="133">
        <f>IF(C105="","",IFERROR('Asistencia (9°)'!BI10,""))</f>
        <v>0</v>
      </c>
      <c r="G105" s="133" t="str">
        <f>IF(AND(RESUMEN_9°!B12=""),"",IF(OR(IFERROR(RESUMEN_9°!F12,0)&lt;3,IFERROR(RESUMEN_9°!V12,0)&lt;3),"⚠ REVISAR","OK"))</f>
        <v>OK</v>
      </c>
    </row>
    <row r="106" spans="1:7" ht="13.95" customHeight="1">
      <c r="A106" s="137" t="s">
        <v>21</v>
      </c>
      <c r="B106" s="137">
        <f>RESUMEN_9°!A13</f>
        <v>9</v>
      </c>
      <c r="C106" s="138">
        <f>RESUMEN_9°!B13</f>
        <v>0</v>
      </c>
      <c r="D106" s="137" t="str">
        <f>IF(C106="","",IFERROR(RESUMEN_9°!F13,""))</f>
        <v/>
      </c>
      <c r="E106" s="137" t="str">
        <f>IF(C106="","",IFERROR(RESUMEN_9°!V13,""))</f>
        <v/>
      </c>
      <c r="F106" s="137">
        <f>IF(C106="","",IFERROR('Asistencia (9°)'!BI11,""))</f>
        <v>0</v>
      </c>
      <c r="G106" s="137" t="str">
        <f>IF(AND(RESUMEN_9°!B13=""),"",IF(OR(IFERROR(RESUMEN_9°!F13,0)&lt;3,IFERROR(RESUMEN_9°!V13,0)&lt;3),"⚠ REVISAR","OK"))</f>
        <v>OK</v>
      </c>
    </row>
    <row r="107" spans="1:7" ht="13.95" customHeight="1">
      <c r="A107" s="133" t="s">
        <v>21</v>
      </c>
      <c r="B107" s="133">
        <f>RESUMEN_9°!A14</f>
        <v>10</v>
      </c>
      <c r="C107" s="134">
        <f>RESUMEN_9°!B14</f>
        <v>0</v>
      </c>
      <c r="D107" s="133" t="str">
        <f>IF(C107="","",IFERROR(RESUMEN_9°!F14,""))</f>
        <v/>
      </c>
      <c r="E107" s="133" t="str">
        <f>IF(C107="","",IFERROR(RESUMEN_9°!V14,""))</f>
        <v/>
      </c>
      <c r="F107" s="133">
        <f>IF(C107="","",IFERROR('Asistencia (9°)'!BI12,""))</f>
        <v>0</v>
      </c>
      <c r="G107" s="133" t="str">
        <f>IF(AND(RESUMEN_9°!B14=""),"",IF(OR(IFERROR(RESUMEN_9°!F14,0)&lt;3,IFERROR(RESUMEN_9°!V14,0)&lt;3),"⚠ REVISAR","OK"))</f>
        <v>OK</v>
      </c>
    </row>
    <row r="108" spans="1:7" ht="13.95" customHeight="1">
      <c r="A108" s="137" t="s">
        <v>21</v>
      </c>
      <c r="B108" s="137">
        <f>RESUMEN_9°!A15</f>
        <v>11</v>
      </c>
      <c r="C108" s="138">
        <f>RESUMEN_9°!B15</f>
        <v>0</v>
      </c>
      <c r="D108" s="137" t="str">
        <f>IF(C108="","",IFERROR(RESUMEN_9°!F15,""))</f>
        <v/>
      </c>
      <c r="E108" s="137" t="str">
        <f>IF(C108="","",IFERROR(RESUMEN_9°!V15,""))</f>
        <v/>
      </c>
      <c r="F108" s="137">
        <f>IF(C108="","",IFERROR('Asistencia (9°)'!BI13,""))</f>
        <v>0</v>
      </c>
      <c r="G108" s="137" t="str">
        <f>IF(AND(RESUMEN_9°!B15=""),"",IF(OR(IFERROR(RESUMEN_9°!F15,0)&lt;3,IFERROR(RESUMEN_9°!V15,0)&lt;3),"⚠ REVISAR","OK"))</f>
        <v>OK</v>
      </c>
    </row>
    <row r="109" spans="1:7" ht="13.95" customHeight="1">
      <c r="A109" s="133" t="s">
        <v>21</v>
      </c>
      <c r="B109" s="133">
        <f>RESUMEN_9°!A16</f>
        <v>12</v>
      </c>
      <c r="C109" s="134">
        <f>RESUMEN_9°!B16</f>
        <v>0</v>
      </c>
      <c r="D109" s="133" t="str">
        <f>IF(C109="","",IFERROR(RESUMEN_9°!F16,""))</f>
        <v/>
      </c>
      <c r="E109" s="133" t="str">
        <f>IF(C109="","",IFERROR(RESUMEN_9°!V16,""))</f>
        <v/>
      </c>
      <c r="F109" s="133">
        <f>IF(C109="","",IFERROR('Asistencia (9°)'!BI14,""))</f>
        <v>0</v>
      </c>
      <c r="G109" s="133" t="str">
        <f>IF(AND(RESUMEN_9°!B16=""),"",IF(OR(IFERROR(RESUMEN_9°!F16,0)&lt;3,IFERROR(RESUMEN_9°!V16,0)&lt;3),"⚠ REVISAR","OK"))</f>
        <v>OK</v>
      </c>
    </row>
    <row r="110" spans="1:7" ht="13.95" customHeight="1">
      <c r="A110" s="137" t="s">
        <v>21</v>
      </c>
      <c r="B110" s="137">
        <f>RESUMEN_9°!A17</f>
        <v>13</v>
      </c>
      <c r="C110" s="138">
        <f>RESUMEN_9°!B17</f>
        <v>0</v>
      </c>
      <c r="D110" s="137" t="str">
        <f>IF(C110="","",IFERROR(RESUMEN_9°!F17,""))</f>
        <v/>
      </c>
      <c r="E110" s="137" t="str">
        <f>IF(C110="","",IFERROR(RESUMEN_9°!V17,""))</f>
        <v/>
      </c>
      <c r="F110" s="137">
        <f>IF(C110="","",IFERROR('Asistencia (9°)'!BI15,""))</f>
        <v>0</v>
      </c>
      <c r="G110" s="137" t="str">
        <f>IF(AND(RESUMEN_9°!B17=""),"",IF(OR(IFERROR(RESUMEN_9°!F17,0)&lt;3,IFERROR(RESUMEN_9°!V17,0)&lt;3),"⚠ REVISAR","OK"))</f>
        <v>OK</v>
      </c>
    </row>
    <row r="111" spans="1:7" ht="13.95" customHeight="1">
      <c r="A111" s="133" t="s">
        <v>21</v>
      </c>
      <c r="B111" s="133">
        <f>RESUMEN_9°!A18</f>
        <v>14</v>
      </c>
      <c r="C111" s="134">
        <f>RESUMEN_9°!B18</f>
        <v>0</v>
      </c>
      <c r="D111" s="133" t="str">
        <f>IF(C111="","",IFERROR(RESUMEN_9°!F18,""))</f>
        <v/>
      </c>
      <c r="E111" s="133" t="str">
        <f>IF(C111="","",IFERROR(RESUMEN_9°!V18,""))</f>
        <v/>
      </c>
      <c r="F111" s="133">
        <f>IF(C111="","",IFERROR('Asistencia (9°)'!BI16,""))</f>
        <v>0</v>
      </c>
      <c r="G111" s="133" t="str">
        <f>IF(AND(RESUMEN_9°!B18=""),"",IF(OR(IFERROR(RESUMEN_9°!F18,0)&lt;3,IFERROR(RESUMEN_9°!V18,0)&lt;3),"⚠ REVISAR","OK"))</f>
        <v>OK</v>
      </c>
    </row>
    <row r="112" spans="1:7" ht="13.95" customHeight="1">
      <c r="A112" s="137" t="s">
        <v>21</v>
      </c>
      <c r="B112" s="137">
        <f>RESUMEN_9°!A19</f>
        <v>15</v>
      </c>
      <c r="C112" s="138">
        <f>RESUMEN_9°!B19</f>
        <v>0</v>
      </c>
      <c r="D112" s="137" t="str">
        <f>IF(C112="","",IFERROR(RESUMEN_9°!F19,""))</f>
        <v/>
      </c>
      <c r="E112" s="137" t="str">
        <f>IF(C112="","",IFERROR(RESUMEN_9°!V19,""))</f>
        <v/>
      </c>
      <c r="F112" s="137">
        <f>IF(C112="","",IFERROR('Asistencia (9°)'!BI17,""))</f>
        <v>0</v>
      </c>
      <c r="G112" s="137" t="str">
        <f>IF(AND(RESUMEN_9°!B19=""),"",IF(OR(IFERROR(RESUMEN_9°!F19,0)&lt;3,IFERROR(RESUMEN_9°!V19,0)&lt;3),"⚠ REVISAR","OK"))</f>
        <v>OK</v>
      </c>
    </row>
    <row r="113" spans="1:7" ht="13.95" customHeight="1">
      <c r="A113" s="133" t="s">
        <v>21</v>
      </c>
      <c r="B113" s="133">
        <f>RESUMEN_9°!A20</f>
        <v>16</v>
      </c>
      <c r="C113" s="134">
        <f>RESUMEN_9°!B20</f>
        <v>0</v>
      </c>
      <c r="D113" s="133" t="str">
        <f>IF(C113="","",IFERROR(RESUMEN_9°!F20,""))</f>
        <v/>
      </c>
      <c r="E113" s="133" t="str">
        <f>IF(C113="","",IFERROR(RESUMEN_9°!V20,""))</f>
        <v/>
      </c>
      <c r="F113" s="133">
        <f>IF(C113="","",IFERROR('Asistencia (9°)'!BI18,""))</f>
        <v>0</v>
      </c>
      <c r="G113" s="133" t="str">
        <f>IF(AND(RESUMEN_9°!B20=""),"",IF(OR(IFERROR(RESUMEN_9°!F20,0)&lt;3,IFERROR(RESUMEN_9°!V20,0)&lt;3),"⚠ REVISAR","OK"))</f>
        <v>OK</v>
      </c>
    </row>
    <row r="114" spans="1:7" ht="13.95" customHeight="1">
      <c r="A114" s="137" t="s">
        <v>21</v>
      </c>
      <c r="B114" s="137">
        <f>RESUMEN_9°!A21</f>
        <v>17</v>
      </c>
      <c r="C114" s="138">
        <f>RESUMEN_9°!B21</f>
        <v>0</v>
      </c>
      <c r="D114" s="137" t="str">
        <f>IF(C114="","",IFERROR(RESUMEN_9°!F21,""))</f>
        <v/>
      </c>
      <c r="E114" s="137" t="str">
        <f>IF(C114="","",IFERROR(RESUMEN_9°!V21,""))</f>
        <v/>
      </c>
      <c r="F114" s="137">
        <f>IF(C114="","",IFERROR('Asistencia (9°)'!BI19,""))</f>
        <v>0</v>
      </c>
      <c r="G114" s="137" t="str">
        <f>IF(AND(RESUMEN_9°!B21=""),"",IF(OR(IFERROR(RESUMEN_9°!F21,0)&lt;3,IFERROR(RESUMEN_9°!V21,0)&lt;3),"⚠ REVISAR","OK"))</f>
        <v>OK</v>
      </c>
    </row>
    <row r="115" spans="1:7" ht="13.95" customHeight="1">
      <c r="A115" s="133" t="s">
        <v>21</v>
      </c>
      <c r="B115" s="133">
        <f>RESUMEN_9°!A22</f>
        <v>18</v>
      </c>
      <c r="C115" s="134">
        <f>RESUMEN_9°!B22</f>
        <v>0</v>
      </c>
      <c r="D115" s="133" t="str">
        <f>IF(C115="","",IFERROR(RESUMEN_9°!F22,""))</f>
        <v/>
      </c>
      <c r="E115" s="133" t="str">
        <f>IF(C115="","",IFERROR(RESUMEN_9°!V22,""))</f>
        <v/>
      </c>
      <c r="F115" s="133">
        <f>IF(C115="","",IFERROR('Asistencia (9°)'!BI20,""))</f>
        <v>0</v>
      </c>
      <c r="G115" s="133" t="str">
        <f>IF(AND(RESUMEN_9°!B22=""),"",IF(OR(IFERROR(RESUMEN_9°!F22,0)&lt;3,IFERROR(RESUMEN_9°!V22,0)&lt;3),"⚠ REVISAR","OK"))</f>
        <v>OK</v>
      </c>
    </row>
    <row r="116" spans="1:7" ht="13.95" customHeight="1">
      <c r="A116" s="137" t="s">
        <v>21</v>
      </c>
      <c r="B116" s="137">
        <f>RESUMEN_9°!A23</f>
        <v>19</v>
      </c>
      <c r="C116" s="138">
        <f>RESUMEN_9°!B23</f>
        <v>0</v>
      </c>
      <c r="D116" s="137" t="str">
        <f>IF(C116="","",IFERROR(RESUMEN_9°!F23,""))</f>
        <v/>
      </c>
      <c r="E116" s="137" t="str">
        <f>IF(C116="","",IFERROR(RESUMEN_9°!V23,""))</f>
        <v/>
      </c>
      <c r="F116" s="137">
        <f>IF(C116="","",IFERROR('Asistencia (9°)'!BI21,""))</f>
        <v>0</v>
      </c>
      <c r="G116" s="137" t="str">
        <f>IF(AND(RESUMEN_9°!B23=""),"",IF(OR(IFERROR(RESUMEN_9°!F23,0)&lt;3,IFERROR(RESUMEN_9°!V23,0)&lt;3),"⚠ REVISAR","OK"))</f>
        <v>OK</v>
      </c>
    </row>
    <row r="117" spans="1:7" ht="13.95" customHeight="1">
      <c r="A117" s="133" t="s">
        <v>21</v>
      </c>
      <c r="B117" s="133">
        <f>RESUMEN_9°!A24</f>
        <v>20</v>
      </c>
      <c r="C117" s="134">
        <f>RESUMEN_9°!B24</f>
        <v>0</v>
      </c>
      <c r="D117" s="133" t="str">
        <f>IF(C117="","",IFERROR(RESUMEN_9°!F24,""))</f>
        <v/>
      </c>
      <c r="E117" s="133" t="str">
        <f>IF(C117="","",IFERROR(RESUMEN_9°!V24,""))</f>
        <v/>
      </c>
      <c r="F117" s="133">
        <f>IF(C117="","",IFERROR('Asistencia (9°)'!BI22,""))</f>
        <v>0</v>
      </c>
      <c r="G117" s="133" t="str">
        <f>IF(AND(RESUMEN_9°!B24=""),"",IF(OR(IFERROR(RESUMEN_9°!F24,0)&lt;3,IFERROR(RESUMEN_9°!V24,0)&lt;3),"⚠ REVISAR","OK"))</f>
        <v>OK</v>
      </c>
    </row>
    <row r="118" spans="1:7" ht="13.95" customHeight="1">
      <c r="A118" s="137" t="s">
        <v>21</v>
      </c>
      <c r="B118" s="137">
        <f>RESUMEN_9°!A25</f>
        <v>21</v>
      </c>
      <c r="C118" s="138">
        <f>RESUMEN_9°!B25</f>
        <v>0</v>
      </c>
      <c r="D118" s="137" t="str">
        <f>IF(C118="","",IFERROR(RESUMEN_9°!F25,""))</f>
        <v/>
      </c>
      <c r="E118" s="137" t="str">
        <f>IF(C118="","",IFERROR(RESUMEN_9°!V25,""))</f>
        <v/>
      </c>
      <c r="F118" s="137">
        <f>IF(C118="","",IFERROR('Asistencia (9°)'!BI23,""))</f>
        <v>0</v>
      </c>
      <c r="G118" s="137" t="str">
        <f>IF(AND(RESUMEN_9°!B25=""),"",IF(OR(IFERROR(RESUMEN_9°!F25,0)&lt;3,IFERROR(RESUMEN_9°!V25,0)&lt;3),"⚠ REVISAR","OK"))</f>
        <v>OK</v>
      </c>
    </row>
    <row r="119" spans="1:7" ht="13.95" customHeight="1">
      <c r="A119" s="133" t="s">
        <v>21</v>
      </c>
      <c r="B119" s="133">
        <f>RESUMEN_9°!A26</f>
        <v>22</v>
      </c>
      <c r="C119" s="134">
        <f>RESUMEN_9°!B26</f>
        <v>0</v>
      </c>
      <c r="D119" s="133" t="str">
        <f>IF(C119="","",IFERROR(RESUMEN_9°!F26,""))</f>
        <v/>
      </c>
      <c r="E119" s="133" t="str">
        <f>IF(C119="","",IFERROR(RESUMEN_9°!V26,""))</f>
        <v/>
      </c>
      <c r="F119" s="133">
        <f>IF(C119="","",IFERROR('Asistencia (9°)'!BI24,""))</f>
        <v>0</v>
      </c>
      <c r="G119" s="133" t="str">
        <f>IF(AND(RESUMEN_9°!B26=""),"",IF(OR(IFERROR(RESUMEN_9°!F26,0)&lt;3,IFERROR(RESUMEN_9°!V26,0)&lt;3),"⚠ REVISAR","OK"))</f>
        <v>OK</v>
      </c>
    </row>
    <row r="120" spans="1:7" ht="13.95" customHeight="1">
      <c r="A120" s="137" t="s">
        <v>21</v>
      </c>
      <c r="B120" s="137">
        <f>RESUMEN_9°!A27</f>
        <v>23</v>
      </c>
      <c r="C120" s="138">
        <f>RESUMEN_9°!B27</f>
        <v>0</v>
      </c>
      <c r="D120" s="137" t="str">
        <f>IF(C120="","",IFERROR(RESUMEN_9°!F27,""))</f>
        <v/>
      </c>
      <c r="E120" s="137" t="str">
        <f>IF(C120="","",IFERROR(RESUMEN_9°!V27,""))</f>
        <v/>
      </c>
      <c r="F120" s="137">
        <f>IF(C120="","",IFERROR('Asistencia (9°)'!BI25,""))</f>
        <v>0</v>
      </c>
      <c r="G120" s="137" t="str">
        <f>IF(AND(RESUMEN_9°!B27=""),"",IF(OR(IFERROR(RESUMEN_9°!F27,0)&lt;3,IFERROR(RESUMEN_9°!V27,0)&lt;3),"⚠ REVISAR","OK"))</f>
        <v>OK</v>
      </c>
    </row>
    <row r="121" spans="1:7" ht="13.95" customHeight="1">
      <c r="A121" s="133" t="s">
        <v>21</v>
      </c>
      <c r="B121" s="133">
        <f>RESUMEN_9°!A28</f>
        <v>24</v>
      </c>
      <c r="C121" s="134">
        <f>RESUMEN_9°!B28</f>
        <v>0</v>
      </c>
      <c r="D121" s="133" t="str">
        <f>IF(C121="","",IFERROR(RESUMEN_9°!F28,""))</f>
        <v/>
      </c>
      <c r="E121" s="133" t="str">
        <f>IF(C121="","",IFERROR(RESUMEN_9°!V28,""))</f>
        <v/>
      </c>
      <c r="F121" s="133">
        <f>IF(C121="","",IFERROR('Asistencia (9°)'!BI26,""))</f>
        <v>0</v>
      </c>
      <c r="G121" s="133" t="str">
        <f>IF(AND(RESUMEN_9°!B28=""),"",IF(OR(IFERROR(RESUMEN_9°!F28,0)&lt;3,IFERROR(RESUMEN_9°!V28,0)&lt;3),"⚠ REVISAR","OK"))</f>
        <v>OK</v>
      </c>
    </row>
    <row r="122" spans="1:7" ht="13.95" customHeight="1">
      <c r="A122" s="137" t="s">
        <v>21</v>
      </c>
      <c r="B122" s="137">
        <f>RESUMEN_9°!A29</f>
        <v>25</v>
      </c>
      <c r="C122" s="138">
        <f>RESUMEN_9°!B29</f>
        <v>0</v>
      </c>
      <c r="D122" s="137" t="str">
        <f>IF(C122="","",IFERROR(RESUMEN_9°!F29,""))</f>
        <v/>
      </c>
      <c r="E122" s="137" t="str">
        <f>IF(C122="","",IFERROR(RESUMEN_9°!V29,""))</f>
        <v/>
      </c>
      <c r="F122" s="137">
        <f>IF(C122="","",IFERROR('Asistencia (9°)'!BI27,""))</f>
        <v>0</v>
      </c>
      <c r="G122" s="137" t="str">
        <f>IF(AND(RESUMEN_9°!B29=""),"",IF(OR(IFERROR(RESUMEN_9°!F29,0)&lt;3,IFERROR(RESUMEN_9°!V29,0)&lt;3),"⚠ REVISAR","OK"))</f>
        <v>OK</v>
      </c>
    </row>
    <row r="123" spans="1:7" ht="13.95" customHeight="1">
      <c r="A123" s="133" t="s">
        <v>21</v>
      </c>
      <c r="B123" s="133">
        <f>RESUMEN_9°!A30</f>
        <v>26</v>
      </c>
      <c r="C123" s="134">
        <f>RESUMEN_9°!B30</f>
        <v>0</v>
      </c>
      <c r="D123" s="133" t="str">
        <f>IF(C123="","",IFERROR(RESUMEN_9°!F30,""))</f>
        <v/>
      </c>
      <c r="E123" s="133" t="str">
        <f>IF(C123="","",IFERROR(RESUMEN_9°!V30,""))</f>
        <v/>
      </c>
      <c r="F123" s="133">
        <f>IF(C123="","",IFERROR('Asistencia (9°)'!BI28,""))</f>
        <v>0</v>
      </c>
      <c r="G123" s="133" t="str">
        <f>IF(AND(RESUMEN_9°!B30=""),"",IF(OR(IFERROR(RESUMEN_9°!F30,0)&lt;3,IFERROR(RESUMEN_9°!V30,0)&lt;3),"⚠ REVISAR","OK"))</f>
        <v>OK</v>
      </c>
    </row>
    <row r="124" spans="1:7" ht="13.95" customHeight="1">
      <c r="A124" s="137" t="s">
        <v>21</v>
      </c>
      <c r="B124" s="137">
        <f>RESUMEN_9°!A31</f>
        <v>27</v>
      </c>
      <c r="C124" s="138">
        <f>RESUMEN_9°!B31</f>
        <v>0</v>
      </c>
      <c r="D124" s="137" t="str">
        <f>IF(C124="","",IFERROR(RESUMEN_9°!F31,""))</f>
        <v/>
      </c>
      <c r="E124" s="137" t="str">
        <f>IF(C124="","",IFERROR(RESUMEN_9°!V31,""))</f>
        <v/>
      </c>
      <c r="F124" s="137">
        <f>IF(C124="","",IFERROR('Asistencia (9°)'!BI29,""))</f>
        <v>0</v>
      </c>
      <c r="G124" s="137" t="str">
        <f>IF(AND(RESUMEN_9°!B31=""),"",IF(OR(IFERROR(RESUMEN_9°!F31,0)&lt;3,IFERROR(RESUMEN_9°!V31,0)&lt;3),"⚠ REVISAR","OK"))</f>
        <v>OK</v>
      </c>
    </row>
    <row r="125" spans="1:7" ht="13.95" customHeight="1">
      <c r="A125" s="133" t="s">
        <v>21</v>
      </c>
      <c r="B125" s="133">
        <f>RESUMEN_9°!A32</f>
        <v>28</v>
      </c>
      <c r="C125" s="134">
        <f>RESUMEN_9°!B32</f>
        <v>0</v>
      </c>
      <c r="D125" s="133" t="str">
        <f>IF(C125="","",IFERROR(RESUMEN_9°!F32,""))</f>
        <v/>
      </c>
      <c r="E125" s="133" t="str">
        <f>IF(C125="","",IFERROR(RESUMEN_9°!V32,""))</f>
        <v/>
      </c>
      <c r="F125" s="133">
        <f>IF(C125="","",IFERROR('Asistencia (9°)'!BI30,""))</f>
        <v>0</v>
      </c>
      <c r="G125" s="133" t="str">
        <f>IF(AND(RESUMEN_9°!B32=""),"",IF(OR(IFERROR(RESUMEN_9°!F32,0)&lt;3,IFERROR(RESUMEN_9°!V32,0)&lt;3),"⚠ REVISAR","OK"))</f>
        <v>OK</v>
      </c>
    </row>
    <row r="126" spans="1:7" ht="13.95" customHeight="1">
      <c r="A126" s="137" t="s">
        <v>21</v>
      </c>
      <c r="B126" s="137">
        <f>RESUMEN_9°!A33</f>
        <v>29</v>
      </c>
      <c r="C126" s="138">
        <f>RESUMEN_9°!B33</f>
        <v>0</v>
      </c>
      <c r="D126" s="137" t="str">
        <f>IF(C126="","",IFERROR(RESUMEN_9°!F33,""))</f>
        <v/>
      </c>
      <c r="E126" s="137" t="str">
        <f>IF(C126="","",IFERROR(RESUMEN_9°!V33,""))</f>
        <v/>
      </c>
      <c r="F126" s="137">
        <f>IF(C126="","",IFERROR('Asistencia (9°)'!BI31,""))</f>
        <v>0</v>
      </c>
      <c r="G126" s="137" t="str">
        <f>IF(AND(RESUMEN_9°!B33=""),"",IF(OR(IFERROR(RESUMEN_9°!F33,0)&lt;3,IFERROR(RESUMEN_9°!V33,0)&lt;3),"⚠ REVISAR","OK"))</f>
        <v>OK</v>
      </c>
    </row>
    <row r="127" spans="1:7" ht="13.95" customHeight="1">
      <c r="A127" s="133" t="s">
        <v>21</v>
      </c>
      <c r="B127" s="133">
        <f>RESUMEN_9°!A34</f>
        <v>30</v>
      </c>
      <c r="C127" s="134">
        <f>RESUMEN_9°!B34</f>
        <v>0</v>
      </c>
      <c r="D127" s="133" t="str">
        <f>IF(C127="","",IFERROR(RESUMEN_9°!F34,""))</f>
        <v/>
      </c>
      <c r="E127" s="133" t="str">
        <f>IF(C127="","",IFERROR(RESUMEN_9°!V34,""))</f>
        <v/>
      </c>
      <c r="F127" s="133">
        <f>IF(C127="","",IFERROR('Asistencia (9°)'!BI32,""))</f>
        <v>0</v>
      </c>
      <c r="G127" s="133" t="str">
        <f>IF(AND(RESUMEN_9°!B34=""),"",IF(OR(IFERROR(RESUMEN_9°!F34,0)&lt;3,IFERROR(RESUMEN_9°!V34,0)&lt;3),"⚠ REVISAR","OK"))</f>
        <v>OK</v>
      </c>
    </row>
    <row r="128" spans="1:7" ht="13.95" customHeight="1">
      <c r="A128" s="137" t="s">
        <v>21</v>
      </c>
      <c r="B128" s="137">
        <f>RESUMEN_9°!A35</f>
        <v>31</v>
      </c>
      <c r="C128" s="138">
        <f>RESUMEN_9°!B35</f>
        <v>0</v>
      </c>
      <c r="D128" s="137" t="str">
        <f>IF(C128="","",IFERROR(RESUMEN_9°!F35,""))</f>
        <v/>
      </c>
      <c r="E128" s="137" t="str">
        <f>IF(C128="","",IFERROR(RESUMEN_9°!V35,""))</f>
        <v/>
      </c>
      <c r="F128" s="137">
        <f>IF(C128="","",IFERROR('Asistencia (9°)'!BI33,""))</f>
        <v>0</v>
      </c>
      <c r="G128" s="137" t="str">
        <f>IF(AND(RESUMEN_9°!B35=""),"",IF(OR(IFERROR(RESUMEN_9°!F35,0)&lt;3,IFERROR(RESUMEN_9°!V35,0)&lt;3),"⚠ REVISAR","OK"))</f>
        <v>OK</v>
      </c>
    </row>
    <row r="129" spans="1:7" ht="13.95" customHeight="1">
      <c r="A129" s="133" t="s">
        <v>21</v>
      </c>
      <c r="B129" s="133">
        <f>RESUMEN_9°!A36</f>
        <v>32</v>
      </c>
      <c r="C129" s="134">
        <f>RESUMEN_9°!B36</f>
        <v>0</v>
      </c>
      <c r="D129" s="133" t="str">
        <f>IF(C129="","",IFERROR(RESUMEN_9°!F36,""))</f>
        <v/>
      </c>
      <c r="E129" s="133" t="str">
        <f>IF(C129="","",IFERROR(RESUMEN_9°!V36,""))</f>
        <v/>
      </c>
      <c r="F129" s="133">
        <f>IF(C129="","",IFERROR('Asistencia (9°)'!BI34,""))</f>
        <v>0</v>
      </c>
      <c r="G129" s="133" t="str">
        <f>IF(AND(RESUMEN_9°!B36=""),"",IF(OR(IFERROR(RESUMEN_9°!F36,0)&lt;3,IFERROR(RESUMEN_9°!V36,0)&lt;3),"⚠ REVISAR","OK"))</f>
        <v>OK</v>
      </c>
    </row>
    <row r="130" spans="1:7" ht="13.95" customHeight="1">
      <c r="A130" s="137" t="s">
        <v>21</v>
      </c>
      <c r="B130" s="137">
        <f>RESUMEN_9°!A37</f>
        <v>33</v>
      </c>
      <c r="C130" s="138">
        <f>RESUMEN_9°!B37</f>
        <v>0</v>
      </c>
      <c r="D130" s="137" t="str">
        <f>IF(C130="","",IFERROR(RESUMEN_9°!F37,""))</f>
        <v/>
      </c>
      <c r="E130" s="137" t="str">
        <f>IF(C130="","",IFERROR(RESUMEN_9°!V37,""))</f>
        <v/>
      </c>
      <c r="F130" s="137">
        <f>IF(C130="","",IFERROR('Asistencia (9°)'!BI35,""))</f>
        <v>0</v>
      </c>
      <c r="G130" s="137" t="str">
        <f>IF(AND(RESUMEN_9°!B37=""),"",IF(OR(IFERROR(RESUMEN_9°!F37,0)&lt;3,IFERROR(RESUMEN_9°!V37,0)&lt;3),"⚠ REVISAR","OK"))</f>
        <v>OK</v>
      </c>
    </row>
    <row r="131" spans="1:7" ht="13.95" customHeight="1">
      <c r="A131" s="133" t="s">
        <v>21</v>
      </c>
      <c r="B131" s="133">
        <f>RESUMEN_9°!A38</f>
        <v>34</v>
      </c>
      <c r="C131" s="134">
        <f>RESUMEN_9°!B38</f>
        <v>0</v>
      </c>
      <c r="D131" s="133" t="str">
        <f>IF(C131="","",IFERROR(RESUMEN_9°!F38,""))</f>
        <v/>
      </c>
      <c r="E131" s="133" t="str">
        <f>IF(C131="","",IFERROR(RESUMEN_9°!V38,""))</f>
        <v/>
      </c>
      <c r="F131" s="133">
        <f>IF(C131="","",IFERROR('Asistencia (9°)'!BI36,""))</f>
        <v>0</v>
      </c>
      <c r="G131" s="133" t="str">
        <f>IF(AND(RESUMEN_9°!B38=""),"",IF(OR(IFERROR(RESUMEN_9°!F38,0)&lt;3,IFERROR(RESUMEN_9°!V38,0)&lt;3),"⚠ REVISAR","OK"))</f>
        <v>OK</v>
      </c>
    </row>
    <row r="132" spans="1:7" ht="13.95" customHeight="1">
      <c r="A132" s="137" t="s">
        <v>21</v>
      </c>
      <c r="B132" s="137">
        <f>RESUMEN_9°!A39</f>
        <v>35</v>
      </c>
      <c r="C132" s="138">
        <f>RESUMEN_9°!B39</f>
        <v>0</v>
      </c>
      <c r="D132" s="137" t="str">
        <f>IF(C132="","",IFERROR(RESUMEN_9°!F39,""))</f>
        <v/>
      </c>
      <c r="E132" s="137" t="str">
        <f>IF(C132="","",IFERROR(RESUMEN_9°!V39,""))</f>
        <v/>
      </c>
      <c r="F132" s="137">
        <f>IF(C132="","",IFERROR('Asistencia (9°)'!BI37,""))</f>
        <v>0</v>
      </c>
      <c r="G132" s="137" t="str">
        <f>IF(AND(RESUMEN_9°!B39=""),"",IF(OR(IFERROR(RESUMEN_9°!F39,0)&lt;3,IFERROR(RESUMEN_9°!V39,0)&lt;3),"⚠ REVISAR","OK"))</f>
        <v>OK</v>
      </c>
    </row>
    <row r="133" spans="1:7" ht="13.95" customHeight="1">
      <c r="A133" s="133" t="s">
        <v>21</v>
      </c>
      <c r="B133" s="133">
        <f>RESUMEN_9°!A40</f>
        <v>36</v>
      </c>
      <c r="C133" s="134">
        <f>RESUMEN_9°!B40</f>
        <v>0</v>
      </c>
      <c r="D133" s="133" t="str">
        <f>IF(C133="","",IFERROR(RESUMEN_9°!F40,""))</f>
        <v/>
      </c>
      <c r="E133" s="133" t="str">
        <f>IF(C133="","",IFERROR(RESUMEN_9°!V40,""))</f>
        <v/>
      </c>
      <c r="F133" s="133">
        <f>IF(C133="","",IFERROR('Asistencia (9°)'!BI38,""))</f>
        <v>0</v>
      </c>
      <c r="G133" s="133" t="str">
        <f>IF(AND(RESUMEN_9°!B40=""),"",IF(OR(IFERROR(RESUMEN_9°!F40,0)&lt;3,IFERROR(RESUMEN_9°!V40,0)&lt;3),"⚠ REVISAR","OK"))</f>
        <v>OK</v>
      </c>
    </row>
    <row r="134" spans="1:7" ht="13.95" customHeight="1">
      <c r="A134" s="137" t="s">
        <v>21</v>
      </c>
      <c r="B134" s="137">
        <f>RESUMEN_9°!A41</f>
        <v>37</v>
      </c>
      <c r="C134" s="138">
        <f>RESUMEN_9°!B41</f>
        <v>0</v>
      </c>
      <c r="D134" s="137" t="str">
        <f>IF(C134="","",IFERROR(RESUMEN_9°!F41,""))</f>
        <v/>
      </c>
      <c r="E134" s="137" t="str">
        <f>IF(C134="","",IFERROR(RESUMEN_9°!V41,""))</f>
        <v/>
      </c>
      <c r="F134" s="137">
        <f>IF(C134="","",IFERROR('Asistencia (9°)'!BI39,""))</f>
        <v>0</v>
      </c>
      <c r="G134" s="137" t="str">
        <f>IF(AND(RESUMEN_9°!B41=""),"",IF(OR(IFERROR(RESUMEN_9°!F41,0)&lt;3,IFERROR(RESUMEN_9°!V41,0)&lt;3),"⚠ REVISAR","OK"))</f>
        <v>OK</v>
      </c>
    </row>
    <row r="135" spans="1:7" ht="13.95" customHeight="1">
      <c r="A135" s="133" t="s">
        <v>21</v>
      </c>
      <c r="B135" s="133">
        <f>RESUMEN_9°!A42</f>
        <v>38</v>
      </c>
      <c r="C135" s="134">
        <f>RESUMEN_9°!B42</f>
        <v>0</v>
      </c>
      <c r="D135" s="133" t="str">
        <f>IF(C135="","",IFERROR(RESUMEN_9°!F42,""))</f>
        <v/>
      </c>
      <c r="E135" s="133" t="str">
        <f>IF(C135="","",IFERROR(RESUMEN_9°!V42,""))</f>
        <v/>
      </c>
      <c r="F135" s="133">
        <f>IF(C135="","",IFERROR('Asistencia (9°)'!BI40,""))</f>
        <v>0</v>
      </c>
      <c r="G135" s="133" t="str">
        <f>IF(AND(RESUMEN_9°!B42=""),"",IF(OR(IFERROR(RESUMEN_9°!F42,0)&lt;3,IFERROR(RESUMEN_9°!V42,0)&lt;3),"⚠ REVISAR","OK"))</f>
        <v>OK</v>
      </c>
    </row>
    <row r="136" spans="1:7" ht="13.95" customHeight="1">
      <c r="A136" s="137" t="s">
        <v>21</v>
      </c>
      <c r="B136" s="137">
        <f>RESUMEN_9°!A43</f>
        <v>39</v>
      </c>
      <c r="C136" s="138">
        <f>RESUMEN_9°!B43</f>
        <v>0</v>
      </c>
      <c r="D136" s="137" t="str">
        <f>IF(C136="","",IFERROR(RESUMEN_9°!F43,""))</f>
        <v/>
      </c>
      <c r="E136" s="137" t="str">
        <f>IF(C136="","",IFERROR(RESUMEN_9°!V43,""))</f>
        <v/>
      </c>
      <c r="F136" s="137">
        <f>IF(C136="","",IFERROR('Asistencia (9°)'!BI41,""))</f>
        <v>0</v>
      </c>
      <c r="G136" s="137" t="str">
        <f>IF(AND(RESUMEN_9°!B43=""),"",IF(OR(IFERROR(RESUMEN_9°!F43,0)&lt;3,IFERROR(RESUMEN_9°!V43,0)&lt;3),"⚠ REVISAR","OK"))</f>
        <v>OK</v>
      </c>
    </row>
    <row r="137" spans="1:7" ht="13.95" customHeight="1">
      <c r="A137" s="133" t="s">
        <v>21</v>
      </c>
      <c r="B137" s="133">
        <f>RESUMEN_9°!A44</f>
        <v>40</v>
      </c>
      <c r="C137" s="134">
        <f>RESUMEN_9°!B44</f>
        <v>0</v>
      </c>
      <c r="D137" s="133" t="str">
        <f>IF(C137="","",IFERROR(RESUMEN_9°!F44,""))</f>
        <v/>
      </c>
      <c r="E137" s="133" t="str">
        <f>IF(C137="","",IFERROR(RESUMEN_9°!V44,""))</f>
        <v/>
      </c>
      <c r="F137" s="133">
        <f>IF(C137="","",IFERROR('Asistencia (9°)'!BI42,""))</f>
        <v>0</v>
      </c>
      <c r="G137" s="133" t="str">
        <f>IF(AND(RESUMEN_9°!B44=""),"",IF(OR(IFERROR(RESUMEN_9°!F44,0)&lt;3,IFERROR(RESUMEN_9°!V44,0)&lt;3),"⚠ REVISAR","OK"))</f>
        <v>OK</v>
      </c>
    </row>
  </sheetData>
  <mergeCells count="2">
    <mergeCell ref="A16:H18"/>
    <mergeCell ref="A1:N1"/>
  </mergeCells>
  <conditionalFormatting sqref="D51:E138">
    <cfRule type="cellIs" dxfId="41" priority="3" operator="lessThan">
      <formula>3</formula>
    </cfRule>
  </conditionalFormatting>
  <conditionalFormatting sqref="F51:F138">
    <cfRule type="cellIs" dxfId="40" priority="4" operator="greaterThan">
      <formula>5</formula>
    </cfRule>
  </conditionalFormatting>
  <conditionalFormatting sqref="G51:G138">
    <cfRule type="expression" dxfId="39" priority="1">
      <formula>G51="⚠ REVISAR"</formula>
    </cfRule>
    <cfRule type="expression" dxfId="38" priority="2">
      <formula>G51="OK"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0ED85-CF0D-4441-91F8-4B7800D3E285}">
  <sheetPr>
    <tabColor theme="1" tint="4.9989318521683403E-2"/>
  </sheetPr>
  <dimension ref="A1:Q200"/>
  <sheetViews>
    <sheetView topLeftCell="C1" workbookViewId="0">
      <selection activeCell="I6" sqref="I6"/>
    </sheetView>
  </sheetViews>
  <sheetFormatPr baseColWidth="10" defaultRowHeight="14.4"/>
  <cols>
    <col min="1" max="1" width="8.77734375" customWidth="1"/>
    <col min="2" max="2" width="6.77734375" customWidth="1"/>
    <col min="3" max="3" width="34.77734375" customWidth="1"/>
    <col min="4" max="6" width="14.77734375" customWidth="1"/>
    <col min="8" max="8" width="22.77734375" customWidth="1"/>
    <col min="9" max="9" width="32.77734375" customWidth="1"/>
    <col min="10" max="10" width="12.77734375" customWidth="1"/>
    <col min="12" max="14" width="15.77734375" customWidth="1"/>
  </cols>
  <sheetData>
    <row r="1" spans="1:17" ht="28.8">
      <c r="A1" s="191" t="s">
        <v>274</v>
      </c>
      <c r="B1" s="192"/>
      <c r="C1" s="192"/>
      <c r="D1" s="192"/>
      <c r="E1" s="192"/>
      <c r="F1" s="192"/>
      <c r="G1" s="192"/>
      <c r="H1" s="192"/>
      <c r="I1" s="192"/>
      <c r="J1" s="192"/>
      <c r="K1" s="192"/>
      <c r="L1" s="192"/>
      <c r="M1" s="192"/>
      <c r="N1" s="192"/>
      <c r="O1" s="192"/>
      <c r="P1" s="192"/>
      <c r="Q1" s="192"/>
    </row>
    <row r="2" spans="1:17">
      <c r="A2" s="167"/>
      <c r="B2" s="167"/>
      <c r="C2" s="167"/>
      <c r="D2" s="167"/>
      <c r="E2" s="167"/>
      <c r="F2" s="167"/>
      <c r="G2" s="167"/>
      <c r="H2" s="167"/>
      <c r="I2" s="167"/>
      <c r="J2" s="167"/>
      <c r="K2" s="167"/>
      <c r="L2" s="167"/>
      <c r="M2" s="167"/>
      <c r="N2" s="167"/>
      <c r="O2" s="167"/>
      <c r="P2" s="167"/>
      <c r="Q2" s="167"/>
    </row>
    <row r="3" spans="1:17">
      <c r="A3" s="167"/>
      <c r="B3" s="167"/>
      <c r="C3" s="167"/>
      <c r="D3" s="167"/>
      <c r="E3" s="167"/>
      <c r="F3" s="167"/>
      <c r="G3" s="167"/>
      <c r="H3" s="167"/>
      <c r="I3" s="167"/>
      <c r="J3" s="167"/>
      <c r="K3" s="167"/>
      <c r="L3" s="167"/>
      <c r="M3" s="167"/>
      <c r="N3" s="167"/>
      <c r="O3" s="167"/>
      <c r="P3" s="167"/>
      <c r="Q3" s="167"/>
    </row>
    <row r="4" spans="1:17">
      <c r="A4" s="181"/>
      <c r="B4" s="181"/>
      <c r="C4" s="181"/>
      <c r="D4" s="181"/>
      <c r="E4" s="181"/>
      <c r="F4" s="181"/>
      <c r="G4" s="181"/>
      <c r="H4" s="181"/>
      <c r="I4" s="181"/>
      <c r="J4" s="181"/>
      <c r="K4" s="181"/>
      <c r="L4" s="181"/>
      <c r="M4" s="181"/>
      <c r="N4" s="181"/>
      <c r="O4" s="181"/>
      <c r="P4" s="181"/>
      <c r="Q4" s="181"/>
    </row>
    <row r="5" spans="1:17">
      <c r="A5" s="182" t="s">
        <v>267</v>
      </c>
      <c r="B5" s="182" t="s">
        <v>23</v>
      </c>
      <c r="C5" s="182" t="s">
        <v>275</v>
      </c>
      <c r="D5" s="182" t="s">
        <v>276</v>
      </c>
      <c r="E5" s="182" t="s">
        <v>277</v>
      </c>
      <c r="F5" s="182" t="s">
        <v>278</v>
      </c>
      <c r="G5" s="181"/>
      <c r="H5" s="183" t="s">
        <v>261</v>
      </c>
      <c r="I5" s="183" t="s">
        <v>275</v>
      </c>
      <c r="J5" s="183" t="s">
        <v>262</v>
      </c>
      <c r="K5" s="181"/>
      <c r="L5" s="184" t="s">
        <v>267</v>
      </c>
      <c r="M5" s="184" t="s">
        <v>276</v>
      </c>
      <c r="N5" s="184" t="s">
        <v>283</v>
      </c>
      <c r="O5" s="181"/>
      <c r="P5" s="181"/>
      <c r="Q5" s="181"/>
    </row>
    <row r="6" spans="1:17">
      <c r="A6" s="181">
        <v>7</v>
      </c>
      <c r="B6" s="181">
        <v>1</v>
      </c>
      <c r="C6" s="181">
        <f>IFERROR(MAESTRO!B5,)</f>
        <v>0</v>
      </c>
      <c r="D6" s="181">
        <f>IFERROR(COUNTIF('Asistencia (7°)'!C3:AZ3,"A"),0)</f>
        <v>0</v>
      </c>
      <c r="E6" s="181">
        <f>IFERROR('PROM (Ingles 7°)'!N5,0)</f>
        <v>0</v>
      </c>
      <c r="F6" s="181">
        <f>IFERROR(COUNTBLANK('PROM (Ingles 7°)'!C5:M5),0)</f>
        <v>11</v>
      </c>
      <c r="G6" s="181"/>
      <c r="H6" s="181" t="s">
        <v>279</v>
      </c>
      <c r="I6" s="181">
        <f>IFERROR(INDEX(C6:C125,MATCH(MAX(D6:D125),D6:D125,0)),)</f>
        <v>0</v>
      </c>
      <c r="J6" s="181">
        <f>MAX(D6:D125)</f>
        <v>0</v>
      </c>
      <c r="K6" s="181"/>
      <c r="L6" s="181">
        <v>7</v>
      </c>
      <c r="M6" s="181">
        <f>SUMIFS(D6:D125,A6:A125,L6)</f>
        <v>0</v>
      </c>
      <c r="N6" s="181">
        <f>COUNTIFS(A6:A125,L6,E6:E125,"&lt;3",E6:E125,"&gt;0")</f>
        <v>0</v>
      </c>
      <c r="O6" s="181"/>
      <c r="P6" s="181"/>
      <c r="Q6" s="181"/>
    </row>
    <row r="7" spans="1:17">
      <c r="A7" s="181">
        <v>7</v>
      </c>
      <c r="B7" s="181">
        <v>2</v>
      </c>
      <c r="C7" s="181">
        <f>IFERROR(MAESTRO!B6,)</f>
        <v>0</v>
      </c>
      <c r="D7" s="181">
        <f>IFERROR(COUNTIF('Asistencia (7°)'!C4:AZ4,"A"),0)</f>
        <v>0</v>
      </c>
      <c r="E7" s="181">
        <f>IFERROR('PROM (Ingles 7°)'!N6,0)</f>
        <v>0</v>
      </c>
      <c r="F7" s="181">
        <f>IFERROR(COUNTBLANK('PROM (Ingles 7°)'!C6:M6),0)</f>
        <v>11</v>
      </c>
      <c r="G7" s="181"/>
      <c r="H7" s="181" t="s">
        <v>280</v>
      </c>
      <c r="I7" s="181">
        <f>IFERROR(INDEX(C6:C125,MATCH(_xlfn.MINIFS(E6:E125,E6:E125,"&gt;0"),E6:E125,0)),"")</f>
        <v>0</v>
      </c>
      <c r="J7" s="181">
        <f>IFERROR(_xlfn.MINIFS(E6:E125,E6:E125,"&gt;0"),0)</f>
        <v>0</v>
      </c>
      <c r="K7" s="181"/>
      <c r="L7" s="181">
        <v>8</v>
      </c>
      <c r="M7" s="181">
        <f>SUMIFS(D6:D125,A6:A125,L7)</f>
        <v>0</v>
      </c>
      <c r="N7" s="181">
        <f>COUNTIFS(A6:A125,L7,E6:E125,"&lt;3",E6:E125,"&gt;0")</f>
        <v>0</v>
      </c>
      <c r="O7" s="181"/>
      <c r="P7" s="181"/>
      <c r="Q7" s="181"/>
    </row>
    <row r="8" spans="1:17">
      <c r="A8" s="181">
        <v>7</v>
      </c>
      <c r="B8" s="181">
        <v>3</v>
      </c>
      <c r="C8" s="181">
        <f>IFERROR(MAESTRO!B7,)</f>
        <v>0</v>
      </c>
      <c r="D8" s="181">
        <f>IFERROR(COUNTIF('Asistencia (7°)'!C5:AZ5,"A"),0)</f>
        <v>0</v>
      </c>
      <c r="E8" s="181">
        <f>IFERROR('PROM (Ingles 7°)'!N7,0)</f>
        <v>0</v>
      </c>
      <c r="F8" s="181">
        <f>IFERROR(COUNTBLANK('PROM (Ingles 7°)'!C7:M7),0)</f>
        <v>11</v>
      </c>
      <c r="G8" s="181"/>
      <c r="H8" s="181" t="s">
        <v>281</v>
      </c>
      <c r="I8" s="181">
        <f>IFERROR(INDEX(C6:C125,MATCH(MAX(F6:F125),F6:F125,0)),)</f>
        <v>0</v>
      </c>
      <c r="J8" s="181">
        <f>MAX(F6:F125)</f>
        <v>11</v>
      </c>
      <c r="K8" s="181"/>
      <c r="L8" s="181">
        <v>9</v>
      </c>
      <c r="M8" s="181">
        <f>SUMIFS(D6:D125,A6:A125,L8)</f>
        <v>0</v>
      </c>
      <c r="N8" s="181">
        <f>COUNTIFS(A6:A125,L8,E6:E125,"&lt;3",E6:E125,"&gt;0")</f>
        <v>0</v>
      </c>
      <c r="O8" s="181"/>
      <c r="P8" s="181"/>
      <c r="Q8" s="181"/>
    </row>
    <row r="9" spans="1:17">
      <c r="A9" s="181">
        <v>7</v>
      </c>
      <c r="B9" s="181">
        <v>4</v>
      </c>
      <c r="C9" s="181">
        <f>IFERROR(MAESTRO!B8,)</f>
        <v>0</v>
      </c>
      <c r="D9" s="181">
        <f>IFERROR(COUNTIF('Asistencia (7°)'!C6:AZ6,"A"),0)</f>
        <v>0</v>
      </c>
      <c r="E9" s="181">
        <f>IFERROR('PROM (Ingles 7°)'!N8,0)</f>
        <v>0</v>
      </c>
      <c r="F9" s="181">
        <f>IFERROR(COUNTBLANK('PROM (Ingles 7°)'!C8:M8),0)</f>
        <v>11</v>
      </c>
      <c r="G9" s="181"/>
      <c r="H9" s="181" t="s">
        <v>282</v>
      </c>
      <c r="I9" s="181">
        <f>IFERROR(INDEX(C6:C125,MATCH(MAX(E6:E125),E6:E125,0)),)</f>
        <v>0</v>
      </c>
      <c r="J9" s="181">
        <f>MAX(E6:E125)</f>
        <v>0</v>
      </c>
      <c r="K9" s="181"/>
      <c r="L9" s="181"/>
      <c r="M9" s="181"/>
      <c r="N9" s="181"/>
      <c r="O9" s="181"/>
      <c r="P9" s="181"/>
      <c r="Q9" s="181"/>
    </row>
    <row r="10" spans="1:17">
      <c r="A10" s="181">
        <v>7</v>
      </c>
      <c r="B10" s="181">
        <v>5</v>
      </c>
      <c r="C10" s="181">
        <f>IFERROR(MAESTRO!B9,)</f>
        <v>0</v>
      </c>
      <c r="D10" s="181">
        <f>IFERROR(COUNTIF('Asistencia (7°)'!C7:AZ7,"A"),0)</f>
        <v>0</v>
      </c>
      <c r="E10" s="181">
        <f>IFERROR('PROM (Ingles 7°)'!N9,0)</f>
        <v>0</v>
      </c>
      <c r="F10" s="181">
        <f>IFERROR(COUNTBLANK('PROM (Ingles 7°)'!C9:M9),0)</f>
        <v>11</v>
      </c>
      <c r="G10" s="181"/>
      <c r="H10" s="181"/>
      <c r="I10" s="181"/>
      <c r="J10" s="181"/>
      <c r="K10" s="181"/>
      <c r="L10" s="181"/>
      <c r="M10" s="181"/>
      <c r="N10" s="181"/>
      <c r="O10" s="181"/>
      <c r="P10" s="181"/>
      <c r="Q10" s="181"/>
    </row>
    <row r="11" spans="1:17">
      <c r="A11" s="181">
        <v>7</v>
      </c>
      <c r="B11" s="181">
        <v>6</v>
      </c>
      <c r="C11" s="181">
        <f>IFERROR(MAESTRO!B10,)</f>
        <v>0</v>
      </c>
      <c r="D11" s="181">
        <f>IFERROR(COUNTIF('Asistencia (7°)'!C8:AZ8,"A"),0)</f>
        <v>0</v>
      </c>
      <c r="E11" s="181">
        <f>IFERROR('PROM (Ingles 7°)'!N10,0)</f>
        <v>0</v>
      </c>
      <c r="F11" s="181">
        <f>IFERROR(COUNTBLANK('PROM (Ingles 7°)'!C10:M10),0)</f>
        <v>11</v>
      </c>
      <c r="G11" s="181"/>
      <c r="H11" s="181"/>
      <c r="I11" s="181"/>
      <c r="J11" s="181"/>
      <c r="K11" s="181"/>
      <c r="L11" s="181"/>
      <c r="M11" s="181"/>
      <c r="N11" s="181"/>
      <c r="O11" s="181"/>
      <c r="P11" s="181"/>
      <c r="Q11" s="181"/>
    </row>
    <row r="12" spans="1:17">
      <c r="A12" s="181">
        <v>7</v>
      </c>
      <c r="B12" s="181">
        <v>7</v>
      </c>
      <c r="C12" s="181">
        <f>IFERROR(MAESTRO!B11,)</f>
        <v>0</v>
      </c>
      <c r="D12" s="181">
        <f>IFERROR(COUNTIF('Asistencia (7°)'!C9:AZ9,"A"),0)</f>
        <v>0</v>
      </c>
      <c r="E12" s="181">
        <f>IFERROR('PROM (Ingles 7°)'!N11,0)</f>
        <v>0</v>
      </c>
      <c r="F12" s="181">
        <f>IFERROR(COUNTBLANK('PROM (Ingles 7°)'!C11:M11),0)</f>
        <v>11</v>
      </c>
      <c r="G12" s="181"/>
      <c r="H12" s="181"/>
      <c r="I12" s="181"/>
      <c r="J12" s="181"/>
      <c r="K12" s="181"/>
      <c r="L12" s="181"/>
      <c r="M12" s="181"/>
      <c r="N12" s="181"/>
      <c r="O12" s="181"/>
      <c r="P12" s="181"/>
      <c r="Q12" s="181"/>
    </row>
    <row r="13" spans="1:17">
      <c r="A13" s="181">
        <v>7</v>
      </c>
      <c r="B13" s="181">
        <v>8</v>
      </c>
      <c r="C13" s="181">
        <f>IFERROR(MAESTRO!B12,)</f>
        <v>0</v>
      </c>
      <c r="D13" s="181">
        <f>IFERROR(COUNTIF('Asistencia (7°)'!C10:AZ10,"A"),0)</f>
        <v>0</v>
      </c>
      <c r="E13" s="181">
        <f>IFERROR('PROM (Ingles 7°)'!N12,0)</f>
        <v>0</v>
      </c>
      <c r="F13" s="181">
        <f>IFERROR(COUNTBLANK('PROM (Ingles 7°)'!C12:M12),0)</f>
        <v>11</v>
      </c>
      <c r="G13" s="181"/>
      <c r="H13" s="181"/>
      <c r="I13" s="181"/>
      <c r="J13" s="181"/>
      <c r="K13" s="181"/>
      <c r="L13" s="181"/>
      <c r="M13" s="181"/>
      <c r="N13" s="181"/>
      <c r="O13" s="181"/>
      <c r="P13" s="181"/>
      <c r="Q13" s="181"/>
    </row>
    <row r="14" spans="1:17">
      <c r="A14" s="181">
        <v>7</v>
      </c>
      <c r="B14" s="181">
        <v>9</v>
      </c>
      <c r="C14" s="181">
        <f>IFERROR(MAESTRO!B13,)</f>
        <v>0</v>
      </c>
      <c r="D14" s="181">
        <f>IFERROR(COUNTIF('Asistencia (7°)'!C11:AZ11,"A"),0)</f>
        <v>0</v>
      </c>
      <c r="E14" s="181">
        <f>IFERROR('PROM (Ingles 7°)'!N13,0)</f>
        <v>0</v>
      </c>
      <c r="F14" s="181">
        <f>IFERROR(COUNTBLANK('PROM (Ingles 7°)'!C13:M13),0)</f>
        <v>11</v>
      </c>
      <c r="G14" s="181"/>
      <c r="H14" s="181"/>
      <c r="I14" s="181"/>
      <c r="J14" s="181"/>
      <c r="K14" s="181"/>
      <c r="L14" s="181"/>
      <c r="M14" s="181"/>
      <c r="N14" s="181"/>
      <c r="O14" s="181"/>
      <c r="P14" s="181"/>
      <c r="Q14" s="181"/>
    </row>
    <row r="15" spans="1:17">
      <c r="A15" s="181">
        <v>7</v>
      </c>
      <c r="B15" s="181">
        <v>10</v>
      </c>
      <c r="C15" s="181">
        <f>IFERROR(MAESTRO!B14,)</f>
        <v>0</v>
      </c>
      <c r="D15" s="181">
        <f>IFERROR(COUNTIF('Asistencia (7°)'!C12:AZ12,"A"),0)</f>
        <v>0</v>
      </c>
      <c r="E15" s="181">
        <f>IFERROR('PROM (Ingles 7°)'!N14,0)</f>
        <v>0</v>
      </c>
      <c r="F15" s="181">
        <f>IFERROR(COUNTBLANK('PROM (Ingles 7°)'!C14:M14),0)</f>
        <v>11</v>
      </c>
      <c r="G15" s="181"/>
      <c r="H15" s="181"/>
      <c r="I15" s="181"/>
      <c r="J15" s="181"/>
      <c r="K15" s="181"/>
      <c r="L15" s="181"/>
      <c r="M15" s="181"/>
      <c r="N15" s="181"/>
      <c r="O15" s="181"/>
      <c r="P15" s="181"/>
      <c r="Q15" s="181"/>
    </row>
    <row r="16" spans="1:17">
      <c r="A16" s="181">
        <v>7</v>
      </c>
      <c r="B16" s="181">
        <v>11</v>
      </c>
      <c r="C16" s="181">
        <f>IFERROR(MAESTRO!B15,)</f>
        <v>0</v>
      </c>
      <c r="D16" s="181">
        <f>IFERROR(COUNTIF('Asistencia (7°)'!C13:AZ13,"A"),0)</f>
        <v>0</v>
      </c>
      <c r="E16" s="181">
        <f>IFERROR('PROM (Ingles 7°)'!N15,0)</f>
        <v>0</v>
      </c>
      <c r="F16" s="181">
        <f>IFERROR(COUNTBLANK('PROM (Ingles 7°)'!C15:M15),0)</f>
        <v>11</v>
      </c>
      <c r="G16" s="181"/>
      <c r="H16" s="181"/>
      <c r="I16" s="181"/>
      <c r="J16" s="181"/>
      <c r="K16" s="181"/>
      <c r="L16" s="181"/>
      <c r="M16" s="181"/>
      <c r="N16" s="181"/>
      <c r="O16" s="181"/>
      <c r="P16" s="181"/>
      <c r="Q16" s="181"/>
    </row>
    <row r="17" spans="1:17">
      <c r="A17" s="181">
        <v>7</v>
      </c>
      <c r="B17" s="181">
        <v>12</v>
      </c>
      <c r="C17" s="181">
        <f>IFERROR(MAESTRO!B16,)</f>
        <v>0</v>
      </c>
      <c r="D17" s="181">
        <f>IFERROR(COUNTIF('Asistencia (7°)'!C14:AZ14,"A"),0)</f>
        <v>0</v>
      </c>
      <c r="E17" s="181">
        <f>IFERROR('PROM (Ingles 7°)'!N16,0)</f>
        <v>0</v>
      </c>
      <c r="F17" s="181">
        <f>IFERROR(COUNTBLANK('PROM (Ingles 7°)'!C16:M16),0)</f>
        <v>11</v>
      </c>
      <c r="G17" s="181"/>
      <c r="H17" s="181"/>
      <c r="I17" s="181"/>
      <c r="J17" s="181"/>
      <c r="K17" s="181"/>
      <c r="L17" s="181"/>
      <c r="M17" s="181"/>
      <c r="N17" s="181"/>
      <c r="O17" s="181"/>
      <c r="P17" s="181"/>
      <c r="Q17" s="181"/>
    </row>
    <row r="18" spans="1:17">
      <c r="A18" s="181">
        <v>7</v>
      </c>
      <c r="B18" s="181">
        <v>13</v>
      </c>
      <c r="C18" s="181">
        <f>IFERROR(MAESTRO!B17,)</f>
        <v>0</v>
      </c>
      <c r="D18" s="181">
        <f>IFERROR(COUNTIF('Asistencia (7°)'!C15:AZ15,"A"),0)</f>
        <v>0</v>
      </c>
      <c r="E18" s="181">
        <f>IFERROR('PROM (Ingles 7°)'!N17,0)</f>
        <v>0</v>
      </c>
      <c r="F18" s="181">
        <f>IFERROR(COUNTBLANK('PROM (Ingles 7°)'!C17:M17),0)</f>
        <v>11</v>
      </c>
      <c r="G18" s="181"/>
      <c r="H18" s="181"/>
      <c r="I18" s="181"/>
      <c r="J18" s="181"/>
      <c r="K18" s="181"/>
      <c r="L18" s="181"/>
      <c r="M18" s="181"/>
      <c r="N18" s="181"/>
      <c r="O18" s="181"/>
      <c r="P18" s="181"/>
      <c r="Q18" s="181"/>
    </row>
    <row r="19" spans="1:17">
      <c r="A19" s="181">
        <v>7</v>
      </c>
      <c r="B19" s="181">
        <v>14</v>
      </c>
      <c r="C19" s="181">
        <f>IFERROR(MAESTRO!B18,)</f>
        <v>0</v>
      </c>
      <c r="D19" s="181">
        <f>IFERROR(COUNTIF('Asistencia (7°)'!C16:AZ16,"A"),0)</f>
        <v>0</v>
      </c>
      <c r="E19" s="181">
        <f>IFERROR('PROM (Ingles 7°)'!N18,0)</f>
        <v>0</v>
      </c>
      <c r="F19" s="181">
        <f>IFERROR(COUNTBLANK('PROM (Ingles 7°)'!C18:M18),0)</f>
        <v>11</v>
      </c>
      <c r="G19" s="181"/>
      <c r="H19" s="181"/>
      <c r="I19" s="181"/>
      <c r="J19" s="181"/>
      <c r="K19" s="181"/>
      <c r="L19" s="181"/>
      <c r="M19" s="181"/>
      <c r="N19" s="181"/>
      <c r="O19" s="181"/>
      <c r="P19" s="181"/>
      <c r="Q19" s="181"/>
    </row>
    <row r="20" spans="1:17">
      <c r="A20" s="181">
        <v>7</v>
      </c>
      <c r="B20" s="181">
        <v>15</v>
      </c>
      <c r="C20" s="181">
        <f>IFERROR(MAESTRO!B19,)</f>
        <v>0</v>
      </c>
      <c r="D20" s="181">
        <f>IFERROR(COUNTIF('Asistencia (7°)'!C17:AZ17,"A"),0)</f>
        <v>0</v>
      </c>
      <c r="E20" s="181">
        <f>IFERROR('PROM (Ingles 7°)'!N19,0)</f>
        <v>0</v>
      </c>
      <c r="F20" s="181">
        <f>IFERROR(COUNTBLANK('PROM (Ingles 7°)'!C19:M19),0)</f>
        <v>11</v>
      </c>
      <c r="G20" s="181"/>
      <c r="H20" s="181"/>
      <c r="I20" s="181"/>
      <c r="J20" s="181"/>
      <c r="K20" s="181"/>
      <c r="L20" s="181"/>
      <c r="M20" s="181"/>
      <c r="N20" s="181"/>
      <c r="O20" s="181"/>
      <c r="P20" s="181"/>
      <c r="Q20" s="181"/>
    </row>
    <row r="21" spans="1:17">
      <c r="A21" s="181">
        <v>7</v>
      </c>
      <c r="B21" s="181">
        <v>16</v>
      </c>
      <c r="C21" s="181">
        <f>IFERROR(MAESTRO!B20,)</f>
        <v>0</v>
      </c>
      <c r="D21" s="181">
        <f>IFERROR(COUNTIF('Asistencia (7°)'!C18:AZ18,"A"),0)</f>
        <v>0</v>
      </c>
      <c r="E21" s="181">
        <f>IFERROR('PROM (Ingles 7°)'!N20,0)</f>
        <v>0</v>
      </c>
      <c r="F21" s="181">
        <f>IFERROR(COUNTBLANK('PROM (Ingles 7°)'!C20:M20),0)</f>
        <v>11</v>
      </c>
      <c r="G21" s="181"/>
      <c r="H21" s="181"/>
      <c r="I21" s="181"/>
      <c r="J21" s="181"/>
      <c r="K21" s="181"/>
      <c r="L21" s="181"/>
      <c r="M21" s="181"/>
      <c r="N21" s="181"/>
      <c r="O21" s="181"/>
      <c r="P21" s="181"/>
      <c r="Q21" s="181"/>
    </row>
    <row r="22" spans="1:17">
      <c r="A22" s="181">
        <v>7</v>
      </c>
      <c r="B22" s="181">
        <v>17</v>
      </c>
      <c r="C22" s="181">
        <f>IFERROR(MAESTRO!B21,)</f>
        <v>0</v>
      </c>
      <c r="D22" s="181">
        <f>IFERROR(COUNTIF('Asistencia (7°)'!C19:AZ19,"A"),0)</f>
        <v>0</v>
      </c>
      <c r="E22" s="181">
        <f>IFERROR('PROM (Ingles 7°)'!N21,0)</f>
        <v>0</v>
      </c>
      <c r="F22" s="181">
        <f>IFERROR(COUNTBLANK('PROM (Ingles 7°)'!C21:M21),0)</f>
        <v>11</v>
      </c>
      <c r="G22" s="181"/>
      <c r="H22" s="181"/>
      <c r="I22" s="181"/>
      <c r="J22" s="181"/>
      <c r="K22" s="181"/>
      <c r="L22" s="181"/>
      <c r="M22" s="181"/>
      <c r="N22" s="181"/>
      <c r="O22" s="181"/>
      <c r="P22" s="181"/>
      <c r="Q22" s="181"/>
    </row>
    <row r="23" spans="1:17">
      <c r="A23" s="181">
        <v>7</v>
      </c>
      <c r="B23" s="181">
        <v>18</v>
      </c>
      <c r="C23" s="181">
        <f>IFERROR(MAESTRO!B22,)</f>
        <v>0</v>
      </c>
      <c r="D23" s="181">
        <f>IFERROR(COUNTIF('Asistencia (7°)'!C20:AZ20,"A"),0)</f>
        <v>0</v>
      </c>
      <c r="E23" s="181">
        <f>IFERROR('PROM (Ingles 7°)'!N22,0)</f>
        <v>0</v>
      </c>
      <c r="F23" s="181">
        <f>IFERROR(COUNTBLANK('PROM (Ingles 7°)'!C22:M22),0)</f>
        <v>11</v>
      </c>
      <c r="G23" s="181"/>
      <c r="H23" s="181"/>
      <c r="I23" s="181"/>
      <c r="J23" s="181"/>
      <c r="K23" s="181"/>
      <c r="L23" s="181"/>
      <c r="M23" s="181"/>
      <c r="N23" s="181"/>
      <c r="O23" s="181"/>
      <c r="P23" s="181"/>
      <c r="Q23" s="181"/>
    </row>
    <row r="24" spans="1:17">
      <c r="A24" s="181">
        <v>7</v>
      </c>
      <c r="B24" s="181">
        <v>19</v>
      </c>
      <c r="C24" s="181">
        <f>IFERROR(MAESTRO!B23,)</f>
        <v>0</v>
      </c>
      <c r="D24" s="181">
        <f>IFERROR(COUNTIF('Asistencia (7°)'!C21:AZ21,"A"),0)</f>
        <v>0</v>
      </c>
      <c r="E24" s="181">
        <f>IFERROR('PROM (Ingles 7°)'!N23,0)</f>
        <v>0</v>
      </c>
      <c r="F24" s="181">
        <f>IFERROR(COUNTBLANK('PROM (Ingles 7°)'!C23:M23),0)</f>
        <v>11</v>
      </c>
      <c r="G24" s="181"/>
      <c r="H24" s="181"/>
      <c r="I24" s="181"/>
      <c r="J24" s="181"/>
      <c r="K24" s="181"/>
      <c r="L24" s="181"/>
      <c r="M24" s="181"/>
      <c r="N24" s="181"/>
      <c r="O24" s="181"/>
      <c r="P24" s="181"/>
      <c r="Q24" s="181"/>
    </row>
    <row r="25" spans="1:17">
      <c r="A25" s="181">
        <v>7</v>
      </c>
      <c r="B25" s="181">
        <v>20</v>
      </c>
      <c r="C25" s="181">
        <f>IFERROR(MAESTRO!B24,)</f>
        <v>0</v>
      </c>
      <c r="D25" s="181">
        <f>IFERROR(COUNTIF('Asistencia (7°)'!C22:AZ22,"A"),0)</f>
        <v>0</v>
      </c>
      <c r="E25" s="181">
        <f>IFERROR('PROM (Ingles 7°)'!N24,0)</f>
        <v>0</v>
      </c>
      <c r="F25" s="181">
        <f>IFERROR(COUNTBLANK('PROM (Ingles 7°)'!C24:M24),0)</f>
        <v>11</v>
      </c>
      <c r="G25" s="181"/>
      <c r="H25" s="181"/>
      <c r="I25" s="181"/>
      <c r="J25" s="181"/>
      <c r="K25" s="181"/>
      <c r="L25" s="181"/>
      <c r="M25" s="181"/>
      <c r="N25" s="181"/>
      <c r="O25" s="181"/>
      <c r="P25" s="181"/>
      <c r="Q25" s="181"/>
    </row>
    <row r="26" spans="1:17">
      <c r="A26" s="181">
        <v>7</v>
      </c>
      <c r="B26" s="181">
        <v>21</v>
      </c>
      <c r="C26" s="181">
        <f>IFERROR(MAESTRO!B25,)</f>
        <v>0</v>
      </c>
      <c r="D26" s="181">
        <f>IFERROR(COUNTIF('Asistencia (7°)'!C23:AZ23,"A"),0)</f>
        <v>0</v>
      </c>
      <c r="E26" s="181">
        <f>IFERROR('PROM (Ingles 7°)'!N25,0)</f>
        <v>0</v>
      </c>
      <c r="F26" s="181">
        <f>IFERROR(COUNTBLANK('PROM (Ingles 7°)'!C25:M25),0)</f>
        <v>11</v>
      </c>
      <c r="G26" s="181"/>
      <c r="H26" s="181"/>
      <c r="I26" s="181"/>
      <c r="J26" s="181"/>
      <c r="K26" s="181"/>
      <c r="L26" s="181"/>
      <c r="M26" s="181"/>
      <c r="N26" s="181"/>
      <c r="O26" s="181"/>
      <c r="P26" s="181"/>
      <c r="Q26" s="181"/>
    </row>
    <row r="27" spans="1:17">
      <c r="A27" s="181">
        <v>7</v>
      </c>
      <c r="B27" s="181">
        <v>22</v>
      </c>
      <c r="C27" s="181">
        <f>IFERROR(MAESTRO!B26,)</f>
        <v>0</v>
      </c>
      <c r="D27" s="181">
        <f>IFERROR(COUNTIF('Asistencia (7°)'!C24:AZ24,"A"),0)</f>
        <v>0</v>
      </c>
      <c r="E27" s="181">
        <f>IFERROR('PROM (Ingles 7°)'!N26,0)</f>
        <v>0</v>
      </c>
      <c r="F27" s="181">
        <f>IFERROR(COUNTBLANK('PROM (Ingles 7°)'!C26:M26),0)</f>
        <v>11</v>
      </c>
      <c r="G27" s="181"/>
      <c r="H27" s="181"/>
      <c r="I27" s="181"/>
      <c r="J27" s="181"/>
      <c r="K27" s="181"/>
      <c r="L27" s="181"/>
      <c r="M27" s="181"/>
      <c r="N27" s="181"/>
      <c r="O27" s="181"/>
      <c r="P27" s="181"/>
      <c r="Q27" s="181"/>
    </row>
    <row r="28" spans="1:17">
      <c r="A28" s="181">
        <v>7</v>
      </c>
      <c r="B28" s="181">
        <v>23</v>
      </c>
      <c r="C28" s="181">
        <f>IFERROR(MAESTRO!B27,)</f>
        <v>0</v>
      </c>
      <c r="D28" s="181">
        <f>IFERROR(COUNTIF('Asistencia (7°)'!C25:AZ25,"A"),0)</f>
        <v>0</v>
      </c>
      <c r="E28" s="181">
        <f>IFERROR('PROM (Ingles 7°)'!N27,0)</f>
        <v>0</v>
      </c>
      <c r="F28" s="181">
        <f>IFERROR(COUNTBLANK('PROM (Ingles 7°)'!C27:M27),0)</f>
        <v>11</v>
      </c>
      <c r="G28" s="181"/>
      <c r="H28" s="181"/>
      <c r="I28" s="181"/>
      <c r="J28" s="181"/>
      <c r="K28" s="181"/>
      <c r="L28" s="181"/>
      <c r="M28" s="181"/>
      <c r="N28" s="181"/>
      <c r="O28" s="181"/>
      <c r="P28" s="181"/>
      <c r="Q28" s="181"/>
    </row>
    <row r="29" spans="1:17">
      <c r="A29" s="181">
        <v>7</v>
      </c>
      <c r="B29" s="181">
        <v>24</v>
      </c>
      <c r="C29" s="181">
        <f>IFERROR(MAESTRO!B28,)</f>
        <v>0</v>
      </c>
      <c r="D29" s="181">
        <f>IFERROR(COUNTIF('Asistencia (7°)'!C26:AZ26,"A"),0)</f>
        <v>0</v>
      </c>
      <c r="E29" s="181">
        <f>IFERROR('PROM (Ingles 7°)'!N28,0)</f>
        <v>0</v>
      </c>
      <c r="F29" s="181">
        <f>IFERROR(COUNTBLANK('PROM (Ingles 7°)'!C28:M28),0)</f>
        <v>11</v>
      </c>
      <c r="G29" s="181"/>
      <c r="H29" s="181"/>
      <c r="I29" s="181"/>
      <c r="J29" s="181"/>
      <c r="K29" s="181"/>
      <c r="L29" s="181"/>
      <c r="M29" s="181"/>
      <c r="N29" s="181"/>
      <c r="O29" s="181"/>
      <c r="P29" s="181"/>
      <c r="Q29" s="181"/>
    </row>
    <row r="30" spans="1:17">
      <c r="A30" s="181">
        <v>7</v>
      </c>
      <c r="B30" s="181">
        <v>25</v>
      </c>
      <c r="C30" s="181">
        <f>IFERROR(MAESTRO!B29,)</f>
        <v>0</v>
      </c>
      <c r="D30" s="181">
        <f>IFERROR(COUNTIF('Asistencia (7°)'!C27:AZ27,"A"),0)</f>
        <v>0</v>
      </c>
      <c r="E30" s="181">
        <f>IFERROR('PROM (Ingles 7°)'!N29,0)</f>
        <v>0</v>
      </c>
      <c r="F30" s="181">
        <f>IFERROR(COUNTBLANK('PROM (Ingles 7°)'!C29:M29),0)</f>
        <v>11</v>
      </c>
      <c r="G30" s="181"/>
      <c r="H30" s="181"/>
      <c r="I30" s="181"/>
      <c r="J30" s="181"/>
      <c r="K30" s="181"/>
      <c r="L30" s="181"/>
      <c r="M30" s="181"/>
      <c r="N30" s="181"/>
      <c r="O30" s="181"/>
      <c r="P30" s="181"/>
      <c r="Q30" s="181"/>
    </row>
    <row r="31" spans="1:17">
      <c r="A31" s="181">
        <v>7</v>
      </c>
      <c r="B31" s="181">
        <v>26</v>
      </c>
      <c r="C31" s="181">
        <f>IFERROR(MAESTRO!B30,)</f>
        <v>0</v>
      </c>
      <c r="D31" s="181">
        <f>IFERROR(COUNTIF('Asistencia (7°)'!C28:AZ28,"A"),0)</f>
        <v>0</v>
      </c>
      <c r="E31" s="181">
        <f>IFERROR('PROM (Ingles 7°)'!N30,0)</f>
        <v>0</v>
      </c>
      <c r="F31" s="181">
        <f>IFERROR(COUNTBLANK('PROM (Ingles 7°)'!C30:M30),0)</f>
        <v>11</v>
      </c>
      <c r="G31" s="181"/>
      <c r="H31" s="181"/>
      <c r="I31" s="181"/>
      <c r="J31" s="181"/>
      <c r="K31" s="181"/>
      <c r="L31" s="181"/>
      <c r="M31" s="181"/>
      <c r="N31" s="181"/>
      <c r="O31" s="181"/>
      <c r="P31" s="181"/>
      <c r="Q31" s="181"/>
    </row>
    <row r="32" spans="1:17">
      <c r="A32" s="181">
        <v>7</v>
      </c>
      <c r="B32" s="181">
        <v>27</v>
      </c>
      <c r="C32" s="181">
        <f>IFERROR(MAESTRO!B31,)</f>
        <v>0</v>
      </c>
      <c r="D32" s="181">
        <f>IFERROR(COUNTIF('Asistencia (7°)'!C29:AZ29,"A"),0)</f>
        <v>0</v>
      </c>
      <c r="E32" s="181">
        <f>IFERROR('PROM (Ingles 7°)'!N31,0)</f>
        <v>0</v>
      </c>
      <c r="F32" s="181">
        <f>IFERROR(COUNTBLANK('PROM (Ingles 7°)'!C31:M31),0)</f>
        <v>11</v>
      </c>
      <c r="G32" s="181"/>
      <c r="H32" s="181"/>
      <c r="I32" s="181"/>
      <c r="J32" s="181"/>
      <c r="K32" s="181"/>
      <c r="L32" s="181"/>
      <c r="M32" s="181"/>
      <c r="N32" s="181"/>
      <c r="O32" s="181"/>
      <c r="P32" s="181"/>
      <c r="Q32" s="181"/>
    </row>
    <row r="33" spans="1:17">
      <c r="A33" s="181">
        <v>7</v>
      </c>
      <c r="B33" s="181">
        <v>28</v>
      </c>
      <c r="C33" s="181">
        <f>IFERROR(MAESTRO!B32,)</f>
        <v>0</v>
      </c>
      <c r="D33" s="181">
        <f>IFERROR(COUNTIF('Asistencia (7°)'!C30:AZ30,"A"),0)</f>
        <v>0</v>
      </c>
      <c r="E33" s="181">
        <f>IFERROR('PROM (Ingles 7°)'!N32,0)</f>
        <v>0</v>
      </c>
      <c r="F33" s="181">
        <f>IFERROR(COUNTBLANK('PROM (Ingles 7°)'!C32:M32),0)</f>
        <v>11</v>
      </c>
      <c r="G33" s="181"/>
      <c r="H33" s="181"/>
      <c r="I33" s="181"/>
      <c r="J33" s="181"/>
      <c r="K33" s="181"/>
      <c r="L33" s="181"/>
      <c r="M33" s="181"/>
      <c r="N33" s="181"/>
      <c r="O33" s="181"/>
      <c r="P33" s="181"/>
      <c r="Q33" s="181"/>
    </row>
    <row r="34" spans="1:17">
      <c r="A34" s="181">
        <v>7</v>
      </c>
      <c r="B34" s="181">
        <v>29</v>
      </c>
      <c r="C34" s="181">
        <f>IFERROR(MAESTRO!B33,)</f>
        <v>0</v>
      </c>
      <c r="D34" s="181">
        <f>IFERROR(COUNTIF('Asistencia (7°)'!C31:AZ31,"A"),0)</f>
        <v>0</v>
      </c>
      <c r="E34" s="181">
        <f>IFERROR('PROM (Ingles 7°)'!N33,0)</f>
        <v>0</v>
      </c>
      <c r="F34" s="181">
        <f>IFERROR(COUNTBLANK('PROM (Ingles 7°)'!C33:M33),0)</f>
        <v>11</v>
      </c>
      <c r="G34" s="181"/>
      <c r="H34" s="181"/>
      <c r="I34" s="181"/>
      <c r="J34" s="181"/>
      <c r="K34" s="181"/>
      <c r="L34" s="181"/>
      <c r="M34" s="181"/>
      <c r="N34" s="181"/>
      <c r="O34" s="181"/>
      <c r="P34" s="181"/>
      <c r="Q34" s="181"/>
    </row>
    <row r="35" spans="1:17">
      <c r="A35" s="181">
        <v>7</v>
      </c>
      <c r="B35" s="181">
        <v>30</v>
      </c>
      <c r="C35" s="181">
        <f>IFERROR(MAESTRO!B34,)</f>
        <v>0</v>
      </c>
      <c r="D35" s="181">
        <f>IFERROR(COUNTIF('Asistencia (7°)'!C32:AZ32,"A"),0)</f>
        <v>0</v>
      </c>
      <c r="E35" s="181">
        <f>IFERROR('PROM (Ingles 7°)'!N34,0)</f>
        <v>0</v>
      </c>
      <c r="F35" s="181">
        <f>IFERROR(COUNTBLANK('PROM (Ingles 7°)'!C34:M34),0)</f>
        <v>11</v>
      </c>
      <c r="G35" s="181"/>
      <c r="H35" s="193"/>
      <c r="I35" s="194"/>
      <c r="J35" s="194"/>
      <c r="K35" s="194"/>
      <c r="L35" s="194"/>
      <c r="M35" s="194"/>
      <c r="N35" s="194"/>
      <c r="O35" s="194"/>
      <c r="P35" s="194"/>
      <c r="Q35" s="194"/>
    </row>
    <row r="36" spans="1:17">
      <c r="A36" s="181">
        <v>7</v>
      </c>
      <c r="B36" s="181">
        <v>31</v>
      </c>
      <c r="C36" s="181">
        <f>IFERROR(MAESTRO!B35,)</f>
        <v>0</v>
      </c>
      <c r="D36" s="181">
        <f>IFERROR(COUNTIF('Asistencia (7°)'!C33:AZ33,"A"),0)</f>
        <v>0</v>
      </c>
      <c r="E36" s="181">
        <f>IFERROR('PROM (Ingles 7°)'!N35,0)</f>
        <v>0</v>
      </c>
      <c r="F36" s="181">
        <f>IFERROR(COUNTBLANK('PROM (Ingles 7°)'!C35:M35),0)</f>
        <v>11</v>
      </c>
      <c r="G36" s="181"/>
      <c r="H36" s="194"/>
      <c r="I36" s="194"/>
      <c r="J36" s="194"/>
      <c r="K36" s="194"/>
      <c r="L36" s="194"/>
      <c r="M36" s="194"/>
      <c r="N36" s="194"/>
      <c r="O36" s="194"/>
      <c r="P36" s="194"/>
      <c r="Q36" s="194"/>
    </row>
    <row r="37" spans="1:17">
      <c r="A37" s="181">
        <v>7</v>
      </c>
      <c r="B37" s="181">
        <v>32</v>
      </c>
      <c r="C37" s="181">
        <f>IFERROR(MAESTRO!B36,)</f>
        <v>0</v>
      </c>
      <c r="D37" s="181">
        <f>IFERROR(COUNTIF('Asistencia (7°)'!C34:AZ34,"A"),0)</f>
        <v>0</v>
      </c>
      <c r="E37" s="181">
        <f>IFERROR('PROM (Ingles 7°)'!N36,0)</f>
        <v>0</v>
      </c>
      <c r="F37" s="181">
        <f>IFERROR(COUNTBLANK('PROM (Ingles 7°)'!C36:M36),0)</f>
        <v>11</v>
      </c>
      <c r="G37" s="181"/>
      <c r="H37" s="194"/>
      <c r="I37" s="194"/>
      <c r="J37" s="194"/>
      <c r="K37" s="194"/>
      <c r="L37" s="194"/>
      <c r="M37" s="194"/>
      <c r="N37" s="194"/>
      <c r="O37" s="194"/>
      <c r="P37" s="194"/>
      <c r="Q37" s="194"/>
    </row>
    <row r="38" spans="1:17">
      <c r="A38" s="181">
        <v>7</v>
      </c>
      <c r="B38" s="181">
        <v>33</v>
      </c>
      <c r="C38" s="181">
        <f>IFERROR(MAESTRO!B37,)</f>
        <v>0</v>
      </c>
      <c r="D38" s="181">
        <f>IFERROR(COUNTIF('Asistencia (7°)'!C35:AZ35,"A"),0)</f>
        <v>0</v>
      </c>
      <c r="E38" s="181">
        <f>IFERROR('PROM (Ingles 7°)'!N37,0)</f>
        <v>0</v>
      </c>
      <c r="F38" s="181">
        <f>IFERROR(COUNTBLANK('PROM (Ingles 7°)'!C37:M37),0)</f>
        <v>11</v>
      </c>
      <c r="G38" s="181"/>
      <c r="H38" s="194"/>
      <c r="I38" s="194"/>
      <c r="J38" s="194"/>
      <c r="K38" s="194"/>
      <c r="L38" s="194"/>
      <c r="M38" s="194"/>
      <c r="N38" s="194"/>
      <c r="O38" s="194"/>
      <c r="P38" s="194"/>
      <c r="Q38" s="194"/>
    </row>
    <row r="39" spans="1:17">
      <c r="A39" s="181">
        <v>7</v>
      </c>
      <c r="B39" s="181">
        <v>34</v>
      </c>
      <c r="C39" s="181">
        <f>IFERROR(MAESTRO!B38,)</f>
        <v>0</v>
      </c>
      <c r="D39" s="181">
        <f>IFERROR(COUNTIF('Asistencia (7°)'!C36:AZ36,"A"),0)</f>
        <v>0</v>
      </c>
      <c r="E39" s="181">
        <f>IFERROR('PROM (Ingles 7°)'!N38,0)</f>
        <v>0</v>
      </c>
      <c r="F39" s="181">
        <f>IFERROR(COUNTBLANK('PROM (Ingles 7°)'!C38:M38),0)</f>
        <v>11</v>
      </c>
      <c r="G39" s="181"/>
      <c r="H39" s="181"/>
      <c r="I39" s="181"/>
      <c r="J39" s="181"/>
      <c r="K39" s="181"/>
      <c r="L39" s="181"/>
      <c r="M39" s="181"/>
      <c r="N39" s="181"/>
      <c r="O39" s="181"/>
      <c r="P39" s="181"/>
      <c r="Q39" s="181"/>
    </row>
    <row r="40" spans="1:17">
      <c r="A40" s="181">
        <v>7</v>
      </c>
      <c r="B40" s="181">
        <v>35</v>
      </c>
      <c r="C40" s="181">
        <f>IFERROR(MAESTRO!B39,)</f>
        <v>0</v>
      </c>
      <c r="D40" s="181">
        <f>IFERROR(COUNTIF('Asistencia (7°)'!C37:AZ37,"A"),0)</f>
        <v>0</v>
      </c>
      <c r="E40" s="181">
        <f>IFERROR('PROM (Ingles 7°)'!N39,0)</f>
        <v>0</v>
      </c>
      <c r="F40" s="181">
        <f>IFERROR(COUNTBLANK('PROM (Ingles 7°)'!C39:M39),0)</f>
        <v>11</v>
      </c>
      <c r="G40" s="181"/>
      <c r="H40" s="181"/>
      <c r="I40" s="181"/>
      <c r="J40" s="181"/>
      <c r="K40" s="181"/>
      <c r="L40" s="181"/>
      <c r="M40" s="181"/>
      <c r="N40" s="181"/>
      <c r="O40" s="181"/>
      <c r="P40" s="181"/>
      <c r="Q40" s="181"/>
    </row>
    <row r="41" spans="1:17">
      <c r="A41" s="181">
        <v>7</v>
      </c>
      <c r="B41" s="181">
        <v>36</v>
      </c>
      <c r="C41" s="181">
        <f>IFERROR(MAESTRO!B40,)</f>
        <v>0</v>
      </c>
      <c r="D41" s="181">
        <f>IFERROR(COUNTIF('Asistencia (7°)'!C38:AZ38,"A"),0)</f>
        <v>0</v>
      </c>
      <c r="E41" s="181">
        <f>IFERROR('PROM (Ingles 7°)'!N40,0)</f>
        <v>0</v>
      </c>
      <c r="F41" s="181">
        <f>IFERROR(COUNTBLANK('PROM (Ingles 7°)'!C40:M40),0)</f>
        <v>11</v>
      </c>
      <c r="G41" s="181"/>
      <c r="H41" s="181"/>
      <c r="I41" s="181"/>
      <c r="J41" s="181"/>
      <c r="K41" s="181"/>
      <c r="L41" s="181"/>
      <c r="M41" s="181"/>
      <c r="N41" s="181"/>
      <c r="O41" s="181"/>
      <c r="P41" s="181"/>
      <c r="Q41" s="181"/>
    </row>
    <row r="42" spans="1:17">
      <c r="A42" s="181">
        <v>7</v>
      </c>
      <c r="B42" s="181">
        <v>37</v>
      </c>
      <c r="C42" s="181">
        <f>IFERROR(MAESTRO!B41,)</f>
        <v>0</v>
      </c>
      <c r="D42" s="181">
        <f>IFERROR(COUNTIF('Asistencia (7°)'!C39:AZ39,"A"),0)</f>
        <v>0</v>
      </c>
      <c r="E42" s="181">
        <f>IFERROR('PROM (Ingles 7°)'!N41,0)</f>
        <v>0</v>
      </c>
      <c r="F42" s="181">
        <f>IFERROR(COUNTBLANK('PROM (Ingles 7°)'!C41:M41),0)</f>
        <v>11</v>
      </c>
      <c r="G42" s="181"/>
      <c r="H42" s="181"/>
      <c r="I42" s="181"/>
      <c r="J42" s="181"/>
      <c r="K42" s="181"/>
      <c r="L42" s="181"/>
      <c r="M42" s="181"/>
      <c r="N42" s="181"/>
      <c r="O42" s="181"/>
      <c r="P42" s="181"/>
      <c r="Q42" s="181"/>
    </row>
    <row r="43" spans="1:17">
      <c r="A43" s="181">
        <v>7</v>
      </c>
      <c r="B43" s="181">
        <v>38</v>
      </c>
      <c r="C43" s="181">
        <f>IFERROR(MAESTRO!B42,)</f>
        <v>0</v>
      </c>
      <c r="D43" s="181">
        <f>IFERROR(COUNTIF('Asistencia (7°)'!C40:AZ40,"A"),0)</f>
        <v>0</v>
      </c>
      <c r="E43" s="181">
        <f>IFERROR('PROM (Ingles 7°)'!N42,0)</f>
        <v>0</v>
      </c>
      <c r="F43" s="181">
        <f>IFERROR(COUNTBLANK('PROM (Ingles 7°)'!C42:M42),0)</f>
        <v>11</v>
      </c>
      <c r="G43" s="181"/>
      <c r="H43" s="181"/>
      <c r="I43" s="181"/>
      <c r="J43" s="181"/>
      <c r="K43" s="181"/>
      <c r="L43" s="181"/>
      <c r="M43" s="181"/>
      <c r="N43" s="181"/>
      <c r="O43" s="181"/>
      <c r="P43" s="181"/>
      <c r="Q43" s="181"/>
    </row>
    <row r="44" spans="1:17">
      <c r="A44" s="181">
        <v>7</v>
      </c>
      <c r="B44" s="181">
        <v>39</v>
      </c>
      <c r="C44" s="181">
        <f>IFERROR(MAESTRO!B43,)</f>
        <v>0</v>
      </c>
      <c r="D44" s="181">
        <f>IFERROR(COUNTIF('Asistencia (7°)'!C41:AZ41,"A"),0)</f>
        <v>0</v>
      </c>
      <c r="E44" s="181">
        <f>IFERROR('PROM (Ingles 7°)'!N43,0)</f>
        <v>0</v>
      </c>
      <c r="F44" s="181">
        <f>IFERROR(COUNTBLANK('PROM (Ingles 7°)'!C43:M43),0)</f>
        <v>11</v>
      </c>
      <c r="G44" s="181"/>
      <c r="H44" s="181"/>
      <c r="I44" s="181"/>
      <c r="J44" s="181"/>
      <c r="K44" s="181"/>
      <c r="L44" s="181"/>
      <c r="M44" s="181"/>
      <c r="N44" s="181"/>
      <c r="O44" s="181"/>
      <c r="P44" s="181"/>
      <c r="Q44" s="181"/>
    </row>
    <row r="45" spans="1:17">
      <c r="A45" s="181">
        <v>7</v>
      </c>
      <c r="B45" s="181">
        <v>40</v>
      </c>
      <c r="C45" s="181">
        <f>IFERROR(MAESTRO!B44,)</f>
        <v>0</v>
      </c>
      <c r="D45" s="181">
        <f>IFERROR(COUNTIF('Asistencia (7°)'!C42:AZ42,"A"),0)</f>
        <v>0</v>
      </c>
      <c r="E45" s="181">
        <f>IFERROR('PROM (Ingles 7°)'!N44,0)</f>
        <v>0</v>
      </c>
      <c r="F45" s="181">
        <f>IFERROR(COUNTBLANK('PROM (Ingles 7°)'!C44:M44),0)</f>
        <v>11</v>
      </c>
      <c r="G45" s="181"/>
      <c r="H45" s="181"/>
      <c r="I45" s="181"/>
      <c r="J45" s="181"/>
      <c r="K45" s="181"/>
      <c r="L45" s="181"/>
      <c r="M45" s="181"/>
      <c r="N45" s="181"/>
      <c r="O45" s="181"/>
      <c r="P45" s="181"/>
      <c r="Q45" s="181"/>
    </row>
    <row r="46" spans="1:17">
      <c r="A46" s="181">
        <v>8</v>
      </c>
      <c r="B46" s="181">
        <v>1</v>
      </c>
      <c r="C46" s="181">
        <f>IFERROR(MAESTRO!D5,)</f>
        <v>0</v>
      </c>
      <c r="D46" s="181">
        <f>IFERROR(COUNTIF('Asistencia (8°)'!C3:AZ3,"A"),0)</f>
        <v>0</v>
      </c>
      <c r="E46" s="181">
        <f>IFERROR('PROM (Ingles 8°)'!N5,0)</f>
        <v>0</v>
      </c>
      <c r="F46" s="181">
        <f>IFERROR(COUNTBLANK('PROM (Ingles 8°)'!C5:M5),0)</f>
        <v>11</v>
      </c>
      <c r="G46" s="181"/>
      <c r="H46" s="181"/>
      <c r="I46" s="181"/>
      <c r="J46" s="181"/>
      <c r="K46" s="181"/>
      <c r="L46" s="181"/>
      <c r="M46" s="181"/>
      <c r="N46" s="181"/>
      <c r="O46" s="181"/>
      <c r="P46" s="181"/>
      <c r="Q46" s="181"/>
    </row>
    <row r="47" spans="1:17">
      <c r="A47" s="181">
        <v>8</v>
      </c>
      <c r="B47" s="181">
        <v>2</v>
      </c>
      <c r="C47" s="181">
        <f>IFERROR(MAESTRO!D6,)</f>
        <v>0</v>
      </c>
      <c r="D47" s="181">
        <f>IFERROR(COUNTIF('Asistencia (8°)'!C4:AZ4,"A"),0)</f>
        <v>0</v>
      </c>
      <c r="E47" s="181">
        <f>IFERROR('PROM (Ingles 8°)'!N6,0)</f>
        <v>0</v>
      </c>
      <c r="F47" s="181">
        <f>IFERROR(COUNTBLANK('PROM (Ingles 8°)'!C6:M6),0)</f>
        <v>11</v>
      </c>
      <c r="G47" s="181"/>
      <c r="H47" s="181"/>
      <c r="I47" s="181"/>
      <c r="J47" s="181"/>
      <c r="K47" s="181"/>
      <c r="L47" s="181"/>
      <c r="M47" s="181"/>
      <c r="N47" s="181"/>
      <c r="O47" s="181"/>
      <c r="P47" s="181"/>
      <c r="Q47" s="181"/>
    </row>
    <row r="48" spans="1:17">
      <c r="A48" s="181">
        <v>8</v>
      </c>
      <c r="B48" s="181">
        <v>3</v>
      </c>
      <c r="C48" s="181">
        <f>IFERROR(MAESTRO!D7,)</f>
        <v>0</v>
      </c>
      <c r="D48" s="181">
        <f>IFERROR(COUNTIF('Asistencia (8°)'!C5:AZ5,"A"),0)</f>
        <v>0</v>
      </c>
      <c r="E48" s="181">
        <f>IFERROR('PROM (Ingles 8°)'!N7,0)</f>
        <v>0</v>
      </c>
      <c r="F48" s="181">
        <f>IFERROR(COUNTBLANK('PROM (Ingles 8°)'!C7:M7),0)</f>
        <v>11</v>
      </c>
      <c r="G48" s="181"/>
      <c r="H48" s="181"/>
      <c r="I48" s="181"/>
      <c r="J48" s="181"/>
      <c r="K48" s="181"/>
      <c r="L48" s="181"/>
      <c r="M48" s="181"/>
      <c r="N48" s="181"/>
      <c r="O48" s="181"/>
      <c r="P48" s="181"/>
      <c r="Q48" s="181"/>
    </row>
    <row r="49" spans="1:17">
      <c r="A49" s="181">
        <v>8</v>
      </c>
      <c r="B49" s="181">
        <v>4</v>
      </c>
      <c r="C49" s="181">
        <f>IFERROR(MAESTRO!D8,)</f>
        <v>0</v>
      </c>
      <c r="D49" s="181">
        <f>IFERROR(COUNTIF('Asistencia (8°)'!C6:AZ6,"A"),0)</f>
        <v>0</v>
      </c>
      <c r="E49" s="181">
        <f>IFERROR('PROM (Ingles 8°)'!N8,0)</f>
        <v>0</v>
      </c>
      <c r="F49" s="181">
        <f>IFERROR(COUNTBLANK('PROM (Ingles 8°)'!C8:M8),0)</f>
        <v>11</v>
      </c>
      <c r="G49" s="181"/>
      <c r="H49" s="181"/>
      <c r="I49" s="181"/>
      <c r="J49" s="181"/>
      <c r="K49" s="181"/>
      <c r="L49" s="181"/>
      <c r="M49" s="181"/>
      <c r="N49" s="181"/>
      <c r="O49" s="181"/>
      <c r="P49" s="181"/>
      <c r="Q49" s="181"/>
    </row>
    <row r="50" spans="1:17">
      <c r="A50" s="181">
        <v>8</v>
      </c>
      <c r="B50" s="181">
        <v>5</v>
      </c>
      <c r="C50" s="181">
        <f>IFERROR(MAESTRO!D9,)</f>
        <v>0</v>
      </c>
      <c r="D50" s="181">
        <f>IFERROR(COUNTIF('Asistencia (8°)'!C7:AZ7,"A"),0)</f>
        <v>0</v>
      </c>
      <c r="E50" s="181">
        <f>IFERROR('PROM (Ingles 8°)'!N9,0)</f>
        <v>0</v>
      </c>
      <c r="F50" s="181">
        <f>IFERROR(COUNTBLANK('PROM (Ingles 8°)'!C9:M9),0)</f>
        <v>11</v>
      </c>
      <c r="G50" s="181"/>
      <c r="H50" s="181"/>
      <c r="I50" s="181"/>
      <c r="J50" s="181"/>
      <c r="K50" s="181"/>
      <c r="L50" s="181"/>
      <c r="M50" s="181"/>
      <c r="N50" s="181"/>
      <c r="O50" s="181"/>
      <c r="P50" s="181"/>
      <c r="Q50" s="181"/>
    </row>
    <row r="51" spans="1:17">
      <c r="A51" s="181">
        <v>8</v>
      </c>
      <c r="B51" s="181">
        <v>6</v>
      </c>
      <c r="C51" s="181">
        <f>IFERROR(MAESTRO!D10,)</f>
        <v>0</v>
      </c>
      <c r="D51" s="181">
        <f>IFERROR(COUNTIF('Asistencia (8°)'!C8:AZ8,"A"),0)</f>
        <v>0</v>
      </c>
      <c r="E51" s="181">
        <f>IFERROR('PROM (Ingles 8°)'!N10,0)</f>
        <v>0</v>
      </c>
      <c r="F51" s="181">
        <f>IFERROR(COUNTBLANK('PROM (Ingles 8°)'!C10:M10),0)</f>
        <v>11</v>
      </c>
      <c r="G51" s="181"/>
      <c r="H51" s="181"/>
      <c r="I51" s="181"/>
      <c r="J51" s="181"/>
      <c r="K51" s="181"/>
      <c r="L51" s="181"/>
      <c r="M51" s="181"/>
      <c r="N51" s="181"/>
      <c r="O51" s="181"/>
      <c r="P51" s="181"/>
      <c r="Q51" s="181"/>
    </row>
    <row r="52" spans="1:17">
      <c r="A52" s="181">
        <v>8</v>
      </c>
      <c r="B52" s="181">
        <v>7</v>
      </c>
      <c r="C52" s="181">
        <f>IFERROR(MAESTRO!D11,)</f>
        <v>0</v>
      </c>
      <c r="D52" s="181">
        <f>IFERROR(COUNTIF('Asistencia (8°)'!C9:AZ9,"A"),0)</f>
        <v>0</v>
      </c>
      <c r="E52" s="181">
        <f>IFERROR('PROM (Ingles 8°)'!N11,0)</f>
        <v>0</v>
      </c>
      <c r="F52" s="181">
        <f>IFERROR(COUNTBLANK('PROM (Ingles 8°)'!C11:M11),0)</f>
        <v>11</v>
      </c>
      <c r="G52" s="181"/>
      <c r="H52" s="181"/>
      <c r="I52" s="181"/>
      <c r="J52" s="181"/>
      <c r="K52" s="181"/>
      <c r="L52" s="181"/>
      <c r="M52" s="181"/>
      <c r="N52" s="181"/>
      <c r="O52" s="181"/>
      <c r="P52" s="181"/>
      <c r="Q52" s="181"/>
    </row>
    <row r="53" spans="1:17">
      <c r="A53" s="181">
        <v>8</v>
      </c>
      <c r="B53" s="181">
        <v>8</v>
      </c>
      <c r="C53" s="181">
        <f>IFERROR(MAESTRO!D12,)</f>
        <v>0</v>
      </c>
      <c r="D53" s="181">
        <f>IFERROR(COUNTIF('Asistencia (8°)'!C10:AZ10,"A"),0)</f>
        <v>0</v>
      </c>
      <c r="E53" s="181">
        <f>IFERROR('PROM (Ingles 8°)'!N12,0)</f>
        <v>0</v>
      </c>
      <c r="F53" s="181">
        <f>IFERROR(COUNTBLANK('PROM (Ingles 8°)'!C12:M12),0)</f>
        <v>11</v>
      </c>
      <c r="G53" s="181"/>
      <c r="H53" s="181"/>
      <c r="I53" s="181"/>
      <c r="J53" s="181"/>
      <c r="K53" s="181"/>
      <c r="L53" s="181"/>
      <c r="M53" s="181"/>
      <c r="N53" s="181"/>
      <c r="O53" s="181"/>
      <c r="P53" s="181"/>
      <c r="Q53" s="181"/>
    </row>
    <row r="54" spans="1:17">
      <c r="A54" s="181">
        <v>8</v>
      </c>
      <c r="B54" s="181">
        <v>9</v>
      </c>
      <c r="C54" s="181">
        <f>IFERROR(MAESTRO!D13,)</f>
        <v>0</v>
      </c>
      <c r="D54" s="181">
        <f>IFERROR(COUNTIF('Asistencia (8°)'!C11:AZ11,"A"),0)</f>
        <v>0</v>
      </c>
      <c r="E54" s="181">
        <f>IFERROR('PROM (Ingles 8°)'!N13,0)</f>
        <v>0</v>
      </c>
      <c r="F54" s="181">
        <f>IFERROR(COUNTBLANK('PROM (Ingles 8°)'!C13:M13),0)</f>
        <v>11</v>
      </c>
      <c r="G54" s="181"/>
      <c r="H54" s="181"/>
      <c r="I54" s="181"/>
      <c r="J54" s="181"/>
      <c r="K54" s="181"/>
      <c r="L54" s="181"/>
      <c r="M54" s="181"/>
      <c r="N54" s="181"/>
      <c r="O54" s="181"/>
      <c r="P54" s="181"/>
      <c r="Q54" s="181"/>
    </row>
    <row r="55" spans="1:17">
      <c r="A55" s="181">
        <v>8</v>
      </c>
      <c r="B55" s="181">
        <v>10</v>
      </c>
      <c r="C55" s="181">
        <f>IFERROR(MAESTRO!D14,)</f>
        <v>0</v>
      </c>
      <c r="D55" s="181">
        <f>IFERROR(COUNTIF('Asistencia (8°)'!C12:AZ12,"A"),0)</f>
        <v>0</v>
      </c>
      <c r="E55" s="181">
        <f>IFERROR('PROM (Ingles 8°)'!N14,0)</f>
        <v>0</v>
      </c>
      <c r="F55" s="181">
        <f>IFERROR(COUNTBLANK('PROM (Ingles 8°)'!C14:M14),0)</f>
        <v>11</v>
      </c>
      <c r="G55" s="181"/>
      <c r="H55" s="181"/>
      <c r="I55" s="181"/>
      <c r="J55" s="181"/>
      <c r="K55" s="181"/>
      <c r="L55" s="181"/>
      <c r="M55" s="181"/>
      <c r="N55" s="181"/>
      <c r="O55" s="181"/>
      <c r="P55" s="181"/>
      <c r="Q55" s="181"/>
    </row>
    <row r="56" spans="1:17">
      <c r="A56" s="181">
        <v>8</v>
      </c>
      <c r="B56" s="181">
        <v>11</v>
      </c>
      <c r="C56" s="181">
        <f>IFERROR(MAESTRO!D15,)</f>
        <v>0</v>
      </c>
      <c r="D56" s="181">
        <f>IFERROR(COUNTIF('Asistencia (8°)'!C13:AZ13,"A"),0)</f>
        <v>0</v>
      </c>
      <c r="E56" s="181">
        <f>IFERROR('PROM (Ingles 8°)'!N15,0)</f>
        <v>0</v>
      </c>
      <c r="F56" s="181">
        <f>IFERROR(COUNTBLANK('PROM (Ingles 8°)'!C15:M15),0)</f>
        <v>11</v>
      </c>
      <c r="G56" s="181"/>
      <c r="H56" s="181"/>
      <c r="I56" s="181"/>
      <c r="J56" s="181"/>
      <c r="K56" s="181"/>
      <c r="L56" s="181"/>
      <c r="M56" s="181"/>
      <c r="N56" s="181"/>
      <c r="O56" s="181"/>
      <c r="P56" s="181"/>
      <c r="Q56" s="181"/>
    </row>
    <row r="57" spans="1:17">
      <c r="A57" s="181">
        <v>8</v>
      </c>
      <c r="B57" s="181">
        <v>12</v>
      </c>
      <c r="C57" s="181">
        <f>IFERROR(MAESTRO!D16,)</f>
        <v>0</v>
      </c>
      <c r="D57" s="181">
        <f>IFERROR(COUNTIF('Asistencia (8°)'!C14:AZ14,"A"),0)</f>
        <v>0</v>
      </c>
      <c r="E57" s="181">
        <f>IFERROR('PROM (Ingles 8°)'!N16,0)</f>
        <v>0</v>
      </c>
      <c r="F57" s="181">
        <f>IFERROR(COUNTBLANK('PROM (Ingles 8°)'!C16:M16),0)</f>
        <v>11</v>
      </c>
      <c r="G57" s="181"/>
      <c r="H57" s="181"/>
      <c r="I57" s="181"/>
      <c r="J57" s="181"/>
      <c r="K57" s="181"/>
      <c r="L57" s="181"/>
      <c r="M57" s="181"/>
      <c r="N57" s="181"/>
      <c r="O57" s="181"/>
      <c r="P57" s="181"/>
      <c r="Q57" s="181"/>
    </row>
    <row r="58" spans="1:17">
      <c r="A58" s="181">
        <v>8</v>
      </c>
      <c r="B58" s="181">
        <v>13</v>
      </c>
      <c r="C58" s="181">
        <f>IFERROR(MAESTRO!D17,)</f>
        <v>0</v>
      </c>
      <c r="D58" s="181">
        <f>IFERROR(COUNTIF('Asistencia (8°)'!C15:AZ15,"A"),0)</f>
        <v>0</v>
      </c>
      <c r="E58" s="181">
        <f>IFERROR('PROM (Ingles 8°)'!N17,0)</f>
        <v>0</v>
      </c>
      <c r="F58" s="181">
        <f>IFERROR(COUNTBLANK('PROM (Ingles 8°)'!C17:M17),0)</f>
        <v>11</v>
      </c>
      <c r="G58" s="181"/>
      <c r="H58" s="181"/>
      <c r="I58" s="181"/>
      <c r="J58" s="181"/>
      <c r="K58" s="181"/>
      <c r="L58" s="181"/>
      <c r="M58" s="181"/>
      <c r="N58" s="181"/>
      <c r="O58" s="181"/>
      <c r="P58" s="181"/>
      <c r="Q58" s="181"/>
    </row>
    <row r="59" spans="1:17">
      <c r="A59" s="181">
        <v>8</v>
      </c>
      <c r="B59" s="181">
        <v>14</v>
      </c>
      <c r="C59" s="181">
        <f>IFERROR(MAESTRO!D18,)</f>
        <v>0</v>
      </c>
      <c r="D59" s="181">
        <f>IFERROR(COUNTIF('Asistencia (8°)'!C16:AZ16,"A"),0)</f>
        <v>0</v>
      </c>
      <c r="E59" s="181">
        <f>IFERROR('PROM (Ingles 8°)'!N18,0)</f>
        <v>0</v>
      </c>
      <c r="F59" s="181">
        <f>IFERROR(COUNTBLANK('PROM (Ingles 8°)'!C18:M18),0)</f>
        <v>11</v>
      </c>
      <c r="G59" s="181"/>
      <c r="H59" s="181"/>
      <c r="I59" s="181"/>
      <c r="J59" s="181"/>
      <c r="K59" s="181"/>
      <c r="L59" s="181"/>
      <c r="M59" s="181"/>
      <c r="N59" s="181"/>
      <c r="O59" s="181"/>
      <c r="P59" s="181"/>
      <c r="Q59" s="181"/>
    </row>
    <row r="60" spans="1:17">
      <c r="A60" s="181">
        <v>8</v>
      </c>
      <c r="B60" s="181">
        <v>15</v>
      </c>
      <c r="C60" s="181">
        <f>IFERROR(MAESTRO!D19,)</f>
        <v>0</v>
      </c>
      <c r="D60" s="181">
        <f>IFERROR(COUNTIF('Asistencia (8°)'!C17:AZ17,"A"),0)</f>
        <v>0</v>
      </c>
      <c r="E60" s="181">
        <f>IFERROR('PROM (Ingles 8°)'!N19,0)</f>
        <v>0</v>
      </c>
      <c r="F60" s="181">
        <f>IFERROR(COUNTBLANK('PROM (Ingles 8°)'!C19:M19),0)</f>
        <v>11</v>
      </c>
      <c r="G60" s="181"/>
      <c r="H60" s="181"/>
      <c r="I60" s="181"/>
      <c r="J60" s="181"/>
      <c r="K60" s="181"/>
      <c r="L60" s="181"/>
      <c r="M60" s="181"/>
      <c r="N60" s="181"/>
      <c r="O60" s="181"/>
      <c r="P60" s="181"/>
      <c r="Q60" s="181"/>
    </row>
    <row r="61" spans="1:17">
      <c r="A61" s="181">
        <v>8</v>
      </c>
      <c r="B61" s="181">
        <v>16</v>
      </c>
      <c r="C61" s="181">
        <f>IFERROR(MAESTRO!D20,)</f>
        <v>0</v>
      </c>
      <c r="D61" s="181">
        <f>IFERROR(COUNTIF('Asistencia (8°)'!C18:AZ18,"A"),0)</f>
        <v>0</v>
      </c>
      <c r="E61" s="181">
        <f>IFERROR('PROM (Ingles 8°)'!N20,0)</f>
        <v>0</v>
      </c>
      <c r="F61" s="181">
        <f>IFERROR(COUNTBLANK('PROM (Ingles 8°)'!C20:M20),0)</f>
        <v>11</v>
      </c>
      <c r="G61" s="181"/>
      <c r="H61" s="181"/>
      <c r="I61" s="181"/>
      <c r="J61" s="181"/>
      <c r="K61" s="181"/>
      <c r="L61" s="181"/>
      <c r="M61" s="181"/>
      <c r="N61" s="181"/>
      <c r="O61" s="181"/>
      <c r="P61" s="181"/>
      <c r="Q61" s="181"/>
    </row>
    <row r="62" spans="1:17">
      <c r="A62" s="181">
        <v>8</v>
      </c>
      <c r="B62" s="181">
        <v>17</v>
      </c>
      <c r="C62" s="181">
        <f>IFERROR(MAESTRO!D21,)</f>
        <v>0</v>
      </c>
      <c r="D62" s="181">
        <f>IFERROR(COUNTIF('Asistencia (8°)'!C19:AZ19,"A"),0)</f>
        <v>0</v>
      </c>
      <c r="E62" s="181">
        <f>IFERROR('PROM (Ingles 8°)'!N21,0)</f>
        <v>0</v>
      </c>
      <c r="F62" s="181">
        <f>IFERROR(COUNTBLANK('PROM (Ingles 8°)'!C21:M21),0)</f>
        <v>11</v>
      </c>
      <c r="G62" s="181"/>
      <c r="H62" s="181"/>
      <c r="I62" s="181"/>
      <c r="J62" s="181"/>
      <c r="K62" s="181"/>
      <c r="L62" s="181"/>
      <c r="M62" s="181"/>
      <c r="N62" s="181"/>
      <c r="O62" s="181"/>
      <c r="P62" s="181"/>
      <c r="Q62" s="181"/>
    </row>
    <row r="63" spans="1:17">
      <c r="A63" s="181">
        <v>8</v>
      </c>
      <c r="B63" s="181">
        <v>18</v>
      </c>
      <c r="C63" s="181">
        <f>IFERROR(MAESTRO!D22,)</f>
        <v>0</v>
      </c>
      <c r="D63" s="181">
        <f>IFERROR(COUNTIF('Asistencia (8°)'!C20:AZ20,"A"),0)</f>
        <v>0</v>
      </c>
      <c r="E63" s="181">
        <f>IFERROR('PROM (Ingles 8°)'!N22,0)</f>
        <v>0</v>
      </c>
      <c r="F63" s="181">
        <f>IFERROR(COUNTBLANK('PROM (Ingles 8°)'!C22:M22),0)</f>
        <v>11</v>
      </c>
      <c r="G63" s="181"/>
      <c r="H63" s="181"/>
      <c r="I63" s="181"/>
      <c r="J63" s="181"/>
      <c r="K63" s="181"/>
      <c r="L63" s="181"/>
      <c r="M63" s="181"/>
      <c r="N63" s="181"/>
      <c r="O63" s="181"/>
      <c r="P63" s="181"/>
      <c r="Q63" s="181"/>
    </row>
    <row r="64" spans="1:17">
      <c r="A64" s="181">
        <v>8</v>
      </c>
      <c r="B64" s="181">
        <v>19</v>
      </c>
      <c r="C64" s="181">
        <f>IFERROR(MAESTRO!D23,)</f>
        <v>0</v>
      </c>
      <c r="D64" s="181">
        <f>IFERROR(COUNTIF('Asistencia (8°)'!C21:AZ21,"A"),0)</f>
        <v>0</v>
      </c>
      <c r="E64" s="181">
        <f>IFERROR('PROM (Ingles 8°)'!N23,0)</f>
        <v>0</v>
      </c>
      <c r="F64" s="181">
        <f>IFERROR(COUNTBLANK('PROM (Ingles 8°)'!C23:M23),0)</f>
        <v>11</v>
      </c>
      <c r="G64" s="181"/>
      <c r="H64" s="181"/>
      <c r="I64" s="181"/>
      <c r="J64" s="181"/>
      <c r="K64" s="181"/>
      <c r="L64" s="181"/>
      <c r="M64" s="181"/>
      <c r="N64" s="181"/>
      <c r="O64" s="181"/>
      <c r="P64" s="181"/>
      <c r="Q64" s="181"/>
    </row>
    <row r="65" spans="1:17">
      <c r="A65" s="181">
        <v>8</v>
      </c>
      <c r="B65" s="181">
        <v>20</v>
      </c>
      <c r="C65" s="181">
        <f>IFERROR(MAESTRO!D24,)</f>
        <v>0</v>
      </c>
      <c r="D65" s="181">
        <f>IFERROR(COUNTIF('Asistencia (8°)'!C22:AZ22,"A"),0)</f>
        <v>0</v>
      </c>
      <c r="E65" s="181">
        <f>IFERROR('PROM (Ingles 8°)'!N24,0)</f>
        <v>0</v>
      </c>
      <c r="F65" s="181">
        <f>IFERROR(COUNTBLANK('PROM (Ingles 8°)'!C24:M24),0)</f>
        <v>11</v>
      </c>
      <c r="G65" s="181"/>
      <c r="H65" s="181"/>
      <c r="I65" s="181"/>
      <c r="J65" s="181"/>
      <c r="K65" s="181"/>
      <c r="L65" s="181"/>
      <c r="M65" s="181"/>
      <c r="N65" s="181"/>
      <c r="O65" s="181"/>
      <c r="P65" s="181"/>
      <c r="Q65" s="181"/>
    </row>
    <row r="66" spans="1:17">
      <c r="A66" s="181">
        <v>8</v>
      </c>
      <c r="B66" s="181">
        <v>21</v>
      </c>
      <c r="C66" s="181">
        <f>IFERROR(MAESTRO!D25,)</f>
        <v>0</v>
      </c>
      <c r="D66" s="181">
        <f>IFERROR(COUNTIF('Asistencia (8°)'!C23:AZ23,"A"),0)</f>
        <v>0</v>
      </c>
      <c r="E66" s="181">
        <f>IFERROR('PROM (Ingles 8°)'!N25,0)</f>
        <v>0</v>
      </c>
      <c r="F66" s="181">
        <f>IFERROR(COUNTBLANK('PROM (Ingles 8°)'!C25:M25),0)</f>
        <v>11</v>
      </c>
      <c r="G66" s="181"/>
      <c r="H66" s="181"/>
      <c r="I66" s="181"/>
      <c r="J66" s="181"/>
      <c r="K66" s="181"/>
      <c r="L66" s="181"/>
      <c r="M66" s="181"/>
      <c r="N66" s="181"/>
      <c r="O66" s="181"/>
      <c r="P66" s="181"/>
      <c r="Q66" s="181"/>
    </row>
    <row r="67" spans="1:17">
      <c r="A67" s="181">
        <v>8</v>
      </c>
      <c r="B67" s="181">
        <v>22</v>
      </c>
      <c r="C67" s="181">
        <f>IFERROR(MAESTRO!D26,)</f>
        <v>0</v>
      </c>
      <c r="D67" s="181">
        <f>IFERROR(COUNTIF('Asistencia (8°)'!C24:AZ24,"A"),0)</f>
        <v>0</v>
      </c>
      <c r="E67" s="181">
        <f>IFERROR('PROM (Ingles 8°)'!N26,0)</f>
        <v>0</v>
      </c>
      <c r="F67" s="181">
        <f>IFERROR(COUNTBLANK('PROM (Ingles 8°)'!C26:M26),0)</f>
        <v>11</v>
      </c>
      <c r="G67" s="181"/>
      <c r="H67" s="181"/>
      <c r="I67" s="181"/>
      <c r="J67" s="181"/>
      <c r="K67" s="181"/>
      <c r="L67" s="181"/>
      <c r="M67" s="181"/>
      <c r="N67" s="181"/>
      <c r="O67" s="181"/>
      <c r="P67" s="181"/>
      <c r="Q67" s="181"/>
    </row>
    <row r="68" spans="1:17">
      <c r="A68" s="181">
        <v>8</v>
      </c>
      <c r="B68" s="181">
        <v>23</v>
      </c>
      <c r="C68" s="181">
        <f>IFERROR(MAESTRO!D27,)</f>
        <v>0</v>
      </c>
      <c r="D68" s="181">
        <f>IFERROR(COUNTIF('Asistencia (8°)'!C25:AZ25,"A"),0)</f>
        <v>0</v>
      </c>
      <c r="E68" s="181">
        <f>IFERROR('PROM (Ingles 8°)'!N27,0)</f>
        <v>0</v>
      </c>
      <c r="F68" s="181">
        <f>IFERROR(COUNTBLANK('PROM (Ingles 8°)'!C27:M27),0)</f>
        <v>11</v>
      </c>
      <c r="G68" s="181"/>
      <c r="H68" s="181"/>
      <c r="I68" s="181"/>
      <c r="J68" s="181"/>
      <c r="K68" s="181"/>
      <c r="L68" s="181"/>
      <c r="M68" s="181"/>
      <c r="N68" s="181"/>
      <c r="O68" s="181"/>
      <c r="P68" s="181"/>
      <c r="Q68" s="181"/>
    </row>
    <row r="69" spans="1:17">
      <c r="A69" s="181">
        <v>8</v>
      </c>
      <c r="B69" s="181">
        <v>24</v>
      </c>
      <c r="C69" s="181">
        <f>IFERROR(MAESTRO!D28,)</f>
        <v>0</v>
      </c>
      <c r="D69" s="181">
        <f>IFERROR(COUNTIF('Asistencia (8°)'!C26:AZ26,"A"),0)</f>
        <v>0</v>
      </c>
      <c r="E69" s="181">
        <f>IFERROR('PROM (Ingles 8°)'!N28,0)</f>
        <v>0</v>
      </c>
      <c r="F69" s="181">
        <f>IFERROR(COUNTBLANK('PROM (Ingles 8°)'!C28:M28),0)</f>
        <v>11</v>
      </c>
      <c r="G69" s="181"/>
      <c r="H69" s="181"/>
      <c r="I69" s="181"/>
      <c r="J69" s="181"/>
      <c r="K69" s="181"/>
      <c r="L69" s="181"/>
      <c r="M69" s="181"/>
      <c r="N69" s="181"/>
      <c r="O69" s="181"/>
      <c r="P69" s="181"/>
      <c r="Q69" s="181"/>
    </row>
    <row r="70" spans="1:17">
      <c r="A70" s="181">
        <v>8</v>
      </c>
      <c r="B70" s="181">
        <v>25</v>
      </c>
      <c r="C70" s="181">
        <f>IFERROR(MAESTRO!D29,)</f>
        <v>0</v>
      </c>
      <c r="D70" s="181">
        <f>IFERROR(COUNTIF('Asistencia (8°)'!C27:AZ27,"A"),0)</f>
        <v>0</v>
      </c>
      <c r="E70" s="181">
        <f>IFERROR('PROM (Ingles 8°)'!N29,0)</f>
        <v>0</v>
      </c>
      <c r="F70" s="181">
        <f>IFERROR(COUNTBLANK('PROM (Ingles 8°)'!C29:M29),0)</f>
        <v>11</v>
      </c>
      <c r="G70" s="181"/>
      <c r="H70" s="181"/>
      <c r="I70" s="181"/>
      <c r="J70" s="181"/>
      <c r="K70" s="181"/>
      <c r="L70" s="181"/>
      <c r="M70" s="181"/>
      <c r="N70" s="181"/>
      <c r="O70" s="181"/>
      <c r="P70" s="181"/>
      <c r="Q70" s="181"/>
    </row>
    <row r="71" spans="1:17">
      <c r="A71" s="181">
        <v>8</v>
      </c>
      <c r="B71" s="181">
        <v>26</v>
      </c>
      <c r="C71" s="181">
        <f>IFERROR(MAESTRO!D30,)</f>
        <v>0</v>
      </c>
      <c r="D71" s="181">
        <f>IFERROR(COUNTIF('Asistencia (8°)'!C28:AZ28,"A"),0)</f>
        <v>0</v>
      </c>
      <c r="E71" s="181">
        <f>IFERROR('PROM (Ingles 8°)'!N30,0)</f>
        <v>0</v>
      </c>
      <c r="F71" s="181">
        <f>IFERROR(COUNTBLANK('PROM (Ingles 8°)'!C30:M30),0)</f>
        <v>11</v>
      </c>
      <c r="G71" s="181"/>
      <c r="H71" s="181"/>
      <c r="I71" s="181"/>
      <c r="J71" s="181"/>
      <c r="K71" s="181"/>
      <c r="L71" s="181"/>
      <c r="M71" s="181"/>
      <c r="N71" s="181"/>
      <c r="O71" s="181"/>
      <c r="P71" s="181"/>
      <c r="Q71" s="181"/>
    </row>
    <row r="72" spans="1:17">
      <c r="A72" s="181">
        <v>8</v>
      </c>
      <c r="B72" s="181">
        <v>27</v>
      </c>
      <c r="C72" s="181">
        <f>IFERROR(MAESTRO!D31,)</f>
        <v>0</v>
      </c>
      <c r="D72" s="181">
        <f>IFERROR(COUNTIF('Asistencia (8°)'!C29:AZ29,"A"),0)</f>
        <v>0</v>
      </c>
      <c r="E72" s="181">
        <f>IFERROR('PROM (Ingles 8°)'!N31,0)</f>
        <v>0</v>
      </c>
      <c r="F72" s="181">
        <f>IFERROR(COUNTBLANK('PROM (Ingles 8°)'!C31:M31),0)</f>
        <v>11</v>
      </c>
      <c r="G72" s="181"/>
      <c r="H72" s="181"/>
      <c r="I72" s="181"/>
      <c r="J72" s="181"/>
      <c r="K72" s="181"/>
      <c r="L72" s="181"/>
      <c r="M72" s="181"/>
      <c r="N72" s="181"/>
      <c r="O72" s="181"/>
      <c r="P72" s="181"/>
      <c r="Q72" s="181"/>
    </row>
    <row r="73" spans="1:17">
      <c r="A73" s="181">
        <v>8</v>
      </c>
      <c r="B73" s="181">
        <v>28</v>
      </c>
      <c r="C73" s="181">
        <f>IFERROR(MAESTRO!D32,)</f>
        <v>0</v>
      </c>
      <c r="D73" s="181">
        <f>IFERROR(COUNTIF('Asistencia (8°)'!C30:AZ30,"A"),0)</f>
        <v>0</v>
      </c>
      <c r="E73" s="181">
        <f>IFERROR('PROM (Ingles 8°)'!N32,0)</f>
        <v>0</v>
      </c>
      <c r="F73" s="181">
        <f>IFERROR(COUNTBLANK('PROM (Ingles 8°)'!C32:M32),0)</f>
        <v>11</v>
      </c>
      <c r="G73" s="181"/>
      <c r="H73" s="181"/>
      <c r="I73" s="181"/>
      <c r="J73" s="181"/>
      <c r="K73" s="181"/>
      <c r="L73" s="181"/>
      <c r="M73" s="181"/>
      <c r="N73" s="181"/>
      <c r="O73" s="181"/>
      <c r="P73" s="181"/>
      <c r="Q73" s="181"/>
    </row>
    <row r="74" spans="1:17">
      <c r="A74" s="181">
        <v>8</v>
      </c>
      <c r="B74" s="181">
        <v>29</v>
      </c>
      <c r="C74" s="181">
        <f>IFERROR(MAESTRO!D33,)</f>
        <v>0</v>
      </c>
      <c r="D74" s="181">
        <f>IFERROR(COUNTIF('Asistencia (8°)'!C31:AZ31,"A"),0)</f>
        <v>0</v>
      </c>
      <c r="E74" s="181">
        <f>IFERROR('PROM (Ingles 8°)'!N33,0)</f>
        <v>0</v>
      </c>
      <c r="F74" s="181">
        <f>IFERROR(COUNTBLANK('PROM (Ingles 8°)'!C33:M33),0)</f>
        <v>11</v>
      </c>
      <c r="G74" s="181"/>
      <c r="H74" s="181"/>
      <c r="I74" s="181"/>
      <c r="J74" s="181"/>
      <c r="K74" s="181"/>
      <c r="L74" s="181"/>
      <c r="M74" s="181"/>
      <c r="N74" s="181"/>
      <c r="O74" s="181"/>
      <c r="P74" s="181"/>
      <c r="Q74" s="181"/>
    </row>
    <row r="75" spans="1:17">
      <c r="A75" s="181">
        <v>8</v>
      </c>
      <c r="B75" s="181">
        <v>30</v>
      </c>
      <c r="C75" s="181">
        <f>IFERROR(MAESTRO!D34,)</f>
        <v>0</v>
      </c>
      <c r="D75" s="181">
        <f>IFERROR(COUNTIF('Asistencia (8°)'!C32:AZ32,"A"),0)</f>
        <v>0</v>
      </c>
      <c r="E75" s="181">
        <f>IFERROR('PROM (Ingles 8°)'!N34,0)</f>
        <v>0</v>
      </c>
      <c r="F75" s="181">
        <f>IFERROR(COUNTBLANK('PROM (Ingles 8°)'!C34:M34),0)</f>
        <v>11</v>
      </c>
      <c r="G75" s="181"/>
      <c r="H75" s="181"/>
      <c r="I75" s="181"/>
      <c r="J75" s="181"/>
      <c r="K75" s="181"/>
      <c r="L75" s="181"/>
      <c r="M75" s="181"/>
      <c r="N75" s="181"/>
      <c r="O75" s="181"/>
      <c r="P75" s="181"/>
      <c r="Q75" s="181"/>
    </row>
    <row r="76" spans="1:17">
      <c r="A76" s="181">
        <v>8</v>
      </c>
      <c r="B76" s="181">
        <v>31</v>
      </c>
      <c r="C76" s="181">
        <f>IFERROR(MAESTRO!D35,)</f>
        <v>0</v>
      </c>
      <c r="D76" s="181">
        <f>IFERROR(COUNTIF('Asistencia (8°)'!C33:AZ33,"A"),0)</f>
        <v>0</v>
      </c>
      <c r="E76" s="181">
        <f>IFERROR('PROM (Ingles 8°)'!N35,0)</f>
        <v>0</v>
      </c>
      <c r="F76" s="181">
        <f>IFERROR(COUNTBLANK('PROM (Ingles 8°)'!C35:M35),0)</f>
        <v>11</v>
      </c>
      <c r="G76" s="181"/>
      <c r="H76" s="181"/>
      <c r="I76" s="181"/>
      <c r="J76" s="181"/>
      <c r="K76" s="181"/>
      <c r="L76" s="181"/>
      <c r="M76" s="181"/>
      <c r="N76" s="181"/>
      <c r="O76" s="181"/>
      <c r="P76" s="181"/>
      <c r="Q76" s="181"/>
    </row>
    <row r="77" spans="1:17">
      <c r="A77" s="181">
        <v>8</v>
      </c>
      <c r="B77" s="181">
        <v>32</v>
      </c>
      <c r="C77" s="181">
        <f>IFERROR(MAESTRO!D36,)</f>
        <v>0</v>
      </c>
      <c r="D77" s="181">
        <f>IFERROR(COUNTIF('Asistencia (8°)'!C34:AZ34,"A"),0)</f>
        <v>0</v>
      </c>
      <c r="E77" s="181">
        <f>IFERROR('PROM (Ingles 8°)'!N36,0)</f>
        <v>0</v>
      </c>
      <c r="F77" s="181">
        <f>IFERROR(COUNTBLANK('PROM (Ingles 8°)'!C36:M36),0)</f>
        <v>11</v>
      </c>
      <c r="G77" s="181"/>
      <c r="H77" s="181"/>
      <c r="I77" s="181"/>
      <c r="J77" s="181"/>
      <c r="K77" s="181"/>
      <c r="L77" s="181"/>
      <c r="M77" s="181"/>
      <c r="N77" s="181"/>
      <c r="O77" s="181"/>
      <c r="P77" s="181"/>
      <c r="Q77" s="181"/>
    </row>
    <row r="78" spans="1:17">
      <c r="A78" s="181">
        <v>8</v>
      </c>
      <c r="B78" s="181">
        <v>33</v>
      </c>
      <c r="C78" s="181">
        <f>IFERROR(MAESTRO!D37,)</f>
        <v>0</v>
      </c>
      <c r="D78" s="181">
        <f>IFERROR(COUNTIF('Asistencia (8°)'!C35:AZ35,"A"),0)</f>
        <v>0</v>
      </c>
      <c r="E78" s="181">
        <f>IFERROR('PROM (Ingles 8°)'!N37,0)</f>
        <v>0</v>
      </c>
      <c r="F78" s="181">
        <f>IFERROR(COUNTBLANK('PROM (Ingles 8°)'!C37:M37),0)</f>
        <v>11</v>
      </c>
      <c r="G78" s="181"/>
      <c r="H78" s="181"/>
      <c r="I78" s="181"/>
      <c r="J78" s="181"/>
      <c r="K78" s="181"/>
      <c r="L78" s="181"/>
      <c r="M78" s="181"/>
      <c r="N78" s="181"/>
      <c r="O78" s="181"/>
      <c r="P78" s="181"/>
      <c r="Q78" s="181"/>
    </row>
    <row r="79" spans="1:17">
      <c r="A79" s="181">
        <v>8</v>
      </c>
      <c r="B79" s="181">
        <v>34</v>
      </c>
      <c r="C79" s="181">
        <f>IFERROR(MAESTRO!D38,)</f>
        <v>0</v>
      </c>
      <c r="D79" s="181">
        <f>IFERROR(COUNTIF('Asistencia (8°)'!C36:AZ36,"A"),0)</f>
        <v>0</v>
      </c>
      <c r="E79" s="181">
        <f>IFERROR('PROM (Ingles 8°)'!N38,0)</f>
        <v>0</v>
      </c>
      <c r="F79" s="181">
        <f>IFERROR(COUNTBLANK('PROM (Ingles 8°)'!C38:M38),0)</f>
        <v>11</v>
      </c>
      <c r="G79" s="181"/>
      <c r="H79" s="181"/>
      <c r="I79" s="181"/>
      <c r="J79" s="181"/>
      <c r="K79" s="181"/>
      <c r="L79" s="181"/>
      <c r="M79" s="181"/>
      <c r="N79" s="181"/>
      <c r="O79" s="181"/>
      <c r="P79" s="181"/>
      <c r="Q79" s="181"/>
    </row>
    <row r="80" spans="1:17">
      <c r="A80" s="181">
        <v>8</v>
      </c>
      <c r="B80" s="181">
        <v>35</v>
      </c>
      <c r="C80" s="181">
        <f>IFERROR(MAESTRO!D39,)</f>
        <v>0</v>
      </c>
      <c r="D80" s="181">
        <f>IFERROR(COUNTIF('Asistencia (8°)'!C37:AZ37,"A"),0)</f>
        <v>0</v>
      </c>
      <c r="E80" s="181">
        <f>IFERROR('PROM (Ingles 8°)'!N39,0)</f>
        <v>0</v>
      </c>
      <c r="F80" s="181">
        <f>IFERROR(COUNTBLANK('PROM (Ingles 8°)'!C39:M39),0)</f>
        <v>11</v>
      </c>
      <c r="G80" s="181"/>
      <c r="H80" s="181"/>
      <c r="I80" s="181"/>
      <c r="J80" s="181"/>
      <c r="K80" s="181"/>
      <c r="L80" s="181"/>
      <c r="M80" s="181"/>
      <c r="N80" s="181"/>
      <c r="O80" s="181"/>
      <c r="P80" s="181"/>
      <c r="Q80" s="181"/>
    </row>
    <row r="81" spans="1:17">
      <c r="A81" s="181">
        <v>8</v>
      </c>
      <c r="B81" s="181">
        <v>36</v>
      </c>
      <c r="C81" s="181">
        <f>IFERROR(MAESTRO!D40,)</f>
        <v>0</v>
      </c>
      <c r="D81" s="181">
        <f>IFERROR(COUNTIF('Asistencia (8°)'!C38:AZ38,"A"),0)</f>
        <v>0</v>
      </c>
      <c r="E81" s="181">
        <f>IFERROR('PROM (Ingles 8°)'!N40,0)</f>
        <v>0</v>
      </c>
      <c r="F81" s="181">
        <f>IFERROR(COUNTBLANK('PROM (Ingles 8°)'!C40:M40),0)</f>
        <v>11</v>
      </c>
      <c r="G81" s="181"/>
      <c r="H81" s="181"/>
      <c r="I81" s="181"/>
      <c r="J81" s="181"/>
      <c r="K81" s="181"/>
      <c r="L81" s="181"/>
      <c r="M81" s="181"/>
      <c r="N81" s="181"/>
      <c r="O81" s="181"/>
      <c r="P81" s="181"/>
      <c r="Q81" s="181"/>
    </row>
    <row r="82" spans="1:17">
      <c r="A82" s="181">
        <v>8</v>
      </c>
      <c r="B82" s="181">
        <v>37</v>
      </c>
      <c r="C82" s="181">
        <f>IFERROR(MAESTRO!D41,)</f>
        <v>0</v>
      </c>
      <c r="D82" s="181">
        <f>IFERROR(COUNTIF('Asistencia (8°)'!C39:AZ39,"A"),0)</f>
        <v>0</v>
      </c>
      <c r="E82" s="181">
        <f>IFERROR('PROM (Ingles 8°)'!N41,0)</f>
        <v>0</v>
      </c>
      <c r="F82" s="181">
        <f>IFERROR(COUNTBLANK('PROM (Ingles 8°)'!C41:M41),0)</f>
        <v>11</v>
      </c>
      <c r="G82" s="181"/>
      <c r="H82" s="181"/>
      <c r="I82" s="181"/>
      <c r="J82" s="181"/>
      <c r="K82" s="181"/>
      <c r="L82" s="181"/>
      <c r="M82" s="181"/>
      <c r="N82" s="181"/>
      <c r="O82" s="181"/>
      <c r="P82" s="181"/>
      <c r="Q82" s="181"/>
    </row>
    <row r="83" spans="1:17">
      <c r="A83" s="181">
        <v>8</v>
      </c>
      <c r="B83" s="181">
        <v>38</v>
      </c>
      <c r="C83" s="181">
        <f>IFERROR(MAESTRO!D42,)</f>
        <v>0</v>
      </c>
      <c r="D83" s="181">
        <f>IFERROR(COUNTIF('Asistencia (8°)'!C40:AZ40,"A"),0)</f>
        <v>0</v>
      </c>
      <c r="E83" s="181">
        <f>IFERROR('PROM (Ingles 8°)'!N42,0)</f>
        <v>0</v>
      </c>
      <c r="F83" s="181">
        <f>IFERROR(COUNTBLANK('PROM (Ingles 8°)'!C42:M42),0)</f>
        <v>11</v>
      </c>
      <c r="G83" s="181"/>
      <c r="H83" s="181"/>
      <c r="I83" s="181"/>
      <c r="J83" s="181"/>
      <c r="K83" s="181"/>
      <c r="L83" s="181"/>
      <c r="M83" s="181"/>
      <c r="N83" s="181"/>
      <c r="O83" s="181"/>
      <c r="P83" s="181"/>
      <c r="Q83" s="181"/>
    </row>
    <row r="84" spans="1:17">
      <c r="A84" s="181">
        <v>8</v>
      </c>
      <c r="B84" s="181">
        <v>39</v>
      </c>
      <c r="C84" s="181">
        <f>IFERROR(MAESTRO!D43,)</f>
        <v>0</v>
      </c>
      <c r="D84" s="181">
        <f>IFERROR(COUNTIF('Asistencia (8°)'!C41:AZ41,"A"),0)</f>
        <v>0</v>
      </c>
      <c r="E84" s="181">
        <f>IFERROR('PROM (Ingles 8°)'!N43,0)</f>
        <v>0</v>
      </c>
      <c r="F84" s="181">
        <f>IFERROR(COUNTBLANK('PROM (Ingles 8°)'!C43:M43),0)</f>
        <v>11</v>
      </c>
      <c r="G84" s="181"/>
      <c r="H84" s="181"/>
      <c r="I84" s="181"/>
      <c r="J84" s="181"/>
      <c r="K84" s="181"/>
      <c r="L84" s="181"/>
      <c r="M84" s="181"/>
      <c r="N84" s="181"/>
      <c r="O84" s="181"/>
      <c r="P84" s="181"/>
      <c r="Q84" s="181"/>
    </row>
    <row r="85" spans="1:17">
      <c r="A85" s="181">
        <v>8</v>
      </c>
      <c r="B85" s="181">
        <v>40</v>
      </c>
      <c r="C85" s="181">
        <f>IFERROR(MAESTRO!D44,)</f>
        <v>0</v>
      </c>
      <c r="D85" s="181">
        <f>IFERROR(COUNTIF('Asistencia (8°)'!C42:AZ42,"A"),0)</f>
        <v>0</v>
      </c>
      <c r="E85" s="181">
        <f>IFERROR('PROM (Ingles 8°)'!N44,0)</f>
        <v>0</v>
      </c>
      <c r="F85" s="181">
        <f>IFERROR(COUNTBLANK('PROM (Ingles 8°)'!C44:M44),0)</f>
        <v>11</v>
      </c>
      <c r="G85" s="181"/>
      <c r="H85" s="181"/>
      <c r="I85" s="181"/>
      <c r="J85" s="181"/>
      <c r="K85" s="181"/>
      <c r="L85" s="181"/>
      <c r="M85" s="181"/>
      <c r="N85" s="181"/>
      <c r="O85" s="181"/>
      <c r="P85" s="181"/>
      <c r="Q85" s="181"/>
    </row>
    <row r="86" spans="1:17">
      <c r="A86" s="181">
        <v>9</v>
      </c>
      <c r="B86" s="181">
        <v>1</v>
      </c>
      <c r="C86" s="181">
        <f>IFERROR(MAESTRO!F5,)</f>
        <v>0</v>
      </c>
      <c r="D86" s="181">
        <f>IFERROR(COUNTIF('Asistencia (9°)'!C3:AZ3,"A"),0)</f>
        <v>0</v>
      </c>
      <c r="E86" s="181">
        <f>IFERROR('PROM (Ingles 9°)'!N5,0)</f>
        <v>0</v>
      </c>
      <c r="F86" s="181">
        <f>IFERROR(COUNTBLANK('PROM (Ingles 9°)'!C5:M5),0)</f>
        <v>11</v>
      </c>
      <c r="G86" s="181"/>
      <c r="H86" s="181"/>
      <c r="I86" s="181"/>
      <c r="J86" s="181"/>
      <c r="K86" s="181"/>
      <c r="L86" s="181"/>
      <c r="M86" s="181"/>
      <c r="N86" s="181"/>
      <c r="O86" s="181"/>
      <c r="P86" s="181"/>
      <c r="Q86" s="181"/>
    </row>
    <row r="87" spans="1:17">
      <c r="A87" s="181">
        <v>9</v>
      </c>
      <c r="B87" s="181">
        <v>2</v>
      </c>
      <c r="C87" s="181">
        <f>IFERROR(MAESTRO!F6,)</f>
        <v>0</v>
      </c>
      <c r="D87" s="181">
        <f>IFERROR(COUNTIF('Asistencia (9°)'!C4:AZ4,"A"),0)</f>
        <v>0</v>
      </c>
      <c r="E87" s="181">
        <f>IFERROR('PROM (Ingles 9°)'!N6,0)</f>
        <v>0</v>
      </c>
      <c r="F87" s="181">
        <f>IFERROR(COUNTBLANK('PROM (Ingles 9°)'!C6:M6),0)</f>
        <v>11</v>
      </c>
      <c r="G87" s="181"/>
      <c r="H87" s="181"/>
      <c r="I87" s="181"/>
      <c r="J87" s="181"/>
      <c r="K87" s="181"/>
      <c r="L87" s="181"/>
      <c r="M87" s="181"/>
      <c r="N87" s="181"/>
      <c r="O87" s="181"/>
      <c r="P87" s="181"/>
      <c r="Q87" s="181"/>
    </row>
    <row r="88" spans="1:17">
      <c r="A88" s="181">
        <v>9</v>
      </c>
      <c r="B88" s="181">
        <v>3</v>
      </c>
      <c r="C88" s="181">
        <f>IFERROR(MAESTRO!F7,)</f>
        <v>0</v>
      </c>
      <c r="D88" s="181">
        <f>IFERROR(COUNTIF('Asistencia (9°)'!C5:AZ5,"A"),0)</f>
        <v>0</v>
      </c>
      <c r="E88" s="181">
        <f>IFERROR('PROM (Ingles 9°)'!N7,0)</f>
        <v>0</v>
      </c>
      <c r="F88" s="181">
        <f>IFERROR(COUNTBLANK('PROM (Ingles 9°)'!C7:M7),0)</f>
        <v>11</v>
      </c>
      <c r="G88" s="181"/>
      <c r="H88" s="181"/>
      <c r="I88" s="181"/>
      <c r="J88" s="181"/>
      <c r="K88" s="181"/>
      <c r="L88" s="181"/>
      <c r="M88" s="181"/>
      <c r="N88" s="181"/>
      <c r="O88" s="181"/>
      <c r="P88" s="181"/>
      <c r="Q88" s="181"/>
    </row>
    <row r="89" spans="1:17">
      <c r="A89" s="181">
        <v>9</v>
      </c>
      <c r="B89" s="181">
        <v>4</v>
      </c>
      <c r="C89" s="181">
        <f>IFERROR(MAESTRO!F8,)</f>
        <v>0</v>
      </c>
      <c r="D89" s="181">
        <f>IFERROR(COUNTIF('Asistencia (9°)'!C6:AZ6,"A"),0)</f>
        <v>0</v>
      </c>
      <c r="E89" s="181">
        <f>IFERROR('PROM (Ingles 9°)'!N8,0)</f>
        <v>0</v>
      </c>
      <c r="F89" s="181">
        <f>IFERROR(COUNTBLANK('PROM (Ingles 9°)'!C8:M8),0)</f>
        <v>11</v>
      </c>
      <c r="G89" s="181"/>
      <c r="H89" s="181"/>
      <c r="I89" s="181"/>
      <c r="J89" s="181"/>
      <c r="K89" s="181"/>
      <c r="L89" s="181"/>
      <c r="M89" s="181"/>
      <c r="N89" s="181"/>
      <c r="O89" s="181"/>
      <c r="P89" s="181"/>
      <c r="Q89" s="181"/>
    </row>
    <row r="90" spans="1:17">
      <c r="A90" s="181">
        <v>9</v>
      </c>
      <c r="B90" s="181">
        <v>5</v>
      </c>
      <c r="C90" s="181">
        <f>IFERROR(MAESTRO!F9,)</f>
        <v>0</v>
      </c>
      <c r="D90" s="181">
        <f>IFERROR(COUNTIF('Asistencia (9°)'!C7:AZ7,"A"),0)</f>
        <v>0</v>
      </c>
      <c r="E90" s="181">
        <f>IFERROR('PROM (Ingles 9°)'!N9,0)</f>
        <v>0</v>
      </c>
      <c r="F90" s="181">
        <f>IFERROR(COUNTBLANK('PROM (Ingles 9°)'!C9:M9),0)</f>
        <v>11</v>
      </c>
      <c r="G90" s="181"/>
      <c r="H90" s="181"/>
      <c r="I90" s="181"/>
      <c r="J90" s="181"/>
      <c r="K90" s="181"/>
      <c r="L90" s="181"/>
      <c r="M90" s="181"/>
      <c r="N90" s="181"/>
      <c r="O90" s="181"/>
      <c r="P90" s="181"/>
      <c r="Q90" s="181"/>
    </row>
    <row r="91" spans="1:17">
      <c r="A91" s="181">
        <v>9</v>
      </c>
      <c r="B91" s="181">
        <v>6</v>
      </c>
      <c r="C91" s="181">
        <f>IFERROR(MAESTRO!F10,)</f>
        <v>0</v>
      </c>
      <c r="D91" s="181">
        <f>IFERROR(COUNTIF('Asistencia (9°)'!C8:AZ8,"A"),0)</f>
        <v>0</v>
      </c>
      <c r="E91" s="181">
        <f>IFERROR('PROM (Ingles 9°)'!N10,0)</f>
        <v>0</v>
      </c>
      <c r="F91" s="181">
        <f>IFERROR(COUNTBLANK('PROM (Ingles 9°)'!C10:M10),0)</f>
        <v>11</v>
      </c>
      <c r="G91" s="181"/>
      <c r="H91" s="181"/>
      <c r="I91" s="181"/>
      <c r="J91" s="181"/>
      <c r="K91" s="181"/>
      <c r="L91" s="181"/>
      <c r="M91" s="181"/>
      <c r="N91" s="181"/>
      <c r="O91" s="181"/>
      <c r="P91" s="181"/>
      <c r="Q91" s="181"/>
    </row>
    <row r="92" spans="1:17">
      <c r="A92" s="181">
        <v>9</v>
      </c>
      <c r="B92" s="181">
        <v>7</v>
      </c>
      <c r="C92" s="181">
        <f>IFERROR(MAESTRO!F11,)</f>
        <v>0</v>
      </c>
      <c r="D92" s="181">
        <f>IFERROR(COUNTIF('Asistencia (9°)'!C9:AZ9,"A"),0)</f>
        <v>0</v>
      </c>
      <c r="E92" s="181">
        <f>IFERROR('PROM (Ingles 9°)'!N11,0)</f>
        <v>0</v>
      </c>
      <c r="F92" s="181">
        <f>IFERROR(COUNTBLANK('PROM (Ingles 9°)'!C11:M11),0)</f>
        <v>11</v>
      </c>
      <c r="G92" s="181"/>
      <c r="H92" s="181"/>
      <c r="I92" s="181"/>
      <c r="J92" s="181"/>
      <c r="K92" s="181"/>
      <c r="L92" s="181"/>
      <c r="M92" s="181"/>
      <c r="N92" s="181"/>
      <c r="O92" s="181"/>
      <c r="P92" s="181"/>
      <c r="Q92" s="181"/>
    </row>
    <row r="93" spans="1:17">
      <c r="A93" s="181">
        <v>9</v>
      </c>
      <c r="B93" s="181">
        <v>8</v>
      </c>
      <c r="C93" s="181">
        <f>IFERROR(MAESTRO!F12,)</f>
        <v>0</v>
      </c>
      <c r="D93" s="181">
        <f>IFERROR(COUNTIF('Asistencia (9°)'!C10:AZ10,"A"),0)</f>
        <v>0</v>
      </c>
      <c r="E93" s="181">
        <f>IFERROR('PROM (Ingles 9°)'!N12,0)</f>
        <v>0</v>
      </c>
      <c r="F93" s="181">
        <f>IFERROR(COUNTBLANK('PROM (Ingles 9°)'!C12:M12),0)</f>
        <v>11</v>
      </c>
      <c r="G93" s="181"/>
      <c r="H93" s="181"/>
      <c r="I93" s="181"/>
      <c r="J93" s="181"/>
      <c r="K93" s="181"/>
      <c r="L93" s="181"/>
      <c r="M93" s="181"/>
      <c r="N93" s="181"/>
      <c r="O93" s="181"/>
      <c r="P93" s="181"/>
      <c r="Q93" s="181"/>
    </row>
    <row r="94" spans="1:17">
      <c r="A94" s="181">
        <v>9</v>
      </c>
      <c r="B94" s="181">
        <v>9</v>
      </c>
      <c r="C94" s="181">
        <f>IFERROR(MAESTRO!F13,)</f>
        <v>0</v>
      </c>
      <c r="D94" s="181">
        <f>IFERROR(COUNTIF('Asistencia (9°)'!C11:AZ11,"A"),0)</f>
        <v>0</v>
      </c>
      <c r="E94" s="181">
        <f>IFERROR('PROM (Ingles 9°)'!N13,0)</f>
        <v>0</v>
      </c>
      <c r="F94" s="181">
        <f>IFERROR(COUNTBLANK('PROM (Ingles 9°)'!C13:M13),0)</f>
        <v>11</v>
      </c>
      <c r="G94" s="181"/>
      <c r="H94" s="181"/>
      <c r="I94" s="181"/>
      <c r="J94" s="181"/>
      <c r="K94" s="181"/>
      <c r="L94" s="181"/>
      <c r="M94" s="181"/>
      <c r="N94" s="181"/>
      <c r="O94" s="181"/>
      <c r="P94" s="181"/>
      <c r="Q94" s="181"/>
    </row>
    <row r="95" spans="1:17">
      <c r="A95" s="181">
        <v>9</v>
      </c>
      <c r="B95" s="181">
        <v>10</v>
      </c>
      <c r="C95" s="181">
        <f>IFERROR(MAESTRO!F14,)</f>
        <v>0</v>
      </c>
      <c r="D95" s="181">
        <f>IFERROR(COUNTIF('Asistencia (9°)'!C12:AZ12,"A"),0)</f>
        <v>0</v>
      </c>
      <c r="E95" s="181">
        <f>IFERROR('PROM (Ingles 9°)'!N14,0)</f>
        <v>0</v>
      </c>
      <c r="F95" s="181">
        <f>IFERROR(COUNTBLANK('PROM (Ingles 9°)'!C14:M14),0)</f>
        <v>11</v>
      </c>
      <c r="G95" s="181"/>
      <c r="H95" s="181"/>
      <c r="I95" s="181"/>
      <c r="J95" s="181"/>
      <c r="K95" s="181"/>
      <c r="L95" s="181"/>
      <c r="M95" s="181"/>
      <c r="N95" s="181"/>
      <c r="O95" s="181"/>
      <c r="P95" s="181"/>
      <c r="Q95" s="181"/>
    </row>
    <row r="96" spans="1:17">
      <c r="A96" s="181">
        <v>9</v>
      </c>
      <c r="B96" s="181">
        <v>11</v>
      </c>
      <c r="C96" s="181">
        <f>IFERROR(MAESTRO!F15,)</f>
        <v>0</v>
      </c>
      <c r="D96" s="181">
        <f>IFERROR(COUNTIF('Asistencia (9°)'!C13:AZ13,"A"),0)</f>
        <v>0</v>
      </c>
      <c r="E96" s="181">
        <f>IFERROR('PROM (Ingles 9°)'!N15,0)</f>
        <v>0</v>
      </c>
      <c r="F96" s="181">
        <f>IFERROR(COUNTBLANK('PROM (Ingles 9°)'!C15:M15),0)</f>
        <v>11</v>
      </c>
      <c r="G96" s="181"/>
      <c r="H96" s="181"/>
      <c r="I96" s="181"/>
      <c r="J96" s="181"/>
      <c r="K96" s="181"/>
      <c r="L96" s="181"/>
      <c r="M96" s="181"/>
      <c r="N96" s="181"/>
      <c r="O96" s="181"/>
      <c r="P96" s="181"/>
      <c r="Q96" s="181"/>
    </row>
    <row r="97" spans="1:17">
      <c r="A97" s="181">
        <v>9</v>
      </c>
      <c r="B97" s="181">
        <v>12</v>
      </c>
      <c r="C97" s="181">
        <f>IFERROR(MAESTRO!F16,)</f>
        <v>0</v>
      </c>
      <c r="D97" s="181">
        <f>IFERROR(COUNTIF('Asistencia (9°)'!C14:AZ14,"A"),0)</f>
        <v>0</v>
      </c>
      <c r="E97" s="181">
        <f>IFERROR('PROM (Ingles 9°)'!N16,0)</f>
        <v>0</v>
      </c>
      <c r="F97" s="181">
        <f>IFERROR(COUNTBLANK('PROM (Ingles 9°)'!C16:M16),0)</f>
        <v>11</v>
      </c>
      <c r="G97" s="181"/>
      <c r="H97" s="181"/>
      <c r="I97" s="181"/>
      <c r="J97" s="181"/>
      <c r="K97" s="181"/>
      <c r="L97" s="181"/>
      <c r="M97" s="181"/>
      <c r="N97" s="181"/>
      <c r="O97" s="181"/>
      <c r="P97" s="181"/>
      <c r="Q97" s="181"/>
    </row>
    <row r="98" spans="1:17">
      <c r="A98" s="181">
        <v>9</v>
      </c>
      <c r="B98" s="181">
        <v>13</v>
      </c>
      <c r="C98" s="181">
        <f>IFERROR(MAESTRO!F17,)</f>
        <v>0</v>
      </c>
      <c r="D98" s="181">
        <f>IFERROR(COUNTIF('Asistencia (9°)'!C15:AZ15,"A"),0)</f>
        <v>0</v>
      </c>
      <c r="E98" s="181">
        <f>IFERROR('PROM (Ingles 9°)'!N17,0)</f>
        <v>0</v>
      </c>
      <c r="F98" s="181">
        <f>IFERROR(COUNTBLANK('PROM (Ingles 9°)'!C17:M17),0)</f>
        <v>11</v>
      </c>
      <c r="G98" s="181"/>
      <c r="H98" s="181"/>
      <c r="I98" s="181"/>
      <c r="J98" s="181"/>
      <c r="K98" s="181"/>
      <c r="L98" s="181"/>
      <c r="M98" s="181"/>
      <c r="N98" s="181"/>
      <c r="O98" s="181"/>
      <c r="P98" s="181"/>
      <c r="Q98" s="181"/>
    </row>
    <row r="99" spans="1:17">
      <c r="A99" s="181">
        <v>9</v>
      </c>
      <c r="B99" s="181">
        <v>14</v>
      </c>
      <c r="C99" s="181">
        <f>IFERROR(MAESTRO!F18,)</f>
        <v>0</v>
      </c>
      <c r="D99" s="181">
        <f>IFERROR(COUNTIF('Asistencia (9°)'!C16:AZ16,"A"),0)</f>
        <v>0</v>
      </c>
      <c r="E99" s="181">
        <f>IFERROR('PROM (Ingles 9°)'!N18,0)</f>
        <v>0</v>
      </c>
      <c r="F99" s="181">
        <f>IFERROR(COUNTBLANK('PROM (Ingles 9°)'!C18:M18),0)</f>
        <v>11</v>
      </c>
      <c r="G99" s="181"/>
      <c r="H99" s="181"/>
      <c r="I99" s="181"/>
      <c r="J99" s="181"/>
      <c r="K99" s="181"/>
      <c r="L99" s="181"/>
      <c r="M99" s="181"/>
      <c r="N99" s="181"/>
      <c r="O99" s="181"/>
      <c r="P99" s="181"/>
      <c r="Q99" s="181"/>
    </row>
    <row r="100" spans="1:17">
      <c r="A100" s="181">
        <v>9</v>
      </c>
      <c r="B100" s="181">
        <v>15</v>
      </c>
      <c r="C100" s="181">
        <f>IFERROR(MAESTRO!F19,)</f>
        <v>0</v>
      </c>
      <c r="D100" s="181">
        <f>IFERROR(COUNTIF('Asistencia (9°)'!C17:AZ17,"A"),0)</f>
        <v>0</v>
      </c>
      <c r="E100" s="181">
        <f>IFERROR('PROM (Ingles 9°)'!N19,0)</f>
        <v>0</v>
      </c>
      <c r="F100" s="181">
        <f>IFERROR(COUNTBLANK('PROM (Ingles 9°)'!C19:M19),0)</f>
        <v>11</v>
      </c>
      <c r="G100" s="181"/>
      <c r="H100" s="181"/>
      <c r="I100" s="181"/>
      <c r="J100" s="181"/>
      <c r="K100" s="181"/>
      <c r="L100" s="181"/>
      <c r="M100" s="181"/>
      <c r="N100" s="181"/>
      <c r="O100" s="181"/>
      <c r="P100" s="181"/>
      <c r="Q100" s="181"/>
    </row>
    <row r="101" spans="1:17">
      <c r="A101" s="181">
        <v>9</v>
      </c>
      <c r="B101" s="181">
        <v>16</v>
      </c>
      <c r="C101" s="181">
        <f>IFERROR(MAESTRO!F20,)</f>
        <v>0</v>
      </c>
      <c r="D101" s="181">
        <f>IFERROR(COUNTIF('Asistencia (9°)'!C18:AZ18,"A"),0)</f>
        <v>0</v>
      </c>
      <c r="E101" s="181">
        <f>IFERROR('PROM (Ingles 9°)'!N20,0)</f>
        <v>0</v>
      </c>
      <c r="F101" s="181">
        <f>IFERROR(COUNTBLANK('PROM (Ingles 9°)'!C20:M20),0)</f>
        <v>11</v>
      </c>
      <c r="G101" s="181"/>
      <c r="H101" s="181"/>
      <c r="I101" s="181"/>
      <c r="J101" s="181"/>
      <c r="K101" s="181"/>
      <c r="L101" s="181"/>
      <c r="M101" s="181"/>
      <c r="N101" s="181"/>
      <c r="O101" s="181"/>
      <c r="P101" s="181"/>
      <c r="Q101" s="181"/>
    </row>
    <row r="102" spans="1:17">
      <c r="A102" s="181">
        <v>9</v>
      </c>
      <c r="B102" s="181">
        <v>17</v>
      </c>
      <c r="C102" s="181">
        <f>IFERROR(MAESTRO!F21,)</f>
        <v>0</v>
      </c>
      <c r="D102" s="181">
        <f>IFERROR(COUNTIF('Asistencia (9°)'!C19:AZ19,"A"),0)</f>
        <v>0</v>
      </c>
      <c r="E102" s="181">
        <f>IFERROR('PROM (Ingles 9°)'!N21,0)</f>
        <v>0</v>
      </c>
      <c r="F102" s="181">
        <f>IFERROR(COUNTBLANK('PROM (Ingles 9°)'!C21:M21),0)</f>
        <v>11</v>
      </c>
      <c r="G102" s="181"/>
      <c r="H102" s="181"/>
      <c r="I102" s="181"/>
      <c r="J102" s="181"/>
      <c r="K102" s="181"/>
      <c r="L102" s="181"/>
      <c r="M102" s="181"/>
      <c r="N102" s="181"/>
      <c r="O102" s="181"/>
      <c r="P102" s="181"/>
      <c r="Q102" s="181"/>
    </row>
    <row r="103" spans="1:17">
      <c r="A103" s="181">
        <v>9</v>
      </c>
      <c r="B103" s="181">
        <v>18</v>
      </c>
      <c r="C103" s="181">
        <f>IFERROR(MAESTRO!F22,)</f>
        <v>0</v>
      </c>
      <c r="D103" s="181">
        <f>IFERROR(COUNTIF('Asistencia (9°)'!C20:AZ20,"A"),0)</f>
        <v>0</v>
      </c>
      <c r="E103" s="181">
        <f>IFERROR('PROM (Ingles 9°)'!N22,0)</f>
        <v>0</v>
      </c>
      <c r="F103" s="181">
        <f>IFERROR(COUNTBLANK('PROM (Ingles 9°)'!C22:M22),0)</f>
        <v>11</v>
      </c>
      <c r="G103" s="181"/>
      <c r="H103" s="181"/>
      <c r="I103" s="181"/>
      <c r="J103" s="181"/>
      <c r="K103" s="181"/>
      <c r="L103" s="181"/>
      <c r="M103" s="181"/>
      <c r="N103" s="181"/>
      <c r="O103" s="181"/>
      <c r="P103" s="181"/>
      <c r="Q103" s="181"/>
    </row>
    <row r="104" spans="1:17">
      <c r="A104" s="181">
        <v>9</v>
      </c>
      <c r="B104" s="181">
        <v>19</v>
      </c>
      <c r="C104" s="181">
        <f>IFERROR(MAESTRO!F23,)</f>
        <v>0</v>
      </c>
      <c r="D104" s="181">
        <f>IFERROR(COUNTIF('Asistencia (9°)'!C21:AZ21,"A"),0)</f>
        <v>0</v>
      </c>
      <c r="E104" s="181">
        <f>IFERROR('PROM (Ingles 9°)'!N23,0)</f>
        <v>0</v>
      </c>
      <c r="F104" s="181">
        <f>IFERROR(COUNTBLANK('PROM (Ingles 9°)'!C23:M23),0)</f>
        <v>11</v>
      </c>
      <c r="G104" s="181"/>
      <c r="H104" s="181"/>
      <c r="I104" s="181"/>
      <c r="J104" s="181"/>
      <c r="K104" s="181"/>
      <c r="L104" s="181"/>
      <c r="M104" s="181"/>
      <c r="N104" s="181"/>
      <c r="O104" s="181"/>
      <c r="P104" s="181"/>
      <c r="Q104" s="181"/>
    </row>
    <row r="105" spans="1:17">
      <c r="A105" s="181">
        <v>9</v>
      </c>
      <c r="B105" s="181">
        <v>20</v>
      </c>
      <c r="C105" s="181">
        <f>IFERROR(MAESTRO!F24,)</f>
        <v>0</v>
      </c>
      <c r="D105" s="181">
        <f>IFERROR(COUNTIF('Asistencia (9°)'!C22:AZ22,"A"),0)</f>
        <v>0</v>
      </c>
      <c r="E105" s="181">
        <f>IFERROR('PROM (Ingles 9°)'!N24,0)</f>
        <v>0</v>
      </c>
      <c r="F105" s="181">
        <f>IFERROR(COUNTBLANK('PROM (Ingles 9°)'!C24:M24),0)</f>
        <v>11</v>
      </c>
      <c r="G105" s="181"/>
      <c r="H105" s="181"/>
      <c r="I105" s="181"/>
      <c r="J105" s="181"/>
      <c r="K105" s="181"/>
      <c r="L105" s="181"/>
      <c r="M105" s="181"/>
      <c r="N105" s="181"/>
      <c r="O105" s="181"/>
      <c r="P105" s="181"/>
      <c r="Q105" s="181"/>
    </row>
    <row r="106" spans="1:17">
      <c r="A106" s="181">
        <v>9</v>
      </c>
      <c r="B106" s="181">
        <v>21</v>
      </c>
      <c r="C106" s="181">
        <f>IFERROR(MAESTRO!F25,)</f>
        <v>0</v>
      </c>
      <c r="D106" s="181">
        <f>IFERROR(COUNTIF('Asistencia (9°)'!C23:AZ23,"A"),0)</f>
        <v>0</v>
      </c>
      <c r="E106" s="181">
        <f>IFERROR('PROM (Ingles 9°)'!N25,0)</f>
        <v>0</v>
      </c>
      <c r="F106" s="181">
        <f>IFERROR(COUNTBLANK('PROM (Ingles 9°)'!C25:M25),0)</f>
        <v>11</v>
      </c>
      <c r="G106" s="181"/>
      <c r="H106" s="181"/>
      <c r="I106" s="181"/>
      <c r="J106" s="181"/>
      <c r="K106" s="181"/>
      <c r="L106" s="181"/>
      <c r="M106" s="181"/>
      <c r="N106" s="181"/>
      <c r="O106" s="181"/>
      <c r="P106" s="181"/>
      <c r="Q106" s="181"/>
    </row>
    <row r="107" spans="1:17">
      <c r="A107" s="181">
        <v>9</v>
      </c>
      <c r="B107" s="181">
        <v>22</v>
      </c>
      <c r="C107" s="181">
        <f>IFERROR(MAESTRO!F26,)</f>
        <v>0</v>
      </c>
      <c r="D107" s="181">
        <f>IFERROR(COUNTIF('Asistencia (9°)'!C24:AZ24,"A"),0)</f>
        <v>0</v>
      </c>
      <c r="E107" s="181">
        <f>IFERROR('PROM (Ingles 9°)'!N26,0)</f>
        <v>0</v>
      </c>
      <c r="F107" s="181">
        <f>IFERROR(COUNTBLANK('PROM (Ingles 9°)'!C26:M26),0)</f>
        <v>11</v>
      </c>
      <c r="G107" s="181"/>
      <c r="H107" s="181"/>
      <c r="I107" s="181"/>
      <c r="J107" s="181"/>
      <c r="K107" s="181"/>
      <c r="L107" s="181"/>
      <c r="M107" s="181"/>
      <c r="N107" s="181"/>
      <c r="O107" s="181"/>
      <c r="P107" s="181"/>
      <c r="Q107" s="181"/>
    </row>
    <row r="108" spans="1:17">
      <c r="A108" s="181">
        <v>9</v>
      </c>
      <c r="B108" s="181">
        <v>23</v>
      </c>
      <c r="C108" s="181">
        <f>IFERROR(MAESTRO!F27,)</f>
        <v>0</v>
      </c>
      <c r="D108" s="181">
        <f>IFERROR(COUNTIF('Asistencia (9°)'!C25:AZ25,"A"),0)</f>
        <v>0</v>
      </c>
      <c r="E108" s="181">
        <f>IFERROR('PROM (Ingles 9°)'!N27,0)</f>
        <v>0</v>
      </c>
      <c r="F108" s="181">
        <f>IFERROR(COUNTBLANK('PROM (Ingles 9°)'!C27:M27),0)</f>
        <v>11</v>
      </c>
      <c r="G108" s="181"/>
      <c r="H108" s="181"/>
      <c r="I108" s="181"/>
      <c r="J108" s="181"/>
      <c r="K108" s="181"/>
      <c r="L108" s="181"/>
      <c r="M108" s="181"/>
      <c r="N108" s="181"/>
      <c r="O108" s="181"/>
      <c r="P108" s="181"/>
      <c r="Q108" s="181"/>
    </row>
    <row r="109" spans="1:17">
      <c r="A109" s="181">
        <v>9</v>
      </c>
      <c r="B109" s="181">
        <v>24</v>
      </c>
      <c r="C109" s="181">
        <f>IFERROR(MAESTRO!F28,)</f>
        <v>0</v>
      </c>
      <c r="D109" s="181">
        <f>IFERROR(COUNTIF('Asistencia (9°)'!C26:AZ26,"A"),0)</f>
        <v>0</v>
      </c>
      <c r="E109" s="181">
        <f>IFERROR('PROM (Ingles 9°)'!N28,0)</f>
        <v>0</v>
      </c>
      <c r="F109" s="181">
        <f>IFERROR(COUNTBLANK('PROM (Ingles 9°)'!C28:M28),0)</f>
        <v>11</v>
      </c>
      <c r="G109" s="181"/>
      <c r="H109" s="181"/>
      <c r="I109" s="181"/>
      <c r="J109" s="181"/>
      <c r="K109" s="181"/>
      <c r="L109" s="181"/>
      <c r="M109" s="181"/>
      <c r="N109" s="181"/>
      <c r="O109" s="181"/>
      <c r="P109" s="181"/>
      <c r="Q109" s="181"/>
    </row>
    <row r="110" spans="1:17">
      <c r="A110" s="181">
        <v>9</v>
      </c>
      <c r="B110" s="181">
        <v>25</v>
      </c>
      <c r="C110" s="181">
        <f>IFERROR(MAESTRO!F29,)</f>
        <v>0</v>
      </c>
      <c r="D110" s="181">
        <f>IFERROR(COUNTIF('Asistencia (9°)'!C27:AZ27,"A"),0)</f>
        <v>0</v>
      </c>
      <c r="E110" s="181">
        <f>IFERROR('PROM (Ingles 9°)'!N29,0)</f>
        <v>0</v>
      </c>
      <c r="F110" s="181">
        <f>IFERROR(COUNTBLANK('PROM (Ingles 9°)'!C29:M29),0)</f>
        <v>11</v>
      </c>
      <c r="G110" s="181"/>
      <c r="H110" s="181"/>
      <c r="I110" s="181"/>
      <c r="J110" s="181"/>
      <c r="K110" s="181"/>
      <c r="L110" s="181"/>
      <c r="M110" s="181"/>
      <c r="N110" s="181"/>
      <c r="O110" s="181"/>
      <c r="P110" s="181"/>
      <c r="Q110" s="181"/>
    </row>
    <row r="111" spans="1:17">
      <c r="A111" s="181">
        <v>9</v>
      </c>
      <c r="B111" s="181">
        <v>26</v>
      </c>
      <c r="C111" s="181">
        <f>IFERROR(MAESTRO!F30,)</f>
        <v>0</v>
      </c>
      <c r="D111" s="181">
        <f>IFERROR(COUNTIF('Asistencia (9°)'!C28:AZ28,"A"),0)</f>
        <v>0</v>
      </c>
      <c r="E111" s="181">
        <f>IFERROR('PROM (Ingles 9°)'!N30,0)</f>
        <v>0</v>
      </c>
      <c r="F111" s="181">
        <f>IFERROR(COUNTBLANK('PROM (Ingles 9°)'!C30:M30),0)</f>
        <v>11</v>
      </c>
      <c r="G111" s="181"/>
      <c r="H111" s="181"/>
      <c r="I111" s="181"/>
      <c r="J111" s="181"/>
      <c r="K111" s="181"/>
      <c r="L111" s="181"/>
      <c r="M111" s="181"/>
      <c r="N111" s="181"/>
      <c r="O111" s="181"/>
      <c r="P111" s="181"/>
      <c r="Q111" s="181"/>
    </row>
    <row r="112" spans="1:17">
      <c r="A112" s="181">
        <v>9</v>
      </c>
      <c r="B112" s="181">
        <v>27</v>
      </c>
      <c r="C112" s="181">
        <f>IFERROR(MAESTRO!F31,)</f>
        <v>0</v>
      </c>
      <c r="D112" s="181">
        <f>IFERROR(COUNTIF('Asistencia (9°)'!C29:AZ29,"A"),0)</f>
        <v>0</v>
      </c>
      <c r="E112" s="181">
        <f>IFERROR('PROM (Ingles 9°)'!N31,0)</f>
        <v>0</v>
      </c>
      <c r="F112" s="181">
        <f>IFERROR(COUNTBLANK('PROM (Ingles 9°)'!C31:M31),0)</f>
        <v>11</v>
      </c>
      <c r="G112" s="181"/>
      <c r="H112" s="181"/>
      <c r="I112" s="181"/>
      <c r="J112" s="181"/>
      <c r="K112" s="181"/>
      <c r="L112" s="181"/>
      <c r="M112" s="181"/>
      <c r="N112" s="181"/>
      <c r="O112" s="181"/>
      <c r="P112" s="181"/>
      <c r="Q112" s="181"/>
    </row>
    <row r="113" spans="1:17">
      <c r="A113" s="181">
        <v>9</v>
      </c>
      <c r="B113" s="181">
        <v>28</v>
      </c>
      <c r="C113" s="181">
        <f>IFERROR(MAESTRO!F32,)</f>
        <v>0</v>
      </c>
      <c r="D113" s="181">
        <f>IFERROR(COUNTIF('Asistencia (9°)'!C30:AZ30,"A"),0)</f>
        <v>0</v>
      </c>
      <c r="E113" s="181">
        <f>IFERROR('PROM (Ingles 9°)'!N32,0)</f>
        <v>0</v>
      </c>
      <c r="F113" s="181">
        <f>IFERROR(COUNTBLANK('PROM (Ingles 9°)'!C32:M32),0)</f>
        <v>11</v>
      </c>
      <c r="G113" s="181"/>
      <c r="H113" s="181"/>
      <c r="I113" s="181"/>
      <c r="J113" s="181"/>
      <c r="K113" s="181"/>
      <c r="L113" s="181"/>
      <c r="M113" s="181"/>
      <c r="N113" s="181"/>
      <c r="O113" s="181"/>
      <c r="P113" s="181"/>
      <c r="Q113" s="181"/>
    </row>
    <row r="114" spans="1:17">
      <c r="A114" s="181">
        <v>9</v>
      </c>
      <c r="B114" s="181">
        <v>29</v>
      </c>
      <c r="C114" s="181">
        <f>IFERROR(MAESTRO!F33,)</f>
        <v>0</v>
      </c>
      <c r="D114" s="181">
        <f>IFERROR(COUNTIF('Asistencia (9°)'!C31:AZ31,"A"),0)</f>
        <v>0</v>
      </c>
      <c r="E114" s="181">
        <f>IFERROR('PROM (Ingles 9°)'!N33,0)</f>
        <v>0</v>
      </c>
      <c r="F114" s="181">
        <f>IFERROR(COUNTBLANK('PROM (Ingles 9°)'!C33:M33),0)</f>
        <v>11</v>
      </c>
      <c r="G114" s="181"/>
      <c r="H114" s="181"/>
      <c r="I114" s="181"/>
      <c r="J114" s="181"/>
      <c r="K114" s="181"/>
      <c r="L114" s="181"/>
      <c r="M114" s="181"/>
      <c r="N114" s="181"/>
      <c r="O114" s="181"/>
      <c r="P114" s="181"/>
      <c r="Q114" s="181"/>
    </row>
    <row r="115" spans="1:17">
      <c r="A115" s="181">
        <v>9</v>
      </c>
      <c r="B115" s="181">
        <v>30</v>
      </c>
      <c r="C115" s="181">
        <f>IFERROR(MAESTRO!F34,)</f>
        <v>0</v>
      </c>
      <c r="D115" s="181">
        <f>IFERROR(COUNTIF('Asistencia (9°)'!C32:AZ32,"A"),0)</f>
        <v>0</v>
      </c>
      <c r="E115" s="181">
        <f>IFERROR('PROM (Ingles 9°)'!N34,0)</f>
        <v>0</v>
      </c>
      <c r="F115" s="181">
        <f>IFERROR(COUNTBLANK('PROM (Ingles 9°)'!C34:M34),0)</f>
        <v>11</v>
      </c>
      <c r="G115" s="181"/>
      <c r="H115" s="181"/>
      <c r="I115" s="181"/>
      <c r="J115" s="181"/>
      <c r="K115" s="181"/>
      <c r="L115" s="181"/>
      <c r="M115" s="181"/>
      <c r="N115" s="181"/>
      <c r="O115" s="181"/>
      <c r="P115" s="181"/>
      <c r="Q115" s="181"/>
    </row>
    <row r="116" spans="1:17">
      <c r="A116" s="181">
        <v>9</v>
      </c>
      <c r="B116" s="181">
        <v>31</v>
      </c>
      <c r="C116" s="181">
        <f>IFERROR(MAESTRO!F35,)</f>
        <v>0</v>
      </c>
      <c r="D116" s="181">
        <f>IFERROR(COUNTIF('Asistencia (9°)'!C33:AZ33,"A"),0)</f>
        <v>0</v>
      </c>
      <c r="E116" s="181">
        <f>IFERROR('PROM (Ingles 9°)'!N35,0)</f>
        <v>0</v>
      </c>
      <c r="F116" s="181">
        <f>IFERROR(COUNTBLANK('PROM (Ingles 9°)'!C35:M35),0)</f>
        <v>11</v>
      </c>
      <c r="G116" s="181"/>
      <c r="H116" s="181"/>
      <c r="I116" s="181"/>
      <c r="J116" s="181"/>
      <c r="K116" s="181"/>
      <c r="L116" s="181"/>
      <c r="M116" s="181"/>
      <c r="N116" s="181"/>
      <c r="O116" s="181"/>
      <c r="P116" s="181"/>
      <c r="Q116" s="181"/>
    </row>
    <row r="117" spans="1:17">
      <c r="A117" s="181">
        <v>9</v>
      </c>
      <c r="B117" s="181">
        <v>32</v>
      </c>
      <c r="C117" s="181">
        <f>IFERROR(MAESTRO!F36,)</f>
        <v>0</v>
      </c>
      <c r="D117" s="181">
        <f>IFERROR(COUNTIF('Asistencia (9°)'!C34:AZ34,"A"),0)</f>
        <v>0</v>
      </c>
      <c r="E117" s="181">
        <f>IFERROR('PROM (Ingles 9°)'!N36,0)</f>
        <v>0</v>
      </c>
      <c r="F117" s="181">
        <f>IFERROR(COUNTBLANK('PROM (Ingles 9°)'!C36:M36),0)</f>
        <v>11</v>
      </c>
      <c r="G117" s="181"/>
      <c r="H117" s="181"/>
      <c r="I117" s="181"/>
      <c r="J117" s="181"/>
      <c r="K117" s="181"/>
      <c r="L117" s="181"/>
      <c r="M117" s="181"/>
      <c r="N117" s="181"/>
      <c r="O117" s="181"/>
      <c r="P117" s="181"/>
      <c r="Q117" s="181"/>
    </row>
    <row r="118" spans="1:17">
      <c r="A118" s="181">
        <v>9</v>
      </c>
      <c r="B118" s="181">
        <v>33</v>
      </c>
      <c r="C118" s="181">
        <f>IFERROR(MAESTRO!F37,)</f>
        <v>0</v>
      </c>
      <c r="D118" s="181">
        <f>IFERROR(COUNTIF('Asistencia (9°)'!C35:AZ35,"A"),0)</f>
        <v>0</v>
      </c>
      <c r="E118" s="181">
        <f>IFERROR('PROM (Ingles 9°)'!N37,0)</f>
        <v>0</v>
      </c>
      <c r="F118" s="181">
        <f>IFERROR(COUNTBLANK('PROM (Ingles 9°)'!C37:M37),0)</f>
        <v>11</v>
      </c>
      <c r="G118" s="181"/>
      <c r="H118" s="181"/>
      <c r="I118" s="181"/>
      <c r="J118" s="181"/>
      <c r="K118" s="181"/>
      <c r="L118" s="181"/>
      <c r="M118" s="181"/>
      <c r="N118" s="181"/>
      <c r="O118" s="181"/>
      <c r="P118" s="181"/>
      <c r="Q118" s="181"/>
    </row>
    <row r="119" spans="1:17">
      <c r="A119" s="181">
        <v>9</v>
      </c>
      <c r="B119" s="181">
        <v>34</v>
      </c>
      <c r="C119" s="181">
        <f>IFERROR(MAESTRO!F38,)</f>
        <v>0</v>
      </c>
      <c r="D119" s="181">
        <f>IFERROR(COUNTIF('Asistencia (9°)'!C36:AZ36,"A"),0)</f>
        <v>0</v>
      </c>
      <c r="E119" s="181">
        <f>IFERROR('PROM (Ingles 9°)'!N38,0)</f>
        <v>0</v>
      </c>
      <c r="F119" s="181">
        <f>IFERROR(COUNTBLANK('PROM (Ingles 9°)'!C38:M38),0)</f>
        <v>11</v>
      </c>
      <c r="G119" s="181"/>
      <c r="H119" s="181"/>
      <c r="I119" s="181"/>
      <c r="J119" s="181"/>
      <c r="K119" s="181"/>
      <c r="L119" s="181"/>
      <c r="M119" s="181"/>
      <c r="N119" s="181"/>
      <c r="O119" s="181"/>
      <c r="P119" s="181"/>
      <c r="Q119" s="181"/>
    </row>
    <row r="120" spans="1:17">
      <c r="A120" s="181">
        <v>9</v>
      </c>
      <c r="B120" s="181">
        <v>35</v>
      </c>
      <c r="C120" s="181">
        <f>IFERROR(MAESTRO!F39,)</f>
        <v>0</v>
      </c>
      <c r="D120" s="181">
        <f>IFERROR(COUNTIF('Asistencia (9°)'!C37:AZ37,"A"),0)</f>
        <v>0</v>
      </c>
      <c r="E120" s="181">
        <f>IFERROR('PROM (Ingles 9°)'!N39,0)</f>
        <v>0</v>
      </c>
      <c r="F120" s="181">
        <f>IFERROR(COUNTBLANK('PROM (Ingles 9°)'!C39:M39),0)</f>
        <v>11</v>
      </c>
      <c r="G120" s="181"/>
      <c r="H120" s="181"/>
      <c r="I120" s="181"/>
      <c r="J120" s="181"/>
      <c r="K120" s="181"/>
      <c r="L120" s="181"/>
      <c r="M120" s="181"/>
      <c r="N120" s="181"/>
      <c r="O120" s="181"/>
      <c r="P120" s="181"/>
      <c r="Q120" s="181"/>
    </row>
    <row r="121" spans="1:17">
      <c r="A121" s="181">
        <v>9</v>
      </c>
      <c r="B121" s="181">
        <v>36</v>
      </c>
      <c r="C121" s="181">
        <f>IFERROR(MAESTRO!F40,)</f>
        <v>0</v>
      </c>
      <c r="D121" s="181">
        <f>IFERROR(COUNTIF('Asistencia (9°)'!C38:AZ38,"A"),0)</f>
        <v>0</v>
      </c>
      <c r="E121" s="181">
        <f>IFERROR('PROM (Ingles 9°)'!N40,0)</f>
        <v>0</v>
      </c>
      <c r="F121" s="181">
        <f>IFERROR(COUNTBLANK('PROM (Ingles 9°)'!C40:M40),0)</f>
        <v>11</v>
      </c>
      <c r="G121" s="181"/>
      <c r="H121" s="181"/>
      <c r="I121" s="181"/>
      <c r="J121" s="181"/>
      <c r="K121" s="181"/>
      <c r="L121" s="181"/>
      <c r="M121" s="181"/>
      <c r="N121" s="181"/>
      <c r="O121" s="181"/>
      <c r="P121" s="181"/>
      <c r="Q121" s="181"/>
    </row>
    <row r="122" spans="1:17">
      <c r="A122" s="181">
        <v>9</v>
      </c>
      <c r="B122" s="181">
        <v>37</v>
      </c>
      <c r="C122" s="181">
        <f>IFERROR(MAESTRO!F41,)</f>
        <v>0</v>
      </c>
      <c r="D122" s="181">
        <f>IFERROR(COUNTIF('Asistencia (9°)'!C39:AZ39,"A"),0)</f>
        <v>0</v>
      </c>
      <c r="E122" s="181">
        <f>IFERROR('PROM (Ingles 9°)'!N41,0)</f>
        <v>0</v>
      </c>
      <c r="F122" s="181">
        <f>IFERROR(COUNTBLANK('PROM (Ingles 9°)'!C41:M41),0)</f>
        <v>11</v>
      </c>
      <c r="G122" s="181"/>
      <c r="H122" s="181"/>
      <c r="I122" s="181"/>
      <c r="J122" s="181"/>
      <c r="K122" s="181"/>
      <c r="L122" s="181"/>
      <c r="M122" s="181"/>
      <c r="N122" s="181"/>
      <c r="O122" s="181"/>
      <c r="P122" s="181"/>
      <c r="Q122" s="181"/>
    </row>
    <row r="123" spans="1:17">
      <c r="A123" s="181">
        <v>9</v>
      </c>
      <c r="B123" s="181">
        <v>38</v>
      </c>
      <c r="C123" s="181">
        <f>IFERROR(MAESTRO!F42,)</f>
        <v>0</v>
      </c>
      <c r="D123" s="181">
        <f>IFERROR(COUNTIF('Asistencia (9°)'!C40:AZ40,"A"),0)</f>
        <v>0</v>
      </c>
      <c r="E123" s="181">
        <f>IFERROR('PROM (Ingles 9°)'!N42,0)</f>
        <v>0</v>
      </c>
      <c r="F123" s="181">
        <f>IFERROR(COUNTBLANK('PROM (Ingles 9°)'!C42:M42),0)</f>
        <v>11</v>
      </c>
      <c r="G123" s="181"/>
      <c r="H123" s="181"/>
      <c r="I123" s="181"/>
      <c r="J123" s="181"/>
      <c r="K123" s="181"/>
      <c r="L123" s="181"/>
      <c r="M123" s="181"/>
      <c r="N123" s="181"/>
      <c r="O123" s="181"/>
      <c r="P123" s="181"/>
      <c r="Q123" s="181"/>
    </row>
    <row r="124" spans="1:17">
      <c r="A124" s="181">
        <v>9</v>
      </c>
      <c r="B124" s="181">
        <v>39</v>
      </c>
      <c r="C124" s="181">
        <f>IFERROR(MAESTRO!F43,)</f>
        <v>0</v>
      </c>
      <c r="D124" s="181">
        <f>IFERROR(COUNTIF('Asistencia (9°)'!C41:AZ41,"A"),0)</f>
        <v>0</v>
      </c>
      <c r="E124" s="181">
        <f>IFERROR('PROM (Ingles 9°)'!N43,0)</f>
        <v>0</v>
      </c>
      <c r="F124" s="181">
        <f>IFERROR(COUNTBLANK('PROM (Ingles 9°)'!C43:M43),0)</f>
        <v>11</v>
      </c>
      <c r="G124" s="181"/>
      <c r="H124" s="181"/>
      <c r="I124" s="181"/>
      <c r="J124" s="181"/>
      <c r="K124" s="181"/>
      <c r="L124" s="181"/>
      <c r="M124" s="181"/>
      <c r="N124" s="181"/>
      <c r="O124" s="181"/>
      <c r="P124" s="181"/>
      <c r="Q124" s="181"/>
    </row>
    <row r="125" spans="1:17">
      <c r="A125" s="181">
        <v>9</v>
      </c>
      <c r="B125" s="181">
        <v>40</v>
      </c>
      <c r="C125" s="181">
        <f>IFERROR(MAESTRO!F44,)</f>
        <v>0</v>
      </c>
      <c r="D125" s="181">
        <f>IFERROR(COUNTIF('Asistencia (9°)'!C42:AZ42,"A"),0)</f>
        <v>0</v>
      </c>
      <c r="E125" s="181">
        <f>IFERROR('PROM (Ingles 9°)'!N44,0)</f>
        <v>0</v>
      </c>
      <c r="F125" s="181">
        <f>IFERROR(COUNTBLANK('PROM (Ingles 9°)'!C44:M44),0)</f>
        <v>11</v>
      </c>
      <c r="G125" s="181"/>
      <c r="H125" s="181"/>
      <c r="I125" s="181"/>
      <c r="J125" s="181"/>
      <c r="K125" s="181"/>
      <c r="L125" s="181"/>
      <c r="M125" s="181"/>
      <c r="N125" s="181"/>
      <c r="O125" s="181"/>
      <c r="P125" s="181"/>
      <c r="Q125" s="181"/>
    </row>
    <row r="126" spans="1:17">
      <c r="A126" s="181"/>
      <c r="B126" s="181"/>
      <c r="C126" s="181"/>
      <c r="D126" s="181"/>
      <c r="E126" s="181"/>
      <c r="F126" s="181"/>
      <c r="G126" s="181"/>
      <c r="H126" s="181"/>
      <c r="I126" s="181"/>
      <c r="J126" s="181"/>
      <c r="K126" s="181"/>
      <c r="L126" s="181"/>
      <c r="M126" s="181"/>
      <c r="N126" s="181"/>
      <c r="O126" s="181"/>
      <c r="P126" s="181"/>
      <c r="Q126" s="181"/>
    </row>
    <row r="127" spans="1:17">
      <c r="A127" s="181"/>
      <c r="B127" s="181"/>
      <c r="C127" s="181"/>
      <c r="D127" s="181"/>
      <c r="E127" s="181"/>
      <c r="F127" s="181"/>
      <c r="G127" s="181"/>
      <c r="H127" s="181"/>
      <c r="I127" s="181"/>
      <c r="J127" s="181"/>
      <c r="K127" s="181"/>
      <c r="L127" s="181"/>
      <c r="M127" s="181"/>
      <c r="N127" s="181"/>
      <c r="O127" s="181"/>
      <c r="P127" s="181"/>
      <c r="Q127" s="181"/>
    </row>
    <row r="128" spans="1:17">
      <c r="A128" s="181"/>
      <c r="B128" s="181"/>
      <c r="C128" s="181"/>
      <c r="D128" s="181"/>
      <c r="E128" s="181"/>
      <c r="F128" s="181"/>
      <c r="G128" s="181"/>
      <c r="H128" s="181"/>
      <c r="I128" s="181"/>
      <c r="J128" s="181"/>
      <c r="K128" s="181"/>
      <c r="L128" s="181"/>
      <c r="M128" s="181"/>
      <c r="N128" s="181"/>
      <c r="O128" s="181"/>
      <c r="P128" s="181"/>
      <c r="Q128" s="181"/>
    </row>
    <row r="129" spans="1:17">
      <c r="A129" s="181"/>
      <c r="B129" s="181"/>
      <c r="C129" s="181"/>
      <c r="D129" s="181"/>
      <c r="E129" s="181"/>
      <c r="F129" s="181"/>
      <c r="G129" s="181"/>
      <c r="H129" s="181"/>
      <c r="I129" s="181"/>
      <c r="J129" s="181"/>
      <c r="K129" s="181"/>
      <c r="L129" s="181"/>
      <c r="M129" s="181"/>
      <c r="N129" s="181"/>
      <c r="O129" s="181"/>
      <c r="P129" s="181"/>
      <c r="Q129" s="181"/>
    </row>
    <row r="130" spans="1:17">
      <c r="A130" s="181"/>
      <c r="B130" s="181"/>
      <c r="C130" s="181"/>
      <c r="D130" s="181"/>
      <c r="E130" s="181"/>
      <c r="F130" s="181"/>
      <c r="G130" s="181"/>
      <c r="H130" s="181"/>
      <c r="I130" s="181"/>
      <c r="J130" s="181"/>
      <c r="K130" s="181"/>
      <c r="L130" s="181"/>
      <c r="M130" s="181"/>
      <c r="N130" s="181"/>
      <c r="O130" s="181"/>
      <c r="P130" s="181"/>
      <c r="Q130" s="181"/>
    </row>
    <row r="131" spans="1:17">
      <c r="A131" s="181"/>
      <c r="B131" s="181"/>
      <c r="C131" s="181"/>
      <c r="D131" s="181"/>
      <c r="E131" s="181"/>
      <c r="F131" s="181"/>
      <c r="G131" s="181"/>
      <c r="H131" s="181"/>
      <c r="I131" s="181"/>
      <c r="J131" s="181"/>
      <c r="K131" s="181"/>
      <c r="L131" s="181"/>
      <c r="M131" s="181"/>
      <c r="N131" s="181"/>
      <c r="O131" s="181"/>
      <c r="P131" s="181"/>
      <c r="Q131" s="181"/>
    </row>
    <row r="132" spans="1:17">
      <c r="A132" s="181"/>
      <c r="B132" s="181"/>
      <c r="C132" s="181"/>
      <c r="D132" s="181"/>
      <c r="E132" s="181"/>
      <c r="F132" s="181"/>
      <c r="G132" s="181"/>
      <c r="H132" s="181"/>
      <c r="I132" s="181"/>
      <c r="J132" s="181"/>
      <c r="K132" s="181"/>
      <c r="L132" s="181"/>
      <c r="M132" s="181"/>
      <c r="N132" s="181"/>
      <c r="O132" s="181"/>
      <c r="P132" s="181"/>
      <c r="Q132" s="181"/>
    </row>
    <row r="133" spans="1:17">
      <c r="A133" s="181"/>
      <c r="B133" s="181"/>
      <c r="C133" s="181"/>
      <c r="D133" s="181"/>
      <c r="E133" s="181"/>
      <c r="F133" s="181"/>
      <c r="G133" s="181"/>
      <c r="H133" s="181"/>
      <c r="I133" s="181"/>
      <c r="J133" s="181"/>
      <c r="K133" s="181"/>
      <c r="L133" s="181"/>
      <c r="M133" s="181"/>
      <c r="N133" s="181"/>
      <c r="O133" s="181"/>
      <c r="P133" s="181"/>
      <c r="Q133" s="181"/>
    </row>
    <row r="134" spans="1:17">
      <c r="A134" s="181"/>
      <c r="B134" s="181"/>
      <c r="C134" s="181"/>
      <c r="D134" s="181"/>
      <c r="E134" s="181"/>
      <c r="F134" s="181"/>
      <c r="G134" s="181"/>
      <c r="H134" s="181"/>
      <c r="I134" s="181"/>
      <c r="J134" s="181"/>
      <c r="K134" s="181"/>
      <c r="L134" s="181"/>
      <c r="M134" s="181"/>
      <c r="N134" s="181"/>
      <c r="O134" s="181"/>
      <c r="P134" s="181"/>
      <c r="Q134" s="181"/>
    </row>
    <row r="135" spans="1:17">
      <c r="A135" s="181"/>
      <c r="B135" s="181"/>
      <c r="C135" s="181"/>
      <c r="D135" s="181"/>
      <c r="E135" s="181"/>
      <c r="F135" s="181"/>
      <c r="G135" s="181"/>
      <c r="H135" s="181"/>
      <c r="I135" s="181"/>
      <c r="J135" s="181"/>
      <c r="K135" s="181"/>
      <c r="L135" s="181"/>
      <c r="M135" s="181"/>
      <c r="N135" s="181"/>
      <c r="O135" s="181"/>
      <c r="P135" s="181"/>
      <c r="Q135" s="181"/>
    </row>
    <row r="136" spans="1:17">
      <c r="A136" s="181"/>
      <c r="B136" s="181"/>
      <c r="C136" s="181"/>
      <c r="D136" s="181"/>
      <c r="E136" s="181"/>
      <c r="F136" s="181"/>
      <c r="G136" s="181"/>
      <c r="H136" s="181"/>
      <c r="I136" s="181"/>
      <c r="J136" s="181"/>
      <c r="K136" s="181"/>
      <c r="L136" s="181"/>
      <c r="M136" s="181"/>
      <c r="N136" s="181"/>
      <c r="O136" s="181"/>
      <c r="P136" s="181"/>
      <c r="Q136" s="181"/>
    </row>
    <row r="137" spans="1:17">
      <c r="A137" s="181"/>
      <c r="B137" s="181"/>
      <c r="C137" s="181"/>
      <c r="D137" s="181"/>
      <c r="E137" s="181"/>
      <c r="F137" s="181"/>
      <c r="G137" s="181"/>
      <c r="H137" s="181"/>
      <c r="I137" s="181"/>
      <c r="J137" s="181"/>
      <c r="K137" s="181"/>
      <c r="L137" s="181"/>
      <c r="M137" s="181"/>
      <c r="N137" s="181"/>
      <c r="O137" s="181"/>
      <c r="P137" s="181"/>
      <c r="Q137" s="181"/>
    </row>
    <row r="138" spans="1:17">
      <c r="A138" s="181"/>
      <c r="B138" s="181"/>
      <c r="C138" s="181"/>
      <c r="D138" s="181"/>
      <c r="E138" s="181"/>
      <c r="F138" s="181"/>
      <c r="G138" s="181"/>
      <c r="H138" s="181"/>
      <c r="I138" s="181"/>
      <c r="J138" s="181"/>
      <c r="K138" s="181"/>
      <c r="L138" s="181"/>
      <c r="M138" s="181"/>
      <c r="N138" s="181"/>
      <c r="O138" s="181"/>
      <c r="P138" s="181"/>
      <c r="Q138" s="181"/>
    </row>
    <row r="139" spans="1:17">
      <c r="A139" s="181"/>
      <c r="B139" s="181"/>
      <c r="C139" s="181"/>
      <c r="D139" s="181"/>
      <c r="E139" s="181"/>
      <c r="F139" s="181"/>
      <c r="G139" s="181"/>
      <c r="H139" s="181"/>
      <c r="I139" s="181"/>
      <c r="J139" s="181"/>
      <c r="K139" s="181"/>
      <c r="L139" s="181"/>
      <c r="M139" s="181"/>
      <c r="N139" s="181"/>
      <c r="O139" s="181"/>
      <c r="P139" s="181"/>
      <c r="Q139" s="181"/>
    </row>
    <row r="140" spans="1:17">
      <c r="A140" s="181"/>
      <c r="B140" s="181"/>
      <c r="C140" s="181"/>
      <c r="D140" s="181"/>
      <c r="E140" s="181"/>
      <c r="F140" s="181"/>
      <c r="G140" s="181"/>
      <c r="H140" s="181"/>
      <c r="I140" s="181"/>
      <c r="J140" s="181"/>
      <c r="K140" s="181"/>
      <c r="L140" s="181"/>
      <c r="M140" s="181"/>
      <c r="N140" s="181"/>
      <c r="O140" s="181"/>
      <c r="P140" s="181"/>
      <c r="Q140" s="181"/>
    </row>
    <row r="141" spans="1:17">
      <c r="A141" s="181"/>
      <c r="B141" s="181"/>
      <c r="C141" s="181"/>
      <c r="D141" s="181"/>
      <c r="E141" s="181"/>
      <c r="F141" s="181"/>
      <c r="G141" s="181"/>
      <c r="H141" s="181"/>
      <c r="I141" s="181"/>
      <c r="J141" s="181"/>
      <c r="K141" s="181"/>
      <c r="L141" s="181"/>
      <c r="M141" s="181"/>
      <c r="N141" s="181"/>
      <c r="O141" s="181"/>
      <c r="P141" s="181"/>
      <c r="Q141" s="181"/>
    </row>
    <row r="142" spans="1:17">
      <c r="A142" s="181"/>
      <c r="B142" s="181"/>
      <c r="C142" s="181"/>
      <c r="D142" s="181"/>
      <c r="E142" s="181"/>
      <c r="F142" s="181"/>
      <c r="G142" s="181"/>
      <c r="H142" s="181"/>
      <c r="I142" s="181"/>
      <c r="J142" s="181"/>
      <c r="K142" s="181"/>
      <c r="L142" s="181"/>
      <c r="M142" s="181"/>
      <c r="N142" s="181"/>
      <c r="O142" s="181"/>
      <c r="P142" s="181"/>
      <c r="Q142" s="181"/>
    </row>
    <row r="143" spans="1:17">
      <c r="A143" s="181"/>
      <c r="B143" s="181"/>
      <c r="C143" s="181"/>
      <c r="D143" s="181"/>
      <c r="E143" s="181"/>
      <c r="F143" s="181"/>
      <c r="G143" s="181"/>
      <c r="H143" s="181"/>
      <c r="I143" s="181"/>
      <c r="J143" s="181"/>
      <c r="K143" s="181"/>
      <c r="L143" s="181"/>
      <c r="M143" s="181"/>
      <c r="N143" s="181"/>
      <c r="O143" s="181"/>
      <c r="P143" s="181"/>
      <c r="Q143" s="181"/>
    </row>
    <row r="144" spans="1:17">
      <c r="A144" s="181"/>
      <c r="B144" s="181"/>
      <c r="C144" s="181"/>
      <c r="D144" s="181"/>
      <c r="E144" s="181"/>
      <c r="F144" s="181"/>
      <c r="G144" s="181"/>
      <c r="H144" s="181"/>
      <c r="I144" s="181"/>
      <c r="J144" s="181"/>
      <c r="K144" s="181"/>
      <c r="L144" s="181"/>
      <c r="M144" s="181"/>
      <c r="N144" s="181"/>
      <c r="O144" s="181"/>
      <c r="P144" s="181"/>
      <c r="Q144" s="181"/>
    </row>
    <row r="145" spans="1:17">
      <c r="A145" s="181"/>
      <c r="B145" s="181"/>
      <c r="C145" s="181"/>
      <c r="D145" s="181"/>
      <c r="E145" s="181"/>
      <c r="F145" s="181"/>
      <c r="G145" s="181"/>
      <c r="H145" s="181"/>
      <c r="I145" s="181"/>
      <c r="J145" s="181"/>
      <c r="K145" s="181"/>
      <c r="L145" s="181"/>
      <c r="M145" s="181"/>
      <c r="N145" s="181"/>
      <c r="O145" s="181"/>
      <c r="P145" s="181"/>
      <c r="Q145" s="181"/>
    </row>
    <row r="146" spans="1:17">
      <c r="A146" s="181"/>
      <c r="B146" s="181"/>
      <c r="C146" s="181"/>
      <c r="D146" s="181"/>
      <c r="E146" s="181"/>
      <c r="F146" s="181"/>
      <c r="G146" s="181"/>
      <c r="H146" s="181"/>
      <c r="I146" s="181"/>
      <c r="J146" s="181"/>
      <c r="K146" s="181"/>
      <c r="L146" s="181"/>
      <c r="M146" s="181"/>
      <c r="N146" s="181"/>
      <c r="O146" s="181"/>
      <c r="P146" s="181"/>
      <c r="Q146" s="181"/>
    </row>
    <row r="147" spans="1:17">
      <c r="A147" s="181"/>
      <c r="B147" s="181"/>
      <c r="C147" s="181"/>
      <c r="D147" s="181"/>
      <c r="E147" s="181"/>
      <c r="F147" s="181"/>
      <c r="G147" s="181"/>
      <c r="H147" s="181"/>
      <c r="I147" s="181"/>
      <c r="J147" s="181"/>
      <c r="K147" s="181"/>
      <c r="L147" s="181"/>
      <c r="M147" s="181"/>
      <c r="N147" s="181"/>
      <c r="O147" s="181"/>
      <c r="P147" s="181"/>
      <c r="Q147" s="181"/>
    </row>
    <row r="148" spans="1:17">
      <c r="A148" s="181"/>
      <c r="B148" s="181"/>
      <c r="C148" s="181"/>
      <c r="D148" s="181"/>
      <c r="E148" s="181"/>
      <c r="F148" s="181"/>
      <c r="G148" s="181"/>
      <c r="H148" s="181"/>
      <c r="I148" s="181"/>
      <c r="J148" s="181"/>
      <c r="K148" s="181"/>
      <c r="L148" s="181"/>
      <c r="M148" s="181"/>
      <c r="N148" s="181"/>
      <c r="O148" s="181"/>
      <c r="P148" s="181"/>
      <c r="Q148" s="181"/>
    </row>
    <row r="149" spans="1:17">
      <c r="A149" s="181"/>
      <c r="B149" s="181"/>
      <c r="C149" s="181"/>
      <c r="D149" s="181"/>
      <c r="E149" s="181"/>
      <c r="F149" s="181"/>
      <c r="G149" s="181"/>
      <c r="H149" s="181"/>
      <c r="I149" s="181"/>
      <c r="J149" s="181"/>
      <c r="K149" s="181"/>
      <c r="L149" s="181"/>
      <c r="M149" s="181"/>
      <c r="N149" s="181"/>
      <c r="O149" s="181"/>
      <c r="P149" s="181"/>
      <c r="Q149" s="181"/>
    </row>
    <row r="150" spans="1:17">
      <c r="A150" s="181"/>
      <c r="B150" s="181"/>
      <c r="C150" s="181"/>
      <c r="D150" s="181"/>
      <c r="E150" s="181"/>
      <c r="F150" s="181"/>
      <c r="G150" s="181"/>
      <c r="H150" s="181"/>
      <c r="I150" s="181"/>
      <c r="J150" s="181"/>
      <c r="K150" s="181"/>
      <c r="L150" s="181"/>
      <c r="M150" s="181"/>
      <c r="N150" s="181"/>
      <c r="O150" s="181"/>
      <c r="P150" s="181"/>
      <c r="Q150" s="181"/>
    </row>
    <row r="151" spans="1:17">
      <c r="A151" s="181"/>
      <c r="B151" s="181"/>
      <c r="C151" s="181"/>
      <c r="D151" s="181"/>
      <c r="E151" s="181"/>
      <c r="F151" s="181"/>
      <c r="G151" s="181"/>
      <c r="H151" s="181"/>
      <c r="I151" s="181"/>
      <c r="J151" s="181"/>
      <c r="K151" s="181"/>
      <c r="L151" s="181"/>
      <c r="M151" s="181"/>
      <c r="N151" s="181"/>
      <c r="O151" s="181"/>
      <c r="P151" s="181"/>
      <c r="Q151" s="181"/>
    </row>
    <row r="152" spans="1:17">
      <c r="A152" s="181"/>
      <c r="B152" s="181"/>
      <c r="C152" s="181"/>
      <c r="D152" s="181"/>
      <c r="E152" s="181"/>
      <c r="F152" s="181"/>
      <c r="G152" s="181"/>
      <c r="H152" s="181"/>
      <c r="I152" s="181"/>
      <c r="J152" s="181"/>
      <c r="K152" s="181"/>
      <c r="L152" s="181"/>
      <c r="M152" s="181"/>
      <c r="N152" s="181"/>
      <c r="O152" s="181"/>
      <c r="P152" s="181"/>
      <c r="Q152" s="181"/>
    </row>
    <row r="153" spans="1:17">
      <c r="A153" s="181"/>
      <c r="B153" s="181"/>
      <c r="C153" s="181"/>
      <c r="D153" s="181"/>
      <c r="E153" s="181"/>
      <c r="F153" s="181"/>
      <c r="G153" s="181"/>
      <c r="H153" s="181"/>
      <c r="I153" s="181"/>
      <c r="J153" s="181"/>
      <c r="K153" s="181"/>
      <c r="L153" s="181"/>
      <c r="M153" s="181"/>
      <c r="N153" s="181"/>
      <c r="O153" s="181"/>
      <c r="P153" s="181"/>
      <c r="Q153" s="181"/>
    </row>
    <row r="154" spans="1:17">
      <c r="A154" s="181"/>
      <c r="B154" s="181"/>
      <c r="C154" s="181"/>
      <c r="D154" s="181"/>
      <c r="E154" s="181"/>
      <c r="F154" s="181"/>
      <c r="G154" s="181"/>
      <c r="H154" s="181"/>
      <c r="I154" s="181"/>
      <c r="J154" s="181"/>
      <c r="K154" s="181"/>
      <c r="L154" s="181"/>
      <c r="M154" s="181"/>
      <c r="N154" s="181"/>
      <c r="O154" s="181"/>
      <c r="P154" s="181"/>
      <c r="Q154" s="181"/>
    </row>
    <row r="155" spans="1:17">
      <c r="A155" s="181"/>
      <c r="B155" s="181"/>
      <c r="C155" s="181"/>
      <c r="D155" s="181"/>
      <c r="E155" s="181"/>
      <c r="F155" s="181"/>
      <c r="G155" s="181"/>
      <c r="H155" s="181"/>
      <c r="I155" s="181"/>
      <c r="J155" s="181"/>
      <c r="K155" s="181"/>
      <c r="L155" s="181"/>
      <c r="M155" s="181"/>
      <c r="N155" s="181"/>
      <c r="O155" s="181"/>
      <c r="P155" s="181"/>
      <c r="Q155" s="181"/>
    </row>
    <row r="156" spans="1:17">
      <c r="A156" s="181"/>
      <c r="B156" s="181"/>
      <c r="C156" s="181"/>
      <c r="D156" s="181"/>
      <c r="E156" s="181"/>
      <c r="F156" s="181"/>
      <c r="G156" s="181"/>
      <c r="H156" s="181"/>
      <c r="I156" s="181"/>
      <c r="J156" s="181"/>
      <c r="K156" s="181"/>
      <c r="L156" s="181"/>
      <c r="M156" s="181"/>
      <c r="N156" s="181"/>
      <c r="O156" s="181"/>
      <c r="P156" s="181"/>
      <c r="Q156" s="181"/>
    </row>
    <row r="157" spans="1:17">
      <c r="A157" s="181"/>
      <c r="B157" s="181"/>
      <c r="C157" s="181"/>
      <c r="D157" s="181"/>
      <c r="E157" s="181"/>
      <c r="F157" s="181"/>
      <c r="G157" s="181"/>
      <c r="H157" s="181"/>
      <c r="I157" s="181"/>
      <c r="J157" s="181"/>
      <c r="K157" s="181"/>
      <c r="L157" s="181"/>
      <c r="M157" s="181"/>
      <c r="N157" s="181"/>
      <c r="O157" s="181"/>
      <c r="P157" s="181"/>
      <c r="Q157" s="181"/>
    </row>
    <row r="158" spans="1:17">
      <c r="A158" s="181"/>
      <c r="B158" s="181"/>
      <c r="C158" s="181"/>
      <c r="D158" s="181"/>
      <c r="E158" s="181"/>
      <c r="F158" s="181"/>
      <c r="G158" s="181"/>
      <c r="H158" s="181"/>
      <c r="I158" s="181"/>
      <c r="J158" s="181"/>
      <c r="K158" s="181"/>
      <c r="L158" s="181"/>
      <c r="M158" s="181"/>
      <c r="N158" s="181"/>
      <c r="O158" s="181"/>
      <c r="P158" s="181"/>
      <c r="Q158" s="181"/>
    </row>
    <row r="159" spans="1:17">
      <c r="A159" s="181"/>
      <c r="B159" s="181"/>
      <c r="C159" s="181"/>
      <c r="D159" s="181"/>
      <c r="E159" s="181"/>
      <c r="F159" s="181"/>
      <c r="G159" s="181"/>
      <c r="H159" s="181"/>
      <c r="I159" s="181"/>
      <c r="J159" s="181"/>
      <c r="K159" s="181"/>
      <c r="L159" s="181"/>
      <c r="M159" s="181"/>
      <c r="N159" s="181"/>
      <c r="O159" s="181"/>
      <c r="P159" s="181"/>
      <c r="Q159" s="181"/>
    </row>
    <row r="160" spans="1:17">
      <c r="A160" s="181"/>
      <c r="B160" s="181"/>
      <c r="C160" s="181"/>
      <c r="D160" s="181"/>
      <c r="E160" s="181"/>
      <c r="F160" s="181"/>
      <c r="G160" s="181"/>
      <c r="H160" s="181"/>
      <c r="I160" s="181"/>
      <c r="J160" s="181"/>
      <c r="K160" s="181"/>
      <c r="L160" s="181"/>
      <c r="M160" s="181"/>
      <c r="N160" s="181"/>
      <c r="O160" s="181"/>
      <c r="P160" s="181"/>
      <c r="Q160" s="181"/>
    </row>
    <row r="161" spans="1:17">
      <c r="A161" s="181"/>
      <c r="B161" s="181"/>
      <c r="C161" s="181"/>
      <c r="D161" s="181"/>
      <c r="E161" s="181"/>
      <c r="F161" s="181"/>
      <c r="G161" s="181"/>
      <c r="H161" s="181"/>
      <c r="I161" s="181"/>
      <c r="J161" s="181"/>
      <c r="K161" s="181"/>
      <c r="L161" s="181"/>
      <c r="M161" s="181"/>
      <c r="N161" s="181"/>
      <c r="O161" s="181"/>
      <c r="P161" s="181"/>
      <c r="Q161" s="181"/>
    </row>
    <row r="162" spans="1:17">
      <c r="A162" s="181"/>
      <c r="B162" s="181"/>
      <c r="C162" s="181"/>
      <c r="D162" s="181"/>
      <c r="E162" s="181"/>
      <c r="F162" s="181"/>
      <c r="G162" s="181"/>
      <c r="H162" s="181"/>
      <c r="I162" s="181"/>
      <c r="J162" s="181"/>
      <c r="K162" s="181"/>
      <c r="L162" s="181"/>
      <c r="M162" s="181"/>
      <c r="N162" s="181"/>
      <c r="O162" s="181"/>
      <c r="P162" s="181"/>
      <c r="Q162" s="181"/>
    </row>
    <row r="163" spans="1:17">
      <c r="A163" s="181"/>
      <c r="B163" s="181"/>
      <c r="C163" s="181"/>
      <c r="D163" s="181"/>
      <c r="E163" s="181"/>
      <c r="F163" s="181"/>
      <c r="G163" s="181"/>
      <c r="H163" s="181"/>
      <c r="I163" s="181"/>
      <c r="J163" s="181"/>
      <c r="K163" s="181"/>
      <c r="L163" s="181"/>
      <c r="M163" s="181"/>
      <c r="N163" s="181"/>
      <c r="O163" s="181"/>
      <c r="P163" s="181"/>
      <c r="Q163" s="181"/>
    </row>
    <row r="164" spans="1:17">
      <c r="A164" s="181"/>
      <c r="B164" s="181"/>
      <c r="C164" s="181"/>
      <c r="D164" s="181"/>
      <c r="E164" s="181"/>
      <c r="F164" s="181"/>
      <c r="G164" s="181"/>
      <c r="H164" s="181"/>
      <c r="I164" s="181"/>
      <c r="J164" s="181"/>
      <c r="K164" s="181"/>
      <c r="L164" s="181"/>
      <c r="M164" s="181"/>
      <c r="N164" s="181"/>
      <c r="O164" s="181"/>
      <c r="P164" s="181"/>
      <c r="Q164" s="181"/>
    </row>
    <row r="165" spans="1:17">
      <c r="A165" s="181"/>
      <c r="B165" s="181"/>
      <c r="C165" s="181"/>
      <c r="D165" s="181"/>
      <c r="E165" s="181"/>
      <c r="F165" s="181"/>
      <c r="G165" s="181"/>
      <c r="H165" s="181"/>
      <c r="I165" s="181"/>
      <c r="J165" s="181"/>
      <c r="K165" s="181"/>
      <c r="L165" s="181"/>
      <c r="M165" s="181"/>
      <c r="N165" s="181"/>
      <c r="O165" s="181"/>
      <c r="P165" s="181"/>
      <c r="Q165" s="181"/>
    </row>
    <row r="166" spans="1:17">
      <c r="A166" s="181"/>
      <c r="B166" s="181"/>
      <c r="C166" s="181"/>
      <c r="D166" s="181"/>
      <c r="E166" s="181"/>
      <c r="F166" s="181"/>
      <c r="G166" s="181"/>
      <c r="H166" s="181"/>
      <c r="I166" s="181"/>
      <c r="J166" s="181"/>
      <c r="K166" s="181"/>
      <c r="L166" s="181"/>
      <c r="M166" s="181"/>
      <c r="N166" s="181"/>
      <c r="O166" s="181"/>
      <c r="P166" s="181"/>
      <c r="Q166" s="181"/>
    </row>
    <row r="167" spans="1:17">
      <c r="A167" s="181"/>
      <c r="B167" s="181"/>
      <c r="C167" s="181"/>
      <c r="D167" s="181"/>
      <c r="E167" s="181"/>
      <c r="F167" s="181"/>
      <c r="G167" s="181"/>
      <c r="H167" s="181"/>
      <c r="I167" s="181"/>
      <c r="J167" s="181"/>
      <c r="K167" s="181"/>
      <c r="L167" s="181"/>
      <c r="M167" s="181"/>
      <c r="N167" s="181"/>
      <c r="O167" s="181"/>
      <c r="P167" s="181"/>
      <c r="Q167" s="181"/>
    </row>
    <row r="168" spans="1:17">
      <c r="A168" s="181"/>
      <c r="B168" s="181"/>
      <c r="C168" s="181"/>
      <c r="D168" s="181"/>
      <c r="E168" s="181"/>
      <c r="F168" s="181"/>
      <c r="G168" s="181"/>
      <c r="H168" s="181"/>
      <c r="I168" s="181"/>
      <c r="J168" s="181"/>
      <c r="K168" s="181"/>
      <c r="L168" s="181"/>
      <c r="M168" s="181"/>
      <c r="N168" s="181"/>
      <c r="O168" s="181"/>
      <c r="P168" s="181"/>
      <c r="Q168" s="181"/>
    </row>
    <row r="169" spans="1:17">
      <c r="A169" s="181"/>
      <c r="B169" s="181"/>
      <c r="C169" s="181"/>
      <c r="D169" s="181"/>
      <c r="E169" s="181"/>
      <c r="F169" s="181"/>
      <c r="G169" s="181"/>
      <c r="H169" s="181"/>
      <c r="I169" s="181"/>
      <c r="J169" s="181"/>
      <c r="K169" s="181"/>
      <c r="L169" s="181"/>
      <c r="M169" s="181"/>
      <c r="N169" s="181"/>
      <c r="O169" s="181"/>
      <c r="P169" s="181"/>
      <c r="Q169" s="181"/>
    </row>
    <row r="170" spans="1:17">
      <c r="A170" s="181"/>
      <c r="B170" s="181"/>
      <c r="C170" s="181"/>
      <c r="D170" s="181"/>
      <c r="E170" s="181"/>
      <c r="F170" s="181"/>
      <c r="G170" s="181"/>
      <c r="H170" s="181"/>
      <c r="I170" s="181"/>
      <c r="J170" s="181"/>
      <c r="K170" s="181"/>
      <c r="L170" s="181"/>
      <c r="M170" s="181"/>
      <c r="N170" s="181"/>
      <c r="O170" s="181"/>
      <c r="P170" s="181"/>
      <c r="Q170" s="181"/>
    </row>
    <row r="171" spans="1:17">
      <c r="A171" s="181"/>
      <c r="B171" s="181"/>
      <c r="C171" s="181"/>
      <c r="D171" s="181"/>
      <c r="E171" s="181"/>
      <c r="F171" s="181"/>
      <c r="G171" s="181"/>
      <c r="H171" s="181"/>
      <c r="I171" s="181"/>
      <c r="J171" s="181"/>
      <c r="K171" s="181"/>
      <c r="L171" s="181"/>
      <c r="M171" s="181"/>
      <c r="N171" s="181"/>
      <c r="O171" s="181"/>
      <c r="P171" s="181"/>
      <c r="Q171" s="181"/>
    </row>
    <row r="172" spans="1:17">
      <c r="A172" s="181"/>
      <c r="B172" s="181"/>
      <c r="C172" s="181"/>
      <c r="D172" s="181"/>
      <c r="E172" s="181"/>
      <c r="F172" s="181"/>
      <c r="G172" s="181"/>
      <c r="H172" s="181"/>
      <c r="I172" s="181"/>
      <c r="J172" s="181"/>
      <c r="K172" s="181"/>
      <c r="L172" s="181"/>
      <c r="M172" s="181"/>
      <c r="N172" s="181"/>
      <c r="O172" s="181"/>
      <c r="P172" s="181"/>
      <c r="Q172" s="181"/>
    </row>
    <row r="173" spans="1:17">
      <c r="A173" s="181"/>
      <c r="B173" s="181"/>
      <c r="C173" s="181"/>
      <c r="D173" s="181"/>
      <c r="E173" s="181"/>
      <c r="F173" s="181"/>
      <c r="G173" s="181"/>
      <c r="H173" s="181"/>
      <c r="I173" s="181"/>
      <c r="J173" s="181"/>
      <c r="K173" s="181"/>
      <c r="L173" s="181"/>
      <c r="M173" s="181"/>
      <c r="N173" s="181"/>
      <c r="O173" s="181"/>
      <c r="P173" s="181"/>
      <c r="Q173" s="181"/>
    </row>
    <row r="174" spans="1:17">
      <c r="A174" s="181"/>
      <c r="B174" s="181"/>
      <c r="C174" s="181"/>
      <c r="D174" s="181"/>
      <c r="E174" s="181"/>
      <c r="F174" s="181"/>
      <c r="G174" s="181"/>
      <c r="H174" s="181"/>
      <c r="I174" s="181"/>
      <c r="J174" s="181"/>
      <c r="K174" s="181"/>
      <c r="L174" s="181"/>
      <c r="M174" s="181"/>
      <c r="N174" s="181"/>
      <c r="O174" s="181"/>
      <c r="P174" s="181"/>
      <c r="Q174" s="181"/>
    </row>
    <row r="175" spans="1:17">
      <c r="A175" s="181"/>
      <c r="B175" s="181"/>
      <c r="C175" s="181"/>
      <c r="D175" s="181"/>
      <c r="E175" s="181"/>
      <c r="F175" s="181"/>
      <c r="G175" s="181"/>
      <c r="H175" s="181"/>
      <c r="I175" s="181"/>
      <c r="J175" s="181"/>
      <c r="K175" s="181"/>
      <c r="L175" s="181"/>
      <c r="M175" s="181"/>
      <c r="N175" s="181"/>
      <c r="O175" s="181"/>
      <c r="P175" s="181"/>
      <c r="Q175" s="181"/>
    </row>
    <row r="176" spans="1:17">
      <c r="A176" s="181"/>
      <c r="B176" s="181"/>
      <c r="C176" s="181"/>
      <c r="D176" s="181"/>
      <c r="E176" s="181"/>
      <c r="F176" s="181"/>
      <c r="G176" s="181"/>
      <c r="H176" s="181"/>
      <c r="I176" s="181"/>
      <c r="J176" s="181"/>
      <c r="K176" s="181"/>
      <c r="L176" s="181"/>
      <c r="M176" s="181"/>
      <c r="N176" s="181"/>
      <c r="O176" s="181"/>
      <c r="P176" s="181"/>
      <c r="Q176" s="181"/>
    </row>
    <row r="177" spans="1:17">
      <c r="A177" s="181"/>
      <c r="B177" s="181"/>
      <c r="C177" s="181"/>
      <c r="D177" s="181"/>
      <c r="E177" s="181"/>
      <c r="F177" s="181"/>
      <c r="G177" s="181"/>
      <c r="H177" s="181"/>
      <c r="I177" s="181"/>
      <c r="J177" s="181"/>
      <c r="K177" s="181"/>
      <c r="L177" s="181"/>
      <c r="M177" s="181"/>
      <c r="N177" s="181"/>
      <c r="O177" s="181"/>
      <c r="P177" s="181"/>
      <c r="Q177" s="181"/>
    </row>
    <row r="178" spans="1:17">
      <c r="A178" s="181"/>
      <c r="B178" s="181"/>
      <c r="C178" s="181"/>
      <c r="D178" s="181"/>
      <c r="E178" s="181"/>
      <c r="F178" s="181"/>
      <c r="G178" s="181"/>
      <c r="H178" s="181"/>
      <c r="I178" s="181"/>
      <c r="J178" s="181"/>
      <c r="K178" s="181"/>
      <c r="L178" s="181"/>
      <c r="M178" s="181"/>
      <c r="N178" s="181"/>
      <c r="O178" s="181"/>
      <c r="P178" s="181"/>
      <c r="Q178" s="181"/>
    </row>
    <row r="179" spans="1:17">
      <c r="A179" s="181"/>
      <c r="B179" s="181"/>
      <c r="C179" s="181"/>
      <c r="D179" s="181"/>
      <c r="E179" s="181"/>
      <c r="F179" s="181"/>
      <c r="G179" s="181"/>
      <c r="H179" s="181"/>
      <c r="I179" s="181"/>
      <c r="J179" s="181"/>
      <c r="K179" s="181"/>
      <c r="L179" s="181"/>
      <c r="M179" s="181"/>
      <c r="N179" s="181"/>
      <c r="O179" s="181"/>
      <c r="P179" s="181"/>
      <c r="Q179" s="181"/>
    </row>
    <row r="180" spans="1:17">
      <c r="A180" s="181"/>
      <c r="B180" s="181"/>
      <c r="C180" s="181"/>
      <c r="D180" s="181"/>
      <c r="E180" s="181"/>
      <c r="F180" s="181"/>
      <c r="G180" s="181"/>
      <c r="H180" s="181"/>
      <c r="I180" s="181"/>
      <c r="J180" s="181"/>
      <c r="K180" s="181"/>
      <c r="L180" s="181"/>
      <c r="M180" s="181"/>
      <c r="N180" s="181"/>
      <c r="O180" s="181"/>
      <c r="P180" s="181"/>
      <c r="Q180" s="181"/>
    </row>
    <row r="181" spans="1:17">
      <c r="A181" s="181"/>
      <c r="B181" s="181"/>
      <c r="C181" s="181"/>
      <c r="D181" s="181"/>
      <c r="E181" s="181"/>
      <c r="F181" s="181"/>
      <c r="G181" s="181"/>
      <c r="H181" s="181"/>
      <c r="I181" s="181"/>
      <c r="J181" s="181"/>
      <c r="K181" s="181"/>
      <c r="L181" s="181"/>
      <c r="M181" s="181"/>
      <c r="N181" s="181"/>
      <c r="O181" s="181"/>
      <c r="P181" s="181"/>
      <c r="Q181" s="181"/>
    </row>
    <row r="182" spans="1:17">
      <c r="A182" s="181"/>
      <c r="B182" s="181"/>
      <c r="C182" s="181"/>
      <c r="D182" s="181"/>
      <c r="E182" s="181"/>
      <c r="F182" s="181"/>
      <c r="G182" s="181"/>
      <c r="H182" s="181"/>
      <c r="I182" s="181"/>
      <c r="J182" s="181"/>
      <c r="K182" s="181"/>
      <c r="L182" s="181"/>
      <c r="M182" s="181"/>
      <c r="N182" s="181"/>
      <c r="O182" s="181"/>
      <c r="P182" s="181"/>
      <c r="Q182" s="181"/>
    </row>
    <row r="183" spans="1:17">
      <c r="A183" s="181"/>
      <c r="B183" s="181"/>
      <c r="C183" s="181"/>
      <c r="D183" s="181"/>
      <c r="E183" s="181"/>
      <c r="F183" s="181"/>
      <c r="G183" s="181"/>
      <c r="H183" s="181"/>
      <c r="I183" s="181"/>
      <c r="J183" s="181"/>
      <c r="K183" s="181"/>
      <c r="L183" s="181"/>
      <c r="M183" s="181"/>
      <c r="N183" s="181"/>
      <c r="O183" s="181"/>
      <c r="P183" s="181"/>
      <c r="Q183" s="181"/>
    </row>
    <row r="184" spans="1:17">
      <c r="A184" s="181"/>
      <c r="B184" s="181"/>
      <c r="C184" s="181"/>
      <c r="D184" s="181"/>
      <c r="E184" s="181"/>
      <c r="F184" s="181"/>
      <c r="G184" s="181"/>
      <c r="H184" s="181"/>
      <c r="I184" s="181"/>
      <c r="J184" s="181"/>
      <c r="K184" s="181"/>
      <c r="L184" s="181"/>
      <c r="M184" s="181"/>
      <c r="N184" s="181"/>
      <c r="O184" s="181"/>
      <c r="P184" s="181"/>
      <c r="Q184" s="181"/>
    </row>
    <row r="185" spans="1:17">
      <c r="A185" s="181"/>
      <c r="B185" s="181"/>
      <c r="C185" s="181"/>
      <c r="D185" s="181"/>
      <c r="E185" s="181"/>
      <c r="F185" s="181"/>
      <c r="G185" s="181"/>
      <c r="H185" s="181"/>
      <c r="I185" s="181"/>
      <c r="J185" s="181"/>
      <c r="K185" s="181"/>
      <c r="L185" s="181"/>
      <c r="M185" s="181"/>
      <c r="N185" s="181"/>
      <c r="O185" s="181"/>
      <c r="P185" s="181"/>
      <c r="Q185" s="181"/>
    </row>
    <row r="186" spans="1:17">
      <c r="A186" s="181"/>
      <c r="B186" s="181"/>
      <c r="C186" s="181"/>
      <c r="D186" s="181"/>
      <c r="E186" s="181"/>
      <c r="F186" s="181"/>
      <c r="G186" s="181"/>
      <c r="H186" s="181"/>
      <c r="I186" s="181"/>
      <c r="J186" s="181"/>
      <c r="K186" s="181"/>
      <c r="L186" s="181"/>
      <c r="M186" s="181"/>
      <c r="N186" s="181"/>
      <c r="O186" s="181"/>
      <c r="P186" s="181"/>
      <c r="Q186" s="181"/>
    </row>
    <row r="187" spans="1:17">
      <c r="A187" s="181"/>
      <c r="B187" s="181"/>
      <c r="C187" s="181"/>
      <c r="D187" s="181"/>
      <c r="E187" s="181"/>
      <c r="F187" s="181"/>
      <c r="G187" s="181"/>
      <c r="H187" s="181"/>
      <c r="I187" s="181"/>
      <c r="J187" s="181"/>
      <c r="K187" s="181"/>
      <c r="L187" s="181"/>
      <c r="M187" s="181"/>
      <c r="N187" s="181"/>
      <c r="O187" s="181"/>
      <c r="P187" s="181"/>
      <c r="Q187" s="181"/>
    </row>
    <row r="188" spans="1:17">
      <c r="A188" s="181"/>
      <c r="B188" s="181"/>
      <c r="C188" s="181"/>
      <c r="D188" s="181"/>
      <c r="E188" s="181"/>
      <c r="F188" s="181"/>
      <c r="G188" s="181"/>
      <c r="H188" s="181"/>
      <c r="I188" s="181"/>
      <c r="J188" s="181"/>
      <c r="K188" s="181"/>
      <c r="L188" s="181"/>
      <c r="M188" s="181"/>
      <c r="N188" s="181"/>
      <c r="O188" s="181"/>
      <c r="P188" s="181"/>
      <c r="Q188" s="181"/>
    </row>
    <row r="189" spans="1:17">
      <c r="A189" s="181"/>
      <c r="B189" s="181"/>
      <c r="C189" s="181"/>
      <c r="D189" s="181"/>
      <c r="E189" s="181"/>
      <c r="F189" s="181"/>
      <c r="G189" s="181"/>
      <c r="H189" s="181"/>
      <c r="I189" s="181"/>
      <c r="J189" s="181"/>
      <c r="K189" s="181"/>
      <c r="L189" s="181"/>
      <c r="M189" s="181"/>
      <c r="N189" s="181"/>
      <c r="O189" s="181"/>
      <c r="P189" s="181"/>
      <c r="Q189" s="181"/>
    </row>
    <row r="190" spans="1:17">
      <c r="A190" s="181"/>
      <c r="B190" s="181"/>
      <c r="C190" s="181"/>
      <c r="D190" s="181"/>
      <c r="E190" s="181"/>
      <c r="F190" s="181"/>
      <c r="G190" s="181"/>
      <c r="H190" s="181"/>
      <c r="I190" s="181"/>
      <c r="J190" s="181"/>
      <c r="K190" s="181"/>
      <c r="L190" s="181"/>
      <c r="M190" s="181"/>
      <c r="N190" s="181"/>
      <c r="O190" s="181"/>
      <c r="P190" s="181"/>
      <c r="Q190" s="181"/>
    </row>
    <row r="191" spans="1:17">
      <c r="A191" s="181"/>
      <c r="B191" s="181"/>
      <c r="C191" s="181"/>
      <c r="D191" s="181"/>
      <c r="E191" s="181"/>
      <c r="F191" s="181"/>
      <c r="G191" s="181"/>
      <c r="H191" s="181"/>
      <c r="I191" s="181"/>
      <c r="J191" s="181"/>
      <c r="K191" s="181"/>
      <c r="L191" s="181"/>
      <c r="M191" s="181"/>
      <c r="N191" s="181"/>
      <c r="O191" s="181"/>
      <c r="P191" s="181"/>
      <c r="Q191" s="181"/>
    </row>
    <row r="192" spans="1:17">
      <c r="A192" s="181"/>
      <c r="B192" s="181"/>
      <c r="C192" s="181"/>
      <c r="D192" s="181"/>
      <c r="E192" s="181"/>
      <c r="F192" s="181"/>
      <c r="G192" s="181"/>
      <c r="H192" s="181"/>
      <c r="I192" s="181"/>
      <c r="J192" s="181"/>
      <c r="K192" s="181"/>
      <c r="L192" s="181"/>
      <c r="M192" s="181"/>
      <c r="N192" s="181"/>
      <c r="O192" s="181"/>
      <c r="P192" s="181"/>
      <c r="Q192" s="181"/>
    </row>
    <row r="193" spans="1:17">
      <c r="A193" s="181"/>
      <c r="B193" s="181"/>
      <c r="C193" s="181"/>
      <c r="D193" s="181"/>
      <c r="E193" s="181"/>
      <c r="F193" s="181"/>
      <c r="G193" s="181"/>
      <c r="H193" s="181"/>
      <c r="I193" s="181"/>
      <c r="J193" s="181"/>
      <c r="K193" s="181"/>
      <c r="L193" s="181"/>
      <c r="M193" s="181"/>
      <c r="N193" s="181"/>
      <c r="O193" s="181"/>
      <c r="P193" s="181"/>
      <c r="Q193" s="181"/>
    </row>
    <row r="194" spans="1:17">
      <c r="A194" s="181"/>
      <c r="B194" s="181"/>
      <c r="C194" s="181"/>
      <c r="D194" s="181"/>
      <c r="E194" s="181"/>
      <c r="F194" s="181"/>
      <c r="G194" s="181"/>
      <c r="H194" s="181"/>
      <c r="I194" s="181"/>
      <c r="J194" s="181"/>
      <c r="K194" s="181"/>
      <c r="L194" s="181"/>
      <c r="M194" s="181"/>
      <c r="N194" s="181"/>
      <c r="O194" s="181"/>
      <c r="P194" s="181"/>
      <c r="Q194" s="181"/>
    </row>
    <row r="195" spans="1:17">
      <c r="A195" s="181"/>
      <c r="B195" s="181"/>
      <c r="C195" s="181"/>
      <c r="D195" s="181"/>
      <c r="E195" s="181"/>
      <c r="F195" s="181"/>
      <c r="G195" s="181"/>
      <c r="H195" s="181"/>
      <c r="I195" s="181"/>
      <c r="J195" s="181"/>
      <c r="K195" s="181"/>
      <c r="L195" s="181"/>
      <c r="M195" s="181"/>
      <c r="N195" s="181"/>
      <c r="O195" s="181"/>
      <c r="P195" s="181"/>
      <c r="Q195" s="181"/>
    </row>
    <row r="196" spans="1:17">
      <c r="A196" s="181"/>
      <c r="B196" s="181"/>
      <c r="C196" s="181"/>
      <c r="D196" s="181"/>
      <c r="E196" s="181"/>
      <c r="F196" s="181"/>
      <c r="G196" s="181"/>
      <c r="H196" s="181"/>
      <c r="I196" s="181"/>
      <c r="J196" s="181"/>
      <c r="K196" s="181"/>
      <c r="L196" s="181"/>
      <c r="M196" s="181"/>
      <c r="N196" s="181"/>
      <c r="O196" s="181"/>
      <c r="P196" s="181"/>
      <c r="Q196" s="181"/>
    </row>
    <row r="197" spans="1:17">
      <c r="A197" s="181"/>
      <c r="B197" s="181"/>
      <c r="C197" s="181"/>
      <c r="D197" s="181"/>
      <c r="E197" s="181"/>
      <c r="F197" s="181"/>
      <c r="G197" s="181"/>
      <c r="H197" s="181"/>
      <c r="I197" s="181"/>
      <c r="J197" s="181"/>
      <c r="K197" s="181"/>
      <c r="L197" s="181"/>
      <c r="M197" s="181"/>
      <c r="N197" s="181"/>
      <c r="O197" s="181"/>
      <c r="P197" s="181"/>
      <c r="Q197" s="181"/>
    </row>
    <row r="198" spans="1:17">
      <c r="A198" s="181"/>
      <c r="B198" s="181"/>
      <c r="C198" s="181"/>
      <c r="D198" s="181"/>
      <c r="E198" s="181"/>
      <c r="F198" s="181"/>
      <c r="G198" s="181"/>
      <c r="H198" s="181"/>
      <c r="I198" s="181"/>
      <c r="J198" s="181"/>
      <c r="K198" s="181"/>
      <c r="L198" s="181"/>
      <c r="M198" s="181"/>
      <c r="N198" s="181"/>
      <c r="O198" s="181"/>
      <c r="P198" s="181"/>
      <c r="Q198" s="181"/>
    </row>
    <row r="199" spans="1:17">
      <c r="A199" s="181"/>
      <c r="B199" s="181"/>
      <c r="C199" s="181"/>
      <c r="D199" s="181"/>
      <c r="E199" s="181"/>
      <c r="F199" s="181"/>
      <c r="G199" s="181"/>
      <c r="H199" s="181"/>
      <c r="I199" s="181"/>
      <c r="J199" s="181"/>
      <c r="K199" s="181"/>
      <c r="L199" s="181"/>
      <c r="M199" s="181"/>
      <c r="N199" s="181"/>
      <c r="O199" s="181"/>
      <c r="P199" s="181"/>
      <c r="Q199" s="181"/>
    </row>
    <row r="200" spans="1:17">
      <c r="A200" s="181"/>
      <c r="B200" s="181"/>
      <c r="C200" s="181"/>
      <c r="D200" s="181"/>
      <c r="E200" s="181"/>
      <c r="F200" s="181"/>
      <c r="G200" s="181"/>
      <c r="H200" s="181"/>
      <c r="I200" s="181"/>
      <c r="J200" s="181"/>
      <c r="K200" s="181"/>
      <c r="L200" s="181"/>
      <c r="M200" s="181"/>
      <c r="N200" s="181"/>
      <c r="O200" s="181"/>
      <c r="P200" s="181"/>
      <c r="Q200" s="181"/>
    </row>
  </sheetData>
  <mergeCells count="2">
    <mergeCell ref="A1:Q1"/>
    <mergeCell ref="H35:Q3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S46"/>
  <sheetViews>
    <sheetView workbookViewId="0">
      <pane xSplit="2" ySplit="4" topLeftCell="C5" activePane="bottomRight" state="frozen"/>
      <selection pane="topRight"/>
      <selection pane="bottomLeft"/>
      <selection pane="bottomRight" sqref="A1:P1"/>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12" t="s">
        <v>35</v>
      </c>
      <c r="B1" s="186"/>
      <c r="C1" s="186"/>
      <c r="D1" s="186"/>
      <c r="E1" s="186"/>
      <c r="F1" s="186"/>
      <c r="G1" s="186"/>
      <c r="H1" s="186"/>
      <c r="I1" s="186"/>
      <c r="J1" s="186"/>
      <c r="K1" s="186"/>
      <c r="L1" s="186"/>
      <c r="M1" s="186"/>
      <c r="N1" s="186"/>
      <c r="O1" s="186"/>
      <c r="P1" s="186"/>
    </row>
    <row r="2" spans="1:19" ht="15" customHeight="1">
      <c r="A2" s="219" t="s">
        <v>1</v>
      </c>
      <c r="B2" s="186"/>
      <c r="C2" s="186"/>
      <c r="D2" s="186"/>
      <c r="E2" s="186"/>
      <c r="F2" s="186"/>
      <c r="G2" s="186"/>
      <c r="H2" s="186"/>
      <c r="I2" s="186"/>
      <c r="J2" s="186"/>
      <c r="K2" s="186"/>
      <c r="L2" s="186"/>
      <c r="M2" s="186"/>
      <c r="N2" s="186"/>
      <c r="O2" s="186"/>
      <c r="P2" s="186"/>
    </row>
    <row r="3" spans="1:19" ht="22.05" customHeight="1">
      <c r="A3" s="213" t="s">
        <v>2</v>
      </c>
      <c r="B3" s="213" t="s">
        <v>3</v>
      </c>
      <c r="C3" s="213" t="s">
        <v>4</v>
      </c>
      <c r="D3" s="216"/>
      <c r="E3" s="216"/>
      <c r="F3" s="206"/>
      <c r="G3" s="213" t="s">
        <v>5</v>
      </c>
      <c r="H3" s="216"/>
      <c r="I3" s="216"/>
      <c r="J3" s="206"/>
      <c r="K3" s="213" t="s">
        <v>36</v>
      </c>
      <c r="L3" s="216"/>
      <c r="M3" s="216"/>
      <c r="N3" s="206"/>
      <c r="O3" s="215" t="s">
        <v>7</v>
      </c>
      <c r="P3" s="216"/>
      <c r="Q3" s="216"/>
      <c r="R3" s="206"/>
      <c r="S3" s="218" t="s">
        <v>9</v>
      </c>
    </row>
    <row r="4" spans="1:19" ht="18" customHeight="1">
      <c r="A4" s="214"/>
      <c r="B4" s="214"/>
      <c r="C4" s="120" t="s">
        <v>10</v>
      </c>
      <c r="D4" s="120" t="s">
        <v>11</v>
      </c>
      <c r="E4" s="120" t="s">
        <v>12</v>
      </c>
      <c r="F4" s="113" t="s">
        <v>13</v>
      </c>
      <c r="G4" s="120" t="s">
        <v>10</v>
      </c>
      <c r="H4" s="120" t="s">
        <v>11</v>
      </c>
      <c r="I4" s="120" t="s">
        <v>12</v>
      </c>
      <c r="J4" s="113" t="s">
        <v>13</v>
      </c>
      <c r="K4" s="120" t="s">
        <v>10</v>
      </c>
      <c r="L4" s="120" t="s">
        <v>11</v>
      </c>
      <c r="M4" s="120" t="s">
        <v>12</v>
      </c>
      <c r="N4" s="113" t="s">
        <v>13</v>
      </c>
      <c r="O4" s="121" t="s">
        <v>10</v>
      </c>
      <c r="P4" s="121" t="s">
        <v>11</v>
      </c>
      <c r="Q4" s="121" t="s">
        <v>12</v>
      </c>
      <c r="R4" s="121" t="s">
        <v>13</v>
      </c>
      <c r="S4" s="214"/>
    </row>
    <row r="5" spans="1:19" ht="16.05" customHeight="1">
      <c r="A5" s="118">
        <v>1</v>
      </c>
      <c r="B5" s="119">
        <f>MAESTRO!B5</f>
        <v>0</v>
      </c>
      <c r="C5" s="122" t="str">
        <f>IF(MAESTRO!B5="","",IFERROR('PROM (Ingles 7°)'!AE5,""))</f>
        <v/>
      </c>
      <c r="D5" s="122" t="str">
        <f>IF(MAESTRO!B5="","",IFERROR('PROM (Ingles 7°)'!BM5,""))</f>
        <v/>
      </c>
      <c r="E5" s="122" t="str">
        <f>IF(MAESTRO!B5="","",IFERROR('PROM (Ingles 7°)'!CU5,""))</f>
        <v/>
      </c>
      <c r="F5" s="123" t="str">
        <f>IF(MAESTRO!B5="","",IFERROR(TRUNC(AVERAGE(C5,D5,E5),1),""))</f>
        <v/>
      </c>
      <c r="G5" s="122" t="str">
        <f>IF(MAESTRO!B5="","",IFERROR('PROM (Agropecuaria 7°)'!AE5,""))</f>
        <v/>
      </c>
      <c r="H5" s="122" t="str">
        <f>IF(MAESTRO!B5="","",IFERROR('PROM (Agropecuaria 7°)'!BM5,""))</f>
        <v/>
      </c>
      <c r="I5" s="122" t="str">
        <f>IF(MAESTRO!B5="","",IFERROR('PROM (Agropecuaria 7°)'!CU5,""))</f>
        <v/>
      </c>
      <c r="J5" s="123" t="str">
        <f>IF(MAESTRO!B5="","",IFERROR(TRUNC(AVERAGE(G5,H5,I5),1),""))</f>
        <v/>
      </c>
      <c r="K5" s="122" t="str">
        <f>IF(MAESTRO!B5="","",IFERROR('PROM (Hogar y Desarrollo 7°)'!AE5,""))</f>
        <v/>
      </c>
      <c r="L5" s="122" t="str">
        <f>IF(MAESTRO!B5="","",IFERROR('PROM (Hogar y Desarrollo 7°)'!BM5,""))</f>
        <v/>
      </c>
      <c r="M5" s="122" t="str">
        <f>IF(MAESTRO!B5="","",IFERROR('PROM (Hogar y Desarrollo 7°)'!CU5,""))</f>
        <v/>
      </c>
      <c r="N5" s="123" t="str">
        <f>IF(MAESTRO!B5="","",IFERROR(TRUNC(AVERAGE(K5,L5,M5),1),""))</f>
        <v/>
      </c>
      <c r="O5" s="124" t="str">
        <f>IF(MAESTRO!B5="","",IFERROR(AVERAGE(G5,K5),""))</f>
        <v/>
      </c>
      <c r="P5" s="124" t="str">
        <f>IF(MAESTRO!B5="","",IFERROR(AVERAGE(H5,L5),""))</f>
        <v/>
      </c>
      <c r="Q5" s="124" t="str">
        <f>IF(MAESTRO!B5="","",IFERROR(AVERAGE(I5,M5),""))</f>
        <v/>
      </c>
      <c r="R5" s="124" t="str">
        <f>IF(MAESTRO!B5="","",IFERROR(TRUNC(AVERAGE(O5,P5,Q5),1),""))</f>
        <v/>
      </c>
      <c r="S5" s="123" t="str">
        <f>IF(MAESTRO!B5="","",IF(AND(F5="",J5="",N5="",R5=""),"",IF(Y(OR(F5="",F5&gt;=3),OR(J5="",J5&gt;=3),OR(N5="",N5&gt;=3),OR(R5="",R5&gt;=3)),"✓ APROBADO","✗ REPROBADO")))</f>
        <v/>
      </c>
    </row>
    <row r="6" spans="1:19" ht="16.05" customHeight="1">
      <c r="A6" s="116">
        <v>2</v>
      </c>
      <c r="B6" s="117">
        <f>MAESTRO!B6</f>
        <v>0</v>
      </c>
      <c r="C6" s="125" t="str">
        <f>IF(MAESTRO!B6="","",IFERROR('PROM (Ingles 7°)'!AE6,""))</f>
        <v/>
      </c>
      <c r="D6" s="125" t="str">
        <f>IF(MAESTRO!B6="","",IFERROR('PROM (Ingles 7°)'!BM6,""))</f>
        <v/>
      </c>
      <c r="E6" s="125" t="str">
        <f>IF(MAESTRO!B6="","",IFERROR('PROM (Ingles 7°)'!CU6,""))</f>
        <v/>
      </c>
      <c r="F6" s="126" t="str">
        <f>IF(MAESTRO!B6="","",IFERROR(TRUNC(AVERAGE(C6,D6,E6),1),""))</f>
        <v/>
      </c>
      <c r="G6" s="125" t="str">
        <f>IF(MAESTRO!B6="","",IFERROR('PROM (Agropecuaria 7°)'!AE6,""))</f>
        <v/>
      </c>
      <c r="H6" s="125" t="str">
        <f>IF(MAESTRO!B6="","",IFERROR('PROM (Agropecuaria 7°)'!BM6,""))</f>
        <v/>
      </c>
      <c r="I6" s="125" t="str">
        <f>IF(MAESTRO!B6="","",IFERROR('PROM (Agropecuaria 7°)'!CU6,""))</f>
        <v/>
      </c>
      <c r="J6" s="126" t="str">
        <f>IF(MAESTRO!B6="","",IFERROR(TRUNC(AVERAGE(G6,H6,I6),1),""))</f>
        <v/>
      </c>
      <c r="K6" s="125" t="str">
        <f>IF(MAESTRO!B6="","",IFERROR('PROM (Hogar y Desarrollo 7°)'!AE6,""))</f>
        <v/>
      </c>
      <c r="L6" s="125" t="str">
        <f>IF(MAESTRO!B6="","",IFERROR('PROM (Hogar y Desarrollo 7°)'!BM6,""))</f>
        <v/>
      </c>
      <c r="M6" s="125" t="str">
        <f>IF(MAESTRO!B6="","",IFERROR('PROM (Hogar y Desarrollo 7°)'!CU6,""))</f>
        <v/>
      </c>
      <c r="N6" s="126" t="str">
        <f>IF(MAESTRO!B6="","",IFERROR(TRUNC(AVERAGE(K6,L6,M6),1),""))</f>
        <v/>
      </c>
      <c r="O6" s="124" t="str">
        <f>IF(MAESTRO!B6="","",IFERROR(AVERAGE(G6,K6),""))</f>
        <v/>
      </c>
      <c r="P6" s="124" t="str">
        <f>IF(MAESTRO!B6="","",IFERROR(AVERAGE(H6,L6),""))</f>
        <v/>
      </c>
      <c r="Q6" s="124" t="str">
        <f>IF(MAESTRO!B6="","",IFERROR(AVERAGE(I6,M6),""))</f>
        <v/>
      </c>
      <c r="R6" s="124" t="str">
        <f>IF(MAESTRO!B6="","",IFERROR(TRUNC(AVERAGE(O6,P6,Q6),1),""))</f>
        <v/>
      </c>
      <c r="S6" s="126" t="str">
        <f>IF(MAESTRO!B6="","",IF(AND(F6="",J6="",N6="",R6=""),"",IF(Y(OR(F6="",F6&gt;=3),OR(J6="",J6&gt;=3),OR(N6="",N6&gt;=3),OR(R6="",R6&gt;=3)),"✓ APROBADO","✗ REPROBADO")))</f>
        <v/>
      </c>
    </row>
    <row r="7" spans="1:19" ht="16.05" customHeight="1">
      <c r="A7" s="118">
        <v>3</v>
      </c>
      <c r="B7" s="119">
        <f>MAESTRO!B7</f>
        <v>0</v>
      </c>
      <c r="C7" s="122" t="str">
        <f>IF(MAESTRO!B7="","",IFERROR('PROM (Ingles 7°)'!AE7,""))</f>
        <v/>
      </c>
      <c r="D7" s="122" t="str">
        <f>IF(MAESTRO!B7="","",IFERROR('PROM (Ingles 7°)'!BM7,""))</f>
        <v/>
      </c>
      <c r="E7" s="122" t="str">
        <f>IF(MAESTRO!B7="","",IFERROR('PROM (Ingles 7°)'!CU7,""))</f>
        <v/>
      </c>
      <c r="F7" s="123" t="str">
        <f>IF(MAESTRO!B7="","",IFERROR(TRUNC(AVERAGE(C7,D7,E7),1),""))</f>
        <v/>
      </c>
      <c r="G7" s="122" t="str">
        <f>IF(MAESTRO!B7="","",IFERROR('PROM (Agropecuaria 7°)'!AE7,""))</f>
        <v/>
      </c>
      <c r="H7" s="122" t="str">
        <f>IF(MAESTRO!B7="","",IFERROR('PROM (Agropecuaria 7°)'!BM7,""))</f>
        <v/>
      </c>
      <c r="I7" s="122" t="str">
        <f>IF(MAESTRO!B7="","",IFERROR('PROM (Agropecuaria 7°)'!CU7,""))</f>
        <v/>
      </c>
      <c r="J7" s="123" t="str">
        <f>IF(MAESTRO!B7="","",IFERROR(TRUNC(AVERAGE(G7,H7,I7),1),""))</f>
        <v/>
      </c>
      <c r="K7" s="122" t="str">
        <f>IF(MAESTRO!B7="","",IFERROR('PROM (Hogar y Desarrollo 7°)'!AE7,""))</f>
        <v/>
      </c>
      <c r="L7" s="122" t="str">
        <f>IF(MAESTRO!B7="","",IFERROR('PROM (Hogar y Desarrollo 7°)'!BM7,""))</f>
        <v/>
      </c>
      <c r="M7" s="122" t="str">
        <f>IF(MAESTRO!B7="","",IFERROR('PROM (Hogar y Desarrollo 7°)'!CU7,""))</f>
        <v/>
      </c>
      <c r="N7" s="123" t="str">
        <f>IF(MAESTRO!B7="","",IFERROR(TRUNC(AVERAGE(K7,L7,M7),1),""))</f>
        <v/>
      </c>
      <c r="O7" s="124" t="str">
        <f>IF(MAESTRO!B7="","",IFERROR(AVERAGE(G7,K7),""))</f>
        <v/>
      </c>
      <c r="P7" s="124" t="str">
        <f>IF(MAESTRO!B7="","",IFERROR(AVERAGE(H7,L7),""))</f>
        <v/>
      </c>
      <c r="Q7" s="124" t="str">
        <f>IF(MAESTRO!B7="","",IFERROR(AVERAGE(I7,M7),""))</f>
        <v/>
      </c>
      <c r="R7" s="124" t="str">
        <f>IF(MAESTRO!B7="","",IFERROR(TRUNC(AVERAGE(O7,P7,Q7),1),""))</f>
        <v/>
      </c>
      <c r="S7" s="123" t="str">
        <f>IF(MAESTRO!B7="","",IF(AND(F7="",J7="",N7="",R7=""),"",IF(Y(OR(F7="",F7&gt;=3),OR(J7="",J7&gt;=3),OR(N7="",N7&gt;=3),OR(R7="",R7&gt;=3)),"✓ APROBADO","✗ REPROBADO")))</f>
        <v/>
      </c>
    </row>
    <row r="8" spans="1:19" ht="16.05" customHeight="1">
      <c r="A8" s="116">
        <v>4</v>
      </c>
      <c r="B8" s="117">
        <f>MAESTRO!B8</f>
        <v>0</v>
      </c>
      <c r="C8" s="125" t="str">
        <f>IF(MAESTRO!B8="","",IFERROR('PROM (Ingles 7°)'!AE8,""))</f>
        <v/>
      </c>
      <c r="D8" s="125" t="str">
        <f>IF(MAESTRO!B8="","",IFERROR('PROM (Ingles 7°)'!BM8,""))</f>
        <v/>
      </c>
      <c r="E8" s="125" t="str">
        <f>IF(MAESTRO!B8="","",IFERROR('PROM (Ingles 7°)'!CU8,""))</f>
        <v/>
      </c>
      <c r="F8" s="126" t="str">
        <f>IF(MAESTRO!B8="","",IFERROR(TRUNC(AVERAGE(C8,D8,E8),1),""))</f>
        <v/>
      </c>
      <c r="G8" s="125" t="str">
        <f>IF(MAESTRO!B8="","",IFERROR('PROM (Agropecuaria 7°)'!AE8,""))</f>
        <v/>
      </c>
      <c r="H8" s="125" t="str">
        <f>IF(MAESTRO!B8="","",IFERROR('PROM (Agropecuaria 7°)'!BM8,""))</f>
        <v/>
      </c>
      <c r="I8" s="125" t="str">
        <f>IF(MAESTRO!B8="","",IFERROR('PROM (Agropecuaria 7°)'!CU8,""))</f>
        <v/>
      </c>
      <c r="J8" s="126" t="str">
        <f>IF(MAESTRO!B8="","",IFERROR(TRUNC(AVERAGE(G8,H8,I8),1),""))</f>
        <v/>
      </c>
      <c r="K8" s="125" t="str">
        <f>IF(MAESTRO!B8="","",IFERROR('PROM (Hogar y Desarrollo 7°)'!AE8,""))</f>
        <v/>
      </c>
      <c r="L8" s="125" t="str">
        <f>IF(MAESTRO!B8="","",IFERROR('PROM (Hogar y Desarrollo 7°)'!BM8,""))</f>
        <v/>
      </c>
      <c r="M8" s="125" t="str">
        <f>IF(MAESTRO!B8="","",IFERROR('PROM (Hogar y Desarrollo 7°)'!CU8,""))</f>
        <v/>
      </c>
      <c r="N8" s="126" t="str">
        <f>IF(MAESTRO!B8="","",IFERROR(TRUNC(AVERAGE(K8,L8,M8),1),""))</f>
        <v/>
      </c>
      <c r="O8" s="124" t="str">
        <f>IF(MAESTRO!B8="","",IFERROR(AVERAGE(G8,K8),""))</f>
        <v/>
      </c>
      <c r="P8" s="124" t="str">
        <f>IF(MAESTRO!B8="","",IFERROR(AVERAGE(H8,L8),""))</f>
        <v/>
      </c>
      <c r="Q8" s="124" t="str">
        <f>IF(MAESTRO!B8="","",IFERROR(AVERAGE(I8,M8),""))</f>
        <v/>
      </c>
      <c r="R8" s="124" t="str">
        <f>IF(MAESTRO!B8="","",IFERROR(TRUNC(AVERAGE(O8,P8,Q8),1),""))</f>
        <v/>
      </c>
      <c r="S8" s="126" t="str">
        <f>IF(MAESTRO!B8="","",IF(AND(F8="",J8="",N8="",R8=""),"",IF(Y(OR(F8="",F8&gt;=3),OR(J8="",J8&gt;=3),OR(N8="",N8&gt;=3),OR(R8="",R8&gt;=3)),"✓ APROBADO","✗ REPROBADO")))</f>
        <v/>
      </c>
    </row>
    <row r="9" spans="1:19" ht="16.05" customHeight="1">
      <c r="A9" s="118">
        <v>5</v>
      </c>
      <c r="B9" s="119">
        <f>MAESTRO!B9</f>
        <v>0</v>
      </c>
      <c r="C9" s="122" t="str">
        <f>IF(MAESTRO!B9="","",IFERROR('PROM (Ingles 7°)'!AE9,""))</f>
        <v/>
      </c>
      <c r="D9" s="122" t="str">
        <f>IF(MAESTRO!B9="","",IFERROR('PROM (Ingles 7°)'!BM9,""))</f>
        <v/>
      </c>
      <c r="E9" s="122" t="str">
        <f>IF(MAESTRO!B9="","",IFERROR('PROM (Ingles 7°)'!CU9,""))</f>
        <v/>
      </c>
      <c r="F9" s="123" t="str">
        <f>IF(MAESTRO!B9="","",IFERROR(TRUNC(AVERAGE(C9,D9,E9),1),""))</f>
        <v/>
      </c>
      <c r="G9" s="122" t="str">
        <f>IF(MAESTRO!B9="","",IFERROR('PROM (Agropecuaria 7°)'!AE9,""))</f>
        <v/>
      </c>
      <c r="H9" s="122" t="str">
        <f>IF(MAESTRO!B9="","",IFERROR('PROM (Agropecuaria 7°)'!BM9,""))</f>
        <v/>
      </c>
      <c r="I9" s="122" t="str">
        <f>IF(MAESTRO!B9="","",IFERROR('PROM (Agropecuaria 7°)'!CU9,""))</f>
        <v/>
      </c>
      <c r="J9" s="123" t="str">
        <f>IF(MAESTRO!B9="","",IFERROR(TRUNC(AVERAGE(G9,H9,I9),1),""))</f>
        <v/>
      </c>
      <c r="K9" s="122" t="str">
        <f>IF(MAESTRO!B9="","",IFERROR('PROM (Hogar y Desarrollo 7°)'!AE9,""))</f>
        <v/>
      </c>
      <c r="L9" s="122" t="str">
        <f>IF(MAESTRO!B9="","",IFERROR('PROM (Hogar y Desarrollo 7°)'!BM9,""))</f>
        <v/>
      </c>
      <c r="M9" s="122" t="str">
        <f>IF(MAESTRO!B9="","",IFERROR('PROM (Hogar y Desarrollo 7°)'!CU9,""))</f>
        <v/>
      </c>
      <c r="N9" s="123" t="str">
        <f>IF(MAESTRO!B9="","",IFERROR(TRUNC(AVERAGE(K9,L9,M9),1),""))</f>
        <v/>
      </c>
      <c r="O9" s="124" t="str">
        <f>IF(MAESTRO!B9="","",IFERROR(AVERAGE(G9,K9),""))</f>
        <v/>
      </c>
      <c r="P9" s="124" t="str">
        <f>IF(MAESTRO!B9="","",IFERROR(AVERAGE(H9,L9),""))</f>
        <v/>
      </c>
      <c r="Q9" s="124" t="str">
        <f>IF(MAESTRO!B9="","",IFERROR(AVERAGE(I9,M9),""))</f>
        <v/>
      </c>
      <c r="R9" s="124" t="str">
        <f>IF(MAESTRO!B9="","",IFERROR(TRUNC(AVERAGE(O9,P9,Q9),1),""))</f>
        <v/>
      </c>
      <c r="S9" s="123" t="str">
        <f>IF(MAESTRO!B9="","",IF(AND(F9="",J9="",N9="",R9=""),"",IF(Y(OR(F9="",F9&gt;=3),OR(J9="",J9&gt;=3),OR(N9="",N9&gt;=3),OR(R9="",R9&gt;=3)),"✓ APROBADO","✗ REPROBADO")))</f>
        <v/>
      </c>
    </row>
    <row r="10" spans="1:19" ht="16.05" customHeight="1">
      <c r="A10" s="116">
        <v>6</v>
      </c>
      <c r="B10" s="117">
        <f>MAESTRO!B10</f>
        <v>0</v>
      </c>
      <c r="C10" s="125" t="str">
        <f>IF(MAESTRO!B10="","",IFERROR('PROM (Ingles 7°)'!AE10,""))</f>
        <v/>
      </c>
      <c r="D10" s="125" t="str">
        <f>IF(MAESTRO!B10="","",IFERROR('PROM (Ingles 7°)'!BM10,""))</f>
        <v/>
      </c>
      <c r="E10" s="125" t="str">
        <f>IF(MAESTRO!B10="","",IFERROR('PROM (Ingles 7°)'!CU10,""))</f>
        <v/>
      </c>
      <c r="F10" s="126" t="str">
        <f>IF(MAESTRO!B10="","",IFERROR(TRUNC(AVERAGE(C10,D10,E10),1),""))</f>
        <v/>
      </c>
      <c r="G10" s="125" t="str">
        <f>IF(MAESTRO!B10="","",IFERROR('PROM (Agropecuaria 7°)'!AE10,""))</f>
        <v/>
      </c>
      <c r="H10" s="125" t="str">
        <f>IF(MAESTRO!B10="","",IFERROR('PROM (Agropecuaria 7°)'!BM10,""))</f>
        <v/>
      </c>
      <c r="I10" s="125" t="str">
        <f>IF(MAESTRO!B10="","",IFERROR('PROM (Agropecuaria 7°)'!CU10,""))</f>
        <v/>
      </c>
      <c r="J10" s="126" t="str">
        <f>IF(MAESTRO!B10="","",IFERROR(TRUNC(AVERAGE(G10,H10,I10),1),""))</f>
        <v/>
      </c>
      <c r="K10" s="125" t="str">
        <f>IF(MAESTRO!B10="","",IFERROR('PROM (Hogar y Desarrollo 7°)'!AE10,""))</f>
        <v/>
      </c>
      <c r="L10" s="125" t="str">
        <f>IF(MAESTRO!B10="","",IFERROR('PROM (Hogar y Desarrollo 7°)'!BM10,""))</f>
        <v/>
      </c>
      <c r="M10" s="125" t="str">
        <f>IF(MAESTRO!B10="","",IFERROR('PROM (Hogar y Desarrollo 7°)'!CU10,""))</f>
        <v/>
      </c>
      <c r="N10" s="126" t="str">
        <f>IF(MAESTRO!B10="","",IFERROR(TRUNC(AVERAGE(K10,L10,M10),1),""))</f>
        <v/>
      </c>
      <c r="O10" s="124" t="str">
        <f>IF(MAESTRO!B10="","",IFERROR(AVERAGE(G10,K10),""))</f>
        <v/>
      </c>
      <c r="P10" s="124" t="str">
        <f>IF(MAESTRO!B10="","",IFERROR(AVERAGE(H10,L10),""))</f>
        <v/>
      </c>
      <c r="Q10" s="124" t="str">
        <f>IF(MAESTRO!B10="","",IFERROR(AVERAGE(I10,M10),""))</f>
        <v/>
      </c>
      <c r="R10" s="124" t="str">
        <f>IF(MAESTRO!B10="","",IFERROR(TRUNC(AVERAGE(O10,P10,Q10),1),""))</f>
        <v/>
      </c>
      <c r="S10" s="126" t="str">
        <f>IF(MAESTRO!B10="","",IF(AND(F10="",J10="",N10="",R10=""),"",IF(Y(OR(F10="",F10&gt;=3),OR(J10="",J10&gt;=3),OR(N10="",N10&gt;=3),OR(R10="",R10&gt;=3)),"✓ APROBADO","✗ REPROBADO")))</f>
        <v/>
      </c>
    </row>
    <row r="11" spans="1:19" ht="16.05" customHeight="1">
      <c r="A11" s="118">
        <v>7</v>
      </c>
      <c r="B11" s="119">
        <f>MAESTRO!B11</f>
        <v>0</v>
      </c>
      <c r="C11" s="122" t="str">
        <f>IF(MAESTRO!B11="","",IFERROR('PROM (Ingles 7°)'!AE11,""))</f>
        <v/>
      </c>
      <c r="D11" s="122" t="str">
        <f>IF(MAESTRO!B11="","",IFERROR('PROM (Ingles 7°)'!BM11,""))</f>
        <v/>
      </c>
      <c r="E11" s="122" t="str">
        <f>IF(MAESTRO!B11="","",IFERROR('PROM (Ingles 7°)'!CU11,""))</f>
        <v/>
      </c>
      <c r="F11" s="123" t="str">
        <f>IF(MAESTRO!B11="","",IFERROR(TRUNC(AVERAGE(C11,D11,E11),1),""))</f>
        <v/>
      </c>
      <c r="G11" s="122" t="str">
        <f>IF(MAESTRO!B11="","",IFERROR('PROM (Agropecuaria 7°)'!AE11,""))</f>
        <v/>
      </c>
      <c r="H11" s="122" t="str">
        <f>IF(MAESTRO!B11="","",IFERROR('PROM (Agropecuaria 7°)'!BM11,""))</f>
        <v/>
      </c>
      <c r="I11" s="122" t="str">
        <f>IF(MAESTRO!B11="","",IFERROR('PROM (Agropecuaria 7°)'!CU11,""))</f>
        <v/>
      </c>
      <c r="J11" s="123" t="str">
        <f>IF(MAESTRO!B11="","",IFERROR(TRUNC(AVERAGE(G11,H11,I11),1),""))</f>
        <v/>
      </c>
      <c r="K11" s="122" t="str">
        <f>IF(MAESTRO!B11="","",IFERROR('PROM (Hogar y Desarrollo 7°)'!AE11,""))</f>
        <v/>
      </c>
      <c r="L11" s="122" t="str">
        <f>IF(MAESTRO!B11="","",IFERROR('PROM (Hogar y Desarrollo 7°)'!BM11,""))</f>
        <v/>
      </c>
      <c r="M11" s="122" t="str">
        <f>IF(MAESTRO!B11="","",IFERROR('PROM (Hogar y Desarrollo 7°)'!CU11,""))</f>
        <v/>
      </c>
      <c r="N11" s="123" t="str">
        <f>IF(MAESTRO!B11="","",IFERROR(TRUNC(AVERAGE(K11,L11,M11),1),""))</f>
        <v/>
      </c>
      <c r="O11" s="124" t="str">
        <f>IF(MAESTRO!B11="","",IFERROR(AVERAGE(G11,K11),""))</f>
        <v/>
      </c>
      <c r="P11" s="124" t="str">
        <f>IF(MAESTRO!B11="","",IFERROR(AVERAGE(H11,L11),""))</f>
        <v/>
      </c>
      <c r="Q11" s="124" t="str">
        <f>IF(MAESTRO!B11="","",IFERROR(AVERAGE(I11,M11),""))</f>
        <v/>
      </c>
      <c r="R11" s="124" t="str">
        <f>IF(MAESTRO!B11="","",IFERROR(TRUNC(AVERAGE(O11,P11,Q11),1),""))</f>
        <v/>
      </c>
      <c r="S11" s="123" t="str">
        <f>IF(MAESTRO!B11="","",IF(AND(F11="",J11="",N11="",R11=""),"",IF(Y(OR(F11="",F11&gt;=3),OR(J11="",J11&gt;=3),OR(N11="",N11&gt;=3),OR(R11="",R11&gt;=3)),"✓ APROBADO","✗ REPROBADO")))</f>
        <v/>
      </c>
    </row>
    <row r="12" spans="1:19" ht="16.05" customHeight="1">
      <c r="A12" s="116">
        <v>8</v>
      </c>
      <c r="B12" s="117">
        <f>MAESTRO!B12</f>
        <v>0</v>
      </c>
      <c r="C12" s="125" t="str">
        <f>IF(MAESTRO!B12="","",IFERROR('PROM (Ingles 7°)'!AE12,""))</f>
        <v/>
      </c>
      <c r="D12" s="125" t="str">
        <f>IF(MAESTRO!B12="","",IFERROR('PROM (Ingles 7°)'!BM12,""))</f>
        <v/>
      </c>
      <c r="E12" s="125" t="str">
        <f>IF(MAESTRO!B12="","",IFERROR('PROM (Ingles 7°)'!CU12,""))</f>
        <v/>
      </c>
      <c r="F12" s="126" t="str">
        <f>IF(MAESTRO!B12="","",IFERROR(TRUNC(AVERAGE(C12,D12,E12),1),""))</f>
        <v/>
      </c>
      <c r="G12" s="125" t="str">
        <f>IF(MAESTRO!B12="","",IFERROR('PROM (Agropecuaria 7°)'!AE12,""))</f>
        <v/>
      </c>
      <c r="H12" s="125" t="str">
        <f>IF(MAESTRO!B12="","",IFERROR('PROM (Agropecuaria 7°)'!BM12,""))</f>
        <v/>
      </c>
      <c r="I12" s="125" t="str">
        <f>IF(MAESTRO!B12="","",IFERROR('PROM (Agropecuaria 7°)'!CU12,""))</f>
        <v/>
      </c>
      <c r="J12" s="126" t="str">
        <f>IF(MAESTRO!B12="","",IFERROR(TRUNC(AVERAGE(G12,H12,I12),1),""))</f>
        <v/>
      </c>
      <c r="K12" s="125" t="str">
        <f>IF(MAESTRO!B12="","",IFERROR('PROM (Hogar y Desarrollo 7°)'!AE12,""))</f>
        <v/>
      </c>
      <c r="L12" s="125" t="str">
        <f>IF(MAESTRO!B12="","",IFERROR('PROM (Hogar y Desarrollo 7°)'!BM12,""))</f>
        <v/>
      </c>
      <c r="M12" s="125" t="str">
        <f>IF(MAESTRO!B12="","",IFERROR('PROM (Hogar y Desarrollo 7°)'!CU12,""))</f>
        <v/>
      </c>
      <c r="N12" s="126" t="str">
        <f>IF(MAESTRO!B12="","",IFERROR(TRUNC(AVERAGE(K12,L12,M12),1),""))</f>
        <v/>
      </c>
      <c r="O12" s="124" t="str">
        <f>IF(MAESTRO!B12="","",IFERROR(AVERAGE(G12,K12),""))</f>
        <v/>
      </c>
      <c r="P12" s="124" t="str">
        <f>IF(MAESTRO!B12="","",IFERROR(AVERAGE(H12,L12),""))</f>
        <v/>
      </c>
      <c r="Q12" s="124" t="str">
        <f>IF(MAESTRO!B12="","",IFERROR(AVERAGE(I12,M12),""))</f>
        <v/>
      </c>
      <c r="R12" s="124" t="str">
        <f>IF(MAESTRO!B12="","",IFERROR(TRUNC(AVERAGE(O12,P12,Q12),1),""))</f>
        <v/>
      </c>
      <c r="S12" s="126" t="str">
        <f>IF(MAESTRO!B12="","",IF(AND(F12="",J12="",N12="",R12=""),"",IF(Y(OR(F12="",F12&gt;=3),OR(J12="",J12&gt;=3),OR(N12="",N12&gt;=3),OR(R12="",R12&gt;=3)),"✓ APROBADO","✗ REPROBADO")))</f>
        <v/>
      </c>
    </row>
    <row r="13" spans="1:19" ht="16.05" customHeight="1">
      <c r="A13" s="118">
        <v>9</v>
      </c>
      <c r="B13" s="119">
        <f>MAESTRO!B13</f>
        <v>0</v>
      </c>
      <c r="C13" s="122" t="str">
        <f>IF(MAESTRO!B13="","",IFERROR('PROM (Ingles 7°)'!AE13,""))</f>
        <v/>
      </c>
      <c r="D13" s="122" t="str">
        <f>IF(MAESTRO!B13="","",IFERROR('PROM (Ingles 7°)'!BM13,""))</f>
        <v/>
      </c>
      <c r="E13" s="122" t="str">
        <f>IF(MAESTRO!B13="","",IFERROR('PROM (Ingles 7°)'!CU13,""))</f>
        <v/>
      </c>
      <c r="F13" s="123" t="str">
        <f>IF(MAESTRO!B13="","",IFERROR(TRUNC(AVERAGE(C13,D13,E13),1),""))</f>
        <v/>
      </c>
      <c r="G13" s="122" t="str">
        <f>IF(MAESTRO!B13="","",IFERROR('PROM (Agropecuaria 7°)'!AE13,""))</f>
        <v/>
      </c>
      <c r="H13" s="122" t="str">
        <f>IF(MAESTRO!B13="","",IFERROR('PROM (Agropecuaria 7°)'!BM13,""))</f>
        <v/>
      </c>
      <c r="I13" s="122" t="str">
        <f>IF(MAESTRO!B13="","",IFERROR('PROM (Agropecuaria 7°)'!CU13,""))</f>
        <v/>
      </c>
      <c r="J13" s="123" t="str">
        <f>IF(MAESTRO!B13="","",IFERROR(TRUNC(AVERAGE(G13,H13,I13),1),""))</f>
        <v/>
      </c>
      <c r="K13" s="122" t="str">
        <f>IF(MAESTRO!B13="","",IFERROR('PROM (Hogar y Desarrollo 7°)'!AE13,""))</f>
        <v/>
      </c>
      <c r="L13" s="122" t="str">
        <f>IF(MAESTRO!B13="","",IFERROR('PROM (Hogar y Desarrollo 7°)'!BM13,""))</f>
        <v/>
      </c>
      <c r="M13" s="122" t="str">
        <f>IF(MAESTRO!B13="","",IFERROR('PROM (Hogar y Desarrollo 7°)'!CU13,""))</f>
        <v/>
      </c>
      <c r="N13" s="123" t="str">
        <f>IF(MAESTRO!B13="","",IFERROR(TRUNC(AVERAGE(K13,L13,M13),1),""))</f>
        <v/>
      </c>
      <c r="O13" s="124" t="str">
        <f>IF(MAESTRO!B13="","",IFERROR(AVERAGE(G13,K13),""))</f>
        <v/>
      </c>
      <c r="P13" s="124" t="str">
        <f>IF(MAESTRO!B13="","",IFERROR(AVERAGE(H13,L13),""))</f>
        <v/>
      </c>
      <c r="Q13" s="124" t="str">
        <f>IF(MAESTRO!B13="","",IFERROR(AVERAGE(I13,M13),""))</f>
        <v/>
      </c>
      <c r="R13" s="124" t="str">
        <f>IF(MAESTRO!B13="","",IFERROR(TRUNC(AVERAGE(O13,P13,Q13),1),""))</f>
        <v/>
      </c>
      <c r="S13" s="123" t="str">
        <f>IF(MAESTRO!B13="","",IF(AND(F13="",J13="",N13="",R13=""),"",IF(Y(OR(F13="",F13&gt;=3),OR(J13="",J13&gt;=3),OR(N13="",N13&gt;=3),OR(R13="",R13&gt;=3)),"✓ APROBADO","✗ REPROBADO")))</f>
        <v/>
      </c>
    </row>
    <row r="14" spans="1:19" ht="16.05" customHeight="1">
      <c r="A14" s="116">
        <v>10</v>
      </c>
      <c r="B14" s="117">
        <f>MAESTRO!B14</f>
        <v>0</v>
      </c>
      <c r="C14" s="125" t="str">
        <f>IF(MAESTRO!B14="","",IFERROR('PROM (Ingles 7°)'!AE14,""))</f>
        <v/>
      </c>
      <c r="D14" s="125" t="str">
        <f>IF(MAESTRO!B14="","",IFERROR('PROM (Ingles 7°)'!BM14,""))</f>
        <v/>
      </c>
      <c r="E14" s="125" t="str">
        <f>IF(MAESTRO!B14="","",IFERROR('PROM (Ingles 7°)'!CU14,""))</f>
        <v/>
      </c>
      <c r="F14" s="126" t="str">
        <f>IF(MAESTRO!B14="","",IFERROR(TRUNC(AVERAGE(C14,D14,E14),1),""))</f>
        <v/>
      </c>
      <c r="G14" s="125" t="str">
        <f>IF(MAESTRO!B14="","",IFERROR('PROM (Agropecuaria 7°)'!AE14,""))</f>
        <v/>
      </c>
      <c r="H14" s="125" t="str">
        <f>IF(MAESTRO!B14="","",IFERROR('PROM (Agropecuaria 7°)'!BM14,""))</f>
        <v/>
      </c>
      <c r="I14" s="125" t="str">
        <f>IF(MAESTRO!B14="","",IFERROR('PROM (Agropecuaria 7°)'!CU14,""))</f>
        <v/>
      </c>
      <c r="J14" s="126" t="str">
        <f>IF(MAESTRO!B14="","",IFERROR(TRUNC(AVERAGE(G14,H14,I14),1),""))</f>
        <v/>
      </c>
      <c r="K14" s="125" t="str">
        <f>IF(MAESTRO!B14="","",IFERROR('PROM (Hogar y Desarrollo 7°)'!AE14,""))</f>
        <v/>
      </c>
      <c r="L14" s="125" t="str">
        <f>IF(MAESTRO!B14="","",IFERROR('PROM (Hogar y Desarrollo 7°)'!BM14,""))</f>
        <v/>
      </c>
      <c r="M14" s="125" t="str">
        <f>IF(MAESTRO!B14="","",IFERROR('PROM (Hogar y Desarrollo 7°)'!CU14,""))</f>
        <v/>
      </c>
      <c r="N14" s="126" t="str">
        <f>IF(MAESTRO!B14="","",IFERROR(TRUNC(AVERAGE(K14,L14,M14),1),""))</f>
        <v/>
      </c>
      <c r="O14" s="124" t="str">
        <f>IF(MAESTRO!B14="","",IFERROR(AVERAGE(G14,K14),""))</f>
        <v/>
      </c>
      <c r="P14" s="124" t="str">
        <f>IF(MAESTRO!B14="","",IFERROR(AVERAGE(H14,L14),""))</f>
        <v/>
      </c>
      <c r="Q14" s="124" t="str">
        <f>IF(MAESTRO!B14="","",IFERROR(AVERAGE(I14,M14),""))</f>
        <v/>
      </c>
      <c r="R14" s="124" t="str">
        <f>IF(MAESTRO!B14="","",IFERROR(TRUNC(AVERAGE(O14,P14,Q14),1),""))</f>
        <v/>
      </c>
      <c r="S14" s="126" t="str">
        <f>IF(MAESTRO!B14="","",IF(AND(F14="",J14="",N14="",R14=""),"",IF(Y(OR(F14="",F14&gt;=3),OR(J14="",J14&gt;=3),OR(N14="",N14&gt;=3),OR(R14="",R14&gt;=3)),"✓ APROBADO","✗ REPROBADO")))</f>
        <v/>
      </c>
    </row>
    <row r="15" spans="1:19" ht="16.05" customHeight="1">
      <c r="A15" s="118">
        <v>11</v>
      </c>
      <c r="B15" s="119">
        <f>MAESTRO!B15</f>
        <v>0</v>
      </c>
      <c r="C15" s="122" t="str">
        <f>IF(MAESTRO!B15="","",IFERROR('PROM (Ingles 7°)'!AE15,""))</f>
        <v/>
      </c>
      <c r="D15" s="122" t="str">
        <f>IF(MAESTRO!B15="","",IFERROR('PROM (Ingles 7°)'!BM15,""))</f>
        <v/>
      </c>
      <c r="E15" s="122" t="str">
        <f>IF(MAESTRO!B15="","",IFERROR('PROM (Ingles 7°)'!CU15,""))</f>
        <v/>
      </c>
      <c r="F15" s="123" t="str">
        <f>IF(MAESTRO!B15="","",IFERROR(TRUNC(AVERAGE(C15,D15,E15),1),""))</f>
        <v/>
      </c>
      <c r="G15" s="122" t="str">
        <f>IF(MAESTRO!B15="","",IFERROR('PROM (Agropecuaria 7°)'!AE15,""))</f>
        <v/>
      </c>
      <c r="H15" s="122" t="str">
        <f>IF(MAESTRO!B15="","",IFERROR('PROM (Agropecuaria 7°)'!BM15,""))</f>
        <v/>
      </c>
      <c r="I15" s="122" t="str">
        <f>IF(MAESTRO!B15="","",IFERROR('PROM (Agropecuaria 7°)'!CU15,""))</f>
        <v/>
      </c>
      <c r="J15" s="123" t="str">
        <f>IF(MAESTRO!B15="","",IFERROR(TRUNC(AVERAGE(G15,H15,I15),1),""))</f>
        <v/>
      </c>
      <c r="K15" s="122" t="str">
        <f>IF(MAESTRO!B15="","",IFERROR('PROM (Hogar y Desarrollo 7°)'!AE15,""))</f>
        <v/>
      </c>
      <c r="L15" s="122" t="str">
        <f>IF(MAESTRO!B15="","",IFERROR('PROM (Hogar y Desarrollo 7°)'!BM15,""))</f>
        <v/>
      </c>
      <c r="M15" s="122" t="str">
        <f>IF(MAESTRO!B15="","",IFERROR('PROM (Hogar y Desarrollo 7°)'!CU15,""))</f>
        <v/>
      </c>
      <c r="N15" s="123" t="str">
        <f>IF(MAESTRO!B15="","",IFERROR(TRUNC(AVERAGE(K15,L15,M15),1),""))</f>
        <v/>
      </c>
      <c r="O15" s="124" t="str">
        <f>IF(MAESTRO!B15="","",IFERROR(AVERAGE(G15,K15),""))</f>
        <v/>
      </c>
      <c r="P15" s="124" t="str">
        <f>IF(MAESTRO!B15="","",IFERROR(AVERAGE(H15,L15),""))</f>
        <v/>
      </c>
      <c r="Q15" s="124" t="str">
        <f>IF(MAESTRO!B15="","",IFERROR(AVERAGE(I15,M15),""))</f>
        <v/>
      </c>
      <c r="R15" s="124" t="str">
        <f>IF(MAESTRO!B15="","",IFERROR(TRUNC(AVERAGE(O15,P15,Q15),1),""))</f>
        <v/>
      </c>
      <c r="S15" s="123" t="str">
        <f>IF(MAESTRO!B15="","",IF(AND(F15="",J15="",N15="",R15=""),"",IF(Y(OR(F15="",F15&gt;=3),OR(J15="",J15&gt;=3),OR(N15="",N15&gt;=3),OR(R15="",R15&gt;=3)),"✓ APROBADO","✗ REPROBADO")))</f>
        <v/>
      </c>
    </row>
    <row r="16" spans="1:19" ht="16.05" customHeight="1">
      <c r="A16" s="116">
        <v>12</v>
      </c>
      <c r="B16" s="117">
        <f>MAESTRO!B16</f>
        <v>0</v>
      </c>
      <c r="C16" s="125" t="str">
        <f>IF(MAESTRO!B16="","",IFERROR('PROM (Ingles 7°)'!AE16,""))</f>
        <v/>
      </c>
      <c r="D16" s="125" t="str">
        <f>IF(MAESTRO!B16="","",IFERROR('PROM (Ingles 7°)'!BM16,""))</f>
        <v/>
      </c>
      <c r="E16" s="125" t="str">
        <f>IF(MAESTRO!B16="","",IFERROR('PROM (Ingles 7°)'!CU16,""))</f>
        <v/>
      </c>
      <c r="F16" s="126" t="str">
        <f>IF(MAESTRO!B16="","",IFERROR(TRUNC(AVERAGE(C16,D16,E16),1),""))</f>
        <v/>
      </c>
      <c r="G16" s="125" t="str">
        <f>IF(MAESTRO!B16="","",IFERROR('PROM (Agropecuaria 7°)'!AE16,""))</f>
        <v/>
      </c>
      <c r="H16" s="125" t="str">
        <f>IF(MAESTRO!B16="","",IFERROR('PROM (Agropecuaria 7°)'!BM16,""))</f>
        <v/>
      </c>
      <c r="I16" s="125" t="str">
        <f>IF(MAESTRO!B16="","",IFERROR('PROM (Agropecuaria 7°)'!CU16,""))</f>
        <v/>
      </c>
      <c r="J16" s="126" t="str">
        <f>IF(MAESTRO!B16="","",IFERROR(TRUNC(AVERAGE(G16,H16,I16),1),""))</f>
        <v/>
      </c>
      <c r="K16" s="125" t="str">
        <f>IF(MAESTRO!B16="","",IFERROR('PROM (Hogar y Desarrollo 7°)'!AE16,""))</f>
        <v/>
      </c>
      <c r="L16" s="125" t="str">
        <f>IF(MAESTRO!B16="","",IFERROR('PROM (Hogar y Desarrollo 7°)'!BM16,""))</f>
        <v/>
      </c>
      <c r="M16" s="125" t="str">
        <f>IF(MAESTRO!B16="","",IFERROR('PROM (Hogar y Desarrollo 7°)'!CU16,""))</f>
        <v/>
      </c>
      <c r="N16" s="126" t="str">
        <f>IF(MAESTRO!B16="","",IFERROR(TRUNC(AVERAGE(K16,L16,M16),1),""))</f>
        <v/>
      </c>
      <c r="O16" s="124" t="str">
        <f>IF(MAESTRO!B16="","",IFERROR(AVERAGE(G16,K16),""))</f>
        <v/>
      </c>
      <c r="P16" s="124" t="str">
        <f>IF(MAESTRO!B16="","",IFERROR(AVERAGE(H16,L16),""))</f>
        <v/>
      </c>
      <c r="Q16" s="124" t="str">
        <f>IF(MAESTRO!B16="","",IFERROR(AVERAGE(I16,M16),""))</f>
        <v/>
      </c>
      <c r="R16" s="124" t="str">
        <f>IF(MAESTRO!B16="","",IFERROR(TRUNC(AVERAGE(O16,P16,Q16),1),""))</f>
        <v/>
      </c>
      <c r="S16" s="126" t="str">
        <f>IF(MAESTRO!B16="","",IF(AND(F16="",J16="",N16="",R16=""),"",IF(Y(OR(F16="",F16&gt;=3),OR(J16="",J16&gt;=3),OR(N16="",N16&gt;=3),OR(R16="",R16&gt;=3)),"✓ APROBADO","✗ REPROBADO")))</f>
        <v/>
      </c>
    </row>
    <row r="17" spans="1:19" ht="16.05" customHeight="1">
      <c r="A17" s="118">
        <v>13</v>
      </c>
      <c r="B17" s="119">
        <f>MAESTRO!B17</f>
        <v>0</v>
      </c>
      <c r="C17" s="122" t="str">
        <f>IF(MAESTRO!B17="","",IFERROR('PROM (Ingles 7°)'!AE17,""))</f>
        <v/>
      </c>
      <c r="D17" s="122" t="str">
        <f>IF(MAESTRO!B17="","",IFERROR('PROM (Ingles 7°)'!BM17,""))</f>
        <v/>
      </c>
      <c r="E17" s="122" t="str">
        <f>IF(MAESTRO!B17="","",IFERROR('PROM (Ingles 7°)'!CU17,""))</f>
        <v/>
      </c>
      <c r="F17" s="123" t="str">
        <f>IF(MAESTRO!B17="","",IFERROR(TRUNC(AVERAGE(C17,D17,E17),1),""))</f>
        <v/>
      </c>
      <c r="G17" s="122" t="str">
        <f>IF(MAESTRO!B17="","",IFERROR('PROM (Agropecuaria 7°)'!AE17,""))</f>
        <v/>
      </c>
      <c r="H17" s="122" t="str">
        <f>IF(MAESTRO!B17="","",IFERROR('PROM (Agropecuaria 7°)'!BM17,""))</f>
        <v/>
      </c>
      <c r="I17" s="122" t="str">
        <f>IF(MAESTRO!B17="","",IFERROR('PROM (Agropecuaria 7°)'!CU17,""))</f>
        <v/>
      </c>
      <c r="J17" s="123" t="str">
        <f>IF(MAESTRO!B17="","",IFERROR(TRUNC(AVERAGE(G17,H17,I17),1),""))</f>
        <v/>
      </c>
      <c r="K17" s="122" t="str">
        <f>IF(MAESTRO!B17="","",IFERROR('PROM (Hogar y Desarrollo 7°)'!AE17,""))</f>
        <v/>
      </c>
      <c r="L17" s="122" t="str">
        <f>IF(MAESTRO!B17="","",IFERROR('PROM (Hogar y Desarrollo 7°)'!BM17,""))</f>
        <v/>
      </c>
      <c r="M17" s="122" t="str">
        <f>IF(MAESTRO!B17="","",IFERROR('PROM (Hogar y Desarrollo 7°)'!CU17,""))</f>
        <v/>
      </c>
      <c r="N17" s="123" t="str">
        <f>IF(MAESTRO!B17="","",IFERROR(TRUNC(AVERAGE(K17,L17,M17),1),""))</f>
        <v/>
      </c>
      <c r="O17" s="124" t="str">
        <f>IF(MAESTRO!B17="","",IFERROR(AVERAGE(G17,K17),""))</f>
        <v/>
      </c>
      <c r="P17" s="124" t="str">
        <f>IF(MAESTRO!B17="","",IFERROR(AVERAGE(H17,L17),""))</f>
        <v/>
      </c>
      <c r="Q17" s="124" t="str">
        <f>IF(MAESTRO!B17="","",IFERROR(AVERAGE(I17,M17),""))</f>
        <v/>
      </c>
      <c r="R17" s="124" t="str">
        <f>IF(MAESTRO!B17="","",IFERROR(TRUNC(AVERAGE(O17,P17,Q17),1),""))</f>
        <v/>
      </c>
      <c r="S17" s="123" t="str">
        <f>IF(MAESTRO!B17="","",IF(AND(F17="",J17="",N17="",R17=""),"",IF(Y(OR(F17="",F17&gt;=3),OR(J17="",J17&gt;=3),OR(N17="",N17&gt;=3),OR(R17="",R17&gt;=3)),"✓ APROBADO","✗ REPROBADO")))</f>
        <v/>
      </c>
    </row>
    <row r="18" spans="1:19" ht="16.05" customHeight="1">
      <c r="A18" s="116">
        <v>14</v>
      </c>
      <c r="B18" s="117">
        <f>MAESTRO!B18</f>
        <v>0</v>
      </c>
      <c r="C18" s="125" t="str">
        <f>IF(MAESTRO!B18="","",IFERROR('PROM (Ingles 7°)'!AE18,""))</f>
        <v/>
      </c>
      <c r="D18" s="125" t="str">
        <f>IF(MAESTRO!B18="","",IFERROR('PROM (Ingles 7°)'!BM18,""))</f>
        <v/>
      </c>
      <c r="E18" s="125" t="str">
        <f>IF(MAESTRO!B18="","",IFERROR('PROM (Ingles 7°)'!CU18,""))</f>
        <v/>
      </c>
      <c r="F18" s="126" t="str">
        <f>IF(MAESTRO!B18="","",IFERROR(TRUNC(AVERAGE(C18,D18,E18),1),""))</f>
        <v/>
      </c>
      <c r="G18" s="125" t="str">
        <f>IF(MAESTRO!B18="","",IFERROR('PROM (Agropecuaria 7°)'!AE18,""))</f>
        <v/>
      </c>
      <c r="H18" s="125" t="str">
        <f>IF(MAESTRO!B18="","",IFERROR('PROM (Agropecuaria 7°)'!BM18,""))</f>
        <v/>
      </c>
      <c r="I18" s="125" t="str">
        <f>IF(MAESTRO!B18="","",IFERROR('PROM (Agropecuaria 7°)'!CU18,""))</f>
        <v/>
      </c>
      <c r="J18" s="126" t="str">
        <f>IF(MAESTRO!B18="","",IFERROR(TRUNC(AVERAGE(G18,H18,I18),1),""))</f>
        <v/>
      </c>
      <c r="K18" s="125" t="str">
        <f>IF(MAESTRO!B18="","",IFERROR('PROM (Hogar y Desarrollo 7°)'!AE18,""))</f>
        <v/>
      </c>
      <c r="L18" s="125" t="str">
        <f>IF(MAESTRO!B18="","",IFERROR('PROM (Hogar y Desarrollo 7°)'!BM18,""))</f>
        <v/>
      </c>
      <c r="M18" s="125" t="str">
        <f>IF(MAESTRO!B18="","",IFERROR('PROM (Hogar y Desarrollo 7°)'!CU18,""))</f>
        <v/>
      </c>
      <c r="N18" s="126" t="str">
        <f>IF(MAESTRO!B18="","",IFERROR(TRUNC(AVERAGE(K18,L18,M18),1),""))</f>
        <v/>
      </c>
      <c r="O18" s="124" t="str">
        <f>IF(MAESTRO!B18="","",IFERROR(AVERAGE(G18,K18),""))</f>
        <v/>
      </c>
      <c r="P18" s="124" t="str">
        <f>IF(MAESTRO!B18="","",IFERROR(AVERAGE(H18,L18),""))</f>
        <v/>
      </c>
      <c r="Q18" s="124" t="str">
        <f>IF(MAESTRO!B18="","",IFERROR(AVERAGE(I18,M18),""))</f>
        <v/>
      </c>
      <c r="R18" s="124" t="str">
        <f>IF(MAESTRO!B18="","",IFERROR(TRUNC(AVERAGE(O18,P18,Q18),1),""))</f>
        <v/>
      </c>
      <c r="S18" s="126" t="str">
        <f>IF(MAESTRO!B18="","",IF(AND(F18="",J18="",N18="",R18=""),"",IF(Y(OR(F18="",F18&gt;=3),OR(J18="",J18&gt;=3),OR(N18="",N18&gt;=3),OR(R18="",R18&gt;=3)),"✓ APROBADO","✗ REPROBADO")))</f>
        <v/>
      </c>
    </row>
    <row r="19" spans="1:19" ht="16.05" customHeight="1">
      <c r="A19" s="118">
        <v>15</v>
      </c>
      <c r="B19" s="119">
        <f>MAESTRO!B19</f>
        <v>0</v>
      </c>
      <c r="C19" s="122" t="str">
        <f>IF(MAESTRO!B19="","",IFERROR('PROM (Ingles 7°)'!AE19,""))</f>
        <v/>
      </c>
      <c r="D19" s="122" t="str">
        <f>IF(MAESTRO!B19="","",IFERROR('PROM (Ingles 7°)'!BM19,""))</f>
        <v/>
      </c>
      <c r="E19" s="122" t="str">
        <f>IF(MAESTRO!B19="","",IFERROR('PROM (Ingles 7°)'!CU19,""))</f>
        <v/>
      </c>
      <c r="F19" s="123" t="str">
        <f>IF(MAESTRO!B19="","",IFERROR(TRUNC(AVERAGE(C19,D19,E19),1),""))</f>
        <v/>
      </c>
      <c r="G19" s="122" t="str">
        <f>IF(MAESTRO!B19="","",IFERROR('PROM (Agropecuaria 7°)'!AE19,""))</f>
        <v/>
      </c>
      <c r="H19" s="122" t="str">
        <f>IF(MAESTRO!B19="","",IFERROR('PROM (Agropecuaria 7°)'!BM19,""))</f>
        <v/>
      </c>
      <c r="I19" s="122" t="str">
        <f>IF(MAESTRO!B19="","",IFERROR('PROM (Agropecuaria 7°)'!CU19,""))</f>
        <v/>
      </c>
      <c r="J19" s="123" t="str">
        <f>IF(MAESTRO!B19="","",IFERROR(TRUNC(AVERAGE(G19,H19,I19),1),""))</f>
        <v/>
      </c>
      <c r="K19" s="122" t="str">
        <f>IF(MAESTRO!B19="","",IFERROR('PROM (Hogar y Desarrollo 7°)'!AE19,""))</f>
        <v/>
      </c>
      <c r="L19" s="122" t="str">
        <f>IF(MAESTRO!B19="","",IFERROR('PROM (Hogar y Desarrollo 7°)'!BM19,""))</f>
        <v/>
      </c>
      <c r="M19" s="122" t="str">
        <f>IF(MAESTRO!B19="","",IFERROR('PROM (Hogar y Desarrollo 7°)'!CU19,""))</f>
        <v/>
      </c>
      <c r="N19" s="123" t="str">
        <f>IF(MAESTRO!B19="","",IFERROR(TRUNC(AVERAGE(K19,L19,M19),1),""))</f>
        <v/>
      </c>
      <c r="O19" s="124" t="str">
        <f>IF(MAESTRO!B19="","",IFERROR(AVERAGE(G19,K19),""))</f>
        <v/>
      </c>
      <c r="P19" s="124" t="str">
        <f>IF(MAESTRO!B19="","",IFERROR(AVERAGE(H19,L19),""))</f>
        <v/>
      </c>
      <c r="Q19" s="124" t="str">
        <f>IF(MAESTRO!B19="","",IFERROR(AVERAGE(I19,M19),""))</f>
        <v/>
      </c>
      <c r="R19" s="124" t="str">
        <f>IF(MAESTRO!B19="","",IFERROR(TRUNC(AVERAGE(O19,P19,Q19),1),""))</f>
        <v/>
      </c>
      <c r="S19" s="123" t="str">
        <f>IF(MAESTRO!B19="","",IF(AND(F19="",J19="",N19="",R19=""),"",IF(Y(OR(F19="",F19&gt;=3),OR(J19="",J19&gt;=3),OR(N19="",N19&gt;=3),OR(R19="",R19&gt;=3)),"✓ APROBADO","✗ REPROBADO")))</f>
        <v/>
      </c>
    </row>
    <row r="20" spans="1:19" ht="16.05" customHeight="1">
      <c r="A20" s="116">
        <v>16</v>
      </c>
      <c r="B20" s="117">
        <f>MAESTRO!B20</f>
        <v>0</v>
      </c>
      <c r="C20" s="125" t="str">
        <f>IF(MAESTRO!B20="","",IFERROR('PROM (Ingles 7°)'!AE20,""))</f>
        <v/>
      </c>
      <c r="D20" s="125" t="str">
        <f>IF(MAESTRO!B20="","",IFERROR('PROM (Ingles 7°)'!BM20,""))</f>
        <v/>
      </c>
      <c r="E20" s="125" t="str">
        <f>IF(MAESTRO!B20="","",IFERROR('PROM (Ingles 7°)'!CU20,""))</f>
        <v/>
      </c>
      <c r="F20" s="126" t="str">
        <f>IF(MAESTRO!B20="","",IFERROR(TRUNC(AVERAGE(C20,D20,E20),1),""))</f>
        <v/>
      </c>
      <c r="G20" s="125" t="str">
        <f>IF(MAESTRO!B20="","",IFERROR('PROM (Agropecuaria 7°)'!AE20,""))</f>
        <v/>
      </c>
      <c r="H20" s="125" t="str">
        <f>IF(MAESTRO!B20="","",IFERROR('PROM (Agropecuaria 7°)'!BM20,""))</f>
        <v/>
      </c>
      <c r="I20" s="125" t="str">
        <f>IF(MAESTRO!B20="","",IFERROR('PROM (Agropecuaria 7°)'!CU20,""))</f>
        <v/>
      </c>
      <c r="J20" s="126" t="str">
        <f>IF(MAESTRO!B20="","",IFERROR(TRUNC(AVERAGE(G20,H20,I20),1),""))</f>
        <v/>
      </c>
      <c r="K20" s="125" t="str">
        <f>IF(MAESTRO!B20="","",IFERROR('PROM (Hogar y Desarrollo 7°)'!AE20,""))</f>
        <v/>
      </c>
      <c r="L20" s="125" t="str">
        <f>IF(MAESTRO!B20="","",IFERROR('PROM (Hogar y Desarrollo 7°)'!BM20,""))</f>
        <v/>
      </c>
      <c r="M20" s="125" t="str">
        <f>IF(MAESTRO!B20="","",IFERROR('PROM (Hogar y Desarrollo 7°)'!CU20,""))</f>
        <v/>
      </c>
      <c r="N20" s="126" t="str">
        <f>IF(MAESTRO!B20="","",IFERROR(TRUNC(AVERAGE(K20,L20,M20),1),""))</f>
        <v/>
      </c>
      <c r="O20" s="124" t="str">
        <f>IF(MAESTRO!B20="","",IFERROR(AVERAGE(G20,K20),""))</f>
        <v/>
      </c>
      <c r="P20" s="124" t="str">
        <f>IF(MAESTRO!B20="","",IFERROR(AVERAGE(H20,L20),""))</f>
        <v/>
      </c>
      <c r="Q20" s="124" t="str">
        <f>IF(MAESTRO!B20="","",IFERROR(AVERAGE(I20,M20),""))</f>
        <v/>
      </c>
      <c r="R20" s="124" t="str">
        <f>IF(MAESTRO!B20="","",IFERROR(TRUNC(AVERAGE(O20,P20,Q20),1),""))</f>
        <v/>
      </c>
      <c r="S20" s="126" t="str">
        <f>IF(MAESTRO!B20="","",IF(AND(F20="",J20="",N20="",R20=""),"",IF(Y(OR(F20="",F20&gt;=3),OR(J20="",J20&gt;=3),OR(N20="",N20&gt;=3),OR(R20="",R20&gt;=3)),"✓ APROBADO","✗ REPROBADO")))</f>
        <v/>
      </c>
    </row>
    <row r="21" spans="1:19" ht="16.05" customHeight="1">
      <c r="A21" s="118">
        <v>17</v>
      </c>
      <c r="B21" s="119">
        <f>MAESTRO!B21</f>
        <v>0</v>
      </c>
      <c r="C21" s="122" t="str">
        <f>IF(MAESTRO!B21="","",IFERROR('PROM (Ingles 7°)'!AE21,""))</f>
        <v/>
      </c>
      <c r="D21" s="122" t="str">
        <f>IF(MAESTRO!B21="","",IFERROR('PROM (Ingles 7°)'!BM21,""))</f>
        <v/>
      </c>
      <c r="E21" s="122" t="str">
        <f>IF(MAESTRO!B21="","",IFERROR('PROM (Ingles 7°)'!CU21,""))</f>
        <v/>
      </c>
      <c r="F21" s="123" t="str">
        <f>IF(MAESTRO!B21="","",IFERROR(TRUNC(AVERAGE(C21,D21,E21),1),""))</f>
        <v/>
      </c>
      <c r="G21" s="122" t="str">
        <f>IF(MAESTRO!B21="","",IFERROR('PROM (Agropecuaria 7°)'!AE21,""))</f>
        <v/>
      </c>
      <c r="H21" s="122" t="str">
        <f>IF(MAESTRO!B21="","",IFERROR('PROM (Agropecuaria 7°)'!BM21,""))</f>
        <v/>
      </c>
      <c r="I21" s="122" t="str">
        <f>IF(MAESTRO!B21="","",IFERROR('PROM (Agropecuaria 7°)'!CU21,""))</f>
        <v/>
      </c>
      <c r="J21" s="123" t="str">
        <f>IF(MAESTRO!B21="","",IFERROR(TRUNC(AVERAGE(G21,H21,I21),1),""))</f>
        <v/>
      </c>
      <c r="K21" s="122" t="str">
        <f>IF(MAESTRO!B21="","",IFERROR('PROM (Hogar y Desarrollo 7°)'!AE21,""))</f>
        <v/>
      </c>
      <c r="L21" s="122" t="str">
        <f>IF(MAESTRO!B21="","",IFERROR('PROM (Hogar y Desarrollo 7°)'!BM21,""))</f>
        <v/>
      </c>
      <c r="M21" s="122" t="str">
        <f>IF(MAESTRO!B21="","",IFERROR('PROM (Hogar y Desarrollo 7°)'!CU21,""))</f>
        <v/>
      </c>
      <c r="N21" s="123" t="str">
        <f>IF(MAESTRO!B21="","",IFERROR(TRUNC(AVERAGE(K21,L21,M21),1),""))</f>
        <v/>
      </c>
      <c r="O21" s="124" t="str">
        <f>IF(MAESTRO!B21="","",IFERROR(AVERAGE(G21,K21),""))</f>
        <v/>
      </c>
      <c r="P21" s="124" t="str">
        <f>IF(MAESTRO!B21="","",IFERROR(AVERAGE(H21,L21),""))</f>
        <v/>
      </c>
      <c r="Q21" s="124" t="str">
        <f>IF(MAESTRO!B21="","",IFERROR(AVERAGE(I21,M21),""))</f>
        <v/>
      </c>
      <c r="R21" s="124" t="str">
        <f>IF(MAESTRO!B21="","",IFERROR(TRUNC(AVERAGE(O21,P21,Q21),1),""))</f>
        <v/>
      </c>
      <c r="S21" s="123" t="str">
        <f>IF(MAESTRO!B21="","",IF(AND(F21="",J21="",N21="",R21=""),"",IF(Y(OR(F21="",F21&gt;=3),OR(J21="",J21&gt;=3),OR(N21="",N21&gt;=3),OR(R21="",R21&gt;=3)),"✓ APROBADO","✗ REPROBADO")))</f>
        <v/>
      </c>
    </row>
    <row r="22" spans="1:19" ht="16.05" customHeight="1">
      <c r="A22" s="116">
        <v>18</v>
      </c>
      <c r="B22" s="117">
        <f>MAESTRO!B22</f>
        <v>0</v>
      </c>
      <c r="C22" s="125" t="str">
        <f>IF(MAESTRO!B22="","",IFERROR('PROM (Ingles 7°)'!AE22,""))</f>
        <v/>
      </c>
      <c r="D22" s="125" t="str">
        <f>IF(MAESTRO!B22="","",IFERROR('PROM (Ingles 7°)'!BM22,""))</f>
        <v/>
      </c>
      <c r="E22" s="125" t="str">
        <f>IF(MAESTRO!B22="","",IFERROR('PROM (Ingles 7°)'!CU22,""))</f>
        <v/>
      </c>
      <c r="F22" s="126" t="str">
        <f>IF(MAESTRO!B22="","",IFERROR(TRUNC(AVERAGE(C22,D22,E22),1),""))</f>
        <v/>
      </c>
      <c r="G22" s="125" t="str">
        <f>IF(MAESTRO!B22="","",IFERROR('PROM (Agropecuaria 7°)'!AE22,""))</f>
        <v/>
      </c>
      <c r="H22" s="125" t="str">
        <f>IF(MAESTRO!B22="","",IFERROR('PROM (Agropecuaria 7°)'!BM22,""))</f>
        <v/>
      </c>
      <c r="I22" s="125" t="str">
        <f>IF(MAESTRO!B22="","",IFERROR('PROM (Agropecuaria 7°)'!CU22,""))</f>
        <v/>
      </c>
      <c r="J22" s="126" t="str">
        <f>IF(MAESTRO!B22="","",IFERROR(TRUNC(AVERAGE(G22,H22,I22),1),""))</f>
        <v/>
      </c>
      <c r="K22" s="125" t="str">
        <f>IF(MAESTRO!B22="","",IFERROR('PROM (Hogar y Desarrollo 7°)'!AE22,""))</f>
        <v/>
      </c>
      <c r="L22" s="125" t="str">
        <f>IF(MAESTRO!B22="","",IFERROR('PROM (Hogar y Desarrollo 7°)'!BM22,""))</f>
        <v/>
      </c>
      <c r="M22" s="125" t="str">
        <f>IF(MAESTRO!B22="","",IFERROR('PROM (Hogar y Desarrollo 7°)'!CU22,""))</f>
        <v/>
      </c>
      <c r="N22" s="126" t="str">
        <f>IF(MAESTRO!B22="","",IFERROR(TRUNC(AVERAGE(K22,L22,M22),1),""))</f>
        <v/>
      </c>
      <c r="O22" s="124" t="str">
        <f>IF(MAESTRO!B22="","",IFERROR(AVERAGE(G22,K22),""))</f>
        <v/>
      </c>
      <c r="P22" s="124" t="str">
        <f>IF(MAESTRO!B22="","",IFERROR(AVERAGE(H22,L22),""))</f>
        <v/>
      </c>
      <c r="Q22" s="124" t="str">
        <f>IF(MAESTRO!B22="","",IFERROR(AVERAGE(I22,M22),""))</f>
        <v/>
      </c>
      <c r="R22" s="124" t="str">
        <f>IF(MAESTRO!B22="","",IFERROR(TRUNC(AVERAGE(O22,P22,Q22),1),""))</f>
        <v/>
      </c>
      <c r="S22" s="126" t="str">
        <f>IF(MAESTRO!B22="","",IF(AND(F22="",J22="",N22="",R22=""),"",IF(Y(OR(F22="",F22&gt;=3),OR(J22="",J22&gt;=3),OR(N22="",N22&gt;=3),OR(R22="",R22&gt;=3)),"✓ APROBADO","✗ REPROBADO")))</f>
        <v/>
      </c>
    </row>
    <row r="23" spans="1:19" ht="16.05" customHeight="1">
      <c r="A23" s="118">
        <v>19</v>
      </c>
      <c r="B23" s="119">
        <f>MAESTRO!B23</f>
        <v>0</v>
      </c>
      <c r="C23" s="122" t="str">
        <f>IF(MAESTRO!B23="","",IFERROR('PROM (Ingles 7°)'!AE23,""))</f>
        <v/>
      </c>
      <c r="D23" s="122" t="str">
        <f>IF(MAESTRO!B23="","",IFERROR('PROM (Ingles 7°)'!BM23,""))</f>
        <v/>
      </c>
      <c r="E23" s="122" t="str">
        <f>IF(MAESTRO!B23="","",IFERROR('PROM (Ingles 7°)'!CU23,""))</f>
        <v/>
      </c>
      <c r="F23" s="123" t="str">
        <f>IF(MAESTRO!B23="","",IFERROR(TRUNC(AVERAGE(C23,D23,E23),1),""))</f>
        <v/>
      </c>
      <c r="G23" s="122" t="str">
        <f>IF(MAESTRO!B23="","",IFERROR('PROM (Agropecuaria 7°)'!AE23,""))</f>
        <v/>
      </c>
      <c r="H23" s="122" t="str">
        <f>IF(MAESTRO!B23="","",IFERROR('PROM (Agropecuaria 7°)'!BM23,""))</f>
        <v/>
      </c>
      <c r="I23" s="122" t="str">
        <f>IF(MAESTRO!B23="","",IFERROR('PROM (Agropecuaria 7°)'!CU23,""))</f>
        <v/>
      </c>
      <c r="J23" s="123" t="str">
        <f>IF(MAESTRO!B23="","",IFERROR(TRUNC(AVERAGE(G23,H23,I23),1),""))</f>
        <v/>
      </c>
      <c r="K23" s="122" t="str">
        <f>IF(MAESTRO!B23="","",IFERROR('PROM (Hogar y Desarrollo 7°)'!AE23,""))</f>
        <v/>
      </c>
      <c r="L23" s="122" t="str">
        <f>IF(MAESTRO!B23="","",IFERROR('PROM (Hogar y Desarrollo 7°)'!BM23,""))</f>
        <v/>
      </c>
      <c r="M23" s="122" t="str">
        <f>IF(MAESTRO!B23="","",IFERROR('PROM (Hogar y Desarrollo 7°)'!CU23,""))</f>
        <v/>
      </c>
      <c r="N23" s="123" t="str">
        <f>IF(MAESTRO!B23="","",IFERROR(TRUNC(AVERAGE(K23,L23,M23),1),""))</f>
        <v/>
      </c>
      <c r="O23" s="124" t="str">
        <f>IF(MAESTRO!B23="","",IFERROR(AVERAGE(G23,K23),""))</f>
        <v/>
      </c>
      <c r="P23" s="124" t="str">
        <f>IF(MAESTRO!B23="","",IFERROR(AVERAGE(H23,L23),""))</f>
        <v/>
      </c>
      <c r="Q23" s="124" t="str">
        <f>IF(MAESTRO!B23="","",IFERROR(AVERAGE(I23,M23),""))</f>
        <v/>
      </c>
      <c r="R23" s="124" t="str">
        <f>IF(MAESTRO!B23="","",IFERROR(TRUNC(AVERAGE(O23,P23,Q23),1),""))</f>
        <v/>
      </c>
      <c r="S23" s="123" t="str">
        <f>IF(MAESTRO!B23="","",IF(AND(F23="",J23="",N23="",R23=""),"",IF(Y(OR(F23="",F23&gt;=3),OR(J23="",J23&gt;=3),OR(N23="",N23&gt;=3),OR(R23="",R23&gt;=3)),"✓ APROBADO","✗ REPROBADO")))</f>
        <v/>
      </c>
    </row>
    <row r="24" spans="1:19" ht="16.05" customHeight="1">
      <c r="A24" s="116">
        <v>20</v>
      </c>
      <c r="B24" s="117">
        <f>MAESTRO!B24</f>
        <v>0</v>
      </c>
      <c r="C24" s="125" t="str">
        <f>IF(MAESTRO!B24="","",IFERROR('PROM (Ingles 7°)'!AE24,""))</f>
        <v/>
      </c>
      <c r="D24" s="125" t="str">
        <f>IF(MAESTRO!B24="","",IFERROR('PROM (Ingles 7°)'!BM24,""))</f>
        <v/>
      </c>
      <c r="E24" s="125" t="str">
        <f>IF(MAESTRO!B24="","",IFERROR('PROM (Ingles 7°)'!CU24,""))</f>
        <v/>
      </c>
      <c r="F24" s="126" t="str">
        <f>IF(MAESTRO!B24="","",IFERROR(TRUNC(AVERAGE(C24,D24,E24),1),""))</f>
        <v/>
      </c>
      <c r="G24" s="125" t="str">
        <f>IF(MAESTRO!B24="","",IFERROR('PROM (Agropecuaria 7°)'!AE24,""))</f>
        <v/>
      </c>
      <c r="H24" s="125" t="str">
        <f>IF(MAESTRO!B24="","",IFERROR('PROM (Agropecuaria 7°)'!BM24,""))</f>
        <v/>
      </c>
      <c r="I24" s="125" t="str">
        <f>IF(MAESTRO!B24="","",IFERROR('PROM (Agropecuaria 7°)'!CU24,""))</f>
        <v/>
      </c>
      <c r="J24" s="126" t="str">
        <f>IF(MAESTRO!B24="","",IFERROR(TRUNC(AVERAGE(G24,H24,I24),1),""))</f>
        <v/>
      </c>
      <c r="K24" s="125" t="str">
        <f>IF(MAESTRO!B24="","",IFERROR('PROM (Hogar y Desarrollo 7°)'!AE24,""))</f>
        <v/>
      </c>
      <c r="L24" s="125" t="str">
        <f>IF(MAESTRO!B24="","",IFERROR('PROM (Hogar y Desarrollo 7°)'!BM24,""))</f>
        <v/>
      </c>
      <c r="M24" s="125" t="str">
        <f>IF(MAESTRO!B24="","",IFERROR('PROM (Hogar y Desarrollo 7°)'!CU24,""))</f>
        <v/>
      </c>
      <c r="N24" s="126" t="str">
        <f>IF(MAESTRO!B24="","",IFERROR(TRUNC(AVERAGE(K24,L24,M24),1),""))</f>
        <v/>
      </c>
      <c r="O24" s="124" t="str">
        <f>IF(MAESTRO!B24="","",IFERROR(AVERAGE(G24,K24),""))</f>
        <v/>
      </c>
      <c r="P24" s="124" t="str">
        <f>IF(MAESTRO!B24="","",IFERROR(AVERAGE(H24,L24),""))</f>
        <v/>
      </c>
      <c r="Q24" s="124" t="str">
        <f>IF(MAESTRO!B24="","",IFERROR(AVERAGE(I24,M24),""))</f>
        <v/>
      </c>
      <c r="R24" s="124" t="str">
        <f>IF(MAESTRO!B24="","",IFERROR(TRUNC(AVERAGE(O24,P24,Q24),1),""))</f>
        <v/>
      </c>
      <c r="S24" s="126" t="str">
        <f>IF(MAESTRO!B24="","",IF(AND(F24="",J24="",N24="",R24=""),"",IF(Y(OR(F24="",F24&gt;=3),OR(J24="",J24&gt;=3),OR(N24="",N24&gt;=3),OR(R24="",R24&gt;=3)),"✓ APROBADO","✗ REPROBADO")))</f>
        <v/>
      </c>
    </row>
    <row r="25" spans="1:19" ht="16.05" customHeight="1">
      <c r="A25" s="118">
        <v>21</v>
      </c>
      <c r="B25" s="119">
        <f>MAESTRO!B25</f>
        <v>0</v>
      </c>
      <c r="C25" s="122" t="str">
        <f>IF(MAESTRO!B25="","",IFERROR('PROM (Ingles 7°)'!AE25,""))</f>
        <v/>
      </c>
      <c r="D25" s="122" t="str">
        <f>IF(MAESTRO!B25="","",IFERROR('PROM (Ingles 7°)'!BM25,""))</f>
        <v/>
      </c>
      <c r="E25" s="122" t="str">
        <f>IF(MAESTRO!B25="","",IFERROR('PROM (Ingles 7°)'!CU25,""))</f>
        <v/>
      </c>
      <c r="F25" s="123" t="str">
        <f>IF(MAESTRO!B25="","",IFERROR(TRUNC(AVERAGE(C25,D25,E25),1),""))</f>
        <v/>
      </c>
      <c r="G25" s="122" t="str">
        <f>IF(MAESTRO!B25="","",IFERROR('PROM (Agropecuaria 7°)'!AE25,""))</f>
        <v/>
      </c>
      <c r="H25" s="122" t="str">
        <f>IF(MAESTRO!B25="","",IFERROR('PROM (Agropecuaria 7°)'!BM25,""))</f>
        <v/>
      </c>
      <c r="I25" s="122" t="str">
        <f>IF(MAESTRO!B25="","",IFERROR('PROM (Agropecuaria 7°)'!CU25,""))</f>
        <v/>
      </c>
      <c r="J25" s="123" t="str">
        <f>IF(MAESTRO!B25="","",IFERROR(TRUNC(AVERAGE(G25,H25,I25),1),""))</f>
        <v/>
      </c>
      <c r="K25" s="122" t="str">
        <f>IF(MAESTRO!B25="","",IFERROR('PROM (Hogar y Desarrollo 7°)'!AE25,""))</f>
        <v/>
      </c>
      <c r="L25" s="122" t="str">
        <f>IF(MAESTRO!B25="","",IFERROR('PROM (Hogar y Desarrollo 7°)'!BM25,""))</f>
        <v/>
      </c>
      <c r="M25" s="122" t="str">
        <f>IF(MAESTRO!B25="","",IFERROR('PROM (Hogar y Desarrollo 7°)'!CU25,""))</f>
        <v/>
      </c>
      <c r="N25" s="123" t="str">
        <f>IF(MAESTRO!B25="","",IFERROR(TRUNC(AVERAGE(K25,L25,M25),1),""))</f>
        <v/>
      </c>
      <c r="O25" s="124" t="str">
        <f>IF(MAESTRO!B25="","",IFERROR(AVERAGE(G25,K25),""))</f>
        <v/>
      </c>
      <c r="P25" s="124" t="str">
        <f>IF(MAESTRO!B25="","",IFERROR(AVERAGE(H25,L25),""))</f>
        <v/>
      </c>
      <c r="Q25" s="124" t="str">
        <f>IF(MAESTRO!B25="","",IFERROR(AVERAGE(I25,M25),""))</f>
        <v/>
      </c>
      <c r="R25" s="124" t="str">
        <f>IF(MAESTRO!B25="","",IFERROR(TRUNC(AVERAGE(O25,P25,Q25),1),""))</f>
        <v/>
      </c>
      <c r="S25" s="123" t="str">
        <f>IF(MAESTRO!B25="","",IF(AND(F25="",J25="",N25="",R25=""),"",IF(Y(OR(F25="",F25&gt;=3),OR(J25="",J25&gt;=3),OR(N25="",N25&gt;=3),OR(R25="",R25&gt;=3)),"✓ APROBADO","✗ REPROBADO")))</f>
        <v/>
      </c>
    </row>
    <row r="26" spans="1:19" ht="16.05" customHeight="1">
      <c r="A26" s="116">
        <v>22</v>
      </c>
      <c r="B26" s="117">
        <f>MAESTRO!B26</f>
        <v>0</v>
      </c>
      <c r="C26" s="125" t="str">
        <f>IF(MAESTRO!B26="","",IFERROR('PROM (Ingles 7°)'!AE26,""))</f>
        <v/>
      </c>
      <c r="D26" s="125" t="str">
        <f>IF(MAESTRO!B26="","",IFERROR('PROM (Ingles 7°)'!BM26,""))</f>
        <v/>
      </c>
      <c r="E26" s="125" t="str">
        <f>IF(MAESTRO!B26="","",IFERROR('PROM (Ingles 7°)'!CU26,""))</f>
        <v/>
      </c>
      <c r="F26" s="126" t="str">
        <f>IF(MAESTRO!B26="","",IFERROR(TRUNC(AVERAGE(C26,D26,E26),1),""))</f>
        <v/>
      </c>
      <c r="G26" s="125" t="str">
        <f>IF(MAESTRO!B26="","",IFERROR('PROM (Agropecuaria 7°)'!AE26,""))</f>
        <v/>
      </c>
      <c r="H26" s="125" t="str">
        <f>IF(MAESTRO!B26="","",IFERROR('PROM (Agropecuaria 7°)'!BM26,""))</f>
        <v/>
      </c>
      <c r="I26" s="125" t="str">
        <f>IF(MAESTRO!B26="","",IFERROR('PROM (Agropecuaria 7°)'!CU26,""))</f>
        <v/>
      </c>
      <c r="J26" s="126" t="str">
        <f>IF(MAESTRO!B26="","",IFERROR(TRUNC(AVERAGE(G26,H26,I26),1),""))</f>
        <v/>
      </c>
      <c r="K26" s="125" t="str">
        <f>IF(MAESTRO!B26="","",IFERROR('PROM (Hogar y Desarrollo 7°)'!AE26,""))</f>
        <v/>
      </c>
      <c r="L26" s="125" t="str">
        <f>IF(MAESTRO!B26="","",IFERROR('PROM (Hogar y Desarrollo 7°)'!BM26,""))</f>
        <v/>
      </c>
      <c r="M26" s="125" t="str">
        <f>IF(MAESTRO!B26="","",IFERROR('PROM (Hogar y Desarrollo 7°)'!CU26,""))</f>
        <v/>
      </c>
      <c r="N26" s="126" t="str">
        <f>IF(MAESTRO!B26="","",IFERROR(TRUNC(AVERAGE(K26,L26,M26),1),""))</f>
        <v/>
      </c>
      <c r="O26" s="124" t="str">
        <f>IF(MAESTRO!B26="","",IFERROR(AVERAGE(G26,K26),""))</f>
        <v/>
      </c>
      <c r="P26" s="124" t="str">
        <f>IF(MAESTRO!B26="","",IFERROR(AVERAGE(H26,L26),""))</f>
        <v/>
      </c>
      <c r="Q26" s="124" t="str">
        <f>IF(MAESTRO!B26="","",IFERROR(AVERAGE(I26,M26),""))</f>
        <v/>
      </c>
      <c r="R26" s="124" t="str">
        <f>IF(MAESTRO!B26="","",IFERROR(TRUNC(AVERAGE(O26,P26,Q26),1),""))</f>
        <v/>
      </c>
      <c r="S26" s="126" t="str">
        <f>IF(MAESTRO!B26="","",IF(AND(F26="",J26="",N26="",R26=""),"",IF(Y(OR(F26="",F26&gt;=3),OR(J26="",J26&gt;=3),OR(N26="",N26&gt;=3),OR(R26="",R26&gt;=3)),"✓ APROBADO","✗ REPROBADO")))</f>
        <v/>
      </c>
    </row>
    <row r="27" spans="1:19" ht="16.05" customHeight="1">
      <c r="A27" s="118">
        <v>23</v>
      </c>
      <c r="B27" s="119">
        <f>MAESTRO!B27</f>
        <v>0</v>
      </c>
      <c r="C27" s="122" t="str">
        <f>IF(MAESTRO!B27="","",IFERROR('PROM (Ingles 7°)'!AE27,""))</f>
        <v/>
      </c>
      <c r="D27" s="122" t="str">
        <f>IF(MAESTRO!B27="","",IFERROR('PROM (Ingles 7°)'!BM27,""))</f>
        <v/>
      </c>
      <c r="E27" s="122" t="str">
        <f>IF(MAESTRO!B27="","",IFERROR('PROM (Ingles 7°)'!CU27,""))</f>
        <v/>
      </c>
      <c r="F27" s="123" t="str">
        <f>IF(MAESTRO!B27="","",IFERROR(TRUNC(AVERAGE(C27,D27,E27),1),""))</f>
        <v/>
      </c>
      <c r="G27" s="122" t="str">
        <f>IF(MAESTRO!B27="","",IFERROR('PROM (Agropecuaria 7°)'!AE27,""))</f>
        <v/>
      </c>
      <c r="H27" s="122" t="str">
        <f>IF(MAESTRO!B27="","",IFERROR('PROM (Agropecuaria 7°)'!BM27,""))</f>
        <v/>
      </c>
      <c r="I27" s="122" t="str">
        <f>IF(MAESTRO!B27="","",IFERROR('PROM (Agropecuaria 7°)'!CU27,""))</f>
        <v/>
      </c>
      <c r="J27" s="123" t="str">
        <f>IF(MAESTRO!B27="","",IFERROR(TRUNC(AVERAGE(G27,H27,I27),1),""))</f>
        <v/>
      </c>
      <c r="K27" s="122" t="str">
        <f>IF(MAESTRO!B27="","",IFERROR('PROM (Hogar y Desarrollo 7°)'!AE27,""))</f>
        <v/>
      </c>
      <c r="L27" s="122" t="str">
        <f>IF(MAESTRO!B27="","",IFERROR('PROM (Hogar y Desarrollo 7°)'!BM27,""))</f>
        <v/>
      </c>
      <c r="M27" s="122" t="str">
        <f>IF(MAESTRO!B27="","",IFERROR('PROM (Hogar y Desarrollo 7°)'!CU27,""))</f>
        <v/>
      </c>
      <c r="N27" s="123" t="str">
        <f>IF(MAESTRO!B27="","",IFERROR(TRUNC(AVERAGE(K27,L27,M27),1),""))</f>
        <v/>
      </c>
      <c r="O27" s="124" t="str">
        <f>IF(MAESTRO!B27="","",IFERROR(AVERAGE(G27,K27),""))</f>
        <v/>
      </c>
      <c r="P27" s="124" t="str">
        <f>IF(MAESTRO!B27="","",IFERROR(AVERAGE(H27,L27),""))</f>
        <v/>
      </c>
      <c r="Q27" s="124" t="str">
        <f>IF(MAESTRO!B27="","",IFERROR(AVERAGE(I27,M27),""))</f>
        <v/>
      </c>
      <c r="R27" s="124" t="str">
        <f>IF(MAESTRO!B27="","",IFERROR(TRUNC(AVERAGE(O27,P27,Q27),1),""))</f>
        <v/>
      </c>
      <c r="S27" s="123" t="str">
        <f>IF(MAESTRO!B27="","",IF(AND(F27="",J27="",N27="",R27=""),"",IF(Y(OR(F27="",F27&gt;=3),OR(J27="",J27&gt;=3),OR(N27="",N27&gt;=3),OR(R27="",R27&gt;=3)),"✓ APROBADO","✗ REPROBADO")))</f>
        <v/>
      </c>
    </row>
    <row r="28" spans="1:19" ht="16.05" customHeight="1">
      <c r="A28" s="116">
        <v>24</v>
      </c>
      <c r="B28" s="117">
        <f>MAESTRO!B28</f>
        <v>0</v>
      </c>
      <c r="C28" s="125" t="str">
        <f>IF(MAESTRO!B28="","",IFERROR('PROM (Ingles 7°)'!AE28,""))</f>
        <v/>
      </c>
      <c r="D28" s="125" t="str">
        <f>IF(MAESTRO!B28="","",IFERROR('PROM (Ingles 7°)'!BM28,""))</f>
        <v/>
      </c>
      <c r="E28" s="125" t="str">
        <f>IF(MAESTRO!B28="","",IFERROR('PROM (Ingles 7°)'!CU28,""))</f>
        <v/>
      </c>
      <c r="F28" s="126" t="str">
        <f>IF(MAESTRO!B28="","",IFERROR(TRUNC(AVERAGE(C28,D28,E28),1),""))</f>
        <v/>
      </c>
      <c r="G28" s="125" t="str">
        <f>IF(MAESTRO!B28="","",IFERROR('PROM (Agropecuaria 7°)'!AE28,""))</f>
        <v/>
      </c>
      <c r="H28" s="125" t="str">
        <f>IF(MAESTRO!B28="","",IFERROR('PROM (Agropecuaria 7°)'!BM28,""))</f>
        <v/>
      </c>
      <c r="I28" s="125" t="str">
        <f>IF(MAESTRO!B28="","",IFERROR('PROM (Agropecuaria 7°)'!CU28,""))</f>
        <v/>
      </c>
      <c r="J28" s="126" t="str">
        <f>IF(MAESTRO!B28="","",IFERROR(TRUNC(AVERAGE(G28,H28,I28),1),""))</f>
        <v/>
      </c>
      <c r="K28" s="125" t="str">
        <f>IF(MAESTRO!B28="","",IFERROR('PROM (Hogar y Desarrollo 7°)'!AE28,""))</f>
        <v/>
      </c>
      <c r="L28" s="125" t="str">
        <f>IF(MAESTRO!B28="","",IFERROR('PROM (Hogar y Desarrollo 7°)'!BM28,""))</f>
        <v/>
      </c>
      <c r="M28" s="125" t="str">
        <f>IF(MAESTRO!B28="","",IFERROR('PROM (Hogar y Desarrollo 7°)'!CU28,""))</f>
        <v/>
      </c>
      <c r="N28" s="126" t="str">
        <f>IF(MAESTRO!B28="","",IFERROR(TRUNC(AVERAGE(K28,L28,M28),1),""))</f>
        <v/>
      </c>
      <c r="O28" s="124" t="str">
        <f>IF(MAESTRO!B28="","",IFERROR(AVERAGE(G28,K28),""))</f>
        <v/>
      </c>
      <c r="P28" s="124" t="str">
        <f>IF(MAESTRO!B28="","",IFERROR(AVERAGE(H28,L28),""))</f>
        <v/>
      </c>
      <c r="Q28" s="124" t="str">
        <f>IF(MAESTRO!B28="","",IFERROR(AVERAGE(I28,M28),""))</f>
        <v/>
      </c>
      <c r="R28" s="124" t="str">
        <f>IF(MAESTRO!B28="","",IFERROR(TRUNC(AVERAGE(O28,P28,Q28),1),""))</f>
        <v/>
      </c>
      <c r="S28" s="126" t="str">
        <f>IF(MAESTRO!B28="","",IF(AND(F28="",J28="",N28="",R28=""),"",IF(Y(OR(F28="",F28&gt;=3),OR(J28="",J28&gt;=3),OR(N28="",N28&gt;=3),OR(R28="",R28&gt;=3)),"✓ APROBADO","✗ REPROBADO")))</f>
        <v/>
      </c>
    </row>
    <row r="29" spans="1:19" ht="16.05" customHeight="1">
      <c r="A29" s="118">
        <v>25</v>
      </c>
      <c r="B29" s="119">
        <f>MAESTRO!B29</f>
        <v>0</v>
      </c>
      <c r="C29" s="122" t="str">
        <f>IF(MAESTRO!B29="","",IFERROR('PROM (Ingles 7°)'!AE29,""))</f>
        <v/>
      </c>
      <c r="D29" s="122" t="str">
        <f>IF(MAESTRO!B29="","",IFERROR('PROM (Ingles 7°)'!BM29,""))</f>
        <v/>
      </c>
      <c r="E29" s="122" t="str">
        <f>IF(MAESTRO!B29="","",IFERROR('PROM (Ingles 7°)'!CU29,""))</f>
        <v/>
      </c>
      <c r="F29" s="123" t="str">
        <f>IF(MAESTRO!B29="","",IFERROR(TRUNC(AVERAGE(C29,D29,E29),1),""))</f>
        <v/>
      </c>
      <c r="G29" s="122" t="str">
        <f>IF(MAESTRO!B29="","",IFERROR('PROM (Agropecuaria 7°)'!AE29,""))</f>
        <v/>
      </c>
      <c r="H29" s="122" t="str">
        <f>IF(MAESTRO!B29="","",IFERROR('PROM (Agropecuaria 7°)'!BM29,""))</f>
        <v/>
      </c>
      <c r="I29" s="122" t="str">
        <f>IF(MAESTRO!B29="","",IFERROR('PROM (Agropecuaria 7°)'!CU29,""))</f>
        <v/>
      </c>
      <c r="J29" s="123" t="str">
        <f>IF(MAESTRO!B29="","",IFERROR(TRUNC(AVERAGE(G29,H29,I29),1),""))</f>
        <v/>
      </c>
      <c r="K29" s="122" t="str">
        <f>IF(MAESTRO!B29="","",IFERROR('PROM (Hogar y Desarrollo 7°)'!AE29,""))</f>
        <v/>
      </c>
      <c r="L29" s="122" t="str">
        <f>IF(MAESTRO!B29="","",IFERROR('PROM (Hogar y Desarrollo 7°)'!BM29,""))</f>
        <v/>
      </c>
      <c r="M29" s="122" t="str">
        <f>IF(MAESTRO!B29="","",IFERROR('PROM (Hogar y Desarrollo 7°)'!CU29,""))</f>
        <v/>
      </c>
      <c r="N29" s="123" t="str">
        <f>IF(MAESTRO!B29="","",IFERROR(TRUNC(AVERAGE(K29,L29,M29),1),""))</f>
        <v/>
      </c>
      <c r="O29" s="124" t="str">
        <f>IF(MAESTRO!B29="","",IFERROR(AVERAGE(G29,K29),""))</f>
        <v/>
      </c>
      <c r="P29" s="124" t="str">
        <f>IF(MAESTRO!B29="","",IFERROR(AVERAGE(H29,L29),""))</f>
        <v/>
      </c>
      <c r="Q29" s="124" t="str">
        <f>IF(MAESTRO!B29="","",IFERROR(AVERAGE(I29,M29),""))</f>
        <v/>
      </c>
      <c r="R29" s="124" t="str">
        <f>IF(MAESTRO!B29="","",IFERROR(TRUNC(AVERAGE(O29,P29,Q29),1),""))</f>
        <v/>
      </c>
      <c r="S29" s="123" t="str">
        <f>IF(MAESTRO!B29="","",IF(AND(F29="",J29="",N29="",R29=""),"",IF(Y(OR(F29="",F29&gt;=3),OR(J29="",J29&gt;=3),OR(N29="",N29&gt;=3),OR(R29="",R29&gt;=3)),"✓ APROBADO","✗ REPROBADO")))</f>
        <v/>
      </c>
    </row>
    <row r="30" spans="1:19" ht="16.05" customHeight="1">
      <c r="A30" s="116">
        <v>26</v>
      </c>
      <c r="B30" s="117">
        <f>MAESTRO!B30</f>
        <v>0</v>
      </c>
      <c r="C30" s="125" t="str">
        <f>IF(MAESTRO!B30="","",IFERROR('PROM (Ingles 7°)'!AE30,""))</f>
        <v/>
      </c>
      <c r="D30" s="125" t="str">
        <f>IF(MAESTRO!B30="","",IFERROR('PROM (Ingles 7°)'!BM30,""))</f>
        <v/>
      </c>
      <c r="E30" s="125" t="str">
        <f>IF(MAESTRO!B30="","",IFERROR('PROM (Ingles 7°)'!CU30,""))</f>
        <v/>
      </c>
      <c r="F30" s="126" t="str">
        <f>IF(MAESTRO!B30="","",IFERROR(TRUNC(AVERAGE(C30,D30,E30),1),""))</f>
        <v/>
      </c>
      <c r="G30" s="125" t="str">
        <f>IF(MAESTRO!B30="","",IFERROR('PROM (Agropecuaria 7°)'!AE30,""))</f>
        <v/>
      </c>
      <c r="H30" s="125" t="str">
        <f>IF(MAESTRO!B30="","",IFERROR('PROM (Agropecuaria 7°)'!BM30,""))</f>
        <v/>
      </c>
      <c r="I30" s="125" t="str">
        <f>IF(MAESTRO!B30="","",IFERROR('PROM (Agropecuaria 7°)'!CU30,""))</f>
        <v/>
      </c>
      <c r="J30" s="126" t="str">
        <f>IF(MAESTRO!B30="","",IFERROR(TRUNC(AVERAGE(G30,H30,I30),1),""))</f>
        <v/>
      </c>
      <c r="K30" s="125" t="str">
        <f>IF(MAESTRO!B30="","",IFERROR('PROM (Hogar y Desarrollo 7°)'!AE30,""))</f>
        <v/>
      </c>
      <c r="L30" s="125" t="str">
        <f>IF(MAESTRO!B30="","",IFERROR('PROM (Hogar y Desarrollo 7°)'!BM30,""))</f>
        <v/>
      </c>
      <c r="M30" s="125" t="str">
        <f>IF(MAESTRO!B30="","",IFERROR('PROM (Hogar y Desarrollo 7°)'!CU30,""))</f>
        <v/>
      </c>
      <c r="N30" s="126" t="str">
        <f>IF(MAESTRO!B30="","",IFERROR(TRUNC(AVERAGE(K30,L30,M30),1),""))</f>
        <v/>
      </c>
      <c r="O30" s="124" t="str">
        <f>IF(MAESTRO!B30="","",IFERROR(AVERAGE(G30,K30),""))</f>
        <v/>
      </c>
      <c r="P30" s="124" t="str">
        <f>IF(MAESTRO!B30="","",IFERROR(AVERAGE(H30,L30),""))</f>
        <v/>
      </c>
      <c r="Q30" s="124" t="str">
        <f>IF(MAESTRO!B30="","",IFERROR(AVERAGE(I30,M30),""))</f>
        <v/>
      </c>
      <c r="R30" s="124" t="str">
        <f>IF(MAESTRO!B30="","",IFERROR(TRUNC(AVERAGE(O30,P30,Q30),1),""))</f>
        <v/>
      </c>
      <c r="S30" s="126" t="str">
        <f>IF(MAESTRO!B30="","",IF(AND(F30="",J30="",N30="",R30=""),"",IF(Y(OR(F30="",F30&gt;=3),OR(J30="",J30&gt;=3),OR(N30="",N30&gt;=3),OR(R30="",R30&gt;=3)),"✓ APROBADO","✗ REPROBADO")))</f>
        <v/>
      </c>
    </row>
    <row r="31" spans="1:19" ht="16.05" customHeight="1">
      <c r="A31" s="118">
        <v>27</v>
      </c>
      <c r="B31" s="119">
        <f>MAESTRO!B31</f>
        <v>0</v>
      </c>
      <c r="C31" s="122" t="str">
        <f>IF(MAESTRO!B31="","",IFERROR('PROM (Ingles 7°)'!AE31,""))</f>
        <v/>
      </c>
      <c r="D31" s="122" t="str">
        <f>IF(MAESTRO!B31="","",IFERROR('PROM (Ingles 7°)'!BM31,""))</f>
        <v/>
      </c>
      <c r="E31" s="122" t="str">
        <f>IF(MAESTRO!B31="","",IFERROR('PROM (Ingles 7°)'!CU31,""))</f>
        <v/>
      </c>
      <c r="F31" s="123" t="str">
        <f>IF(MAESTRO!B31="","",IFERROR(TRUNC(AVERAGE(C31,D31,E31),1),""))</f>
        <v/>
      </c>
      <c r="G31" s="122" t="str">
        <f>IF(MAESTRO!B31="","",IFERROR('PROM (Agropecuaria 7°)'!AE31,""))</f>
        <v/>
      </c>
      <c r="H31" s="122" t="str">
        <f>IF(MAESTRO!B31="","",IFERROR('PROM (Agropecuaria 7°)'!BM31,""))</f>
        <v/>
      </c>
      <c r="I31" s="122" t="str">
        <f>IF(MAESTRO!B31="","",IFERROR('PROM (Agropecuaria 7°)'!CU31,""))</f>
        <v/>
      </c>
      <c r="J31" s="123" t="str">
        <f>IF(MAESTRO!B31="","",IFERROR(TRUNC(AVERAGE(G31,H31,I31),1),""))</f>
        <v/>
      </c>
      <c r="K31" s="122" t="str">
        <f>IF(MAESTRO!B31="","",IFERROR('PROM (Hogar y Desarrollo 7°)'!AE31,""))</f>
        <v/>
      </c>
      <c r="L31" s="122" t="str">
        <f>IF(MAESTRO!B31="","",IFERROR('PROM (Hogar y Desarrollo 7°)'!BM31,""))</f>
        <v/>
      </c>
      <c r="M31" s="122" t="str">
        <f>IF(MAESTRO!B31="","",IFERROR('PROM (Hogar y Desarrollo 7°)'!CU31,""))</f>
        <v/>
      </c>
      <c r="N31" s="123" t="str">
        <f>IF(MAESTRO!B31="","",IFERROR(TRUNC(AVERAGE(K31,L31,M31),1),""))</f>
        <v/>
      </c>
      <c r="O31" s="124" t="str">
        <f>IF(MAESTRO!B31="","",IFERROR(AVERAGE(G31,K31),""))</f>
        <v/>
      </c>
      <c r="P31" s="124" t="str">
        <f>IF(MAESTRO!B31="","",IFERROR(AVERAGE(H31,L31),""))</f>
        <v/>
      </c>
      <c r="Q31" s="124" t="str">
        <f>IF(MAESTRO!B31="","",IFERROR(AVERAGE(I31,M31),""))</f>
        <v/>
      </c>
      <c r="R31" s="124" t="str">
        <f>IF(MAESTRO!B31="","",IFERROR(TRUNC(AVERAGE(O31,P31,Q31),1),""))</f>
        <v/>
      </c>
      <c r="S31" s="123" t="str">
        <f>IF(MAESTRO!B31="","",IF(AND(F31="",J31="",N31="",R31=""),"",IF(Y(OR(F31="",F31&gt;=3),OR(J31="",J31&gt;=3),OR(N31="",N31&gt;=3),OR(R31="",R31&gt;=3)),"✓ APROBADO","✗ REPROBADO")))</f>
        <v/>
      </c>
    </row>
    <row r="32" spans="1:19" ht="16.05" customHeight="1">
      <c r="A32" s="116">
        <v>28</v>
      </c>
      <c r="B32" s="117">
        <f>MAESTRO!B32</f>
        <v>0</v>
      </c>
      <c r="C32" s="125" t="str">
        <f>IF(MAESTRO!B32="","",IFERROR('PROM (Ingles 7°)'!AE32,""))</f>
        <v/>
      </c>
      <c r="D32" s="125" t="str">
        <f>IF(MAESTRO!B32="","",IFERROR('PROM (Ingles 7°)'!BM32,""))</f>
        <v/>
      </c>
      <c r="E32" s="125" t="str">
        <f>IF(MAESTRO!B32="","",IFERROR('PROM (Ingles 7°)'!CU32,""))</f>
        <v/>
      </c>
      <c r="F32" s="126" t="str">
        <f>IF(MAESTRO!B32="","",IFERROR(TRUNC(AVERAGE(C32,D32,E32),1),""))</f>
        <v/>
      </c>
      <c r="G32" s="125" t="str">
        <f>IF(MAESTRO!B32="","",IFERROR('PROM (Agropecuaria 7°)'!AE32,""))</f>
        <v/>
      </c>
      <c r="H32" s="125" t="str">
        <f>IF(MAESTRO!B32="","",IFERROR('PROM (Agropecuaria 7°)'!BM32,""))</f>
        <v/>
      </c>
      <c r="I32" s="125" t="str">
        <f>IF(MAESTRO!B32="","",IFERROR('PROM (Agropecuaria 7°)'!CU32,""))</f>
        <v/>
      </c>
      <c r="J32" s="126" t="str">
        <f>IF(MAESTRO!B32="","",IFERROR(TRUNC(AVERAGE(G32,H32,I32),1),""))</f>
        <v/>
      </c>
      <c r="K32" s="125" t="str">
        <f>IF(MAESTRO!B32="","",IFERROR('PROM (Hogar y Desarrollo 7°)'!AE32,""))</f>
        <v/>
      </c>
      <c r="L32" s="125" t="str">
        <f>IF(MAESTRO!B32="","",IFERROR('PROM (Hogar y Desarrollo 7°)'!BM32,""))</f>
        <v/>
      </c>
      <c r="M32" s="125" t="str">
        <f>IF(MAESTRO!B32="","",IFERROR('PROM (Hogar y Desarrollo 7°)'!CU32,""))</f>
        <v/>
      </c>
      <c r="N32" s="126" t="str">
        <f>IF(MAESTRO!B32="","",IFERROR(TRUNC(AVERAGE(K32,L32,M32),1),""))</f>
        <v/>
      </c>
      <c r="O32" s="124" t="str">
        <f>IF(MAESTRO!B32="","",IFERROR(AVERAGE(G32,K32),""))</f>
        <v/>
      </c>
      <c r="P32" s="124" t="str">
        <f>IF(MAESTRO!B32="","",IFERROR(AVERAGE(H32,L32),""))</f>
        <v/>
      </c>
      <c r="Q32" s="124" t="str">
        <f>IF(MAESTRO!B32="","",IFERROR(AVERAGE(I32,M32),""))</f>
        <v/>
      </c>
      <c r="R32" s="124" t="str">
        <f>IF(MAESTRO!B32="","",IFERROR(TRUNC(AVERAGE(O32,P32,Q32),1),""))</f>
        <v/>
      </c>
      <c r="S32" s="126" t="str">
        <f>IF(MAESTRO!B32="","",IF(AND(F32="",J32="",N32="",R32=""),"",IF(Y(OR(F32="",F32&gt;=3),OR(J32="",J32&gt;=3),OR(N32="",N32&gt;=3),OR(R32="",R32&gt;=3)),"✓ APROBADO","✗ REPROBADO")))</f>
        <v/>
      </c>
    </row>
    <row r="33" spans="1:19" ht="16.05" customHeight="1">
      <c r="A33" s="118">
        <v>29</v>
      </c>
      <c r="B33" s="119">
        <f>MAESTRO!B33</f>
        <v>0</v>
      </c>
      <c r="C33" s="122" t="str">
        <f>IF(MAESTRO!B33="","",IFERROR('PROM (Ingles 7°)'!AE33,""))</f>
        <v/>
      </c>
      <c r="D33" s="122" t="str">
        <f>IF(MAESTRO!B33="","",IFERROR('PROM (Ingles 7°)'!BM33,""))</f>
        <v/>
      </c>
      <c r="E33" s="122" t="str">
        <f>IF(MAESTRO!B33="","",IFERROR('PROM (Ingles 7°)'!CU33,""))</f>
        <v/>
      </c>
      <c r="F33" s="123" t="str">
        <f>IF(MAESTRO!B33="","",IFERROR(TRUNC(AVERAGE(C33,D33,E33),1),""))</f>
        <v/>
      </c>
      <c r="G33" s="122" t="str">
        <f>IF(MAESTRO!B33="","",IFERROR('PROM (Agropecuaria 7°)'!AE33,""))</f>
        <v/>
      </c>
      <c r="H33" s="122" t="str">
        <f>IF(MAESTRO!B33="","",IFERROR('PROM (Agropecuaria 7°)'!BM33,""))</f>
        <v/>
      </c>
      <c r="I33" s="122" t="str">
        <f>IF(MAESTRO!B33="","",IFERROR('PROM (Agropecuaria 7°)'!CU33,""))</f>
        <v/>
      </c>
      <c r="J33" s="123" t="str">
        <f>IF(MAESTRO!B33="","",IFERROR(TRUNC(AVERAGE(G33,H33,I33),1),""))</f>
        <v/>
      </c>
      <c r="K33" s="122" t="str">
        <f>IF(MAESTRO!B33="","",IFERROR('PROM (Hogar y Desarrollo 7°)'!AE33,""))</f>
        <v/>
      </c>
      <c r="L33" s="122" t="str">
        <f>IF(MAESTRO!B33="","",IFERROR('PROM (Hogar y Desarrollo 7°)'!BM33,""))</f>
        <v/>
      </c>
      <c r="M33" s="122" t="str">
        <f>IF(MAESTRO!B33="","",IFERROR('PROM (Hogar y Desarrollo 7°)'!CU33,""))</f>
        <v/>
      </c>
      <c r="N33" s="123" t="str">
        <f>IF(MAESTRO!B33="","",IFERROR(TRUNC(AVERAGE(K33,L33,M33),1),""))</f>
        <v/>
      </c>
      <c r="O33" s="124" t="str">
        <f>IF(MAESTRO!B33="","",IFERROR(AVERAGE(G33,K33),""))</f>
        <v/>
      </c>
      <c r="P33" s="124" t="str">
        <f>IF(MAESTRO!B33="","",IFERROR(AVERAGE(H33,L33),""))</f>
        <v/>
      </c>
      <c r="Q33" s="124" t="str">
        <f>IF(MAESTRO!B33="","",IFERROR(AVERAGE(I33,M33),""))</f>
        <v/>
      </c>
      <c r="R33" s="124" t="str">
        <f>IF(MAESTRO!B33="","",IFERROR(TRUNC(AVERAGE(O33,P33,Q33),1),""))</f>
        <v/>
      </c>
      <c r="S33" s="123" t="str">
        <f>IF(MAESTRO!B33="","",IF(AND(F33="",J33="",N33="",R33=""),"",IF(Y(OR(F33="",F33&gt;=3),OR(J33="",J33&gt;=3),OR(N33="",N33&gt;=3),OR(R33="",R33&gt;=3)),"✓ APROBADO","✗ REPROBADO")))</f>
        <v/>
      </c>
    </row>
    <row r="34" spans="1:19" ht="16.05" customHeight="1">
      <c r="A34" s="116">
        <v>30</v>
      </c>
      <c r="B34" s="117">
        <f>MAESTRO!B34</f>
        <v>0</v>
      </c>
      <c r="C34" s="125" t="str">
        <f>IF(MAESTRO!B34="","",IFERROR('PROM (Ingles 7°)'!AE34,""))</f>
        <v/>
      </c>
      <c r="D34" s="125" t="str">
        <f>IF(MAESTRO!B34="","",IFERROR('PROM (Ingles 7°)'!BM34,""))</f>
        <v/>
      </c>
      <c r="E34" s="125" t="str">
        <f>IF(MAESTRO!B34="","",IFERROR('PROM (Ingles 7°)'!CU34,""))</f>
        <v/>
      </c>
      <c r="F34" s="126" t="str">
        <f>IF(MAESTRO!B34="","",IFERROR(TRUNC(AVERAGE(C34,D34,E34),1),""))</f>
        <v/>
      </c>
      <c r="G34" s="125" t="str">
        <f>IF(MAESTRO!B34="","",IFERROR('PROM (Agropecuaria 7°)'!AE34,""))</f>
        <v/>
      </c>
      <c r="H34" s="125" t="str">
        <f>IF(MAESTRO!B34="","",IFERROR('PROM (Agropecuaria 7°)'!BM34,""))</f>
        <v/>
      </c>
      <c r="I34" s="125" t="str">
        <f>IF(MAESTRO!B34="","",IFERROR('PROM (Agropecuaria 7°)'!CU34,""))</f>
        <v/>
      </c>
      <c r="J34" s="126" t="str">
        <f>IF(MAESTRO!B34="","",IFERROR(TRUNC(AVERAGE(G34,H34,I34),1),""))</f>
        <v/>
      </c>
      <c r="K34" s="125" t="str">
        <f>IF(MAESTRO!B34="","",IFERROR('PROM (Hogar y Desarrollo 7°)'!AE34,""))</f>
        <v/>
      </c>
      <c r="L34" s="125" t="str">
        <f>IF(MAESTRO!B34="","",IFERROR('PROM (Hogar y Desarrollo 7°)'!BM34,""))</f>
        <v/>
      </c>
      <c r="M34" s="125" t="str">
        <f>IF(MAESTRO!B34="","",IFERROR('PROM (Hogar y Desarrollo 7°)'!CU34,""))</f>
        <v/>
      </c>
      <c r="N34" s="126" t="str">
        <f>IF(MAESTRO!B34="","",IFERROR(TRUNC(AVERAGE(K34,L34,M34),1),""))</f>
        <v/>
      </c>
      <c r="O34" s="124" t="str">
        <f>IF(MAESTRO!B34="","",IFERROR(AVERAGE(G34,K34),""))</f>
        <v/>
      </c>
      <c r="P34" s="124" t="str">
        <f>IF(MAESTRO!B34="","",IFERROR(AVERAGE(H34,L34),""))</f>
        <v/>
      </c>
      <c r="Q34" s="124" t="str">
        <f>IF(MAESTRO!B34="","",IFERROR(AVERAGE(I34,M34),""))</f>
        <v/>
      </c>
      <c r="R34" s="124" t="str">
        <f>IF(MAESTRO!B34="","",IFERROR(TRUNC(AVERAGE(O34,P34,Q34),1),""))</f>
        <v/>
      </c>
      <c r="S34" s="126" t="str">
        <f>IF(MAESTRO!B34="","",IF(AND(F34="",J34="",N34="",R34=""),"",IF(Y(OR(F34="",F34&gt;=3),OR(J34="",J34&gt;=3),OR(N34="",N34&gt;=3),OR(R34="",R34&gt;=3)),"✓ APROBADO","✗ REPROBADO")))</f>
        <v/>
      </c>
    </row>
    <row r="35" spans="1:19" ht="16.05" customHeight="1">
      <c r="A35" s="118">
        <v>31</v>
      </c>
      <c r="B35" s="119">
        <f>MAESTRO!B35</f>
        <v>0</v>
      </c>
      <c r="C35" s="122" t="str">
        <f>IF(MAESTRO!B35="","",IFERROR('PROM (Ingles 7°)'!AE35,""))</f>
        <v/>
      </c>
      <c r="D35" s="122" t="str">
        <f>IF(MAESTRO!B35="","",IFERROR('PROM (Ingles 7°)'!BM35,""))</f>
        <v/>
      </c>
      <c r="E35" s="122" t="str">
        <f>IF(MAESTRO!B35="","",IFERROR('PROM (Ingles 7°)'!CU35,""))</f>
        <v/>
      </c>
      <c r="F35" s="123" t="str">
        <f>IF(MAESTRO!B35="","",IFERROR(TRUNC(AVERAGE(C35,D35,E35),1),""))</f>
        <v/>
      </c>
      <c r="G35" s="122" t="str">
        <f>IF(MAESTRO!B35="","",IFERROR('PROM (Agropecuaria 7°)'!AE35,""))</f>
        <v/>
      </c>
      <c r="H35" s="122" t="str">
        <f>IF(MAESTRO!B35="","",IFERROR('PROM (Agropecuaria 7°)'!BM35,""))</f>
        <v/>
      </c>
      <c r="I35" s="122" t="str">
        <f>IF(MAESTRO!B35="","",IFERROR('PROM (Agropecuaria 7°)'!CU35,""))</f>
        <v/>
      </c>
      <c r="J35" s="123" t="str">
        <f>IF(MAESTRO!B35="","",IFERROR(TRUNC(AVERAGE(G35,H35,I35),1),""))</f>
        <v/>
      </c>
      <c r="K35" s="122" t="str">
        <f>IF(MAESTRO!B35="","",IFERROR('PROM (Hogar y Desarrollo 7°)'!AE35,""))</f>
        <v/>
      </c>
      <c r="L35" s="122" t="str">
        <f>IF(MAESTRO!B35="","",IFERROR('PROM (Hogar y Desarrollo 7°)'!BM35,""))</f>
        <v/>
      </c>
      <c r="M35" s="122" t="str">
        <f>IF(MAESTRO!B35="","",IFERROR('PROM (Hogar y Desarrollo 7°)'!CU35,""))</f>
        <v/>
      </c>
      <c r="N35" s="123" t="str">
        <f>IF(MAESTRO!B35="","",IFERROR(TRUNC(AVERAGE(K35,L35,M35),1),""))</f>
        <v/>
      </c>
      <c r="O35" s="124" t="str">
        <f>IF(MAESTRO!B35="","",IFERROR(AVERAGE(G35,K35),""))</f>
        <v/>
      </c>
      <c r="P35" s="124" t="str">
        <f>IF(MAESTRO!B35="","",IFERROR(AVERAGE(H35,L35),""))</f>
        <v/>
      </c>
      <c r="Q35" s="124" t="str">
        <f>IF(MAESTRO!B35="","",IFERROR(AVERAGE(I35,M35),""))</f>
        <v/>
      </c>
      <c r="R35" s="124" t="str">
        <f>IF(MAESTRO!B35="","",IFERROR(TRUNC(AVERAGE(O35,P35,Q35),1),""))</f>
        <v/>
      </c>
      <c r="S35" s="123" t="str">
        <f>IF(MAESTRO!B35="","",IF(AND(F35="",J35="",N35="",R35=""),"",IF(Y(OR(F35="",F35&gt;=3),OR(J35="",J35&gt;=3),OR(N35="",N35&gt;=3),OR(R35="",R35&gt;=3)),"✓ APROBADO","✗ REPROBADO")))</f>
        <v/>
      </c>
    </row>
    <row r="36" spans="1:19" ht="16.05" customHeight="1">
      <c r="A36" s="116">
        <v>32</v>
      </c>
      <c r="B36" s="117">
        <f>MAESTRO!B36</f>
        <v>0</v>
      </c>
      <c r="C36" s="125" t="str">
        <f>IF(MAESTRO!B36="","",IFERROR('PROM (Ingles 7°)'!AE36,""))</f>
        <v/>
      </c>
      <c r="D36" s="125" t="str">
        <f>IF(MAESTRO!B36="","",IFERROR('PROM (Ingles 7°)'!BM36,""))</f>
        <v/>
      </c>
      <c r="E36" s="125" t="str">
        <f>IF(MAESTRO!B36="","",IFERROR('PROM (Ingles 7°)'!CU36,""))</f>
        <v/>
      </c>
      <c r="F36" s="126" t="str">
        <f>IF(MAESTRO!B36="","",IFERROR(TRUNC(AVERAGE(C36,D36,E36),1),""))</f>
        <v/>
      </c>
      <c r="G36" s="125" t="str">
        <f>IF(MAESTRO!B36="","",IFERROR('PROM (Agropecuaria 7°)'!AE36,""))</f>
        <v/>
      </c>
      <c r="H36" s="125" t="str">
        <f>IF(MAESTRO!B36="","",IFERROR('PROM (Agropecuaria 7°)'!BM36,""))</f>
        <v/>
      </c>
      <c r="I36" s="125" t="str">
        <f>IF(MAESTRO!B36="","",IFERROR('PROM (Agropecuaria 7°)'!CU36,""))</f>
        <v/>
      </c>
      <c r="J36" s="126" t="str">
        <f>IF(MAESTRO!B36="","",IFERROR(TRUNC(AVERAGE(G36,H36,I36),1),""))</f>
        <v/>
      </c>
      <c r="K36" s="125" t="str">
        <f>IF(MAESTRO!B36="","",IFERROR('PROM (Hogar y Desarrollo 7°)'!AE36,""))</f>
        <v/>
      </c>
      <c r="L36" s="125" t="str">
        <f>IF(MAESTRO!B36="","",IFERROR('PROM (Hogar y Desarrollo 7°)'!BM36,""))</f>
        <v/>
      </c>
      <c r="M36" s="125" t="str">
        <f>IF(MAESTRO!B36="","",IFERROR('PROM (Hogar y Desarrollo 7°)'!CU36,""))</f>
        <v/>
      </c>
      <c r="N36" s="126" t="str">
        <f>IF(MAESTRO!B36="","",IFERROR(TRUNC(AVERAGE(K36,L36,M36),1),""))</f>
        <v/>
      </c>
      <c r="O36" s="124" t="str">
        <f>IF(MAESTRO!B36="","",IFERROR(AVERAGE(G36,K36),""))</f>
        <v/>
      </c>
      <c r="P36" s="124" t="str">
        <f>IF(MAESTRO!B36="","",IFERROR(AVERAGE(H36,L36),""))</f>
        <v/>
      </c>
      <c r="Q36" s="124" t="str">
        <f>IF(MAESTRO!B36="","",IFERROR(AVERAGE(I36,M36),""))</f>
        <v/>
      </c>
      <c r="R36" s="124" t="str">
        <f>IF(MAESTRO!B36="","",IFERROR(TRUNC(AVERAGE(O36,P36,Q36),1),""))</f>
        <v/>
      </c>
      <c r="S36" s="126" t="str">
        <f>IF(MAESTRO!B36="","",IF(AND(F36="",J36="",N36="",R36=""),"",IF(Y(OR(F36="",F36&gt;=3),OR(J36="",J36&gt;=3),OR(N36="",N36&gt;=3),OR(R36="",R36&gt;=3)),"✓ APROBADO","✗ REPROBADO")))</f>
        <v/>
      </c>
    </row>
    <row r="37" spans="1:19" ht="16.05" customHeight="1">
      <c r="A37" s="118">
        <v>33</v>
      </c>
      <c r="B37" s="119">
        <f>MAESTRO!B37</f>
        <v>0</v>
      </c>
      <c r="C37" s="122" t="str">
        <f>IF(MAESTRO!B37="","",IFERROR('PROM (Ingles 7°)'!AE37,""))</f>
        <v/>
      </c>
      <c r="D37" s="122" t="str">
        <f>IF(MAESTRO!B37="","",IFERROR('PROM (Ingles 7°)'!BM37,""))</f>
        <v/>
      </c>
      <c r="E37" s="122" t="str">
        <f>IF(MAESTRO!B37="","",IFERROR('PROM (Ingles 7°)'!CU37,""))</f>
        <v/>
      </c>
      <c r="F37" s="123" t="str">
        <f>IF(MAESTRO!B37="","",IFERROR(TRUNC(AVERAGE(C37,D37,E37),1),""))</f>
        <v/>
      </c>
      <c r="G37" s="122" t="str">
        <f>IF(MAESTRO!B37="","",IFERROR('PROM (Agropecuaria 7°)'!AE37,""))</f>
        <v/>
      </c>
      <c r="H37" s="122" t="str">
        <f>IF(MAESTRO!B37="","",IFERROR('PROM (Agropecuaria 7°)'!BM37,""))</f>
        <v/>
      </c>
      <c r="I37" s="122" t="str">
        <f>IF(MAESTRO!B37="","",IFERROR('PROM (Agropecuaria 7°)'!CU37,""))</f>
        <v/>
      </c>
      <c r="J37" s="123" t="str">
        <f>IF(MAESTRO!B37="","",IFERROR(TRUNC(AVERAGE(G37,H37,I37),1),""))</f>
        <v/>
      </c>
      <c r="K37" s="122" t="str">
        <f>IF(MAESTRO!B37="","",IFERROR('PROM (Hogar y Desarrollo 7°)'!AE37,""))</f>
        <v/>
      </c>
      <c r="L37" s="122" t="str">
        <f>IF(MAESTRO!B37="","",IFERROR('PROM (Hogar y Desarrollo 7°)'!BM37,""))</f>
        <v/>
      </c>
      <c r="M37" s="122" t="str">
        <f>IF(MAESTRO!B37="","",IFERROR('PROM (Hogar y Desarrollo 7°)'!CU37,""))</f>
        <v/>
      </c>
      <c r="N37" s="123" t="str">
        <f>IF(MAESTRO!B37="","",IFERROR(TRUNC(AVERAGE(K37,L37,M37),1),""))</f>
        <v/>
      </c>
      <c r="O37" s="124" t="str">
        <f>IF(MAESTRO!B37="","",IFERROR(AVERAGE(G37,K37),""))</f>
        <v/>
      </c>
      <c r="P37" s="124" t="str">
        <f>IF(MAESTRO!B37="","",IFERROR(AVERAGE(H37,L37),""))</f>
        <v/>
      </c>
      <c r="Q37" s="124" t="str">
        <f>IF(MAESTRO!B37="","",IFERROR(AVERAGE(I37,M37),""))</f>
        <v/>
      </c>
      <c r="R37" s="124" t="str">
        <f>IF(MAESTRO!B37="","",IFERROR(TRUNC(AVERAGE(O37,P37,Q37),1),""))</f>
        <v/>
      </c>
      <c r="S37" s="123" t="str">
        <f>IF(MAESTRO!B37="","",IF(AND(F37="",J37="",N37="",R37=""),"",IF(Y(OR(F37="",F37&gt;=3),OR(J37="",J37&gt;=3),OR(N37="",N37&gt;=3),OR(R37="",R37&gt;=3)),"✓ APROBADO","✗ REPROBADO")))</f>
        <v/>
      </c>
    </row>
    <row r="38" spans="1:19" ht="16.05" customHeight="1">
      <c r="A38" s="116">
        <v>34</v>
      </c>
      <c r="B38" s="117">
        <f>MAESTRO!B38</f>
        <v>0</v>
      </c>
      <c r="C38" s="125" t="str">
        <f>IF(MAESTRO!B38="","",IFERROR('PROM (Ingles 7°)'!AE38,""))</f>
        <v/>
      </c>
      <c r="D38" s="125" t="str">
        <f>IF(MAESTRO!B38="","",IFERROR('PROM (Ingles 7°)'!BM38,""))</f>
        <v/>
      </c>
      <c r="E38" s="125" t="str">
        <f>IF(MAESTRO!B38="","",IFERROR('PROM (Ingles 7°)'!CU38,""))</f>
        <v/>
      </c>
      <c r="F38" s="126" t="str">
        <f>IF(MAESTRO!B38="","",IFERROR(TRUNC(AVERAGE(C38,D38,E38),1),""))</f>
        <v/>
      </c>
      <c r="G38" s="125" t="str">
        <f>IF(MAESTRO!B38="","",IFERROR('PROM (Agropecuaria 7°)'!AE38,""))</f>
        <v/>
      </c>
      <c r="H38" s="125" t="str">
        <f>IF(MAESTRO!B38="","",IFERROR('PROM (Agropecuaria 7°)'!BM38,""))</f>
        <v/>
      </c>
      <c r="I38" s="125" t="str">
        <f>IF(MAESTRO!B38="","",IFERROR('PROM (Agropecuaria 7°)'!CU38,""))</f>
        <v/>
      </c>
      <c r="J38" s="126" t="str">
        <f>IF(MAESTRO!B38="","",IFERROR(TRUNC(AVERAGE(G38,H38,I38),1),""))</f>
        <v/>
      </c>
      <c r="K38" s="125" t="str">
        <f>IF(MAESTRO!B38="","",IFERROR('PROM (Hogar y Desarrollo 7°)'!AE38,""))</f>
        <v/>
      </c>
      <c r="L38" s="125" t="str">
        <f>IF(MAESTRO!B38="","",IFERROR('PROM (Hogar y Desarrollo 7°)'!BM38,""))</f>
        <v/>
      </c>
      <c r="M38" s="125" t="str">
        <f>IF(MAESTRO!B38="","",IFERROR('PROM (Hogar y Desarrollo 7°)'!CU38,""))</f>
        <v/>
      </c>
      <c r="N38" s="126" t="str">
        <f>IF(MAESTRO!B38="","",IFERROR(TRUNC(AVERAGE(K38,L38,M38),1),""))</f>
        <v/>
      </c>
      <c r="O38" s="124" t="str">
        <f>IF(MAESTRO!B38="","",IFERROR(AVERAGE(G38,K38),""))</f>
        <v/>
      </c>
      <c r="P38" s="124" t="str">
        <f>IF(MAESTRO!B38="","",IFERROR(AVERAGE(H38,L38),""))</f>
        <v/>
      </c>
      <c r="Q38" s="124" t="str">
        <f>IF(MAESTRO!B38="","",IFERROR(AVERAGE(I38,M38),""))</f>
        <v/>
      </c>
      <c r="R38" s="124" t="str">
        <f>IF(MAESTRO!B38="","",IFERROR(TRUNC(AVERAGE(O38,P38,Q38),1),""))</f>
        <v/>
      </c>
      <c r="S38" s="126" t="str">
        <f>IF(MAESTRO!B38="","",IF(AND(F38="",J38="",N38="",R38=""),"",IF(Y(OR(F38="",F38&gt;=3),OR(J38="",J38&gt;=3),OR(N38="",N38&gt;=3),OR(R38="",R38&gt;=3)),"✓ APROBADO","✗ REPROBADO")))</f>
        <v/>
      </c>
    </row>
    <row r="39" spans="1:19" ht="16.05" customHeight="1">
      <c r="A39" s="118">
        <v>35</v>
      </c>
      <c r="B39" s="119">
        <f>MAESTRO!B39</f>
        <v>0</v>
      </c>
      <c r="C39" s="122" t="str">
        <f>IF(MAESTRO!B39="","",IFERROR('PROM (Ingles 7°)'!AE39,""))</f>
        <v/>
      </c>
      <c r="D39" s="122" t="str">
        <f>IF(MAESTRO!B39="","",IFERROR('PROM (Ingles 7°)'!BM39,""))</f>
        <v/>
      </c>
      <c r="E39" s="122" t="str">
        <f>IF(MAESTRO!B39="","",IFERROR('PROM (Ingles 7°)'!CU39,""))</f>
        <v/>
      </c>
      <c r="F39" s="123" t="str">
        <f>IF(MAESTRO!B39="","",IFERROR(TRUNC(AVERAGE(C39,D39,E39),1),""))</f>
        <v/>
      </c>
      <c r="G39" s="122" t="str">
        <f>IF(MAESTRO!B39="","",IFERROR('PROM (Agropecuaria 7°)'!AE39,""))</f>
        <v/>
      </c>
      <c r="H39" s="122" t="str">
        <f>IF(MAESTRO!B39="","",IFERROR('PROM (Agropecuaria 7°)'!BM39,""))</f>
        <v/>
      </c>
      <c r="I39" s="122" t="str">
        <f>IF(MAESTRO!B39="","",IFERROR('PROM (Agropecuaria 7°)'!CU39,""))</f>
        <v/>
      </c>
      <c r="J39" s="123" t="str">
        <f>IF(MAESTRO!B39="","",IFERROR(TRUNC(AVERAGE(G39,H39,I39),1),""))</f>
        <v/>
      </c>
      <c r="K39" s="122" t="str">
        <f>IF(MAESTRO!B39="","",IFERROR('PROM (Hogar y Desarrollo 7°)'!AE39,""))</f>
        <v/>
      </c>
      <c r="L39" s="122" t="str">
        <f>IF(MAESTRO!B39="","",IFERROR('PROM (Hogar y Desarrollo 7°)'!BM39,""))</f>
        <v/>
      </c>
      <c r="M39" s="122" t="str">
        <f>IF(MAESTRO!B39="","",IFERROR('PROM (Hogar y Desarrollo 7°)'!CU39,""))</f>
        <v/>
      </c>
      <c r="N39" s="123" t="str">
        <f>IF(MAESTRO!B39="","",IFERROR(TRUNC(AVERAGE(K39,L39,M39),1),""))</f>
        <v/>
      </c>
      <c r="O39" s="124" t="str">
        <f>IF(MAESTRO!B39="","",IFERROR(AVERAGE(G39,K39),""))</f>
        <v/>
      </c>
      <c r="P39" s="124" t="str">
        <f>IF(MAESTRO!B39="","",IFERROR(AVERAGE(H39,L39),""))</f>
        <v/>
      </c>
      <c r="Q39" s="124" t="str">
        <f>IF(MAESTRO!B39="","",IFERROR(AVERAGE(I39,M39),""))</f>
        <v/>
      </c>
      <c r="R39" s="124" t="str">
        <f>IF(MAESTRO!B39="","",IFERROR(TRUNC(AVERAGE(O39,P39,Q39),1),""))</f>
        <v/>
      </c>
      <c r="S39" s="123" t="str">
        <f>IF(MAESTRO!B39="","",IF(AND(F39="",J39="",N39="",R39=""),"",IF(Y(OR(F39="",F39&gt;=3),OR(J39="",J39&gt;=3),OR(N39="",N39&gt;=3),OR(R39="",R39&gt;=3)),"✓ APROBADO","✗ REPROBADO")))</f>
        <v/>
      </c>
    </row>
    <row r="40" spans="1:19" ht="16.05" customHeight="1">
      <c r="A40" s="116">
        <v>36</v>
      </c>
      <c r="B40" s="117">
        <f>MAESTRO!B40</f>
        <v>0</v>
      </c>
      <c r="C40" s="125" t="str">
        <f>IF(MAESTRO!B40="","",IFERROR('PROM (Ingles 7°)'!AE40,""))</f>
        <v/>
      </c>
      <c r="D40" s="125" t="str">
        <f>IF(MAESTRO!B40="","",IFERROR('PROM (Ingles 7°)'!BM40,""))</f>
        <v/>
      </c>
      <c r="E40" s="125" t="str">
        <f>IF(MAESTRO!B40="","",IFERROR('PROM (Ingles 7°)'!CU40,""))</f>
        <v/>
      </c>
      <c r="F40" s="126" t="str">
        <f>IF(MAESTRO!B40="","",IFERROR(TRUNC(AVERAGE(C40,D40,E40),1),""))</f>
        <v/>
      </c>
      <c r="G40" s="125" t="str">
        <f>IF(MAESTRO!B40="","",IFERROR('PROM (Agropecuaria 7°)'!AE40,""))</f>
        <v/>
      </c>
      <c r="H40" s="125" t="str">
        <f>IF(MAESTRO!B40="","",IFERROR('PROM (Agropecuaria 7°)'!BM40,""))</f>
        <v/>
      </c>
      <c r="I40" s="125" t="str">
        <f>IF(MAESTRO!B40="","",IFERROR('PROM (Agropecuaria 7°)'!CU40,""))</f>
        <v/>
      </c>
      <c r="J40" s="126" t="str">
        <f>IF(MAESTRO!B40="","",IFERROR(TRUNC(AVERAGE(G40,H40,I40),1),""))</f>
        <v/>
      </c>
      <c r="K40" s="125" t="str">
        <f>IF(MAESTRO!B40="","",IFERROR('PROM (Hogar y Desarrollo 7°)'!AE40,""))</f>
        <v/>
      </c>
      <c r="L40" s="125" t="str">
        <f>IF(MAESTRO!B40="","",IFERROR('PROM (Hogar y Desarrollo 7°)'!BM40,""))</f>
        <v/>
      </c>
      <c r="M40" s="125" t="str">
        <f>IF(MAESTRO!B40="","",IFERROR('PROM (Hogar y Desarrollo 7°)'!CU40,""))</f>
        <v/>
      </c>
      <c r="N40" s="126" t="str">
        <f>IF(MAESTRO!B40="","",IFERROR(TRUNC(AVERAGE(K40,L40,M40),1),""))</f>
        <v/>
      </c>
      <c r="O40" s="124" t="str">
        <f>IF(MAESTRO!B40="","",IFERROR(AVERAGE(G40,K40),""))</f>
        <v/>
      </c>
      <c r="P40" s="124" t="str">
        <f>IF(MAESTRO!B40="","",IFERROR(AVERAGE(H40,L40),""))</f>
        <v/>
      </c>
      <c r="Q40" s="124" t="str">
        <f>IF(MAESTRO!B40="","",IFERROR(AVERAGE(I40,M40),""))</f>
        <v/>
      </c>
      <c r="R40" s="124" t="str">
        <f>IF(MAESTRO!B40="","",IFERROR(TRUNC(AVERAGE(O40,P40,Q40),1),""))</f>
        <v/>
      </c>
      <c r="S40" s="126" t="str">
        <f>IF(MAESTRO!B40="","",IF(AND(F40="",J40="",N40="",R40=""),"",IF(Y(OR(F40="",F40&gt;=3),OR(J40="",J40&gt;=3),OR(N40="",N40&gt;=3),OR(R40="",R40&gt;=3)),"✓ APROBADO","✗ REPROBADO")))</f>
        <v/>
      </c>
    </row>
    <row r="41" spans="1:19" ht="16.05" customHeight="1">
      <c r="A41" s="118">
        <v>37</v>
      </c>
      <c r="B41" s="119">
        <f>MAESTRO!B41</f>
        <v>0</v>
      </c>
      <c r="C41" s="122" t="str">
        <f>IF(MAESTRO!B41="","",IFERROR('PROM (Ingles 7°)'!AE41,""))</f>
        <v/>
      </c>
      <c r="D41" s="122" t="str">
        <f>IF(MAESTRO!B41="","",IFERROR('PROM (Ingles 7°)'!BM41,""))</f>
        <v/>
      </c>
      <c r="E41" s="122" t="str">
        <f>IF(MAESTRO!B41="","",IFERROR('PROM (Ingles 7°)'!CU41,""))</f>
        <v/>
      </c>
      <c r="F41" s="123" t="str">
        <f>IF(MAESTRO!B41="","",IFERROR(TRUNC(AVERAGE(C41,D41,E41),1),""))</f>
        <v/>
      </c>
      <c r="G41" s="122" t="str">
        <f>IF(MAESTRO!B41="","",IFERROR('PROM (Agropecuaria 7°)'!AE41,""))</f>
        <v/>
      </c>
      <c r="H41" s="122" t="str">
        <f>IF(MAESTRO!B41="","",IFERROR('PROM (Agropecuaria 7°)'!BM41,""))</f>
        <v/>
      </c>
      <c r="I41" s="122" t="str">
        <f>IF(MAESTRO!B41="","",IFERROR('PROM (Agropecuaria 7°)'!CU41,""))</f>
        <v/>
      </c>
      <c r="J41" s="123" t="str">
        <f>IF(MAESTRO!B41="","",IFERROR(TRUNC(AVERAGE(G41,H41,I41),1),""))</f>
        <v/>
      </c>
      <c r="K41" s="122" t="str">
        <f>IF(MAESTRO!B41="","",IFERROR('PROM (Hogar y Desarrollo 7°)'!AE41,""))</f>
        <v/>
      </c>
      <c r="L41" s="122" t="str">
        <f>IF(MAESTRO!B41="","",IFERROR('PROM (Hogar y Desarrollo 7°)'!BM41,""))</f>
        <v/>
      </c>
      <c r="M41" s="122" t="str">
        <f>IF(MAESTRO!B41="","",IFERROR('PROM (Hogar y Desarrollo 7°)'!CU41,""))</f>
        <v/>
      </c>
      <c r="N41" s="123" t="str">
        <f>IF(MAESTRO!B41="","",IFERROR(TRUNC(AVERAGE(K41,L41,M41),1),""))</f>
        <v/>
      </c>
      <c r="O41" s="124" t="str">
        <f>IF(MAESTRO!B41="","",IFERROR(AVERAGE(G41,K41),""))</f>
        <v/>
      </c>
      <c r="P41" s="124" t="str">
        <f>IF(MAESTRO!B41="","",IFERROR(AVERAGE(H41,L41),""))</f>
        <v/>
      </c>
      <c r="Q41" s="124" t="str">
        <f>IF(MAESTRO!B41="","",IFERROR(AVERAGE(I41,M41),""))</f>
        <v/>
      </c>
      <c r="R41" s="124" t="str">
        <f>IF(MAESTRO!B41="","",IFERROR(TRUNC(AVERAGE(O41,P41,Q41),1),""))</f>
        <v/>
      </c>
      <c r="S41" s="123" t="str">
        <f>IF(MAESTRO!B41="","",IF(AND(F41="",J41="",N41="",R41=""),"",IF(Y(OR(F41="",F41&gt;=3),OR(J41="",J41&gt;=3),OR(N41="",N41&gt;=3),OR(R41="",R41&gt;=3)),"✓ APROBADO","✗ REPROBADO")))</f>
        <v/>
      </c>
    </row>
    <row r="42" spans="1:19" ht="16.05" customHeight="1">
      <c r="A42" s="116">
        <v>38</v>
      </c>
      <c r="B42" s="117">
        <f>MAESTRO!B42</f>
        <v>0</v>
      </c>
      <c r="C42" s="125" t="str">
        <f>IF(MAESTRO!B42="","",IFERROR('PROM (Ingles 7°)'!AE42,""))</f>
        <v/>
      </c>
      <c r="D42" s="125" t="str">
        <f>IF(MAESTRO!B42="","",IFERROR('PROM (Ingles 7°)'!BM42,""))</f>
        <v/>
      </c>
      <c r="E42" s="125" t="str">
        <f>IF(MAESTRO!B42="","",IFERROR('PROM (Ingles 7°)'!CU42,""))</f>
        <v/>
      </c>
      <c r="F42" s="126" t="str">
        <f>IF(MAESTRO!B42="","",IFERROR(TRUNC(AVERAGE(C42,D42,E42),1),""))</f>
        <v/>
      </c>
      <c r="G42" s="125" t="str">
        <f>IF(MAESTRO!B42="","",IFERROR('PROM (Agropecuaria 7°)'!AE42,""))</f>
        <v/>
      </c>
      <c r="H42" s="125" t="str">
        <f>IF(MAESTRO!B42="","",IFERROR('PROM (Agropecuaria 7°)'!BM42,""))</f>
        <v/>
      </c>
      <c r="I42" s="125" t="str">
        <f>IF(MAESTRO!B42="","",IFERROR('PROM (Agropecuaria 7°)'!CU42,""))</f>
        <v/>
      </c>
      <c r="J42" s="126" t="str">
        <f>IF(MAESTRO!B42="","",IFERROR(TRUNC(AVERAGE(G42,H42,I42),1),""))</f>
        <v/>
      </c>
      <c r="K42" s="125" t="str">
        <f>IF(MAESTRO!B42="","",IFERROR('PROM (Hogar y Desarrollo 7°)'!AE42,""))</f>
        <v/>
      </c>
      <c r="L42" s="125" t="str">
        <f>IF(MAESTRO!B42="","",IFERROR('PROM (Hogar y Desarrollo 7°)'!BM42,""))</f>
        <v/>
      </c>
      <c r="M42" s="125" t="str">
        <f>IF(MAESTRO!B42="","",IFERROR('PROM (Hogar y Desarrollo 7°)'!CU42,""))</f>
        <v/>
      </c>
      <c r="N42" s="126" t="str">
        <f>IF(MAESTRO!B42="","",IFERROR(TRUNC(AVERAGE(K42,L42,M42),1),""))</f>
        <v/>
      </c>
      <c r="O42" s="124" t="str">
        <f>IF(MAESTRO!B42="","",IFERROR(AVERAGE(G42,K42),""))</f>
        <v/>
      </c>
      <c r="P42" s="124" t="str">
        <f>IF(MAESTRO!B42="","",IFERROR(AVERAGE(H42,L42),""))</f>
        <v/>
      </c>
      <c r="Q42" s="124" t="str">
        <f>IF(MAESTRO!B42="","",IFERROR(AVERAGE(I42,M42),""))</f>
        <v/>
      </c>
      <c r="R42" s="124" t="str">
        <f>IF(MAESTRO!B42="","",IFERROR(TRUNC(AVERAGE(O42,P42,Q42),1),""))</f>
        <v/>
      </c>
      <c r="S42" s="126" t="str">
        <f>IF(MAESTRO!B42="","",IF(AND(F42="",J42="",N42="",R42=""),"",IF(Y(OR(F42="",F42&gt;=3),OR(J42="",J42&gt;=3),OR(N42="",N42&gt;=3),OR(R42="",R42&gt;=3)),"✓ APROBADO","✗ REPROBADO")))</f>
        <v/>
      </c>
    </row>
    <row r="43" spans="1:19" ht="16.05" customHeight="1">
      <c r="A43" s="118">
        <v>39</v>
      </c>
      <c r="B43" s="119">
        <f>MAESTRO!B43</f>
        <v>0</v>
      </c>
      <c r="C43" s="122" t="str">
        <f>IF(MAESTRO!B43="","",IFERROR('PROM (Ingles 7°)'!AE43,""))</f>
        <v/>
      </c>
      <c r="D43" s="122" t="str">
        <f>IF(MAESTRO!B43="","",IFERROR('PROM (Ingles 7°)'!BM43,""))</f>
        <v/>
      </c>
      <c r="E43" s="122" t="str">
        <f>IF(MAESTRO!B43="","",IFERROR('PROM (Ingles 7°)'!CU43,""))</f>
        <v/>
      </c>
      <c r="F43" s="123" t="str">
        <f>IF(MAESTRO!B43="","",IFERROR(TRUNC(AVERAGE(C43,D43,E43),1),""))</f>
        <v/>
      </c>
      <c r="G43" s="122" t="str">
        <f>IF(MAESTRO!B43="","",IFERROR('PROM (Agropecuaria 7°)'!AE43,""))</f>
        <v/>
      </c>
      <c r="H43" s="122" t="str">
        <f>IF(MAESTRO!B43="","",IFERROR('PROM (Agropecuaria 7°)'!BM43,""))</f>
        <v/>
      </c>
      <c r="I43" s="122" t="str">
        <f>IF(MAESTRO!B43="","",IFERROR('PROM (Agropecuaria 7°)'!CU43,""))</f>
        <v/>
      </c>
      <c r="J43" s="123" t="str">
        <f>IF(MAESTRO!B43="","",IFERROR(TRUNC(AVERAGE(G43,H43,I43),1),""))</f>
        <v/>
      </c>
      <c r="K43" s="122" t="str">
        <f>IF(MAESTRO!B43="","",IFERROR('PROM (Hogar y Desarrollo 7°)'!AE43,""))</f>
        <v/>
      </c>
      <c r="L43" s="122" t="str">
        <f>IF(MAESTRO!B43="","",IFERROR('PROM (Hogar y Desarrollo 7°)'!BM43,""))</f>
        <v/>
      </c>
      <c r="M43" s="122" t="str">
        <f>IF(MAESTRO!B43="","",IFERROR('PROM (Hogar y Desarrollo 7°)'!CU43,""))</f>
        <v/>
      </c>
      <c r="N43" s="123" t="str">
        <f>IF(MAESTRO!B43="","",IFERROR(TRUNC(AVERAGE(K43,L43,M43),1),""))</f>
        <v/>
      </c>
      <c r="O43" s="124" t="str">
        <f>IF(MAESTRO!B43="","",IFERROR(AVERAGE(G43,K43),""))</f>
        <v/>
      </c>
      <c r="P43" s="124" t="str">
        <f>IF(MAESTRO!B43="","",IFERROR(AVERAGE(H43,L43),""))</f>
        <v/>
      </c>
      <c r="Q43" s="124" t="str">
        <f>IF(MAESTRO!B43="","",IFERROR(AVERAGE(I43,M43),""))</f>
        <v/>
      </c>
      <c r="R43" s="124" t="str">
        <f>IF(MAESTRO!B43="","",IFERROR(TRUNC(AVERAGE(O43,P43,Q43),1),""))</f>
        <v/>
      </c>
      <c r="S43" s="123" t="str">
        <f>IF(MAESTRO!B43="","",IF(AND(F43="",J43="",N43="",R43=""),"",IF(Y(OR(F43="",F43&gt;=3),OR(J43="",J43&gt;=3),OR(N43="",N43&gt;=3),OR(R43="",R43&gt;=3)),"✓ APROBADO","✗ REPROBADO")))</f>
        <v/>
      </c>
    </row>
    <row r="44" spans="1:19" ht="16.05" customHeight="1">
      <c r="A44" s="116">
        <v>40</v>
      </c>
      <c r="B44" s="117">
        <f>MAESTRO!B44</f>
        <v>0</v>
      </c>
      <c r="C44" s="125" t="str">
        <f>IF(MAESTRO!B44="","",IFERROR('PROM (Ingles 7°)'!AE44,""))</f>
        <v/>
      </c>
      <c r="D44" s="125" t="str">
        <f>IF(MAESTRO!B44="","",IFERROR('PROM (Ingles 7°)'!BM44,""))</f>
        <v/>
      </c>
      <c r="E44" s="125" t="str">
        <f>IF(MAESTRO!B44="","",IFERROR('PROM (Ingles 7°)'!CU44,""))</f>
        <v/>
      </c>
      <c r="F44" s="126" t="str">
        <f>IF(MAESTRO!B44="","",IFERROR(TRUNC(AVERAGE(C44,D44,E44),1),""))</f>
        <v/>
      </c>
      <c r="G44" s="125" t="str">
        <f>IF(MAESTRO!B44="","",IFERROR('PROM (Agropecuaria 7°)'!AE44,""))</f>
        <v/>
      </c>
      <c r="H44" s="125" t="str">
        <f>IF(MAESTRO!B44="","",IFERROR('PROM (Agropecuaria 7°)'!BM44,""))</f>
        <v/>
      </c>
      <c r="I44" s="125" t="str">
        <f>IF(MAESTRO!B44="","",IFERROR('PROM (Agropecuaria 7°)'!CU44,""))</f>
        <v/>
      </c>
      <c r="J44" s="126" t="str">
        <f>IF(MAESTRO!B44="","",IFERROR(TRUNC(AVERAGE(G44,H44,I44),1),""))</f>
        <v/>
      </c>
      <c r="K44" s="125" t="str">
        <f>IF(MAESTRO!B44="","",IFERROR('PROM (Hogar y Desarrollo 7°)'!AE44,""))</f>
        <v/>
      </c>
      <c r="L44" s="125" t="str">
        <f>IF(MAESTRO!B44="","",IFERROR('PROM (Hogar y Desarrollo 7°)'!BM44,""))</f>
        <v/>
      </c>
      <c r="M44" s="125" t="str">
        <f>IF(MAESTRO!B44="","",IFERROR('PROM (Hogar y Desarrollo 7°)'!CU44,""))</f>
        <v/>
      </c>
      <c r="N44" s="126" t="str">
        <f>IF(MAESTRO!B44="","",IFERROR(TRUNC(AVERAGE(K44,L44,M44),1),""))</f>
        <v/>
      </c>
      <c r="O44" s="124" t="str">
        <f>IF(MAESTRO!B44="","",IFERROR(AVERAGE(G44,K44),""))</f>
        <v/>
      </c>
      <c r="P44" s="124" t="str">
        <f>IF(MAESTRO!B44="","",IFERROR(AVERAGE(H44,L44),""))</f>
        <v/>
      </c>
      <c r="Q44" s="124" t="str">
        <f>IF(MAESTRO!B44="","",IFERROR(AVERAGE(I44,M44),""))</f>
        <v/>
      </c>
      <c r="R44" s="124" t="str">
        <f>IF(MAESTRO!B44="","",IFERROR(TRUNC(AVERAGE(O44,P44,Q44),1),""))</f>
        <v/>
      </c>
      <c r="S44" s="126" t="str">
        <f>IF(MAESTRO!B44="","",IF(AND(F44="",J44="",N44="",R44=""),"",IF(Y(OR(F44="",F44&gt;=3),OR(J44="",J44&gt;=3),OR(N44="",N44&gt;=3),OR(R44="",R44&gt;=3)),"✓ APROBADO","✗ REPROBADO")))</f>
        <v/>
      </c>
    </row>
    <row r="46" spans="1:19" ht="18" customHeight="1">
      <c r="A46" s="217" t="s">
        <v>14</v>
      </c>
      <c r="B46" s="206"/>
      <c r="C46" s="127" t="str">
        <f t="shared" ref="C46:R46" si="0">IFERROR(ROUND(AVERAGEIF(C5:C44,"&lt;&gt;"&amp;""),1),"")</f>
        <v/>
      </c>
      <c r="D46" s="127" t="str">
        <f t="shared" si="0"/>
        <v/>
      </c>
      <c r="E46" s="127" t="str">
        <f t="shared" si="0"/>
        <v/>
      </c>
      <c r="F46" s="127" t="str">
        <f t="shared" si="0"/>
        <v/>
      </c>
      <c r="G46" s="127" t="str">
        <f t="shared" si="0"/>
        <v/>
      </c>
      <c r="H46" s="127" t="str">
        <f t="shared" si="0"/>
        <v/>
      </c>
      <c r="I46" s="127" t="str">
        <f t="shared" si="0"/>
        <v/>
      </c>
      <c r="J46" s="127" t="str">
        <f t="shared" si="0"/>
        <v/>
      </c>
      <c r="K46" s="127" t="str">
        <f t="shared" si="0"/>
        <v/>
      </c>
      <c r="L46" s="127" t="str">
        <f t="shared" si="0"/>
        <v/>
      </c>
      <c r="M46" s="127" t="str">
        <f t="shared" si="0"/>
        <v/>
      </c>
      <c r="N46" s="127" t="str">
        <f t="shared" si="0"/>
        <v/>
      </c>
      <c r="O46" s="127" t="str">
        <f t="shared" si="0"/>
        <v/>
      </c>
      <c r="P46" s="127" t="str">
        <f t="shared" si="0"/>
        <v/>
      </c>
      <c r="Q46" s="127" t="str">
        <f t="shared" si="0"/>
        <v/>
      </c>
      <c r="R46" s="127" t="str">
        <f t="shared" si="0"/>
        <v/>
      </c>
      <c r="S46" s="128"/>
    </row>
  </sheetData>
  <mergeCells count="10">
    <mergeCell ref="S3:S4"/>
    <mergeCell ref="A2:P2"/>
    <mergeCell ref="C3:F3"/>
    <mergeCell ref="G3:J3"/>
    <mergeCell ref="K3:N3"/>
    <mergeCell ref="A1:P1"/>
    <mergeCell ref="B3:B4"/>
    <mergeCell ref="A3:A4"/>
    <mergeCell ref="O3:R3"/>
    <mergeCell ref="A46:B46"/>
  </mergeCells>
  <conditionalFormatting sqref="C5:R44">
    <cfRule type="cellIs" dxfId="37" priority="1" operator="lessThan">
      <formula>3</formula>
    </cfRule>
    <cfRule type="cellIs" dxfId="36" priority="2" operator="between">
      <formula>3</formula>
      <formula>3.4</formula>
    </cfRule>
    <cfRule type="cellIs" dxfId="35" priority="3" operator="greaterThanOrEqual">
      <formula>4.5</formula>
    </cfRule>
  </conditionalFormatting>
  <conditionalFormatting sqref="S5:S44">
    <cfRule type="expression" dxfId="34" priority="4">
      <formula>S5="✓ APROBADO"</formula>
    </cfRule>
    <cfRule type="expression" dxfId="33" priority="5">
      <formula>S5="✗ REPROBADO"</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S46"/>
  <sheetViews>
    <sheetView workbookViewId="0">
      <pane xSplit="2" ySplit="4" topLeftCell="C5" activePane="bottomRight" state="frozen"/>
      <selection pane="topRight"/>
      <selection pane="bottomLeft"/>
      <selection pane="bottomRight" sqref="A1:P1"/>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20" t="s">
        <v>37</v>
      </c>
      <c r="B1" s="186"/>
      <c r="C1" s="186"/>
      <c r="D1" s="186"/>
      <c r="E1" s="186"/>
      <c r="F1" s="186"/>
      <c r="G1" s="186"/>
      <c r="H1" s="186"/>
      <c r="I1" s="186"/>
      <c r="J1" s="186"/>
      <c r="K1" s="186"/>
      <c r="L1" s="186"/>
      <c r="M1" s="186"/>
      <c r="N1" s="186"/>
      <c r="O1" s="186"/>
      <c r="P1" s="186"/>
    </row>
    <row r="2" spans="1:19" ht="15" customHeight="1">
      <c r="A2" s="222" t="s">
        <v>1</v>
      </c>
      <c r="B2" s="186"/>
      <c r="C2" s="186"/>
      <c r="D2" s="186"/>
      <c r="E2" s="186"/>
      <c r="F2" s="186"/>
      <c r="G2" s="186"/>
      <c r="H2" s="186"/>
      <c r="I2" s="186"/>
      <c r="J2" s="186"/>
      <c r="K2" s="186"/>
      <c r="L2" s="186"/>
      <c r="M2" s="186"/>
      <c r="N2" s="186"/>
      <c r="O2" s="186"/>
      <c r="P2" s="186"/>
    </row>
    <row r="3" spans="1:19" ht="22.05" customHeight="1">
      <c r="A3" s="221" t="s">
        <v>2</v>
      </c>
      <c r="B3" s="221" t="s">
        <v>3</v>
      </c>
      <c r="C3" s="221" t="s">
        <v>4</v>
      </c>
      <c r="D3" s="216"/>
      <c r="E3" s="216"/>
      <c r="F3" s="206"/>
      <c r="G3" s="221" t="s">
        <v>5</v>
      </c>
      <c r="H3" s="216"/>
      <c r="I3" s="216"/>
      <c r="J3" s="206"/>
      <c r="K3" s="221" t="s">
        <v>6</v>
      </c>
      <c r="L3" s="216"/>
      <c r="M3" s="216"/>
      <c r="N3" s="206"/>
      <c r="O3" s="215" t="s">
        <v>7</v>
      </c>
      <c r="P3" s="216"/>
      <c r="Q3" s="216"/>
      <c r="R3" s="206"/>
      <c r="S3" s="218" t="s">
        <v>9</v>
      </c>
    </row>
    <row r="4" spans="1:19" ht="18" customHeight="1">
      <c r="A4" s="214"/>
      <c r="B4" s="214"/>
      <c r="C4" s="114" t="s">
        <v>10</v>
      </c>
      <c r="D4" s="114" t="s">
        <v>11</v>
      </c>
      <c r="E4" s="114" t="s">
        <v>12</v>
      </c>
      <c r="F4" s="113" t="s">
        <v>13</v>
      </c>
      <c r="G4" s="114" t="s">
        <v>10</v>
      </c>
      <c r="H4" s="114" t="s">
        <v>11</v>
      </c>
      <c r="I4" s="114" t="s">
        <v>12</v>
      </c>
      <c r="J4" s="113" t="s">
        <v>13</v>
      </c>
      <c r="K4" s="114" t="s">
        <v>10</v>
      </c>
      <c r="L4" s="114" t="s">
        <v>11</v>
      </c>
      <c r="M4" s="114" t="s">
        <v>12</v>
      </c>
      <c r="N4" s="113" t="s">
        <v>13</v>
      </c>
      <c r="O4" s="121" t="s">
        <v>10</v>
      </c>
      <c r="P4" s="121" t="s">
        <v>11</v>
      </c>
      <c r="Q4" s="121" t="s">
        <v>12</v>
      </c>
      <c r="R4" s="121" t="s">
        <v>13</v>
      </c>
      <c r="S4" s="214"/>
    </row>
    <row r="5" spans="1:19" ht="16.05" customHeight="1">
      <c r="A5" s="118">
        <v>1</v>
      </c>
      <c r="B5" s="119">
        <f>MAESTRO!D5</f>
        <v>0</v>
      </c>
      <c r="C5" s="122" t="str">
        <f>IF(MAESTRO!D5="","",IFERROR('PROM (Ingles 8°)'!AE5,""))</f>
        <v/>
      </c>
      <c r="D5" s="122" t="str">
        <f>IF(MAESTRO!D5="","",IFERROR('PROM (Ingles 8°)'!BM5,""))</f>
        <v/>
      </c>
      <c r="E5" s="122" t="str">
        <f>IF(MAESTRO!D5="","",IFERROR('PROM (Ingles 8°)'!CU5,""))</f>
        <v/>
      </c>
      <c r="F5" s="123" t="str">
        <f>IF(MAESTRO!D5="","",IFERROR(TRUNC(AVERAGE(C5,D5,E5),1),""))</f>
        <v/>
      </c>
      <c r="G5" s="122" t="str">
        <f>IF(MAESTRO!D5="","",IFERROR('PROM (Agropecuaria 8°)'!AE5,""))</f>
        <v/>
      </c>
      <c r="H5" s="122" t="str">
        <f>IF(MAESTRO!D5="","",IFERROR('PROM (Agropecuaria 8°)'!BM5,""))</f>
        <v/>
      </c>
      <c r="I5" s="122" t="str">
        <f>IF(MAESTRO!D5="","",IFERROR('PROM (Agropecuaria 8°)'!CU5,""))</f>
        <v/>
      </c>
      <c r="J5" s="123" t="str">
        <f>IF(MAESTRO!D5="","",IFERROR(TRUNC(AVERAGE(G5,H5,I5),1),""))</f>
        <v/>
      </c>
      <c r="K5" s="122" t="str">
        <f>IF(MAESTRO!D5="","",IFERROR('PROM (Comercio 8°)'!AE5,""))</f>
        <v/>
      </c>
      <c r="L5" s="122" t="str">
        <f>IF(MAESTRO!D5="","",IFERROR('PROM (Comercio 8°)'!BM5,""))</f>
        <v/>
      </c>
      <c r="M5" s="122" t="str">
        <f>IF(MAESTRO!D5="","",IFERROR('PROM (Comercio 8°)'!CU5,""))</f>
        <v/>
      </c>
      <c r="N5" s="123" t="str">
        <f>IF(MAESTRO!D5="","",IFERROR(TRUNC(AVERAGE(K5,L5,M5),1),""))</f>
        <v/>
      </c>
      <c r="O5" s="124" t="str">
        <f>IF(MAESTRO!D5="","",IFERROR(AVERAGE(G5,K5),""))</f>
        <v/>
      </c>
      <c r="P5" s="124" t="str">
        <f>IF(MAESTRO!D5="","",IFERROR(AVERAGE(H5,L5),""))</f>
        <v/>
      </c>
      <c r="Q5" s="124" t="str">
        <f>IF(MAESTRO!D5="","",IFERROR(AVERAGE(I5,M5),""))</f>
        <v/>
      </c>
      <c r="R5" s="124" t="str">
        <f>IF(MAESTRO!D5="","",IFERROR(TRUNC(AVERAGE(O5,P5,Q5),1),""))</f>
        <v/>
      </c>
      <c r="S5" s="123" t="str">
        <f>IF(MAESTRO!D5="","",IF(AND(F5="",J5="",N5="",R5=""),"",IF(Y(OR(F5="",F5&gt;=3),OR(J5="",J5&gt;=3),OR(N5="",N5&gt;=3),OR(R5="",R5&gt;=3)),"✓ APROBADO","✗ REPROBADO")))</f>
        <v/>
      </c>
    </row>
    <row r="6" spans="1:19" ht="16.05" customHeight="1">
      <c r="A6" s="116">
        <v>2</v>
      </c>
      <c r="B6" s="117">
        <f>MAESTRO!D6</f>
        <v>0</v>
      </c>
      <c r="C6" s="125" t="str">
        <f>IF(MAESTRO!D6="","",IFERROR('PROM (Ingles 8°)'!AE6,""))</f>
        <v/>
      </c>
      <c r="D6" s="125" t="str">
        <f>IF(MAESTRO!D6="","",IFERROR('PROM (Ingles 8°)'!BM6,""))</f>
        <v/>
      </c>
      <c r="E6" s="125" t="str">
        <f>IF(MAESTRO!D6="","",IFERROR('PROM (Ingles 8°)'!CU6,""))</f>
        <v/>
      </c>
      <c r="F6" s="126" t="str">
        <f>IF(MAESTRO!D6="","",IFERROR(TRUNC(AVERAGE(C6,D6,E6),1),""))</f>
        <v/>
      </c>
      <c r="G6" s="125" t="str">
        <f>IF(MAESTRO!D6="","",IFERROR('PROM (Agropecuaria 8°)'!AE6,""))</f>
        <v/>
      </c>
      <c r="H6" s="125" t="str">
        <f>IF(MAESTRO!D6="","",IFERROR('PROM (Agropecuaria 8°)'!BM6,""))</f>
        <v/>
      </c>
      <c r="I6" s="125" t="str">
        <f>IF(MAESTRO!D6="","",IFERROR('PROM (Agropecuaria 8°)'!CU6,""))</f>
        <v/>
      </c>
      <c r="J6" s="126" t="str">
        <f>IF(MAESTRO!D6="","",IFERROR(TRUNC(AVERAGE(G6,H6,I6),1),""))</f>
        <v/>
      </c>
      <c r="K6" s="125" t="str">
        <f>IF(MAESTRO!D6="","",IFERROR('PROM (Comercio 8°)'!AE6,""))</f>
        <v/>
      </c>
      <c r="L6" s="125" t="str">
        <f>IF(MAESTRO!D6="","",IFERROR('PROM (Comercio 8°)'!BM6,""))</f>
        <v/>
      </c>
      <c r="M6" s="125" t="str">
        <f>IF(MAESTRO!D6="","",IFERROR('PROM (Comercio 8°)'!CU6,""))</f>
        <v/>
      </c>
      <c r="N6" s="126" t="str">
        <f>IF(MAESTRO!D6="","",IFERROR(TRUNC(AVERAGE(K6,L6,M6),1),""))</f>
        <v/>
      </c>
      <c r="O6" s="124" t="str">
        <f>IF(MAESTRO!D6="","",IFERROR(AVERAGE(G6,K6),""))</f>
        <v/>
      </c>
      <c r="P6" s="124" t="str">
        <f>IF(MAESTRO!D6="","",IFERROR(AVERAGE(H6,L6),""))</f>
        <v/>
      </c>
      <c r="Q6" s="124" t="str">
        <f>IF(MAESTRO!D6="","",IFERROR(AVERAGE(I6,M6),""))</f>
        <v/>
      </c>
      <c r="R6" s="124" t="str">
        <f>IF(MAESTRO!D6="","",IFERROR(TRUNC(AVERAGE(O6,P6,Q6),1),""))</f>
        <v/>
      </c>
      <c r="S6" s="126" t="str">
        <f>IF(MAESTRO!D6="","",IF(AND(F6="",J6="",N6="",R6=""),"",IF(Y(OR(F6="",F6&gt;=3),OR(J6="",J6&gt;=3),OR(N6="",N6&gt;=3),OR(R6="",R6&gt;=3)),"✓ APROBADO","✗ REPROBADO")))</f>
        <v/>
      </c>
    </row>
    <row r="7" spans="1:19" ht="16.05" customHeight="1">
      <c r="A7" s="118">
        <v>3</v>
      </c>
      <c r="B7" s="119">
        <f>MAESTRO!D7</f>
        <v>0</v>
      </c>
      <c r="C7" s="122" t="str">
        <f>IF(MAESTRO!D7="","",IFERROR('PROM (Ingles 8°)'!AE7,""))</f>
        <v/>
      </c>
      <c r="D7" s="122" t="str">
        <f>IF(MAESTRO!D7="","",IFERROR('PROM (Ingles 8°)'!BM7,""))</f>
        <v/>
      </c>
      <c r="E7" s="122" t="str">
        <f>IF(MAESTRO!D7="","",IFERROR('PROM (Ingles 8°)'!CU7,""))</f>
        <v/>
      </c>
      <c r="F7" s="123" t="str">
        <f>IF(MAESTRO!D7="","",IFERROR(TRUNC(AVERAGE(C7,D7,E7),1),""))</f>
        <v/>
      </c>
      <c r="G7" s="122" t="str">
        <f>IF(MAESTRO!D7="","",IFERROR('PROM (Agropecuaria 8°)'!AE7,""))</f>
        <v/>
      </c>
      <c r="H7" s="122" t="str">
        <f>IF(MAESTRO!D7="","",IFERROR('PROM (Agropecuaria 8°)'!BM7,""))</f>
        <v/>
      </c>
      <c r="I7" s="122" t="str">
        <f>IF(MAESTRO!D7="","",IFERROR('PROM (Agropecuaria 8°)'!CU7,""))</f>
        <v/>
      </c>
      <c r="J7" s="123" t="str">
        <f>IF(MAESTRO!D7="","",IFERROR(TRUNC(AVERAGE(G7,H7,I7),1),""))</f>
        <v/>
      </c>
      <c r="K7" s="122" t="str">
        <f>IF(MAESTRO!D7="","",IFERROR('PROM (Comercio 8°)'!AE7,""))</f>
        <v/>
      </c>
      <c r="L7" s="122" t="str">
        <f>IF(MAESTRO!D7="","",IFERROR('PROM (Comercio 8°)'!BM7,""))</f>
        <v/>
      </c>
      <c r="M7" s="122" t="str">
        <f>IF(MAESTRO!D7="","",IFERROR('PROM (Comercio 8°)'!CU7,""))</f>
        <v/>
      </c>
      <c r="N7" s="123" t="str">
        <f>IF(MAESTRO!D7="","",IFERROR(TRUNC(AVERAGE(K7,L7,M7),1),""))</f>
        <v/>
      </c>
      <c r="O7" s="124" t="str">
        <f>IF(MAESTRO!D7="","",IFERROR(AVERAGE(G7,K7),""))</f>
        <v/>
      </c>
      <c r="P7" s="124" t="str">
        <f>IF(MAESTRO!D7="","",IFERROR(AVERAGE(H7,L7),""))</f>
        <v/>
      </c>
      <c r="Q7" s="124" t="str">
        <f>IF(MAESTRO!D7="","",IFERROR(AVERAGE(I7,M7),""))</f>
        <v/>
      </c>
      <c r="R7" s="124" t="str">
        <f>IF(MAESTRO!D7="","",IFERROR(TRUNC(AVERAGE(O7,P7,Q7),1),""))</f>
        <v/>
      </c>
      <c r="S7" s="123" t="str">
        <f>IF(MAESTRO!D7="","",IF(AND(F7="",J7="",N7="",R7=""),"",IF(Y(OR(F7="",F7&gt;=3),OR(J7="",J7&gt;=3),OR(N7="",N7&gt;=3),OR(R7="",R7&gt;=3)),"✓ APROBADO","✗ REPROBADO")))</f>
        <v/>
      </c>
    </row>
    <row r="8" spans="1:19" ht="16.05" customHeight="1">
      <c r="A8" s="116">
        <v>4</v>
      </c>
      <c r="B8" s="117">
        <f>MAESTRO!D8</f>
        <v>0</v>
      </c>
      <c r="C8" s="125" t="str">
        <f>IF(MAESTRO!D8="","",IFERROR('PROM (Ingles 8°)'!AE8,""))</f>
        <v/>
      </c>
      <c r="D8" s="125" t="str">
        <f>IF(MAESTRO!D8="","",IFERROR('PROM (Ingles 8°)'!BM8,""))</f>
        <v/>
      </c>
      <c r="E8" s="125" t="str">
        <f>IF(MAESTRO!D8="","",IFERROR('PROM (Ingles 8°)'!CU8,""))</f>
        <v/>
      </c>
      <c r="F8" s="126" t="str">
        <f>IF(MAESTRO!D8="","",IFERROR(TRUNC(AVERAGE(C8,D8,E8),1),""))</f>
        <v/>
      </c>
      <c r="G8" s="125" t="str">
        <f>IF(MAESTRO!D8="","",IFERROR('PROM (Agropecuaria 8°)'!AE8,""))</f>
        <v/>
      </c>
      <c r="H8" s="125" t="str">
        <f>IF(MAESTRO!D8="","",IFERROR('PROM (Agropecuaria 8°)'!BM8,""))</f>
        <v/>
      </c>
      <c r="I8" s="125" t="str">
        <f>IF(MAESTRO!D8="","",IFERROR('PROM (Agropecuaria 8°)'!CU8,""))</f>
        <v/>
      </c>
      <c r="J8" s="126" t="str">
        <f>IF(MAESTRO!D8="","",IFERROR(TRUNC(AVERAGE(G8,H8,I8),1),""))</f>
        <v/>
      </c>
      <c r="K8" s="125" t="str">
        <f>IF(MAESTRO!D8="","",IFERROR('PROM (Comercio 8°)'!AE8,""))</f>
        <v/>
      </c>
      <c r="L8" s="125" t="str">
        <f>IF(MAESTRO!D8="","",IFERROR('PROM (Comercio 8°)'!BM8,""))</f>
        <v/>
      </c>
      <c r="M8" s="125" t="str">
        <f>IF(MAESTRO!D8="","",IFERROR('PROM (Comercio 8°)'!CU8,""))</f>
        <v/>
      </c>
      <c r="N8" s="126" t="str">
        <f>IF(MAESTRO!D8="","",IFERROR(TRUNC(AVERAGE(K8,L8,M8),1),""))</f>
        <v/>
      </c>
      <c r="O8" s="124" t="str">
        <f>IF(MAESTRO!D8="","",IFERROR(AVERAGE(G8,K8),""))</f>
        <v/>
      </c>
      <c r="P8" s="124" t="str">
        <f>IF(MAESTRO!D8="","",IFERROR(AVERAGE(H8,L8),""))</f>
        <v/>
      </c>
      <c r="Q8" s="124" t="str">
        <f>IF(MAESTRO!D8="","",IFERROR(AVERAGE(I8,M8),""))</f>
        <v/>
      </c>
      <c r="R8" s="124" t="str">
        <f>IF(MAESTRO!D8="","",IFERROR(TRUNC(AVERAGE(O8,P8,Q8),1),""))</f>
        <v/>
      </c>
      <c r="S8" s="126" t="str">
        <f>IF(MAESTRO!D8="","",IF(AND(F8="",J8="",N8="",R8=""),"",IF(Y(OR(F8="",F8&gt;=3),OR(J8="",J8&gt;=3),OR(N8="",N8&gt;=3),OR(R8="",R8&gt;=3)),"✓ APROBADO","✗ REPROBADO")))</f>
        <v/>
      </c>
    </row>
    <row r="9" spans="1:19" ht="16.05" customHeight="1">
      <c r="A9" s="118">
        <v>5</v>
      </c>
      <c r="B9" s="119">
        <f>MAESTRO!D9</f>
        <v>0</v>
      </c>
      <c r="C9" s="122" t="str">
        <f>IF(MAESTRO!D9="","",IFERROR('PROM (Ingles 8°)'!AE9,""))</f>
        <v/>
      </c>
      <c r="D9" s="122" t="str">
        <f>IF(MAESTRO!D9="","",IFERROR('PROM (Ingles 8°)'!BM9,""))</f>
        <v/>
      </c>
      <c r="E9" s="122" t="str">
        <f>IF(MAESTRO!D9="","",IFERROR('PROM (Ingles 8°)'!CU9,""))</f>
        <v/>
      </c>
      <c r="F9" s="123" t="str">
        <f>IF(MAESTRO!D9="","",IFERROR(TRUNC(AVERAGE(C9,D9,E9),1),""))</f>
        <v/>
      </c>
      <c r="G9" s="122" t="str">
        <f>IF(MAESTRO!D9="","",IFERROR('PROM (Agropecuaria 8°)'!AE9,""))</f>
        <v/>
      </c>
      <c r="H9" s="122" t="str">
        <f>IF(MAESTRO!D9="","",IFERROR('PROM (Agropecuaria 8°)'!BM9,""))</f>
        <v/>
      </c>
      <c r="I9" s="122" t="str">
        <f>IF(MAESTRO!D9="","",IFERROR('PROM (Agropecuaria 8°)'!CU9,""))</f>
        <v/>
      </c>
      <c r="J9" s="123" t="str">
        <f>IF(MAESTRO!D9="","",IFERROR(TRUNC(AVERAGE(G9,H9,I9),1),""))</f>
        <v/>
      </c>
      <c r="K9" s="122" t="str">
        <f>IF(MAESTRO!D9="","",IFERROR('PROM (Comercio 8°)'!AE9,""))</f>
        <v/>
      </c>
      <c r="L9" s="122" t="str">
        <f>IF(MAESTRO!D9="","",IFERROR('PROM (Comercio 8°)'!BM9,""))</f>
        <v/>
      </c>
      <c r="M9" s="122" t="str">
        <f>IF(MAESTRO!D9="","",IFERROR('PROM (Comercio 8°)'!CU9,""))</f>
        <v/>
      </c>
      <c r="N9" s="123" t="str">
        <f>IF(MAESTRO!D9="","",IFERROR(TRUNC(AVERAGE(K9,L9,M9),1),""))</f>
        <v/>
      </c>
      <c r="O9" s="124" t="str">
        <f>IF(MAESTRO!D9="","",IFERROR(AVERAGE(G9,K9),""))</f>
        <v/>
      </c>
      <c r="P9" s="124" t="str">
        <f>IF(MAESTRO!D9="","",IFERROR(AVERAGE(H9,L9),""))</f>
        <v/>
      </c>
      <c r="Q9" s="124" t="str">
        <f>IF(MAESTRO!D9="","",IFERROR(AVERAGE(I9,M9),""))</f>
        <v/>
      </c>
      <c r="R9" s="124" t="str">
        <f>IF(MAESTRO!D9="","",IFERROR(TRUNC(AVERAGE(O9,P9,Q9),1),""))</f>
        <v/>
      </c>
      <c r="S9" s="123" t="str">
        <f>IF(MAESTRO!D9="","",IF(AND(F9="",J9="",N9="",R9=""),"",IF(Y(OR(F9="",F9&gt;=3),OR(J9="",J9&gt;=3),OR(N9="",N9&gt;=3),OR(R9="",R9&gt;=3)),"✓ APROBADO","✗ REPROBADO")))</f>
        <v/>
      </c>
    </row>
    <row r="10" spans="1:19" ht="16.05" customHeight="1">
      <c r="A10" s="116">
        <v>6</v>
      </c>
      <c r="B10" s="117">
        <f>MAESTRO!D10</f>
        <v>0</v>
      </c>
      <c r="C10" s="125" t="str">
        <f>IF(MAESTRO!D10="","",IFERROR('PROM (Ingles 8°)'!AE10,""))</f>
        <v/>
      </c>
      <c r="D10" s="125" t="str">
        <f>IF(MAESTRO!D10="","",IFERROR('PROM (Ingles 8°)'!BM10,""))</f>
        <v/>
      </c>
      <c r="E10" s="125" t="str">
        <f>IF(MAESTRO!D10="","",IFERROR('PROM (Ingles 8°)'!CU10,""))</f>
        <v/>
      </c>
      <c r="F10" s="126" t="str">
        <f>IF(MAESTRO!D10="","",IFERROR(TRUNC(AVERAGE(C10,D10,E10),1),""))</f>
        <v/>
      </c>
      <c r="G10" s="125" t="str">
        <f>IF(MAESTRO!D10="","",IFERROR('PROM (Agropecuaria 8°)'!AE10,""))</f>
        <v/>
      </c>
      <c r="H10" s="125" t="str">
        <f>IF(MAESTRO!D10="","",IFERROR('PROM (Agropecuaria 8°)'!BM10,""))</f>
        <v/>
      </c>
      <c r="I10" s="125" t="str">
        <f>IF(MAESTRO!D10="","",IFERROR('PROM (Agropecuaria 8°)'!CU10,""))</f>
        <v/>
      </c>
      <c r="J10" s="126" t="str">
        <f>IF(MAESTRO!D10="","",IFERROR(TRUNC(AVERAGE(G10,H10,I10),1),""))</f>
        <v/>
      </c>
      <c r="K10" s="125" t="str">
        <f>IF(MAESTRO!D10="","",IFERROR('PROM (Comercio 8°)'!AE10,""))</f>
        <v/>
      </c>
      <c r="L10" s="125" t="str">
        <f>IF(MAESTRO!D10="","",IFERROR('PROM (Comercio 8°)'!BM10,""))</f>
        <v/>
      </c>
      <c r="M10" s="125" t="str">
        <f>IF(MAESTRO!D10="","",IFERROR('PROM (Comercio 8°)'!CU10,""))</f>
        <v/>
      </c>
      <c r="N10" s="126" t="str">
        <f>IF(MAESTRO!D10="","",IFERROR(TRUNC(AVERAGE(K10,L10,M10),1),""))</f>
        <v/>
      </c>
      <c r="O10" s="124" t="str">
        <f>IF(MAESTRO!D10="","",IFERROR(AVERAGE(G10,K10),""))</f>
        <v/>
      </c>
      <c r="P10" s="124" t="str">
        <f>IF(MAESTRO!D10="","",IFERROR(AVERAGE(H10,L10),""))</f>
        <v/>
      </c>
      <c r="Q10" s="124" t="str">
        <f>IF(MAESTRO!D10="","",IFERROR(AVERAGE(I10,M10),""))</f>
        <v/>
      </c>
      <c r="R10" s="124" t="str">
        <f>IF(MAESTRO!D10="","",IFERROR(TRUNC(AVERAGE(O10,P10,Q10),1),""))</f>
        <v/>
      </c>
      <c r="S10" s="126" t="str">
        <f>IF(MAESTRO!D10="","",IF(AND(F10="",J10="",N10="",R10=""),"",IF(Y(OR(F10="",F10&gt;=3),OR(J10="",J10&gt;=3),OR(N10="",N10&gt;=3),OR(R10="",R10&gt;=3)),"✓ APROBADO","✗ REPROBADO")))</f>
        <v/>
      </c>
    </row>
    <row r="11" spans="1:19" ht="16.05" customHeight="1">
      <c r="A11" s="118">
        <v>7</v>
      </c>
      <c r="B11" s="119">
        <f>MAESTRO!D11</f>
        <v>0</v>
      </c>
      <c r="C11" s="122" t="str">
        <f>IF(MAESTRO!D11="","",IFERROR('PROM (Ingles 8°)'!AE11,""))</f>
        <v/>
      </c>
      <c r="D11" s="122" t="str">
        <f>IF(MAESTRO!D11="","",IFERROR('PROM (Ingles 8°)'!BM11,""))</f>
        <v/>
      </c>
      <c r="E11" s="122" t="str">
        <f>IF(MAESTRO!D11="","",IFERROR('PROM (Ingles 8°)'!CU11,""))</f>
        <v/>
      </c>
      <c r="F11" s="123" t="str">
        <f>IF(MAESTRO!D11="","",IFERROR(TRUNC(AVERAGE(C11,D11,E11),1),""))</f>
        <v/>
      </c>
      <c r="G11" s="122" t="str">
        <f>IF(MAESTRO!D11="","",IFERROR('PROM (Agropecuaria 8°)'!AE11,""))</f>
        <v/>
      </c>
      <c r="H11" s="122" t="str">
        <f>IF(MAESTRO!D11="","",IFERROR('PROM (Agropecuaria 8°)'!BM11,""))</f>
        <v/>
      </c>
      <c r="I11" s="122" t="str">
        <f>IF(MAESTRO!D11="","",IFERROR('PROM (Agropecuaria 8°)'!CU11,""))</f>
        <v/>
      </c>
      <c r="J11" s="123" t="str">
        <f>IF(MAESTRO!D11="","",IFERROR(TRUNC(AVERAGE(G11,H11,I11),1),""))</f>
        <v/>
      </c>
      <c r="K11" s="122" t="str">
        <f>IF(MAESTRO!D11="","",IFERROR('PROM (Comercio 8°)'!AE11,""))</f>
        <v/>
      </c>
      <c r="L11" s="122" t="str">
        <f>IF(MAESTRO!D11="","",IFERROR('PROM (Comercio 8°)'!BM11,""))</f>
        <v/>
      </c>
      <c r="M11" s="122" t="str">
        <f>IF(MAESTRO!D11="","",IFERROR('PROM (Comercio 8°)'!CU11,""))</f>
        <v/>
      </c>
      <c r="N11" s="123" t="str">
        <f>IF(MAESTRO!D11="","",IFERROR(TRUNC(AVERAGE(K11,L11,M11),1),""))</f>
        <v/>
      </c>
      <c r="O11" s="124" t="str">
        <f>IF(MAESTRO!D11="","",IFERROR(AVERAGE(G11,K11),""))</f>
        <v/>
      </c>
      <c r="P11" s="124" t="str">
        <f>IF(MAESTRO!D11="","",IFERROR(AVERAGE(H11,L11),""))</f>
        <v/>
      </c>
      <c r="Q11" s="124" t="str">
        <f>IF(MAESTRO!D11="","",IFERROR(AVERAGE(I11,M11),""))</f>
        <v/>
      </c>
      <c r="R11" s="124" t="str">
        <f>IF(MAESTRO!D11="","",IFERROR(TRUNC(AVERAGE(O11,P11,Q11),1),""))</f>
        <v/>
      </c>
      <c r="S11" s="123" t="str">
        <f>IF(MAESTRO!D11="","",IF(AND(F11="",J11="",N11="",R11=""),"",IF(Y(OR(F11="",F11&gt;=3),OR(J11="",J11&gt;=3),OR(N11="",N11&gt;=3),OR(R11="",R11&gt;=3)),"✓ APROBADO","✗ REPROBADO")))</f>
        <v/>
      </c>
    </row>
    <row r="12" spans="1:19" ht="16.05" customHeight="1">
      <c r="A12" s="116">
        <v>8</v>
      </c>
      <c r="B12" s="117">
        <f>MAESTRO!D12</f>
        <v>0</v>
      </c>
      <c r="C12" s="125" t="str">
        <f>IF(MAESTRO!D12="","",IFERROR('PROM (Ingles 8°)'!AE12,""))</f>
        <v/>
      </c>
      <c r="D12" s="125" t="str">
        <f>IF(MAESTRO!D12="","",IFERROR('PROM (Ingles 8°)'!BM12,""))</f>
        <v/>
      </c>
      <c r="E12" s="125" t="str">
        <f>IF(MAESTRO!D12="","",IFERROR('PROM (Ingles 8°)'!CU12,""))</f>
        <v/>
      </c>
      <c r="F12" s="126" t="str">
        <f>IF(MAESTRO!D12="","",IFERROR(TRUNC(AVERAGE(C12,D12,E12),1),""))</f>
        <v/>
      </c>
      <c r="G12" s="125" t="str">
        <f>IF(MAESTRO!D12="","",IFERROR('PROM (Agropecuaria 8°)'!AE12,""))</f>
        <v/>
      </c>
      <c r="H12" s="125" t="str">
        <f>IF(MAESTRO!D12="","",IFERROR('PROM (Agropecuaria 8°)'!BM12,""))</f>
        <v/>
      </c>
      <c r="I12" s="125" t="str">
        <f>IF(MAESTRO!D12="","",IFERROR('PROM (Agropecuaria 8°)'!CU12,""))</f>
        <v/>
      </c>
      <c r="J12" s="126" t="str">
        <f>IF(MAESTRO!D12="","",IFERROR(TRUNC(AVERAGE(G12,H12,I12),1),""))</f>
        <v/>
      </c>
      <c r="K12" s="125" t="str">
        <f>IF(MAESTRO!D12="","",IFERROR('PROM (Comercio 8°)'!AE12,""))</f>
        <v/>
      </c>
      <c r="L12" s="125" t="str">
        <f>IF(MAESTRO!D12="","",IFERROR('PROM (Comercio 8°)'!BM12,""))</f>
        <v/>
      </c>
      <c r="M12" s="125" t="str">
        <f>IF(MAESTRO!D12="","",IFERROR('PROM (Comercio 8°)'!CU12,""))</f>
        <v/>
      </c>
      <c r="N12" s="126" t="str">
        <f>IF(MAESTRO!D12="","",IFERROR(TRUNC(AVERAGE(K12,L12,M12),1),""))</f>
        <v/>
      </c>
      <c r="O12" s="124" t="str">
        <f>IF(MAESTRO!D12="","",IFERROR(AVERAGE(G12,K12),""))</f>
        <v/>
      </c>
      <c r="P12" s="124" t="str">
        <f>IF(MAESTRO!D12="","",IFERROR(AVERAGE(H12,L12),""))</f>
        <v/>
      </c>
      <c r="Q12" s="124" t="str">
        <f>IF(MAESTRO!D12="","",IFERROR(AVERAGE(I12,M12),""))</f>
        <v/>
      </c>
      <c r="R12" s="124" t="str">
        <f>IF(MAESTRO!D12="","",IFERROR(TRUNC(AVERAGE(O12,P12,Q12),1),""))</f>
        <v/>
      </c>
      <c r="S12" s="126" t="str">
        <f>IF(MAESTRO!D12="","",IF(AND(F12="",J12="",N12="",R12=""),"",IF(Y(OR(F12="",F12&gt;=3),OR(J12="",J12&gt;=3),OR(N12="",N12&gt;=3),OR(R12="",R12&gt;=3)),"✓ APROBADO","✗ REPROBADO")))</f>
        <v/>
      </c>
    </row>
    <row r="13" spans="1:19" ht="16.05" customHeight="1">
      <c r="A13" s="118">
        <v>9</v>
      </c>
      <c r="B13" s="119">
        <f>MAESTRO!D13</f>
        <v>0</v>
      </c>
      <c r="C13" s="122" t="str">
        <f>IF(MAESTRO!D13="","",IFERROR('PROM (Ingles 8°)'!AE13,""))</f>
        <v/>
      </c>
      <c r="D13" s="122" t="str">
        <f>IF(MAESTRO!D13="","",IFERROR('PROM (Ingles 8°)'!BM13,""))</f>
        <v/>
      </c>
      <c r="E13" s="122" t="str">
        <f>IF(MAESTRO!D13="","",IFERROR('PROM (Ingles 8°)'!CU13,""))</f>
        <v/>
      </c>
      <c r="F13" s="123" t="str">
        <f>IF(MAESTRO!D13="","",IFERROR(TRUNC(AVERAGE(C13,D13,E13),1),""))</f>
        <v/>
      </c>
      <c r="G13" s="122" t="str">
        <f>IF(MAESTRO!D13="","",IFERROR('PROM (Agropecuaria 8°)'!AE13,""))</f>
        <v/>
      </c>
      <c r="H13" s="122" t="str">
        <f>IF(MAESTRO!D13="","",IFERROR('PROM (Agropecuaria 8°)'!BM13,""))</f>
        <v/>
      </c>
      <c r="I13" s="122" t="str">
        <f>IF(MAESTRO!D13="","",IFERROR('PROM (Agropecuaria 8°)'!CU13,""))</f>
        <v/>
      </c>
      <c r="J13" s="123" t="str">
        <f>IF(MAESTRO!D13="","",IFERROR(TRUNC(AVERAGE(G13,H13,I13),1),""))</f>
        <v/>
      </c>
      <c r="K13" s="122" t="str">
        <f>IF(MAESTRO!D13="","",IFERROR('PROM (Comercio 8°)'!AE13,""))</f>
        <v/>
      </c>
      <c r="L13" s="122" t="str">
        <f>IF(MAESTRO!D13="","",IFERROR('PROM (Comercio 8°)'!BM13,""))</f>
        <v/>
      </c>
      <c r="M13" s="122" t="str">
        <f>IF(MAESTRO!D13="","",IFERROR('PROM (Comercio 8°)'!CU13,""))</f>
        <v/>
      </c>
      <c r="N13" s="123" t="str">
        <f>IF(MAESTRO!D13="","",IFERROR(TRUNC(AVERAGE(K13,L13,M13),1),""))</f>
        <v/>
      </c>
      <c r="O13" s="124" t="str">
        <f>IF(MAESTRO!D13="","",IFERROR(AVERAGE(G13,K13),""))</f>
        <v/>
      </c>
      <c r="P13" s="124" t="str">
        <f>IF(MAESTRO!D13="","",IFERROR(AVERAGE(H13,L13),""))</f>
        <v/>
      </c>
      <c r="Q13" s="124" t="str">
        <f>IF(MAESTRO!D13="","",IFERROR(AVERAGE(I13,M13),""))</f>
        <v/>
      </c>
      <c r="R13" s="124" t="str">
        <f>IF(MAESTRO!D13="","",IFERROR(TRUNC(AVERAGE(O13,P13,Q13),1),""))</f>
        <v/>
      </c>
      <c r="S13" s="123" t="str">
        <f>IF(MAESTRO!D13="","",IF(AND(F13="",J13="",N13="",R13=""),"",IF(Y(OR(F13="",F13&gt;=3),OR(J13="",J13&gt;=3),OR(N13="",N13&gt;=3),OR(R13="",R13&gt;=3)),"✓ APROBADO","✗ REPROBADO")))</f>
        <v/>
      </c>
    </row>
    <row r="14" spans="1:19" ht="16.05" customHeight="1">
      <c r="A14" s="116">
        <v>10</v>
      </c>
      <c r="B14" s="117">
        <f>MAESTRO!D14</f>
        <v>0</v>
      </c>
      <c r="C14" s="125" t="str">
        <f>IF(MAESTRO!D14="","",IFERROR('PROM (Ingles 8°)'!AE14,""))</f>
        <v/>
      </c>
      <c r="D14" s="125" t="str">
        <f>IF(MAESTRO!D14="","",IFERROR('PROM (Ingles 8°)'!BM14,""))</f>
        <v/>
      </c>
      <c r="E14" s="125" t="str">
        <f>IF(MAESTRO!D14="","",IFERROR('PROM (Ingles 8°)'!CU14,""))</f>
        <v/>
      </c>
      <c r="F14" s="126" t="str">
        <f>IF(MAESTRO!D14="","",IFERROR(TRUNC(AVERAGE(C14,D14,E14),1),""))</f>
        <v/>
      </c>
      <c r="G14" s="125" t="str">
        <f>IF(MAESTRO!D14="","",IFERROR('PROM (Agropecuaria 8°)'!AE14,""))</f>
        <v/>
      </c>
      <c r="H14" s="125" t="str">
        <f>IF(MAESTRO!D14="","",IFERROR('PROM (Agropecuaria 8°)'!BM14,""))</f>
        <v/>
      </c>
      <c r="I14" s="125" t="str">
        <f>IF(MAESTRO!D14="","",IFERROR('PROM (Agropecuaria 8°)'!CU14,""))</f>
        <v/>
      </c>
      <c r="J14" s="126" t="str">
        <f>IF(MAESTRO!D14="","",IFERROR(TRUNC(AVERAGE(G14,H14,I14),1),""))</f>
        <v/>
      </c>
      <c r="K14" s="125" t="str">
        <f>IF(MAESTRO!D14="","",IFERROR('PROM (Comercio 8°)'!AE14,""))</f>
        <v/>
      </c>
      <c r="L14" s="125" t="str">
        <f>IF(MAESTRO!D14="","",IFERROR('PROM (Comercio 8°)'!BM14,""))</f>
        <v/>
      </c>
      <c r="M14" s="125" t="str">
        <f>IF(MAESTRO!D14="","",IFERROR('PROM (Comercio 8°)'!CU14,""))</f>
        <v/>
      </c>
      <c r="N14" s="126" t="str">
        <f>IF(MAESTRO!D14="","",IFERROR(TRUNC(AVERAGE(K14,L14,M14),1),""))</f>
        <v/>
      </c>
      <c r="O14" s="124" t="str">
        <f>IF(MAESTRO!D14="","",IFERROR(AVERAGE(G14,K14),""))</f>
        <v/>
      </c>
      <c r="P14" s="124" t="str">
        <f>IF(MAESTRO!D14="","",IFERROR(AVERAGE(H14,L14),""))</f>
        <v/>
      </c>
      <c r="Q14" s="124" t="str">
        <f>IF(MAESTRO!D14="","",IFERROR(AVERAGE(I14,M14),""))</f>
        <v/>
      </c>
      <c r="R14" s="124" t="str">
        <f>IF(MAESTRO!D14="","",IFERROR(TRUNC(AVERAGE(O14,P14,Q14),1),""))</f>
        <v/>
      </c>
      <c r="S14" s="126" t="str">
        <f>IF(MAESTRO!D14="","",IF(AND(F14="",J14="",N14="",R14=""),"",IF(Y(OR(F14="",F14&gt;=3),OR(J14="",J14&gt;=3),OR(N14="",N14&gt;=3),OR(R14="",R14&gt;=3)),"✓ APROBADO","✗ REPROBADO")))</f>
        <v/>
      </c>
    </row>
    <row r="15" spans="1:19" ht="16.05" customHeight="1">
      <c r="A15" s="118">
        <v>11</v>
      </c>
      <c r="B15" s="119">
        <f>MAESTRO!D15</f>
        <v>0</v>
      </c>
      <c r="C15" s="122" t="str">
        <f>IF(MAESTRO!D15="","",IFERROR('PROM (Ingles 8°)'!AE15,""))</f>
        <v/>
      </c>
      <c r="D15" s="122" t="str">
        <f>IF(MAESTRO!D15="","",IFERROR('PROM (Ingles 8°)'!BM15,""))</f>
        <v/>
      </c>
      <c r="E15" s="122" t="str">
        <f>IF(MAESTRO!D15="","",IFERROR('PROM (Ingles 8°)'!CU15,""))</f>
        <v/>
      </c>
      <c r="F15" s="123" t="str">
        <f>IF(MAESTRO!D15="","",IFERROR(TRUNC(AVERAGE(C15,D15,E15),1),""))</f>
        <v/>
      </c>
      <c r="G15" s="122" t="str">
        <f>IF(MAESTRO!D15="","",IFERROR('PROM (Agropecuaria 8°)'!AE15,""))</f>
        <v/>
      </c>
      <c r="H15" s="122" t="str">
        <f>IF(MAESTRO!D15="","",IFERROR('PROM (Agropecuaria 8°)'!BM15,""))</f>
        <v/>
      </c>
      <c r="I15" s="122" t="str">
        <f>IF(MAESTRO!D15="","",IFERROR('PROM (Agropecuaria 8°)'!CU15,""))</f>
        <v/>
      </c>
      <c r="J15" s="123" t="str">
        <f>IF(MAESTRO!D15="","",IFERROR(TRUNC(AVERAGE(G15,H15,I15),1),""))</f>
        <v/>
      </c>
      <c r="K15" s="122" t="str">
        <f>IF(MAESTRO!D15="","",IFERROR('PROM (Comercio 8°)'!AE15,""))</f>
        <v/>
      </c>
      <c r="L15" s="122" t="str">
        <f>IF(MAESTRO!D15="","",IFERROR('PROM (Comercio 8°)'!BM15,""))</f>
        <v/>
      </c>
      <c r="M15" s="122" t="str">
        <f>IF(MAESTRO!D15="","",IFERROR('PROM (Comercio 8°)'!CU15,""))</f>
        <v/>
      </c>
      <c r="N15" s="123" t="str">
        <f>IF(MAESTRO!D15="","",IFERROR(TRUNC(AVERAGE(K15,L15,M15),1),""))</f>
        <v/>
      </c>
      <c r="O15" s="124" t="str">
        <f>IF(MAESTRO!D15="","",IFERROR(AVERAGE(G15,K15),""))</f>
        <v/>
      </c>
      <c r="P15" s="124" t="str">
        <f>IF(MAESTRO!D15="","",IFERROR(AVERAGE(H15,L15),""))</f>
        <v/>
      </c>
      <c r="Q15" s="124" t="str">
        <f>IF(MAESTRO!D15="","",IFERROR(AVERAGE(I15,M15),""))</f>
        <v/>
      </c>
      <c r="R15" s="124" t="str">
        <f>IF(MAESTRO!D15="","",IFERROR(TRUNC(AVERAGE(O15,P15,Q15),1),""))</f>
        <v/>
      </c>
      <c r="S15" s="123" t="str">
        <f>IF(MAESTRO!D15="","",IF(AND(F15="",J15="",N15="",R15=""),"",IF(Y(OR(F15="",F15&gt;=3),OR(J15="",J15&gt;=3),OR(N15="",N15&gt;=3),OR(R15="",R15&gt;=3)),"✓ APROBADO","✗ REPROBADO")))</f>
        <v/>
      </c>
    </row>
    <row r="16" spans="1:19" ht="16.05" customHeight="1">
      <c r="A16" s="116">
        <v>12</v>
      </c>
      <c r="B16" s="117">
        <f>MAESTRO!D16</f>
        <v>0</v>
      </c>
      <c r="C16" s="125" t="str">
        <f>IF(MAESTRO!D16="","",IFERROR('PROM (Ingles 8°)'!AE16,""))</f>
        <v/>
      </c>
      <c r="D16" s="125" t="str">
        <f>IF(MAESTRO!D16="","",IFERROR('PROM (Ingles 8°)'!BM16,""))</f>
        <v/>
      </c>
      <c r="E16" s="125" t="str">
        <f>IF(MAESTRO!D16="","",IFERROR('PROM (Ingles 8°)'!CU16,""))</f>
        <v/>
      </c>
      <c r="F16" s="126" t="str">
        <f>IF(MAESTRO!D16="","",IFERROR(TRUNC(AVERAGE(C16,D16,E16),1),""))</f>
        <v/>
      </c>
      <c r="G16" s="125" t="str">
        <f>IF(MAESTRO!D16="","",IFERROR('PROM (Agropecuaria 8°)'!AE16,""))</f>
        <v/>
      </c>
      <c r="H16" s="125" t="str">
        <f>IF(MAESTRO!D16="","",IFERROR('PROM (Agropecuaria 8°)'!BM16,""))</f>
        <v/>
      </c>
      <c r="I16" s="125" t="str">
        <f>IF(MAESTRO!D16="","",IFERROR('PROM (Agropecuaria 8°)'!CU16,""))</f>
        <v/>
      </c>
      <c r="J16" s="126" t="str">
        <f>IF(MAESTRO!D16="","",IFERROR(TRUNC(AVERAGE(G16,H16,I16),1),""))</f>
        <v/>
      </c>
      <c r="K16" s="125" t="str">
        <f>IF(MAESTRO!D16="","",IFERROR('PROM (Comercio 8°)'!AE16,""))</f>
        <v/>
      </c>
      <c r="L16" s="125" t="str">
        <f>IF(MAESTRO!D16="","",IFERROR('PROM (Comercio 8°)'!BM16,""))</f>
        <v/>
      </c>
      <c r="M16" s="125" t="str">
        <f>IF(MAESTRO!D16="","",IFERROR('PROM (Comercio 8°)'!CU16,""))</f>
        <v/>
      </c>
      <c r="N16" s="126" t="str">
        <f>IF(MAESTRO!D16="","",IFERROR(TRUNC(AVERAGE(K16,L16,M16),1),""))</f>
        <v/>
      </c>
      <c r="O16" s="124" t="str">
        <f>IF(MAESTRO!D16="","",IFERROR(AVERAGE(G16,K16),""))</f>
        <v/>
      </c>
      <c r="P16" s="124" t="str">
        <f>IF(MAESTRO!D16="","",IFERROR(AVERAGE(H16,L16),""))</f>
        <v/>
      </c>
      <c r="Q16" s="124" t="str">
        <f>IF(MAESTRO!D16="","",IFERROR(AVERAGE(I16,M16),""))</f>
        <v/>
      </c>
      <c r="R16" s="124" t="str">
        <f>IF(MAESTRO!D16="","",IFERROR(TRUNC(AVERAGE(O16,P16,Q16),1),""))</f>
        <v/>
      </c>
      <c r="S16" s="126" t="str">
        <f>IF(MAESTRO!D16="","",IF(AND(F16="",J16="",N16="",R16=""),"",IF(Y(OR(F16="",F16&gt;=3),OR(J16="",J16&gt;=3),OR(N16="",N16&gt;=3),OR(R16="",R16&gt;=3)),"✓ APROBADO","✗ REPROBADO")))</f>
        <v/>
      </c>
    </row>
    <row r="17" spans="1:19" ht="16.05" customHeight="1">
      <c r="A17" s="118">
        <v>13</v>
      </c>
      <c r="B17" s="119">
        <f>MAESTRO!D17</f>
        <v>0</v>
      </c>
      <c r="C17" s="122" t="str">
        <f>IF(MAESTRO!D17="","",IFERROR('PROM (Ingles 8°)'!AE17,""))</f>
        <v/>
      </c>
      <c r="D17" s="122" t="str">
        <f>IF(MAESTRO!D17="","",IFERROR('PROM (Ingles 8°)'!BM17,""))</f>
        <v/>
      </c>
      <c r="E17" s="122" t="str">
        <f>IF(MAESTRO!D17="","",IFERROR('PROM (Ingles 8°)'!CU17,""))</f>
        <v/>
      </c>
      <c r="F17" s="123" t="str">
        <f>IF(MAESTRO!D17="","",IFERROR(TRUNC(AVERAGE(C17,D17,E17),1),""))</f>
        <v/>
      </c>
      <c r="G17" s="122" t="str">
        <f>IF(MAESTRO!D17="","",IFERROR('PROM (Agropecuaria 8°)'!AE17,""))</f>
        <v/>
      </c>
      <c r="H17" s="122" t="str">
        <f>IF(MAESTRO!D17="","",IFERROR('PROM (Agropecuaria 8°)'!BM17,""))</f>
        <v/>
      </c>
      <c r="I17" s="122" t="str">
        <f>IF(MAESTRO!D17="","",IFERROR('PROM (Agropecuaria 8°)'!CU17,""))</f>
        <v/>
      </c>
      <c r="J17" s="123" t="str">
        <f>IF(MAESTRO!D17="","",IFERROR(TRUNC(AVERAGE(G17,H17,I17),1),""))</f>
        <v/>
      </c>
      <c r="K17" s="122" t="str">
        <f>IF(MAESTRO!D17="","",IFERROR('PROM (Comercio 8°)'!AE17,""))</f>
        <v/>
      </c>
      <c r="L17" s="122" t="str">
        <f>IF(MAESTRO!D17="","",IFERROR('PROM (Comercio 8°)'!BM17,""))</f>
        <v/>
      </c>
      <c r="M17" s="122" t="str">
        <f>IF(MAESTRO!D17="","",IFERROR('PROM (Comercio 8°)'!CU17,""))</f>
        <v/>
      </c>
      <c r="N17" s="123" t="str">
        <f>IF(MAESTRO!D17="","",IFERROR(TRUNC(AVERAGE(K17,L17,M17),1),""))</f>
        <v/>
      </c>
      <c r="O17" s="124" t="str">
        <f>IF(MAESTRO!D17="","",IFERROR(AVERAGE(G17,K17),""))</f>
        <v/>
      </c>
      <c r="P17" s="124" t="str">
        <f>IF(MAESTRO!D17="","",IFERROR(AVERAGE(H17,L17),""))</f>
        <v/>
      </c>
      <c r="Q17" s="124" t="str">
        <f>IF(MAESTRO!D17="","",IFERROR(AVERAGE(I17,M17),""))</f>
        <v/>
      </c>
      <c r="R17" s="124" t="str">
        <f>IF(MAESTRO!D17="","",IFERROR(TRUNC(AVERAGE(O17,P17,Q17),1),""))</f>
        <v/>
      </c>
      <c r="S17" s="123" t="str">
        <f>IF(MAESTRO!D17="","",IF(AND(F17="",J17="",N17="",R17=""),"",IF(Y(OR(F17="",F17&gt;=3),OR(J17="",J17&gt;=3),OR(N17="",N17&gt;=3),OR(R17="",R17&gt;=3)),"✓ APROBADO","✗ REPROBADO")))</f>
        <v/>
      </c>
    </row>
    <row r="18" spans="1:19" ht="16.05" customHeight="1">
      <c r="A18" s="116">
        <v>14</v>
      </c>
      <c r="B18" s="117">
        <f>MAESTRO!D18</f>
        <v>0</v>
      </c>
      <c r="C18" s="125" t="str">
        <f>IF(MAESTRO!D18="","",IFERROR('PROM (Ingles 8°)'!AE18,""))</f>
        <v/>
      </c>
      <c r="D18" s="125" t="str">
        <f>IF(MAESTRO!D18="","",IFERROR('PROM (Ingles 8°)'!BM18,""))</f>
        <v/>
      </c>
      <c r="E18" s="125" t="str">
        <f>IF(MAESTRO!D18="","",IFERROR('PROM (Ingles 8°)'!CU18,""))</f>
        <v/>
      </c>
      <c r="F18" s="126" t="str">
        <f>IF(MAESTRO!D18="","",IFERROR(TRUNC(AVERAGE(C18,D18,E18),1),""))</f>
        <v/>
      </c>
      <c r="G18" s="125" t="str">
        <f>IF(MAESTRO!D18="","",IFERROR('PROM (Agropecuaria 8°)'!AE18,""))</f>
        <v/>
      </c>
      <c r="H18" s="125" t="str">
        <f>IF(MAESTRO!D18="","",IFERROR('PROM (Agropecuaria 8°)'!BM18,""))</f>
        <v/>
      </c>
      <c r="I18" s="125" t="str">
        <f>IF(MAESTRO!D18="","",IFERROR('PROM (Agropecuaria 8°)'!CU18,""))</f>
        <v/>
      </c>
      <c r="J18" s="126" t="str">
        <f>IF(MAESTRO!D18="","",IFERROR(TRUNC(AVERAGE(G18,H18,I18),1),""))</f>
        <v/>
      </c>
      <c r="K18" s="125" t="str">
        <f>IF(MAESTRO!D18="","",IFERROR('PROM (Comercio 8°)'!AE18,""))</f>
        <v/>
      </c>
      <c r="L18" s="125" t="str">
        <f>IF(MAESTRO!D18="","",IFERROR('PROM (Comercio 8°)'!BM18,""))</f>
        <v/>
      </c>
      <c r="M18" s="125" t="str">
        <f>IF(MAESTRO!D18="","",IFERROR('PROM (Comercio 8°)'!CU18,""))</f>
        <v/>
      </c>
      <c r="N18" s="126" t="str">
        <f>IF(MAESTRO!D18="","",IFERROR(TRUNC(AVERAGE(K18,L18,M18),1),""))</f>
        <v/>
      </c>
      <c r="O18" s="124" t="str">
        <f>IF(MAESTRO!D18="","",IFERROR(AVERAGE(G18,K18),""))</f>
        <v/>
      </c>
      <c r="P18" s="124" t="str">
        <f>IF(MAESTRO!D18="","",IFERROR(AVERAGE(H18,L18),""))</f>
        <v/>
      </c>
      <c r="Q18" s="124" t="str">
        <f>IF(MAESTRO!D18="","",IFERROR(AVERAGE(I18,M18),""))</f>
        <v/>
      </c>
      <c r="R18" s="124" t="str">
        <f>IF(MAESTRO!D18="","",IFERROR(TRUNC(AVERAGE(O18,P18,Q18),1),""))</f>
        <v/>
      </c>
      <c r="S18" s="126" t="str">
        <f>IF(MAESTRO!D18="","",IF(AND(F18="",J18="",N18="",R18=""),"",IF(Y(OR(F18="",F18&gt;=3),OR(J18="",J18&gt;=3),OR(N18="",N18&gt;=3),OR(R18="",R18&gt;=3)),"✓ APROBADO","✗ REPROBADO")))</f>
        <v/>
      </c>
    </row>
    <row r="19" spans="1:19" ht="16.05" customHeight="1">
      <c r="A19" s="118">
        <v>15</v>
      </c>
      <c r="B19" s="119">
        <f>MAESTRO!D19</f>
        <v>0</v>
      </c>
      <c r="C19" s="122" t="str">
        <f>IF(MAESTRO!D19="","",IFERROR('PROM (Ingles 8°)'!AE19,""))</f>
        <v/>
      </c>
      <c r="D19" s="122" t="str">
        <f>IF(MAESTRO!D19="","",IFERROR('PROM (Ingles 8°)'!BM19,""))</f>
        <v/>
      </c>
      <c r="E19" s="122" t="str">
        <f>IF(MAESTRO!D19="","",IFERROR('PROM (Ingles 8°)'!CU19,""))</f>
        <v/>
      </c>
      <c r="F19" s="123" t="str">
        <f>IF(MAESTRO!D19="","",IFERROR(TRUNC(AVERAGE(C19,D19,E19),1),""))</f>
        <v/>
      </c>
      <c r="G19" s="122" t="str">
        <f>IF(MAESTRO!D19="","",IFERROR('PROM (Agropecuaria 8°)'!AE19,""))</f>
        <v/>
      </c>
      <c r="H19" s="122" t="str">
        <f>IF(MAESTRO!D19="","",IFERROR('PROM (Agropecuaria 8°)'!BM19,""))</f>
        <v/>
      </c>
      <c r="I19" s="122" t="str">
        <f>IF(MAESTRO!D19="","",IFERROR('PROM (Agropecuaria 8°)'!CU19,""))</f>
        <v/>
      </c>
      <c r="J19" s="123" t="str">
        <f>IF(MAESTRO!D19="","",IFERROR(TRUNC(AVERAGE(G19,H19,I19),1),""))</f>
        <v/>
      </c>
      <c r="K19" s="122" t="str">
        <f>IF(MAESTRO!D19="","",IFERROR('PROM (Comercio 8°)'!AE19,""))</f>
        <v/>
      </c>
      <c r="L19" s="122" t="str">
        <f>IF(MAESTRO!D19="","",IFERROR('PROM (Comercio 8°)'!BM19,""))</f>
        <v/>
      </c>
      <c r="M19" s="122" t="str">
        <f>IF(MAESTRO!D19="","",IFERROR('PROM (Comercio 8°)'!CU19,""))</f>
        <v/>
      </c>
      <c r="N19" s="123" t="str">
        <f>IF(MAESTRO!D19="","",IFERROR(TRUNC(AVERAGE(K19,L19,M19),1),""))</f>
        <v/>
      </c>
      <c r="O19" s="124" t="str">
        <f>IF(MAESTRO!D19="","",IFERROR(AVERAGE(G19,K19),""))</f>
        <v/>
      </c>
      <c r="P19" s="124" t="str">
        <f>IF(MAESTRO!D19="","",IFERROR(AVERAGE(H19,L19),""))</f>
        <v/>
      </c>
      <c r="Q19" s="124" t="str">
        <f>IF(MAESTRO!D19="","",IFERROR(AVERAGE(I19,M19),""))</f>
        <v/>
      </c>
      <c r="R19" s="124" t="str">
        <f>IF(MAESTRO!D19="","",IFERROR(TRUNC(AVERAGE(O19,P19,Q19),1),""))</f>
        <v/>
      </c>
      <c r="S19" s="123" t="str">
        <f>IF(MAESTRO!D19="","",IF(AND(F19="",J19="",N19="",R19=""),"",IF(Y(OR(F19="",F19&gt;=3),OR(J19="",J19&gt;=3),OR(N19="",N19&gt;=3),OR(R19="",R19&gt;=3)),"✓ APROBADO","✗ REPROBADO")))</f>
        <v/>
      </c>
    </row>
    <row r="20" spans="1:19" ht="16.05" customHeight="1">
      <c r="A20" s="116">
        <v>16</v>
      </c>
      <c r="B20" s="117">
        <f>MAESTRO!D20</f>
        <v>0</v>
      </c>
      <c r="C20" s="125" t="str">
        <f>IF(MAESTRO!D20="","",IFERROR('PROM (Ingles 8°)'!AE20,""))</f>
        <v/>
      </c>
      <c r="D20" s="125" t="str">
        <f>IF(MAESTRO!D20="","",IFERROR('PROM (Ingles 8°)'!BM20,""))</f>
        <v/>
      </c>
      <c r="E20" s="125" t="str">
        <f>IF(MAESTRO!D20="","",IFERROR('PROM (Ingles 8°)'!CU20,""))</f>
        <v/>
      </c>
      <c r="F20" s="126" t="str">
        <f>IF(MAESTRO!D20="","",IFERROR(TRUNC(AVERAGE(C20,D20,E20),1),""))</f>
        <v/>
      </c>
      <c r="G20" s="125" t="str">
        <f>IF(MAESTRO!D20="","",IFERROR('PROM (Agropecuaria 8°)'!AE20,""))</f>
        <v/>
      </c>
      <c r="H20" s="125" t="str">
        <f>IF(MAESTRO!D20="","",IFERROR('PROM (Agropecuaria 8°)'!BM20,""))</f>
        <v/>
      </c>
      <c r="I20" s="125" t="str">
        <f>IF(MAESTRO!D20="","",IFERROR('PROM (Agropecuaria 8°)'!CU20,""))</f>
        <v/>
      </c>
      <c r="J20" s="126" t="str">
        <f>IF(MAESTRO!D20="","",IFERROR(TRUNC(AVERAGE(G20,H20,I20),1),""))</f>
        <v/>
      </c>
      <c r="K20" s="125" t="str">
        <f>IF(MAESTRO!D20="","",IFERROR('PROM (Comercio 8°)'!AE20,""))</f>
        <v/>
      </c>
      <c r="L20" s="125" t="str">
        <f>IF(MAESTRO!D20="","",IFERROR('PROM (Comercio 8°)'!BM20,""))</f>
        <v/>
      </c>
      <c r="M20" s="125" t="str">
        <f>IF(MAESTRO!D20="","",IFERROR('PROM (Comercio 8°)'!CU20,""))</f>
        <v/>
      </c>
      <c r="N20" s="126" t="str">
        <f>IF(MAESTRO!D20="","",IFERROR(TRUNC(AVERAGE(K20,L20,M20),1),""))</f>
        <v/>
      </c>
      <c r="O20" s="124" t="str">
        <f>IF(MAESTRO!D20="","",IFERROR(AVERAGE(G20,K20),""))</f>
        <v/>
      </c>
      <c r="P20" s="124" t="str">
        <f>IF(MAESTRO!D20="","",IFERROR(AVERAGE(H20,L20),""))</f>
        <v/>
      </c>
      <c r="Q20" s="124" t="str">
        <f>IF(MAESTRO!D20="","",IFERROR(AVERAGE(I20,M20),""))</f>
        <v/>
      </c>
      <c r="R20" s="124" t="str">
        <f>IF(MAESTRO!D20="","",IFERROR(TRUNC(AVERAGE(O20,P20,Q20),1),""))</f>
        <v/>
      </c>
      <c r="S20" s="126" t="str">
        <f>IF(MAESTRO!D20="","",IF(AND(F20="",J20="",N20="",R20=""),"",IF(Y(OR(F20="",F20&gt;=3),OR(J20="",J20&gt;=3),OR(N20="",N20&gt;=3),OR(R20="",R20&gt;=3)),"✓ APROBADO","✗ REPROBADO")))</f>
        <v/>
      </c>
    </row>
    <row r="21" spans="1:19" ht="16.05" customHeight="1">
      <c r="A21" s="118">
        <v>17</v>
      </c>
      <c r="B21" s="119">
        <f>MAESTRO!D21</f>
        <v>0</v>
      </c>
      <c r="C21" s="122" t="str">
        <f>IF(MAESTRO!D21="","",IFERROR('PROM (Ingles 8°)'!AE21,""))</f>
        <v/>
      </c>
      <c r="D21" s="122" t="str">
        <f>IF(MAESTRO!D21="","",IFERROR('PROM (Ingles 8°)'!BM21,""))</f>
        <v/>
      </c>
      <c r="E21" s="122" t="str">
        <f>IF(MAESTRO!D21="","",IFERROR('PROM (Ingles 8°)'!CU21,""))</f>
        <v/>
      </c>
      <c r="F21" s="123" t="str">
        <f>IF(MAESTRO!D21="","",IFERROR(TRUNC(AVERAGE(C21,D21,E21),1),""))</f>
        <v/>
      </c>
      <c r="G21" s="122" t="str">
        <f>IF(MAESTRO!D21="","",IFERROR('PROM (Agropecuaria 8°)'!AE21,""))</f>
        <v/>
      </c>
      <c r="H21" s="122" t="str">
        <f>IF(MAESTRO!D21="","",IFERROR('PROM (Agropecuaria 8°)'!BM21,""))</f>
        <v/>
      </c>
      <c r="I21" s="122" t="str">
        <f>IF(MAESTRO!D21="","",IFERROR('PROM (Agropecuaria 8°)'!CU21,""))</f>
        <v/>
      </c>
      <c r="J21" s="123" t="str">
        <f>IF(MAESTRO!D21="","",IFERROR(TRUNC(AVERAGE(G21,H21,I21),1),""))</f>
        <v/>
      </c>
      <c r="K21" s="122" t="str">
        <f>IF(MAESTRO!D21="","",IFERROR('PROM (Comercio 8°)'!AE21,""))</f>
        <v/>
      </c>
      <c r="L21" s="122" t="str">
        <f>IF(MAESTRO!D21="","",IFERROR('PROM (Comercio 8°)'!BM21,""))</f>
        <v/>
      </c>
      <c r="M21" s="122" t="str">
        <f>IF(MAESTRO!D21="","",IFERROR('PROM (Comercio 8°)'!CU21,""))</f>
        <v/>
      </c>
      <c r="N21" s="123" t="str">
        <f>IF(MAESTRO!D21="","",IFERROR(TRUNC(AVERAGE(K21,L21,M21),1),""))</f>
        <v/>
      </c>
      <c r="O21" s="124" t="str">
        <f>IF(MAESTRO!D21="","",IFERROR(AVERAGE(G21,K21),""))</f>
        <v/>
      </c>
      <c r="P21" s="124" t="str">
        <f>IF(MAESTRO!D21="","",IFERROR(AVERAGE(H21,L21),""))</f>
        <v/>
      </c>
      <c r="Q21" s="124" t="str">
        <f>IF(MAESTRO!D21="","",IFERROR(AVERAGE(I21,M21),""))</f>
        <v/>
      </c>
      <c r="R21" s="124" t="str">
        <f>IF(MAESTRO!D21="","",IFERROR(TRUNC(AVERAGE(O21,P21,Q21),1),""))</f>
        <v/>
      </c>
      <c r="S21" s="123" t="str">
        <f>IF(MAESTRO!D21="","",IF(AND(F21="",J21="",N21="",R21=""),"",IF(Y(OR(F21="",F21&gt;=3),OR(J21="",J21&gt;=3),OR(N21="",N21&gt;=3),OR(R21="",R21&gt;=3)),"✓ APROBADO","✗ REPROBADO")))</f>
        <v/>
      </c>
    </row>
    <row r="22" spans="1:19" ht="16.05" customHeight="1">
      <c r="A22" s="116">
        <v>18</v>
      </c>
      <c r="B22" s="117">
        <f>MAESTRO!D22</f>
        <v>0</v>
      </c>
      <c r="C22" s="125" t="str">
        <f>IF(MAESTRO!D22="","",IFERROR('PROM (Ingles 8°)'!AE22,""))</f>
        <v/>
      </c>
      <c r="D22" s="125" t="str">
        <f>IF(MAESTRO!D22="","",IFERROR('PROM (Ingles 8°)'!BM22,""))</f>
        <v/>
      </c>
      <c r="E22" s="125" t="str">
        <f>IF(MAESTRO!D22="","",IFERROR('PROM (Ingles 8°)'!CU22,""))</f>
        <v/>
      </c>
      <c r="F22" s="126" t="str">
        <f>IF(MAESTRO!D22="","",IFERROR(TRUNC(AVERAGE(C22,D22,E22),1),""))</f>
        <v/>
      </c>
      <c r="G22" s="125" t="str">
        <f>IF(MAESTRO!D22="","",IFERROR('PROM (Agropecuaria 8°)'!AE22,""))</f>
        <v/>
      </c>
      <c r="H22" s="125" t="str">
        <f>IF(MAESTRO!D22="","",IFERROR('PROM (Agropecuaria 8°)'!BM22,""))</f>
        <v/>
      </c>
      <c r="I22" s="125" t="str">
        <f>IF(MAESTRO!D22="","",IFERROR('PROM (Agropecuaria 8°)'!CU22,""))</f>
        <v/>
      </c>
      <c r="J22" s="126" t="str">
        <f>IF(MAESTRO!D22="","",IFERROR(TRUNC(AVERAGE(G22,H22,I22),1),""))</f>
        <v/>
      </c>
      <c r="K22" s="125" t="str">
        <f>IF(MAESTRO!D22="","",IFERROR('PROM (Comercio 8°)'!AE22,""))</f>
        <v/>
      </c>
      <c r="L22" s="125" t="str">
        <f>IF(MAESTRO!D22="","",IFERROR('PROM (Comercio 8°)'!BM22,""))</f>
        <v/>
      </c>
      <c r="M22" s="125" t="str">
        <f>IF(MAESTRO!D22="","",IFERROR('PROM (Comercio 8°)'!CU22,""))</f>
        <v/>
      </c>
      <c r="N22" s="126" t="str">
        <f>IF(MAESTRO!D22="","",IFERROR(TRUNC(AVERAGE(K22,L22,M22),1),""))</f>
        <v/>
      </c>
      <c r="O22" s="124" t="str">
        <f>IF(MAESTRO!D22="","",IFERROR(AVERAGE(G22,K22),""))</f>
        <v/>
      </c>
      <c r="P22" s="124" t="str">
        <f>IF(MAESTRO!D22="","",IFERROR(AVERAGE(H22,L22),""))</f>
        <v/>
      </c>
      <c r="Q22" s="124" t="str">
        <f>IF(MAESTRO!D22="","",IFERROR(AVERAGE(I22,M22),""))</f>
        <v/>
      </c>
      <c r="R22" s="124" t="str">
        <f>IF(MAESTRO!D22="","",IFERROR(TRUNC(AVERAGE(O22,P22,Q22),1),""))</f>
        <v/>
      </c>
      <c r="S22" s="126" t="str">
        <f>IF(MAESTRO!D22="","",IF(AND(F22="",J22="",N22="",R22=""),"",IF(Y(OR(F22="",F22&gt;=3),OR(J22="",J22&gt;=3),OR(N22="",N22&gt;=3),OR(R22="",R22&gt;=3)),"✓ APROBADO","✗ REPROBADO")))</f>
        <v/>
      </c>
    </row>
    <row r="23" spans="1:19" ht="16.05" customHeight="1">
      <c r="A23" s="118">
        <v>19</v>
      </c>
      <c r="B23" s="119">
        <f>MAESTRO!D23</f>
        <v>0</v>
      </c>
      <c r="C23" s="122" t="str">
        <f>IF(MAESTRO!D23="","",IFERROR('PROM (Ingles 8°)'!AE23,""))</f>
        <v/>
      </c>
      <c r="D23" s="122" t="str">
        <f>IF(MAESTRO!D23="","",IFERROR('PROM (Ingles 8°)'!BM23,""))</f>
        <v/>
      </c>
      <c r="E23" s="122" t="str">
        <f>IF(MAESTRO!D23="","",IFERROR('PROM (Ingles 8°)'!CU23,""))</f>
        <v/>
      </c>
      <c r="F23" s="123" t="str">
        <f>IF(MAESTRO!D23="","",IFERROR(TRUNC(AVERAGE(C23,D23,E23),1),""))</f>
        <v/>
      </c>
      <c r="G23" s="122" t="str">
        <f>IF(MAESTRO!D23="","",IFERROR('PROM (Agropecuaria 8°)'!AE23,""))</f>
        <v/>
      </c>
      <c r="H23" s="122" t="str">
        <f>IF(MAESTRO!D23="","",IFERROR('PROM (Agropecuaria 8°)'!BM23,""))</f>
        <v/>
      </c>
      <c r="I23" s="122" t="str">
        <f>IF(MAESTRO!D23="","",IFERROR('PROM (Agropecuaria 8°)'!CU23,""))</f>
        <v/>
      </c>
      <c r="J23" s="123" t="str">
        <f>IF(MAESTRO!D23="","",IFERROR(TRUNC(AVERAGE(G23,H23,I23),1),""))</f>
        <v/>
      </c>
      <c r="K23" s="122" t="str">
        <f>IF(MAESTRO!D23="","",IFERROR('PROM (Comercio 8°)'!AE23,""))</f>
        <v/>
      </c>
      <c r="L23" s="122" t="str">
        <f>IF(MAESTRO!D23="","",IFERROR('PROM (Comercio 8°)'!BM23,""))</f>
        <v/>
      </c>
      <c r="M23" s="122" t="str">
        <f>IF(MAESTRO!D23="","",IFERROR('PROM (Comercio 8°)'!CU23,""))</f>
        <v/>
      </c>
      <c r="N23" s="123" t="str">
        <f>IF(MAESTRO!D23="","",IFERROR(TRUNC(AVERAGE(K23,L23,M23),1),""))</f>
        <v/>
      </c>
      <c r="O23" s="124" t="str">
        <f>IF(MAESTRO!D23="","",IFERROR(AVERAGE(G23,K23),""))</f>
        <v/>
      </c>
      <c r="P23" s="124" t="str">
        <f>IF(MAESTRO!D23="","",IFERROR(AVERAGE(H23,L23),""))</f>
        <v/>
      </c>
      <c r="Q23" s="124" t="str">
        <f>IF(MAESTRO!D23="","",IFERROR(AVERAGE(I23,M23),""))</f>
        <v/>
      </c>
      <c r="R23" s="124" t="str">
        <f>IF(MAESTRO!D23="","",IFERROR(TRUNC(AVERAGE(O23,P23,Q23),1),""))</f>
        <v/>
      </c>
      <c r="S23" s="123" t="str">
        <f>IF(MAESTRO!D23="","",IF(AND(F23="",J23="",N23="",R23=""),"",IF(Y(OR(F23="",F23&gt;=3),OR(J23="",J23&gt;=3),OR(N23="",N23&gt;=3),OR(R23="",R23&gt;=3)),"✓ APROBADO","✗ REPROBADO")))</f>
        <v/>
      </c>
    </row>
    <row r="24" spans="1:19" ht="16.05" customHeight="1">
      <c r="A24" s="116">
        <v>20</v>
      </c>
      <c r="B24" s="117">
        <f>MAESTRO!D24</f>
        <v>0</v>
      </c>
      <c r="C24" s="125" t="str">
        <f>IF(MAESTRO!D24="","",IFERROR('PROM (Ingles 8°)'!AE24,""))</f>
        <v/>
      </c>
      <c r="D24" s="125" t="str">
        <f>IF(MAESTRO!D24="","",IFERROR('PROM (Ingles 8°)'!BM24,""))</f>
        <v/>
      </c>
      <c r="E24" s="125" t="str">
        <f>IF(MAESTRO!D24="","",IFERROR('PROM (Ingles 8°)'!CU24,""))</f>
        <v/>
      </c>
      <c r="F24" s="126" t="str">
        <f>IF(MAESTRO!D24="","",IFERROR(TRUNC(AVERAGE(C24,D24,E24),1),""))</f>
        <v/>
      </c>
      <c r="G24" s="125" t="str">
        <f>IF(MAESTRO!D24="","",IFERROR('PROM (Agropecuaria 8°)'!AE24,""))</f>
        <v/>
      </c>
      <c r="H24" s="125" t="str">
        <f>IF(MAESTRO!D24="","",IFERROR('PROM (Agropecuaria 8°)'!BM24,""))</f>
        <v/>
      </c>
      <c r="I24" s="125" t="str">
        <f>IF(MAESTRO!D24="","",IFERROR('PROM (Agropecuaria 8°)'!CU24,""))</f>
        <v/>
      </c>
      <c r="J24" s="126" t="str">
        <f>IF(MAESTRO!D24="","",IFERROR(TRUNC(AVERAGE(G24,H24,I24),1),""))</f>
        <v/>
      </c>
      <c r="K24" s="125" t="str">
        <f>IF(MAESTRO!D24="","",IFERROR('PROM (Comercio 8°)'!AE24,""))</f>
        <v/>
      </c>
      <c r="L24" s="125" t="str">
        <f>IF(MAESTRO!D24="","",IFERROR('PROM (Comercio 8°)'!BM24,""))</f>
        <v/>
      </c>
      <c r="M24" s="125" t="str">
        <f>IF(MAESTRO!D24="","",IFERROR('PROM (Comercio 8°)'!CU24,""))</f>
        <v/>
      </c>
      <c r="N24" s="126" t="str">
        <f>IF(MAESTRO!D24="","",IFERROR(TRUNC(AVERAGE(K24,L24,M24),1),""))</f>
        <v/>
      </c>
      <c r="O24" s="124" t="str">
        <f>IF(MAESTRO!D24="","",IFERROR(AVERAGE(G24,K24),""))</f>
        <v/>
      </c>
      <c r="P24" s="124" t="str">
        <f>IF(MAESTRO!D24="","",IFERROR(AVERAGE(H24,L24),""))</f>
        <v/>
      </c>
      <c r="Q24" s="124" t="str">
        <f>IF(MAESTRO!D24="","",IFERROR(AVERAGE(I24,M24),""))</f>
        <v/>
      </c>
      <c r="R24" s="124" t="str">
        <f>IF(MAESTRO!D24="","",IFERROR(TRUNC(AVERAGE(O24,P24,Q24),1),""))</f>
        <v/>
      </c>
      <c r="S24" s="126" t="str">
        <f>IF(MAESTRO!D24="","",IF(AND(F24="",J24="",N24="",R24=""),"",IF(Y(OR(F24="",F24&gt;=3),OR(J24="",J24&gt;=3),OR(N24="",N24&gt;=3),OR(R24="",R24&gt;=3)),"✓ APROBADO","✗ REPROBADO")))</f>
        <v/>
      </c>
    </row>
    <row r="25" spans="1:19" ht="16.05" customHeight="1">
      <c r="A25" s="118">
        <v>21</v>
      </c>
      <c r="B25" s="119">
        <f>MAESTRO!D25</f>
        <v>0</v>
      </c>
      <c r="C25" s="122" t="str">
        <f>IF(MAESTRO!D25="","",IFERROR('PROM (Ingles 8°)'!AE25,""))</f>
        <v/>
      </c>
      <c r="D25" s="122" t="str">
        <f>IF(MAESTRO!D25="","",IFERROR('PROM (Ingles 8°)'!BM25,""))</f>
        <v/>
      </c>
      <c r="E25" s="122" t="str">
        <f>IF(MAESTRO!D25="","",IFERROR('PROM (Ingles 8°)'!CU25,""))</f>
        <v/>
      </c>
      <c r="F25" s="123" t="str">
        <f>IF(MAESTRO!D25="","",IFERROR(TRUNC(AVERAGE(C25,D25,E25),1),""))</f>
        <v/>
      </c>
      <c r="G25" s="122" t="str">
        <f>IF(MAESTRO!D25="","",IFERROR('PROM (Agropecuaria 8°)'!AE25,""))</f>
        <v/>
      </c>
      <c r="H25" s="122" t="str">
        <f>IF(MAESTRO!D25="","",IFERROR('PROM (Agropecuaria 8°)'!BM25,""))</f>
        <v/>
      </c>
      <c r="I25" s="122" t="str">
        <f>IF(MAESTRO!D25="","",IFERROR('PROM (Agropecuaria 8°)'!CU25,""))</f>
        <v/>
      </c>
      <c r="J25" s="123" t="str">
        <f>IF(MAESTRO!D25="","",IFERROR(TRUNC(AVERAGE(G25,H25,I25),1),""))</f>
        <v/>
      </c>
      <c r="K25" s="122" t="str">
        <f>IF(MAESTRO!D25="","",IFERROR('PROM (Comercio 8°)'!AE25,""))</f>
        <v/>
      </c>
      <c r="L25" s="122" t="str">
        <f>IF(MAESTRO!D25="","",IFERROR('PROM (Comercio 8°)'!BM25,""))</f>
        <v/>
      </c>
      <c r="M25" s="122" t="str">
        <f>IF(MAESTRO!D25="","",IFERROR('PROM (Comercio 8°)'!CU25,""))</f>
        <v/>
      </c>
      <c r="N25" s="123" t="str">
        <f>IF(MAESTRO!D25="","",IFERROR(TRUNC(AVERAGE(K25,L25,M25),1),""))</f>
        <v/>
      </c>
      <c r="O25" s="124" t="str">
        <f>IF(MAESTRO!D25="","",IFERROR(AVERAGE(G25,K25),""))</f>
        <v/>
      </c>
      <c r="P25" s="124" t="str">
        <f>IF(MAESTRO!D25="","",IFERROR(AVERAGE(H25,L25),""))</f>
        <v/>
      </c>
      <c r="Q25" s="124" t="str">
        <f>IF(MAESTRO!D25="","",IFERROR(AVERAGE(I25,M25),""))</f>
        <v/>
      </c>
      <c r="R25" s="124" t="str">
        <f>IF(MAESTRO!D25="","",IFERROR(TRUNC(AVERAGE(O25,P25,Q25),1),""))</f>
        <v/>
      </c>
      <c r="S25" s="123" t="str">
        <f>IF(MAESTRO!D25="","",IF(AND(F25="",J25="",N25="",R25=""),"",IF(Y(OR(F25="",F25&gt;=3),OR(J25="",J25&gt;=3),OR(N25="",N25&gt;=3),OR(R25="",R25&gt;=3)),"✓ APROBADO","✗ REPROBADO")))</f>
        <v/>
      </c>
    </row>
    <row r="26" spans="1:19" ht="16.05" customHeight="1">
      <c r="A26" s="116">
        <v>22</v>
      </c>
      <c r="B26" s="117">
        <f>MAESTRO!D26</f>
        <v>0</v>
      </c>
      <c r="C26" s="125" t="str">
        <f>IF(MAESTRO!D26="","",IFERROR('PROM (Ingles 8°)'!AE26,""))</f>
        <v/>
      </c>
      <c r="D26" s="125" t="str">
        <f>IF(MAESTRO!D26="","",IFERROR('PROM (Ingles 8°)'!BM26,""))</f>
        <v/>
      </c>
      <c r="E26" s="125" t="str">
        <f>IF(MAESTRO!D26="","",IFERROR('PROM (Ingles 8°)'!CU26,""))</f>
        <v/>
      </c>
      <c r="F26" s="126" t="str">
        <f>IF(MAESTRO!D26="","",IFERROR(TRUNC(AVERAGE(C26,D26,E26),1),""))</f>
        <v/>
      </c>
      <c r="G26" s="125" t="str">
        <f>IF(MAESTRO!D26="","",IFERROR('PROM (Agropecuaria 8°)'!AE26,""))</f>
        <v/>
      </c>
      <c r="H26" s="125" t="str">
        <f>IF(MAESTRO!D26="","",IFERROR('PROM (Agropecuaria 8°)'!BM26,""))</f>
        <v/>
      </c>
      <c r="I26" s="125" t="str">
        <f>IF(MAESTRO!D26="","",IFERROR('PROM (Agropecuaria 8°)'!CU26,""))</f>
        <v/>
      </c>
      <c r="J26" s="126" t="str">
        <f>IF(MAESTRO!D26="","",IFERROR(TRUNC(AVERAGE(G26,H26,I26),1),""))</f>
        <v/>
      </c>
      <c r="K26" s="125" t="str">
        <f>IF(MAESTRO!D26="","",IFERROR('PROM (Comercio 8°)'!AE26,""))</f>
        <v/>
      </c>
      <c r="L26" s="125" t="str">
        <f>IF(MAESTRO!D26="","",IFERROR('PROM (Comercio 8°)'!BM26,""))</f>
        <v/>
      </c>
      <c r="M26" s="125" t="str">
        <f>IF(MAESTRO!D26="","",IFERROR('PROM (Comercio 8°)'!CU26,""))</f>
        <v/>
      </c>
      <c r="N26" s="126" t="str">
        <f>IF(MAESTRO!D26="","",IFERROR(TRUNC(AVERAGE(K26,L26,M26),1),""))</f>
        <v/>
      </c>
      <c r="O26" s="124" t="str">
        <f>IF(MAESTRO!D26="","",IFERROR(AVERAGE(G26,K26),""))</f>
        <v/>
      </c>
      <c r="P26" s="124" t="str">
        <f>IF(MAESTRO!D26="","",IFERROR(AVERAGE(H26,L26),""))</f>
        <v/>
      </c>
      <c r="Q26" s="124" t="str">
        <f>IF(MAESTRO!D26="","",IFERROR(AVERAGE(I26,M26),""))</f>
        <v/>
      </c>
      <c r="R26" s="124" t="str">
        <f>IF(MAESTRO!D26="","",IFERROR(TRUNC(AVERAGE(O26,P26,Q26),1),""))</f>
        <v/>
      </c>
      <c r="S26" s="126" t="str">
        <f>IF(MAESTRO!D26="","",IF(AND(F26="",J26="",N26="",R26=""),"",IF(Y(OR(F26="",F26&gt;=3),OR(J26="",J26&gt;=3),OR(N26="",N26&gt;=3),OR(R26="",R26&gt;=3)),"✓ APROBADO","✗ REPROBADO")))</f>
        <v/>
      </c>
    </row>
    <row r="27" spans="1:19" ht="16.05" customHeight="1">
      <c r="A27" s="118">
        <v>23</v>
      </c>
      <c r="B27" s="119">
        <f>MAESTRO!D27</f>
        <v>0</v>
      </c>
      <c r="C27" s="122" t="str">
        <f>IF(MAESTRO!D27="","",IFERROR('PROM (Ingles 8°)'!AE27,""))</f>
        <v/>
      </c>
      <c r="D27" s="122" t="str">
        <f>IF(MAESTRO!D27="","",IFERROR('PROM (Ingles 8°)'!BM27,""))</f>
        <v/>
      </c>
      <c r="E27" s="122" t="str">
        <f>IF(MAESTRO!D27="","",IFERROR('PROM (Ingles 8°)'!CU27,""))</f>
        <v/>
      </c>
      <c r="F27" s="123" t="str">
        <f>IF(MAESTRO!D27="","",IFERROR(TRUNC(AVERAGE(C27,D27,E27),1),""))</f>
        <v/>
      </c>
      <c r="G27" s="122" t="str">
        <f>IF(MAESTRO!D27="","",IFERROR('PROM (Agropecuaria 8°)'!AE27,""))</f>
        <v/>
      </c>
      <c r="H27" s="122" t="str">
        <f>IF(MAESTRO!D27="","",IFERROR('PROM (Agropecuaria 8°)'!BM27,""))</f>
        <v/>
      </c>
      <c r="I27" s="122" t="str">
        <f>IF(MAESTRO!D27="","",IFERROR('PROM (Agropecuaria 8°)'!CU27,""))</f>
        <v/>
      </c>
      <c r="J27" s="123" t="str">
        <f>IF(MAESTRO!D27="","",IFERROR(TRUNC(AVERAGE(G27,H27,I27),1),""))</f>
        <v/>
      </c>
      <c r="K27" s="122" t="str">
        <f>IF(MAESTRO!D27="","",IFERROR('PROM (Comercio 8°)'!AE27,""))</f>
        <v/>
      </c>
      <c r="L27" s="122" t="str">
        <f>IF(MAESTRO!D27="","",IFERROR('PROM (Comercio 8°)'!BM27,""))</f>
        <v/>
      </c>
      <c r="M27" s="122" t="str">
        <f>IF(MAESTRO!D27="","",IFERROR('PROM (Comercio 8°)'!CU27,""))</f>
        <v/>
      </c>
      <c r="N27" s="123" t="str">
        <f>IF(MAESTRO!D27="","",IFERROR(TRUNC(AVERAGE(K27,L27,M27),1),""))</f>
        <v/>
      </c>
      <c r="O27" s="124" t="str">
        <f>IF(MAESTRO!D27="","",IFERROR(AVERAGE(G27,K27),""))</f>
        <v/>
      </c>
      <c r="P27" s="124" t="str">
        <f>IF(MAESTRO!D27="","",IFERROR(AVERAGE(H27,L27),""))</f>
        <v/>
      </c>
      <c r="Q27" s="124" t="str">
        <f>IF(MAESTRO!D27="","",IFERROR(AVERAGE(I27,M27),""))</f>
        <v/>
      </c>
      <c r="R27" s="124" t="str">
        <f>IF(MAESTRO!D27="","",IFERROR(TRUNC(AVERAGE(O27,P27,Q27),1),""))</f>
        <v/>
      </c>
      <c r="S27" s="123" t="str">
        <f>IF(MAESTRO!D27="","",IF(AND(F27="",J27="",N27="",R27=""),"",IF(Y(OR(F27="",F27&gt;=3),OR(J27="",J27&gt;=3),OR(N27="",N27&gt;=3),OR(R27="",R27&gt;=3)),"✓ APROBADO","✗ REPROBADO")))</f>
        <v/>
      </c>
    </row>
    <row r="28" spans="1:19" ht="16.05" customHeight="1">
      <c r="A28" s="116">
        <v>24</v>
      </c>
      <c r="B28" s="117">
        <f>MAESTRO!D28</f>
        <v>0</v>
      </c>
      <c r="C28" s="125" t="str">
        <f>IF(MAESTRO!D28="","",IFERROR('PROM (Ingles 8°)'!AE28,""))</f>
        <v/>
      </c>
      <c r="D28" s="125" t="str">
        <f>IF(MAESTRO!D28="","",IFERROR('PROM (Ingles 8°)'!BM28,""))</f>
        <v/>
      </c>
      <c r="E28" s="125" t="str">
        <f>IF(MAESTRO!D28="","",IFERROR('PROM (Ingles 8°)'!CU28,""))</f>
        <v/>
      </c>
      <c r="F28" s="126" t="str">
        <f>IF(MAESTRO!D28="","",IFERROR(TRUNC(AVERAGE(C28,D28,E28),1),""))</f>
        <v/>
      </c>
      <c r="G28" s="125" t="str">
        <f>IF(MAESTRO!D28="","",IFERROR('PROM (Agropecuaria 8°)'!AE28,""))</f>
        <v/>
      </c>
      <c r="H28" s="125" t="str">
        <f>IF(MAESTRO!D28="","",IFERROR('PROM (Agropecuaria 8°)'!BM28,""))</f>
        <v/>
      </c>
      <c r="I28" s="125" t="str">
        <f>IF(MAESTRO!D28="","",IFERROR('PROM (Agropecuaria 8°)'!CU28,""))</f>
        <v/>
      </c>
      <c r="J28" s="126" t="str">
        <f>IF(MAESTRO!D28="","",IFERROR(TRUNC(AVERAGE(G28,H28,I28),1),""))</f>
        <v/>
      </c>
      <c r="K28" s="125" t="str">
        <f>IF(MAESTRO!D28="","",IFERROR('PROM (Comercio 8°)'!AE28,""))</f>
        <v/>
      </c>
      <c r="L28" s="125" t="str">
        <f>IF(MAESTRO!D28="","",IFERROR('PROM (Comercio 8°)'!BM28,""))</f>
        <v/>
      </c>
      <c r="M28" s="125" t="str">
        <f>IF(MAESTRO!D28="","",IFERROR('PROM (Comercio 8°)'!CU28,""))</f>
        <v/>
      </c>
      <c r="N28" s="126" t="str">
        <f>IF(MAESTRO!D28="","",IFERROR(TRUNC(AVERAGE(K28,L28,M28),1),""))</f>
        <v/>
      </c>
      <c r="O28" s="124" t="str">
        <f>IF(MAESTRO!D28="","",IFERROR(AVERAGE(G28,K28),""))</f>
        <v/>
      </c>
      <c r="P28" s="124" t="str">
        <f>IF(MAESTRO!D28="","",IFERROR(AVERAGE(H28,L28),""))</f>
        <v/>
      </c>
      <c r="Q28" s="124" t="str">
        <f>IF(MAESTRO!D28="","",IFERROR(AVERAGE(I28,M28),""))</f>
        <v/>
      </c>
      <c r="R28" s="124" t="str">
        <f>IF(MAESTRO!D28="","",IFERROR(TRUNC(AVERAGE(O28,P28,Q28),1),""))</f>
        <v/>
      </c>
      <c r="S28" s="126" t="str">
        <f>IF(MAESTRO!D28="","",IF(AND(F28="",J28="",N28="",R28=""),"",IF(Y(OR(F28="",F28&gt;=3),OR(J28="",J28&gt;=3),OR(N28="",N28&gt;=3),OR(R28="",R28&gt;=3)),"✓ APROBADO","✗ REPROBADO")))</f>
        <v/>
      </c>
    </row>
    <row r="29" spans="1:19" ht="16.05" customHeight="1">
      <c r="A29" s="118">
        <v>25</v>
      </c>
      <c r="B29" s="119">
        <f>MAESTRO!D29</f>
        <v>0</v>
      </c>
      <c r="C29" s="122" t="str">
        <f>IF(MAESTRO!D29="","",IFERROR('PROM (Ingles 8°)'!AE29,""))</f>
        <v/>
      </c>
      <c r="D29" s="122" t="str">
        <f>IF(MAESTRO!D29="","",IFERROR('PROM (Ingles 8°)'!BM29,""))</f>
        <v/>
      </c>
      <c r="E29" s="122" t="str">
        <f>IF(MAESTRO!D29="","",IFERROR('PROM (Ingles 8°)'!CU29,""))</f>
        <v/>
      </c>
      <c r="F29" s="123" t="str">
        <f>IF(MAESTRO!D29="","",IFERROR(TRUNC(AVERAGE(C29,D29,E29),1),""))</f>
        <v/>
      </c>
      <c r="G29" s="122" t="str">
        <f>IF(MAESTRO!D29="","",IFERROR('PROM (Agropecuaria 8°)'!AE29,""))</f>
        <v/>
      </c>
      <c r="H29" s="122" t="str">
        <f>IF(MAESTRO!D29="","",IFERROR('PROM (Agropecuaria 8°)'!BM29,""))</f>
        <v/>
      </c>
      <c r="I29" s="122" t="str">
        <f>IF(MAESTRO!D29="","",IFERROR('PROM (Agropecuaria 8°)'!CU29,""))</f>
        <v/>
      </c>
      <c r="J29" s="123" t="str">
        <f>IF(MAESTRO!D29="","",IFERROR(TRUNC(AVERAGE(G29,H29,I29),1),""))</f>
        <v/>
      </c>
      <c r="K29" s="122" t="str">
        <f>IF(MAESTRO!D29="","",IFERROR('PROM (Comercio 8°)'!AE29,""))</f>
        <v/>
      </c>
      <c r="L29" s="122" t="str">
        <f>IF(MAESTRO!D29="","",IFERROR('PROM (Comercio 8°)'!BM29,""))</f>
        <v/>
      </c>
      <c r="M29" s="122" t="str">
        <f>IF(MAESTRO!D29="","",IFERROR('PROM (Comercio 8°)'!CU29,""))</f>
        <v/>
      </c>
      <c r="N29" s="123" t="str">
        <f>IF(MAESTRO!D29="","",IFERROR(TRUNC(AVERAGE(K29,L29,M29),1),""))</f>
        <v/>
      </c>
      <c r="O29" s="124" t="str">
        <f>IF(MAESTRO!D29="","",IFERROR(AVERAGE(G29,K29),""))</f>
        <v/>
      </c>
      <c r="P29" s="124" t="str">
        <f>IF(MAESTRO!D29="","",IFERROR(AVERAGE(H29,L29),""))</f>
        <v/>
      </c>
      <c r="Q29" s="124" t="str">
        <f>IF(MAESTRO!D29="","",IFERROR(AVERAGE(I29,M29),""))</f>
        <v/>
      </c>
      <c r="R29" s="124" t="str">
        <f>IF(MAESTRO!D29="","",IFERROR(TRUNC(AVERAGE(O29,P29,Q29),1),""))</f>
        <v/>
      </c>
      <c r="S29" s="123" t="str">
        <f>IF(MAESTRO!D29="","",IF(AND(F29="",J29="",N29="",R29=""),"",IF(Y(OR(F29="",F29&gt;=3),OR(J29="",J29&gt;=3),OR(N29="",N29&gt;=3),OR(R29="",R29&gt;=3)),"✓ APROBADO","✗ REPROBADO")))</f>
        <v/>
      </c>
    </row>
    <row r="30" spans="1:19" ht="16.05" customHeight="1">
      <c r="A30" s="116">
        <v>26</v>
      </c>
      <c r="B30" s="117">
        <f>MAESTRO!D30</f>
        <v>0</v>
      </c>
      <c r="C30" s="125" t="str">
        <f>IF(MAESTRO!D30="","",IFERROR('PROM (Ingles 8°)'!AE30,""))</f>
        <v/>
      </c>
      <c r="D30" s="125" t="str">
        <f>IF(MAESTRO!D30="","",IFERROR('PROM (Ingles 8°)'!BM30,""))</f>
        <v/>
      </c>
      <c r="E30" s="125" t="str">
        <f>IF(MAESTRO!D30="","",IFERROR('PROM (Ingles 8°)'!CU30,""))</f>
        <v/>
      </c>
      <c r="F30" s="126" t="str">
        <f>IF(MAESTRO!D30="","",IFERROR(TRUNC(AVERAGE(C30,D30,E30),1),""))</f>
        <v/>
      </c>
      <c r="G30" s="125" t="str">
        <f>IF(MAESTRO!D30="","",IFERROR('PROM (Agropecuaria 8°)'!AE30,""))</f>
        <v/>
      </c>
      <c r="H30" s="125" t="str">
        <f>IF(MAESTRO!D30="","",IFERROR('PROM (Agropecuaria 8°)'!BM30,""))</f>
        <v/>
      </c>
      <c r="I30" s="125" t="str">
        <f>IF(MAESTRO!D30="","",IFERROR('PROM (Agropecuaria 8°)'!CU30,""))</f>
        <v/>
      </c>
      <c r="J30" s="126" t="str">
        <f>IF(MAESTRO!D30="","",IFERROR(TRUNC(AVERAGE(G30,H30,I30),1),""))</f>
        <v/>
      </c>
      <c r="K30" s="125" t="str">
        <f>IF(MAESTRO!D30="","",IFERROR('PROM (Comercio 8°)'!AE30,""))</f>
        <v/>
      </c>
      <c r="L30" s="125" t="str">
        <f>IF(MAESTRO!D30="","",IFERROR('PROM (Comercio 8°)'!BM30,""))</f>
        <v/>
      </c>
      <c r="M30" s="125" t="str">
        <f>IF(MAESTRO!D30="","",IFERROR('PROM (Comercio 8°)'!CU30,""))</f>
        <v/>
      </c>
      <c r="N30" s="126" t="str">
        <f>IF(MAESTRO!D30="","",IFERROR(TRUNC(AVERAGE(K30,L30,M30),1),""))</f>
        <v/>
      </c>
      <c r="O30" s="124" t="str">
        <f>IF(MAESTRO!D30="","",IFERROR(AVERAGE(G30,K30),""))</f>
        <v/>
      </c>
      <c r="P30" s="124" t="str">
        <f>IF(MAESTRO!D30="","",IFERROR(AVERAGE(H30,L30),""))</f>
        <v/>
      </c>
      <c r="Q30" s="124" t="str">
        <f>IF(MAESTRO!D30="","",IFERROR(AVERAGE(I30,M30),""))</f>
        <v/>
      </c>
      <c r="R30" s="124" t="str">
        <f>IF(MAESTRO!D30="","",IFERROR(TRUNC(AVERAGE(O30,P30,Q30),1),""))</f>
        <v/>
      </c>
      <c r="S30" s="126" t="str">
        <f>IF(MAESTRO!D30="","",IF(AND(F30="",J30="",N30="",R30=""),"",IF(Y(OR(F30="",F30&gt;=3),OR(J30="",J30&gt;=3),OR(N30="",N30&gt;=3),OR(R30="",R30&gt;=3)),"✓ APROBADO","✗ REPROBADO")))</f>
        <v/>
      </c>
    </row>
    <row r="31" spans="1:19" ht="16.05" customHeight="1">
      <c r="A31" s="118">
        <v>27</v>
      </c>
      <c r="B31" s="119">
        <f>MAESTRO!D31</f>
        <v>0</v>
      </c>
      <c r="C31" s="122" t="str">
        <f>IF(MAESTRO!D31="","",IFERROR('PROM (Ingles 8°)'!AE31,""))</f>
        <v/>
      </c>
      <c r="D31" s="122" t="str">
        <f>IF(MAESTRO!D31="","",IFERROR('PROM (Ingles 8°)'!BM31,""))</f>
        <v/>
      </c>
      <c r="E31" s="122" t="str">
        <f>IF(MAESTRO!D31="","",IFERROR('PROM (Ingles 8°)'!CU31,""))</f>
        <v/>
      </c>
      <c r="F31" s="123" t="str">
        <f>IF(MAESTRO!D31="","",IFERROR(TRUNC(AVERAGE(C31,D31,E31),1),""))</f>
        <v/>
      </c>
      <c r="G31" s="122" t="str">
        <f>IF(MAESTRO!D31="","",IFERROR('PROM (Agropecuaria 8°)'!AE31,""))</f>
        <v/>
      </c>
      <c r="H31" s="122" t="str">
        <f>IF(MAESTRO!D31="","",IFERROR('PROM (Agropecuaria 8°)'!BM31,""))</f>
        <v/>
      </c>
      <c r="I31" s="122" t="str">
        <f>IF(MAESTRO!D31="","",IFERROR('PROM (Agropecuaria 8°)'!CU31,""))</f>
        <v/>
      </c>
      <c r="J31" s="123" t="str">
        <f>IF(MAESTRO!D31="","",IFERROR(TRUNC(AVERAGE(G31,H31,I31),1),""))</f>
        <v/>
      </c>
      <c r="K31" s="122" t="str">
        <f>IF(MAESTRO!D31="","",IFERROR('PROM (Comercio 8°)'!AE31,""))</f>
        <v/>
      </c>
      <c r="L31" s="122" t="str">
        <f>IF(MAESTRO!D31="","",IFERROR('PROM (Comercio 8°)'!BM31,""))</f>
        <v/>
      </c>
      <c r="M31" s="122" t="str">
        <f>IF(MAESTRO!D31="","",IFERROR('PROM (Comercio 8°)'!CU31,""))</f>
        <v/>
      </c>
      <c r="N31" s="123" t="str">
        <f>IF(MAESTRO!D31="","",IFERROR(TRUNC(AVERAGE(K31,L31,M31),1),""))</f>
        <v/>
      </c>
      <c r="O31" s="124" t="str">
        <f>IF(MAESTRO!D31="","",IFERROR(AVERAGE(G31,K31),""))</f>
        <v/>
      </c>
      <c r="P31" s="124" t="str">
        <f>IF(MAESTRO!D31="","",IFERROR(AVERAGE(H31,L31),""))</f>
        <v/>
      </c>
      <c r="Q31" s="124" t="str">
        <f>IF(MAESTRO!D31="","",IFERROR(AVERAGE(I31,M31),""))</f>
        <v/>
      </c>
      <c r="R31" s="124" t="str">
        <f>IF(MAESTRO!D31="","",IFERROR(TRUNC(AVERAGE(O31,P31,Q31),1),""))</f>
        <v/>
      </c>
      <c r="S31" s="123" t="str">
        <f>IF(MAESTRO!D31="","",IF(AND(F31="",J31="",N31="",R31=""),"",IF(Y(OR(F31="",F31&gt;=3),OR(J31="",J31&gt;=3),OR(N31="",N31&gt;=3),OR(R31="",R31&gt;=3)),"✓ APROBADO","✗ REPROBADO")))</f>
        <v/>
      </c>
    </row>
    <row r="32" spans="1:19" ht="16.05" customHeight="1">
      <c r="A32" s="116">
        <v>28</v>
      </c>
      <c r="B32" s="117">
        <f>MAESTRO!D32</f>
        <v>0</v>
      </c>
      <c r="C32" s="125" t="str">
        <f>IF(MAESTRO!D32="","",IFERROR('PROM (Ingles 8°)'!AE32,""))</f>
        <v/>
      </c>
      <c r="D32" s="125" t="str">
        <f>IF(MAESTRO!D32="","",IFERROR('PROM (Ingles 8°)'!BM32,""))</f>
        <v/>
      </c>
      <c r="E32" s="125" t="str">
        <f>IF(MAESTRO!D32="","",IFERROR('PROM (Ingles 8°)'!CU32,""))</f>
        <v/>
      </c>
      <c r="F32" s="126" t="str">
        <f>IF(MAESTRO!D32="","",IFERROR(TRUNC(AVERAGE(C32,D32,E32),1),""))</f>
        <v/>
      </c>
      <c r="G32" s="125" t="str">
        <f>IF(MAESTRO!D32="","",IFERROR('PROM (Agropecuaria 8°)'!AE32,""))</f>
        <v/>
      </c>
      <c r="H32" s="125" t="str">
        <f>IF(MAESTRO!D32="","",IFERROR('PROM (Agropecuaria 8°)'!BM32,""))</f>
        <v/>
      </c>
      <c r="I32" s="125" t="str">
        <f>IF(MAESTRO!D32="","",IFERROR('PROM (Agropecuaria 8°)'!CU32,""))</f>
        <v/>
      </c>
      <c r="J32" s="126" t="str">
        <f>IF(MAESTRO!D32="","",IFERROR(TRUNC(AVERAGE(G32,H32,I32),1),""))</f>
        <v/>
      </c>
      <c r="K32" s="125" t="str">
        <f>IF(MAESTRO!D32="","",IFERROR('PROM (Comercio 8°)'!AE32,""))</f>
        <v/>
      </c>
      <c r="L32" s="125" t="str">
        <f>IF(MAESTRO!D32="","",IFERROR('PROM (Comercio 8°)'!BM32,""))</f>
        <v/>
      </c>
      <c r="M32" s="125" t="str">
        <f>IF(MAESTRO!D32="","",IFERROR('PROM (Comercio 8°)'!CU32,""))</f>
        <v/>
      </c>
      <c r="N32" s="126" t="str">
        <f>IF(MAESTRO!D32="","",IFERROR(TRUNC(AVERAGE(K32,L32,M32),1),""))</f>
        <v/>
      </c>
      <c r="O32" s="124" t="str">
        <f>IF(MAESTRO!D32="","",IFERROR(AVERAGE(G32,K32),""))</f>
        <v/>
      </c>
      <c r="P32" s="124" t="str">
        <f>IF(MAESTRO!D32="","",IFERROR(AVERAGE(H32,L32),""))</f>
        <v/>
      </c>
      <c r="Q32" s="124" t="str">
        <f>IF(MAESTRO!D32="","",IFERROR(AVERAGE(I32,M32),""))</f>
        <v/>
      </c>
      <c r="R32" s="124" t="str">
        <f>IF(MAESTRO!D32="","",IFERROR(TRUNC(AVERAGE(O32,P32,Q32),1),""))</f>
        <v/>
      </c>
      <c r="S32" s="126" t="str">
        <f>IF(MAESTRO!D32="","",IF(AND(F32="",J32="",N32="",R32=""),"",IF(Y(OR(F32="",F32&gt;=3),OR(J32="",J32&gt;=3),OR(N32="",N32&gt;=3),OR(R32="",R32&gt;=3)),"✓ APROBADO","✗ REPROBADO")))</f>
        <v/>
      </c>
    </row>
    <row r="33" spans="1:19" ht="16.05" customHeight="1">
      <c r="A33" s="118">
        <v>29</v>
      </c>
      <c r="B33" s="119">
        <f>MAESTRO!D33</f>
        <v>0</v>
      </c>
      <c r="C33" s="122" t="str">
        <f>IF(MAESTRO!D33="","",IFERROR('PROM (Ingles 8°)'!AE33,""))</f>
        <v/>
      </c>
      <c r="D33" s="122" t="str">
        <f>IF(MAESTRO!D33="","",IFERROR('PROM (Ingles 8°)'!BM33,""))</f>
        <v/>
      </c>
      <c r="E33" s="122" t="str">
        <f>IF(MAESTRO!D33="","",IFERROR('PROM (Ingles 8°)'!CU33,""))</f>
        <v/>
      </c>
      <c r="F33" s="123" t="str">
        <f>IF(MAESTRO!D33="","",IFERROR(TRUNC(AVERAGE(C33,D33,E33),1),""))</f>
        <v/>
      </c>
      <c r="G33" s="122" t="str">
        <f>IF(MAESTRO!D33="","",IFERROR('PROM (Agropecuaria 8°)'!AE33,""))</f>
        <v/>
      </c>
      <c r="H33" s="122" t="str">
        <f>IF(MAESTRO!D33="","",IFERROR('PROM (Agropecuaria 8°)'!BM33,""))</f>
        <v/>
      </c>
      <c r="I33" s="122" t="str">
        <f>IF(MAESTRO!D33="","",IFERROR('PROM (Agropecuaria 8°)'!CU33,""))</f>
        <v/>
      </c>
      <c r="J33" s="123" t="str">
        <f>IF(MAESTRO!D33="","",IFERROR(TRUNC(AVERAGE(G33,H33,I33),1),""))</f>
        <v/>
      </c>
      <c r="K33" s="122" t="str">
        <f>IF(MAESTRO!D33="","",IFERROR('PROM (Comercio 8°)'!AE33,""))</f>
        <v/>
      </c>
      <c r="L33" s="122" t="str">
        <f>IF(MAESTRO!D33="","",IFERROR('PROM (Comercio 8°)'!BM33,""))</f>
        <v/>
      </c>
      <c r="M33" s="122" t="str">
        <f>IF(MAESTRO!D33="","",IFERROR('PROM (Comercio 8°)'!CU33,""))</f>
        <v/>
      </c>
      <c r="N33" s="123" t="str">
        <f>IF(MAESTRO!D33="","",IFERROR(TRUNC(AVERAGE(K33,L33,M33),1),""))</f>
        <v/>
      </c>
      <c r="O33" s="124" t="str">
        <f>IF(MAESTRO!D33="","",IFERROR(AVERAGE(G33,K33),""))</f>
        <v/>
      </c>
      <c r="P33" s="124" t="str">
        <f>IF(MAESTRO!D33="","",IFERROR(AVERAGE(H33,L33),""))</f>
        <v/>
      </c>
      <c r="Q33" s="124" t="str">
        <f>IF(MAESTRO!D33="","",IFERROR(AVERAGE(I33,M33),""))</f>
        <v/>
      </c>
      <c r="R33" s="124" t="str">
        <f>IF(MAESTRO!D33="","",IFERROR(TRUNC(AVERAGE(O33,P33,Q33),1),""))</f>
        <v/>
      </c>
      <c r="S33" s="123" t="str">
        <f>IF(MAESTRO!D33="","",IF(AND(F33="",J33="",N33="",R33=""),"",IF(Y(OR(F33="",F33&gt;=3),OR(J33="",J33&gt;=3),OR(N33="",N33&gt;=3),OR(R33="",R33&gt;=3)),"✓ APROBADO","✗ REPROBADO")))</f>
        <v/>
      </c>
    </row>
    <row r="34" spans="1:19" ht="16.05" customHeight="1">
      <c r="A34" s="116">
        <v>30</v>
      </c>
      <c r="B34" s="117">
        <f>MAESTRO!D34</f>
        <v>0</v>
      </c>
      <c r="C34" s="125" t="str">
        <f>IF(MAESTRO!D34="","",IFERROR('PROM (Ingles 8°)'!AE34,""))</f>
        <v/>
      </c>
      <c r="D34" s="125" t="str">
        <f>IF(MAESTRO!D34="","",IFERROR('PROM (Ingles 8°)'!BM34,""))</f>
        <v/>
      </c>
      <c r="E34" s="125" t="str">
        <f>IF(MAESTRO!D34="","",IFERROR('PROM (Ingles 8°)'!CU34,""))</f>
        <v/>
      </c>
      <c r="F34" s="126" t="str">
        <f>IF(MAESTRO!D34="","",IFERROR(TRUNC(AVERAGE(C34,D34,E34),1),""))</f>
        <v/>
      </c>
      <c r="G34" s="125" t="str">
        <f>IF(MAESTRO!D34="","",IFERROR('PROM (Agropecuaria 8°)'!AE34,""))</f>
        <v/>
      </c>
      <c r="H34" s="125" t="str">
        <f>IF(MAESTRO!D34="","",IFERROR('PROM (Agropecuaria 8°)'!BM34,""))</f>
        <v/>
      </c>
      <c r="I34" s="125" t="str">
        <f>IF(MAESTRO!D34="","",IFERROR('PROM (Agropecuaria 8°)'!CU34,""))</f>
        <v/>
      </c>
      <c r="J34" s="126" t="str">
        <f>IF(MAESTRO!D34="","",IFERROR(TRUNC(AVERAGE(G34,H34,I34),1),""))</f>
        <v/>
      </c>
      <c r="K34" s="125" t="str">
        <f>IF(MAESTRO!D34="","",IFERROR('PROM (Comercio 8°)'!AE34,""))</f>
        <v/>
      </c>
      <c r="L34" s="125" t="str">
        <f>IF(MAESTRO!D34="","",IFERROR('PROM (Comercio 8°)'!BM34,""))</f>
        <v/>
      </c>
      <c r="M34" s="125" t="str">
        <f>IF(MAESTRO!D34="","",IFERROR('PROM (Comercio 8°)'!CU34,""))</f>
        <v/>
      </c>
      <c r="N34" s="126" t="str">
        <f>IF(MAESTRO!D34="","",IFERROR(TRUNC(AVERAGE(K34,L34,M34),1),""))</f>
        <v/>
      </c>
      <c r="O34" s="124" t="str">
        <f>IF(MAESTRO!D34="","",IFERROR(AVERAGE(G34,K34),""))</f>
        <v/>
      </c>
      <c r="P34" s="124" t="str">
        <f>IF(MAESTRO!D34="","",IFERROR(AVERAGE(H34,L34),""))</f>
        <v/>
      </c>
      <c r="Q34" s="124" t="str">
        <f>IF(MAESTRO!D34="","",IFERROR(AVERAGE(I34,M34),""))</f>
        <v/>
      </c>
      <c r="R34" s="124" t="str">
        <f>IF(MAESTRO!D34="","",IFERROR(TRUNC(AVERAGE(O34,P34,Q34),1),""))</f>
        <v/>
      </c>
      <c r="S34" s="126" t="str">
        <f>IF(MAESTRO!D34="","",IF(AND(F34="",J34="",N34="",R34=""),"",IF(Y(OR(F34="",F34&gt;=3),OR(J34="",J34&gt;=3),OR(N34="",N34&gt;=3),OR(R34="",R34&gt;=3)),"✓ APROBADO","✗ REPROBADO")))</f>
        <v/>
      </c>
    </row>
    <row r="35" spans="1:19" ht="16.05" customHeight="1">
      <c r="A35" s="118">
        <v>31</v>
      </c>
      <c r="B35" s="119">
        <f>MAESTRO!D35</f>
        <v>0</v>
      </c>
      <c r="C35" s="122" t="str">
        <f>IF(MAESTRO!D35="","",IFERROR('PROM (Ingles 8°)'!AE35,""))</f>
        <v/>
      </c>
      <c r="D35" s="122" t="str">
        <f>IF(MAESTRO!D35="","",IFERROR('PROM (Ingles 8°)'!BM35,""))</f>
        <v/>
      </c>
      <c r="E35" s="122" t="str">
        <f>IF(MAESTRO!D35="","",IFERROR('PROM (Ingles 8°)'!CU35,""))</f>
        <v/>
      </c>
      <c r="F35" s="123" t="str">
        <f>IF(MAESTRO!D35="","",IFERROR(TRUNC(AVERAGE(C35,D35,E35),1),""))</f>
        <v/>
      </c>
      <c r="G35" s="122" t="str">
        <f>IF(MAESTRO!D35="","",IFERROR('PROM (Agropecuaria 8°)'!AE35,""))</f>
        <v/>
      </c>
      <c r="H35" s="122" t="str">
        <f>IF(MAESTRO!D35="","",IFERROR('PROM (Agropecuaria 8°)'!BM35,""))</f>
        <v/>
      </c>
      <c r="I35" s="122" t="str">
        <f>IF(MAESTRO!D35="","",IFERROR('PROM (Agropecuaria 8°)'!CU35,""))</f>
        <v/>
      </c>
      <c r="J35" s="123" t="str">
        <f>IF(MAESTRO!D35="","",IFERROR(TRUNC(AVERAGE(G35,H35,I35),1),""))</f>
        <v/>
      </c>
      <c r="K35" s="122" t="str">
        <f>IF(MAESTRO!D35="","",IFERROR('PROM (Comercio 8°)'!AE35,""))</f>
        <v/>
      </c>
      <c r="L35" s="122" t="str">
        <f>IF(MAESTRO!D35="","",IFERROR('PROM (Comercio 8°)'!BM35,""))</f>
        <v/>
      </c>
      <c r="M35" s="122" t="str">
        <f>IF(MAESTRO!D35="","",IFERROR('PROM (Comercio 8°)'!CU35,""))</f>
        <v/>
      </c>
      <c r="N35" s="123" t="str">
        <f>IF(MAESTRO!D35="","",IFERROR(TRUNC(AVERAGE(K35,L35,M35),1),""))</f>
        <v/>
      </c>
      <c r="O35" s="124" t="str">
        <f>IF(MAESTRO!D35="","",IFERROR(AVERAGE(G35,K35),""))</f>
        <v/>
      </c>
      <c r="P35" s="124" t="str">
        <f>IF(MAESTRO!D35="","",IFERROR(AVERAGE(H35,L35),""))</f>
        <v/>
      </c>
      <c r="Q35" s="124" t="str">
        <f>IF(MAESTRO!D35="","",IFERROR(AVERAGE(I35,M35),""))</f>
        <v/>
      </c>
      <c r="R35" s="124" t="str">
        <f>IF(MAESTRO!D35="","",IFERROR(TRUNC(AVERAGE(O35,P35,Q35),1),""))</f>
        <v/>
      </c>
      <c r="S35" s="123" t="str">
        <f>IF(MAESTRO!D35="","",IF(AND(F35="",J35="",N35="",R35=""),"",IF(Y(OR(F35="",F35&gt;=3),OR(J35="",J35&gt;=3),OR(N35="",N35&gt;=3),OR(R35="",R35&gt;=3)),"✓ APROBADO","✗ REPROBADO")))</f>
        <v/>
      </c>
    </row>
    <row r="36" spans="1:19" ht="16.05" customHeight="1">
      <c r="A36" s="116">
        <v>32</v>
      </c>
      <c r="B36" s="117">
        <f>MAESTRO!D36</f>
        <v>0</v>
      </c>
      <c r="C36" s="125" t="str">
        <f>IF(MAESTRO!D36="","",IFERROR('PROM (Ingles 8°)'!AE36,""))</f>
        <v/>
      </c>
      <c r="D36" s="125" t="str">
        <f>IF(MAESTRO!D36="","",IFERROR('PROM (Ingles 8°)'!BM36,""))</f>
        <v/>
      </c>
      <c r="E36" s="125" t="str">
        <f>IF(MAESTRO!D36="","",IFERROR('PROM (Ingles 8°)'!CU36,""))</f>
        <v/>
      </c>
      <c r="F36" s="126" t="str">
        <f>IF(MAESTRO!D36="","",IFERROR(TRUNC(AVERAGE(C36,D36,E36),1),""))</f>
        <v/>
      </c>
      <c r="G36" s="125" t="str">
        <f>IF(MAESTRO!D36="","",IFERROR('PROM (Agropecuaria 8°)'!AE36,""))</f>
        <v/>
      </c>
      <c r="H36" s="125" t="str">
        <f>IF(MAESTRO!D36="","",IFERROR('PROM (Agropecuaria 8°)'!BM36,""))</f>
        <v/>
      </c>
      <c r="I36" s="125" t="str">
        <f>IF(MAESTRO!D36="","",IFERROR('PROM (Agropecuaria 8°)'!CU36,""))</f>
        <v/>
      </c>
      <c r="J36" s="126" t="str">
        <f>IF(MAESTRO!D36="","",IFERROR(TRUNC(AVERAGE(G36,H36,I36),1),""))</f>
        <v/>
      </c>
      <c r="K36" s="125" t="str">
        <f>IF(MAESTRO!D36="","",IFERROR('PROM (Comercio 8°)'!AE36,""))</f>
        <v/>
      </c>
      <c r="L36" s="125" t="str">
        <f>IF(MAESTRO!D36="","",IFERROR('PROM (Comercio 8°)'!BM36,""))</f>
        <v/>
      </c>
      <c r="M36" s="125" t="str">
        <f>IF(MAESTRO!D36="","",IFERROR('PROM (Comercio 8°)'!CU36,""))</f>
        <v/>
      </c>
      <c r="N36" s="126" t="str">
        <f>IF(MAESTRO!D36="","",IFERROR(TRUNC(AVERAGE(K36,L36,M36),1),""))</f>
        <v/>
      </c>
      <c r="O36" s="124" t="str">
        <f>IF(MAESTRO!D36="","",IFERROR(AVERAGE(G36,K36),""))</f>
        <v/>
      </c>
      <c r="P36" s="124" t="str">
        <f>IF(MAESTRO!D36="","",IFERROR(AVERAGE(H36,L36),""))</f>
        <v/>
      </c>
      <c r="Q36" s="124" t="str">
        <f>IF(MAESTRO!D36="","",IFERROR(AVERAGE(I36,M36),""))</f>
        <v/>
      </c>
      <c r="R36" s="124" t="str">
        <f>IF(MAESTRO!D36="","",IFERROR(TRUNC(AVERAGE(O36,P36,Q36),1),""))</f>
        <v/>
      </c>
      <c r="S36" s="126" t="str">
        <f>IF(MAESTRO!D36="","",IF(AND(F36="",J36="",N36="",R36=""),"",IF(Y(OR(F36="",F36&gt;=3),OR(J36="",J36&gt;=3),OR(N36="",N36&gt;=3),OR(R36="",R36&gt;=3)),"✓ APROBADO","✗ REPROBADO")))</f>
        <v/>
      </c>
    </row>
    <row r="37" spans="1:19" ht="16.05" customHeight="1">
      <c r="A37" s="118">
        <v>33</v>
      </c>
      <c r="B37" s="119">
        <f>MAESTRO!D37</f>
        <v>0</v>
      </c>
      <c r="C37" s="122" t="str">
        <f>IF(MAESTRO!D37="","",IFERROR('PROM (Ingles 8°)'!AE37,""))</f>
        <v/>
      </c>
      <c r="D37" s="122" t="str">
        <f>IF(MAESTRO!D37="","",IFERROR('PROM (Ingles 8°)'!BM37,""))</f>
        <v/>
      </c>
      <c r="E37" s="122" t="str">
        <f>IF(MAESTRO!D37="","",IFERROR('PROM (Ingles 8°)'!CU37,""))</f>
        <v/>
      </c>
      <c r="F37" s="123" t="str">
        <f>IF(MAESTRO!D37="","",IFERROR(TRUNC(AVERAGE(C37,D37,E37),1),""))</f>
        <v/>
      </c>
      <c r="G37" s="122" t="str">
        <f>IF(MAESTRO!D37="","",IFERROR('PROM (Agropecuaria 8°)'!AE37,""))</f>
        <v/>
      </c>
      <c r="H37" s="122" t="str">
        <f>IF(MAESTRO!D37="","",IFERROR('PROM (Agropecuaria 8°)'!BM37,""))</f>
        <v/>
      </c>
      <c r="I37" s="122" t="str">
        <f>IF(MAESTRO!D37="","",IFERROR('PROM (Agropecuaria 8°)'!CU37,""))</f>
        <v/>
      </c>
      <c r="J37" s="123" t="str">
        <f>IF(MAESTRO!D37="","",IFERROR(TRUNC(AVERAGE(G37,H37,I37),1),""))</f>
        <v/>
      </c>
      <c r="K37" s="122" t="str">
        <f>IF(MAESTRO!D37="","",IFERROR('PROM (Comercio 8°)'!AE37,""))</f>
        <v/>
      </c>
      <c r="L37" s="122" t="str">
        <f>IF(MAESTRO!D37="","",IFERROR('PROM (Comercio 8°)'!BM37,""))</f>
        <v/>
      </c>
      <c r="M37" s="122" t="str">
        <f>IF(MAESTRO!D37="","",IFERROR('PROM (Comercio 8°)'!CU37,""))</f>
        <v/>
      </c>
      <c r="N37" s="123" t="str">
        <f>IF(MAESTRO!D37="","",IFERROR(TRUNC(AVERAGE(K37,L37,M37),1),""))</f>
        <v/>
      </c>
      <c r="O37" s="124" t="str">
        <f>IF(MAESTRO!D37="","",IFERROR(AVERAGE(G37,K37),""))</f>
        <v/>
      </c>
      <c r="P37" s="124" t="str">
        <f>IF(MAESTRO!D37="","",IFERROR(AVERAGE(H37,L37),""))</f>
        <v/>
      </c>
      <c r="Q37" s="124" t="str">
        <f>IF(MAESTRO!D37="","",IFERROR(AVERAGE(I37,M37),""))</f>
        <v/>
      </c>
      <c r="R37" s="124" t="str">
        <f>IF(MAESTRO!D37="","",IFERROR(TRUNC(AVERAGE(O37,P37,Q37),1),""))</f>
        <v/>
      </c>
      <c r="S37" s="123" t="str">
        <f>IF(MAESTRO!D37="","",IF(AND(F37="",J37="",N37="",R37=""),"",IF(Y(OR(F37="",F37&gt;=3),OR(J37="",J37&gt;=3),OR(N37="",N37&gt;=3),OR(R37="",R37&gt;=3)),"✓ APROBADO","✗ REPROBADO")))</f>
        <v/>
      </c>
    </row>
    <row r="38" spans="1:19" ht="16.05" customHeight="1">
      <c r="A38" s="116">
        <v>34</v>
      </c>
      <c r="B38" s="117">
        <f>MAESTRO!D38</f>
        <v>0</v>
      </c>
      <c r="C38" s="125" t="str">
        <f>IF(MAESTRO!D38="","",IFERROR('PROM (Ingles 8°)'!AE38,""))</f>
        <v/>
      </c>
      <c r="D38" s="125" t="str">
        <f>IF(MAESTRO!D38="","",IFERROR('PROM (Ingles 8°)'!BM38,""))</f>
        <v/>
      </c>
      <c r="E38" s="125" t="str">
        <f>IF(MAESTRO!D38="","",IFERROR('PROM (Ingles 8°)'!CU38,""))</f>
        <v/>
      </c>
      <c r="F38" s="126" t="str">
        <f>IF(MAESTRO!D38="","",IFERROR(TRUNC(AVERAGE(C38,D38,E38),1),""))</f>
        <v/>
      </c>
      <c r="G38" s="125" t="str">
        <f>IF(MAESTRO!D38="","",IFERROR('PROM (Agropecuaria 8°)'!AE38,""))</f>
        <v/>
      </c>
      <c r="H38" s="125" t="str">
        <f>IF(MAESTRO!D38="","",IFERROR('PROM (Agropecuaria 8°)'!BM38,""))</f>
        <v/>
      </c>
      <c r="I38" s="125" t="str">
        <f>IF(MAESTRO!D38="","",IFERROR('PROM (Agropecuaria 8°)'!CU38,""))</f>
        <v/>
      </c>
      <c r="J38" s="126" t="str">
        <f>IF(MAESTRO!D38="","",IFERROR(TRUNC(AVERAGE(G38,H38,I38),1),""))</f>
        <v/>
      </c>
      <c r="K38" s="125" t="str">
        <f>IF(MAESTRO!D38="","",IFERROR('PROM (Comercio 8°)'!AE38,""))</f>
        <v/>
      </c>
      <c r="L38" s="125" t="str">
        <f>IF(MAESTRO!D38="","",IFERROR('PROM (Comercio 8°)'!BM38,""))</f>
        <v/>
      </c>
      <c r="M38" s="125" t="str">
        <f>IF(MAESTRO!D38="","",IFERROR('PROM (Comercio 8°)'!CU38,""))</f>
        <v/>
      </c>
      <c r="N38" s="126" t="str">
        <f>IF(MAESTRO!D38="","",IFERROR(TRUNC(AVERAGE(K38,L38,M38),1),""))</f>
        <v/>
      </c>
      <c r="O38" s="124" t="str">
        <f>IF(MAESTRO!D38="","",IFERROR(AVERAGE(G38,K38),""))</f>
        <v/>
      </c>
      <c r="P38" s="124" t="str">
        <f>IF(MAESTRO!D38="","",IFERROR(AVERAGE(H38,L38),""))</f>
        <v/>
      </c>
      <c r="Q38" s="124" t="str">
        <f>IF(MAESTRO!D38="","",IFERROR(AVERAGE(I38,M38),""))</f>
        <v/>
      </c>
      <c r="R38" s="124" t="str">
        <f>IF(MAESTRO!D38="","",IFERROR(TRUNC(AVERAGE(O38,P38,Q38),1),""))</f>
        <v/>
      </c>
      <c r="S38" s="126" t="str">
        <f>IF(MAESTRO!D38="","",IF(AND(F38="",J38="",N38="",R38=""),"",IF(Y(OR(F38="",F38&gt;=3),OR(J38="",J38&gt;=3),OR(N38="",N38&gt;=3),OR(R38="",R38&gt;=3)),"✓ APROBADO","✗ REPROBADO")))</f>
        <v/>
      </c>
    </row>
    <row r="39" spans="1:19" ht="16.05" customHeight="1">
      <c r="A39" s="118">
        <v>35</v>
      </c>
      <c r="B39" s="119">
        <f>MAESTRO!D39</f>
        <v>0</v>
      </c>
      <c r="C39" s="122" t="str">
        <f>IF(MAESTRO!D39="","",IFERROR('PROM (Ingles 8°)'!AE39,""))</f>
        <v/>
      </c>
      <c r="D39" s="122" t="str">
        <f>IF(MAESTRO!D39="","",IFERROR('PROM (Ingles 8°)'!BM39,""))</f>
        <v/>
      </c>
      <c r="E39" s="122" t="str">
        <f>IF(MAESTRO!D39="","",IFERROR('PROM (Ingles 8°)'!CU39,""))</f>
        <v/>
      </c>
      <c r="F39" s="123" t="str">
        <f>IF(MAESTRO!D39="","",IFERROR(TRUNC(AVERAGE(C39,D39,E39),1),""))</f>
        <v/>
      </c>
      <c r="G39" s="122" t="str">
        <f>IF(MAESTRO!D39="","",IFERROR('PROM (Agropecuaria 8°)'!AE39,""))</f>
        <v/>
      </c>
      <c r="H39" s="122" t="str">
        <f>IF(MAESTRO!D39="","",IFERROR('PROM (Agropecuaria 8°)'!BM39,""))</f>
        <v/>
      </c>
      <c r="I39" s="122" t="str">
        <f>IF(MAESTRO!D39="","",IFERROR('PROM (Agropecuaria 8°)'!CU39,""))</f>
        <v/>
      </c>
      <c r="J39" s="123" t="str">
        <f>IF(MAESTRO!D39="","",IFERROR(TRUNC(AVERAGE(G39,H39,I39),1),""))</f>
        <v/>
      </c>
      <c r="K39" s="122" t="str">
        <f>IF(MAESTRO!D39="","",IFERROR('PROM (Comercio 8°)'!AE39,""))</f>
        <v/>
      </c>
      <c r="L39" s="122" t="str">
        <f>IF(MAESTRO!D39="","",IFERROR('PROM (Comercio 8°)'!BM39,""))</f>
        <v/>
      </c>
      <c r="M39" s="122" t="str">
        <f>IF(MAESTRO!D39="","",IFERROR('PROM (Comercio 8°)'!CU39,""))</f>
        <v/>
      </c>
      <c r="N39" s="123" t="str">
        <f>IF(MAESTRO!D39="","",IFERROR(TRUNC(AVERAGE(K39,L39,M39),1),""))</f>
        <v/>
      </c>
      <c r="O39" s="124" t="str">
        <f>IF(MAESTRO!D39="","",IFERROR(AVERAGE(G39,K39),""))</f>
        <v/>
      </c>
      <c r="P39" s="124" t="str">
        <f>IF(MAESTRO!D39="","",IFERROR(AVERAGE(H39,L39),""))</f>
        <v/>
      </c>
      <c r="Q39" s="124" t="str">
        <f>IF(MAESTRO!D39="","",IFERROR(AVERAGE(I39,M39),""))</f>
        <v/>
      </c>
      <c r="R39" s="124" t="str">
        <f>IF(MAESTRO!D39="","",IFERROR(TRUNC(AVERAGE(O39,P39,Q39),1),""))</f>
        <v/>
      </c>
      <c r="S39" s="123" t="str">
        <f>IF(MAESTRO!D39="","",IF(AND(F39="",J39="",N39="",R39=""),"",IF(Y(OR(F39="",F39&gt;=3),OR(J39="",J39&gt;=3),OR(N39="",N39&gt;=3),OR(R39="",R39&gt;=3)),"✓ APROBADO","✗ REPROBADO")))</f>
        <v/>
      </c>
    </row>
    <row r="40" spans="1:19" ht="16.05" customHeight="1">
      <c r="A40" s="116">
        <v>36</v>
      </c>
      <c r="B40" s="117">
        <f>MAESTRO!D40</f>
        <v>0</v>
      </c>
      <c r="C40" s="125" t="str">
        <f>IF(MAESTRO!D40="","",IFERROR('PROM (Ingles 8°)'!AE40,""))</f>
        <v/>
      </c>
      <c r="D40" s="125" t="str">
        <f>IF(MAESTRO!D40="","",IFERROR('PROM (Ingles 8°)'!BM40,""))</f>
        <v/>
      </c>
      <c r="E40" s="125" t="str">
        <f>IF(MAESTRO!D40="","",IFERROR('PROM (Ingles 8°)'!CU40,""))</f>
        <v/>
      </c>
      <c r="F40" s="126" t="str">
        <f>IF(MAESTRO!D40="","",IFERROR(TRUNC(AVERAGE(C40,D40,E40),1),""))</f>
        <v/>
      </c>
      <c r="G40" s="125" t="str">
        <f>IF(MAESTRO!D40="","",IFERROR('PROM (Agropecuaria 8°)'!AE40,""))</f>
        <v/>
      </c>
      <c r="H40" s="125" t="str">
        <f>IF(MAESTRO!D40="","",IFERROR('PROM (Agropecuaria 8°)'!BM40,""))</f>
        <v/>
      </c>
      <c r="I40" s="125" t="str">
        <f>IF(MAESTRO!D40="","",IFERROR('PROM (Agropecuaria 8°)'!CU40,""))</f>
        <v/>
      </c>
      <c r="J40" s="126" t="str">
        <f>IF(MAESTRO!D40="","",IFERROR(TRUNC(AVERAGE(G40,H40,I40),1),""))</f>
        <v/>
      </c>
      <c r="K40" s="125" t="str">
        <f>IF(MAESTRO!D40="","",IFERROR('PROM (Comercio 8°)'!AE40,""))</f>
        <v/>
      </c>
      <c r="L40" s="125" t="str">
        <f>IF(MAESTRO!D40="","",IFERROR('PROM (Comercio 8°)'!BM40,""))</f>
        <v/>
      </c>
      <c r="M40" s="125" t="str">
        <f>IF(MAESTRO!D40="","",IFERROR('PROM (Comercio 8°)'!CU40,""))</f>
        <v/>
      </c>
      <c r="N40" s="126" t="str">
        <f>IF(MAESTRO!D40="","",IFERROR(TRUNC(AVERAGE(K40,L40,M40),1),""))</f>
        <v/>
      </c>
      <c r="O40" s="124" t="str">
        <f>IF(MAESTRO!D40="","",IFERROR(AVERAGE(G40,K40),""))</f>
        <v/>
      </c>
      <c r="P40" s="124" t="str">
        <f>IF(MAESTRO!D40="","",IFERROR(AVERAGE(H40,L40),""))</f>
        <v/>
      </c>
      <c r="Q40" s="124" t="str">
        <f>IF(MAESTRO!D40="","",IFERROR(AVERAGE(I40,M40),""))</f>
        <v/>
      </c>
      <c r="R40" s="124" t="str">
        <f>IF(MAESTRO!D40="","",IFERROR(TRUNC(AVERAGE(O40,P40,Q40),1),""))</f>
        <v/>
      </c>
      <c r="S40" s="126" t="str">
        <f>IF(MAESTRO!D40="","",IF(AND(F40="",J40="",N40="",R40=""),"",IF(Y(OR(F40="",F40&gt;=3),OR(J40="",J40&gt;=3),OR(N40="",N40&gt;=3),OR(R40="",R40&gt;=3)),"✓ APROBADO","✗ REPROBADO")))</f>
        <v/>
      </c>
    </row>
    <row r="41" spans="1:19" ht="16.05" customHeight="1">
      <c r="A41" s="118">
        <v>37</v>
      </c>
      <c r="B41" s="119">
        <f>MAESTRO!D41</f>
        <v>0</v>
      </c>
      <c r="C41" s="122" t="str">
        <f>IF(MAESTRO!D41="","",IFERROR('PROM (Ingles 8°)'!AE41,""))</f>
        <v/>
      </c>
      <c r="D41" s="122" t="str">
        <f>IF(MAESTRO!D41="","",IFERROR('PROM (Ingles 8°)'!BM41,""))</f>
        <v/>
      </c>
      <c r="E41" s="122" t="str">
        <f>IF(MAESTRO!D41="","",IFERROR('PROM (Ingles 8°)'!CU41,""))</f>
        <v/>
      </c>
      <c r="F41" s="123" t="str">
        <f>IF(MAESTRO!D41="","",IFERROR(TRUNC(AVERAGE(C41,D41,E41),1),""))</f>
        <v/>
      </c>
      <c r="G41" s="122" t="str">
        <f>IF(MAESTRO!D41="","",IFERROR('PROM (Agropecuaria 8°)'!AE41,""))</f>
        <v/>
      </c>
      <c r="H41" s="122" t="str">
        <f>IF(MAESTRO!D41="","",IFERROR('PROM (Agropecuaria 8°)'!BM41,""))</f>
        <v/>
      </c>
      <c r="I41" s="122" t="str">
        <f>IF(MAESTRO!D41="","",IFERROR('PROM (Agropecuaria 8°)'!CU41,""))</f>
        <v/>
      </c>
      <c r="J41" s="123" t="str">
        <f>IF(MAESTRO!D41="","",IFERROR(TRUNC(AVERAGE(G41,H41,I41),1),""))</f>
        <v/>
      </c>
      <c r="K41" s="122" t="str">
        <f>IF(MAESTRO!D41="","",IFERROR('PROM (Comercio 8°)'!AE41,""))</f>
        <v/>
      </c>
      <c r="L41" s="122" t="str">
        <f>IF(MAESTRO!D41="","",IFERROR('PROM (Comercio 8°)'!BM41,""))</f>
        <v/>
      </c>
      <c r="M41" s="122" t="str">
        <f>IF(MAESTRO!D41="","",IFERROR('PROM (Comercio 8°)'!CU41,""))</f>
        <v/>
      </c>
      <c r="N41" s="123" t="str">
        <f>IF(MAESTRO!D41="","",IFERROR(TRUNC(AVERAGE(K41,L41,M41),1),""))</f>
        <v/>
      </c>
      <c r="O41" s="124" t="str">
        <f>IF(MAESTRO!D41="","",IFERROR(AVERAGE(G41,K41),""))</f>
        <v/>
      </c>
      <c r="P41" s="124" t="str">
        <f>IF(MAESTRO!D41="","",IFERROR(AVERAGE(H41,L41),""))</f>
        <v/>
      </c>
      <c r="Q41" s="124" t="str">
        <f>IF(MAESTRO!D41="","",IFERROR(AVERAGE(I41,M41),""))</f>
        <v/>
      </c>
      <c r="R41" s="124" t="str">
        <f>IF(MAESTRO!D41="","",IFERROR(TRUNC(AVERAGE(O41,P41,Q41),1),""))</f>
        <v/>
      </c>
      <c r="S41" s="123" t="str">
        <f>IF(MAESTRO!D41="","",IF(AND(F41="",J41="",N41="",R41=""),"",IF(Y(OR(F41="",F41&gt;=3),OR(J41="",J41&gt;=3),OR(N41="",N41&gt;=3),OR(R41="",R41&gt;=3)),"✓ APROBADO","✗ REPROBADO")))</f>
        <v/>
      </c>
    </row>
    <row r="42" spans="1:19" ht="16.05" customHeight="1">
      <c r="A42" s="116">
        <v>38</v>
      </c>
      <c r="B42" s="117">
        <f>MAESTRO!D42</f>
        <v>0</v>
      </c>
      <c r="C42" s="125" t="str">
        <f>IF(MAESTRO!D42="","",IFERROR('PROM (Ingles 8°)'!AE42,""))</f>
        <v/>
      </c>
      <c r="D42" s="125" t="str">
        <f>IF(MAESTRO!D42="","",IFERROR('PROM (Ingles 8°)'!BM42,""))</f>
        <v/>
      </c>
      <c r="E42" s="125" t="str">
        <f>IF(MAESTRO!D42="","",IFERROR('PROM (Ingles 8°)'!CU42,""))</f>
        <v/>
      </c>
      <c r="F42" s="126" t="str">
        <f>IF(MAESTRO!D42="","",IFERROR(TRUNC(AVERAGE(C42,D42,E42),1),""))</f>
        <v/>
      </c>
      <c r="G42" s="125" t="str">
        <f>IF(MAESTRO!D42="","",IFERROR('PROM (Agropecuaria 8°)'!AE42,""))</f>
        <v/>
      </c>
      <c r="H42" s="125" t="str">
        <f>IF(MAESTRO!D42="","",IFERROR('PROM (Agropecuaria 8°)'!BM42,""))</f>
        <v/>
      </c>
      <c r="I42" s="125" t="str">
        <f>IF(MAESTRO!D42="","",IFERROR('PROM (Agropecuaria 8°)'!CU42,""))</f>
        <v/>
      </c>
      <c r="J42" s="126" t="str">
        <f>IF(MAESTRO!D42="","",IFERROR(TRUNC(AVERAGE(G42,H42,I42),1),""))</f>
        <v/>
      </c>
      <c r="K42" s="125" t="str">
        <f>IF(MAESTRO!D42="","",IFERROR('PROM (Comercio 8°)'!AE42,""))</f>
        <v/>
      </c>
      <c r="L42" s="125" t="str">
        <f>IF(MAESTRO!D42="","",IFERROR('PROM (Comercio 8°)'!BM42,""))</f>
        <v/>
      </c>
      <c r="M42" s="125" t="str">
        <f>IF(MAESTRO!D42="","",IFERROR('PROM (Comercio 8°)'!CU42,""))</f>
        <v/>
      </c>
      <c r="N42" s="126" t="str">
        <f>IF(MAESTRO!D42="","",IFERROR(TRUNC(AVERAGE(K42,L42,M42),1),""))</f>
        <v/>
      </c>
      <c r="O42" s="124" t="str">
        <f>IF(MAESTRO!D42="","",IFERROR(AVERAGE(G42,K42),""))</f>
        <v/>
      </c>
      <c r="P42" s="124" t="str">
        <f>IF(MAESTRO!D42="","",IFERROR(AVERAGE(H42,L42),""))</f>
        <v/>
      </c>
      <c r="Q42" s="124" t="str">
        <f>IF(MAESTRO!D42="","",IFERROR(AVERAGE(I42,M42),""))</f>
        <v/>
      </c>
      <c r="R42" s="124" t="str">
        <f>IF(MAESTRO!D42="","",IFERROR(TRUNC(AVERAGE(O42,P42,Q42),1),""))</f>
        <v/>
      </c>
      <c r="S42" s="126" t="str">
        <f>IF(MAESTRO!D42="","",IF(AND(F42="",J42="",N42="",R42=""),"",IF(Y(OR(F42="",F42&gt;=3),OR(J42="",J42&gt;=3),OR(N42="",N42&gt;=3),OR(R42="",R42&gt;=3)),"✓ APROBADO","✗ REPROBADO")))</f>
        <v/>
      </c>
    </row>
    <row r="43" spans="1:19" ht="16.05" customHeight="1">
      <c r="A43" s="118">
        <v>39</v>
      </c>
      <c r="B43" s="119">
        <f>MAESTRO!D43</f>
        <v>0</v>
      </c>
      <c r="C43" s="122" t="str">
        <f>IF(MAESTRO!D43="","",IFERROR('PROM (Ingles 8°)'!AE43,""))</f>
        <v/>
      </c>
      <c r="D43" s="122" t="str">
        <f>IF(MAESTRO!D43="","",IFERROR('PROM (Ingles 8°)'!BM43,""))</f>
        <v/>
      </c>
      <c r="E43" s="122" t="str">
        <f>IF(MAESTRO!D43="","",IFERROR('PROM (Ingles 8°)'!CU43,""))</f>
        <v/>
      </c>
      <c r="F43" s="123" t="str">
        <f>IF(MAESTRO!D43="","",IFERROR(TRUNC(AVERAGE(C43,D43,E43),1),""))</f>
        <v/>
      </c>
      <c r="G43" s="122" t="str">
        <f>IF(MAESTRO!D43="","",IFERROR('PROM (Agropecuaria 8°)'!AE43,""))</f>
        <v/>
      </c>
      <c r="H43" s="122" t="str">
        <f>IF(MAESTRO!D43="","",IFERROR('PROM (Agropecuaria 8°)'!BM43,""))</f>
        <v/>
      </c>
      <c r="I43" s="122" t="str">
        <f>IF(MAESTRO!D43="","",IFERROR('PROM (Agropecuaria 8°)'!CU43,""))</f>
        <v/>
      </c>
      <c r="J43" s="123" t="str">
        <f>IF(MAESTRO!D43="","",IFERROR(TRUNC(AVERAGE(G43,H43,I43),1),""))</f>
        <v/>
      </c>
      <c r="K43" s="122" t="str">
        <f>IF(MAESTRO!D43="","",IFERROR('PROM (Comercio 8°)'!AE43,""))</f>
        <v/>
      </c>
      <c r="L43" s="122" t="str">
        <f>IF(MAESTRO!D43="","",IFERROR('PROM (Comercio 8°)'!BM43,""))</f>
        <v/>
      </c>
      <c r="M43" s="122" t="str">
        <f>IF(MAESTRO!D43="","",IFERROR('PROM (Comercio 8°)'!CU43,""))</f>
        <v/>
      </c>
      <c r="N43" s="123" t="str">
        <f>IF(MAESTRO!D43="","",IFERROR(TRUNC(AVERAGE(K43,L43,M43),1),""))</f>
        <v/>
      </c>
      <c r="O43" s="124" t="str">
        <f>IF(MAESTRO!D43="","",IFERROR(AVERAGE(G43,K43),""))</f>
        <v/>
      </c>
      <c r="P43" s="124" t="str">
        <f>IF(MAESTRO!D43="","",IFERROR(AVERAGE(H43,L43),""))</f>
        <v/>
      </c>
      <c r="Q43" s="124" t="str">
        <f>IF(MAESTRO!D43="","",IFERROR(AVERAGE(I43,M43),""))</f>
        <v/>
      </c>
      <c r="R43" s="124" t="str">
        <f>IF(MAESTRO!D43="","",IFERROR(TRUNC(AVERAGE(O43,P43,Q43),1),""))</f>
        <v/>
      </c>
      <c r="S43" s="123" t="str">
        <f>IF(MAESTRO!D43="","",IF(AND(F43="",J43="",N43="",R43=""),"",IF(Y(OR(F43="",F43&gt;=3),OR(J43="",J43&gt;=3),OR(N43="",N43&gt;=3),OR(R43="",R43&gt;=3)),"✓ APROBADO","✗ REPROBADO")))</f>
        <v/>
      </c>
    </row>
    <row r="44" spans="1:19" ht="16.05" customHeight="1">
      <c r="A44" s="116">
        <v>40</v>
      </c>
      <c r="B44" s="117">
        <f>MAESTRO!D44</f>
        <v>0</v>
      </c>
      <c r="C44" s="125" t="str">
        <f>IF(MAESTRO!D44="","",IFERROR('PROM (Ingles 8°)'!AE44,""))</f>
        <v/>
      </c>
      <c r="D44" s="125" t="str">
        <f>IF(MAESTRO!D44="","",IFERROR('PROM (Ingles 8°)'!BM44,""))</f>
        <v/>
      </c>
      <c r="E44" s="125" t="str">
        <f>IF(MAESTRO!D44="","",IFERROR('PROM (Ingles 8°)'!CU44,""))</f>
        <v/>
      </c>
      <c r="F44" s="126" t="str">
        <f>IF(MAESTRO!D44="","",IFERROR(TRUNC(AVERAGE(C44,D44,E44),1),""))</f>
        <v/>
      </c>
      <c r="G44" s="125" t="str">
        <f>IF(MAESTRO!D44="","",IFERROR('PROM (Agropecuaria 8°)'!AE44,""))</f>
        <v/>
      </c>
      <c r="H44" s="125" t="str">
        <f>IF(MAESTRO!D44="","",IFERROR('PROM (Agropecuaria 8°)'!BM44,""))</f>
        <v/>
      </c>
      <c r="I44" s="125" t="str">
        <f>IF(MAESTRO!D44="","",IFERROR('PROM (Agropecuaria 8°)'!CU44,""))</f>
        <v/>
      </c>
      <c r="J44" s="126" t="str">
        <f>IF(MAESTRO!D44="","",IFERROR(TRUNC(AVERAGE(G44,H44,I44),1),""))</f>
        <v/>
      </c>
      <c r="K44" s="125" t="str">
        <f>IF(MAESTRO!D44="","",IFERROR('PROM (Comercio 8°)'!AE44,""))</f>
        <v/>
      </c>
      <c r="L44" s="125" t="str">
        <f>IF(MAESTRO!D44="","",IFERROR('PROM (Comercio 8°)'!BM44,""))</f>
        <v/>
      </c>
      <c r="M44" s="125" t="str">
        <f>IF(MAESTRO!D44="","",IFERROR('PROM (Comercio 8°)'!CU44,""))</f>
        <v/>
      </c>
      <c r="N44" s="126" t="str">
        <f>IF(MAESTRO!D44="","",IFERROR(TRUNC(AVERAGE(K44,L44,M44),1),""))</f>
        <v/>
      </c>
      <c r="O44" s="124" t="str">
        <f>IF(MAESTRO!D44="","",IFERROR(AVERAGE(G44,K44),""))</f>
        <v/>
      </c>
      <c r="P44" s="124" t="str">
        <f>IF(MAESTRO!D44="","",IFERROR(AVERAGE(H44,L44),""))</f>
        <v/>
      </c>
      <c r="Q44" s="124" t="str">
        <f>IF(MAESTRO!D44="","",IFERROR(AVERAGE(I44,M44),""))</f>
        <v/>
      </c>
      <c r="R44" s="124" t="str">
        <f>IF(MAESTRO!D44="","",IFERROR(TRUNC(AVERAGE(O44,P44,Q44),1),""))</f>
        <v/>
      </c>
      <c r="S44" s="126" t="str">
        <f>IF(MAESTRO!D44="","",IF(AND(F44="",J44="",N44="",R44=""),"",IF(Y(OR(F44="",F44&gt;=3),OR(J44="",J44&gt;=3),OR(N44="",N44&gt;=3),OR(R44="",R44&gt;=3)),"✓ APROBADO","✗ REPROBADO")))</f>
        <v/>
      </c>
    </row>
    <row r="46" spans="1:19" ht="18" customHeight="1">
      <c r="A46" s="217" t="s">
        <v>14</v>
      </c>
      <c r="B46" s="206"/>
      <c r="C46" s="127" t="str">
        <f t="shared" ref="C46:R46" si="0">IFERROR(ROUND(AVERAGEIF(C5:C44,"&lt;&gt;"&amp;""),1),"")</f>
        <v/>
      </c>
      <c r="D46" s="127" t="str">
        <f t="shared" si="0"/>
        <v/>
      </c>
      <c r="E46" s="127" t="str">
        <f t="shared" si="0"/>
        <v/>
      </c>
      <c r="F46" s="127" t="str">
        <f t="shared" si="0"/>
        <v/>
      </c>
      <c r="G46" s="127" t="str">
        <f t="shared" si="0"/>
        <v/>
      </c>
      <c r="H46" s="127" t="str">
        <f t="shared" si="0"/>
        <v/>
      </c>
      <c r="I46" s="127" t="str">
        <f t="shared" si="0"/>
        <v/>
      </c>
      <c r="J46" s="127" t="str">
        <f t="shared" si="0"/>
        <v/>
      </c>
      <c r="K46" s="127" t="str">
        <f t="shared" si="0"/>
        <v/>
      </c>
      <c r="L46" s="127" t="str">
        <f t="shared" si="0"/>
        <v/>
      </c>
      <c r="M46" s="127" t="str">
        <f t="shared" si="0"/>
        <v/>
      </c>
      <c r="N46" s="127" t="str">
        <f t="shared" si="0"/>
        <v/>
      </c>
      <c r="O46" s="127" t="str">
        <f t="shared" si="0"/>
        <v/>
      </c>
      <c r="P46" s="127" t="str">
        <f t="shared" si="0"/>
        <v/>
      </c>
      <c r="Q46" s="127" t="str">
        <f t="shared" si="0"/>
        <v/>
      </c>
      <c r="R46" s="127" t="str">
        <f t="shared" si="0"/>
        <v/>
      </c>
      <c r="S46" s="128"/>
    </row>
  </sheetData>
  <mergeCells count="10">
    <mergeCell ref="S3:S4"/>
    <mergeCell ref="A2:P2"/>
    <mergeCell ref="C3:F3"/>
    <mergeCell ref="G3:J3"/>
    <mergeCell ref="K3:N3"/>
    <mergeCell ref="A1:P1"/>
    <mergeCell ref="B3:B4"/>
    <mergeCell ref="A3:A4"/>
    <mergeCell ref="O3:R3"/>
    <mergeCell ref="A46:B46"/>
  </mergeCells>
  <conditionalFormatting sqref="C5:R44">
    <cfRule type="cellIs" dxfId="32" priority="1" operator="lessThan">
      <formula>3</formula>
    </cfRule>
    <cfRule type="cellIs" dxfId="31" priority="2" operator="between">
      <formula>3</formula>
      <formula>3.4</formula>
    </cfRule>
    <cfRule type="cellIs" dxfId="30" priority="3" operator="greaterThanOrEqual">
      <formula>4.5</formula>
    </cfRule>
  </conditionalFormatting>
  <conditionalFormatting sqref="S5:S44">
    <cfRule type="expression" dxfId="29" priority="4">
      <formula>S5="✓ APROBADO"</formula>
    </cfRule>
    <cfRule type="expression" dxfId="28" priority="5">
      <formula>S5="✗ REPROBADO"</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55A11"/>
  </sheetPr>
  <dimension ref="A1:W46"/>
  <sheetViews>
    <sheetView workbookViewId="0">
      <pane xSplit="2" ySplit="4" topLeftCell="C5" activePane="bottomRight" state="frozen"/>
      <selection pane="topRight"/>
      <selection pane="bottomLeft"/>
      <selection pane="bottomRight" sqref="A1:P1"/>
    </sheetView>
  </sheetViews>
  <sheetFormatPr baseColWidth="10" defaultColWidth="8.88671875" defaultRowHeight="14.4"/>
  <cols>
    <col min="1" max="1" width="5" customWidth="1"/>
    <col min="2" max="2" width="30" customWidth="1"/>
    <col min="3" max="22" width="7" customWidth="1"/>
    <col min="23" max="23" width="14" customWidth="1"/>
  </cols>
  <sheetData>
    <row r="1" spans="1:23" ht="28.05" customHeight="1">
      <c r="A1" s="223" t="s">
        <v>0</v>
      </c>
      <c r="B1" s="186"/>
      <c r="C1" s="186"/>
      <c r="D1" s="186"/>
      <c r="E1" s="186"/>
      <c r="F1" s="186"/>
      <c r="G1" s="186"/>
      <c r="H1" s="186"/>
      <c r="I1" s="186"/>
      <c r="J1" s="186"/>
      <c r="K1" s="186"/>
      <c r="L1" s="186"/>
      <c r="M1" s="186"/>
      <c r="N1" s="186"/>
      <c r="O1" s="186"/>
      <c r="P1" s="186"/>
    </row>
    <row r="2" spans="1:23" ht="15" customHeight="1">
      <c r="A2" s="225" t="s">
        <v>1</v>
      </c>
      <c r="B2" s="186"/>
      <c r="C2" s="186"/>
      <c r="D2" s="186"/>
      <c r="E2" s="186"/>
      <c r="F2" s="186"/>
      <c r="G2" s="186"/>
      <c r="H2" s="186"/>
      <c r="I2" s="186"/>
      <c r="J2" s="186"/>
      <c r="K2" s="186"/>
      <c r="L2" s="186"/>
      <c r="M2" s="186"/>
      <c r="N2" s="186"/>
      <c r="O2" s="186"/>
      <c r="P2" s="186"/>
    </row>
    <row r="3" spans="1:23" ht="22.05" customHeight="1">
      <c r="A3" s="224" t="s">
        <v>2</v>
      </c>
      <c r="B3" s="224" t="s">
        <v>3</v>
      </c>
      <c r="C3" s="224" t="s">
        <v>4</v>
      </c>
      <c r="D3" s="216"/>
      <c r="E3" s="216"/>
      <c r="F3" s="206"/>
      <c r="G3" s="224" t="s">
        <v>5</v>
      </c>
      <c r="H3" s="216"/>
      <c r="I3" s="216"/>
      <c r="J3" s="206"/>
      <c r="K3" s="224" t="s">
        <v>6</v>
      </c>
      <c r="L3" s="216"/>
      <c r="M3" s="216"/>
      <c r="N3" s="206"/>
      <c r="O3" s="215" t="s">
        <v>7</v>
      </c>
      <c r="P3" s="216"/>
      <c r="Q3" s="216"/>
      <c r="R3" s="206"/>
      <c r="S3" s="224" t="s">
        <v>8</v>
      </c>
      <c r="T3" s="216"/>
      <c r="U3" s="216"/>
      <c r="V3" s="206"/>
      <c r="W3" s="218" t="s">
        <v>9</v>
      </c>
    </row>
    <row r="4" spans="1:23" ht="18" customHeight="1">
      <c r="A4" s="214"/>
      <c r="B4" s="214"/>
      <c r="C4" s="115" t="s">
        <v>10</v>
      </c>
      <c r="D4" s="115" t="s">
        <v>11</v>
      </c>
      <c r="E4" s="115" t="s">
        <v>12</v>
      </c>
      <c r="F4" s="113" t="s">
        <v>13</v>
      </c>
      <c r="G4" s="115" t="s">
        <v>10</v>
      </c>
      <c r="H4" s="115" t="s">
        <v>11</v>
      </c>
      <c r="I4" s="115" t="s">
        <v>12</v>
      </c>
      <c r="J4" s="113" t="s">
        <v>13</v>
      </c>
      <c r="K4" s="115" t="s">
        <v>10</v>
      </c>
      <c r="L4" s="115" t="s">
        <v>11</v>
      </c>
      <c r="M4" s="115" t="s">
        <v>12</v>
      </c>
      <c r="N4" s="113" t="s">
        <v>13</v>
      </c>
      <c r="O4" s="121" t="s">
        <v>10</v>
      </c>
      <c r="P4" s="121" t="s">
        <v>11</v>
      </c>
      <c r="Q4" s="121" t="s">
        <v>12</v>
      </c>
      <c r="R4" s="121" t="s">
        <v>13</v>
      </c>
      <c r="S4" s="115" t="s">
        <v>10</v>
      </c>
      <c r="T4" s="115" t="s">
        <v>11</v>
      </c>
      <c r="U4" s="115" t="s">
        <v>12</v>
      </c>
      <c r="V4" s="113" t="s">
        <v>13</v>
      </c>
      <c r="W4" s="214"/>
    </row>
    <row r="5" spans="1:23" ht="16.05" customHeight="1">
      <c r="A5" s="118">
        <v>1</v>
      </c>
      <c r="B5" s="119">
        <f>MAESTRO!F5</f>
        <v>0</v>
      </c>
      <c r="C5" s="122" t="str">
        <f>IF(MAESTRO!F5="","",IFERROR('PROM (Ingles 9°)'!AE5,""))</f>
        <v/>
      </c>
      <c r="D5" s="122" t="str">
        <f>IF(MAESTRO!F5="","",IFERROR('PROM (Ingles 9°)'!BM5,""))</f>
        <v/>
      </c>
      <c r="E5" s="122" t="str">
        <f>IF(MAESTRO!F5="","",IFERROR('PROM (Ingles 9°)'!CU5,""))</f>
        <v/>
      </c>
      <c r="F5" s="123" t="str">
        <f>IF(MAESTRO!F5="","",IFERROR(TRUNC(AVERAGE(C5,D5,E5),1),""))</f>
        <v/>
      </c>
      <c r="G5" s="122" t="str">
        <f>IF(MAESTRO!F5="","",IFERROR('PROM (Agropecuaria 9°)'!AE5,""))</f>
        <v/>
      </c>
      <c r="H5" s="122" t="str">
        <f>IF(MAESTRO!F5="","",IFERROR('PROM (Agropecuaria 9°)'!BM5,""))</f>
        <v/>
      </c>
      <c r="I5" s="122" t="str">
        <f>IF(MAESTRO!F5="","",IFERROR('PROM (Agropecuaria 9°)'!CU5,""))</f>
        <v/>
      </c>
      <c r="J5" s="123" t="str">
        <f>IF(MAESTRO!F5="","",IFERROR(TRUNC(AVERAGE(G5,H5,I5),1),""))</f>
        <v/>
      </c>
      <c r="K5" s="122" t="str">
        <f>IF(MAESTRO!F5="","",IFERROR('PROM (Comercio 9°)'!AE5,""))</f>
        <v/>
      </c>
      <c r="L5" s="122" t="str">
        <f>IF(MAESTRO!F5="","",IFERROR('PROM (Comercio 9°)'!BM5,""))</f>
        <v/>
      </c>
      <c r="M5" s="122" t="str">
        <f>IF(MAESTRO!F5="","",IFERROR('PROM (Comercio 9°)'!CU5,""))</f>
        <v/>
      </c>
      <c r="N5" s="123" t="str">
        <f>IF(MAESTRO!F5="","",IFERROR(TRUNC(AVERAGE(K5,L5,M5),1),""))</f>
        <v/>
      </c>
      <c r="O5" s="124" t="str">
        <f>IF(MAESTRO!F5="","",IFERROR(AVERAGE(G5,K5),""))</f>
        <v/>
      </c>
      <c r="P5" s="124" t="str">
        <f>IF(MAESTRO!F5="","",IFERROR(AVERAGE(H5,L5),""))</f>
        <v/>
      </c>
      <c r="Q5" s="124" t="str">
        <f>IF(MAESTRO!F5="","",IFERROR(AVERAGE(I5,M5),""))</f>
        <v/>
      </c>
      <c r="R5" s="124" t="str">
        <f>IF(MAESTRO!F5="","",IFERROR(TRUNC(AVERAGE(O5,P5,Q5),1),""))</f>
        <v/>
      </c>
      <c r="S5" s="122" t="str">
        <f>IF(MAESTRO!F5="","",IFERROR('PROM (Artistica 9°)'!AE5,""))</f>
        <v/>
      </c>
      <c r="T5" s="122" t="str">
        <f>IF(MAESTRO!F5="","",IFERROR('PROM (Artistica 9°)'!BM5,""))</f>
        <v/>
      </c>
      <c r="U5" s="122" t="str">
        <f>IF(MAESTRO!F5="","",IFERROR('PROM (Artistica 9°)'!CU5,""))</f>
        <v/>
      </c>
      <c r="V5" s="123" t="str">
        <f>IF(MAESTRO!F5="","",IFERROR(TRUNC(AVERAGE(S5,T5,U5),1),""))</f>
        <v/>
      </c>
      <c r="W5" s="123" t="str">
        <f>IF(MAESTRO!F5="","",IF(AND(F5="",J5="",N5="",R5="",V5=""),"",IF(Y(OR(F5="",F5&gt;=3),OR(J5="",J5&gt;=3),OR(N5="",N5&gt;=3),OR(R5="",R5&gt;=3),OR(V5="",V5&gt;=3)),"✓ APROBADO","✗ REPROBADO")))</f>
        <v/>
      </c>
    </row>
    <row r="6" spans="1:23" ht="16.05" customHeight="1">
      <c r="A6" s="116">
        <v>2</v>
      </c>
      <c r="B6" s="117">
        <f>MAESTRO!F6</f>
        <v>0</v>
      </c>
      <c r="C6" s="125" t="str">
        <f>IF(MAESTRO!F6="","",IFERROR('PROM (Ingles 9°)'!AE6,""))</f>
        <v/>
      </c>
      <c r="D6" s="125" t="str">
        <f>IF(MAESTRO!F6="","",IFERROR('PROM (Ingles 9°)'!BM6,""))</f>
        <v/>
      </c>
      <c r="E6" s="125" t="str">
        <f>IF(MAESTRO!F6="","",IFERROR('PROM (Ingles 9°)'!CU6,""))</f>
        <v/>
      </c>
      <c r="F6" s="126" t="str">
        <f>IF(MAESTRO!F6="","",IFERROR(TRUNC(AVERAGE(C6,D6,E6),1),""))</f>
        <v/>
      </c>
      <c r="G6" s="125" t="str">
        <f>IF(MAESTRO!F6="","",IFERROR('PROM (Agropecuaria 9°)'!AE6,""))</f>
        <v/>
      </c>
      <c r="H6" s="125" t="str">
        <f>IF(MAESTRO!F6="","",IFERROR('PROM (Agropecuaria 9°)'!BM6,""))</f>
        <v/>
      </c>
      <c r="I6" s="125" t="str">
        <f>IF(MAESTRO!F6="","",IFERROR('PROM (Agropecuaria 9°)'!CU6,""))</f>
        <v/>
      </c>
      <c r="J6" s="126" t="str">
        <f>IF(MAESTRO!F6="","",IFERROR(TRUNC(AVERAGE(G6,H6,I6),1),""))</f>
        <v/>
      </c>
      <c r="K6" s="125" t="str">
        <f>IF(MAESTRO!F6="","",IFERROR('PROM (Comercio 9°)'!AE6,""))</f>
        <v/>
      </c>
      <c r="L6" s="125" t="str">
        <f>IF(MAESTRO!F6="","",IFERROR('PROM (Comercio 9°)'!BM6,""))</f>
        <v/>
      </c>
      <c r="M6" s="125" t="str">
        <f>IF(MAESTRO!F6="","",IFERROR('PROM (Comercio 9°)'!CU6,""))</f>
        <v/>
      </c>
      <c r="N6" s="126" t="str">
        <f>IF(MAESTRO!F6="","",IFERROR(TRUNC(AVERAGE(K6,L6,M6),1),""))</f>
        <v/>
      </c>
      <c r="O6" s="124" t="str">
        <f>IF(MAESTRO!F6="","",IFERROR(AVERAGE(G6,K6),""))</f>
        <v/>
      </c>
      <c r="P6" s="124" t="str">
        <f>IF(MAESTRO!F6="","",IFERROR(AVERAGE(H6,L6),""))</f>
        <v/>
      </c>
      <c r="Q6" s="124" t="str">
        <f>IF(MAESTRO!F6="","",IFERROR(AVERAGE(I6,M6),""))</f>
        <v/>
      </c>
      <c r="R6" s="124" t="str">
        <f>IF(MAESTRO!F6="","",IFERROR(TRUNC(AVERAGE(O6,P6,Q6),1),""))</f>
        <v/>
      </c>
      <c r="S6" s="125" t="str">
        <f>IF(MAESTRO!F6="","",IFERROR('PROM (Artistica 9°)'!AE6,""))</f>
        <v/>
      </c>
      <c r="T6" s="125" t="str">
        <f>IF(MAESTRO!F6="","",IFERROR('PROM (Artistica 9°)'!BM6,""))</f>
        <v/>
      </c>
      <c r="U6" s="125" t="str">
        <f>IF(MAESTRO!F6="","",IFERROR('PROM (Artistica 9°)'!CU6,""))</f>
        <v/>
      </c>
      <c r="V6" s="126" t="str">
        <f>IF(MAESTRO!F6="","",IFERROR(TRUNC(AVERAGE(S6,T6,U6),1),""))</f>
        <v/>
      </c>
      <c r="W6" s="126" t="str">
        <f>IF(MAESTRO!F6="","",IF(AND(F6="",J6="",N6="",R6="",V6=""),"",IF(Y(OR(F6="",F6&gt;=3),OR(J6="",J6&gt;=3),OR(N6="",N6&gt;=3),OR(R6="",R6&gt;=3),OR(V6="",V6&gt;=3)),"✓ APROBADO","✗ REPROBADO")))</f>
        <v/>
      </c>
    </row>
    <row r="7" spans="1:23" ht="16.05" customHeight="1">
      <c r="A7" s="118">
        <v>3</v>
      </c>
      <c r="B7" s="119">
        <f>MAESTRO!F7</f>
        <v>0</v>
      </c>
      <c r="C7" s="122" t="str">
        <f>IF(MAESTRO!F7="","",IFERROR('PROM (Ingles 9°)'!AE7,""))</f>
        <v/>
      </c>
      <c r="D7" s="122" t="str">
        <f>IF(MAESTRO!F7="","",IFERROR('PROM (Ingles 9°)'!BM7,""))</f>
        <v/>
      </c>
      <c r="E7" s="122" t="str">
        <f>IF(MAESTRO!F7="","",IFERROR('PROM (Ingles 9°)'!CU7,""))</f>
        <v/>
      </c>
      <c r="F7" s="123" t="str">
        <f>IF(MAESTRO!F7="","",IFERROR(TRUNC(AVERAGE(C7,D7,E7),1),""))</f>
        <v/>
      </c>
      <c r="G7" s="122" t="str">
        <f>IF(MAESTRO!F7="","",IFERROR('PROM (Agropecuaria 9°)'!AE7,""))</f>
        <v/>
      </c>
      <c r="H7" s="122" t="str">
        <f>IF(MAESTRO!F7="","",IFERROR('PROM (Agropecuaria 9°)'!BM7,""))</f>
        <v/>
      </c>
      <c r="I7" s="122" t="str">
        <f>IF(MAESTRO!F7="","",IFERROR('PROM (Agropecuaria 9°)'!CU7,""))</f>
        <v/>
      </c>
      <c r="J7" s="123" t="str">
        <f>IF(MAESTRO!F7="","",IFERROR(TRUNC(AVERAGE(G7,H7,I7),1),""))</f>
        <v/>
      </c>
      <c r="K7" s="122" t="str">
        <f>IF(MAESTRO!F7="","",IFERROR('PROM (Comercio 9°)'!AE7,""))</f>
        <v/>
      </c>
      <c r="L7" s="122" t="str">
        <f>IF(MAESTRO!F7="","",IFERROR('PROM (Comercio 9°)'!BM7,""))</f>
        <v/>
      </c>
      <c r="M7" s="122" t="str">
        <f>IF(MAESTRO!F7="","",IFERROR('PROM (Comercio 9°)'!CU7,""))</f>
        <v/>
      </c>
      <c r="N7" s="123" t="str">
        <f>IF(MAESTRO!F7="","",IFERROR(TRUNC(AVERAGE(K7,L7,M7),1),""))</f>
        <v/>
      </c>
      <c r="O7" s="124" t="str">
        <f>IF(MAESTRO!F7="","",IFERROR(AVERAGE(G7,K7),""))</f>
        <v/>
      </c>
      <c r="P7" s="124" t="str">
        <f>IF(MAESTRO!F7="","",IFERROR(AVERAGE(H7,L7),""))</f>
        <v/>
      </c>
      <c r="Q7" s="124" t="str">
        <f>IF(MAESTRO!F7="","",IFERROR(AVERAGE(I7,M7),""))</f>
        <v/>
      </c>
      <c r="R7" s="124" t="str">
        <f>IF(MAESTRO!F7="","",IFERROR(TRUNC(AVERAGE(O7,P7,Q7),1),""))</f>
        <v/>
      </c>
      <c r="S7" s="122" t="str">
        <f>IF(MAESTRO!F7="","",IFERROR('PROM (Artistica 9°)'!AE7,""))</f>
        <v/>
      </c>
      <c r="T7" s="122" t="str">
        <f>IF(MAESTRO!F7="","",IFERROR('PROM (Artistica 9°)'!BM7,""))</f>
        <v/>
      </c>
      <c r="U7" s="122" t="str">
        <f>IF(MAESTRO!F7="","",IFERROR('PROM (Artistica 9°)'!CU7,""))</f>
        <v/>
      </c>
      <c r="V7" s="123" t="str">
        <f>IF(MAESTRO!F7="","",IFERROR(TRUNC(AVERAGE(S7,T7,U7),1),""))</f>
        <v/>
      </c>
      <c r="W7" s="123" t="str">
        <f>IF(MAESTRO!F7="","",IF(AND(F7="",J7="",N7="",R7="",V7=""),"",IF(Y(OR(F7="",F7&gt;=3),OR(J7="",J7&gt;=3),OR(N7="",N7&gt;=3),OR(R7="",R7&gt;=3),OR(V7="",V7&gt;=3)),"✓ APROBADO","✗ REPROBADO")))</f>
        <v/>
      </c>
    </row>
    <row r="8" spans="1:23" ht="16.05" customHeight="1">
      <c r="A8" s="116">
        <v>4</v>
      </c>
      <c r="B8" s="117">
        <f>MAESTRO!F8</f>
        <v>0</v>
      </c>
      <c r="C8" s="125" t="str">
        <f>IF(MAESTRO!F8="","",IFERROR('PROM (Ingles 9°)'!AE8,""))</f>
        <v/>
      </c>
      <c r="D8" s="125" t="str">
        <f>IF(MAESTRO!F8="","",IFERROR('PROM (Ingles 9°)'!BM8,""))</f>
        <v/>
      </c>
      <c r="E8" s="125" t="str">
        <f>IF(MAESTRO!F8="","",IFERROR('PROM (Ingles 9°)'!CU8,""))</f>
        <v/>
      </c>
      <c r="F8" s="126" t="str">
        <f>IF(MAESTRO!F8="","",IFERROR(TRUNC(AVERAGE(C8,D8,E8),1),""))</f>
        <v/>
      </c>
      <c r="G8" s="125" t="str">
        <f>IF(MAESTRO!F8="","",IFERROR('PROM (Agropecuaria 9°)'!AE8,""))</f>
        <v/>
      </c>
      <c r="H8" s="125" t="str">
        <f>IF(MAESTRO!F8="","",IFERROR('PROM (Agropecuaria 9°)'!BM8,""))</f>
        <v/>
      </c>
      <c r="I8" s="125" t="str">
        <f>IF(MAESTRO!F8="","",IFERROR('PROM (Agropecuaria 9°)'!CU8,""))</f>
        <v/>
      </c>
      <c r="J8" s="126" t="str">
        <f>IF(MAESTRO!F8="","",IFERROR(TRUNC(AVERAGE(G8,H8,I8),1),""))</f>
        <v/>
      </c>
      <c r="K8" s="125" t="str">
        <f>IF(MAESTRO!F8="","",IFERROR('PROM (Comercio 9°)'!AE8,""))</f>
        <v/>
      </c>
      <c r="L8" s="125" t="str">
        <f>IF(MAESTRO!F8="","",IFERROR('PROM (Comercio 9°)'!BM8,""))</f>
        <v/>
      </c>
      <c r="M8" s="125" t="str">
        <f>IF(MAESTRO!F8="","",IFERROR('PROM (Comercio 9°)'!CU8,""))</f>
        <v/>
      </c>
      <c r="N8" s="126" t="str">
        <f>IF(MAESTRO!F8="","",IFERROR(TRUNC(AVERAGE(K8,L8,M8),1),""))</f>
        <v/>
      </c>
      <c r="O8" s="124" t="str">
        <f>IF(MAESTRO!F8="","",IFERROR(AVERAGE(G8,K8),""))</f>
        <v/>
      </c>
      <c r="P8" s="124" t="str">
        <f>IF(MAESTRO!F8="","",IFERROR(AVERAGE(H8,L8),""))</f>
        <v/>
      </c>
      <c r="Q8" s="124" t="str">
        <f>IF(MAESTRO!F8="","",IFERROR(AVERAGE(I8,M8),""))</f>
        <v/>
      </c>
      <c r="R8" s="124" t="str">
        <f>IF(MAESTRO!F8="","",IFERROR(TRUNC(AVERAGE(O8,P8,Q8),1),""))</f>
        <v/>
      </c>
      <c r="S8" s="125" t="str">
        <f>IF(MAESTRO!F8="","",IFERROR('PROM (Artistica 9°)'!AE8,""))</f>
        <v/>
      </c>
      <c r="T8" s="125" t="str">
        <f>IF(MAESTRO!F8="","",IFERROR('PROM (Artistica 9°)'!BM8,""))</f>
        <v/>
      </c>
      <c r="U8" s="125" t="str">
        <f>IF(MAESTRO!F8="","",IFERROR('PROM (Artistica 9°)'!CU8,""))</f>
        <v/>
      </c>
      <c r="V8" s="126" t="str">
        <f>IF(MAESTRO!F8="","",IFERROR(TRUNC(AVERAGE(S8,T8,U8),1),""))</f>
        <v/>
      </c>
      <c r="W8" s="126" t="str">
        <f>IF(MAESTRO!F8="","",IF(AND(F8="",J8="",N8="",R8="",V8=""),"",IF(Y(OR(F8="",F8&gt;=3),OR(J8="",J8&gt;=3),OR(N8="",N8&gt;=3),OR(R8="",R8&gt;=3),OR(V8="",V8&gt;=3)),"✓ APROBADO","✗ REPROBADO")))</f>
        <v/>
      </c>
    </row>
    <row r="9" spans="1:23" ht="16.05" customHeight="1">
      <c r="A9" s="118">
        <v>5</v>
      </c>
      <c r="B9" s="119">
        <f>MAESTRO!F9</f>
        <v>0</v>
      </c>
      <c r="C9" s="122" t="str">
        <f>IF(MAESTRO!F9="","",IFERROR('PROM (Ingles 9°)'!AE9,""))</f>
        <v/>
      </c>
      <c r="D9" s="122" t="str">
        <f>IF(MAESTRO!F9="","",IFERROR('PROM (Ingles 9°)'!BM9,""))</f>
        <v/>
      </c>
      <c r="E9" s="122" t="str">
        <f>IF(MAESTRO!F9="","",IFERROR('PROM (Ingles 9°)'!CU9,""))</f>
        <v/>
      </c>
      <c r="F9" s="123" t="str">
        <f>IF(MAESTRO!F9="","",IFERROR(TRUNC(AVERAGE(C9,D9,E9),1),""))</f>
        <v/>
      </c>
      <c r="G9" s="122" t="str">
        <f>IF(MAESTRO!F9="","",IFERROR('PROM (Agropecuaria 9°)'!AE9,""))</f>
        <v/>
      </c>
      <c r="H9" s="122" t="str">
        <f>IF(MAESTRO!F9="","",IFERROR('PROM (Agropecuaria 9°)'!BM9,""))</f>
        <v/>
      </c>
      <c r="I9" s="122" t="str">
        <f>IF(MAESTRO!F9="","",IFERROR('PROM (Agropecuaria 9°)'!CU9,""))</f>
        <v/>
      </c>
      <c r="J9" s="123" t="str">
        <f>IF(MAESTRO!F9="","",IFERROR(TRUNC(AVERAGE(G9,H9,I9),1),""))</f>
        <v/>
      </c>
      <c r="K9" s="122" t="str">
        <f>IF(MAESTRO!F9="","",IFERROR('PROM (Comercio 9°)'!AE9,""))</f>
        <v/>
      </c>
      <c r="L9" s="122" t="str">
        <f>IF(MAESTRO!F9="","",IFERROR('PROM (Comercio 9°)'!BM9,""))</f>
        <v/>
      </c>
      <c r="M9" s="122" t="str">
        <f>IF(MAESTRO!F9="","",IFERROR('PROM (Comercio 9°)'!CU9,""))</f>
        <v/>
      </c>
      <c r="N9" s="123" t="str">
        <f>IF(MAESTRO!F9="","",IFERROR(TRUNC(AVERAGE(K9,L9,M9),1),""))</f>
        <v/>
      </c>
      <c r="O9" s="124" t="str">
        <f>IF(MAESTRO!F9="","",IFERROR(AVERAGE(G9,K9),""))</f>
        <v/>
      </c>
      <c r="P9" s="124" t="str">
        <f>IF(MAESTRO!F9="","",IFERROR(AVERAGE(H9,L9),""))</f>
        <v/>
      </c>
      <c r="Q9" s="124" t="str">
        <f>IF(MAESTRO!F9="","",IFERROR(AVERAGE(I9,M9),""))</f>
        <v/>
      </c>
      <c r="R9" s="124" t="str">
        <f>IF(MAESTRO!F9="","",IFERROR(TRUNC(AVERAGE(O9,P9,Q9),1),""))</f>
        <v/>
      </c>
      <c r="S9" s="122" t="str">
        <f>IF(MAESTRO!F9="","",IFERROR('PROM (Artistica 9°)'!AE9,""))</f>
        <v/>
      </c>
      <c r="T9" s="122" t="str">
        <f>IF(MAESTRO!F9="","",IFERROR('PROM (Artistica 9°)'!BM9,""))</f>
        <v/>
      </c>
      <c r="U9" s="122" t="str">
        <f>IF(MAESTRO!F9="","",IFERROR('PROM (Artistica 9°)'!CU9,""))</f>
        <v/>
      </c>
      <c r="V9" s="123" t="str">
        <f>IF(MAESTRO!F9="","",IFERROR(TRUNC(AVERAGE(S9,T9,U9),1),""))</f>
        <v/>
      </c>
      <c r="W9" s="123" t="str">
        <f>IF(MAESTRO!F9="","",IF(AND(F9="",J9="",N9="",R9="",V9=""),"",IF(Y(OR(F9="",F9&gt;=3),OR(J9="",J9&gt;=3),OR(N9="",N9&gt;=3),OR(R9="",R9&gt;=3),OR(V9="",V9&gt;=3)),"✓ APROBADO","✗ REPROBADO")))</f>
        <v/>
      </c>
    </row>
    <row r="10" spans="1:23" ht="16.05" customHeight="1">
      <c r="A10" s="116">
        <v>6</v>
      </c>
      <c r="B10" s="117">
        <f>MAESTRO!F10</f>
        <v>0</v>
      </c>
      <c r="C10" s="125" t="str">
        <f>IF(MAESTRO!F10="","",IFERROR('PROM (Ingles 9°)'!AE10,""))</f>
        <v/>
      </c>
      <c r="D10" s="125" t="str">
        <f>IF(MAESTRO!F10="","",IFERROR('PROM (Ingles 9°)'!BM10,""))</f>
        <v/>
      </c>
      <c r="E10" s="125" t="str">
        <f>IF(MAESTRO!F10="","",IFERROR('PROM (Ingles 9°)'!CU10,""))</f>
        <v/>
      </c>
      <c r="F10" s="126" t="str">
        <f>IF(MAESTRO!F10="","",IFERROR(TRUNC(AVERAGE(C10,D10,E10),1),""))</f>
        <v/>
      </c>
      <c r="G10" s="125" t="str">
        <f>IF(MAESTRO!F10="","",IFERROR('PROM (Agropecuaria 9°)'!AE10,""))</f>
        <v/>
      </c>
      <c r="H10" s="125" t="str">
        <f>IF(MAESTRO!F10="","",IFERROR('PROM (Agropecuaria 9°)'!BM10,""))</f>
        <v/>
      </c>
      <c r="I10" s="125" t="str">
        <f>IF(MAESTRO!F10="","",IFERROR('PROM (Agropecuaria 9°)'!CU10,""))</f>
        <v/>
      </c>
      <c r="J10" s="126" t="str">
        <f>IF(MAESTRO!F10="","",IFERROR(TRUNC(AVERAGE(G10,H10,I10),1),""))</f>
        <v/>
      </c>
      <c r="K10" s="125" t="str">
        <f>IF(MAESTRO!F10="","",IFERROR('PROM (Comercio 9°)'!AE10,""))</f>
        <v/>
      </c>
      <c r="L10" s="125" t="str">
        <f>IF(MAESTRO!F10="","",IFERROR('PROM (Comercio 9°)'!BM10,""))</f>
        <v/>
      </c>
      <c r="M10" s="125" t="str">
        <f>IF(MAESTRO!F10="","",IFERROR('PROM (Comercio 9°)'!CU10,""))</f>
        <v/>
      </c>
      <c r="N10" s="126" t="str">
        <f>IF(MAESTRO!F10="","",IFERROR(TRUNC(AVERAGE(K10,L10,M10),1),""))</f>
        <v/>
      </c>
      <c r="O10" s="124" t="str">
        <f>IF(MAESTRO!F10="","",IFERROR(AVERAGE(G10,K10),""))</f>
        <v/>
      </c>
      <c r="P10" s="124" t="str">
        <f>IF(MAESTRO!F10="","",IFERROR(AVERAGE(H10,L10),""))</f>
        <v/>
      </c>
      <c r="Q10" s="124" t="str">
        <f>IF(MAESTRO!F10="","",IFERROR(AVERAGE(I10,M10),""))</f>
        <v/>
      </c>
      <c r="R10" s="124" t="str">
        <f>IF(MAESTRO!F10="","",IFERROR(TRUNC(AVERAGE(O10,P10,Q10),1),""))</f>
        <v/>
      </c>
      <c r="S10" s="125" t="str">
        <f>IF(MAESTRO!F10="","",IFERROR('PROM (Artistica 9°)'!AE10,""))</f>
        <v/>
      </c>
      <c r="T10" s="125" t="str">
        <f>IF(MAESTRO!F10="","",IFERROR('PROM (Artistica 9°)'!BM10,""))</f>
        <v/>
      </c>
      <c r="U10" s="125" t="str">
        <f>IF(MAESTRO!F10="","",IFERROR('PROM (Artistica 9°)'!CU10,""))</f>
        <v/>
      </c>
      <c r="V10" s="126" t="str">
        <f>IF(MAESTRO!F10="","",IFERROR(TRUNC(AVERAGE(S10,T10,U10),1),""))</f>
        <v/>
      </c>
      <c r="W10" s="126" t="str">
        <f>IF(MAESTRO!F10="","",IF(AND(F10="",J10="",N10="",R10="",V10=""),"",IF(Y(OR(F10="",F10&gt;=3),OR(J10="",J10&gt;=3),OR(N10="",N10&gt;=3),OR(R10="",R10&gt;=3),OR(V10="",V10&gt;=3)),"✓ APROBADO","✗ REPROBADO")))</f>
        <v/>
      </c>
    </row>
    <row r="11" spans="1:23" ht="16.05" customHeight="1">
      <c r="A11" s="118">
        <v>7</v>
      </c>
      <c r="B11" s="119">
        <f>MAESTRO!F11</f>
        <v>0</v>
      </c>
      <c r="C11" s="122" t="str">
        <f>IF(MAESTRO!F11="","",IFERROR('PROM (Ingles 9°)'!AE11,""))</f>
        <v/>
      </c>
      <c r="D11" s="122" t="str">
        <f>IF(MAESTRO!F11="","",IFERROR('PROM (Ingles 9°)'!BM11,""))</f>
        <v/>
      </c>
      <c r="E11" s="122" t="str">
        <f>IF(MAESTRO!F11="","",IFERROR('PROM (Ingles 9°)'!CU11,""))</f>
        <v/>
      </c>
      <c r="F11" s="123" t="str">
        <f>IF(MAESTRO!F11="","",IFERROR(TRUNC(AVERAGE(C11,D11,E11),1),""))</f>
        <v/>
      </c>
      <c r="G11" s="122" t="str">
        <f>IF(MAESTRO!F11="","",IFERROR('PROM (Agropecuaria 9°)'!AE11,""))</f>
        <v/>
      </c>
      <c r="H11" s="122" t="str">
        <f>IF(MAESTRO!F11="","",IFERROR('PROM (Agropecuaria 9°)'!BM11,""))</f>
        <v/>
      </c>
      <c r="I11" s="122" t="str">
        <f>IF(MAESTRO!F11="","",IFERROR('PROM (Agropecuaria 9°)'!CU11,""))</f>
        <v/>
      </c>
      <c r="J11" s="123" t="str">
        <f>IF(MAESTRO!F11="","",IFERROR(TRUNC(AVERAGE(G11,H11,I11),1),""))</f>
        <v/>
      </c>
      <c r="K11" s="122" t="str">
        <f>IF(MAESTRO!F11="","",IFERROR('PROM (Comercio 9°)'!AE11,""))</f>
        <v/>
      </c>
      <c r="L11" s="122" t="str">
        <f>IF(MAESTRO!F11="","",IFERROR('PROM (Comercio 9°)'!BM11,""))</f>
        <v/>
      </c>
      <c r="M11" s="122" t="str">
        <f>IF(MAESTRO!F11="","",IFERROR('PROM (Comercio 9°)'!CU11,""))</f>
        <v/>
      </c>
      <c r="N11" s="123" t="str">
        <f>IF(MAESTRO!F11="","",IFERROR(TRUNC(AVERAGE(K11,L11,M11),1),""))</f>
        <v/>
      </c>
      <c r="O11" s="124" t="str">
        <f>IF(MAESTRO!F11="","",IFERROR(AVERAGE(G11,K11),""))</f>
        <v/>
      </c>
      <c r="P11" s="124" t="str">
        <f>IF(MAESTRO!F11="","",IFERROR(AVERAGE(H11,L11),""))</f>
        <v/>
      </c>
      <c r="Q11" s="124" t="str">
        <f>IF(MAESTRO!F11="","",IFERROR(AVERAGE(I11,M11),""))</f>
        <v/>
      </c>
      <c r="R11" s="124" t="str">
        <f>IF(MAESTRO!F11="","",IFERROR(TRUNC(AVERAGE(O11,P11,Q11),1),""))</f>
        <v/>
      </c>
      <c r="S11" s="122" t="str">
        <f>IF(MAESTRO!F11="","",IFERROR('PROM (Artistica 9°)'!AE11,""))</f>
        <v/>
      </c>
      <c r="T11" s="122" t="str">
        <f>IF(MAESTRO!F11="","",IFERROR('PROM (Artistica 9°)'!BM11,""))</f>
        <v/>
      </c>
      <c r="U11" s="122" t="str">
        <f>IF(MAESTRO!F11="","",IFERROR('PROM (Artistica 9°)'!CU11,""))</f>
        <v/>
      </c>
      <c r="V11" s="123" t="str">
        <f>IF(MAESTRO!F11="","",IFERROR(TRUNC(AVERAGE(S11,T11,U11),1),""))</f>
        <v/>
      </c>
      <c r="W11" s="123" t="str">
        <f>IF(MAESTRO!F11="","",IF(AND(F11="",J11="",N11="",R11="",V11=""),"",IF(Y(OR(F11="",F11&gt;=3),OR(J11="",J11&gt;=3),OR(N11="",N11&gt;=3),OR(R11="",R11&gt;=3),OR(V11="",V11&gt;=3)),"✓ APROBADO","✗ REPROBADO")))</f>
        <v/>
      </c>
    </row>
    <row r="12" spans="1:23" ht="16.05" customHeight="1">
      <c r="A12" s="116">
        <v>8</v>
      </c>
      <c r="B12" s="117">
        <f>MAESTRO!F12</f>
        <v>0</v>
      </c>
      <c r="C12" s="125" t="str">
        <f>IF(MAESTRO!F12="","",IFERROR('PROM (Ingles 9°)'!AE12,""))</f>
        <v/>
      </c>
      <c r="D12" s="125" t="str">
        <f>IF(MAESTRO!F12="","",IFERROR('PROM (Ingles 9°)'!BM12,""))</f>
        <v/>
      </c>
      <c r="E12" s="125" t="str">
        <f>IF(MAESTRO!F12="","",IFERROR('PROM (Ingles 9°)'!CU12,""))</f>
        <v/>
      </c>
      <c r="F12" s="126" t="str">
        <f>IF(MAESTRO!F12="","",IFERROR(TRUNC(AVERAGE(C12,D12,E12),1),""))</f>
        <v/>
      </c>
      <c r="G12" s="125" t="str">
        <f>IF(MAESTRO!F12="","",IFERROR('PROM (Agropecuaria 9°)'!AE12,""))</f>
        <v/>
      </c>
      <c r="H12" s="125" t="str">
        <f>IF(MAESTRO!F12="","",IFERROR('PROM (Agropecuaria 9°)'!BM12,""))</f>
        <v/>
      </c>
      <c r="I12" s="125" t="str">
        <f>IF(MAESTRO!F12="","",IFERROR('PROM (Agropecuaria 9°)'!CU12,""))</f>
        <v/>
      </c>
      <c r="J12" s="126" t="str">
        <f>IF(MAESTRO!F12="","",IFERROR(TRUNC(AVERAGE(G12,H12,I12),1),""))</f>
        <v/>
      </c>
      <c r="K12" s="125" t="str">
        <f>IF(MAESTRO!F12="","",IFERROR('PROM (Comercio 9°)'!AE12,""))</f>
        <v/>
      </c>
      <c r="L12" s="125" t="str">
        <f>IF(MAESTRO!F12="","",IFERROR('PROM (Comercio 9°)'!BM12,""))</f>
        <v/>
      </c>
      <c r="M12" s="125" t="str">
        <f>IF(MAESTRO!F12="","",IFERROR('PROM (Comercio 9°)'!CU12,""))</f>
        <v/>
      </c>
      <c r="N12" s="126" t="str">
        <f>IF(MAESTRO!F12="","",IFERROR(TRUNC(AVERAGE(K12,L12,M12),1),""))</f>
        <v/>
      </c>
      <c r="O12" s="124" t="str">
        <f>IF(MAESTRO!F12="","",IFERROR(AVERAGE(G12,K12),""))</f>
        <v/>
      </c>
      <c r="P12" s="124" t="str">
        <f>IF(MAESTRO!F12="","",IFERROR(AVERAGE(H12,L12),""))</f>
        <v/>
      </c>
      <c r="Q12" s="124" t="str">
        <f>IF(MAESTRO!F12="","",IFERROR(AVERAGE(I12,M12),""))</f>
        <v/>
      </c>
      <c r="R12" s="124" t="str">
        <f>IF(MAESTRO!F12="","",IFERROR(TRUNC(AVERAGE(O12,P12,Q12),1),""))</f>
        <v/>
      </c>
      <c r="S12" s="125" t="str">
        <f>IF(MAESTRO!F12="","",IFERROR('PROM (Artistica 9°)'!AE12,""))</f>
        <v/>
      </c>
      <c r="T12" s="125" t="str">
        <f>IF(MAESTRO!F12="","",IFERROR('PROM (Artistica 9°)'!BM12,""))</f>
        <v/>
      </c>
      <c r="U12" s="125" t="str">
        <f>IF(MAESTRO!F12="","",IFERROR('PROM (Artistica 9°)'!CU12,""))</f>
        <v/>
      </c>
      <c r="V12" s="126" t="str">
        <f>IF(MAESTRO!F12="","",IFERROR(TRUNC(AVERAGE(S12,T12,U12),1),""))</f>
        <v/>
      </c>
      <c r="W12" s="126" t="str">
        <f>IF(MAESTRO!F12="","",IF(AND(F12="",J12="",N12="",R12="",V12=""),"",IF(Y(OR(F12="",F12&gt;=3),OR(J12="",J12&gt;=3),OR(N12="",N12&gt;=3),OR(R12="",R12&gt;=3),OR(V12="",V12&gt;=3)),"✓ APROBADO","✗ REPROBADO")))</f>
        <v/>
      </c>
    </row>
    <row r="13" spans="1:23" ht="16.05" customHeight="1">
      <c r="A13" s="118">
        <v>9</v>
      </c>
      <c r="B13" s="119">
        <f>MAESTRO!F13</f>
        <v>0</v>
      </c>
      <c r="C13" s="122" t="str">
        <f>IF(MAESTRO!F13="","",IFERROR('PROM (Ingles 9°)'!AE13,""))</f>
        <v/>
      </c>
      <c r="D13" s="122" t="str">
        <f>IF(MAESTRO!F13="","",IFERROR('PROM (Ingles 9°)'!BM13,""))</f>
        <v/>
      </c>
      <c r="E13" s="122" t="str">
        <f>IF(MAESTRO!F13="","",IFERROR('PROM (Ingles 9°)'!CU13,""))</f>
        <v/>
      </c>
      <c r="F13" s="123" t="str">
        <f>IF(MAESTRO!F13="","",IFERROR(TRUNC(AVERAGE(C13,D13,E13),1),""))</f>
        <v/>
      </c>
      <c r="G13" s="122" t="str">
        <f>IF(MAESTRO!F13="","",IFERROR('PROM (Agropecuaria 9°)'!AE13,""))</f>
        <v/>
      </c>
      <c r="H13" s="122" t="str">
        <f>IF(MAESTRO!F13="","",IFERROR('PROM (Agropecuaria 9°)'!BM13,""))</f>
        <v/>
      </c>
      <c r="I13" s="122" t="str">
        <f>IF(MAESTRO!F13="","",IFERROR('PROM (Agropecuaria 9°)'!CU13,""))</f>
        <v/>
      </c>
      <c r="J13" s="123" t="str">
        <f>IF(MAESTRO!F13="","",IFERROR(TRUNC(AVERAGE(G13,H13,I13),1),""))</f>
        <v/>
      </c>
      <c r="K13" s="122" t="str">
        <f>IF(MAESTRO!F13="","",IFERROR('PROM (Comercio 9°)'!AE13,""))</f>
        <v/>
      </c>
      <c r="L13" s="122" t="str">
        <f>IF(MAESTRO!F13="","",IFERROR('PROM (Comercio 9°)'!BM13,""))</f>
        <v/>
      </c>
      <c r="M13" s="122" t="str">
        <f>IF(MAESTRO!F13="","",IFERROR('PROM (Comercio 9°)'!CU13,""))</f>
        <v/>
      </c>
      <c r="N13" s="123" t="str">
        <f>IF(MAESTRO!F13="","",IFERROR(TRUNC(AVERAGE(K13,L13,M13),1),""))</f>
        <v/>
      </c>
      <c r="O13" s="124" t="str">
        <f>IF(MAESTRO!F13="","",IFERROR(AVERAGE(G13,K13),""))</f>
        <v/>
      </c>
      <c r="P13" s="124" t="str">
        <f>IF(MAESTRO!F13="","",IFERROR(AVERAGE(H13,L13),""))</f>
        <v/>
      </c>
      <c r="Q13" s="124" t="str">
        <f>IF(MAESTRO!F13="","",IFERROR(AVERAGE(I13,M13),""))</f>
        <v/>
      </c>
      <c r="R13" s="124" t="str">
        <f>IF(MAESTRO!F13="","",IFERROR(TRUNC(AVERAGE(O13,P13,Q13),1),""))</f>
        <v/>
      </c>
      <c r="S13" s="122" t="str">
        <f>IF(MAESTRO!F13="","",IFERROR('PROM (Artistica 9°)'!AE13,""))</f>
        <v/>
      </c>
      <c r="T13" s="122" t="str">
        <f>IF(MAESTRO!F13="","",IFERROR('PROM (Artistica 9°)'!BM13,""))</f>
        <v/>
      </c>
      <c r="U13" s="122" t="str">
        <f>IF(MAESTRO!F13="","",IFERROR('PROM (Artistica 9°)'!CU13,""))</f>
        <v/>
      </c>
      <c r="V13" s="123" t="str">
        <f>IF(MAESTRO!F13="","",IFERROR(TRUNC(AVERAGE(S13,T13,U13),1),""))</f>
        <v/>
      </c>
      <c r="W13" s="123" t="str">
        <f>IF(MAESTRO!F13="","",IF(AND(F13="",J13="",N13="",R13="",V13=""),"",IF(Y(OR(F13="",F13&gt;=3),OR(J13="",J13&gt;=3),OR(N13="",N13&gt;=3),OR(R13="",R13&gt;=3),OR(V13="",V13&gt;=3)),"✓ APROBADO","✗ REPROBADO")))</f>
        <v/>
      </c>
    </row>
    <row r="14" spans="1:23" ht="16.05" customHeight="1">
      <c r="A14" s="116">
        <v>10</v>
      </c>
      <c r="B14" s="117">
        <f>MAESTRO!F14</f>
        <v>0</v>
      </c>
      <c r="C14" s="125" t="str">
        <f>IF(MAESTRO!F14="","",IFERROR('PROM (Ingles 9°)'!AE14,""))</f>
        <v/>
      </c>
      <c r="D14" s="125" t="str">
        <f>IF(MAESTRO!F14="","",IFERROR('PROM (Ingles 9°)'!BM14,""))</f>
        <v/>
      </c>
      <c r="E14" s="125" t="str">
        <f>IF(MAESTRO!F14="","",IFERROR('PROM (Ingles 9°)'!CU14,""))</f>
        <v/>
      </c>
      <c r="F14" s="126" t="str">
        <f>IF(MAESTRO!F14="","",IFERROR(TRUNC(AVERAGE(C14,D14,E14),1),""))</f>
        <v/>
      </c>
      <c r="G14" s="125" t="str">
        <f>IF(MAESTRO!F14="","",IFERROR('PROM (Agropecuaria 9°)'!AE14,""))</f>
        <v/>
      </c>
      <c r="H14" s="125" t="str">
        <f>IF(MAESTRO!F14="","",IFERROR('PROM (Agropecuaria 9°)'!BM14,""))</f>
        <v/>
      </c>
      <c r="I14" s="125" t="str">
        <f>IF(MAESTRO!F14="","",IFERROR('PROM (Agropecuaria 9°)'!CU14,""))</f>
        <v/>
      </c>
      <c r="J14" s="126" t="str">
        <f>IF(MAESTRO!F14="","",IFERROR(TRUNC(AVERAGE(G14,H14,I14),1),""))</f>
        <v/>
      </c>
      <c r="K14" s="125" t="str">
        <f>IF(MAESTRO!F14="","",IFERROR('PROM (Comercio 9°)'!AE14,""))</f>
        <v/>
      </c>
      <c r="L14" s="125" t="str">
        <f>IF(MAESTRO!F14="","",IFERROR('PROM (Comercio 9°)'!BM14,""))</f>
        <v/>
      </c>
      <c r="M14" s="125" t="str">
        <f>IF(MAESTRO!F14="","",IFERROR('PROM (Comercio 9°)'!CU14,""))</f>
        <v/>
      </c>
      <c r="N14" s="126" t="str">
        <f>IF(MAESTRO!F14="","",IFERROR(TRUNC(AVERAGE(K14,L14,M14),1),""))</f>
        <v/>
      </c>
      <c r="O14" s="124" t="str">
        <f>IF(MAESTRO!F14="","",IFERROR(AVERAGE(G14,K14),""))</f>
        <v/>
      </c>
      <c r="P14" s="124" t="str">
        <f>IF(MAESTRO!F14="","",IFERROR(AVERAGE(H14,L14),""))</f>
        <v/>
      </c>
      <c r="Q14" s="124" t="str">
        <f>IF(MAESTRO!F14="","",IFERROR(AVERAGE(I14,M14),""))</f>
        <v/>
      </c>
      <c r="R14" s="124" t="str">
        <f>IF(MAESTRO!F14="","",IFERROR(TRUNC(AVERAGE(O14,P14,Q14),1),""))</f>
        <v/>
      </c>
      <c r="S14" s="125" t="str">
        <f>IF(MAESTRO!F14="","",IFERROR('PROM (Artistica 9°)'!AE14,""))</f>
        <v/>
      </c>
      <c r="T14" s="125" t="str">
        <f>IF(MAESTRO!F14="","",IFERROR('PROM (Artistica 9°)'!BM14,""))</f>
        <v/>
      </c>
      <c r="U14" s="125" t="str">
        <f>IF(MAESTRO!F14="","",IFERROR('PROM (Artistica 9°)'!CU14,""))</f>
        <v/>
      </c>
      <c r="V14" s="126" t="str">
        <f>IF(MAESTRO!F14="","",IFERROR(TRUNC(AVERAGE(S14,T14,U14),1),""))</f>
        <v/>
      </c>
      <c r="W14" s="126" t="str">
        <f>IF(MAESTRO!F14="","",IF(AND(F14="",J14="",N14="",R14="",V14=""),"",IF(Y(OR(F14="",F14&gt;=3),OR(J14="",J14&gt;=3),OR(N14="",N14&gt;=3),OR(R14="",R14&gt;=3),OR(V14="",V14&gt;=3)),"✓ APROBADO","✗ REPROBADO")))</f>
        <v/>
      </c>
    </row>
    <row r="15" spans="1:23" ht="16.05" customHeight="1">
      <c r="A15" s="118">
        <v>11</v>
      </c>
      <c r="B15" s="119">
        <f>MAESTRO!F15</f>
        <v>0</v>
      </c>
      <c r="C15" s="122" t="str">
        <f>IF(MAESTRO!F15="","",IFERROR('PROM (Ingles 9°)'!AE15,""))</f>
        <v/>
      </c>
      <c r="D15" s="122" t="str">
        <f>IF(MAESTRO!F15="","",IFERROR('PROM (Ingles 9°)'!BM15,""))</f>
        <v/>
      </c>
      <c r="E15" s="122" t="str">
        <f>IF(MAESTRO!F15="","",IFERROR('PROM (Ingles 9°)'!CU15,""))</f>
        <v/>
      </c>
      <c r="F15" s="123" t="str">
        <f>IF(MAESTRO!F15="","",IFERROR(TRUNC(AVERAGE(C15,D15,E15),1),""))</f>
        <v/>
      </c>
      <c r="G15" s="122" t="str">
        <f>IF(MAESTRO!F15="","",IFERROR('PROM (Agropecuaria 9°)'!AE15,""))</f>
        <v/>
      </c>
      <c r="H15" s="122" t="str">
        <f>IF(MAESTRO!F15="","",IFERROR('PROM (Agropecuaria 9°)'!BM15,""))</f>
        <v/>
      </c>
      <c r="I15" s="122" t="str">
        <f>IF(MAESTRO!F15="","",IFERROR('PROM (Agropecuaria 9°)'!CU15,""))</f>
        <v/>
      </c>
      <c r="J15" s="123" t="str">
        <f>IF(MAESTRO!F15="","",IFERROR(TRUNC(AVERAGE(G15,H15,I15),1),""))</f>
        <v/>
      </c>
      <c r="K15" s="122" t="str">
        <f>IF(MAESTRO!F15="","",IFERROR('PROM (Comercio 9°)'!AE15,""))</f>
        <v/>
      </c>
      <c r="L15" s="122" t="str">
        <f>IF(MAESTRO!F15="","",IFERROR('PROM (Comercio 9°)'!BM15,""))</f>
        <v/>
      </c>
      <c r="M15" s="122" t="str">
        <f>IF(MAESTRO!F15="","",IFERROR('PROM (Comercio 9°)'!CU15,""))</f>
        <v/>
      </c>
      <c r="N15" s="123" t="str">
        <f>IF(MAESTRO!F15="","",IFERROR(TRUNC(AVERAGE(K15,L15,M15),1),""))</f>
        <v/>
      </c>
      <c r="O15" s="124" t="str">
        <f>IF(MAESTRO!F15="","",IFERROR(AVERAGE(G15,K15),""))</f>
        <v/>
      </c>
      <c r="P15" s="124" t="str">
        <f>IF(MAESTRO!F15="","",IFERROR(AVERAGE(H15,L15),""))</f>
        <v/>
      </c>
      <c r="Q15" s="124" t="str">
        <f>IF(MAESTRO!F15="","",IFERROR(AVERAGE(I15,M15),""))</f>
        <v/>
      </c>
      <c r="R15" s="124" t="str">
        <f>IF(MAESTRO!F15="","",IFERROR(TRUNC(AVERAGE(O15,P15,Q15),1),""))</f>
        <v/>
      </c>
      <c r="S15" s="122" t="str">
        <f>IF(MAESTRO!F15="","",IFERROR('PROM (Artistica 9°)'!AE15,""))</f>
        <v/>
      </c>
      <c r="T15" s="122" t="str">
        <f>IF(MAESTRO!F15="","",IFERROR('PROM (Artistica 9°)'!BM15,""))</f>
        <v/>
      </c>
      <c r="U15" s="122" t="str">
        <f>IF(MAESTRO!F15="","",IFERROR('PROM (Artistica 9°)'!CU15,""))</f>
        <v/>
      </c>
      <c r="V15" s="123" t="str">
        <f>IF(MAESTRO!F15="","",IFERROR(TRUNC(AVERAGE(S15,T15,U15),1),""))</f>
        <v/>
      </c>
      <c r="W15" s="123" t="str">
        <f>IF(MAESTRO!F15="","",IF(AND(F15="",J15="",N15="",R15="",V15=""),"",IF(Y(OR(F15="",F15&gt;=3),OR(J15="",J15&gt;=3),OR(N15="",N15&gt;=3),OR(R15="",R15&gt;=3),OR(V15="",V15&gt;=3)),"✓ APROBADO","✗ REPROBADO")))</f>
        <v/>
      </c>
    </row>
    <row r="16" spans="1:23" ht="16.05" customHeight="1">
      <c r="A16" s="116">
        <v>12</v>
      </c>
      <c r="B16" s="117">
        <f>MAESTRO!F16</f>
        <v>0</v>
      </c>
      <c r="C16" s="125" t="str">
        <f>IF(MAESTRO!F16="","",IFERROR('PROM (Ingles 9°)'!AE16,""))</f>
        <v/>
      </c>
      <c r="D16" s="125" t="str">
        <f>IF(MAESTRO!F16="","",IFERROR('PROM (Ingles 9°)'!BM16,""))</f>
        <v/>
      </c>
      <c r="E16" s="125" t="str">
        <f>IF(MAESTRO!F16="","",IFERROR('PROM (Ingles 9°)'!CU16,""))</f>
        <v/>
      </c>
      <c r="F16" s="126" t="str">
        <f>IF(MAESTRO!F16="","",IFERROR(TRUNC(AVERAGE(C16,D16,E16),1),""))</f>
        <v/>
      </c>
      <c r="G16" s="125" t="str">
        <f>IF(MAESTRO!F16="","",IFERROR('PROM (Agropecuaria 9°)'!AE16,""))</f>
        <v/>
      </c>
      <c r="H16" s="125" t="str">
        <f>IF(MAESTRO!F16="","",IFERROR('PROM (Agropecuaria 9°)'!BM16,""))</f>
        <v/>
      </c>
      <c r="I16" s="125" t="str">
        <f>IF(MAESTRO!F16="","",IFERROR('PROM (Agropecuaria 9°)'!CU16,""))</f>
        <v/>
      </c>
      <c r="J16" s="126" t="str">
        <f>IF(MAESTRO!F16="","",IFERROR(TRUNC(AVERAGE(G16,H16,I16),1),""))</f>
        <v/>
      </c>
      <c r="K16" s="125" t="str">
        <f>IF(MAESTRO!F16="","",IFERROR('PROM (Comercio 9°)'!AE16,""))</f>
        <v/>
      </c>
      <c r="L16" s="125" t="str">
        <f>IF(MAESTRO!F16="","",IFERROR('PROM (Comercio 9°)'!BM16,""))</f>
        <v/>
      </c>
      <c r="M16" s="125" t="str">
        <f>IF(MAESTRO!F16="","",IFERROR('PROM (Comercio 9°)'!CU16,""))</f>
        <v/>
      </c>
      <c r="N16" s="126" t="str">
        <f>IF(MAESTRO!F16="","",IFERROR(TRUNC(AVERAGE(K16,L16,M16),1),""))</f>
        <v/>
      </c>
      <c r="O16" s="124" t="str">
        <f>IF(MAESTRO!F16="","",IFERROR(AVERAGE(G16,K16),""))</f>
        <v/>
      </c>
      <c r="P16" s="124" t="str">
        <f>IF(MAESTRO!F16="","",IFERROR(AVERAGE(H16,L16),""))</f>
        <v/>
      </c>
      <c r="Q16" s="124" t="str">
        <f>IF(MAESTRO!F16="","",IFERROR(AVERAGE(I16,M16),""))</f>
        <v/>
      </c>
      <c r="R16" s="124" t="str">
        <f>IF(MAESTRO!F16="","",IFERROR(TRUNC(AVERAGE(O16,P16,Q16),1),""))</f>
        <v/>
      </c>
      <c r="S16" s="125" t="str">
        <f>IF(MAESTRO!F16="","",IFERROR('PROM (Artistica 9°)'!AE16,""))</f>
        <v/>
      </c>
      <c r="T16" s="125" t="str">
        <f>IF(MAESTRO!F16="","",IFERROR('PROM (Artistica 9°)'!BM16,""))</f>
        <v/>
      </c>
      <c r="U16" s="125" t="str">
        <f>IF(MAESTRO!F16="","",IFERROR('PROM (Artistica 9°)'!CU16,""))</f>
        <v/>
      </c>
      <c r="V16" s="126" t="str">
        <f>IF(MAESTRO!F16="","",IFERROR(TRUNC(AVERAGE(S16,T16,U16),1),""))</f>
        <v/>
      </c>
      <c r="W16" s="126" t="str">
        <f>IF(MAESTRO!F16="","",IF(AND(F16="",J16="",N16="",R16="",V16=""),"",IF(Y(OR(F16="",F16&gt;=3),OR(J16="",J16&gt;=3),OR(N16="",N16&gt;=3),OR(R16="",R16&gt;=3),OR(V16="",V16&gt;=3)),"✓ APROBADO","✗ REPROBADO")))</f>
        <v/>
      </c>
    </row>
    <row r="17" spans="1:23" ht="16.05" customHeight="1">
      <c r="A17" s="118">
        <v>13</v>
      </c>
      <c r="B17" s="119">
        <f>MAESTRO!F17</f>
        <v>0</v>
      </c>
      <c r="C17" s="122" t="str">
        <f>IF(MAESTRO!F17="","",IFERROR('PROM (Ingles 9°)'!AE17,""))</f>
        <v/>
      </c>
      <c r="D17" s="122" t="str">
        <f>IF(MAESTRO!F17="","",IFERROR('PROM (Ingles 9°)'!BM17,""))</f>
        <v/>
      </c>
      <c r="E17" s="122" t="str">
        <f>IF(MAESTRO!F17="","",IFERROR('PROM (Ingles 9°)'!CU17,""))</f>
        <v/>
      </c>
      <c r="F17" s="123" t="str">
        <f>IF(MAESTRO!F17="","",IFERROR(TRUNC(AVERAGE(C17,D17,E17),1),""))</f>
        <v/>
      </c>
      <c r="G17" s="122" t="str">
        <f>IF(MAESTRO!F17="","",IFERROR('PROM (Agropecuaria 9°)'!AE17,""))</f>
        <v/>
      </c>
      <c r="H17" s="122" t="str">
        <f>IF(MAESTRO!F17="","",IFERROR('PROM (Agropecuaria 9°)'!BM17,""))</f>
        <v/>
      </c>
      <c r="I17" s="122" t="str">
        <f>IF(MAESTRO!F17="","",IFERROR('PROM (Agropecuaria 9°)'!CU17,""))</f>
        <v/>
      </c>
      <c r="J17" s="123" t="str">
        <f>IF(MAESTRO!F17="","",IFERROR(TRUNC(AVERAGE(G17,H17,I17),1),""))</f>
        <v/>
      </c>
      <c r="K17" s="122" t="str">
        <f>IF(MAESTRO!F17="","",IFERROR('PROM (Comercio 9°)'!AE17,""))</f>
        <v/>
      </c>
      <c r="L17" s="122" t="str">
        <f>IF(MAESTRO!F17="","",IFERROR('PROM (Comercio 9°)'!BM17,""))</f>
        <v/>
      </c>
      <c r="M17" s="122" t="str">
        <f>IF(MAESTRO!F17="","",IFERROR('PROM (Comercio 9°)'!CU17,""))</f>
        <v/>
      </c>
      <c r="N17" s="123" t="str">
        <f>IF(MAESTRO!F17="","",IFERROR(TRUNC(AVERAGE(K17,L17,M17),1),""))</f>
        <v/>
      </c>
      <c r="O17" s="124" t="str">
        <f>IF(MAESTRO!F17="","",IFERROR(AVERAGE(G17,K17),""))</f>
        <v/>
      </c>
      <c r="P17" s="124" t="str">
        <f>IF(MAESTRO!F17="","",IFERROR(AVERAGE(H17,L17),""))</f>
        <v/>
      </c>
      <c r="Q17" s="124" t="str">
        <f>IF(MAESTRO!F17="","",IFERROR(AVERAGE(I17,M17),""))</f>
        <v/>
      </c>
      <c r="R17" s="124" t="str">
        <f>IF(MAESTRO!F17="","",IFERROR(TRUNC(AVERAGE(O17,P17,Q17),1),""))</f>
        <v/>
      </c>
      <c r="S17" s="122" t="str">
        <f>IF(MAESTRO!F17="","",IFERROR('PROM (Artistica 9°)'!AE17,""))</f>
        <v/>
      </c>
      <c r="T17" s="122" t="str">
        <f>IF(MAESTRO!F17="","",IFERROR('PROM (Artistica 9°)'!BM17,""))</f>
        <v/>
      </c>
      <c r="U17" s="122" t="str">
        <f>IF(MAESTRO!F17="","",IFERROR('PROM (Artistica 9°)'!CU17,""))</f>
        <v/>
      </c>
      <c r="V17" s="123" t="str">
        <f>IF(MAESTRO!F17="","",IFERROR(TRUNC(AVERAGE(S17,T17,U17),1),""))</f>
        <v/>
      </c>
      <c r="W17" s="123" t="str">
        <f>IF(MAESTRO!F17="","",IF(AND(F17="",J17="",N17="",R17="",V17=""),"",IF(Y(OR(F17="",F17&gt;=3),OR(J17="",J17&gt;=3),OR(N17="",N17&gt;=3),OR(R17="",R17&gt;=3),OR(V17="",V17&gt;=3)),"✓ APROBADO","✗ REPROBADO")))</f>
        <v/>
      </c>
    </row>
    <row r="18" spans="1:23" ht="16.05" customHeight="1">
      <c r="A18" s="116">
        <v>14</v>
      </c>
      <c r="B18" s="117">
        <f>MAESTRO!F18</f>
        <v>0</v>
      </c>
      <c r="C18" s="125" t="str">
        <f>IF(MAESTRO!F18="","",IFERROR('PROM (Ingles 9°)'!AE18,""))</f>
        <v/>
      </c>
      <c r="D18" s="125" t="str">
        <f>IF(MAESTRO!F18="","",IFERROR('PROM (Ingles 9°)'!BM18,""))</f>
        <v/>
      </c>
      <c r="E18" s="125" t="str">
        <f>IF(MAESTRO!F18="","",IFERROR('PROM (Ingles 9°)'!CU18,""))</f>
        <v/>
      </c>
      <c r="F18" s="126" t="str">
        <f>IF(MAESTRO!F18="","",IFERROR(TRUNC(AVERAGE(C18,D18,E18),1),""))</f>
        <v/>
      </c>
      <c r="G18" s="125" t="str">
        <f>IF(MAESTRO!F18="","",IFERROR('PROM (Agropecuaria 9°)'!AE18,""))</f>
        <v/>
      </c>
      <c r="H18" s="125" t="str">
        <f>IF(MAESTRO!F18="","",IFERROR('PROM (Agropecuaria 9°)'!BM18,""))</f>
        <v/>
      </c>
      <c r="I18" s="125" t="str">
        <f>IF(MAESTRO!F18="","",IFERROR('PROM (Agropecuaria 9°)'!CU18,""))</f>
        <v/>
      </c>
      <c r="J18" s="126" t="str">
        <f>IF(MAESTRO!F18="","",IFERROR(TRUNC(AVERAGE(G18,H18,I18),1),""))</f>
        <v/>
      </c>
      <c r="K18" s="125" t="str">
        <f>IF(MAESTRO!F18="","",IFERROR('PROM (Comercio 9°)'!AE18,""))</f>
        <v/>
      </c>
      <c r="L18" s="125" t="str">
        <f>IF(MAESTRO!F18="","",IFERROR('PROM (Comercio 9°)'!BM18,""))</f>
        <v/>
      </c>
      <c r="M18" s="125" t="str">
        <f>IF(MAESTRO!F18="","",IFERROR('PROM (Comercio 9°)'!CU18,""))</f>
        <v/>
      </c>
      <c r="N18" s="126" t="str">
        <f>IF(MAESTRO!F18="","",IFERROR(TRUNC(AVERAGE(K18,L18,M18),1),""))</f>
        <v/>
      </c>
      <c r="O18" s="124" t="str">
        <f>IF(MAESTRO!F18="","",IFERROR(AVERAGE(G18,K18),""))</f>
        <v/>
      </c>
      <c r="P18" s="124" t="str">
        <f>IF(MAESTRO!F18="","",IFERROR(AVERAGE(H18,L18),""))</f>
        <v/>
      </c>
      <c r="Q18" s="124" t="str">
        <f>IF(MAESTRO!F18="","",IFERROR(AVERAGE(I18,M18),""))</f>
        <v/>
      </c>
      <c r="R18" s="124" t="str">
        <f>IF(MAESTRO!F18="","",IFERROR(TRUNC(AVERAGE(O18,P18,Q18),1),""))</f>
        <v/>
      </c>
      <c r="S18" s="125" t="str">
        <f>IF(MAESTRO!F18="","",IFERROR('PROM (Artistica 9°)'!AE18,""))</f>
        <v/>
      </c>
      <c r="T18" s="125" t="str">
        <f>IF(MAESTRO!F18="","",IFERROR('PROM (Artistica 9°)'!BM18,""))</f>
        <v/>
      </c>
      <c r="U18" s="125" t="str">
        <f>IF(MAESTRO!F18="","",IFERROR('PROM (Artistica 9°)'!CU18,""))</f>
        <v/>
      </c>
      <c r="V18" s="126" t="str">
        <f>IF(MAESTRO!F18="","",IFERROR(TRUNC(AVERAGE(S18,T18,U18),1),""))</f>
        <v/>
      </c>
      <c r="W18" s="126" t="str">
        <f>IF(MAESTRO!F18="","",IF(AND(F18="",J18="",N18="",R18="",V18=""),"",IF(Y(OR(F18="",F18&gt;=3),OR(J18="",J18&gt;=3),OR(N18="",N18&gt;=3),OR(R18="",R18&gt;=3),OR(V18="",V18&gt;=3)),"✓ APROBADO","✗ REPROBADO")))</f>
        <v/>
      </c>
    </row>
    <row r="19" spans="1:23" ht="16.05" customHeight="1">
      <c r="A19" s="118">
        <v>15</v>
      </c>
      <c r="B19" s="119">
        <f>MAESTRO!F19</f>
        <v>0</v>
      </c>
      <c r="C19" s="122" t="str">
        <f>IF(MAESTRO!F19="","",IFERROR('PROM (Ingles 9°)'!AE19,""))</f>
        <v/>
      </c>
      <c r="D19" s="122" t="str">
        <f>IF(MAESTRO!F19="","",IFERROR('PROM (Ingles 9°)'!BM19,""))</f>
        <v/>
      </c>
      <c r="E19" s="122" t="str">
        <f>IF(MAESTRO!F19="","",IFERROR('PROM (Ingles 9°)'!CU19,""))</f>
        <v/>
      </c>
      <c r="F19" s="123" t="str">
        <f>IF(MAESTRO!F19="","",IFERROR(TRUNC(AVERAGE(C19,D19,E19),1),""))</f>
        <v/>
      </c>
      <c r="G19" s="122" t="str">
        <f>IF(MAESTRO!F19="","",IFERROR('PROM (Agropecuaria 9°)'!AE19,""))</f>
        <v/>
      </c>
      <c r="H19" s="122" t="str">
        <f>IF(MAESTRO!F19="","",IFERROR('PROM (Agropecuaria 9°)'!BM19,""))</f>
        <v/>
      </c>
      <c r="I19" s="122" t="str">
        <f>IF(MAESTRO!F19="","",IFERROR('PROM (Agropecuaria 9°)'!CU19,""))</f>
        <v/>
      </c>
      <c r="J19" s="123" t="str">
        <f>IF(MAESTRO!F19="","",IFERROR(TRUNC(AVERAGE(G19,H19,I19),1),""))</f>
        <v/>
      </c>
      <c r="K19" s="122" t="str">
        <f>IF(MAESTRO!F19="","",IFERROR('PROM (Comercio 9°)'!AE19,""))</f>
        <v/>
      </c>
      <c r="L19" s="122" t="str">
        <f>IF(MAESTRO!F19="","",IFERROR('PROM (Comercio 9°)'!BM19,""))</f>
        <v/>
      </c>
      <c r="M19" s="122" t="str">
        <f>IF(MAESTRO!F19="","",IFERROR('PROM (Comercio 9°)'!CU19,""))</f>
        <v/>
      </c>
      <c r="N19" s="123" t="str">
        <f>IF(MAESTRO!F19="","",IFERROR(TRUNC(AVERAGE(K19,L19,M19),1),""))</f>
        <v/>
      </c>
      <c r="O19" s="124" t="str">
        <f>IF(MAESTRO!F19="","",IFERROR(AVERAGE(G19,K19),""))</f>
        <v/>
      </c>
      <c r="P19" s="124" t="str">
        <f>IF(MAESTRO!F19="","",IFERROR(AVERAGE(H19,L19),""))</f>
        <v/>
      </c>
      <c r="Q19" s="124" t="str">
        <f>IF(MAESTRO!F19="","",IFERROR(AVERAGE(I19,M19),""))</f>
        <v/>
      </c>
      <c r="R19" s="124" t="str">
        <f>IF(MAESTRO!F19="","",IFERROR(TRUNC(AVERAGE(O19,P19,Q19),1),""))</f>
        <v/>
      </c>
      <c r="S19" s="122" t="str">
        <f>IF(MAESTRO!F19="","",IFERROR('PROM (Artistica 9°)'!AE19,""))</f>
        <v/>
      </c>
      <c r="T19" s="122" t="str">
        <f>IF(MAESTRO!F19="","",IFERROR('PROM (Artistica 9°)'!BM19,""))</f>
        <v/>
      </c>
      <c r="U19" s="122" t="str">
        <f>IF(MAESTRO!F19="","",IFERROR('PROM (Artistica 9°)'!CU19,""))</f>
        <v/>
      </c>
      <c r="V19" s="123" t="str">
        <f>IF(MAESTRO!F19="","",IFERROR(TRUNC(AVERAGE(S19,T19,U19),1),""))</f>
        <v/>
      </c>
      <c r="W19" s="123" t="str">
        <f>IF(MAESTRO!F19="","",IF(AND(F19="",J19="",N19="",R19="",V19=""),"",IF(Y(OR(F19="",F19&gt;=3),OR(J19="",J19&gt;=3),OR(N19="",N19&gt;=3),OR(R19="",R19&gt;=3),OR(V19="",V19&gt;=3)),"✓ APROBADO","✗ REPROBADO")))</f>
        <v/>
      </c>
    </row>
    <row r="20" spans="1:23" ht="16.05" customHeight="1">
      <c r="A20" s="116">
        <v>16</v>
      </c>
      <c r="B20" s="117">
        <f>MAESTRO!F20</f>
        <v>0</v>
      </c>
      <c r="C20" s="125" t="str">
        <f>IF(MAESTRO!F20="","",IFERROR('PROM (Ingles 9°)'!AE20,""))</f>
        <v/>
      </c>
      <c r="D20" s="125" t="str">
        <f>IF(MAESTRO!F20="","",IFERROR('PROM (Ingles 9°)'!BM20,""))</f>
        <v/>
      </c>
      <c r="E20" s="125" t="str">
        <f>IF(MAESTRO!F20="","",IFERROR('PROM (Ingles 9°)'!CU20,""))</f>
        <v/>
      </c>
      <c r="F20" s="126" t="str">
        <f>IF(MAESTRO!F20="","",IFERROR(TRUNC(AVERAGE(C20,D20,E20),1),""))</f>
        <v/>
      </c>
      <c r="G20" s="125" t="str">
        <f>IF(MAESTRO!F20="","",IFERROR('PROM (Agropecuaria 9°)'!AE20,""))</f>
        <v/>
      </c>
      <c r="H20" s="125" t="str">
        <f>IF(MAESTRO!F20="","",IFERROR('PROM (Agropecuaria 9°)'!BM20,""))</f>
        <v/>
      </c>
      <c r="I20" s="125" t="str">
        <f>IF(MAESTRO!F20="","",IFERROR('PROM (Agropecuaria 9°)'!CU20,""))</f>
        <v/>
      </c>
      <c r="J20" s="126" t="str">
        <f>IF(MAESTRO!F20="","",IFERROR(TRUNC(AVERAGE(G20,H20,I20),1),""))</f>
        <v/>
      </c>
      <c r="K20" s="125" t="str">
        <f>IF(MAESTRO!F20="","",IFERROR('PROM (Comercio 9°)'!AE20,""))</f>
        <v/>
      </c>
      <c r="L20" s="125" t="str">
        <f>IF(MAESTRO!F20="","",IFERROR('PROM (Comercio 9°)'!BM20,""))</f>
        <v/>
      </c>
      <c r="M20" s="125" t="str">
        <f>IF(MAESTRO!F20="","",IFERROR('PROM (Comercio 9°)'!CU20,""))</f>
        <v/>
      </c>
      <c r="N20" s="126" t="str">
        <f>IF(MAESTRO!F20="","",IFERROR(TRUNC(AVERAGE(K20,L20,M20),1),""))</f>
        <v/>
      </c>
      <c r="O20" s="124" t="str">
        <f>IF(MAESTRO!F20="","",IFERROR(AVERAGE(G20,K20),""))</f>
        <v/>
      </c>
      <c r="P20" s="124" t="str">
        <f>IF(MAESTRO!F20="","",IFERROR(AVERAGE(H20,L20),""))</f>
        <v/>
      </c>
      <c r="Q20" s="124" t="str">
        <f>IF(MAESTRO!F20="","",IFERROR(AVERAGE(I20,M20),""))</f>
        <v/>
      </c>
      <c r="R20" s="124" t="str">
        <f>IF(MAESTRO!F20="","",IFERROR(TRUNC(AVERAGE(O20,P20,Q20),1),""))</f>
        <v/>
      </c>
      <c r="S20" s="125" t="str">
        <f>IF(MAESTRO!F20="","",IFERROR('PROM (Artistica 9°)'!AE20,""))</f>
        <v/>
      </c>
      <c r="T20" s="125" t="str">
        <f>IF(MAESTRO!F20="","",IFERROR('PROM (Artistica 9°)'!BM20,""))</f>
        <v/>
      </c>
      <c r="U20" s="125" t="str">
        <f>IF(MAESTRO!F20="","",IFERROR('PROM (Artistica 9°)'!CU20,""))</f>
        <v/>
      </c>
      <c r="V20" s="126" t="str">
        <f>IF(MAESTRO!F20="","",IFERROR(TRUNC(AVERAGE(S20,T20,U20),1),""))</f>
        <v/>
      </c>
      <c r="W20" s="126" t="str">
        <f>IF(MAESTRO!F20="","",IF(AND(F20="",J20="",N20="",R20="",V20=""),"",IF(Y(OR(F20="",F20&gt;=3),OR(J20="",J20&gt;=3),OR(N20="",N20&gt;=3),OR(R20="",R20&gt;=3),OR(V20="",V20&gt;=3)),"✓ APROBADO","✗ REPROBADO")))</f>
        <v/>
      </c>
    </row>
    <row r="21" spans="1:23" ht="16.05" customHeight="1">
      <c r="A21" s="118">
        <v>17</v>
      </c>
      <c r="B21" s="119">
        <f>MAESTRO!F21</f>
        <v>0</v>
      </c>
      <c r="C21" s="122" t="str">
        <f>IF(MAESTRO!F21="","",IFERROR('PROM (Ingles 9°)'!AE21,""))</f>
        <v/>
      </c>
      <c r="D21" s="122" t="str">
        <f>IF(MAESTRO!F21="","",IFERROR('PROM (Ingles 9°)'!BM21,""))</f>
        <v/>
      </c>
      <c r="E21" s="122" t="str">
        <f>IF(MAESTRO!F21="","",IFERROR('PROM (Ingles 9°)'!CU21,""))</f>
        <v/>
      </c>
      <c r="F21" s="123" t="str">
        <f>IF(MAESTRO!F21="","",IFERROR(TRUNC(AVERAGE(C21,D21,E21),1),""))</f>
        <v/>
      </c>
      <c r="G21" s="122" t="str">
        <f>IF(MAESTRO!F21="","",IFERROR('PROM (Agropecuaria 9°)'!AE21,""))</f>
        <v/>
      </c>
      <c r="H21" s="122" t="str">
        <f>IF(MAESTRO!F21="","",IFERROR('PROM (Agropecuaria 9°)'!BM21,""))</f>
        <v/>
      </c>
      <c r="I21" s="122" t="str">
        <f>IF(MAESTRO!F21="","",IFERROR('PROM (Agropecuaria 9°)'!CU21,""))</f>
        <v/>
      </c>
      <c r="J21" s="123" t="str">
        <f>IF(MAESTRO!F21="","",IFERROR(TRUNC(AVERAGE(G21,H21,I21),1),""))</f>
        <v/>
      </c>
      <c r="K21" s="122" t="str">
        <f>IF(MAESTRO!F21="","",IFERROR('PROM (Comercio 9°)'!AE21,""))</f>
        <v/>
      </c>
      <c r="L21" s="122" t="str">
        <f>IF(MAESTRO!F21="","",IFERROR('PROM (Comercio 9°)'!BM21,""))</f>
        <v/>
      </c>
      <c r="M21" s="122" t="str">
        <f>IF(MAESTRO!F21="","",IFERROR('PROM (Comercio 9°)'!CU21,""))</f>
        <v/>
      </c>
      <c r="N21" s="123" t="str">
        <f>IF(MAESTRO!F21="","",IFERROR(TRUNC(AVERAGE(K21,L21,M21),1),""))</f>
        <v/>
      </c>
      <c r="O21" s="124" t="str">
        <f>IF(MAESTRO!F21="","",IFERROR(AVERAGE(G21,K21),""))</f>
        <v/>
      </c>
      <c r="P21" s="124" t="str">
        <f>IF(MAESTRO!F21="","",IFERROR(AVERAGE(H21,L21),""))</f>
        <v/>
      </c>
      <c r="Q21" s="124" t="str">
        <f>IF(MAESTRO!F21="","",IFERROR(AVERAGE(I21,M21),""))</f>
        <v/>
      </c>
      <c r="R21" s="124" t="str">
        <f>IF(MAESTRO!F21="","",IFERROR(TRUNC(AVERAGE(O21,P21,Q21),1),""))</f>
        <v/>
      </c>
      <c r="S21" s="122" t="str">
        <f>IF(MAESTRO!F21="","",IFERROR('PROM (Artistica 9°)'!AE21,""))</f>
        <v/>
      </c>
      <c r="T21" s="122" t="str">
        <f>IF(MAESTRO!F21="","",IFERROR('PROM (Artistica 9°)'!BM21,""))</f>
        <v/>
      </c>
      <c r="U21" s="122" t="str">
        <f>IF(MAESTRO!F21="","",IFERROR('PROM (Artistica 9°)'!CU21,""))</f>
        <v/>
      </c>
      <c r="V21" s="123" t="str">
        <f>IF(MAESTRO!F21="","",IFERROR(TRUNC(AVERAGE(S21,T21,U21),1),""))</f>
        <v/>
      </c>
      <c r="W21" s="123" t="str">
        <f>IF(MAESTRO!F21="","",IF(AND(F21="",J21="",N21="",R21="",V21=""),"",IF(Y(OR(F21="",F21&gt;=3),OR(J21="",J21&gt;=3),OR(N21="",N21&gt;=3),OR(R21="",R21&gt;=3),OR(V21="",V21&gt;=3)),"✓ APROBADO","✗ REPROBADO")))</f>
        <v/>
      </c>
    </row>
    <row r="22" spans="1:23" ht="16.05" customHeight="1">
      <c r="A22" s="116">
        <v>18</v>
      </c>
      <c r="B22" s="117">
        <f>MAESTRO!F22</f>
        <v>0</v>
      </c>
      <c r="C22" s="125" t="str">
        <f>IF(MAESTRO!F22="","",IFERROR('PROM (Ingles 9°)'!AE22,""))</f>
        <v/>
      </c>
      <c r="D22" s="125" t="str">
        <f>IF(MAESTRO!F22="","",IFERROR('PROM (Ingles 9°)'!BM22,""))</f>
        <v/>
      </c>
      <c r="E22" s="125" t="str">
        <f>IF(MAESTRO!F22="","",IFERROR('PROM (Ingles 9°)'!CU22,""))</f>
        <v/>
      </c>
      <c r="F22" s="126" t="str">
        <f>IF(MAESTRO!F22="","",IFERROR(TRUNC(AVERAGE(C22,D22,E22),1),""))</f>
        <v/>
      </c>
      <c r="G22" s="125" t="str">
        <f>IF(MAESTRO!F22="","",IFERROR('PROM (Agropecuaria 9°)'!AE22,""))</f>
        <v/>
      </c>
      <c r="H22" s="125" t="str">
        <f>IF(MAESTRO!F22="","",IFERROR('PROM (Agropecuaria 9°)'!BM22,""))</f>
        <v/>
      </c>
      <c r="I22" s="125" t="str">
        <f>IF(MAESTRO!F22="","",IFERROR('PROM (Agropecuaria 9°)'!CU22,""))</f>
        <v/>
      </c>
      <c r="J22" s="126" t="str">
        <f>IF(MAESTRO!F22="","",IFERROR(TRUNC(AVERAGE(G22,H22,I22),1),""))</f>
        <v/>
      </c>
      <c r="K22" s="125" t="str">
        <f>IF(MAESTRO!F22="","",IFERROR('PROM (Comercio 9°)'!AE22,""))</f>
        <v/>
      </c>
      <c r="L22" s="125" t="str">
        <f>IF(MAESTRO!F22="","",IFERROR('PROM (Comercio 9°)'!BM22,""))</f>
        <v/>
      </c>
      <c r="M22" s="125" t="str">
        <f>IF(MAESTRO!F22="","",IFERROR('PROM (Comercio 9°)'!CU22,""))</f>
        <v/>
      </c>
      <c r="N22" s="126" t="str">
        <f>IF(MAESTRO!F22="","",IFERROR(TRUNC(AVERAGE(K22,L22,M22),1),""))</f>
        <v/>
      </c>
      <c r="O22" s="124" t="str">
        <f>IF(MAESTRO!F22="","",IFERROR(AVERAGE(G22,K22),""))</f>
        <v/>
      </c>
      <c r="P22" s="124" t="str">
        <f>IF(MAESTRO!F22="","",IFERROR(AVERAGE(H22,L22),""))</f>
        <v/>
      </c>
      <c r="Q22" s="124" t="str">
        <f>IF(MAESTRO!F22="","",IFERROR(AVERAGE(I22,M22),""))</f>
        <v/>
      </c>
      <c r="R22" s="124" t="str">
        <f>IF(MAESTRO!F22="","",IFERROR(TRUNC(AVERAGE(O22,P22,Q22),1),""))</f>
        <v/>
      </c>
      <c r="S22" s="125" t="str">
        <f>IF(MAESTRO!F22="","",IFERROR('PROM (Artistica 9°)'!AE22,""))</f>
        <v/>
      </c>
      <c r="T22" s="125" t="str">
        <f>IF(MAESTRO!F22="","",IFERROR('PROM (Artistica 9°)'!BM22,""))</f>
        <v/>
      </c>
      <c r="U22" s="125" t="str">
        <f>IF(MAESTRO!F22="","",IFERROR('PROM (Artistica 9°)'!CU22,""))</f>
        <v/>
      </c>
      <c r="V22" s="126" t="str">
        <f>IF(MAESTRO!F22="","",IFERROR(TRUNC(AVERAGE(S22,T22,U22),1),""))</f>
        <v/>
      </c>
      <c r="W22" s="126" t="str">
        <f>IF(MAESTRO!F22="","",IF(AND(F22="",J22="",N22="",R22="",V22=""),"",IF(Y(OR(F22="",F22&gt;=3),OR(J22="",J22&gt;=3),OR(N22="",N22&gt;=3),OR(R22="",R22&gt;=3),OR(V22="",V22&gt;=3)),"✓ APROBADO","✗ REPROBADO")))</f>
        <v/>
      </c>
    </row>
    <row r="23" spans="1:23" ht="16.05" customHeight="1">
      <c r="A23" s="118">
        <v>19</v>
      </c>
      <c r="B23" s="119">
        <f>MAESTRO!F23</f>
        <v>0</v>
      </c>
      <c r="C23" s="122" t="str">
        <f>IF(MAESTRO!F23="","",IFERROR('PROM (Ingles 9°)'!AE23,""))</f>
        <v/>
      </c>
      <c r="D23" s="122" t="str">
        <f>IF(MAESTRO!F23="","",IFERROR('PROM (Ingles 9°)'!BM23,""))</f>
        <v/>
      </c>
      <c r="E23" s="122" t="str">
        <f>IF(MAESTRO!F23="","",IFERROR('PROM (Ingles 9°)'!CU23,""))</f>
        <v/>
      </c>
      <c r="F23" s="123" t="str">
        <f>IF(MAESTRO!F23="","",IFERROR(TRUNC(AVERAGE(C23,D23,E23),1),""))</f>
        <v/>
      </c>
      <c r="G23" s="122" t="str">
        <f>IF(MAESTRO!F23="","",IFERROR('PROM (Agropecuaria 9°)'!AE23,""))</f>
        <v/>
      </c>
      <c r="H23" s="122" t="str">
        <f>IF(MAESTRO!F23="","",IFERROR('PROM (Agropecuaria 9°)'!BM23,""))</f>
        <v/>
      </c>
      <c r="I23" s="122" t="str">
        <f>IF(MAESTRO!F23="","",IFERROR('PROM (Agropecuaria 9°)'!CU23,""))</f>
        <v/>
      </c>
      <c r="J23" s="123" t="str">
        <f>IF(MAESTRO!F23="","",IFERROR(TRUNC(AVERAGE(G23,H23,I23),1),""))</f>
        <v/>
      </c>
      <c r="K23" s="122" t="str">
        <f>IF(MAESTRO!F23="","",IFERROR('PROM (Comercio 9°)'!AE23,""))</f>
        <v/>
      </c>
      <c r="L23" s="122" t="str">
        <f>IF(MAESTRO!F23="","",IFERROR('PROM (Comercio 9°)'!BM23,""))</f>
        <v/>
      </c>
      <c r="M23" s="122" t="str">
        <f>IF(MAESTRO!F23="","",IFERROR('PROM (Comercio 9°)'!CU23,""))</f>
        <v/>
      </c>
      <c r="N23" s="123" t="str">
        <f>IF(MAESTRO!F23="","",IFERROR(TRUNC(AVERAGE(K23,L23,M23),1),""))</f>
        <v/>
      </c>
      <c r="O23" s="124" t="str">
        <f>IF(MAESTRO!F23="","",IFERROR(AVERAGE(G23,K23),""))</f>
        <v/>
      </c>
      <c r="P23" s="124" t="str">
        <f>IF(MAESTRO!F23="","",IFERROR(AVERAGE(H23,L23),""))</f>
        <v/>
      </c>
      <c r="Q23" s="124" t="str">
        <f>IF(MAESTRO!F23="","",IFERROR(AVERAGE(I23,M23),""))</f>
        <v/>
      </c>
      <c r="R23" s="124" t="str">
        <f>IF(MAESTRO!F23="","",IFERROR(TRUNC(AVERAGE(O23,P23,Q23),1),""))</f>
        <v/>
      </c>
      <c r="S23" s="122" t="str">
        <f>IF(MAESTRO!F23="","",IFERROR('PROM (Artistica 9°)'!AE23,""))</f>
        <v/>
      </c>
      <c r="T23" s="122" t="str">
        <f>IF(MAESTRO!F23="","",IFERROR('PROM (Artistica 9°)'!BM23,""))</f>
        <v/>
      </c>
      <c r="U23" s="122" t="str">
        <f>IF(MAESTRO!F23="","",IFERROR('PROM (Artistica 9°)'!CU23,""))</f>
        <v/>
      </c>
      <c r="V23" s="123" t="str">
        <f>IF(MAESTRO!F23="","",IFERROR(TRUNC(AVERAGE(S23,T23,U23),1),""))</f>
        <v/>
      </c>
      <c r="W23" s="123" t="str">
        <f>IF(MAESTRO!F23="","",IF(AND(F23="",J23="",N23="",R23="",V23=""),"",IF(Y(OR(F23="",F23&gt;=3),OR(J23="",J23&gt;=3),OR(N23="",N23&gt;=3),OR(R23="",R23&gt;=3),OR(V23="",V23&gt;=3)),"✓ APROBADO","✗ REPROBADO")))</f>
        <v/>
      </c>
    </row>
    <row r="24" spans="1:23" ht="16.05" customHeight="1">
      <c r="A24" s="116">
        <v>20</v>
      </c>
      <c r="B24" s="117">
        <f>MAESTRO!F24</f>
        <v>0</v>
      </c>
      <c r="C24" s="125" t="str">
        <f>IF(MAESTRO!F24="","",IFERROR('PROM (Ingles 9°)'!AE24,""))</f>
        <v/>
      </c>
      <c r="D24" s="125" t="str">
        <f>IF(MAESTRO!F24="","",IFERROR('PROM (Ingles 9°)'!BM24,""))</f>
        <v/>
      </c>
      <c r="E24" s="125" t="str">
        <f>IF(MAESTRO!F24="","",IFERROR('PROM (Ingles 9°)'!CU24,""))</f>
        <v/>
      </c>
      <c r="F24" s="126" t="str">
        <f>IF(MAESTRO!F24="","",IFERROR(TRUNC(AVERAGE(C24,D24,E24),1),""))</f>
        <v/>
      </c>
      <c r="G24" s="125" t="str">
        <f>IF(MAESTRO!F24="","",IFERROR('PROM (Agropecuaria 9°)'!AE24,""))</f>
        <v/>
      </c>
      <c r="H24" s="125" t="str">
        <f>IF(MAESTRO!F24="","",IFERROR('PROM (Agropecuaria 9°)'!BM24,""))</f>
        <v/>
      </c>
      <c r="I24" s="125" t="str">
        <f>IF(MAESTRO!F24="","",IFERROR('PROM (Agropecuaria 9°)'!CU24,""))</f>
        <v/>
      </c>
      <c r="J24" s="126" t="str">
        <f>IF(MAESTRO!F24="","",IFERROR(TRUNC(AVERAGE(G24,H24,I24),1),""))</f>
        <v/>
      </c>
      <c r="K24" s="125" t="str">
        <f>IF(MAESTRO!F24="","",IFERROR('PROM (Comercio 9°)'!AE24,""))</f>
        <v/>
      </c>
      <c r="L24" s="125" t="str">
        <f>IF(MAESTRO!F24="","",IFERROR('PROM (Comercio 9°)'!BM24,""))</f>
        <v/>
      </c>
      <c r="M24" s="125" t="str">
        <f>IF(MAESTRO!F24="","",IFERROR('PROM (Comercio 9°)'!CU24,""))</f>
        <v/>
      </c>
      <c r="N24" s="126" t="str">
        <f>IF(MAESTRO!F24="","",IFERROR(TRUNC(AVERAGE(K24,L24,M24),1),""))</f>
        <v/>
      </c>
      <c r="O24" s="124" t="str">
        <f>IF(MAESTRO!F24="","",IFERROR(AVERAGE(G24,K24),""))</f>
        <v/>
      </c>
      <c r="P24" s="124" t="str">
        <f>IF(MAESTRO!F24="","",IFERROR(AVERAGE(H24,L24),""))</f>
        <v/>
      </c>
      <c r="Q24" s="124" t="str">
        <f>IF(MAESTRO!F24="","",IFERROR(AVERAGE(I24,M24),""))</f>
        <v/>
      </c>
      <c r="R24" s="124" t="str">
        <f>IF(MAESTRO!F24="","",IFERROR(TRUNC(AVERAGE(O24,P24,Q24),1),""))</f>
        <v/>
      </c>
      <c r="S24" s="125" t="str">
        <f>IF(MAESTRO!F24="","",IFERROR('PROM (Artistica 9°)'!AE24,""))</f>
        <v/>
      </c>
      <c r="T24" s="125" t="str">
        <f>IF(MAESTRO!F24="","",IFERROR('PROM (Artistica 9°)'!BM24,""))</f>
        <v/>
      </c>
      <c r="U24" s="125" t="str">
        <f>IF(MAESTRO!F24="","",IFERROR('PROM (Artistica 9°)'!CU24,""))</f>
        <v/>
      </c>
      <c r="V24" s="126" t="str">
        <f>IF(MAESTRO!F24="","",IFERROR(TRUNC(AVERAGE(S24,T24,U24),1),""))</f>
        <v/>
      </c>
      <c r="W24" s="126" t="str">
        <f>IF(MAESTRO!F24="","",IF(AND(F24="",J24="",N24="",R24="",V24=""),"",IF(Y(OR(F24="",F24&gt;=3),OR(J24="",J24&gt;=3),OR(N24="",N24&gt;=3),OR(R24="",R24&gt;=3),OR(V24="",V24&gt;=3)),"✓ APROBADO","✗ REPROBADO")))</f>
        <v/>
      </c>
    </row>
    <row r="25" spans="1:23" ht="16.05" customHeight="1">
      <c r="A25" s="118">
        <v>21</v>
      </c>
      <c r="B25" s="119">
        <f>MAESTRO!F25</f>
        <v>0</v>
      </c>
      <c r="C25" s="122" t="str">
        <f>IF(MAESTRO!F25="","",IFERROR('PROM (Ingles 9°)'!AE25,""))</f>
        <v/>
      </c>
      <c r="D25" s="122" t="str">
        <f>IF(MAESTRO!F25="","",IFERROR('PROM (Ingles 9°)'!BM25,""))</f>
        <v/>
      </c>
      <c r="E25" s="122" t="str">
        <f>IF(MAESTRO!F25="","",IFERROR('PROM (Ingles 9°)'!CU25,""))</f>
        <v/>
      </c>
      <c r="F25" s="123" t="str">
        <f>IF(MAESTRO!F25="","",IFERROR(TRUNC(AVERAGE(C25,D25,E25),1),""))</f>
        <v/>
      </c>
      <c r="G25" s="122" t="str">
        <f>IF(MAESTRO!F25="","",IFERROR('PROM (Agropecuaria 9°)'!AE25,""))</f>
        <v/>
      </c>
      <c r="H25" s="122" t="str">
        <f>IF(MAESTRO!F25="","",IFERROR('PROM (Agropecuaria 9°)'!BM25,""))</f>
        <v/>
      </c>
      <c r="I25" s="122" t="str">
        <f>IF(MAESTRO!F25="","",IFERROR('PROM (Agropecuaria 9°)'!CU25,""))</f>
        <v/>
      </c>
      <c r="J25" s="123" t="str">
        <f>IF(MAESTRO!F25="","",IFERROR(TRUNC(AVERAGE(G25,H25,I25),1),""))</f>
        <v/>
      </c>
      <c r="K25" s="122" t="str">
        <f>IF(MAESTRO!F25="","",IFERROR('PROM (Comercio 9°)'!AE25,""))</f>
        <v/>
      </c>
      <c r="L25" s="122" t="str">
        <f>IF(MAESTRO!F25="","",IFERROR('PROM (Comercio 9°)'!BM25,""))</f>
        <v/>
      </c>
      <c r="M25" s="122" t="str">
        <f>IF(MAESTRO!F25="","",IFERROR('PROM (Comercio 9°)'!CU25,""))</f>
        <v/>
      </c>
      <c r="N25" s="123" t="str">
        <f>IF(MAESTRO!F25="","",IFERROR(TRUNC(AVERAGE(K25,L25,M25),1),""))</f>
        <v/>
      </c>
      <c r="O25" s="124" t="str">
        <f>IF(MAESTRO!F25="","",IFERROR(AVERAGE(G25,K25),""))</f>
        <v/>
      </c>
      <c r="P25" s="124" t="str">
        <f>IF(MAESTRO!F25="","",IFERROR(AVERAGE(H25,L25),""))</f>
        <v/>
      </c>
      <c r="Q25" s="124" t="str">
        <f>IF(MAESTRO!F25="","",IFERROR(AVERAGE(I25,M25),""))</f>
        <v/>
      </c>
      <c r="R25" s="124" t="str">
        <f>IF(MAESTRO!F25="","",IFERROR(TRUNC(AVERAGE(O25,P25,Q25),1),""))</f>
        <v/>
      </c>
      <c r="S25" s="122" t="str">
        <f>IF(MAESTRO!F25="","",IFERROR('PROM (Artistica 9°)'!AE25,""))</f>
        <v/>
      </c>
      <c r="T25" s="122" t="str">
        <f>IF(MAESTRO!F25="","",IFERROR('PROM (Artistica 9°)'!BM25,""))</f>
        <v/>
      </c>
      <c r="U25" s="122" t="str">
        <f>IF(MAESTRO!F25="","",IFERROR('PROM (Artistica 9°)'!CU25,""))</f>
        <v/>
      </c>
      <c r="V25" s="123" t="str">
        <f>IF(MAESTRO!F25="","",IFERROR(TRUNC(AVERAGE(S25,T25,U25),1),""))</f>
        <v/>
      </c>
      <c r="W25" s="123" t="str">
        <f>IF(MAESTRO!F25="","",IF(AND(F25="",J25="",N25="",R25="",V25=""),"",IF(Y(OR(F25="",F25&gt;=3),OR(J25="",J25&gt;=3),OR(N25="",N25&gt;=3),OR(R25="",R25&gt;=3),OR(V25="",V25&gt;=3)),"✓ APROBADO","✗ REPROBADO")))</f>
        <v/>
      </c>
    </row>
    <row r="26" spans="1:23" ht="16.05" customHeight="1">
      <c r="A26" s="116">
        <v>22</v>
      </c>
      <c r="B26" s="117">
        <f>MAESTRO!F26</f>
        <v>0</v>
      </c>
      <c r="C26" s="125" t="str">
        <f>IF(MAESTRO!F26="","",IFERROR('PROM (Ingles 9°)'!AE26,""))</f>
        <v/>
      </c>
      <c r="D26" s="125" t="str">
        <f>IF(MAESTRO!F26="","",IFERROR('PROM (Ingles 9°)'!BM26,""))</f>
        <v/>
      </c>
      <c r="E26" s="125" t="str">
        <f>IF(MAESTRO!F26="","",IFERROR('PROM (Ingles 9°)'!CU26,""))</f>
        <v/>
      </c>
      <c r="F26" s="126" t="str">
        <f>IF(MAESTRO!F26="","",IFERROR(TRUNC(AVERAGE(C26,D26,E26),1),""))</f>
        <v/>
      </c>
      <c r="G26" s="125" t="str">
        <f>IF(MAESTRO!F26="","",IFERROR('PROM (Agropecuaria 9°)'!AE26,""))</f>
        <v/>
      </c>
      <c r="H26" s="125" t="str">
        <f>IF(MAESTRO!F26="","",IFERROR('PROM (Agropecuaria 9°)'!BM26,""))</f>
        <v/>
      </c>
      <c r="I26" s="125" t="str">
        <f>IF(MAESTRO!F26="","",IFERROR('PROM (Agropecuaria 9°)'!CU26,""))</f>
        <v/>
      </c>
      <c r="J26" s="126" t="str">
        <f>IF(MAESTRO!F26="","",IFERROR(TRUNC(AVERAGE(G26,H26,I26),1),""))</f>
        <v/>
      </c>
      <c r="K26" s="125" t="str">
        <f>IF(MAESTRO!F26="","",IFERROR('PROM (Comercio 9°)'!AE26,""))</f>
        <v/>
      </c>
      <c r="L26" s="125" t="str">
        <f>IF(MAESTRO!F26="","",IFERROR('PROM (Comercio 9°)'!BM26,""))</f>
        <v/>
      </c>
      <c r="M26" s="125" t="str">
        <f>IF(MAESTRO!F26="","",IFERROR('PROM (Comercio 9°)'!CU26,""))</f>
        <v/>
      </c>
      <c r="N26" s="126" t="str">
        <f>IF(MAESTRO!F26="","",IFERROR(TRUNC(AVERAGE(K26,L26,M26),1),""))</f>
        <v/>
      </c>
      <c r="O26" s="124" t="str">
        <f>IF(MAESTRO!F26="","",IFERROR(AVERAGE(G26,K26),""))</f>
        <v/>
      </c>
      <c r="P26" s="124" t="str">
        <f>IF(MAESTRO!F26="","",IFERROR(AVERAGE(H26,L26),""))</f>
        <v/>
      </c>
      <c r="Q26" s="124" t="str">
        <f>IF(MAESTRO!F26="","",IFERROR(AVERAGE(I26,M26),""))</f>
        <v/>
      </c>
      <c r="R26" s="124" t="str">
        <f>IF(MAESTRO!F26="","",IFERROR(TRUNC(AVERAGE(O26,P26,Q26),1),""))</f>
        <v/>
      </c>
      <c r="S26" s="125" t="str">
        <f>IF(MAESTRO!F26="","",IFERROR('PROM (Artistica 9°)'!AE26,""))</f>
        <v/>
      </c>
      <c r="T26" s="125" t="str">
        <f>IF(MAESTRO!F26="","",IFERROR('PROM (Artistica 9°)'!BM26,""))</f>
        <v/>
      </c>
      <c r="U26" s="125" t="str">
        <f>IF(MAESTRO!F26="","",IFERROR('PROM (Artistica 9°)'!CU26,""))</f>
        <v/>
      </c>
      <c r="V26" s="126" t="str">
        <f>IF(MAESTRO!F26="","",IFERROR(TRUNC(AVERAGE(S26,T26,U26),1),""))</f>
        <v/>
      </c>
      <c r="W26" s="126" t="str">
        <f>IF(MAESTRO!F26="","",IF(AND(F26="",J26="",N26="",R26="",V26=""),"",IF(Y(OR(F26="",F26&gt;=3),OR(J26="",J26&gt;=3),OR(N26="",N26&gt;=3),OR(R26="",R26&gt;=3),OR(V26="",V26&gt;=3)),"✓ APROBADO","✗ REPROBADO")))</f>
        <v/>
      </c>
    </row>
    <row r="27" spans="1:23" ht="16.05" customHeight="1">
      <c r="A27" s="118">
        <v>23</v>
      </c>
      <c r="B27" s="119">
        <f>MAESTRO!F27</f>
        <v>0</v>
      </c>
      <c r="C27" s="122" t="str">
        <f>IF(MAESTRO!F27="","",IFERROR('PROM (Ingles 9°)'!AE27,""))</f>
        <v/>
      </c>
      <c r="D27" s="122" t="str">
        <f>IF(MAESTRO!F27="","",IFERROR('PROM (Ingles 9°)'!BM27,""))</f>
        <v/>
      </c>
      <c r="E27" s="122" t="str">
        <f>IF(MAESTRO!F27="","",IFERROR('PROM (Ingles 9°)'!CU27,""))</f>
        <v/>
      </c>
      <c r="F27" s="123" t="str">
        <f>IF(MAESTRO!F27="","",IFERROR(TRUNC(AVERAGE(C27,D27,E27),1),""))</f>
        <v/>
      </c>
      <c r="G27" s="122" t="str">
        <f>IF(MAESTRO!F27="","",IFERROR('PROM (Agropecuaria 9°)'!AE27,""))</f>
        <v/>
      </c>
      <c r="H27" s="122" t="str">
        <f>IF(MAESTRO!F27="","",IFERROR('PROM (Agropecuaria 9°)'!BM27,""))</f>
        <v/>
      </c>
      <c r="I27" s="122" t="str">
        <f>IF(MAESTRO!F27="","",IFERROR('PROM (Agropecuaria 9°)'!CU27,""))</f>
        <v/>
      </c>
      <c r="J27" s="123" t="str">
        <f>IF(MAESTRO!F27="","",IFERROR(TRUNC(AVERAGE(G27,H27,I27),1),""))</f>
        <v/>
      </c>
      <c r="K27" s="122" t="str">
        <f>IF(MAESTRO!F27="","",IFERROR('PROM (Comercio 9°)'!AE27,""))</f>
        <v/>
      </c>
      <c r="L27" s="122" t="str">
        <f>IF(MAESTRO!F27="","",IFERROR('PROM (Comercio 9°)'!BM27,""))</f>
        <v/>
      </c>
      <c r="M27" s="122" t="str">
        <f>IF(MAESTRO!F27="","",IFERROR('PROM (Comercio 9°)'!CU27,""))</f>
        <v/>
      </c>
      <c r="N27" s="123" t="str">
        <f>IF(MAESTRO!F27="","",IFERROR(TRUNC(AVERAGE(K27,L27,M27),1),""))</f>
        <v/>
      </c>
      <c r="O27" s="124" t="str">
        <f>IF(MAESTRO!F27="","",IFERROR(AVERAGE(G27,K27),""))</f>
        <v/>
      </c>
      <c r="P27" s="124" t="str">
        <f>IF(MAESTRO!F27="","",IFERROR(AVERAGE(H27,L27),""))</f>
        <v/>
      </c>
      <c r="Q27" s="124" t="str">
        <f>IF(MAESTRO!F27="","",IFERROR(AVERAGE(I27,M27),""))</f>
        <v/>
      </c>
      <c r="R27" s="124" t="str">
        <f>IF(MAESTRO!F27="","",IFERROR(TRUNC(AVERAGE(O27,P27,Q27),1),""))</f>
        <v/>
      </c>
      <c r="S27" s="122" t="str">
        <f>IF(MAESTRO!F27="","",IFERROR('PROM (Artistica 9°)'!AE27,""))</f>
        <v/>
      </c>
      <c r="T27" s="122" t="str">
        <f>IF(MAESTRO!F27="","",IFERROR('PROM (Artistica 9°)'!BM27,""))</f>
        <v/>
      </c>
      <c r="U27" s="122" t="str">
        <f>IF(MAESTRO!F27="","",IFERROR('PROM (Artistica 9°)'!CU27,""))</f>
        <v/>
      </c>
      <c r="V27" s="123" t="str">
        <f>IF(MAESTRO!F27="","",IFERROR(TRUNC(AVERAGE(S27,T27,U27),1),""))</f>
        <v/>
      </c>
      <c r="W27" s="123" t="str">
        <f>IF(MAESTRO!F27="","",IF(AND(F27="",J27="",N27="",R27="",V27=""),"",IF(Y(OR(F27="",F27&gt;=3),OR(J27="",J27&gt;=3),OR(N27="",N27&gt;=3),OR(R27="",R27&gt;=3),OR(V27="",V27&gt;=3)),"✓ APROBADO","✗ REPROBADO")))</f>
        <v/>
      </c>
    </row>
    <row r="28" spans="1:23" ht="16.05" customHeight="1">
      <c r="A28" s="116">
        <v>24</v>
      </c>
      <c r="B28" s="117">
        <f>MAESTRO!F28</f>
        <v>0</v>
      </c>
      <c r="C28" s="125" t="str">
        <f>IF(MAESTRO!F28="","",IFERROR('PROM (Ingles 9°)'!AE28,""))</f>
        <v/>
      </c>
      <c r="D28" s="125" t="str">
        <f>IF(MAESTRO!F28="","",IFERROR('PROM (Ingles 9°)'!BM28,""))</f>
        <v/>
      </c>
      <c r="E28" s="125" t="str">
        <f>IF(MAESTRO!F28="","",IFERROR('PROM (Ingles 9°)'!CU28,""))</f>
        <v/>
      </c>
      <c r="F28" s="126" t="str">
        <f>IF(MAESTRO!F28="","",IFERROR(TRUNC(AVERAGE(C28,D28,E28),1),""))</f>
        <v/>
      </c>
      <c r="G28" s="125" t="str">
        <f>IF(MAESTRO!F28="","",IFERROR('PROM (Agropecuaria 9°)'!AE28,""))</f>
        <v/>
      </c>
      <c r="H28" s="125" t="str">
        <f>IF(MAESTRO!F28="","",IFERROR('PROM (Agropecuaria 9°)'!BM28,""))</f>
        <v/>
      </c>
      <c r="I28" s="125" t="str">
        <f>IF(MAESTRO!F28="","",IFERROR('PROM (Agropecuaria 9°)'!CU28,""))</f>
        <v/>
      </c>
      <c r="J28" s="126" t="str">
        <f>IF(MAESTRO!F28="","",IFERROR(TRUNC(AVERAGE(G28,H28,I28),1),""))</f>
        <v/>
      </c>
      <c r="K28" s="125" t="str">
        <f>IF(MAESTRO!F28="","",IFERROR('PROM (Comercio 9°)'!AE28,""))</f>
        <v/>
      </c>
      <c r="L28" s="125" t="str">
        <f>IF(MAESTRO!F28="","",IFERROR('PROM (Comercio 9°)'!BM28,""))</f>
        <v/>
      </c>
      <c r="M28" s="125" t="str">
        <f>IF(MAESTRO!F28="","",IFERROR('PROM (Comercio 9°)'!CU28,""))</f>
        <v/>
      </c>
      <c r="N28" s="126" t="str">
        <f>IF(MAESTRO!F28="","",IFERROR(TRUNC(AVERAGE(K28,L28,M28),1),""))</f>
        <v/>
      </c>
      <c r="O28" s="124" t="str">
        <f>IF(MAESTRO!F28="","",IFERROR(AVERAGE(G28,K28),""))</f>
        <v/>
      </c>
      <c r="P28" s="124" t="str">
        <f>IF(MAESTRO!F28="","",IFERROR(AVERAGE(H28,L28),""))</f>
        <v/>
      </c>
      <c r="Q28" s="124" t="str">
        <f>IF(MAESTRO!F28="","",IFERROR(AVERAGE(I28,M28),""))</f>
        <v/>
      </c>
      <c r="R28" s="124" t="str">
        <f>IF(MAESTRO!F28="","",IFERROR(TRUNC(AVERAGE(O28,P28,Q28),1),""))</f>
        <v/>
      </c>
      <c r="S28" s="125" t="str">
        <f>IF(MAESTRO!F28="","",IFERROR('PROM (Artistica 9°)'!AE28,""))</f>
        <v/>
      </c>
      <c r="T28" s="125" t="str">
        <f>IF(MAESTRO!F28="","",IFERROR('PROM (Artistica 9°)'!BM28,""))</f>
        <v/>
      </c>
      <c r="U28" s="125" t="str">
        <f>IF(MAESTRO!F28="","",IFERROR('PROM (Artistica 9°)'!CU28,""))</f>
        <v/>
      </c>
      <c r="V28" s="126" t="str">
        <f>IF(MAESTRO!F28="","",IFERROR(TRUNC(AVERAGE(S28,T28,U28),1),""))</f>
        <v/>
      </c>
      <c r="W28" s="126" t="str">
        <f>IF(MAESTRO!F28="","",IF(AND(F28="",J28="",N28="",R28="",V28=""),"",IF(Y(OR(F28="",F28&gt;=3),OR(J28="",J28&gt;=3),OR(N28="",N28&gt;=3),OR(R28="",R28&gt;=3),OR(V28="",V28&gt;=3)),"✓ APROBADO","✗ REPROBADO")))</f>
        <v/>
      </c>
    </row>
    <row r="29" spans="1:23" ht="16.05" customHeight="1">
      <c r="A29" s="118">
        <v>25</v>
      </c>
      <c r="B29" s="119">
        <f>MAESTRO!F29</f>
        <v>0</v>
      </c>
      <c r="C29" s="122" t="str">
        <f>IF(MAESTRO!F29="","",IFERROR('PROM (Ingles 9°)'!AE29,""))</f>
        <v/>
      </c>
      <c r="D29" s="122" t="str">
        <f>IF(MAESTRO!F29="","",IFERROR('PROM (Ingles 9°)'!BM29,""))</f>
        <v/>
      </c>
      <c r="E29" s="122" t="str">
        <f>IF(MAESTRO!F29="","",IFERROR('PROM (Ingles 9°)'!CU29,""))</f>
        <v/>
      </c>
      <c r="F29" s="123" t="str">
        <f>IF(MAESTRO!F29="","",IFERROR(TRUNC(AVERAGE(C29,D29,E29),1),""))</f>
        <v/>
      </c>
      <c r="G29" s="122" t="str">
        <f>IF(MAESTRO!F29="","",IFERROR('PROM (Agropecuaria 9°)'!AE29,""))</f>
        <v/>
      </c>
      <c r="H29" s="122" t="str">
        <f>IF(MAESTRO!F29="","",IFERROR('PROM (Agropecuaria 9°)'!BM29,""))</f>
        <v/>
      </c>
      <c r="I29" s="122" t="str">
        <f>IF(MAESTRO!F29="","",IFERROR('PROM (Agropecuaria 9°)'!CU29,""))</f>
        <v/>
      </c>
      <c r="J29" s="123" t="str">
        <f>IF(MAESTRO!F29="","",IFERROR(TRUNC(AVERAGE(G29,H29,I29),1),""))</f>
        <v/>
      </c>
      <c r="K29" s="122" t="str">
        <f>IF(MAESTRO!F29="","",IFERROR('PROM (Comercio 9°)'!AE29,""))</f>
        <v/>
      </c>
      <c r="L29" s="122" t="str">
        <f>IF(MAESTRO!F29="","",IFERROR('PROM (Comercio 9°)'!BM29,""))</f>
        <v/>
      </c>
      <c r="M29" s="122" t="str">
        <f>IF(MAESTRO!F29="","",IFERROR('PROM (Comercio 9°)'!CU29,""))</f>
        <v/>
      </c>
      <c r="N29" s="123" t="str">
        <f>IF(MAESTRO!F29="","",IFERROR(TRUNC(AVERAGE(K29,L29,M29),1),""))</f>
        <v/>
      </c>
      <c r="O29" s="124" t="str">
        <f>IF(MAESTRO!F29="","",IFERROR(AVERAGE(G29,K29),""))</f>
        <v/>
      </c>
      <c r="P29" s="124" t="str">
        <f>IF(MAESTRO!F29="","",IFERROR(AVERAGE(H29,L29),""))</f>
        <v/>
      </c>
      <c r="Q29" s="124" t="str">
        <f>IF(MAESTRO!F29="","",IFERROR(AVERAGE(I29,M29),""))</f>
        <v/>
      </c>
      <c r="R29" s="124" t="str">
        <f>IF(MAESTRO!F29="","",IFERROR(TRUNC(AVERAGE(O29,P29,Q29),1),""))</f>
        <v/>
      </c>
      <c r="S29" s="122" t="str">
        <f>IF(MAESTRO!F29="","",IFERROR('PROM (Artistica 9°)'!AE29,""))</f>
        <v/>
      </c>
      <c r="T29" s="122" t="str">
        <f>IF(MAESTRO!F29="","",IFERROR('PROM (Artistica 9°)'!BM29,""))</f>
        <v/>
      </c>
      <c r="U29" s="122" t="str">
        <f>IF(MAESTRO!F29="","",IFERROR('PROM (Artistica 9°)'!CU29,""))</f>
        <v/>
      </c>
      <c r="V29" s="123" t="str">
        <f>IF(MAESTRO!F29="","",IFERROR(TRUNC(AVERAGE(S29,T29,U29),1),""))</f>
        <v/>
      </c>
      <c r="W29" s="123" t="str">
        <f>IF(MAESTRO!F29="","",IF(AND(F29="",J29="",N29="",R29="",V29=""),"",IF(Y(OR(F29="",F29&gt;=3),OR(J29="",J29&gt;=3),OR(N29="",N29&gt;=3),OR(R29="",R29&gt;=3),OR(V29="",V29&gt;=3)),"✓ APROBADO","✗ REPROBADO")))</f>
        <v/>
      </c>
    </row>
    <row r="30" spans="1:23" ht="16.05" customHeight="1">
      <c r="A30" s="116">
        <v>26</v>
      </c>
      <c r="B30" s="117">
        <f>MAESTRO!F30</f>
        <v>0</v>
      </c>
      <c r="C30" s="125" t="str">
        <f>IF(MAESTRO!F30="","",IFERROR('PROM (Ingles 9°)'!AE30,""))</f>
        <v/>
      </c>
      <c r="D30" s="125" t="str">
        <f>IF(MAESTRO!F30="","",IFERROR('PROM (Ingles 9°)'!BM30,""))</f>
        <v/>
      </c>
      <c r="E30" s="125" t="str">
        <f>IF(MAESTRO!F30="","",IFERROR('PROM (Ingles 9°)'!CU30,""))</f>
        <v/>
      </c>
      <c r="F30" s="126" t="str">
        <f>IF(MAESTRO!F30="","",IFERROR(TRUNC(AVERAGE(C30,D30,E30),1),""))</f>
        <v/>
      </c>
      <c r="G30" s="125" t="str">
        <f>IF(MAESTRO!F30="","",IFERROR('PROM (Agropecuaria 9°)'!AE30,""))</f>
        <v/>
      </c>
      <c r="H30" s="125" t="str">
        <f>IF(MAESTRO!F30="","",IFERROR('PROM (Agropecuaria 9°)'!BM30,""))</f>
        <v/>
      </c>
      <c r="I30" s="125" t="str">
        <f>IF(MAESTRO!F30="","",IFERROR('PROM (Agropecuaria 9°)'!CU30,""))</f>
        <v/>
      </c>
      <c r="J30" s="126" t="str">
        <f>IF(MAESTRO!F30="","",IFERROR(TRUNC(AVERAGE(G30,H30,I30),1),""))</f>
        <v/>
      </c>
      <c r="K30" s="125" t="str">
        <f>IF(MAESTRO!F30="","",IFERROR('PROM (Comercio 9°)'!AE30,""))</f>
        <v/>
      </c>
      <c r="L30" s="125" t="str">
        <f>IF(MAESTRO!F30="","",IFERROR('PROM (Comercio 9°)'!BM30,""))</f>
        <v/>
      </c>
      <c r="M30" s="125" t="str">
        <f>IF(MAESTRO!F30="","",IFERROR('PROM (Comercio 9°)'!CU30,""))</f>
        <v/>
      </c>
      <c r="N30" s="126" t="str">
        <f>IF(MAESTRO!F30="","",IFERROR(TRUNC(AVERAGE(K30,L30,M30),1),""))</f>
        <v/>
      </c>
      <c r="O30" s="124" t="str">
        <f>IF(MAESTRO!F30="","",IFERROR(AVERAGE(G30,K30),""))</f>
        <v/>
      </c>
      <c r="P30" s="124" t="str">
        <f>IF(MAESTRO!F30="","",IFERROR(AVERAGE(H30,L30),""))</f>
        <v/>
      </c>
      <c r="Q30" s="124" t="str">
        <f>IF(MAESTRO!F30="","",IFERROR(AVERAGE(I30,M30),""))</f>
        <v/>
      </c>
      <c r="R30" s="124" t="str">
        <f>IF(MAESTRO!F30="","",IFERROR(TRUNC(AVERAGE(O30,P30,Q30),1),""))</f>
        <v/>
      </c>
      <c r="S30" s="125" t="str">
        <f>IF(MAESTRO!F30="","",IFERROR('PROM (Artistica 9°)'!AE30,""))</f>
        <v/>
      </c>
      <c r="T30" s="125" t="str">
        <f>IF(MAESTRO!F30="","",IFERROR('PROM (Artistica 9°)'!BM30,""))</f>
        <v/>
      </c>
      <c r="U30" s="125" t="str">
        <f>IF(MAESTRO!F30="","",IFERROR('PROM (Artistica 9°)'!CU30,""))</f>
        <v/>
      </c>
      <c r="V30" s="126" t="str">
        <f>IF(MAESTRO!F30="","",IFERROR(TRUNC(AVERAGE(S30,T30,U30),1),""))</f>
        <v/>
      </c>
      <c r="W30" s="126" t="str">
        <f>IF(MAESTRO!F30="","",IF(AND(F30="",J30="",N30="",R30="",V30=""),"",IF(Y(OR(F30="",F30&gt;=3),OR(J30="",J30&gt;=3),OR(N30="",N30&gt;=3),OR(R30="",R30&gt;=3),OR(V30="",V30&gt;=3)),"✓ APROBADO","✗ REPROBADO")))</f>
        <v/>
      </c>
    </row>
    <row r="31" spans="1:23" ht="16.05" customHeight="1">
      <c r="A31" s="118">
        <v>27</v>
      </c>
      <c r="B31" s="119">
        <f>MAESTRO!F31</f>
        <v>0</v>
      </c>
      <c r="C31" s="122" t="str">
        <f>IF(MAESTRO!F31="","",IFERROR('PROM (Ingles 9°)'!AE31,""))</f>
        <v/>
      </c>
      <c r="D31" s="122" t="str">
        <f>IF(MAESTRO!F31="","",IFERROR('PROM (Ingles 9°)'!BM31,""))</f>
        <v/>
      </c>
      <c r="E31" s="122" t="str">
        <f>IF(MAESTRO!F31="","",IFERROR('PROM (Ingles 9°)'!CU31,""))</f>
        <v/>
      </c>
      <c r="F31" s="123" t="str">
        <f>IF(MAESTRO!F31="","",IFERROR(TRUNC(AVERAGE(C31,D31,E31),1),""))</f>
        <v/>
      </c>
      <c r="G31" s="122" t="str">
        <f>IF(MAESTRO!F31="","",IFERROR('PROM (Agropecuaria 9°)'!AE31,""))</f>
        <v/>
      </c>
      <c r="H31" s="122" t="str">
        <f>IF(MAESTRO!F31="","",IFERROR('PROM (Agropecuaria 9°)'!BM31,""))</f>
        <v/>
      </c>
      <c r="I31" s="122" t="str">
        <f>IF(MAESTRO!F31="","",IFERROR('PROM (Agropecuaria 9°)'!CU31,""))</f>
        <v/>
      </c>
      <c r="J31" s="123" t="str">
        <f>IF(MAESTRO!F31="","",IFERROR(TRUNC(AVERAGE(G31,H31,I31),1),""))</f>
        <v/>
      </c>
      <c r="K31" s="122" t="str">
        <f>IF(MAESTRO!F31="","",IFERROR('PROM (Comercio 9°)'!AE31,""))</f>
        <v/>
      </c>
      <c r="L31" s="122" t="str">
        <f>IF(MAESTRO!F31="","",IFERROR('PROM (Comercio 9°)'!BM31,""))</f>
        <v/>
      </c>
      <c r="M31" s="122" t="str">
        <f>IF(MAESTRO!F31="","",IFERROR('PROM (Comercio 9°)'!CU31,""))</f>
        <v/>
      </c>
      <c r="N31" s="123" t="str">
        <f>IF(MAESTRO!F31="","",IFERROR(TRUNC(AVERAGE(K31,L31,M31),1),""))</f>
        <v/>
      </c>
      <c r="O31" s="124" t="str">
        <f>IF(MAESTRO!F31="","",IFERROR(AVERAGE(G31,K31),""))</f>
        <v/>
      </c>
      <c r="P31" s="124" t="str">
        <f>IF(MAESTRO!F31="","",IFERROR(AVERAGE(H31,L31),""))</f>
        <v/>
      </c>
      <c r="Q31" s="124" t="str">
        <f>IF(MAESTRO!F31="","",IFERROR(AVERAGE(I31,M31),""))</f>
        <v/>
      </c>
      <c r="R31" s="124" t="str">
        <f>IF(MAESTRO!F31="","",IFERROR(TRUNC(AVERAGE(O31,P31,Q31),1),""))</f>
        <v/>
      </c>
      <c r="S31" s="122" t="str">
        <f>IF(MAESTRO!F31="","",IFERROR('PROM (Artistica 9°)'!AE31,""))</f>
        <v/>
      </c>
      <c r="T31" s="122" t="str">
        <f>IF(MAESTRO!F31="","",IFERROR('PROM (Artistica 9°)'!BM31,""))</f>
        <v/>
      </c>
      <c r="U31" s="122" t="str">
        <f>IF(MAESTRO!F31="","",IFERROR('PROM (Artistica 9°)'!CU31,""))</f>
        <v/>
      </c>
      <c r="V31" s="123" t="str">
        <f>IF(MAESTRO!F31="","",IFERROR(TRUNC(AVERAGE(S31,T31,U31),1),""))</f>
        <v/>
      </c>
      <c r="W31" s="123" t="str">
        <f>IF(MAESTRO!F31="","",IF(AND(F31="",J31="",N31="",R31="",V31=""),"",IF(Y(OR(F31="",F31&gt;=3),OR(J31="",J31&gt;=3),OR(N31="",N31&gt;=3),OR(R31="",R31&gt;=3),OR(V31="",V31&gt;=3)),"✓ APROBADO","✗ REPROBADO")))</f>
        <v/>
      </c>
    </row>
    <row r="32" spans="1:23" ht="16.05" customHeight="1">
      <c r="A32" s="116">
        <v>28</v>
      </c>
      <c r="B32" s="117">
        <f>MAESTRO!F32</f>
        <v>0</v>
      </c>
      <c r="C32" s="125" t="str">
        <f>IF(MAESTRO!F32="","",IFERROR('PROM (Ingles 9°)'!AE32,""))</f>
        <v/>
      </c>
      <c r="D32" s="125" t="str">
        <f>IF(MAESTRO!F32="","",IFERROR('PROM (Ingles 9°)'!BM32,""))</f>
        <v/>
      </c>
      <c r="E32" s="125" t="str">
        <f>IF(MAESTRO!F32="","",IFERROR('PROM (Ingles 9°)'!CU32,""))</f>
        <v/>
      </c>
      <c r="F32" s="126" t="str">
        <f>IF(MAESTRO!F32="","",IFERROR(TRUNC(AVERAGE(C32,D32,E32),1),""))</f>
        <v/>
      </c>
      <c r="G32" s="125" t="str">
        <f>IF(MAESTRO!F32="","",IFERROR('PROM (Agropecuaria 9°)'!AE32,""))</f>
        <v/>
      </c>
      <c r="H32" s="125" t="str">
        <f>IF(MAESTRO!F32="","",IFERROR('PROM (Agropecuaria 9°)'!BM32,""))</f>
        <v/>
      </c>
      <c r="I32" s="125" t="str">
        <f>IF(MAESTRO!F32="","",IFERROR('PROM (Agropecuaria 9°)'!CU32,""))</f>
        <v/>
      </c>
      <c r="J32" s="126" t="str">
        <f>IF(MAESTRO!F32="","",IFERROR(TRUNC(AVERAGE(G32,H32,I32),1),""))</f>
        <v/>
      </c>
      <c r="K32" s="125" t="str">
        <f>IF(MAESTRO!F32="","",IFERROR('PROM (Comercio 9°)'!AE32,""))</f>
        <v/>
      </c>
      <c r="L32" s="125" t="str">
        <f>IF(MAESTRO!F32="","",IFERROR('PROM (Comercio 9°)'!BM32,""))</f>
        <v/>
      </c>
      <c r="M32" s="125" t="str">
        <f>IF(MAESTRO!F32="","",IFERROR('PROM (Comercio 9°)'!CU32,""))</f>
        <v/>
      </c>
      <c r="N32" s="126" t="str">
        <f>IF(MAESTRO!F32="","",IFERROR(TRUNC(AVERAGE(K32,L32,M32),1),""))</f>
        <v/>
      </c>
      <c r="O32" s="124" t="str">
        <f>IF(MAESTRO!F32="","",IFERROR(AVERAGE(G32,K32),""))</f>
        <v/>
      </c>
      <c r="P32" s="124" t="str">
        <f>IF(MAESTRO!F32="","",IFERROR(AVERAGE(H32,L32),""))</f>
        <v/>
      </c>
      <c r="Q32" s="124" t="str">
        <f>IF(MAESTRO!F32="","",IFERROR(AVERAGE(I32,M32),""))</f>
        <v/>
      </c>
      <c r="R32" s="124" t="str">
        <f>IF(MAESTRO!F32="","",IFERROR(TRUNC(AVERAGE(O32,P32,Q32),1),""))</f>
        <v/>
      </c>
      <c r="S32" s="125" t="str">
        <f>IF(MAESTRO!F32="","",IFERROR('PROM (Artistica 9°)'!AE32,""))</f>
        <v/>
      </c>
      <c r="T32" s="125" t="str">
        <f>IF(MAESTRO!F32="","",IFERROR('PROM (Artistica 9°)'!BM32,""))</f>
        <v/>
      </c>
      <c r="U32" s="125" t="str">
        <f>IF(MAESTRO!F32="","",IFERROR('PROM (Artistica 9°)'!CU32,""))</f>
        <v/>
      </c>
      <c r="V32" s="126" t="str">
        <f>IF(MAESTRO!F32="","",IFERROR(TRUNC(AVERAGE(S32,T32,U32),1),""))</f>
        <v/>
      </c>
      <c r="W32" s="126" t="str">
        <f>IF(MAESTRO!F32="","",IF(AND(F32="",J32="",N32="",R32="",V32=""),"",IF(Y(OR(F32="",F32&gt;=3),OR(J32="",J32&gt;=3),OR(N32="",N32&gt;=3),OR(R32="",R32&gt;=3),OR(V32="",V32&gt;=3)),"✓ APROBADO","✗ REPROBADO")))</f>
        <v/>
      </c>
    </row>
    <row r="33" spans="1:23" ht="16.05" customHeight="1">
      <c r="A33" s="118">
        <v>29</v>
      </c>
      <c r="B33" s="119">
        <f>MAESTRO!F33</f>
        <v>0</v>
      </c>
      <c r="C33" s="122" t="str">
        <f>IF(MAESTRO!F33="","",IFERROR('PROM (Ingles 9°)'!AE33,""))</f>
        <v/>
      </c>
      <c r="D33" s="122" t="str">
        <f>IF(MAESTRO!F33="","",IFERROR('PROM (Ingles 9°)'!BM33,""))</f>
        <v/>
      </c>
      <c r="E33" s="122" t="str">
        <f>IF(MAESTRO!F33="","",IFERROR('PROM (Ingles 9°)'!CU33,""))</f>
        <v/>
      </c>
      <c r="F33" s="123" t="str">
        <f>IF(MAESTRO!F33="","",IFERROR(TRUNC(AVERAGE(C33,D33,E33),1),""))</f>
        <v/>
      </c>
      <c r="G33" s="122" t="str">
        <f>IF(MAESTRO!F33="","",IFERROR('PROM (Agropecuaria 9°)'!AE33,""))</f>
        <v/>
      </c>
      <c r="H33" s="122" t="str">
        <f>IF(MAESTRO!F33="","",IFERROR('PROM (Agropecuaria 9°)'!BM33,""))</f>
        <v/>
      </c>
      <c r="I33" s="122" t="str">
        <f>IF(MAESTRO!F33="","",IFERROR('PROM (Agropecuaria 9°)'!CU33,""))</f>
        <v/>
      </c>
      <c r="J33" s="123" t="str">
        <f>IF(MAESTRO!F33="","",IFERROR(TRUNC(AVERAGE(G33,H33,I33),1),""))</f>
        <v/>
      </c>
      <c r="K33" s="122" t="str">
        <f>IF(MAESTRO!F33="","",IFERROR('PROM (Comercio 9°)'!AE33,""))</f>
        <v/>
      </c>
      <c r="L33" s="122" t="str">
        <f>IF(MAESTRO!F33="","",IFERROR('PROM (Comercio 9°)'!BM33,""))</f>
        <v/>
      </c>
      <c r="M33" s="122" t="str">
        <f>IF(MAESTRO!F33="","",IFERROR('PROM (Comercio 9°)'!CU33,""))</f>
        <v/>
      </c>
      <c r="N33" s="123" t="str">
        <f>IF(MAESTRO!F33="","",IFERROR(TRUNC(AVERAGE(K33,L33,M33),1),""))</f>
        <v/>
      </c>
      <c r="O33" s="124" t="str">
        <f>IF(MAESTRO!F33="","",IFERROR(AVERAGE(G33,K33),""))</f>
        <v/>
      </c>
      <c r="P33" s="124" t="str">
        <f>IF(MAESTRO!F33="","",IFERROR(AVERAGE(H33,L33),""))</f>
        <v/>
      </c>
      <c r="Q33" s="124" t="str">
        <f>IF(MAESTRO!F33="","",IFERROR(AVERAGE(I33,M33),""))</f>
        <v/>
      </c>
      <c r="R33" s="124" t="str">
        <f>IF(MAESTRO!F33="","",IFERROR(TRUNC(AVERAGE(O33,P33,Q33),1),""))</f>
        <v/>
      </c>
      <c r="S33" s="122" t="str">
        <f>IF(MAESTRO!F33="","",IFERROR('PROM (Artistica 9°)'!AE33,""))</f>
        <v/>
      </c>
      <c r="T33" s="122" t="str">
        <f>IF(MAESTRO!F33="","",IFERROR('PROM (Artistica 9°)'!BM33,""))</f>
        <v/>
      </c>
      <c r="U33" s="122" t="str">
        <f>IF(MAESTRO!F33="","",IFERROR('PROM (Artistica 9°)'!CU33,""))</f>
        <v/>
      </c>
      <c r="V33" s="123" t="str">
        <f>IF(MAESTRO!F33="","",IFERROR(TRUNC(AVERAGE(S33,T33,U33),1),""))</f>
        <v/>
      </c>
      <c r="W33" s="123" t="str">
        <f>IF(MAESTRO!F33="","",IF(AND(F33="",J33="",N33="",R33="",V33=""),"",IF(Y(OR(F33="",F33&gt;=3),OR(J33="",J33&gt;=3),OR(N33="",N33&gt;=3),OR(R33="",R33&gt;=3),OR(V33="",V33&gt;=3)),"✓ APROBADO","✗ REPROBADO")))</f>
        <v/>
      </c>
    </row>
    <row r="34" spans="1:23" ht="16.05" customHeight="1">
      <c r="A34" s="116">
        <v>30</v>
      </c>
      <c r="B34" s="117">
        <f>MAESTRO!F34</f>
        <v>0</v>
      </c>
      <c r="C34" s="125" t="str">
        <f>IF(MAESTRO!F34="","",IFERROR('PROM (Ingles 9°)'!AE34,""))</f>
        <v/>
      </c>
      <c r="D34" s="125" t="str">
        <f>IF(MAESTRO!F34="","",IFERROR('PROM (Ingles 9°)'!BM34,""))</f>
        <v/>
      </c>
      <c r="E34" s="125" t="str">
        <f>IF(MAESTRO!F34="","",IFERROR('PROM (Ingles 9°)'!CU34,""))</f>
        <v/>
      </c>
      <c r="F34" s="126" t="str">
        <f>IF(MAESTRO!F34="","",IFERROR(TRUNC(AVERAGE(C34,D34,E34),1),""))</f>
        <v/>
      </c>
      <c r="G34" s="125" t="str">
        <f>IF(MAESTRO!F34="","",IFERROR('PROM (Agropecuaria 9°)'!AE34,""))</f>
        <v/>
      </c>
      <c r="H34" s="125" t="str">
        <f>IF(MAESTRO!F34="","",IFERROR('PROM (Agropecuaria 9°)'!BM34,""))</f>
        <v/>
      </c>
      <c r="I34" s="125" t="str">
        <f>IF(MAESTRO!F34="","",IFERROR('PROM (Agropecuaria 9°)'!CU34,""))</f>
        <v/>
      </c>
      <c r="J34" s="126" t="str">
        <f>IF(MAESTRO!F34="","",IFERROR(TRUNC(AVERAGE(G34,H34,I34),1),""))</f>
        <v/>
      </c>
      <c r="K34" s="125" t="str">
        <f>IF(MAESTRO!F34="","",IFERROR('PROM (Comercio 9°)'!AE34,""))</f>
        <v/>
      </c>
      <c r="L34" s="125" t="str">
        <f>IF(MAESTRO!F34="","",IFERROR('PROM (Comercio 9°)'!BM34,""))</f>
        <v/>
      </c>
      <c r="M34" s="125" t="str">
        <f>IF(MAESTRO!F34="","",IFERROR('PROM (Comercio 9°)'!CU34,""))</f>
        <v/>
      </c>
      <c r="N34" s="126" t="str">
        <f>IF(MAESTRO!F34="","",IFERROR(TRUNC(AVERAGE(K34,L34,M34),1),""))</f>
        <v/>
      </c>
      <c r="O34" s="124" t="str">
        <f>IF(MAESTRO!F34="","",IFERROR(AVERAGE(G34,K34),""))</f>
        <v/>
      </c>
      <c r="P34" s="124" t="str">
        <f>IF(MAESTRO!F34="","",IFERROR(AVERAGE(H34,L34),""))</f>
        <v/>
      </c>
      <c r="Q34" s="124" t="str">
        <f>IF(MAESTRO!F34="","",IFERROR(AVERAGE(I34,M34),""))</f>
        <v/>
      </c>
      <c r="R34" s="124" t="str">
        <f>IF(MAESTRO!F34="","",IFERROR(TRUNC(AVERAGE(O34,P34,Q34),1),""))</f>
        <v/>
      </c>
      <c r="S34" s="125" t="str">
        <f>IF(MAESTRO!F34="","",IFERROR('PROM (Artistica 9°)'!AE34,""))</f>
        <v/>
      </c>
      <c r="T34" s="125" t="str">
        <f>IF(MAESTRO!F34="","",IFERROR('PROM (Artistica 9°)'!BM34,""))</f>
        <v/>
      </c>
      <c r="U34" s="125" t="str">
        <f>IF(MAESTRO!F34="","",IFERROR('PROM (Artistica 9°)'!CU34,""))</f>
        <v/>
      </c>
      <c r="V34" s="126" t="str">
        <f>IF(MAESTRO!F34="","",IFERROR(TRUNC(AVERAGE(S34,T34,U34),1),""))</f>
        <v/>
      </c>
      <c r="W34" s="126" t="str">
        <f>IF(MAESTRO!F34="","",IF(AND(F34="",J34="",N34="",R34="",V34=""),"",IF(Y(OR(F34="",F34&gt;=3),OR(J34="",J34&gt;=3),OR(N34="",N34&gt;=3),OR(R34="",R34&gt;=3),OR(V34="",V34&gt;=3)),"✓ APROBADO","✗ REPROBADO")))</f>
        <v/>
      </c>
    </row>
    <row r="35" spans="1:23" ht="16.05" customHeight="1">
      <c r="A35" s="118">
        <v>31</v>
      </c>
      <c r="B35" s="119">
        <f>MAESTRO!F35</f>
        <v>0</v>
      </c>
      <c r="C35" s="122" t="str">
        <f>IF(MAESTRO!F35="","",IFERROR('PROM (Ingles 9°)'!AE35,""))</f>
        <v/>
      </c>
      <c r="D35" s="122" t="str">
        <f>IF(MAESTRO!F35="","",IFERROR('PROM (Ingles 9°)'!BM35,""))</f>
        <v/>
      </c>
      <c r="E35" s="122" t="str">
        <f>IF(MAESTRO!F35="","",IFERROR('PROM (Ingles 9°)'!CU35,""))</f>
        <v/>
      </c>
      <c r="F35" s="123" t="str">
        <f>IF(MAESTRO!F35="","",IFERROR(TRUNC(AVERAGE(C35,D35,E35),1),""))</f>
        <v/>
      </c>
      <c r="G35" s="122" t="str">
        <f>IF(MAESTRO!F35="","",IFERROR('PROM (Agropecuaria 9°)'!AE35,""))</f>
        <v/>
      </c>
      <c r="H35" s="122" t="str">
        <f>IF(MAESTRO!F35="","",IFERROR('PROM (Agropecuaria 9°)'!BM35,""))</f>
        <v/>
      </c>
      <c r="I35" s="122" t="str">
        <f>IF(MAESTRO!F35="","",IFERROR('PROM (Agropecuaria 9°)'!CU35,""))</f>
        <v/>
      </c>
      <c r="J35" s="123" t="str">
        <f>IF(MAESTRO!F35="","",IFERROR(TRUNC(AVERAGE(G35,H35,I35),1),""))</f>
        <v/>
      </c>
      <c r="K35" s="122" t="str">
        <f>IF(MAESTRO!F35="","",IFERROR('PROM (Comercio 9°)'!AE35,""))</f>
        <v/>
      </c>
      <c r="L35" s="122" t="str">
        <f>IF(MAESTRO!F35="","",IFERROR('PROM (Comercio 9°)'!BM35,""))</f>
        <v/>
      </c>
      <c r="M35" s="122" t="str">
        <f>IF(MAESTRO!F35="","",IFERROR('PROM (Comercio 9°)'!CU35,""))</f>
        <v/>
      </c>
      <c r="N35" s="123" t="str">
        <f>IF(MAESTRO!F35="","",IFERROR(TRUNC(AVERAGE(K35,L35,M35),1),""))</f>
        <v/>
      </c>
      <c r="O35" s="124" t="str">
        <f>IF(MAESTRO!F35="","",IFERROR(AVERAGE(G35,K35),""))</f>
        <v/>
      </c>
      <c r="P35" s="124" t="str">
        <f>IF(MAESTRO!F35="","",IFERROR(AVERAGE(H35,L35),""))</f>
        <v/>
      </c>
      <c r="Q35" s="124" t="str">
        <f>IF(MAESTRO!F35="","",IFERROR(AVERAGE(I35,M35),""))</f>
        <v/>
      </c>
      <c r="R35" s="124" t="str">
        <f>IF(MAESTRO!F35="","",IFERROR(TRUNC(AVERAGE(O35,P35,Q35),1),""))</f>
        <v/>
      </c>
      <c r="S35" s="122" t="str">
        <f>IF(MAESTRO!F35="","",IFERROR('PROM (Artistica 9°)'!AE35,""))</f>
        <v/>
      </c>
      <c r="T35" s="122" t="str">
        <f>IF(MAESTRO!F35="","",IFERROR('PROM (Artistica 9°)'!BM35,""))</f>
        <v/>
      </c>
      <c r="U35" s="122" t="str">
        <f>IF(MAESTRO!F35="","",IFERROR('PROM (Artistica 9°)'!CU35,""))</f>
        <v/>
      </c>
      <c r="V35" s="123" t="str">
        <f>IF(MAESTRO!F35="","",IFERROR(TRUNC(AVERAGE(S35,T35,U35),1),""))</f>
        <v/>
      </c>
      <c r="W35" s="123" t="str">
        <f>IF(MAESTRO!F35="","",IF(AND(F35="",J35="",N35="",R35="",V35=""),"",IF(Y(OR(F35="",F35&gt;=3),OR(J35="",J35&gt;=3),OR(N35="",N35&gt;=3),OR(R35="",R35&gt;=3),OR(V35="",V35&gt;=3)),"✓ APROBADO","✗ REPROBADO")))</f>
        <v/>
      </c>
    </row>
    <row r="36" spans="1:23" ht="16.05" customHeight="1">
      <c r="A36" s="116">
        <v>32</v>
      </c>
      <c r="B36" s="117">
        <f>MAESTRO!F36</f>
        <v>0</v>
      </c>
      <c r="C36" s="125" t="str">
        <f>IF(MAESTRO!F36="","",IFERROR('PROM (Ingles 9°)'!AE36,""))</f>
        <v/>
      </c>
      <c r="D36" s="125" t="str">
        <f>IF(MAESTRO!F36="","",IFERROR('PROM (Ingles 9°)'!BM36,""))</f>
        <v/>
      </c>
      <c r="E36" s="125" t="str">
        <f>IF(MAESTRO!F36="","",IFERROR('PROM (Ingles 9°)'!CU36,""))</f>
        <v/>
      </c>
      <c r="F36" s="126" t="str">
        <f>IF(MAESTRO!F36="","",IFERROR(TRUNC(AVERAGE(C36,D36,E36),1),""))</f>
        <v/>
      </c>
      <c r="G36" s="125" t="str">
        <f>IF(MAESTRO!F36="","",IFERROR('PROM (Agropecuaria 9°)'!AE36,""))</f>
        <v/>
      </c>
      <c r="H36" s="125" t="str">
        <f>IF(MAESTRO!F36="","",IFERROR('PROM (Agropecuaria 9°)'!BM36,""))</f>
        <v/>
      </c>
      <c r="I36" s="125" t="str">
        <f>IF(MAESTRO!F36="","",IFERROR('PROM (Agropecuaria 9°)'!CU36,""))</f>
        <v/>
      </c>
      <c r="J36" s="126" t="str">
        <f>IF(MAESTRO!F36="","",IFERROR(TRUNC(AVERAGE(G36,H36,I36),1),""))</f>
        <v/>
      </c>
      <c r="K36" s="125" t="str">
        <f>IF(MAESTRO!F36="","",IFERROR('PROM (Comercio 9°)'!AE36,""))</f>
        <v/>
      </c>
      <c r="L36" s="125" t="str">
        <f>IF(MAESTRO!F36="","",IFERROR('PROM (Comercio 9°)'!BM36,""))</f>
        <v/>
      </c>
      <c r="M36" s="125" t="str">
        <f>IF(MAESTRO!F36="","",IFERROR('PROM (Comercio 9°)'!CU36,""))</f>
        <v/>
      </c>
      <c r="N36" s="126" t="str">
        <f>IF(MAESTRO!F36="","",IFERROR(TRUNC(AVERAGE(K36,L36,M36),1),""))</f>
        <v/>
      </c>
      <c r="O36" s="124" t="str">
        <f>IF(MAESTRO!F36="","",IFERROR(AVERAGE(G36,K36),""))</f>
        <v/>
      </c>
      <c r="P36" s="124" t="str">
        <f>IF(MAESTRO!F36="","",IFERROR(AVERAGE(H36,L36),""))</f>
        <v/>
      </c>
      <c r="Q36" s="124" t="str">
        <f>IF(MAESTRO!F36="","",IFERROR(AVERAGE(I36,M36),""))</f>
        <v/>
      </c>
      <c r="R36" s="124" t="str">
        <f>IF(MAESTRO!F36="","",IFERROR(TRUNC(AVERAGE(O36,P36,Q36),1),""))</f>
        <v/>
      </c>
      <c r="S36" s="125" t="str">
        <f>IF(MAESTRO!F36="","",IFERROR('PROM (Artistica 9°)'!AE36,""))</f>
        <v/>
      </c>
      <c r="T36" s="125" t="str">
        <f>IF(MAESTRO!F36="","",IFERROR('PROM (Artistica 9°)'!BM36,""))</f>
        <v/>
      </c>
      <c r="U36" s="125" t="str">
        <f>IF(MAESTRO!F36="","",IFERROR('PROM (Artistica 9°)'!CU36,""))</f>
        <v/>
      </c>
      <c r="V36" s="126" t="str">
        <f>IF(MAESTRO!F36="","",IFERROR(TRUNC(AVERAGE(S36,T36,U36),1),""))</f>
        <v/>
      </c>
      <c r="W36" s="126" t="str">
        <f>IF(MAESTRO!F36="","",IF(AND(F36="",J36="",N36="",R36="",V36=""),"",IF(Y(OR(F36="",F36&gt;=3),OR(J36="",J36&gt;=3),OR(N36="",N36&gt;=3),OR(R36="",R36&gt;=3),OR(V36="",V36&gt;=3)),"✓ APROBADO","✗ REPROBADO")))</f>
        <v/>
      </c>
    </row>
    <row r="37" spans="1:23" ht="16.05" customHeight="1">
      <c r="A37" s="118">
        <v>33</v>
      </c>
      <c r="B37" s="119">
        <f>MAESTRO!F37</f>
        <v>0</v>
      </c>
      <c r="C37" s="122" t="str">
        <f>IF(MAESTRO!F37="","",IFERROR('PROM (Ingles 9°)'!AE37,""))</f>
        <v/>
      </c>
      <c r="D37" s="122" t="str">
        <f>IF(MAESTRO!F37="","",IFERROR('PROM (Ingles 9°)'!BM37,""))</f>
        <v/>
      </c>
      <c r="E37" s="122" t="str">
        <f>IF(MAESTRO!F37="","",IFERROR('PROM (Ingles 9°)'!CU37,""))</f>
        <v/>
      </c>
      <c r="F37" s="123" t="str">
        <f>IF(MAESTRO!F37="","",IFERROR(TRUNC(AVERAGE(C37,D37,E37),1),""))</f>
        <v/>
      </c>
      <c r="G37" s="122" t="str">
        <f>IF(MAESTRO!F37="","",IFERROR('PROM (Agropecuaria 9°)'!AE37,""))</f>
        <v/>
      </c>
      <c r="H37" s="122" t="str">
        <f>IF(MAESTRO!F37="","",IFERROR('PROM (Agropecuaria 9°)'!BM37,""))</f>
        <v/>
      </c>
      <c r="I37" s="122" t="str">
        <f>IF(MAESTRO!F37="","",IFERROR('PROM (Agropecuaria 9°)'!CU37,""))</f>
        <v/>
      </c>
      <c r="J37" s="123" t="str">
        <f>IF(MAESTRO!F37="","",IFERROR(TRUNC(AVERAGE(G37,H37,I37),1),""))</f>
        <v/>
      </c>
      <c r="K37" s="122" t="str">
        <f>IF(MAESTRO!F37="","",IFERROR('PROM (Comercio 9°)'!AE37,""))</f>
        <v/>
      </c>
      <c r="L37" s="122" t="str">
        <f>IF(MAESTRO!F37="","",IFERROR('PROM (Comercio 9°)'!BM37,""))</f>
        <v/>
      </c>
      <c r="M37" s="122" t="str">
        <f>IF(MAESTRO!F37="","",IFERROR('PROM (Comercio 9°)'!CU37,""))</f>
        <v/>
      </c>
      <c r="N37" s="123" t="str">
        <f>IF(MAESTRO!F37="","",IFERROR(TRUNC(AVERAGE(K37,L37,M37),1),""))</f>
        <v/>
      </c>
      <c r="O37" s="124" t="str">
        <f>IF(MAESTRO!F37="","",IFERROR(AVERAGE(G37,K37),""))</f>
        <v/>
      </c>
      <c r="P37" s="124" t="str">
        <f>IF(MAESTRO!F37="","",IFERROR(AVERAGE(H37,L37),""))</f>
        <v/>
      </c>
      <c r="Q37" s="124" t="str">
        <f>IF(MAESTRO!F37="","",IFERROR(AVERAGE(I37,M37),""))</f>
        <v/>
      </c>
      <c r="R37" s="124" t="str">
        <f>IF(MAESTRO!F37="","",IFERROR(TRUNC(AVERAGE(O37,P37,Q37),1),""))</f>
        <v/>
      </c>
      <c r="S37" s="122" t="str">
        <f>IF(MAESTRO!F37="","",IFERROR('PROM (Artistica 9°)'!AE37,""))</f>
        <v/>
      </c>
      <c r="T37" s="122" t="str">
        <f>IF(MAESTRO!F37="","",IFERROR('PROM (Artistica 9°)'!BM37,""))</f>
        <v/>
      </c>
      <c r="U37" s="122" t="str">
        <f>IF(MAESTRO!F37="","",IFERROR('PROM (Artistica 9°)'!CU37,""))</f>
        <v/>
      </c>
      <c r="V37" s="123" t="str">
        <f>IF(MAESTRO!F37="","",IFERROR(TRUNC(AVERAGE(S37,T37,U37),1),""))</f>
        <v/>
      </c>
      <c r="W37" s="123" t="str">
        <f>IF(MAESTRO!F37="","",IF(AND(F37="",J37="",N37="",R37="",V37=""),"",IF(Y(OR(F37="",F37&gt;=3),OR(J37="",J37&gt;=3),OR(N37="",N37&gt;=3),OR(R37="",R37&gt;=3),OR(V37="",V37&gt;=3)),"✓ APROBADO","✗ REPROBADO")))</f>
        <v/>
      </c>
    </row>
    <row r="38" spans="1:23" ht="16.05" customHeight="1">
      <c r="A38" s="116">
        <v>34</v>
      </c>
      <c r="B38" s="117">
        <f>MAESTRO!F38</f>
        <v>0</v>
      </c>
      <c r="C38" s="125" t="str">
        <f>IF(MAESTRO!F38="","",IFERROR('PROM (Ingles 9°)'!AE38,""))</f>
        <v/>
      </c>
      <c r="D38" s="125" t="str">
        <f>IF(MAESTRO!F38="","",IFERROR('PROM (Ingles 9°)'!BM38,""))</f>
        <v/>
      </c>
      <c r="E38" s="125" t="str">
        <f>IF(MAESTRO!F38="","",IFERROR('PROM (Ingles 9°)'!CU38,""))</f>
        <v/>
      </c>
      <c r="F38" s="126" t="str">
        <f>IF(MAESTRO!F38="","",IFERROR(TRUNC(AVERAGE(C38,D38,E38),1),""))</f>
        <v/>
      </c>
      <c r="G38" s="125" t="str">
        <f>IF(MAESTRO!F38="","",IFERROR('PROM (Agropecuaria 9°)'!AE38,""))</f>
        <v/>
      </c>
      <c r="H38" s="125" t="str">
        <f>IF(MAESTRO!F38="","",IFERROR('PROM (Agropecuaria 9°)'!BM38,""))</f>
        <v/>
      </c>
      <c r="I38" s="125" t="str">
        <f>IF(MAESTRO!F38="","",IFERROR('PROM (Agropecuaria 9°)'!CU38,""))</f>
        <v/>
      </c>
      <c r="J38" s="126" t="str">
        <f>IF(MAESTRO!F38="","",IFERROR(TRUNC(AVERAGE(G38,H38,I38),1),""))</f>
        <v/>
      </c>
      <c r="K38" s="125" t="str">
        <f>IF(MAESTRO!F38="","",IFERROR('PROM (Comercio 9°)'!AE38,""))</f>
        <v/>
      </c>
      <c r="L38" s="125" t="str">
        <f>IF(MAESTRO!F38="","",IFERROR('PROM (Comercio 9°)'!BM38,""))</f>
        <v/>
      </c>
      <c r="M38" s="125" t="str">
        <f>IF(MAESTRO!F38="","",IFERROR('PROM (Comercio 9°)'!CU38,""))</f>
        <v/>
      </c>
      <c r="N38" s="126" t="str">
        <f>IF(MAESTRO!F38="","",IFERROR(TRUNC(AVERAGE(K38,L38,M38),1),""))</f>
        <v/>
      </c>
      <c r="O38" s="124" t="str">
        <f>IF(MAESTRO!F38="","",IFERROR(AVERAGE(G38,K38),""))</f>
        <v/>
      </c>
      <c r="P38" s="124" t="str">
        <f>IF(MAESTRO!F38="","",IFERROR(AVERAGE(H38,L38),""))</f>
        <v/>
      </c>
      <c r="Q38" s="124" t="str">
        <f>IF(MAESTRO!F38="","",IFERROR(AVERAGE(I38,M38),""))</f>
        <v/>
      </c>
      <c r="R38" s="124" t="str">
        <f>IF(MAESTRO!F38="","",IFERROR(TRUNC(AVERAGE(O38,P38,Q38),1),""))</f>
        <v/>
      </c>
      <c r="S38" s="125" t="str">
        <f>IF(MAESTRO!F38="","",IFERROR('PROM (Artistica 9°)'!AE38,""))</f>
        <v/>
      </c>
      <c r="T38" s="125" t="str">
        <f>IF(MAESTRO!F38="","",IFERROR('PROM (Artistica 9°)'!BM38,""))</f>
        <v/>
      </c>
      <c r="U38" s="125" t="str">
        <f>IF(MAESTRO!F38="","",IFERROR('PROM (Artistica 9°)'!CU38,""))</f>
        <v/>
      </c>
      <c r="V38" s="126" t="str">
        <f>IF(MAESTRO!F38="","",IFERROR(TRUNC(AVERAGE(S38,T38,U38),1),""))</f>
        <v/>
      </c>
      <c r="W38" s="126" t="str">
        <f>IF(MAESTRO!F38="","",IF(AND(F38="",J38="",N38="",R38="",V38=""),"",IF(Y(OR(F38="",F38&gt;=3),OR(J38="",J38&gt;=3),OR(N38="",N38&gt;=3),OR(R38="",R38&gt;=3),OR(V38="",V38&gt;=3)),"✓ APROBADO","✗ REPROBADO")))</f>
        <v/>
      </c>
    </row>
    <row r="39" spans="1:23" ht="16.05" customHeight="1">
      <c r="A39" s="118">
        <v>35</v>
      </c>
      <c r="B39" s="119">
        <f>MAESTRO!F39</f>
        <v>0</v>
      </c>
      <c r="C39" s="122" t="str">
        <f>IF(MAESTRO!F39="","",IFERROR('PROM (Ingles 9°)'!AE39,""))</f>
        <v/>
      </c>
      <c r="D39" s="122" t="str">
        <f>IF(MAESTRO!F39="","",IFERROR('PROM (Ingles 9°)'!BM39,""))</f>
        <v/>
      </c>
      <c r="E39" s="122" t="str">
        <f>IF(MAESTRO!F39="","",IFERROR('PROM (Ingles 9°)'!CU39,""))</f>
        <v/>
      </c>
      <c r="F39" s="123" t="str">
        <f>IF(MAESTRO!F39="","",IFERROR(TRUNC(AVERAGE(C39,D39,E39),1),""))</f>
        <v/>
      </c>
      <c r="G39" s="122" t="str">
        <f>IF(MAESTRO!F39="","",IFERROR('PROM (Agropecuaria 9°)'!AE39,""))</f>
        <v/>
      </c>
      <c r="H39" s="122" t="str">
        <f>IF(MAESTRO!F39="","",IFERROR('PROM (Agropecuaria 9°)'!BM39,""))</f>
        <v/>
      </c>
      <c r="I39" s="122" t="str">
        <f>IF(MAESTRO!F39="","",IFERROR('PROM (Agropecuaria 9°)'!CU39,""))</f>
        <v/>
      </c>
      <c r="J39" s="123" t="str">
        <f>IF(MAESTRO!F39="","",IFERROR(TRUNC(AVERAGE(G39,H39,I39),1),""))</f>
        <v/>
      </c>
      <c r="K39" s="122" t="str">
        <f>IF(MAESTRO!F39="","",IFERROR('PROM (Comercio 9°)'!AE39,""))</f>
        <v/>
      </c>
      <c r="L39" s="122" t="str">
        <f>IF(MAESTRO!F39="","",IFERROR('PROM (Comercio 9°)'!BM39,""))</f>
        <v/>
      </c>
      <c r="M39" s="122" t="str">
        <f>IF(MAESTRO!F39="","",IFERROR('PROM (Comercio 9°)'!CU39,""))</f>
        <v/>
      </c>
      <c r="N39" s="123" t="str">
        <f>IF(MAESTRO!F39="","",IFERROR(TRUNC(AVERAGE(K39,L39,M39),1),""))</f>
        <v/>
      </c>
      <c r="O39" s="124" t="str">
        <f>IF(MAESTRO!F39="","",IFERROR(AVERAGE(G39,K39),""))</f>
        <v/>
      </c>
      <c r="P39" s="124" t="str">
        <f>IF(MAESTRO!F39="","",IFERROR(AVERAGE(H39,L39),""))</f>
        <v/>
      </c>
      <c r="Q39" s="124" t="str">
        <f>IF(MAESTRO!F39="","",IFERROR(AVERAGE(I39,M39),""))</f>
        <v/>
      </c>
      <c r="R39" s="124" t="str">
        <f>IF(MAESTRO!F39="","",IFERROR(TRUNC(AVERAGE(O39,P39,Q39),1),""))</f>
        <v/>
      </c>
      <c r="S39" s="122" t="str">
        <f>IF(MAESTRO!F39="","",IFERROR('PROM (Artistica 9°)'!AE39,""))</f>
        <v/>
      </c>
      <c r="T39" s="122" t="str">
        <f>IF(MAESTRO!F39="","",IFERROR('PROM (Artistica 9°)'!BM39,""))</f>
        <v/>
      </c>
      <c r="U39" s="122" t="str">
        <f>IF(MAESTRO!F39="","",IFERROR('PROM (Artistica 9°)'!CU39,""))</f>
        <v/>
      </c>
      <c r="V39" s="123" t="str">
        <f>IF(MAESTRO!F39="","",IFERROR(TRUNC(AVERAGE(S39,T39,U39),1),""))</f>
        <v/>
      </c>
      <c r="W39" s="123" t="str">
        <f>IF(MAESTRO!F39="","",IF(AND(F39="",J39="",N39="",R39="",V39=""),"",IF(Y(OR(F39="",F39&gt;=3),OR(J39="",J39&gt;=3),OR(N39="",N39&gt;=3),OR(R39="",R39&gt;=3),OR(V39="",V39&gt;=3)),"✓ APROBADO","✗ REPROBADO")))</f>
        <v/>
      </c>
    </row>
    <row r="40" spans="1:23" ht="16.05" customHeight="1">
      <c r="A40" s="116">
        <v>36</v>
      </c>
      <c r="B40" s="117">
        <f>MAESTRO!F40</f>
        <v>0</v>
      </c>
      <c r="C40" s="125" t="str">
        <f>IF(MAESTRO!F40="","",IFERROR('PROM (Ingles 9°)'!AE40,""))</f>
        <v/>
      </c>
      <c r="D40" s="125" t="str">
        <f>IF(MAESTRO!F40="","",IFERROR('PROM (Ingles 9°)'!BM40,""))</f>
        <v/>
      </c>
      <c r="E40" s="125" t="str">
        <f>IF(MAESTRO!F40="","",IFERROR('PROM (Ingles 9°)'!CU40,""))</f>
        <v/>
      </c>
      <c r="F40" s="126" t="str">
        <f>IF(MAESTRO!F40="","",IFERROR(TRUNC(AVERAGE(C40,D40,E40),1),""))</f>
        <v/>
      </c>
      <c r="G40" s="125" t="str">
        <f>IF(MAESTRO!F40="","",IFERROR('PROM (Agropecuaria 9°)'!AE40,""))</f>
        <v/>
      </c>
      <c r="H40" s="125" t="str">
        <f>IF(MAESTRO!F40="","",IFERROR('PROM (Agropecuaria 9°)'!BM40,""))</f>
        <v/>
      </c>
      <c r="I40" s="125" t="str">
        <f>IF(MAESTRO!F40="","",IFERROR('PROM (Agropecuaria 9°)'!CU40,""))</f>
        <v/>
      </c>
      <c r="J40" s="126" t="str">
        <f>IF(MAESTRO!F40="","",IFERROR(TRUNC(AVERAGE(G40,H40,I40),1),""))</f>
        <v/>
      </c>
      <c r="K40" s="125" t="str">
        <f>IF(MAESTRO!F40="","",IFERROR('PROM (Comercio 9°)'!AE40,""))</f>
        <v/>
      </c>
      <c r="L40" s="125" t="str">
        <f>IF(MAESTRO!F40="","",IFERROR('PROM (Comercio 9°)'!BM40,""))</f>
        <v/>
      </c>
      <c r="M40" s="125" t="str">
        <f>IF(MAESTRO!F40="","",IFERROR('PROM (Comercio 9°)'!CU40,""))</f>
        <v/>
      </c>
      <c r="N40" s="126" t="str">
        <f>IF(MAESTRO!F40="","",IFERROR(TRUNC(AVERAGE(K40,L40,M40),1),""))</f>
        <v/>
      </c>
      <c r="O40" s="124" t="str">
        <f>IF(MAESTRO!F40="","",IFERROR(AVERAGE(G40,K40),""))</f>
        <v/>
      </c>
      <c r="P40" s="124" t="str">
        <f>IF(MAESTRO!F40="","",IFERROR(AVERAGE(H40,L40),""))</f>
        <v/>
      </c>
      <c r="Q40" s="124" t="str">
        <f>IF(MAESTRO!F40="","",IFERROR(AVERAGE(I40,M40),""))</f>
        <v/>
      </c>
      <c r="R40" s="124" t="str">
        <f>IF(MAESTRO!F40="","",IFERROR(TRUNC(AVERAGE(O40,P40,Q40),1),""))</f>
        <v/>
      </c>
      <c r="S40" s="125" t="str">
        <f>IF(MAESTRO!F40="","",IFERROR('PROM (Artistica 9°)'!AE40,""))</f>
        <v/>
      </c>
      <c r="T40" s="125" t="str">
        <f>IF(MAESTRO!F40="","",IFERROR('PROM (Artistica 9°)'!BM40,""))</f>
        <v/>
      </c>
      <c r="U40" s="125" t="str">
        <f>IF(MAESTRO!F40="","",IFERROR('PROM (Artistica 9°)'!CU40,""))</f>
        <v/>
      </c>
      <c r="V40" s="126" t="str">
        <f>IF(MAESTRO!F40="","",IFERROR(TRUNC(AVERAGE(S40,T40,U40),1),""))</f>
        <v/>
      </c>
      <c r="W40" s="126" t="str">
        <f>IF(MAESTRO!F40="","",IF(AND(F40="",J40="",N40="",R40="",V40=""),"",IF(Y(OR(F40="",F40&gt;=3),OR(J40="",J40&gt;=3),OR(N40="",N40&gt;=3),OR(R40="",R40&gt;=3),OR(V40="",V40&gt;=3)),"✓ APROBADO","✗ REPROBADO")))</f>
        <v/>
      </c>
    </row>
    <row r="41" spans="1:23" ht="16.05" customHeight="1">
      <c r="A41" s="118">
        <v>37</v>
      </c>
      <c r="B41" s="119">
        <f>MAESTRO!F41</f>
        <v>0</v>
      </c>
      <c r="C41" s="122" t="str">
        <f>IF(MAESTRO!F41="","",IFERROR('PROM (Ingles 9°)'!AE41,""))</f>
        <v/>
      </c>
      <c r="D41" s="122" t="str">
        <f>IF(MAESTRO!F41="","",IFERROR('PROM (Ingles 9°)'!BM41,""))</f>
        <v/>
      </c>
      <c r="E41" s="122" t="str">
        <f>IF(MAESTRO!F41="","",IFERROR('PROM (Ingles 9°)'!CU41,""))</f>
        <v/>
      </c>
      <c r="F41" s="123" t="str">
        <f>IF(MAESTRO!F41="","",IFERROR(TRUNC(AVERAGE(C41,D41,E41),1),""))</f>
        <v/>
      </c>
      <c r="G41" s="122" t="str">
        <f>IF(MAESTRO!F41="","",IFERROR('PROM (Agropecuaria 9°)'!AE41,""))</f>
        <v/>
      </c>
      <c r="H41" s="122" t="str">
        <f>IF(MAESTRO!F41="","",IFERROR('PROM (Agropecuaria 9°)'!BM41,""))</f>
        <v/>
      </c>
      <c r="I41" s="122" t="str">
        <f>IF(MAESTRO!F41="","",IFERROR('PROM (Agropecuaria 9°)'!CU41,""))</f>
        <v/>
      </c>
      <c r="J41" s="123" t="str">
        <f>IF(MAESTRO!F41="","",IFERROR(TRUNC(AVERAGE(G41,H41,I41),1),""))</f>
        <v/>
      </c>
      <c r="K41" s="122" t="str">
        <f>IF(MAESTRO!F41="","",IFERROR('PROM (Comercio 9°)'!AE41,""))</f>
        <v/>
      </c>
      <c r="L41" s="122" t="str">
        <f>IF(MAESTRO!F41="","",IFERROR('PROM (Comercio 9°)'!BM41,""))</f>
        <v/>
      </c>
      <c r="M41" s="122" t="str">
        <f>IF(MAESTRO!F41="","",IFERROR('PROM (Comercio 9°)'!CU41,""))</f>
        <v/>
      </c>
      <c r="N41" s="123" t="str">
        <f>IF(MAESTRO!F41="","",IFERROR(TRUNC(AVERAGE(K41,L41,M41),1),""))</f>
        <v/>
      </c>
      <c r="O41" s="124" t="str">
        <f>IF(MAESTRO!F41="","",IFERROR(AVERAGE(G41,K41),""))</f>
        <v/>
      </c>
      <c r="P41" s="124" t="str">
        <f>IF(MAESTRO!F41="","",IFERROR(AVERAGE(H41,L41),""))</f>
        <v/>
      </c>
      <c r="Q41" s="124" t="str">
        <f>IF(MAESTRO!F41="","",IFERROR(AVERAGE(I41,M41),""))</f>
        <v/>
      </c>
      <c r="R41" s="124" t="str">
        <f>IF(MAESTRO!F41="","",IFERROR(TRUNC(AVERAGE(O41,P41,Q41),1),""))</f>
        <v/>
      </c>
      <c r="S41" s="122" t="str">
        <f>IF(MAESTRO!F41="","",IFERROR('PROM (Artistica 9°)'!AE41,""))</f>
        <v/>
      </c>
      <c r="T41" s="122" t="str">
        <f>IF(MAESTRO!F41="","",IFERROR('PROM (Artistica 9°)'!BM41,""))</f>
        <v/>
      </c>
      <c r="U41" s="122" t="str">
        <f>IF(MAESTRO!F41="","",IFERROR('PROM (Artistica 9°)'!CU41,""))</f>
        <v/>
      </c>
      <c r="V41" s="123" t="str">
        <f>IF(MAESTRO!F41="","",IFERROR(TRUNC(AVERAGE(S41,T41,U41),1),""))</f>
        <v/>
      </c>
      <c r="W41" s="123" t="str">
        <f>IF(MAESTRO!F41="","",IF(AND(F41="",J41="",N41="",R41="",V41=""),"",IF(Y(OR(F41="",F41&gt;=3),OR(J41="",J41&gt;=3),OR(N41="",N41&gt;=3),OR(R41="",R41&gt;=3),OR(V41="",V41&gt;=3)),"✓ APROBADO","✗ REPROBADO")))</f>
        <v/>
      </c>
    </row>
    <row r="42" spans="1:23" ht="16.05" customHeight="1">
      <c r="A42" s="116">
        <v>38</v>
      </c>
      <c r="B42" s="117">
        <f>MAESTRO!F42</f>
        <v>0</v>
      </c>
      <c r="C42" s="125" t="str">
        <f>IF(MAESTRO!F42="","",IFERROR('PROM (Ingles 9°)'!AE42,""))</f>
        <v/>
      </c>
      <c r="D42" s="125" t="str">
        <f>IF(MAESTRO!F42="","",IFERROR('PROM (Ingles 9°)'!BM42,""))</f>
        <v/>
      </c>
      <c r="E42" s="125" t="str">
        <f>IF(MAESTRO!F42="","",IFERROR('PROM (Ingles 9°)'!CU42,""))</f>
        <v/>
      </c>
      <c r="F42" s="126" t="str">
        <f>IF(MAESTRO!F42="","",IFERROR(TRUNC(AVERAGE(C42,D42,E42),1),""))</f>
        <v/>
      </c>
      <c r="G42" s="125" t="str">
        <f>IF(MAESTRO!F42="","",IFERROR('PROM (Agropecuaria 9°)'!AE42,""))</f>
        <v/>
      </c>
      <c r="H42" s="125" t="str">
        <f>IF(MAESTRO!F42="","",IFERROR('PROM (Agropecuaria 9°)'!BM42,""))</f>
        <v/>
      </c>
      <c r="I42" s="125" t="str">
        <f>IF(MAESTRO!F42="","",IFERROR('PROM (Agropecuaria 9°)'!CU42,""))</f>
        <v/>
      </c>
      <c r="J42" s="126" t="str">
        <f>IF(MAESTRO!F42="","",IFERROR(TRUNC(AVERAGE(G42,H42,I42),1),""))</f>
        <v/>
      </c>
      <c r="K42" s="125" t="str">
        <f>IF(MAESTRO!F42="","",IFERROR('PROM (Comercio 9°)'!AE42,""))</f>
        <v/>
      </c>
      <c r="L42" s="125" t="str">
        <f>IF(MAESTRO!F42="","",IFERROR('PROM (Comercio 9°)'!BM42,""))</f>
        <v/>
      </c>
      <c r="M42" s="125" t="str">
        <f>IF(MAESTRO!F42="","",IFERROR('PROM (Comercio 9°)'!CU42,""))</f>
        <v/>
      </c>
      <c r="N42" s="126" t="str">
        <f>IF(MAESTRO!F42="","",IFERROR(TRUNC(AVERAGE(K42,L42,M42),1),""))</f>
        <v/>
      </c>
      <c r="O42" s="124" t="str">
        <f>IF(MAESTRO!F42="","",IFERROR(AVERAGE(G42,K42),""))</f>
        <v/>
      </c>
      <c r="P42" s="124" t="str">
        <f>IF(MAESTRO!F42="","",IFERROR(AVERAGE(H42,L42),""))</f>
        <v/>
      </c>
      <c r="Q42" s="124" t="str">
        <f>IF(MAESTRO!F42="","",IFERROR(AVERAGE(I42,M42),""))</f>
        <v/>
      </c>
      <c r="R42" s="124" t="str">
        <f>IF(MAESTRO!F42="","",IFERROR(TRUNC(AVERAGE(O42,P42,Q42),1),""))</f>
        <v/>
      </c>
      <c r="S42" s="125" t="str">
        <f>IF(MAESTRO!F42="","",IFERROR('PROM (Artistica 9°)'!AE42,""))</f>
        <v/>
      </c>
      <c r="T42" s="125" t="str">
        <f>IF(MAESTRO!F42="","",IFERROR('PROM (Artistica 9°)'!BM42,""))</f>
        <v/>
      </c>
      <c r="U42" s="125" t="str">
        <f>IF(MAESTRO!F42="","",IFERROR('PROM (Artistica 9°)'!CU42,""))</f>
        <v/>
      </c>
      <c r="V42" s="126" t="str">
        <f>IF(MAESTRO!F42="","",IFERROR(TRUNC(AVERAGE(S42,T42,U42),1),""))</f>
        <v/>
      </c>
      <c r="W42" s="126" t="str">
        <f>IF(MAESTRO!F42="","",IF(AND(F42="",J42="",N42="",R42="",V42=""),"",IF(Y(OR(F42="",F42&gt;=3),OR(J42="",J42&gt;=3),OR(N42="",N42&gt;=3),OR(R42="",R42&gt;=3),OR(V42="",V42&gt;=3)),"✓ APROBADO","✗ REPROBADO")))</f>
        <v/>
      </c>
    </row>
    <row r="43" spans="1:23" ht="16.05" customHeight="1">
      <c r="A43" s="118">
        <v>39</v>
      </c>
      <c r="B43" s="119">
        <f>MAESTRO!F43</f>
        <v>0</v>
      </c>
      <c r="C43" s="122" t="str">
        <f>IF(MAESTRO!F43="","",IFERROR('PROM (Ingles 9°)'!AE43,""))</f>
        <v/>
      </c>
      <c r="D43" s="122" t="str">
        <f>IF(MAESTRO!F43="","",IFERROR('PROM (Ingles 9°)'!BM43,""))</f>
        <v/>
      </c>
      <c r="E43" s="122" t="str">
        <f>IF(MAESTRO!F43="","",IFERROR('PROM (Ingles 9°)'!CU43,""))</f>
        <v/>
      </c>
      <c r="F43" s="123" t="str">
        <f>IF(MAESTRO!F43="","",IFERROR(TRUNC(AVERAGE(C43,D43,E43),1),""))</f>
        <v/>
      </c>
      <c r="G43" s="122" t="str">
        <f>IF(MAESTRO!F43="","",IFERROR('PROM (Agropecuaria 9°)'!AE43,""))</f>
        <v/>
      </c>
      <c r="H43" s="122" t="str">
        <f>IF(MAESTRO!F43="","",IFERROR('PROM (Agropecuaria 9°)'!BM43,""))</f>
        <v/>
      </c>
      <c r="I43" s="122" t="str">
        <f>IF(MAESTRO!F43="","",IFERROR('PROM (Agropecuaria 9°)'!CU43,""))</f>
        <v/>
      </c>
      <c r="J43" s="123" t="str">
        <f>IF(MAESTRO!F43="","",IFERROR(TRUNC(AVERAGE(G43,H43,I43),1),""))</f>
        <v/>
      </c>
      <c r="K43" s="122" t="str">
        <f>IF(MAESTRO!F43="","",IFERROR('PROM (Comercio 9°)'!AE43,""))</f>
        <v/>
      </c>
      <c r="L43" s="122" t="str">
        <f>IF(MAESTRO!F43="","",IFERROR('PROM (Comercio 9°)'!BM43,""))</f>
        <v/>
      </c>
      <c r="M43" s="122" t="str">
        <f>IF(MAESTRO!F43="","",IFERROR('PROM (Comercio 9°)'!CU43,""))</f>
        <v/>
      </c>
      <c r="N43" s="123" t="str">
        <f>IF(MAESTRO!F43="","",IFERROR(TRUNC(AVERAGE(K43,L43,M43),1),""))</f>
        <v/>
      </c>
      <c r="O43" s="124" t="str">
        <f>IF(MAESTRO!F43="","",IFERROR(AVERAGE(G43,K43),""))</f>
        <v/>
      </c>
      <c r="P43" s="124" t="str">
        <f>IF(MAESTRO!F43="","",IFERROR(AVERAGE(H43,L43),""))</f>
        <v/>
      </c>
      <c r="Q43" s="124" t="str">
        <f>IF(MAESTRO!F43="","",IFERROR(AVERAGE(I43,M43),""))</f>
        <v/>
      </c>
      <c r="R43" s="124" t="str">
        <f>IF(MAESTRO!F43="","",IFERROR(TRUNC(AVERAGE(O43,P43,Q43),1),""))</f>
        <v/>
      </c>
      <c r="S43" s="122" t="str">
        <f>IF(MAESTRO!F43="","",IFERROR('PROM (Artistica 9°)'!AE43,""))</f>
        <v/>
      </c>
      <c r="T43" s="122" t="str">
        <f>IF(MAESTRO!F43="","",IFERROR('PROM (Artistica 9°)'!BM43,""))</f>
        <v/>
      </c>
      <c r="U43" s="122" t="str">
        <f>IF(MAESTRO!F43="","",IFERROR('PROM (Artistica 9°)'!CU43,""))</f>
        <v/>
      </c>
      <c r="V43" s="123" t="str">
        <f>IF(MAESTRO!F43="","",IFERROR(TRUNC(AVERAGE(S43,T43,U43),1),""))</f>
        <v/>
      </c>
      <c r="W43" s="123" t="str">
        <f>IF(MAESTRO!F43="","",IF(AND(F43="",J43="",N43="",R43="",V43=""),"",IF(Y(OR(F43="",F43&gt;=3),OR(J43="",J43&gt;=3),OR(N43="",N43&gt;=3),OR(R43="",R43&gt;=3),OR(V43="",V43&gt;=3)),"✓ APROBADO","✗ REPROBADO")))</f>
        <v/>
      </c>
    </row>
    <row r="44" spans="1:23" ht="16.05" customHeight="1">
      <c r="A44" s="116">
        <v>40</v>
      </c>
      <c r="B44" s="117">
        <f>MAESTRO!F44</f>
        <v>0</v>
      </c>
      <c r="C44" s="125" t="str">
        <f>IF(MAESTRO!F44="","",IFERROR('PROM (Ingles 9°)'!AE44,""))</f>
        <v/>
      </c>
      <c r="D44" s="125" t="str">
        <f>IF(MAESTRO!F44="","",IFERROR('PROM (Ingles 9°)'!BM44,""))</f>
        <v/>
      </c>
      <c r="E44" s="125" t="str">
        <f>IF(MAESTRO!F44="","",IFERROR('PROM (Ingles 9°)'!CU44,""))</f>
        <v/>
      </c>
      <c r="F44" s="126" t="str">
        <f>IF(MAESTRO!F44="","",IFERROR(TRUNC(AVERAGE(C44,D44,E44),1),""))</f>
        <v/>
      </c>
      <c r="G44" s="125" t="str">
        <f>IF(MAESTRO!F44="","",IFERROR('PROM (Agropecuaria 9°)'!AE44,""))</f>
        <v/>
      </c>
      <c r="H44" s="125" t="str">
        <f>IF(MAESTRO!F44="","",IFERROR('PROM (Agropecuaria 9°)'!BM44,""))</f>
        <v/>
      </c>
      <c r="I44" s="125" t="str">
        <f>IF(MAESTRO!F44="","",IFERROR('PROM (Agropecuaria 9°)'!CU44,""))</f>
        <v/>
      </c>
      <c r="J44" s="126" t="str">
        <f>IF(MAESTRO!F44="","",IFERROR(TRUNC(AVERAGE(G44,H44,I44),1),""))</f>
        <v/>
      </c>
      <c r="K44" s="125" t="str">
        <f>IF(MAESTRO!F44="","",IFERROR('PROM (Comercio 9°)'!AE44,""))</f>
        <v/>
      </c>
      <c r="L44" s="125" t="str">
        <f>IF(MAESTRO!F44="","",IFERROR('PROM (Comercio 9°)'!BM44,""))</f>
        <v/>
      </c>
      <c r="M44" s="125" t="str">
        <f>IF(MAESTRO!F44="","",IFERROR('PROM (Comercio 9°)'!CU44,""))</f>
        <v/>
      </c>
      <c r="N44" s="126" t="str">
        <f>IF(MAESTRO!F44="","",IFERROR(TRUNC(AVERAGE(K44,L44,M44),1),""))</f>
        <v/>
      </c>
      <c r="O44" s="124" t="str">
        <f>IF(MAESTRO!F44="","",IFERROR(AVERAGE(G44,K44),""))</f>
        <v/>
      </c>
      <c r="P44" s="124" t="str">
        <f>IF(MAESTRO!F44="","",IFERROR(AVERAGE(H44,L44),""))</f>
        <v/>
      </c>
      <c r="Q44" s="124" t="str">
        <f>IF(MAESTRO!F44="","",IFERROR(AVERAGE(I44,M44),""))</f>
        <v/>
      </c>
      <c r="R44" s="124" t="str">
        <f>IF(MAESTRO!F44="","",IFERROR(TRUNC(AVERAGE(O44,P44,Q44),1),""))</f>
        <v/>
      </c>
      <c r="S44" s="125" t="str">
        <f>IF(MAESTRO!F44="","",IFERROR('PROM (Artistica 9°)'!AE44,""))</f>
        <v/>
      </c>
      <c r="T44" s="125" t="str">
        <f>IF(MAESTRO!F44="","",IFERROR('PROM (Artistica 9°)'!BM44,""))</f>
        <v/>
      </c>
      <c r="U44" s="125" t="str">
        <f>IF(MAESTRO!F44="","",IFERROR('PROM (Artistica 9°)'!CU44,""))</f>
        <v/>
      </c>
      <c r="V44" s="126" t="str">
        <f>IF(MAESTRO!F44="","",IFERROR(TRUNC(AVERAGE(S44,T44,U44),1),""))</f>
        <v/>
      </c>
      <c r="W44" s="126" t="str">
        <f>IF(MAESTRO!F44="","",IF(AND(F44="",J44="",N44="",R44="",V44=""),"",IF(Y(OR(F44="",F44&gt;=3),OR(J44="",J44&gt;=3),OR(N44="",N44&gt;=3),OR(R44="",R44&gt;=3),OR(V44="",V44&gt;=3)),"✓ APROBADO","✗ REPROBADO")))</f>
        <v/>
      </c>
    </row>
    <row r="46" spans="1:23" ht="18" customHeight="1">
      <c r="A46" s="217" t="s">
        <v>14</v>
      </c>
      <c r="B46" s="206"/>
      <c r="C46" s="127" t="str">
        <f t="shared" ref="C46:V46" si="0">IFERROR(ROUND(AVERAGEIF(C5:C44,"&lt;&gt;"&amp;""),1),"")</f>
        <v/>
      </c>
      <c r="D46" s="127" t="str">
        <f t="shared" si="0"/>
        <v/>
      </c>
      <c r="E46" s="127" t="str">
        <f t="shared" si="0"/>
        <v/>
      </c>
      <c r="F46" s="127" t="str">
        <f t="shared" si="0"/>
        <v/>
      </c>
      <c r="G46" s="127" t="str">
        <f t="shared" si="0"/>
        <v/>
      </c>
      <c r="H46" s="127" t="str">
        <f t="shared" si="0"/>
        <v/>
      </c>
      <c r="I46" s="127" t="str">
        <f t="shared" si="0"/>
        <v/>
      </c>
      <c r="J46" s="127" t="str">
        <f t="shared" si="0"/>
        <v/>
      </c>
      <c r="K46" s="127" t="str">
        <f t="shared" si="0"/>
        <v/>
      </c>
      <c r="L46" s="127" t="str">
        <f t="shared" si="0"/>
        <v/>
      </c>
      <c r="M46" s="127" t="str">
        <f t="shared" si="0"/>
        <v/>
      </c>
      <c r="N46" s="127" t="str">
        <f t="shared" si="0"/>
        <v/>
      </c>
      <c r="O46" s="127" t="str">
        <f t="shared" si="0"/>
        <v/>
      </c>
      <c r="P46" s="127" t="str">
        <f t="shared" si="0"/>
        <v/>
      </c>
      <c r="Q46" s="127" t="str">
        <f t="shared" si="0"/>
        <v/>
      </c>
      <c r="R46" s="127" t="str">
        <f t="shared" si="0"/>
        <v/>
      </c>
      <c r="S46" s="127" t="str">
        <f t="shared" si="0"/>
        <v/>
      </c>
      <c r="T46" s="127" t="str">
        <f t="shared" si="0"/>
        <v/>
      </c>
      <c r="U46" s="127" t="str">
        <f t="shared" si="0"/>
        <v/>
      </c>
      <c r="V46" s="127" t="str">
        <f t="shared" si="0"/>
        <v/>
      </c>
      <c r="W46" s="128"/>
    </row>
  </sheetData>
  <mergeCells count="11">
    <mergeCell ref="W3:W4"/>
    <mergeCell ref="A2:P2"/>
    <mergeCell ref="C3:F3"/>
    <mergeCell ref="S3:V3"/>
    <mergeCell ref="G3:J3"/>
    <mergeCell ref="K3:N3"/>
    <mergeCell ref="A1:P1"/>
    <mergeCell ref="B3:B4"/>
    <mergeCell ref="A3:A4"/>
    <mergeCell ref="O3:R3"/>
    <mergeCell ref="A46:B46"/>
  </mergeCells>
  <conditionalFormatting sqref="C5:V44">
    <cfRule type="cellIs" dxfId="27" priority="1" operator="lessThan">
      <formula>3</formula>
    </cfRule>
    <cfRule type="cellIs" dxfId="26" priority="2" operator="between">
      <formula>3</formula>
      <formula>3.4</formula>
    </cfRule>
    <cfRule type="cellIs" dxfId="25" priority="3" operator="greaterThanOrEqual">
      <formula>4.5</formula>
    </cfRule>
  </conditionalFormatting>
  <conditionalFormatting sqref="W5:W44">
    <cfRule type="expression" dxfId="24" priority="4">
      <formula>W5="✓ APROBADO"</formula>
    </cfRule>
    <cfRule type="expression" dxfId="23" priority="5">
      <formula>W5="✗ REPROBADO"</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P152"/>
  <sheetViews>
    <sheetView workbookViewId="0">
      <pane ySplit="6" topLeftCell="A14" activePane="bottomLeft" state="frozen"/>
      <selection pane="bottomLeft" activeCell="H9" sqref="H9"/>
    </sheetView>
  </sheetViews>
  <sheetFormatPr baseColWidth="10" defaultColWidth="8.88671875" defaultRowHeight="14.4"/>
  <cols>
    <col min="1" max="1" width="5" customWidth="1"/>
    <col min="2" max="2" width="8" customWidth="1"/>
    <col min="3" max="3" width="30" customWidth="1"/>
    <col min="4" max="4" width="10" customWidth="1"/>
    <col min="5" max="5" width="12" customWidth="1"/>
    <col min="6" max="6" width="25" customWidth="1"/>
  </cols>
  <sheetData>
    <row r="1" spans="1:16" ht="24" customHeight="1">
      <c r="A1" s="226" t="s">
        <v>38</v>
      </c>
      <c r="B1" s="216"/>
      <c r="C1" s="216"/>
      <c r="D1" s="216"/>
      <c r="E1" s="216"/>
      <c r="F1" s="216"/>
      <c r="G1" s="216"/>
      <c r="H1" s="216"/>
      <c r="I1" s="216"/>
      <c r="J1" s="216"/>
      <c r="K1" s="216"/>
      <c r="L1" s="216"/>
      <c r="M1" s="216"/>
      <c r="N1" s="216"/>
      <c r="O1" s="216"/>
      <c r="P1" s="206"/>
    </row>
    <row r="2" spans="1:16" ht="19.95" customHeight="1">
      <c r="A2" s="231" t="s">
        <v>39</v>
      </c>
      <c r="B2" s="216"/>
      <c r="C2" s="216"/>
      <c r="D2" s="216"/>
      <c r="E2" s="216"/>
      <c r="F2" s="216"/>
      <c r="G2" s="216"/>
      <c r="H2" s="216"/>
      <c r="I2" s="216"/>
      <c r="J2" s="216"/>
      <c r="K2" s="216"/>
      <c r="L2" s="216"/>
      <c r="M2" s="216"/>
      <c r="N2" s="216"/>
      <c r="O2" s="216"/>
      <c r="P2" s="206"/>
    </row>
    <row r="3" spans="1:16" ht="19.95" customHeight="1">
      <c r="A3" s="230" t="s">
        <v>40</v>
      </c>
      <c r="B3" s="216"/>
      <c r="C3" s="216"/>
      <c r="D3" s="216"/>
      <c r="E3" s="216"/>
      <c r="F3" s="216"/>
      <c r="G3" s="216"/>
      <c r="H3" s="216"/>
      <c r="I3" s="216"/>
      <c r="J3" s="216"/>
      <c r="K3" s="216"/>
      <c r="L3" s="216"/>
      <c r="M3" s="216"/>
      <c r="N3" s="216"/>
      <c r="O3" s="216"/>
      <c r="P3" s="206"/>
    </row>
    <row r="4" spans="1:16" ht="16.05" customHeight="1">
      <c r="A4" s="310" t="s">
        <v>41</v>
      </c>
      <c r="B4" s="216"/>
      <c r="C4" s="216"/>
      <c r="D4" s="216"/>
      <c r="E4" s="216"/>
      <c r="F4" s="216"/>
      <c r="G4" s="216"/>
      <c r="H4" s="216"/>
      <c r="I4" s="216"/>
      <c r="J4" s="216"/>
      <c r="K4" s="216"/>
      <c r="L4" s="216"/>
      <c r="M4" s="216"/>
      <c r="N4" s="216"/>
      <c r="O4" s="216"/>
      <c r="P4" s="206"/>
    </row>
    <row r="6" spans="1:16" ht="19.95" customHeight="1">
      <c r="A6" s="229" t="s">
        <v>42</v>
      </c>
      <c r="B6" s="216"/>
      <c r="C6" s="216"/>
      <c r="D6" s="216"/>
      <c r="E6" s="216"/>
      <c r="F6" s="216"/>
      <c r="G6" s="216"/>
      <c r="H6" s="216"/>
      <c r="I6" s="216"/>
      <c r="J6" s="216"/>
      <c r="K6" s="216"/>
      <c r="L6" s="216"/>
      <c r="M6" s="216"/>
      <c r="N6" s="216"/>
      <c r="O6" s="216"/>
      <c r="P6" s="206"/>
    </row>
    <row r="7" spans="1:16" ht="18" customHeight="1">
      <c r="A7" s="130" t="s">
        <v>17</v>
      </c>
      <c r="B7" s="130" t="s">
        <v>43</v>
      </c>
      <c r="C7" s="130" t="s">
        <v>44</v>
      </c>
      <c r="D7" s="130" t="s">
        <v>45</v>
      </c>
    </row>
    <row r="8" spans="1:16" ht="16.05" customHeight="1">
      <c r="A8" s="139" t="s">
        <v>19</v>
      </c>
      <c r="B8" s="140">
        <f>COUNTA(MAESTRO!B5:'MAESTRO'!B44)</f>
        <v>0</v>
      </c>
      <c r="C8" s="141"/>
      <c r="D8" s="141"/>
    </row>
    <row r="9" spans="1:16" ht="16.05" customHeight="1">
      <c r="A9" s="142" t="s">
        <v>20</v>
      </c>
      <c r="B9" s="143">
        <f>COUNTA(MAESTRO!D5:'MAESTRO'!D44)</f>
        <v>0</v>
      </c>
      <c r="C9" s="144"/>
      <c r="D9" s="144"/>
    </row>
    <row r="10" spans="1:16" ht="16.05" customHeight="1">
      <c r="A10" s="139" t="s">
        <v>21</v>
      </c>
      <c r="B10" s="140">
        <f>COUNTA(MAESTRO!F5:'MAESTRO'!F44)</f>
        <v>0</v>
      </c>
      <c r="C10" s="141"/>
      <c r="D10" s="141"/>
    </row>
    <row r="11" spans="1:16" ht="18" customHeight="1">
      <c r="A11" s="127" t="s">
        <v>46</v>
      </c>
      <c r="B11" s="145">
        <f>COUNTA(MAESTRO!B5:'MAESTRO'!B44)+COUNTA(MAESTRO!D5:'MAESTRO'!D44)+COUNTA(MAESTRO!F5:'MAESTRO'!F44)</f>
        <v>0</v>
      </c>
      <c r="C11" s="128"/>
      <c r="D11" s="128"/>
    </row>
    <row r="13" spans="1:16" ht="19.95" customHeight="1">
      <c r="A13" s="229" t="s">
        <v>47</v>
      </c>
      <c r="B13" s="216"/>
      <c r="C13" s="216"/>
      <c r="D13" s="216"/>
      <c r="E13" s="216"/>
      <c r="F13" s="216"/>
      <c r="G13" s="216"/>
      <c r="H13" s="216"/>
      <c r="I13" s="216"/>
      <c r="J13" s="216"/>
      <c r="K13" s="216"/>
      <c r="L13" s="216"/>
      <c r="M13" s="216"/>
      <c r="N13" s="216"/>
      <c r="O13" s="216"/>
      <c r="P13" s="206"/>
    </row>
    <row r="14" spans="1:16" ht="30" customHeight="1">
      <c r="A14" s="130" t="s">
        <v>17</v>
      </c>
      <c r="B14" s="130" t="s">
        <v>48</v>
      </c>
      <c r="C14" s="130" t="s">
        <v>49</v>
      </c>
      <c r="D14" s="130" t="s">
        <v>50</v>
      </c>
      <c r="E14" s="130" t="s">
        <v>51</v>
      </c>
      <c r="F14" s="130" t="s">
        <v>52</v>
      </c>
      <c r="G14" s="130" t="s">
        <v>53</v>
      </c>
    </row>
    <row r="15" spans="1:16" ht="16.05" customHeight="1">
      <c r="A15" s="139" t="s">
        <v>19</v>
      </c>
      <c r="B15" s="126">
        <f>COUNTA(MAESTRO!B5:'MAESTRO'!B44)</f>
        <v>0</v>
      </c>
      <c r="C15" s="126">
        <f>COUNTIF(RESUMEN_7°!S5:'RESUMEN_7°'!S44,"✓ APROBADO")</f>
        <v>0</v>
      </c>
      <c r="D15" s="126">
        <f>COUNTIF(RESUMEN_7°!S5:'RESUMEN_7°'!S44,"✗ REPROBADO")</f>
        <v>0</v>
      </c>
      <c r="E15" s="125" t="str">
        <f>IFERROR(ROUND(C15/B15*100,1)&amp;"%","")</f>
        <v/>
      </c>
      <c r="F15" s="125" t="str">
        <f>IFERROR(ROUND(AVERAGEIF(RESUMEN_7°!F5:'RESUMEN_7°'!F44,"&lt;&gt;"&amp;""),1),"")</f>
        <v/>
      </c>
      <c r="G15" s="125" t="str">
        <f>IFERROR(ROUND(AVERAGEIF(RESUMEN_7°!R5:'RESUMEN_7°'!R44,"&lt;&gt;"&amp;""),1),"")</f>
        <v/>
      </c>
    </row>
    <row r="16" spans="1:16" ht="16.05" customHeight="1">
      <c r="A16" s="142" t="s">
        <v>20</v>
      </c>
      <c r="B16" s="123">
        <f>COUNTA(MAESTRO!D5:'MAESTRO'!D44)</f>
        <v>0</v>
      </c>
      <c r="C16" s="123">
        <f>COUNTIF(RESUMEN_8°!S5:'RESUMEN_8°'!S44,"✓ APROBADO")</f>
        <v>0</v>
      </c>
      <c r="D16" s="123">
        <f>COUNTIF(RESUMEN_8°!S5:'RESUMEN_8°'!S44,"✗ REPROBADO")</f>
        <v>0</v>
      </c>
      <c r="E16" s="122" t="str">
        <f>IFERROR(ROUND(C16/B16*100,1)&amp;"%","")</f>
        <v/>
      </c>
      <c r="F16" s="122" t="str">
        <f>IFERROR(ROUND(AVERAGEIF(RESUMEN_8°!F5:'RESUMEN_8°'!F44,"&lt;&gt;"&amp;""),1),"")</f>
        <v/>
      </c>
      <c r="G16" s="122" t="str">
        <f>IFERROR(ROUND(AVERAGEIF(RESUMEN_8°!R5:'RESUMEN_8°'!R44,"&lt;&gt;"&amp;""),1),"")</f>
        <v/>
      </c>
    </row>
    <row r="17" spans="1:16" ht="16.05" customHeight="1">
      <c r="A17" s="139" t="s">
        <v>21</v>
      </c>
      <c r="B17" s="126">
        <f>COUNTA(MAESTRO!F5:'MAESTRO'!F44)</f>
        <v>0</v>
      </c>
      <c r="C17" s="126">
        <f>COUNTIF(RESUMEN_9°!W5:'RESUMEN_9°'!W44,"✓ APROBADO")</f>
        <v>0</v>
      </c>
      <c r="D17" s="126">
        <f>COUNTIF(RESUMEN_9°!W5:'RESUMEN_9°'!W44,"✗ REPROBADO")</f>
        <v>0</v>
      </c>
      <c r="E17" s="125" t="str">
        <f>IFERROR(ROUND(C17/B17*100,1)&amp;"%","")</f>
        <v/>
      </c>
      <c r="F17" s="125" t="str">
        <f>IFERROR(ROUND(AVERAGEIF(RESUMEN_9°!F5:'RESUMEN_9°'!F44,"&lt;&gt;"&amp;""),1),"")</f>
        <v/>
      </c>
      <c r="G17" s="125" t="str">
        <f>IFERROR(ROUND(AVERAGEIF(RESUMEN_9°!V5:'RESUMEN_9°'!V44,"&lt;&gt;"&amp;""),1),"")</f>
        <v/>
      </c>
    </row>
    <row r="19" spans="1:16" ht="19.95" customHeight="1">
      <c r="A19" s="230" t="s">
        <v>54</v>
      </c>
      <c r="B19" s="216"/>
      <c r="C19" s="216"/>
      <c r="D19" s="216"/>
      <c r="E19" s="216"/>
      <c r="F19" s="216"/>
      <c r="G19" s="216"/>
      <c r="H19" s="216"/>
      <c r="I19" s="216"/>
      <c r="J19" s="216"/>
      <c r="K19" s="216"/>
      <c r="L19" s="216"/>
      <c r="M19" s="216"/>
      <c r="N19" s="216"/>
      <c r="O19" s="216"/>
      <c r="P19" s="206"/>
    </row>
    <row r="20" spans="1:16" ht="18" customHeight="1">
      <c r="A20" s="146" t="s">
        <v>2</v>
      </c>
      <c r="B20" s="146" t="s">
        <v>17</v>
      </c>
      <c r="C20" s="146" t="s">
        <v>3</v>
      </c>
      <c r="D20" s="146" t="s">
        <v>4</v>
      </c>
      <c r="E20" s="146" t="s">
        <v>7</v>
      </c>
      <c r="F20" s="146" t="s">
        <v>18</v>
      </c>
    </row>
    <row r="21" spans="1:16" ht="13.95" customHeight="1">
      <c r="A21" s="125" t="str">
        <f>IF(DASHBOARD!G19="⚠ REVISAR",1,"")</f>
        <v/>
      </c>
      <c r="B21" s="125" t="str">
        <f>IF(DASHBOARD!G19="⚠ REVISAR",DASHBOARD!A19,"")</f>
        <v/>
      </c>
      <c r="C21" s="117" t="str">
        <f>IF(DASHBOARD!G19="⚠ REVISAR",DASHBOARD!C19,"")</f>
        <v/>
      </c>
      <c r="D21" s="125" t="str">
        <f>IF(DASHBOARD!G19="⚠ REVISAR",DASHBOARD!D19,"")</f>
        <v/>
      </c>
      <c r="E21" s="125" t="str">
        <f>IF(DASHBOARD!G19="⚠ REVISAR",DASHBOARD!E19,"")</f>
        <v/>
      </c>
      <c r="F21" s="125"/>
    </row>
    <row r="22" spans="1:16" ht="13.95" customHeight="1">
      <c r="A22" s="122" t="str">
        <f>IF(DASHBOARD!G20="⚠ REVISAR",2,"")</f>
        <v/>
      </c>
      <c r="B22" s="122" t="str">
        <f>IF(DASHBOARD!G20="⚠ REVISAR",DASHBOARD!A20,"")</f>
        <v/>
      </c>
      <c r="C22" s="119" t="str">
        <f>IF(DASHBOARD!G20="⚠ REVISAR",DASHBOARD!C20,"")</f>
        <v/>
      </c>
      <c r="D22" s="122" t="str">
        <f>IF(DASHBOARD!G20="⚠ REVISAR",DASHBOARD!D20,"")</f>
        <v/>
      </c>
      <c r="E22" s="122" t="str">
        <f>IF(DASHBOARD!G20="⚠ REVISAR",DASHBOARD!E20,"")</f>
        <v/>
      </c>
      <c r="F22" s="122"/>
    </row>
    <row r="23" spans="1:16" ht="13.95" customHeight="1">
      <c r="A23" s="125" t="str">
        <f>IF(DASHBOARD!G21="⚠ REVISAR",3,"")</f>
        <v/>
      </c>
      <c r="B23" s="125" t="str">
        <f>IF(DASHBOARD!G21="⚠ REVISAR",DASHBOARD!A21,"")</f>
        <v/>
      </c>
      <c r="C23" s="117" t="str">
        <f>IF(DASHBOARD!G21="⚠ REVISAR",DASHBOARD!C21,"")</f>
        <v/>
      </c>
      <c r="D23" s="125" t="str">
        <f>IF(DASHBOARD!G21="⚠ REVISAR",DASHBOARD!D21,"")</f>
        <v/>
      </c>
      <c r="E23" s="125" t="str">
        <f>IF(DASHBOARD!G21="⚠ REVISAR",DASHBOARD!E21,"")</f>
        <v/>
      </c>
      <c r="F23" s="125"/>
    </row>
    <row r="24" spans="1:16" ht="13.95" customHeight="1">
      <c r="A24" s="122" t="str">
        <f>IF(DASHBOARD!G22="⚠ REVISAR",4,"")</f>
        <v/>
      </c>
      <c r="B24" s="122" t="str">
        <f>IF(DASHBOARD!G22="⚠ REVISAR",DASHBOARD!A22,"")</f>
        <v/>
      </c>
      <c r="C24" s="119" t="str">
        <f>IF(DASHBOARD!G22="⚠ REVISAR",DASHBOARD!C22,"")</f>
        <v/>
      </c>
      <c r="D24" s="122" t="str">
        <f>IF(DASHBOARD!G22="⚠ REVISAR",DASHBOARD!D22,"")</f>
        <v/>
      </c>
      <c r="E24" s="122" t="str">
        <f>IF(DASHBOARD!G22="⚠ REVISAR",DASHBOARD!E22,"")</f>
        <v/>
      </c>
      <c r="F24" s="122"/>
    </row>
    <row r="25" spans="1:16" ht="13.95" customHeight="1">
      <c r="A25" s="125" t="str">
        <f>IF(DASHBOARD!G23="⚠ REVISAR",5,"")</f>
        <v/>
      </c>
      <c r="B25" s="125" t="str">
        <f>IF(DASHBOARD!G23="⚠ REVISAR",DASHBOARD!A23,"")</f>
        <v/>
      </c>
      <c r="C25" s="117" t="str">
        <f>IF(DASHBOARD!G23="⚠ REVISAR",DASHBOARD!C23,"")</f>
        <v/>
      </c>
      <c r="D25" s="125" t="str">
        <f>IF(DASHBOARD!G23="⚠ REVISAR",DASHBOARD!D23,"")</f>
        <v/>
      </c>
      <c r="E25" s="125" t="str">
        <f>IF(DASHBOARD!G23="⚠ REVISAR",DASHBOARD!E23,"")</f>
        <v/>
      </c>
      <c r="F25" s="125"/>
    </row>
    <row r="26" spans="1:16" ht="13.95" customHeight="1">
      <c r="A26" s="122" t="str">
        <f>IF(DASHBOARD!G24="⚠ REVISAR",6,"")</f>
        <v/>
      </c>
      <c r="B26" s="122" t="str">
        <f>IF(DASHBOARD!G24="⚠ REVISAR",DASHBOARD!A24,"")</f>
        <v/>
      </c>
      <c r="C26" s="119" t="str">
        <f>IF(DASHBOARD!G24="⚠ REVISAR",DASHBOARD!C24,"")</f>
        <v/>
      </c>
      <c r="D26" s="122" t="str">
        <f>IF(DASHBOARD!G24="⚠ REVISAR",DASHBOARD!D24,"")</f>
        <v/>
      </c>
      <c r="E26" s="122" t="str">
        <f>IF(DASHBOARD!G24="⚠ REVISAR",DASHBOARD!E24,"")</f>
        <v/>
      </c>
      <c r="F26" s="122"/>
    </row>
    <row r="27" spans="1:16" ht="13.95" customHeight="1">
      <c r="A27" s="125" t="str">
        <f>IF(DASHBOARD!G25="⚠ REVISAR",7,"")</f>
        <v/>
      </c>
      <c r="B27" s="125" t="str">
        <f>IF(DASHBOARD!G25="⚠ REVISAR",DASHBOARD!A25,"")</f>
        <v/>
      </c>
      <c r="C27" s="117" t="str">
        <f>IF(DASHBOARD!G25="⚠ REVISAR",DASHBOARD!C25,"")</f>
        <v/>
      </c>
      <c r="D27" s="125" t="str">
        <f>IF(DASHBOARD!G25="⚠ REVISAR",DASHBOARD!D25,"")</f>
        <v/>
      </c>
      <c r="E27" s="125" t="str">
        <f>IF(DASHBOARD!G25="⚠ REVISAR",DASHBOARD!E25,"")</f>
        <v/>
      </c>
      <c r="F27" s="125"/>
    </row>
    <row r="28" spans="1:16" ht="13.95" customHeight="1">
      <c r="A28" s="122" t="str">
        <f>IF(DASHBOARD!G26="⚠ REVISAR",8,"")</f>
        <v/>
      </c>
      <c r="B28" s="122" t="str">
        <f>IF(DASHBOARD!G26="⚠ REVISAR",DASHBOARD!A26,"")</f>
        <v/>
      </c>
      <c r="C28" s="119" t="str">
        <f>IF(DASHBOARD!G26="⚠ REVISAR",DASHBOARD!C26,"")</f>
        <v/>
      </c>
      <c r="D28" s="122" t="str">
        <f>IF(DASHBOARD!G26="⚠ REVISAR",DASHBOARD!D26,"")</f>
        <v/>
      </c>
      <c r="E28" s="122" t="str">
        <f>IF(DASHBOARD!G26="⚠ REVISAR",DASHBOARD!E26,"")</f>
        <v/>
      </c>
      <c r="F28" s="122"/>
    </row>
    <row r="29" spans="1:16" ht="13.95" customHeight="1">
      <c r="A29" s="125" t="str">
        <f>IF(DASHBOARD!G27="⚠ REVISAR",9,"")</f>
        <v/>
      </c>
      <c r="B29" s="125" t="str">
        <f>IF(DASHBOARD!G27="⚠ REVISAR",DASHBOARD!A27,"")</f>
        <v/>
      </c>
      <c r="C29" s="117" t="str">
        <f>IF(DASHBOARD!G27="⚠ REVISAR",DASHBOARD!C27,"")</f>
        <v/>
      </c>
      <c r="D29" s="125" t="str">
        <f>IF(DASHBOARD!G27="⚠ REVISAR",DASHBOARD!D27,"")</f>
        <v/>
      </c>
      <c r="E29" s="125" t="str">
        <f>IF(DASHBOARD!G27="⚠ REVISAR",DASHBOARD!E27,"")</f>
        <v/>
      </c>
      <c r="F29" s="125"/>
    </row>
    <row r="30" spans="1:16" ht="13.95" customHeight="1">
      <c r="A30" s="122" t="str">
        <f>IF(DASHBOARD!G28="⚠ REVISAR",10,"")</f>
        <v/>
      </c>
      <c r="B30" s="122" t="str">
        <f>IF(DASHBOARD!G28="⚠ REVISAR",DASHBOARD!A28,"")</f>
        <v/>
      </c>
      <c r="C30" s="119" t="str">
        <f>IF(DASHBOARD!G28="⚠ REVISAR",DASHBOARD!C28,"")</f>
        <v/>
      </c>
      <c r="D30" s="122" t="str">
        <f>IF(DASHBOARD!G28="⚠ REVISAR",DASHBOARD!D28,"")</f>
        <v/>
      </c>
      <c r="E30" s="122" t="str">
        <f>IF(DASHBOARD!G28="⚠ REVISAR",DASHBOARD!E28,"")</f>
        <v/>
      </c>
      <c r="F30" s="122"/>
    </row>
    <row r="31" spans="1:16" ht="13.95" customHeight="1">
      <c r="A31" s="125" t="str">
        <f>IF(DASHBOARD!G29="⚠ REVISAR",11,"")</f>
        <v/>
      </c>
      <c r="B31" s="125" t="str">
        <f>IF(DASHBOARD!G29="⚠ REVISAR",DASHBOARD!A29,"")</f>
        <v/>
      </c>
      <c r="C31" s="117" t="str">
        <f>IF(DASHBOARD!G29="⚠ REVISAR",DASHBOARD!C29,"")</f>
        <v/>
      </c>
      <c r="D31" s="125" t="str">
        <f>IF(DASHBOARD!G29="⚠ REVISAR",DASHBOARD!D29,"")</f>
        <v/>
      </c>
      <c r="E31" s="125" t="str">
        <f>IF(DASHBOARD!G29="⚠ REVISAR",DASHBOARD!E29,"")</f>
        <v/>
      </c>
      <c r="F31" s="125"/>
    </row>
    <row r="32" spans="1:16" ht="13.95" customHeight="1">
      <c r="A32" s="122" t="str">
        <f>IF(DASHBOARD!G30="⚠ REVISAR",12,"")</f>
        <v/>
      </c>
      <c r="B32" s="122" t="str">
        <f>IF(DASHBOARD!G30="⚠ REVISAR",DASHBOARD!A30,"")</f>
        <v/>
      </c>
      <c r="C32" s="119" t="str">
        <f>IF(DASHBOARD!G30="⚠ REVISAR",DASHBOARD!C30,"")</f>
        <v/>
      </c>
      <c r="D32" s="122" t="str">
        <f>IF(DASHBOARD!G30="⚠ REVISAR",DASHBOARD!D30,"")</f>
        <v/>
      </c>
      <c r="E32" s="122" t="str">
        <f>IF(DASHBOARD!G30="⚠ REVISAR",DASHBOARD!E30,"")</f>
        <v/>
      </c>
      <c r="F32" s="122"/>
    </row>
    <row r="33" spans="1:6" ht="13.95" customHeight="1">
      <c r="A33" s="125" t="str">
        <f>IF(DASHBOARD!G31="⚠ REVISAR",13,"")</f>
        <v/>
      </c>
      <c r="B33" s="125" t="str">
        <f>IF(DASHBOARD!G31="⚠ REVISAR",DASHBOARD!A31,"")</f>
        <v/>
      </c>
      <c r="C33" s="117" t="str">
        <f>IF(DASHBOARD!G31="⚠ REVISAR",DASHBOARD!C31,"")</f>
        <v/>
      </c>
      <c r="D33" s="125" t="str">
        <f>IF(DASHBOARD!G31="⚠ REVISAR",DASHBOARD!D31,"")</f>
        <v/>
      </c>
      <c r="E33" s="125" t="str">
        <f>IF(DASHBOARD!G31="⚠ REVISAR",DASHBOARD!E31,"")</f>
        <v/>
      </c>
      <c r="F33" s="125"/>
    </row>
    <row r="34" spans="1:6" ht="13.95" customHeight="1">
      <c r="A34" s="122" t="str">
        <f>IF(DASHBOARD!G32="⚠ REVISAR",14,"")</f>
        <v/>
      </c>
      <c r="B34" s="122" t="str">
        <f>IF(DASHBOARD!G32="⚠ REVISAR",DASHBOARD!A32,"")</f>
        <v/>
      </c>
      <c r="C34" s="119" t="str">
        <f>IF(DASHBOARD!G32="⚠ REVISAR",DASHBOARD!C32,"")</f>
        <v/>
      </c>
      <c r="D34" s="122" t="str">
        <f>IF(DASHBOARD!G32="⚠ REVISAR",DASHBOARD!D32,"")</f>
        <v/>
      </c>
      <c r="E34" s="122" t="str">
        <f>IF(DASHBOARD!G32="⚠ REVISAR",DASHBOARD!E32,"")</f>
        <v/>
      </c>
      <c r="F34" s="122"/>
    </row>
    <row r="35" spans="1:6" ht="13.95" customHeight="1">
      <c r="A35" s="125" t="str">
        <f>IF(DASHBOARD!G33="⚠ REVISAR",15,"")</f>
        <v/>
      </c>
      <c r="B35" s="125" t="str">
        <f>IF(DASHBOARD!G33="⚠ REVISAR",DASHBOARD!A33,"")</f>
        <v/>
      </c>
      <c r="C35" s="117" t="str">
        <f>IF(DASHBOARD!G33="⚠ REVISAR",DASHBOARD!C33,"")</f>
        <v/>
      </c>
      <c r="D35" s="125" t="str">
        <f>IF(DASHBOARD!G33="⚠ REVISAR",DASHBOARD!D33,"")</f>
        <v/>
      </c>
      <c r="E35" s="125" t="str">
        <f>IF(DASHBOARD!G33="⚠ REVISAR",DASHBOARD!E33,"")</f>
        <v/>
      </c>
      <c r="F35" s="125"/>
    </row>
    <row r="36" spans="1:6" ht="13.95" customHeight="1">
      <c r="A36" s="122" t="str">
        <f>IF(DASHBOARD!G34="⚠ REVISAR",16,"")</f>
        <v/>
      </c>
      <c r="B36" s="122" t="str">
        <f>IF(DASHBOARD!G34="⚠ REVISAR",DASHBOARD!A34,"")</f>
        <v/>
      </c>
      <c r="C36" s="119" t="str">
        <f>IF(DASHBOARD!G34="⚠ REVISAR",DASHBOARD!C34,"")</f>
        <v/>
      </c>
      <c r="D36" s="122" t="str">
        <f>IF(DASHBOARD!G34="⚠ REVISAR",DASHBOARD!D34,"")</f>
        <v/>
      </c>
      <c r="E36" s="122" t="str">
        <f>IF(DASHBOARD!G34="⚠ REVISAR",DASHBOARD!E34,"")</f>
        <v/>
      </c>
      <c r="F36" s="122"/>
    </row>
    <row r="37" spans="1:6" ht="13.95" customHeight="1">
      <c r="A37" s="125" t="str">
        <f>IF(DASHBOARD!G35="⚠ REVISAR",17,"")</f>
        <v/>
      </c>
      <c r="B37" s="125" t="str">
        <f>IF(DASHBOARD!G35="⚠ REVISAR",DASHBOARD!A35,"")</f>
        <v/>
      </c>
      <c r="C37" s="117" t="str">
        <f>IF(DASHBOARD!G35="⚠ REVISAR",DASHBOARD!C35,"")</f>
        <v/>
      </c>
      <c r="D37" s="125" t="str">
        <f>IF(DASHBOARD!G35="⚠ REVISAR",DASHBOARD!D35,"")</f>
        <v/>
      </c>
      <c r="E37" s="125" t="str">
        <f>IF(DASHBOARD!G35="⚠ REVISAR",DASHBOARD!E35,"")</f>
        <v/>
      </c>
      <c r="F37" s="125"/>
    </row>
    <row r="38" spans="1:6" ht="13.95" customHeight="1">
      <c r="A38" s="122" t="str">
        <f>IF(DASHBOARD!G36="⚠ REVISAR",18,"")</f>
        <v/>
      </c>
      <c r="B38" s="122" t="str">
        <f>IF(DASHBOARD!G36="⚠ REVISAR",DASHBOARD!A36,"")</f>
        <v/>
      </c>
      <c r="C38" s="119" t="str">
        <f>IF(DASHBOARD!G36="⚠ REVISAR",DASHBOARD!C36,"")</f>
        <v/>
      </c>
      <c r="D38" s="122" t="str">
        <f>IF(DASHBOARD!G36="⚠ REVISAR",DASHBOARD!D36,"")</f>
        <v/>
      </c>
      <c r="E38" s="122" t="str">
        <f>IF(DASHBOARD!G36="⚠ REVISAR",DASHBOARD!E36,"")</f>
        <v/>
      </c>
      <c r="F38" s="122"/>
    </row>
    <row r="39" spans="1:6" ht="13.95" customHeight="1">
      <c r="A39" s="125" t="str">
        <f>IF(DASHBOARD!G37="⚠ REVISAR",19,"")</f>
        <v/>
      </c>
      <c r="B39" s="125" t="str">
        <f>IF(DASHBOARD!G37="⚠ REVISAR",DASHBOARD!A37,"")</f>
        <v/>
      </c>
      <c r="C39" s="117" t="str">
        <f>IF(DASHBOARD!G37="⚠ REVISAR",DASHBOARD!C37,"")</f>
        <v/>
      </c>
      <c r="D39" s="125" t="str">
        <f>IF(DASHBOARD!G37="⚠ REVISAR",DASHBOARD!D37,"")</f>
        <v/>
      </c>
      <c r="E39" s="125" t="str">
        <f>IF(DASHBOARD!G37="⚠ REVISAR",DASHBOARD!E37,"")</f>
        <v/>
      </c>
      <c r="F39" s="125"/>
    </row>
    <row r="40" spans="1:6" ht="13.95" customHeight="1">
      <c r="A40" s="122" t="str">
        <f>IF(DASHBOARD!G38="⚠ REVISAR",20,"")</f>
        <v/>
      </c>
      <c r="B40" s="122" t="str">
        <f>IF(DASHBOARD!G38="⚠ REVISAR",DASHBOARD!A38,"")</f>
        <v/>
      </c>
      <c r="C40" s="119" t="str">
        <f>IF(DASHBOARD!G38="⚠ REVISAR",DASHBOARD!C38,"")</f>
        <v/>
      </c>
      <c r="D40" s="122" t="str">
        <f>IF(DASHBOARD!G38="⚠ REVISAR",DASHBOARD!D38,"")</f>
        <v/>
      </c>
      <c r="E40" s="122" t="str">
        <f>IF(DASHBOARD!G38="⚠ REVISAR",DASHBOARD!E38,"")</f>
        <v/>
      </c>
      <c r="F40" s="122"/>
    </row>
    <row r="41" spans="1:6" ht="13.95" customHeight="1">
      <c r="A41" s="125" t="str">
        <f>IF(DASHBOARD!G39="⚠ REVISAR",21,"")</f>
        <v/>
      </c>
      <c r="B41" s="125" t="str">
        <f>IF(DASHBOARD!G39="⚠ REVISAR",DASHBOARD!A39,"")</f>
        <v/>
      </c>
      <c r="C41" s="117" t="str">
        <f>IF(DASHBOARD!G39="⚠ REVISAR",DASHBOARD!C39,"")</f>
        <v/>
      </c>
      <c r="D41" s="125" t="str">
        <f>IF(DASHBOARD!G39="⚠ REVISAR",DASHBOARD!D39,"")</f>
        <v/>
      </c>
      <c r="E41" s="125" t="str">
        <f>IF(DASHBOARD!G39="⚠ REVISAR",DASHBOARD!E39,"")</f>
        <v/>
      </c>
      <c r="F41" s="125"/>
    </row>
    <row r="42" spans="1:6" ht="13.95" customHeight="1">
      <c r="A42" s="122" t="str">
        <f>IF(DASHBOARD!G40="⚠ REVISAR",22,"")</f>
        <v/>
      </c>
      <c r="B42" s="122" t="str">
        <f>IF(DASHBOARD!G40="⚠ REVISAR",DASHBOARD!A40,"")</f>
        <v/>
      </c>
      <c r="C42" s="119" t="str">
        <f>IF(DASHBOARD!G40="⚠ REVISAR",DASHBOARD!C40,"")</f>
        <v/>
      </c>
      <c r="D42" s="122" t="str">
        <f>IF(DASHBOARD!G40="⚠ REVISAR",DASHBOARD!D40,"")</f>
        <v/>
      </c>
      <c r="E42" s="122" t="str">
        <f>IF(DASHBOARD!G40="⚠ REVISAR",DASHBOARD!E40,"")</f>
        <v/>
      </c>
      <c r="F42" s="122"/>
    </row>
    <row r="43" spans="1:6" ht="13.95" customHeight="1">
      <c r="A43" s="125" t="str">
        <f>IF(DASHBOARD!G41="⚠ REVISAR",23,"")</f>
        <v/>
      </c>
      <c r="B43" s="125" t="str">
        <f>IF(DASHBOARD!G41="⚠ REVISAR",DASHBOARD!A41,"")</f>
        <v/>
      </c>
      <c r="C43" s="117" t="str">
        <f>IF(DASHBOARD!G41="⚠ REVISAR",DASHBOARD!C41,"")</f>
        <v/>
      </c>
      <c r="D43" s="125" t="str">
        <f>IF(DASHBOARD!G41="⚠ REVISAR",DASHBOARD!D41,"")</f>
        <v/>
      </c>
      <c r="E43" s="125" t="str">
        <f>IF(DASHBOARD!G41="⚠ REVISAR",DASHBOARD!E41,"")</f>
        <v/>
      </c>
      <c r="F43" s="125"/>
    </row>
    <row r="44" spans="1:6" ht="13.95" customHeight="1">
      <c r="A44" s="122" t="str">
        <f>IF(DASHBOARD!G42="⚠ REVISAR",24,"")</f>
        <v/>
      </c>
      <c r="B44" s="122" t="str">
        <f>IF(DASHBOARD!G42="⚠ REVISAR",DASHBOARD!A42,"")</f>
        <v/>
      </c>
      <c r="C44" s="119" t="str">
        <f>IF(DASHBOARD!G42="⚠ REVISAR",DASHBOARD!C42,"")</f>
        <v/>
      </c>
      <c r="D44" s="122" t="str">
        <f>IF(DASHBOARD!G42="⚠ REVISAR",DASHBOARD!D42,"")</f>
        <v/>
      </c>
      <c r="E44" s="122" t="str">
        <f>IF(DASHBOARD!G42="⚠ REVISAR",DASHBOARD!E42,"")</f>
        <v/>
      </c>
      <c r="F44" s="122"/>
    </row>
    <row r="45" spans="1:6" ht="13.95" customHeight="1">
      <c r="A45" s="125" t="str">
        <f>IF(DASHBOARD!G43="⚠ REVISAR",25,"")</f>
        <v/>
      </c>
      <c r="B45" s="125" t="str">
        <f>IF(DASHBOARD!G43="⚠ REVISAR",DASHBOARD!A43,"")</f>
        <v/>
      </c>
      <c r="C45" s="117" t="str">
        <f>IF(DASHBOARD!G43="⚠ REVISAR",DASHBOARD!C43,"")</f>
        <v/>
      </c>
      <c r="D45" s="125" t="str">
        <f>IF(DASHBOARD!G43="⚠ REVISAR",DASHBOARD!D43,"")</f>
        <v/>
      </c>
      <c r="E45" s="125" t="str">
        <f>IF(DASHBOARD!G43="⚠ REVISAR",DASHBOARD!E43,"")</f>
        <v/>
      </c>
      <c r="F45" s="125"/>
    </row>
    <row r="46" spans="1:6" ht="13.95" customHeight="1">
      <c r="A46" s="122" t="str">
        <f>IF(DASHBOARD!G44="⚠ REVISAR",26,"")</f>
        <v/>
      </c>
      <c r="B46" s="122" t="str">
        <f>IF(DASHBOARD!G44="⚠ REVISAR",DASHBOARD!A44,"")</f>
        <v/>
      </c>
      <c r="C46" s="119" t="str">
        <f>IF(DASHBOARD!G44="⚠ REVISAR",DASHBOARD!C44,"")</f>
        <v/>
      </c>
      <c r="D46" s="122" t="str">
        <f>IF(DASHBOARD!G44="⚠ REVISAR",DASHBOARD!D44,"")</f>
        <v/>
      </c>
      <c r="E46" s="122" t="str">
        <f>IF(DASHBOARD!G44="⚠ REVISAR",DASHBOARD!E44,"")</f>
        <v/>
      </c>
      <c r="F46" s="122"/>
    </row>
    <row r="47" spans="1:6" ht="13.95" customHeight="1">
      <c r="A47" s="125" t="str">
        <f>IF(DASHBOARD!G45="⚠ REVISAR",27,"")</f>
        <v/>
      </c>
      <c r="B47" s="125" t="str">
        <f>IF(DASHBOARD!G45="⚠ REVISAR",DASHBOARD!A45,"")</f>
        <v/>
      </c>
      <c r="C47" s="117" t="str">
        <f>IF(DASHBOARD!G45="⚠ REVISAR",DASHBOARD!C45,"")</f>
        <v/>
      </c>
      <c r="D47" s="125" t="str">
        <f>IF(DASHBOARD!G45="⚠ REVISAR",DASHBOARD!D45,"")</f>
        <v/>
      </c>
      <c r="E47" s="125" t="str">
        <f>IF(DASHBOARD!G45="⚠ REVISAR",DASHBOARD!E45,"")</f>
        <v/>
      </c>
      <c r="F47" s="125"/>
    </row>
    <row r="48" spans="1:6" ht="13.95" customHeight="1">
      <c r="A48" s="122" t="str">
        <f>IF(DASHBOARD!G46="⚠ REVISAR",28,"")</f>
        <v/>
      </c>
      <c r="B48" s="122" t="str">
        <f>IF(DASHBOARD!G46="⚠ REVISAR",DASHBOARD!A46,"")</f>
        <v/>
      </c>
      <c r="C48" s="119" t="str">
        <f>IF(DASHBOARD!G46="⚠ REVISAR",DASHBOARD!C46,"")</f>
        <v/>
      </c>
      <c r="D48" s="122" t="str">
        <f>IF(DASHBOARD!G46="⚠ REVISAR",DASHBOARD!D46,"")</f>
        <v/>
      </c>
      <c r="E48" s="122" t="str">
        <f>IF(DASHBOARD!G46="⚠ REVISAR",DASHBOARD!E46,"")</f>
        <v/>
      </c>
      <c r="F48" s="122"/>
    </row>
    <row r="49" spans="1:6" ht="13.95" customHeight="1">
      <c r="A49" s="125" t="str">
        <f>IF(DASHBOARD!G47="⚠ REVISAR",29,"")</f>
        <v/>
      </c>
      <c r="B49" s="125" t="str">
        <f>IF(DASHBOARD!G47="⚠ REVISAR",DASHBOARD!A47,"")</f>
        <v/>
      </c>
      <c r="C49" s="117" t="str">
        <f>IF(DASHBOARD!G47="⚠ REVISAR",DASHBOARD!C47,"")</f>
        <v/>
      </c>
      <c r="D49" s="125" t="str">
        <f>IF(DASHBOARD!G47="⚠ REVISAR",DASHBOARD!D47,"")</f>
        <v/>
      </c>
      <c r="E49" s="125" t="str">
        <f>IF(DASHBOARD!G47="⚠ REVISAR",DASHBOARD!E47,"")</f>
        <v/>
      </c>
      <c r="F49" s="125"/>
    </row>
    <row r="50" spans="1:6" ht="13.95" customHeight="1">
      <c r="A50" s="122" t="str">
        <f>IF(DASHBOARD!G48="⚠ REVISAR",30,"")</f>
        <v/>
      </c>
      <c r="B50" s="122" t="str">
        <f>IF(DASHBOARD!G48="⚠ REVISAR",DASHBOARD!A48,"")</f>
        <v/>
      </c>
      <c r="C50" s="119" t="str">
        <f>IF(DASHBOARD!G48="⚠ REVISAR",DASHBOARD!C48,"")</f>
        <v/>
      </c>
      <c r="D50" s="122" t="str">
        <f>IF(DASHBOARD!G48="⚠ REVISAR",DASHBOARD!D48,"")</f>
        <v/>
      </c>
      <c r="E50" s="122" t="str">
        <f>IF(DASHBOARD!G48="⚠ REVISAR",DASHBOARD!E48,"")</f>
        <v/>
      </c>
      <c r="F50" s="122"/>
    </row>
    <row r="51" spans="1:6" ht="13.95" customHeight="1">
      <c r="A51" s="125" t="str">
        <f>IF(DASHBOARD!G49="⚠ REVISAR",31,"")</f>
        <v/>
      </c>
      <c r="B51" s="125" t="str">
        <f>IF(DASHBOARD!G49="⚠ REVISAR",DASHBOARD!A49,"")</f>
        <v/>
      </c>
      <c r="C51" s="117" t="str">
        <f>IF(DASHBOARD!G49="⚠ REVISAR",DASHBOARD!C49,"")</f>
        <v/>
      </c>
      <c r="D51" s="125" t="str">
        <f>IF(DASHBOARD!G49="⚠ REVISAR",DASHBOARD!D49,"")</f>
        <v/>
      </c>
      <c r="E51" s="125" t="str">
        <f>IF(DASHBOARD!G49="⚠ REVISAR",DASHBOARD!E49,"")</f>
        <v/>
      </c>
      <c r="F51" s="125"/>
    </row>
    <row r="52" spans="1:6" ht="13.95" customHeight="1">
      <c r="A52" s="122" t="str">
        <f>IF(DASHBOARD!G50="⚠ REVISAR",32,"")</f>
        <v/>
      </c>
      <c r="B52" s="122" t="str">
        <f>IF(DASHBOARD!G50="⚠ REVISAR",DASHBOARD!A50,"")</f>
        <v/>
      </c>
      <c r="C52" s="119" t="str">
        <f>IF(DASHBOARD!G50="⚠ REVISAR",DASHBOARD!C50,"")</f>
        <v/>
      </c>
      <c r="D52" s="122" t="str">
        <f>IF(DASHBOARD!G50="⚠ REVISAR",DASHBOARD!D50,"")</f>
        <v/>
      </c>
      <c r="E52" s="122" t="str">
        <f>IF(DASHBOARD!G50="⚠ REVISAR",DASHBOARD!E50,"")</f>
        <v/>
      </c>
      <c r="F52" s="122"/>
    </row>
    <row r="53" spans="1:6" ht="13.95" customHeight="1">
      <c r="A53" s="125" t="str">
        <f>IF(DASHBOARD!G51="⚠ REVISAR",33,"")</f>
        <v/>
      </c>
      <c r="B53" s="125" t="str">
        <f>IF(DASHBOARD!G51="⚠ REVISAR",DASHBOARD!A51,"")</f>
        <v/>
      </c>
      <c r="C53" s="117" t="str">
        <f>IF(DASHBOARD!G51="⚠ REVISAR",DASHBOARD!C51,"")</f>
        <v/>
      </c>
      <c r="D53" s="125" t="str">
        <f>IF(DASHBOARD!G51="⚠ REVISAR",DASHBOARD!D51,"")</f>
        <v/>
      </c>
      <c r="E53" s="125" t="str">
        <f>IF(DASHBOARD!G51="⚠ REVISAR",DASHBOARD!E51,"")</f>
        <v/>
      </c>
      <c r="F53" s="125"/>
    </row>
    <row r="54" spans="1:6" ht="13.95" customHeight="1">
      <c r="A54" s="122" t="str">
        <f>IF(DASHBOARD!G52="⚠ REVISAR",34,"")</f>
        <v/>
      </c>
      <c r="B54" s="122" t="str">
        <f>IF(DASHBOARD!G52="⚠ REVISAR",DASHBOARD!A52,"")</f>
        <v/>
      </c>
      <c r="C54" s="119" t="str">
        <f>IF(DASHBOARD!G52="⚠ REVISAR",DASHBOARD!C52,"")</f>
        <v/>
      </c>
      <c r="D54" s="122" t="str">
        <f>IF(DASHBOARD!G52="⚠ REVISAR",DASHBOARD!D52,"")</f>
        <v/>
      </c>
      <c r="E54" s="122" t="str">
        <f>IF(DASHBOARD!G52="⚠ REVISAR",DASHBOARD!E52,"")</f>
        <v/>
      </c>
      <c r="F54" s="122"/>
    </row>
    <row r="55" spans="1:6" ht="13.95" customHeight="1">
      <c r="A55" s="125" t="str">
        <f>IF(DASHBOARD!G53="⚠ REVISAR",35,"")</f>
        <v/>
      </c>
      <c r="B55" s="125" t="str">
        <f>IF(DASHBOARD!G53="⚠ REVISAR",DASHBOARD!A53,"")</f>
        <v/>
      </c>
      <c r="C55" s="117" t="str">
        <f>IF(DASHBOARD!G53="⚠ REVISAR",DASHBOARD!C53,"")</f>
        <v/>
      </c>
      <c r="D55" s="125" t="str">
        <f>IF(DASHBOARD!G53="⚠ REVISAR",DASHBOARD!D53,"")</f>
        <v/>
      </c>
      <c r="E55" s="125" t="str">
        <f>IF(DASHBOARD!G53="⚠ REVISAR",DASHBOARD!E53,"")</f>
        <v/>
      </c>
      <c r="F55" s="125"/>
    </row>
    <row r="56" spans="1:6" ht="13.95" customHeight="1">
      <c r="A56" s="122" t="str">
        <f>IF(DASHBOARD!G54="⚠ REVISAR",36,"")</f>
        <v/>
      </c>
      <c r="B56" s="122" t="str">
        <f>IF(DASHBOARD!G54="⚠ REVISAR",DASHBOARD!A54,"")</f>
        <v/>
      </c>
      <c r="C56" s="119" t="str">
        <f>IF(DASHBOARD!G54="⚠ REVISAR",DASHBOARD!C54,"")</f>
        <v/>
      </c>
      <c r="D56" s="122" t="str">
        <f>IF(DASHBOARD!G54="⚠ REVISAR",DASHBOARD!D54,"")</f>
        <v/>
      </c>
      <c r="E56" s="122" t="str">
        <f>IF(DASHBOARD!G54="⚠ REVISAR",DASHBOARD!E54,"")</f>
        <v/>
      </c>
      <c r="F56" s="122"/>
    </row>
    <row r="57" spans="1:6" ht="13.95" customHeight="1">
      <c r="A57" s="125" t="str">
        <f>IF(DASHBOARD!G55="⚠ REVISAR",37,"")</f>
        <v/>
      </c>
      <c r="B57" s="125" t="str">
        <f>IF(DASHBOARD!G55="⚠ REVISAR",DASHBOARD!A55,"")</f>
        <v/>
      </c>
      <c r="C57" s="117" t="str">
        <f>IF(DASHBOARD!G55="⚠ REVISAR",DASHBOARD!C55,"")</f>
        <v/>
      </c>
      <c r="D57" s="125" t="str">
        <f>IF(DASHBOARD!G55="⚠ REVISAR",DASHBOARD!D55,"")</f>
        <v/>
      </c>
      <c r="E57" s="125" t="str">
        <f>IF(DASHBOARD!G55="⚠ REVISAR",DASHBOARD!E55,"")</f>
        <v/>
      </c>
      <c r="F57" s="125"/>
    </row>
    <row r="58" spans="1:6" ht="13.95" customHeight="1">
      <c r="A58" s="122" t="str">
        <f>IF(DASHBOARD!G56="⚠ REVISAR",38,"")</f>
        <v/>
      </c>
      <c r="B58" s="122" t="str">
        <f>IF(DASHBOARD!G56="⚠ REVISAR",DASHBOARD!A56,"")</f>
        <v/>
      </c>
      <c r="C58" s="119" t="str">
        <f>IF(DASHBOARD!G56="⚠ REVISAR",DASHBOARD!C56,"")</f>
        <v/>
      </c>
      <c r="D58" s="122" t="str">
        <f>IF(DASHBOARD!G56="⚠ REVISAR",DASHBOARD!D56,"")</f>
        <v/>
      </c>
      <c r="E58" s="122" t="str">
        <f>IF(DASHBOARD!G56="⚠ REVISAR",DASHBOARD!E56,"")</f>
        <v/>
      </c>
      <c r="F58" s="122"/>
    </row>
    <row r="59" spans="1:6" ht="13.95" customHeight="1">
      <c r="A59" s="125" t="str">
        <f>IF(DASHBOARD!G57="⚠ REVISAR",39,"")</f>
        <v/>
      </c>
      <c r="B59" s="125" t="str">
        <f>IF(DASHBOARD!G57="⚠ REVISAR",DASHBOARD!A57,"")</f>
        <v/>
      </c>
      <c r="C59" s="117" t="str">
        <f>IF(DASHBOARD!G57="⚠ REVISAR",DASHBOARD!C57,"")</f>
        <v/>
      </c>
      <c r="D59" s="125" t="str">
        <f>IF(DASHBOARD!G57="⚠ REVISAR",DASHBOARD!D57,"")</f>
        <v/>
      </c>
      <c r="E59" s="125" t="str">
        <f>IF(DASHBOARD!G57="⚠ REVISAR",DASHBOARD!E57,"")</f>
        <v/>
      </c>
      <c r="F59" s="125"/>
    </row>
    <row r="60" spans="1:6" ht="13.95" customHeight="1">
      <c r="A60" s="122" t="str">
        <f>IF(DASHBOARD!G58="⚠ REVISAR",40,"")</f>
        <v/>
      </c>
      <c r="B60" s="122" t="str">
        <f>IF(DASHBOARD!G58="⚠ REVISAR",DASHBOARD!A58,"")</f>
        <v/>
      </c>
      <c r="C60" s="119" t="str">
        <f>IF(DASHBOARD!G58="⚠ REVISAR",DASHBOARD!C58,"")</f>
        <v/>
      </c>
      <c r="D60" s="122" t="str">
        <f>IF(DASHBOARD!G58="⚠ REVISAR",DASHBOARD!D58,"")</f>
        <v/>
      </c>
      <c r="E60" s="122" t="str">
        <f>IF(DASHBOARD!G58="⚠ REVISAR",DASHBOARD!E58,"")</f>
        <v/>
      </c>
      <c r="F60" s="122"/>
    </row>
    <row r="61" spans="1:6" ht="13.95" customHeight="1">
      <c r="A61" s="125" t="str">
        <f>IF(DASHBOARD!G59="⚠ REVISAR",41,"")</f>
        <v/>
      </c>
      <c r="B61" s="125" t="str">
        <f>IF(DASHBOARD!G59="⚠ REVISAR",DASHBOARD!A59,"")</f>
        <v/>
      </c>
      <c r="C61" s="117" t="str">
        <f>IF(DASHBOARD!G59="⚠ REVISAR",DASHBOARD!C59,"")</f>
        <v/>
      </c>
      <c r="D61" s="125" t="str">
        <f>IF(DASHBOARD!G59="⚠ REVISAR",DASHBOARD!D59,"")</f>
        <v/>
      </c>
      <c r="E61" s="125" t="str">
        <f>IF(DASHBOARD!G59="⚠ REVISAR",DASHBOARD!E59,"")</f>
        <v/>
      </c>
      <c r="F61" s="125"/>
    </row>
    <row r="62" spans="1:6" ht="13.95" customHeight="1">
      <c r="A62" s="122" t="str">
        <f>IF(DASHBOARD!G60="⚠ REVISAR",42,"")</f>
        <v/>
      </c>
      <c r="B62" s="122" t="str">
        <f>IF(DASHBOARD!G60="⚠ REVISAR",DASHBOARD!A60,"")</f>
        <v/>
      </c>
      <c r="C62" s="119" t="str">
        <f>IF(DASHBOARD!G60="⚠ REVISAR",DASHBOARD!C60,"")</f>
        <v/>
      </c>
      <c r="D62" s="122" t="str">
        <f>IF(DASHBOARD!G60="⚠ REVISAR",DASHBOARD!D60,"")</f>
        <v/>
      </c>
      <c r="E62" s="122" t="str">
        <f>IF(DASHBOARD!G60="⚠ REVISAR",DASHBOARD!E60,"")</f>
        <v/>
      </c>
      <c r="F62" s="122"/>
    </row>
    <row r="63" spans="1:6" ht="13.95" customHeight="1">
      <c r="A63" s="125" t="str">
        <f>IF(DASHBOARD!G61="⚠ REVISAR",43,"")</f>
        <v/>
      </c>
      <c r="B63" s="125" t="str">
        <f>IF(DASHBOARD!G61="⚠ REVISAR",DASHBOARD!A61,"")</f>
        <v/>
      </c>
      <c r="C63" s="117" t="str">
        <f>IF(DASHBOARD!G61="⚠ REVISAR",DASHBOARD!C61,"")</f>
        <v/>
      </c>
      <c r="D63" s="125" t="str">
        <f>IF(DASHBOARD!G61="⚠ REVISAR",DASHBOARD!D61,"")</f>
        <v/>
      </c>
      <c r="E63" s="125" t="str">
        <f>IF(DASHBOARD!G61="⚠ REVISAR",DASHBOARD!E61,"")</f>
        <v/>
      </c>
      <c r="F63" s="125"/>
    </row>
    <row r="64" spans="1:6" ht="13.95" customHeight="1">
      <c r="A64" s="122" t="str">
        <f>IF(DASHBOARD!G62="⚠ REVISAR",44,"")</f>
        <v/>
      </c>
      <c r="B64" s="122" t="str">
        <f>IF(DASHBOARD!G62="⚠ REVISAR",DASHBOARD!A62,"")</f>
        <v/>
      </c>
      <c r="C64" s="119" t="str">
        <f>IF(DASHBOARD!G62="⚠ REVISAR",DASHBOARD!C62,"")</f>
        <v/>
      </c>
      <c r="D64" s="122" t="str">
        <f>IF(DASHBOARD!G62="⚠ REVISAR",DASHBOARD!D62,"")</f>
        <v/>
      </c>
      <c r="E64" s="122" t="str">
        <f>IF(DASHBOARD!G62="⚠ REVISAR",DASHBOARD!E62,"")</f>
        <v/>
      </c>
      <c r="F64" s="122"/>
    </row>
    <row r="65" spans="1:6" ht="13.95" customHeight="1">
      <c r="A65" s="125" t="str">
        <f>IF(DASHBOARD!G63="⚠ REVISAR",45,"")</f>
        <v/>
      </c>
      <c r="B65" s="125" t="str">
        <f>IF(DASHBOARD!G63="⚠ REVISAR",DASHBOARD!A63,"")</f>
        <v/>
      </c>
      <c r="C65" s="117" t="str">
        <f>IF(DASHBOARD!G63="⚠ REVISAR",DASHBOARD!C63,"")</f>
        <v/>
      </c>
      <c r="D65" s="125" t="str">
        <f>IF(DASHBOARD!G63="⚠ REVISAR",DASHBOARD!D63,"")</f>
        <v/>
      </c>
      <c r="E65" s="125" t="str">
        <f>IF(DASHBOARD!G63="⚠ REVISAR",DASHBOARD!E63,"")</f>
        <v/>
      </c>
      <c r="F65" s="125"/>
    </row>
    <row r="66" spans="1:6" ht="13.95" customHeight="1">
      <c r="A66" s="122" t="str">
        <f>IF(DASHBOARD!G64="⚠ REVISAR",46,"")</f>
        <v/>
      </c>
      <c r="B66" s="122" t="str">
        <f>IF(DASHBOARD!G64="⚠ REVISAR",DASHBOARD!A64,"")</f>
        <v/>
      </c>
      <c r="C66" s="119" t="str">
        <f>IF(DASHBOARD!G64="⚠ REVISAR",DASHBOARD!C64,"")</f>
        <v/>
      </c>
      <c r="D66" s="122" t="str">
        <f>IF(DASHBOARD!G64="⚠ REVISAR",DASHBOARD!D64,"")</f>
        <v/>
      </c>
      <c r="E66" s="122" t="str">
        <f>IF(DASHBOARD!G64="⚠ REVISAR",DASHBOARD!E64,"")</f>
        <v/>
      </c>
      <c r="F66" s="122"/>
    </row>
    <row r="67" spans="1:6" ht="13.95" customHeight="1">
      <c r="A67" s="125" t="str">
        <f>IF(DASHBOARD!G65="⚠ REVISAR",47,"")</f>
        <v/>
      </c>
      <c r="B67" s="125" t="str">
        <f>IF(DASHBOARD!G65="⚠ REVISAR",DASHBOARD!A65,"")</f>
        <v/>
      </c>
      <c r="C67" s="117" t="str">
        <f>IF(DASHBOARD!G65="⚠ REVISAR",DASHBOARD!C65,"")</f>
        <v/>
      </c>
      <c r="D67" s="125" t="str">
        <f>IF(DASHBOARD!G65="⚠ REVISAR",DASHBOARD!D65,"")</f>
        <v/>
      </c>
      <c r="E67" s="125" t="str">
        <f>IF(DASHBOARD!G65="⚠ REVISAR",DASHBOARD!E65,"")</f>
        <v/>
      </c>
      <c r="F67" s="125"/>
    </row>
    <row r="68" spans="1:6" ht="13.95" customHeight="1">
      <c r="A68" s="122" t="str">
        <f>IF(DASHBOARD!G66="⚠ REVISAR",48,"")</f>
        <v/>
      </c>
      <c r="B68" s="122" t="str">
        <f>IF(DASHBOARD!G66="⚠ REVISAR",DASHBOARD!A66,"")</f>
        <v/>
      </c>
      <c r="C68" s="119" t="str">
        <f>IF(DASHBOARD!G66="⚠ REVISAR",DASHBOARD!C66,"")</f>
        <v/>
      </c>
      <c r="D68" s="122" t="str">
        <f>IF(DASHBOARD!G66="⚠ REVISAR",DASHBOARD!D66,"")</f>
        <v/>
      </c>
      <c r="E68" s="122" t="str">
        <f>IF(DASHBOARD!G66="⚠ REVISAR",DASHBOARD!E66,"")</f>
        <v/>
      </c>
      <c r="F68" s="122"/>
    </row>
    <row r="69" spans="1:6" ht="13.95" customHeight="1">
      <c r="A69" s="125" t="str">
        <f>IF(DASHBOARD!G67="⚠ REVISAR",49,"")</f>
        <v/>
      </c>
      <c r="B69" s="125" t="str">
        <f>IF(DASHBOARD!G67="⚠ REVISAR",DASHBOARD!A67,"")</f>
        <v/>
      </c>
      <c r="C69" s="117" t="str">
        <f>IF(DASHBOARD!G67="⚠ REVISAR",DASHBOARD!C67,"")</f>
        <v/>
      </c>
      <c r="D69" s="125" t="str">
        <f>IF(DASHBOARD!G67="⚠ REVISAR",DASHBOARD!D67,"")</f>
        <v/>
      </c>
      <c r="E69" s="125" t="str">
        <f>IF(DASHBOARD!G67="⚠ REVISAR",DASHBOARD!E67,"")</f>
        <v/>
      </c>
      <c r="F69" s="125"/>
    </row>
    <row r="70" spans="1:6" ht="13.95" customHeight="1">
      <c r="A70" s="122" t="str">
        <f>IF(DASHBOARD!G68="⚠ REVISAR",50,"")</f>
        <v/>
      </c>
      <c r="B70" s="122" t="str">
        <f>IF(DASHBOARD!G68="⚠ REVISAR",DASHBOARD!A68,"")</f>
        <v/>
      </c>
      <c r="C70" s="119" t="str">
        <f>IF(DASHBOARD!G68="⚠ REVISAR",DASHBOARD!C68,"")</f>
        <v/>
      </c>
      <c r="D70" s="122" t="str">
        <f>IF(DASHBOARD!G68="⚠ REVISAR",DASHBOARD!D68,"")</f>
        <v/>
      </c>
      <c r="E70" s="122" t="str">
        <f>IF(DASHBOARD!G68="⚠ REVISAR",DASHBOARD!E68,"")</f>
        <v/>
      </c>
      <c r="F70" s="122"/>
    </row>
    <row r="71" spans="1:6" ht="13.95" customHeight="1">
      <c r="A71" s="125" t="str">
        <f>IF(DASHBOARD!G69="⚠ REVISAR",51,"")</f>
        <v/>
      </c>
      <c r="B71" s="125" t="str">
        <f>IF(DASHBOARD!G69="⚠ REVISAR",DASHBOARD!A69,"")</f>
        <v/>
      </c>
      <c r="C71" s="117" t="str">
        <f>IF(DASHBOARD!G69="⚠ REVISAR",DASHBOARD!C69,"")</f>
        <v/>
      </c>
      <c r="D71" s="125" t="str">
        <f>IF(DASHBOARD!G69="⚠ REVISAR",DASHBOARD!D69,"")</f>
        <v/>
      </c>
      <c r="E71" s="125" t="str">
        <f>IF(DASHBOARD!G69="⚠ REVISAR",DASHBOARD!E69,"")</f>
        <v/>
      </c>
      <c r="F71" s="125"/>
    </row>
    <row r="72" spans="1:6" ht="13.95" customHeight="1">
      <c r="A72" s="122" t="str">
        <f>IF(DASHBOARD!G70="⚠ REVISAR",52,"")</f>
        <v/>
      </c>
      <c r="B72" s="122" t="str">
        <f>IF(DASHBOARD!G70="⚠ REVISAR",DASHBOARD!A70,"")</f>
        <v/>
      </c>
      <c r="C72" s="119" t="str">
        <f>IF(DASHBOARD!G70="⚠ REVISAR",DASHBOARD!C70,"")</f>
        <v/>
      </c>
      <c r="D72" s="122" t="str">
        <f>IF(DASHBOARD!G70="⚠ REVISAR",DASHBOARD!D70,"")</f>
        <v/>
      </c>
      <c r="E72" s="122" t="str">
        <f>IF(DASHBOARD!G70="⚠ REVISAR",DASHBOARD!E70,"")</f>
        <v/>
      </c>
      <c r="F72" s="122"/>
    </row>
    <row r="73" spans="1:6" ht="13.95" customHeight="1">
      <c r="A73" s="125" t="str">
        <f>IF(DASHBOARD!G71="⚠ REVISAR",53,"")</f>
        <v/>
      </c>
      <c r="B73" s="125" t="str">
        <f>IF(DASHBOARD!G71="⚠ REVISAR",DASHBOARD!A71,"")</f>
        <v/>
      </c>
      <c r="C73" s="117" t="str">
        <f>IF(DASHBOARD!G71="⚠ REVISAR",DASHBOARD!C71,"")</f>
        <v/>
      </c>
      <c r="D73" s="125" t="str">
        <f>IF(DASHBOARD!G71="⚠ REVISAR",DASHBOARD!D71,"")</f>
        <v/>
      </c>
      <c r="E73" s="125" t="str">
        <f>IF(DASHBOARD!G71="⚠ REVISAR",DASHBOARD!E71,"")</f>
        <v/>
      </c>
      <c r="F73" s="125"/>
    </row>
    <row r="74" spans="1:6" ht="13.95" customHeight="1">
      <c r="A74" s="122" t="str">
        <f>IF(DASHBOARD!G72="⚠ REVISAR",54,"")</f>
        <v/>
      </c>
      <c r="B74" s="122" t="str">
        <f>IF(DASHBOARD!G72="⚠ REVISAR",DASHBOARD!A72,"")</f>
        <v/>
      </c>
      <c r="C74" s="119" t="str">
        <f>IF(DASHBOARD!G72="⚠ REVISAR",DASHBOARD!C72,"")</f>
        <v/>
      </c>
      <c r="D74" s="122" t="str">
        <f>IF(DASHBOARD!G72="⚠ REVISAR",DASHBOARD!D72,"")</f>
        <v/>
      </c>
      <c r="E74" s="122" t="str">
        <f>IF(DASHBOARD!G72="⚠ REVISAR",DASHBOARD!E72,"")</f>
        <v/>
      </c>
      <c r="F74" s="122"/>
    </row>
    <row r="75" spans="1:6" ht="13.95" customHeight="1">
      <c r="A75" s="125" t="str">
        <f>IF(DASHBOARD!G73="⚠ REVISAR",55,"")</f>
        <v/>
      </c>
      <c r="B75" s="125" t="str">
        <f>IF(DASHBOARD!G73="⚠ REVISAR",DASHBOARD!A73,"")</f>
        <v/>
      </c>
      <c r="C75" s="117" t="str">
        <f>IF(DASHBOARD!G73="⚠ REVISAR",DASHBOARD!C73,"")</f>
        <v/>
      </c>
      <c r="D75" s="125" t="str">
        <f>IF(DASHBOARD!G73="⚠ REVISAR",DASHBOARD!D73,"")</f>
        <v/>
      </c>
      <c r="E75" s="125" t="str">
        <f>IF(DASHBOARD!G73="⚠ REVISAR",DASHBOARD!E73,"")</f>
        <v/>
      </c>
      <c r="F75" s="125"/>
    </row>
    <row r="76" spans="1:6" ht="13.95" customHeight="1">
      <c r="A76" s="122" t="str">
        <f>IF(DASHBOARD!G74="⚠ REVISAR",56,"")</f>
        <v/>
      </c>
      <c r="B76" s="122" t="str">
        <f>IF(DASHBOARD!G74="⚠ REVISAR",DASHBOARD!A74,"")</f>
        <v/>
      </c>
      <c r="C76" s="119" t="str">
        <f>IF(DASHBOARD!G74="⚠ REVISAR",DASHBOARD!C74,"")</f>
        <v/>
      </c>
      <c r="D76" s="122" t="str">
        <f>IF(DASHBOARD!G74="⚠ REVISAR",DASHBOARD!D74,"")</f>
        <v/>
      </c>
      <c r="E76" s="122" t="str">
        <f>IF(DASHBOARD!G74="⚠ REVISAR",DASHBOARD!E74,"")</f>
        <v/>
      </c>
      <c r="F76" s="122"/>
    </row>
    <row r="77" spans="1:6" ht="13.95" customHeight="1">
      <c r="A77" s="125" t="str">
        <f>IF(DASHBOARD!G75="⚠ REVISAR",57,"")</f>
        <v/>
      </c>
      <c r="B77" s="125" t="str">
        <f>IF(DASHBOARD!G75="⚠ REVISAR",DASHBOARD!A75,"")</f>
        <v/>
      </c>
      <c r="C77" s="117" t="str">
        <f>IF(DASHBOARD!G75="⚠ REVISAR",DASHBOARD!C75,"")</f>
        <v/>
      </c>
      <c r="D77" s="125" t="str">
        <f>IF(DASHBOARD!G75="⚠ REVISAR",DASHBOARD!D75,"")</f>
        <v/>
      </c>
      <c r="E77" s="125" t="str">
        <f>IF(DASHBOARD!G75="⚠ REVISAR",DASHBOARD!E75,"")</f>
        <v/>
      </c>
      <c r="F77" s="125"/>
    </row>
    <row r="78" spans="1:6" ht="13.95" customHeight="1">
      <c r="A78" s="122" t="str">
        <f>IF(DASHBOARD!G76="⚠ REVISAR",58,"")</f>
        <v/>
      </c>
      <c r="B78" s="122" t="str">
        <f>IF(DASHBOARD!G76="⚠ REVISAR",DASHBOARD!A76,"")</f>
        <v/>
      </c>
      <c r="C78" s="119" t="str">
        <f>IF(DASHBOARD!G76="⚠ REVISAR",DASHBOARD!C76,"")</f>
        <v/>
      </c>
      <c r="D78" s="122" t="str">
        <f>IF(DASHBOARD!G76="⚠ REVISAR",DASHBOARD!D76,"")</f>
        <v/>
      </c>
      <c r="E78" s="122" t="str">
        <f>IF(DASHBOARD!G76="⚠ REVISAR",DASHBOARD!E76,"")</f>
        <v/>
      </c>
      <c r="F78" s="122"/>
    </row>
    <row r="79" spans="1:6" ht="13.95" customHeight="1">
      <c r="A79" s="125" t="str">
        <f>IF(DASHBOARD!G77="⚠ REVISAR",59,"")</f>
        <v/>
      </c>
      <c r="B79" s="125" t="str">
        <f>IF(DASHBOARD!G77="⚠ REVISAR",DASHBOARD!A77,"")</f>
        <v/>
      </c>
      <c r="C79" s="117" t="str">
        <f>IF(DASHBOARD!G77="⚠ REVISAR",DASHBOARD!C77,"")</f>
        <v/>
      </c>
      <c r="D79" s="125" t="str">
        <f>IF(DASHBOARD!G77="⚠ REVISAR",DASHBOARD!D77,"")</f>
        <v/>
      </c>
      <c r="E79" s="125" t="str">
        <f>IF(DASHBOARD!G77="⚠ REVISAR",DASHBOARD!E77,"")</f>
        <v/>
      </c>
      <c r="F79" s="125"/>
    </row>
    <row r="80" spans="1:6" ht="13.95" customHeight="1">
      <c r="A80" s="122" t="str">
        <f>IF(DASHBOARD!G78="⚠ REVISAR",60,"")</f>
        <v/>
      </c>
      <c r="B80" s="122" t="str">
        <f>IF(DASHBOARD!G78="⚠ REVISAR",DASHBOARD!A78,"")</f>
        <v/>
      </c>
      <c r="C80" s="119" t="str">
        <f>IF(DASHBOARD!G78="⚠ REVISAR",DASHBOARD!C78,"")</f>
        <v/>
      </c>
      <c r="D80" s="122" t="str">
        <f>IF(DASHBOARD!G78="⚠ REVISAR",DASHBOARD!D78,"")</f>
        <v/>
      </c>
      <c r="E80" s="122" t="str">
        <f>IF(DASHBOARD!G78="⚠ REVISAR",DASHBOARD!E78,"")</f>
        <v/>
      </c>
      <c r="F80" s="122"/>
    </row>
    <row r="81" spans="1:6" ht="13.95" customHeight="1">
      <c r="A81" s="125" t="str">
        <f>IF(DASHBOARD!G79="⚠ REVISAR",61,"")</f>
        <v/>
      </c>
      <c r="B81" s="125" t="str">
        <f>IF(DASHBOARD!G79="⚠ REVISAR",DASHBOARD!A79,"")</f>
        <v/>
      </c>
      <c r="C81" s="117" t="str">
        <f>IF(DASHBOARD!G79="⚠ REVISAR",DASHBOARD!C79,"")</f>
        <v/>
      </c>
      <c r="D81" s="125" t="str">
        <f>IF(DASHBOARD!G79="⚠ REVISAR",DASHBOARD!D79,"")</f>
        <v/>
      </c>
      <c r="E81" s="125" t="str">
        <f>IF(DASHBOARD!G79="⚠ REVISAR",DASHBOARD!E79,"")</f>
        <v/>
      </c>
      <c r="F81" s="125"/>
    </row>
    <row r="82" spans="1:6" ht="13.95" customHeight="1">
      <c r="A82" s="122" t="str">
        <f>IF(DASHBOARD!G80="⚠ REVISAR",62,"")</f>
        <v/>
      </c>
      <c r="B82" s="122" t="str">
        <f>IF(DASHBOARD!G80="⚠ REVISAR",DASHBOARD!A80,"")</f>
        <v/>
      </c>
      <c r="C82" s="119" t="str">
        <f>IF(DASHBOARD!G80="⚠ REVISAR",DASHBOARD!C80,"")</f>
        <v/>
      </c>
      <c r="D82" s="122" t="str">
        <f>IF(DASHBOARD!G80="⚠ REVISAR",DASHBOARD!D80,"")</f>
        <v/>
      </c>
      <c r="E82" s="122" t="str">
        <f>IF(DASHBOARD!G80="⚠ REVISAR",DASHBOARD!E80,"")</f>
        <v/>
      </c>
      <c r="F82" s="122"/>
    </row>
    <row r="83" spans="1:6" ht="13.95" customHeight="1">
      <c r="A83" s="125" t="str">
        <f>IF(DASHBOARD!G81="⚠ REVISAR",63,"")</f>
        <v/>
      </c>
      <c r="B83" s="125" t="str">
        <f>IF(DASHBOARD!G81="⚠ REVISAR",DASHBOARD!A81,"")</f>
        <v/>
      </c>
      <c r="C83" s="117" t="str">
        <f>IF(DASHBOARD!G81="⚠ REVISAR",DASHBOARD!C81,"")</f>
        <v/>
      </c>
      <c r="D83" s="125" t="str">
        <f>IF(DASHBOARD!G81="⚠ REVISAR",DASHBOARD!D81,"")</f>
        <v/>
      </c>
      <c r="E83" s="125" t="str">
        <f>IF(DASHBOARD!G81="⚠ REVISAR",DASHBOARD!E81,"")</f>
        <v/>
      </c>
      <c r="F83" s="125"/>
    </row>
    <row r="84" spans="1:6" ht="13.95" customHeight="1">
      <c r="A84" s="122" t="str">
        <f>IF(DASHBOARD!G82="⚠ REVISAR",64,"")</f>
        <v/>
      </c>
      <c r="B84" s="122" t="str">
        <f>IF(DASHBOARD!G82="⚠ REVISAR",DASHBOARD!A82,"")</f>
        <v/>
      </c>
      <c r="C84" s="119" t="str">
        <f>IF(DASHBOARD!G82="⚠ REVISAR",DASHBOARD!C82,"")</f>
        <v/>
      </c>
      <c r="D84" s="122" t="str">
        <f>IF(DASHBOARD!G82="⚠ REVISAR",DASHBOARD!D82,"")</f>
        <v/>
      </c>
      <c r="E84" s="122" t="str">
        <f>IF(DASHBOARD!G82="⚠ REVISAR",DASHBOARD!E82,"")</f>
        <v/>
      </c>
      <c r="F84" s="122"/>
    </row>
    <row r="85" spans="1:6" ht="13.95" customHeight="1">
      <c r="A85" s="125" t="str">
        <f>IF(DASHBOARD!G83="⚠ REVISAR",65,"")</f>
        <v/>
      </c>
      <c r="B85" s="125" t="str">
        <f>IF(DASHBOARD!G83="⚠ REVISAR",DASHBOARD!A83,"")</f>
        <v/>
      </c>
      <c r="C85" s="117" t="str">
        <f>IF(DASHBOARD!G83="⚠ REVISAR",DASHBOARD!C83,"")</f>
        <v/>
      </c>
      <c r="D85" s="125" t="str">
        <f>IF(DASHBOARD!G83="⚠ REVISAR",DASHBOARD!D83,"")</f>
        <v/>
      </c>
      <c r="E85" s="125" t="str">
        <f>IF(DASHBOARD!G83="⚠ REVISAR",DASHBOARD!E83,"")</f>
        <v/>
      </c>
      <c r="F85" s="125"/>
    </row>
    <row r="86" spans="1:6" ht="13.95" customHeight="1">
      <c r="A86" s="122" t="str">
        <f>IF(DASHBOARD!G84="⚠ REVISAR",66,"")</f>
        <v/>
      </c>
      <c r="B86" s="122" t="str">
        <f>IF(DASHBOARD!G84="⚠ REVISAR",DASHBOARD!A84,"")</f>
        <v/>
      </c>
      <c r="C86" s="119" t="str">
        <f>IF(DASHBOARD!G84="⚠ REVISAR",DASHBOARD!C84,"")</f>
        <v/>
      </c>
      <c r="D86" s="122" t="str">
        <f>IF(DASHBOARD!G84="⚠ REVISAR",DASHBOARD!D84,"")</f>
        <v/>
      </c>
      <c r="E86" s="122" t="str">
        <f>IF(DASHBOARD!G84="⚠ REVISAR",DASHBOARD!E84,"")</f>
        <v/>
      </c>
      <c r="F86" s="122"/>
    </row>
    <row r="87" spans="1:6" ht="13.95" customHeight="1">
      <c r="A87" s="125" t="str">
        <f>IF(DASHBOARD!G85="⚠ REVISAR",67,"")</f>
        <v/>
      </c>
      <c r="B87" s="125" t="str">
        <f>IF(DASHBOARD!G85="⚠ REVISAR",DASHBOARD!A85,"")</f>
        <v/>
      </c>
      <c r="C87" s="117" t="str">
        <f>IF(DASHBOARD!G85="⚠ REVISAR",DASHBOARD!C85,"")</f>
        <v/>
      </c>
      <c r="D87" s="125" t="str">
        <f>IF(DASHBOARD!G85="⚠ REVISAR",DASHBOARD!D85,"")</f>
        <v/>
      </c>
      <c r="E87" s="125" t="str">
        <f>IF(DASHBOARD!G85="⚠ REVISAR",DASHBOARD!E85,"")</f>
        <v/>
      </c>
      <c r="F87" s="125"/>
    </row>
    <row r="88" spans="1:6" ht="13.95" customHeight="1">
      <c r="A88" s="122" t="str">
        <f>IF(DASHBOARD!G86="⚠ REVISAR",68,"")</f>
        <v/>
      </c>
      <c r="B88" s="122" t="str">
        <f>IF(DASHBOARD!G86="⚠ REVISAR",DASHBOARD!A86,"")</f>
        <v/>
      </c>
      <c r="C88" s="119" t="str">
        <f>IF(DASHBOARD!G86="⚠ REVISAR",DASHBOARD!C86,"")</f>
        <v/>
      </c>
      <c r="D88" s="122" t="str">
        <f>IF(DASHBOARD!G86="⚠ REVISAR",DASHBOARD!D86,"")</f>
        <v/>
      </c>
      <c r="E88" s="122" t="str">
        <f>IF(DASHBOARD!G86="⚠ REVISAR",DASHBOARD!E86,"")</f>
        <v/>
      </c>
      <c r="F88" s="122"/>
    </row>
    <row r="89" spans="1:6" ht="13.95" customHeight="1">
      <c r="A89" s="125" t="str">
        <f>IF(DASHBOARD!G87="⚠ REVISAR",69,"")</f>
        <v/>
      </c>
      <c r="B89" s="125" t="str">
        <f>IF(DASHBOARD!G87="⚠ REVISAR",DASHBOARD!A87,"")</f>
        <v/>
      </c>
      <c r="C89" s="117" t="str">
        <f>IF(DASHBOARD!G87="⚠ REVISAR",DASHBOARD!C87,"")</f>
        <v/>
      </c>
      <c r="D89" s="125" t="str">
        <f>IF(DASHBOARD!G87="⚠ REVISAR",DASHBOARD!D87,"")</f>
        <v/>
      </c>
      <c r="E89" s="125" t="str">
        <f>IF(DASHBOARD!G87="⚠ REVISAR",DASHBOARD!E87,"")</f>
        <v/>
      </c>
      <c r="F89" s="125"/>
    </row>
    <row r="90" spans="1:6" ht="13.95" customHeight="1">
      <c r="A90" s="122" t="str">
        <f>IF(DASHBOARD!G88="⚠ REVISAR",70,"")</f>
        <v/>
      </c>
      <c r="B90" s="122" t="str">
        <f>IF(DASHBOARD!G88="⚠ REVISAR",DASHBOARD!A88,"")</f>
        <v/>
      </c>
      <c r="C90" s="119" t="str">
        <f>IF(DASHBOARD!G88="⚠ REVISAR",DASHBOARD!C88,"")</f>
        <v/>
      </c>
      <c r="D90" s="122" t="str">
        <f>IF(DASHBOARD!G88="⚠ REVISAR",DASHBOARD!D88,"")</f>
        <v/>
      </c>
      <c r="E90" s="122" t="str">
        <f>IF(DASHBOARD!G88="⚠ REVISAR",DASHBOARD!E88,"")</f>
        <v/>
      </c>
      <c r="F90" s="122"/>
    </row>
    <row r="91" spans="1:6" ht="13.95" customHeight="1">
      <c r="A91" s="125" t="str">
        <f>IF(DASHBOARD!G89="⚠ REVISAR",71,"")</f>
        <v/>
      </c>
      <c r="B91" s="125" t="str">
        <f>IF(DASHBOARD!G89="⚠ REVISAR",DASHBOARD!A89,"")</f>
        <v/>
      </c>
      <c r="C91" s="117" t="str">
        <f>IF(DASHBOARD!G89="⚠ REVISAR",DASHBOARD!C89,"")</f>
        <v/>
      </c>
      <c r="D91" s="125" t="str">
        <f>IF(DASHBOARD!G89="⚠ REVISAR",DASHBOARD!D89,"")</f>
        <v/>
      </c>
      <c r="E91" s="125" t="str">
        <f>IF(DASHBOARD!G89="⚠ REVISAR",DASHBOARD!E89,"")</f>
        <v/>
      </c>
      <c r="F91" s="125"/>
    </row>
    <row r="92" spans="1:6" ht="13.95" customHeight="1">
      <c r="A92" s="122" t="str">
        <f>IF(DASHBOARD!G90="⚠ REVISAR",72,"")</f>
        <v/>
      </c>
      <c r="B92" s="122" t="str">
        <f>IF(DASHBOARD!G90="⚠ REVISAR",DASHBOARD!A90,"")</f>
        <v/>
      </c>
      <c r="C92" s="119" t="str">
        <f>IF(DASHBOARD!G90="⚠ REVISAR",DASHBOARD!C90,"")</f>
        <v/>
      </c>
      <c r="D92" s="122" t="str">
        <f>IF(DASHBOARD!G90="⚠ REVISAR",DASHBOARD!D90,"")</f>
        <v/>
      </c>
      <c r="E92" s="122" t="str">
        <f>IF(DASHBOARD!G90="⚠ REVISAR",DASHBOARD!E90,"")</f>
        <v/>
      </c>
      <c r="F92" s="122"/>
    </row>
    <row r="93" spans="1:6" ht="13.95" customHeight="1">
      <c r="A93" s="125" t="str">
        <f>IF(DASHBOARD!G91="⚠ REVISAR",73,"")</f>
        <v/>
      </c>
      <c r="B93" s="125" t="str">
        <f>IF(DASHBOARD!G91="⚠ REVISAR",DASHBOARD!A91,"")</f>
        <v/>
      </c>
      <c r="C93" s="117" t="str">
        <f>IF(DASHBOARD!G91="⚠ REVISAR",DASHBOARD!C91,"")</f>
        <v/>
      </c>
      <c r="D93" s="125" t="str">
        <f>IF(DASHBOARD!G91="⚠ REVISAR",DASHBOARD!D91,"")</f>
        <v/>
      </c>
      <c r="E93" s="125" t="str">
        <f>IF(DASHBOARD!G91="⚠ REVISAR",DASHBOARD!E91,"")</f>
        <v/>
      </c>
      <c r="F93" s="125"/>
    </row>
    <row r="94" spans="1:6" ht="13.95" customHeight="1">
      <c r="A94" s="122" t="str">
        <f>IF(DASHBOARD!G92="⚠ REVISAR",74,"")</f>
        <v/>
      </c>
      <c r="B94" s="122" t="str">
        <f>IF(DASHBOARD!G92="⚠ REVISAR",DASHBOARD!A92,"")</f>
        <v/>
      </c>
      <c r="C94" s="119" t="str">
        <f>IF(DASHBOARD!G92="⚠ REVISAR",DASHBOARD!C92,"")</f>
        <v/>
      </c>
      <c r="D94" s="122" t="str">
        <f>IF(DASHBOARD!G92="⚠ REVISAR",DASHBOARD!D92,"")</f>
        <v/>
      </c>
      <c r="E94" s="122" t="str">
        <f>IF(DASHBOARD!G92="⚠ REVISAR",DASHBOARD!E92,"")</f>
        <v/>
      </c>
      <c r="F94" s="122"/>
    </row>
    <row r="95" spans="1:6" ht="13.95" customHeight="1">
      <c r="A95" s="125" t="str">
        <f>IF(DASHBOARD!G93="⚠ REVISAR",75,"")</f>
        <v/>
      </c>
      <c r="B95" s="125" t="str">
        <f>IF(DASHBOARD!G93="⚠ REVISAR",DASHBOARD!A93,"")</f>
        <v/>
      </c>
      <c r="C95" s="117" t="str">
        <f>IF(DASHBOARD!G93="⚠ REVISAR",DASHBOARD!C93,"")</f>
        <v/>
      </c>
      <c r="D95" s="125" t="str">
        <f>IF(DASHBOARD!G93="⚠ REVISAR",DASHBOARD!D93,"")</f>
        <v/>
      </c>
      <c r="E95" s="125" t="str">
        <f>IF(DASHBOARD!G93="⚠ REVISAR",DASHBOARD!E93,"")</f>
        <v/>
      </c>
      <c r="F95" s="125"/>
    </row>
    <row r="96" spans="1:6" ht="13.95" customHeight="1">
      <c r="A96" s="122" t="str">
        <f>IF(DASHBOARD!G94="⚠ REVISAR",76,"")</f>
        <v/>
      </c>
      <c r="B96" s="122" t="str">
        <f>IF(DASHBOARD!G94="⚠ REVISAR",DASHBOARD!A94,"")</f>
        <v/>
      </c>
      <c r="C96" s="119" t="str">
        <f>IF(DASHBOARD!G94="⚠ REVISAR",DASHBOARD!C94,"")</f>
        <v/>
      </c>
      <c r="D96" s="122" t="str">
        <f>IF(DASHBOARD!G94="⚠ REVISAR",DASHBOARD!D94,"")</f>
        <v/>
      </c>
      <c r="E96" s="122" t="str">
        <f>IF(DASHBOARD!G94="⚠ REVISAR",DASHBOARD!E94,"")</f>
        <v/>
      </c>
      <c r="F96" s="122"/>
    </row>
    <row r="97" spans="1:6" ht="13.95" customHeight="1">
      <c r="A97" s="125" t="str">
        <f>IF(DASHBOARD!G95="⚠ REVISAR",77,"")</f>
        <v/>
      </c>
      <c r="B97" s="125" t="str">
        <f>IF(DASHBOARD!G95="⚠ REVISAR",DASHBOARD!A95,"")</f>
        <v/>
      </c>
      <c r="C97" s="117" t="str">
        <f>IF(DASHBOARD!G95="⚠ REVISAR",DASHBOARD!C95,"")</f>
        <v/>
      </c>
      <c r="D97" s="125" t="str">
        <f>IF(DASHBOARD!G95="⚠ REVISAR",DASHBOARD!D95,"")</f>
        <v/>
      </c>
      <c r="E97" s="125" t="str">
        <f>IF(DASHBOARD!G95="⚠ REVISAR",DASHBOARD!E95,"")</f>
        <v/>
      </c>
      <c r="F97" s="125"/>
    </row>
    <row r="98" spans="1:6" ht="13.95" customHeight="1">
      <c r="A98" s="122" t="str">
        <f>IF(DASHBOARD!G96="⚠ REVISAR",78,"")</f>
        <v/>
      </c>
      <c r="B98" s="122" t="str">
        <f>IF(DASHBOARD!G96="⚠ REVISAR",DASHBOARD!A96,"")</f>
        <v/>
      </c>
      <c r="C98" s="119" t="str">
        <f>IF(DASHBOARD!G96="⚠ REVISAR",DASHBOARD!C96,"")</f>
        <v/>
      </c>
      <c r="D98" s="122" t="str">
        <f>IF(DASHBOARD!G96="⚠ REVISAR",DASHBOARD!D96,"")</f>
        <v/>
      </c>
      <c r="E98" s="122" t="str">
        <f>IF(DASHBOARD!G96="⚠ REVISAR",DASHBOARD!E96,"")</f>
        <v/>
      </c>
      <c r="F98" s="122"/>
    </row>
    <row r="99" spans="1:6" ht="13.95" customHeight="1">
      <c r="A99" s="125" t="str">
        <f>IF(DASHBOARD!G97="⚠ REVISAR",79,"")</f>
        <v/>
      </c>
      <c r="B99" s="125" t="str">
        <f>IF(DASHBOARD!G97="⚠ REVISAR",DASHBOARD!A97,"")</f>
        <v/>
      </c>
      <c r="C99" s="117" t="str">
        <f>IF(DASHBOARD!G97="⚠ REVISAR",DASHBOARD!C97,"")</f>
        <v/>
      </c>
      <c r="D99" s="125" t="str">
        <f>IF(DASHBOARD!G97="⚠ REVISAR",DASHBOARD!D97,"")</f>
        <v/>
      </c>
      <c r="E99" s="125" t="str">
        <f>IF(DASHBOARD!G97="⚠ REVISAR",DASHBOARD!E97,"")</f>
        <v/>
      </c>
      <c r="F99" s="125"/>
    </row>
    <row r="100" spans="1:6" ht="13.95" customHeight="1">
      <c r="A100" s="122" t="str">
        <f>IF(DASHBOARD!G98="⚠ REVISAR",80,"")</f>
        <v/>
      </c>
      <c r="B100" s="122" t="str">
        <f>IF(DASHBOARD!G98="⚠ REVISAR",DASHBOARD!A98,"")</f>
        <v/>
      </c>
      <c r="C100" s="119" t="str">
        <f>IF(DASHBOARD!G98="⚠ REVISAR",DASHBOARD!C98,"")</f>
        <v/>
      </c>
      <c r="D100" s="122" t="str">
        <f>IF(DASHBOARD!G98="⚠ REVISAR",DASHBOARD!D98,"")</f>
        <v/>
      </c>
      <c r="E100" s="122" t="str">
        <f>IF(DASHBOARD!G98="⚠ REVISAR",DASHBOARD!E98,"")</f>
        <v/>
      </c>
      <c r="F100" s="122"/>
    </row>
    <row r="101" spans="1:6" ht="13.95" customHeight="1">
      <c r="A101" s="125" t="str">
        <f>IF(DASHBOARD!G99="⚠ REVISAR",81,"")</f>
        <v/>
      </c>
      <c r="B101" s="125" t="str">
        <f>IF(DASHBOARD!G99="⚠ REVISAR",DASHBOARD!A99,"")</f>
        <v/>
      </c>
      <c r="C101" s="117" t="str">
        <f>IF(DASHBOARD!G99="⚠ REVISAR",DASHBOARD!C99,"")</f>
        <v/>
      </c>
      <c r="D101" s="125" t="str">
        <f>IF(DASHBOARD!G99="⚠ REVISAR",DASHBOARD!D99,"")</f>
        <v/>
      </c>
      <c r="E101" s="125" t="str">
        <f>IF(DASHBOARD!G99="⚠ REVISAR",DASHBOARD!E99,"")</f>
        <v/>
      </c>
      <c r="F101" s="125"/>
    </row>
    <row r="102" spans="1:6" ht="13.95" customHeight="1">
      <c r="A102" s="122" t="str">
        <f>IF(DASHBOARD!G100="⚠ REVISAR",82,"")</f>
        <v/>
      </c>
      <c r="B102" s="122" t="str">
        <f>IF(DASHBOARD!G100="⚠ REVISAR",DASHBOARD!A100,"")</f>
        <v/>
      </c>
      <c r="C102" s="119" t="str">
        <f>IF(DASHBOARD!G100="⚠ REVISAR",DASHBOARD!C100,"")</f>
        <v/>
      </c>
      <c r="D102" s="122" t="str">
        <f>IF(DASHBOARD!G100="⚠ REVISAR",DASHBOARD!D100,"")</f>
        <v/>
      </c>
      <c r="E102" s="122" t="str">
        <f>IF(DASHBOARD!G100="⚠ REVISAR",DASHBOARD!E100,"")</f>
        <v/>
      </c>
      <c r="F102" s="122"/>
    </row>
    <row r="103" spans="1:6" ht="13.95" customHeight="1">
      <c r="A103" s="125" t="str">
        <f>IF(DASHBOARD!G101="⚠ REVISAR",83,"")</f>
        <v/>
      </c>
      <c r="B103" s="125" t="str">
        <f>IF(DASHBOARD!G101="⚠ REVISAR",DASHBOARD!A101,"")</f>
        <v/>
      </c>
      <c r="C103" s="117" t="str">
        <f>IF(DASHBOARD!G101="⚠ REVISAR",DASHBOARD!C101,"")</f>
        <v/>
      </c>
      <c r="D103" s="125" t="str">
        <f>IF(DASHBOARD!G101="⚠ REVISAR",DASHBOARD!D101,"")</f>
        <v/>
      </c>
      <c r="E103" s="125" t="str">
        <f>IF(DASHBOARD!G101="⚠ REVISAR",DASHBOARD!E101,"")</f>
        <v/>
      </c>
      <c r="F103" s="125"/>
    </row>
    <row r="104" spans="1:6" ht="13.95" customHeight="1">
      <c r="A104" s="122" t="str">
        <f>IF(DASHBOARD!G102="⚠ REVISAR",84,"")</f>
        <v/>
      </c>
      <c r="B104" s="122" t="str">
        <f>IF(DASHBOARD!G102="⚠ REVISAR",DASHBOARD!A102,"")</f>
        <v/>
      </c>
      <c r="C104" s="119" t="str">
        <f>IF(DASHBOARD!G102="⚠ REVISAR",DASHBOARD!C102,"")</f>
        <v/>
      </c>
      <c r="D104" s="122" t="str">
        <f>IF(DASHBOARD!G102="⚠ REVISAR",DASHBOARD!D102,"")</f>
        <v/>
      </c>
      <c r="E104" s="122" t="str">
        <f>IF(DASHBOARD!G102="⚠ REVISAR",DASHBOARD!E102,"")</f>
        <v/>
      </c>
      <c r="F104" s="122"/>
    </row>
    <row r="105" spans="1:6" ht="13.95" customHeight="1">
      <c r="A105" s="125" t="str">
        <f>IF(DASHBOARD!G103="⚠ REVISAR",85,"")</f>
        <v/>
      </c>
      <c r="B105" s="125" t="str">
        <f>IF(DASHBOARD!G103="⚠ REVISAR",DASHBOARD!A103,"")</f>
        <v/>
      </c>
      <c r="C105" s="117" t="str">
        <f>IF(DASHBOARD!G103="⚠ REVISAR",DASHBOARD!C103,"")</f>
        <v/>
      </c>
      <c r="D105" s="125" t="str">
        <f>IF(DASHBOARD!G103="⚠ REVISAR",DASHBOARD!D103,"")</f>
        <v/>
      </c>
      <c r="E105" s="125" t="str">
        <f>IF(DASHBOARD!G103="⚠ REVISAR",DASHBOARD!E103,"")</f>
        <v/>
      </c>
      <c r="F105" s="125"/>
    </row>
    <row r="106" spans="1:6" ht="13.95" customHeight="1">
      <c r="A106" s="122" t="str">
        <f>IF(DASHBOARD!G104="⚠ REVISAR",86,"")</f>
        <v/>
      </c>
      <c r="B106" s="122" t="str">
        <f>IF(DASHBOARD!G104="⚠ REVISAR",DASHBOARD!A104,"")</f>
        <v/>
      </c>
      <c r="C106" s="119" t="str">
        <f>IF(DASHBOARD!G104="⚠ REVISAR",DASHBOARD!C104,"")</f>
        <v/>
      </c>
      <c r="D106" s="122" t="str">
        <f>IF(DASHBOARD!G104="⚠ REVISAR",DASHBOARD!D104,"")</f>
        <v/>
      </c>
      <c r="E106" s="122" t="str">
        <f>IF(DASHBOARD!G104="⚠ REVISAR",DASHBOARD!E104,"")</f>
        <v/>
      </c>
      <c r="F106" s="122"/>
    </row>
    <row r="107" spans="1:6" ht="13.95" customHeight="1">
      <c r="A107" s="125" t="str">
        <f>IF(DASHBOARD!G105="⚠ REVISAR",87,"")</f>
        <v/>
      </c>
      <c r="B107" s="125" t="str">
        <f>IF(DASHBOARD!G105="⚠ REVISAR",DASHBOARD!A105,"")</f>
        <v/>
      </c>
      <c r="C107" s="117" t="str">
        <f>IF(DASHBOARD!G105="⚠ REVISAR",DASHBOARD!C105,"")</f>
        <v/>
      </c>
      <c r="D107" s="125" t="str">
        <f>IF(DASHBOARD!G105="⚠ REVISAR",DASHBOARD!D105,"")</f>
        <v/>
      </c>
      <c r="E107" s="125" t="str">
        <f>IF(DASHBOARD!G105="⚠ REVISAR",DASHBOARD!E105,"")</f>
        <v/>
      </c>
      <c r="F107" s="125"/>
    </row>
    <row r="108" spans="1:6" ht="13.95" customHeight="1">
      <c r="A108" s="122" t="str">
        <f>IF(DASHBOARD!G106="⚠ REVISAR",88,"")</f>
        <v/>
      </c>
      <c r="B108" s="122" t="str">
        <f>IF(DASHBOARD!G106="⚠ REVISAR",DASHBOARD!A106,"")</f>
        <v/>
      </c>
      <c r="C108" s="119" t="str">
        <f>IF(DASHBOARD!G106="⚠ REVISAR",DASHBOARD!C106,"")</f>
        <v/>
      </c>
      <c r="D108" s="122" t="str">
        <f>IF(DASHBOARD!G106="⚠ REVISAR",DASHBOARD!D106,"")</f>
        <v/>
      </c>
      <c r="E108" s="122" t="str">
        <f>IF(DASHBOARD!G106="⚠ REVISAR",DASHBOARD!E106,"")</f>
        <v/>
      </c>
      <c r="F108" s="122"/>
    </row>
    <row r="109" spans="1:6" ht="13.95" customHeight="1">
      <c r="A109" s="125" t="str">
        <f>IF(DASHBOARD!G107="⚠ REVISAR",89,"")</f>
        <v/>
      </c>
      <c r="B109" s="125" t="str">
        <f>IF(DASHBOARD!G107="⚠ REVISAR",DASHBOARD!A107,"")</f>
        <v/>
      </c>
      <c r="C109" s="117" t="str">
        <f>IF(DASHBOARD!G107="⚠ REVISAR",DASHBOARD!C107,"")</f>
        <v/>
      </c>
      <c r="D109" s="125" t="str">
        <f>IF(DASHBOARD!G107="⚠ REVISAR",DASHBOARD!D107,"")</f>
        <v/>
      </c>
      <c r="E109" s="125" t="str">
        <f>IF(DASHBOARD!G107="⚠ REVISAR",DASHBOARD!E107,"")</f>
        <v/>
      </c>
      <c r="F109" s="125"/>
    </row>
    <row r="110" spans="1:6" ht="13.95" customHeight="1">
      <c r="A110" s="122" t="str">
        <f>IF(DASHBOARD!G108="⚠ REVISAR",90,"")</f>
        <v/>
      </c>
      <c r="B110" s="122" t="str">
        <f>IF(DASHBOARD!G108="⚠ REVISAR",DASHBOARD!A108,"")</f>
        <v/>
      </c>
      <c r="C110" s="119" t="str">
        <f>IF(DASHBOARD!G108="⚠ REVISAR",DASHBOARD!C108,"")</f>
        <v/>
      </c>
      <c r="D110" s="122" t="str">
        <f>IF(DASHBOARD!G108="⚠ REVISAR",DASHBOARD!D108,"")</f>
        <v/>
      </c>
      <c r="E110" s="122" t="str">
        <f>IF(DASHBOARD!G108="⚠ REVISAR",DASHBOARD!E108,"")</f>
        <v/>
      </c>
      <c r="F110" s="122"/>
    </row>
    <row r="111" spans="1:6" ht="13.95" customHeight="1">
      <c r="A111" s="125" t="str">
        <f>IF(DASHBOARD!G109="⚠ REVISAR",91,"")</f>
        <v/>
      </c>
      <c r="B111" s="125" t="str">
        <f>IF(DASHBOARD!G109="⚠ REVISAR",DASHBOARD!A109,"")</f>
        <v/>
      </c>
      <c r="C111" s="117" t="str">
        <f>IF(DASHBOARD!G109="⚠ REVISAR",DASHBOARD!C109,"")</f>
        <v/>
      </c>
      <c r="D111" s="125" t="str">
        <f>IF(DASHBOARD!G109="⚠ REVISAR",DASHBOARD!D109,"")</f>
        <v/>
      </c>
      <c r="E111" s="125" t="str">
        <f>IF(DASHBOARD!G109="⚠ REVISAR",DASHBOARD!E109,"")</f>
        <v/>
      </c>
      <c r="F111" s="125"/>
    </row>
    <row r="112" spans="1:6" ht="13.95" customHeight="1">
      <c r="A112" s="122" t="str">
        <f>IF(DASHBOARD!G110="⚠ REVISAR",92,"")</f>
        <v/>
      </c>
      <c r="B112" s="122" t="str">
        <f>IF(DASHBOARD!G110="⚠ REVISAR",DASHBOARD!A110,"")</f>
        <v/>
      </c>
      <c r="C112" s="119" t="str">
        <f>IF(DASHBOARD!G110="⚠ REVISAR",DASHBOARD!C110,"")</f>
        <v/>
      </c>
      <c r="D112" s="122" t="str">
        <f>IF(DASHBOARD!G110="⚠ REVISAR",DASHBOARD!D110,"")</f>
        <v/>
      </c>
      <c r="E112" s="122" t="str">
        <f>IF(DASHBOARD!G110="⚠ REVISAR",DASHBOARD!E110,"")</f>
        <v/>
      </c>
      <c r="F112" s="122"/>
    </row>
    <row r="113" spans="1:6" ht="13.95" customHeight="1">
      <c r="A113" s="125" t="str">
        <f>IF(DASHBOARD!G111="⚠ REVISAR",93,"")</f>
        <v/>
      </c>
      <c r="B113" s="125" t="str">
        <f>IF(DASHBOARD!G111="⚠ REVISAR",DASHBOARD!A111,"")</f>
        <v/>
      </c>
      <c r="C113" s="117" t="str">
        <f>IF(DASHBOARD!G111="⚠ REVISAR",DASHBOARD!C111,"")</f>
        <v/>
      </c>
      <c r="D113" s="125" t="str">
        <f>IF(DASHBOARD!G111="⚠ REVISAR",DASHBOARD!D111,"")</f>
        <v/>
      </c>
      <c r="E113" s="125" t="str">
        <f>IF(DASHBOARD!G111="⚠ REVISAR",DASHBOARD!E111,"")</f>
        <v/>
      </c>
      <c r="F113" s="125"/>
    </row>
    <row r="114" spans="1:6" ht="13.95" customHeight="1">
      <c r="A114" s="122" t="str">
        <f>IF(DASHBOARD!G112="⚠ REVISAR",94,"")</f>
        <v/>
      </c>
      <c r="B114" s="122" t="str">
        <f>IF(DASHBOARD!G112="⚠ REVISAR",DASHBOARD!A112,"")</f>
        <v/>
      </c>
      <c r="C114" s="119" t="str">
        <f>IF(DASHBOARD!G112="⚠ REVISAR",DASHBOARD!C112,"")</f>
        <v/>
      </c>
      <c r="D114" s="122" t="str">
        <f>IF(DASHBOARD!G112="⚠ REVISAR",DASHBOARD!D112,"")</f>
        <v/>
      </c>
      <c r="E114" s="122" t="str">
        <f>IF(DASHBOARD!G112="⚠ REVISAR",DASHBOARD!E112,"")</f>
        <v/>
      </c>
      <c r="F114" s="122"/>
    </row>
    <row r="115" spans="1:6" ht="13.95" customHeight="1">
      <c r="A115" s="125" t="str">
        <f>IF(DASHBOARD!G113="⚠ REVISAR",95,"")</f>
        <v/>
      </c>
      <c r="B115" s="125" t="str">
        <f>IF(DASHBOARD!G113="⚠ REVISAR",DASHBOARD!A113,"")</f>
        <v/>
      </c>
      <c r="C115" s="117" t="str">
        <f>IF(DASHBOARD!G113="⚠ REVISAR",DASHBOARD!C113,"")</f>
        <v/>
      </c>
      <c r="D115" s="125" t="str">
        <f>IF(DASHBOARD!G113="⚠ REVISAR",DASHBOARD!D113,"")</f>
        <v/>
      </c>
      <c r="E115" s="125" t="str">
        <f>IF(DASHBOARD!G113="⚠ REVISAR",DASHBOARD!E113,"")</f>
        <v/>
      </c>
      <c r="F115" s="125"/>
    </row>
    <row r="116" spans="1:6" ht="13.95" customHeight="1">
      <c r="A116" s="122" t="str">
        <f>IF(DASHBOARD!G114="⚠ REVISAR",96,"")</f>
        <v/>
      </c>
      <c r="B116" s="122" t="str">
        <f>IF(DASHBOARD!G114="⚠ REVISAR",DASHBOARD!A114,"")</f>
        <v/>
      </c>
      <c r="C116" s="119" t="str">
        <f>IF(DASHBOARD!G114="⚠ REVISAR",DASHBOARD!C114,"")</f>
        <v/>
      </c>
      <c r="D116" s="122" t="str">
        <f>IF(DASHBOARD!G114="⚠ REVISAR",DASHBOARD!D114,"")</f>
        <v/>
      </c>
      <c r="E116" s="122" t="str">
        <f>IF(DASHBOARD!G114="⚠ REVISAR",DASHBOARD!E114,"")</f>
        <v/>
      </c>
      <c r="F116" s="122"/>
    </row>
    <row r="117" spans="1:6" ht="13.95" customHeight="1">
      <c r="A117" s="125" t="str">
        <f>IF(DASHBOARD!G115="⚠ REVISAR",97,"")</f>
        <v/>
      </c>
      <c r="B117" s="125" t="str">
        <f>IF(DASHBOARD!G115="⚠ REVISAR",DASHBOARD!A115,"")</f>
        <v/>
      </c>
      <c r="C117" s="117" t="str">
        <f>IF(DASHBOARD!G115="⚠ REVISAR",DASHBOARD!C115,"")</f>
        <v/>
      </c>
      <c r="D117" s="125" t="str">
        <f>IF(DASHBOARD!G115="⚠ REVISAR",DASHBOARD!D115,"")</f>
        <v/>
      </c>
      <c r="E117" s="125" t="str">
        <f>IF(DASHBOARD!G115="⚠ REVISAR",DASHBOARD!E115,"")</f>
        <v/>
      </c>
      <c r="F117" s="125"/>
    </row>
    <row r="118" spans="1:6" ht="13.95" customHeight="1">
      <c r="A118" s="122" t="str">
        <f>IF(DASHBOARD!G116="⚠ REVISAR",98,"")</f>
        <v/>
      </c>
      <c r="B118" s="122" t="str">
        <f>IF(DASHBOARD!G116="⚠ REVISAR",DASHBOARD!A116,"")</f>
        <v/>
      </c>
      <c r="C118" s="119" t="str">
        <f>IF(DASHBOARD!G116="⚠ REVISAR",DASHBOARD!C116,"")</f>
        <v/>
      </c>
      <c r="D118" s="122" t="str">
        <f>IF(DASHBOARD!G116="⚠ REVISAR",DASHBOARD!D116,"")</f>
        <v/>
      </c>
      <c r="E118" s="122" t="str">
        <f>IF(DASHBOARD!G116="⚠ REVISAR",DASHBOARD!E116,"")</f>
        <v/>
      </c>
      <c r="F118" s="122"/>
    </row>
    <row r="119" spans="1:6" ht="13.95" customHeight="1">
      <c r="A119" s="125" t="str">
        <f>IF(DASHBOARD!G117="⚠ REVISAR",99,"")</f>
        <v/>
      </c>
      <c r="B119" s="125" t="str">
        <f>IF(DASHBOARD!G117="⚠ REVISAR",DASHBOARD!A117,"")</f>
        <v/>
      </c>
      <c r="C119" s="117" t="str">
        <f>IF(DASHBOARD!G117="⚠ REVISAR",DASHBOARD!C117,"")</f>
        <v/>
      </c>
      <c r="D119" s="125" t="str">
        <f>IF(DASHBOARD!G117="⚠ REVISAR",DASHBOARD!D117,"")</f>
        <v/>
      </c>
      <c r="E119" s="125" t="str">
        <f>IF(DASHBOARD!G117="⚠ REVISAR",DASHBOARD!E117,"")</f>
        <v/>
      </c>
      <c r="F119" s="125"/>
    </row>
    <row r="120" spans="1:6" ht="13.95" customHeight="1">
      <c r="A120" s="122" t="str">
        <f>IF(DASHBOARD!G118="⚠ REVISAR",100,"")</f>
        <v/>
      </c>
      <c r="B120" s="122" t="str">
        <f>IF(DASHBOARD!G118="⚠ REVISAR",DASHBOARD!A118,"")</f>
        <v/>
      </c>
      <c r="C120" s="119" t="str">
        <f>IF(DASHBOARD!G118="⚠ REVISAR",DASHBOARD!C118,"")</f>
        <v/>
      </c>
      <c r="D120" s="122" t="str">
        <f>IF(DASHBOARD!G118="⚠ REVISAR",DASHBOARD!D118,"")</f>
        <v/>
      </c>
      <c r="E120" s="122" t="str">
        <f>IF(DASHBOARD!G118="⚠ REVISAR",DASHBOARD!E118,"")</f>
        <v/>
      </c>
      <c r="F120" s="122"/>
    </row>
    <row r="121" spans="1:6" ht="13.95" customHeight="1">
      <c r="A121" s="125" t="str">
        <f>IF(DASHBOARD!G119="⚠ REVISAR",101,"")</f>
        <v/>
      </c>
      <c r="B121" s="125" t="str">
        <f>IF(DASHBOARD!G119="⚠ REVISAR",DASHBOARD!A119,"")</f>
        <v/>
      </c>
      <c r="C121" s="117" t="str">
        <f>IF(DASHBOARD!G119="⚠ REVISAR",DASHBOARD!C119,"")</f>
        <v/>
      </c>
      <c r="D121" s="125" t="str">
        <f>IF(DASHBOARD!G119="⚠ REVISAR",DASHBOARD!D119,"")</f>
        <v/>
      </c>
      <c r="E121" s="125" t="str">
        <f>IF(DASHBOARD!G119="⚠ REVISAR",DASHBOARD!E119,"")</f>
        <v/>
      </c>
      <c r="F121" s="125"/>
    </row>
    <row r="122" spans="1:6" ht="13.95" customHeight="1">
      <c r="A122" s="122" t="str">
        <f>IF(DASHBOARD!G120="⚠ REVISAR",102,"")</f>
        <v/>
      </c>
      <c r="B122" s="122" t="str">
        <f>IF(DASHBOARD!G120="⚠ REVISAR",DASHBOARD!A120,"")</f>
        <v/>
      </c>
      <c r="C122" s="119" t="str">
        <f>IF(DASHBOARD!G120="⚠ REVISAR",DASHBOARD!C120,"")</f>
        <v/>
      </c>
      <c r="D122" s="122" t="str">
        <f>IF(DASHBOARD!G120="⚠ REVISAR",DASHBOARD!D120,"")</f>
        <v/>
      </c>
      <c r="E122" s="122" t="str">
        <f>IF(DASHBOARD!G120="⚠ REVISAR",DASHBOARD!E120,"")</f>
        <v/>
      </c>
      <c r="F122" s="122"/>
    </row>
    <row r="123" spans="1:6" ht="13.95" customHeight="1">
      <c r="A123" s="125" t="str">
        <f>IF(DASHBOARD!G121="⚠ REVISAR",103,"")</f>
        <v/>
      </c>
      <c r="B123" s="125" t="str">
        <f>IF(DASHBOARD!G121="⚠ REVISAR",DASHBOARD!A121,"")</f>
        <v/>
      </c>
      <c r="C123" s="117" t="str">
        <f>IF(DASHBOARD!G121="⚠ REVISAR",DASHBOARD!C121,"")</f>
        <v/>
      </c>
      <c r="D123" s="125" t="str">
        <f>IF(DASHBOARD!G121="⚠ REVISAR",DASHBOARD!D121,"")</f>
        <v/>
      </c>
      <c r="E123" s="125" t="str">
        <f>IF(DASHBOARD!G121="⚠ REVISAR",DASHBOARD!E121,"")</f>
        <v/>
      </c>
      <c r="F123" s="125"/>
    </row>
    <row r="124" spans="1:6" ht="13.95" customHeight="1">
      <c r="A124" s="122" t="str">
        <f>IF(DASHBOARD!G122="⚠ REVISAR",104,"")</f>
        <v/>
      </c>
      <c r="B124" s="122" t="str">
        <f>IF(DASHBOARD!G122="⚠ REVISAR",DASHBOARD!A122,"")</f>
        <v/>
      </c>
      <c r="C124" s="119" t="str">
        <f>IF(DASHBOARD!G122="⚠ REVISAR",DASHBOARD!C122,"")</f>
        <v/>
      </c>
      <c r="D124" s="122" t="str">
        <f>IF(DASHBOARD!G122="⚠ REVISAR",DASHBOARD!D122,"")</f>
        <v/>
      </c>
      <c r="E124" s="122" t="str">
        <f>IF(DASHBOARD!G122="⚠ REVISAR",DASHBOARD!E122,"")</f>
        <v/>
      </c>
      <c r="F124" s="122"/>
    </row>
    <row r="125" spans="1:6" ht="13.95" customHeight="1">
      <c r="A125" s="125" t="str">
        <f>IF(DASHBOARD!G123="⚠ REVISAR",105,"")</f>
        <v/>
      </c>
      <c r="B125" s="125" t="str">
        <f>IF(DASHBOARD!G123="⚠ REVISAR",DASHBOARD!A123,"")</f>
        <v/>
      </c>
      <c r="C125" s="117" t="str">
        <f>IF(DASHBOARD!G123="⚠ REVISAR",DASHBOARD!C123,"")</f>
        <v/>
      </c>
      <c r="D125" s="125" t="str">
        <f>IF(DASHBOARD!G123="⚠ REVISAR",DASHBOARD!D123,"")</f>
        <v/>
      </c>
      <c r="E125" s="125" t="str">
        <f>IF(DASHBOARD!G123="⚠ REVISAR",DASHBOARD!E123,"")</f>
        <v/>
      </c>
      <c r="F125" s="125"/>
    </row>
    <row r="126" spans="1:6" ht="13.95" customHeight="1">
      <c r="A126" s="122" t="str">
        <f>IF(DASHBOARD!G124="⚠ REVISAR",106,"")</f>
        <v/>
      </c>
      <c r="B126" s="122" t="str">
        <f>IF(DASHBOARD!G124="⚠ REVISAR",DASHBOARD!A124,"")</f>
        <v/>
      </c>
      <c r="C126" s="119" t="str">
        <f>IF(DASHBOARD!G124="⚠ REVISAR",DASHBOARD!C124,"")</f>
        <v/>
      </c>
      <c r="D126" s="122" t="str">
        <f>IF(DASHBOARD!G124="⚠ REVISAR",DASHBOARD!D124,"")</f>
        <v/>
      </c>
      <c r="E126" s="122" t="str">
        <f>IF(DASHBOARD!G124="⚠ REVISAR",DASHBOARD!E124,"")</f>
        <v/>
      </c>
      <c r="F126" s="122"/>
    </row>
    <row r="127" spans="1:6" ht="13.95" customHeight="1">
      <c r="A127" s="125" t="str">
        <f>IF(DASHBOARD!G125="⚠ REVISAR",107,"")</f>
        <v/>
      </c>
      <c r="B127" s="125" t="str">
        <f>IF(DASHBOARD!G125="⚠ REVISAR",DASHBOARD!A125,"")</f>
        <v/>
      </c>
      <c r="C127" s="117" t="str">
        <f>IF(DASHBOARD!G125="⚠ REVISAR",DASHBOARD!C125,"")</f>
        <v/>
      </c>
      <c r="D127" s="125" t="str">
        <f>IF(DASHBOARD!G125="⚠ REVISAR",DASHBOARD!D125,"")</f>
        <v/>
      </c>
      <c r="E127" s="125" t="str">
        <f>IF(DASHBOARD!G125="⚠ REVISAR",DASHBOARD!E125,"")</f>
        <v/>
      </c>
      <c r="F127" s="125"/>
    </row>
    <row r="128" spans="1:6" ht="13.95" customHeight="1">
      <c r="A128" s="122" t="str">
        <f>IF(DASHBOARD!G126="⚠ REVISAR",108,"")</f>
        <v/>
      </c>
      <c r="B128" s="122" t="str">
        <f>IF(DASHBOARD!G126="⚠ REVISAR",DASHBOARD!A126,"")</f>
        <v/>
      </c>
      <c r="C128" s="119" t="str">
        <f>IF(DASHBOARD!G126="⚠ REVISAR",DASHBOARD!C126,"")</f>
        <v/>
      </c>
      <c r="D128" s="122" t="str">
        <f>IF(DASHBOARD!G126="⚠ REVISAR",DASHBOARD!D126,"")</f>
        <v/>
      </c>
      <c r="E128" s="122" t="str">
        <f>IF(DASHBOARD!G126="⚠ REVISAR",DASHBOARD!E126,"")</f>
        <v/>
      </c>
      <c r="F128" s="122"/>
    </row>
    <row r="129" spans="1:16" ht="13.95" customHeight="1">
      <c r="A129" s="125" t="str">
        <f>IF(DASHBOARD!G127="⚠ REVISAR",109,"")</f>
        <v/>
      </c>
      <c r="B129" s="125" t="str">
        <f>IF(DASHBOARD!G127="⚠ REVISAR",DASHBOARD!A127,"")</f>
        <v/>
      </c>
      <c r="C129" s="117" t="str">
        <f>IF(DASHBOARD!G127="⚠ REVISAR",DASHBOARD!C127,"")</f>
        <v/>
      </c>
      <c r="D129" s="125" t="str">
        <f>IF(DASHBOARD!G127="⚠ REVISAR",DASHBOARD!D127,"")</f>
        <v/>
      </c>
      <c r="E129" s="125" t="str">
        <f>IF(DASHBOARD!G127="⚠ REVISAR",DASHBOARD!E127,"")</f>
        <v/>
      </c>
      <c r="F129" s="125"/>
    </row>
    <row r="130" spans="1:16" ht="13.95" customHeight="1">
      <c r="A130" s="122" t="str">
        <f>IF(DASHBOARD!G128="⚠ REVISAR",110,"")</f>
        <v/>
      </c>
      <c r="B130" s="122" t="str">
        <f>IF(DASHBOARD!G128="⚠ REVISAR",DASHBOARD!A128,"")</f>
        <v/>
      </c>
      <c r="C130" s="119" t="str">
        <f>IF(DASHBOARD!G128="⚠ REVISAR",DASHBOARD!C128,"")</f>
        <v/>
      </c>
      <c r="D130" s="122" t="str">
        <f>IF(DASHBOARD!G128="⚠ REVISAR",DASHBOARD!D128,"")</f>
        <v/>
      </c>
      <c r="E130" s="122" t="str">
        <f>IF(DASHBOARD!G128="⚠ REVISAR",DASHBOARD!E128,"")</f>
        <v/>
      </c>
      <c r="F130" s="122"/>
    </row>
    <row r="131" spans="1:16" ht="13.95" customHeight="1">
      <c r="A131" s="125" t="str">
        <f>IF(DASHBOARD!G129="⚠ REVISAR",111,"")</f>
        <v/>
      </c>
      <c r="B131" s="125" t="str">
        <f>IF(DASHBOARD!G129="⚠ REVISAR",DASHBOARD!A129,"")</f>
        <v/>
      </c>
      <c r="C131" s="117" t="str">
        <f>IF(DASHBOARD!G129="⚠ REVISAR",DASHBOARD!C129,"")</f>
        <v/>
      </c>
      <c r="D131" s="125" t="str">
        <f>IF(DASHBOARD!G129="⚠ REVISAR",DASHBOARD!D129,"")</f>
        <v/>
      </c>
      <c r="E131" s="125" t="str">
        <f>IF(DASHBOARD!G129="⚠ REVISAR",DASHBOARD!E129,"")</f>
        <v/>
      </c>
      <c r="F131" s="125"/>
    </row>
    <row r="132" spans="1:16" ht="13.95" customHeight="1">
      <c r="A132" s="122" t="str">
        <f>IF(DASHBOARD!G130="⚠ REVISAR",112,"")</f>
        <v/>
      </c>
      <c r="B132" s="122" t="str">
        <f>IF(DASHBOARD!G130="⚠ REVISAR",DASHBOARD!A130,"")</f>
        <v/>
      </c>
      <c r="C132" s="119" t="str">
        <f>IF(DASHBOARD!G130="⚠ REVISAR",DASHBOARD!C130,"")</f>
        <v/>
      </c>
      <c r="D132" s="122" t="str">
        <f>IF(DASHBOARD!G130="⚠ REVISAR",DASHBOARD!D130,"")</f>
        <v/>
      </c>
      <c r="E132" s="122" t="str">
        <f>IF(DASHBOARD!G130="⚠ REVISAR",DASHBOARD!E130,"")</f>
        <v/>
      </c>
      <c r="F132" s="122"/>
    </row>
    <row r="133" spans="1:16" ht="13.95" customHeight="1">
      <c r="A133" s="125" t="str">
        <f>IF(DASHBOARD!G131="⚠ REVISAR",113,"")</f>
        <v/>
      </c>
      <c r="B133" s="125" t="str">
        <f>IF(DASHBOARD!G131="⚠ REVISAR",DASHBOARD!A131,"")</f>
        <v/>
      </c>
      <c r="C133" s="117" t="str">
        <f>IF(DASHBOARD!G131="⚠ REVISAR",DASHBOARD!C131,"")</f>
        <v/>
      </c>
      <c r="D133" s="125" t="str">
        <f>IF(DASHBOARD!G131="⚠ REVISAR",DASHBOARD!D131,"")</f>
        <v/>
      </c>
      <c r="E133" s="125" t="str">
        <f>IF(DASHBOARD!G131="⚠ REVISAR",DASHBOARD!E131,"")</f>
        <v/>
      </c>
      <c r="F133" s="125"/>
    </row>
    <row r="134" spans="1:16" ht="13.95" customHeight="1">
      <c r="A134" s="122" t="str">
        <f>IF(DASHBOARD!G132="⚠ REVISAR",114,"")</f>
        <v/>
      </c>
      <c r="B134" s="122" t="str">
        <f>IF(DASHBOARD!G132="⚠ REVISAR",DASHBOARD!A132,"")</f>
        <v/>
      </c>
      <c r="C134" s="119" t="str">
        <f>IF(DASHBOARD!G132="⚠ REVISAR",DASHBOARD!C132,"")</f>
        <v/>
      </c>
      <c r="D134" s="122" t="str">
        <f>IF(DASHBOARD!G132="⚠ REVISAR",DASHBOARD!D132,"")</f>
        <v/>
      </c>
      <c r="E134" s="122" t="str">
        <f>IF(DASHBOARD!G132="⚠ REVISAR",DASHBOARD!E132,"")</f>
        <v/>
      </c>
      <c r="F134" s="122"/>
    </row>
    <row r="135" spans="1:16" ht="13.95" customHeight="1">
      <c r="A135" s="125" t="str">
        <f>IF(DASHBOARD!G133="⚠ REVISAR",115,"")</f>
        <v/>
      </c>
      <c r="B135" s="125" t="str">
        <f>IF(DASHBOARD!G133="⚠ REVISAR",DASHBOARD!A133,"")</f>
        <v/>
      </c>
      <c r="C135" s="117" t="str">
        <f>IF(DASHBOARD!G133="⚠ REVISAR",DASHBOARD!C133,"")</f>
        <v/>
      </c>
      <c r="D135" s="125" t="str">
        <f>IF(DASHBOARD!G133="⚠ REVISAR",DASHBOARD!D133,"")</f>
        <v/>
      </c>
      <c r="E135" s="125" t="str">
        <f>IF(DASHBOARD!G133="⚠ REVISAR",DASHBOARD!E133,"")</f>
        <v/>
      </c>
      <c r="F135" s="125"/>
    </row>
    <row r="136" spans="1:16" ht="13.95" customHeight="1">
      <c r="A136" s="122" t="str">
        <f>IF(DASHBOARD!G134="⚠ REVISAR",116,"")</f>
        <v/>
      </c>
      <c r="B136" s="122" t="str">
        <f>IF(DASHBOARD!G134="⚠ REVISAR",DASHBOARD!A134,"")</f>
        <v/>
      </c>
      <c r="C136" s="119" t="str">
        <f>IF(DASHBOARD!G134="⚠ REVISAR",DASHBOARD!C134,"")</f>
        <v/>
      </c>
      <c r="D136" s="122" t="str">
        <f>IF(DASHBOARD!G134="⚠ REVISAR",DASHBOARD!D134,"")</f>
        <v/>
      </c>
      <c r="E136" s="122" t="str">
        <f>IF(DASHBOARD!G134="⚠ REVISAR",DASHBOARD!E134,"")</f>
        <v/>
      </c>
      <c r="F136" s="122"/>
    </row>
    <row r="137" spans="1:16" ht="13.95" customHeight="1">
      <c r="A137" s="125" t="str">
        <f>IF(DASHBOARD!G135="⚠ REVISAR",117,"")</f>
        <v/>
      </c>
      <c r="B137" s="125" t="str">
        <f>IF(DASHBOARD!G135="⚠ REVISAR",DASHBOARD!A135,"")</f>
        <v/>
      </c>
      <c r="C137" s="117" t="str">
        <f>IF(DASHBOARD!G135="⚠ REVISAR",DASHBOARD!C135,"")</f>
        <v/>
      </c>
      <c r="D137" s="125" t="str">
        <f>IF(DASHBOARD!G135="⚠ REVISAR",DASHBOARD!D135,"")</f>
        <v/>
      </c>
      <c r="E137" s="125" t="str">
        <f>IF(DASHBOARD!G135="⚠ REVISAR",DASHBOARD!E135,"")</f>
        <v/>
      </c>
      <c r="F137" s="125"/>
    </row>
    <row r="138" spans="1:16" ht="13.95" customHeight="1">
      <c r="A138" s="122" t="str">
        <f>IF(DASHBOARD!G136="⚠ REVISAR",118,"")</f>
        <v/>
      </c>
      <c r="B138" s="122" t="str">
        <f>IF(DASHBOARD!G136="⚠ REVISAR",DASHBOARD!A136,"")</f>
        <v/>
      </c>
      <c r="C138" s="119" t="str">
        <f>IF(DASHBOARD!G136="⚠ REVISAR",DASHBOARD!C136,"")</f>
        <v/>
      </c>
      <c r="D138" s="122" t="str">
        <f>IF(DASHBOARD!G136="⚠ REVISAR",DASHBOARD!D136,"")</f>
        <v/>
      </c>
      <c r="E138" s="122" t="str">
        <f>IF(DASHBOARD!G136="⚠ REVISAR",DASHBOARD!E136,"")</f>
        <v/>
      </c>
      <c r="F138" s="122"/>
    </row>
    <row r="139" spans="1:16" ht="13.95" customHeight="1">
      <c r="A139" s="125" t="str">
        <f>IF(DASHBOARD!G137="⚠ REVISAR",119,"")</f>
        <v/>
      </c>
      <c r="B139" s="125" t="str">
        <f>IF(DASHBOARD!G137="⚠ REVISAR",DASHBOARD!A137,"")</f>
        <v/>
      </c>
      <c r="C139" s="117" t="str">
        <f>IF(DASHBOARD!G137="⚠ REVISAR",DASHBOARD!C137,"")</f>
        <v/>
      </c>
      <c r="D139" s="125" t="str">
        <f>IF(DASHBOARD!G137="⚠ REVISAR",DASHBOARD!D137,"")</f>
        <v/>
      </c>
      <c r="E139" s="125" t="str">
        <f>IF(DASHBOARD!G137="⚠ REVISAR",DASHBOARD!E137,"")</f>
        <v/>
      </c>
      <c r="F139" s="125"/>
    </row>
    <row r="140" spans="1:16" ht="13.95" customHeight="1">
      <c r="A140" s="122" t="str">
        <f>IF(DASHBOARD!G138="⚠ REVISAR",120,"")</f>
        <v/>
      </c>
      <c r="B140" s="122" t="str">
        <f>IF(DASHBOARD!G138="⚠ REVISAR",DASHBOARD!A138,"")</f>
        <v/>
      </c>
      <c r="C140" s="119" t="str">
        <f>IF(DASHBOARD!G138="⚠ REVISAR",DASHBOARD!C138,"")</f>
        <v/>
      </c>
      <c r="D140" s="122" t="str">
        <f>IF(DASHBOARD!G138="⚠ REVISAR",DASHBOARD!D138,"")</f>
        <v/>
      </c>
      <c r="E140" s="122" t="str">
        <f>IF(DASHBOARD!G138="⚠ REVISAR",DASHBOARD!E138,"")</f>
        <v/>
      </c>
      <c r="F140" s="122"/>
    </row>
    <row r="143" spans="1:16" ht="18" customHeight="1">
      <c r="A143" s="229" t="s">
        <v>55</v>
      </c>
      <c r="B143" s="216"/>
      <c r="C143" s="216"/>
      <c r="D143" s="216"/>
      <c r="E143" s="216"/>
      <c r="F143" s="216"/>
      <c r="G143" s="216"/>
      <c r="H143" s="216"/>
      <c r="I143" s="216"/>
      <c r="J143" s="216"/>
      <c r="K143" s="216"/>
      <c r="L143" s="216"/>
      <c r="M143" s="216"/>
      <c r="N143" s="216"/>
      <c r="O143" s="216"/>
      <c r="P143" s="206"/>
    </row>
    <row r="145" spans="1:5">
      <c r="A145" s="227" t="s">
        <v>56</v>
      </c>
      <c r="B145" s="186"/>
      <c r="C145" s="186"/>
      <c r="D145" s="186"/>
      <c r="E145" s="186"/>
    </row>
    <row r="146" spans="1:5">
      <c r="A146" s="228" t="s">
        <v>57</v>
      </c>
      <c r="B146" s="186"/>
      <c r="C146" s="186"/>
      <c r="D146" s="186"/>
      <c r="E146" s="186"/>
    </row>
    <row r="148" spans="1:5">
      <c r="A148" s="227" t="s">
        <v>58</v>
      </c>
      <c r="B148" s="186"/>
      <c r="C148" s="186"/>
      <c r="D148" s="186"/>
      <c r="E148" s="186"/>
    </row>
    <row r="149" spans="1:5">
      <c r="A149" s="228" t="s">
        <v>57</v>
      </c>
      <c r="B149" s="186"/>
      <c r="C149" s="186"/>
      <c r="D149" s="186"/>
      <c r="E149" s="186"/>
    </row>
    <row r="151" spans="1:5">
      <c r="A151" s="227" t="s">
        <v>59</v>
      </c>
      <c r="B151" s="186"/>
      <c r="C151" s="186"/>
      <c r="D151" s="186"/>
      <c r="E151" s="186"/>
    </row>
    <row r="152" spans="1:5">
      <c r="A152" s="228" t="s">
        <v>57</v>
      </c>
      <c r="B152" s="186"/>
      <c r="C152" s="186"/>
      <c r="D152" s="186"/>
      <c r="E152" s="186"/>
    </row>
  </sheetData>
  <mergeCells count="17">
    <mergeCell ref="A148:B148"/>
    <mergeCell ref="A1:P1"/>
    <mergeCell ref="A151:B151"/>
    <mergeCell ref="A152:B152"/>
    <mergeCell ref="A6:P6"/>
    <mergeCell ref="C145:E146"/>
    <mergeCell ref="A4:P4"/>
    <mergeCell ref="A143:P143"/>
    <mergeCell ref="A3:P3"/>
    <mergeCell ref="A149:B149"/>
    <mergeCell ref="A146:B146"/>
    <mergeCell ref="C148:E149"/>
    <mergeCell ref="A19:P19"/>
    <mergeCell ref="A2:P2"/>
    <mergeCell ref="A145:B145"/>
    <mergeCell ref="C151:E152"/>
    <mergeCell ref="A13:P13"/>
  </mergeCells>
  <conditionalFormatting sqref="D1:E200">
    <cfRule type="cellIs" dxfId="22" priority="1" operator="lessThan">
      <formula>3</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5623"/>
  </sheetPr>
  <dimension ref="A1:L134"/>
  <sheetViews>
    <sheetView workbookViewId="0">
      <pane ySplit="3" topLeftCell="A4" activePane="bottomLeft" state="frozen"/>
      <selection pane="bottomLeft" sqref="A1:L1"/>
    </sheetView>
  </sheetViews>
  <sheetFormatPr baseColWidth="10" defaultColWidth="8.88671875" defaultRowHeight="14.4"/>
  <cols>
    <col min="1" max="1" width="6" customWidth="1"/>
    <col min="2" max="2" width="32" customWidth="1"/>
    <col min="3" max="3" width="14" customWidth="1"/>
    <col min="4" max="4" width="16" customWidth="1"/>
    <col min="5" max="5" width="14" customWidth="1"/>
  </cols>
  <sheetData>
    <row r="1" spans="1:12" ht="24" customHeight="1">
      <c r="A1" s="234" t="s">
        <v>60</v>
      </c>
      <c r="B1" s="216"/>
      <c r="C1" s="216"/>
      <c r="D1" s="216"/>
      <c r="E1" s="216"/>
      <c r="F1" s="216"/>
      <c r="G1" s="216"/>
      <c r="H1" s="216"/>
      <c r="I1" s="216"/>
      <c r="J1" s="216"/>
      <c r="K1" s="216"/>
      <c r="L1" s="206"/>
    </row>
    <row r="2" spans="1:12" ht="16.05" customHeight="1">
      <c r="A2" s="232" t="s">
        <v>61</v>
      </c>
      <c r="B2" s="216"/>
      <c r="C2" s="216"/>
      <c r="D2" s="216"/>
      <c r="E2" s="216"/>
      <c r="F2" s="216"/>
      <c r="G2" s="216"/>
      <c r="H2" s="216"/>
      <c r="I2" s="216"/>
      <c r="J2" s="216"/>
      <c r="K2" s="216"/>
      <c r="L2" s="206"/>
    </row>
    <row r="4" spans="1:12" ht="19.95" customHeight="1">
      <c r="A4" s="229" t="s">
        <v>62</v>
      </c>
      <c r="B4" s="216"/>
      <c r="C4" s="216"/>
      <c r="D4" s="216"/>
      <c r="E4" s="216"/>
      <c r="F4" s="216"/>
      <c r="G4" s="216"/>
      <c r="H4" s="216"/>
      <c r="I4" s="216"/>
      <c r="J4" s="216"/>
      <c r="K4" s="216"/>
      <c r="L4" s="206"/>
    </row>
    <row r="5" spans="1:12" ht="18" customHeight="1">
      <c r="A5" s="147" t="s">
        <v>2</v>
      </c>
      <c r="B5" s="147" t="s">
        <v>3</v>
      </c>
      <c r="C5" s="147" t="s">
        <v>33</v>
      </c>
      <c r="D5" s="147" t="s">
        <v>34</v>
      </c>
      <c r="E5" s="147" t="s">
        <v>63</v>
      </c>
    </row>
    <row r="6" spans="1:12" ht="13.95" customHeight="1">
      <c r="A6" s="148" t="str">
        <f>IF(RESUMEN_7°!S5="✓ APROBADO",1,"")</f>
        <v/>
      </c>
      <c r="B6" s="149" t="str">
        <f>IF(RESUMEN_7°!S5="✓ APROBADO",RESUMEN_7°!B5,"")</f>
        <v/>
      </c>
      <c r="C6" s="148" t="str">
        <f>IF(RESUMEN_7°!S5="✓ APROBADO",RESUMEN_7°!F5,"")</f>
        <v/>
      </c>
      <c r="D6" s="148" t="str">
        <f>IF(RESUMEN_7°!S5="✓ APROBADO",RESUMEN_7°!R5,"")</f>
        <v/>
      </c>
      <c r="E6" s="148" t="str">
        <f>IF(RESUMEN_7°!S5="✓ APROBADO",IFERROR(ROUND(AVERAGE(RESUMEN_7°!F5,RESUMEN_7°!R5),1),""),"")</f>
        <v/>
      </c>
    </row>
    <row r="7" spans="1:12" ht="13.95" customHeight="1">
      <c r="A7" s="125" t="str">
        <f>IF(RESUMEN_7°!S6="✓ APROBADO",2,"")</f>
        <v/>
      </c>
      <c r="B7" s="117" t="str">
        <f>IF(RESUMEN_7°!S6="✓ APROBADO",RESUMEN_7°!B6,"")</f>
        <v/>
      </c>
      <c r="C7" s="125" t="str">
        <f>IF(RESUMEN_7°!S6="✓ APROBADO",RESUMEN_7°!F6,"")</f>
        <v/>
      </c>
      <c r="D7" s="125" t="str">
        <f>IF(RESUMEN_7°!S6="✓ APROBADO",RESUMEN_7°!R6,"")</f>
        <v/>
      </c>
      <c r="E7" s="125" t="str">
        <f>IF(RESUMEN_7°!S6="✓ APROBADO",IFERROR(ROUND(AVERAGE(RESUMEN_7°!F6,RESUMEN_7°!R6),1),""),"")</f>
        <v/>
      </c>
    </row>
    <row r="8" spans="1:12" ht="13.95" customHeight="1">
      <c r="A8" s="148" t="str">
        <f>IF(RESUMEN_7°!S7="✓ APROBADO",3,"")</f>
        <v/>
      </c>
      <c r="B8" s="149" t="str">
        <f>IF(RESUMEN_7°!S7="✓ APROBADO",RESUMEN_7°!B7,"")</f>
        <v/>
      </c>
      <c r="C8" s="148" t="str">
        <f>IF(RESUMEN_7°!S7="✓ APROBADO",RESUMEN_7°!F7,"")</f>
        <v/>
      </c>
      <c r="D8" s="148" t="str">
        <f>IF(RESUMEN_7°!S7="✓ APROBADO",RESUMEN_7°!R7,"")</f>
        <v/>
      </c>
      <c r="E8" s="148" t="str">
        <f>IF(RESUMEN_7°!S7="✓ APROBADO",IFERROR(ROUND(AVERAGE(RESUMEN_7°!F7,RESUMEN_7°!R7),1),""),"")</f>
        <v/>
      </c>
    </row>
    <row r="9" spans="1:12" ht="13.95" customHeight="1">
      <c r="A9" s="125" t="str">
        <f>IF(RESUMEN_7°!S8="✓ APROBADO",4,"")</f>
        <v/>
      </c>
      <c r="B9" s="117" t="str">
        <f>IF(RESUMEN_7°!S8="✓ APROBADO",RESUMEN_7°!B8,"")</f>
        <v/>
      </c>
      <c r="C9" s="125" t="str">
        <f>IF(RESUMEN_7°!S8="✓ APROBADO",RESUMEN_7°!F8,"")</f>
        <v/>
      </c>
      <c r="D9" s="125" t="str">
        <f>IF(RESUMEN_7°!S8="✓ APROBADO",RESUMEN_7°!R8,"")</f>
        <v/>
      </c>
      <c r="E9" s="125" t="str">
        <f>IF(RESUMEN_7°!S8="✓ APROBADO",IFERROR(ROUND(AVERAGE(RESUMEN_7°!F8,RESUMEN_7°!R8),1),""),"")</f>
        <v/>
      </c>
    </row>
    <row r="10" spans="1:12" ht="13.95" customHeight="1">
      <c r="A10" s="148" t="str">
        <f>IF(RESUMEN_7°!S9="✓ APROBADO",5,"")</f>
        <v/>
      </c>
      <c r="B10" s="149" t="str">
        <f>IF(RESUMEN_7°!S9="✓ APROBADO",RESUMEN_7°!B9,"")</f>
        <v/>
      </c>
      <c r="C10" s="148" t="str">
        <f>IF(RESUMEN_7°!S9="✓ APROBADO",RESUMEN_7°!F9,"")</f>
        <v/>
      </c>
      <c r="D10" s="148" t="str">
        <f>IF(RESUMEN_7°!S9="✓ APROBADO",RESUMEN_7°!R9,"")</f>
        <v/>
      </c>
      <c r="E10" s="148" t="str">
        <f>IF(RESUMEN_7°!S9="✓ APROBADO",IFERROR(ROUND(AVERAGE(RESUMEN_7°!F9,RESUMEN_7°!R9),1),""),"")</f>
        <v/>
      </c>
    </row>
    <row r="11" spans="1:12" ht="13.95" customHeight="1">
      <c r="A11" s="125" t="str">
        <f>IF(RESUMEN_7°!S10="✓ APROBADO",6,"")</f>
        <v/>
      </c>
      <c r="B11" s="117" t="str">
        <f>IF(RESUMEN_7°!S10="✓ APROBADO",RESUMEN_7°!B10,"")</f>
        <v/>
      </c>
      <c r="C11" s="125" t="str">
        <f>IF(RESUMEN_7°!S10="✓ APROBADO",RESUMEN_7°!F10,"")</f>
        <v/>
      </c>
      <c r="D11" s="125" t="str">
        <f>IF(RESUMEN_7°!S10="✓ APROBADO",RESUMEN_7°!R10,"")</f>
        <v/>
      </c>
      <c r="E11" s="125" t="str">
        <f>IF(RESUMEN_7°!S10="✓ APROBADO",IFERROR(ROUND(AVERAGE(RESUMEN_7°!F10,RESUMEN_7°!R10),1),""),"")</f>
        <v/>
      </c>
    </row>
    <row r="12" spans="1:12" ht="13.95" customHeight="1">
      <c r="A12" s="148" t="str">
        <f>IF(RESUMEN_7°!S11="✓ APROBADO",7,"")</f>
        <v/>
      </c>
      <c r="B12" s="149" t="str">
        <f>IF(RESUMEN_7°!S11="✓ APROBADO",RESUMEN_7°!B11,"")</f>
        <v/>
      </c>
      <c r="C12" s="148" t="str">
        <f>IF(RESUMEN_7°!S11="✓ APROBADO",RESUMEN_7°!F11,"")</f>
        <v/>
      </c>
      <c r="D12" s="148" t="str">
        <f>IF(RESUMEN_7°!S11="✓ APROBADO",RESUMEN_7°!R11,"")</f>
        <v/>
      </c>
      <c r="E12" s="148" t="str">
        <f>IF(RESUMEN_7°!S11="✓ APROBADO",IFERROR(ROUND(AVERAGE(RESUMEN_7°!F11,RESUMEN_7°!R11),1),""),"")</f>
        <v/>
      </c>
    </row>
    <row r="13" spans="1:12" ht="13.95" customHeight="1">
      <c r="A13" s="125" t="str">
        <f>IF(RESUMEN_7°!S12="✓ APROBADO",8,"")</f>
        <v/>
      </c>
      <c r="B13" s="117" t="str">
        <f>IF(RESUMEN_7°!S12="✓ APROBADO",RESUMEN_7°!B12,"")</f>
        <v/>
      </c>
      <c r="C13" s="125" t="str">
        <f>IF(RESUMEN_7°!S12="✓ APROBADO",RESUMEN_7°!F12,"")</f>
        <v/>
      </c>
      <c r="D13" s="125" t="str">
        <f>IF(RESUMEN_7°!S12="✓ APROBADO",RESUMEN_7°!R12,"")</f>
        <v/>
      </c>
      <c r="E13" s="125" t="str">
        <f>IF(RESUMEN_7°!S12="✓ APROBADO",IFERROR(ROUND(AVERAGE(RESUMEN_7°!F12,RESUMEN_7°!R12),1),""),"")</f>
        <v/>
      </c>
    </row>
    <row r="14" spans="1:12" ht="13.95" customHeight="1">
      <c r="A14" s="148" t="str">
        <f>IF(RESUMEN_7°!S13="✓ APROBADO",9,"")</f>
        <v/>
      </c>
      <c r="B14" s="149" t="str">
        <f>IF(RESUMEN_7°!S13="✓ APROBADO",RESUMEN_7°!B13,"")</f>
        <v/>
      </c>
      <c r="C14" s="148" t="str">
        <f>IF(RESUMEN_7°!S13="✓ APROBADO",RESUMEN_7°!F13,"")</f>
        <v/>
      </c>
      <c r="D14" s="148" t="str">
        <f>IF(RESUMEN_7°!S13="✓ APROBADO",RESUMEN_7°!R13,"")</f>
        <v/>
      </c>
      <c r="E14" s="148" t="str">
        <f>IF(RESUMEN_7°!S13="✓ APROBADO",IFERROR(ROUND(AVERAGE(RESUMEN_7°!F13,RESUMEN_7°!R13),1),""),"")</f>
        <v/>
      </c>
    </row>
    <row r="15" spans="1:12" ht="13.95" customHeight="1">
      <c r="A15" s="125" t="str">
        <f>IF(RESUMEN_7°!S14="✓ APROBADO",10,"")</f>
        <v/>
      </c>
      <c r="B15" s="117" t="str">
        <f>IF(RESUMEN_7°!S14="✓ APROBADO",RESUMEN_7°!B14,"")</f>
        <v/>
      </c>
      <c r="C15" s="125" t="str">
        <f>IF(RESUMEN_7°!S14="✓ APROBADO",RESUMEN_7°!F14,"")</f>
        <v/>
      </c>
      <c r="D15" s="125" t="str">
        <f>IF(RESUMEN_7°!S14="✓ APROBADO",RESUMEN_7°!R14,"")</f>
        <v/>
      </c>
      <c r="E15" s="125" t="str">
        <f>IF(RESUMEN_7°!S14="✓ APROBADO",IFERROR(ROUND(AVERAGE(RESUMEN_7°!F14,RESUMEN_7°!R14),1),""),"")</f>
        <v/>
      </c>
    </row>
    <row r="16" spans="1:12" ht="13.95" customHeight="1">
      <c r="A16" s="148" t="str">
        <f>IF(RESUMEN_7°!S15="✓ APROBADO",11,"")</f>
        <v/>
      </c>
      <c r="B16" s="149" t="str">
        <f>IF(RESUMEN_7°!S15="✓ APROBADO",RESUMEN_7°!B15,"")</f>
        <v/>
      </c>
      <c r="C16" s="148" t="str">
        <f>IF(RESUMEN_7°!S15="✓ APROBADO",RESUMEN_7°!F15,"")</f>
        <v/>
      </c>
      <c r="D16" s="148" t="str">
        <f>IF(RESUMEN_7°!S15="✓ APROBADO",RESUMEN_7°!R15,"")</f>
        <v/>
      </c>
      <c r="E16" s="148" t="str">
        <f>IF(RESUMEN_7°!S15="✓ APROBADO",IFERROR(ROUND(AVERAGE(RESUMEN_7°!F15,RESUMEN_7°!R15),1),""),"")</f>
        <v/>
      </c>
    </row>
    <row r="17" spans="1:5" ht="13.95" customHeight="1">
      <c r="A17" s="125" t="str">
        <f>IF(RESUMEN_7°!S16="✓ APROBADO",12,"")</f>
        <v/>
      </c>
      <c r="B17" s="117" t="str">
        <f>IF(RESUMEN_7°!S16="✓ APROBADO",RESUMEN_7°!B16,"")</f>
        <v/>
      </c>
      <c r="C17" s="125" t="str">
        <f>IF(RESUMEN_7°!S16="✓ APROBADO",RESUMEN_7°!F16,"")</f>
        <v/>
      </c>
      <c r="D17" s="125" t="str">
        <f>IF(RESUMEN_7°!S16="✓ APROBADO",RESUMEN_7°!R16,"")</f>
        <v/>
      </c>
      <c r="E17" s="125" t="str">
        <f>IF(RESUMEN_7°!S16="✓ APROBADO",IFERROR(ROUND(AVERAGE(RESUMEN_7°!F16,RESUMEN_7°!R16),1),""),"")</f>
        <v/>
      </c>
    </row>
    <row r="18" spans="1:5" ht="13.95" customHeight="1">
      <c r="A18" s="148" t="str">
        <f>IF(RESUMEN_7°!S17="✓ APROBADO",13,"")</f>
        <v/>
      </c>
      <c r="B18" s="149" t="str">
        <f>IF(RESUMEN_7°!S17="✓ APROBADO",RESUMEN_7°!B17,"")</f>
        <v/>
      </c>
      <c r="C18" s="148" t="str">
        <f>IF(RESUMEN_7°!S17="✓ APROBADO",RESUMEN_7°!F17,"")</f>
        <v/>
      </c>
      <c r="D18" s="148" t="str">
        <f>IF(RESUMEN_7°!S17="✓ APROBADO",RESUMEN_7°!R17,"")</f>
        <v/>
      </c>
      <c r="E18" s="148" t="str">
        <f>IF(RESUMEN_7°!S17="✓ APROBADO",IFERROR(ROUND(AVERAGE(RESUMEN_7°!F17,RESUMEN_7°!R17),1),""),"")</f>
        <v/>
      </c>
    </row>
    <row r="19" spans="1:5" ht="13.95" customHeight="1">
      <c r="A19" s="125" t="str">
        <f>IF(RESUMEN_7°!S18="✓ APROBADO",14,"")</f>
        <v/>
      </c>
      <c r="B19" s="117" t="str">
        <f>IF(RESUMEN_7°!S18="✓ APROBADO",RESUMEN_7°!B18,"")</f>
        <v/>
      </c>
      <c r="C19" s="125" t="str">
        <f>IF(RESUMEN_7°!S18="✓ APROBADO",RESUMEN_7°!F18,"")</f>
        <v/>
      </c>
      <c r="D19" s="125" t="str">
        <f>IF(RESUMEN_7°!S18="✓ APROBADO",RESUMEN_7°!R18,"")</f>
        <v/>
      </c>
      <c r="E19" s="125" t="str">
        <f>IF(RESUMEN_7°!S18="✓ APROBADO",IFERROR(ROUND(AVERAGE(RESUMEN_7°!F18,RESUMEN_7°!R18),1),""),"")</f>
        <v/>
      </c>
    </row>
    <row r="20" spans="1:5" ht="13.95" customHeight="1">
      <c r="A20" s="148" t="str">
        <f>IF(RESUMEN_7°!S19="✓ APROBADO",15,"")</f>
        <v/>
      </c>
      <c r="B20" s="149" t="str">
        <f>IF(RESUMEN_7°!S19="✓ APROBADO",RESUMEN_7°!B19,"")</f>
        <v/>
      </c>
      <c r="C20" s="148" t="str">
        <f>IF(RESUMEN_7°!S19="✓ APROBADO",RESUMEN_7°!F19,"")</f>
        <v/>
      </c>
      <c r="D20" s="148" t="str">
        <f>IF(RESUMEN_7°!S19="✓ APROBADO",RESUMEN_7°!R19,"")</f>
        <v/>
      </c>
      <c r="E20" s="148" t="str">
        <f>IF(RESUMEN_7°!S19="✓ APROBADO",IFERROR(ROUND(AVERAGE(RESUMEN_7°!F19,RESUMEN_7°!R19),1),""),"")</f>
        <v/>
      </c>
    </row>
    <row r="21" spans="1:5" ht="13.95" customHeight="1">
      <c r="A21" s="125" t="str">
        <f>IF(RESUMEN_7°!S20="✓ APROBADO",16,"")</f>
        <v/>
      </c>
      <c r="B21" s="117" t="str">
        <f>IF(RESUMEN_7°!S20="✓ APROBADO",RESUMEN_7°!B20,"")</f>
        <v/>
      </c>
      <c r="C21" s="125" t="str">
        <f>IF(RESUMEN_7°!S20="✓ APROBADO",RESUMEN_7°!F20,"")</f>
        <v/>
      </c>
      <c r="D21" s="125" t="str">
        <f>IF(RESUMEN_7°!S20="✓ APROBADO",RESUMEN_7°!R20,"")</f>
        <v/>
      </c>
      <c r="E21" s="125" t="str">
        <f>IF(RESUMEN_7°!S20="✓ APROBADO",IFERROR(ROUND(AVERAGE(RESUMEN_7°!F20,RESUMEN_7°!R20),1),""),"")</f>
        <v/>
      </c>
    </row>
    <row r="22" spans="1:5" ht="13.95" customHeight="1">
      <c r="A22" s="148" t="str">
        <f>IF(RESUMEN_7°!S21="✓ APROBADO",17,"")</f>
        <v/>
      </c>
      <c r="B22" s="149" t="str">
        <f>IF(RESUMEN_7°!S21="✓ APROBADO",RESUMEN_7°!B21,"")</f>
        <v/>
      </c>
      <c r="C22" s="148" t="str">
        <f>IF(RESUMEN_7°!S21="✓ APROBADO",RESUMEN_7°!F21,"")</f>
        <v/>
      </c>
      <c r="D22" s="148" t="str">
        <f>IF(RESUMEN_7°!S21="✓ APROBADO",RESUMEN_7°!R21,"")</f>
        <v/>
      </c>
      <c r="E22" s="148" t="str">
        <f>IF(RESUMEN_7°!S21="✓ APROBADO",IFERROR(ROUND(AVERAGE(RESUMEN_7°!F21,RESUMEN_7°!R21),1),""),"")</f>
        <v/>
      </c>
    </row>
    <row r="23" spans="1:5" ht="13.95" customHeight="1">
      <c r="A23" s="125" t="str">
        <f>IF(RESUMEN_7°!S22="✓ APROBADO",18,"")</f>
        <v/>
      </c>
      <c r="B23" s="117" t="str">
        <f>IF(RESUMEN_7°!S22="✓ APROBADO",RESUMEN_7°!B22,"")</f>
        <v/>
      </c>
      <c r="C23" s="125" t="str">
        <f>IF(RESUMEN_7°!S22="✓ APROBADO",RESUMEN_7°!F22,"")</f>
        <v/>
      </c>
      <c r="D23" s="125" t="str">
        <f>IF(RESUMEN_7°!S22="✓ APROBADO",RESUMEN_7°!R22,"")</f>
        <v/>
      </c>
      <c r="E23" s="125" t="str">
        <f>IF(RESUMEN_7°!S22="✓ APROBADO",IFERROR(ROUND(AVERAGE(RESUMEN_7°!F22,RESUMEN_7°!R22),1),""),"")</f>
        <v/>
      </c>
    </row>
    <row r="24" spans="1:5" ht="13.95" customHeight="1">
      <c r="A24" s="148" t="str">
        <f>IF(RESUMEN_7°!S23="✓ APROBADO",19,"")</f>
        <v/>
      </c>
      <c r="B24" s="149" t="str">
        <f>IF(RESUMEN_7°!S23="✓ APROBADO",RESUMEN_7°!B23,"")</f>
        <v/>
      </c>
      <c r="C24" s="148" t="str">
        <f>IF(RESUMEN_7°!S23="✓ APROBADO",RESUMEN_7°!F23,"")</f>
        <v/>
      </c>
      <c r="D24" s="148" t="str">
        <f>IF(RESUMEN_7°!S23="✓ APROBADO",RESUMEN_7°!R23,"")</f>
        <v/>
      </c>
      <c r="E24" s="148" t="str">
        <f>IF(RESUMEN_7°!S23="✓ APROBADO",IFERROR(ROUND(AVERAGE(RESUMEN_7°!F23,RESUMEN_7°!R23),1),""),"")</f>
        <v/>
      </c>
    </row>
    <row r="25" spans="1:5" ht="13.95" customHeight="1">
      <c r="A25" s="125" t="str">
        <f>IF(RESUMEN_7°!S24="✓ APROBADO",20,"")</f>
        <v/>
      </c>
      <c r="B25" s="117" t="str">
        <f>IF(RESUMEN_7°!S24="✓ APROBADO",RESUMEN_7°!B24,"")</f>
        <v/>
      </c>
      <c r="C25" s="125" t="str">
        <f>IF(RESUMEN_7°!S24="✓ APROBADO",RESUMEN_7°!F24,"")</f>
        <v/>
      </c>
      <c r="D25" s="125" t="str">
        <f>IF(RESUMEN_7°!S24="✓ APROBADO",RESUMEN_7°!R24,"")</f>
        <v/>
      </c>
      <c r="E25" s="125" t="str">
        <f>IF(RESUMEN_7°!S24="✓ APROBADO",IFERROR(ROUND(AVERAGE(RESUMEN_7°!F24,RESUMEN_7°!R24),1),""),"")</f>
        <v/>
      </c>
    </row>
    <row r="26" spans="1:5" ht="13.95" customHeight="1">
      <c r="A26" s="148" t="str">
        <f>IF(RESUMEN_7°!S25="✓ APROBADO",21,"")</f>
        <v/>
      </c>
      <c r="B26" s="149" t="str">
        <f>IF(RESUMEN_7°!S25="✓ APROBADO",RESUMEN_7°!B25,"")</f>
        <v/>
      </c>
      <c r="C26" s="148" t="str">
        <f>IF(RESUMEN_7°!S25="✓ APROBADO",RESUMEN_7°!F25,"")</f>
        <v/>
      </c>
      <c r="D26" s="148" t="str">
        <f>IF(RESUMEN_7°!S25="✓ APROBADO",RESUMEN_7°!R25,"")</f>
        <v/>
      </c>
      <c r="E26" s="148" t="str">
        <f>IF(RESUMEN_7°!S25="✓ APROBADO",IFERROR(ROUND(AVERAGE(RESUMEN_7°!F25,RESUMEN_7°!R25),1),""),"")</f>
        <v/>
      </c>
    </row>
    <row r="27" spans="1:5" ht="13.95" customHeight="1">
      <c r="A27" s="125" t="str">
        <f>IF(RESUMEN_7°!S26="✓ APROBADO",22,"")</f>
        <v/>
      </c>
      <c r="B27" s="117" t="str">
        <f>IF(RESUMEN_7°!S26="✓ APROBADO",RESUMEN_7°!B26,"")</f>
        <v/>
      </c>
      <c r="C27" s="125" t="str">
        <f>IF(RESUMEN_7°!S26="✓ APROBADO",RESUMEN_7°!F26,"")</f>
        <v/>
      </c>
      <c r="D27" s="125" t="str">
        <f>IF(RESUMEN_7°!S26="✓ APROBADO",RESUMEN_7°!R26,"")</f>
        <v/>
      </c>
      <c r="E27" s="125" t="str">
        <f>IF(RESUMEN_7°!S26="✓ APROBADO",IFERROR(ROUND(AVERAGE(RESUMEN_7°!F26,RESUMEN_7°!R26),1),""),"")</f>
        <v/>
      </c>
    </row>
    <row r="28" spans="1:5" ht="13.95" customHeight="1">
      <c r="A28" s="148" t="str">
        <f>IF(RESUMEN_7°!S27="✓ APROBADO",23,"")</f>
        <v/>
      </c>
      <c r="B28" s="149" t="str">
        <f>IF(RESUMEN_7°!S27="✓ APROBADO",RESUMEN_7°!B27,"")</f>
        <v/>
      </c>
      <c r="C28" s="148" t="str">
        <f>IF(RESUMEN_7°!S27="✓ APROBADO",RESUMEN_7°!F27,"")</f>
        <v/>
      </c>
      <c r="D28" s="148" t="str">
        <f>IF(RESUMEN_7°!S27="✓ APROBADO",RESUMEN_7°!R27,"")</f>
        <v/>
      </c>
      <c r="E28" s="148" t="str">
        <f>IF(RESUMEN_7°!S27="✓ APROBADO",IFERROR(ROUND(AVERAGE(RESUMEN_7°!F27,RESUMEN_7°!R27),1),""),"")</f>
        <v/>
      </c>
    </row>
    <row r="29" spans="1:5" ht="13.95" customHeight="1">
      <c r="A29" s="125" t="str">
        <f>IF(RESUMEN_7°!S28="✓ APROBADO",24,"")</f>
        <v/>
      </c>
      <c r="B29" s="117" t="str">
        <f>IF(RESUMEN_7°!S28="✓ APROBADO",RESUMEN_7°!B28,"")</f>
        <v/>
      </c>
      <c r="C29" s="125" t="str">
        <f>IF(RESUMEN_7°!S28="✓ APROBADO",RESUMEN_7°!F28,"")</f>
        <v/>
      </c>
      <c r="D29" s="125" t="str">
        <f>IF(RESUMEN_7°!S28="✓ APROBADO",RESUMEN_7°!R28,"")</f>
        <v/>
      </c>
      <c r="E29" s="125" t="str">
        <f>IF(RESUMEN_7°!S28="✓ APROBADO",IFERROR(ROUND(AVERAGE(RESUMEN_7°!F28,RESUMEN_7°!R28),1),""),"")</f>
        <v/>
      </c>
    </row>
    <row r="30" spans="1:5" ht="13.95" customHeight="1">
      <c r="A30" s="148" t="str">
        <f>IF(RESUMEN_7°!S29="✓ APROBADO",25,"")</f>
        <v/>
      </c>
      <c r="B30" s="149" t="str">
        <f>IF(RESUMEN_7°!S29="✓ APROBADO",RESUMEN_7°!B29,"")</f>
        <v/>
      </c>
      <c r="C30" s="148" t="str">
        <f>IF(RESUMEN_7°!S29="✓ APROBADO",RESUMEN_7°!F29,"")</f>
        <v/>
      </c>
      <c r="D30" s="148" t="str">
        <f>IF(RESUMEN_7°!S29="✓ APROBADO",RESUMEN_7°!R29,"")</f>
        <v/>
      </c>
      <c r="E30" s="148" t="str">
        <f>IF(RESUMEN_7°!S29="✓ APROBADO",IFERROR(ROUND(AVERAGE(RESUMEN_7°!F29,RESUMEN_7°!R29),1),""),"")</f>
        <v/>
      </c>
    </row>
    <row r="31" spans="1:5" ht="13.95" customHeight="1">
      <c r="A31" s="125" t="str">
        <f>IF(RESUMEN_7°!S30="✓ APROBADO",26,"")</f>
        <v/>
      </c>
      <c r="B31" s="117" t="str">
        <f>IF(RESUMEN_7°!S30="✓ APROBADO",RESUMEN_7°!B30,"")</f>
        <v/>
      </c>
      <c r="C31" s="125" t="str">
        <f>IF(RESUMEN_7°!S30="✓ APROBADO",RESUMEN_7°!F30,"")</f>
        <v/>
      </c>
      <c r="D31" s="125" t="str">
        <f>IF(RESUMEN_7°!S30="✓ APROBADO",RESUMEN_7°!R30,"")</f>
        <v/>
      </c>
      <c r="E31" s="125" t="str">
        <f>IF(RESUMEN_7°!S30="✓ APROBADO",IFERROR(ROUND(AVERAGE(RESUMEN_7°!F30,RESUMEN_7°!R30),1),""),"")</f>
        <v/>
      </c>
    </row>
    <row r="32" spans="1:5" ht="13.95" customHeight="1">
      <c r="A32" s="148" t="str">
        <f>IF(RESUMEN_7°!S31="✓ APROBADO",27,"")</f>
        <v/>
      </c>
      <c r="B32" s="149" t="str">
        <f>IF(RESUMEN_7°!S31="✓ APROBADO",RESUMEN_7°!B31,"")</f>
        <v/>
      </c>
      <c r="C32" s="148" t="str">
        <f>IF(RESUMEN_7°!S31="✓ APROBADO",RESUMEN_7°!F31,"")</f>
        <v/>
      </c>
      <c r="D32" s="148" t="str">
        <f>IF(RESUMEN_7°!S31="✓ APROBADO",RESUMEN_7°!R31,"")</f>
        <v/>
      </c>
      <c r="E32" s="148" t="str">
        <f>IF(RESUMEN_7°!S31="✓ APROBADO",IFERROR(ROUND(AVERAGE(RESUMEN_7°!F31,RESUMEN_7°!R31),1),""),"")</f>
        <v/>
      </c>
    </row>
    <row r="33" spans="1:12" ht="13.95" customHeight="1">
      <c r="A33" s="125" t="str">
        <f>IF(RESUMEN_7°!S32="✓ APROBADO",28,"")</f>
        <v/>
      </c>
      <c r="B33" s="117" t="str">
        <f>IF(RESUMEN_7°!S32="✓ APROBADO",RESUMEN_7°!B32,"")</f>
        <v/>
      </c>
      <c r="C33" s="125" t="str">
        <f>IF(RESUMEN_7°!S32="✓ APROBADO",RESUMEN_7°!F32,"")</f>
        <v/>
      </c>
      <c r="D33" s="125" t="str">
        <f>IF(RESUMEN_7°!S32="✓ APROBADO",RESUMEN_7°!R32,"")</f>
        <v/>
      </c>
      <c r="E33" s="125" t="str">
        <f>IF(RESUMEN_7°!S32="✓ APROBADO",IFERROR(ROUND(AVERAGE(RESUMEN_7°!F32,RESUMEN_7°!R32),1),""),"")</f>
        <v/>
      </c>
    </row>
    <row r="34" spans="1:12" ht="13.95" customHeight="1">
      <c r="A34" s="148" t="str">
        <f>IF(RESUMEN_7°!S33="✓ APROBADO",29,"")</f>
        <v/>
      </c>
      <c r="B34" s="149" t="str">
        <f>IF(RESUMEN_7°!S33="✓ APROBADO",RESUMEN_7°!B33,"")</f>
        <v/>
      </c>
      <c r="C34" s="148" t="str">
        <f>IF(RESUMEN_7°!S33="✓ APROBADO",RESUMEN_7°!F33,"")</f>
        <v/>
      </c>
      <c r="D34" s="148" t="str">
        <f>IF(RESUMEN_7°!S33="✓ APROBADO",RESUMEN_7°!R33,"")</f>
        <v/>
      </c>
      <c r="E34" s="148" t="str">
        <f>IF(RESUMEN_7°!S33="✓ APROBADO",IFERROR(ROUND(AVERAGE(RESUMEN_7°!F33,RESUMEN_7°!R33),1),""),"")</f>
        <v/>
      </c>
    </row>
    <row r="35" spans="1:12" ht="13.95" customHeight="1">
      <c r="A35" s="125" t="str">
        <f>IF(RESUMEN_7°!S34="✓ APROBADO",30,"")</f>
        <v/>
      </c>
      <c r="B35" s="117" t="str">
        <f>IF(RESUMEN_7°!S34="✓ APROBADO",RESUMEN_7°!B34,"")</f>
        <v/>
      </c>
      <c r="C35" s="125" t="str">
        <f>IF(RESUMEN_7°!S34="✓ APROBADO",RESUMEN_7°!F34,"")</f>
        <v/>
      </c>
      <c r="D35" s="125" t="str">
        <f>IF(RESUMEN_7°!S34="✓ APROBADO",RESUMEN_7°!R34,"")</f>
        <v/>
      </c>
      <c r="E35" s="125" t="str">
        <f>IF(RESUMEN_7°!S34="✓ APROBADO",IFERROR(ROUND(AVERAGE(RESUMEN_7°!F34,RESUMEN_7°!R34),1),""),"")</f>
        <v/>
      </c>
    </row>
    <row r="36" spans="1:12" ht="13.95" customHeight="1">
      <c r="A36" s="148" t="str">
        <f>IF(RESUMEN_7°!S35="✓ APROBADO",31,"")</f>
        <v/>
      </c>
      <c r="B36" s="149" t="str">
        <f>IF(RESUMEN_7°!S35="✓ APROBADO",RESUMEN_7°!B35,"")</f>
        <v/>
      </c>
      <c r="C36" s="148" t="str">
        <f>IF(RESUMEN_7°!S35="✓ APROBADO",RESUMEN_7°!F35,"")</f>
        <v/>
      </c>
      <c r="D36" s="148" t="str">
        <f>IF(RESUMEN_7°!S35="✓ APROBADO",RESUMEN_7°!R35,"")</f>
        <v/>
      </c>
      <c r="E36" s="148" t="str">
        <f>IF(RESUMEN_7°!S35="✓ APROBADO",IFERROR(ROUND(AVERAGE(RESUMEN_7°!F35,RESUMEN_7°!R35),1),""),"")</f>
        <v/>
      </c>
    </row>
    <row r="37" spans="1:12" ht="13.95" customHeight="1">
      <c r="A37" s="125" t="str">
        <f>IF(RESUMEN_7°!S36="✓ APROBADO",32,"")</f>
        <v/>
      </c>
      <c r="B37" s="117" t="str">
        <f>IF(RESUMEN_7°!S36="✓ APROBADO",RESUMEN_7°!B36,"")</f>
        <v/>
      </c>
      <c r="C37" s="125" t="str">
        <f>IF(RESUMEN_7°!S36="✓ APROBADO",RESUMEN_7°!F36,"")</f>
        <v/>
      </c>
      <c r="D37" s="125" t="str">
        <f>IF(RESUMEN_7°!S36="✓ APROBADO",RESUMEN_7°!R36,"")</f>
        <v/>
      </c>
      <c r="E37" s="125" t="str">
        <f>IF(RESUMEN_7°!S36="✓ APROBADO",IFERROR(ROUND(AVERAGE(RESUMEN_7°!F36,RESUMEN_7°!R36),1),""),"")</f>
        <v/>
      </c>
    </row>
    <row r="38" spans="1:12" ht="13.95" customHeight="1">
      <c r="A38" s="148" t="str">
        <f>IF(RESUMEN_7°!S37="✓ APROBADO",33,"")</f>
        <v/>
      </c>
      <c r="B38" s="149" t="str">
        <f>IF(RESUMEN_7°!S37="✓ APROBADO",RESUMEN_7°!B37,"")</f>
        <v/>
      </c>
      <c r="C38" s="148" t="str">
        <f>IF(RESUMEN_7°!S37="✓ APROBADO",RESUMEN_7°!F37,"")</f>
        <v/>
      </c>
      <c r="D38" s="148" t="str">
        <f>IF(RESUMEN_7°!S37="✓ APROBADO",RESUMEN_7°!R37,"")</f>
        <v/>
      </c>
      <c r="E38" s="148" t="str">
        <f>IF(RESUMEN_7°!S37="✓ APROBADO",IFERROR(ROUND(AVERAGE(RESUMEN_7°!F37,RESUMEN_7°!R37),1),""),"")</f>
        <v/>
      </c>
    </row>
    <row r="39" spans="1:12" ht="13.95" customHeight="1">
      <c r="A39" s="125" t="str">
        <f>IF(RESUMEN_7°!S38="✓ APROBADO",34,"")</f>
        <v/>
      </c>
      <c r="B39" s="117" t="str">
        <f>IF(RESUMEN_7°!S38="✓ APROBADO",RESUMEN_7°!B38,"")</f>
        <v/>
      </c>
      <c r="C39" s="125" t="str">
        <f>IF(RESUMEN_7°!S38="✓ APROBADO",RESUMEN_7°!F38,"")</f>
        <v/>
      </c>
      <c r="D39" s="125" t="str">
        <f>IF(RESUMEN_7°!S38="✓ APROBADO",RESUMEN_7°!R38,"")</f>
        <v/>
      </c>
      <c r="E39" s="125" t="str">
        <f>IF(RESUMEN_7°!S38="✓ APROBADO",IFERROR(ROUND(AVERAGE(RESUMEN_7°!F38,RESUMEN_7°!R38),1),""),"")</f>
        <v/>
      </c>
    </row>
    <row r="40" spans="1:12" ht="13.95" customHeight="1">
      <c r="A40" s="148" t="str">
        <f>IF(RESUMEN_7°!S39="✓ APROBADO",35,"")</f>
        <v/>
      </c>
      <c r="B40" s="149" t="str">
        <f>IF(RESUMEN_7°!S39="✓ APROBADO",RESUMEN_7°!B39,"")</f>
        <v/>
      </c>
      <c r="C40" s="148" t="str">
        <f>IF(RESUMEN_7°!S39="✓ APROBADO",RESUMEN_7°!F39,"")</f>
        <v/>
      </c>
      <c r="D40" s="148" t="str">
        <f>IF(RESUMEN_7°!S39="✓ APROBADO",RESUMEN_7°!R39,"")</f>
        <v/>
      </c>
      <c r="E40" s="148" t="str">
        <f>IF(RESUMEN_7°!S39="✓ APROBADO",IFERROR(ROUND(AVERAGE(RESUMEN_7°!F39,RESUMEN_7°!R39),1),""),"")</f>
        <v/>
      </c>
    </row>
    <row r="41" spans="1:12" ht="13.95" customHeight="1">
      <c r="A41" s="125" t="str">
        <f>IF(RESUMEN_7°!S40="✓ APROBADO",36,"")</f>
        <v/>
      </c>
      <c r="B41" s="117" t="str">
        <f>IF(RESUMEN_7°!S40="✓ APROBADO",RESUMEN_7°!B40,"")</f>
        <v/>
      </c>
      <c r="C41" s="125" t="str">
        <f>IF(RESUMEN_7°!S40="✓ APROBADO",RESUMEN_7°!F40,"")</f>
        <v/>
      </c>
      <c r="D41" s="125" t="str">
        <f>IF(RESUMEN_7°!S40="✓ APROBADO",RESUMEN_7°!R40,"")</f>
        <v/>
      </c>
      <c r="E41" s="125" t="str">
        <f>IF(RESUMEN_7°!S40="✓ APROBADO",IFERROR(ROUND(AVERAGE(RESUMEN_7°!F40,RESUMEN_7°!R40),1),""),"")</f>
        <v/>
      </c>
    </row>
    <row r="42" spans="1:12" ht="13.95" customHeight="1">
      <c r="A42" s="148" t="str">
        <f>IF(RESUMEN_7°!S41="✓ APROBADO",37,"")</f>
        <v/>
      </c>
      <c r="B42" s="149" t="str">
        <f>IF(RESUMEN_7°!S41="✓ APROBADO",RESUMEN_7°!B41,"")</f>
        <v/>
      </c>
      <c r="C42" s="148" t="str">
        <f>IF(RESUMEN_7°!S41="✓ APROBADO",RESUMEN_7°!F41,"")</f>
        <v/>
      </c>
      <c r="D42" s="148" t="str">
        <f>IF(RESUMEN_7°!S41="✓ APROBADO",RESUMEN_7°!R41,"")</f>
        <v/>
      </c>
      <c r="E42" s="148" t="str">
        <f>IF(RESUMEN_7°!S41="✓ APROBADO",IFERROR(ROUND(AVERAGE(RESUMEN_7°!F41,RESUMEN_7°!R41),1),""),"")</f>
        <v/>
      </c>
    </row>
    <row r="43" spans="1:12" ht="13.95" customHeight="1">
      <c r="A43" s="125" t="str">
        <f>IF(RESUMEN_7°!S42="✓ APROBADO",38,"")</f>
        <v/>
      </c>
      <c r="B43" s="117" t="str">
        <f>IF(RESUMEN_7°!S42="✓ APROBADO",RESUMEN_7°!B42,"")</f>
        <v/>
      </c>
      <c r="C43" s="125" t="str">
        <f>IF(RESUMEN_7°!S42="✓ APROBADO",RESUMEN_7°!F42,"")</f>
        <v/>
      </c>
      <c r="D43" s="125" t="str">
        <f>IF(RESUMEN_7°!S42="✓ APROBADO",RESUMEN_7°!R42,"")</f>
        <v/>
      </c>
      <c r="E43" s="125" t="str">
        <f>IF(RESUMEN_7°!S42="✓ APROBADO",IFERROR(ROUND(AVERAGE(RESUMEN_7°!F42,RESUMEN_7°!R42),1),""),"")</f>
        <v/>
      </c>
    </row>
    <row r="44" spans="1:12" ht="13.95" customHeight="1">
      <c r="A44" s="148" t="str">
        <f>IF(RESUMEN_7°!S43="✓ APROBADO",39,"")</f>
        <v/>
      </c>
      <c r="B44" s="149" t="str">
        <f>IF(RESUMEN_7°!S43="✓ APROBADO",RESUMEN_7°!B43,"")</f>
        <v/>
      </c>
      <c r="C44" s="148" t="str">
        <f>IF(RESUMEN_7°!S43="✓ APROBADO",RESUMEN_7°!F43,"")</f>
        <v/>
      </c>
      <c r="D44" s="148" t="str">
        <f>IF(RESUMEN_7°!S43="✓ APROBADO",RESUMEN_7°!R43,"")</f>
        <v/>
      </c>
      <c r="E44" s="148" t="str">
        <f>IF(RESUMEN_7°!S43="✓ APROBADO",IFERROR(ROUND(AVERAGE(RESUMEN_7°!F43,RESUMEN_7°!R43),1),""),"")</f>
        <v/>
      </c>
    </row>
    <row r="45" spans="1:12" ht="13.95" customHeight="1">
      <c r="A45" s="125" t="str">
        <f>IF(RESUMEN_7°!S44="✓ APROBADO",40,"")</f>
        <v/>
      </c>
      <c r="B45" s="117" t="str">
        <f>IF(RESUMEN_7°!S44="✓ APROBADO",RESUMEN_7°!B44,"")</f>
        <v/>
      </c>
      <c r="C45" s="125" t="str">
        <f>IF(RESUMEN_7°!S44="✓ APROBADO",RESUMEN_7°!F44,"")</f>
        <v/>
      </c>
      <c r="D45" s="125" t="str">
        <f>IF(RESUMEN_7°!S44="✓ APROBADO",RESUMEN_7°!R44,"")</f>
        <v/>
      </c>
      <c r="E45" s="125" t="str">
        <f>IF(RESUMEN_7°!S44="✓ APROBADO",IFERROR(ROUND(AVERAGE(RESUMEN_7°!F44,RESUMEN_7°!R44),1),""),"")</f>
        <v/>
      </c>
    </row>
    <row r="46" spans="1:12" ht="18" customHeight="1">
      <c r="A46" s="233" t="s">
        <v>64</v>
      </c>
      <c r="B46" s="206"/>
      <c r="C46" s="150">
        <f>COUNTIF(RESUMEN_7°!S5:'RESUMEN_7°'!S44,"✓ APROBADO")</f>
        <v>0</v>
      </c>
      <c r="D46" s="129"/>
      <c r="E46" s="129"/>
    </row>
    <row r="48" spans="1:12" ht="19.95" customHeight="1">
      <c r="A48" s="235" t="s">
        <v>65</v>
      </c>
      <c r="B48" s="216"/>
      <c r="C48" s="216"/>
      <c r="D48" s="216"/>
      <c r="E48" s="216"/>
      <c r="F48" s="216"/>
      <c r="G48" s="216"/>
      <c r="H48" s="216"/>
      <c r="I48" s="216"/>
      <c r="J48" s="216"/>
      <c r="K48" s="216"/>
      <c r="L48" s="206"/>
    </row>
    <row r="49" spans="1:5" ht="18" customHeight="1">
      <c r="A49" s="151" t="s">
        <v>2</v>
      </c>
      <c r="B49" s="151" t="s">
        <v>3</v>
      </c>
      <c r="C49" s="151" t="s">
        <v>33</v>
      </c>
      <c r="D49" s="151" t="s">
        <v>34</v>
      </c>
      <c r="E49" s="151" t="s">
        <v>63</v>
      </c>
    </row>
    <row r="50" spans="1:5" ht="13.95" customHeight="1">
      <c r="A50" s="148" t="str">
        <f>IF(RESUMEN_8°!S5="✓ APROBADO",1,"")</f>
        <v/>
      </c>
      <c r="B50" s="149" t="str">
        <f>IF(RESUMEN_8°!S5="✓ APROBADO",RESUMEN_8°!B5,"")</f>
        <v/>
      </c>
      <c r="C50" s="148" t="str">
        <f>IF(RESUMEN_8°!S5="✓ APROBADO",RESUMEN_8°!F5,"")</f>
        <v/>
      </c>
      <c r="D50" s="148" t="str">
        <f>IF(RESUMEN_8°!S5="✓ APROBADO",RESUMEN_8°!R5,"")</f>
        <v/>
      </c>
      <c r="E50" s="148" t="str">
        <f>IF(RESUMEN_8°!S5="✓ APROBADO",IFERROR(ROUND(AVERAGE(RESUMEN_8°!F5,RESUMEN_8°!R5),1),""),"")</f>
        <v/>
      </c>
    </row>
    <row r="51" spans="1:5" ht="13.95" customHeight="1">
      <c r="A51" s="125" t="str">
        <f>IF(RESUMEN_8°!S6="✓ APROBADO",2,"")</f>
        <v/>
      </c>
      <c r="B51" s="117" t="str">
        <f>IF(RESUMEN_8°!S6="✓ APROBADO",RESUMEN_8°!B6,"")</f>
        <v/>
      </c>
      <c r="C51" s="125" t="str">
        <f>IF(RESUMEN_8°!S6="✓ APROBADO",RESUMEN_8°!F6,"")</f>
        <v/>
      </c>
      <c r="D51" s="125" t="str">
        <f>IF(RESUMEN_8°!S6="✓ APROBADO",RESUMEN_8°!R6,"")</f>
        <v/>
      </c>
      <c r="E51" s="125" t="str">
        <f>IF(RESUMEN_8°!S6="✓ APROBADO",IFERROR(ROUND(AVERAGE(RESUMEN_8°!F6,RESUMEN_8°!R6),1),""),"")</f>
        <v/>
      </c>
    </row>
    <row r="52" spans="1:5" ht="13.95" customHeight="1">
      <c r="A52" s="148" t="str">
        <f>IF(RESUMEN_8°!S7="✓ APROBADO",3,"")</f>
        <v/>
      </c>
      <c r="B52" s="149" t="str">
        <f>IF(RESUMEN_8°!S7="✓ APROBADO",RESUMEN_8°!B7,"")</f>
        <v/>
      </c>
      <c r="C52" s="148" t="str">
        <f>IF(RESUMEN_8°!S7="✓ APROBADO",RESUMEN_8°!F7,"")</f>
        <v/>
      </c>
      <c r="D52" s="148" t="str">
        <f>IF(RESUMEN_8°!S7="✓ APROBADO",RESUMEN_8°!R7,"")</f>
        <v/>
      </c>
      <c r="E52" s="148" t="str">
        <f>IF(RESUMEN_8°!S7="✓ APROBADO",IFERROR(ROUND(AVERAGE(RESUMEN_8°!F7,RESUMEN_8°!R7),1),""),"")</f>
        <v/>
      </c>
    </row>
    <row r="53" spans="1:5" ht="13.95" customHeight="1">
      <c r="A53" s="125" t="str">
        <f>IF(RESUMEN_8°!S8="✓ APROBADO",4,"")</f>
        <v/>
      </c>
      <c r="B53" s="117" t="str">
        <f>IF(RESUMEN_8°!S8="✓ APROBADO",RESUMEN_8°!B8,"")</f>
        <v/>
      </c>
      <c r="C53" s="125" t="str">
        <f>IF(RESUMEN_8°!S8="✓ APROBADO",RESUMEN_8°!F8,"")</f>
        <v/>
      </c>
      <c r="D53" s="125" t="str">
        <f>IF(RESUMEN_8°!S8="✓ APROBADO",RESUMEN_8°!R8,"")</f>
        <v/>
      </c>
      <c r="E53" s="125" t="str">
        <f>IF(RESUMEN_8°!S8="✓ APROBADO",IFERROR(ROUND(AVERAGE(RESUMEN_8°!F8,RESUMEN_8°!R8),1),""),"")</f>
        <v/>
      </c>
    </row>
    <row r="54" spans="1:5" ht="13.95" customHeight="1">
      <c r="A54" s="148" t="str">
        <f>IF(RESUMEN_8°!S9="✓ APROBADO",5,"")</f>
        <v/>
      </c>
      <c r="B54" s="149" t="str">
        <f>IF(RESUMEN_8°!S9="✓ APROBADO",RESUMEN_8°!B9,"")</f>
        <v/>
      </c>
      <c r="C54" s="148" t="str">
        <f>IF(RESUMEN_8°!S9="✓ APROBADO",RESUMEN_8°!F9,"")</f>
        <v/>
      </c>
      <c r="D54" s="148" t="str">
        <f>IF(RESUMEN_8°!S9="✓ APROBADO",RESUMEN_8°!R9,"")</f>
        <v/>
      </c>
      <c r="E54" s="148" t="str">
        <f>IF(RESUMEN_8°!S9="✓ APROBADO",IFERROR(ROUND(AVERAGE(RESUMEN_8°!F9,RESUMEN_8°!R9),1),""),"")</f>
        <v/>
      </c>
    </row>
    <row r="55" spans="1:5" ht="13.95" customHeight="1">
      <c r="A55" s="125" t="str">
        <f>IF(RESUMEN_8°!S10="✓ APROBADO",6,"")</f>
        <v/>
      </c>
      <c r="B55" s="117" t="str">
        <f>IF(RESUMEN_8°!S10="✓ APROBADO",RESUMEN_8°!B10,"")</f>
        <v/>
      </c>
      <c r="C55" s="125" t="str">
        <f>IF(RESUMEN_8°!S10="✓ APROBADO",RESUMEN_8°!F10,"")</f>
        <v/>
      </c>
      <c r="D55" s="125" t="str">
        <f>IF(RESUMEN_8°!S10="✓ APROBADO",RESUMEN_8°!R10,"")</f>
        <v/>
      </c>
      <c r="E55" s="125" t="str">
        <f>IF(RESUMEN_8°!S10="✓ APROBADO",IFERROR(ROUND(AVERAGE(RESUMEN_8°!F10,RESUMEN_8°!R10),1),""),"")</f>
        <v/>
      </c>
    </row>
    <row r="56" spans="1:5" ht="13.95" customHeight="1">
      <c r="A56" s="148" t="str">
        <f>IF(RESUMEN_8°!S11="✓ APROBADO",7,"")</f>
        <v/>
      </c>
      <c r="B56" s="149" t="str">
        <f>IF(RESUMEN_8°!S11="✓ APROBADO",RESUMEN_8°!B11,"")</f>
        <v/>
      </c>
      <c r="C56" s="148" t="str">
        <f>IF(RESUMEN_8°!S11="✓ APROBADO",RESUMEN_8°!F11,"")</f>
        <v/>
      </c>
      <c r="D56" s="148" t="str">
        <f>IF(RESUMEN_8°!S11="✓ APROBADO",RESUMEN_8°!R11,"")</f>
        <v/>
      </c>
      <c r="E56" s="148" t="str">
        <f>IF(RESUMEN_8°!S11="✓ APROBADO",IFERROR(ROUND(AVERAGE(RESUMEN_8°!F11,RESUMEN_8°!R11),1),""),"")</f>
        <v/>
      </c>
    </row>
    <row r="57" spans="1:5" ht="13.95" customHeight="1">
      <c r="A57" s="125" t="str">
        <f>IF(RESUMEN_8°!S12="✓ APROBADO",8,"")</f>
        <v/>
      </c>
      <c r="B57" s="117" t="str">
        <f>IF(RESUMEN_8°!S12="✓ APROBADO",RESUMEN_8°!B12,"")</f>
        <v/>
      </c>
      <c r="C57" s="125" t="str">
        <f>IF(RESUMEN_8°!S12="✓ APROBADO",RESUMEN_8°!F12,"")</f>
        <v/>
      </c>
      <c r="D57" s="125" t="str">
        <f>IF(RESUMEN_8°!S12="✓ APROBADO",RESUMEN_8°!R12,"")</f>
        <v/>
      </c>
      <c r="E57" s="125" t="str">
        <f>IF(RESUMEN_8°!S12="✓ APROBADO",IFERROR(ROUND(AVERAGE(RESUMEN_8°!F12,RESUMEN_8°!R12),1),""),"")</f>
        <v/>
      </c>
    </row>
    <row r="58" spans="1:5" ht="13.95" customHeight="1">
      <c r="A58" s="148" t="str">
        <f>IF(RESUMEN_8°!S13="✓ APROBADO",9,"")</f>
        <v/>
      </c>
      <c r="B58" s="149" t="str">
        <f>IF(RESUMEN_8°!S13="✓ APROBADO",RESUMEN_8°!B13,"")</f>
        <v/>
      </c>
      <c r="C58" s="148" t="str">
        <f>IF(RESUMEN_8°!S13="✓ APROBADO",RESUMEN_8°!F13,"")</f>
        <v/>
      </c>
      <c r="D58" s="148" t="str">
        <f>IF(RESUMEN_8°!S13="✓ APROBADO",RESUMEN_8°!R13,"")</f>
        <v/>
      </c>
      <c r="E58" s="148" t="str">
        <f>IF(RESUMEN_8°!S13="✓ APROBADO",IFERROR(ROUND(AVERAGE(RESUMEN_8°!F13,RESUMEN_8°!R13),1),""),"")</f>
        <v/>
      </c>
    </row>
    <row r="59" spans="1:5" ht="13.95" customHeight="1">
      <c r="A59" s="125" t="str">
        <f>IF(RESUMEN_8°!S14="✓ APROBADO",10,"")</f>
        <v/>
      </c>
      <c r="B59" s="117" t="str">
        <f>IF(RESUMEN_8°!S14="✓ APROBADO",RESUMEN_8°!B14,"")</f>
        <v/>
      </c>
      <c r="C59" s="125" t="str">
        <f>IF(RESUMEN_8°!S14="✓ APROBADO",RESUMEN_8°!F14,"")</f>
        <v/>
      </c>
      <c r="D59" s="125" t="str">
        <f>IF(RESUMEN_8°!S14="✓ APROBADO",RESUMEN_8°!R14,"")</f>
        <v/>
      </c>
      <c r="E59" s="125" t="str">
        <f>IF(RESUMEN_8°!S14="✓ APROBADO",IFERROR(ROUND(AVERAGE(RESUMEN_8°!F14,RESUMEN_8°!R14),1),""),"")</f>
        <v/>
      </c>
    </row>
    <row r="60" spans="1:5" ht="13.95" customHeight="1">
      <c r="A60" s="148" t="str">
        <f>IF(RESUMEN_8°!S15="✓ APROBADO",11,"")</f>
        <v/>
      </c>
      <c r="B60" s="149" t="str">
        <f>IF(RESUMEN_8°!S15="✓ APROBADO",RESUMEN_8°!B15,"")</f>
        <v/>
      </c>
      <c r="C60" s="148" t="str">
        <f>IF(RESUMEN_8°!S15="✓ APROBADO",RESUMEN_8°!F15,"")</f>
        <v/>
      </c>
      <c r="D60" s="148" t="str">
        <f>IF(RESUMEN_8°!S15="✓ APROBADO",RESUMEN_8°!R15,"")</f>
        <v/>
      </c>
      <c r="E60" s="148" t="str">
        <f>IF(RESUMEN_8°!S15="✓ APROBADO",IFERROR(ROUND(AVERAGE(RESUMEN_8°!F15,RESUMEN_8°!R15),1),""),"")</f>
        <v/>
      </c>
    </row>
    <row r="61" spans="1:5" ht="13.95" customHeight="1">
      <c r="A61" s="125" t="str">
        <f>IF(RESUMEN_8°!S16="✓ APROBADO",12,"")</f>
        <v/>
      </c>
      <c r="B61" s="117" t="str">
        <f>IF(RESUMEN_8°!S16="✓ APROBADO",RESUMEN_8°!B16,"")</f>
        <v/>
      </c>
      <c r="C61" s="125" t="str">
        <f>IF(RESUMEN_8°!S16="✓ APROBADO",RESUMEN_8°!F16,"")</f>
        <v/>
      </c>
      <c r="D61" s="125" t="str">
        <f>IF(RESUMEN_8°!S16="✓ APROBADO",RESUMEN_8°!R16,"")</f>
        <v/>
      </c>
      <c r="E61" s="125" t="str">
        <f>IF(RESUMEN_8°!S16="✓ APROBADO",IFERROR(ROUND(AVERAGE(RESUMEN_8°!F16,RESUMEN_8°!R16),1),""),"")</f>
        <v/>
      </c>
    </row>
    <row r="62" spans="1:5" ht="13.95" customHeight="1">
      <c r="A62" s="148" t="str">
        <f>IF(RESUMEN_8°!S17="✓ APROBADO",13,"")</f>
        <v/>
      </c>
      <c r="B62" s="149" t="str">
        <f>IF(RESUMEN_8°!S17="✓ APROBADO",RESUMEN_8°!B17,"")</f>
        <v/>
      </c>
      <c r="C62" s="148" t="str">
        <f>IF(RESUMEN_8°!S17="✓ APROBADO",RESUMEN_8°!F17,"")</f>
        <v/>
      </c>
      <c r="D62" s="148" t="str">
        <f>IF(RESUMEN_8°!S17="✓ APROBADO",RESUMEN_8°!R17,"")</f>
        <v/>
      </c>
      <c r="E62" s="148" t="str">
        <f>IF(RESUMEN_8°!S17="✓ APROBADO",IFERROR(ROUND(AVERAGE(RESUMEN_8°!F17,RESUMEN_8°!R17),1),""),"")</f>
        <v/>
      </c>
    </row>
    <row r="63" spans="1:5" ht="13.95" customHeight="1">
      <c r="A63" s="125" t="str">
        <f>IF(RESUMEN_8°!S18="✓ APROBADO",14,"")</f>
        <v/>
      </c>
      <c r="B63" s="117" t="str">
        <f>IF(RESUMEN_8°!S18="✓ APROBADO",RESUMEN_8°!B18,"")</f>
        <v/>
      </c>
      <c r="C63" s="125" t="str">
        <f>IF(RESUMEN_8°!S18="✓ APROBADO",RESUMEN_8°!F18,"")</f>
        <v/>
      </c>
      <c r="D63" s="125" t="str">
        <f>IF(RESUMEN_8°!S18="✓ APROBADO",RESUMEN_8°!R18,"")</f>
        <v/>
      </c>
      <c r="E63" s="125" t="str">
        <f>IF(RESUMEN_8°!S18="✓ APROBADO",IFERROR(ROUND(AVERAGE(RESUMEN_8°!F18,RESUMEN_8°!R18),1),""),"")</f>
        <v/>
      </c>
    </row>
    <row r="64" spans="1:5" ht="13.95" customHeight="1">
      <c r="A64" s="148" t="str">
        <f>IF(RESUMEN_8°!S19="✓ APROBADO",15,"")</f>
        <v/>
      </c>
      <c r="B64" s="149" t="str">
        <f>IF(RESUMEN_8°!S19="✓ APROBADO",RESUMEN_8°!B19,"")</f>
        <v/>
      </c>
      <c r="C64" s="148" t="str">
        <f>IF(RESUMEN_8°!S19="✓ APROBADO",RESUMEN_8°!F19,"")</f>
        <v/>
      </c>
      <c r="D64" s="148" t="str">
        <f>IF(RESUMEN_8°!S19="✓ APROBADO",RESUMEN_8°!R19,"")</f>
        <v/>
      </c>
      <c r="E64" s="148" t="str">
        <f>IF(RESUMEN_8°!S19="✓ APROBADO",IFERROR(ROUND(AVERAGE(RESUMEN_8°!F19,RESUMEN_8°!R19),1),""),"")</f>
        <v/>
      </c>
    </row>
    <row r="65" spans="1:5" ht="13.95" customHeight="1">
      <c r="A65" s="125" t="str">
        <f>IF(RESUMEN_8°!S20="✓ APROBADO",16,"")</f>
        <v/>
      </c>
      <c r="B65" s="117" t="str">
        <f>IF(RESUMEN_8°!S20="✓ APROBADO",RESUMEN_8°!B20,"")</f>
        <v/>
      </c>
      <c r="C65" s="125" t="str">
        <f>IF(RESUMEN_8°!S20="✓ APROBADO",RESUMEN_8°!F20,"")</f>
        <v/>
      </c>
      <c r="D65" s="125" t="str">
        <f>IF(RESUMEN_8°!S20="✓ APROBADO",RESUMEN_8°!R20,"")</f>
        <v/>
      </c>
      <c r="E65" s="125" t="str">
        <f>IF(RESUMEN_8°!S20="✓ APROBADO",IFERROR(ROUND(AVERAGE(RESUMEN_8°!F20,RESUMEN_8°!R20),1),""),"")</f>
        <v/>
      </c>
    </row>
    <row r="66" spans="1:5" ht="13.95" customHeight="1">
      <c r="A66" s="148" t="str">
        <f>IF(RESUMEN_8°!S21="✓ APROBADO",17,"")</f>
        <v/>
      </c>
      <c r="B66" s="149" t="str">
        <f>IF(RESUMEN_8°!S21="✓ APROBADO",RESUMEN_8°!B21,"")</f>
        <v/>
      </c>
      <c r="C66" s="148" t="str">
        <f>IF(RESUMEN_8°!S21="✓ APROBADO",RESUMEN_8°!F21,"")</f>
        <v/>
      </c>
      <c r="D66" s="148" t="str">
        <f>IF(RESUMEN_8°!S21="✓ APROBADO",RESUMEN_8°!R21,"")</f>
        <v/>
      </c>
      <c r="E66" s="148" t="str">
        <f>IF(RESUMEN_8°!S21="✓ APROBADO",IFERROR(ROUND(AVERAGE(RESUMEN_8°!F21,RESUMEN_8°!R21),1),""),"")</f>
        <v/>
      </c>
    </row>
    <row r="67" spans="1:5" ht="13.95" customHeight="1">
      <c r="A67" s="125" t="str">
        <f>IF(RESUMEN_8°!S22="✓ APROBADO",18,"")</f>
        <v/>
      </c>
      <c r="B67" s="117" t="str">
        <f>IF(RESUMEN_8°!S22="✓ APROBADO",RESUMEN_8°!B22,"")</f>
        <v/>
      </c>
      <c r="C67" s="125" t="str">
        <f>IF(RESUMEN_8°!S22="✓ APROBADO",RESUMEN_8°!F22,"")</f>
        <v/>
      </c>
      <c r="D67" s="125" t="str">
        <f>IF(RESUMEN_8°!S22="✓ APROBADO",RESUMEN_8°!R22,"")</f>
        <v/>
      </c>
      <c r="E67" s="125" t="str">
        <f>IF(RESUMEN_8°!S22="✓ APROBADO",IFERROR(ROUND(AVERAGE(RESUMEN_8°!F22,RESUMEN_8°!R22),1),""),"")</f>
        <v/>
      </c>
    </row>
    <row r="68" spans="1:5" ht="13.95" customHeight="1">
      <c r="A68" s="148" t="str">
        <f>IF(RESUMEN_8°!S23="✓ APROBADO",19,"")</f>
        <v/>
      </c>
      <c r="B68" s="149" t="str">
        <f>IF(RESUMEN_8°!S23="✓ APROBADO",RESUMEN_8°!B23,"")</f>
        <v/>
      </c>
      <c r="C68" s="148" t="str">
        <f>IF(RESUMEN_8°!S23="✓ APROBADO",RESUMEN_8°!F23,"")</f>
        <v/>
      </c>
      <c r="D68" s="148" t="str">
        <f>IF(RESUMEN_8°!S23="✓ APROBADO",RESUMEN_8°!R23,"")</f>
        <v/>
      </c>
      <c r="E68" s="148" t="str">
        <f>IF(RESUMEN_8°!S23="✓ APROBADO",IFERROR(ROUND(AVERAGE(RESUMEN_8°!F23,RESUMEN_8°!R23),1),""),"")</f>
        <v/>
      </c>
    </row>
    <row r="69" spans="1:5" ht="13.95" customHeight="1">
      <c r="A69" s="125" t="str">
        <f>IF(RESUMEN_8°!S24="✓ APROBADO",20,"")</f>
        <v/>
      </c>
      <c r="B69" s="117" t="str">
        <f>IF(RESUMEN_8°!S24="✓ APROBADO",RESUMEN_8°!B24,"")</f>
        <v/>
      </c>
      <c r="C69" s="125" t="str">
        <f>IF(RESUMEN_8°!S24="✓ APROBADO",RESUMEN_8°!F24,"")</f>
        <v/>
      </c>
      <c r="D69" s="125" t="str">
        <f>IF(RESUMEN_8°!S24="✓ APROBADO",RESUMEN_8°!R24,"")</f>
        <v/>
      </c>
      <c r="E69" s="125" t="str">
        <f>IF(RESUMEN_8°!S24="✓ APROBADO",IFERROR(ROUND(AVERAGE(RESUMEN_8°!F24,RESUMEN_8°!R24),1),""),"")</f>
        <v/>
      </c>
    </row>
    <row r="70" spans="1:5" ht="13.95" customHeight="1">
      <c r="A70" s="148" t="str">
        <f>IF(RESUMEN_8°!S25="✓ APROBADO",21,"")</f>
        <v/>
      </c>
      <c r="B70" s="149" t="str">
        <f>IF(RESUMEN_8°!S25="✓ APROBADO",RESUMEN_8°!B25,"")</f>
        <v/>
      </c>
      <c r="C70" s="148" t="str">
        <f>IF(RESUMEN_8°!S25="✓ APROBADO",RESUMEN_8°!F25,"")</f>
        <v/>
      </c>
      <c r="D70" s="148" t="str">
        <f>IF(RESUMEN_8°!S25="✓ APROBADO",RESUMEN_8°!R25,"")</f>
        <v/>
      </c>
      <c r="E70" s="148" t="str">
        <f>IF(RESUMEN_8°!S25="✓ APROBADO",IFERROR(ROUND(AVERAGE(RESUMEN_8°!F25,RESUMEN_8°!R25),1),""),"")</f>
        <v/>
      </c>
    </row>
    <row r="71" spans="1:5" ht="13.95" customHeight="1">
      <c r="A71" s="125" t="str">
        <f>IF(RESUMEN_8°!S26="✓ APROBADO",22,"")</f>
        <v/>
      </c>
      <c r="B71" s="117" t="str">
        <f>IF(RESUMEN_8°!S26="✓ APROBADO",RESUMEN_8°!B26,"")</f>
        <v/>
      </c>
      <c r="C71" s="125" t="str">
        <f>IF(RESUMEN_8°!S26="✓ APROBADO",RESUMEN_8°!F26,"")</f>
        <v/>
      </c>
      <c r="D71" s="125" t="str">
        <f>IF(RESUMEN_8°!S26="✓ APROBADO",RESUMEN_8°!R26,"")</f>
        <v/>
      </c>
      <c r="E71" s="125" t="str">
        <f>IF(RESUMEN_8°!S26="✓ APROBADO",IFERROR(ROUND(AVERAGE(RESUMEN_8°!F26,RESUMEN_8°!R26),1),""),"")</f>
        <v/>
      </c>
    </row>
    <row r="72" spans="1:5" ht="13.95" customHeight="1">
      <c r="A72" s="148" t="str">
        <f>IF(RESUMEN_8°!S27="✓ APROBADO",23,"")</f>
        <v/>
      </c>
      <c r="B72" s="149" t="str">
        <f>IF(RESUMEN_8°!S27="✓ APROBADO",RESUMEN_8°!B27,"")</f>
        <v/>
      </c>
      <c r="C72" s="148" t="str">
        <f>IF(RESUMEN_8°!S27="✓ APROBADO",RESUMEN_8°!F27,"")</f>
        <v/>
      </c>
      <c r="D72" s="148" t="str">
        <f>IF(RESUMEN_8°!S27="✓ APROBADO",RESUMEN_8°!R27,"")</f>
        <v/>
      </c>
      <c r="E72" s="148" t="str">
        <f>IF(RESUMEN_8°!S27="✓ APROBADO",IFERROR(ROUND(AVERAGE(RESUMEN_8°!F27,RESUMEN_8°!R27),1),""),"")</f>
        <v/>
      </c>
    </row>
    <row r="73" spans="1:5" ht="13.95" customHeight="1">
      <c r="A73" s="125" t="str">
        <f>IF(RESUMEN_8°!S28="✓ APROBADO",24,"")</f>
        <v/>
      </c>
      <c r="B73" s="117" t="str">
        <f>IF(RESUMEN_8°!S28="✓ APROBADO",RESUMEN_8°!B28,"")</f>
        <v/>
      </c>
      <c r="C73" s="125" t="str">
        <f>IF(RESUMEN_8°!S28="✓ APROBADO",RESUMEN_8°!F28,"")</f>
        <v/>
      </c>
      <c r="D73" s="125" t="str">
        <f>IF(RESUMEN_8°!S28="✓ APROBADO",RESUMEN_8°!R28,"")</f>
        <v/>
      </c>
      <c r="E73" s="125" t="str">
        <f>IF(RESUMEN_8°!S28="✓ APROBADO",IFERROR(ROUND(AVERAGE(RESUMEN_8°!F28,RESUMEN_8°!R28),1),""),"")</f>
        <v/>
      </c>
    </row>
    <row r="74" spans="1:5" ht="13.95" customHeight="1">
      <c r="A74" s="148" t="str">
        <f>IF(RESUMEN_8°!S29="✓ APROBADO",25,"")</f>
        <v/>
      </c>
      <c r="B74" s="149" t="str">
        <f>IF(RESUMEN_8°!S29="✓ APROBADO",RESUMEN_8°!B29,"")</f>
        <v/>
      </c>
      <c r="C74" s="148" t="str">
        <f>IF(RESUMEN_8°!S29="✓ APROBADO",RESUMEN_8°!F29,"")</f>
        <v/>
      </c>
      <c r="D74" s="148" t="str">
        <f>IF(RESUMEN_8°!S29="✓ APROBADO",RESUMEN_8°!R29,"")</f>
        <v/>
      </c>
      <c r="E74" s="148" t="str">
        <f>IF(RESUMEN_8°!S29="✓ APROBADO",IFERROR(ROUND(AVERAGE(RESUMEN_8°!F29,RESUMEN_8°!R29),1),""),"")</f>
        <v/>
      </c>
    </row>
    <row r="75" spans="1:5" ht="13.95" customHeight="1">
      <c r="A75" s="125" t="str">
        <f>IF(RESUMEN_8°!S30="✓ APROBADO",26,"")</f>
        <v/>
      </c>
      <c r="B75" s="117" t="str">
        <f>IF(RESUMEN_8°!S30="✓ APROBADO",RESUMEN_8°!B30,"")</f>
        <v/>
      </c>
      <c r="C75" s="125" t="str">
        <f>IF(RESUMEN_8°!S30="✓ APROBADO",RESUMEN_8°!F30,"")</f>
        <v/>
      </c>
      <c r="D75" s="125" t="str">
        <f>IF(RESUMEN_8°!S30="✓ APROBADO",RESUMEN_8°!R30,"")</f>
        <v/>
      </c>
      <c r="E75" s="125" t="str">
        <f>IF(RESUMEN_8°!S30="✓ APROBADO",IFERROR(ROUND(AVERAGE(RESUMEN_8°!F30,RESUMEN_8°!R30),1),""),"")</f>
        <v/>
      </c>
    </row>
    <row r="76" spans="1:5" ht="13.95" customHeight="1">
      <c r="A76" s="148" t="str">
        <f>IF(RESUMEN_8°!S31="✓ APROBADO",27,"")</f>
        <v/>
      </c>
      <c r="B76" s="149" t="str">
        <f>IF(RESUMEN_8°!S31="✓ APROBADO",RESUMEN_8°!B31,"")</f>
        <v/>
      </c>
      <c r="C76" s="148" t="str">
        <f>IF(RESUMEN_8°!S31="✓ APROBADO",RESUMEN_8°!F31,"")</f>
        <v/>
      </c>
      <c r="D76" s="148" t="str">
        <f>IF(RESUMEN_8°!S31="✓ APROBADO",RESUMEN_8°!R31,"")</f>
        <v/>
      </c>
      <c r="E76" s="148" t="str">
        <f>IF(RESUMEN_8°!S31="✓ APROBADO",IFERROR(ROUND(AVERAGE(RESUMEN_8°!F31,RESUMEN_8°!R31),1),""),"")</f>
        <v/>
      </c>
    </row>
    <row r="77" spans="1:5" ht="13.95" customHeight="1">
      <c r="A77" s="125" t="str">
        <f>IF(RESUMEN_8°!S32="✓ APROBADO",28,"")</f>
        <v/>
      </c>
      <c r="B77" s="117" t="str">
        <f>IF(RESUMEN_8°!S32="✓ APROBADO",RESUMEN_8°!B32,"")</f>
        <v/>
      </c>
      <c r="C77" s="125" t="str">
        <f>IF(RESUMEN_8°!S32="✓ APROBADO",RESUMEN_8°!F32,"")</f>
        <v/>
      </c>
      <c r="D77" s="125" t="str">
        <f>IF(RESUMEN_8°!S32="✓ APROBADO",RESUMEN_8°!R32,"")</f>
        <v/>
      </c>
      <c r="E77" s="125" t="str">
        <f>IF(RESUMEN_8°!S32="✓ APROBADO",IFERROR(ROUND(AVERAGE(RESUMEN_8°!F32,RESUMEN_8°!R32),1),""),"")</f>
        <v/>
      </c>
    </row>
    <row r="78" spans="1:5" ht="13.95" customHeight="1">
      <c r="A78" s="148" t="str">
        <f>IF(RESUMEN_8°!S33="✓ APROBADO",29,"")</f>
        <v/>
      </c>
      <c r="B78" s="149" t="str">
        <f>IF(RESUMEN_8°!S33="✓ APROBADO",RESUMEN_8°!B33,"")</f>
        <v/>
      </c>
      <c r="C78" s="148" t="str">
        <f>IF(RESUMEN_8°!S33="✓ APROBADO",RESUMEN_8°!F33,"")</f>
        <v/>
      </c>
      <c r="D78" s="148" t="str">
        <f>IF(RESUMEN_8°!S33="✓ APROBADO",RESUMEN_8°!R33,"")</f>
        <v/>
      </c>
      <c r="E78" s="148" t="str">
        <f>IF(RESUMEN_8°!S33="✓ APROBADO",IFERROR(ROUND(AVERAGE(RESUMEN_8°!F33,RESUMEN_8°!R33),1),""),"")</f>
        <v/>
      </c>
    </row>
    <row r="79" spans="1:5" ht="13.95" customHeight="1">
      <c r="A79" s="125" t="str">
        <f>IF(RESUMEN_8°!S34="✓ APROBADO",30,"")</f>
        <v/>
      </c>
      <c r="B79" s="117" t="str">
        <f>IF(RESUMEN_8°!S34="✓ APROBADO",RESUMEN_8°!B34,"")</f>
        <v/>
      </c>
      <c r="C79" s="125" t="str">
        <f>IF(RESUMEN_8°!S34="✓ APROBADO",RESUMEN_8°!F34,"")</f>
        <v/>
      </c>
      <c r="D79" s="125" t="str">
        <f>IF(RESUMEN_8°!S34="✓ APROBADO",RESUMEN_8°!R34,"")</f>
        <v/>
      </c>
      <c r="E79" s="125" t="str">
        <f>IF(RESUMEN_8°!S34="✓ APROBADO",IFERROR(ROUND(AVERAGE(RESUMEN_8°!F34,RESUMEN_8°!R34),1),""),"")</f>
        <v/>
      </c>
    </row>
    <row r="80" spans="1:5" ht="13.95" customHeight="1">
      <c r="A80" s="148" t="str">
        <f>IF(RESUMEN_8°!S35="✓ APROBADO",31,"")</f>
        <v/>
      </c>
      <c r="B80" s="149" t="str">
        <f>IF(RESUMEN_8°!S35="✓ APROBADO",RESUMEN_8°!B35,"")</f>
        <v/>
      </c>
      <c r="C80" s="148" t="str">
        <f>IF(RESUMEN_8°!S35="✓ APROBADO",RESUMEN_8°!F35,"")</f>
        <v/>
      </c>
      <c r="D80" s="148" t="str">
        <f>IF(RESUMEN_8°!S35="✓ APROBADO",RESUMEN_8°!R35,"")</f>
        <v/>
      </c>
      <c r="E80" s="148" t="str">
        <f>IF(RESUMEN_8°!S35="✓ APROBADO",IFERROR(ROUND(AVERAGE(RESUMEN_8°!F35,RESUMEN_8°!R35),1),""),"")</f>
        <v/>
      </c>
    </row>
    <row r="81" spans="1:12" ht="13.95" customHeight="1">
      <c r="A81" s="125" t="str">
        <f>IF(RESUMEN_8°!S36="✓ APROBADO",32,"")</f>
        <v/>
      </c>
      <c r="B81" s="117" t="str">
        <f>IF(RESUMEN_8°!S36="✓ APROBADO",RESUMEN_8°!B36,"")</f>
        <v/>
      </c>
      <c r="C81" s="125" t="str">
        <f>IF(RESUMEN_8°!S36="✓ APROBADO",RESUMEN_8°!F36,"")</f>
        <v/>
      </c>
      <c r="D81" s="125" t="str">
        <f>IF(RESUMEN_8°!S36="✓ APROBADO",RESUMEN_8°!R36,"")</f>
        <v/>
      </c>
      <c r="E81" s="125" t="str">
        <f>IF(RESUMEN_8°!S36="✓ APROBADO",IFERROR(ROUND(AVERAGE(RESUMEN_8°!F36,RESUMEN_8°!R36),1),""),"")</f>
        <v/>
      </c>
    </row>
    <row r="82" spans="1:12" ht="13.95" customHeight="1">
      <c r="A82" s="148" t="str">
        <f>IF(RESUMEN_8°!S37="✓ APROBADO",33,"")</f>
        <v/>
      </c>
      <c r="B82" s="149" t="str">
        <f>IF(RESUMEN_8°!S37="✓ APROBADO",RESUMEN_8°!B37,"")</f>
        <v/>
      </c>
      <c r="C82" s="148" t="str">
        <f>IF(RESUMEN_8°!S37="✓ APROBADO",RESUMEN_8°!F37,"")</f>
        <v/>
      </c>
      <c r="D82" s="148" t="str">
        <f>IF(RESUMEN_8°!S37="✓ APROBADO",RESUMEN_8°!R37,"")</f>
        <v/>
      </c>
      <c r="E82" s="148" t="str">
        <f>IF(RESUMEN_8°!S37="✓ APROBADO",IFERROR(ROUND(AVERAGE(RESUMEN_8°!F37,RESUMEN_8°!R37),1),""),"")</f>
        <v/>
      </c>
    </row>
    <row r="83" spans="1:12" ht="13.95" customHeight="1">
      <c r="A83" s="125" t="str">
        <f>IF(RESUMEN_8°!S38="✓ APROBADO",34,"")</f>
        <v/>
      </c>
      <c r="B83" s="117" t="str">
        <f>IF(RESUMEN_8°!S38="✓ APROBADO",RESUMEN_8°!B38,"")</f>
        <v/>
      </c>
      <c r="C83" s="125" t="str">
        <f>IF(RESUMEN_8°!S38="✓ APROBADO",RESUMEN_8°!F38,"")</f>
        <v/>
      </c>
      <c r="D83" s="125" t="str">
        <f>IF(RESUMEN_8°!S38="✓ APROBADO",RESUMEN_8°!R38,"")</f>
        <v/>
      </c>
      <c r="E83" s="125" t="str">
        <f>IF(RESUMEN_8°!S38="✓ APROBADO",IFERROR(ROUND(AVERAGE(RESUMEN_8°!F38,RESUMEN_8°!R38),1),""),"")</f>
        <v/>
      </c>
    </row>
    <row r="84" spans="1:12" ht="13.95" customHeight="1">
      <c r="A84" s="148" t="str">
        <f>IF(RESUMEN_8°!S39="✓ APROBADO",35,"")</f>
        <v/>
      </c>
      <c r="B84" s="149" t="str">
        <f>IF(RESUMEN_8°!S39="✓ APROBADO",RESUMEN_8°!B39,"")</f>
        <v/>
      </c>
      <c r="C84" s="148" t="str">
        <f>IF(RESUMEN_8°!S39="✓ APROBADO",RESUMEN_8°!F39,"")</f>
        <v/>
      </c>
      <c r="D84" s="148" t="str">
        <f>IF(RESUMEN_8°!S39="✓ APROBADO",RESUMEN_8°!R39,"")</f>
        <v/>
      </c>
      <c r="E84" s="148" t="str">
        <f>IF(RESUMEN_8°!S39="✓ APROBADO",IFERROR(ROUND(AVERAGE(RESUMEN_8°!F39,RESUMEN_8°!R39),1),""),"")</f>
        <v/>
      </c>
    </row>
    <row r="85" spans="1:12" ht="13.95" customHeight="1">
      <c r="A85" s="125" t="str">
        <f>IF(RESUMEN_8°!S40="✓ APROBADO",36,"")</f>
        <v/>
      </c>
      <c r="B85" s="117" t="str">
        <f>IF(RESUMEN_8°!S40="✓ APROBADO",RESUMEN_8°!B40,"")</f>
        <v/>
      </c>
      <c r="C85" s="125" t="str">
        <f>IF(RESUMEN_8°!S40="✓ APROBADO",RESUMEN_8°!F40,"")</f>
        <v/>
      </c>
      <c r="D85" s="125" t="str">
        <f>IF(RESUMEN_8°!S40="✓ APROBADO",RESUMEN_8°!R40,"")</f>
        <v/>
      </c>
      <c r="E85" s="125" t="str">
        <f>IF(RESUMEN_8°!S40="✓ APROBADO",IFERROR(ROUND(AVERAGE(RESUMEN_8°!F40,RESUMEN_8°!R40),1),""),"")</f>
        <v/>
      </c>
    </row>
    <row r="86" spans="1:12" ht="13.95" customHeight="1">
      <c r="A86" s="148" t="str">
        <f>IF(RESUMEN_8°!S41="✓ APROBADO",37,"")</f>
        <v/>
      </c>
      <c r="B86" s="149" t="str">
        <f>IF(RESUMEN_8°!S41="✓ APROBADO",RESUMEN_8°!B41,"")</f>
        <v/>
      </c>
      <c r="C86" s="148" t="str">
        <f>IF(RESUMEN_8°!S41="✓ APROBADO",RESUMEN_8°!F41,"")</f>
        <v/>
      </c>
      <c r="D86" s="148" t="str">
        <f>IF(RESUMEN_8°!S41="✓ APROBADO",RESUMEN_8°!R41,"")</f>
        <v/>
      </c>
      <c r="E86" s="148" t="str">
        <f>IF(RESUMEN_8°!S41="✓ APROBADO",IFERROR(ROUND(AVERAGE(RESUMEN_8°!F41,RESUMEN_8°!R41),1),""),"")</f>
        <v/>
      </c>
    </row>
    <row r="87" spans="1:12" ht="13.95" customHeight="1">
      <c r="A87" s="125" t="str">
        <f>IF(RESUMEN_8°!S42="✓ APROBADO",38,"")</f>
        <v/>
      </c>
      <c r="B87" s="117" t="str">
        <f>IF(RESUMEN_8°!S42="✓ APROBADO",RESUMEN_8°!B42,"")</f>
        <v/>
      </c>
      <c r="C87" s="125" t="str">
        <f>IF(RESUMEN_8°!S42="✓ APROBADO",RESUMEN_8°!F42,"")</f>
        <v/>
      </c>
      <c r="D87" s="125" t="str">
        <f>IF(RESUMEN_8°!S42="✓ APROBADO",RESUMEN_8°!R42,"")</f>
        <v/>
      </c>
      <c r="E87" s="125" t="str">
        <f>IF(RESUMEN_8°!S42="✓ APROBADO",IFERROR(ROUND(AVERAGE(RESUMEN_8°!F42,RESUMEN_8°!R42),1),""),"")</f>
        <v/>
      </c>
    </row>
    <row r="88" spans="1:12" ht="13.95" customHeight="1">
      <c r="A88" s="148" t="str">
        <f>IF(RESUMEN_8°!S43="✓ APROBADO",39,"")</f>
        <v/>
      </c>
      <c r="B88" s="149" t="str">
        <f>IF(RESUMEN_8°!S43="✓ APROBADO",RESUMEN_8°!B43,"")</f>
        <v/>
      </c>
      <c r="C88" s="148" t="str">
        <f>IF(RESUMEN_8°!S43="✓ APROBADO",RESUMEN_8°!F43,"")</f>
        <v/>
      </c>
      <c r="D88" s="148" t="str">
        <f>IF(RESUMEN_8°!S43="✓ APROBADO",RESUMEN_8°!R43,"")</f>
        <v/>
      </c>
      <c r="E88" s="148" t="str">
        <f>IF(RESUMEN_8°!S43="✓ APROBADO",IFERROR(ROUND(AVERAGE(RESUMEN_8°!F43,RESUMEN_8°!R43),1),""),"")</f>
        <v/>
      </c>
    </row>
    <row r="89" spans="1:12" ht="13.95" customHeight="1">
      <c r="A89" s="125" t="str">
        <f>IF(RESUMEN_8°!S44="✓ APROBADO",40,"")</f>
        <v/>
      </c>
      <c r="B89" s="117" t="str">
        <f>IF(RESUMEN_8°!S44="✓ APROBADO",RESUMEN_8°!B44,"")</f>
        <v/>
      </c>
      <c r="C89" s="125" t="str">
        <f>IF(RESUMEN_8°!S44="✓ APROBADO",RESUMEN_8°!F44,"")</f>
        <v/>
      </c>
      <c r="D89" s="125" t="str">
        <f>IF(RESUMEN_8°!S44="✓ APROBADO",RESUMEN_8°!R44,"")</f>
        <v/>
      </c>
      <c r="E89" s="125" t="str">
        <f>IF(RESUMEN_8°!S44="✓ APROBADO",IFERROR(ROUND(AVERAGE(RESUMEN_8°!F44,RESUMEN_8°!R44),1),""),"")</f>
        <v/>
      </c>
    </row>
    <row r="90" spans="1:12" ht="18" customHeight="1">
      <c r="A90" s="233" t="s">
        <v>66</v>
      </c>
      <c r="B90" s="206"/>
      <c r="C90" s="150">
        <f>COUNTIF(RESUMEN_8°!S5:'RESUMEN_8°'!S44,"✓ APROBADO")</f>
        <v>0</v>
      </c>
      <c r="D90" s="129"/>
      <c r="E90" s="129"/>
    </row>
    <row r="92" spans="1:12" ht="19.95" customHeight="1">
      <c r="A92" s="230" t="s">
        <v>67</v>
      </c>
      <c r="B92" s="216"/>
      <c r="C92" s="216"/>
      <c r="D92" s="216"/>
      <c r="E92" s="216"/>
      <c r="F92" s="216"/>
      <c r="G92" s="216"/>
      <c r="H92" s="216"/>
      <c r="I92" s="216"/>
      <c r="J92" s="216"/>
      <c r="K92" s="216"/>
      <c r="L92" s="206"/>
    </row>
    <row r="93" spans="1:12" ht="18" customHeight="1">
      <c r="A93" s="146" t="s">
        <v>2</v>
      </c>
      <c r="B93" s="146" t="s">
        <v>3</v>
      </c>
      <c r="C93" s="146" t="s">
        <v>33</v>
      </c>
      <c r="D93" s="146" t="s">
        <v>34</v>
      </c>
      <c r="E93" s="146" t="s">
        <v>63</v>
      </c>
    </row>
    <row r="94" spans="1:12" ht="13.95" customHeight="1">
      <c r="A94" s="148" t="str">
        <f>IF(RESUMEN_9°!W5="✓ APROBADO",1,"")</f>
        <v/>
      </c>
      <c r="B94" s="149" t="str">
        <f>IF(RESUMEN_9°!W5="✓ APROBADO",RESUMEN_9°!B5,"")</f>
        <v/>
      </c>
      <c r="C94" s="148" t="str">
        <f>IF(RESUMEN_9°!W5="✓ APROBADO",RESUMEN_9°!F5,"")</f>
        <v/>
      </c>
      <c r="D94" s="148" t="str">
        <f>IF(RESUMEN_9°!W5="✓ APROBADO",RESUMEN_9°!V5,"")</f>
        <v/>
      </c>
      <c r="E94" s="148" t="str">
        <f>IF(RESUMEN_9°!W5="✓ APROBADO",IFERROR(ROUND(AVERAGE(RESUMEN_9°!F5,RESUMEN_9°!V5),1),""),"")</f>
        <v/>
      </c>
    </row>
    <row r="95" spans="1:12" ht="13.95" customHeight="1">
      <c r="A95" s="125" t="str">
        <f>IF(RESUMEN_9°!W6="✓ APROBADO",2,"")</f>
        <v/>
      </c>
      <c r="B95" s="117" t="str">
        <f>IF(RESUMEN_9°!W6="✓ APROBADO",RESUMEN_9°!B6,"")</f>
        <v/>
      </c>
      <c r="C95" s="125" t="str">
        <f>IF(RESUMEN_9°!W6="✓ APROBADO",RESUMEN_9°!F6,"")</f>
        <v/>
      </c>
      <c r="D95" s="125" t="str">
        <f>IF(RESUMEN_9°!W6="✓ APROBADO",RESUMEN_9°!V6,"")</f>
        <v/>
      </c>
      <c r="E95" s="125" t="str">
        <f>IF(RESUMEN_9°!W6="✓ APROBADO",IFERROR(ROUND(AVERAGE(RESUMEN_9°!F6,RESUMEN_9°!V6),1),""),"")</f>
        <v/>
      </c>
    </row>
    <row r="96" spans="1:12" ht="13.95" customHeight="1">
      <c r="A96" s="148" t="str">
        <f>IF(RESUMEN_9°!W7="✓ APROBADO",3,"")</f>
        <v/>
      </c>
      <c r="B96" s="149" t="str">
        <f>IF(RESUMEN_9°!W7="✓ APROBADO",RESUMEN_9°!B7,"")</f>
        <v/>
      </c>
      <c r="C96" s="148" t="str">
        <f>IF(RESUMEN_9°!W7="✓ APROBADO",RESUMEN_9°!F7,"")</f>
        <v/>
      </c>
      <c r="D96" s="148" t="str">
        <f>IF(RESUMEN_9°!W7="✓ APROBADO",RESUMEN_9°!V7,"")</f>
        <v/>
      </c>
      <c r="E96" s="148" t="str">
        <f>IF(RESUMEN_9°!W7="✓ APROBADO",IFERROR(ROUND(AVERAGE(RESUMEN_9°!F7,RESUMEN_9°!V7),1),""),"")</f>
        <v/>
      </c>
    </row>
    <row r="97" spans="1:5" ht="13.95" customHeight="1">
      <c r="A97" s="125" t="str">
        <f>IF(RESUMEN_9°!W8="✓ APROBADO",4,"")</f>
        <v/>
      </c>
      <c r="B97" s="117" t="str">
        <f>IF(RESUMEN_9°!W8="✓ APROBADO",RESUMEN_9°!B8,"")</f>
        <v/>
      </c>
      <c r="C97" s="125" t="str">
        <f>IF(RESUMEN_9°!W8="✓ APROBADO",RESUMEN_9°!F8,"")</f>
        <v/>
      </c>
      <c r="D97" s="125" t="str">
        <f>IF(RESUMEN_9°!W8="✓ APROBADO",RESUMEN_9°!V8,"")</f>
        <v/>
      </c>
      <c r="E97" s="125" t="str">
        <f>IF(RESUMEN_9°!W8="✓ APROBADO",IFERROR(ROUND(AVERAGE(RESUMEN_9°!F8,RESUMEN_9°!V8),1),""),"")</f>
        <v/>
      </c>
    </row>
    <row r="98" spans="1:5" ht="13.95" customHeight="1">
      <c r="A98" s="148" t="str">
        <f>IF(RESUMEN_9°!W9="✓ APROBADO",5,"")</f>
        <v/>
      </c>
      <c r="B98" s="149" t="str">
        <f>IF(RESUMEN_9°!W9="✓ APROBADO",RESUMEN_9°!B9,"")</f>
        <v/>
      </c>
      <c r="C98" s="148" t="str">
        <f>IF(RESUMEN_9°!W9="✓ APROBADO",RESUMEN_9°!F9,"")</f>
        <v/>
      </c>
      <c r="D98" s="148" t="str">
        <f>IF(RESUMEN_9°!W9="✓ APROBADO",RESUMEN_9°!V9,"")</f>
        <v/>
      </c>
      <c r="E98" s="148" t="str">
        <f>IF(RESUMEN_9°!W9="✓ APROBADO",IFERROR(ROUND(AVERAGE(RESUMEN_9°!F9,RESUMEN_9°!V9),1),""),"")</f>
        <v/>
      </c>
    </row>
    <row r="99" spans="1:5" ht="13.95" customHeight="1">
      <c r="A99" s="125" t="str">
        <f>IF(RESUMEN_9°!W10="✓ APROBADO",6,"")</f>
        <v/>
      </c>
      <c r="B99" s="117" t="str">
        <f>IF(RESUMEN_9°!W10="✓ APROBADO",RESUMEN_9°!B10,"")</f>
        <v/>
      </c>
      <c r="C99" s="125" t="str">
        <f>IF(RESUMEN_9°!W10="✓ APROBADO",RESUMEN_9°!F10,"")</f>
        <v/>
      </c>
      <c r="D99" s="125" t="str">
        <f>IF(RESUMEN_9°!W10="✓ APROBADO",RESUMEN_9°!V10,"")</f>
        <v/>
      </c>
      <c r="E99" s="125" t="str">
        <f>IF(RESUMEN_9°!W10="✓ APROBADO",IFERROR(ROUND(AVERAGE(RESUMEN_9°!F10,RESUMEN_9°!V10),1),""),"")</f>
        <v/>
      </c>
    </row>
    <row r="100" spans="1:5" ht="13.95" customHeight="1">
      <c r="A100" s="148" t="str">
        <f>IF(RESUMEN_9°!W11="✓ APROBADO",7,"")</f>
        <v/>
      </c>
      <c r="B100" s="149" t="str">
        <f>IF(RESUMEN_9°!W11="✓ APROBADO",RESUMEN_9°!B11,"")</f>
        <v/>
      </c>
      <c r="C100" s="148" t="str">
        <f>IF(RESUMEN_9°!W11="✓ APROBADO",RESUMEN_9°!F11,"")</f>
        <v/>
      </c>
      <c r="D100" s="148" t="str">
        <f>IF(RESUMEN_9°!W11="✓ APROBADO",RESUMEN_9°!V11,"")</f>
        <v/>
      </c>
      <c r="E100" s="148" t="str">
        <f>IF(RESUMEN_9°!W11="✓ APROBADO",IFERROR(ROUND(AVERAGE(RESUMEN_9°!F11,RESUMEN_9°!V11),1),""),"")</f>
        <v/>
      </c>
    </row>
    <row r="101" spans="1:5" ht="13.95" customHeight="1">
      <c r="A101" s="125" t="str">
        <f>IF(RESUMEN_9°!W12="✓ APROBADO",8,"")</f>
        <v/>
      </c>
      <c r="B101" s="117" t="str">
        <f>IF(RESUMEN_9°!W12="✓ APROBADO",RESUMEN_9°!B12,"")</f>
        <v/>
      </c>
      <c r="C101" s="125" t="str">
        <f>IF(RESUMEN_9°!W12="✓ APROBADO",RESUMEN_9°!F12,"")</f>
        <v/>
      </c>
      <c r="D101" s="125" t="str">
        <f>IF(RESUMEN_9°!W12="✓ APROBADO",RESUMEN_9°!V12,"")</f>
        <v/>
      </c>
      <c r="E101" s="125" t="str">
        <f>IF(RESUMEN_9°!W12="✓ APROBADO",IFERROR(ROUND(AVERAGE(RESUMEN_9°!F12,RESUMEN_9°!V12),1),""),"")</f>
        <v/>
      </c>
    </row>
    <row r="102" spans="1:5" ht="13.95" customHeight="1">
      <c r="A102" s="148" t="str">
        <f>IF(RESUMEN_9°!W13="✓ APROBADO",9,"")</f>
        <v/>
      </c>
      <c r="B102" s="149" t="str">
        <f>IF(RESUMEN_9°!W13="✓ APROBADO",RESUMEN_9°!B13,"")</f>
        <v/>
      </c>
      <c r="C102" s="148" t="str">
        <f>IF(RESUMEN_9°!W13="✓ APROBADO",RESUMEN_9°!F13,"")</f>
        <v/>
      </c>
      <c r="D102" s="148" t="str">
        <f>IF(RESUMEN_9°!W13="✓ APROBADO",RESUMEN_9°!V13,"")</f>
        <v/>
      </c>
      <c r="E102" s="148" t="str">
        <f>IF(RESUMEN_9°!W13="✓ APROBADO",IFERROR(ROUND(AVERAGE(RESUMEN_9°!F13,RESUMEN_9°!V13),1),""),"")</f>
        <v/>
      </c>
    </row>
    <row r="103" spans="1:5" ht="13.95" customHeight="1">
      <c r="A103" s="125" t="str">
        <f>IF(RESUMEN_9°!W14="✓ APROBADO",10,"")</f>
        <v/>
      </c>
      <c r="B103" s="117" t="str">
        <f>IF(RESUMEN_9°!W14="✓ APROBADO",RESUMEN_9°!B14,"")</f>
        <v/>
      </c>
      <c r="C103" s="125" t="str">
        <f>IF(RESUMEN_9°!W14="✓ APROBADO",RESUMEN_9°!F14,"")</f>
        <v/>
      </c>
      <c r="D103" s="125" t="str">
        <f>IF(RESUMEN_9°!W14="✓ APROBADO",RESUMEN_9°!V14,"")</f>
        <v/>
      </c>
      <c r="E103" s="125" t="str">
        <f>IF(RESUMEN_9°!W14="✓ APROBADO",IFERROR(ROUND(AVERAGE(RESUMEN_9°!F14,RESUMEN_9°!V14),1),""),"")</f>
        <v/>
      </c>
    </row>
    <row r="104" spans="1:5" ht="13.95" customHeight="1">
      <c r="A104" s="148" t="str">
        <f>IF(RESUMEN_9°!W15="✓ APROBADO",11,"")</f>
        <v/>
      </c>
      <c r="B104" s="149" t="str">
        <f>IF(RESUMEN_9°!W15="✓ APROBADO",RESUMEN_9°!B15,"")</f>
        <v/>
      </c>
      <c r="C104" s="148" t="str">
        <f>IF(RESUMEN_9°!W15="✓ APROBADO",RESUMEN_9°!F15,"")</f>
        <v/>
      </c>
      <c r="D104" s="148" t="str">
        <f>IF(RESUMEN_9°!W15="✓ APROBADO",RESUMEN_9°!V15,"")</f>
        <v/>
      </c>
      <c r="E104" s="148" t="str">
        <f>IF(RESUMEN_9°!W15="✓ APROBADO",IFERROR(ROUND(AVERAGE(RESUMEN_9°!F15,RESUMEN_9°!V15),1),""),"")</f>
        <v/>
      </c>
    </row>
    <row r="105" spans="1:5" ht="13.95" customHeight="1">
      <c r="A105" s="125" t="str">
        <f>IF(RESUMEN_9°!W16="✓ APROBADO",12,"")</f>
        <v/>
      </c>
      <c r="B105" s="117" t="str">
        <f>IF(RESUMEN_9°!W16="✓ APROBADO",RESUMEN_9°!B16,"")</f>
        <v/>
      </c>
      <c r="C105" s="125" t="str">
        <f>IF(RESUMEN_9°!W16="✓ APROBADO",RESUMEN_9°!F16,"")</f>
        <v/>
      </c>
      <c r="D105" s="125" t="str">
        <f>IF(RESUMEN_9°!W16="✓ APROBADO",RESUMEN_9°!V16,"")</f>
        <v/>
      </c>
      <c r="E105" s="125" t="str">
        <f>IF(RESUMEN_9°!W16="✓ APROBADO",IFERROR(ROUND(AVERAGE(RESUMEN_9°!F16,RESUMEN_9°!V16),1),""),"")</f>
        <v/>
      </c>
    </row>
    <row r="106" spans="1:5" ht="13.95" customHeight="1">
      <c r="A106" s="148" t="str">
        <f>IF(RESUMEN_9°!W17="✓ APROBADO",13,"")</f>
        <v/>
      </c>
      <c r="B106" s="149" t="str">
        <f>IF(RESUMEN_9°!W17="✓ APROBADO",RESUMEN_9°!B17,"")</f>
        <v/>
      </c>
      <c r="C106" s="148" t="str">
        <f>IF(RESUMEN_9°!W17="✓ APROBADO",RESUMEN_9°!F17,"")</f>
        <v/>
      </c>
      <c r="D106" s="148" t="str">
        <f>IF(RESUMEN_9°!W17="✓ APROBADO",RESUMEN_9°!V17,"")</f>
        <v/>
      </c>
      <c r="E106" s="148" t="str">
        <f>IF(RESUMEN_9°!W17="✓ APROBADO",IFERROR(ROUND(AVERAGE(RESUMEN_9°!F17,RESUMEN_9°!V17),1),""),"")</f>
        <v/>
      </c>
    </row>
    <row r="107" spans="1:5" ht="13.95" customHeight="1">
      <c r="A107" s="125" t="str">
        <f>IF(RESUMEN_9°!W18="✓ APROBADO",14,"")</f>
        <v/>
      </c>
      <c r="B107" s="117" t="str">
        <f>IF(RESUMEN_9°!W18="✓ APROBADO",RESUMEN_9°!B18,"")</f>
        <v/>
      </c>
      <c r="C107" s="125" t="str">
        <f>IF(RESUMEN_9°!W18="✓ APROBADO",RESUMEN_9°!F18,"")</f>
        <v/>
      </c>
      <c r="D107" s="125" t="str">
        <f>IF(RESUMEN_9°!W18="✓ APROBADO",RESUMEN_9°!V18,"")</f>
        <v/>
      </c>
      <c r="E107" s="125" t="str">
        <f>IF(RESUMEN_9°!W18="✓ APROBADO",IFERROR(ROUND(AVERAGE(RESUMEN_9°!F18,RESUMEN_9°!V18),1),""),"")</f>
        <v/>
      </c>
    </row>
    <row r="108" spans="1:5" ht="13.95" customHeight="1">
      <c r="A108" s="148" t="str">
        <f>IF(RESUMEN_9°!W19="✓ APROBADO",15,"")</f>
        <v/>
      </c>
      <c r="B108" s="149" t="str">
        <f>IF(RESUMEN_9°!W19="✓ APROBADO",RESUMEN_9°!B19,"")</f>
        <v/>
      </c>
      <c r="C108" s="148" t="str">
        <f>IF(RESUMEN_9°!W19="✓ APROBADO",RESUMEN_9°!F19,"")</f>
        <v/>
      </c>
      <c r="D108" s="148" t="str">
        <f>IF(RESUMEN_9°!W19="✓ APROBADO",RESUMEN_9°!V19,"")</f>
        <v/>
      </c>
      <c r="E108" s="148" t="str">
        <f>IF(RESUMEN_9°!W19="✓ APROBADO",IFERROR(ROUND(AVERAGE(RESUMEN_9°!F19,RESUMEN_9°!V19),1),""),"")</f>
        <v/>
      </c>
    </row>
    <row r="109" spans="1:5" ht="13.95" customHeight="1">
      <c r="A109" s="125" t="str">
        <f>IF(RESUMEN_9°!W20="✓ APROBADO",16,"")</f>
        <v/>
      </c>
      <c r="B109" s="117" t="str">
        <f>IF(RESUMEN_9°!W20="✓ APROBADO",RESUMEN_9°!B20,"")</f>
        <v/>
      </c>
      <c r="C109" s="125" t="str">
        <f>IF(RESUMEN_9°!W20="✓ APROBADO",RESUMEN_9°!F20,"")</f>
        <v/>
      </c>
      <c r="D109" s="125" t="str">
        <f>IF(RESUMEN_9°!W20="✓ APROBADO",RESUMEN_9°!V20,"")</f>
        <v/>
      </c>
      <c r="E109" s="125" t="str">
        <f>IF(RESUMEN_9°!W20="✓ APROBADO",IFERROR(ROUND(AVERAGE(RESUMEN_9°!F20,RESUMEN_9°!V20),1),""),"")</f>
        <v/>
      </c>
    </row>
    <row r="110" spans="1:5" ht="13.95" customHeight="1">
      <c r="A110" s="148" t="str">
        <f>IF(RESUMEN_9°!W21="✓ APROBADO",17,"")</f>
        <v/>
      </c>
      <c r="B110" s="149" t="str">
        <f>IF(RESUMEN_9°!W21="✓ APROBADO",RESUMEN_9°!B21,"")</f>
        <v/>
      </c>
      <c r="C110" s="148" t="str">
        <f>IF(RESUMEN_9°!W21="✓ APROBADO",RESUMEN_9°!F21,"")</f>
        <v/>
      </c>
      <c r="D110" s="148" t="str">
        <f>IF(RESUMEN_9°!W21="✓ APROBADO",RESUMEN_9°!V21,"")</f>
        <v/>
      </c>
      <c r="E110" s="148" t="str">
        <f>IF(RESUMEN_9°!W21="✓ APROBADO",IFERROR(ROUND(AVERAGE(RESUMEN_9°!F21,RESUMEN_9°!V21),1),""),"")</f>
        <v/>
      </c>
    </row>
    <row r="111" spans="1:5" ht="13.95" customHeight="1">
      <c r="A111" s="125" t="str">
        <f>IF(RESUMEN_9°!W22="✓ APROBADO",18,"")</f>
        <v/>
      </c>
      <c r="B111" s="117" t="str">
        <f>IF(RESUMEN_9°!W22="✓ APROBADO",RESUMEN_9°!B22,"")</f>
        <v/>
      </c>
      <c r="C111" s="125" t="str">
        <f>IF(RESUMEN_9°!W22="✓ APROBADO",RESUMEN_9°!F22,"")</f>
        <v/>
      </c>
      <c r="D111" s="125" t="str">
        <f>IF(RESUMEN_9°!W22="✓ APROBADO",RESUMEN_9°!V22,"")</f>
        <v/>
      </c>
      <c r="E111" s="125" t="str">
        <f>IF(RESUMEN_9°!W22="✓ APROBADO",IFERROR(ROUND(AVERAGE(RESUMEN_9°!F22,RESUMEN_9°!V22),1),""),"")</f>
        <v/>
      </c>
    </row>
    <row r="112" spans="1:5" ht="13.95" customHeight="1">
      <c r="A112" s="148" t="str">
        <f>IF(RESUMEN_9°!W23="✓ APROBADO",19,"")</f>
        <v/>
      </c>
      <c r="B112" s="149" t="str">
        <f>IF(RESUMEN_9°!W23="✓ APROBADO",RESUMEN_9°!B23,"")</f>
        <v/>
      </c>
      <c r="C112" s="148" t="str">
        <f>IF(RESUMEN_9°!W23="✓ APROBADO",RESUMEN_9°!F23,"")</f>
        <v/>
      </c>
      <c r="D112" s="148" t="str">
        <f>IF(RESUMEN_9°!W23="✓ APROBADO",RESUMEN_9°!V23,"")</f>
        <v/>
      </c>
      <c r="E112" s="148" t="str">
        <f>IF(RESUMEN_9°!W23="✓ APROBADO",IFERROR(ROUND(AVERAGE(RESUMEN_9°!F23,RESUMEN_9°!V23),1),""),"")</f>
        <v/>
      </c>
    </row>
    <row r="113" spans="1:5" ht="13.95" customHeight="1">
      <c r="A113" s="125" t="str">
        <f>IF(RESUMEN_9°!W24="✓ APROBADO",20,"")</f>
        <v/>
      </c>
      <c r="B113" s="117" t="str">
        <f>IF(RESUMEN_9°!W24="✓ APROBADO",RESUMEN_9°!B24,"")</f>
        <v/>
      </c>
      <c r="C113" s="125" t="str">
        <f>IF(RESUMEN_9°!W24="✓ APROBADO",RESUMEN_9°!F24,"")</f>
        <v/>
      </c>
      <c r="D113" s="125" t="str">
        <f>IF(RESUMEN_9°!W24="✓ APROBADO",RESUMEN_9°!V24,"")</f>
        <v/>
      </c>
      <c r="E113" s="125" t="str">
        <f>IF(RESUMEN_9°!W24="✓ APROBADO",IFERROR(ROUND(AVERAGE(RESUMEN_9°!F24,RESUMEN_9°!V24),1),""),"")</f>
        <v/>
      </c>
    </row>
    <row r="114" spans="1:5" ht="13.95" customHeight="1">
      <c r="A114" s="148" t="str">
        <f>IF(RESUMEN_9°!W25="✓ APROBADO",21,"")</f>
        <v/>
      </c>
      <c r="B114" s="149" t="str">
        <f>IF(RESUMEN_9°!W25="✓ APROBADO",RESUMEN_9°!B25,"")</f>
        <v/>
      </c>
      <c r="C114" s="148" t="str">
        <f>IF(RESUMEN_9°!W25="✓ APROBADO",RESUMEN_9°!F25,"")</f>
        <v/>
      </c>
      <c r="D114" s="148" t="str">
        <f>IF(RESUMEN_9°!W25="✓ APROBADO",RESUMEN_9°!V25,"")</f>
        <v/>
      </c>
      <c r="E114" s="148" t="str">
        <f>IF(RESUMEN_9°!W25="✓ APROBADO",IFERROR(ROUND(AVERAGE(RESUMEN_9°!F25,RESUMEN_9°!V25),1),""),"")</f>
        <v/>
      </c>
    </row>
    <row r="115" spans="1:5" ht="13.95" customHeight="1">
      <c r="A115" s="125" t="str">
        <f>IF(RESUMEN_9°!W26="✓ APROBADO",22,"")</f>
        <v/>
      </c>
      <c r="B115" s="117" t="str">
        <f>IF(RESUMEN_9°!W26="✓ APROBADO",RESUMEN_9°!B26,"")</f>
        <v/>
      </c>
      <c r="C115" s="125" t="str">
        <f>IF(RESUMEN_9°!W26="✓ APROBADO",RESUMEN_9°!F26,"")</f>
        <v/>
      </c>
      <c r="D115" s="125" t="str">
        <f>IF(RESUMEN_9°!W26="✓ APROBADO",RESUMEN_9°!V26,"")</f>
        <v/>
      </c>
      <c r="E115" s="125" t="str">
        <f>IF(RESUMEN_9°!W26="✓ APROBADO",IFERROR(ROUND(AVERAGE(RESUMEN_9°!F26,RESUMEN_9°!V26),1),""),"")</f>
        <v/>
      </c>
    </row>
    <row r="116" spans="1:5" ht="13.95" customHeight="1">
      <c r="A116" s="148" t="str">
        <f>IF(RESUMEN_9°!W27="✓ APROBADO",23,"")</f>
        <v/>
      </c>
      <c r="B116" s="149" t="str">
        <f>IF(RESUMEN_9°!W27="✓ APROBADO",RESUMEN_9°!B27,"")</f>
        <v/>
      </c>
      <c r="C116" s="148" t="str">
        <f>IF(RESUMEN_9°!W27="✓ APROBADO",RESUMEN_9°!F27,"")</f>
        <v/>
      </c>
      <c r="D116" s="148" t="str">
        <f>IF(RESUMEN_9°!W27="✓ APROBADO",RESUMEN_9°!V27,"")</f>
        <v/>
      </c>
      <c r="E116" s="148" t="str">
        <f>IF(RESUMEN_9°!W27="✓ APROBADO",IFERROR(ROUND(AVERAGE(RESUMEN_9°!F27,RESUMEN_9°!V27),1),""),"")</f>
        <v/>
      </c>
    </row>
    <row r="117" spans="1:5" ht="13.95" customHeight="1">
      <c r="A117" s="125" t="str">
        <f>IF(RESUMEN_9°!W28="✓ APROBADO",24,"")</f>
        <v/>
      </c>
      <c r="B117" s="117" t="str">
        <f>IF(RESUMEN_9°!W28="✓ APROBADO",RESUMEN_9°!B28,"")</f>
        <v/>
      </c>
      <c r="C117" s="125" t="str">
        <f>IF(RESUMEN_9°!W28="✓ APROBADO",RESUMEN_9°!F28,"")</f>
        <v/>
      </c>
      <c r="D117" s="125" t="str">
        <f>IF(RESUMEN_9°!W28="✓ APROBADO",RESUMEN_9°!V28,"")</f>
        <v/>
      </c>
      <c r="E117" s="125" t="str">
        <f>IF(RESUMEN_9°!W28="✓ APROBADO",IFERROR(ROUND(AVERAGE(RESUMEN_9°!F28,RESUMEN_9°!V28),1),""),"")</f>
        <v/>
      </c>
    </row>
    <row r="118" spans="1:5" ht="13.95" customHeight="1">
      <c r="A118" s="148" t="str">
        <f>IF(RESUMEN_9°!W29="✓ APROBADO",25,"")</f>
        <v/>
      </c>
      <c r="B118" s="149" t="str">
        <f>IF(RESUMEN_9°!W29="✓ APROBADO",RESUMEN_9°!B29,"")</f>
        <v/>
      </c>
      <c r="C118" s="148" t="str">
        <f>IF(RESUMEN_9°!W29="✓ APROBADO",RESUMEN_9°!F29,"")</f>
        <v/>
      </c>
      <c r="D118" s="148" t="str">
        <f>IF(RESUMEN_9°!W29="✓ APROBADO",RESUMEN_9°!V29,"")</f>
        <v/>
      </c>
      <c r="E118" s="148" t="str">
        <f>IF(RESUMEN_9°!W29="✓ APROBADO",IFERROR(ROUND(AVERAGE(RESUMEN_9°!F29,RESUMEN_9°!V29),1),""),"")</f>
        <v/>
      </c>
    </row>
    <row r="119" spans="1:5" ht="13.95" customHeight="1">
      <c r="A119" s="125" t="str">
        <f>IF(RESUMEN_9°!W30="✓ APROBADO",26,"")</f>
        <v/>
      </c>
      <c r="B119" s="117" t="str">
        <f>IF(RESUMEN_9°!W30="✓ APROBADO",RESUMEN_9°!B30,"")</f>
        <v/>
      </c>
      <c r="C119" s="125" t="str">
        <f>IF(RESUMEN_9°!W30="✓ APROBADO",RESUMEN_9°!F30,"")</f>
        <v/>
      </c>
      <c r="D119" s="125" t="str">
        <f>IF(RESUMEN_9°!W30="✓ APROBADO",RESUMEN_9°!V30,"")</f>
        <v/>
      </c>
      <c r="E119" s="125" t="str">
        <f>IF(RESUMEN_9°!W30="✓ APROBADO",IFERROR(ROUND(AVERAGE(RESUMEN_9°!F30,RESUMEN_9°!V30),1),""),"")</f>
        <v/>
      </c>
    </row>
    <row r="120" spans="1:5" ht="13.95" customHeight="1">
      <c r="A120" s="148" t="str">
        <f>IF(RESUMEN_9°!W31="✓ APROBADO",27,"")</f>
        <v/>
      </c>
      <c r="B120" s="149" t="str">
        <f>IF(RESUMEN_9°!W31="✓ APROBADO",RESUMEN_9°!B31,"")</f>
        <v/>
      </c>
      <c r="C120" s="148" t="str">
        <f>IF(RESUMEN_9°!W31="✓ APROBADO",RESUMEN_9°!F31,"")</f>
        <v/>
      </c>
      <c r="D120" s="148" t="str">
        <f>IF(RESUMEN_9°!W31="✓ APROBADO",RESUMEN_9°!V31,"")</f>
        <v/>
      </c>
      <c r="E120" s="148" t="str">
        <f>IF(RESUMEN_9°!W31="✓ APROBADO",IFERROR(ROUND(AVERAGE(RESUMEN_9°!F31,RESUMEN_9°!V31),1),""),"")</f>
        <v/>
      </c>
    </row>
    <row r="121" spans="1:5" ht="13.95" customHeight="1">
      <c r="A121" s="125" t="str">
        <f>IF(RESUMEN_9°!W32="✓ APROBADO",28,"")</f>
        <v/>
      </c>
      <c r="B121" s="117" t="str">
        <f>IF(RESUMEN_9°!W32="✓ APROBADO",RESUMEN_9°!B32,"")</f>
        <v/>
      </c>
      <c r="C121" s="125" t="str">
        <f>IF(RESUMEN_9°!W32="✓ APROBADO",RESUMEN_9°!F32,"")</f>
        <v/>
      </c>
      <c r="D121" s="125" t="str">
        <f>IF(RESUMEN_9°!W32="✓ APROBADO",RESUMEN_9°!V32,"")</f>
        <v/>
      </c>
      <c r="E121" s="125" t="str">
        <f>IF(RESUMEN_9°!W32="✓ APROBADO",IFERROR(ROUND(AVERAGE(RESUMEN_9°!F32,RESUMEN_9°!V32),1),""),"")</f>
        <v/>
      </c>
    </row>
    <row r="122" spans="1:5" ht="13.95" customHeight="1">
      <c r="A122" s="148" t="str">
        <f>IF(RESUMEN_9°!W33="✓ APROBADO",29,"")</f>
        <v/>
      </c>
      <c r="B122" s="149" t="str">
        <f>IF(RESUMEN_9°!W33="✓ APROBADO",RESUMEN_9°!B33,"")</f>
        <v/>
      </c>
      <c r="C122" s="148" t="str">
        <f>IF(RESUMEN_9°!W33="✓ APROBADO",RESUMEN_9°!F33,"")</f>
        <v/>
      </c>
      <c r="D122" s="148" t="str">
        <f>IF(RESUMEN_9°!W33="✓ APROBADO",RESUMEN_9°!V33,"")</f>
        <v/>
      </c>
      <c r="E122" s="148" t="str">
        <f>IF(RESUMEN_9°!W33="✓ APROBADO",IFERROR(ROUND(AVERAGE(RESUMEN_9°!F33,RESUMEN_9°!V33),1),""),"")</f>
        <v/>
      </c>
    </row>
    <row r="123" spans="1:5" ht="13.95" customHeight="1">
      <c r="A123" s="125" t="str">
        <f>IF(RESUMEN_9°!W34="✓ APROBADO",30,"")</f>
        <v/>
      </c>
      <c r="B123" s="117" t="str">
        <f>IF(RESUMEN_9°!W34="✓ APROBADO",RESUMEN_9°!B34,"")</f>
        <v/>
      </c>
      <c r="C123" s="125" t="str">
        <f>IF(RESUMEN_9°!W34="✓ APROBADO",RESUMEN_9°!F34,"")</f>
        <v/>
      </c>
      <c r="D123" s="125" t="str">
        <f>IF(RESUMEN_9°!W34="✓ APROBADO",RESUMEN_9°!V34,"")</f>
        <v/>
      </c>
      <c r="E123" s="125" t="str">
        <f>IF(RESUMEN_9°!W34="✓ APROBADO",IFERROR(ROUND(AVERAGE(RESUMEN_9°!F34,RESUMEN_9°!V34),1),""),"")</f>
        <v/>
      </c>
    </row>
    <row r="124" spans="1:5" ht="13.95" customHeight="1">
      <c r="A124" s="148" t="str">
        <f>IF(RESUMEN_9°!W35="✓ APROBADO",31,"")</f>
        <v/>
      </c>
      <c r="B124" s="149" t="str">
        <f>IF(RESUMEN_9°!W35="✓ APROBADO",RESUMEN_9°!B35,"")</f>
        <v/>
      </c>
      <c r="C124" s="148" t="str">
        <f>IF(RESUMEN_9°!W35="✓ APROBADO",RESUMEN_9°!F35,"")</f>
        <v/>
      </c>
      <c r="D124" s="148" t="str">
        <f>IF(RESUMEN_9°!W35="✓ APROBADO",RESUMEN_9°!V35,"")</f>
        <v/>
      </c>
      <c r="E124" s="148" t="str">
        <f>IF(RESUMEN_9°!W35="✓ APROBADO",IFERROR(ROUND(AVERAGE(RESUMEN_9°!F35,RESUMEN_9°!V35),1),""),"")</f>
        <v/>
      </c>
    </row>
    <row r="125" spans="1:5" ht="13.95" customHeight="1">
      <c r="A125" s="125" t="str">
        <f>IF(RESUMEN_9°!W36="✓ APROBADO",32,"")</f>
        <v/>
      </c>
      <c r="B125" s="117" t="str">
        <f>IF(RESUMEN_9°!W36="✓ APROBADO",RESUMEN_9°!B36,"")</f>
        <v/>
      </c>
      <c r="C125" s="125" t="str">
        <f>IF(RESUMEN_9°!W36="✓ APROBADO",RESUMEN_9°!F36,"")</f>
        <v/>
      </c>
      <c r="D125" s="125" t="str">
        <f>IF(RESUMEN_9°!W36="✓ APROBADO",RESUMEN_9°!V36,"")</f>
        <v/>
      </c>
      <c r="E125" s="125" t="str">
        <f>IF(RESUMEN_9°!W36="✓ APROBADO",IFERROR(ROUND(AVERAGE(RESUMEN_9°!F36,RESUMEN_9°!V36),1),""),"")</f>
        <v/>
      </c>
    </row>
    <row r="126" spans="1:5" ht="13.95" customHeight="1">
      <c r="A126" s="148" t="str">
        <f>IF(RESUMEN_9°!W37="✓ APROBADO",33,"")</f>
        <v/>
      </c>
      <c r="B126" s="149" t="str">
        <f>IF(RESUMEN_9°!W37="✓ APROBADO",RESUMEN_9°!B37,"")</f>
        <v/>
      </c>
      <c r="C126" s="148" t="str">
        <f>IF(RESUMEN_9°!W37="✓ APROBADO",RESUMEN_9°!F37,"")</f>
        <v/>
      </c>
      <c r="D126" s="148" t="str">
        <f>IF(RESUMEN_9°!W37="✓ APROBADO",RESUMEN_9°!V37,"")</f>
        <v/>
      </c>
      <c r="E126" s="148" t="str">
        <f>IF(RESUMEN_9°!W37="✓ APROBADO",IFERROR(ROUND(AVERAGE(RESUMEN_9°!F37,RESUMEN_9°!V37),1),""),"")</f>
        <v/>
      </c>
    </row>
    <row r="127" spans="1:5" ht="13.95" customHeight="1">
      <c r="A127" s="125" t="str">
        <f>IF(RESUMEN_9°!W38="✓ APROBADO",34,"")</f>
        <v/>
      </c>
      <c r="B127" s="117" t="str">
        <f>IF(RESUMEN_9°!W38="✓ APROBADO",RESUMEN_9°!B38,"")</f>
        <v/>
      </c>
      <c r="C127" s="125" t="str">
        <f>IF(RESUMEN_9°!W38="✓ APROBADO",RESUMEN_9°!F38,"")</f>
        <v/>
      </c>
      <c r="D127" s="125" t="str">
        <f>IF(RESUMEN_9°!W38="✓ APROBADO",RESUMEN_9°!V38,"")</f>
        <v/>
      </c>
      <c r="E127" s="125" t="str">
        <f>IF(RESUMEN_9°!W38="✓ APROBADO",IFERROR(ROUND(AVERAGE(RESUMEN_9°!F38,RESUMEN_9°!V38),1),""),"")</f>
        <v/>
      </c>
    </row>
    <row r="128" spans="1:5" ht="13.95" customHeight="1">
      <c r="A128" s="148" t="str">
        <f>IF(RESUMEN_9°!W39="✓ APROBADO",35,"")</f>
        <v/>
      </c>
      <c r="B128" s="149" t="str">
        <f>IF(RESUMEN_9°!W39="✓ APROBADO",RESUMEN_9°!B39,"")</f>
        <v/>
      </c>
      <c r="C128" s="148" t="str">
        <f>IF(RESUMEN_9°!W39="✓ APROBADO",RESUMEN_9°!F39,"")</f>
        <v/>
      </c>
      <c r="D128" s="148" t="str">
        <f>IF(RESUMEN_9°!W39="✓ APROBADO",RESUMEN_9°!V39,"")</f>
        <v/>
      </c>
      <c r="E128" s="148" t="str">
        <f>IF(RESUMEN_9°!W39="✓ APROBADO",IFERROR(ROUND(AVERAGE(RESUMEN_9°!F39,RESUMEN_9°!V39),1),""),"")</f>
        <v/>
      </c>
    </row>
    <row r="129" spans="1:5" ht="13.95" customHeight="1">
      <c r="A129" s="125" t="str">
        <f>IF(RESUMEN_9°!W40="✓ APROBADO",36,"")</f>
        <v/>
      </c>
      <c r="B129" s="117" t="str">
        <f>IF(RESUMEN_9°!W40="✓ APROBADO",RESUMEN_9°!B40,"")</f>
        <v/>
      </c>
      <c r="C129" s="125" t="str">
        <f>IF(RESUMEN_9°!W40="✓ APROBADO",RESUMEN_9°!F40,"")</f>
        <v/>
      </c>
      <c r="D129" s="125" t="str">
        <f>IF(RESUMEN_9°!W40="✓ APROBADO",RESUMEN_9°!V40,"")</f>
        <v/>
      </c>
      <c r="E129" s="125" t="str">
        <f>IF(RESUMEN_9°!W40="✓ APROBADO",IFERROR(ROUND(AVERAGE(RESUMEN_9°!F40,RESUMEN_9°!V40),1),""),"")</f>
        <v/>
      </c>
    </row>
    <row r="130" spans="1:5" ht="13.95" customHeight="1">
      <c r="A130" s="148" t="str">
        <f>IF(RESUMEN_9°!W41="✓ APROBADO",37,"")</f>
        <v/>
      </c>
      <c r="B130" s="149" t="str">
        <f>IF(RESUMEN_9°!W41="✓ APROBADO",RESUMEN_9°!B41,"")</f>
        <v/>
      </c>
      <c r="C130" s="148" t="str">
        <f>IF(RESUMEN_9°!W41="✓ APROBADO",RESUMEN_9°!F41,"")</f>
        <v/>
      </c>
      <c r="D130" s="148" t="str">
        <f>IF(RESUMEN_9°!W41="✓ APROBADO",RESUMEN_9°!V41,"")</f>
        <v/>
      </c>
      <c r="E130" s="148" t="str">
        <f>IF(RESUMEN_9°!W41="✓ APROBADO",IFERROR(ROUND(AVERAGE(RESUMEN_9°!F41,RESUMEN_9°!V41),1),""),"")</f>
        <v/>
      </c>
    </row>
    <row r="131" spans="1:5" ht="13.95" customHeight="1">
      <c r="A131" s="125" t="str">
        <f>IF(RESUMEN_9°!W42="✓ APROBADO",38,"")</f>
        <v/>
      </c>
      <c r="B131" s="117" t="str">
        <f>IF(RESUMEN_9°!W42="✓ APROBADO",RESUMEN_9°!B42,"")</f>
        <v/>
      </c>
      <c r="C131" s="125" t="str">
        <f>IF(RESUMEN_9°!W42="✓ APROBADO",RESUMEN_9°!F42,"")</f>
        <v/>
      </c>
      <c r="D131" s="125" t="str">
        <f>IF(RESUMEN_9°!W42="✓ APROBADO",RESUMEN_9°!V42,"")</f>
        <v/>
      </c>
      <c r="E131" s="125" t="str">
        <f>IF(RESUMEN_9°!W42="✓ APROBADO",IFERROR(ROUND(AVERAGE(RESUMEN_9°!F42,RESUMEN_9°!V42),1),""),"")</f>
        <v/>
      </c>
    </row>
    <row r="132" spans="1:5" ht="13.95" customHeight="1">
      <c r="A132" s="148" t="str">
        <f>IF(RESUMEN_9°!W43="✓ APROBADO",39,"")</f>
        <v/>
      </c>
      <c r="B132" s="149" t="str">
        <f>IF(RESUMEN_9°!W43="✓ APROBADO",RESUMEN_9°!B43,"")</f>
        <v/>
      </c>
      <c r="C132" s="148" t="str">
        <f>IF(RESUMEN_9°!W43="✓ APROBADO",RESUMEN_9°!F43,"")</f>
        <v/>
      </c>
      <c r="D132" s="148" t="str">
        <f>IF(RESUMEN_9°!W43="✓ APROBADO",RESUMEN_9°!V43,"")</f>
        <v/>
      </c>
      <c r="E132" s="148" t="str">
        <f>IF(RESUMEN_9°!W43="✓ APROBADO",IFERROR(ROUND(AVERAGE(RESUMEN_9°!F43,RESUMEN_9°!V43),1),""),"")</f>
        <v/>
      </c>
    </row>
    <row r="133" spans="1:5" ht="13.95" customHeight="1">
      <c r="A133" s="125" t="str">
        <f>IF(RESUMEN_9°!W44="✓ APROBADO",40,"")</f>
        <v/>
      </c>
      <c r="B133" s="117" t="str">
        <f>IF(RESUMEN_9°!W44="✓ APROBADO",RESUMEN_9°!B44,"")</f>
        <v/>
      </c>
      <c r="C133" s="125" t="str">
        <f>IF(RESUMEN_9°!W44="✓ APROBADO",RESUMEN_9°!F44,"")</f>
        <v/>
      </c>
      <c r="D133" s="125" t="str">
        <f>IF(RESUMEN_9°!W44="✓ APROBADO",RESUMEN_9°!V44,"")</f>
        <v/>
      </c>
      <c r="E133" s="125" t="str">
        <f>IF(RESUMEN_9°!W44="✓ APROBADO",IFERROR(ROUND(AVERAGE(RESUMEN_9°!F44,RESUMEN_9°!V44),1),""),"")</f>
        <v/>
      </c>
    </row>
    <row r="134" spans="1:5" ht="18" customHeight="1">
      <c r="A134" s="233" t="s">
        <v>68</v>
      </c>
      <c r="B134" s="206"/>
      <c r="C134" s="150">
        <f>COUNTIF(RESUMEN_9°!W5:'RESUMEN_9°'!W44,"✓ APROBADO")</f>
        <v>0</v>
      </c>
      <c r="D134" s="129"/>
      <c r="E134" s="129"/>
    </row>
  </sheetData>
  <mergeCells count="8">
    <mergeCell ref="A92:L92"/>
    <mergeCell ref="A2:L2"/>
    <mergeCell ref="A134:B134"/>
    <mergeCell ref="A90:B90"/>
    <mergeCell ref="A1:L1"/>
    <mergeCell ref="A46:B46"/>
    <mergeCell ref="A4:L4"/>
    <mergeCell ref="A48:L48"/>
  </mergeCells>
  <conditionalFormatting sqref="D1:E200">
    <cfRule type="cellIs" dxfId="21" priority="1" operator="lessThan">
      <formula>3</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55A11"/>
  </sheetPr>
  <dimension ref="A1:N29"/>
  <sheetViews>
    <sheetView workbookViewId="0">
      <pane ySplit="3" topLeftCell="A4" activePane="bottomLeft" state="frozen"/>
      <selection pane="bottomLeft" sqref="A1:N1"/>
    </sheetView>
  </sheetViews>
  <sheetFormatPr baseColWidth="10" defaultColWidth="8.88671875" defaultRowHeight="14.4"/>
  <cols>
    <col min="1" max="1" width="22" customWidth="1"/>
    <col min="2" max="4" width="14" customWidth="1"/>
    <col min="5" max="5" width="12" customWidth="1"/>
  </cols>
  <sheetData>
    <row r="1" spans="1:14" ht="25.95" customHeight="1">
      <c r="A1" s="230" t="s">
        <v>69</v>
      </c>
      <c r="B1" s="216"/>
      <c r="C1" s="216"/>
      <c r="D1" s="216"/>
      <c r="E1" s="216"/>
      <c r="F1" s="216"/>
      <c r="G1" s="216"/>
      <c r="H1" s="216"/>
      <c r="I1" s="216"/>
      <c r="J1" s="216"/>
      <c r="K1" s="216"/>
      <c r="L1" s="216"/>
      <c r="M1" s="216"/>
      <c r="N1" s="206"/>
    </row>
    <row r="2" spans="1:14" ht="16.05" customHeight="1">
      <c r="A2" s="238" t="s">
        <v>70</v>
      </c>
      <c r="B2" s="216"/>
      <c r="C2" s="216"/>
      <c r="D2" s="216"/>
      <c r="E2" s="216"/>
      <c r="F2" s="216"/>
      <c r="G2" s="216"/>
      <c r="H2" s="216"/>
      <c r="I2" s="216"/>
      <c r="J2" s="216"/>
      <c r="K2" s="216"/>
      <c r="L2" s="216"/>
      <c r="M2" s="216"/>
      <c r="N2" s="206"/>
    </row>
    <row r="4" spans="1:14" ht="19.95" customHeight="1">
      <c r="A4" s="229" t="s">
        <v>71</v>
      </c>
      <c r="B4" s="216"/>
      <c r="C4" s="216"/>
      <c r="D4" s="216"/>
      <c r="E4" s="216"/>
      <c r="F4" s="216"/>
      <c r="G4" s="216"/>
      <c r="H4" s="216"/>
      <c r="I4" s="216"/>
      <c r="J4" s="216"/>
      <c r="K4" s="216"/>
      <c r="L4" s="216"/>
      <c r="M4" s="216"/>
      <c r="N4" s="206"/>
    </row>
    <row r="5" spans="1:14" ht="18" customHeight="1">
      <c r="A5" s="113"/>
      <c r="B5" s="113" t="s">
        <v>26</v>
      </c>
      <c r="C5" s="113" t="s">
        <v>27</v>
      </c>
      <c r="D5" s="113" t="s">
        <v>28</v>
      </c>
      <c r="E5" s="113" t="s">
        <v>72</v>
      </c>
    </row>
    <row r="6" spans="1:14" ht="18" customHeight="1">
      <c r="A6" s="152" t="s">
        <v>30</v>
      </c>
      <c r="B6" s="153">
        <f>COUNTA(MAESTRO!B5:'MAESTRO'!B44)</f>
        <v>0</v>
      </c>
      <c r="C6" s="153">
        <f>COUNTA(MAESTRO!D5:'MAESTRO'!D44)</f>
        <v>0</v>
      </c>
      <c r="D6" s="153">
        <f>COUNTA(MAESTRO!F5:'MAESTRO'!F44)</f>
        <v>0</v>
      </c>
      <c r="E6" s="154">
        <f t="shared" ref="E6:E11" si="0">IFERROR(B6+C6+D6,"")</f>
        <v>0</v>
      </c>
    </row>
    <row r="7" spans="1:14" ht="18" customHeight="1">
      <c r="A7" s="155" t="s">
        <v>31</v>
      </c>
      <c r="B7" s="156">
        <f>COUNTIF(RESUMEN_7°!S5:'RESUMEN_7°'!S44,"✓ APROBADO")</f>
        <v>0</v>
      </c>
      <c r="C7" s="156">
        <f>COUNTIF(RESUMEN_8°!S5:'RESUMEN_8°'!S44,"✓ APROBADO")</f>
        <v>0</v>
      </c>
      <c r="D7" s="156">
        <f>COUNTIF(RESUMEN_9°!W5:'RESUMEN_9°'!W44,"✓ APROBADO")</f>
        <v>0</v>
      </c>
      <c r="E7" s="157">
        <f t="shared" si="0"/>
        <v>0</v>
      </c>
    </row>
    <row r="8" spans="1:14" ht="18" customHeight="1">
      <c r="A8" s="158" t="s">
        <v>32</v>
      </c>
      <c r="B8" s="159">
        <f>COUNTIF(RESUMEN_7°!S5:'RESUMEN_7°'!S44,"✗ REPROBADO")</f>
        <v>0</v>
      </c>
      <c r="C8" s="159">
        <f>COUNTIF(RESUMEN_8°!S5:'RESUMEN_8°'!S44,"✗ REPROBADO")</f>
        <v>0</v>
      </c>
      <c r="D8" s="159">
        <f>COUNTIF(RESUMEN_9°!W5:'RESUMEN_9°'!W44,"✗ REPROBADO")</f>
        <v>0</v>
      </c>
      <c r="E8" s="160">
        <f t="shared" si="0"/>
        <v>0</v>
      </c>
    </row>
    <row r="9" spans="1:14" ht="18" customHeight="1">
      <c r="A9" s="161" t="s">
        <v>73</v>
      </c>
      <c r="B9" s="162">
        <f>COUNTIF('Asistencia (7°)'!BI3:'Asistencia (7°)'!BI42,"&gt;5")</f>
        <v>0</v>
      </c>
      <c r="C9" s="162">
        <f>COUNTIF('Asistencia (8°)'!BI3:'Asistencia (8°)'!BI42,"&gt;5")</f>
        <v>0</v>
      </c>
      <c r="D9" s="162">
        <f>COUNTIF('Asistencia (9°)'!BI3:'Asistencia (9°)'!BI42,"&gt;5")</f>
        <v>0</v>
      </c>
      <c r="E9" s="163">
        <f t="shared" si="0"/>
        <v>0</v>
      </c>
    </row>
    <row r="10" spans="1:14" ht="18" customHeight="1">
      <c r="A10" s="152" t="s">
        <v>74</v>
      </c>
      <c r="B10" s="153" t="str">
        <f>IFERROR(ROUND(AVERAGEIF(RESUMEN_7°!F5:'RESUMEN_7°'!F44,"&lt;&gt;"&amp;""),1),"")</f>
        <v/>
      </c>
      <c r="C10" s="153" t="str">
        <f>IFERROR(ROUND(AVERAGEIF(RESUMEN_8°!F5:'RESUMEN_8°'!F44,"&lt;&gt;"&amp;""),1),"")</f>
        <v/>
      </c>
      <c r="D10" s="153" t="str">
        <f>IFERROR(ROUND(AVERAGEIF(RESUMEN_9°!F5:'RESUMEN_9°'!F44,"&lt;&gt;"&amp;""),1),"")</f>
        <v/>
      </c>
      <c r="E10" s="154" t="str">
        <f t="shared" si="0"/>
        <v/>
      </c>
    </row>
    <row r="11" spans="1:14" ht="18" customHeight="1">
      <c r="A11" s="152" t="s">
        <v>75</v>
      </c>
      <c r="B11" s="153" t="str">
        <f>IFERROR(ROUND(AVERAGEIF(RESUMEN_7°!R5:'RESUMEN_7°'!R44,"&lt;&gt;"&amp;""),1),"")</f>
        <v/>
      </c>
      <c r="C11" s="153" t="str">
        <f>IFERROR(ROUND(AVERAGEIF(RESUMEN_8°!R5:'RESUMEN_8°'!R44,"&lt;&gt;"&amp;""),1),"")</f>
        <v/>
      </c>
      <c r="D11" s="153" t="str">
        <f>IFERROR(ROUND(AVERAGEIF(RESUMEN_9°!V5:'RESUMEN_9°'!V44,"&lt;&gt;"&amp;""),1),"")</f>
        <v/>
      </c>
      <c r="E11" s="154" t="str">
        <f t="shared" si="0"/>
        <v/>
      </c>
    </row>
    <row r="14" spans="1:14" ht="18" customHeight="1">
      <c r="A14" s="229" t="s">
        <v>76</v>
      </c>
      <c r="B14" s="216"/>
      <c r="C14" s="216"/>
      <c r="D14" s="216"/>
      <c r="E14" s="216"/>
      <c r="F14" s="216"/>
      <c r="G14" s="216"/>
      <c r="H14" s="216"/>
      <c r="I14" s="216"/>
      <c r="J14" s="216"/>
      <c r="K14" s="216"/>
      <c r="L14" s="216"/>
      <c r="M14" s="216"/>
      <c r="N14" s="206"/>
    </row>
    <row r="15" spans="1:14" ht="18" customHeight="1">
      <c r="A15" s="237"/>
      <c r="B15" s="216"/>
      <c r="C15" s="216"/>
      <c r="D15" s="216"/>
      <c r="E15" s="216"/>
      <c r="F15" s="216"/>
      <c r="G15" s="216"/>
      <c r="H15" s="216"/>
      <c r="I15" s="216"/>
      <c r="J15" s="216"/>
      <c r="K15" s="216"/>
      <c r="L15" s="216"/>
      <c r="M15" s="216"/>
      <c r="N15" s="206"/>
    </row>
    <row r="16" spans="1:14" ht="18" customHeight="1">
      <c r="A16" s="236"/>
      <c r="B16" s="216"/>
      <c r="C16" s="216"/>
      <c r="D16" s="216"/>
      <c r="E16" s="216"/>
      <c r="F16" s="216"/>
      <c r="G16" s="216"/>
      <c r="H16" s="216"/>
      <c r="I16" s="216"/>
      <c r="J16" s="216"/>
      <c r="K16" s="216"/>
      <c r="L16" s="216"/>
      <c r="M16" s="216"/>
      <c r="N16" s="206"/>
    </row>
    <row r="17" spans="1:14" ht="18" customHeight="1">
      <c r="A17" s="237"/>
      <c r="B17" s="216"/>
      <c r="C17" s="216"/>
      <c r="D17" s="216"/>
      <c r="E17" s="216"/>
      <c r="F17" s="216"/>
      <c r="G17" s="216"/>
      <c r="H17" s="216"/>
      <c r="I17" s="216"/>
      <c r="J17" s="216"/>
      <c r="K17" s="216"/>
      <c r="L17" s="216"/>
      <c r="M17" s="216"/>
      <c r="N17" s="206"/>
    </row>
    <row r="18" spans="1:14" ht="18" customHeight="1">
      <c r="A18" s="236"/>
      <c r="B18" s="216"/>
      <c r="C18" s="216"/>
      <c r="D18" s="216"/>
      <c r="E18" s="216"/>
      <c r="F18" s="216"/>
      <c r="G18" s="216"/>
      <c r="H18" s="216"/>
      <c r="I18" s="216"/>
      <c r="J18" s="216"/>
      <c r="K18" s="216"/>
      <c r="L18" s="216"/>
      <c r="M18" s="216"/>
      <c r="N18" s="206"/>
    </row>
    <row r="19" spans="1:14" ht="18" customHeight="1">
      <c r="A19" s="237"/>
      <c r="B19" s="216"/>
      <c r="C19" s="216"/>
      <c r="D19" s="216"/>
      <c r="E19" s="216"/>
      <c r="F19" s="216"/>
      <c r="G19" s="216"/>
      <c r="H19" s="216"/>
      <c r="I19" s="216"/>
      <c r="J19" s="216"/>
      <c r="K19" s="216"/>
      <c r="L19" s="216"/>
      <c r="M19" s="216"/>
      <c r="N19" s="206"/>
    </row>
    <row r="20" spans="1:14" ht="18" customHeight="1">
      <c r="A20" s="236"/>
      <c r="B20" s="216"/>
      <c r="C20" s="216"/>
      <c r="D20" s="216"/>
      <c r="E20" s="216"/>
      <c r="F20" s="216"/>
      <c r="G20" s="216"/>
      <c r="H20" s="216"/>
      <c r="I20" s="216"/>
      <c r="J20" s="216"/>
      <c r="K20" s="216"/>
      <c r="L20" s="216"/>
      <c r="M20" s="216"/>
      <c r="N20" s="206"/>
    </row>
    <row r="21" spans="1:14" ht="18" customHeight="1">
      <c r="A21" s="237"/>
      <c r="B21" s="216"/>
      <c r="C21" s="216"/>
      <c r="D21" s="216"/>
      <c r="E21" s="216"/>
      <c r="F21" s="216"/>
      <c r="G21" s="216"/>
      <c r="H21" s="216"/>
      <c r="I21" s="216"/>
      <c r="J21" s="216"/>
      <c r="K21" s="216"/>
      <c r="L21" s="216"/>
      <c r="M21" s="216"/>
      <c r="N21" s="206"/>
    </row>
    <row r="22" spans="1:14" ht="18" customHeight="1">
      <c r="A22" s="236"/>
      <c r="B22" s="216"/>
      <c r="C22" s="216"/>
      <c r="D22" s="216"/>
      <c r="E22" s="216"/>
      <c r="F22" s="216"/>
      <c r="G22" s="216"/>
      <c r="H22" s="216"/>
      <c r="I22" s="216"/>
      <c r="J22" s="216"/>
      <c r="K22" s="216"/>
      <c r="L22" s="216"/>
      <c r="M22" s="216"/>
      <c r="N22" s="206"/>
    </row>
    <row r="23" spans="1:14" ht="18" customHeight="1">
      <c r="A23" s="237"/>
      <c r="B23" s="216"/>
      <c r="C23" s="216"/>
      <c r="D23" s="216"/>
      <c r="E23" s="216"/>
      <c r="F23" s="216"/>
      <c r="G23" s="216"/>
      <c r="H23" s="216"/>
      <c r="I23" s="216"/>
      <c r="J23" s="216"/>
      <c r="K23" s="216"/>
      <c r="L23" s="216"/>
      <c r="M23" s="216"/>
      <c r="N23" s="206"/>
    </row>
    <row r="24" spans="1:14" ht="18" customHeight="1">
      <c r="A24" s="236"/>
      <c r="B24" s="216"/>
      <c r="C24" s="216"/>
      <c r="D24" s="216"/>
      <c r="E24" s="216"/>
      <c r="F24" s="216"/>
      <c r="G24" s="216"/>
      <c r="H24" s="216"/>
      <c r="I24" s="216"/>
      <c r="J24" s="216"/>
      <c r="K24" s="216"/>
      <c r="L24" s="216"/>
      <c r="M24" s="216"/>
      <c r="N24" s="206"/>
    </row>
    <row r="25" spans="1:14" ht="18" customHeight="1">
      <c r="A25" s="237"/>
      <c r="B25" s="216"/>
      <c r="C25" s="216"/>
      <c r="D25" s="216"/>
      <c r="E25" s="216"/>
      <c r="F25" s="216"/>
      <c r="G25" s="216"/>
      <c r="H25" s="216"/>
      <c r="I25" s="216"/>
      <c r="J25" s="216"/>
      <c r="K25" s="216"/>
      <c r="L25" s="216"/>
      <c r="M25" s="216"/>
      <c r="N25" s="206"/>
    </row>
    <row r="26" spans="1:14" ht="18" customHeight="1">
      <c r="A26" s="236"/>
      <c r="B26" s="216"/>
      <c r="C26" s="216"/>
      <c r="D26" s="216"/>
      <c r="E26" s="216"/>
      <c r="F26" s="216"/>
      <c r="G26" s="216"/>
      <c r="H26" s="216"/>
      <c r="I26" s="216"/>
      <c r="J26" s="216"/>
      <c r="K26" s="216"/>
      <c r="L26" s="216"/>
      <c r="M26" s="216"/>
      <c r="N26" s="206"/>
    </row>
    <row r="27" spans="1:14" ht="18" customHeight="1">
      <c r="A27" s="237"/>
      <c r="B27" s="216"/>
      <c r="C27" s="216"/>
      <c r="D27" s="216"/>
      <c r="E27" s="216"/>
      <c r="F27" s="216"/>
      <c r="G27" s="216"/>
      <c r="H27" s="216"/>
      <c r="I27" s="216"/>
      <c r="J27" s="216"/>
      <c r="K27" s="216"/>
      <c r="L27" s="216"/>
      <c r="M27" s="216"/>
      <c r="N27" s="206"/>
    </row>
    <row r="28" spans="1:14" ht="18" customHeight="1">
      <c r="A28" s="236"/>
      <c r="B28" s="216"/>
      <c r="C28" s="216"/>
      <c r="D28" s="216"/>
      <c r="E28" s="216"/>
      <c r="F28" s="216"/>
      <c r="G28" s="216"/>
      <c r="H28" s="216"/>
      <c r="I28" s="216"/>
      <c r="J28" s="216"/>
      <c r="K28" s="216"/>
      <c r="L28" s="216"/>
      <c r="M28" s="216"/>
      <c r="N28" s="206"/>
    </row>
    <row r="29" spans="1:14" ht="18" customHeight="1">
      <c r="A29" s="237"/>
      <c r="B29" s="216"/>
      <c r="C29" s="216"/>
      <c r="D29" s="216"/>
      <c r="E29" s="216"/>
      <c r="F29" s="216"/>
      <c r="G29" s="216"/>
      <c r="H29" s="216"/>
      <c r="I29" s="216"/>
      <c r="J29" s="216"/>
      <c r="K29" s="216"/>
      <c r="L29" s="216"/>
      <c r="M29" s="216"/>
      <c r="N29" s="206"/>
    </row>
  </sheetData>
  <mergeCells count="19">
    <mergeCell ref="A29:N29"/>
    <mergeCell ref="A19:N19"/>
    <mergeCell ref="A28:N28"/>
    <mergeCell ref="A27:N27"/>
    <mergeCell ref="A26:N26"/>
    <mergeCell ref="A21:N21"/>
    <mergeCell ref="A24:N24"/>
    <mergeCell ref="A1:N1"/>
    <mergeCell ref="A16:N16"/>
    <mergeCell ref="A25:N25"/>
    <mergeCell ref="A18:N18"/>
    <mergeCell ref="A2:N2"/>
    <mergeCell ref="A23:N23"/>
    <mergeCell ref="A14:N14"/>
    <mergeCell ref="A17:N17"/>
    <mergeCell ref="A22:N22"/>
    <mergeCell ref="A4:N4"/>
    <mergeCell ref="A20:N20"/>
    <mergeCell ref="A15:N15"/>
  </mergeCells>
  <conditionalFormatting sqref="D1:E200">
    <cfRule type="cellIs" dxfId="20" priority="1" operator="lessThan">
      <formula>3</formula>
    </cfRule>
  </conditionalFormatting>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27">
    <tabColor rgb="FF4472C4"/>
  </sheetPr>
  <dimension ref="A1:BL140"/>
  <sheetViews>
    <sheetView view="pageLayout" zoomScale="70" zoomScaleNormal="100" zoomScalePageLayoutView="70" workbookViewId="0">
      <selection activeCell="B3" sqref="B3"/>
    </sheetView>
  </sheetViews>
  <sheetFormatPr baseColWidth="10" defaultRowHeight="14.4"/>
  <cols>
    <col min="1" max="1" width="3.44140625" customWidth="1"/>
    <col min="2" max="2" width="28.6640625" customWidth="1"/>
    <col min="3" max="36" width="2" style="20" customWidth="1"/>
    <col min="37" max="37" width="2.33203125" style="20" customWidth="1"/>
    <col min="38" max="59" width="2" style="20"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52"/>
      <c r="B1" s="242" t="s">
        <v>77</v>
      </c>
      <c r="C1" s="250" t="s">
        <v>78</v>
      </c>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c r="AF1" s="251"/>
      <c r="AG1" s="251"/>
      <c r="AH1" s="251"/>
      <c r="AI1" s="251"/>
      <c r="AJ1" s="251"/>
      <c r="AK1" s="251"/>
      <c r="AL1" s="251"/>
      <c r="AM1" s="251"/>
      <c r="AN1" s="251"/>
      <c r="AO1" s="251"/>
      <c r="AP1" s="251"/>
      <c r="AQ1" s="251"/>
      <c r="AR1" s="251"/>
      <c r="AS1" s="251"/>
      <c r="AT1" s="251"/>
      <c r="AU1" s="251"/>
      <c r="AV1" s="251"/>
      <c r="AW1" s="251"/>
      <c r="AX1" s="251"/>
      <c r="AY1" s="251"/>
      <c r="AZ1" s="251"/>
      <c r="BA1" s="251"/>
      <c r="BB1" s="251"/>
      <c r="BC1" s="251"/>
      <c r="BD1" s="251"/>
      <c r="BE1" s="251"/>
      <c r="BF1" s="251"/>
      <c r="BG1" s="251"/>
      <c r="BH1" s="241"/>
      <c r="BI1" s="240" t="s">
        <v>79</v>
      </c>
      <c r="BJ1" s="241"/>
      <c r="BK1" s="245" t="s">
        <v>18</v>
      </c>
      <c r="BL1" s="246"/>
    </row>
    <row r="2" spans="1:64" ht="46.5" customHeight="1">
      <c r="A2" s="253"/>
      <c r="B2" s="243"/>
      <c r="C2" s="11"/>
      <c r="D2" s="11"/>
      <c r="E2" s="11"/>
      <c r="F2" s="11"/>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9" t="s">
        <v>80</v>
      </c>
      <c r="BJ2" s="9" t="s">
        <v>81</v>
      </c>
      <c r="BK2" s="247"/>
      <c r="BL2" s="248"/>
    </row>
    <row r="3" spans="1:64" ht="15" customHeight="1">
      <c r="A3" s="1">
        <v>1</v>
      </c>
      <c r="B3" s="75">
        <f>MAESTRO!B5</f>
        <v>0</v>
      </c>
      <c r="C3" s="69"/>
      <c r="D3" s="19"/>
      <c r="E3" s="19"/>
      <c r="F3" s="69"/>
      <c r="G3" s="19"/>
      <c r="H3" s="19"/>
      <c r="I3" s="19"/>
      <c r="J3" s="19"/>
      <c r="K3" s="19"/>
      <c r="L3" s="19"/>
      <c r="M3" s="19"/>
      <c r="N3" s="19"/>
      <c r="O3" s="19"/>
      <c r="P3" s="19"/>
      <c r="Q3" s="19"/>
      <c r="R3" s="19"/>
      <c r="S3" s="19"/>
      <c r="T3" s="19"/>
      <c r="U3" s="19"/>
      <c r="V3" s="19"/>
      <c r="W3" s="19"/>
      <c r="X3" s="19"/>
      <c r="Y3" s="26"/>
      <c r="Z3" s="26"/>
      <c r="AA3" s="26"/>
      <c r="AB3" s="26"/>
      <c r="AC3" s="26"/>
      <c r="AD3" s="19"/>
      <c r="AE3" s="19"/>
      <c r="AF3" s="19"/>
      <c r="AG3" s="19"/>
      <c r="AH3" s="19"/>
      <c r="AI3" s="19"/>
      <c r="AJ3" s="19"/>
      <c r="AK3" s="26"/>
      <c r="AL3" s="19"/>
      <c r="AM3" s="19"/>
      <c r="AN3" s="19"/>
      <c r="AO3" s="19"/>
      <c r="AP3" s="19"/>
      <c r="AQ3" s="19"/>
      <c r="AR3" s="19"/>
      <c r="AS3" s="19"/>
      <c r="AT3" s="19"/>
      <c r="AU3" s="19"/>
      <c r="AV3" s="19"/>
      <c r="AW3" s="19"/>
      <c r="AX3" s="19"/>
      <c r="AY3" s="19"/>
      <c r="AZ3" s="19"/>
      <c r="BA3" s="19"/>
      <c r="BB3" s="19"/>
      <c r="BC3" s="19"/>
      <c r="BD3" s="19"/>
      <c r="BE3" s="19"/>
      <c r="BF3" s="19"/>
      <c r="BG3" s="19"/>
      <c r="BH3" s="4"/>
      <c r="BI3" s="4">
        <f t="shared" ref="BI3:BI40" si="0">COUNTIF(C3:BH3,"-")</f>
        <v>0</v>
      </c>
      <c r="BJ3" s="4">
        <f t="shared" ref="BJ3:BJ43" si="1">COUNTIF(D3:BI3,"T")</f>
        <v>0</v>
      </c>
      <c r="BK3" s="4"/>
      <c r="BL3" s="3">
        <v>1</v>
      </c>
    </row>
    <row r="4" spans="1:64">
      <c r="A4" s="1">
        <v>2</v>
      </c>
      <c r="B4" s="75">
        <f>MAESTRO!B6</f>
        <v>0</v>
      </c>
      <c r="C4" s="64"/>
      <c r="D4" s="19"/>
      <c r="E4" s="19"/>
      <c r="F4" s="64"/>
      <c r="G4" s="19"/>
      <c r="H4" s="19"/>
      <c r="I4" s="19"/>
      <c r="J4" s="19"/>
      <c r="K4" s="19"/>
      <c r="L4" s="19"/>
      <c r="M4" s="19"/>
      <c r="N4" s="19"/>
      <c r="O4" s="19"/>
      <c r="P4" s="19"/>
      <c r="Q4" s="19"/>
      <c r="R4" s="19"/>
      <c r="S4" s="19"/>
      <c r="T4" s="19"/>
      <c r="U4" s="19"/>
      <c r="V4" s="19"/>
      <c r="W4" s="19"/>
      <c r="X4" s="19"/>
      <c r="Y4" s="26"/>
      <c r="Z4" s="26"/>
      <c r="AA4" s="26"/>
      <c r="AB4" s="26"/>
      <c r="AC4" s="26"/>
      <c r="AD4" s="19"/>
      <c r="AE4" s="19"/>
      <c r="AF4" s="19"/>
      <c r="AG4" s="19"/>
      <c r="AH4" s="19"/>
      <c r="AI4" s="19"/>
      <c r="AJ4" s="19"/>
      <c r="AK4" s="26"/>
      <c r="AL4" s="19"/>
      <c r="AM4" s="19"/>
      <c r="AN4" s="19"/>
      <c r="AO4" s="19"/>
      <c r="AP4" s="19"/>
      <c r="AQ4" s="19"/>
      <c r="AR4" s="19"/>
      <c r="AS4" s="19"/>
      <c r="AT4" s="19"/>
      <c r="AU4" s="19"/>
      <c r="AV4" s="19"/>
      <c r="AW4" s="19"/>
      <c r="AX4" s="19"/>
      <c r="AY4" s="19"/>
      <c r="AZ4" s="19"/>
      <c r="BA4" s="19"/>
      <c r="BB4" s="19"/>
      <c r="BC4" s="19"/>
      <c r="BD4" s="19"/>
      <c r="BE4" s="19"/>
      <c r="BF4" s="19"/>
      <c r="BG4" s="19"/>
      <c r="BH4" s="4"/>
      <c r="BI4" s="4">
        <f t="shared" si="0"/>
        <v>0</v>
      </c>
      <c r="BJ4" s="4">
        <f t="shared" si="1"/>
        <v>0</v>
      </c>
      <c r="BK4" s="4"/>
      <c r="BL4" s="3">
        <v>2</v>
      </c>
    </row>
    <row r="5" spans="1:64">
      <c r="A5" s="1">
        <v>3</v>
      </c>
      <c r="B5" s="75">
        <f>MAESTRO!B7</f>
        <v>0</v>
      </c>
      <c r="C5" s="64"/>
      <c r="D5" s="19"/>
      <c r="E5" s="19"/>
      <c r="F5" s="64"/>
      <c r="G5" s="19"/>
      <c r="H5" s="19"/>
      <c r="I5" s="19"/>
      <c r="J5" s="19"/>
      <c r="K5" s="19"/>
      <c r="L5" s="19"/>
      <c r="M5" s="19"/>
      <c r="N5" s="19"/>
      <c r="O5" s="19"/>
      <c r="P5" s="19"/>
      <c r="Q5" s="19"/>
      <c r="R5" s="19"/>
      <c r="S5" s="19"/>
      <c r="T5" s="19"/>
      <c r="U5" s="19"/>
      <c r="V5" s="19"/>
      <c r="W5" s="19"/>
      <c r="X5" s="19"/>
      <c r="Y5" s="26"/>
      <c r="Z5" s="26"/>
      <c r="AA5" s="26"/>
      <c r="AB5" s="26"/>
      <c r="AC5" s="26"/>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4"/>
      <c r="BI5" s="4">
        <f t="shared" si="0"/>
        <v>0</v>
      </c>
      <c r="BJ5" s="4">
        <f t="shared" si="1"/>
        <v>0</v>
      </c>
      <c r="BK5" s="4"/>
      <c r="BL5" s="3">
        <v>3</v>
      </c>
    </row>
    <row r="6" spans="1:64">
      <c r="A6" s="1">
        <v>4</v>
      </c>
      <c r="B6" s="75">
        <f>MAESTRO!B8</f>
        <v>0</v>
      </c>
      <c r="C6" s="64"/>
      <c r="D6" s="19"/>
      <c r="E6" s="19"/>
      <c r="F6" s="64"/>
      <c r="G6" s="19"/>
      <c r="H6" s="19"/>
      <c r="I6" s="19"/>
      <c r="J6" s="19"/>
      <c r="K6" s="19"/>
      <c r="L6" s="19"/>
      <c r="M6" s="19"/>
      <c r="N6" s="19"/>
      <c r="O6" s="19"/>
      <c r="P6" s="19"/>
      <c r="Q6" s="19"/>
      <c r="R6" s="19"/>
      <c r="S6" s="19"/>
      <c r="T6" s="19"/>
      <c r="U6" s="19"/>
      <c r="V6" s="19"/>
      <c r="W6" s="19"/>
      <c r="X6" s="19"/>
      <c r="Y6" s="26"/>
      <c r="Z6" s="26"/>
      <c r="AA6" s="26"/>
      <c r="AB6" s="26"/>
      <c r="AC6" s="26"/>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4"/>
      <c r="BI6" s="4">
        <f t="shared" si="0"/>
        <v>0</v>
      </c>
      <c r="BJ6" s="4">
        <f t="shared" si="1"/>
        <v>0</v>
      </c>
      <c r="BK6" s="4"/>
      <c r="BL6" s="3">
        <v>4</v>
      </c>
    </row>
    <row r="7" spans="1:64">
      <c r="A7" s="1">
        <v>5</v>
      </c>
      <c r="B7" s="75">
        <f>MAESTRO!B9</f>
        <v>0</v>
      </c>
      <c r="C7" s="64"/>
      <c r="D7" s="19"/>
      <c r="E7" s="19"/>
      <c r="F7" s="64"/>
      <c r="G7" s="19"/>
      <c r="H7" s="19"/>
      <c r="I7" s="19"/>
      <c r="J7" s="19"/>
      <c r="K7" s="19"/>
      <c r="L7" s="19"/>
      <c r="M7" s="19"/>
      <c r="N7" s="19"/>
      <c r="O7" s="19"/>
      <c r="P7" s="19"/>
      <c r="Q7" s="19"/>
      <c r="R7" s="19"/>
      <c r="S7" s="19"/>
      <c r="T7" s="19"/>
      <c r="U7" s="19"/>
      <c r="V7" s="19"/>
      <c r="W7" s="19"/>
      <c r="X7" s="19"/>
      <c r="Y7" s="26"/>
      <c r="Z7" s="26"/>
      <c r="AA7" s="26"/>
      <c r="AB7" s="26"/>
      <c r="AC7" s="26"/>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4"/>
      <c r="BI7" s="4">
        <f t="shared" si="0"/>
        <v>0</v>
      </c>
      <c r="BJ7" s="4">
        <f t="shared" si="1"/>
        <v>0</v>
      </c>
      <c r="BK7" s="4"/>
      <c r="BL7" s="3">
        <v>5</v>
      </c>
    </row>
    <row r="8" spans="1:64">
      <c r="A8" s="1">
        <v>6</v>
      </c>
      <c r="B8" s="75">
        <f>MAESTRO!B10</f>
        <v>0</v>
      </c>
      <c r="C8" s="64"/>
      <c r="D8" s="19"/>
      <c r="E8" s="19"/>
      <c r="F8" s="64"/>
      <c r="G8" s="19"/>
      <c r="H8" s="19"/>
      <c r="I8" s="19"/>
      <c r="J8" s="19"/>
      <c r="K8" s="19"/>
      <c r="L8" s="19"/>
      <c r="M8" s="19"/>
      <c r="N8" s="19"/>
      <c r="O8" s="19"/>
      <c r="P8" s="19"/>
      <c r="Q8" s="19"/>
      <c r="R8" s="19"/>
      <c r="S8" s="19"/>
      <c r="T8" s="19"/>
      <c r="U8" s="19"/>
      <c r="V8" s="19"/>
      <c r="W8" s="19"/>
      <c r="X8" s="19"/>
      <c r="Y8" s="26"/>
      <c r="Z8" s="26"/>
      <c r="AA8" s="26"/>
      <c r="AB8" s="26"/>
      <c r="AC8" s="26"/>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4"/>
      <c r="BI8" s="4">
        <f t="shared" si="0"/>
        <v>0</v>
      </c>
      <c r="BJ8" s="4">
        <f t="shared" si="1"/>
        <v>0</v>
      </c>
      <c r="BK8" s="4"/>
      <c r="BL8" s="3">
        <v>6</v>
      </c>
    </row>
    <row r="9" spans="1:64">
      <c r="A9" s="1">
        <v>7</v>
      </c>
      <c r="B9" s="75">
        <f>MAESTRO!B11</f>
        <v>0</v>
      </c>
      <c r="C9" s="64"/>
      <c r="D9" s="19"/>
      <c r="E9" s="19"/>
      <c r="F9" s="64"/>
      <c r="G9" s="19"/>
      <c r="H9" s="19"/>
      <c r="I9" s="19"/>
      <c r="J9" s="19"/>
      <c r="K9" s="19"/>
      <c r="L9" s="19"/>
      <c r="M9" s="19"/>
      <c r="N9" s="19"/>
      <c r="O9" s="19"/>
      <c r="P9" s="19"/>
      <c r="Q9" s="19"/>
      <c r="R9" s="19"/>
      <c r="S9" s="19"/>
      <c r="T9" s="19"/>
      <c r="U9" s="19"/>
      <c r="V9" s="19"/>
      <c r="W9" s="19"/>
      <c r="X9" s="19"/>
      <c r="Y9" s="26"/>
      <c r="Z9" s="26"/>
      <c r="AA9" s="26"/>
      <c r="AB9" s="26"/>
      <c r="AC9" s="26"/>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4"/>
      <c r="BI9" s="4">
        <f t="shared" si="0"/>
        <v>0</v>
      </c>
      <c r="BJ9" s="4">
        <f t="shared" si="1"/>
        <v>0</v>
      </c>
      <c r="BK9" s="4"/>
      <c r="BL9" s="3">
        <v>7</v>
      </c>
    </row>
    <row r="10" spans="1:64">
      <c r="A10" s="1">
        <v>8</v>
      </c>
      <c r="B10" s="75">
        <f>MAESTRO!B12</f>
        <v>0</v>
      </c>
      <c r="C10" s="64"/>
      <c r="D10" s="19"/>
      <c r="E10" s="19"/>
      <c r="F10" s="64"/>
      <c r="G10" s="19"/>
      <c r="H10" s="19"/>
      <c r="I10" s="19"/>
      <c r="J10" s="19"/>
      <c r="K10" s="19"/>
      <c r="L10" s="19"/>
      <c r="M10" s="19"/>
      <c r="N10" s="19"/>
      <c r="O10" s="19"/>
      <c r="P10" s="19"/>
      <c r="Q10" s="19"/>
      <c r="R10" s="19"/>
      <c r="S10" s="19"/>
      <c r="T10" s="19"/>
      <c r="U10" s="19"/>
      <c r="V10" s="19"/>
      <c r="W10" s="19"/>
      <c r="X10" s="19"/>
      <c r="Y10" s="26"/>
      <c r="Z10" s="26"/>
      <c r="AA10" s="26"/>
      <c r="AB10" s="26"/>
      <c r="AC10" s="26"/>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4"/>
      <c r="BI10" s="4">
        <f t="shared" si="0"/>
        <v>0</v>
      </c>
      <c r="BJ10" s="4">
        <f t="shared" si="1"/>
        <v>0</v>
      </c>
      <c r="BK10" s="4"/>
      <c r="BL10" s="3">
        <v>8</v>
      </c>
    </row>
    <row r="11" spans="1:64">
      <c r="A11" s="1">
        <v>9</v>
      </c>
      <c r="B11" s="75">
        <f>MAESTRO!B13</f>
        <v>0</v>
      </c>
      <c r="C11" s="64"/>
      <c r="D11" s="19"/>
      <c r="E11" s="19"/>
      <c r="F11" s="64"/>
      <c r="G11" s="19"/>
      <c r="H11" s="19"/>
      <c r="I11" s="19"/>
      <c r="J11" s="19"/>
      <c r="K11" s="19"/>
      <c r="L11" s="19"/>
      <c r="M11" s="19"/>
      <c r="N11" s="19"/>
      <c r="O11" s="19"/>
      <c r="P11" s="19"/>
      <c r="Q11" s="19"/>
      <c r="R11" s="19"/>
      <c r="S11" s="19"/>
      <c r="T11" s="19"/>
      <c r="U11" s="19"/>
      <c r="V11" s="19"/>
      <c r="W11" s="19"/>
      <c r="X11" s="19"/>
      <c r="Y11" s="26"/>
      <c r="Z11" s="26"/>
      <c r="AA11" s="19"/>
      <c r="AB11" s="19"/>
      <c r="AC11" s="26"/>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4"/>
      <c r="BI11" s="4">
        <f t="shared" si="0"/>
        <v>0</v>
      </c>
      <c r="BJ11" s="4">
        <f t="shared" si="1"/>
        <v>0</v>
      </c>
      <c r="BK11" s="4"/>
      <c r="BL11" s="3">
        <v>9</v>
      </c>
    </row>
    <row r="12" spans="1:64">
      <c r="A12" s="1">
        <v>10</v>
      </c>
      <c r="B12" s="75">
        <f>MAESTRO!B14</f>
        <v>0</v>
      </c>
      <c r="C12" s="64"/>
      <c r="D12" s="19"/>
      <c r="E12" s="19"/>
      <c r="F12" s="64"/>
      <c r="G12" s="19"/>
      <c r="H12" s="19"/>
      <c r="I12" s="19"/>
      <c r="J12" s="19"/>
      <c r="K12" s="19"/>
      <c r="L12" s="19"/>
      <c r="M12" s="19"/>
      <c r="N12" s="19"/>
      <c r="O12" s="19"/>
      <c r="P12" s="19"/>
      <c r="Q12" s="19"/>
      <c r="R12" s="19"/>
      <c r="S12" s="19"/>
      <c r="T12" s="19"/>
      <c r="U12" s="19"/>
      <c r="V12" s="19"/>
      <c r="W12" s="19"/>
      <c r="X12" s="19"/>
      <c r="Y12" s="26"/>
      <c r="Z12" s="26"/>
      <c r="AA12" s="26"/>
      <c r="AB12" s="26"/>
      <c r="AC12" s="26"/>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4"/>
      <c r="BI12" s="4">
        <f t="shared" si="0"/>
        <v>0</v>
      </c>
      <c r="BJ12" s="4">
        <f t="shared" si="1"/>
        <v>0</v>
      </c>
      <c r="BK12" s="4"/>
      <c r="BL12" s="3">
        <v>10</v>
      </c>
    </row>
    <row r="13" spans="1:64">
      <c r="A13" s="1">
        <v>11</v>
      </c>
      <c r="B13" s="75">
        <f>MAESTRO!B15</f>
        <v>0</v>
      </c>
      <c r="C13" s="64"/>
      <c r="D13" s="19"/>
      <c r="E13" s="19"/>
      <c r="F13" s="64"/>
      <c r="G13" s="19"/>
      <c r="H13" s="19"/>
      <c r="I13" s="19"/>
      <c r="J13" s="19"/>
      <c r="K13" s="19"/>
      <c r="L13" s="19"/>
      <c r="M13" s="19"/>
      <c r="N13" s="19"/>
      <c r="O13" s="19"/>
      <c r="P13" s="19"/>
      <c r="Q13" s="19"/>
      <c r="R13" s="19"/>
      <c r="S13" s="19"/>
      <c r="T13" s="19"/>
      <c r="U13" s="19"/>
      <c r="V13" s="19"/>
      <c r="W13" s="19"/>
      <c r="X13" s="19"/>
      <c r="Y13" s="26"/>
      <c r="Z13" s="26"/>
      <c r="AA13" s="26"/>
      <c r="AB13" s="26"/>
      <c r="AC13" s="26"/>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4"/>
      <c r="BI13" s="4">
        <f t="shared" si="0"/>
        <v>0</v>
      </c>
      <c r="BJ13" s="4">
        <f t="shared" si="1"/>
        <v>0</v>
      </c>
      <c r="BK13" s="4"/>
      <c r="BL13" s="3">
        <v>11</v>
      </c>
    </row>
    <row r="14" spans="1:64">
      <c r="A14" s="1">
        <v>12</v>
      </c>
      <c r="B14" s="75">
        <f>MAESTRO!B16</f>
        <v>0</v>
      </c>
      <c r="C14" s="64"/>
      <c r="D14" s="19"/>
      <c r="E14" s="19"/>
      <c r="F14" s="64"/>
      <c r="G14" s="19"/>
      <c r="H14" s="19"/>
      <c r="I14" s="19"/>
      <c r="J14" s="19"/>
      <c r="K14" s="19"/>
      <c r="L14" s="19"/>
      <c r="M14" s="19"/>
      <c r="N14" s="19"/>
      <c r="O14" s="19"/>
      <c r="P14" s="19"/>
      <c r="Q14" s="19"/>
      <c r="R14" s="19"/>
      <c r="S14" s="19"/>
      <c r="T14" s="19"/>
      <c r="U14" s="19"/>
      <c r="V14" s="19"/>
      <c r="W14" s="19"/>
      <c r="X14" s="19"/>
      <c r="Y14" s="26"/>
      <c r="Z14" s="26"/>
      <c r="AA14" s="26"/>
      <c r="AB14" s="26"/>
      <c r="AC14" s="26"/>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4"/>
      <c r="BI14" s="4">
        <f t="shared" si="0"/>
        <v>0</v>
      </c>
      <c r="BJ14" s="4">
        <f t="shared" si="1"/>
        <v>0</v>
      </c>
      <c r="BK14" s="4"/>
      <c r="BL14" s="3">
        <v>12</v>
      </c>
    </row>
    <row r="15" spans="1:64">
      <c r="A15" s="1">
        <v>13</v>
      </c>
      <c r="B15" s="75">
        <f>MAESTRO!B17</f>
        <v>0</v>
      </c>
      <c r="C15" s="64"/>
      <c r="D15" s="19"/>
      <c r="E15" s="19"/>
      <c r="F15" s="64"/>
      <c r="G15" s="19"/>
      <c r="H15" s="19"/>
      <c r="I15" s="19"/>
      <c r="J15" s="19"/>
      <c r="K15" s="19"/>
      <c r="L15" s="19"/>
      <c r="M15" s="19"/>
      <c r="N15" s="19"/>
      <c r="O15" s="19"/>
      <c r="P15" s="19"/>
      <c r="Q15" s="19"/>
      <c r="R15" s="19"/>
      <c r="S15" s="19"/>
      <c r="T15" s="19"/>
      <c r="U15" s="19"/>
      <c r="V15" s="19"/>
      <c r="W15" s="19"/>
      <c r="X15" s="19"/>
      <c r="Y15" s="26"/>
      <c r="Z15" s="26"/>
      <c r="AA15" s="26"/>
      <c r="AB15" s="26"/>
      <c r="AC15" s="26"/>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4"/>
      <c r="BI15" s="4">
        <f t="shared" si="0"/>
        <v>0</v>
      </c>
      <c r="BJ15" s="4">
        <f t="shared" si="1"/>
        <v>0</v>
      </c>
      <c r="BK15" s="4"/>
      <c r="BL15" s="3">
        <v>13</v>
      </c>
    </row>
    <row r="16" spans="1:64">
      <c r="A16" s="1">
        <v>14</v>
      </c>
      <c r="B16" s="75">
        <f>MAESTRO!B18</f>
        <v>0</v>
      </c>
      <c r="C16" s="64"/>
      <c r="D16" s="19"/>
      <c r="E16" s="19"/>
      <c r="F16" s="64"/>
      <c r="G16" s="19"/>
      <c r="H16" s="19"/>
      <c r="I16" s="19"/>
      <c r="J16" s="19"/>
      <c r="K16" s="19"/>
      <c r="L16" s="19"/>
      <c r="M16" s="19"/>
      <c r="N16" s="19"/>
      <c r="O16" s="19"/>
      <c r="P16" s="19"/>
      <c r="Q16" s="19"/>
      <c r="R16" s="19"/>
      <c r="S16" s="19"/>
      <c r="T16" s="19"/>
      <c r="U16" s="19"/>
      <c r="V16" s="19"/>
      <c r="W16" s="19"/>
      <c r="X16" s="19"/>
      <c r="Y16" s="26"/>
      <c r="Z16" s="26"/>
      <c r="AA16" s="26"/>
      <c r="AB16" s="26"/>
      <c r="AC16" s="26"/>
      <c r="AD16" s="19"/>
      <c r="AE16" s="19"/>
      <c r="AF16" s="19"/>
      <c r="AG16" s="19"/>
      <c r="AH16" s="19"/>
      <c r="AI16" s="19"/>
      <c r="AJ16" s="19"/>
      <c r="AK16" s="19"/>
      <c r="AL16" s="19"/>
      <c r="AM16" s="19"/>
      <c r="AN16" s="19"/>
      <c r="AO16" s="19"/>
      <c r="AP16" s="19"/>
      <c r="AQ16" s="19"/>
      <c r="AS16" s="19"/>
      <c r="AT16" s="19"/>
      <c r="AU16" s="19"/>
      <c r="AV16" s="19"/>
      <c r="AW16" s="19"/>
      <c r="AX16" s="19"/>
      <c r="AY16" s="19"/>
      <c r="AZ16" s="19"/>
      <c r="BA16" s="19"/>
      <c r="BB16" s="19"/>
      <c r="BC16" s="19"/>
      <c r="BD16" s="19"/>
      <c r="BE16" s="19"/>
      <c r="BF16" s="19"/>
      <c r="BG16" s="19"/>
      <c r="BH16" s="4"/>
      <c r="BI16" s="4">
        <f t="shared" si="0"/>
        <v>0</v>
      </c>
      <c r="BJ16" s="4">
        <f t="shared" si="1"/>
        <v>0</v>
      </c>
      <c r="BK16" s="4"/>
      <c r="BL16" s="3">
        <v>14</v>
      </c>
    </row>
    <row r="17" spans="1:64">
      <c r="A17" s="1">
        <v>15</v>
      </c>
      <c r="B17" s="75">
        <f>MAESTRO!B19</f>
        <v>0</v>
      </c>
      <c r="C17" s="64"/>
      <c r="D17" s="19"/>
      <c r="E17" s="19"/>
      <c r="F17" s="64"/>
      <c r="G17" s="19"/>
      <c r="H17" s="19"/>
      <c r="I17" s="19"/>
      <c r="J17" s="19"/>
      <c r="K17" s="19"/>
      <c r="L17" s="19"/>
      <c r="M17" s="19"/>
      <c r="N17" s="19"/>
      <c r="O17" s="19"/>
      <c r="P17" s="19"/>
      <c r="Q17" s="19"/>
      <c r="R17" s="19"/>
      <c r="S17" s="19"/>
      <c r="T17" s="19"/>
      <c r="U17" s="19"/>
      <c r="V17" s="19"/>
      <c r="W17" s="19"/>
      <c r="X17" s="19"/>
      <c r="Y17" s="26"/>
      <c r="Z17" s="26"/>
      <c r="AA17" s="26"/>
      <c r="AB17" s="26"/>
      <c r="AC17" s="26"/>
      <c r="AD17" s="19"/>
      <c r="AE17" s="19"/>
      <c r="AF17" s="19"/>
      <c r="AG17" s="19"/>
      <c r="AH17" s="19"/>
      <c r="AI17" s="19"/>
      <c r="AJ17" s="19"/>
      <c r="AK17" s="19"/>
      <c r="AL17" s="19"/>
      <c r="AM17" s="19"/>
      <c r="AN17" s="19"/>
      <c r="AO17" s="19"/>
      <c r="AP17" s="19"/>
      <c r="AQ17" s="19"/>
      <c r="AS17" s="19"/>
      <c r="AT17" s="19"/>
      <c r="AU17" s="19"/>
      <c r="AV17" s="19"/>
      <c r="AW17" s="19"/>
      <c r="AX17" s="19"/>
      <c r="AY17" s="19"/>
      <c r="AZ17" s="19"/>
      <c r="BA17" s="19"/>
      <c r="BB17" s="19"/>
      <c r="BC17" s="19"/>
      <c r="BD17" s="19"/>
      <c r="BE17" s="19"/>
      <c r="BF17" s="19"/>
      <c r="BG17" s="19"/>
      <c r="BH17" s="4"/>
      <c r="BI17" s="4">
        <f t="shared" si="0"/>
        <v>0</v>
      </c>
      <c r="BJ17" s="4">
        <f t="shared" si="1"/>
        <v>0</v>
      </c>
      <c r="BK17" s="4"/>
      <c r="BL17" s="3">
        <v>15</v>
      </c>
    </row>
    <row r="18" spans="1:64">
      <c r="A18" s="1">
        <v>16</v>
      </c>
      <c r="B18" s="75">
        <f>MAESTRO!B20</f>
        <v>0</v>
      </c>
      <c r="C18" s="64"/>
      <c r="D18" s="19"/>
      <c r="E18" s="19"/>
      <c r="F18" s="64"/>
      <c r="G18" s="19"/>
      <c r="H18" s="19"/>
      <c r="I18" s="19"/>
      <c r="J18" s="19"/>
      <c r="K18" s="19"/>
      <c r="L18" s="19"/>
      <c r="M18" s="19"/>
      <c r="N18" s="19"/>
      <c r="O18" s="19"/>
      <c r="P18" s="19"/>
      <c r="Q18" s="19"/>
      <c r="R18" s="19"/>
      <c r="S18" s="19"/>
      <c r="T18" s="19"/>
      <c r="U18" s="19"/>
      <c r="V18" s="19"/>
      <c r="W18" s="19"/>
      <c r="X18" s="19"/>
      <c r="Y18" s="26"/>
      <c r="Z18" s="26"/>
      <c r="AA18" s="26"/>
      <c r="AB18" s="26"/>
      <c r="AC18" s="26"/>
      <c r="AD18" s="19"/>
      <c r="AE18" s="19"/>
      <c r="AF18" s="19"/>
      <c r="AG18" s="19"/>
      <c r="AH18" s="19"/>
      <c r="AI18" s="19"/>
      <c r="AJ18" s="19"/>
      <c r="AK18" s="19"/>
      <c r="AL18" s="19"/>
      <c r="AM18" s="19"/>
      <c r="AN18" s="19"/>
      <c r="AO18" s="19"/>
      <c r="AP18" s="19"/>
      <c r="AQ18" s="19"/>
      <c r="AS18" s="19"/>
      <c r="AT18" s="19"/>
      <c r="AU18" s="19"/>
      <c r="AV18" s="19"/>
      <c r="AW18" s="19"/>
      <c r="AX18" s="19"/>
      <c r="AY18" s="19"/>
      <c r="AZ18" s="19"/>
      <c r="BA18" s="19"/>
      <c r="BB18" s="19"/>
      <c r="BC18" s="19"/>
      <c r="BD18" s="19"/>
      <c r="BE18" s="19"/>
      <c r="BF18" s="19"/>
      <c r="BG18" s="19"/>
      <c r="BH18" s="4"/>
      <c r="BI18" s="4">
        <f t="shared" si="0"/>
        <v>0</v>
      </c>
      <c r="BJ18" s="4">
        <f t="shared" si="1"/>
        <v>0</v>
      </c>
      <c r="BK18" s="4"/>
      <c r="BL18" s="3">
        <v>16</v>
      </c>
    </row>
    <row r="19" spans="1:64">
      <c r="A19" s="1">
        <v>17</v>
      </c>
      <c r="B19" s="75">
        <f>MAESTRO!B21</f>
        <v>0</v>
      </c>
      <c r="C19" s="64"/>
      <c r="D19" s="19"/>
      <c r="E19" s="19"/>
      <c r="F19" s="64"/>
      <c r="G19" s="19"/>
      <c r="H19" s="19"/>
      <c r="I19" s="19"/>
      <c r="J19" s="19"/>
      <c r="K19" s="19"/>
      <c r="L19" s="19"/>
      <c r="M19" s="19"/>
      <c r="N19" s="19"/>
      <c r="O19" s="19"/>
      <c r="P19" s="19"/>
      <c r="Q19" s="19"/>
      <c r="R19" s="19"/>
      <c r="S19" s="19"/>
      <c r="T19" s="19"/>
      <c r="U19" s="19"/>
      <c r="V19" s="19"/>
      <c r="W19" s="19"/>
      <c r="X19" s="19"/>
      <c r="Y19" s="26"/>
      <c r="Z19" s="26"/>
      <c r="AA19" s="26"/>
      <c r="AB19" s="26"/>
      <c r="AC19" s="26"/>
      <c r="AD19" s="19"/>
      <c r="AE19" s="19"/>
      <c r="AF19" s="19"/>
      <c r="AG19" s="19"/>
      <c r="AH19" s="19"/>
      <c r="AI19" s="19"/>
      <c r="AJ19" s="19"/>
      <c r="AK19" s="26"/>
      <c r="AL19" s="19"/>
      <c r="AM19" s="19"/>
      <c r="AN19" s="19"/>
      <c r="AO19" s="19"/>
      <c r="AP19" s="19"/>
      <c r="AQ19" s="19"/>
      <c r="AR19" s="19"/>
      <c r="AS19" s="19"/>
      <c r="AT19" s="19"/>
      <c r="AU19" s="19"/>
      <c r="AV19" s="19"/>
      <c r="AW19" s="19"/>
      <c r="AX19" s="19"/>
      <c r="AY19" s="19"/>
      <c r="AZ19" s="19"/>
      <c r="BA19" s="19"/>
      <c r="BB19" s="19"/>
      <c r="BC19" s="19"/>
      <c r="BD19" s="19"/>
      <c r="BE19" s="19"/>
      <c r="BF19" s="19"/>
      <c r="BG19" s="19"/>
      <c r="BH19" s="4"/>
      <c r="BI19" s="4">
        <f t="shared" si="0"/>
        <v>0</v>
      </c>
      <c r="BJ19" s="4">
        <f t="shared" si="1"/>
        <v>0</v>
      </c>
      <c r="BK19" s="4"/>
      <c r="BL19" s="3">
        <v>17</v>
      </c>
    </row>
    <row r="20" spans="1:64">
      <c r="A20" s="1">
        <v>18</v>
      </c>
      <c r="B20" s="12">
        <f>MAESTRO!B22</f>
        <v>0</v>
      </c>
      <c r="C20" s="64"/>
      <c r="D20" s="19"/>
      <c r="E20" s="19"/>
      <c r="F20" s="64"/>
      <c r="G20" s="19"/>
      <c r="H20" s="19"/>
      <c r="I20" s="19"/>
      <c r="J20" s="19"/>
      <c r="K20" s="19"/>
      <c r="L20" s="19"/>
      <c r="M20" s="19"/>
      <c r="N20" s="19"/>
      <c r="O20" s="19"/>
      <c r="P20" s="19"/>
      <c r="Q20" s="19"/>
      <c r="R20" s="19"/>
      <c r="S20" s="19"/>
      <c r="T20" s="19"/>
      <c r="U20" s="19"/>
      <c r="V20" s="19"/>
      <c r="W20" s="19"/>
      <c r="X20" s="19"/>
      <c r="Y20" s="26"/>
      <c r="Z20" s="26"/>
      <c r="AA20" s="26"/>
      <c r="AB20" s="26"/>
      <c r="AC20" s="26"/>
      <c r="AD20" s="19"/>
      <c r="AE20" s="19"/>
      <c r="AF20" s="19"/>
      <c r="AG20" s="19"/>
      <c r="AH20" s="19"/>
      <c r="AI20" s="19"/>
      <c r="AJ20" s="19"/>
      <c r="AK20" s="26"/>
      <c r="AL20" s="19"/>
      <c r="AM20" s="19"/>
      <c r="AN20" s="19"/>
      <c r="AO20" s="19"/>
      <c r="AP20" s="19"/>
      <c r="AQ20" s="19"/>
      <c r="AR20" s="19"/>
      <c r="AS20" s="19"/>
      <c r="AT20" s="19"/>
      <c r="AU20" s="19"/>
      <c r="AV20" s="19"/>
      <c r="AW20" s="19"/>
      <c r="AX20" s="19"/>
      <c r="AY20" s="19"/>
      <c r="AZ20" s="19"/>
      <c r="BA20" s="19"/>
      <c r="BB20" s="19"/>
      <c r="BC20" s="19"/>
      <c r="BD20" s="19"/>
      <c r="BE20" s="19"/>
      <c r="BF20" s="19"/>
      <c r="BG20" s="19"/>
      <c r="BH20" s="4"/>
      <c r="BI20" s="4">
        <f t="shared" si="0"/>
        <v>0</v>
      </c>
      <c r="BJ20" s="4">
        <f t="shared" si="1"/>
        <v>0</v>
      </c>
      <c r="BK20" s="4"/>
      <c r="BL20" s="3">
        <v>18</v>
      </c>
    </row>
    <row r="21" spans="1:64">
      <c r="A21" s="1">
        <v>19</v>
      </c>
      <c r="B21" s="12">
        <f>MAESTRO!B23</f>
        <v>0</v>
      </c>
      <c r="C21" s="64"/>
      <c r="D21" s="19"/>
      <c r="E21" s="19"/>
      <c r="F21" s="64"/>
      <c r="G21" s="19"/>
      <c r="H21" s="19"/>
      <c r="I21" s="19"/>
      <c r="J21" s="19"/>
      <c r="K21" s="19"/>
      <c r="L21" s="19"/>
      <c r="M21" s="19"/>
      <c r="N21" s="19"/>
      <c r="O21" s="19"/>
      <c r="P21" s="19"/>
      <c r="Q21" s="19"/>
      <c r="R21" s="19"/>
      <c r="S21" s="19"/>
      <c r="T21" s="19"/>
      <c r="U21" s="19"/>
      <c r="V21" s="19"/>
      <c r="W21" s="19"/>
      <c r="X21" s="19"/>
      <c r="Y21" s="26"/>
      <c r="Z21" s="26"/>
      <c r="AA21" s="26"/>
      <c r="AB21" s="26"/>
      <c r="AC21" s="26"/>
      <c r="AD21" s="19"/>
      <c r="AE21" s="19"/>
      <c r="AF21" s="19"/>
      <c r="AG21" s="19"/>
      <c r="AH21" s="19"/>
      <c r="AI21" s="19"/>
      <c r="AJ21" s="19"/>
      <c r="AK21" s="26"/>
      <c r="AL21" s="19"/>
      <c r="AM21" s="19"/>
      <c r="AN21" s="19"/>
      <c r="AO21" s="19"/>
      <c r="AP21" s="19"/>
      <c r="AQ21" s="19"/>
      <c r="AR21" s="19"/>
      <c r="AS21" s="19"/>
      <c r="AT21" s="19"/>
      <c r="AU21" s="19"/>
      <c r="AV21" s="19"/>
      <c r="AW21" s="19"/>
      <c r="AX21" s="19"/>
      <c r="AY21" s="19"/>
      <c r="AZ21" s="19"/>
      <c r="BA21" s="19"/>
      <c r="BB21" s="19"/>
      <c r="BC21" s="19"/>
      <c r="BD21" s="19"/>
      <c r="BE21" s="19"/>
      <c r="BF21" s="19"/>
      <c r="BG21" s="19"/>
      <c r="BH21" s="4"/>
      <c r="BI21" s="4">
        <f t="shared" si="0"/>
        <v>0</v>
      </c>
      <c r="BJ21" s="4">
        <f t="shared" si="1"/>
        <v>0</v>
      </c>
      <c r="BK21" s="4"/>
      <c r="BL21" s="3">
        <v>19</v>
      </c>
    </row>
    <row r="22" spans="1:64">
      <c r="A22" s="1">
        <v>20</v>
      </c>
      <c r="B22" s="12">
        <f>MAESTRO!B24</f>
        <v>0</v>
      </c>
      <c r="C22" s="64"/>
      <c r="D22" s="19"/>
      <c r="E22" s="19"/>
      <c r="F22" s="64"/>
      <c r="G22" s="19"/>
      <c r="H22" s="19"/>
      <c r="I22" s="19"/>
      <c r="J22" s="19"/>
      <c r="K22" s="19"/>
      <c r="L22" s="19"/>
      <c r="M22" s="19"/>
      <c r="N22" s="19"/>
      <c r="O22" s="19"/>
      <c r="P22" s="19"/>
      <c r="Q22" s="19"/>
      <c r="R22" s="19"/>
      <c r="S22" s="19"/>
      <c r="T22" s="19"/>
      <c r="U22" s="19"/>
      <c r="V22" s="19"/>
      <c r="W22" s="19"/>
      <c r="X22" s="19"/>
      <c r="Y22" s="26"/>
      <c r="Z22" s="26"/>
      <c r="AA22" s="26"/>
      <c r="AB22" s="26"/>
      <c r="AC22" s="26"/>
      <c r="AD22" s="19"/>
      <c r="AE22" s="19"/>
      <c r="AF22" s="19"/>
      <c r="AG22" s="19"/>
      <c r="AH22" s="19"/>
      <c r="AI22" s="19"/>
      <c r="AJ22" s="19"/>
      <c r="AK22" s="26"/>
      <c r="AL22" s="19"/>
      <c r="AM22" s="19"/>
      <c r="AN22" s="19"/>
      <c r="AO22" s="19"/>
      <c r="AP22" s="19"/>
      <c r="AQ22" s="19"/>
      <c r="AR22" s="19"/>
      <c r="AS22" s="19"/>
      <c r="AT22" s="19"/>
      <c r="AU22" s="19"/>
      <c r="AV22" s="19"/>
      <c r="AW22" s="19"/>
      <c r="AX22" s="19"/>
      <c r="AY22" s="19"/>
      <c r="AZ22" s="19"/>
      <c r="BA22" s="19"/>
      <c r="BB22" s="19"/>
      <c r="BC22" s="19"/>
      <c r="BD22" s="19"/>
      <c r="BE22" s="19"/>
      <c r="BF22" s="19"/>
      <c r="BG22" s="19"/>
      <c r="BH22" s="4"/>
      <c r="BI22" s="4">
        <f t="shared" si="0"/>
        <v>0</v>
      </c>
      <c r="BJ22" s="4">
        <f t="shared" si="1"/>
        <v>0</v>
      </c>
      <c r="BK22" s="4"/>
      <c r="BL22" s="3">
        <v>20</v>
      </c>
    </row>
    <row r="23" spans="1:64">
      <c r="A23" s="1">
        <v>21</v>
      </c>
      <c r="B23" s="12">
        <f>MAESTRO!B25</f>
        <v>0</v>
      </c>
      <c r="C23" s="64"/>
      <c r="D23" s="19"/>
      <c r="E23" s="19"/>
      <c r="F23" s="64"/>
      <c r="G23" s="19"/>
      <c r="H23" s="19"/>
      <c r="I23" s="19"/>
      <c r="J23" s="19"/>
      <c r="K23" s="19"/>
      <c r="L23" s="19"/>
      <c r="M23" s="19"/>
      <c r="N23" s="19"/>
      <c r="O23" s="19"/>
      <c r="P23" s="19"/>
      <c r="Q23" s="19"/>
      <c r="R23" s="19"/>
      <c r="S23" s="19"/>
      <c r="T23" s="19"/>
      <c r="U23" s="19"/>
      <c r="V23" s="19"/>
      <c r="W23" s="19"/>
      <c r="X23" s="19"/>
      <c r="Y23" s="26"/>
      <c r="Z23" s="26"/>
      <c r="AA23" s="26"/>
      <c r="AB23" s="26"/>
      <c r="AC23" s="26"/>
      <c r="AD23" s="19"/>
      <c r="AE23" s="19"/>
      <c r="AF23" s="19"/>
      <c r="AG23" s="19"/>
      <c r="AH23" s="19"/>
      <c r="AI23" s="19"/>
      <c r="AJ23" s="19"/>
      <c r="AK23" s="26"/>
      <c r="AL23" s="19"/>
      <c r="AM23" s="19"/>
      <c r="AN23" s="19"/>
      <c r="AO23" s="19"/>
      <c r="AP23" s="19"/>
      <c r="AQ23" s="19"/>
      <c r="AR23" s="19"/>
      <c r="AS23" s="19"/>
      <c r="AT23" s="19"/>
      <c r="AU23" s="19"/>
      <c r="AV23" s="19"/>
      <c r="AW23" s="19"/>
      <c r="AX23" s="19"/>
      <c r="AY23" s="19"/>
      <c r="AZ23" s="19"/>
      <c r="BA23" s="19"/>
      <c r="BB23" s="19"/>
      <c r="BC23" s="19"/>
      <c r="BD23" s="19"/>
      <c r="BE23" s="19"/>
      <c r="BF23" s="19"/>
      <c r="BG23" s="19"/>
      <c r="BH23" s="4"/>
      <c r="BI23" s="4">
        <f t="shared" si="0"/>
        <v>0</v>
      </c>
      <c r="BJ23" s="4">
        <f t="shared" si="1"/>
        <v>0</v>
      </c>
      <c r="BK23" s="4"/>
      <c r="BL23" s="3">
        <v>21</v>
      </c>
    </row>
    <row r="24" spans="1:64">
      <c r="A24" s="1">
        <v>22</v>
      </c>
      <c r="B24" s="12">
        <f>MAESTRO!B26</f>
        <v>0</v>
      </c>
      <c r="C24" s="64"/>
      <c r="D24" s="19"/>
      <c r="E24" s="19"/>
      <c r="F24" s="64"/>
      <c r="G24" s="19"/>
      <c r="H24" s="19"/>
      <c r="I24" s="19"/>
      <c r="J24" s="19"/>
      <c r="K24" s="19"/>
      <c r="L24" s="19"/>
      <c r="M24" s="19"/>
      <c r="N24" s="19"/>
      <c r="O24" s="19"/>
      <c r="P24" s="19"/>
      <c r="Q24" s="19"/>
      <c r="R24" s="19"/>
      <c r="S24" s="19"/>
      <c r="T24" s="19"/>
      <c r="U24" s="19"/>
      <c r="V24" s="19"/>
      <c r="W24" s="19"/>
      <c r="X24" s="19"/>
      <c r="Y24" s="26"/>
      <c r="Z24" s="26"/>
      <c r="AA24" s="26"/>
      <c r="AB24" s="26"/>
      <c r="AC24" s="26"/>
      <c r="AD24" s="19"/>
      <c r="AE24" s="19"/>
      <c r="AF24" s="19"/>
      <c r="AG24" s="19"/>
      <c r="AH24" s="19"/>
      <c r="AI24" s="19"/>
      <c r="AJ24" s="19"/>
      <c r="AK24" s="26"/>
      <c r="AL24" s="19"/>
      <c r="AM24" s="19"/>
      <c r="AN24" s="19"/>
      <c r="AO24" s="19"/>
      <c r="AP24" s="19"/>
      <c r="AQ24" s="19"/>
      <c r="AR24" s="19"/>
      <c r="AS24" s="19"/>
      <c r="AT24" s="19"/>
      <c r="AU24" s="19"/>
      <c r="AV24" s="19"/>
      <c r="AW24" s="19"/>
      <c r="AX24" s="19"/>
      <c r="AY24" s="19"/>
      <c r="AZ24" s="19"/>
      <c r="BA24" s="19"/>
      <c r="BB24" s="19"/>
      <c r="BC24" s="19"/>
      <c r="BD24" s="19"/>
      <c r="BE24" s="19"/>
      <c r="BF24" s="19"/>
      <c r="BG24" s="19"/>
      <c r="BH24" s="4"/>
      <c r="BI24" s="4">
        <f t="shared" si="0"/>
        <v>0</v>
      </c>
      <c r="BJ24" s="4">
        <f t="shared" si="1"/>
        <v>0</v>
      </c>
      <c r="BK24" s="4"/>
      <c r="BL24" s="3">
        <v>22</v>
      </c>
    </row>
    <row r="25" spans="1:64">
      <c r="A25" s="1">
        <v>23</v>
      </c>
      <c r="B25" s="12">
        <f>MAESTRO!B27</f>
        <v>0</v>
      </c>
      <c r="C25" s="64"/>
      <c r="D25" s="19"/>
      <c r="E25" s="19"/>
      <c r="F25" s="64"/>
      <c r="G25" s="19"/>
      <c r="H25" s="19"/>
      <c r="I25" s="19"/>
      <c r="J25" s="19"/>
      <c r="K25" s="19"/>
      <c r="L25" s="19"/>
      <c r="M25" s="19"/>
      <c r="N25" s="19"/>
      <c r="O25" s="19"/>
      <c r="P25" s="19"/>
      <c r="Q25" s="19"/>
      <c r="R25" s="19"/>
      <c r="S25" s="19"/>
      <c r="T25" s="19"/>
      <c r="U25" s="19"/>
      <c r="V25" s="19"/>
      <c r="W25" s="19"/>
      <c r="X25" s="19"/>
      <c r="Y25" s="26"/>
      <c r="Z25" s="26"/>
      <c r="AA25" s="26"/>
      <c r="AB25" s="26"/>
      <c r="AC25" s="26"/>
      <c r="AD25" s="19"/>
      <c r="AE25" s="19"/>
      <c r="AF25" s="19"/>
      <c r="AG25" s="19"/>
      <c r="AH25" s="19"/>
      <c r="AI25" s="19"/>
      <c r="AJ25" s="19"/>
      <c r="AK25" s="26"/>
      <c r="AL25" s="19"/>
      <c r="AM25" s="19"/>
      <c r="AN25" s="19"/>
      <c r="AO25" s="19"/>
      <c r="AP25" s="19"/>
      <c r="AQ25" s="19"/>
      <c r="AR25" s="19"/>
      <c r="AS25" s="19"/>
      <c r="AT25" s="19"/>
      <c r="AU25" s="19"/>
      <c r="AV25" s="19"/>
      <c r="AW25" s="19"/>
      <c r="AX25" s="19"/>
      <c r="AY25" s="19"/>
      <c r="AZ25" s="19"/>
      <c r="BA25" s="19"/>
      <c r="BB25" s="19"/>
      <c r="BC25" s="19"/>
      <c r="BD25" s="19"/>
      <c r="BE25" s="19"/>
      <c r="BF25" s="19"/>
      <c r="BG25" s="19"/>
      <c r="BH25" s="4"/>
      <c r="BI25" s="4">
        <f t="shared" si="0"/>
        <v>0</v>
      </c>
      <c r="BJ25" s="4">
        <f t="shared" si="1"/>
        <v>0</v>
      </c>
      <c r="BK25" s="4"/>
      <c r="BL25" s="3">
        <v>23</v>
      </c>
    </row>
    <row r="26" spans="1:64">
      <c r="A26" s="1">
        <v>24</v>
      </c>
      <c r="B26" s="12">
        <f>MAESTRO!B28</f>
        <v>0</v>
      </c>
      <c r="C26" s="64"/>
      <c r="D26" s="19"/>
      <c r="E26" s="19"/>
      <c r="F26" s="64"/>
      <c r="G26" s="19"/>
      <c r="H26" s="19"/>
      <c r="I26" s="19"/>
      <c r="J26" s="19"/>
      <c r="K26" s="19"/>
      <c r="L26" s="19"/>
      <c r="M26" s="19"/>
      <c r="N26" s="19"/>
      <c r="O26" s="19"/>
      <c r="P26" s="19"/>
      <c r="Q26" s="19"/>
      <c r="R26" s="19"/>
      <c r="S26" s="19"/>
      <c r="T26" s="19"/>
      <c r="U26" s="19"/>
      <c r="V26" s="19"/>
      <c r="W26" s="19"/>
      <c r="X26" s="19"/>
      <c r="Y26" s="26"/>
      <c r="Z26" s="26"/>
      <c r="AA26" s="26"/>
      <c r="AB26" s="26"/>
      <c r="AC26" s="26"/>
      <c r="AD26" s="19"/>
      <c r="AE26" s="19"/>
      <c r="AF26" s="19"/>
      <c r="AG26" s="19"/>
      <c r="AH26" s="19"/>
      <c r="AI26" s="19"/>
      <c r="AJ26" s="19"/>
      <c r="AK26" s="26"/>
      <c r="AL26" s="19"/>
      <c r="AM26" s="19"/>
      <c r="AN26" s="19"/>
      <c r="AO26" s="19"/>
      <c r="AP26" s="19"/>
      <c r="AQ26" s="19"/>
      <c r="AR26" s="19"/>
      <c r="AS26" s="19"/>
      <c r="AT26" s="19"/>
      <c r="AU26" s="19"/>
      <c r="AV26" s="19"/>
      <c r="AW26" s="19"/>
      <c r="AX26" s="19"/>
      <c r="AY26" s="19"/>
      <c r="AZ26" s="19"/>
      <c r="BA26" s="19"/>
      <c r="BB26" s="19"/>
      <c r="BC26" s="19"/>
      <c r="BD26" s="19"/>
      <c r="BE26" s="19"/>
      <c r="BF26" s="19"/>
      <c r="BG26" s="19"/>
      <c r="BH26" s="4"/>
      <c r="BI26" s="4">
        <f t="shared" si="0"/>
        <v>0</v>
      </c>
      <c r="BJ26" s="4">
        <f t="shared" si="1"/>
        <v>0</v>
      </c>
      <c r="BK26" s="4"/>
      <c r="BL26" s="3">
        <v>24</v>
      </c>
    </row>
    <row r="27" spans="1:64">
      <c r="A27" s="1">
        <v>25</v>
      </c>
      <c r="B27" s="12">
        <f>MAESTRO!B29</f>
        <v>0</v>
      </c>
      <c r="C27" s="64"/>
      <c r="D27" s="19"/>
      <c r="E27" s="19"/>
      <c r="F27" s="64"/>
      <c r="G27" s="19"/>
      <c r="H27" s="19"/>
      <c r="I27" s="19"/>
      <c r="J27" s="19"/>
      <c r="K27" s="19"/>
      <c r="L27" s="19"/>
      <c r="M27" s="19"/>
      <c r="N27" s="19"/>
      <c r="O27" s="19"/>
      <c r="P27" s="19"/>
      <c r="Q27" s="19"/>
      <c r="R27" s="19"/>
      <c r="S27" s="19"/>
      <c r="T27" s="19"/>
      <c r="U27" s="19"/>
      <c r="V27" s="19"/>
      <c r="W27" s="19"/>
      <c r="X27" s="19"/>
      <c r="Y27" s="26"/>
      <c r="Z27" s="26"/>
      <c r="AA27" s="26"/>
      <c r="AB27" s="26"/>
      <c r="AC27" s="26"/>
      <c r="AD27" s="19"/>
      <c r="AE27" s="19"/>
      <c r="AF27" s="19"/>
      <c r="AG27" s="19"/>
      <c r="AH27" s="19"/>
      <c r="AI27" s="19"/>
      <c r="AJ27" s="19"/>
      <c r="AK27" s="26"/>
      <c r="AL27" s="19"/>
      <c r="AM27" s="19"/>
      <c r="AN27" s="19"/>
      <c r="AO27" s="19"/>
      <c r="AP27" s="19"/>
      <c r="AQ27" s="19"/>
      <c r="AR27" s="19"/>
      <c r="AS27" s="19"/>
      <c r="AT27" s="19"/>
      <c r="AU27" s="19"/>
      <c r="AV27" s="19"/>
      <c r="AW27" s="19"/>
      <c r="AX27" s="19"/>
      <c r="AY27" s="19"/>
      <c r="AZ27" s="19"/>
      <c r="BA27" s="19"/>
      <c r="BB27" s="19"/>
      <c r="BC27" s="19"/>
      <c r="BD27" s="19"/>
      <c r="BE27" s="19"/>
      <c r="BF27" s="19"/>
      <c r="BG27" s="19"/>
      <c r="BH27" s="4"/>
      <c r="BI27" s="4">
        <f t="shared" si="0"/>
        <v>0</v>
      </c>
      <c r="BJ27" s="4">
        <f t="shared" si="1"/>
        <v>0</v>
      </c>
      <c r="BK27" s="4"/>
      <c r="BL27" s="3">
        <v>25</v>
      </c>
    </row>
    <row r="28" spans="1:64">
      <c r="A28" s="1">
        <v>26</v>
      </c>
      <c r="B28" s="12">
        <f>MAESTRO!B30</f>
        <v>0</v>
      </c>
      <c r="C28" s="64"/>
      <c r="D28" s="19"/>
      <c r="E28" s="19"/>
      <c r="F28" s="64"/>
      <c r="G28" s="19"/>
      <c r="H28" s="19"/>
      <c r="I28" s="19"/>
      <c r="J28" s="19"/>
      <c r="K28" s="19"/>
      <c r="L28" s="19"/>
      <c r="M28" s="19"/>
      <c r="N28" s="19"/>
      <c r="O28" s="19"/>
      <c r="P28" s="19"/>
      <c r="Q28" s="19"/>
      <c r="R28" s="19"/>
      <c r="S28" s="19"/>
      <c r="T28" s="19"/>
      <c r="U28" s="19"/>
      <c r="V28" s="19"/>
      <c r="W28" s="19"/>
      <c r="X28" s="19"/>
      <c r="Y28" s="26"/>
      <c r="Z28" s="26"/>
      <c r="AA28" s="26"/>
      <c r="AB28" s="26"/>
      <c r="AC28" s="26"/>
      <c r="AD28" s="19"/>
      <c r="AE28" s="19"/>
      <c r="AF28" s="19"/>
      <c r="AG28" s="19"/>
      <c r="AH28" s="19"/>
      <c r="AI28" s="19"/>
      <c r="AJ28" s="19"/>
      <c r="AK28" s="26"/>
      <c r="AL28" s="19"/>
      <c r="AM28" s="19"/>
      <c r="AN28" s="19"/>
      <c r="AO28" s="19"/>
      <c r="AP28" s="19"/>
      <c r="AQ28" s="19"/>
      <c r="AR28" s="19"/>
      <c r="AS28" s="19"/>
      <c r="AT28" s="19"/>
      <c r="AU28" s="19"/>
      <c r="AV28" s="19"/>
      <c r="AW28" s="19"/>
      <c r="AX28" s="19"/>
      <c r="AY28" s="19"/>
      <c r="AZ28" s="19"/>
      <c r="BA28" s="19"/>
      <c r="BB28" s="19"/>
      <c r="BC28" s="19"/>
      <c r="BD28" s="19"/>
      <c r="BE28" s="19"/>
      <c r="BF28" s="19"/>
      <c r="BG28" s="19"/>
      <c r="BH28" s="4"/>
      <c r="BI28" s="4">
        <f t="shared" si="0"/>
        <v>0</v>
      </c>
      <c r="BJ28" s="4">
        <f t="shared" si="1"/>
        <v>0</v>
      </c>
      <c r="BK28" s="4"/>
      <c r="BL28" s="3">
        <v>26</v>
      </c>
    </row>
    <row r="29" spans="1:64">
      <c r="A29" s="1">
        <v>27</v>
      </c>
      <c r="B29" s="12">
        <f>MAESTRO!B31</f>
        <v>0</v>
      </c>
      <c r="C29" s="64"/>
      <c r="D29" s="19"/>
      <c r="E29" s="19"/>
      <c r="F29" s="64"/>
      <c r="G29" s="19"/>
      <c r="H29" s="19"/>
      <c r="I29" s="19"/>
      <c r="J29" s="19"/>
      <c r="K29" s="19"/>
      <c r="L29" s="19"/>
      <c r="M29" s="19"/>
      <c r="N29" s="19"/>
      <c r="O29" s="19"/>
      <c r="P29" s="19"/>
      <c r="Q29" s="19"/>
      <c r="R29" s="19"/>
      <c r="S29" s="19"/>
      <c r="T29" s="19"/>
      <c r="U29" s="19"/>
      <c r="V29" s="19"/>
      <c r="W29" s="19"/>
      <c r="X29" s="19"/>
      <c r="Y29" s="26"/>
      <c r="Z29" s="26"/>
      <c r="AA29" s="26"/>
      <c r="AB29" s="26"/>
      <c r="AC29" s="26"/>
      <c r="AD29" s="19"/>
      <c r="AE29" s="19"/>
      <c r="AF29" s="19"/>
      <c r="AG29" s="19"/>
      <c r="AH29" s="19"/>
      <c r="AI29" s="19"/>
      <c r="AJ29" s="19"/>
      <c r="AK29" s="26"/>
      <c r="AL29" s="19"/>
      <c r="AM29" s="19"/>
      <c r="AN29" s="19"/>
      <c r="AO29" s="19"/>
      <c r="AP29" s="19"/>
      <c r="AQ29" s="19"/>
      <c r="AR29" s="19"/>
      <c r="AS29" s="19"/>
      <c r="AT29" s="19"/>
      <c r="AU29" s="19"/>
      <c r="AV29" s="19"/>
      <c r="AW29" s="19"/>
      <c r="AX29" s="19"/>
      <c r="AY29" s="19"/>
      <c r="AZ29" s="19"/>
      <c r="BA29" s="19"/>
      <c r="BB29" s="19"/>
      <c r="BC29" s="19"/>
      <c r="BD29" s="19"/>
      <c r="BE29" s="19"/>
      <c r="BF29" s="19"/>
      <c r="BG29" s="19"/>
      <c r="BH29" s="4"/>
      <c r="BI29" s="4">
        <f t="shared" si="0"/>
        <v>0</v>
      </c>
      <c r="BJ29" s="4">
        <f t="shared" si="1"/>
        <v>0</v>
      </c>
      <c r="BK29" s="4"/>
      <c r="BL29" s="3">
        <v>27</v>
      </c>
    </row>
    <row r="30" spans="1:64">
      <c r="A30" s="1">
        <v>28</v>
      </c>
      <c r="B30" s="12">
        <f>MAESTRO!B32</f>
        <v>0</v>
      </c>
      <c r="C30" s="64"/>
      <c r="D30" s="19"/>
      <c r="E30" s="19"/>
      <c r="F30" s="64"/>
      <c r="G30" s="19"/>
      <c r="H30" s="19"/>
      <c r="I30" s="19"/>
      <c r="J30" s="19"/>
      <c r="K30" s="19"/>
      <c r="L30" s="19"/>
      <c r="M30" s="19"/>
      <c r="N30" s="19"/>
      <c r="O30" s="19"/>
      <c r="P30" s="19"/>
      <c r="Q30" s="19"/>
      <c r="R30" s="19"/>
      <c r="S30" s="19"/>
      <c r="T30" s="19"/>
      <c r="U30" s="19"/>
      <c r="V30" s="19"/>
      <c r="W30" s="19"/>
      <c r="X30" s="19"/>
      <c r="Y30" s="26"/>
      <c r="Z30" s="26"/>
      <c r="AA30" s="26"/>
      <c r="AB30" s="26"/>
      <c r="AC30" s="26"/>
      <c r="AD30" s="19"/>
      <c r="AE30" s="19"/>
      <c r="AF30" s="19"/>
      <c r="AG30" s="19"/>
      <c r="AH30" s="19"/>
      <c r="AI30" s="19"/>
      <c r="AJ30" s="19"/>
      <c r="AK30" s="26"/>
      <c r="AL30" s="19"/>
      <c r="AM30" s="19"/>
      <c r="AN30" s="19"/>
      <c r="AO30" s="19"/>
      <c r="AP30" s="19"/>
      <c r="AQ30" s="19"/>
      <c r="AR30" s="19"/>
      <c r="AS30" s="19"/>
      <c r="AT30" s="19"/>
      <c r="AU30" s="19"/>
      <c r="AV30" s="19"/>
      <c r="AW30" s="19"/>
      <c r="AX30" s="19"/>
      <c r="AY30" s="19"/>
      <c r="AZ30" s="19"/>
      <c r="BA30" s="19"/>
      <c r="BB30" s="19"/>
      <c r="BC30" s="19"/>
      <c r="BD30" s="19"/>
      <c r="BE30" s="19"/>
      <c r="BF30" s="19"/>
      <c r="BG30" s="19"/>
      <c r="BH30" s="4"/>
      <c r="BI30" s="4">
        <f t="shared" si="0"/>
        <v>0</v>
      </c>
      <c r="BJ30" s="4">
        <f t="shared" si="1"/>
        <v>0</v>
      </c>
      <c r="BK30" s="4"/>
      <c r="BL30" s="3">
        <v>28</v>
      </c>
    </row>
    <row r="31" spans="1:64">
      <c r="A31" s="1">
        <v>29</v>
      </c>
      <c r="B31" s="12">
        <f>MAESTRO!B33</f>
        <v>0</v>
      </c>
      <c r="C31" s="64"/>
      <c r="D31" s="19"/>
      <c r="E31" s="19"/>
      <c r="F31" s="64"/>
      <c r="G31" s="19"/>
      <c r="H31" s="19"/>
      <c r="I31" s="19"/>
      <c r="J31" s="19"/>
      <c r="K31" s="19"/>
      <c r="L31" s="19"/>
      <c r="M31" s="19"/>
      <c r="N31" s="19"/>
      <c r="O31" s="19"/>
      <c r="P31" s="19"/>
      <c r="Q31" s="19"/>
      <c r="R31" s="19"/>
      <c r="S31" s="19"/>
      <c r="T31" s="19"/>
      <c r="U31" s="19"/>
      <c r="V31" s="19"/>
      <c r="W31" s="19"/>
      <c r="X31" s="19"/>
      <c r="Y31" s="26"/>
      <c r="Z31" s="26"/>
      <c r="AA31" s="26"/>
      <c r="AB31" s="26"/>
      <c r="AC31" s="26"/>
      <c r="AD31" s="19"/>
      <c r="AE31" s="19"/>
      <c r="AF31" s="19"/>
      <c r="AG31" s="19"/>
      <c r="AH31" s="19"/>
      <c r="AI31" s="19"/>
      <c r="AJ31" s="19"/>
      <c r="AK31" s="26"/>
      <c r="AL31" s="19"/>
      <c r="AM31" s="19"/>
      <c r="AN31" s="19"/>
      <c r="AO31" s="19"/>
      <c r="AP31" s="19"/>
      <c r="AQ31" s="19"/>
      <c r="AR31" s="19"/>
      <c r="AS31" s="19"/>
      <c r="AT31" s="19"/>
      <c r="AU31" s="19"/>
      <c r="AV31" s="19"/>
      <c r="AW31" s="19"/>
      <c r="AX31" s="19"/>
      <c r="AY31" s="19"/>
      <c r="AZ31" s="19"/>
      <c r="BA31" s="19"/>
      <c r="BB31" s="19"/>
      <c r="BC31" s="19"/>
      <c r="BD31" s="19"/>
      <c r="BE31" s="19"/>
      <c r="BF31" s="19"/>
      <c r="BG31" s="19"/>
      <c r="BH31" s="4"/>
      <c r="BI31" s="4">
        <f t="shared" si="0"/>
        <v>0</v>
      </c>
      <c r="BJ31" s="4">
        <f t="shared" si="1"/>
        <v>0</v>
      </c>
      <c r="BK31" s="4"/>
      <c r="BL31" s="3">
        <v>29</v>
      </c>
    </row>
    <row r="32" spans="1:64">
      <c r="A32" s="1">
        <v>30</v>
      </c>
      <c r="B32" s="12">
        <f>MAESTRO!B34</f>
        <v>0</v>
      </c>
      <c r="C32" s="64"/>
      <c r="D32" s="19"/>
      <c r="E32" s="19"/>
      <c r="F32" s="64"/>
      <c r="G32" s="19"/>
      <c r="H32" s="19"/>
      <c r="I32" s="19"/>
      <c r="J32" s="19"/>
      <c r="K32" s="19"/>
      <c r="L32" s="19"/>
      <c r="M32" s="19"/>
      <c r="N32" s="19"/>
      <c r="O32" s="19"/>
      <c r="P32" s="19"/>
      <c r="Q32" s="19"/>
      <c r="R32" s="19"/>
      <c r="S32" s="19"/>
      <c r="T32" s="19"/>
      <c r="U32" s="19"/>
      <c r="V32" s="19"/>
      <c r="W32" s="19"/>
      <c r="X32" s="19"/>
      <c r="Y32" s="26"/>
      <c r="Z32" s="26"/>
      <c r="AA32" s="26"/>
      <c r="AB32" s="26"/>
      <c r="AC32" s="26"/>
      <c r="AD32" s="19"/>
      <c r="AE32" s="19"/>
      <c r="AF32" s="19"/>
      <c r="AG32" s="19"/>
      <c r="AH32" s="19"/>
      <c r="AI32" s="19"/>
      <c r="AJ32" s="19"/>
      <c r="AK32" s="26"/>
      <c r="AL32" s="19"/>
      <c r="AM32" s="19"/>
      <c r="AN32" s="19"/>
      <c r="AO32" s="19"/>
      <c r="AP32" s="19"/>
      <c r="AQ32" s="19"/>
      <c r="AR32" s="19"/>
      <c r="AS32" s="19"/>
      <c r="AT32" s="19"/>
      <c r="AU32" s="19"/>
      <c r="AV32" s="19"/>
      <c r="AW32" s="19"/>
      <c r="AX32" s="19"/>
      <c r="AY32" s="19"/>
      <c r="AZ32" s="19"/>
      <c r="BA32" s="19"/>
      <c r="BB32" s="19"/>
      <c r="BC32" s="19"/>
      <c r="BD32" s="19"/>
      <c r="BE32" s="19"/>
      <c r="BF32" s="19"/>
      <c r="BG32" s="19"/>
      <c r="BH32" s="4"/>
      <c r="BI32" s="4">
        <f t="shared" si="0"/>
        <v>0</v>
      </c>
      <c r="BJ32" s="4">
        <f t="shared" si="1"/>
        <v>0</v>
      </c>
      <c r="BK32" s="4"/>
      <c r="BL32" s="3">
        <v>30</v>
      </c>
    </row>
    <row r="33" spans="1:64">
      <c r="A33" s="1">
        <v>31</v>
      </c>
      <c r="B33" s="12">
        <f>MAESTRO!B35</f>
        <v>0</v>
      </c>
      <c r="C33" s="64"/>
      <c r="D33" s="19"/>
      <c r="E33" s="19"/>
      <c r="F33" s="64"/>
      <c r="G33" s="19"/>
      <c r="H33" s="19"/>
      <c r="I33" s="19"/>
      <c r="J33" s="19"/>
      <c r="K33" s="19"/>
      <c r="L33" s="19"/>
      <c r="M33" s="19"/>
      <c r="N33" s="19"/>
      <c r="O33" s="19"/>
      <c r="P33" s="19"/>
      <c r="Q33" s="19"/>
      <c r="R33" s="19"/>
      <c r="S33" s="19"/>
      <c r="T33" s="19"/>
      <c r="U33" s="19"/>
      <c r="V33" s="19"/>
      <c r="W33" s="19"/>
      <c r="X33" s="19"/>
      <c r="Y33" s="26"/>
      <c r="Z33" s="26"/>
      <c r="AA33" s="26"/>
      <c r="AB33" s="26"/>
      <c r="AC33" s="26"/>
      <c r="AD33" s="19"/>
      <c r="AE33" s="19"/>
      <c r="AF33" s="19"/>
      <c r="AG33" s="19"/>
      <c r="AH33" s="19"/>
      <c r="AI33" s="19"/>
      <c r="AJ33" s="19"/>
      <c r="AK33" s="26"/>
      <c r="AL33" s="19"/>
      <c r="AM33" s="19"/>
      <c r="AN33" s="19"/>
      <c r="AO33" s="19"/>
      <c r="AP33" s="19"/>
      <c r="AQ33" s="19"/>
      <c r="AR33" s="19"/>
      <c r="AS33" s="19"/>
      <c r="AT33" s="19"/>
      <c r="AU33" s="19"/>
      <c r="AV33" s="19"/>
      <c r="AW33" s="19"/>
      <c r="AX33" s="19"/>
      <c r="AY33" s="19"/>
      <c r="AZ33" s="19"/>
      <c r="BA33" s="19"/>
      <c r="BB33" s="19"/>
      <c r="BC33" s="19"/>
      <c r="BD33" s="19"/>
      <c r="BE33" s="19"/>
      <c r="BF33" s="19"/>
      <c r="BG33" s="19"/>
      <c r="BH33" s="4"/>
      <c r="BI33" s="4">
        <f t="shared" si="0"/>
        <v>0</v>
      </c>
      <c r="BJ33" s="4">
        <f t="shared" si="1"/>
        <v>0</v>
      </c>
      <c r="BK33" s="4"/>
      <c r="BL33" s="3">
        <v>31</v>
      </c>
    </row>
    <row r="34" spans="1:64">
      <c r="A34" s="1">
        <v>32</v>
      </c>
      <c r="B34" s="12">
        <f>MAESTRO!B36</f>
        <v>0</v>
      </c>
      <c r="C34" s="64"/>
      <c r="D34" s="19"/>
      <c r="E34" s="19"/>
      <c r="F34" s="64"/>
      <c r="G34" s="19"/>
      <c r="H34" s="19"/>
      <c r="I34" s="19"/>
      <c r="J34" s="19"/>
      <c r="K34" s="19"/>
      <c r="L34" s="19"/>
      <c r="M34" s="19"/>
      <c r="N34" s="19"/>
      <c r="O34" s="19"/>
      <c r="P34" s="19"/>
      <c r="Q34" s="19"/>
      <c r="R34" s="19"/>
      <c r="S34" s="19"/>
      <c r="T34" s="19"/>
      <c r="U34" s="19"/>
      <c r="V34" s="19"/>
      <c r="W34" s="19"/>
      <c r="X34" s="19"/>
      <c r="Y34" s="26"/>
      <c r="Z34" s="26"/>
      <c r="AA34" s="26"/>
      <c r="AB34" s="26"/>
      <c r="AC34" s="26"/>
      <c r="AD34" s="19"/>
      <c r="AE34" s="19"/>
      <c r="AF34" s="19"/>
      <c r="AG34" s="19"/>
      <c r="AH34" s="19"/>
      <c r="AI34" s="19"/>
      <c r="AJ34" s="19"/>
      <c r="AK34" s="26"/>
      <c r="AL34" s="19"/>
      <c r="AM34" s="19"/>
      <c r="AN34" s="19"/>
      <c r="AO34" s="19"/>
      <c r="AP34" s="19"/>
      <c r="AQ34" s="19"/>
      <c r="AR34" s="19"/>
      <c r="AS34" s="19"/>
      <c r="AT34" s="19"/>
      <c r="AU34" s="19"/>
      <c r="AV34" s="19"/>
      <c r="AW34" s="19"/>
      <c r="AX34" s="19"/>
      <c r="AY34" s="19"/>
      <c r="AZ34" s="19"/>
      <c r="BA34" s="19"/>
      <c r="BB34" s="19"/>
      <c r="BC34" s="19"/>
      <c r="BD34" s="19"/>
      <c r="BE34" s="19"/>
      <c r="BF34" s="19"/>
      <c r="BG34" s="19"/>
      <c r="BH34" s="4"/>
      <c r="BI34" s="4">
        <f t="shared" si="0"/>
        <v>0</v>
      </c>
      <c r="BJ34" s="4">
        <f t="shared" si="1"/>
        <v>0</v>
      </c>
      <c r="BK34" s="4"/>
      <c r="BL34" s="3">
        <v>32</v>
      </c>
    </row>
    <row r="35" spans="1:64">
      <c r="A35" s="1">
        <v>33</v>
      </c>
      <c r="B35" s="12">
        <f>MAESTRO!B37</f>
        <v>0</v>
      </c>
      <c r="C35" s="64"/>
      <c r="D35" s="19"/>
      <c r="E35" s="19"/>
      <c r="F35" s="64"/>
      <c r="G35" s="19"/>
      <c r="H35" s="19"/>
      <c r="I35" s="19"/>
      <c r="J35" s="19"/>
      <c r="K35" s="19"/>
      <c r="L35" s="19"/>
      <c r="M35" s="19"/>
      <c r="N35" s="19"/>
      <c r="O35" s="19"/>
      <c r="P35" s="19"/>
      <c r="Q35" s="19"/>
      <c r="R35" s="19"/>
      <c r="S35" s="19"/>
      <c r="T35" s="19"/>
      <c r="U35" s="19"/>
      <c r="V35" s="19"/>
      <c r="W35" s="19"/>
      <c r="X35" s="19"/>
      <c r="Y35" s="26"/>
      <c r="Z35" s="26"/>
      <c r="AA35" s="26"/>
      <c r="AB35" s="26"/>
      <c r="AC35" s="26"/>
      <c r="AD35" s="19"/>
      <c r="AE35" s="19"/>
      <c r="AF35" s="19"/>
      <c r="AG35" s="19"/>
      <c r="AH35" s="19"/>
      <c r="AI35" s="19"/>
      <c r="AJ35" s="19"/>
      <c r="AK35" s="26"/>
      <c r="AL35" s="19"/>
      <c r="AM35" s="19"/>
      <c r="AN35" s="19"/>
      <c r="AO35" s="19"/>
      <c r="AP35" s="19"/>
      <c r="AQ35" s="19"/>
      <c r="AR35" s="19"/>
      <c r="AS35" s="19"/>
      <c r="AT35" s="19"/>
      <c r="AU35" s="19"/>
      <c r="AV35" s="19"/>
      <c r="AW35" s="19"/>
      <c r="AX35" s="19"/>
      <c r="AY35" s="19"/>
      <c r="AZ35" s="19"/>
      <c r="BA35" s="19"/>
      <c r="BB35" s="19"/>
      <c r="BC35" s="19"/>
      <c r="BD35" s="19"/>
      <c r="BE35" s="19"/>
      <c r="BF35" s="19"/>
      <c r="BG35" s="19"/>
      <c r="BH35" s="4"/>
      <c r="BI35" s="4">
        <f t="shared" si="0"/>
        <v>0</v>
      </c>
      <c r="BJ35" s="4">
        <f t="shared" si="1"/>
        <v>0</v>
      </c>
      <c r="BK35" s="4"/>
      <c r="BL35" s="3">
        <v>33</v>
      </c>
    </row>
    <row r="36" spans="1:64">
      <c r="A36" s="1">
        <v>34</v>
      </c>
      <c r="B36" s="12">
        <f>MAESTRO!B38</f>
        <v>0</v>
      </c>
      <c r="C36" s="64"/>
      <c r="D36" s="19"/>
      <c r="E36" s="19"/>
      <c r="F36" s="64"/>
      <c r="G36" s="19"/>
      <c r="H36" s="19"/>
      <c r="I36" s="19"/>
      <c r="J36" s="19"/>
      <c r="K36" s="19"/>
      <c r="L36" s="19"/>
      <c r="M36" s="19"/>
      <c r="N36" s="19"/>
      <c r="O36" s="19"/>
      <c r="P36" s="19"/>
      <c r="Q36" s="19"/>
      <c r="R36" s="19"/>
      <c r="S36" s="19"/>
      <c r="T36" s="19"/>
      <c r="U36" s="19"/>
      <c r="V36" s="19"/>
      <c r="W36" s="19"/>
      <c r="X36" s="19"/>
      <c r="Y36" s="26"/>
      <c r="Z36" s="26"/>
      <c r="AA36" s="26"/>
      <c r="AB36" s="26"/>
      <c r="AC36" s="26"/>
      <c r="AD36" s="19"/>
      <c r="AE36" s="19"/>
      <c r="AF36" s="19"/>
      <c r="AG36" s="19"/>
      <c r="AH36" s="19"/>
      <c r="AI36" s="19"/>
      <c r="AJ36" s="19"/>
      <c r="AK36" s="26"/>
      <c r="AL36" s="19"/>
      <c r="AM36" s="19"/>
      <c r="AN36" s="19"/>
      <c r="AO36" s="19"/>
      <c r="AP36" s="19"/>
      <c r="AQ36" s="19"/>
      <c r="AR36" s="19"/>
      <c r="AS36" s="19"/>
      <c r="AT36" s="19"/>
      <c r="AU36" s="19"/>
      <c r="AV36" s="19"/>
      <c r="AW36" s="19"/>
      <c r="AX36" s="19"/>
      <c r="AY36" s="19"/>
      <c r="AZ36" s="19"/>
      <c r="BA36" s="19"/>
      <c r="BB36" s="19"/>
      <c r="BC36" s="19"/>
      <c r="BD36" s="19"/>
      <c r="BE36" s="19"/>
      <c r="BF36" s="19"/>
      <c r="BG36" s="19"/>
      <c r="BH36" s="4"/>
      <c r="BI36" s="4">
        <f t="shared" si="0"/>
        <v>0</v>
      </c>
      <c r="BJ36" s="4">
        <f t="shared" si="1"/>
        <v>0</v>
      </c>
      <c r="BK36" s="4"/>
      <c r="BL36" s="3">
        <v>34</v>
      </c>
    </row>
    <row r="37" spans="1:64">
      <c r="A37" s="1">
        <v>35</v>
      </c>
      <c r="B37" s="12">
        <f>MAESTRO!B39</f>
        <v>0</v>
      </c>
      <c r="C37" s="64"/>
      <c r="D37" s="19"/>
      <c r="E37" s="19"/>
      <c r="F37" s="64"/>
      <c r="G37" s="19"/>
      <c r="H37" s="19"/>
      <c r="I37" s="19"/>
      <c r="J37" s="19"/>
      <c r="K37" s="19"/>
      <c r="L37" s="19"/>
      <c r="M37" s="19"/>
      <c r="N37" s="19"/>
      <c r="O37" s="19"/>
      <c r="P37" s="19"/>
      <c r="Q37" s="19"/>
      <c r="R37" s="19"/>
      <c r="S37" s="19"/>
      <c r="T37" s="19"/>
      <c r="U37" s="19"/>
      <c r="V37" s="19"/>
      <c r="W37" s="19"/>
      <c r="X37" s="19"/>
      <c r="Y37" s="26"/>
      <c r="Z37" s="26"/>
      <c r="AA37" s="26"/>
      <c r="AB37" s="26"/>
      <c r="AC37" s="26"/>
      <c r="AD37" s="19"/>
      <c r="AE37" s="19"/>
      <c r="AF37" s="19"/>
      <c r="AG37" s="19"/>
      <c r="AH37" s="19"/>
      <c r="AI37" s="19"/>
      <c r="AJ37" s="19"/>
      <c r="AK37" s="26"/>
      <c r="AL37" s="19"/>
      <c r="AM37" s="19"/>
      <c r="AN37" s="19"/>
      <c r="AO37" s="19"/>
      <c r="AP37" s="19"/>
      <c r="AQ37" s="19"/>
      <c r="AR37" s="19"/>
      <c r="AS37" s="19"/>
      <c r="AT37" s="19"/>
      <c r="AU37" s="19"/>
      <c r="AV37" s="19"/>
      <c r="AW37" s="19"/>
      <c r="AX37" s="19"/>
      <c r="AY37" s="19"/>
      <c r="AZ37" s="19"/>
      <c r="BA37" s="19"/>
      <c r="BB37" s="19"/>
      <c r="BC37" s="19"/>
      <c r="BD37" s="19"/>
      <c r="BE37" s="19"/>
      <c r="BF37" s="19"/>
      <c r="BG37" s="19"/>
      <c r="BH37" s="4"/>
      <c r="BI37" s="4">
        <f t="shared" si="0"/>
        <v>0</v>
      </c>
      <c r="BJ37" s="4">
        <f t="shared" si="1"/>
        <v>0</v>
      </c>
      <c r="BK37" s="4"/>
      <c r="BL37" s="3">
        <v>35</v>
      </c>
    </row>
    <row r="38" spans="1:64">
      <c r="A38" s="1">
        <v>36</v>
      </c>
      <c r="B38" s="12">
        <f>MAESTRO!B40</f>
        <v>0</v>
      </c>
      <c r="C38" s="64"/>
      <c r="D38" s="19"/>
      <c r="E38" s="19"/>
      <c r="F38" s="64"/>
      <c r="G38" s="19"/>
      <c r="H38" s="19"/>
      <c r="I38" s="19"/>
      <c r="J38" s="19"/>
      <c r="K38" s="19"/>
      <c r="L38" s="19"/>
      <c r="M38" s="19"/>
      <c r="N38" s="19"/>
      <c r="O38" s="19"/>
      <c r="P38" s="19"/>
      <c r="Q38" s="19"/>
      <c r="R38" s="19"/>
      <c r="S38" s="19"/>
      <c r="T38" s="19"/>
      <c r="U38" s="19"/>
      <c r="V38" s="19"/>
      <c r="W38" s="19"/>
      <c r="X38" s="19"/>
      <c r="Y38" s="26"/>
      <c r="Z38" s="26"/>
      <c r="AA38" s="26"/>
      <c r="AB38" s="26"/>
      <c r="AC38" s="26"/>
      <c r="AD38" s="19"/>
      <c r="AE38" s="19"/>
      <c r="AF38" s="19"/>
      <c r="AG38" s="19"/>
      <c r="AH38" s="19"/>
      <c r="AI38" s="19"/>
      <c r="AJ38" s="19"/>
      <c r="AK38" s="26"/>
      <c r="AL38" s="19"/>
      <c r="AM38" s="19"/>
      <c r="AN38" s="19"/>
      <c r="AO38" s="19"/>
      <c r="AP38" s="19"/>
      <c r="AQ38" s="19"/>
      <c r="AR38" s="19"/>
      <c r="AS38" s="19"/>
      <c r="AT38" s="19"/>
      <c r="AU38" s="19"/>
      <c r="AV38" s="19"/>
      <c r="AW38" s="19"/>
      <c r="AX38" s="19"/>
      <c r="AY38" s="19"/>
      <c r="AZ38" s="19"/>
      <c r="BA38" s="19"/>
      <c r="BB38" s="19"/>
      <c r="BC38" s="19"/>
      <c r="BD38" s="19"/>
      <c r="BE38" s="19"/>
      <c r="BF38" s="19"/>
      <c r="BG38" s="19"/>
      <c r="BH38" s="4"/>
      <c r="BI38" s="4">
        <f t="shared" si="0"/>
        <v>0</v>
      </c>
      <c r="BJ38" s="4">
        <f t="shared" si="1"/>
        <v>0</v>
      </c>
      <c r="BK38" s="4"/>
      <c r="BL38" s="3">
        <v>36</v>
      </c>
    </row>
    <row r="39" spans="1:64">
      <c r="A39" s="1">
        <v>37</v>
      </c>
      <c r="B39" s="12">
        <f>MAESTRO!B41</f>
        <v>0</v>
      </c>
      <c r="C39" s="64"/>
      <c r="D39" s="19"/>
      <c r="E39" s="19"/>
      <c r="F39" s="64"/>
      <c r="G39" s="19"/>
      <c r="H39" s="19"/>
      <c r="I39" s="19"/>
      <c r="J39" s="19"/>
      <c r="K39" s="19"/>
      <c r="L39" s="19"/>
      <c r="M39" s="19"/>
      <c r="N39" s="19"/>
      <c r="O39" s="19"/>
      <c r="P39" s="19"/>
      <c r="Q39" s="19"/>
      <c r="R39" s="19"/>
      <c r="S39" s="19"/>
      <c r="T39" s="19"/>
      <c r="U39" s="19"/>
      <c r="V39" s="19"/>
      <c r="W39" s="19"/>
      <c r="X39" s="19"/>
      <c r="Y39" s="26"/>
      <c r="Z39" s="26"/>
      <c r="AA39" s="26"/>
      <c r="AB39" s="26"/>
      <c r="AC39" s="26"/>
      <c r="AD39" s="19"/>
      <c r="AE39" s="19"/>
      <c r="AF39" s="19"/>
      <c r="AG39" s="19"/>
      <c r="AH39" s="19"/>
      <c r="AI39" s="19"/>
      <c r="AJ39" s="19"/>
      <c r="AK39" s="26"/>
      <c r="AL39" s="19"/>
      <c r="AM39" s="19"/>
      <c r="AN39" s="19"/>
      <c r="AO39" s="19"/>
      <c r="AP39" s="19"/>
      <c r="AQ39" s="19"/>
      <c r="AR39" s="19"/>
      <c r="AS39" s="19"/>
      <c r="AT39" s="19"/>
      <c r="AU39" s="19"/>
      <c r="AV39" s="19"/>
      <c r="AW39" s="19"/>
      <c r="AX39" s="19"/>
      <c r="AY39" s="19"/>
      <c r="AZ39" s="19"/>
      <c r="BA39" s="19"/>
      <c r="BB39" s="19"/>
      <c r="BC39" s="19"/>
      <c r="BD39" s="19"/>
      <c r="BE39" s="19"/>
      <c r="BF39" s="19"/>
      <c r="BG39" s="19"/>
      <c r="BH39" s="4"/>
      <c r="BI39" s="4">
        <f t="shared" si="0"/>
        <v>0</v>
      </c>
      <c r="BJ39" s="4">
        <f t="shared" si="1"/>
        <v>0</v>
      </c>
      <c r="BK39" s="4"/>
      <c r="BL39" s="3">
        <v>37</v>
      </c>
    </row>
    <row r="40" spans="1:64">
      <c r="A40" s="1">
        <v>38</v>
      </c>
      <c r="B40" s="12">
        <f>MAESTRO!B42</f>
        <v>0</v>
      </c>
      <c r="C40" s="64"/>
      <c r="D40" s="19"/>
      <c r="E40" s="19"/>
      <c r="F40" s="64"/>
      <c r="G40" s="19"/>
      <c r="H40" s="19"/>
      <c r="I40" s="19"/>
      <c r="J40" s="19"/>
      <c r="K40" s="19"/>
      <c r="L40" s="19"/>
      <c r="M40" s="19"/>
      <c r="N40" s="19"/>
      <c r="O40" s="19"/>
      <c r="P40" s="19"/>
      <c r="Q40" s="19"/>
      <c r="R40" s="19"/>
      <c r="S40" s="19"/>
      <c r="T40" s="19"/>
      <c r="U40" s="19"/>
      <c r="V40" s="19"/>
      <c r="W40" s="19"/>
      <c r="X40" s="19"/>
      <c r="Y40" s="26"/>
      <c r="Z40" s="26"/>
      <c r="AA40" s="26"/>
      <c r="AB40" s="26"/>
      <c r="AC40" s="26"/>
      <c r="AD40" s="19"/>
      <c r="AE40" s="19"/>
      <c r="AF40" s="19"/>
      <c r="AG40" s="19"/>
      <c r="AH40" s="19"/>
      <c r="AI40" s="19"/>
      <c r="AJ40" s="19"/>
      <c r="AK40" s="26"/>
      <c r="AL40" s="19"/>
      <c r="AM40" s="19"/>
      <c r="AN40" s="19"/>
      <c r="AO40" s="19"/>
      <c r="AP40" s="19"/>
      <c r="AQ40" s="19"/>
      <c r="AR40" s="19"/>
      <c r="AS40" s="19"/>
      <c r="AT40" s="19"/>
      <c r="AU40" s="19"/>
      <c r="AV40" s="19"/>
      <c r="AW40" s="19"/>
      <c r="AX40" s="19"/>
      <c r="AY40" s="19"/>
      <c r="AZ40" s="19"/>
      <c r="BA40" s="19"/>
      <c r="BB40" s="19"/>
      <c r="BC40" s="19"/>
      <c r="BD40" s="19"/>
      <c r="BE40" s="19"/>
      <c r="BF40" s="19"/>
      <c r="BG40" s="19"/>
      <c r="BH40" s="4"/>
      <c r="BI40" s="4">
        <f t="shared" si="0"/>
        <v>0</v>
      </c>
      <c r="BJ40" s="4">
        <f t="shared" si="1"/>
        <v>0</v>
      </c>
      <c r="BK40" s="4"/>
      <c r="BL40" s="3">
        <v>38</v>
      </c>
    </row>
    <row r="41" spans="1:64">
      <c r="A41" s="1">
        <v>39</v>
      </c>
      <c r="B41" s="12">
        <f>MAESTRO!B43</f>
        <v>0</v>
      </c>
      <c r="C41" s="19"/>
      <c r="D41" s="19"/>
      <c r="E41" s="19"/>
      <c r="F41" s="19"/>
      <c r="G41" s="19"/>
      <c r="H41" s="19"/>
      <c r="I41" s="19"/>
      <c r="J41" s="19"/>
      <c r="K41" s="19"/>
      <c r="L41" s="19"/>
      <c r="M41" s="19"/>
      <c r="N41" s="19"/>
      <c r="O41" s="19"/>
      <c r="P41" s="19"/>
      <c r="Q41" s="19"/>
      <c r="R41" s="19"/>
      <c r="S41" s="19"/>
      <c r="T41" s="19"/>
      <c r="U41" s="19"/>
      <c r="V41" s="19"/>
      <c r="W41" s="19"/>
      <c r="X41" s="19"/>
      <c r="Y41" s="19"/>
      <c r="Z41" s="19"/>
      <c r="AA41" s="26"/>
      <c r="AB41" s="26"/>
      <c r="AC41" s="26"/>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4"/>
      <c r="BI41" s="4">
        <f>COUNTIF(C41:BH41,"A")</f>
        <v>0</v>
      </c>
      <c r="BJ41" s="4">
        <f t="shared" si="1"/>
        <v>0</v>
      </c>
      <c r="BK41" s="4"/>
      <c r="BL41" s="3">
        <v>39</v>
      </c>
    </row>
    <row r="42" spans="1:64">
      <c r="A42" s="1">
        <v>40</v>
      </c>
      <c r="B42" s="4">
        <f>MAESTRO!B44</f>
        <v>0</v>
      </c>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4"/>
      <c r="BI42" s="4">
        <f>COUNTIF(C42:BH42,"A")</f>
        <v>0</v>
      </c>
      <c r="BJ42" s="4">
        <f t="shared" si="1"/>
        <v>0</v>
      </c>
      <c r="BK42" s="4"/>
      <c r="BL42" s="3">
        <v>40</v>
      </c>
    </row>
    <row r="43" spans="1:64">
      <c r="A43" s="6">
        <v>41</v>
      </c>
      <c r="B43" s="4"/>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4"/>
      <c r="BI43" s="4">
        <f>COUNTIF(C43:BH43,"A")</f>
        <v>0</v>
      </c>
      <c r="BJ43" s="4">
        <f t="shared" si="1"/>
        <v>0</v>
      </c>
      <c r="BK43" s="4"/>
      <c r="BL43" s="4">
        <v>41</v>
      </c>
    </row>
    <row r="44" spans="1:64" ht="31.2" customHeight="1">
      <c r="A44" s="244"/>
      <c r="B44" s="249" t="s">
        <v>77</v>
      </c>
      <c r="C44" s="250" t="s">
        <v>82</v>
      </c>
      <c r="D44" s="251"/>
      <c r="E44" s="251"/>
      <c r="F44" s="251"/>
      <c r="G44" s="251"/>
      <c r="H44" s="251"/>
      <c r="I44" s="251"/>
      <c r="J44" s="251"/>
      <c r="K44" s="251"/>
      <c r="L44" s="251"/>
      <c r="M44" s="251"/>
      <c r="N44" s="251"/>
      <c r="O44" s="251"/>
      <c r="P44" s="251"/>
      <c r="Q44" s="251"/>
      <c r="R44" s="251"/>
      <c r="S44" s="251"/>
      <c r="T44" s="251"/>
      <c r="U44" s="251"/>
      <c r="V44" s="251"/>
      <c r="W44" s="251"/>
      <c r="X44" s="251"/>
      <c r="Y44" s="251"/>
      <c r="Z44" s="251"/>
      <c r="AA44" s="251"/>
      <c r="AB44" s="251"/>
      <c r="AC44" s="251"/>
      <c r="AD44" s="251"/>
      <c r="AE44" s="251"/>
      <c r="AF44" s="251"/>
      <c r="AG44" s="251"/>
      <c r="AH44" s="251"/>
      <c r="AI44" s="251"/>
      <c r="AJ44" s="251"/>
      <c r="AK44" s="251"/>
      <c r="AL44" s="251"/>
      <c r="AM44" s="251"/>
      <c r="AN44" s="251"/>
      <c r="AO44" s="251"/>
      <c r="AP44" s="251"/>
      <c r="AQ44" s="251"/>
      <c r="AR44" s="251"/>
      <c r="AS44" s="251"/>
      <c r="AT44" s="251"/>
      <c r="AU44" s="251"/>
      <c r="AV44" s="251"/>
      <c r="AW44" s="251"/>
      <c r="AX44" s="251"/>
      <c r="AY44" s="251"/>
      <c r="AZ44" s="251"/>
      <c r="BA44" s="251"/>
      <c r="BB44" s="251"/>
      <c r="BC44" s="251"/>
      <c r="BD44" s="251"/>
      <c r="BE44" s="251"/>
      <c r="BF44" s="251"/>
      <c r="BG44" s="251"/>
      <c r="BH44" s="241"/>
      <c r="BI44" s="240" t="s">
        <v>83</v>
      </c>
      <c r="BJ44" s="241"/>
      <c r="BK44" s="245" t="s">
        <v>18</v>
      </c>
      <c r="BL44" s="77"/>
    </row>
    <row r="45" spans="1:64" ht="42.6" customHeight="1">
      <c r="A45" s="243"/>
      <c r="B45" s="243"/>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9"/>
      <c r="BA45" s="19"/>
      <c r="BB45" s="19"/>
      <c r="BC45" s="19"/>
      <c r="BD45" s="19"/>
      <c r="BE45" s="19"/>
      <c r="BF45" s="19"/>
      <c r="BG45" s="19"/>
      <c r="BH45" s="4"/>
      <c r="BI45" s="2" t="s">
        <v>80</v>
      </c>
      <c r="BJ45" s="2" t="s">
        <v>81</v>
      </c>
      <c r="BK45" s="243"/>
      <c r="BL45" s="77"/>
    </row>
    <row r="46" spans="1:64" ht="14.4" customHeight="1">
      <c r="A46" s="1">
        <v>1</v>
      </c>
      <c r="B46" s="4">
        <f t="shared" ref="B46:B82" si="2">B3</f>
        <v>0</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4"/>
      <c r="BI46" s="4">
        <f t="shared" ref="BI46:BI87" si="3">COUNTIF(C46:BH46,"-")</f>
        <v>0</v>
      </c>
      <c r="BJ46" s="4">
        <f t="shared" ref="BJ46:BJ87" si="4">COUNTIF(D46:BI46,"T")</f>
        <v>0</v>
      </c>
      <c r="BK46" s="4"/>
      <c r="BL46" s="3">
        <v>1</v>
      </c>
    </row>
    <row r="47" spans="1:64" ht="18" customHeight="1">
      <c r="A47" s="1">
        <v>2</v>
      </c>
      <c r="B47" s="4">
        <f t="shared" si="2"/>
        <v>0</v>
      </c>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4"/>
      <c r="BI47" s="4">
        <f t="shared" si="3"/>
        <v>0</v>
      </c>
      <c r="BJ47" s="4">
        <f t="shared" si="4"/>
        <v>0</v>
      </c>
      <c r="BK47" s="4"/>
      <c r="BL47" s="3">
        <v>2</v>
      </c>
    </row>
    <row r="48" spans="1:64">
      <c r="A48" s="1">
        <v>3</v>
      </c>
      <c r="B48" s="4">
        <f t="shared" si="2"/>
        <v>0</v>
      </c>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4"/>
      <c r="BI48" s="4">
        <f t="shared" si="3"/>
        <v>0</v>
      </c>
      <c r="BJ48" s="4">
        <f t="shared" si="4"/>
        <v>0</v>
      </c>
      <c r="BK48" s="4"/>
      <c r="BL48" s="3">
        <v>3</v>
      </c>
    </row>
    <row r="49" spans="1:64">
      <c r="A49" s="1">
        <v>4</v>
      </c>
      <c r="B49" s="4">
        <f t="shared" si="2"/>
        <v>0</v>
      </c>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4"/>
      <c r="BI49" s="4">
        <f t="shared" si="3"/>
        <v>0</v>
      </c>
      <c r="BJ49" s="4">
        <f t="shared" si="4"/>
        <v>0</v>
      </c>
      <c r="BK49" s="4"/>
      <c r="BL49" s="3">
        <v>4</v>
      </c>
    </row>
    <row r="50" spans="1:64">
      <c r="A50" s="1">
        <v>5</v>
      </c>
      <c r="B50" s="4">
        <f t="shared" si="2"/>
        <v>0</v>
      </c>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4"/>
      <c r="BI50" s="4">
        <f t="shared" si="3"/>
        <v>0</v>
      </c>
      <c r="BJ50" s="4">
        <f t="shared" si="4"/>
        <v>0</v>
      </c>
      <c r="BK50" s="4"/>
      <c r="BL50" s="3">
        <v>5</v>
      </c>
    </row>
    <row r="51" spans="1:64">
      <c r="A51" s="1">
        <v>6</v>
      </c>
      <c r="B51" s="4">
        <f t="shared" si="2"/>
        <v>0</v>
      </c>
      <c r="C51" s="4"/>
      <c r="D51" s="4"/>
      <c r="E51" s="4"/>
      <c r="F51" s="4"/>
      <c r="G51" s="4"/>
      <c r="H51" s="4"/>
      <c r="I51" s="4"/>
      <c r="J51" s="4"/>
      <c r="K51" s="4"/>
      <c r="L51" s="4"/>
      <c r="M51" s="4"/>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4"/>
      <c r="BI51" s="4">
        <f t="shared" si="3"/>
        <v>0</v>
      </c>
      <c r="BJ51" s="4">
        <f t="shared" si="4"/>
        <v>0</v>
      </c>
      <c r="BK51" s="4"/>
      <c r="BL51" s="3">
        <v>6</v>
      </c>
    </row>
    <row r="52" spans="1:64">
      <c r="A52" s="1">
        <v>7</v>
      </c>
      <c r="B52" s="4">
        <f t="shared" si="2"/>
        <v>0</v>
      </c>
      <c r="C52" s="4"/>
      <c r="D52" s="4"/>
      <c r="E52" s="4"/>
      <c r="F52" s="4"/>
      <c r="G52" s="4"/>
      <c r="H52" s="4"/>
      <c r="I52" s="4"/>
      <c r="J52" s="4"/>
      <c r="K52" s="4"/>
      <c r="L52" s="4"/>
      <c r="M52" s="4"/>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4"/>
      <c r="BI52" s="4">
        <f t="shared" si="3"/>
        <v>0</v>
      </c>
      <c r="BJ52" s="4">
        <f t="shared" si="4"/>
        <v>0</v>
      </c>
      <c r="BK52" s="4"/>
      <c r="BL52" s="3">
        <v>7</v>
      </c>
    </row>
    <row r="53" spans="1:64">
      <c r="A53" s="1">
        <v>8</v>
      </c>
      <c r="B53" s="4">
        <f t="shared" si="2"/>
        <v>0</v>
      </c>
      <c r="C53" s="4"/>
      <c r="D53" s="4"/>
      <c r="E53" s="4"/>
      <c r="F53" s="4"/>
      <c r="G53" s="4"/>
      <c r="H53" s="4"/>
      <c r="I53" s="4"/>
      <c r="J53" s="4"/>
      <c r="K53" s="4"/>
      <c r="L53" s="4"/>
      <c r="M53" s="4"/>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4"/>
      <c r="BI53" s="4">
        <f t="shared" si="3"/>
        <v>0</v>
      </c>
      <c r="BJ53" s="4">
        <f t="shared" si="4"/>
        <v>0</v>
      </c>
      <c r="BK53" s="4"/>
      <c r="BL53" s="3">
        <v>8</v>
      </c>
    </row>
    <row r="54" spans="1:64">
      <c r="A54" s="1">
        <v>9</v>
      </c>
      <c r="B54" s="4">
        <f t="shared" si="2"/>
        <v>0</v>
      </c>
      <c r="C54" s="4"/>
      <c r="D54" s="4"/>
      <c r="E54" s="4"/>
      <c r="F54" s="4"/>
      <c r="G54" s="4"/>
      <c r="H54" s="4"/>
      <c r="I54" s="4"/>
      <c r="J54" s="4"/>
      <c r="K54" s="4"/>
      <c r="L54" s="4"/>
      <c r="M54" s="4"/>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4"/>
      <c r="BI54" s="4">
        <f t="shared" si="3"/>
        <v>0</v>
      </c>
      <c r="BJ54" s="4">
        <f t="shared" si="4"/>
        <v>0</v>
      </c>
      <c r="BK54" s="4"/>
      <c r="BL54" s="3">
        <v>9</v>
      </c>
    </row>
    <row r="55" spans="1:64">
      <c r="A55" s="1">
        <v>10</v>
      </c>
      <c r="B55" s="4">
        <f t="shared" si="2"/>
        <v>0</v>
      </c>
      <c r="C55" s="4"/>
      <c r="D55" s="4"/>
      <c r="E55" s="4"/>
      <c r="F55" s="4"/>
      <c r="G55" s="4"/>
      <c r="H55" s="4"/>
      <c r="I55" s="4"/>
      <c r="J55" s="4"/>
      <c r="K55" s="4"/>
      <c r="L55" s="4"/>
      <c r="M55" s="4"/>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4"/>
      <c r="BI55" s="4">
        <f t="shared" si="3"/>
        <v>0</v>
      </c>
      <c r="BJ55" s="4">
        <f t="shared" si="4"/>
        <v>0</v>
      </c>
      <c r="BK55" s="4"/>
      <c r="BL55" s="3">
        <v>10</v>
      </c>
    </row>
    <row r="56" spans="1:64">
      <c r="A56" s="1">
        <v>11</v>
      </c>
      <c r="B56" s="4">
        <f t="shared" si="2"/>
        <v>0</v>
      </c>
      <c r="C56" s="4"/>
      <c r="D56" s="4"/>
      <c r="E56" s="4"/>
      <c r="F56" s="4"/>
      <c r="G56" s="4"/>
      <c r="H56" s="4"/>
      <c r="I56" s="4"/>
      <c r="J56" s="4"/>
      <c r="K56" s="4"/>
      <c r="L56" s="4"/>
      <c r="M56" s="4"/>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4"/>
      <c r="BI56" s="4">
        <f t="shared" si="3"/>
        <v>0</v>
      </c>
      <c r="BJ56" s="4">
        <f t="shared" si="4"/>
        <v>0</v>
      </c>
      <c r="BK56" s="4"/>
      <c r="BL56" s="3">
        <v>11</v>
      </c>
    </row>
    <row r="57" spans="1:64">
      <c r="A57" s="1">
        <v>12</v>
      </c>
      <c r="B57" s="4">
        <f t="shared" si="2"/>
        <v>0</v>
      </c>
      <c r="C57" s="4"/>
      <c r="D57" s="4"/>
      <c r="E57" s="4"/>
      <c r="F57" s="4"/>
      <c r="G57" s="4"/>
      <c r="H57" s="4"/>
      <c r="I57" s="4"/>
      <c r="J57" s="4"/>
      <c r="K57" s="4"/>
      <c r="L57" s="4"/>
      <c r="M57" s="4"/>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4"/>
      <c r="BI57" s="4">
        <f t="shared" si="3"/>
        <v>0</v>
      </c>
      <c r="BJ57" s="4">
        <f t="shared" si="4"/>
        <v>0</v>
      </c>
      <c r="BK57" s="4"/>
      <c r="BL57" s="3">
        <v>12</v>
      </c>
    </row>
    <row r="58" spans="1:64">
      <c r="A58" s="1">
        <v>13</v>
      </c>
      <c r="B58" s="4">
        <f t="shared" si="2"/>
        <v>0</v>
      </c>
      <c r="C58" s="4"/>
      <c r="D58" s="4"/>
      <c r="E58" s="4"/>
      <c r="F58" s="4"/>
      <c r="G58" s="4"/>
      <c r="H58" s="4"/>
      <c r="I58" s="4"/>
      <c r="J58" s="4"/>
      <c r="K58" s="4"/>
      <c r="L58" s="4"/>
      <c r="M58" s="4"/>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4"/>
      <c r="BI58" s="4">
        <f t="shared" si="3"/>
        <v>0</v>
      </c>
      <c r="BJ58" s="4">
        <f t="shared" si="4"/>
        <v>0</v>
      </c>
      <c r="BK58" s="4"/>
      <c r="BL58" s="3">
        <v>13</v>
      </c>
    </row>
    <row r="59" spans="1:64">
      <c r="A59" s="1">
        <v>14</v>
      </c>
      <c r="B59" s="4">
        <f t="shared" si="2"/>
        <v>0</v>
      </c>
      <c r="C59" s="4"/>
      <c r="D59" s="4"/>
      <c r="E59" s="4"/>
      <c r="F59" s="4"/>
      <c r="G59" s="4"/>
      <c r="H59" s="4"/>
      <c r="I59" s="4"/>
      <c r="J59" s="4"/>
      <c r="K59" s="4"/>
      <c r="L59" s="4"/>
      <c r="M59" s="4"/>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4"/>
      <c r="BI59" s="4">
        <f t="shared" si="3"/>
        <v>0</v>
      </c>
      <c r="BJ59" s="4">
        <f t="shared" si="4"/>
        <v>0</v>
      </c>
      <c r="BK59" s="4"/>
      <c r="BL59" s="3">
        <v>14</v>
      </c>
    </row>
    <row r="60" spans="1:64">
      <c r="A60" s="1">
        <v>15</v>
      </c>
      <c r="B60" s="4">
        <f t="shared" si="2"/>
        <v>0</v>
      </c>
      <c r="C60" s="4"/>
      <c r="D60" s="4"/>
      <c r="E60" s="4"/>
      <c r="F60" s="4"/>
      <c r="G60" s="4"/>
      <c r="H60" s="4"/>
      <c r="I60" s="4"/>
      <c r="J60" s="4"/>
      <c r="K60" s="4"/>
      <c r="L60" s="4"/>
      <c r="M60" s="4"/>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4"/>
      <c r="BI60" s="4">
        <f t="shared" si="3"/>
        <v>0</v>
      </c>
      <c r="BJ60" s="4">
        <f t="shared" si="4"/>
        <v>0</v>
      </c>
      <c r="BK60" s="4"/>
      <c r="BL60" s="3">
        <v>15</v>
      </c>
    </row>
    <row r="61" spans="1:64">
      <c r="A61" s="1">
        <v>16</v>
      </c>
      <c r="B61" s="4">
        <f t="shared" si="2"/>
        <v>0</v>
      </c>
      <c r="C61" s="4"/>
      <c r="D61" s="4"/>
      <c r="E61" s="4"/>
      <c r="F61" s="4"/>
      <c r="G61" s="4"/>
      <c r="H61" s="4"/>
      <c r="I61" s="4"/>
      <c r="J61" s="4"/>
      <c r="K61" s="4"/>
      <c r="L61" s="4"/>
      <c r="M61" s="4"/>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4"/>
      <c r="BI61" s="4">
        <f t="shared" si="3"/>
        <v>0</v>
      </c>
      <c r="BJ61" s="4">
        <f t="shared" si="4"/>
        <v>0</v>
      </c>
      <c r="BK61" s="4"/>
      <c r="BL61" s="3">
        <v>16</v>
      </c>
    </row>
    <row r="62" spans="1:64">
      <c r="A62" s="1">
        <v>17</v>
      </c>
      <c r="B62" s="4">
        <f t="shared" si="2"/>
        <v>0</v>
      </c>
      <c r="C62" s="4"/>
      <c r="D62" s="4"/>
      <c r="E62" s="4"/>
      <c r="F62" s="4"/>
      <c r="G62" s="4"/>
      <c r="H62" s="4"/>
      <c r="I62" s="4"/>
      <c r="J62" s="4"/>
      <c r="K62" s="4"/>
      <c r="L62" s="4"/>
      <c r="M62" s="4"/>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4"/>
      <c r="BI62" s="4">
        <f t="shared" si="3"/>
        <v>0</v>
      </c>
      <c r="BJ62" s="4">
        <f t="shared" si="4"/>
        <v>0</v>
      </c>
      <c r="BK62" s="4"/>
      <c r="BL62" s="3">
        <v>17</v>
      </c>
    </row>
    <row r="63" spans="1:64">
      <c r="A63" s="1">
        <v>18</v>
      </c>
      <c r="B63" s="4">
        <f t="shared" si="2"/>
        <v>0</v>
      </c>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4"/>
      <c r="BI63" s="4">
        <f t="shared" si="3"/>
        <v>0</v>
      </c>
      <c r="BJ63" s="4">
        <f t="shared" si="4"/>
        <v>0</v>
      </c>
      <c r="BK63" s="4"/>
      <c r="BL63" s="3">
        <v>18</v>
      </c>
    </row>
    <row r="64" spans="1:64">
      <c r="A64" s="1">
        <v>19</v>
      </c>
      <c r="B64" s="4">
        <f t="shared" si="2"/>
        <v>0</v>
      </c>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4"/>
      <c r="BI64" s="4">
        <f t="shared" si="3"/>
        <v>0</v>
      </c>
      <c r="BJ64" s="4">
        <f t="shared" si="4"/>
        <v>0</v>
      </c>
      <c r="BK64" s="4"/>
      <c r="BL64" s="3">
        <v>19</v>
      </c>
    </row>
    <row r="65" spans="1:64">
      <c r="A65" s="1">
        <v>20</v>
      </c>
      <c r="B65" s="4">
        <f t="shared" si="2"/>
        <v>0</v>
      </c>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4"/>
      <c r="BI65" s="4">
        <f t="shared" si="3"/>
        <v>0</v>
      </c>
      <c r="BJ65" s="4">
        <f t="shared" si="4"/>
        <v>0</v>
      </c>
      <c r="BK65" s="4"/>
      <c r="BL65" s="3">
        <v>20</v>
      </c>
    </row>
    <row r="66" spans="1:64">
      <c r="A66" s="1">
        <v>21</v>
      </c>
      <c r="B66" s="4">
        <f t="shared" si="2"/>
        <v>0</v>
      </c>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4"/>
      <c r="BI66" s="4">
        <f t="shared" si="3"/>
        <v>0</v>
      </c>
      <c r="BJ66" s="4">
        <f t="shared" si="4"/>
        <v>0</v>
      </c>
      <c r="BK66" s="4"/>
      <c r="BL66" s="3">
        <v>21</v>
      </c>
    </row>
    <row r="67" spans="1:64">
      <c r="A67" s="1">
        <v>22</v>
      </c>
      <c r="B67" s="4">
        <f t="shared" si="2"/>
        <v>0</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4"/>
      <c r="BI67" s="4">
        <f t="shared" si="3"/>
        <v>0</v>
      </c>
      <c r="BJ67" s="4">
        <f t="shared" si="4"/>
        <v>0</v>
      </c>
      <c r="BK67" s="4"/>
      <c r="BL67" s="3">
        <v>22</v>
      </c>
    </row>
    <row r="68" spans="1:64">
      <c r="A68" s="1">
        <v>23</v>
      </c>
      <c r="B68" s="4">
        <f t="shared" si="2"/>
        <v>0</v>
      </c>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4"/>
      <c r="BI68" s="4">
        <f t="shared" si="3"/>
        <v>0</v>
      </c>
      <c r="BJ68" s="4">
        <f t="shared" si="4"/>
        <v>0</v>
      </c>
      <c r="BK68" s="4"/>
      <c r="BL68" s="3">
        <v>23</v>
      </c>
    </row>
    <row r="69" spans="1:64">
      <c r="A69" s="1">
        <v>24</v>
      </c>
      <c r="B69" s="4">
        <f t="shared" si="2"/>
        <v>0</v>
      </c>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4"/>
      <c r="BI69" s="4">
        <f t="shared" si="3"/>
        <v>0</v>
      </c>
      <c r="BJ69" s="4">
        <f t="shared" si="4"/>
        <v>0</v>
      </c>
      <c r="BK69" s="4"/>
      <c r="BL69" s="3">
        <v>24</v>
      </c>
    </row>
    <row r="70" spans="1:64">
      <c r="A70" s="1">
        <v>25</v>
      </c>
      <c r="B70" s="4">
        <f t="shared" si="2"/>
        <v>0</v>
      </c>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4"/>
      <c r="BI70" s="4">
        <f t="shared" si="3"/>
        <v>0</v>
      </c>
      <c r="BJ70" s="4">
        <f t="shared" si="4"/>
        <v>0</v>
      </c>
      <c r="BK70" s="4"/>
      <c r="BL70" s="3">
        <v>25</v>
      </c>
    </row>
    <row r="71" spans="1:64">
      <c r="A71" s="1">
        <v>26</v>
      </c>
      <c r="B71" s="4">
        <f t="shared" si="2"/>
        <v>0</v>
      </c>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4"/>
      <c r="BI71" s="4">
        <f t="shared" si="3"/>
        <v>0</v>
      </c>
      <c r="BJ71" s="4">
        <f t="shared" si="4"/>
        <v>0</v>
      </c>
      <c r="BK71" s="4"/>
      <c r="BL71" s="3">
        <v>26</v>
      </c>
    </row>
    <row r="72" spans="1:64">
      <c r="A72" s="1">
        <v>27</v>
      </c>
      <c r="B72" s="4">
        <f t="shared" si="2"/>
        <v>0</v>
      </c>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4"/>
      <c r="BI72" s="4">
        <f t="shared" si="3"/>
        <v>0</v>
      </c>
      <c r="BJ72" s="4">
        <f t="shared" si="4"/>
        <v>0</v>
      </c>
      <c r="BK72" s="4"/>
      <c r="BL72" s="3">
        <v>27</v>
      </c>
    </row>
    <row r="73" spans="1:64">
      <c r="A73" s="1">
        <v>28</v>
      </c>
      <c r="B73" s="4">
        <f t="shared" si="2"/>
        <v>0</v>
      </c>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4"/>
      <c r="BI73" s="4">
        <f t="shared" si="3"/>
        <v>0</v>
      </c>
      <c r="BJ73" s="4">
        <f t="shared" si="4"/>
        <v>0</v>
      </c>
      <c r="BK73" s="4"/>
      <c r="BL73" s="3">
        <v>28</v>
      </c>
    </row>
    <row r="74" spans="1:64">
      <c r="A74" s="1">
        <v>29</v>
      </c>
      <c r="B74" s="4">
        <f t="shared" si="2"/>
        <v>0</v>
      </c>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4"/>
      <c r="BI74" s="4">
        <f t="shared" si="3"/>
        <v>0</v>
      </c>
      <c r="BJ74" s="4">
        <f t="shared" si="4"/>
        <v>0</v>
      </c>
      <c r="BK74" s="4"/>
      <c r="BL74" s="3">
        <v>29</v>
      </c>
    </row>
    <row r="75" spans="1:64">
      <c r="A75" s="1">
        <v>30</v>
      </c>
      <c r="B75" s="4">
        <f t="shared" si="2"/>
        <v>0</v>
      </c>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4"/>
      <c r="BI75" s="4">
        <f t="shared" si="3"/>
        <v>0</v>
      </c>
      <c r="BJ75" s="4">
        <f t="shared" si="4"/>
        <v>0</v>
      </c>
      <c r="BK75" s="4"/>
      <c r="BL75" s="3">
        <v>30</v>
      </c>
    </row>
    <row r="76" spans="1:64">
      <c r="A76" s="1">
        <v>31</v>
      </c>
      <c r="B76" s="4">
        <f t="shared" si="2"/>
        <v>0</v>
      </c>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4"/>
      <c r="BI76" s="4">
        <f t="shared" si="3"/>
        <v>0</v>
      </c>
      <c r="BJ76" s="4">
        <f t="shared" si="4"/>
        <v>0</v>
      </c>
      <c r="BK76" s="4"/>
      <c r="BL76" s="3">
        <v>31</v>
      </c>
    </row>
    <row r="77" spans="1:64">
      <c r="A77" s="1">
        <v>32</v>
      </c>
      <c r="B77" s="4">
        <f t="shared" si="2"/>
        <v>0</v>
      </c>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4"/>
      <c r="BI77" s="4">
        <f t="shared" si="3"/>
        <v>0</v>
      </c>
      <c r="BJ77" s="4">
        <f t="shared" si="4"/>
        <v>0</v>
      </c>
      <c r="BK77" s="4"/>
      <c r="BL77" s="3">
        <v>32</v>
      </c>
    </row>
    <row r="78" spans="1:64">
      <c r="A78" s="1">
        <v>33</v>
      </c>
      <c r="B78" s="4">
        <f t="shared" si="2"/>
        <v>0</v>
      </c>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4"/>
      <c r="BI78" s="4">
        <f t="shared" si="3"/>
        <v>0</v>
      </c>
      <c r="BJ78" s="4">
        <f t="shared" si="4"/>
        <v>0</v>
      </c>
      <c r="BK78" s="4"/>
      <c r="BL78" s="3">
        <v>33</v>
      </c>
    </row>
    <row r="79" spans="1:64">
      <c r="A79" s="1">
        <v>34</v>
      </c>
      <c r="B79" s="4">
        <f t="shared" si="2"/>
        <v>0</v>
      </c>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4"/>
      <c r="BI79" s="4">
        <f t="shared" si="3"/>
        <v>0</v>
      </c>
      <c r="BJ79" s="4">
        <f t="shared" si="4"/>
        <v>0</v>
      </c>
      <c r="BK79" s="4"/>
      <c r="BL79" s="3">
        <v>34</v>
      </c>
    </row>
    <row r="80" spans="1:64">
      <c r="A80" s="1">
        <v>35</v>
      </c>
      <c r="B80" s="4">
        <f t="shared" si="2"/>
        <v>0</v>
      </c>
      <c r="C80" s="19" t="s">
        <v>84</v>
      </c>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4"/>
      <c r="BI80" s="4">
        <f t="shared" si="3"/>
        <v>0</v>
      </c>
      <c r="BJ80" s="4">
        <f t="shared" si="4"/>
        <v>0</v>
      </c>
      <c r="BK80" s="4"/>
      <c r="BL80" s="3">
        <v>35</v>
      </c>
    </row>
    <row r="81" spans="1:64">
      <c r="A81" s="1">
        <v>36</v>
      </c>
      <c r="B81" s="4">
        <f t="shared" si="2"/>
        <v>0</v>
      </c>
      <c r="C81" s="19" t="s">
        <v>84</v>
      </c>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4"/>
      <c r="BI81" s="4">
        <f t="shared" si="3"/>
        <v>0</v>
      </c>
      <c r="BJ81" s="4">
        <f t="shared" si="4"/>
        <v>0</v>
      </c>
      <c r="BK81" s="4"/>
      <c r="BL81" s="3">
        <v>36</v>
      </c>
    </row>
    <row r="82" spans="1:64">
      <c r="A82" s="1">
        <v>37</v>
      </c>
      <c r="B82" s="4">
        <f t="shared" si="2"/>
        <v>0</v>
      </c>
      <c r="C82" s="19" t="s">
        <v>84</v>
      </c>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4"/>
      <c r="BI82" s="4">
        <f t="shared" si="3"/>
        <v>0</v>
      </c>
      <c r="BJ82" s="4">
        <f t="shared" si="4"/>
        <v>0</v>
      </c>
      <c r="BK82" s="4"/>
      <c r="BL82" s="3">
        <v>37</v>
      </c>
    </row>
    <row r="83" spans="1:64">
      <c r="A83" s="1">
        <v>38</v>
      </c>
      <c r="B83" s="4"/>
      <c r="C83" s="19" t="s">
        <v>84</v>
      </c>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4"/>
      <c r="BI83" s="4">
        <f t="shared" si="3"/>
        <v>0</v>
      </c>
      <c r="BJ83" s="4">
        <f t="shared" si="4"/>
        <v>0</v>
      </c>
      <c r="BK83" s="4"/>
      <c r="BL83" s="3">
        <v>38</v>
      </c>
    </row>
    <row r="84" spans="1:64">
      <c r="A84" s="1">
        <v>39</v>
      </c>
      <c r="B84" s="4"/>
      <c r="C84" s="19" t="s">
        <v>84</v>
      </c>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4"/>
      <c r="BI84" s="4">
        <f t="shared" si="3"/>
        <v>0</v>
      </c>
      <c r="BJ84" s="4">
        <f t="shared" si="4"/>
        <v>0</v>
      </c>
      <c r="BK84" s="4"/>
      <c r="BL84" s="3">
        <v>39</v>
      </c>
    </row>
    <row r="85" spans="1:64">
      <c r="A85" s="1">
        <v>40</v>
      </c>
      <c r="B85" s="4"/>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4"/>
      <c r="BI85" s="4">
        <f t="shared" si="3"/>
        <v>0</v>
      </c>
      <c r="BJ85" s="4">
        <f t="shared" si="4"/>
        <v>0</v>
      </c>
      <c r="BK85" s="4"/>
      <c r="BL85" s="3">
        <v>40</v>
      </c>
    </row>
    <row r="86" spans="1:64">
      <c r="A86" s="1">
        <v>41</v>
      </c>
      <c r="B86" s="4"/>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4"/>
      <c r="BI86" s="4">
        <f t="shared" si="3"/>
        <v>0</v>
      </c>
      <c r="BJ86" s="4">
        <f t="shared" si="4"/>
        <v>0</v>
      </c>
      <c r="BK86" s="4"/>
      <c r="BL86" s="3">
        <v>41</v>
      </c>
    </row>
    <row r="87" spans="1:64">
      <c r="A87" s="6">
        <v>42</v>
      </c>
      <c r="B87" s="7"/>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c r="BH87" s="7"/>
      <c r="BI87" s="7">
        <f t="shared" si="3"/>
        <v>0</v>
      </c>
      <c r="BJ87" s="7">
        <f t="shared" si="4"/>
        <v>0</v>
      </c>
      <c r="BK87" s="7"/>
      <c r="BL87" s="8">
        <v>42</v>
      </c>
    </row>
    <row r="89" spans="1:64" ht="31.2" customHeight="1">
      <c r="A89" s="244"/>
      <c r="B89" s="249" t="s">
        <v>77</v>
      </c>
      <c r="C89" s="240" t="s">
        <v>85</v>
      </c>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251"/>
      <c r="AI89" s="251"/>
      <c r="AJ89" s="251"/>
      <c r="AK89" s="251"/>
      <c r="AL89" s="251"/>
      <c r="AM89" s="251"/>
      <c r="AN89" s="251"/>
      <c r="AO89" s="251"/>
      <c r="AP89" s="251"/>
      <c r="AQ89" s="251"/>
      <c r="AR89" s="251"/>
      <c r="AS89" s="251"/>
      <c r="AT89" s="251"/>
      <c r="AU89" s="251"/>
      <c r="AV89" s="251"/>
      <c r="AW89" s="251"/>
      <c r="AX89" s="251"/>
      <c r="AY89" s="251"/>
      <c r="AZ89" s="251"/>
      <c r="BA89" s="251"/>
      <c r="BB89" s="251"/>
      <c r="BC89" s="251"/>
      <c r="BD89" s="251"/>
      <c r="BE89" s="251"/>
      <c r="BF89" s="251"/>
      <c r="BG89" s="251"/>
      <c r="BH89" s="241"/>
      <c r="BI89" s="240" t="s">
        <v>86</v>
      </c>
      <c r="BJ89" s="241"/>
      <c r="BK89" s="245" t="s">
        <v>18</v>
      </c>
      <c r="BL89" s="77"/>
    </row>
    <row r="90" spans="1:64" ht="43.2" customHeight="1">
      <c r="A90" s="243"/>
      <c r="B90" s="243"/>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2" t="s">
        <v>80</v>
      </c>
      <c r="BJ90" s="2" t="s">
        <v>81</v>
      </c>
      <c r="BK90" s="243"/>
      <c r="BL90" s="77"/>
    </row>
    <row r="91" spans="1:64" ht="13.2" customHeight="1">
      <c r="A91" s="1">
        <v>1</v>
      </c>
      <c r="B91" s="4">
        <f t="shared" ref="B91:B127" si="5">B46</f>
        <v>0</v>
      </c>
      <c r="C91" s="19"/>
      <c r="D91" s="101"/>
      <c r="E91" s="19"/>
      <c r="F91" s="19"/>
      <c r="G91" s="101"/>
      <c r="H91" s="101"/>
      <c r="I91" s="19"/>
      <c r="J91" s="19"/>
      <c r="K91" s="19"/>
      <c r="L91" s="19"/>
      <c r="M91" s="19"/>
      <c r="N91" s="19"/>
      <c r="O91" s="19"/>
      <c r="P91" s="19"/>
      <c r="Q91" s="19"/>
      <c r="R91" s="19"/>
      <c r="S91" s="19"/>
      <c r="T91" s="19"/>
      <c r="U91" s="19"/>
      <c r="V91" s="19"/>
      <c r="W91" s="19"/>
      <c r="X91" s="19"/>
      <c r="Y91" s="19"/>
      <c r="Z91" s="102"/>
      <c r="AA91" s="102"/>
      <c r="AD91" s="102"/>
      <c r="AE91" s="102"/>
      <c r="AF91" s="102"/>
      <c r="AG91" s="102"/>
      <c r="AH91" s="102"/>
      <c r="AI91" s="102"/>
      <c r="AJ91" s="102"/>
      <c r="AK91" s="102"/>
      <c r="AL91" s="102"/>
      <c r="AM91" s="102"/>
      <c r="AN91" s="102"/>
      <c r="AO91" s="102"/>
      <c r="AP91" s="102"/>
      <c r="AQ91" s="102"/>
      <c r="AR91" s="19"/>
      <c r="AS91" s="19"/>
      <c r="AT91" s="19"/>
      <c r="AU91" s="19"/>
      <c r="AV91" s="19"/>
      <c r="AW91" s="19"/>
      <c r="AX91" s="19"/>
      <c r="AY91" s="19"/>
      <c r="AZ91" s="19"/>
      <c r="BA91" s="19"/>
      <c r="BB91" s="19"/>
      <c r="BC91" s="19"/>
      <c r="BD91" s="19"/>
      <c r="BE91" s="19"/>
      <c r="BF91" s="19"/>
      <c r="BG91" s="19"/>
      <c r="BH91" s="4"/>
      <c r="BI91" s="4">
        <f t="shared" ref="BI91:BI128" si="6">COUNTIF(C91:BH91,"-")</f>
        <v>0</v>
      </c>
      <c r="BJ91" s="4">
        <f t="shared" ref="BJ91:BJ128" si="7">COUNTIF(D91:BI91,"T")</f>
        <v>0</v>
      </c>
      <c r="BK91" s="4"/>
      <c r="BL91" s="3">
        <v>1</v>
      </c>
    </row>
    <row r="92" spans="1:64" ht="14.4" customHeight="1">
      <c r="A92" s="1">
        <v>2</v>
      </c>
      <c r="B92" s="4">
        <f t="shared" si="5"/>
        <v>0</v>
      </c>
      <c r="C92" s="19"/>
      <c r="D92" s="101"/>
      <c r="E92" s="19"/>
      <c r="F92" s="19"/>
      <c r="G92" s="101"/>
      <c r="H92" s="101"/>
      <c r="I92" s="19"/>
      <c r="J92" s="19"/>
      <c r="K92" s="19"/>
      <c r="L92" s="19"/>
      <c r="M92" s="19"/>
      <c r="N92" s="19"/>
      <c r="O92" s="19"/>
      <c r="P92" s="19"/>
      <c r="Q92" s="19"/>
      <c r="R92" s="19"/>
      <c r="S92" s="19"/>
      <c r="T92" s="19"/>
      <c r="U92" s="19"/>
      <c r="V92" s="19"/>
      <c r="W92" s="19"/>
      <c r="X92" s="19"/>
      <c r="Y92" s="19"/>
      <c r="Z92" s="102"/>
      <c r="AA92" s="102"/>
      <c r="AB92" s="19"/>
      <c r="AC92" s="19"/>
      <c r="AD92" s="102"/>
      <c r="AE92" s="102"/>
      <c r="AF92" s="102"/>
      <c r="AG92" s="102"/>
      <c r="AH92" s="102"/>
      <c r="AI92" s="102"/>
      <c r="AJ92" s="102"/>
      <c r="AK92" s="102"/>
      <c r="AL92" s="102"/>
      <c r="AM92" s="102"/>
      <c r="AN92" s="102"/>
      <c r="AO92" s="102"/>
      <c r="AP92" s="102"/>
      <c r="AQ92" s="102"/>
      <c r="AR92" s="19"/>
      <c r="AS92" s="19"/>
      <c r="AT92" s="19"/>
      <c r="AU92" s="19"/>
      <c r="AV92" s="19"/>
      <c r="AW92" s="19"/>
      <c r="AX92" s="19"/>
      <c r="AY92" s="19"/>
      <c r="AZ92" s="19"/>
      <c r="BA92" s="19"/>
      <c r="BB92" s="19"/>
      <c r="BC92" s="19"/>
      <c r="BD92" s="19"/>
      <c r="BE92" s="19"/>
      <c r="BF92" s="19"/>
      <c r="BG92" s="19"/>
      <c r="BH92" s="4"/>
      <c r="BI92" s="4">
        <f t="shared" si="6"/>
        <v>0</v>
      </c>
      <c r="BJ92" s="4">
        <f t="shared" si="7"/>
        <v>0</v>
      </c>
      <c r="BK92" s="4"/>
      <c r="BL92" s="3">
        <v>2</v>
      </c>
    </row>
    <row r="93" spans="1:64">
      <c r="A93" s="1">
        <v>3</v>
      </c>
      <c r="B93" s="4">
        <f t="shared" si="5"/>
        <v>0</v>
      </c>
      <c r="C93" s="19"/>
      <c r="D93" s="101"/>
      <c r="E93" s="19"/>
      <c r="F93" s="19"/>
      <c r="G93" s="101"/>
      <c r="H93" s="101"/>
      <c r="I93" s="19"/>
      <c r="J93" s="19"/>
      <c r="K93" s="19"/>
      <c r="L93" s="19"/>
      <c r="M93" s="19"/>
      <c r="N93" s="19"/>
      <c r="O93" s="19"/>
      <c r="P93" s="19"/>
      <c r="Q93" s="19"/>
      <c r="R93" s="19"/>
      <c r="S93" s="19"/>
      <c r="T93" s="19"/>
      <c r="U93" s="19"/>
      <c r="V93" s="19"/>
      <c r="W93" s="19"/>
      <c r="X93" s="19"/>
      <c r="Y93" s="19"/>
      <c r="Z93" s="102"/>
      <c r="AA93" s="102"/>
      <c r="AB93" s="19"/>
      <c r="AC93" s="19"/>
      <c r="AD93" s="102"/>
      <c r="AE93" s="102"/>
      <c r="AF93" s="102"/>
      <c r="AG93" s="102"/>
      <c r="AH93" s="102"/>
      <c r="AI93" s="102"/>
      <c r="AJ93" s="102"/>
      <c r="AK93" s="102"/>
      <c r="AL93" s="102"/>
      <c r="AM93" s="102"/>
      <c r="AN93" s="102"/>
      <c r="AO93" s="102"/>
      <c r="AP93" s="102"/>
      <c r="AQ93" s="102"/>
      <c r="AR93" s="19"/>
      <c r="AS93" s="19"/>
      <c r="AT93" s="19"/>
      <c r="AU93" s="19"/>
      <c r="AV93" s="19"/>
      <c r="AW93" s="19"/>
      <c r="AX93" s="19"/>
      <c r="AY93" s="19"/>
      <c r="AZ93" s="19"/>
      <c r="BA93" s="19"/>
      <c r="BB93" s="19"/>
      <c r="BC93" s="19"/>
      <c r="BD93" s="19"/>
      <c r="BE93" s="19"/>
      <c r="BF93" s="19"/>
      <c r="BG93" s="19"/>
      <c r="BH93" s="4"/>
      <c r="BI93" s="4">
        <f t="shared" si="6"/>
        <v>0</v>
      </c>
      <c r="BJ93" s="4">
        <f t="shared" si="7"/>
        <v>0</v>
      </c>
      <c r="BK93" s="4"/>
      <c r="BL93" s="3">
        <v>3</v>
      </c>
    </row>
    <row r="94" spans="1:64" ht="14.4" customHeight="1">
      <c r="A94" s="1">
        <v>4</v>
      </c>
      <c r="B94" s="4">
        <f t="shared" si="5"/>
        <v>0</v>
      </c>
      <c r="C94" s="19"/>
      <c r="D94" s="101"/>
      <c r="E94" s="19"/>
      <c r="F94" s="19"/>
      <c r="G94" s="101"/>
      <c r="H94" s="101"/>
      <c r="I94" s="19"/>
      <c r="J94" s="19"/>
      <c r="K94" s="19"/>
      <c r="L94" s="19"/>
      <c r="M94" s="19"/>
      <c r="N94" s="19"/>
      <c r="O94" s="19"/>
      <c r="P94" s="19"/>
      <c r="Q94" s="19"/>
      <c r="R94" s="19"/>
      <c r="S94" s="19"/>
      <c r="T94" s="19"/>
      <c r="U94" s="19"/>
      <c r="V94" s="19"/>
      <c r="W94" s="19"/>
      <c r="X94" s="19"/>
      <c r="Y94" s="19"/>
      <c r="Z94" s="102"/>
      <c r="AA94" s="102"/>
      <c r="AB94" s="19"/>
      <c r="AC94" s="19"/>
      <c r="AD94" s="102"/>
      <c r="AE94" s="102"/>
      <c r="AF94" s="102"/>
      <c r="AG94" s="102"/>
      <c r="AH94" s="102"/>
      <c r="AI94" s="102"/>
      <c r="AJ94" s="102"/>
      <c r="AK94" s="102"/>
      <c r="AL94" s="102"/>
      <c r="AM94" s="102"/>
      <c r="AN94" s="102"/>
      <c r="AO94" s="102"/>
      <c r="AP94" s="102"/>
      <c r="AQ94" s="102"/>
      <c r="AR94" s="19"/>
      <c r="AS94" s="19"/>
      <c r="AT94" s="19"/>
      <c r="AU94" s="19"/>
      <c r="AV94" s="19"/>
      <c r="AW94" s="19"/>
      <c r="AX94" s="19"/>
      <c r="AY94" s="19"/>
      <c r="AZ94" s="19"/>
      <c r="BA94" s="19"/>
      <c r="BB94" s="19"/>
      <c r="BC94" s="19"/>
      <c r="BD94" s="19"/>
      <c r="BE94" s="19"/>
      <c r="BF94" s="19"/>
      <c r="BG94" s="19"/>
      <c r="BH94" s="4"/>
      <c r="BI94" s="4">
        <f t="shared" si="6"/>
        <v>0</v>
      </c>
      <c r="BJ94" s="4">
        <f t="shared" si="7"/>
        <v>0</v>
      </c>
      <c r="BK94" s="4"/>
      <c r="BL94" s="3">
        <v>4</v>
      </c>
    </row>
    <row r="95" spans="1:64">
      <c r="A95" s="1">
        <v>5</v>
      </c>
      <c r="B95" s="4">
        <f t="shared" si="5"/>
        <v>0</v>
      </c>
      <c r="C95" s="19"/>
      <c r="D95" s="101"/>
      <c r="E95" s="19"/>
      <c r="F95" s="19"/>
      <c r="G95" s="101"/>
      <c r="H95" s="101"/>
      <c r="I95" s="19"/>
      <c r="J95" s="19"/>
      <c r="K95" s="19"/>
      <c r="L95" s="19"/>
      <c r="M95" s="19"/>
      <c r="N95" s="19"/>
      <c r="O95" s="19"/>
      <c r="P95" s="19"/>
      <c r="Q95" s="19"/>
      <c r="R95" s="19"/>
      <c r="S95" s="19"/>
      <c r="T95" s="19"/>
      <c r="U95" s="19"/>
      <c r="V95" s="19"/>
      <c r="W95" s="19"/>
      <c r="X95" s="19"/>
      <c r="Y95" s="19"/>
      <c r="Z95" s="102"/>
      <c r="AA95" s="102"/>
      <c r="AB95" s="19"/>
      <c r="AC95" s="19"/>
      <c r="AD95" s="102"/>
      <c r="AE95" s="102"/>
      <c r="AF95" s="102"/>
      <c r="AG95" s="102"/>
      <c r="AH95" s="102"/>
      <c r="AI95" s="102"/>
      <c r="AJ95" s="102"/>
      <c r="AK95" s="102"/>
      <c r="AL95" s="102"/>
      <c r="AM95" s="102"/>
      <c r="AN95" s="102"/>
      <c r="AO95" s="102"/>
      <c r="AP95" s="102"/>
      <c r="AQ95" s="102"/>
      <c r="AR95" s="19"/>
      <c r="AS95" s="19"/>
      <c r="AT95" s="19"/>
      <c r="AU95" s="19"/>
      <c r="AV95" s="19"/>
      <c r="AW95" s="19"/>
      <c r="AX95" s="19"/>
      <c r="AY95" s="19"/>
      <c r="AZ95" s="19"/>
      <c r="BA95" s="19"/>
      <c r="BB95" s="19"/>
      <c r="BC95" s="19"/>
      <c r="BD95" s="19"/>
      <c r="BE95" s="19"/>
      <c r="BF95" s="19"/>
      <c r="BG95" s="19"/>
      <c r="BH95" s="4"/>
      <c r="BI95" s="4">
        <f t="shared" si="6"/>
        <v>0</v>
      </c>
      <c r="BJ95" s="4">
        <f t="shared" si="7"/>
        <v>0</v>
      </c>
      <c r="BK95" s="4"/>
      <c r="BL95" s="3">
        <v>5</v>
      </c>
    </row>
    <row r="96" spans="1:64">
      <c r="A96" s="1">
        <v>6</v>
      </c>
      <c r="B96" s="4">
        <f t="shared" si="5"/>
        <v>0</v>
      </c>
      <c r="C96" s="19"/>
      <c r="D96" s="101"/>
      <c r="E96" s="19"/>
      <c r="F96" s="19"/>
      <c r="G96" s="101"/>
      <c r="H96" s="101"/>
      <c r="I96" s="19"/>
      <c r="J96" s="19"/>
      <c r="K96" s="19"/>
      <c r="L96" s="19"/>
      <c r="M96" s="19"/>
      <c r="N96" s="19"/>
      <c r="O96" s="19"/>
      <c r="P96" s="19"/>
      <c r="Q96" s="19"/>
      <c r="R96" s="19"/>
      <c r="S96" s="19"/>
      <c r="T96" s="19"/>
      <c r="U96" s="19"/>
      <c r="V96" s="19"/>
      <c r="W96" s="19"/>
      <c r="X96" s="19"/>
      <c r="Y96" s="19"/>
      <c r="Z96" s="102"/>
      <c r="AA96" s="102"/>
      <c r="AB96" s="19"/>
      <c r="AC96" s="19"/>
      <c r="AD96" s="102"/>
      <c r="AE96" s="102"/>
      <c r="AF96" s="102"/>
      <c r="AG96" s="102"/>
      <c r="AH96" s="102"/>
      <c r="AI96" s="102"/>
      <c r="AJ96" s="102"/>
      <c r="AK96" s="102"/>
      <c r="AL96" s="102"/>
      <c r="AM96" s="102"/>
      <c r="AN96" s="102"/>
      <c r="AO96" s="102"/>
      <c r="AP96" s="102"/>
      <c r="AQ96" s="102"/>
      <c r="AR96" s="19"/>
      <c r="AS96" s="19"/>
      <c r="AT96" s="19"/>
      <c r="AU96" s="19"/>
      <c r="AV96" s="19"/>
      <c r="AW96" s="19"/>
      <c r="AX96" s="19"/>
      <c r="AY96" s="19"/>
      <c r="AZ96" s="19"/>
      <c r="BA96" s="19"/>
      <c r="BB96" s="19"/>
      <c r="BC96" s="19"/>
      <c r="BD96" s="19"/>
      <c r="BE96" s="19"/>
      <c r="BF96" s="19"/>
      <c r="BG96" s="19"/>
      <c r="BH96" s="4"/>
      <c r="BI96" s="4">
        <f t="shared" si="6"/>
        <v>0</v>
      </c>
      <c r="BJ96" s="4">
        <f t="shared" si="7"/>
        <v>0</v>
      </c>
      <c r="BK96" s="4"/>
      <c r="BL96" s="3">
        <v>6</v>
      </c>
    </row>
    <row r="97" spans="1:64">
      <c r="A97" s="1">
        <v>7</v>
      </c>
      <c r="B97" s="4">
        <f t="shared" si="5"/>
        <v>0</v>
      </c>
      <c r="C97" s="19"/>
      <c r="D97" s="101"/>
      <c r="E97" s="19"/>
      <c r="F97" s="19"/>
      <c r="G97" s="101"/>
      <c r="H97" s="101"/>
      <c r="I97" s="19"/>
      <c r="J97" s="19"/>
      <c r="K97" s="19"/>
      <c r="L97" s="19"/>
      <c r="M97" s="19"/>
      <c r="N97" s="19"/>
      <c r="O97" s="19"/>
      <c r="P97" s="19"/>
      <c r="Q97" s="19"/>
      <c r="R97" s="19"/>
      <c r="S97" s="19"/>
      <c r="T97" s="19"/>
      <c r="U97" s="19"/>
      <c r="V97" s="19"/>
      <c r="W97" s="19"/>
      <c r="X97" s="19"/>
      <c r="Y97" s="19"/>
      <c r="Z97" s="102"/>
      <c r="AA97" s="102"/>
      <c r="AB97" s="19"/>
      <c r="AC97" s="19"/>
      <c r="AD97" s="102"/>
      <c r="AE97" s="102"/>
      <c r="AF97" s="102"/>
      <c r="AG97" s="102"/>
      <c r="AH97" s="102"/>
      <c r="AI97" s="102"/>
      <c r="AJ97" s="102"/>
      <c r="AK97" s="102"/>
      <c r="AL97" s="102"/>
      <c r="AM97" s="102"/>
      <c r="AN97" s="102"/>
      <c r="AO97" s="102"/>
      <c r="AP97" s="102"/>
      <c r="AQ97" s="102"/>
      <c r="AR97" s="19"/>
      <c r="AS97" s="19"/>
      <c r="AT97" s="19"/>
      <c r="AU97" s="19"/>
      <c r="AV97" s="19"/>
      <c r="AW97" s="19"/>
      <c r="AX97" s="19"/>
      <c r="AY97" s="19"/>
      <c r="AZ97" s="19"/>
      <c r="BA97" s="19"/>
      <c r="BB97" s="19"/>
      <c r="BC97" s="19"/>
      <c r="BD97" s="19"/>
      <c r="BE97" s="19"/>
      <c r="BF97" s="19"/>
      <c r="BG97" s="19"/>
      <c r="BH97" s="4"/>
      <c r="BI97" s="4">
        <f t="shared" si="6"/>
        <v>0</v>
      </c>
      <c r="BJ97" s="4">
        <f t="shared" si="7"/>
        <v>0</v>
      </c>
      <c r="BK97" s="4"/>
      <c r="BL97" s="3">
        <v>7</v>
      </c>
    </row>
    <row r="98" spans="1:64">
      <c r="A98" s="1">
        <v>8</v>
      </c>
      <c r="B98" s="4">
        <f t="shared" si="5"/>
        <v>0</v>
      </c>
      <c r="C98" s="19"/>
      <c r="D98" s="101"/>
      <c r="E98" s="19"/>
      <c r="F98" s="19"/>
      <c r="G98" s="101"/>
      <c r="H98" s="101"/>
      <c r="I98" s="19"/>
      <c r="J98" s="19"/>
      <c r="K98" s="19"/>
      <c r="L98" s="19"/>
      <c r="M98" s="19"/>
      <c r="N98" s="19"/>
      <c r="O98" s="19"/>
      <c r="P98" s="19"/>
      <c r="Q98" s="19"/>
      <c r="R98" s="19"/>
      <c r="S98" s="19"/>
      <c r="T98" s="19"/>
      <c r="U98" s="19"/>
      <c r="V98" s="19"/>
      <c r="W98" s="19"/>
      <c r="X98" s="19"/>
      <c r="Y98" s="19"/>
      <c r="Z98" s="102"/>
      <c r="AA98" s="102"/>
      <c r="AB98" s="19"/>
      <c r="AC98" s="19"/>
      <c r="AD98" s="102"/>
      <c r="AE98" s="102"/>
      <c r="AF98" s="102"/>
      <c r="AG98" s="102"/>
      <c r="AH98" s="102"/>
      <c r="AI98" s="102"/>
      <c r="AJ98" s="102"/>
      <c r="AK98" s="102"/>
      <c r="AL98" s="102"/>
      <c r="AM98" s="102"/>
      <c r="AN98" s="102"/>
      <c r="AO98" s="102"/>
      <c r="AP98" s="102"/>
      <c r="AQ98" s="102"/>
      <c r="AR98" s="19"/>
      <c r="AS98" s="19"/>
      <c r="AT98" s="19"/>
      <c r="AU98" s="19"/>
      <c r="AV98" s="19"/>
      <c r="AW98" s="19"/>
      <c r="AX98" s="19"/>
      <c r="AY98" s="19"/>
      <c r="AZ98" s="19"/>
      <c r="BA98" s="19"/>
      <c r="BB98" s="19"/>
      <c r="BC98" s="19"/>
      <c r="BD98" s="19"/>
      <c r="BE98" s="19"/>
      <c r="BF98" s="19"/>
      <c r="BG98" s="19"/>
      <c r="BH98" s="4"/>
      <c r="BI98" s="4">
        <f t="shared" si="6"/>
        <v>0</v>
      </c>
      <c r="BJ98" s="4">
        <f t="shared" si="7"/>
        <v>0</v>
      </c>
      <c r="BK98" s="4"/>
      <c r="BL98" s="3">
        <v>8</v>
      </c>
    </row>
    <row r="99" spans="1:64">
      <c r="A99" s="1">
        <v>9</v>
      </c>
      <c r="B99" s="4">
        <f t="shared" si="5"/>
        <v>0</v>
      </c>
      <c r="C99" s="19"/>
      <c r="D99" s="101"/>
      <c r="E99" s="19"/>
      <c r="F99" s="19"/>
      <c r="G99" s="101"/>
      <c r="H99" s="101"/>
      <c r="I99" s="19"/>
      <c r="J99" s="19"/>
      <c r="K99" s="19"/>
      <c r="L99" s="19"/>
      <c r="M99" s="19"/>
      <c r="N99" s="19"/>
      <c r="O99" s="19"/>
      <c r="P99" s="19"/>
      <c r="Q99" s="19"/>
      <c r="R99" s="19"/>
      <c r="S99" s="19"/>
      <c r="T99" s="19"/>
      <c r="U99" s="19"/>
      <c r="V99" s="19"/>
      <c r="W99" s="19"/>
      <c r="X99" s="19"/>
      <c r="Y99" s="19"/>
      <c r="Z99" s="102"/>
      <c r="AA99" s="102"/>
      <c r="AB99" s="19"/>
      <c r="AC99" s="19"/>
      <c r="AD99" s="102"/>
      <c r="AE99" s="102"/>
      <c r="AF99" s="102"/>
      <c r="AG99" s="102"/>
      <c r="AH99" s="102"/>
      <c r="AI99" s="102"/>
      <c r="AJ99" s="102"/>
      <c r="AK99" s="102"/>
      <c r="AL99" s="102"/>
      <c r="AM99" s="102"/>
      <c r="AN99" s="102"/>
      <c r="AO99" s="102"/>
      <c r="AP99" s="102"/>
      <c r="AQ99" s="102"/>
      <c r="AR99" s="19"/>
      <c r="AS99" s="19"/>
      <c r="AT99" s="19"/>
      <c r="AU99" s="19"/>
      <c r="AV99" s="19"/>
      <c r="AW99" s="19"/>
      <c r="AX99" s="19"/>
      <c r="AY99" s="19"/>
      <c r="AZ99" s="19"/>
      <c r="BA99" s="19"/>
      <c r="BB99" s="19"/>
      <c r="BC99" s="19"/>
      <c r="BD99" s="19"/>
      <c r="BE99" s="19"/>
      <c r="BF99" s="19"/>
      <c r="BG99" s="19"/>
      <c r="BH99" s="4"/>
      <c r="BI99" s="4">
        <f t="shared" si="6"/>
        <v>0</v>
      </c>
      <c r="BJ99" s="4">
        <f t="shared" si="7"/>
        <v>0</v>
      </c>
      <c r="BK99" s="4"/>
      <c r="BL99" s="3">
        <v>9</v>
      </c>
    </row>
    <row r="100" spans="1:64">
      <c r="A100" s="1">
        <v>10</v>
      </c>
      <c r="B100" s="4">
        <f t="shared" si="5"/>
        <v>0</v>
      </c>
      <c r="C100" s="19"/>
      <c r="D100" s="101"/>
      <c r="E100" s="19"/>
      <c r="F100" s="19"/>
      <c r="G100" s="101"/>
      <c r="H100" s="101"/>
      <c r="I100" s="19"/>
      <c r="J100" s="19"/>
      <c r="K100" s="19"/>
      <c r="L100" s="19"/>
      <c r="M100" s="19"/>
      <c r="N100" s="19"/>
      <c r="O100" s="19"/>
      <c r="P100" s="19"/>
      <c r="Q100" s="19"/>
      <c r="R100" s="19"/>
      <c r="S100" s="19"/>
      <c r="T100" s="19"/>
      <c r="U100" s="19"/>
      <c r="V100" s="19"/>
      <c r="W100" s="19"/>
      <c r="X100" s="19"/>
      <c r="Y100" s="19"/>
      <c r="Z100" s="102"/>
      <c r="AA100" s="102"/>
      <c r="AB100" s="19"/>
      <c r="AC100" s="19"/>
      <c r="AD100" s="102"/>
      <c r="AE100" s="102"/>
      <c r="AF100" s="102"/>
      <c r="AG100" s="102"/>
      <c r="AH100" s="102"/>
      <c r="AI100" s="102"/>
      <c r="AJ100" s="102"/>
      <c r="AK100" s="102"/>
      <c r="AL100" s="102"/>
      <c r="AM100" s="102"/>
      <c r="AN100" s="102"/>
      <c r="AO100" s="102"/>
      <c r="AP100" s="102"/>
      <c r="AQ100" s="102"/>
      <c r="AR100" s="19"/>
      <c r="AS100" s="19"/>
      <c r="AT100" s="19"/>
      <c r="AU100" s="19"/>
      <c r="AV100" s="19"/>
      <c r="AW100" s="19"/>
      <c r="AX100" s="19"/>
      <c r="AY100" s="19"/>
      <c r="AZ100" s="19"/>
      <c r="BA100" s="19"/>
      <c r="BB100" s="19"/>
      <c r="BC100" s="19"/>
      <c r="BD100" s="19"/>
      <c r="BE100" s="19"/>
      <c r="BF100" s="19"/>
      <c r="BG100" s="19"/>
      <c r="BH100" s="4"/>
      <c r="BI100" s="4">
        <f t="shared" si="6"/>
        <v>0</v>
      </c>
      <c r="BJ100" s="4">
        <f t="shared" si="7"/>
        <v>0</v>
      </c>
      <c r="BK100" s="4"/>
      <c r="BL100" s="3">
        <v>10</v>
      </c>
    </row>
    <row r="101" spans="1:64">
      <c r="A101" s="1">
        <v>11</v>
      </c>
      <c r="B101" s="4">
        <f t="shared" si="5"/>
        <v>0</v>
      </c>
      <c r="C101" s="19"/>
      <c r="D101" s="101"/>
      <c r="E101" s="19"/>
      <c r="F101" s="19"/>
      <c r="G101" s="101"/>
      <c r="H101" s="101"/>
      <c r="I101" s="19"/>
      <c r="J101" s="19"/>
      <c r="K101" s="19"/>
      <c r="L101" s="19"/>
      <c r="M101" s="19"/>
      <c r="N101" s="19"/>
      <c r="O101" s="19"/>
      <c r="P101" s="19"/>
      <c r="Q101" s="19"/>
      <c r="R101" s="19"/>
      <c r="S101" s="19"/>
      <c r="T101" s="19"/>
      <c r="U101" s="19"/>
      <c r="V101" s="19"/>
      <c r="W101" s="19"/>
      <c r="X101" s="19"/>
      <c r="Y101" s="19"/>
      <c r="Z101" s="102"/>
      <c r="AA101" s="102"/>
      <c r="AB101" s="19"/>
      <c r="AC101" s="19"/>
      <c r="AD101" s="102"/>
      <c r="AE101" s="102"/>
      <c r="AF101" s="102"/>
      <c r="AG101" s="102"/>
      <c r="AH101" s="102"/>
      <c r="AI101" s="102"/>
      <c r="AJ101" s="102"/>
      <c r="AK101" s="102"/>
      <c r="AL101" s="102"/>
      <c r="AM101" s="102"/>
      <c r="AN101" s="102"/>
      <c r="AO101" s="102"/>
      <c r="AP101" s="102"/>
      <c r="AQ101" s="102"/>
      <c r="AR101" s="19"/>
      <c r="AS101" s="19"/>
      <c r="AT101" s="19"/>
      <c r="AU101" s="19"/>
      <c r="AV101" s="19"/>
      <c r="AW101" s="19"/>
      <c r="AX101" s="19"/>
      <c r="AY101" s="19"/>
      <c r="AZ101" s="19"/>
      <c r="BA101" s="19"/>
      <c r="BB101" s="19"/>
      <c r="BC101" s="19"/>
      <c r="BD101" s="19"/>
      <c r="BE101" s="19"/>
      <c r="BF101" s="19"/>
      <c r="BG101" s="19"/>
      <c r="BH101" s="4"/>
      <c r="BI101" s="4">
        <f t="shared" si="6"/>
        <v>0</v>
      </c>
      <c r="BJ101" s="4">
        <f t="shared" si="7"/>
        <v>0</v>
      </c>
      <c r="BK101" s="4"/>
      <c r="BL101" s="3">
        <v>11</v>
      </c>
    </row>
    <row r="102" spans="1:64">
      <c r="A102" s="1">
        <v>12</v>
      </c>
      <c r="B102" s="4">
        <f t="shared" si="5"/>
        <v>0</v>
      </c>
      <c r="C102" s="19"/>
      <c r="D102" s="101"/>
      <c r="E102" s="19"/>
      <c r="F102" s="19"/>
      <c r="G102" s="101"/>
      <c r="H102" s="101"/>
      <c r="I102" s="19"/>
      <c r="J102" s="19"/>
      <c r="K102" s="19"/>
      <c r="L102" s="19"/>
      <c r="M102" s="19"/>
      <c r="N102" s="19"/>
      <c r="O102" s="19"/>
      <c r="P102" s="19"/>
      <c r="Q102" s="19"/>
      <c r="R102" s="19"/>
      <c r="S102" s="19"/>
      <c r="T102" s="19"/>
      <c r="U102" s="19"/>
      <c r="V102" s="19"/>
      <c r="W102" s="19"/>
      <c r="X102" s="19"/>
      <c r="Y102" s="19"/>
      <c r="Z102" s="102"/>
      <c r="AA102" s="102"/>
      <c r="AB102" s="19"/>
      <c r="AC102" s="19"/>
      <c r="AD102" s="102"/>
      <c r="AE102" s="102"/>
      <c r="AF102" s="102"/>
      <c r="AG102" s="102"/>
      <c r="AH102" s="102"/>
      <c r="AI102" s="102"/>
      <c r="AJ102" s="102"/>
      <c r="AK102" s="102"/>
      <c r="AL102" s="102"/>
      <c r="AM102" s="102"/>
      <c r="AN102" s="102"/>
      <c r="AO102" s="102"/>
      <c r="AP102" s="102"/>
      <c r="AQ102" s="102"/>
      <c r="AR102" s="19"/>
      <c r="AS102" s="19"/>
      <c r="AT102" s="19"/>
      <c r="AU102" s="19"/>
      <c r="AV102" s="19"/>
      <c r="AW102" s="19"/>
      <c r="AX102" s="19"/>
      <c r="AY102" s="19"/>
      <c r="AZ102" s="19"/>
      <c r="BA102" s="19"/>
      <c r="BB102" s="19"/>
      <c r="BC102" s="19"/>
      <c r="BD102" s="19"/>
      <c r="BE102" s="19"/>
      <c r="BF102" s="19"/>
      <c r="BG102" s="19"/>
      <c r="BH102" s="4"/>
      <c r="BI102" s="4">
        <f t="shared" si="6"/>
        <v>0</v>
      </c>
      <c r="BJ102" s="4">
        <f t="shared" si="7"/>
        <v>0</v>
      </c>
      <c r="BK102" s="4"/>
      <c r="BL102" s="3">
        <v>12</v>
      </c>
    </row>
    <row r="103" spans="1:64">
      <c r="A103" s="1">
        <v>13</v>
      </c>
      <c r="B103" s="4">
        <f t="shared" si="5"/>
        <v>0</v>
      </c>
      <c r="C103" s="19"/>
      <c r="D103" s="101"/>
      <c r="E103" s="19"/>
      <c r="F103" s="19"/>
      <c r="G103" s="101"/>
      <c r="H103" s="101"/>
      <c r="I103" s="19"/>
      <c r="J103" s="19"/>
      <c r="K103" s="19"/>
      <c r="L103" s="19"/>
      <c r="M103" s="19"/>
      <c r="N103" s="19"/>
      <c r="O103" s="19"/>
      <c r="P103" s="19"/>
      <c r="Q103" s="19"/>
      <c r="R103" s="19"/>
      <c r="S103" s="19"/>
      <c r="T103" s="19"/>
      <c r="U103" s="19"/>
      <c r="V103" s="19"/>
      <c r="W103" s="19"/>
      <c r="X103" s="19"/>
      <c r="Y103" s="19"/>
      <c r="Z103" s="102"/>
      <c r="AA103" s="102"/>
      <c r="AB103" s="19"/>
      <c r="AC103" s="19"/>
      <c r="AD103" s="102"/>
      <c r="AE103" s="102"/>
      <c r="AF103" s="102"/>
      <c r="AG103" s="102"/>
      <c r="AH103" s="102"/>
      <c r="AI103" s="102"/>
      <c r="AJ103" s="102"/>
      <c r="AK103" s="102"/>
      <c r="AL103" s="102"/>
      <c r="AM103" s="102"/>
      <c r="AN103" s="102"/>
      <c r="AO103" s="102"/>
      <c r="AP103" s="102"/>
      <c r="AQ103" s="102"/>
      <c r="AR103" s="19"/>
      <c r="AS103" s="19"/>
      <c r="AT103" s="19"/>
      <c r="AU103" s="19"/>
      <c r="AV103" s="19"/>
      <c r="AW103" s="19"/>
      <c r="AX103" s="19"/>
      <c r="AY103" s="19"/>
      <c r="AZ103" s="19"/>
      <c r="BA103" s="19"/>
      <c r="BB103" s="19"/>
      <c r="BC103" s="19"/>
      <c r="BD103" s="19"/>
      <c r="BE103" s="19"/>
      <c r="BF103" s="19"/>
      <c r="BG103" s="19"/>
      <c r="BH103" s="4"/>
      <c r="BI103" s="4">
        <f t="shared" si="6"/>
        <v>0</v>
      </c>
      <c r="BJ103" s="4">
        <f t="shared" si="7"/>
        <v>0</v>
      </c>
      <c r="BK103" s="4"/>
      <c r="BL103" s="3">
        <v>13</v>
      </c>
    </row>
    <row r="104" spans="1:64">
      <c r="A104" s="1">
        <v>14</v>
      </c>
      <c r="B104" s="4">
        <f t="shared" si="5"/>
        <v>0</v>
      </c>
      <c r="C104" s="19"/>
      <c r="D104" s="101"/>
      <c r="E104" s="19"/>
      <c r="F104" s="19"/>
      <c r="G104" s="101"/>
      <c r="H104" s="101"/>
      <c r="I104" s="19"/>
      <c r="J104" s="19"/>
      <c r="K104" s="19"/>
      <c r="L104" s="19"/>
      <c r="M104" s="19"/>
      <c r="N104" s="19"/>
      <c r="O104" s="19"/>
      <c r="P104" s="19"/>
      <c r="Q104" s="19"/>
      <c r="R104" s="19"/>
      <c r="S104" s="19"/>
      <c r="T104" s="19"/>
      <c r="U104" s="19"/>
      <c r="V104" s="19"/>
      <c r="W104" s="19"/>
      <c r="X104" s="19"/>
      <c r="Y104" s="19"/>
      <c r="Z104" s="102"/>
      <c r="AA104" s="102"/>
      <c r="AB104" s="19"/>
      <c r="AC104" s="19"/>
      <c r="AD104" s="102"/>
      <c r="AE104" s="102"/>
      <c r="AF104" s="102"/>
      <c r="AG104" s="102"/>
      <c r="AH104" s="102"/>
      <c r="AI104" s="102"/>
      <c r="AJ104" s="102"/>
      <c r="AK104" s="102"/>
      <c r="AL104" s="102"/>
      <c r="AM104" s="102"/>
      <c r="AN104" s="102"/>
      <c r="AO104" s="102"/>
      <c r="AP104" s="102"/>
      <c r="AQ104" s="102"/>
      <c r="AR104" s="19"/>
      <c r="AS104" s="19"/>
      <c r="AT104" s="19"/>
      <c r="AU104" s="19"/>
      <c r="AV104" s="19"/>
      <c r="AW104" s="19"/>
      <c r="AX104" s="19"/>
      <c r="AY104" s="19"/>
      <c r="AZ104" s="19"/>
      <c r="BA104" s="19"/>
      <c r="BB104" s="19"/>
      <c r="BC104" s="19"/>
      <c r="BD104" s="19"/>
      <c r="BE104" s="19"/>
      <c r="BF104" s="19"/>
      <c r="BG104" s="19"/>
      <c r="BH104" s="4"/>
      <c r="BI104" s="4">
        <f t="shared" si="6"/>
        <v>0</v>
      </c>
      <c r="BJ104" s="4">
        <f t="shared" si="7"/>
        <v>0</v>
      </c>
      <c r="BK104" s="4"/>
      <c r="BL104" s="3">
        <v>14</v>
      </c>
    </row>
    <row r="105" spans="1:64">
      <c r="A105" s="1">
        <v>15</v>
      </c>
      <c r="B105" s="4">
        <f t="shared" si="5"/>
        <v>0</v>
      </c>
      <c r="C105" s="19"/>
      <c r="D105" s="101"/>
      <c r="E105" s="19"/>
      <c r="F105" s="19"/>
      <c r="G105" s="101"/>
      <c r="H105" s="101"/>
      <c r="I105" s="19"/>
      <c r="J105" s="19"/>
      <c r="K105" s="19"/>
      <c r="L105" s="19"/>
      <c r="M105" s="19"/>
      <c r="N105" s="19"/>
      <c r="O105" s="19"/>
      <c r="P105" s="19"/>
      <c r="Q105" s="19"/>
      <c r="R105" s="19"/>
      <c r="S105" s="19"/>
      <c r="T105" s="19"/>
      <c r="U105" s="19"/>
      <c r="V105" s="19"/>
      <c r="W105" s="19"/>
      <c r="X105" s="19"/>
      <c r="Y105" s="19"/>
      <c r="Z105" s="102"/>
      <c r="AA105" s="102"/>
      <c r="AB105" s="19"/>
      <c r="AC105" s="19"/>
      <c r="AD105" s="102"/>
      <c r="AE105" s="102"/>
      <c r="AF105" s="102"/>
      <c r="AG105" s="102"/>
      <c r="AH105" s="102"/>
      <c r="AI105" s="102"/>
      <c r="AJ105" s="102"/>
      <c r="AK105" s="102"/>
      <c r="AL105" s="102"/>
      <c r="AM105" s="102"/>
      <c r="AN105" s="102"/>
      <c r="AO105" s="102"/>
      <c r="AP105" s="102"/>
      <c r="AQ105" s="102"/>
      <c r="AR105" s="19"/>
      <c r="AS105" s="19"/>
      <c r="AT105" s="19"/>
      <c r="AU105" s="19"/>
      <c r="AV105" s="19"/>
      <c r="AW105" s="19"/>
      <c r="AX105" s="19"/>
      <c r="AY105" s="19"/>
      <c r="AZ105" s="19"/>
      <c r="BA105" s="19"/>
      <c r="BB105" s="19"/>
      <c r="BC105" s="19"/>
      <c r="BD105" s="19"/>
      <c r="BE105" s="19"/>
      <c r="BF105" s="19"/>
      <c r="BG105" s="19"/>
      <c r="BH105" s="4"/>
      <c r="BI105" s="4">
        <f t="shared" si="6"/>
        <v>0</v>
      </c>
      <c r="BJ105" s="4">
        <f t="shared" si="7"/>
        <v>0</v>
      </c>
      <c r="BK105" s="4"/>
      <c r="BL105" s="3">
        <v>15</v>
      </c>
    </row>
    <row r="106" spans="1:64">
      <c r="A106" s="1">
        <v>16</v>
      </c>
      <c r="B106" s="4">
        <f t="shared" si="5"/>
        <v>0</v>
      </c>
      <c r="C106" s="19"/>
      <c r="D106" s="101"/>
      <c r="E106" s="19"/>
      <c r="F106" s="19"/>
      <c r="G106" s="101"/>
      <c r="H106" s="101"/>
      <c r="I106" s="19"/>
      <c r="J106" s="19"/>
      <c r="K106" s="19"/>
      <c r="L106" s="19"/>
      <c r="M106" s="19"/>
      <c r="N106" s="19"/>
      <c r="O106" s="19"/>
      <c r="P106" s="19"/>
      <c r="Q106" s="19"/>
      <c r="R106" s="19"/>
      <c r="S106" s="19"/>
      <c r="T106" s="19"/>
      <c r="U106" s="19"/>
      <c r="V106" s="19"/>
      <c r="W106" s="19"/>
      <c r="X106" s="19"/>
      <c r="Y106" s="19"/>
      <c r="Z106" s="102"/>
      <c r="AA106" s="102"/>
      <c r="AB106" s="19"/>
      <c r="AC106" s="19"/>
      <c r="AD106" s="102"/>
      <c r="AE106" s="102"/>
      <c r="AF106" s="102"/>
      <c r="AG106" s="102"/>
      <c r="AH106" s="102"/>
      <c r="AI106" s="102"/>
      <c r="AJ106" s="102"/>
      <c r="AK106" s="102"/>
      <c r="AL106" s="102"/>
      <c r="AM106" s="102"/>
      <c r="AN106" s="102"/>
      <c r="AO106" s="102"/>
      <c r="AP106" s="102"/>
      <c r="AQ106" s="102"/>
      <c r="AR106" s="19"/>
      <c r="AS106" s="19"/>
      <c r="AT106" s="19"/>
      <c r="AU106" s="19"/>
      <c r="AV106" s="19"/>
      <c r="AW106" s="19"/>
      <c r="AX106" s="19"/>
      <c r="AY106" s="19"/>
      <c r="AZ106" s="19"/>
      <c r="BA106" s="19"/>
      <c r="BB106" s="19"/>
      <c r="BC106" s="19"/>
      <c r="BD106" s="19"/>
      <c r="BE106" s="19"/>
      <c r="BF106" s="19"/>
      <c r="BG106" s="19"/>
      <c r="BH106" s="4"/>
      <c r="BI106" s="4">
        <f t="shared" si="6"/>
        <v>0</v>
      </c>
      <c r="BJ106" s="4">
        <f t="shared" si="7"/>
        <v>0</v>
      </c>
      <c r="BK106" s="4"/>
      <c r="BL106" s="3">
        <v>16</v>
      </c>
    </row>
    <row r="107" spans="1:64">
      <c r="A107" s="1">
        <v>17</v>
      </c>
      <c r="B107" s="4">
        <f t="shared" si="5"/>
        <v>0</v>
      </c>
      <c r="C107" s="19"/>
      <c r="D107" s="101"/>
      <c r="E107" s="19"/>
      <c r="F107" s="19"/>
      <c r="G107" s="101"/>
      <c r="H107" s="101"/>
      <c r="I107" s="19"/>
      <c r="J107" s="19"/>
      <c r="K107" s="19"/>
      <c r="L107" s="19"/>
      <c r="M107" s="19"/>
      <c r="N107" s="19"/>
      <c r="O107" s="19"/>
      <c r="P107" s="19"/>
      <c r="Q107" s="19"/>
      <c r="R107" s="19"/>
      <c r="S107" s="19"/>
      <c r="T107" s="19"/>
      <c r="U107" s="19"/>
      <c r="V107" s="19"/>
      <c r="W107" s="19"/>
      <c r="X107" s="19"/>
      <c r="Y107" s="19"/>
      <c r="Z107" s="102"/>
      <c r="AA107" s="102"/>
      <c r="AB107" s="19"/>
      <c r="AC107" s="19"/>
      <c r="AD107" s="102"/>
      <c r="AE107" s="102"/>
      <c r="AF107" s="102"/>
      <c r="AG107" s="102"/>
      <c r="AH107" s="102"/>
      <c r="AI107" s="102"/>
      <c r="AJ107" s="102"/>
      <c r="AK107" s="102"/>
      <c r="AL107" s="102"/>
      <c r="AM107" s="102"/>
      <c r="AN107" s="102"/>
      <c r="AO107" s="102"/>
      <c r="AP107" s="102"/>
      <c r="AQ107" s="102"/>
      <c r="AR107" s="19"/>
      <c r="AS107" s="19"/>
      <c r="AT107" s="19"/>
      <c r="AU107" s="19"/>
      <c r="AV107" s="19"/>
      <c r="AW107" s="19"/>
      <c r="AX107" s="19"/>
      <c r="AY107" s="19"/>
      <c r="AZ107" s="19"/>
      <c r="BA107" s="19"/>
      <c r="BB107" s="19"/>
      <c r="BC107" s="19"/>
      <c r="BD107" s="19"/>
      <c r="BE107" s="19"/>
      <c r="BF107" s="19"/>
      <c r="BG107" s="19"/>
      <c r="BH107" s="4"/>
      <c r="BI107" s="4">
        <f t="shared" si="6"/>
        <v>0</v>
      </c>
      <c r="BJ107" s="4">
        <f t="shared" si="7"/>
        <v>0</v>
      </c>
      <c r="BK107" s="4"/>
      <c r="BL107" s="3">
        <v>17</v>
      </c>
    </row>
    <row r="108" spans="1:64">
      <c r="A108" s="1">
        <v>18</v>
      </c>
      <c r="B108" s="4">
        <f t="shared" si="5"/>
        <v>0</v>
      </c>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4"/>
      <c r="BI108" s="4">
        <f t="shared" si="6"/>
        <v>0</v>
      </c>
      <c r="BJ108" s="4">
        <f t="shared" si="7"/>
        <v>0</v>
      </c>
      <c r="BK108" s="4"/>
      <c r="BL108" s="3">
        <v>18</v>
      </c>
    </row>
    <row r="109" spans="1:64">
      <c r="A109" s="1">
        <v>19</v>
      </c>
      <c r="B109" s="4">
        <f t="shared" si="5"/>
        <v>0</v>
      </c>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4"/>
      <c r="BI109" s="4">
        <f t="shared" si="6"/>
        <v>0</v>
      </c>
      <c r="BJ109" s="4">
        <f t="shared" si="7"/>
        <v>0</v>
      </c>
      <c r="BK109" s="4"/>
      <c r="BL109" s="3">
        <v>19</v>
      </c>
    </row>
    <row r="110" spans="1:64">
      <c r="A110" s="1">
        <v>20</v>
      </c>
      <c r="B110" s="4">
        <f t="shared" si="5"/>
        <v>0</v>
      </c>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4"/>
      <c r="BI110" s="4">
        <f t="shared" si="6"/>
        <v>0</v>
      </c>
      <c r="BJ110" s="4">
        <f t="shared" si="7"/>
        <v>0</v>
      </c>
      <c r="BK110" s="4"/>
      <c r="BL110" s="3">
        <v>20</v>
      </c>
    </row>
    <row r="111" spans="1:64">
      <c r="A111" s="1">
        <v>21</v>
      </c>
      <c r="B111" s="4">
        <f t="shared" si="5"/>
        <v>0</v>
      </c>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4"/>
      <c r="BI111" s="4">
        <f t="shared" si="6"/>
        <v>0</v>
      </c>
      <c r="BJ111" s="4">
        <f t="shared" si="7"/>
        <v>0</v>
      </c>
      <c r="BK111" s="4"/>
      <c r="BL111" s="3">
        <v>21</v>
      </c>
    </row>
    <row r="112" spans="1:64">
      <c r="A112" s="1">
        <v>22</v>
      </c>
      <c r="B112" s="4">
        <f t="shared" si="5"/>
        <v>0</v>
      </c>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4"/>
      <c r="BI112" s="4">
        <f t="shared" si="6"/>
        <v>0</v>
      </c>
      <c r="BJ112" s="4">
        <f t="shared" si="7"/>
        <v>0</v>
      </c>
      <c r="BK112" s="4"/>
      <c r="BL112" s="3">
        <v>22</v>
      </c>
    </row>
    <row r="113" spans="1:64">
      <c r="A113" s="1">
        <v>23</v>
      </c>
      <c r="B113" s="4">
        <f t="shared" si="5"/>
        <v>0</v>
      </c>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4"/>
      <c r="BI113" s="4">
        <f t="shared" si="6"/>
        <v>0</v>
      </c>
      <c r="BJ113" s="4">
        <f t="shared" si="7"/>
        <v>0</v>
      </c>
      <c r="BK113" s="4"/>
      <c r="BL113" s="3">
        <v>23</v>
      </c>
    </row>
    <row r="114" spans="1:64">
      <c r="A114" s="1">
        <v>24</v>
      </c>
      <c r="B114" s="4">
        <f t="shared" si="5"/>
        <v>0</v>
      </c>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4"/>
      <c r="BI114" s="4">
        <f t="shared" si="6"/>
        <v>0</v>
      </c>
      <c r="BJ114" s="4">
        <f t="shared" si="7"/>
        <v>0</v>
      </c>
      <c r="BK114" s="4"/>
      <c r="BL114" s="3">
        <v>24</v>
      </c>
    </row>
    <row r="115" spans="1:64">
      <c r="A115" s="1">
        <v>25</v>
      </c>
      <c r="B115" s="4">
        <f t="shared" si="5"/>
        <v>0</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4"/>
      <c r="BI115" s="4">
        <f t="shared" si="6"/>
        <v>0</v>
      </c>
      <c r="BJ115" s="4">
        <f t="shared" si="7"/>
        <v>0</v>
      </c>
      <c r="BK115" s="4"/>
      <c r="BL115" s="3">
        <v>25</v>
      </c>
    </row>
    <row r="116" spans="1:64">
      <c r="A116" s="1">
        <v>26</v>
      </c>
      <c r="B116" s="4">
        <f t="shared" si="5"/>
        <v>0</v>
      </c>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4"/>
      <c r="BI116" s="4">
        <f t="shared" si="6"/>
        <v>0</v>
      </c>
      <c r="BJ116" s="4">
        <f t="shared" si="7"/>
        <v>0</v>
      </c>
      <c r="BK116" s="4"/>
      <c r="BL116" s="3">
        <v>26</v>
      </c>
    </row>
    <row r="117" spans="1:64">
      <c r="A117" s="1">
        <v>27</v>
      </c>
      <c r="B117" s="4">
        <f t="shared" si="5"/>
        <v>0</v>
      </c>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4"/>
      <c r="BI117" s="4">
        <f t="shared" si="6"/>
        <v>0</v>
      </c>
      <c r="BJ117" s="4">
        <f t="shared" si="7"/>
        <v>0</v>
      </c>
      <c r="BK117" s="4"/>
      <c r="BL117" s="3">
        <v>27</v>
      </c>
    </row>
    <row r="118" spans="1:64">
      <c r="A118" s="1">
        <v>28</v>
      </c>
      <c r="B118" s="4">
        <f t="shared" si="5"/>
        <v>0</v>
      </c>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4"/>
      <c r="BI118" s="4">
        <f t="shared" si="6"/>
        <v>0</v>
      </c>
      <c r="BJ118" s="4">
        <f t="shared" si="7"/>
        <v>0</v>
      </c>
      <c r="BK118" s="4"/>
      <c r="BL118" s="3">
        <v>28</v>
      </c>
    </row>
    <row r="119" spans="1:64">
      <c r="A119" s="1">
        <v>29</v>
      </c>
      <c r="B119" s="4">
        <f t="shared" si="5"/>
        <v>0</v>
      </c>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4"/>
      <c r="BI119" s="4">
        <f t="shared" si="6"/>
        <v>0</v>
      </c>
      <c r="BJ119" s="4">
        <f t="shared" si="7"/>
        <v>0</v>
      </c>
      <c r="BK119" s="4"/>
      <c r="BL119" s="3">
        <v>29</v>
      </c>
    </row>
    <row r="120" spans="1:64">
      <c r="A120" s="1">
        <v>30</v>
      </c>
      <c r="B120" s="4">
        <f t="shared" si="5"/>
        <v>0</v>
      </c>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4"/>
      <c r="BI120" s="4">
        <f t="shared" si="6"/>
        <v>0</v>
      </c>
      <c r="BJ120" s="4">
        <f t="shared" si="7"/>
        <v>0</v>
      </c>
      <c r="BK120" s="4"/>
      <c r="BL120" s="3">
        <v>30</v>
      </c>
    </row>
    <row r="121" spans="1:64">
      <c r="A121" s="1">
        <v>31</v>
      </c>
      <c r="B121" s="4">
        <f t="shared" si="5"/>
        <v>0</v>
      </c>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4"/>
      <c r="BI121" s="4">
        <f t="shared" si="6"/>
        <v>0</v>
      </c>
      <c r="BJ121" s="4">
        <f t="shared" si="7"/>
        <v>0</v>
      </c>
      <c r="BK121" s="4"/>
      <c r="BL121" s="3">
        <v>31</v>
      </c>
    </row>
    <row r="122" spans="1:64">
      <c r="A122" s="1">
        <v>32</v>
      </c>
      <c r="B122" s="4">
        <f t="shared" si="5"/>
        <v>0</v>
      </c>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4"/>
      <c r="BI122" s="4">
        <f t="shared" si="6"/>
        <v>0</v>
      </c>
      <c r="BJ122" s="4">
        <f t="shared" si="7"/>
        <v>0</v>
      </c>
      <c r="BK122" s="4"/>
      <c r="BL122" s="3">
        <v>32</v>
      </c>
    </row>
    <row r="123" spans="1:64">
      <c r="A123" s="1">
        <v>33</v>
      </c>
      <c r="B123" s="4">
        <f t="shared" si="5"/>
        <v>0</v>
      </c>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4"/>
      <c r="BI123" s="4">
        <f t="shared" si="6"/>
        <v>0</v>
      </c>
      <c r="BJ123" s="4">
        <f t="shared" si="7"/>
        <v>0</v>
      </c>
      <c r="BK123" s="4"/>
      <c r="BL123" s="3">
        <v>33</v>
      </c>
    </row>
    <row r="124" spans="1:64">
      <c r="A124" s="1">
        <v>34</v>
      </c>
      <c r="B124" s="4">
        <f t="shared" si="5"/>
        <v>0</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4"/>
      <c r="BI124" s="4">
        <f t="shared" si="6"/>
        <v>0</v>
      </c>
      <c r="BJ124" s="4">
        <f t="shared" si="7"/>
        <v>0</v>
      </c>
      <c r="BK124" s="4"/>
      <c r="BL124" s="3">
        <v>34</v>
      </c>
    </row>
    <row r="125" spans="1:64">
      <c r="A125" s="1">
        <v>35</v>
      </c>
      <c r="B125" s="4">
        <f t="shared" si="5"/>
        <v>0</v>
      </c>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4"/>
      <c r="BI125" s="4">
        <f t="shared" si="6"/>
        <v>0</v>
      </c>
      <c r="BJ125" s="4">
        <f t="shared" si="7"/>
        <v>0</v>
      </c>
      <c r="BK125" s="4"/>
      <c r="BL125" s="3">
        <v>35</v>
      </c>
    </row>
    <row r="126" spans="1:64">
      <c r="A126" s="1">
        <v>36</v>
      </c>
      <c r="B126" s="4">
        <f t="shared" si="5"/>
        <v>0</v>
      </c>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4"/>
      <c r="BI126" s="4">
        <f t="shared" si="6"/>
        <v>0</v>
      </c>
      <c r="BJ126" s="4">
        <f t="shared" si="7"/>
        <v>0</v>
      </c>
      <c r="BK126" s="4"/>
      <c r="BL126" s="3">
        <v>36</v>
      </c>
    </row>
    <row r="127" spans="1:64">
      <c r="A127" s="1">
        <v>37</v>
      </c>
      <c r="B127" s="4">
        <f t="shared" si="5"/>
        <v>0</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4"/>
      <c r="BI127" s="4">
        <f t="shared" si="6"/>
        <v>0</v>
      </c>
      <c r="BJ127" s="4">
        <f t="shared" si="7"/>
        <v>0</v>
      </c>
      <c r="BK127" s="4"/>
      <c r="BL127" s="3">
        <v>37</v>
      </c>
    </row>
    <row r="128" spans="1:64">
      <c r="A128" s="1">
        <v>38</v>
      </c>
      <c r="B128" s="4"/>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4"/>
      <c r="BI128" s="4">
        <f t="shared" si="6"/>
        <v>0</v>
      </c>
      <c r="BJ128" s="4">
        <f t="shared" si="7"/>
        <v>0</v>
      </c>
      <c r="BK128" s="4"/>
      <c r="BL128" s="3">
        <v>38</v>
      </c>
    </row>
    <row r="138" spans="1:64" ht="13.5" customHeight="1"/>
    <row r="139" spans="1:64" ht="14.4" customHeight="1">
      <c r="A139" s="87"/>
      <c r="B139" s="86"/>
      <c r="BI139" s="239"/>
      <c r="BJ139" s="186"/>
      <c r="BK139" s="79"/>
      <c r="BL139" s="79"/>
    </row>
    <row r="140" spans="1:64" ht="21.75" customHeight="1">
      <c r="A140" s="87"/>
      <c r="B140" s="86"/>
      <c r="BI140" s="85"/>
      <c r="BJ140" s="85"/>
      <c r="BK140" s="79"/>
      <c r="BL140" s="79"/>
    </row>
  </sheetData>
  <mergeCells count="16">
    <mergeCell ref="BK1:BL2"/>
    <mergeCell ref="B89:B90"/>
    <mergeCell ref="C1:BH1"/>
    <mergeCell ref="BI89:BJ89"/>
    <mergeCell ref="BI44:BJ44"/>
    <mergeCell ref="B44:B45"/>
    <mergeCell ref="C89:BH89"/>
    <mergeCell ref="C44:BH44"/>
    <mergeCell ref="BK89:BK90"/>
    <mergeCell ref="BK44:BK45"/>
    <mergeCell ref="BI139:BJ139"/>
    <mergeCell ref="BI1:BJ1"/>
    <mergeCell ref="B1:B2"/>
    <mergeCell ref="A89:A90"/>
    <mergeCell ref="A44:A45"/>
    <mergeCell ref="A1:A2"/>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&amp;U_______7°_______&amp;U                    NOMBRE DEL PROF./A CONSEJERO/A: _&amp;U_________________&amp;U__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28">
    <tabColor rgb="FF9966CC"/>
  </sheetPr>
  <dimension ref="A1:BL140"/>
  <sheetViews>
    <sheetView view="pageLayout" zoomScale="70" zoomScaleNormal="100" zoomScalePageLayoutView="70" workbookViewId="0">
      <selection activeCell="O10" sqref="O10"/>
    </sheetView>
  </sheetViews>
  <sheetFormatPr baseColWidth="10" defaultRowHeight="14.4"/>
  <cols>
    <col min="1" max="1" width="3.44140625" customWidth="1"/>
    <col min="2" max="2" width="28.6640625" customWidth="1"/>
    <col min="3" max="36" width="2" style="20" customWidth="1"/>
    <col min="37" max="37" width="2.33203125" style="20" customWidth="1"/>
    <col min="38" max="59" width="2" style="20"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52"/>
      <c r="B1" s="242" t="s">
        <v>77</v>
      </c>
      <c r="C1" s="250" t="s">
        <v>78</v>
      </c>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c r="AF1" s="251"/>
      <c r="AG1" s="251"/>
      <c r="AH1" s="251"/>
      <c r="AI1" s="251"/>
      <c r="AJ1" s="251"/>
      <c r="AK1" s="251"/>
      <c r="AL1" s="251"/>
      <c r="AM1" s="251"/>
      <c r="AN1" s="251"/>
      <c r="AO1" s="251"/>
      <c r="AP1" s="251"/>
      <c r="AQ1" s="251"/>
      <c r="AR1" s="251"/>
      <c r="AS1" s="251"/>
      <c r="AT1" s="251"/>
      <c r="AU1" s="251"/>
      <c r="AV1" s="251"/>
      <c r="AW1" s="251"/>
      <c r="AX1" s="251"/>
      <c r="AY1" s="251"/>
      <c r="AZ1" s="251"/>
      <c r="BA1" s="251"/>
      <c r="BB1" s="251"/>
      <c r="BC1" s="251"/>
      <c r="BD1" s="251"/>
      <c r="BE1" s="251"/>
      <c r="BF1" s="251"/>
      <c r="BG1" s="251"/>
      <c r="BH1" s="241"/>
      <c r="BI1" s="240" t="s">
        <v>79</v>
      </c>
      <c r="BJ1" s="241"/>
      <c r="BK1" s="245" t="s">
        <v>18</v>
      </c>
      <c r="BL1" s="246"/>
    </row>
    <row r="2" spans="1:64" ht="46.5" customHeight="1">
      <c r="A2" s="253"/>
      <c r="B2" s="243"/>
      <c r="C2" s="11"/>
      <c r="D2" s="11"/>
      <c r="E2" s="11"/>
      <c r="F2" s="11"/>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9" t="s">
        <v>80</v>
      </c>
      <c r="BJ2" s="9" t="s">
        <v>81</v>
      </c>
      <c r="BK2" s="247"/>
      <c r="BL2" s="248"/>
    </row>
    <row r="3" spans="1:64" ht="15" customHeight="1">
      <c r="A3" s="1">
        <v>1</v>
      </c>
      <c r="B3" s="75">
        <f>MAESTRO!D5</f>
        <v>0</v>
      </c>
      <c r="C3" s="69"/>
      <c r="D3" s="19"/>
      <c r="E3" s="19"/>
      <c r="F3" s="69"/>
      <c r="G3" s="19"/>
      <c r="H3" s="19"/>
      <c r="I3" s="19"/>
      <c r="J3" s="19"/>
      <c r="K3" s="19"/>
      <c r="L3" s="19"/>
      <c r="M3" s="19"/>
      <c r="N3" s="19"/>
      <c r="O3" s="19"/>
      <c r="P3" s="19"/>
      <c r="Q3" s="19"/>
      <c r="R3" s="19"/>
      <c r="S3" s="19"/>
      <c r="T3" s="19"/>
      <c r="U3" s="19"/>
      <c r="V3" s="19"/>
      <c r="W3" s="19"/>
      <c r="X3" s="19"/>
      <c r="Y3" s="26"/>
      <c r="Z3" s="26"/>
      <c r="AA3" s="26"/>
      <c r="AB3" s="26"/>
      <c r="AC3" s="26"/>
      <c r="AD3" s="19"/>
      <c r="AE3" s="19"/>
      <c r="AF3" s="19"/>
      <c r="AG3" s="19"/>
      <c r="AH3" s="19"/>
      <c r="AI3" s="19"/>
      <c r="AJ3" s="19"/>
      <c r="AK3" s="26"/>
      <c r="AL3" s="19"/>
      <c r="AM3" s="19"/>
      <c r="AN3" s="19"/>
      <c r="AO3" s="19"/>
      <c r="AP3" s="19"/>
      <c r="AQ3" s="19"/>
      <c r="AR3" s="19"/>
      <c r="AS3" s="19"/>
      <c r="AT3" s="19"/>
      <c r="AU3" s="19"/>
      <c r="AV3" s="19"/>
      <c r="AW3" s="19"/>
      <c r="AX3" s="19"/>
      <c r="AY3" s="19"/>
      <c r="AZ3" s="19"/>
      <c r="BA3" s="19"/>
      <c r="BB3" s="19"/>
      <c r="BC3" s="19"/>
      <c r="BD3" s="19"/>
      <c r="BE3" s="19"/>
      <c r="BF3" s="19"/>
      <c r="BG3" s="19"/>
      <c r="BH3" s="4"/>
      <c r="BI3" s="4">
        <f t="shared" ref="BI3:BI40" si="0">COUNTIF(C3:BH3,"-")</f>
        <v>0</v>
      </c>
      <c r="BJ3" s="4">
        <f t="shared" ref="BJ3:BJ43" si="1">COUNTIF(D3:BI3,"T")</f>
        <v>0</v>
      </c>
      <c r="BK3" s="4"/>
      <c r="BL3" s="3">
        <v>1</v>
      </c>
    </row>
    <row r="4" spans="1:64">
      <c r="A4" s="1">
        <v>2</v>
      </c>
      <c r="B4" s="75">
        <f>MAESTRO!D6</f>
        <v>0</v>
      </c>
      <c r="C4" s="64"/>
      <c r="D4" s="19"/>
      <c r="E4" s="19"/>
      <c r="F4" s="64"/>
      <c r="G4" s="19"/>
      <c r="H4" s="19"/>
      <c r="I4" s="19"/>
      <c r="J4" s="19"/>
      <c r="K4" s="19"/>
      <c r="L4" s="19"/>
      <c r="M4" s="19"/>
      <c r="N4" s="19"/>
      <c r="O4" s="19"/>
      <c r="P4" s="19"/>
      <c r="Q4" s="19"/>
      <c r="R4" s="19"/>
      <c r="S4" s="19"/>
      <c r="T4" s="19"/>
      <c r="U4" s="19"/>
      <c r="V4" s="19"/>
      <c r="W4" s="19"/>
      <c r="X4" s="19"/>
      <c r="Y4" s="26"/>
      <c r="Z4" s="26"/>
      <c r="AA4" s="26"/>
      <c r="AB4" s="26"/>
      <c r="AC4" s="26"/>
      <c r="AD4" s="19"/>
      <c r="AE4" s="19"/>
      <c r="AF4" s="19"/>
      <c r="AG4" s="19"/>
      <c r="AH4" s="19"/>
      <c r="AI4" s="19"/>
      <c r="AJ4" s="19"/>
      <c r="AK4" s="26"/>
      <c r="AL4" s="19"/>
      <c r="AM4" s="19"/>
      <c r="AN4" s="19"/>
      <c r="AO4" s="19"/>
      <c r="AP4" s="19"/>
      <c r="AQ4" s="19"/>
      <c r="AR4" s="19"/>
      <c r="AS4" s="19"/>
      <c r="AT4" s="19"/>
      <c r="AU4" s="19"/>
      <c r="AV4" s="19"/>
      <c r="AW4" s="19"/>
      <c r="AX4" s="19"/>
      <c r="AY4" s="19"/>
      <c r="AZ4" s="19"/>
      <c r="BA4" s="19"/>
      <c r="BB4" s="19"/>
      <c r="BC4" s="19"/>
      <c r="BD4" s="19"/>
      <c r="BE4" s="19"/>
      <c r="BF4" s="19"/>
      <c r="BG4" s="19"/>
      <c r="BH4" s="4"/>
      <c r="BI4" s="4">
        <f t="shared" si="0"/>
        <v>0</v>
      </c>
      <c r="BJ4" s="4">
        <f t="shared" si="1"/>
        <v>0</v>
      </c>
      <c r="BK4" s="4"/>
      <c r="BL4" s="3">
        <v>2</v>
      </c>
    </row>
    <row r="5" spans="1:64">
      <c r="A5" s="1">
        <v>3</v>
      </c>
      <c r="B5" s="75">
        <f>MAESTRO!D7</f>
        <v>0</v>
      </c>
      <c r="C5" s="64"/>
      <c r="D5" s="19"/>
      <c r="E5" s="19"/>
      <c r="F5" s="64"/>
      <c r="G5" s="19"/>
      <c r="H5" s="19"/>
      <c r="I5" s="19"/>
      <c r="J5" s="19"/>
      <c r="K5" s="19"/>
      <c r="L5" s="19"/>
      <c r="M5" s="19"/>
      <c r="N5" s="19"/>
      <c r="O5" s="19"/>
      <c r="P5" s="19"/>
      <c r="Q5" s="19"/>
      <c r="R5" s="19"/>
      <c r="S5" s="19"/>
      <c r="T5" s="19"/>
      <c r="U5" s="19"/>
      <c r="V5" s="19"/>
      <c r="W5" s="19"/>
      <c r="X5" s="19"/>
      <c r="Y5" s="26"/>
      <c r="Z5" s="26"/>
      <c r="AA5" s="26"/>
      <c r="AB5" s="26"/>
      <c r="AC5" s="26"/>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4"/>
      <c r="BI5" s="4">
        <f t="shared" si="0"/>
        <v>0</v>
      </c>
      <c r="BJ5" s="4">
        <f t="shared" si="1"/>
        <v>0</v>
      </c>
      <c r="BK5" s="4"/>
      <c r="BL5" s="3">
        <v>3</v>
      </c>
    </row>
    <row r="6" spans="1:64">
      <c r="A6" s="1">
        <v>4</v>
      </c>
      <c r="B6" s="75">
        <f>MAESTRO!D8</f>
        <v>0</v>
      </c>
      <c r="C6" s="64"/>
      <c r="D6" s="19"/>
      <c r="E6" s="19"/>
      <c r="F6" s="64"/>
      <c r="G6" s="19"/>
      <c r="H6" s="19"/>
      <c r="I6" s="19"/>
      <c r="J6" s="19"/>
      <c r="K6" s="19"/>
      <c r="L6" s="19"/>
      <c r="M6" s="19"/>
      <c r="N6" s="19"/>
      <c r="O6" s="19"/>
      <c r="P6" s="19"/>
      <c r="Q6" s="19"/>
      <c r="R6" s="19"/>
      <c r="S6" s="19"/>
      <c r="T6" s="19"/>
      <c r="U6" s="19"/>
      <c r="V6" s="19"/>
      <c r="W6" s="19"/>
      <c r="X6" s="19"/>
      <c r="Y6" s="26"/>
      <c r="Z6" s="26"/>
      <c r="AA6" s="26"/>
      <c r="AB6" s="26"/>
      <c r="AC6" s="26"/>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4"/>
      <c r="BI6" s="4">
        <f t="shared" si="0"/>
        <v>0</v>
      </c>
      <c r="BJ6" s="4">
        <f t="shared" si="1"/>
        <v>0</v>
      </c>
      <c r="BK6" s="4"/>
      <c r="BL6" s="3">
        <v>4</v>
      </c>
    </row>
    <row r="7" spans="1:64">
      <c r="A7" s="1">
        <v>5</v>
      </c>
      <c r="B7" s="75">
        <f>MAESTRO!D9</f>
        <v>0</v>
      </c>
      <c r="C7" s="64"/>
      <c r="D7" s="19"/>
      <c r="E7" s="19"/>
      <c r="F7" s="64"/>
      <c r="G7" s="19"/>
      <c r="H7" s="19"/>
      <c r="I7" s="19"/>
      <c r="J7" s="19"/>
      <c r="K7" s="19"/>
      <c r="L7" s="19"/>
      <c r="M7" s="19"/>
      <c r="N7" s="19"/>
      <c r="O7" s="19"/>
      <c r="P7" s="19"/>
      <c r="Q7" s="19"/>
      <c r="R7" s="19"/>
      <c r="S7" s="19"/>
      <c r="T7" s="19"/>
      <c r="U7" s="19"/>
      <c r="V7" s="19"/>
      <c r="W7" s="19"/>
      <c r="X7" s="19"/>
      <c r="Y7" s="26"/>
      <c r="Z7" s="26"/>
      <c r="AA7" s="26"/>
      <c r="AB7" s="26"/>
      <c r="AC7" s="26"/>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4"/>
      <c r="BI7" s="4">
        <f t="shared" si="0"/>
        <v>0</v>
      </c>
      <c r="BJ7" s="4">
        <f t="shared" si="1"/>
        <v>0</v>
      </c>
      <c r="BK7" s="4"/>
      <c r="BL7" s="3">
        <v>5</v>
      </c>
    </row>
    <row r="8" spans="1:64">
      <c r="A8" s="1">
        <v>6</v>
      </c>
      <c r="B8" s="75">
        <f>MAESTRO!D10</f>
        <v>0</v>
      </c>
      <c r="C8" s="64"/>
      <c r="D8" s="19"/>
      <c r="E8" s="19"/>
      <c r="F8" s="64"/>
      <c r="G8" s="19"/>
      <c r="H8" s="19"/>
      <c r="I8" s="19"/>
      <c r="J8" s="19"/>
      <c r="K8" s="19"/>
      <c r="L8" s="19"/>
      <c r="M8" s="19"/>
      <c r="N8" s="19"/>
      <c r="O8" s="19"/>
      <c r="P8" s="19"/>
      <c r="Q8" s="19"/>
      <c r="R8" s="19"/>
      <c r="S8" s="19"/>
      <c r="T8" s="19"/>
      <c r="U8" s="19"/>
      <c r="V8" s="19"/>
      <c r="W8" s="19"/>
      <c r="X8" s="19"/>
      <c r="Y8" s="26"/>
      <c r="Z8" s="26"/>
      <c r="AA8" s="26"/>
      <c r="AB8" s="26"/>
      <c r="AC8" s="26"/>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4"/>
      <c r="BI8" s="4">
        <f t="shared" si="0"/>
        <v>0</v>
      </c>
      <c r="BJ8" s="4">
        <f t="shared" si="1"/>
        <v>0</v>
      </c>
      <c r="BK8" s="4"/>
      <c r="BL8" s="3">
        <v>6</v>
      </c>
    </row>
    <row r="9" spans="1:64">
      <c r="A9" s="1">
        <v>7</v>
      </c>
      <c r="B9" s="75">
        <f>MAESTRO!D11</f>
        <v>0</v>
      </c>
      <c r="C9" s="64"/>
      <c r="D9" s="19"/>
      <c r="E9" s="19"/>
      <c r="F9" s="64"/>
      <c r="G9" s="19"/>
      <c r="H9" s="19"/>
      <c r="I9" s="19"/>
      <c r="J9" s="19"/>
      <c r="K9" s="19"/>
      <c r="L9" s="19"/>
      <c r="M9" s="19"/>
      <c r="N9" s="19"/>
      <c r="O9" s="19"/>
      <c r="P9" s="19"/>
      <c r="Q9" s="19"/>
      <c r="R9" s="19"/>
      <c r="S9" s="19"/>
      <c r="T9" s="19"/>
      <c r="U9" s="19"/>
      <c r="V9" s="19"/>
      <c r="W9" s="19"/>
      <c r="X9" s="19"/>
      <c r="Y9" s="26"/>
      <c r="Z9" s="26"/>
      <c r="AA9" s="26"/>
      <c r="AB9" s="26"/>
      <c r="AC9" s="26"/>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4"/>
      <c r="BI9" s="4">
        <f t="shared" si="0"/>
        <v>0</v>
      </c>
      <c r="BJ9" s="4">
        <f t="shared" si="1"/>
        <v>0</v>
      </c>
      <c r="BK9" s="4"/>
      <c r="BL9" s="3">
        <v>7</v>
      </c>
    </row>
    <row r="10" spans="1:64">
      <c r="A10" s="1">
        <v>8</v>
      </c>
      <c r="B10" s="75">
        <f>MAESTRO!D12</f>
        <v>0</v>
      </c>
      <c r="C10" s="64"/>
      <c r="D10" s="19"/>
      <c r="E10" s="19"/>
      <c r="F10" s="64"/>
      <c r="G10" s="19"/>
      <c r="H10" s="19"/>
      <c r="I10" s="19"/>
      <c r="J10" s="19"/>
      <c r="K10" s="19"/>
      <c r="L10" s="19"/>
      <c r="M10" s="19"/>
      <c r="N10" s="19"/>
      <c r="O10" s="19"/>
      <c r="P10" s="19"/>
      <c r="Q10" s="19"/>
      <c r="R10" s="19"/>
      <c r="S10" s="19"/>
      <c r="T10" s="19"/>
      <c r="U10" s="19"/>
      <c r="V10" s="19"/>
      <c r="W10" s="19"/>
      <c r="X10" s="19"/>
      <c r="Y10" s="26"/>
      <c r="Z10" s="26"/>
      <c r="AA10" s="26"/>
      <c r="AB10" s="26"/>
      <c r="AC10" s="26"/>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4"/>
      <c r="BI10" s="4">
        <f t="shared" si="0"/>
        <v>0</v>
      </c>
      <c r="BJ10" s="4">
        <f t="shared" si="1"/>
        <v>0</v>
      </c>
      <c r="BK10" s="4"/>
      <c r="BL10" s="3">
        <v>8</v>
      </c>
    </row>
    <row r="11" spans="1:64">
      <c r="A11" s="1">
        <v>9</v>
      </c>
      <c r="B11" s="75">
        <f>MAESTRO!D13</f>
        <v>0</v>
      </c>
      <c r="C11" s="64"/>
      <c r="D11" s="19"/>
      <c r="E11" s="19"/>
      <c r="F11" s="64"/>
      <c r="G11" s="19"/>
      <c r="H11" s="19"/>
      <c r="I11" s="19"/>
      <c r="J11" s="19"/>
      <c r="K11" s="19"/>
      <c r="L11" s="19"/>
      <c r="M11" s="19"/>
      <c r="N11" s="19"/>
      <c r="O11" s="19"/>
      <c r="P11" s="19"/>
      <c r="Q11" s="19"/>
      <c r="R11" s="19"/>
      <c r="S11" s="19"/>
      <c r="T11" s="19"/>
      <c r="U11" s="19"/>
      <c r="V11" s="19"/>
      <c r="W11" s="19"/>
      <c r="X11" s="19"/>
      <c r="Y11" s="26"/>
      <c r="Z11" s="26"/>
      <c r="AA11" s="19"/>
      <c r="AB11" s="19"/>
      <c r="AC11" s="26"/>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4"/>
      <c r="BI11" s="4">
        <f t="shared" si="0"/>
        <v>0</v>
      </c>
      <c r="BJ11" s="4">
        <f t="shared" si="1"/>
        <v>0</v>
      </c>
      <c r="BK11" s="4"/>
      <c r="BL11" s="3">
        <v>9</v>
      </c>
    </row>
    <row r="12" spans="1:64">
      <c r="A12" s="1">
        <v>10</v>
      </c>
      <c r="B12" s="75">
        <f>MAESTRO!D14</f>
        <v>0</v>
      </c>
      <c r="C12" s="64"/>
      <c r="D12" s="19"/>
      <c r="E12" s="19"/>
      <c r="F12" s="64"/>
      <c r="G12" s="19"/>
      <c r="H12" s="19"/>
      <c r="I12" s="19"/>
      <c r="J12" s="19"/>
      <c r="K12" s="19"/>
      <c r="L12" s="19"/>
      <c r="M12" s="19"/>
      <c r="N12" s="19"/>
      <c r="O12" s="19"/>
      <c r="P12" s="19"/>
      <c r="Q12" s="19"/>
      <c r="R12" s="19"/>
      <c r="S12" s="19"/>
      <c r="T12" s="19"/>
      <c r="U12" s="19"/>
      <c r="V12" s="19"/>
      <c r="W12" s="19"/>
      <c r="X12" s="19"/>
      <c r="Y12" s="26"/>
      <c r="Z12" s="26"/>
      <c r="AA12" s="26"/>
      <c r="AB12" s="26"/>
      <c r="AC12" s="26"/>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4"/>
      <c r="BI12" s="4">
        <f t="shared" si="0"/>
        <v>0</v>
      </c>
      <c r="BJ12" s="4">
        <f t="shared" si="1"/>
        <v>0</v>
      </c>
      <c r="BK12" s="4"/>
      <c r="BL12" s="3">
        <v>10</v>
      </c>
    </row>
    <row r="13" spans="1:64">
      <c r="A13" s="1">
        <v>11</v>
      </c>
      <c r="B13" s="75">
        <f>MAESTRO!D15</f>
        <v>0</v>
      </c>
      <c r="C13" s="64"/>
      <c r="D13" s="19"/>
      <c r="E13" s="19"/>
      <c r="F13" s="64"/>
      <c r="G13" s="19"/>
      <c r="H13" s="19"/>
      <c r="I13" s="19"/>
      <c r="J13" s="19"/>
      <c r="K13" s="19"/>
      <c r="L13" s="19"/>
      <c r="M13" s="19"/>
      <c r="N13" s="19"/>
      <c r="O13" s="19"/>
      <c r="P13" s="19"/>
      <c r="Q13" s="19"/>
      <c r="R13" s="19"/>
      <c r="S13" s="19"/>
      <c r="T13" s="19"/>
      <c r="U13" s="19"/>
      <c r="V13" s="19"/>
      <c r="W13" s="19"/>
      <c r="X13" s="19"/>
      <c r="Y13" s="26"/>
      <c r="Z13" s="26"/>
      <c r="AA13" s="26"/>
      <c r="AB13" s="26"/>
      <c r="AC13" s="26"/>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4"/>
      <c r="BI13" s="4">
        <f t="shared" si="0"/>
        <v>0</v>
      </c>
      <c r="BJ13" s="4">
        <f t="shared" si="1"/>
        <v>0</v>
      </c>
      <c r="BK13" s="4"/>
      <c r="BL13" s="3">
        <v>11</v>
      </c>
    </row>
    <row r="14" spans="1:64">
      <c r="A14" s="1">
        <v>12</v>
      </c>
      <c r="B14" s="75">
        <f>MAESTRO!D16</f>
        <v>0</v>
      </c>
      <c r="C14" s="64"/>
      <c r="D14" s="19"/>
      <c r="E14" s="19"/>
      <c r="F14" s="64"/>
      <c r="G14" s="19"/>
      <c r="H14" s="19"/>
      <c r="I14" s="19"/>
      <c r="J14" s="19"/>
      <c r="K14" s="19"/>
      <c r="L14" s="19"/>
      <c r="M14" s="19"/>
      <c r="N14" s="19"/>
      <c r="O14" s="19"/>
      <c r="P14" s="19"/>
      <c r="Q14" s="19"/>
      <c r="R14" s="19"/>
      <c r="S14" s="19"/>
      <c r="T14" s="19"/>
      <c r="U14" s="19"/>
      <c r="V14" s="19"/>
      <c r="W14" s="19"/>
      <c r="X14" s="19"/>
      <c r="Y14" s="26"/>
      <c r="Z14" s="26"/>
      <c r="AA14" s="26"/>
      <c r="AB14" s="26"/>
      <c r="AC14" s="26"/>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4"/>
      <c r="BI14" s="4">
        <f t="shared" si="0"/>
        <v>0</v>
      </c>
      <c r="BJ14" s="4">
        <f t="shared" si="1"/>
        <v>0</v>
      </c>
      <c r="BK14" s="4"/>
      <c r="BL14" s="3">
        <v>12</v>
      </c>
    </row>
    <row r="15" spans="1:64">
      <c r="A15" s="1">
        <v>13</v>
      </c>
      <c r="B15" s="75">
        <f>MAESTRO!D17</f>
        <v>0</v>
      </c>
      <c r="C15" s="64"/>
      <c r="D15" s="19"/>
      <c r="E15" s="19"/>
      <c r="F15" s="64"/>
      <c r="G15" s="19"/>
      <c r="H15" s="19"/>
      <c r="I15" s="19"/>
      <c r="J15" s="19"/>
      <c r="K15" s="19"/>
      <c r="L15" s="19"/>
      <c r="M15" s="19"/>
      <c r="N15" s="19"/>
      <c r="O15" s="19"/>
      <c r="P15" s="19"/>
      <c r="Q15" s="19"/>
      <c r="R15" s="19"/>
      <c r="S15" s="19"/>
      <c r="T15" s="19"/>
      <c r="U15" s="19"/>
      <c r="V15" s="19"/>
      <c r="W15" s="19"/>
      <c r="X15" s="19"/>
      <c r="Y15" s="26"/>
      <c r="Z15" s="26"/>
      <c r="AA15" s="26"/>
      <c r="AB15" s="26"/>
      <c r="AC15" s="26"/>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4"/>
      <c r="BI15" s="4">
        <f t="shared" si="0"/>
        <v>0</v>
      </c>
      <c r="BJ15" s="4">
        <f t="shared" si="1"/>
        <v>0</v>
      </c>
      <c r="BK15" s="4"/>
      <c r="BL15" s="3">
        <v>13</v>
      </c>
    </row>
    <row r="16" spans="1:64">
      <c r="A16" s="1">
        <v>14</v>
      </c>
      <c r="B16" s="75">
        <f>MAESTRO!D18</f>
        <v>0</v>
      </c>
      <c r="C16" s="64"/>
      <c r="D16" s="19"/>
      <c r="E16" s="19"/>
      <c r="F16" s="64"/>
      <c r="G16" s="19"/>
      <c r="H16" s="19"/>
      <c r="I16" s="19"/>
      <c r="J16" s="19"/>
      <c r="K16" s="19"/>
      <c r="L16" s="19"/>
      <c r="M16" s="19"/>
      <c r="N16" s="19"/>
      <c r="O16" s="19"/>
      <c r="P16" s="19"/>
      <c r="Q16" s="19"/>
      <c r="R16" s="19"/>
      <c r="S16" s="19"/>
      <c r="T16" s="19"/>
      <c r="U16" s="19"/>
      <c r="V16" s="19"/>
      <c r="W16" s="19"/>
      <c r="X16" s="19"/>
      <c r="Y16" s="26"/>
      <c r="Z16" s="26"/>
      <c r="AA16" s="26"/>
      <c r="AB16" s="26"/>
      <c r="AC16" s="26"/>
      <c r="AD16" s="19"/>
      <c r="AE16" s="19"/>
      <c r="AF16" s="19"/>
      <c r="AG16" s="19"/>
      <c r="AH16" s="19"/>
      <c r="AI16" s="19"/>
      <c r="AJ16" s="19"/>
      <c r="AK16" s="19"/>
      <c r="AL16" s="19"/>
      <c r="AM16" s="19"/>
      <c r="AN16" s="19"/>
      <c r="AO16" s="19"/>
      <c r="AP16" s="19"/>
      <c r="AQ16" s="19"/>
      <c r="AS16" s="19"/>
      <c r="AT16" s="19"/>
      <c r="AU16" s="19"/>
      <c r="AV16" s="19"/>
      <c r="AW16" s="19"/>
      <c r="AX16" s="19"/>
      <c r="AY16" s="19"/>
      <c r="AZ16" s="19"/>
      <c r="BA16" s="19"/>
      <c r="BB16" s="19"/>
      <c r="BC16" s="19"/>
      <c r="BD16" s="19"/>
      <c r="BE16" s="19"/>
      <c r="BF16" s="19"/>
      <c r="BG16" s="19"/>
      <c r="BH16" s="4"/>
      <c r="BI16" s="4">
        <f t="shared" si="0"/>
        <v>0</v>
      </c>
      <c r="BJ16" s="4">
        <f t="shared" si="1"/>
        <v>0</v>
      </c>
      <c r="BK16" s="4"/>
      <c r="BL16" s="3">
        <v>14</v>
      </c>
    </row>
    <row r="17" spans="1:64">
      <c r="A17" s="1">
        <v>15</v>
      </c>
      <c r="B17" s="75">
        <f>MAESTRO!D19</f>
        <v>0</v>
      </c>
      <c r="C17" s="64"/>
      <c r="D17" s="19"/>
      <c r="E17" s="19"/>
      <c r="F17" s="64"/>
      <c r="G17" s="19"/>
      <c r="H17" s="19"/>
      <c r="I17" s="19"/>
      <c r="J17" s="19"/>
      <c r="K17" s="19"/>
      <c r="L17" s="19"/>
      <c r="M17" s="19"/>
      <c r="N17" s="19"/>
      <c r="O17" s="19"/>
      <c r="P17" s="19"/>
      <c r="Q17" s="19"/>
      <c r="R17" s="19"/>
      <c r="S17" s="19"/>
      <c r="T17" s="19"/>
      <c r="U17" s="19"/>
      <c r="V17" s="19"/>
      <c r="W17" s="19"/>
      <c r="X17" s="19"/>
      <c r="Y17" s="26"/>
      <c r="Z17" s="26"/>
      <c r="AA17" s="26"/>
      <c r="AB17" s="26"/>
      <c r="AC17" s="26"/>
      <c r="AD17" s="19"/>
      <c r="AE17" s="19"/>
      <c r="AF17" s="19"/>
      <c r="AG17" s="19"/>
      <c r="AH17" s="19"/>
      <c r="AI17" s="19"/>
      <c r="AJ17" s="19"/>
      <c r="AK17" s="19"/>
      <c r="AL17" s="19"/>
      <c r="AM17" s="19"/>
      <c r="AN17" s="19"/>
      <c r="AO17" s="19"/>
      <c r="AP17" s="19"/>
      <c r="AQ17" s="19"/>
      <c r="AS17" s="19"/>
      <c r="AT17" s="19"/>
      <c r="AU17" s="19"/>
      <c r="AV17" s="19"/>
      <c r="AW17" s="19"/>
      <c r="AX17" s="19"/>
      <c r="AY17" s="19"/>
      <c r="AZ17" s="19"/>
      <c r="BA17" s="19"/>
      <c r="BB17" s="19"/>
      <c r="BC17" s="19"/>
      <c r="BD17" s="19"/>
      <c r="BE17" s="19"/>
      <c r="BF17" s="19"/>
      <c r="BG17" s="19"/>
      <c r="BH17" s="4"/>
      <c r="BI17" s="4">
        <f t="shared" si="0"/>
        <v>0</v>
      </c>
      <c r="BJ17" s="4">
        <f t="shared" si="1"/>
        <v>0</v>
      </c>
      <c r="BK17" s="4"/>
      <c r="BL17" s="3">
        <v>15</v>
      </c>
    </row>
    <row r="18" spans="1:64">
      <c r="A18" s="1">
        <v>16</v>
      </c>
      <c r="B18" s="75">
        <f>MAESTRO!D20</f>
        <v>0</v>
      </c>
      <c r="C18" s="64"/>
      <c r="D18" s="19"/>
      <c r="E18" s="19"/>
      <c r="F18" s="64"/>
      <c r="G18" s="19"/>
      <c r="H18" s="19"/>
      <c r="I18" s="19"/>
      <c r="J18" s="19"/>
      <c r="K18" s="19"/>
      <c r="L18" s="19"/>
      <c r="M18" s="19"/>
      <c r="N18" s="19"/>
      <c r="O18" s="19"/>
      <c r="P18" s="19"/>
      <c r="Q18" s="19"/>
      <c r="R18" s="19"/>
      <c r="S18" s="19"/>
      <c r="T18" s="19"/>
      <c r="U18" s="19"/>
      <c r="V18" s="19"/>
      <c r="W18" s="19"/>
      <c r="X18" s="19"/>
      <c r="Y18" s="26"/>
      <c r="Z18" s="26"/>
      <c r="AA18" s="26"/>
      <c r="AB18" s="26"/>
      <c r="AC18" s="26"/>
      <c r="AD18" s="19"/>
      <c r="AE18" s="19"/>
      <c r="AF18" s="19"/>
      <c r="AG18" s="19"/>
      <c r="AH18" s="19"/>
      <c r="AI18" s="19"/>
      <c r="AJ18" s="19"/>
      <c r="AK18" s="19"/>
      <c r="AL18" s="19"/>
      <c r="AM18" s="19"/>
      <c r="AN18" s="19"/>
      <c r="AO18" s="19"/>
      <c r="AP18" s="19"/>
      <c r="AQ18" s="19"/>
      <c r="AS18" s="19"/>
      <c r="AT18" s="19"/>
      <c r="AU18" s="19"/>
      <c r="AV18" s="19"/>
      <c r="AW18" s="19"/>
      <c r="AX18" s="19"/>
      <c r="AY18" s="19"/>
      <c r="AZ18" s="19"/>
      <c r="BA18" s="19"/>
      <c r="BB18" s="19"/>
      <c r="BC18" s="19"/>
      <c r="BD18" s="19"/>
      <c r="BE18" s="19"/>
      <c r="BF18" s="19"/>
      <c r="BG18" s="19"/>
      <c r="BH18" s="4"/>
      <c r="BI18" s="4">
        <f t="shared" si="0"/>
        <v>0</v>
      </c>
      <c r="BJ18" s="4">
        <f t="shared" si="1"/>
        <v>0</v>
      </c>
      <c r="BK18" s="4"/>
      <c r="BL18" s="3">
        <v>16</v>
      </c>
    </row>
    <row r="19" spans="1:64">
      <c r="A19" s="1">
        <v>17</v>
      </c>
      <c r="B19" s="75">
        <f>MAESTRO!D21</f>
        <v>0</v>
      </c>
      <c r="C19" s="64"/>
      <c r="D19" s="19"/>
      <c r="E19" s="19"/>
      <c r="F19" s="64"/>
      <c r="G19" s="19"/>
      <c r="H19" s="19"/>
      <c r="I19" s="19"/>
      <c r="J19" s="19"/>
      <c r="K19" s="19"/>
      <c r="L19" s="19"/>
      <c r="M19" s="19"/>
      <c r="N19" s="19"/>
      <c r="O19" s="19"/>
      <c r="P19" s="19"/>
      <c r="Q19" s="19"/>
      <c r="R19" s="19"/>
      <c r="S19" s="19"/>
      <c r="T19" s="19"/>
      <c r="U19" s="19"/>
      <c r="V19" s="19"/>
      <c r="W19" s="19"/>
      <c r="X19" s="19"/>
      <c r="Y19" s="26"/>
      <c r="Z19" s="26"/>
      <c r="AA19" s="26"/>
      <c r="AB19" s="26"/>
      <c r="AC19" s="26"/>
      <c r="AD19" s="19"/>
      <c r="AE19" s="19"/>
      <c r="AF19" s="19"/>
      <c r="AG19" s="19"/>
      <c r="AH19" s="19"/>
      <c r="AI19" s="19"/>
      <c r="AJ19" s="19"/>
      <c r="AK19" s="26"/>
      <c r="AL19" s="19"/>
      <c r="AM19" s="19"/>
      <c r="AN19" s="19"/>
      <c r="AO19" s="19"/>
      <c r="AP19" s="19"/>
      <c r="AQ19" s="19"/>
      <c r="AR19" s="19"/>
      <c r="AS19" s="19"/>
      <c r="AT19" s="19"/>
      <c r="AU19" s="19"/>
      <c r="AV19" s="19"/>
      <c r="AW19" s="19"/>
      <c r="AX19" s="19"/>
      <c r="AY19" s="19"/>
      <c r="AZ19" s="19"/>
      <c r="BA19" s="19"/>
      <c r="BB19" s="19"/>
      <c r="BC19" s="19"/>
      <c r="BD19" s="19"/>
      <c r="BE19" s="19"/>
      <c r="BF19" s="19"/>
      <c r="BG19" s="19"/>
      <c r="BH19" s="4"/>
      <c r="BI19" s="4">
        <f t="shared" si="0"/>
        <v>0</v>
      </c>
      <c r="BJ19" s="4">
        <f t="shared" si="1"/>
        <v>0</v>
      </c>
      <c r="BK19" s="4"/>
      <c r="BL19" s="3">
        <v>17</v>
      </c>
    </row>
    <row r="20" spans="1:64">
      <c r="A20" s="1">
        <v>18</v>
      </c>
      <c r="B20" s="12">
        <f>MAESTRO!D22</f>
        <v>0</v>
      </c>
      <c r="C20" s="64"/>
      <c r="D20" s="19"/>
      <c r="E20" s="19"/>
      <c r="F20" s="64"/>
      <c r="G20" s="19"/>
      <c r="H20" s="19"/>
      <c r="I20" s="19"/>
      <c r="J20" s="19"/>
      <c r="K20" s="19"/>
      <c r="L20" s="19"/>
      <c r="M20" s="19"/>
      <c r="N20" s="19"/>
      <c r="O20" s="19"/>
      <c r="P20" s="19"/>
      <c r="Q20" s="19"/>
      <c r="R20" s="19"/>
      <c r="S20" s="19"/>
      <c r="T20" s="19"/>
      <c r="U20" s="19"/>
      <c r="V20" s="19"/>
      <c r="W20" s="19"/>
      <c r="X20" s="19"/>
      <c r="Y20" s="26"/>
      <c r="Z20" s="26"/>
      <c r="AA20" s="26"/>
      <c r="AB20" s="26"/>
      <c r="AC20" s="26"/>
      <c r="AD20" s="19"/>
      <c r="AE20" s="19"/>
      <c r="AF20" s="19"/>
      <c r="AG20" s="19"/>
      <c r="AH20" s="19"/>
      <c r="AI20" s="19"/>
      <c r="AJ20" s="19"/>
      <c r="AK20" s="26"/>
      <c r="AL20" s="19"/>
      <c r="AM20" s="19"/>
      <c r="AN20" s="19"/>
      <c r="AO20" s="19"/>
      <c r="AP20" s="19"/>
      <c r="AQ20" s="19"/>
      <c r="AR20" s="19"/>
      <c r="AS20" s="19"/>
      <c r="AT20" s="19"/>
      <c r="AU20" s="19"/>
      <c r="AV20" s="19"/>
      <c r="AW20" s="19"/>
      <c r="AX20" s="19"/>
      <c r="AY20" s="19"/>
      <c r="AZ20" s="19"/>
      <c r="BA20" s="19"/>
      <c r="BB20" s="19"/>
      <c r="BC20" s="19"/>
      <c r="BD20" s="19"/>
      <c r="BE20" s="19"/>
      <c r="BF20" s="19"/>
      <c r="BG20" s="19"/>
      <c r="BH20" s="4"/>
      <c r="BI20" s="4">
        <f t="shared" si="0"/>
        <v>0</v>
      </c>
      <c r="BJ20" s="4">
        <f t="shared" si="1"/>
        <v>0</v>
      </c>
      <c r="BK20" s="4"/>
      <c r="BL20" s="3">
        <v>18</v>
      </c>
    </row>
    <row r="21" spans="1:64">
      <c r="A21" s="1">
        <v>19</v>
      </c>
      <c r="B21" s="12">
        <f>MAESTRO!D23</f>
        <v>0</v>
      </c>
      <c r="C21" s="64"/>
      <c r="D21" s="19"/>
      <c r="E21" s="19"/>
      <c r="F21" s="64"/>
      <c r="G21" s="19"/>
      <c r="H21" s="19"/>
      <c r="I21" s="19"/>
      <c r="J21" s="19"/>
      <c r="K21" s="19"/>
      <c r="L21" s="19"/>
      <c r="M21" s="19"/>
      <c r="N21" s="19"/>
      <c r="O21" s="19"/>
      <c r="P21" s="19"/>
      <c r="Q21" s="19"/>
      <c r="R21" s="19"/>
      <c r="S21" s="19"/>
      <c r="T21" s="19"/>
      <c r="U21" s="19"/>
      <c r="V21" s="19"/>
      <c r="W21" s="19"/>
      <c r="X21" s="19"/>
      <c r="Y21" s="26"/>
      <c r="Z21" s="26"/>
      <c r="AA21" s="26"/>
      <c r="AB21" s="26"/>
      <c r="AC21" s="26"/>
      <c r="AD21" s="19"/>
      <c r="AE21" s="19"/>
      <c r="AF21" s="19"/>
      <c r="AG21" s="19"/>
      <c r="AH21" s="19"/>
      <c r="AI21" s="19"/>
      <c r="AJ21" s="19"/>
      <c r="AK21" s="26"/>
      <c r="AL21" s="19"/>
      <c r="AM21" s="19"/>
      <c r="AN21" s="19"/>
      <c r="AO21" s="19"/>
      <c r="AP21" s="19"/>
      <c r="AQ21" s="19"/>
      <c r="AR21" s="19"/>
      <c r="AS21" s="19"/>
      <c r="AT21" s="19"/>
      <c r="AU21" s="19"/>
      <c r="AV21" s="19"/>
      <c r="AW21" s="19"/>
      <c r="AX21" s="19"/>
      <c r="AY21" s="19"/>
      <c r="AZ21" s="19"/>
      <c r="BA21" s="19"/>
      <c r="BB21" s="19"/>
      <c r="BC21" s="19"/>
      <c r="BD21" s="19"/>
      <c r="BE21" s="19"/>
      <c r="BF21" s="19"/>
      <c r="BG21" s="19"/>
      <c r="BH21" s="4"/>
      <c r="BI21" s="4">
        <f t="shared" si="0"/>
        <v>0</v>
      </c>
      <c r="BJ21" s="4">
        <f t="shared" si="1"/>
        <v>0</v>
      </c>
      <c r="BK21" s="4"/>
      <c r="BL21" s="3">
        <v>19</v>
      </c>
    </row>
    <row r="22" spans="1:64">
      <c r="A22" s="1">
        <v>20</v>
      </c>
      <c r="B22" s="12">
        <f>MAESTRO!D24</f>
        <v>0</v>
      </c>
      <c r="C22" s="64"/>
      <c r="D22" s="19"/>
      <c r="E22" s="19"/>
      <c r="F22" s="64"/>
      <c r="G22" s="19"/>
      <c r="H22" s="19"/>
      <c r="I22" s="19"/>
      <c r="J22" s="19"/>
      <c r="K22" s="19"/>
      <c r="L22" s="19"/>
      <c r="M22" s="19"/>
      <c r="N22" s="19"/>
      <c r="O22" s="19"/>
      <c r="P22" s="19"/>
      <c r="Q22" s="19"/>
      <c r="R22" s="19"/>
      <c r="S22" s="19"/>
      <c r="T22" s="19"/>
      <c r="U22" s="19"/>
      <c r="V22" s="19"/>
      <c r="W22" s="19"/>
      <c r="X22" s="19"/>
      <c r="Y22" s="26"/>
      <c r="Z22" s="26"/>
      <c r="AA22" s="26"/>
      <c r="AB22" s="26"/>
      <c r="AC22" s="26"/>
      <c r="AD22" s="19"/>
      <c r="AE22" s="19"/>
      <c r="AF22" s="19"/>
      <c r="AG22" s="19"/>
      <c r="AH22" s="19"/>
      <c r="AI22" s="19"/>
      <c r="AJ22" s="19"/>
      <c r="AK22" s="26"/>
      <c r="AL22" s="19"/>
      <c r="AM22" s="19"/>
      <c r="AN22" s="19"/>
      <c r="AO22" s="19"/>
      <c r="AP22" s="19"/>
      <c r="AQ22" s="19"/>
      <c r="AR22" s="19"/>
      <c r="AS22" s="19"/>
      <c r="AT22" s="19"/>
      <c r="AU22" s="19"/>
      <c r="AV22" s="19"/>
      <c r="AW22" s="19"/>
      <c r="AX22" s="19"/>
      <c r="AY22" s="19"/>
      <c r="AZ22" s="19"/>
      <c r="BA22" s="19"/>
      <c r="BB22" s="19"/>
      <c r="BC22" s="19"/>
      <c r="BD22" s="19"/>
      <c r="BE22" s="19"/>
      <c r="BF22" s="19"/>
      <c r="BG22" s="19"/>
      <c r="BH22" s="4"/>
      <c r="BI22" s="4">
        <f t="shared" si="0"/>
        <v>0</v>
      </c>
      <c r="BJ22" s="4">
        <f t="shared" si="1"/>
        <v>0</v>
      </c>
      <c r="BK22" s="4"/>
      <c r="BL22" s="3">
        <v>20</v>
      </c>
    </row>
    <row r="23" spans="1:64">
      <c r="A23" s="1">
        <v>21</v>
      </c>
      <c r="B23" s="12">
        <f>MAESTRO!D25</f>
        <v>0</v>
      </c>
      <c r="C23" s="64"/>
      <c r="D23" s="19"/>
      <c r="E23" s="19"/>
      <c r="F23" s="64"/>
      <c r="G23" s="19"/>
      <c r="H23" s="19"/>
      <c r="I23" s="19"/>
      <c r="J23" s="19"/>
      <c r="K23" s="19"/>
      <c r="L23" s="19"/>
      <c r="M23" s="19"/>
      <c r="N23" s="19"/>
      <c r="O23" s="19"/>
      <c r="P23" s="19"/>
      <c r="Q23" s="19"/>
      <c r="R23" s="19"/>
      <c r="S23" s="19"/>
      <c r="T23" s="19"/>
      <c r="U23" s="19"/>
      <c r="V23" s="19"/>
      <c r="W23" s="19"/>
      <c r="X23" s="19"/>
      <c r="Y23" s="26"/>
      <c r="Z23" s="26"/>
      <c r="AA23" s="26"/>
      <c r="AB23" s="26"/>
      <c r="AC23" s="26"/>
      <c r="AD23" s="19"/>
      <c r="AE23" s="19"/>
      <c r="AF23" s="19"/>
      <c r="AG23" s="19"/>
      <c r="AH23" s="19"/>
      <c r="AI23" s="19"/>
      <c r="AJ23" s="19"/>
      <c r="AK23" s="26"/>
      <c r="AL23" s="19"/>
      <c r="AM23" s="19"/>
      <c r="AN23" s="19"/>
      <c r="AO23" s="19"/>
      <c r="AP23" s="19"/>
      <c r="AQ23" s="19"/>
      <c r="AR23" s="19"/>
      <c r="AS23" s="19"/>
      <c r="AT23" s="19"/>
      <c r="AU23" s="19"/>
      <c r="AV23" s="19"/>
      <c r="AW23" s="19"/>
      <c r="AX23" s="19"/>
      <c r="AY23" s="19"/>
      <c r="AZ23" s="19"/>
      <c r="BA23" s="19"/>
      <c r="BB23" s="19"/>
      <c r="BC23" s="19"/>
      <c r="BD23" s="19"/>
      <c r="BE23" s="19"/>
      <c r="BF23" s="19"/>
      <c r="BG23" s="19"/>
      <c r="BH23" s="4"/>
      <c r="BI23" s="4">
        <f t="shared" si="0"/>
        <v>0</v>
      </c>
      <c r="BJ23" s="4">
        <f t="shared" si="1"/>
        <v>0</v>
      </c>
      <c r="BK23" s="4"/>
      <c r="BL23" s="3">
        <v>21</v>
      </c>
    </row>
    <row r="24" spans="1:64">
      <c r="A24" s="1">
        <v>22</v>
      </c>
      <c r="B24" s="12">
        <f>MAESTRO!D26</f>
        <v>0</v>
      </c>
      <c r="C24" s="64"/>
      <c r="D24" s="19"/>
      <c r="E24" s="19"/>
      <c r="F24" s="64"/>
      <c r="G24" s="19"/>
      <c r="H24" s="19"/>
      <c r="I24" s="19"/>
      <c r="J24" s="19"/>
      <c r="K24" s="19"/>
      <c r="L24" s="19"/>
      <c r="M24" s="19"/>
      <c r="N24" s="19"/>
      <c r="O24" s="19"/>
      <c r="P24" s="19"/>
      <c r="Q24" s="19"/>
      <c r="R24" s="19"/>
      <c r="S24" s="19"/>
      <c r="T24" s="19"/>
      <c r="U24" s="19"/>
      <c r="V24" s="19"/>
      <c r="W24" s="19"/>
      <c r="X24" s="19"/>
      <c r="Y24" s="26"/>
      <c r="Z24" s="26"/>
      <c r="AA24" s="26"/>
      <c r="AB24" s="26"/>
      <c r="AC24" s="26"/>
      <c r="AD24" s="19"/>
      <c r="AE24" s="19"/>
      <c r="AF24" s="19"/>
      <c r="AG24" s="19"/>
      <c r="AH24" s="19"/>
      <c r="AI24" s="19"/>
      <c r="AJ24" s="19"/>
      <c r="AK24" s="26"/>
      <c r="AL24" s="19"/>
      <c r="AM24" s="19"/>
      <c r="AN24" s="19"/>
      <c r="AO24" s="19"/>
      <c r="AP24" s="19"/>
      <c r="AQ24" s="19"/>
      <c r="AR24" s="19"/>
      <c r="AS24" s="19"/>
      <c r="AT24" s="19"/>
      <c r="AU24" s="19"/>
      <c r="AV24" s="19"/>
      <c r="AW24" s="19"/>
      <c r="AX24" s="19"/>
      <c r="AY24" s="19"/>
      <c r="AZ24" s="19"/>
      <c r="BA24" s="19"/>
      <c r="BB24" s="19"/>
      <c r="BC24" s="19"/>
      <c r="BD24" s="19"/>
      <c r="BE24" s="19"/>
      <c r="BF24" s="19"/>
      <c r="BG24" s="19"/>
      <c r="BH24" s="4"/>
      <c r="BI24" s="4">
        <f t="shared" si="0"/>
        <v>0</v>
      </c>
      <c r="BJ24" s="4">
        <f t="shared" si="1"/>
        <v>0</v>
      </c>
      <c r="BK24" s="4"/>
      <c r="BL24" s="3">
        <v>22</v>
      </c>
    </row>
    <row r="25" spans="1:64">
      <c r="A25" s="1">
        <v>23</v>
      </c>
      <c r="B25" s="12">
        <f>MAESTRO!D27</f>
        <v>0</v>
      </c>
      <c r="C25" s="64"/>
      <c r="D25" s="19"/>
      <c r="E25" s="19"/>
      <c r="F25" s="64"/>
      <c r="G25" s="19"/>
      <c r="H25" s="19"/>
      <c r="I25" s="19"/>
      <c r="J25" s="19"/>
      <c r="K25" s="19"/>
      <c r="L25" s="19"/>
      <c r="M25" s="19"/>
      <c r="N25" s="19"/>
      <c r="O25" s="19"/>
      <c r="P25" s="19"/>
      <c r="Q25" s="19"/>
      <c r="R25" s="19"/>
      <c r="S25" s="19"/>
      <c r="T25" s="19"/>
      <c r="U25" s="19"/>
      <c r="V25" s="19"/>
      <c r="W25" s="19"/>
      <c r="X25" s="19"/>
      <c r="Y25" s="26"/>
      <c r="Z25" s="26"/>
      <c r="AA25" s="26"/>
      <c r="AB25" s="26"/>
      <c r="AC25" s="26"/>
      <c r="AD25" s="19"/>
      <c r="AE25" s="19"/>
      <c r="AF25" s="19"/>
      <c r="AG25" s="19"/>
      <c r="AH25" s="19"/>
      <c r="AI25" s="19"/>
      <c r="AJ25" s="19"/>
      <c r="AK25" s="26"/>
      <c r="AL25" s="19"/>
      <c r="AM25" s="19"/>
      <c r="AN25" s="19"/>
      <c r="AO25" s="19"/>
      <c r="AP25" s="19"/>
      <c r="AQ25" s="19"/>
      <c r="AR25" s="19"/>
      <c r="AS25" s="19"/>
      <c r="AT25" s="19"/>
      <c r="AU25" s="19"/>
      <c r="AV25" s="19"/>
      <c r="AW25" s="19"/>
      <c r="AX25" s="19"/>
      <c r="AY25" s="19"/>
      <c r="AZ25" s="19"/>
      <c r="BA25" s="19"/>
      <c r="BB25" s="19"/>
      <c r="BC25" s="19"/>
      <c r="BD25" s="19"/>
      <c r="BE25" s="19"/>
      <c r="BF25" s="19"/>
      <c r="BG25" s="19"/>
      <c r="BH25" s="4"/>
      <c r="BI25" s="4">
        <f t="shared" si="0"/>
        <v>0</v>
      </c>
      <c r="BJ25" s="4">
        <f t="shared" si="1"/>
        <v>0</v>
      </c>
      <c r="BK25" s="4"/>
      <c r="BL25" s="3">
        <v>23</v>
      </c>
    </row>
    <row r="26" spans="1:64">
      <c r="A26" s="1">
        <v>24</v>
      </c>
      <c r="B26" s="12">
        <f>MAESTRO!D28</f>
        <v>0</v>
      </c>
      <c r="C26" s="64"/>
      <c r="D26" s="19"/>
      <c r="E26" s="19"/>
      <c r="F26" s="64"/>
      <c r="G26" s="19"/>
      <c r="H26" s="19"/>
      <c r="I26" s="19"/>
      <c r="J26" s="19"/>
      <c r="K26" s="19"/>
      <c r="L26" s="19"/>
      <c r="M26" s="19"/>
      <c r="N26" s="19"/>
      <c r="O26" s="19"/>
      <c r="P26" s="19"/>
      <c r="Q26" s="19"/>
      <c r="R26" s="19"/>
      <c r="S26" s="19"/>
      <c r="T26" s="19"/>
      <c r="U26" s="19"/>
      <c r="V26" s="19"/>
      <c r="W26" s="19"/>
      <c r="X26" s="19"/>
      <c r="Y26" s="26"/>
      <c r="Z26" s="26"/>
      <c r="AA26" s="26"/>
      <c r="AB26" s="26"/>
      <c r="AC26" s="26"/>
      <c r="AD26" s="19"/>
      <c r="AE26" s="19"/>
      <c r="AF26" s="19"/>
      <c r="AG26" s="19"/>
      <c r="AH26" s="19"/>
      <c r="AI26" s="19"/>
      <c r="AJ26" s="19"/>
      <c r="AK26" s="26"/>
      <c r="AL26" s="19"/>
      <c r="AM26" s="19"/>
      <c r="AN26" s="19"/>
      <c r="AO26" s="19"/>
      <c r="AP26" s="19"/>
      <c r="AQ26" s="19"/>
      <c r="AR26" s="19"/>
      <c r="AS26" s="19"/>
      <c r="AT26" s="19"/>
      <c r="AU26" s="19"/>
      <c r="AV26" s="19"/>
      <c r="AW26" s="19"/>
      <c r="AX26" s="19"/>
      <c r="AY26" s="19"/>
      <c r="AZ26" s="19"/>
      <c r="BA26" s="19"/>
      <c r="BB26" s="19"/>
      <c r="BC26" s="19"/>
      <c r="BD26" s="19"/>
      <c r="BE26" s="19"/>
      <c r="BF26" s="19"/>
      <c r="BG26" s="19"/>
      <c r="BH26" s="4"/>
      <c r="BI26" s="4">
        <f t="shared" si="0"/>
        <v>0</v>
      </c>
      <c r="BJ26" s="4">
        <f t="shared" si="1"/>
        <v>0</v>
      </c>
      <c r="BK26" s="4"/>
      <c r="BL26" s="3">
        <v>24</v>
      </c>
    </row>
    <row r="27" spans="1:64">
      <c r="A27" s="1">
        <v>25</v>
      </c>
      <c r="B27" s="12">
        <f>MAESTRO!D29</f>
        <v>0</v>
      </c>
      <c r="C27" s="64"/>
      <c r="D27" s="19"/>
      <c r="E27" s="19"/>
      <c r="F27" s="64"/>
      <c r="G27" s="19"/>
      <c r="H27" s="19"/>
      <c r="I27" s="19"/>
      <c r="J27" s="19"/>
      <c r="K27" s="19"/>
      <c r="L27" s="19"/>
      <c r="M27" s="19"/>
      <c r="N27" s="19"/>
      <c r="O27" s="19"/>
      <c r="P27" s="19"/>
      <c r="Q27" s="19"/>
      <c r="R27" s="19"/>
      <c r="S27" s="19"/>
      <c r="T27" s="19"/>
      <c r="U27" s="19"/>
      <c r="V27" s="19"/>
      <c r="W27" s="19"/>
      <c r="X27" s="19"/>
      <c r="Y27" s="26"/>
      <c r="Z27" s="26"/>
      <c r="AA27" s="26"/>
      <c r="AB27" s="26"/>
      <c r="AC27" s="26"/>
      <c r="AD27" s="19"/>
      <c r="AE27" s="19"/>
      <c r="AF27" s="19"/>
      <c r="AG27" s="19"/>
      <c r="AH27" s="19"/>
      <c r="AI27" s="19"/>
      <c r="AJ27" s="19"/>
      <c r="AK27" s="26"/>
      <c r="AL27" s="19"/>
      <c r="AM27" s="19"/>
      <c r="AN27" s="19"/>
      <c r="AO27" s="19"/>
      <c r="AP27" s="19"/>
      <c r="AQ27" s="19"/>
      <c r="AR27" s="19"/>
      <c r="AS27" s="19"/>
      <c r="AT27" s="19"/>
      <c r="AU27" s="19"/>
      <c r="AV27" s="19"/>
      <c r="AW27" s="19"/>
      <c r="AX27" s="19"/>
      <c r="AY27" s="19"/>
      <c r="AZ27" s="19"/>
      <c r="BA27" s="19"/>
      <c r="BB27" s="19"/>
      <c r="BC27" s="19"/>
      <c r="BD27" s="19"/>
      <c r="BE27" s="19"/>
      <c r="BF27" s="19"/>
      <c r="BG27" s="19"/>
      <c r="BH27" s="4"/>
      <c r="BI27" s="4">
        <f t="shared" si="0"/>
        <v>0</v>
      </c>
      <c r="BJ27" s="4">
        <f t="shared" si="1"/>
        <v>0</v>
      </c>
      <c r="BK27" s="4"/>
      <c r="BL27" s="3">
        <v>25</v>
      </c>
    </row>
    <row r="28" spans="1:64">
      <c r="A28" s="1">
        <v>26</v>
      </c>
      <c r="B28" s="12">
        <f>MAESTRO!D30</f>
        <v>0</v>
      </c>
      <c r="C28" s="64"/>
      <c r="D28" s="19"/>
      <c r="E28" s="19"/>
      <c r="F28" s="64"/>
      <c r="G28" s="19"/>
      <c r="H28" s="19"/>
      <c r="I28" s="19"/>
      <c r="J28" s="19"/>
      <c r="K28" s="19"/>
      <c r="L28" s="19"/>
      <c r="M28" s="19"/>
      <c r="N28" s="19"/>
      <c r="O28" s="19"/>
      <c r="P28" s="19"/>
      <c r="Q28" s="19"/>
      <c r="R28" s="19"/>
      <c r="S28" s="19"/>
      <c r="T28" s="19"/>
      <c r="U28" s="19"/>
      <c r="V28" s="19"/>
      <c r="W28" s="19"/>
      <c r="X28" s="19"/>
      <c r="Y28" s="26"/>
      <c r="Z28" s="26"/>
      <c r="AA28" s="26"/>
      <c r="AB28" s="26"/>
      <c r="AC28" s="26"/>
      <c r="AD28" s="19"/>
      <c r="AE28" s="19"/>
      <c r="AF28" s="19"/>
      <c r="AG28" s="19"/>
      <c r="AH28" s="19"/>
      <c r="AI28" s="19"/>
      <c r="AJ28" s="19"/>
      <c r="AK28" s="26"/>
      <c r="AL28" s="19"/>
      <c r="AM28" s="19"/>
      <c r="AN28" s="19"/>
      <c r="AO28" s="19"/>
      <c r="AP28" s="19"/>
      <c r="AQ28" s="19"/>
      <c r="AR28" s="19"/>
      <c r="AS28" s="19"/>
      <c r="AT28" s="19"/>
      <c r="AU28" s="19"/>
      <c r="AV28" s="19"/>
      <c r="AW28" s="19"/>
      <c r="AX28" s="19"/>
      <c r="AY28" s="19"/>
      <c r="AZ28" s="19"/>
      <c r="BA28" s="19"/>
      <c r="BB28" s="19"/>
      <c r="BC28" s="19"/>
      <c r="BD28" s="19"/>
      <c r="BE28" s="19"/>
      <c r="BF28" s="19"/>
      <c r="BG28" s="19"/>
      <c r="BH28" s="4"/>
      <c r="BI28" s="4">
        <f t="shared" si="0"/>
        <v>0</v>
      </c>
      <c r="BJ28" s="4">
        <f t="shared" si="1"/>
        <v>0</v>
      </c>
      <c r="BK28" s="4"/>
      <c r="BL28" s="3">
        <v>26</v>
      </c>
    </row>
    <row r="29" spans="1:64">
      <c r="A29" s="1">
        <v>27</v>
      </c>
      <c r="B29" s="12">
        <f>MAESTRO!D31</f>
        <v>0</v>
      </c>
      <c r="C29" s="64"/>
      <c r="D29" s="19"/>
      <c r="E29" s="19"/>
      <c r="F29" s="64"/>
      <c r="G29" s="19"/>
      <c r="H29" s="19"/>
      <c r="I29" s="19"/>
      <c r="J29" s="19"/>
      <c r="K29" s="19"/>
      <c r="L29" s="19"/>
      <c r="M29" s="19"/>
      <c r="N29" s="19"/>
      <c r="O29" s="19"/>
      <c r="P29" s="19"/>
      <c r="Q29" s="19"/>
      <c r="R29" s="19"/>
      <c r="S29" s="19"/>
      <c r="T29" s="19"/>
      <c r="U29" s="19"/>
      <c r="V29" s="19"/>
      <c r="W29" s="19"/>
      <c r="X29" s="19"/>
      <c r="Y29" s="26"/>
      <c r="Z29" s="26"/>
      <c r="AA29" s="26"/>
      <c r="AB29" s="26"/>
      <c r="AC29" s="26"/>
      <c r="AD29" s="19"/>
      <c r="AE29" s="19"/>
      <c r="AF29" s="19"/>
      <c r="AG29" s="19"/>
      <c r="AH29" s="19"/>
      <c r="AI29" s="19"/>
      <c r="AJ29" s="19"/>
      <c r="AK29" s="26"/>
      <c r="AL29" s="19"/>
      <c r="AM29" s="19"/>
      <c r="AN29" s="19"/>
      <c r="AO29" s="19"/>
      <c r="AP29" s="19"/>
      <c r="AQ29" s="19"/>
      <c r="AR29" s="19"/>
      <c r="AS29" s="19"/>
      <c r="AT29" s="19"/>
      <c r="AU29" s="19"/>
      <c r="AV29" s="19"/>
      <c r="AW29" s="19"/>
      <c r="AX29" s="19"/>
      <c r="AY29" s="19"/>
      <c r="AZ29" s="19"/>
      <c r="BA29" s="19"/>
      <c r="BB29" s="19"/>
      <c r="BC29" s="19"/>
      <c r="BD29" s="19"/>
      <c r="BE29" s="19"/>
      <c r="BF29" s="19"/>
      <c r="BG29" s="19"/>
      <c r="BH29" s="4"/>
      <c r="BI29" s="4">
        <f t="shared" si="0"/>
        <v>0</v>
      </c>
      <c r="BJ29" s="4">
        <f t="shared" si="1"/>
        <v>0</v>
      </c>
      <c r="BK29" s="4"/>
      <c r="BL29" s="3">
        <v>27</v>
      </c>
    </row>
    <row r="30" spans="1:64">
      <c r="A30" s="1">
        <v>28</v>
      </c>
      <c r="B30" s="12">
        <f>MAESTRO!D32</f>
        <v>0</v>
      </c>
      <c r="C30" s="64"/>
      <c r="D30" s="19"/>
      <c r="E30" s="19"/>
      <c r="F30" s="64"/>
      <c r="G30" s="19"/>
      <c r="H30" s="19"/>
      <c r="I30" s="19"/>
      <c r="J30" s="19"/>
      <c r="K30" s="19"/>
      <c r="L30" s="19"/>
      <c r="M30" s="19"/>
      <c r="N30" s="19"/>
      <c r="O30" s="19"/>
      <c r="P30" s="19"/>
      <c r="Q30" s="19"/>
      <c r="R30" s="19"/>
      <c r="S30" s="19"/>
      <c r="T30" s="19"/>
      <c r="U30" s="19"/>
      <c r="V30" s="19"/>
      <c r="W30" s="19"/>
      <c r="X30" s="19"/>
      <c r="Y30" s="26"/>
      <c r="Z30" s="26"/>
      <c r="AA30" s="26"/>
      <c r="AB30" s="26"/>
      <c r="AC30" s="26"/>
      <c r="AD30" s="19"/>
      <c r="AE30" s="19"/>
      <c r="AF30" s="19"/>
      <c r="AG30" s="19"/>
      <c r="AH30" s="19"/>
      <c r="AI30" s="19"/>
      <c r="AJ30" s="19"/>
      <c r="AK30" s="26"/>
      <c r="AL30" s="19"/>
      <c r="AM30" s="19"/>
      <c r="AN30" s="19"/>
      <c r="AO30" s="19"/>
      <c r="AP30" s="19"/>
      <c r="AQ30" s="19"/>
      <c r="AR30" s="19"/>
      <c r="AS30" s="19"/>
      <c r="AT30" s="19"/>
      <c r="AU30" s="19"/>
      <c r="AV30" s="19"/>
      <c r="AW30" s="19"/>
      <c r="AX30" s="19"/>
      <c r="AY30" s="19"/>
      <c r="AZ30" s="19"/>
      <c r="BA30" s="19"/>
      <c r="BB30" s="19"/>
      <c r="BC30" s="19"/>
      <c r="BD30" s="19"/>
      <c r="BE30" s="19"/>
      <c r="BF30" s="19"/>
      <c r="BG30" s="19"/>
      <c r="BH30" s="4"/>
      <c r="BI30" s="4">
        <f t="shared" si="0"/>
        <v>0</v>
      </c>
      <c r="BJ30" s="4">
        <f t="shared" si="1"/>
        <v>0</v>
      </c>
      <c r="BK30" s="4"/>
      <c r="BL30" s="3">
        <v>28</v>
      </c>
    </row>
    <row r="31" spans="1:64">
      <c r="A31" s="1">
        <v>29</v>
      </c>
      <c r="B31" s="12">
        <f>MAESTRO!D33</f>
        <v>0</v>
      </c>
      <c r="C31" s="64"/>
      <c r="D31" s="19"/>
      <c r="E31" s="19"/>
      <c r="F31" s="64"/>
      <c r="G31" s="19"/>
      <c r="H31" s="19"/>
      <c r="I31" s="19"/>
      <c r="J31" s="19"/>
      <c r="K31" s="19"/>
      <c r="L31" s="19"/>
      <c r="M31" s="19"/>
      <c r="N31" s="19"/>
      <c r="O31" s="19"/>
      <c r="P31" s="19"/>
      <c r="Q31" s="19"/>
      <c r="R31" s="19"/>
      <c r="S31" s="19"/>
      <c r="T31" s="19"/>
      <c r="U31" s="19"/>
      <c r="V31" s="19"/>
      <c r="W31" s="19"/>
      <c r="X31" s="19"/>
      <c r="Y31" s="26"/>
      <c r="Z31" s="26"/>
      <c r="AA31" s="26"/>
      <c r="AB31" s="26"/>
      <c r="AC31" s="26"/>
      <c r="AD31" s="19"/>
      <c r="AE31" s="19"/>
      <c r="AF31" s="19"/>
      <c r="AG31" s="19"/>
      <c r="AH31" s="19"/>
      <c r="AI31" s="19"/>
      <c r="AJ31" s="19"/>
      <c r="AK31" s="26"/>
      <c r="AL31" s="19"/>
      <c r="AM31" s="19"/>
      <c r="AN31" s="19"/>
      <c r="AO31" s="19"/>
      <c r="AP31" s="19"/>
      <c r="AQ31" s="19"/>
      <c r="AR31" s="19"/>
      <c r="AS31" s="19"/>
      <c r="AT31" s="19"/>
      <c r="AU31" s="19"/>
      <c r="AV31" s="19"/>
      <c r="AW31" s="19"/>
      <c r="AX31" s="19"/>
      <c r="AY31" s="19"/>
      <c r="AZ31" s="19"/>
      <c r="BA31" s="19"/>
      <c r="BB31" s="19"/>
      <c r="BC31" s="19"/>
      <c r="BD31" s="19"/>
      <c r="BE31" s="19"/>
      <c r="BF31" s="19"/>
      <c r="BG31" s="19"/>
      <c r="BH31" s="4"/>
      <c r="BI31" s="4">
        <f t="shared" si="0"/>
        <v>0</v>
      </c>
      <c r="BJ31" s="4">
        <f t="shared" si="1"/>
        <v>0</v>
      </c>
      <c r="BK31" s="4"/>
      <c r="BL31" s="3">
        <v>29</v>
      </c>
    </row>
    <row r="32" spans="1:64">
      <c r="A32" s="1">
        <v>30</v>
      </c>
      <c r="B32" s="12">
        <f>MAESTRO!D34</f>
        <v>0</v>
      </c>
      <c r="C32" s="64"/>
      <c r="D32" s="19"/>
      <c r="E32" s="19"/>
      <c r="F32" s="64"/>
      <c r="G32" s="19"/>
      <c r="H32" s="19"/>
      <c r="I32" s="19"/>
      <c r="J32" s="19"/>
      <c r="K32" s="19"/>
      <c r="L32" s="19"/>
      <c r="M32" s="19"/>
      <c r="N32" s="19"/>
      <c r="O32" s="19"/>
      <c r="P32" s="19"/>
      <c r="Q32" s="19"/>
      <c r="R32" s="19"/>
      <c r="S32" s="19"/>
      <c r="T32" s="19"/>
      <c r="U32" s="19"/>
      <c r="V32" s="19"/>
      <c r="W32" s="19"/>
      <c r="X32" s="19"/>
      <c r="Y32" s="26"/>
      <c r="Z32" s="26"/>
      <c r="AA32" s="26"/>
      <c r="AB32" s="26"/>
      <c r="AC32" s="26"/>
      <c r="AD32" s="19"/>
      <c r="AE32" s="19"/>
      <c r="AF32" s="19"/>
      <c r="AG32" s="19"/>
      <c r="AH32" s="19"/>
      <c r="AI32" s="19"/>
      <c r="AJ32" s="19"/>
      <c r="AK32" s="26"/>
      <c r="AL32" s="19"/>
      <c r="AM32" s="19"/>
      <c r="AN32" s="19"/>
      <c r="AO32" s="19"/>
      <c r="AP32" s="19"/>
      <c r="AQ32" s="19"/>
      <c r="AR32" s="19"/>
      <c r="AS32" s="19"/>
      <c r="AT32" s="19"/>
      <c r="AU32" s="19"/>
      <c r="AV32" s="19"/>
      <c r="AW32" s="19"/>
      <c r="AX32" s="19"/>
      <c r="AY32" s="19"/>
      <c r="AZ32" s="19"/>
      <c r="BA32" s="19"/>
      <c r="BB32" s="19"/>
      <c r="BC32" s="19"/>
      <c r="BD32" s="19"/>
      <c r="BE32" s="19"/>
      <c r="BF32" s="19"/>
      <c r="BG32" s="19"/>
      <c r="BH32" s="4"/>
      <c r="BI32" s="4">
        <f t="shared" si="0"/>
        <v>0</v>
      </c>
      <c r="BJ32" s="4">
        <f t="shared" si="1"/>
        <v>0</v>
      </c>
      <c r="BK32" s="4"/>
      <c r="BL32" s="3">
        <v>30</v>
      </c>
    </row>
    <row r="33" spans="1:64">
      <c r="A33" s="1">
        <v>31</v>
      </c>
      <c r="B33" s="12">
        <f>MAESTRO!D35</f>
        <v>0</v>
      </c>
      <c r="C33" s="64"/>
      <c r="D33" s="19"/>
      <c r="E33" s="19"/>
      <c r="F33" s="64"/>
      <c r="G33" s="19"/>
      <c r="H33" s="19"/>
      <c r="I33" s="19"/>
      <c r="J33" s="19"/>
      <c r="K33" s="19"/>
      <c r="L33" s="19"/>
      <c r="M33" s="19"/>
      <c r="N33" s="19"/>
      <c r="O33" s="19"/>
      <c r="P33" s="19"/>
      <c r="Q33" s="19"/>
      <c r="R33" s="19"/>
      <c r="S33" s="19"/>
      <c r="T33" s="19"/>
      <c r="U33" s="19"/>
      <c r="V33" s="19"/>
      <c r="W33" s="19"/>
      <c r="X33" s="19"/>
      <c r="Y33" s="26"/>
      <c r="Z33" s="26"/>
      <c r="AA33" s="26"/>
      <c r="AB33" s="26"/>
      <c r="AC33" s="26"/>
      <c r="AD33" s="19"/>
      <c r="AE33" s="19"/>
      <c r="AF33" s="19"/>
      <c r="AG33" s="19"/>
      <c r="AH33" s="19"/>
      <c r="AI33" s="19"/>
      <c r="AJ33" s="19"/>
      <c r="AK33" s="26"/>
      <c r="AL33" s="19"/>
      <c r="AM33" s="19"/>
      <c r="AN33" s="19"/>
      <c r="AO33" s="19"/>
      <c r="AP33" s="19"/>
      <c r="AQ33" s="19"/>
      <c r="AR33" s="19"/>
      <c r="AS33" s="19"/>
      <c r="AT33" s="19"/>
      <c r="AU33" s="19"/>
      <c r="AV33" s="19"/>
      <c r="AW33" s="19"/>
      <c r="AX33" s="19"/>
      <c r="AY33" s="19"/>
      <c r="AZ33" s="19"/>
      <c r="BA33" s="19"/>
      <c r="BB33" s="19"/>
      <c r="BC33" s="19"/>
      <c r="BD33" s="19"/>
      <c r="BE33" s="19"/>
      <c r="BF33" s="19"/>
      <c r="BG33" s="19"/>
      <c r="BH33" s="4"/>
      <c r="BI33" s="4">
        <f t="shared" si="0"/>
        <v>0</v>
      </c>
      <c r="BJ33" s="4">
        <f t="shared" si="1"/>
        <v>0</v>
      </c>
      <c r="BK33" s="4"/>
      <c r="BL33" s="3">
        <v>31</v>
      </c>
    </row>
    <row r="34" spans="1:64">
      <c r="A34" s="1">
        <v>32</v>
      </c>
      <c r="B34" s="12">
        <f>MAESTRO!D36</f>
        <v>0</v>
      </c>
      <c r="C34" s="64"/>
      <c r="D34" s="19"/>
      <c r="E34" s="19"/>
      <c r="F34" s="64"/>
      <c r="G34" s="19"/>
      <c r="H34" s="19"/>
      <c r="I34" s="19"/>
      <c r="J34" s="19"/>
      <c r="K34" s="19"/>
      <c r="L34" s="19"/>
      <c r="M34" s="19"/>
      <c r="N34" s="19"/>
      <c r="O34" s="19"/>
      <c r="P34" s="19"/>
      <c r="Q34" s="19"/>
      <c r="R34" s="19"/>
      <c r="S34" s="19"/>
      <c r="T34" s="19"/>
      <c r="U34" s="19"/>
      <c r="V34" s="19"/>
      <c r="W34" s="19"/>
      <c r="X34" s="19"/>
      <c r="Y34" s="26"/>
      <c r="Z34" s="26"/>
      <c r="AA34" s="26"/>
      <c r="AB34" s="26"/>
      <c r="AC34" s="26"/>
      <c r="AD34" s="19"/>
      <c r="AE34" s="19"/>
      <c r="AF34" s="19"/>
      <c r="AG34" s="19"/>
      <c r="AH34" s="19"/>
      <c r="AI34" s="19"/>
      <c r="AJ34" s="19"/>
      <c r="AK34" s="26"/>
      <c r="AL34" s="19"/>
      <c r="AM34" s="19"/>
      <c r="AN34" s="19"/>
      <c r="AO34" s="19"/>
      <c r="AP34" s="19"/>
      <c r="AQ34" s="19"/>
      <c r="AR34" s="19"/>
      <c r="AS34" s="19"/>
      <c r="AT34" s="19"/>
      <c r="AU34" s="19"/>
      <c r="AV34" s="19"/>
      <c r="AW34" s="19"/>
      <c r="AX34" s="19"/>
      <c r="AY34" s="19"/>
      <c r="AZ34" s="19"/>
      <c r="BA34" s="19"/>
      <c r="BB34" s="19"/>
      <c r="BC34" s="19"/>
      <c r="BD34" s="19"/>
      <c r="BE34" s="19"/>
      <c r="BF34" s="19"/>
      <c r="BG34" s="19"/>
      <c r="BH34" s="4"/>
      <c r="BI34" s="4">
        <f t="shared" si="0"/>
        <v>0</v>
      </c>
      <c r="BJ34" s="4">
        <f t="shared" si="1"/>
        <v>0</v>
      </c>
      <c r="BK34" s="4"/>
      <c r="BL34" s="3">
        <v>32</v>
      </c>
    </row>
    <row r="35" spans="1:64">
      <c r="A35" s="1">
        <v>33</v>
      </c>
      <c r="B35" s="12">
        <f>MAESTRO!D37</f>
        <v>0</v>
      </c>
      <c r="C35" s="64"/>
      <c r="D35" s="19"/>
      <c r="E35" s="19"/>
      <c r="F35" s="64"/>
      <c r="G35" s="19"/>
      <c r="H35" s="19"/>
      <c r="I35" s="19"/>
      <c r="J35" s="19"/>
      <c r="K35" s="19"/>
      <c r="L35" s="19"/>
      <c r="M35" s="19"/>
      <c r="N35" s="19"/>
      <c r="O35" s="19"/>
      <c r="P35" s="19"/>
      <c r="Q35" s="19"/>
      <c r="R35" s="19"/>
      <c r="S35" s="19"/>
      <c r="T35" s="19"/>
      <c r="U35" s="19"/>
      <c r="V35" s="19"/>
      <c r="W35" s="19"/>
      <c r="X35" s="19"/>
      <c r="Y35" s="26"/>
      <c r="Z35" s="26"/>
      <c r="AA35" s="26"/>
      <c r="AB35" s="26"/>
      <c r="AC35" s="26"/>
      <c r="AD35" s="19"/>
      <c r="AE35" s="19"/>
      <c r="AF35" s="19"/>
      <c r="AG35" s="19"/>
      <c r="AH35" s="19"/>
      <c r="AI35" s="19"/>
      <c r="AJ35" s="19"/>
      <c r="AK35" s="26"/>
      <c r="AL35" s="19"/>
      <c r="AM35" s="19"/>
      <c r="AN35" s="19"/>
      <c r="AO35" s="19"/>
      <c r="AP35" s="19"/>
      <c r="AQ35" s="19"/>
      <c r="AR35" s="19"/>
      <c r="AS35" s="19"/>
      <c r="AT35" s="19"/>
      <c r="AU35" s="19"/>
      <c r="AV35" s="19"/>
      <c r="AW35" s="19"/>
      <c r="AX35" s="19"/>
      <c r="AY35" s="19"/>
      <c r="AZ35" s="19"/>
      <c r="BA35" s="19"/>
      <c r="BB35" s="19"/>
      <c r="BC35" s="19"/>
      <c r="BD35" s="19"/>
      <c r="BE35" s="19"/>
      <c r="BF35" s="19"/>
      <c r="BG35" s="19"/>
      <c r="BH35" s="4"/>
      <c r="BI35" s="4">
        <f t="shared" si="0"/>
        <v>0</v>
      </c>
      <c r="BJ35" s="4">
        <f t="shared" si="1"/>
        <v>0</v>
      </c>
      <c r="BK35" s="4"/>
      <c r="BL35" s="3">
        <v>33</v>
      </c>
    </row>
    <row r="36" spans="1:64">
      <c r="A36" s="1">
        <v>34</v>
      </c>
      <c r="B36" s="12">
        <f>MAESTRO!D38</f>
        <v>0</v>
      </c>
      <c r="C36" s="64"/>
      <c r="D36" s="19"/>
      <c r="E36" s="19"/>
      <c r="F36" s="64"/>
      <c r="G36" s="19"/>
      <c r="H36" s="19"/>
      <c r="I36" s="19"/>
      <c r="J36" s="19"/>
      <c r="K36" s="19"/>
      <c r="L36" s="19"/>
      <c r="M36" s="19"/>
      <c r="N36" s="19"/>
      <c r="O36" s="19"/>
      <c r="P36" s="19"/>
      <c r="Q36" s="19"/>
      <c r="R36" s="19"/>
      <c r="S36" s="19"/>
      <c r="T36" s="19"/>
      <c r="U36" s="19"/>
      <c r="V36" s="19"/>
      <c r="W36" s="19"/>
      <c r="X36" s="19"/>
      <c r="Y36" s="26"/>
      <c r="Z36" s="26"/>
      <c r="AA36" s="26"/>
      <c r="AB36" s="26"/>
      <c r="AC36" s="26"/>
      <c r="AD36" s="19"/>
      <c r="AE36" s="19"/>
      <c r="AF36" s="19"/>
      <c r="AG36" s="19"/>
      <c r="AH36" s="19"/>
      <c r="AI36" s="19"/>
      <c r="AJ36" s="19"/>
      <c r="AK36" s="26"/>
      <c r="AL36" s="19"/>
      <c r="AM36" s="19"/>
      <c r="AN36" s="19"/>
      <c r="AO36" s="19"/>
      <c r="AP36" s="19"/>
      <c r="AQ36" s="19"/>
      <c r="AR36" s="19"/>
      <c r="AS36" s="19"/>
      <c r="AT36" s="19"/>
      <c r="AU36" s="19"/>
      <c r="AV36" s="19"/>
      <c r="AW36" s="19"/>
      <c r="AX36" s="19"/>
      <c r="AY36" s="19"/>
      <c r="AZ36" s="19"/>
      <c r="BA36" s="19"/>
      <c r="BB36" s="19"/>
      <c r="BC36" s="19"/>
      <c r="BD36" s="19"/>
      <c r="BE36" s="19"/>
      <c r="BF36" s="19"/>
      <c r="BG36" s="19"/>
      <c r="BH36" s="4"/>
      <c r="BI36" s="4">
        <f t="shared" si="0"/>
        <v>0</v>
      </c>
      <c r="BJ36" s="4">
        <f t="shared" si="1"/>
        <v>0</v>
      </c>
      <c r="BK36" s="4"/>
      <c r="BL36" s="3">
        <v>34</v>
      </c>
    </row>
    <row r="37" spans="1:64">
      <c r="A37" s="1">
        <v>35</v>
      </c>
      <c r="B37" s="12">
        <f>MAESTRO!D39</f>
        <v>0</v>
      </c>
      <c r="C37" s="64"/>
      <c r="D37" s="19"/>
      <c r="E37" s="19"/>
      <c r="F37" s="64"/>
      <c r="G37" s="19"/>
      <c r="H37" s="19"/>
      <c r="I37" s="19"/>
      <c r="J37" s="19"/>
      <c r="K37" s="19"/>
      <c r="L37" s="19"/>
      <c r="M37" s="19"/>
      <c r="N37" s="19"/>
      <c r="O37" s="19"/>
      <c r="P37" s="19"/>
      <c r="Q37" s="19"/>
      <c r="R37" s="19"/>
      <c r="S37" s="19"/>
      <c r="T37" s="19"/>
      <c r="U37" s="19"/>
      <c r="V37" s="19"/>
      <c r="W37" s="19"/>
      <c r="X37" s="19"/>
      <c r="Y37" s="26"/>
      <c r="Z37" s="26"/>
      <c r="AA37" s="26"/>
      <c r="AB37" s="26"/>
      <c r="AC37" s="26"/>
      <c r="AD37" s="19"/>
      <c r="AE37" s="19"/>
      <c r="AF37" s="19"/>
      <c r="AG37" s="19"/>
      <c r="AH37" s="19"/>
      <c r="AI37" s="19"/>
      <c r="AJ37" s="19"/>
      <c r="AK37" s="26"/>
      <c r="AL37" s="19"/>
      <c r="AM37" s="19"/>
      <c r="AN37" s="19"/>
      <c r="AO37" s="19"/>
      <c r="AP37" s="19"/>
      <c r="AQ37" s="19"/>
      <c r="AR37" s="19"/>
      <c r="AS37" s="19"/>
      <c r="AT37" s="19"/>
      <c r="AU37" s="19"/>
      <c r="AV37" s="19"/>
      <c r="AW37" s="19"/>
      <c r="AX37" s="19"/>
      <c r="AY37" s="19"/>
      <c r="AZ37" s="19"/>
      <c r="BA37" s="19"/>
      <c r="BB37" s="19"/>
      <c r="BC37" s="19"/>
      <c r="BD37" s="19"/>
      <c r="BE37" s="19"/>
      <c r="BF37" s="19"/>
      <c r="BG37" s="19"/>
      <c r="BH37" s="4"/>
      <c r="BI37" s="4">
        <f t="shared" si="0"/>
        <v>0</v>
      </c>
      <c r="BJ37" s="4">
        <f t="shared" si="1"/>
        <v>0</v>
      </c>
      <c r="BK37" s="4"/>
      <c r="BL37" s="3">
        <v>35</v>
      </c>
    </row>
    <row r="38" spans="1:64">
      <c r="A38" s="1">
        <v>36</v>
      </c>
      <c r="B38" s="12">
        <f>MAESTRO!D40</f>
        <v>0</v>
      </c>
      <c r="C38" s="64"/>
      <c r="D38" s="19"/>
      <c r="E38" s="19"/>
      <c r="F38" s="64"/>
      <c r="G38" s="19"/>
      <c r="H38" s="19"/>
      <c r="I38" s="19"/>
      <c r="J38" s="19"/>
      <c r="K38" s="19"/>
      <c r="L38" s="19"/>
      <c r="M38" s="19"/>
      <c r="N38" s="19"/>
      <c r="O38" s="19"/>
      <c r="P38" s="19"/>
      <c r="Q38" s="19"/>
      <c r="R38" s="19"/>
      <c r="S38" s="19"/>
      <c r="T38" s="19"/>
      <c r="U38" s="19"/>
      <c r="V38" s="19"/>
      <c r="W38" s="19"/>
      <c r="X38" s="19"/>
      <c r="Y38" s="26"/>
      <c r="Z38" s="26"/>
      <c r="AA38" s="26"/>
      <c r="AB38" s="26"/>
      <c r="AC38" s="26"/>
      <c r="AD38" s="19"/>
      <c r="AE38" s="19"/>
      <c r="AF38" s="19"/>
      <c r="AG38" s="19"/>
      <c r="AH38" s="19"/>
      <c r="AI38" s="19"/>
      <c r="AJ38" s="19"/>
      <c r="AK38" s="26"/>
      <c r="AL38" s="19"/>
      <c r="AM38" s="19"/>
      <c r="AN38" s="19"/>
      <c r="AO38" s="19"/>
      <c r="AP38" s="19"/>
      <c r="AQ38" s="19"/>
      <c r="AR38" s="19"/>
      <c r="AS38" s="19"/>
      <c r="AT38" s="19"/>
      <c r="AU38" s="19"/>
      <c r="AV38" s="19"/>
      <c r="AW38" s="19"/>
      <c r="AX38" s="19"/>
      <c r="AY38" s="19"/>
      <c r="AZ38" s="19"/>
      <c r="BA38" s="19"/>
      <c r="BB38" s="19"/>
      <c r="BC38" s="19"/>
      <c r="BD38" s="19"/>
      <c r="BE38" s="19"/>
      <c r="BF38" s="19"/>
      <c r="BG38" s="19"/>
      <c r="BH38" s="4"/>
      <c r="BI38" s="4">
        <f t="shared" si="0"/>
        <v>0</v>
      </c>
      <c r="BJ38" s="4">
        <f t="shared" si="1"/>
        <v>0</v>
      </c>
      <c r="BK38" s="4"/>
      <c r="BL38" s="3">
        <v>36</v>
      </c>
    </row>
    <row r="39" spans="1:64">
      <c r="A39" s="1">
        <v>37</v>
      </c>
      <c r="B39" s="12">
        <f>MAESTRO!D41</f>
        <v>0</v>
      </c>
      <c r="C39" s="64"/>
      <c r="D39" s="19"/>
      <c r="E39" s="19"/>
      <c r="F39" s="64"/>
      <c r="G39" s="19"/>
      <c r="H39" s="19"/>
      <c r="I39" s="19"/>
      <c r="J39" s="19"/>
      <c r="K39" s="19"/>
      <c r="L39" s="19"/>
      <c r="M39" s="19"/>
      <c r="N39" s="19"/>
      <c r="O39" s="19"/>
      <c r="P39" s="19"/>
      <c r="Q39" s="19"/>
      <c r="R39" s="19"/>
      <c r="S39" s="19"/>
      <c r="T39" s="19"/>
      <c r="U39" s="19"/>
      <c r="V39" s="19"/>
      <c r="W39" s="19"/>
      <c r="X39" s="19"/>
      <c r="Y39" s="26"/>
      <c r="Z39" s="26"/>
      <c r="AA39" s="26"/>
      <c r="AB39" s="26"/>
      <c r="AC39" s="26"/>
      <c r="AD39" s="19"/>
      <c r="AE39" s="19"/>
      <c r="AF39" s="19"/>
      <c r="AG39" s="19"/>
      <c r="AH39" s="19"/>
      <c r="AI39" s="19"/>
      <c r="AJ39" s="19"/>
      <c r="AK39" s="26"/>
      <c r="AL39" s="19"/>
      <c r="AM39" s="19"/>
      <c r="AN39" s="19"/>
      <c r="AO39" s="19"/>
      <c r="AP39" s="19"/>
      <c r="AQ39" s="19"/>
      <c r="AR39" s="19"/>
      <c r="AS39" s="19"/>
      <c r="AT39" s="19"/>
      <c r="AU39" s="19"/>
      <c r="AV39" s="19"/>
      <c r="AW39" s="19"/>
      <c r="AX39" s="19"/>
      <c r="AY39" s="19"/>
      <c r="AZ39" s="19"/>
      <c r="BA39" s="19"/>
      <c r="BB39" s="19"/>
      <c r="BC39" s="19"/>
      <c r="BD39" s="19"/>
      <c r="BE39" s="19"/>
      <c r="BF39" s="19"/>
      <c r="BG39" s="19"/>
      <c r="BH39" s="4"/>
      <c r="BI39" s="4">
        <f t="shared" si="0"/>
        <v>0</v>
      </c>
      <c r="BJ39" s="4">
        <f t="shared" si="1"/>
        <v>0</v>
      </c>
      <c r="BK39" s="4"/>
      <c r="BL39" s="3">
        <v>37</v>
      </c>
    </row>
    <row r="40" spans="1:64">
      <c r="A40" s="1">
        <v>38</v>
      </c>
      <c r="B40" s="12">
        <f>MAESTRO!D42</f>
        <v>0</v>
      </c>
      <c r="C40" s="64"/>
      <c r="D40" s="19"/>
      <c r="E40" s="19"/>
      <c r="F40" s="64"/>
      <c r="G40" s="19"/>
      <c r="H40" s="19"/>
      <c r="I40" s="19"/>
      <c r="J40" s="19"/>
      <c r="K40" s="19"/>
      <c r="L40" s="19"/>
      <c r="M40" s="19"/>
      <c r="N40" s="19"/>
      <c r="O40" s="19"/>
      <c r="P40" s="19"/>
      <c r="Q40" s="19"/>
      <c r="R40" s="19"/>
      <c r="S40" s="19"/>
      <c r="T40" s="19"/>
      <c r="U40" s="19"/>
      <c r="V40" s="19"/>
      <c r="W40" s="19"/>
      <c r="X40" s="19"/>
      <c r="Y40" s="26"/>
      <c r="Z40" s="26"/>
      <c r="AA40" s="26"/>
      <c r="AB40" s="26"/>
      <c r="AC40" s="26"/>
      <c r="AD40" s="19"/>
      <c r="AE40" s="19"/>
      <c r="AF40" s="19"/>
      <c r="AG40" s="19"/>
      <c r="AH40" s="19"/>
      <c r="AI40" s="19"/>
      <c r="AJ40" s="19"/>
      <c r="AK40" s="26"/>
      <c r="AL40" s="19"/>
      <c r="AM40" s="19"/>
      <c r="AN40" s="19"/>
      <c r="AO40" s="19"/>
      <c r="AP40" s="19"/>
      <c r="AQ40" s="19"/>
      <c r="AR40" s="19"/>
      <c r="AS40" s="19"/>
      <c r="AT40" s="19"/>
      <c r="AU40" s="19"/>
      <c r="AV40" s="19"/>
      <c r="AW40" s="19"/>
      <c r="AX40" s="19"/>
      <c r="AY40" s="19"/>
      <c r="AZ40" s="19"/>
      <c r="BA40" s="19"/>
      <c r="BB40" s="19"/>
      <c r="BC40" s="19"/>
      <c r="BD40" s="19"/>
      <c r="BE40" s="19"/>
      <c r="BF40" s="19"/>
      <c r="BG40" s="19"/>
      <c r="BH40" s="4"/>
      <c r="BI40" s="4">
        <f t="shared" si="0"/>
        <v>0</v>
      </c>
      <c r="BJ40" s="4">
        <f t="shared" si="1"/>
        <v>0</v>
      </c>
      <c r="BK40" s="4"/>
      <c r="BL40" s="3">
        <v>38</v>
      </c>
    </row>
    <row r="41" spans="1:64">
      <c r="A41" s="1">
        <v>39</v>
      </c>
      <c r="B41" s="12">
        <f>MAESTRO!D43</f>
        <v>0</v>
      </c>
      <c r="C41" s="19"/>
      <c r="D41" s="19"/>
      <c r="E41" s="19"/>
      <c r="F41" s="19"/>
      <c r="G41" s="19"/>
      <c r="H41" s="19"/>
      <c r="I41" s="19"/>
      <c r="J41" s="19"/>
      <c r="K41" s="19"/>
      <c r="L41" s="19"/>
      <c r="M41" s="19"/>
      <c r="N41" s="19"/>
      <c r="O41" s="19"/>
      <c r="P41" s="19"/>
      <c r="Q41" s="19"/>
      <c r="R41" s="19"/>
      <c r="S41" s="19"/>
      <c r="T41" s="19"/>
      <c r="U41" s="19"/>
      <c r="V41" s="19"/>
      <c r="W41" s="19"/>
      <c r="X41" s="19"/>
      <c r="Y41" s="19"/>
      <c r="Z41" s="19"/>
      <c r="AA41" s="26"/>
      <c r="AB41" s="26"/>
      <c r="AC41" s="26"/>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4"/>
      <c r="BI41" s="4">
        <f>COUNTIF(C41:BH41,"A")</f>
        <v>0</v>
      </c>
      <c r="BJ41" s="4">
        <f t="shared" si="1"/>
        <v>0</v>
      </c>
      <c r="BK41" s="4"/>
      <c r="BL41" s="3">
        <v>39</v>
      </c>
    </row>
    <row r="42" spans="1:64">
      <c r="A42" s="1">
        <v>40</v>
      </c>
      <c r="B42" s="4">
        <f>MAESTRO!D44</f>
        <v>0</v>
      </c>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4"/>
      <c r="BI42" s="4">
        <f>COUNTIF(C42:BH42,"A")</f>
        <v>0</v>
      </c>
      <c r="BJ42" s="4">
        <f t="shared" si="1"/>
        <v>0</v>
      </c>
      <c r="BK42" s="4"/>
      <c r="BL42" s="3">
        <v>40</v>
      </c>
    </row>
    <row r="43" spans="1:64">
      <c r="A43" s="6">
        <v>41</v>
      </c>
      <c r="B43" s="4"/>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4"/>
      <c r="BI43" s="4">
        <f>COUNTIF(C43:BH43,"A")</f>
        <v>0</v>
      </c>
      <c r="BJ43" s="4">
        <f t="shared" si="1"/>
        <v>0</v>
      </c>
      <c r="BK43" s="4"/>
      <c r="BL43" s="4">
        <v>41</v>
      </c>
    </row>
    <row r="44" spans="1:64" ht="31.2" customHeight="1">
      <c r="A44" s="244"/>
      <c r="B44" s="249" t="s">
        <v>77</v>
      </c>
      <c r="C44" s="250" t="s">
        <v>82</v>
      </c>
      <c r="D44" s="251"/>
      <c r="E44" s="251"/>
      <c r="F44" s="251"/>
      <c r="G44" s="251"/>
      <c r="H44" s="251"/>
      <c r="I44" s="251"/>
      <c r="J44" s="251"/>
      <c r="K44" s="251"/>
      <c r="L44" s="251"/>
      <c r="M44" s="251"/>
      <c r="N44" s="251"/>
      <c r="O44" s="251"/>
      <c r="P44" s="251"/>
      <c r="Q44" s="251"/>
      <c r="R44" s="251"/>
      <c r="S44" s="251"/>
      <c r="T44" s="251"/>
      <c r="U44" s="251"/>
      <c r="V44" s="251"/>
      <c r="W44" s="251"/>
      <c r="X44" s="251"/>
      <c r="Y44" s="251"/>
      <c r="Z44" s="251"/>
      <c r="AA44" s="251"/>
      <c r="AB44" s="251"/>
      <c r="AC44" s="251"/>
      <c r="AD44" s="251"/>
      <c r="AE44" s="251"/>
      <c r="AF44" s="251"/>
      <c r="AG44" s="251"/>
      <c r="AH44" s="251"/>
      <c r="AI44" s="251"/>
      <c r="AJ44" s="251"/>
      <c r="AK44" s="251"/>
      <c r="AL44" s="251"/>
      <c r="AM44" s="251"/>
      <c r="AN44" s="251"/>
      <c r="AO44" s="251"/>
      <c r="AP44" s="251"/>
      <c r="AQ44" s="251"/>
      <c r="AR44" s="251"/>
      <c r="AS44" s="251"/>
      <c r="AT44" s="251"/>
      <c r="AU44" s="251"/>
      <c r="AV44" s="251"/>
      <c r="AW44" s="251"/>
      <c r="AX44" s="251"/>
      <c r="AY44" s="251"/>
      <c r="AZ44" s="251"/>
      <c r="BA44" s="251"/>
      <c r="BB44" s="251"/>
      <c r="BC44" s="251"/>
      <c r="BD44" s="251"/>
      <c r="BE44" s="251"/>
      <c r="BF44" s="251"/>
      <c r="BG44" s="251"/>
      <c r="BH44" s="241"/>
      <c r="BI44" s="240" t="s">
        <v>83</v>
      </c>
      <c r="BJ44" s="241"/>
      <c r="BK44" s="245" t="s">
        <v>18</v>
      </c>
      <c r="BL44" s="77"/>
    </row>
    <row r="45" spans="1:64" ht="42.6" customHeight="1">
      <c r="A45" s="243"/>
      <c r="B45" s="243"/>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9"/>
      <c r="BA45" s="19"/>
      <c r="BB45" s="19"/>
      <c r="BC45" s="19"/>
      <c r="BD45" s="19"/>
      <c r="BE45" s="19"/>
      <c r="BF45" s="19"/>
      <c r="BG45" s="19"/>
      <c r="BH45" s="4"/>
      <c r="BI45" s="2" t="s">
        <v>80</v>
      </c>
      <c r="BJ45" s="2" t="s">
        <v>81</v>
      </c>
      <c r="BK45" s="243"/>
      <c r="BL45" s="77"/>
    </row>
    <row r="46" spans="1:64" ht="14.4" customHeight="1">
      <c r="A46" s="1">
        <v>1</v>
      </c>
      <c r="B46" s="4">
        <f t="shared" ref="B46:B82" si="2">B3</f>
        <v>0</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4"/>
      <c r="BI46" s="4">
        <f t="shared" ref="BI46:BI87" si="3">COUNTIF(C46:BH46,"-")</f>
        <v>0</v>
      </c>
      <c r="BJ46" s="4">
        <f t="shared" ref="BJ46:BJ87" si="4">COUNTIF(D46:BI46,"T")</f>
        <v>0</v>
      </c>
      <c r="BK46" s="4"/>
      <c r="BL46" s="3">
        <v>1</v>
      </c>
    </row>
    <row r="47" spans="1:64" ht="18" customHeight="1">
      <c r="A47" s="1">
        <v>2</v>
      </c>
      <c r="B47" s="4">
        <f t="shared" si="2"/>
        <v>0</v>
      </c>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4"/>
      <c r="BI47" s="4">
        <f t="shared" si="3"/>
        <v>0</v>
      </c>
      <c r="BJ47" s="4">
        <f t="shared" si="4"/>
        <v>0</v>
      </c>
      <c r="BK47" s="4"/>
      <c r="BL47" s="3">
        <v>2</v>
      </c>
    </row>
    <row r="48" spans="1:64">
      <c r="A48" s="1">
        <v>3</v>
      </c>
      <c r="B48" s="4">
        <f t="shared" si="2"/>
        <v>0</v>
      </c>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4"/>
      <c r="BI48" s="4">
        <f t="shared" si="3"/>
        <v>0</v>
      </c>
      <c r="BJ48" s="4">
        <f t="shared" si="4"/>
        <v>0</v>
      </c>
      <c r="BK48" s="4"/>
      <c r="BL48" s="3">
        <v>3</v>
      </c>
    </row>
    <row r="49" spans="1:64">
      <c r="A49" s="1">
        <v>4</v>
      </c>
      <c r="B49" s="4">
        <f t="shared" si="2"/>
        <v>0</v>
      </c>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4"/>
      <c r="BI49" s="4">
        <f t="shared" si="3"/>
        <v>0</v>
      </c>
      <c r="BJ49" s="4">
        <f t="shared" si="4"/>
        <v>0</v>
      </c>
      <c r="BK49" s="4"/>
      <c r="BL49" s="3">
        <v>4</v>
      </c>
    </row>
    <row r="50" spans="1:64">
      <c r="A50" s="1">
        <v>5</v>
      </c>
      <c r="B50" s="4">
        <f t="shared" si="2"/>
        <v>0</v>
      </c>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4"/>
      <c r="BI50" s="4">
        <f t="shared" si="3"/>
        <v>0</v>
      </c>
      <c r="BJ50" s="4">
        <f t="shared" si="4"/>
        <v>0</v>
      </c>
      <c r="BK50" s="4"/>
      <c r="BL50" s="3">
        <v>5</v>
      </c>
    </row>
    <row r="51" spans="1:64">
      <c r="A51" s="1">
        <v>6</v>
      </c>
      <c r="B51" s="4">
        <f t="shared" si="2"/>
        <v>0</v>
      </c>
      <c r="C51" s="4"/>
      <c r="D51" s="4"/>
      <c r="E51" s="4"/>
      <c r="F51" s="4"/>
      <c r="G51" s="4"/>
      <c r="H51" s="4"/>
      <c r="I51" s="4"/>
      <c r="J51" s="4"/>
      <c r="K51" s="4"/>
      <c r="L51" s="4"/>
      <c r="M51" s="4"/>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4"/>
      <c r="BI51" s="4">
        <f t="shared" si="3"/>
        <v>0</v>
      </c>
      <c r="BJ51" s="4">
        <f t="shared" si="4"/>
        <v>0</v>
      </c>
      <c r="BK51" s="4"/>
      <c r="BL51" s="3">
        <v>6</v>
      </c>
    </row>
    <row r="52" spans="1:64">
      <c r="A52" s="1">
        <v>7</v>
      </c>
      <c r="B52" s="4">
        <f t="shared" si="2"/>
        <v>0</v>
      </c>
      <c r="C52" s="4"/>
      <c r="D52" s="4"/>
      <c r="E52" s="4"/>
      <c r="F52" s="4"/>
      <c r="G52" s="4"/>
      <c r="H52" s="4"/>
      <c r="I52" s="4"/>
      <c r="J52" s="4"/>
      <c r="K52" s="4"/>
      <c r="L52" s="4"/>
      <c r="M52" s="4"/>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4"/>
      <c r="BI52" s="4">
        <f t="shared" si="3"/>
        <v>0</v>
      </c>
      <c r="BJ52" s="4">
        <f t="shared" si="4"/>
        <v>0</v>
      </c>
      <c r="BK52" s="4"/>
      <c r="BL52" s="3">
        <v>7</v>
      </c>
    </row>
    <row r="53" spans="1:64">
      <c r="A53" s="1">
        <v>8</v>
      </c>
      <c r="B53" s="4">
        <f t="shared" si="2"/>
        <v>0</v>
      </c>
      <c r="C53" s="4"/>
      <c r="D53" s="4"/>
      <c r="E53" s="4"/>
      <c r="F53" s="4"/>
      <c r="G53" s="4"/>
      <c r="H53" s="4"/>
      <c r="I53" s="4"/>
      <c r="J53" s="4"/>
      <c r="K53" s="4"/>
      <c r="L53" s="4"/>
      <c r="M53" s="4"/>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4"/>
      <c r="BI53" s="4">
        <f t="shared" si="3"/>
        <v>0</v>
      </c>
      <c r="BJ53" s="4">
        <f t="shared" si="4"/>
        <v>0</v>
      </c>
      <c r="BK53" s="4"/>
      <c r="BL53" s="3">
        <v>8</v>
      </c>
    </row>
    <row r="54" spans="1:64">
      <c r="A54" s="1">
        <v>9</v>
      </c>
      <c r="B54" s="4">
        <f t="shared" si="2"/>
        <v>0</v>
      </c>
      <c r="C54" s="4"/>
      <c r="D54" s="4"/>
      <c r="E54" s="4"/>
      <c r="F54" s="4"/>
      <c r="G54" s="4"/>
      <c r="H54" s="4"/>
      <c r="I54" s="4"/>
      <c r="J54" s="4"/>
      <c r="K54" s="4"/>
      <c r="L54" s="4"/>
      <c r="M54" s="4"/>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4"/>
      <c r="BI54" s="4">
        <f t="shared" si="3"/>
        <v>0</v>
      </c>
      <c r="BJ54" s="4">
        <f t="shared" si="4"/>
        <v>0</v>
      </c>
      <c r="BK54" s="4"/>
      <c r="BL54" s="3">
        <v>9</v>
      </c>
    </row>
    <row r="55" spans="1:64">
      <c r="A55" s="1">
        <v>10</v>
      </c>
      <c r="B55" s="4">
        <f t="shared" si="2"/>
        <v>0</v>
      </c>
      <c r="C55" s="4"/>
      <c r="D55" s="4"/>
      <c r="E55" s="4"/>
      <c r="F55" s="4"/>
      <c r="G55" s="4"/>
      <c r="H55" s="4"/>
      <c r="I55" s="4"/>
      <c r="J55" s="4"/>
      <c r="K55" s="4"/>
      <c r="L55" s="4"/>
      <c r="M55" s="4"/>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4"/>
      <c r="BI55" s="4">
        <f t="shared" si="3"/>
        <v>0</v>
      </c>
      <c r="BJ55" s="4">
        <f t="shared" si="4"/>
        <v>0</v>
      </c>
      <c r="BK55" s="4"/>
      <c r="BL55" s="3">
        <v>10</v>
      </c>
    </row>
    <row r="56" spans="1:64">
      <c r="A56" s="1">
        <v>11</v>
      </c>
      <c r="B56" s="4">
        <f t="shared" si="2"/>
        <v>0</v>
      </c>
      <c r="C56" s="4"/>
      <c r="D56" s="4"/>
      <c r="E56" s="4"/>
      <c r="F56" s="4"/>
      <c r="G56" s="4"/>
      <c r="H56" s="4"/>
      <c r="I56" s="4"/>
      <c r="J56" s="4"/>
      <c r="K56" s="4"/>
      <c r="L56" s="4"/>
      <c r="M56" s="4"/>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4"/>
      <c r="BI56" s="4">
        <f t="shared" si="3"/>
        <v>0</v>
      </c>
      <c r="BJ56" s="4">
        <f t="shared" si="4"/>
        <v>0</v>
      </c>
      <c r="BK56" s="4"/>
      <c r="BL56" s="3">
        <v>11</v>
      </c>
    </row>
    <row r="57" spans="1:64">
      <c r="A57" s="1">
        <v>12</v>
      </c>
      <c r="B57" s="4">
        <f t="shared" si="2"/>
        <v>0</v>
      </c>
      <c r="C57" s="4"/>
      <c r="D57" s="4"/>
      <c r="E57" s="4"/>
      <c r="F57" s="4"/>
      <c r="G57" s="4"/>
      <c r="H57" s="4"/>
      <c r="I57" s="4"/>
      <c r="J57" s="4"/>
      <c r="K57" s="4"/>
      <c r="L57" s="4"/>
      <c r="M57" s="4"/>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4"/>
      <c r="BI57" s="4">
        <f t="shared" si="3"/>
        <v>0</v>
      </c>
      <c r="BJ57" s="4">
        <f t="shared" si="4"/>
        <v>0</v>
      </c>
      <c r="BK57" s="4"/>
      <c r="BL57" s="3">
        <v>12</v>
      </c>
    </row>
    <row r="58" spans="1:64">
      <c r="A58" s="1">
        <v>13</v>
      </c>
      <c r="B58" s="4">
        <f t="shared" si="2"/>
        <v>0</v>
      </c>
      <c r="C58" s="4"/>
      <c r="D58" s="4"/>
      <c r="E58" s="4"/>
      <c r="F58" s="4"/>
      <c r="G58" s="4"/>
      <c r="H58" s="4"/>
      <c r="I58" s="4"/>
      <c r="J58" s="4"/>
      <c r="K58" s="4"/>
      <c r="L58" s="4"/>
      <c r="M58" s="4"/>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4"/>
      <c r="BI58" s="4">
        <f t="shared" si="3"/>
        <v>0</v>
      </c>
      <c r="BJ58" s="4">
        <f t="shared" si="4"/>
        <v>0</v>
      </c>
      <c r="BK58" s="4"/>
      <c r="BL58" s="3">
        <v>13</v>
      </c>
    </row>
    <row r="59" spans="1:64">
      <c r="A59" s="1">
        <v>14</v>
      </c>
      <c r="B59" s="4">
        <f t="shared" si="2"/>
        <v>0</v>
      </c>
      <c r="C59" s="4"/>
      <c r="D59" s="4"/>
      <c r="E59" s="4"/>
      <c r="F59" s="4"/>
      <c r="G59" s="4"/>
      <c r="H59" s="4"/>
      <c r="I59" s="4"/>
      <c r="J59" s="4"/>
      <c r="K59" s="4"/>
      <c r="L59" s="4"/>
      <c r="M59" s="4"/>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4"/>
      <c r="BI59" s="4">
        <f t="shared" si="3"/>
        <v>0</v>
      </c>
      <c r="BJ59" s="4">
        <f t="shared" si="4"/>
        <v>0</v>
      </c>
      <c r="BK59" s="4"/>
      <c r="BL59" s="3">
        <v>14</v>
      </c>
    </row>
    <row r="60" spans="1:64">
      <c r="A60" s="1">
        <v>15</v>
      </c>
      <c r="B60" s="4">
        <f t="shared" si="2"/>
        <v>0</v>
      </c>
      <c r="C60" s="4"/>
      <c r="D60" s="4"/>
      <c r="E60" s="4"/>
      <c r="F60" s="4"/>
      <c r="G60" s="4"/>
      <c r="H60" s="4"/>
      <c r="I60" s="4"/>
      <c r="J60" s="4"/>
      <c r="K60" s="4"/>
      <c r="L60" s="4"/>
      <c r="M60" s="4"/>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4"/>
      <c r="BI60" s="4">
        <f t="shared" si="3"/>
        <v>0</v>
      </c>
      <c r="BJ60" s="4">
        <f t="shared" si="4"/>
        <v>0</v>
      </c>
      <c r="BK60" s="4"/>
      <c r="BL60" s="3">
        <v>15</v>
      </c>
    </row>
    <row r="61" spans="1:64">
      <c r="A61" s="1">
        <v>16</v>
      </c>
      <c r="B61" s="4">
        <f t="shared" si="2"/>
        <v>0</v>
      </c>
      <c r="C61" s="4"/>
      <c r="D61" s="4"/>
      <c r="E61" s="4"/>
      <c r="F61" s="4"/>
      <c r="G61" s="4"/>
      <c r="H61" s="4"/>
      <c r="I61" s="4"/>
      <c r="J61" s="4"/>
      <c r="K61" s="4"/>
      <c r="L61" s="4"/>
      <c r="M61" s="4"/>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4"/>
      <c r="BI61" s="4">
        <f t="shared" si="3"/>
        <v>0</v>
      </c>
      <c r="BJ61" s="4">
        <f t="shared" si="4"/>
        <v>0</v>
      </c>
      <c r="BK61" s="4"/>
      <c r="BL61" s="3">
        <v>16</v>
      </c>
    </row>
    <row r="62" spans="1:64">
      <c r="A62" s="1">
        <v>17</v>
      </c>
      <c r="B62" s="4">
        <f t="shared" si="2"/>
        <v>0</v>
      </c>
      <c r="C62" s="4"/>
      <c r="D62" s="4"/>
      <c r="E62" s="4"/>
      <c r="F62" s="4"/>
      <c r="G62" s="4"/>
      <c r="H62" s="4"/>
      <c r="I62" s="4"/>
      <c r="J62" s="4"/>
      <c r="K62" s="4"/>
      <c r="L62" s="4"/>
      <c r="M62" s="4"/>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4"/>
      <c r="BI62" s="4">
        <f t="shared" si="3"/>
        <v>0</v>
      </c>
      <c r="BJ62" s="4">
        <f t="shared" si="4"/>
        <v>0</v>
      </c>
      <c r="BK62" s="4"/>
      <c r="BL62" s="3">
        <v>17</v>
      </c>
    </row>
    <row r="63" spans="1:64">
      <c r="A63" s="1">
        <v>18</v>
      </c>
      <c r="B63" s="4">
        <f t="shared" si="2"/>
        <v>0</v>
      </c>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4"/>
      <c r="BI63" s="4">
        <f t="shared" si="3"/>
        <v>0</v>
      </c>
      <c r="BJ63" s="4">
        <f t="shared" si="4"/>
        <v>0</v>
      </c>
      <c r="BK63" s="4"/>
      <c r="BL63" s="3">
        <v>18</v>
      </c>
    </row>
    <row r="64" spans="1:64">
      <c r="A64" s="1">
        <v>19</v>
      </c>
      <c r="B64" s="4">
        <f t="shared" si="2"/>
        <v>0</v>
      </c>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4"/>
      <c r="BI64" s="4">
        <f t="shared" si="3"/>
        <v>0</v>
      </c>
      <c r="BJ64" s="4">
        <f t="shared" si="4"/>
        <v>0</v>
      </c>
      <c r="BK64" s="4"/>
      <c r="BL64" s="3">
        <v>19</v>
      </c>
    </row>
    <row r="65" spans="1:64">
      <c r="A65" s="1">
        <v>20</v>
      </c>
      <c r="B65" s="4">
        <f t="shared" si="2"/>
        <v>0</v>
      </c>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4"/>
      <c r="BI65" s="4">
        <f t="shared" si="3"/>
        <v>0</v>
      </c>
      <c r="BJ65" s="4">
        <f t="shared" si="4"/>
        <v>0</v>
      </c>
      <c r="BK65" s="4"/>
      <c r="BL65" s="3">
        <v>20</v>
      </c>
    </row>
    <row r="66" spans="1:64">
      <c r="A66" s="1">
        <v>21</v>
      </c>
      <c r="B66" s="4">
        <f t="shared" si="2"/>
        <v>0</v>
      </c>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4"/>
      <c r="BI66" s="4">
        <f t="shared" si="3"/>
        <v>0</v>
      </c>
      <c r="BJ66" s="4">
        <f t="shared" si="4"/>
        <v>0</v>
      </c>
      <c r="BK66" s="4"/>
      <c r="BL66" s="3">
        <v>21</v>
      </c>
    </row>
    <row r="67" spans="1:64">
      <c r="A67" s="1">
        <v>22</v>
      </c>
      <c r="B67" s="4">
        <f t="shared" si="2"/>
        <v>0</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4"/>
      <c r="BI67" s="4">
        <f t="shared" si="3"/>
        <v>0</v>
      </c>
      <c r="BJ67" s="4">
        <f t="shared" si="4"/>
        <v>0</v>
      </c>
      <c r="BK67" s="4"/>
      <c r="BL67" s="3">
        <v>22</v>
      </c>
    </row>
    <row r="68" spans="1:64">
      <c r="A68" s="1">
        <v>23</v>
      </c>
      <c r="B68" s="4">
        <f t="shared" si="2"/>
        <v>0</v>
      </c>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4"/>
      <c r="BI68" s="4">
        <f t="shared" si="3"/>
        <v>0</v>
      </c>
      <c r="BJ68" s="4">
        <f t="shared" si="4"/>
        <v>0</v>
      </c>
      <c r="BK68" s="4"/>
      <c r="BL68" s="3">
        <v>23</v>
      </c>
    </row>
    <row r="69" spans="1:64">
      <c r="A69" s="1">
        <v>24</v>
      </c>
      <c r="B69" s="4">
        <f t="shared" si="2"/>
        <v>0</v>
      </c>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4"/>
      <c r="BI69" s="4">
        <f t="shared" si="3"/>
        <v>0</v>
      </c>
      <c r="BJ69" s="4">
        <f t="shared" si="4"/>
        <v>0</v>
      </c>
      <c r="BK69" s="4"/>
      <c r="BL69" s="3">
        <v>24</v>
      </c>
    </row>
    <row r="70" spans="1:64">
      <c r="A70" s="1">
        <v>25</v>
      </c>
      <c r="B70" s="4">
        <f t="shared" si="2"/>
        <v>0</v>
      </c>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4"/>
      <c r="BI70" s="4">
        <f t="shared" si="3"/>
        <v>0</v>
      </c>
      <c r="BJ70" s="4">
        <f t="shared" si="4"/>
        <v>0</v>
      </c>
      <c r="BK70" s="4"/>
      <c r="BL70" s="3">
        <v>25</v>
      </c>
    </row>
    <row r="71" spans="1:64">
      <c r="A71" s="1">
        <v>26</v>
      </c>
      <c r="B71" s="4">
        <f t="shared" si="2"/>
        <v>0</v>
      </c>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4"/>
      <c r="BI71" s="4">
        <f t="shared" si="3"/>
        <v>0</v>
      </c>
      <c r="BJ71" s="4">
        <f t="shared" si="4"/>
        <v>0</v>
      </c>
      <c r="BK71" s="4"/>
      <c r="BL71" s="3">
        <v>26</v>
      </c>
    </row>
    <row r="72" spans="1:64">
      <c r="A72" s="1">
        <v>27</v>
      </c>
      <c r="B72" s="4">
        <f t="shared" si="2"/>
        <v>0</v>
      </c>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4"/>
      <c r="BI72" s="4">
        <f t="shared" si="3"/>
        <v>0</v>
      </c>
      <c r="BJ72" s="4">
        <f t="shared" si="4"/>
        <v>0</v>
      </c>
      <c r="BK72" s="4"/>
      <c r="BL72" s="3">
        <v>27</v>
      </c>
    </row>
    <row r="73" spans="1:64">
      <c r="A73" s="1">
        <v>28</v>
      </c>
      <c r="B73" s="4">
        <f t="shared" si="2"/>
        <v>0</v>
      </c>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4"/>
      <c r="BI73" s="4">
        <f t="shared" si="3"/>
        <v>0</v>
      </c>
      <c r="BJ73" s="4">
        <f t="shared" si="4"/>
        <v>0</v>
      </c>
      <c r="BK73" s="4"/>
      <c r="BL73" s="3">
        <v>28</v>
      </c>
    </row>
    <row r="74" spans="1:64">
      <c r="A74" s="1">
        <v>29</v>
      </c>
      <c r="B74" s="4">
        <f t="shared" si="2"/>
        <v>0</v>
      </c>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4"/>
      <c r="BI74" s="4">
        <f t="shared" si="3"/>
        <v>0</v>
      </c>
      <c r="BJ74" s="4">
        <f t="shared" si="4"/>
        <v>0</v>
      </c>
      <c r="BK74" s="4"/>
      <c r="BL74" s="3">
        <v>29</v>
      </c>
    </row>
    <row r="75" spans="1:64">
      <c r="A75" s="1">
        <v>30</v>
      </c>
      <c r="B75" s="4">
        <f t="shared" si="2"/>
        <v>0</v>
      </c>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4"/>
      <c r="BI75" s="4">
        <f t="shared" si="3"/>
        <v>0</v>
      </c>
      <c r="BJ75" s="4">
        <f t="shared" si="4"/>
        <v>0</v>
      </c>
      <c r="BK75" s="4"/>
      <c r="BL75" s="3">
        <v>30</v>
      </c>
    </row>
    <row r="76" spans="1:64">
      <c r="A76" s="1">
        <v>31</v>
      </c>
      <c r="B76" s="4">
        <f t="shared" si="2"/>
        <v>0</v>
      </c>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4"/>
      <c r="BI76" s="4">
        <f t="shared" si="3"/>
        <v>0</v>
      </c>
      <c r="BJ76" s="4">
        <f t="shared" si="4"/>
        <v>0</v>
      </c>
      <c r="BK76" s="4"/>
      <c r="BL76" s="3">
        <v>31</v>
      </c>
    </row>
    <row r="77" spans="1:64">
      <c r="A77" s="1">
        <v>32</v>
      </c>
      <c r="B77" s="4">
        <f t="shared" si="2"/>
        <v>0</v>
      </c>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4"/>
      <c r="BI77" s="4">
        <f t="shared" si="3"/>
        <v>0</v>
      </c>
      <c r="BJ77" s="4">
        <f t="shared" si="4"/>
        <v>0</v>
      </c>
      <c r="BK77" s="4"/>
      <c r="BL77" s="3">
        <v>32</v>
      </c>
    </row>
    <row r="78" spans="1:64">
      <c r="A78" s="1">
        <v>33</v>
      </c>
      <c r="B78" s="4">
        <f t="shared" si="2"/>
        <v>0</v>
      </c>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4"/>
      <c r="BI78" s="4">
        <f t="shared" si="3"/>
        <v>0</v>
      </c>
      <c r="BJ78" s="4">
        <f t="shared" si="4"/>
        <v>0</v>
      </c>
      <c r="BK78" s="4"/>
      <c r="BL78" s="3">
        <v>33</v>
      </c>
    </row>
    <row r="79" spans="1:64">
      <c r="A79" s="1">
        <v>34</v>
      </c>
      <c r="B79" s="4">
        <f t="shared" si="2"/>
        <v>0</v>
      </c>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4"/>
      <c r="BI79" s="4">
        <f t="shared" si="3"/>
        <v>0</v>
      </c>
      <c r="BJ79" s="4">
        <f t="shared" si="4"/>
        <v>0</v>
      </c>
      <c r="BK79" s="4"/>
      <c r="BL79" s="3">
        <v>34</v>
      </c>
    </row>
    <row r="80" spans="1:64">
      <c r="A80" s="1">
        <v>35</v>
      </c>
      <c r="B80" s="4">
        <f t="shared" si="2"/>
        <v>0</v>
      </c>
      <c r="C80" s="19" t="s">
        <v>84</v>
      </c>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4"/>
      <c r="BI80" s="4">
        <f t="shared" si="3"/>
        <v>0</v>
      </c>
      <c r="BJ80" s="4">
        <f t="shared" si="4"/>
        <v>0</v>
      </c>
      <c r="BK80" s="4"/>
      <c r="BL80" s="3">
        <v>35</v>
      </c>
    </row>
    <row r="81" spans="1:64">
      <c r="A81" s="1">
        <v>36</v>
      </c>
      <c r="B81" s="4">
        <f t="shared" si="2"/>
        <v>0</v>
      </c>
      <c r="C81" s="19" t="s">
        <v>84</v>
      </c>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4"/>
      <c r="BI81" s="4">
        <f t="shared" si="3"/>
        <v>0</v>
      </c>
      <c r="BJ81" s="4">
        <f t="shared" si="4"/>
        <v>0</v>
      </c>
      <c r="BK81" s="4"/>
      <c r="BL81" s="3">
        <v>36</v>
      </c>
    </row>
    <row r="82" spans="1:64">
      <c r="A82" s="1">
        <v>37</v>
      </c>
      <c r="B82" s="4">
        <f t="shared" si="2"/>
        <v>0</v>
      </c>
      <c r="C82" s="19" t="s">
        <v>84</v>
      </c>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4"/>
      <c r="BI82" s="4">
        <f t="shared" si="3"/>
        <v>0</v>
      </c>
      <c r="BJ82" s="4">
        <f t="shared" si="4"/>
        <v>0</v>
      </c>
      <c r="BK82" s="4"/>
      <c r="BL82" s="3">
        <v>37</v>
      </c>
    </row>
    <row r="83" spans="1:64">
      <c r="A83" s="1">
        <v>38</v>
      </c>
      <c r="B83" s="4"/>
      <c r="C83" s="19" t="s">
        <v>84</v>
      </c>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4"/>
      <c r="BI83" s="4">
        <f t="shared" si="3"/>
        <v>0</v>
      </c>
      <c r="BJ83" s="4">
        <f t="shared" si="4"/>
        <v>0</v>
      </c>
      <c r="BK83" s="4"/>
      <c r="BL83" s="3">
        <v>38</v>
      </c>
    </row>
    <row r="84" spans="1:64">
      <c r="A84" s="1">
        <v>39</v>
      </c>
      <c r="B84" s="4"/>
      <c r="C84" s="19" t="s">
        <v>84</v>
      </c>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4"/>
      <c r="BI84" s="4">
        <f t="shared" si="3"/>
        <v>0</v>
      </c>
      <c r="BJ84" s="4">
        <f t="shared" si="4"/>
        <v>0</v>
      </c>
      <c r="BK84" s="4"/>
      <c r="BL84" s="3">
        <v>39</v>
      </c>
    </row>
    <row r="85" spans="1:64">
      <c r="A85" s="1">
        <v>40</v>
      </c>
      <c r="B85" s="4"/>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4"/>
      <c r="BI85" s="4">
        <f t="shared" si="3"/>
        <v>0</v>
      </c>
      <c r="BJ85" s="4">
        <f t="shared" si="4"/>
        <v>0</v>
      </c>
      <c r="BK85" s="4"/>
      <c r="BL85" s="3">
        <v>40</v>
      </c>
    </row>
    <row r="86" spans="1:64">
      <c r="A86" s="1">
        <v>41</v>
      </c>
      <c r="B86" s="4"/>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4"/>
      <c r="BI86" s="4">
        <f t="shared" si="3"/>
        <v>0</v>
      </c>
      <c r="BJ86" s="4">
        <f t="shared" si="4"/>
        <v>0</v>
      </c>
      <c r="BK86" s="4"/>
      <c r="BL86" s="3">
        <v>41</v>
      </c>
    </row>
    <row r="87" spans="1:64">
      <c r="A87" s="6">
        <v>42</v>
      </c>
      <c r="B87" s="7"/>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c r="BH87" s="7"/>
      <c r="BI87" s="7">
        <f t="shared" si="3"/>
        <v>0</v>
      </c>
      <c r="BJ87" s="7">
        <f t="shared" si="4"/>
        <v>0</v>
      </c>
      <c r="BK87" s="7"/>
      <c r="BL87" s="8">
        <v>42</v>
      </c>
    </row>
    <row r="89" spans="1:64" ht="31.2" customHeight="1">
      <c r="A89" s="244"/>
      <c r="B89" s="249" t="s">
        <v>77</v>
      </c>
      <c r="C89" s="240" t="s">
        <v>85</v>
      </c>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251"/>
      <c r="AI89" s="251"/>
      <c r="AJ89" s="251"/>
      <c r="AK89" s="251"/>
      <c r="AL89" s="251"/>
      <c r="AM89" s="251"/>
      <c r="AN89" s="251"/>
      <c r="AO89" s="251"/>
      <c r="AP89" s="251"/>
      <c r="AQ89" s="251"/>
      <c r="AR89" s="251"/>
      <c r="AS89" s="251"/>
      <c r="AT89" s="251"/>
      <c r="AU89" s="251"/>
      <c r="AV89" s="251"/>
      <c r="AW89" s="251"/>
      <c r="AX89" s="251"/>
      <c r="AY89" s="251"/>
      <c r="AZ89" s="251"/>
      <c r="BA89" s="251"/>
      <c r="BB89" s="251"/>
      <c r="BC89" s="251"/>
      <c r="BD89" s="251"/>
      <c r="BE89" s="251"/>
      <c r="BF89" s="251"/>
      <c r="BG89" s="251"/>
      <c r="BH89" s="241"/>
      <c r="BI89" s="240" t="s">
        <v>86</v>
      </c>
      <c r="BJ89" s="241"/>
      <c r="BK89" s="245" t="s">
        <v>18</v>
      </c>
      <c r="BL89" s="77"/>
    </row>
    <row r="90" spans="1:64" ht="43.2" customHeight="1">
      <c r="A90" s="243"/>
      <c r="B90" s="243"/>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2" t="s">
        <v>80</v>
      </c>
      <c r="BJ90" s="2" t="s">
        <v>81</v>
      </c>
      <c r="BK90" s="243"/>
      <c r="BL90" s="77"/>
    </row>
    <row r="91" spans="1:64" ht="13.2" customHeight="1">
      <c r="A91" s="1">
        <v>1</v>
      </c>
      <c r="B91" s="4">
        <f t="shared" ref="B91:B127" si="5">B46</f>
        <v>0</v>
      </c>
      <c r="C91" s="19"/>
      <c r="D91" s="101"/>
      <c r="E91" s="19"/>
      <c r="F91" s="19"/>
      <c r="G91" s="101"/>
      <c r="H91" s="101"/>
      <c r="I91" s="19"/>
      <c r="J91" s="19"/>
      <c r="K91" s="19"/>
      <c r="L91" s="19"/>
      <c r="M91" s="19"/>
      <c r="N91" s="19"/>
      <c r="O91" s="19"/>
      <c r="P91" s="19"/>
      <c r="Q91" s="19"/>
      <c r="R91" s="19"/>
      <c r="S91" s="19"/>
      <c r="T91" s="19"/>
      <c r="U91" s="19"/>
      <c r="V91" s="19"/>
      <c r="W91" s="19"/>
      <c r="X91" s="19"/>
      <c r="Y91" s="19"/>
      <c r="Z91" s="102"/>
      <c r="AA91" s="102"/>
      <c r="AD91" s="102"/>
      <c r="AE91" s="102"/>
      <c r="AF91" s="102"/>
      <c r="AG91" s="102"/>
      <c r="AH91" s="102"/>
      <c r="AI91" s="102"/>
      <c r="AJ91" s="102"/>
      <c r="AK91" s="102"/>
      <c r="AL91" s="102"/>
      <c r="AM91" s="102"/>
      <c r="AN91" s="102"/>
      <c r="AO91" s="102"/>
      <c r="AP91" s="102"/>
      <c r="AQ91" s="102"/>
      <c r="AR91" s="19"/>
      <c r="AS91" s="19"/>
      <c r="AT91" s="19"/>
      <c r="AU91" s="19"/>
      <c r="AV91" s="19"/>
      <c r="AW91" s="19"/>
      <c r="AX91" s="19"/>
      <c r="AY91" s="19"/>
      <c r="AZ91" s="19"/>
      <c r="BA91" s="19"/>
      <c r="BB91" s="19"/>
      <c r="BC91" s="19"/>
      <c r="BD91" s="19"/>
      <c r="BE91" s="19"/>
      <c r="BF91" s="19"/>
      <c r="BG91" s="19"/>
      <c r="BH91" s="4"/>
      <c r="BI91" s="4">
        <f t="shared" ref="BI91:BI128" si="6">COUNTIF(C91:BH91,"-")</f>
        <v>0</v>
      </c>
      <c r="BJ91" s="4">
        <f t="shared" ref="BJ91:BJ128" si="7">COUNTIF(D91:BI91,"T")</f>
        <v>0</v>
      </c>
      <c r="BK91" s="4"/>
      <c r="BL91" s="3">
        <v>1</v>
      </c>
    </row>
    <row r="92" spans="1:64" ht="14.4" customHeight="1">
      <c r="A92" s="1">
        <v>2</v>
      </c>
      <c r="B92" s="4">
        <f t="shared" si="5"/>
        <v>0</v>
      </c>
      <c r="C92" s="19"/>
      <c r="D92" s="101"/>
      <c r="E92" s="19"/>
      <c r="F92" s="19"/>
      <c r="G92" s="101"/>
      <c r="H92" s="101"/>
      <c r="I92" s="19"/>
      <c r="J92" s="19"/>
      <c r="K92" s="19"/>
      <c r="L92" s="19"/>
      <c r="M92" s="19"/>
      <c r="N92" s="19"/>
      <c r="O92" s="19"/>
      <c r="P92" s="19"/>
      <c r="Q92" s="19"/>
      <c r="R92" s="19"/>
      <c r="S92" s="19"/>
      <c r="T92" s="19"/>
      <c r="U92" s="19"/>
      <c r="V92" s="19"/>
      <c r="W92" s="19"/>
      <c r="X92" s="19"/>
      <c r="Y92" s="19"/>
      <c r="Z92" s="102"/>
      <c r="AA92" s="102"/>
      <c r="AB92" s="19"/>
      <c r="AC92" s="19"/>
      <c r="AD92" s="102"/>
      <c r="AE92" s="102"/>
      <c r="AF92" s="102"/>
      <c r="AG92" s="102"/>
      <c r="AH92" s="102"/>
      <c r="AI92" s="102"/>
      <c r="AJ92" s="102"/>
      <c r="AK92" s="102"/>
      <c r="AL92" s="102"/>
      <c r="AM92" s="102"/>
      <c r="AN92" s="102"/>
      <c r="AO92" s="102"/>
      <c r="AP92" s="102"/>
      <c r="AQ92" s="102"/>
      <c r="AR92" s="19"/>
      <c r="AS92" s="19"/>
      <c r="AT92" s="19"/>
      <c r="AU92" s="19"/>
      <c r="AV92" s="19"/>
      <c r="AW92" s="19"/>
      <c r="AX92" s="19"/>
      <c r="AY92" s="19"/>
      <c r="AZ92" s="19"/>
      <c r="BA92" s="19"/>
      <c r="BB92" s="19"/>
      <c r="BC92" s="19"/>
      <c r="BD92" s="19"/>
      <c r="BE92" s="19"/>
      <c r="BF92" s="19"/>
      <c r="BG92" s="19"/>
      <c r="BH92" s="4"/>
      <c r="BI92" s="4">
        <f t="shared" si="6"/>
        <v>0</v>
      </c>
      <c r="BJ92" s="4">
        <f t="shared" si="7"/>
        <v>0</v>
      </c>
      <c r="BK92" s="4"/>
      <c r="BL92" s="3">
        <v>2</v>
      </c>
    </row>
    <row r="93" spans="1:64">
      <c r="A93" s="1">
        <v>3</v>
      </c>
      <c r="B93" s="4">
        <f t="shared" si="5"/>
        <v>0</v>
      </c>
      <c r="C93" s="19"/>
      <c r="D93" s="101"/>
      <c r="E93" s="19"/>
      <c r="F93" s="19"/>
      <c r="G93" s="101"/>
      <c r="H93" s="101"/>
      <c r="I93" s="19"/>
      <c r="J93" s="19"/>
      <c r="K93" s="19"/>
      <c r="L93" s="19"/>
      <c r="M93" s="19"/>
      <c r="N93" s="19"/>
      <c r="O93" s="19"/>
      <c r="P93" s="19"/>
      <c r="Q93" s="19"/>
      <c r="R93" s="19"/>
      <c r="S93" s="19"/>
      <c r="T93" s="19"/>
      <c r="U93" s="19"/>
      <c r="V93" s="19"/>
      <c r="W93" s="19"/>
      <c r="X93" s="19"/>
      <c r="Y93" s="19"/>
      <c r="Z93" s="102"/>
      <c r="AA93" s="102"/>
      <c r="AB93" s="19"/>
      <c r="AC93" s="19"/>
      <c r="AD93" s="102"/>
      <c r="AE93" s="102"/>
      <c r="AF93" s="102"/>
      <c r="AG93" s="102"/>
      <c r="AH93" s="102"/>
      <c r="AI93" s="102"/>
      <c r="AJ93" s="102"/>
      <c r="AK93" s="102"/>
      <c r="AL93" s="102"/>
      <c r="AM93" s="102"/>
      <c r="AN93" s="102"/>
      <c r="AO93" s="102"/>
      <c r="AP93" s="102"/>
      <c r="AQ93" s="102"/>
      <c r="AR93" s="19"/>
      <c r="AS93" s="19"/>
      <c r="AT93" s="19"/>
      <c r="AU93" s="19"/>
      <c r="AV93" s="19"/>
      <c r="AW93" s="19"/>
      <c r="AX93" s="19"/>
      <c r="AY93" s="19"/>
      <c r="AZ93" s="19"/>
      <c r="BA93" s="19"/>
      <c r="BB93" s="19"/>
      <c r="BC93" s="19"/>
      <c r="BD93" s="19"/>
      <c r="BE93" s="19"/>
      <c r="BF93" s="19"/>
      <c r="BG93" s="19"/>
      <c r="BH93" s="4"/>
      <c r="BI93" s="4">
        <f t="shared" si="6"/>
        <v>0</v>
      </c>
      <c r="BJ93" s="4">
        <f t="shared" si="7"/>
        <v>0</v>
      </c>
      <c r="BK93" s="4"/>
      <c r="BL93" s="3">
        <v>3</v>
      </c>
    </row>
    <row r="94" spans="1:64" ht="14.4" customHeight="1">
      <c r="A94" s="1">
        <v>4</v>
      </c>
      <c r="B94" s="4">
        <f t="shared" si="5"/>
        <v>0</v>
      </c>
      <c r="C94" s="19"/>
      <c r="D94" s="101"/>
      <c r="E94" s="19"/>
      <c r="F94" s="19"/>
      <c r="G94" s="101"/>
      <c r="H94" s="101"/>
      <c r="I94" s="19"/>
      <c r="J94" s="19"/>
      <c r="K94" s="19"/>
      <c r="L94" s="19"/>
      <c r="M94" s="19"/>
      <c r="N94" s="19"/>
      <c r="O94" s="19"/>
      <c r="P94" s="19"/>
      <c r="Q94" s="19"/>
      <c r="R94" s="19"/>
      <c r="S94" s="19"/>
      <c r="T94" s="19"/>
      <c r="U94" s="19"/>
      <c r="V94" s="19"/>
      <c r="W94" s="19"/>
      <c r="X94" s="19"/>
      <c r="Y94" s="19"/>
      <c r="Z94" s="102"/>
      <c r="AA94" s="102"/>
      <c r="AB94" s="19"/>
      <c r="AC94" s="19"/>
      <c r="AD94" s="102"/>
      <c r="AE94" s="102"/>
      <c r="AF94" s="102"/>
      <c r="AG94" s="102"/>
      <c r="AH94" s="102"/>
      <c r="AI94" s="102"/>
      <c r="AJ94" s="102"/>
      <c r="AK94" s="102"/>
      <c r="AL94" s="102"/>
      <c r="AM94" s="102"/>
      <c r="AN94" s="102"/>
      <c r="AO94" s="102"/>
      <c r="AP94" s="102"/>
      <c r="AQ94" s="102"/>
      <c r="AR94" s="19"/>
      <c r="AS94" s="19"/>
      <c r="AT94" s="19"/>
      <c r="AU94" s="19"/>
      <c r="AV94" s="19"/>
      <c r="AW94" s="19"/>
      <c r="AX94" s="19"/>
      <c r="AY94" s="19"/>
      <c r="AZ94" s="19"/>
      <c r="BA94" s="19"/>
      <c r="BB94" s="19"/>
      <c r="BC94" s="19"/>
      <c r="BD94" s="19"/>
      <c r="BE94" s="19"/>
      <c r="BF94" s="19"/>
      <c r="BG94" s="19"/>
      <c r="BH94" s="4"/>
      <c r="BI94" s="4">
        <f t="shared" si="6"/>
        <v>0</v>
      </c>
      <c r="BJ94" s="4">
        <f t="shared" si="7"/>
        <v>0</v>
      </c>
      <c r="BK94" s="4"/>
      <c r="BL94" s="3">
        <v>4</v>
      </c>
    </row>
    <row r="95" spans="1:64">
      <c r="A95" s="1">
        <v>5</v>
      </c>
      <c r="B95" s="4">
        <f t="shared" si="5"/>
        <v>0</v>
      </c>
      <c r="C95" s="19"/>
      <c r="D95" s="101"/>
      <c r="E95" s="19"/>
      <c r="F95" s="19"/>
      <c r="G95" s="101"/>
      <c r="H95" s="101"/>
      <c r="I95" s="19"/>
      <c r="J95" s="19"/>
      <c r="K95" s="19"/>
      <c r="L95" s="19"/>
      <c r="M95" s="19"/>
      <c r="N95" s="19"/>
      <c r="O95" s="19"/>
      <c r="P95" s="19"/>
      <c r="Q95" s="19"/>
      <c r="R95" s="19"/>
      <c r="S95" s="19"/>
      <c r="T95" s="19"/>
      <c r="U95" s="19"/>
      <c r="V95" s="19"/>
      <c r="W95" s="19"/>
      <c r="X95" s="19"/>
      <c r="Y95" s="19"/>
      <c r="Z95" s="102"/>
      <c r="AA95" s="102"/>
      <c r="AB95" s="19"/>
      <c r="AC95" s="19"/>
      <c r="AD95" s="102"/>
      <c r="AE95" s="102"/>
      <c r="AF95" s="102"/>
      <c r="AG95" s="102"/>
      <c r="AH95" s="102"/>
      <c r="AI95" s="102"/>
      <c r="AJ95" s="102"/>
      <c r="AK95" s="102"/>
      <c r="AL95" s="102"/>
      <c r="AM95" s="102"/>
      <c r="AN95" s="102"/>
      <c r="AO95" s="102"/>
      <c r="AP95" s="102"/>
      <c r="AQ95" s="102"/>
      <c r="AR95" s="19"/>
      <c r="AS95" s="19"/>
      <c r="AT95" s="19"/>
      <c r="AU95" s="19"/>
      <c r="AV95" s="19"/>
      <c r="AW95" s="19"/>
      <c r="AX95" s="19"/>
      <c r="AY95" s="19"/>
      <c r="AZ95" s="19"/>
      <c r="BA95" s="19"/>
      <c r="BB95" s="19"/>
      <c r="BC95" s="19"/>
      <c r="BD95" s="19"/>
      <c r="BE95" s="19"/>
      <c r="BF95" s="19"/>
      <c r="BG95" s="19"/>
      <c r="BH95" s="4"/>
      <c r="BI95" s="4">
        <f t="shared" si="6"/>
        <v>0</v>
      </c>
      <c r="BJ95" s="4">
        <f t="shared" si="7"/>
        <v>0</v>
      </c>
      <c r="BK95" s="4"/>
      <c r="BL95" s="3">
        <v>5</v>
      </c>
    </row>
    <row r="96" spans="1:64">
      <c r="A96" s="1">
        <v>6</v>
      </c>
      <c r="B96" s="4">
        <f t="shared" si="5"/>
        <v>0</v>
      </c>
      <c r="C96" s="19"/>
      <c r="D96" s="101"/>
      <c r="E96" s="19"/>
      <c r="F96" s="19"/>
      <c r="G96" s="101"/>
      <c r="H96" s="101"/>
      <c r="I96" s="19"/>
      <c r="J96" s="19"/>
      <c r="K96" s="19"/>
      <c r="L96" s="19"/>
      <c r="M96" s="19"/>
      <c r="N96" s="19"/>
      <c r="O96" s="19"/>
      <c r="P96" s="19"/>
      <c r="Q96" s="19"/>
      <c r="R96" s="19"/>
      <c r="S96" s="19"/>
      <c r="T96" s="19"/>
      <c r="U96" s="19"/>
      <c r="V96" s="19"/>
      <c r="W96" s="19"/>
      <c r="X96" s="19"/>
      <c r="Y96" s="19"/>
      <c r="Z96" s="102"/>
      <c r="AA96" s="102"/>
      <c r="AB96" s="19"/>
      <c r="AC96" s="19"/>
      <c r="AD96" s="102"/>
      <c r="AE96" s="102"/>
      <c r="AF96" s="102"/>
      <c r="AG96" s="102"/>
      <c r="AH96" s="102"/>
      <c r="AI96" s="102"/>
      <c r="AJ96" s="102"/>
      <c r="AK96" s="102"/>
      <c r="AL96" s="102"/>
      <c r="AM96" s="102"/>
      <c r="AN96" s="102"/>
      <c r="AO96" s="102"/>
      <c r="AP96" s="102"/>
      <c r="AQ96" s="102"/>
      <c r="AR96" s="19"/>
      <c r="AS96" s="19"/>
      <c r="AT96" s="19"/>
      <c r="AU96" s="19"/>
      <c r="AV96" s="19"/>
      <c r="AW96" s="19"/>
      <c r="AX96" s="19"/>
      <c r="AY96" s="19"/>
      <c r="AZ96" s="19"/>
      <c r="BA96" s="19"/>
      <c r="BB96" s="19"/>
      <c r="BC96" s="19"/>
      <c r="BD96" s="19"/>
      <c r="BE96" s="19"/>
      <c r="BF96" s="19"/>
      <c r="BG96" s="19"/>
      <c r="BH96" s="4"/>
      <c r="BI96" s="4">
        <f t="shared" si="6"/>
        <v>0</v>
      </c>
      <c r="BJ96" s="4">
        <f t="shared" si="7"/>
        <v>0</v>
      </c>
      <c r="BK96" s="4"/>
      <c r="BL96" s="3">
        <v>6</v>
      </c>
    </row>
    <row r="97" spans="1:64">
      <c r="A97" s="1">
        <v>7</v>
      </c>
      <c r="B97" s="4">
        <f t="shared" si="5"/>
        <v>0</v>
      </c>
      <c r="C97" s="19"/>
      <c r="D97" s="101"/>
      <c r="E97" s="19"/>
      <c r="F97" s="19"/>
      <c r="G97" s="101"/>
      <c r="H97" s="101"/>
      <c r="I97" s="19"/>
      <c r="J97" s="19"/>
      <c r="K97" s="19"/>
      <c r="L97" s="19"/>
      <c r="M97" s="19"/>
      <c r="N97" s="19"/>
      <c r="O97" s="19"/>
      <c r="P97" s="19"/>
      <c r="Q97" s="19"/>
      <c r="R97" s="19"/>
      <c r="S97" s="19"/>
      <c r="T97" s="19"/>
      <c r="U97" s="19"/>
      <c r="V97" s="19"/>
      <c r="W97" s="19"/>
      <c r="X97" s="19"/>
      <c r="Y97" s="19"/>
      <c r="Z97" s="102"/>
      <c r="AA97" s="102"/>
      <c r="AB97" s="19"/>
      <c r="AC97" s="19"/>
      <c r="AD97" s="102"/>
      <c r="AE97" s="102"/>
      <c r="AF97" s="102"/>
      <c r="AG97" s="102"/>
      <c r="AH97" s="102"/>
      <c r="AI97" s="102"/>
      <c r="AJ97" s="102"/>
      <c r="AK97" s="102"/>
      <c r="AL97" s="102"/>
      <c r="AM97" s="102"/>
      <c r="AN97" s="102"/>
      <c r="AO97" s="102"/>
      <c r="AP97" s="102"/>
      <c r="AQ97" s="102"/>
      <c r="AR97" s="19"/>
      <c r="AS97" s="19"/>
      <c r="AT97" s="19"/>
      <c r="AU97" s="19"/>
      <c r="AV97" s="19"/>
      <c r="AW97" s="19"/>
      <c r="AX97" s="19"/>
      <c r="AY97" s="19"/>
      <c r="AZ97" s="19"/>
      <c r="BA97" s="19"/>
      <c r="BB97" s="19"/>
      <c r="BC97" s="19"/>
      <c r="BD97" s="19"/>
      <c r="BE97" s="19"/>
      <c r="BF97" s="19"/>
      <c r="BG97" s="19"/>
      <c r="BH97" s="4"/>
      <c r="BI97" s="4">
        <f t="shared" si="6"/>
        <v>0</v>
      </c>
      <c r="BJ97" s="4">
        <f t="shared" si="7"/>
        <v>0</v>
      </c>
      <c r="BK97" s="4"/>
      <c r="BL97" s="3">
        <v>7</v>
      </c>
    </row>
    <row r="98" spans="1:64">
      <c r="A98" s="1">
        <v>8</v>
      </c>
      <c r="B98" s="4">
        <f t="shared" si="5"/>
        <v>0</v>
      </c>
      <c r="C98" s="19"/>
      <c r="D98" s="101"/>
      <c r="E98" s="19"/>
      <c r="F98" s="19"/>
      <c r="G98" s="101"/>
      <c r="H98" s="101"/>
      <c r="I98" s="19"/>
      <c r="J98" s="19"/>
      <c r="K98" s="19"/>
      <c r="L98" s="19"/>
      <c r="M98" s="19"/>
      <c r="N98" s="19"/>
      <c r="O98" s="19"/>
      <c r="P98" s="19"/>
      <c r="Q98" s="19"/>
      <c r="R98" s="19"/>
      <c r="S98" s="19"/>
      <c r="T98" s="19"/>
      <c r="U98" s="19"/>
      <c r="V98" s="19"/>
      <c r="W98" s="19"/>
      <c r="X98" s="19"/>
      <c r="Y98" s="19"/>
      <c r="Z98" s="102"/>
      <c r="AA98" s="102"/>
      <c r="AB98" s="19"/>
      <c r="AC98" s="19"/>
      <c r="AD98" s="102"/>
      <c r="AE98" s="102"/>
      <c r="AF98" s="102"/>
      <c r="AG98" s="102"/>
      <c r="AH98" s="102"/>
      <c r="AI98" s="102"/>
      <c r="AJ98" s="102"/>
      <c r="AK98" s="102"/>
      <c r="AL98" s="102"/>
      <c r="AM98" s="102"/>
      <c r="AN98" s="102"/>
      <c r="AO98" s="102"/>
      <c r="AP98" s="102"/>
      <c r="AQ98" s="102"/>
      <c r="AR98" s="19"/>
      <c r="AS98" s="19"/>
      <c r="AT98" s="19"/>
      <c r="AU98" s="19"/>
      <c r="AV98" s="19"/>
      <c r="AW98" s="19"/>
      <c r="AX98" s="19"/>
      <c r="AY98" s="19"/>
      <c r="AZ98" s="19"/>
      <c r="BA98" s="19"/>
      <c r="BB98" s="19"/>
      <c r="BC98" s="19"/>
      <c r="BD98" s="19"/>
      <c r="BE98" s="19"/>
      <c r="BF98" s="19"/>
      <c r="BG98" s="19"/>
      <c r="BH98" s="4"/>
      <c r="BI98" s="4">
        <f t="shared" si="6"/>
        <v>0</v>
      </c>
      <c r="BJ98" s="4">
        <f t="shared" si="7"/>
        <v>0</v>
      </c>
      <c r="BK98" s="4"/>
      <c r="BL98" s="3">
        <v>8</v>
      </c>
    </row>
    <row r="99" spans="1:64">
      <c r="A99" s="1">
        <v>9</v>
      </c>
      <c r="B99" s="4">
        <f t="shared" si="5"/>
        <v>0</v>
      </c>
      <c r="C99" s="19"/>
      <c r="D99" s="101"/>
      <c r="E99" s="19"/>
      <c r="F99" s="19"/>
      <c r="G99" s="101"/>
      <c r="H99" s="101"/>
      <c r="I99" s="19"/>
      <c r="J99" s="19"/>
      <c r="K99" s="19"/>
      <c r="L99" s="19"/>
      <c r="M99" s="19"/>
      <c r="N99" s="19"/>
      <c r="O99" s="19"/>
      <c r="P99" s="19"/>
      <c r="Q99" s="19"/>
      <c r="R99" s="19"/>
      <c r="S99" s="19"/>
      <c r="T99" s="19"/>
      <c r="U99" s="19"/>
      <c r="V99" s="19"/>
      <c r="W99" s="19"/>
      <c r="X99" s="19"/>
      <c r="Y99" s="19"/>
      <c r="Z99" s="102"/>
      <c r="AA99" s="102"/>
      <c r="AB99" s="19"/>
      <c r="AC99" s="19"/>
      <c r="AD99" s="102"/>
      <c r="AE99" s="102"/>
      <c r="AF99" s="102"/>
      <c r="AG99" s="102"/>
      <c r="AH99" s="102"/>
      <c r="AI99" s="102"/>
      <c r="AJ99" s="102"/>
      <c r="AK99" s="102"/>
      <c r="AL99" s="102"/>
      <c r="AM99" s="102"/>
      <c r="AN99" s="102"/>
      <c r="AO99" s="102"/>
      <c r="AP99" s="102"/>
      <c r="AQ99" s="102"/>
      <c r="AR99" s="19"/>
      <c r="AS99" s="19"/>
      <c r="AT99" s="19"/>
      <c r="AU99" s="19"/>
      <c r="AV99" s="19"/>
      <c r="AW99" s="19"/>
      <c r="AX99" s="19"/>
      <c r="AY99" s="19"/>
      <c r="AZ99" s="19"/>
      <c r="BA99" s="19"/>
      <c r="BB99" s="19"/>
      <c r="BC99" s="19"/>
      <c r="BD99" s="19"/>
      <c r="BE99" s="19"/>
      <c r="BF99" s="19"/>
      <c r="BG99" s="19"/>
      <c r="BH99" s="4"/>
      <c r="BI99" s="4">
        <f t="shared" si="6"/>
        <v>0</v>
      </c>
      <c r="BJ99" s="4">
        <f t="shared" si="7"/>
        <v>0</v>
      </c>
      <c r="BK99" s="4"/>
      <c r="BL99" s="3">
        <v>9</v>
      </c>
    </row>
    <row r="100" spans="1:64">
      <c r="A100" s="1">
        <v>10</v>
      </c>
      <c r="B100" s="4">
        <f t="shared" si="5"/>
        <v>0</v>
      </c>
      <c r="C100" s="19"/>
      <c r="D100" s="101"/>
      <c r="E100" s="19"/>
      <c r="F100" s="19"/>
      <c r="G100" s="101"/>
      <c r="H100" s="101"/>
      <c r="I100" s="19"/>
      <c r="J100" s="19"/>
      <c r="K100" s="19"/>
      <c r="L100" s="19"/>
      <c r="M100" s="19"/>
      <c r="N100" s="19"/>
      <c r="O100" s="19"/>
      <c r="P100" s="19"/>
      <c r="Q100" s="19"/>
      <c r="R100" s="19"/>
      <c r="S100" s="19"/>
      <c r="T100" s="19"/>
      <c r="U100" s="19"/>
      <c r="V100" s="19"/>
      <c r="W100" s="19"/>
      <c r="X100" s="19"/>
      <c r="Y100" s="19"/>
      <c r="Z100" s="102"/>
      <c r="AA100" s="102"/>
      <c r="AB100" s="19"/>
      <c r="AC100" s="19"/>
      <c r="AD100" s="102"/>
      <c r="AE100" s="102"/>
      <c r="AF100" s="102"/>
      <c r="AG100" s="102"/>
      <c r="AH100" s="102"/>
      <c r="AI100" s="102"/>
      <c r="AJ100" s="102"/>
      <c r="AK100" s="102"/>
      <c r="AL100" s="102"/>
      <c r="AM100" s="102"/>
      <c r="AN100" s="102"/>
      <c r="AO100" s="102"/>
      <c r="AP100" s="102"/>
      <c r="AQ100" s="102"/>
      <c r="AR100" s="19"/>
      <c r="AS100" s="19"/>
      <c r="AT100" s="19"/>
      <c r="AU100" s="19"/>
      <c r="AV100" s="19"/>
      <c r="AW100" s="19"/>
      <c r="AX100" s="19"/>
      <c r="AY100" s="19"/>
      <c r="AZ100" s="19"/>
      <c r="BA100" s="19"/>
      <c r="BB100" s="19"/>
      <c r="BC100" s="19"/>
      <c r="BD100" s="19"/>
      <c r="BE100" s="19"/>
      <c r="BF100" s="19"/>
      <c r="BG100" s="19"/>
      <c r="BH100" s="4"/>
      <c r="BI100" s="4">
        <f t="shared" si="6"/>
        <v>0</v>
      </c>
      <c r="BJ100" s="4">
        <f t="shared" si="7"/>
        <v>0</v>
      </c>
      <c r="BK100" s="4"/>
      <c r="BL100" s="3">
        <v>10</v>
      </c>
    </row>
    <row r="101" spans="1:64">
      <c r="A101" s="1">
        <v>11</v>
      </c>
      <c r="B101" s="4">
        <f t="shared" si="5"/>
        <v>0</v>
      </c>
      <c r="C101" s="19"/>
      <c r="D101" s="101"/>
      <c r="E101" s="19"/>
      <c r="F101" s="19"/>
      <c r="G101" s="101"/>
      <c r="H101" s="101"/>
      <c r="I101" s="19"/>
      <c r="J101" s="19"/>
      <c r="K101" s="19"/>
      <c r="L101" s="19"/>
      <c r="M101" s="19"/>
      <c r="N101" s="19"/>
      <c r="O101" s="19"/>
      <c r="P101" s="19"/>
      <c r="Q101" s="19"/>
      <c r="R101" s="19"/>
      <c r="S101" s="19"/>
      <c r="T101" s="19"/>
      <c r="U101" s="19"/>
      <c r="V101" s="19"/>
      <c r="W101" s="19"/>
      <c r="X101" s="19"/>
      <c r="Y101" s="19"/>
      <c r="Z101" s="102"/>
      <c r="AA101" s="102"/>
      <c r="AB101" s="19"/>
      <c r="AC101" s="19"/>
      <c r="AD101" s="102"/>
      <c r="AE101" s="102"/>
      <c r="AF101" s="102"/>
      <c r="AG101" s="102"/>
      <c r="AH101" s="102"/>
      <c r="AI101" s="102"/>
      <c r="AJ101" s="102"/>
      <c r="AK101" s="102"/>
      <c r="AL101" s="102"/>
      <c r="AM101" s="102"/>
      <c r="AN101" s="102"/>
      <c r="AO101" s="102"/>
      <c r="AP101" s="102"/>
      <c r="AQ101" s="102"/>
      <c r="AR101" s="19"/>
      <c r="AS101" s="19"/>
      <c r="AT101" s="19"/>
      <c r="AU101" s="19"/>
      <c r="AV101" s="19"/>
      <c r="AW101" s="19"/>
      <c r="AX101" s="19"/>
      <c r="AY101" s="19"/>
      <c r="AZ101" s="19"/>
      <c r="BA101" s="19"/>
      <c r="BB101" s="19"/>
      <c r="BC101" s="19"/>
      <c r="BD101" s="19"/>
      <c r="BE101" s="19"/>
      <c r="BF101" s="19"/>
      <c r="BG101" s="19"/>
      <c r="BH101" s="4"/>
      <c r="BI101" s="4">
        <f t="shared" si="6"/>
        <v>0</v>
      </c>
      <c r="BJ101" s="4">
        <f t="shared" si="7"/>
        <v>0</v>
      </c>
      <c r="BK101" s="4"/>
      <c r="BL101" s="3">
        <v>11</v>
      </c>
    </row>
    <row r="102" spans="1:64">
      <c r="A102" s="1">
        <v>12</v>
      </c>
      <c r="B102" s="4">
        <f t="shared" si="5"/>
        <v>0</v>
      </c>
      <c r="C102" s="19"/>
      <c r="D102" s="101"/>
      <c r="E102" s="19"/>
      <c r="F102" s="19"/>
      <c r="G102" s="101"/>
      <c r="H102" s="101"/>
      <c r="I102" s="19"/>
      <c r="J102" s="19"/>
      <c r="K102" s="19"/>
      <c r="L102" s="19"/>
      <c r="M102" s="19"/>
      <c r="N102" s="19"/>
      <c r="O102" s="19"/>
      <c r="P102" s="19"/>
      <c r="Q102" s="19"/>
      <c r="R102" s="19"/>
      <c r="S102" s="19"/>
      <c r="T102" s="19"/>
      <c r="U102" s="19"/>
      <c r="V102" s="19"/>
      <c r="W102" s="19"/>
      <c r="X102" s="19"/>
      <c r="Y102" s="19"/>
      <c r="Z102" s="102"/>
      <c r="AA102" s="102"/>
      <c r="AB102" s="19"/>
      <c r="AC102" s="19"/>
      <c r="AD102" s="102"/>
      <c r="AE102" s="102"/>
      <c r="AF102" s="102"/>
      <c r="AG102" s="102"/>
      <c r="AH102" s="102"/>
      <c r="AI102" s="102"/>
      <c r="AJ102" s="102"/>
      <c r="AK102" s="102"/>
      <c r="AL102" s="102"/>
      <c r="AM102" s="102"/>
      <c r="AN102" s="102"/>
      <c r="AO102" s="102"/>
      <c r="AP102" s="102"/>
      <c r="AQ102" s="102"/>
      <c r="AR102" s="19"/>
      <c r="AS102" s="19"/>
      <c r="AT102" s="19"/>
      <c r="AU102" s="19"/>
      <c r="AV102" s="19"/>
      <c r="AW102" s="19"/>
      <c r="AX102" s="19"/>
      <c r="AY102" s="19"/>
      <c r="AZ102" s="19"/>
      <c r="BA102" s="19"/>
      <c r="BB102" s="19"/>
      <c r="BC102" s="19"/>
      <c r="BD102" s="19"/>
      <c r="BE102" s="19"/>
      <c r="BF102" s="19"/>
      <c r="BG102" s="19"/>
      <c r="BH102" s="4"/>
      <c r="BI102" s="4">
        <f t="shared" si="6"/>
        <v>0</v>
      </c>
      <c r="BJ102" s="4">
        <f t="shared" si="7"/>
        <v>0</v>
      </c>
      <c r="BK102" s="4"/>
      <c r="BL102" s="3">
        <v>12</v>
      </c>
    </row>
    <row r="103" spans="1:64">
      <c r="A103" s="1">
        <v>13</v>
      </c>
      <c r="B103" s="4">
        <f t="shared" si="5"/>
        <v>0</v>
      </c>
      <c r="C103" s="19"/>
      <c r="D103" s="101"/>
      <c r="E103" s="19"/>
      <c r="F103" s="19"/>
      <c r="G103" s="101"/>
      <c r="H103" s="101"/>
      <c r="I103" s="19"/>
      <c r="J103" s="19"/>
      <c r="K103" s="19"/>
      <c r="L103" s="19"/>
      <c r="M103" s="19"/>
      <c r="N103" s="19"/>
      <c r="O103" s="19"/>
      <c r="P103" s="19"/>
      <c r="Q103" s="19"/>
      <c r="R103" s="19"/>
      <c r="S103" s="19"/>
      <c r="T103" s="19"/>
      <c r="U103" s="19"/>
      <c r="V103" s="19"/>
      <c r="W103" s="19"/>
      <c r="X103" s="19"/>
      <c r="Y103" s="19"/>
      <c r="Z103" s="102"/>
      <c r="AA103" s="102"/>
      <c r="AB103" s="19"/>
      <c r="AC103" s="19"/>
      <c r="AD103" s="102"/>
      <c r="AE103" s="102"/>
      <c r="AF103" s="102"/>
      <c r="AG103" s="102"/>
      <c r="AH103" s="102"/>
      <c r="AI103" s="102"/>
      <c r="AJ103" s="102"/>
      <c r="AK103" s="102"/>
      <c r="AL103" s="102"/>
      <c r="AM103" s="102"/>
      <c r="AN103" s="102"/>
      <c r="AO103" s="102"/>
      <c r="AP103" s="102"/>
      <c r="AQ103" s="102"/>
      <c r="AR103" s="19"/>
      <c r="AS103" s="19"/>
      <c r="AT103" s="19"/>
      <c r="AU103" s="19"/>
      <c r="AV103" s="19"/>
      <c r="AW103" s="19"/>
      <c r="AX103" s="19"/>
      <c r="AY103" s="19"/>
      <c r="AZ103" s="19"/>
      <c r="BA103" s="19"/>
      <c r="BB103" s="19"/>
      <c r="BC103" s="19"/>
      <c r="BD103" s="19"/>
      <c r="BE103" s="19"/>
      <c r="BF103" s="19"/>
      <c r="BG103" s="19"/>
      <c r="BH103" s="4"/>
      <c r="BI103" s="4">
        <f t="shared" si="6"/>
        <v>0</v>
      </c>
      <c r="BJ103" s="4">
        <f t="shared" si="7"/>
        <v>0</v>
      </c>
      <c r="BK103" s="4"/>
      <c r="BL103" s="3">
        <v>13</v>
      </c>
    </row>
    <row r="104" spans="1:64">
      <c r="A104" s="1">
        <v>14</v>
      </c>
      <c r="B104" s="4">
        <f t="shared" si="5"/>
        <v>0</v>
      </c>
      <c r="C104" s="19"/>
      <c r="D104" s="101"/>
      <c r="E104" s="19"/>
      <c r="F104" s="19"/>
      <c r="G104" s="101"/>
      <c r="H104" s="101"/>
      <c r="I104" s="19"/>
      <c r="J104" s="19"/>
      <c r="K104" s="19"/>
      <c r="L104" s="19"/>
      <c r="M104" s="19"/>
      <c r="N104" s="19"/>
      <c r="O104" s="19"/>
      <c r="P104" s="19"/>
      <c r="Q104" s="19"/>
      <c r="R104" s="19"/>
      <c r="S104" s="19"/>
      <c r="T104" s="19"/>
      <c r="U104" s="19"/>
      <c r="V104" s="19"/>
      <c r="W104" s="19"/>
      <c r="X104" s="19"/>
      <c r="Y104" s="19"/>
      <c r="Z104" s="102"/>
      <c r="AA104" s="102"/>
      <c r="AB104" s="19"/>
      <c r="AC104" s="19"/>
      <c r="AD104" s="102"/>
      <c r="AE104" s="102"/>
      <c r="AF104" s="102"/>
      <c r="AG104" s="102"/>
      <c r="AH104" s="102"/>
      <c r="AI104" s="102"/>
      <c r="AJ104" s="102"/>
      <c r="AK104" s="102"/>
      <c r="AL104" s="102"/>
      <c r="AM104" s="102"/>
      <c r="AN104" s="102"/>
      <c r="AO104" s="102"/>
      <c r="AP104" s="102"/>
      <c r="AQ104" s="102"/>
      <c r="AR104" s="19"/>
      <c r="AS104" s="19"/>
      <c r="AT104" s="19"/>
      <c r="AU104" s="19"/>
      <c r="AV104" s="19"/>
      <c r="AW104" s="19"/>
      <c r="AX104" s="19"/>
      <c r="AY104" s="19"/>
      <c r="AZ104" s="19"/>
      <c r="BA104" s="19"/>
      <c r="BB104" s="19"/>
      <c r="BC104" s="19"/>
      <c r="BD104" s="19"/>
      <c r="BE104" s="19"/>
      <c r="BF104" s="19"/>
      <c r="BG104" s="19"/>
      <c r="BH104" s="4"/>
      <c r="BI104" s="4">
        <f t="shared" si="6"/>
        <v>0</v>
      </c>
      <c r="BJ104" s="4">
        <f t="shared" si="7"/>
        <v>0</v>
      </c>
      <c r="BK104" s="4"/>
      <c r="BL104" s="3">
        <v>14</v>
      </c>
    </row>
    <row r="105" spans="1:64">
      <c r="A105" s="1">
        <v>15</v>
      </c>
      <c r="B105" s="4">
        <f t="shared" si="5"/>
        <v>0</v>
      </c>
      <c r="C105" s="19"/>
      <c r="D105" s="101"/>
      <c r="E105" s="19"/>
      <c r="F105" s="19"/>
      <c r="G105" s="101"/>
      <c r="H105" s="101"/>
      <c r="I105" s="19"/>
      <c r="J105" s="19"/>
      <c r="K105" s="19"/>
      <c r="L105" s="19"/>
      <c r="M105" s="19"/>
      <c r="N105" s="19"/>
      <c r="O105" s="19"/>
      <c r="P105" s="19"/>
      <c r="Q105" s="19"/>
      <c r="R105" s="19"/>
      <c r="S105" s="19"/>
      <c r="T105" s="19"/>
      <c r="U105" s="19"/>
      <c r="V105" s="19"/>
      <c r="W105" s="19"/>
      <c r="X105" s="19"/>
      <c r="Y105" s="19"/>
      <c r="Z105" s="102"/>
      <c r="AA105" s="102"/>
      <c r="AB105" s="19"/>
      <c r="AC105" s="19"/>
      <c r="AD105" s="102"/>
      <c r="AE105" s="102"/>
      <c r="AF105" s="102"/>
      <c r="AG105" s="102"/>
      <c r="AH105" s="102"/>
      <c r="AI105" s="102"/>
      <c r="AJ105" s="102"/>
      <c r="AK105" s="102"/>
      <c r="AL105" s="102"/>
      <c r="AM105" s="102"/>
      <c r="AN105" s="102"/>
      <c r="AO105" s="102"/>
      <c r="AP105" s="102"/>
      <c r="AQ105" s="102"/>
      <c r="AR105" s="19"/>
      <c r="AS105" s="19"/>
      <c r="AT105" s="19"/>
      <c r="AU105" s="19"/>
      <c r="AV105" s="19"/>
      <c r="AW105" s="19"/>
      <c r="AX105" s="19"/>
      <c r="AY105" s="19"/>
      <c r="AZ105" s="19"/>
      <c r="BA105" s="19"/>
      <c r="BB105" s="19"/>
      <c r="BC105" s="19"/>
      <c r="BD105" s="19"/>
      <c r="BE105" s="19"/>
      <c r="BF105" s="19"/>
      <c r="BG105" s="19"/>
      <c r="BH105" s="4"/>
      <c r="BI105" s="4">
        <f t="shared" si="6"/>
        <v>0</v>
      </c>
      <c r="BJ105" s="4">
        <f t="shared" si="7"/>
        <v>0</v>
      </c>
      <c r="BK105" s="4"/>
      <c r="BL105" s="3">
        <v>15</v>
      </c>
    </row>
    <row r="106" spans="1:64">
      <c r="A106" s="1">
        <v>16</v>
      </c>
      <c r="B106" s="4">
        <f t="shared" si="5"/>
        <v>0</v>
      </c>
      <c r="C106" s="19"/>
      <c r="D106" s="101"/>
      <c r="E106" s="19"/>
      <c r="F106" s="19"/>
      <c r="G106" s="101"/>
      <c r="H106" s="101"/>
      <c r="I106" s="19"/>
      <c r="J106" s="19"/>
      <c r="K106" s="19"/>
      <c r="L106" s="19"/>
      <c r="M106" s="19"/>
      <c r="N106" s="19"/>
      <c r="O106" s="19"/>
      <c r="P106" s="19"/>
      <c r="Q106" s="19"/>
      <c r="R106" s="19"/>
      <c r="S106" s="19"/>
      <c r="T106" s="19"/>
      <c r="U106" s="19"/>
      <c r="V106" s="19"/>
      <c r="W106" s="19"/>
      <c r="X106" s="19"/>
      <c r="Y106" s="19"/>
      <c r="Z106" s="102"/>
      <c r="AA106" s="102"/>
      <c r="AB106" s="19"/>
      <c r="AC106" s="19"/>
      <c r="AD106" s="102"/>
      <c r="AE106" s="102"/>
      <c r="AF106" s="102"/>
      <c r="AG106" s="102"/>
      <c r="AH106" s="102"/>
      <c r="AI106" s="102"/>
      <c r="AJ106" s="102"/>
      <c r="AK106" s="102"/>
      <c r="AL106" s="102"/>
      <c r="AM106" s="102"/>
      <c r="AN106" s="102"/>
      <c r="AO106" s="102"/>
      <c r="AP106" s="102"/>
      <c r="AQ106" s="102"/>
      <c r="AR106" s="19"/>
      <c r="AS106" s="19"/>
      <c r="AT106" s="19"/>
      <c r="AU106" s="19"/>
      <c r="AV106" s="19"/>
      <c r="AW106" s="19"/>
      <c r="AX106" s="19"/>
      <c r="AY106" s="19"/>
      <c r="AZ106" s="19"/>
      <c r="BA106" s="19"/>
      <c r="BB106" s="19"/>
      <c r="BC106" s="19"/>
      <c r="BD106" s="19"/>
      <c r="BE106" s="19"/>
      <c r="BF106" s="19"/>
      <c r="BG106" s="19"/>
      <c r="BH106" s="4"/>
      <c r="BI106" s="4">
        <f t="shared" si="6"/>
        <v>0</v>
      </c>
      <c r="BJ106" s="4">
        <f t="shared" si="7"/>
        <v>0</v>
      </c>
      <c r="BK106" s="4"/>
      <c r="BL106" s="3">
        <v>16</v>
      </c>
    </row>
    <row r="107" spans="1:64">
      <c r="A107" s="1">
        <v>17</v>
      </c>
      <c r="B107" s="4">
        <f t="shared" si="5"/>
        <v>0</v>
      </c>
      <c r="C107" s="19"/>
      <c r="D107" s="101"/>
      <c r="E107" s="19"/>
      <c r="F107" s="19"/>
      <c r="G107" s="101"/>
      <c r="H107" s="101"/>
      <c r="I107" s="19"/>
      <c r="J107" s="19"/>
      <c r="K107" s="19"/>
      <c r="L107" s="19"/>
      <c r="M107" s="19"/>
      <c r="N107" s="19"/>
      <c r="O107" s="19"/>
      <c r="P107" s="19"/>
      <c r="Q107" s="19"/>
      <c r="R107" s="19"/>
      <c r="S107" s="19"/>
      <c r="T107" s="19"/>
      <c r="U107" s="19"/>
      <c r="V107" s="19"/>
      <c r="W107" s="19"/>
      <c r="X107" s="19"/>
      <c r="Y107" s="19"/>
      <c r="Z107" s="102"/>
      <c r="AA107" s="102"/>
      <c r="AB107" s="19"/>
      <c r="AC107" s="19"/>
      <c r="AD107" s="102"/>
      <c r="AE107" s="102"/>
      <c r="AF107" s="102"/>
      <c r="AG107" s="102"/>
      <c r="AH107" s="102"/>
      <c r="AI107" s="102"/>
      <c r="AJ107" s="102"/>
      <c r="AK107" s="102"/>
      <c r="AL107" s="102"/>
      <c r="AM107" s="102"/>
      <c r="AN107" s="102"/>
      <c r="AO107" s="102"/>
      <c r="AP107" s="102"/>
      <c r="AQ107" s="102"/>
      <c r="AR107" s="19"/>
      <c r="AS107" s="19"/>
      <c r="AT107" s="19"/>
      <c r="AU107" s="19"/>
      <c r="AV107" s="19"/>
      <c r="AW107" s="19"/>
      <c r="AX107" s="19"/>
      <c r="AY107" s="19"/>
      <c r="AZ107" s="19"/>
      <c r="BA107" s="19"/>
      <c r="BB107" s="19"/>
      <c r="BC107" s="19"/>
      <c r="BD107" s="19"/>
      <c r="BE107" s="19"/>
      <c r="BF107" s="19"/>
      <c r="BG107" s="19"/>
      <c r="BH107" s="4"/>
      <c r="BI107" s="4">
        <f t="shared" si="6"/>
        <v>0</v>
      </c>
      <c r="BJ107" s="4">
        <f t="shared" si="7"/>
        <v>0</v>
      </c>
      <c r="BK107" s="4"/>
      <c r="BL107" s="3">
        <v>17</v>
      </c>
    </row>
    <row r="108" spans="1:64">
      <c r="A108" s="1">
        <v>18</v>
      </c>
      <c r="B108" s="4">
        <f t="shared" si="5"/>
        <v>0</v>
      </c>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4"/>
      <c r="BI108" s="4">
        <f t="shared" si="6"/>
        <v>0</v>
      </c>
      <c r="BJ108" s="4">
        <f t="shared" si="7"/>
        <v>0</v>
      </c>
      <c r="BK108" s="4"/>
      <c r="BL108" s="3">
        <v>18</v>
      </c>
    </row>
    <row r="109" spans="1:64">
      <c r="A109" s="1">
        <v>19</v>
      </c>
      <c r="B109" s="4">
        <f t="shared" si="5"/>
        <v>0</v>
      </c>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4"/>
      <c r="BI109" s="4">
        <f t="shared" si="6"/>
        <v>0</v>
      </c>
      <c r="BJ109" s="4">
        <f t="shared" si="7"/>
        <v>0</v>
      </c>
      <c r="BK109" s="4"/>
      <c r="BL109" s="3">
        <v>19</v>
      </c>
    </row>
    <row r="110" spans="1:64">
      <c r="A110" s="1">
        <v>20</v>
      </c>
      <c r="B110" s="4">
        <f t="shared" si="5"/>
        <v>0</v>
      </c>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4"/>
      <c r="BI110" s="4">
        <f t="shared" si="6"/>
        <v>0</v>
      </c>
      <c r="BJ110" s="4">
        <f t="shared" si="7"/>
        <v>0</v>
      </c>
      <c r="BK110" s="4"/>
      <c r="BL110" s="3">
        <v>20</v>
      </c>
    </row>
    <row r="111" spans="1:64">
      <c r="A111" s="1">
        <v>21</v>
      </c>
      <c r="B111" s="4">
        <f t="shared" si="5"/>
        <v>0</v>
      </c>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4"/>
      <c r="BI111" s="4">
        <f t="shared" si="6"/>
        <v>0</v>
      </c>
      <c r="BJ111" s="4">
        <f t="shared" si="7"/>
        <v>0</v>
      </c>
      <c r="BK111" s="4"/>
      <c r="BL111" s="3">
        <v>21</v>
      </c>
    </row>
    <row r="112" spans="1:64">
      <c r="A112" s="1">
        <v>22</v>
      </c>
      <c r="B112" s="4">
        <f t="shared" si="5"/>
        <v>0</v>
      </c>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4"/>
      <c r="BI112" s="4">
        <f t="shared" si="6"/>
        <v>0</v>
      </c>
      <c r="BJ112" s="4">
        <f t="shared" si="7"/>
        <v>0</v>
      </c>
      <c r="BK112" s="4"/>
      <c r="BL112" s="3">
        <v>22</v>
      </c>
    </row>
    <row r="113" spans="1:64">
      <c r="A113" s="1">
        <v>23</v>
      </c>
      <c r="B113" s="4">
        <f t="shared" si="5"/>
        <v>0</v>
      </c>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4"/>
      <c r="BI113" s="4">
        <f t="shared" si="6"/>
        <v>0</v>
      </c>
      <c r="BJ113" s="4">
        <f t="shared" si="7"/>
        <v>0</v>
      </c>
      <c r="BK113" s="4"/>
      <c r="BL113" s="3">
        <v>23</v>
      </c>
    </row>
    <row r="114" spans="1:64">
      <c r="A114" s="1">
        <v>24</v>
      </c>
      <c r="B114" s="4">
        <f t="shared" si="5"/>
        <v>0</v>
      </c>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4"/>
      <c r="BI114" s="4">
        <f t="shared" si="6"/>
        <v>0</v>
      </c>
      <c r="BJ114" s="4">
        <f t="shared" si="7"/>
        <v>0</v>
      </c>
      <c r="BK114" s="4"/>
      <c r="BL114" s="3">
        <v>24</v>
      </c>
    </row>
    <row r="115" spans="1:64">
      <c r="A115" s="1">
        <v>25</v>
      </c>
      <c r="B115" s="4">
        <f t="shared" si="5"/>
        <v>0</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4"/>
      <c r="BI115" s="4">
        <f t="shared" si="6"/>
        <v>0</v>
      </c>
      <c r="BJ115" s="4">
        <f t="shared" si="7"/>
        <v>0</v>
      </c>
      <c r="BK115" s="4"/>
      <c r="BL115" s="3">
        <v>25</v>
      </c>
    </row>
    <row r="116" spans="1:64">
      <c r="A116" s="1">
        <v>26</v>
      </c>
      <c r="B116" s="4">
        <f t="shared" si="5"/>
        <v>0</v>
      </c>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4"/>
      <c r="BI116" s="4">
        <f t="shared" si="6"/>
        <v>0</v>
      </c>
      <c r="BJ116" s="4">
        <f t="shared" si="7"/>
        <v>0</v>
      </c>
      <c r="BK116" s="4"/>
      <c r="BL116" s="3">
        <v>26</v>
      </c>
    </row>
    <row r="117" spans="1:64">
      <c r="A117" s="1">
        <v>27</v>
      </c>
      <c r="B117" s="4">
        <f t="shared" si="5"/>
        <v>0</v>
      </c>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4"/>
      <c r="BI117" s="4">
        <f t="shared" si="6"/>
        <v>0</v>
      </c>
      <c r="BJ117" s="4">
        <f t="shared" si="7"/>
        <v>0</v>
      </c>
      <c r="BK117" s="4"/>
      <c r="BL117" s="3">
        <v>27</v>
      </c>
    </row>
    <row r="118" spans="1:64">
      <c r="A118" s="1">
        <v>28</v>
      </c>
      <c r="B118" s="4">
        <f t="shared" si="5"/>
        <v>0</v>
      </c>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4"/>
      <c r="BI118" s="4">
        <f t="shared" si="6"/>
        <v>0</v>
      </c>
      <c r="BJ118" s="4">
        <f t="shared" si="7"/>
        <v>0</v>
      </c>
      <c r="BK118" s="4"/>
      <c r="BL118" s="3">
        <v>28</v>
      </c>
    </row>
    <row r="119" spans="1:64">
      <c r="A119" s="1">
        <v>29</v>
      </c>
      <c r="B119" s="4">
        <f t="shared" si="5"/>
        <v>0</v>
      </c>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4"/>
      <c r="BI119" s="4">
        <f t="shared" si="6"/>
        <v>0</v>
      </c>
      <c r="BJ119" s="4">
        <f t="shared" si="7"/>
        <v>0</v>
      </c>
      <c r="BK119" s="4"/>
      <c r="BL119" s="3">
        <v>29</v>
      </c>
    </row>
    <row r="120" spans="1:64">
      <c r="A120" s="1">
        <v>30</v>
      </c>
      <c r="B120" s="4">
        <f t="shared" si="5"/>
        <v>0</v>
      </c>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4"/>
      <c r="BI120" s="4">
        <f t="shared" si="6"/>
        <v>0</v>
      </c>
      <c r="BJ120" s="4">
        <f t="shared" si="7"/>
        <v>0</v>
      </c>
      <c r="BK120" s="4"/>
      <c r="BL120" s="3">
        <v>30</v>
      </c>
    </row>
    <row r="121" spans="1:64">
      <c r="A121" s="1">
        <v>31</v>
      </c>
      <c r="B121" s="4">
        <f t="shared" si="5"/>
        <v>0</v>
      </c>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4"/>
      <c r="BI121" s="4">
        <f t="shared" si="6"/>
        <v>0</v>
      </c>
      <c r="BJ121" s="4">
        <f t="shared" si="7"/>
        <v>0</v>
      </c>
      <c r="BK121" s="4"/>
      <c r="BL121" s="3">
        <v>31</v>
      </c>
    </row>
    <row r="122" spans="1:64">
      <c r="A122" s="1">
        <v>32</v>
      </c>
      <c r="B122" s="4">
        <f t="shared" si="5"/>
        <v>0</v>
      </c>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4"/>
      <c r="BI122" s="4">
        <f t="shared" si="6"/>
        <v>0</v>
      </c>
      <c r="BJ122" s="4">
        <f t="shared" si="7"/>
        <v>0</v>
      </c>
      <c r="BK122" s="4"/>
      <c r="BL122" s="3">
        <v>32</v>
      </c>
    </row>
    <row r="123" spans="1:64">
      <c r="A123" s="1">
        <v>33</v>
      </c>
      <c r="B123" s="4">
        <f t="shared" si="5"/>
        <v>0</v>
      </c>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4"/>
      <c r="BI123" s="4">
        <f t="shared" si="6"/>
        <v>0</v>
      </c>
      <c r="BJ123" s="4">
        <f t="shared" si="7"/>
        <v>0</v>
      </c>
      <c r="BK123" s="4"/>
      <c r="BL123" s="3">
        <v>33</v>
      </c>
    </row>
    <row r="124" spans="1:64">
      <c r="A124" s="1">
        <v>34</v>
      </c>
      <c r="B124" s="4">
        <f t="shared" si="5"/>
        <v>0</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4"/>
      <c r="BI124" s="4">
        <f t="shared" si="6"/>
        <v>0</v>
      </c>
      <c r="BJ124" s="4">
        <f t="shared" si="7"/>
        <v>0</v>
      </c>
      <c r="BK124" s="4"/>
      <c r="BL124" s="3">
        <v>34</v>
      </c>
    </row>
    <row r="125" spans="1:64">
      <c r="A125" s="1">
        <v>35</v>
      </c>
      <c r="B125" s="4">
        <f t="shared" si="5"/>
        <v>0</v>
      </c>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4"/>
      <c r="BI125" s="4">
        <f t="shared" si="6"/>
        <v>0</v>
      </c>
      <c r="BJ125" s="4">
        <f t="shared" si="7"/>
        <v>0</v>
      </c>
      <c r="BK125" s="4"/>
      <c r="BL125" s="3">
        <v>35</v>
      </c>
    </row>
    <row r="126" spans="1:64">
      <c r="A126" s="1">
        <v>36</v>
      </c>
      <c r="B126" s="4">
        <f t="shared" si="5"/>
        <v>0</v>
      </c>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4"/>
      <c r="BI126" s="4">
        <f t="shared" si="6"/>
        <v>0</v>
      </c>
      <c r="BJ126" s="4">
        <f t="shared" si="7"/>
        <v>0</v>
      </c>
      <c r="BK126" s="4"/>
      <c r="BL126" s="3">
        <v>36</v>
      </c>
    </row>
    <row r="127" spans="1:64">
      <c r="A127" s="1">
        <v>37</v>
      </c>
      <c r="B127" s="4">
        <f t="shared" si="5"/>
        <v>0</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4"/>
      <c r="BI127" s="4">
        <f t="shared" si="6"/>
        <v>0</v>
      </c>
      <c r="BJ127" s="4">
        <f t="shared" si="7"/>
        <v>0</v>
      </c>
      <c r="BK127" s="4"/>
      <c r="BL127" s="3">
        <v>37</v>
      </c>
    </row>
    <row r="128" spans="1:64">
      <c r="A128" s="1">
        <v>38</v>
      </c>
      <c r="B128" s="4"/>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4"/>
      <c r="BI128" s="4">
        <f t="shared" si="6"/>
        <v>0</v>
      </c>
      <c r="BJ128" s="4">
        <f t="shared" si="7"/>
        <v>0</v>
      </c>
      <c r="BK128" s="4"/>
      <c r="BL128" s="3">
        <v>38</v>
      </c>
    </row>
    <row r="138" spans="1:64" ht="13.5" customHeight="1"/>
    <row r="139" spans="1:64" ht="14.4" customHeight="1">
      <c r="A139" s="87"/>
      <c r="B139" s="86"/>
      <c r="BI139" s="239"/>
      <c r="BJ139" s="186"/>
      <c r="BK139" s="79"/>
      <c r="BL139" s="79"/>
    </row>
    <row r="140" spans="1:64" ht="21.75" customHeight="1">
      <c r="A140" s="87"/>
      <c r="B140" s="86"/>
      <c r="BI140" s="85"/>
      <c r="BJ140" s="85"/>
      <c r="BK140" s="79"/>
      <c r="BL140" s="79"/>
    </row>
  </sheetData>
  <mergeCells count="16">
    <mergeCell ref="BK1:BL2"/>
    <mergeCell ref="B89:B90"/>
    <mergeCell ref="C1:BH1"/>
    <mergeCell ref="BI89:BJ89"/>
    <mergeCell ref="BI44:BJ44"/>
    <mergeCell ref="B44:B45"/>
    <mergeCell ref="C89:BH89"/>
    <mergeCell ref="C44:BH44"/>
    <mergeCell ref="BK89:BK90"/>
    <mergeCell ref="BK44:BK45"/>
    <mergeCell ref="BI139:BJ139"/>
    <mergeCell ref="BI1:BJ1"/>
    <mergeCell ref="B1:B2"/>
    <mergeCell ref="A89:A90"/>
    <mergeCell ref="A44:A45"/>
    <mergeCell ref="A1:A2"/>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&amp;U_______8°_______&amp;U                    NOMBRE DEL PROF./A CONSEJERO/A: _&amp;U_________________&amp;U__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6">
    <tabColor rgb="FFE07020"/>
  </sheetPr>
  <dimension ref="A1:BL140"/>
  <sheetViews>
    <sheetView view="pageLayout" zoomScale="70" zoomScaleNormal="100" zoomScalePageLayoutView="70" workbookViewId="0">
      <selection activeCell="AC9" sqref="AC9"/>
    </sheetView>
  </sheetViews>
  <sheetFormatPr baseColWidth="10" defaultRowHeight="14.4"/>
  <cols>
    <col min="1" max="1" width="3.44140625" customWidth="1"/>
    <col min="2" max="2" width="28.6640625" customWidth="1"/>
    <col min="3" max="36" width="2" style="20" customWidth="1"/>
    <col min="37" max="37" width="2.33203125" style="20" customWidth="1"/>
    <col min="38" max="59" width="2" style="20"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52"/>
      <c r="B1" s="242" t="s">
        <v>77</v>
      </c>
      <c r="C1" s="250" t="s">
        <v>78</v>
      </c>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c r="AF1" s="251"/>
      <c r="AG1" s="251"/>
      <c r="AH1" s="251"/>
      <c r="AI1" s="251"/>
      <c r="AJ1" s="251"/>
      <c r="AK1" s="251"/>
      <c r="AL1" s="251"/>
      <c r="AM1" s="251"/>
      <c r="AN1" s="251"/>
      <c r="AO1" s="251"/>
      <c r="AP1" s="251"/>
      <c r="AQ1" s="251"/>
      <c r="AR1" s="251"/>
      <c r="AS1" s="251"/>
      <c r="AT1" s="251"/>
      <c r="AU1" s="251"/>
      <c r="AV1" s="251"/>
      <c r="AW1" s="251"/>
      <c r="AX1" s="251"/>
      <c r="AY1" s="251"/>
      <c r="AZ1" s="251"/>
      <c r="BA1" s="251"/>
      <c r="BB1" s="251"/>
      <c r="BC1" s="251"/>
      <c r="BD1" s="251"/>
      <c r="BE1" s="251"/>
      <c r="BF1" s="251"/>
      <c r="BG1" s="251"/>
      <c r="BH1" s="241"/>
      <c r="BI1" s="240" t="s">
        <v>79</v>
      </c>
      <c r="BJ1" s="241"/>
      <c r="BK1" s="245" t="s">
        <v>18</v>
      </c>
      <c r="BL1" s="246"/>
    </row>
    <row r="2" spans="1:64" ht="46.5" customHeight="1">
      <c r="A2" s="253"/>
      <c r="B2" s="243"/>
      <c r="C2" s="11"/>
      <c r="D2" s="11"/>
      <c r="E2" s="11"/>
      <c r="F2" s="11"/>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9" t="s">
        <v>80</v>
      </c>
      <c r="BJ2" s="9" t="s">
        <v>81</v>
      </c>
      <c r="BK2" s="247"/>
      <c r="BL2" s="248"/>
    </row>
    <row r="3" spans="1:64" ht="15" customHeight="1">
      <c r="A3" s="1">
        <v>1</v>
      </c>
      <c r="B3" s="75">
        <f>MAESTRO!F5</f>
        <v>0</v>
      </c>
      <c r="C3" s="69"/>
      <c r="D3" s="19"/>
      <c r="E3" s="19"/>
      <c r="F3" s="69"/>
      <c r="G3" s="19"/>
      <c r="H3" s="19"/>
      <c r="I3" s="19"/>
      <c r="J3" s="19"/>
      <c r="K3" s="19"/>
      <c r="L3" s="19"/>
      <c r="M3" s="19"/>
      <c r="N3" s="19"/>
      <c r="O3" s="19"/>
      <c r="P3" s="19"/>
      <c r="Q3" s="19"/>
      <c r="R3" s="19"/>
      <c r="S3" s="19"/>
      <c r="T3" s="19"/>
      <c r="U3" s="19"/>
      <c r="V3" s="19"/>
      <c r="W3" s="19"/>
      <c r="X3" s="19"/>
      <c r="Y3" s="26"/>
      <c r="Z3" s="26"/>
      <c r="AA3" s="26"/>
      <c r="AB3" s="26"/>
      <c r="AC3" s="26"/>
      <c r="AD3" s="19"/>
      <c r="AE3" s="19"/>
      <c r="AF3" s="19"/>
      <c r="AG3" s="19"/>
      <c r="AH3" s="19"/>
      <c r="AI3" s="19"/>
      <c r="AJ3" s="19"/>
      <c r="AK3" s="26"/>
      <c r="AL3" s="19"/>
      <c r="AM3" s="19"/>
      <c r="AN3" s="19"/>
      <c r="AO3" s="19"/>
      <c r="AP3" s="19"/>
      <c r="AQ3" s="19"/>
      <c r="AR3" s="19"/>
      <c r="AS3" s="19"/>
      <c r="AT3" s="19"/>
      <c r="AU3" s="19"/>
      <c r="AV3" s="19"/>
      <c r="AW3" s="19"/>
      <c r="AX3" s="19"/>
      <c r="AY3" s="19"/>
      <c r="AZ3" s="19"/>
      <c r="BA3" s="19"/>
      <c r="BB3" s="19"/>
      <c r="BC3" s="19"/>
      <c r="BD3" s="19"/>
      <c r="BE3" s="19"/>
      <c r="BF3" s="19"/>
      <c r="BG3" s="19"/>
      <c r="BH3" s="4"/>
      <c r="BI3" s="4">
        <f t="shared" ref="BI3:BI40" si="0">COUNTIF(C3:BH3,"-")</f>
        <v>0</v>
      </c>
      <c r="BJ3" s="4">
        <f t="shared" ref="BJ3:BJ43" si="1">COUNTIF(D3:BI3,"T")</f>
        <v>0</v>
      </c>
      <c r="BK3" s="4"/>
      <c r="BL3" s="3">
        <v>1</v>
      </c>
    </row>
    <row r="4" spans="1:64">
      <c r="A4" s="1">
        <v>2</v>
      </c>
      <c r="B4" s="75">
        <f>MAESTRO!F6</f>
        <v>0</v>
      </c>
      <c r="C4" s="64"/>
      <c r="D4" s="19"/>
      <c r="E4" s="19"/>
      <c r="F4" s="64"/>
      <c r="G4" s="19"/>
      <c r="H4" s="19"/>
      <c r="I4" s="19"/>
      <c r="J4" s="19"/>
      <c r="K4" s="19"/>
      <c r="L4" s="19"/>
      <c r="M4" s="19"/>
      <c r="N4" s="19"/>
      <c r="O4" s="19"/>
      <c r="P4" s="19"/>
      <c r="Q4" s="19"/>
      <c r="R4" s="19"/>
      <c r="S4" s="19"/>
      <c r="T4" s="19"/>
      <c r="U4" s="19"/>
      <c r="V4" s="19"/>
      <c r="W4" s="19"/>
      <c r="X4" s="19"/>
      <c r="Y4" s="26"/>
      <c r="Z4" s="26"/>
      <c r="AA4" s="26"/>
      <c r="AB4" s="26"/>
      <c r="AC4" s="26"/>
      <c r="AD4" s="19"/>
      <c r="AE4" s="19"/>
      <c r="AF4" s="19"/>
      <c r="AG4" s="19"/>
      <c r="AH4" s="19"/>
      <c r="AI4" s="19"/>
      <c r="AJ4" s="19"/>
      <c r="AK4" s="26"/>
      <c r="AL4" s="19"/>
      <c r="AM4" s="19"/>
      <c r="AN4" s="19"/>
      <c r="AO4" s="19"/>
      <c r="AP4" s="19"/>
      <c r="AQ4" s="19"/>
      <c r="AR4" s="19"/>
      <c r="AS4" s="19"/>
      <c r="AT4" s="19"/>
      <c r="AU4" s="19"/>
      <c r="AV4" s="19"/>
      <c r="AW4" s="19"/>
      <c r="AX4" s="19"/>
      <c r="AY4" s="19"/>
      <c r="AZ4" s="19"/>
      <c r="BA4" s="19"/>
      <c r="BB4" s="19"/>
      <c r="BC4" s="19"/>
      <c r="BD4" s="19"/>
      <c r="BE4" s="19"/>
      <c r="BF4" s="19"/>
      <c r="BG4" s="19"/>
      <c r="BH4" s="4"/>
      <c r="BI4" s="4">
        <f t="shared" si="0"/>
        <v>0</v>
      </c>
      <c r="BJ4" s="4">
        <f t="shared" si="1"/>
        <v>0</v>
      </c>
      <c r="BK4" s="4"/>
      <c r="BL4" s="3">
        <v>2</v>
      </c>
    </row>
    <row r="5" spans="1:64">
      <c r="A5" s="1">
        <v>3</v>
      </c>
      <c r="B5" s="75">
        <f>MAESTRO!F7</f>
        <v>0</v>
      </c>
      <c r="C5" s="64"/>
      <c r="D5" s="19"/>
      <c r="E5" s="19"/>
      <c r="F5" s="64"/>
      <c r="G5" s="19"/>
      <c r="H5" s="19"/>
      <c r="I5" s="19"/>
      <c r="J5" s="19"/>
      <c r="K5" s="19"/>
      <c r="L5" s="19"/>
      <c r="M5" s="19"/>
      <c r="N5" s="19"/>
      <c r="O5" s="19"/>
      <c r="P5" s="19"/>
      <c r="Q5" s="19"/>
      <c r="R5" s="19"/>
      <c r="S5" s="19"/>
      <c r="T5" s="19"/>
      <c r="U5" s="19"/>
      <c r="V5" s="19"/>
      <c r="W5" s="19"/>
      <c r="X5" s="19"/>
      <c r="Y5" s="26"/>
      <c r="Z5" s="26"/>
      <c r="AA5" s="26"/>
      <c r="AB5" s="26"/>
      <c r="AC5" s="26"/>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4"/>
      <c r="BI5" s="4">
        <f t="shared" si="0"/>
        <v>0</v>
      </c>
      <c r="BJ5" s="4">
        <f t="shared" si="1"/>
        <v>0</v>
      </c>
      <c r="BK5" s="4"/>
      <c r="BL5" s="3">
        <v>3</v>
      </c>
    </row>
    <row r="6" spans="1:64">
      <c r="A6" s="1">
        <v>4</v>
      </c>
      <c r="B6" s="75">
        <f>MAESTRO!F8</f>
        <v>0</v>
      </c>
      <c r="C6" s="64"/>
      <c r="D6" s="19"/>
      <c r="E6" s="19"/>
      <c r="F6" s="64"/>
      <c r="G6" s="19"/>
      <c r="H6" s="19"/>
      <c r="I6" s="19"/>
      <c r="J6" s="19"/>
      <c r="K6" s="19"/>
      <c r="L6" s="19"/>
      <c r="M6" s="19"/>
      <c r="N6" s="19"/>
      <c r="O6" s="19"/>
      <c r="P6" s="19"/>
      <c r="Q6" s="19"/>
      <c r="R6" s="19"/>
      <c r="S6" s="19"/>
      <c r="T6" s="19"/>
      <c r="U6" s="19"/>
      <c r="V6" s="19"/>
      <c r="W6" s="19"/>
      <c r="X6" s="19"/>
      <c r="Y6" s="26"/>
      <c r="Z6" s="26"/>
      <c r="AA6" s="26"/>
      <c r="AB6" s="26"/>
      <c r="AC6" s="26"/>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4"/>
      <c r="BI6" s="4">
        <f t="shared" si="0"/>
        <v>0</v>
      </c>
      <c r="BJ6" s="4">
        <f t="shared" si="1"/>
        <v>0</v>
      </c>
      <c r="BK6" s="4"/>
      <c r="BL6" s="3">
        <v>4</v>
      </c>
    </row>
    <row r="7" spans="1:64">
      <c r="A7" s="1">
        <v>5</v>
      </c>
      <c r="B7" s="75">
        <f>MAESTRO!F9</f>
        <v>0</v>
      </c>
      <c r="C7" s="64"/>
      <c r="D7" s="19"/>
      <c r="E7" s="19"/>
      <c r="F7" s="64"/>
      <c r="G7" s="19"/>
      <c r="H7" s="19"/>
      <c r="I7" s="19"/>
      <c r="J7" s="19"/>
      <c r="K7" s="19"/>
      <c r="L7" s="19"/>
      <c r="M7" s="19"/>
      <c r="N7" s="19"/>
      <c r="O7" s="19"/>
      <c r="P7" s="19"/>
      <c r="Q7" s="19"/>
      <c r="R7" s="19"/>
      <c r="S7" s="19"/>
      <c r="T7" s="19"/>
      <c r="U7" s="19"/>
      <c r="V7" s="19"/>
      <c r="W7" s="19"/>
      <c r="X7" s="19"/>
      <c r="Y7" s="26"/>
      <c r="Z7" s="26"/>
      <c r="AA7" s="26"/>
      <c r="AB7" s="26"/>
      <c r="AC7" s="26"/>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4"/>
      <c r="BI7" s="4">
        <f t="shared" si="0"/>
        <v>0</v>
      </c>
      <c r="BJ7" s="4">
        <f t="shared" si="1"/>
        <v>0</v>
      </c>
      <c r="BK7" s="4"/>
      <c r="BL7" s="3">
        <v>5</v>
      </c>
    </row>
    <row r="8" spans="1:64">
      <c r="A8" s="1">
        <v>6</v>
      </c>
      <c r="B8" s="75">
        <f>MAESTRO!F10</f>
        <v>0</v>
      </c>
      <c r="C8" s="64"/>
      <c r="D8" s="19"/>
      <c r="E8" s="19"/>
      <c r="F8" s="64"/>
      <c r="G8" s="19"/>
      <c r="H8" s="19"/>
      <c r="I8" s="19"/>
      <c r="J8" s="19"/>
      <c r="K8" s="19"/>
      <c r="L8" s="19"/>
      <c r="M8" s="19"/>
      <c r="N8" s="19"/>
      <c r="O8" s="19"/>
      <c r="P8" s="19"/>
      <c r="Q8" s="19"/>
      <c r="R8" s="19"/>
      <c r="S8" s="19"/>
      <c r="T8" s="19"/>
      <c r="U8" s="19"/>
      <c r="V8" s="19"/>
      <c r="W8" s="19"/>
      <c r="X8" s="19"/>
      <c r="Y8" s="26"/>
      <c r="Z8" s="26"/>
      <c r="AA8" s="26"/>
      <c r="AB8" s="26"/>
      <c r="AC8" s="26"/>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4"/>
      <c r="BI8" s="4">
        <f t="shared" si="0"/>
        <v>0</v>
      </c>
      <c r="BJ8" s="4">
        <f t="shared" si="1"/>
        <v>0</v>
      </c>
      <c r="BK8" s="4"/>
      <c r="BL8" s="3">
        <v>6</v>
      </c>
    </row>
    <row r="9" spans="1:64">
      <c r="A9" s="1">
        <v>7</v>
      </c>
      <c r="B9" s="75">
        <f>MAESTRO!F11</f>
        <v>0</v>
      </c>
      <c r="C9" s="64"/>
      <c r="D9" s="19"/>
      <c r="E9" s="19"/>
      <c r="F9" s="64"/>
      <c r="G9" s="19"/>
      <c r="H9" s="19"/>
      <c r="I9" s="19"/>
      <c r="J9" s="19"/>
      <c r="K9" s="19"/>
      <c r="L9" s="19"/>
      <c r="M9" s="19"/>
      <c r="N9" s="19"/>
      <c r="O9" s="19"/>
      <c r="P9" s="19"/>
      <c r="Q9" s="19"/>
      <c r="R9" s="19"/>
      <c r="S9" s="19"/>
      <c r="T9" s="19"/>
      <c r="U9" s="19"/>
      <c r="V9" s="19"/>
      <c r="W9" s="19"/>
      <c r="X9" s="19"/>
      <c r="Y9" s="26"/>
      <c r="Z9" s="26"/>
      <c r="AA9" s="26"/>
      <c r="AB9" s="26"/>
      <c r="AC9" s="26"/>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4"/>
      <c r="BI9" s="4">
        <f t="shared" si="0"/>
        <v>0</v>
      </c>
      <c r="BJ9" s="4">
        <f t="shared" si="1"/>
        <v>0</v>
      </c>
      <c r="BK9" s="4"/>
      <c r="BL9" s="3">
        <v>7</v>
      </c>
    </row>
    <row r="10" spans="1:64">
      <c r="A10" s="1">
        <v>8</v>
      </c>
      <c r="B10" s="75">
        <f>MAESTRO!F12</f>
        <v>0</v>
      </c>
      <c r="C10" s="64"/>
      <c r="D10" s="19"/>
      <c r="E10" s="19"/>
      <c r="F10" s="64"/>
      <c r="G10" s="19"/>
      <c r="H10" s="19"/>
      <c r="I10" s="19"/>
      <c r="J10" s="19"/>
      <c r="K10" s="19"/>
      <c r="L10" s="19"/>
      <c r="M10" s="19"/>
      <c r="N10" s="19"/>
      <c r="O10" s="19"/>
      <c r="P10" s="19"/>
      <c r="Q10" s="19"/>
      <c r="R10" s="19"/>
      <c r="S10" s="19"/>
      <c r="T10" s="19"/>
      <c r="U10" s="19"/>
      <c r="V10" s="19"/>
      <c r="W10" s="19"/>
      <c r="X10" s="19"/>
      <c r="Y10" s="26"/>
      <c r="Z10" s="26"/>
      <c r="AA10" s="26"/>
      <c r="AB10" s="26"/>
      <c r="AC10" s="26"/>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4"/>
      <c r="BI10" s="4">
        <f t="shared" si="0"/>
        <v>0</v>
      </c>
      <c r="BJ10" s="4">
        <f t="shared" si="1"/>
        <v>0</v>
      </c>
      <c r="BK10" s="4"/>
      <c r="BL10" s="3">
        <v>8</v>
      </c>
    </row>
    <row r="11" spans="1:64">
      <c r="A11" s="1">
        <v>9</v>
      </c>
      <c r="B11" s="75">
        <f>MAESTRO!F13</f>
        <v>0</v>
      </c>
      <c r="C11" s="64"/>
      <c r="D11" s="19"/>
      <c r="E11" s="19"/>
      <c r="F11" s="64"/>
      <c r="G11" s="19"/>
      <c r="H11" s="19"/>
      <c r="I11" s="19"/>
      <c r="J11" s="19"/>
      <c r="K11" s="19"/>
      <c r="L11" s="19"/>
      <c r="M11" s="19"/>
      <c r="N11" s="19"/>
      <c r="O11" s="19"/>
      <c r="P11" s="19"/>
      <c r="Q11" s="19"/>
      <c r="R11" s="19"/>
      <c r="S11" s="19"/>
      <c r="T11" s="19"/>
      <c r="U11" s="19"/>
      <c r="V11" s="19"/>
      <c r="W11" s="19"/>
      <c r="X11" s="19"/>
      <c r="Y11" s="26"/>
      <c r="Z11" s="26"/>
      <c r="AA11" s="19"/>
      <c r="AB11" s="19"/>
      <c r="AC11" s="26"/>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4"/>
      <c r="BI11" s="4">
        <f t="shared" si="0"/>
        <v>0</v>
      </c>
      <c r="BJ11" s="4">
        <f t="shared" si="1"/>
        <v>0</v>
      </c>
      <c r="BK11" s="4"/>
      <c r="BL11" s="3">
        <v>9</v>
      </c>
    </row>
    <row r="12" spans="1:64">
      <c r="A12" s="1">
        <v>10</v>
      </c>
      <c r="B12" s="75">
        <f>MAESTRO!F14</f>
        <v>0</v>
      </c>
      <c r="C12" s="64"/>
      <c r="D12" s="19"/>
      <c r="E12" s="19"/>
      <c r="F12" s="64"/>
      <c r="G12" s="19"/>
      <c r="H12" s="19"/>
      <c r="I12" s="19"/>
      <c r="J12" s="19"/>
      <c r="K12" s="19"/>
      <c r="L12" s="19"/>
      <c r="M12" s="19"/>
      <c r="N12" s="19"/>
      <c r="O12" s="19"/>
      <c r="P12" s="19"/>
      <c r="Q12" s="19"/>
      <c r="R12" s="19"/>
      <c r="S12" s="19"/>
      <c r="T12" s="19"/>
      <c r="U12" s="19"/>
      <c r="V12" s="19"/>
      <c r="W12" s="19"/>
      <c r="X12" s="19"/>
      <c r="Y12" s="26"/>
      <c r="Z12" s="26"/>
      <c r="AA12" s="26"/>
      <c r="AB12" s="26"/>
      <c r="AC12" s="26"/>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4"/>
      <c r="BI12" s="4">
        <f t="shared" si="0"/>
        <v>0</v>
      </c>
      <c r="BJ12" s="4">
        <f t="shared" si="1"/>
        <v>0</v>
      </c>
      <c r="BK12" s="4"/>
      <c r="BL12" s="3">
        <v>10</v>
      </c>
    </row>
    <row r="13" spans="1:64">
      <c r="A13" s="1">
        <v>11</v>
      </c>
      <c r="B13" s="75">
        <f>MAESTRO!F15</f>
        <v>0</v>
      </c>
      <c r="C13" s="64"/>
      <c r="D13" s="19"/>
      <c r="E13" s="19"/>
      <c r="F13" s="64"/>
      <c r="G13" s="19"/>
      <c r="H13" s="19"/>
      <c r="I13" s="19"/>
      <c r="J13" s="19"/>
      <c r="K13" s="19"/>
      <c r="L13" s="19"/>
      <c r="M13" s="19"/>
      <c r="N13" s="19"/>
      <c r="O13" s="19"/>
      <c r="P13" s="19"/>
      <c r="Q13" s="19"/>
      <c r="R13" s="19"/>
      <c r="S13" s="19"/>
      <c r="T13" s="19"/>
      <c r="U13" s="19"/>
      <c r="V13" s="19"/>
      <c r="W13" s="19"/>
      <c r="X13" s="19"/>
      <c r="Y13" s="26"/>
      <c r="Z13" s="26"/>
      <c r="AA13" s="26"/>
      <c r="AB13" s="26"/>
      <c r="AC13" s="26"/>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4"/>
      <c r="BI13" s="4">
        <f t="shared" si="0"/>
        <v>0</v>
      </c>
      <c r="BJ13" s="4">
        <f t="shared" si="1"/>
        <v>0</v>
      </c>
      <c r="BK13" s="4"/>
      <c r="BL13" s="3">
        <v>11</v>
      </c>
    </row>
    <row r="14" spans="1:64">
      <c r="A14" s="1">
        <v>12</v>
      </c>
      <c r="B14" s="75">
        <f>MAESTRO!F16</f>
        <v>0</v>
      </c>
      <c r="C14" s="64"/>
      <c r="D14" s="19"/>
      <c r="E14" s="19"/>
      <c r="F14" s="64"/>
      <c r="G14" s="19"/>
      <c r="H14" s="19"/>
      <c r="I14" s="19"/>
      <c r="J14" s="19"/>
      <c r="K14" s="19"/>
      <c r="L14" s="19"/>
      <c r="M14" s="19"/>
      <c r="N14" s="19"/>
      <c r="O14" s="19"/>
      <c r="P14" s="19"/>
      <c r="Q14" s="19"/>
      <c r="R14" s="19"/>
      <c r="S14" s="19"/>
      <c r="T14" s="19"/>
      <c r="U14" s="19"/>
      <c r="V14" s="19"/>
      <c r="W14" s="19"/>
      <c r="X14" s="19"/>
      <c r="Y14" s="26"/>
      <c r="Z14" s="26"/>
      <c r="AA14" s="26"/>
      <c r="AB14" s="26"/>
      <c r="AC14" s="26"/>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4"/>
      <c r="BI14" s="4">
        <f t="shared" si="0"/>
        <v>0</v>
      </c>
      <c r="BJ14" s="4">
        <f t="shared" si="1"/>
        <v>0</v>
      </c>
      <c r="BK14" s="4"/>
      <c r="BL14" s="3">
        <v>12</v>
      </c>
    </row>
    <row r="15" spans="1:64">
      <c r="A15" s="1">
        <v>13</v>
      </c>
      <c r="B15" s="75">
        <f>MAESTRO!F17</f>
        <v>0</v>
      </c>
      <c r="C15" s="64"/>
      <c r="D15" s="19"/>
      <c r="E15" s="19"/>
      <c r="F15" s="64"/>
      <c r="G15" s="19"/>
      <c r="H15" s="19"/>
      <c r="I15" s="19"/>
      <c r="J15" s="19"/>
      <c r="K15" s="19"/>
      <c r="L15" s="19"/>
      <c r="M15" s="19"/>
      <c r="N15" s="19"/>
      <c r="O15" s="19"/>
      <c r="P15" s="19"/>
      <c r="Q15" s="19"/>
      <c r="R15" s="19"/>
      <c r="S15" s="19"/>
      <c r="T15" s="19"/>
      <c r="U15" s="19"/>
      <c r="V15" s="19"/>
      <c r="W15" s="19"/>
      <c r="X15" s="19"/>
      <c r="Y15" s="26"/>
      <c r="Z15" s="26"/>
      <c r="AA15" s="26"/>
      <c r="AB15" s="26"/>
      <c r="AC15" s="26"/>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4"/>
      <c r="BI15" s="4">
        <f t="shared" si="0"/>
        <v>0</v>
      </c>
      <c r="BJ15" s="4">
        <f t="shared" si="1"/>
        <v>0</v>
      </c>
      <c r="BK15" s="4"/>
      <c r="BL15" s="3">
        <v>13</v>
      </c>
    </row>
    <row r="16" spans="1:64">
      <c r="A16" s="1">
        <v>14</v>
      </c>
      <c r="B16" s="75">
        <f>MAESTRO!F18</f>
        <v>0</v>
      </c>
      <c r="C16" s="64"/>
      <c r="D16" s="19"/>
      <c r="E16" s="19"/>
      <c r="F16" s="64"/>
      <c r="G16" s="19"/>
      <c r="H16" s="19"/>
      <c r="I16" s="19"/>
      <c r="J16" s="19"/>
      <c r="K16" s="19"/>
      <c r="L16" s="19"/>
      <c r="M16" s="19"/>
      <c r="N16" s="19"/>
      <c r="O16" s="19"/>
      <c r="P16" s="19"/>
      <c r="Q16" s="19"/>
      <c r="R16" s="19"/>
      <c r="S16" s="19"/>
      <c r="T16" s="19"/>
      <c r="U16" s="19"/>
      <c r="V16" s="19"/>
      <c r="W16" s="19"/>
      <c r="X16" s="19"/>
      <c r="Y16" s="26"/>
      <c r="Z16" s="26"/>
      <c r="AA16" s="26"/>
      <c r="AB16" s="26"/>
      <c r="AC16" s="26"/>
      <c r="AD16" s="19"/>
      <c r="AE16" s="19"/>
      <c r="AF16" s="19"/>
      <c r="AG16" s="19"/>
      <c r="AH16" s="19"/>
      <c r="AI16" s="19"/>
      <c r="AJ16" s="19"/>
      <c r="AK16" s="19"/>
      <c r="AL16" s="19"/>
      <c r="AM16" s="19"/>
      <c r="AN16" s="19"/>
      <c r="AO16" s="19"/>
      <c r="AP16" s="19"/>
      <c r="AQ16" s="19"/>
      <c r="AS16" s="19"/>
      <c r="AT16" s="19"/>
      <c r="AU16" s="19"/>
      <c r="AV16" s="19"/>
      <c r="AW16" s="19"/>
      <c r="AX16" s="19"/>
      <c r="AY16" s="19"/>
      <c r="AZ16" s="19"/>
      <c r="BA16" s="19"/>
      <c r="BB16" s="19"/>
      <c r="BC16" s="19"/>
      <c r="BD16" s="19"/>
      <c r="BE16" s="19"/>
      <c r="BF16" s="19"/>
      <c r="BG16" s="19"/>
      <c r="BH16" s="4"/>
      <c r="BI16" s="4">
        <f t="shared" si="0"/>
        <v>0</v>
      </c>
      <c r="BJ16" s="4">
        <f t="shared" si="1"/>
        <v>0</v>
      </c>
      <c r="BK16" s="4"/>
      <c r="BL16" s="3">
        <v>14</v>
      </c>
    </row>
    <row r="17" spans="1:64">
      <c r="A17" s="1">
        <v>15</v>
      </c>
      <c r="B17" s="75">
        <f>MAESTRO!F19</f>
        <v>0</v>
      </c>
      <c r="C17" s="64"/>
      <c r="D17" s="19"/>
      <c r="E17" s="19"/>
      <c r="F17" s="64"/>
      <c r="G17" s="19"/>
      <c r="H17" s="19"/>
      <c r="I17" s="19"/>
      <c r="J17" s="19"/>
      <c r="K17" s="19"/>
      <c r="L17" s="19"/>
      <c r="M17" s="19"/>
      <c r="N17" s="19"/>
      <c r="O17" s="19"/>
      <c r="P17" s="19"/>
      <c r="Q17" s="19"/>
      <c r="R17" s="19"/>
      <c r="S17" s="19"/>
      <c r="T17" s="19"/>
      <c r="U17" s="19"/>
      <c r="V17" s="19"/>
      <c r="W17" s="19"/>
      <c r="X17" s="19"/>
      <c r="Y17" s="26"/>
      <c r="Z17" s="26"/>
      <c r="AA17" s="26"/>
      <c r="AB17" s="26"/>
      <c r="AC17" s="26"/>
      <c r="AD17" s="19"/>
      <c r="AE17" s="19"/>
      <c r="AF17" s="19"/>
      <c r="AG17" s="19"/>
      <c r="AH17" s="19"/>
      <c r="AI17" s="19"/>
      <c r="AJ17" s="19"/>
      <c r="AK17" s="19"/>
      <c r="AL17" s="19"/>
      <c r="AM17" s="19"/>
      <c r="AN17" s="19"/>
      <c r="AO17" s="19"/>
      <c r="AP17" s="19"/>
      <c r="AQ17" s="19"/>
      <c r="AS17" s="19"/>
      <c r="AT17" s="19"/>
      <c r="AU17" s="19"/>
      <c r="AV17" s="19"/>
      <c r="AW17" s="19"/>
      <c r="AX17" s="19"/>
      <c r="AY17" s="19"/>
      <c r="AZ17" s="19"/>
      <c r="BA17" s="19"/>
      <c r="BB17" s="19"/>
      <c r="BC17" s="19"/>
      <c r="BD17" s="19"/>
      <c r="BE17" s="19"/>
      <c r="BF17" s="19"/>
      <c r="BG17" s="19"/>
      <c r="BH17" s="4"/>
      <c r="BI17" s="4">
        <f t="shared" si="0"/>
        <v>0</v>
      </c>
      <c r="BJ17" s="4">
        <f t="shared" si="1"/>
        <v>0</v>
      </c>
      <c r="BK17" s="4"/>
      <c r="BL17" s="3">
        <v>15</v>
      </c>
    </row>
    <row r="18" spans="1:64">
      <c r="A18" s="1">
        <v>16</v>
      </c>
      <c r="B18" s="75">
        <f>MAESTRO!F20</f>
        <v>0</v>
      </c>
      <c r="C18" s="64"/>
      <c r="D18" s="19"/>
      <c r="E18" s="19"/>
      <c r="F18" s="64"/>
      <c r="G18" s="19"/>
      <c r="H18" s="19"/>
      <c r="I18" s="19"/>
      <c r="J18" s="19"/>
      <c r="K18" s="19"/>
      <c r="L18" s="19"/>
      <c r="M18" s="19"/>
      <c r="N18" s="19"/>
      <c r="O18" s="19"/>
      <c r="P18" s="19"/>
      <c r="Q18" s="19"/>
      <c r="R18" s="19"/>
      <c r="S18" s="19"/>
      <c r="T18" s="19"/>
      <c r="U18" s="19"/>
      <c r="V18" s="19"/>
      <c r="W18" s="19"/>
      <c r="X18" s="19"/>
      <c r="Y18" s="26"/>
      <c r="Z18" s="26"/>
      <c r="AA18" s="26"/>
      <c r="AB18" s="26"/>
      <c r="AC18" s="26"/>
      <c r="AD18" s="19"/>
      <c r="AE18" s="19"/>
      <c r="AF18" s="19"/>
      <c r="AG18" s="19"/>
      <c r="AH18" s="19"/>
      <c r="AI18" s="19"/>
      <c r="AJ18" s="19"/>
      <c r="AK18" s="19"/>
      <c r="AL18" s="19"/>
      <c r="AM18" s="19"/>
      <c r="AN18" s="19"/>
      <c r="AO18" s="19"/>
      <c r="AP18" s="19"/>
      <c r="AQ18" s="19"/>
      <c r="AS18" s="19"/>
      <c r="AT18" s="19"/>
      <c r="AU18" s="19"/>
      <c r="AV18" s="19"/>
      <c r="AW18" s="19"/>
      <c r="AX18" s="19"/>
      <c r="AY18" s="19"/>
      <c r="AZ18" s="19"/>
      <c r="BA18" s="19"/>
      <c r="BB18" s="19"/>
      <c r="BC18" s="19"/>
      <c r="BD18" s="19"/>
      <c r="BE18" s="19"/>
      <c r="BF18" s="19"/>
      <c r="BG18" s="19"/>
      <c r="BH18" s="4"/>
      <c r="BI18" s="4">
        <f t="shared" si="0"/>
        <v>0</v>
      </c>
      <c r="BJ18" s="4">
        <f t="shared" si="1"/>
        <v>0</v>
      </c>
      <c r="BK18" s="4"/>
      <c r="BL18" s="3">
        <v>16</v>
      </c>
    </row>
    <row r="19" spans="1:64">
      <c r="A19" s="1">
        <v>17</v>
      </c>
      <c r="B19" s="75">
        <f>MAESTRO!F21</f>
        <v>0</v>
      </c>
      <c r="C19" s="64"/>
      <c r="D19" s="19"/>
      <c r="E19" s="19"/>
      <c r="F19" s="64"/>
      <c r="G19" s="19"/>
      <c r="H19" s="19"/>
      <c r="I19" s="19"/>
      <c r="J19" s="19"/>
      <c r="K19" s="19"/>
      <c r="L19" s="19"/>
      <c r="M19" s="19"/>
      <c r="N19" s="19"/>
      <c r="O19" s="19"/>
      <c r="P19" s="19"/>
      <c r="Q19" s="19"/>
      <c r="R19" s="19"/>
      <c r="S19" s="19"/>
      <c r="T19" s="19"/>
      <c r="U19" s="19"/>
      <c r="V19" s="19"/>
      <c r="W19" s="19"/>
      <c r="X19" s="19"/>
      <c r="Y19" s="26"/>
      <c r="Z19" s="26"/>
      <c r="AA19" s="26"/>
      <c r="AB19" s="26"/>
      <c r="AC19" s="26"/>
      <c r="AD19" s="19"/>
      <c r="AE19" s="19"/>
      <c r="AF19" s="19"/>
      <c r="AG19" s="19"/>
      <c r="AH19" s="19"/>
      <c r="AI19" s="19"/>
      <c r="AJ19" s="19"/>
      <c r="AK19" s="26"/>
      <c r="AL19" s="19"/>
      <c r="AM19" s="19"/>
      <c r="AN19" s="19"/>
      <c r="AO19" s="19"/>
      <c r="AP19" s="19"/>
      <c r="AQ19" s="19"/>
      <c r="AR19" s="19"/>
      <c r="AS19" s="19"/>
      <c r="AT19" s="19"/>
      <c r="AU19" s="19"/>
      <c r="AV19" s="19"/>
      <c r="AW19" s="19"/>
      <c r="AX19" s="19"/>
      <c r="AY19" s="19"/>
      <c r="AZ19" s="19"/>
      <c r="BA19" s="19"/>
      <c r="BB19" s="19"/>
      <c r="BC19" s="19"/>
      <c r="BD19" s="19"/>
      <c r="BE19" s="19"/>
      <c r="BF19" s="19"/>
      <c r="BG19" s="19"/>
      <c r="BH19" s="4"/>
      <c r="BI19" s="4">
        <f t="shared" si="0"/>
        <v>0</v>
      </c>
      <c r="BJ19" s="4">
        <f t="shared" si="1"/>
        <v>0</v>
      </c>
      <c r="BK19" s="4"/>
      <c r="BL19" s="3">
        <v>17</v>
      </c>
    </row>
    <row r="20" spans="1:64">
      <c r="A20" s="1">
        <v>18</v>
      </c>
      <c r="B20" s="12">
        <f>MAESTRO!F22</f>
        <v>0</v>
      </c>
      <c r="C20" s="64"/>
      <c r="D20" s="19"/>
      <c r="E20" s="19"/>
      <c r="F20" s="64"/>
      <c r="G20" s="19"/>
      <c r="H20" s="19"/>
      <c r="I20" s="19"/>
      <c r="J20" s="19"/>
      <c r="K20" s="19"/>
      <c r="L20" s="19"/>
      <c r="M20" s="19"/>
      <c r="N20" s="19"/>
      <c r="O20" s="19"/>
      <c r="P20" s="19"/>
      <c r="Q20" s="19"/>
      <c r="R20" s="19"/>
      <c r="S20" s="19"/>
      <c r="T20" s="19"/>
      <c r="U20" s="19"/>
      <c r="V20" s="19"/>
      <c r="W20" s="19"/>
      <c r="X20" s="19"/>
      <c r="Y20" s="26"/>
      <c r="Z20" s="26"/>
      <c r="AA20" s="26"/>
      <c r="AB20" s="26"/>
      <c r="AC20" s="26"/>
      <c r="AD20" s="19"/>
      <c r="AE20" s="19"/>
      <c r="AF20" s="19"/>
      <c r="AG20" s="19"/>
      <c r="AH20" s="19"/>
      <c r="AI20" s="19"/>
      <c r="AJ20" s="19"/>
      <c r="AK20" s="26"/>
      <c r="AL20" s="19"/>
      <c r="AM20" s="19"/>
      <c r="AN20" s="19"/>
      <c r="AO20" s="19"/>
      <c r="AP20" s="19"/>
      <c r="AQ20" s="19"/>
      <c r="AR20" s="19"/>
      <c r="AS20" s="19"/>
      <c r="AT20" s="19"/>
      <c r="AU20" s="19"/>
      <c r="AV20" s="19"/>
      <c r="AW20" s="19"/>
      <c r="AX20" s="19"/>
      <c r="AY20" s="19"/>
      <c r="AZ20" s="19"/>
      <c r="BA20" s="19"/>
      <c r="BB20" s="19"/>
      <c r="BC20" s="19"/>
      <c r="BD20" s="19"/>
      <c r="BE20" s="19"/>
      <c r="BF20" s="19"/>
      <c r="BG20" s="19"/>
      <c r="BH20" s="4"/>
      <c r="BI20" s="4">
        <f t="shared" si="0"/>
        <v>0</v>
      </c>
      <c r="BJ20" s="4">
        <f t="shared" si="1"/>
        <v>0</v>
      </c>
      <c r="BK20" s="4"/>
      <c r="BL20" s="3">
        <v>18</v>
      </c>
    </row>
    <row r="21" spans="1:64">
      <c r="A21" s="1">
        <v>19</v>
      </c>
      <c r="B21" s="12">
        <f>MAESTRO!F23</f>
        <v>0</v>
      </c>
      <c r="C21" s="64"/>
      <c r="D21" s="19"/>
      <c r="E21" s="19"/>
      <c r="F21" s="64"/>
      <c r="G21" s="19"/>
      <c r="H21" s="19"/>
      <c r="I21" s="19"/>
      <c r="J21" s="19"/>
      <c r="K21" s="19"/>
      <c r="L21" s="19"/>
      <c r="M21" s="19"/>
      <c r="N21" s="19"/>
      <c r="O21" s="19"/>
      <c r="P21" s="19"/>
      <c r="Q21" s="19"/>
      <c r="R21" s="19"/>
      <c r="S21" s="19"/>
      <c r="T21" s="19"/>
      <c r="U21" s="19"/>
      <c r="V21" s="19"/>
      <c r="W21" s="19"/>
      <c r="X21" s="19"/>
      <c r="Y21" s="26"/>
      <c r="Z21" s="26"/>
      <c r="AA21" s="26"/>
      <c r="AB21" s="26"/>
      <c r="AC21" s="26"/>
      <c r="AD21" s="19"/>
      <c r="AE21" s="19"/>
      <c r="AF21" s="19"/>
      <c r="AG21" s="19"/>
      <c r="AH21" s="19"/>
      <c r="AI21" s="19"/>
      <c r="AJ21" s="19"/>
      <c r="AK21" s="26"/>
      <c r="AL21" s="19"/>
      <c r="AM21" s="19"/>
      <c r="AN21" s="19"/>
      <c r="AO21" s="19"/>
      <c r="AP21" s="19"/>
      <c r="AQ21" s="19"/>
      <c r="AR21" s="19"/>
      <c r="AS21" s="19"/>
      <c r="AT21" s="19"/>
      <c r="AU21" s="19"/>
      <c r="AV21" s="19"/>
      <c r="AW21" s="19"/>
      <c r="AX21" s="19"/>
      <c r="AY21" s="19"/>
      <c r="AZ21" s="19"/>
      <c r="BA21" s="19"/>
      <c r="BB21" s="19"/>
      <c r="BC21" s="19"/>
      <c r="BD21" s="19"/>
      <c r="BE21" s="19"/>
      <c r="BF21" s="19"/>
      <c r="BG21" s="19"/>
      <c r="BH21" s="4"/>
      <c r="BI21" s="4">
        <f t="shared" si="0"/>
        <v>0</v>
      </c>
      <c r="BJ21" s="4">
        <f t="shared" si="1"/>
        <v>0</v>
      </c>
      <c r="BK21" s="4"/>
      <c r="BL21" s="3">
        <v>19</v>
      </c>
    </row>
    <row r="22" spans="1:64">
      <c r="A22" s="1">
        <v>20</v>
      </c>
      <c r="B22" s="12">
        <f>MAESTRO!F24</f>
        <v>0</v>
      </c>
      <c r="C22" s="64"/>
      <c r="D22" s="19"/>
      <c r="E22" s="19"/>
      <c r="F22" s="64"/>
      <c r="G22" s="19"/>
      <c r="H22" s="19"/>
      <c r="I22" s="19"/>
      <c r="J22" s="19"/>
      <c r="K22" s="19"/>
      <c r="L22" s="19"/>
      <c r="M22" s="19"/>
      <c r="N22" s="19"/>
      <c r="O22" s="19"/>
      <c r="P22" s="19"/>
      <c r="Q22" s="19"/>
      <c r="R22" s="19"/>
      <c r="S22" s="19"/>
      <c r="T22" s="19"/>
      <c r="U22" s="19"/>
      <c r="V22" s="19"/>
      <c r="W22" s="19"/>
      <c r="X22" s="19"/>
      <c r="Y22" s="26"/>
      <c r="Z22" s="26"/>
      <c r="AA22" s="26"/>
      <c r="AB22" s="26"/>
      <c r="AC22" s="26"/>
      <c r="AD22" s="19"/>
      <c r="AE22" s="19"/>
      <c r="AF22" s="19"/>
      <c r="AG22" s="19"/>
      <c r="AH22" s="19"/>
      <c r="AI22" s="19"/>
      <c r="AJ22" s="19"/>
      <c r="AK22" s="26"/>
      <c r="AL22" s="19"/>
      <c r="AM22" s="19"/>
      <c r="AN22" s="19"/>
      <c r="AO22" s="19"/>
      <c r="AP22" s="19"/>
      <c r="AQ22" s="19"/>
      <c r="AR22" s="19"/>
      <c r="AS22" s="19"/>
      <c r="AT22" s="19"/>
      <c r="AU22" s="19"/>
      <c r="AV22" s="19"/>
      <c r="AW22" s="19"/>
      <c r="AX22" s="19"/>
      <c r="AY22" s="19"/>
      <c r="AZ22" s="19"/>
      <c r="BA22" s="19"/>
      <c r="BB22" s="19"/>
      <c r="BC22" s="19"/>
      <c r="BD22" s="19"/>
      <c r="BE22" s="19"/>
      <c r="BF22" s="19"/>
      <c r="BG22" s="19"/>
      <c r="BH22" s="4"/>
      <c r="BI22" s="4">
        <f t="shared" si="0"/>
        <v>0</v>
      </c>
      <c r="BJ22" s="4">
        <f t="shared" si="1"/>
        <v>0</v>
      </c>
      <c r="BK22" s="4"/>
      <c r="BL22" s="3">
        <v>20</v>
      </c>
    </row>
    <row r="23" spans="1:64">
      <c r="A23" s="1">
        <v>21</v>
      </c>
      <c r="B23" s="12">
        <f>MAESTRO!F25</f>
        <v>0</v>
      </c>
      <c r="C23" s="64"/>
      <c r="D23" s="19"/>
      <c r="E23" s="19"/>
      <c r="F23" s="64"/>
      <c r="G23" s="19"/>
      <c r="H23" s="19"/>
      <c r="I23" s="19"/>
      <c r="J23" s="19"/>
      <c r="K23" s="19"/>
      <c r="L23" s="19"/>
      <c r="M23" s="19"/>
      <c r="N23" s="19"/>
      <c r="O23" s="19"/>
      <c r="P23" s="19"/>
      <c r="Q23" s="19"/>
      <c r="R23" s="19"/>
      <c r="S23" s="19"/>
      <c r="T23" s="19"/>
      <c r="U23" s="19"/>
      <c r="V23" s="19"/>
      <c r="W23" s="19"/>
      <c r="X23" s="19"/>
      <c r="Y23" s="26"/>
      <c r="Z23" s="26"/>
      <c r="AA23" s="26"/>
      <c r="AB23" s="26"/>
      <c r="AC23" s="26"/>
      <c r="AD23" s="19"/>
      <c r="AE23" s="19"/>
      <c r="AF23" s="19"/>
      <c r="AG23" s="19"/>
      <c r="AH23" s="19"/>
      <c r="AI23" s="19"/>
      <c r="AJ23" s="19"/>
      <c r="AK23" s="26"/>
      <c r="AL23" s="19"/>
      <c r="AM23" s="19"/>
      <c r="AN23" s="19"/>
      <c r="AO23" s="19"/>
      <c r="AP23" s="19"/>
      <c r="AQ23" s="19"/>
      <c r="AR23" s="19"/>
      <c r="AS23" s="19"/>
      <c r="AT23" s="19"/>
      <c r="AU23" s="19"/>
      <c r="AV23" s="19"/>
      <c r="AW23" s="19"/>
      <c r="AX23" s="19"/>
      <c r="AY23" s="19"/>
      <c r="AZ23" s="19"/>
      <c r="BA23" s="19"/>
      <c r="BB23" s="19"/>
      <c r="BC23" s="19"/>
      <c r="BD23" s="19"/>
      <c r="BE23" s="19"/>
      <c r="BF23" s="19"/>
      <c r="BG23" s="19"/>
      <c r="BH23" s="4"/>
      <c r="BI23" s="4">
        <f t="shared" si="0"/>
        <v>0</v>
      </c>
      <c r="BJ23" s="4">
        <f t="shared" si="1"/>
        <v>0</v>
      </c>
      <c r="BK23" s="4"/>
      <c r="BL23" s="3">
        <v>21</v>
      </c>
    </row>
    <row r="24" spans="1:64">
      <c r="A24" s="1">
        <v>22</v>
      </c>
      <c r="B24" s="12">
        <f>MAESTRO!F26</f>
        <v>0</v>
      </c>
      <c r="C24" s="64"/>
      <c r="D24" s="19"/>
      <c r="E24" s="19"/>
      <c r="F24" s="64"/>
      <c r="G24" s="19"/>
      <c r="H24" s="19"/>
      <c r="I24" s="19"/>
      <c r="J24" s="19"/>
      <c r="K24" s="19"/>
      <c r="L24" s="19"/>
      <c r="M24" s="19"/>
      <c r="N24" s="19"/>
      <c r="O24" s="19"/>
      <c r="P24" s="19"/>
      <c r="Q24" s="19"/>
      <c r="R24" s="19"/>
      <c r="S24" s="19"/>
      <c r="T24" s="19"/>
      <c r="U24" s="19"/>
      <c r="V24" s="19"/>
      <c r="W24" s="19"/>
      <c r="X24" s="19"/>
      <c r="Y24" s="26"/>
      <c r="Z24" s="26"/>
      <c r="AA24" s="26"/>
      <c r="AB24" s="26"/>
      <c r="AC24" s="26"/>
      <c r="AD24" s="19"/>
      <c r="AE24" s="19"/>
      <c r="AF24" s="19"/>
      <c r="AG24" s="19"/>
      <c r="AH24" s="19"/>
      <c r="AI24" s="19"/>
      <c r="AJ24" s="19"/>
      <c r="AK24" s="26"/>
      <c r="AL24" s="19"/>
      <c r="AM24" s="19"/>
      <c r="AN24" s="19"/>
      <c r="AO24" s="19"/>
      <c r="AP24" s="19"/>
      <c r="AQ24" s="19"/>
      <c r="AR24" s="19"/>
      <c r="AS24" s="19"/>
      <c r="AT24" s="19"/>
      <c r="AU24" s="19"/>
      <c r="AV24" s="19"/>
      <c r="AW24" s="19"/>
      <c r="AX24" s="19"/>
      <c r="AY24" s="19"/>
      <c r="AZ24" s="19"/>
      <c r="BA24" s="19"/>
      <c r="BB24" s="19"/>
      <c r="BC24" s="19"/>
      <c r="BD24" s="19"/>
      <c r="BE24" s="19"/>
      <c r="BF24" s="19"/>
      <c r="BG24" s="19"/>
      <c r="BH24" s="4"/>
      <c r="BI24" s="4">
        <f t="shared" si="0"/>
        <v>0</v>
      </c>
      <c r="BJ24" s="4">
        <f t="shared" si="1"/>
        <v>0</v>
      </c>
      <c r="BK24" s="4"/>
      <c r="BL24" s="3">
        <v>22</v>
      </c>
    </row>
    <row r="25" spans="1:64">
      <c r="A25" s="1">
        <v>23</v>
      </c>
      <c r="B25" s="12">
        <f>MAESTRO!F27</f>
        <v>0</v>
      </c>
      <c r="C25" s="64"/>
      <c r="D25" s="19"/>
      <c r="E25" s="19"/>
      <c r="F25" s="64"/>
      <c r="G25" s="19"/>
      <c r="H25" s="19"/>
      <c r="I25" s="19"/>
      <c r="J25" s="19"/>
      <c r="K25" s="19"/>
      <c r="L25" s="19"/>
      <c r="M25" s="19"/>
      <c r="N25" s="19"/>
      <c r="O25" s="19"/>
      <c r="P25" s="19"/>
      <c r="Q25" s="19"/>
      <c r="R25" s="19"/>
      <c r="S25" s="19"/>
      <c r="T25" s="19"/>
      <c r="U25" s="19"/>
      <c r="V25" s="19"/>
      <c r="W25" s="19"/>
      <c r="X25" s="19"/>
      <c r="Y25" s="26"/>
      <c r="Z25" s="26"/>
      <c r="AA25" s="26"/>
      <c r="AB25" s="26"/>
      <c r="AC25" s="26"/>
      <c r="AD25" s="19"/>
      <c r="AE25" s="19"/>
      <c r="AF25" s="19"/>
      <c r="AG25" s="19"/>
      <c r="AH25" s="19"/>
      <c r="AI25" s="19"/>
      <c r="AJ25" s="19"/>
      <c r="AK25" s="26"/>
      <c r="AL25" s="19"/>
      <c r="AM25" s="19"/>
      <c r="AN25" s="19"/>
      <c r="AO25" s="19"/>
      <c r="AP25" s="19"/>
      <c r="AQ25" s="19"/>
      <c r="AR25" s="19"/>
      <c r="AS25" s="19"/>
      <c r="AT25" s="19"/>
      <c r="AU25" s="19"/>
      <c r="AV25" s="19"/>
      <c r="AW25" s="19"/>
      <c r="AX25" s="19"/>
      <c r="AY25" s="19"/>
      <c r="AZ25" s="19"/>
      <c r="BA25" s="19"/>
      <c r="BB25" s="19"/>
      <c r="BC25" s="19"/>
      <c r="BD25" s="19"/>
      <c r="BE25" s="19"/>
      <c r="BF25" s="19"/>
      <c r="BG25" s="19"/>
      <c r="BH25" s="4"/>
      <c r="BI25" s="4">
        <f t="shared" si="0"/>
        <v>0</v>
      </c>
      <c r="BJ25" s="4">
        <f t="shared" si="1"/>
        <v>0</v>
      </c>
      <c r="BK25" s="4"/>
      <c r="BL25" s="3">
        <v>23</v>
      </c>
    </row>
    <row r="26" spans="1:64">
      <c r="A26" s="1">
        <v>24</v>
      </c>
      <c r="B26" s="12">
        <f>MAESTRO!F28</f>
        <v>0</v>
      </c>
      <c r="C26" s="64"/>
      <c r="D26" s="19"/>
      <c r="E26" s="19"/>
      <c r="F26" s="64"/>
      <c r="G26" s="19"/>
      <c r="H26" s="19"/>
      <c r="I26" s="19"/>
      <c r="J26" s="19"/>
      <c r="K26" s="19"/>
      <c r="L26" s="19"/>
      <c r="M26" s="19"/>
      <c r="N26" s="19"/>
      <c r="O26" s="19"/>
      <c r="P26" s="19"/>
      <c r="Q26" s="19"/>
      <c r="R26" s="19"/>
      <c r="S26" s="19"/>
      <c r="T26" s="19"/>
      <c r="U26" s="19"/>
      <c r="V26" s="19"/>
      <c r="W26" s="19"/>
      <c r="X26" s="19"/>
      <c r="Y26" s="26"/>
      <c r="Z26" s="26"/>
      <c r="AA26" s="26"/>
      <c r="AB26" s="26"/>
      <c r="AC26" s="26"/>
      <c r="AD26" s="19"/>
      <c r="AE26" s="19"/>
      <c r="AF26" s="19"/>
      <c r="AG26" s="19"/>
      <c r="AH26" s="19"/>
      <c r="AI26" s="19"/>
      <c r="AJ26" s="19"/>
      <c r="AK26" s="26"/>
      <c r="AL26" s="19"/>
      <c r="AM26" s="19"/>
      <c r="AN26" s="19"/>
      <c r="AO26" s="19"/>
      <c r="AP26" s="19"/>
      <c r="AQ26" s="19"/>
      <c r="AR26" s="19"/>
      <c r="AS26" s="19"/>
      <c r="AT26" s="19"/>
      <c r="AU26" s="19"/>
      <c r="AV26" s="19"/>
      <c r="AW26" s="19"/>
      <c r="AX26" s="19"/>
      <c r="AY26" s="19"/>
      <c r="AZ26" s="19"/>
      <c r="BA26" s="19"/>
      <c r="BB26" s="19"/>
      <c r="BC26" s="19"/>
      <c r="BD26" s="19"/>
      <c r="BE26" s="19"/>
      <c r="BF26" s="19"/>
      <c r="BG26" s="19"/>
      <c r="BH26" s="4"/>
      <c r="BI26" s="4">
        <f t="shared" si="0"/>
        <v>0</v>
      </c>
      <c r="BJ26" s="4">
        <f t="shared" si="1"/>
        <v>0</v>
      </c>
      <c r="BK26" s="4"/>
      <c r="BL26" s="3">
        <v>24</v>
      </c>
    </row>
    <row r="27" spans="1:64">
      <c r="A27" s="1">
        <v>25</v>
      </c>
      <c r="B27" s="12">
        <f>MAESTRO!F29</f>
        <v>0</v>
      </c>
      <c r="C27" s="64"/>
      <c r="D27" s="19"/>
      <c r="E27" s="19"/>
      <c r="F27" s="64"/>
      <c r="G27" s="19"/>
      <c r="H27" s="19"/>
      <c r="I27" s="19"/>
      <c r="J27" s="19"/>
      <c r="K27" s="19"/>
      <c r="L27" s="19"/>
      <c r="M27" s="19"/>
      <c r="N27" s="19"/>
      <c r="O27" s="19"/>
      <c r="P27" s="19"/>
      <c r="Q27" s="19"/>
      <c r="R27" s="19"/>
      <c r="S27" s="19"/>
      <c r="T27" s="19"/>
      <c r="U27" s="19"/>
      <c r="V27" s="19"/>
      <c r="W27" s="19"/>
      <c r="X27" s="19"/>
      <c r="Y27" s="26"/>
      <c r="Z27" s="26"/>
      <c r="AA27" s="26"/>
      <c r="AB27" s="26"/>
      <c r="AC27" s="26"/>
      <c r="AD27" s="19"/>
      <c r="AE27" s="19"/>
      <c r="AF27" s="19"/>
      <c r="AG27" s="19"/>
      <c r="AH27" s="19"/>
      <c r="AI27" s="19"/>
      <c r="AJ27" s="19"/>
      <c r="AK27" s="26"/>
      <c r="AL27" s="19"/>
      <c r="AM27" s="19"/>
      <c r="AN27" s="19"/>
      <c r="AO27" s="19"/>
      <c r="AP27" s="19"/>
      <c r="AQ27" s="19"/>
      <c r="AR27" s="19"/>
      <c r="AS27" s="19"/>
      <c r="AT27" s="19"/>
      <c r="AU27" s="19"/>
      <c r="AV27" s="19"/>
      <c r="AW27" s="19"/>
      <c r="AX27" s="19"/>
      <c r="AY27" s="19"/>
      <c r="AZ27" s="19"/>
      <c r="BA27" s="19"/>
      <c r="BB27" s="19"/>
      <c r="BC27" s="19"/>
      <c r="BD27" s="19"/>
      <c r="BE27" s="19"/>
      <c r="BF27" s="19"/>
      <c r="BG27" s="19"/>
      <c r="BH27" s="4"/>
      <c r="BI27" s="4">
        <f t="shared" si="0"/>
        <v>0</v>
      </c>
      <c r="BJ27" s="4">
        <f t="shared" si="1"/>
        <v>0</v>
      </c>
      <c r="BK27" s="4"/>
      <c r="BL27" s="3">
        <v>25</v>
      </c>
    </row>
    <row r="28" spans="1:64">
      <c r="A28" s="1">
        <v>26</v>
      </c>
      <c r="B28" s="12">
        <f>MAESTRO!F30</f>
        <v>0</v>
      </c>
      <c r="C28" s="64"/>
      <c r="D28" s="19"/>
      <c r="E28" s="19"/>
      <c r="F28" s="64"/>
      <c r="G28" s="19"/>
      <c r="H28" s="19"/>
      <c r="I28" s="19"/>
      <c r="J28" s="19"/>
      <c r="K28" s="19"/>
      <c r="L28" s="19"/>
      <c r="M28" s="19"/>
      <c r="N28" s="19"/>
      <c r="O28" s="19"/>
      <c r="P28" s="19"/>
      <c r="Q28" s="19"/>
      <c r="R28" s="19"/>
      <c r="S28" s="19"/>
      <c r="T28" s="19"/>
      <c r="U28" s="19"/>
      <c r="V28" s="19"/>
      <c r="W28" s="19"/>
      <c r="X28" s="19"/>
      <c r="Y28" s="26"/>
      <c r="Z28" s="26"/>
      <c r="AA28" s="26"/>
      <c r="AB28" s="26"/>
      <c r="AC28" s="26"/>
      <c r="AD28" s="19"/>
      <c r="AE28" s="19"/>
      <c r="AF28" s="19"/>
      <c r="AG28" s="19"/>
      <c r="AH28" s="19"/>
      <c r="AI28" s="19"/>
      <c r="AJ28" s="19"/>
      <c r="AK28" s="26"/>
      <c r="AL28" s="19"/>
      <c r="AM28" s="19"/>
      <c r="AN28" s="19"/>
      <c r="AO28" s="19"/>
      <c r="AP28" s="19"/>
      <c r="AQ28" s="19"/>
      <c r="AR28" s="19"/>
      <c r="AS28" s="19"/>
      <c r="AT28" s="19"/>
      <c r="AU28" s="19"/>
      <c r="AV28" s="19"/>
      <c r="AW28" s="19"/>
      <c r="AX28" s="19"/>
      <c r="AY28" s="19"/>
      <c r="AZ28" s="19"/>
      <c r="BA28" s="19"/>
      <c r="BB28" s="19"/>
      <c r="BC28" s="19"/>
      <c r="BD28" s="19"/>
      <c r="BE28" s="19"/>
      <c r="BF28" s="19"/>
      <c r="BG28" s="19"/>
      <c r="BH28" s="4"/>
      <c r="BI28" s="4">
        <f t="shared" si="0"/>
        <v>0</v>
      </c>
      <c r="BJ28" s="4">
        <f t="shared" si="1"/>
        <v>0</v>
      </c>
      <c r="BK28" s="4"/>
      <c r="BL28" s="3">
        <v>26</v>
      </c>
    </row>
    <row r="29" spans="1:64">
      <c r="A29" s="1">
        <v>27</v>
      </c>
      <c r="B29" s="12">
        <f>MAESTRO!F31</f>
        <v>0</v>
      </c>
      <c r="C29" s="64"/>
      <c r="D29" s="19"/>
      <c r="E29" s="19"/>
      <c r="F29" s="64"/>
      <c r="G29" s="19"/>
      <c r="H29" s="19"/>
      <c r="I29" s="19"/>
      <c r="J29" s="19"/>
      <c r="K29" s="19"/>
      <c r="L29" s="19"/>
      <c r="M29" s="19"/>
      <c r="N29" s="19"/>
      <c r="O29" s="19"/>
      <c r="P29" s="19"/>
      <c r="Q29" s="19"/>
      <c r="R29" s="19"/>
      <c r="S29" s="19"/>
      <c r="T29" s="19"/>
      <c r="U29" s="19"/>
      <c r="V29" s="19"/>
      <c r="W29" s="19"/>
      <c r="X29" s="19"/>
      <c r="Y29" s="26"/>
      <c r="Z29" s="26"/>
      <c r="AA29" s="26"/>
      <c r="AB29" s="26"/>
      <c r="AC29" s="26"/>
      <c r="AD29" s="19"/>
      <c r="AE29" s="19"/>
      <c r="AF29" s="19"/>
      <c r="AG29" s="19"/>
      <c r="AH29" s="19"/>
      <c r="AI29" s="19"/>
      <c r="AJ29" s="19"/>
      <c r="AK29" s="26"/>
      <c r="AL29" s="19"/>
      <c r="AM29" s="19"/>
      <c r="AN29" s="19"/>
      <c r="AO29" s="19"/>
      <c r="AP29" s="19"/>
      <c r="AQ29" s="19"/>
      <c r="AR29" s="19"/>
      <c r="AS29" s="19"/>
      <c r="AT29" s="19"/>
      <c r="AU29" s="19"/>
      <c r="AV29" s="19"/>
      <c r="AW29" s="19"/>
      <c r="AX29" s="19"/>
      <c r="AY29" s="19"/>
      <c r="AZ29" s="19"/>
      <c r="BA29" s="19"/>
      <c r="BB29" s="19"/>
      <c r="BC29" s="19"/>
      <c r="BD29" s="19"/>
      <c r="BE29" s="19"/>
      <c r="BF29" s="19"/>
      <c r="BG29" s="19"/>
      <c r="BH29" s="4"/>
      <c r="BI29" s="4">
        <f t="shared" si="0"/>
        <v>0</v>
      </c>
      <c r="BJ29" s="4">
        <f t="shared" si="1"/>
        <v>0</v>
      </c>
      <c r="BK29" s="4"/>
      <c r="BL29" s="3">
        <v>27</v>
      </c>
    </row>
    <row r="30" spans="1:64">
      <c r="A30" s="1">
        <v>28</v>
      </c>
      <c r="B30" s="12">
        <f>MAESTRO!F32</f>
        <v>0</v>
      </c>
      <c r="C30" s="64"/>
      <c r="D30" s="19"/>
      <c r="E30" s="19"/>
      <c r="F30" s="64"/>
      <c r="G30" s="19"/>
      <c r="H30" s="19"/>
      <c r="I30" s="19"/>
      <c r="J30" s="19"/>
      <c r="K30" s="19"/>
      <c r="L30" s="19"/>
      <c r="M30" s="19"/>
      <c r="N30" s="19"/>
      <c r="O30" s="19"/>
      <c r="P30" s="19"/>
      <c r="Q30" s="19"/>
      <c r="R30" s="19"/>
      <c r="S30" s="19"/>
      <c r="T30" s="19"/>
      <c r="U30" s="19"/>
      <c r="V30" s="19"/>
      <c r="W30" s="19"/>
      <c r="X30" s="19"/>
      <c r="Y30" s="26"/>
      <c r="Z30" s="26"/>
      <c r="AA30" s="26"/>
      <c r="AB30" s="26"/>
      <c r="AC30" s="26"/>
      <c r="AD30" s="19"/>
      <c r="AE30" s="19"/>
      <c r="AF30" s="19"/>
      <c r="AG30" s="19"/>
      <c r="AH30" s="19"/>
      <c r="AI30" s="19"/>
      <c r="AJ30" s="19"/>
      <c r="AK30" s="26"/>
      <c r="AL30" s="19"/>
      <c r="AM30" s="19"/>
      <c r="AN30" s="19"/>
      <c r="AO30" s="19"/>
      <c r="AP30" s="19"/>
      <c r="AQ30" s="19"/>
      <c r="AR30" s="19"/>
      <c r="AS30" s="19"/>
      <c r="AT30" s="19"/>
      <c r="AU30" s="19"/>
      <c r="AV30" s="19"/>
      <c r="AW30" s="19"/>
      <c r="AX30" s="19"/>
      <c r="AY30" s="19"/>
      <c r="AZ30" s="19"/>
      <c r="BA30" s="19"/>
      <c r="BB30" s="19"/>
      <c r="BC30" s="19"/>
      <c r="BD30" s="19"/>
      <c r="BE30" s="19"/>
      <c r="BF30" s="19"/>
      <c r="BG30" s="19"/>
      <c r="BH30" s="4"/>
      <c r="BI30" s="4">
        <f t="shared" si="0"/>
        <v>0</v>
      </c>
      <c r="BJ30" s="4">
        <f t="shared" si="1"/>
        <v>0</v>
      </c>
      <c r="BK30" s="4"/>
      <c r="BL30" s="3">
        <v>28</v>
      </c>
    </row>
    <row r="31" spans="1:64">
      <c r="A31" s="1">
        <v>29</v>
      </c>
      <c r="B31" s="12">
        <f>MAESTRO!F33</f>
        <v>0</v>
      </c>
      <c r="C31" s="64"/>
      <c r="D31" s="19"/>
      <c r="E31" s="19"/>
      <c r="F31" s="64"/>
      <c r="G31" s="19"/>
      <c r="H31" s="19"/>
      <c r="I31" s="19"/>
      <c r="J31" s="19"/>
      <c r="K31" s="19"/>
      <c r="L31" s="19"/>
      <c r="M31" s="19"/>
      <c r="N31" s="19"/>
      <c r="O31" s="19"/>
      <c r="P31" s="19"/>
      <c r="Q31" s="19"/>
      <c r="R31" s="19"/>
      <c r="S31" s="19"/>
      <c r="T31" s="19"/>
      <c r="U31" s="19"/>
      <c r="V31" s="19"/>
      <c r="W31" s="19"/>
      <c r="X31" s="19"/>
      <c r="Y31" s="26"/>
      <c r="Z31" s="26"/>
      <c r="AA31" s="26"/>
      <c r="AB31" s="26"/>
      <c r="AC31" s="26"/>
      <c r="AD31" s="19"/>
      <c r="AE31" s="19"/>
      <c r="AF31" s="19"/>
      <c r="AG31" s="19"/>
      <c r="AH31" s="19"/>
      <c r="AI31" s="19"/>
      <c r="AJ31" s="19"/>
      <c r="AK31" s="26"/>
      <c r="AL31" s="19"/>
      <c r="AM31" s="19"/>
      <c r="AN31" s="19"/>
      <c r="AO31" s="19"/>
      <c r="AP31" s="19"/>
      <c r="AQ31" s="19"/>
      <c r="AR31" s="19"/>
      <c r="AS31" s="19"/>
      <c r="AT31" s="19"/>
      <c r="AU31" s="19"/>
      <c r="AV31" s="19"/>
      <c r="AW31" s="19"/>
      <c r="AX31" s="19"/>
      <c r="AY31" s="19"/>
      <c r="AZ31" s="19"/>
      <c r="BA31" s="19"/>
      <c r="BB31" s="19"/>
      <c r="BC31" s="19"/>
      <c r="BD31" s="19"/>
      <c r="BE31" s="19"/>
      <c r="BF31" s="19"/>
      <c r="BG31" s="19"/>
      <c r="BH31" s="4"/>
      <c r="BI31" s="4">
        <f t="shared" si="0"/>
        <v>0</v>
      </c>
      <c r="BJ31" s="4">
        <f t="shared" si="1"/>
        <v>0</v>
      </c>
      <c r="BK31" s="4"/>
      <c r="BL31" s="3">
        <v>29</v>
      </c>
    </row>
    <row r="32" spans="1:64">
      <c r="A32" s="1">
        <v>30</v>
      </c>
      <c r="B32" s="12">
        <f>MAESTRO!F34</f>
        <v>0</v>
      </c>
      <c r="C32" s="64"/>
      <c r="D32" s="19"/>
      <c r="E32" s="19"/>
      <c r="F32" s="64"/>
      <c r="G32" s="19"/>
      <c r="H32" s="19"/>
      <c r="I32" s="19"/>
      <c r="J32" s="19"/>
      <c r="K32" s="19"/>
      <c r="L32" s="19"/>
      <c r="M32" s="19"/>
      <c r="N32" s="19"/>
      <c r="O32" s="19"/>
      <c r="P32" s="19"/>
      <c r="Q32" s="19"/>
      <c r="R32" s="19"/>
      <c r="S32" s="19"/>
      <c r="T32" s="19"/>
      <c r="U32" s="19"/>
      <c r="V32" s="19"/>
      <c r="W32" s="19"/>
      <c r="X32" s="19"/>
      <c r="Y32" s="26"/>
      <c r="Z32" s="26"/>
      <c r="AA32" s="26"/>
      <c r="AB32" s="26"/>
      <c r="AC32" s="26"/>
      <c r="AD32" s="19"/>
      <c r="AE32" s="19"/>
      <c r="AF32" s="19"/>
      <c r="AG32" s="19"/>
      <c r="AH32" s="19"/>
      <c r="AI32" s="19"/>
      <c r="AJ32" s="19"/>
      <c r="AK32" s="26"/>
      <c r="AL32" s="19"/>
      <c r="AM32" s="19"/>
      <c r="AN32" s="19"/>
      <c r="AO32" s="19"/>
      <c r="AP32" s="19"/>
      <c r="AQ32" s="19"/>
      <c r="AR32" s="19"/>
      <c r="AS32" s="19"/>
      <c r="AT32" s="19"/>
      <c r="AU32" s="19"/>
      <c r="AV32" s="19"/>
      <c r="AW32" s="19"/>
      <c r="AX32" s="19"/>
      <c r="AY32" s="19"/>
      <c r="AZ32" s="19"/>
      <c r="BA32" s="19"/>
      <c r="BB32" s="19"/>
      <c r="BC32" s="19"/>
      <c r="BD32" s="19"/>
      <c r="BE32" s="19"/>
      <c r="BF32" s="19"/>
      <c r="BG32" s="19"/>
      <c r="BH32" s="4"/>
      <c r="BI32" s="4">
        <f t="shared" si="0"/>
        <v>0</v>
      </c>
      <c r="BJ32" s="4">
        <f t="shared" si="1"/>
        <v>0</v>
      </c>
      <c r="BK32" s="4"/>
      <c r="BL32" s="3">
        <v>30</v>
      </c>
    </row>
    <row r="33" spans="1:64">
      <c r="A33" s="1">
        <v>31</v>
      </c>
      <c r="B33" s="12">
        <f>MAESTRO!F35</f>
        <v>0</v>
      </c>
      <c r="C33" s="64"/>
      <c r="D33" s="19"/>
      <c r="E33" s="19"/>
      <c r="F33" s="64"/>
      <c r="G33" s="19"/>
      <c r="H33" s="19"/>
      <c r="I33" s="19"/>
      <c r="J33" s="19"/>
      <c r="K33" s="19"/>
      <c r="L33" s="19"/>
      <c r="M33" s="19"/>
      <c r="N33" s="19"/>
      <c r="O33" s="19"/>
      <c r="P33" s="19"/>
      <c r="Q33" s="19"/>
      <c r="R33" s="19"/>
      <c r="S33" s="19"/>
      <c r="T33" s="19"/>
      <c r="U33" s="19"/>
      <c r="V33" s="19"/>
      <c r="W33" s="19"/>
      <c r="X33" s="19"/>
      <c r="Y33" s="26"/>
      <c r="Z33" s="26"/>
      <c r="AA33" s="26"/>
      <c r="AB33" s="26"/>
      <c r="AC33" s="26"/>
      <c r="AD33" s="19"/>
      <c r="AE33" s="19"/>
      <c r="AF33" s="19"/>
      <c r="AG33" s="19"/>
      <c r="AH33" s="19"/>
      <c r="AI33" s="19"/>
      <c r="AJ33" s="19"/>
      <c r="AK33" s="26"/>
      <c r="AL33" s="19"/>
      <c r="AM33" s="19"/>
      <c r="AN33" s="19"/>
      <c r="AO33" s="19"/>
      <c r="AP33" s="19"/>
      <c r="AQ33" s="19"/>
      <c r="AR33" s="19"/>
      <c r="AS33" s="19"/>
      <c r="AT33" s="19"/>
      <c r="AU33" s="19"/>
      <c r="AV33" s="19"/>
      <c r="AW33" s="19"/>
      <c r="AX33" s="19"/>
      <c r="AY33" s="19"/>
      <c r="AZ33" s="19"/>
      <c r="BA33" s="19"/>
      <c r="BB33" s="19"/>
      <c r="BC33" s="19"/>
      <c r="BD33" s="19"/>
      <c r="BE33" s="19"/>
      <c r="BF33" s="19"/>
      <c r="BG33" s="19"/>
      <c r="BH33" s="4"/>
      <c r="BI33" s="4">
        <f t="shared" si="0"/>
        <v>0</v>
      </c>
      <c r="BJ33" s="4">
        <f t="shared" si="1"/>
        <v>0</v>
      </c>
      <c r="BK33" s="4"/>
      <c r="BL33" s="3">
        <v>31</v>
      </c>
    </row>
    <row r="34" spans="1:64">
      <c r="A34" s="1">
        <v>32</v>
      </c>
      <c r="B34" s="12">
        <f>MAESTRO!F36</f>
        <v>0</v>
      </c>
      <c r="C34" s="64"/>
      <c r="D34" s="19"/>
      <c r="E34" s="19"/>
      <c r="F34" s="64"/>
      <c r="G34" s="19"/>
      <c r="H34" s="19"/>
      <c r="I34" s="19"/>
      <c r="J34" s="19"/>
      <c r="K34" s="19"/>
      <c r="L34" s="19"/>
      <c r="M34" s="19"/>
      <c r="N34" s="19"/>
      <c r="O34" s="19"/>
      <c r="P34" s="19"/>
      <c r="Q34" s="19"/>
      <c r="R34" s="19"/>
      <c r="S34" s="19"/>
      <c r="T34" s="19"/>
      <c r="U34" s="19"/>
      <c r="V34" s="19"/>
      <c r="W34" s="19"/>
      <c r="X34" s="19"/>
      <c r="Y34" s="26"/>
      <c r="Z34" s="26"/>
      <c r="AA34" s="26"/>
      <c r="AB34" s="26"/>
      <c r="AC34" s="26"/>
      <c r="AD34" s="19"/>
      <c r="AE34" s="19"/>
      <c r="AF34" s="19"/>
      <c r="AG34" s="19"/>
      <c r="AH34" s="19"/>
      <c r="AI34" s="19"/>
      <c r="AJ34" s="19"/>
      <c r="AK34" s="26"/>
      <c r="AL34" s="19"/>
      <c r="AM34" s="19"/>
      <c r="AN34" s="19"/>
      <c r="AO34" s="19"/>
      <c r="AP34" s="19"/>
      <c r="AQ34" s="19"/>
      <c r="AR34" s="19"/>
      <c r="AS34" s="19"/>
      <c r="AT34" s="19"/>
      <c r="AU34" s="19"/>
      <c r="AV34" s="19"/>
      <c r="AW34" s="19"/>
      <c r="AX34" s="19"/>
      <c r="AY34" s="19"/>
      <c r="AZ34" s="19"/>
      <c r="BA34" s="19"/>
      <c r="BB34" s="19"/>
      <c r="BC34" s="19"/>
      <c r="BD34" s="19"/>
      <c r="BE34" s="19"/>
      <c r="BF34" s="19"/>
      <c r="BG34" s="19"/>
      <c r="BH34" s="4"/>
      <c r="BI34" s="4">
        <f t="shared" si="0"/>
        <v>0</v>
      </c>
      <c r="BJ34" s="4">
        <f t="shared" si="1"/>
        <v>0</v>
      </c>
      <c r="BK34" s="4"/>
      <c r="BL34" s="3">
        <v>32</v>
      </c>
    </row>
    <row r="35" spans="1:64">
      <c r="A35" s="1">
        <v>33</v>
      </c>
      <c r="B35" s="12">
        <f>MAESTRO!F37</f>
        <v>0</v>
      </c>
      <c r="C35" s="64"/>
      <c r="D35" s="19"/>
      <c r="E35" s="19"/>
      <c r="F35" s="64"/>
      <c r="G35" s="19"/>
      <c r="H35" s="19"/>
      <c r="I35" s="19"/>
      <c r="J35" s="19"/>
      <c r="K35" s="19"/>
      <c r="L35" s="19"/>
      <c r="M35" s="19"/>
      <c r="N35" s="19"/>
      <c r="O35" s="19"/>
      <c r="P35" s="19"/>
      <c r="Q35" s="19"/>
      <c r="R35" s="19"/>
      <c r="S35" s="19"/>
      <c r="T35" s="19"/>
      <c r="U35" s="19"/>
      <c r="V35" s="19"/>
      <c r="W35" s="19"/>
      <c r="X35" s="19"/>
      <c r="Y35" s="26"/>
      <c r="Z35" s="26"/>
      <c r="AA35" s="26"/>
      <c r="AB35" s="26"/>
      <c r="AC35" s="26"/>
      <c r="AD35" s="19"/>
      <c r="AE35" s="19"/>
      <c r="AF35" s="19"/>
      <c r="AG35" s="19"/>
      <c r="AH35" s="19"/>
      <c r="AI35" s="19"/>
      <c r="AJ35" s="19"/>
      <c r="AK35" s="26"/>
      <c r="AL35" s="19"/>
      <c r="AM35" s="19"/>
      <c r="AN35" s="19"/>
      <c r="AO35" s="19"/>
      <c r="AP35" s="19"/>
      <c r="AQ35" s="19"/>
      <c r="AR35" s="19"/>
      <c r="AS35" s="19"/>
      <c r="AT35" s="19"/>
      <c r="AU35" s="19"/>
      <c r="AV35" s="19"/>
      <c r="AW35" s="19"/>
      <c r="AX35" s="19"/>
      <c r="AY35" s="19"/>
      <c r="AZ35" s="19"/>
      <c r="BA35" s="19"/>
      <c r="BB35" s="19"/>
      <c r="BC35" s="19"/>
      <c r="BD35" s="19"/>
      <c r="BE35" s="19"/>
      <c r="BF35" s="19"/>
      <c r="BG35" s="19"/>
      <c r="BH35" s="4"/>
      <c r="BI35" s="4">
        <f t="shared" si="0"/>
        <v>0</v>
      </c>
      <c r="BJ35" s="4">
        <f t="shared" si="1"/>
        <v>0</v>
      </c>
      <c r="BK35" s="4"/>
      <c r="BL35" s="3">
        <v>33</v>
      </c>
    </row>
    <row r="36" spans="1:64">
      <c r="A36" s="1">
        <v>34</v>
      </c>
      <c r="B36" s="12">
        <f>MAESTRO!F38</f>
        <v>0</v>
      </c>
      <c r="C36" s="64"/>
      <c r="D36" s="19"/>
      <c r="E36" s="19"/>
      <c r="F36" s="64"/>
      <c r="G36" s="19"/>
      <c r="H36" s="19"/>
      <c r="I36" s="19"/>
      <c r="J36" s="19"/>
      <c r="K36" s="19"/>
      <c r="L36" s="19"/>
      <c r="M36" s="19"/>
      <c r="N36" s="19"/>
      <c r="O36" s="19"/>
      <c r="P36" s="19"/>
      <c r="Q36" s="19"/>
      <c r="R36" s="19"/>
      <c r="S36" s="19"/>
      <c r="T36" s="19"/>
      <c r="U36" s="19"/>
      <c r="V36" s="19"/>
      <c r="W36" s="19"/>
      <c r="X36" s="19"/>
      <c r="Y36" s="26"/>
      <c r="Z36" s="26"/>
      <c r="AA36" s="26"/>
      <c r="AB36" s="26"/>
      <c r="AC36" s="26"/>
      <c r="AD36" s="19"/>
      <c r="AE36" s="19"/>
      <c r="AF36" s="19"/>
      <c r="AG36" s="19"/>
      <c r="AH36" s="19"/>
      <c r="AI36" s="19"/>
      <c r="AJ36" s="19"/>
      <c r="AK36" s="26"/>
      <c r="AL36" s="19"/>
      <c r="AM36" s="19"/>
      <c r="AN36" s="19"/>
      <c r="AO36" s="19"/>
      <c r="AP36" s="19"/>
      <c r="AQ36" s="19"/>
      <c r="AR36" s="19"/>
      <c r="AS36" s="19"/>
      <c r="AT36" s="19"/>
      <c r="AU36" s="19"/>
      <c r="AV36" s="19"/>
      <c r="AW36" s="19"/>
      <c r="AX36" s="19"/>
      <c r="AY36" s="19"/>
      <c r="AZ36" s="19"/>
      <c r="BA36" s="19"/>
      <c r="BB36" s="19"/>
      <c r="BC36" s="19"/>
      <c r="BD36" s="19"/>
      <c r="BE36" s="19"/>
      <c r="BF36" s="19"/>
      <c r="BG36" s="19"/>
      <c r="BH36" s="4"/>
      <c r="BI36" s="4">
        <f t="shared" si="0"/>
        <v>0</v>
      </c>
      <c r="BJ36" s="4">
        <f t="shared" si="1"/>
        <v>0</v>
      </c>
      <c r="BK36" s="4"/>
      <c r="BL36" s="3">
        <v>34</v>
      </c>
    </row>
    <row r="37" spans="1:64">
      <c r="A37" s="1">
        <v>35</v>
      </c>
      <c r="B37" s="12">
        <f>MAESTRO!F39</f>
        <v>0</v>
      </c>
      <c r="C37" s="64"/>
      <c r="D37" s="19"/>
      <c r="E37" s="19"/>
      <c r="F37" s="64"/>
      <c r="G37" s="19"/>
      <c r="H37" s="19"/>
      <c r="I37" s="19"/>
      <c r="J37" s="19"/>
      <c r="K37" s="19"/>
      <c r="L37" s="19"/>
      <c r="M37" s="19"/>
      <c r="N37" s="19"/>
      <c r="O37" s="19"/>
      <c r="P37" s="19"/>
      <c r="Q37" s="19"/>
      <c r="R37" s="19"/>
      <c r="S37" s="19"/>
      <c r="T37" s="19"/>
      <c r="U37" s="19"/>
      <c r="V37" s="19"/>
      <c r="W37" s="19"/>
      <c r="X37" s="19"/>
      <c r="Y37" s="26"/>
      <c r="Z37" s="26"/>
      <c r="AA37" s="26"/>
      <c r="AB37" s="26"/>
      <c r="AC37" s="26"/>
      <c r="AD37" s="19"/>
      <c r="AE37" s="19"/>
      <c r="AF37" s="19"/>
      <c r="AG37" s="19"/>
      <c r="AH37" s="19"/>
      <c r="AI37" s="19"/>
      <c r="AJ37" s="19"/>
      <c r="AK37" s="26"/>
      <c r="AL37" s="19"/>
      <c r="AM37" s="19"/>
      <c r="AN37" s="19"/>
      <c r="AO37" s="19"/>
      <c r="AP37" s="19"/>
      <c r="AQ37" s="19"/>
      <c r="AR37" s="19"/>
      <c r="AS37" s="19"/>
      <c r="AT37" s="19"/>
      <c r="AU37" s="19"/>
      <c r="AV37" s="19"/>
      <c r="AW37" s="19"/>
      <c r="AX37" s="19"/>
      <c r="AY37" s="19"/>
      <c r="AZ37" s="19"/>
      <c r="BA37" s="19"/>
      <c r="BB37" s="19"/>
      <c r="BC37" s="19"/>
      <c r="BD37" s="19"/>
      <c r="BE37" s="19"/>
      <c r="BF37" s="19"/>
      <c r="BG37" s="19"/>
      <c r="BH37" s="4"/>
      <c r="BI37" s="4">
        <f t="shared" si="0"/>
        <v>0</v>
      </c>
      <c r="BJ37" s="4">
        <f t="shared" si="1"/>
        <v>0</v>
      </c>
      <c r="BK37" s="4"/>
      <c r="BL37" s="3">
        <v>35</v>
      </c>
    </row>
    <row r="38" spans="1:64">
      <c r="A38" s="1">
        <v>36</v>
      </c>
      <c r="B38" s="12">
        <f>MAESTRO!F40</f>
        <v>0</v>
      </c>
      <c r="C38" s="64"/>
      <c r="D38" s="19"/>
      <c r="E38" s="19"/>
      <c r="F38" s="64"/>
      <c r="G38" s="19"/>
      <c r="H38" s="19"/>
      <c r="I38" s="19"/>
      <c r="J38" s="19"/>
      <c r="K38" s="19"/>
      <c r="L38" s="19"/>
      <c r="M38" s="19"/>
      <c r="N38" s="19"/>
      <c r="O38" s="19"/>
      <c r="P38" s="19"/>
      <c r="Q38" s="19"/>
      <c r="R38" s="19"/>
      <c r="S38" s="19"/>
      <c r="T38" s="19"/>
      <c r="U38" s="19"/>
      <c r="V38" s="19"/>
      <c r="W38" s="19"/>
      <c r="X38" s="19"/>
      <c r="Y38" s="26"/>
      <c r="Z38" s="26"/>
      <c r="AA38" s="26"/>
      <c r="AB38" s="26"/>
      <c r="AC38" s="26"/>
      <c r="AD38" s="19"/>
      <c r="AE38" s="19"/>
      <c r="AF38" s="19"/>
      <c r="AG38" s="19"/>
      <c r="AH38" s="19"/>
      <c r="AI38" s="19"/>
      <c r="AJ38" s="19"/>
      <c r="AK38" s="26"/>
      <c r="AL38" s="19"/>
      <c r="AM38" s="19"/>
      <c r="AN38" s="19"/>
      <c r="AO38" s="19"/>
      <c r="AP38" s="19"/>
      <c r="AQ38" s="19"/>
      <c r="AR38" s="19"/>
      <c r="AS38" s="19"/>
      <c r="AT38" s="19"/>
      <c r="AU38" s="19"/>
      <c r="AV38" s="19"/>
      <c r="AW38" s="19"/>
      <c r="AX38" s="19"/>
      <c r="AY38" s="19"/>
      <c r="AZ38" s="19"/>
      <c r="BA38" s="19"/>
      <c r="BB38" s="19"/>
      <c r="BC38" s="19"/>
      <c r="BD38" s="19"/>
      <c r="BE38" s="19"/>
      <c r="BF38" s="19"/>
      <c r="BG38" s="19"/>
      <c r="BH38" s="4"/>
      <c r="BI38" s="4">
        <f t="shared" si="0"/>
        <v>0</v>
      </c>
      <c r="BJ38" s="4">
        <f t="shared" si="1"/>
        <v>0</v>
      </c>
      <c r="BK38" s="4"/>
      <c r="BL38" s="3">
        <v>36</v>
      </c>
    </row>
    <row r="39" spans="1:64">
      <c r="A39" s="1">
        <v>37</v>
      </c>
      <c r="B39" s="12">
        <f>MAESTRO!F41</f>
        <v>0</v>
      </c>
      <c r="C39" s="64"/>
      <c r="D39" s="19"/>
      <c r="E39" s="19"/>
      <c r="F39" s="64"/>
      <c r="G39" s="19"/>
      <c r="H39" s="19"/>
      <c r="I39" s="19"/>
      <c r="J39" s="19"/>
      <c r="K39" s="19"/>
      <c r="L39" s="19"/>
      <c r="M39" s="19"/>
      <c r="N39" s="19"/>
      <c r="O39" s="19"/>
      <c r="P39" s="19"/>
      <c r="Q39" s="19"/>
      <c r="R39" s="19"/>
      <c r="S39" s="19"/>
      <c r="T39" s="19"/>
      <c r="U39" s="19"/>
      <c r="V39" s="19"/>
      <c r="W39" s="19"/>
      <c r="X39" s="19"/>
      <c r="Y39" s="26"/>
      <c r="Z39" s="26"/>
      <c r="AA39" s="26"/>
      <c r="AB39" s="26"/>
      <c r="AC39" s="26"/>
      <c r="AD39" s="19"/>
      <c r="AE39" s="19"/>
      <c r="AF39" s="19"/>
      <c r="AG39" s="19"/>
      <c r="AH39" s="19"/>
      <c r="AI39" s="19"/>
      <c r="AJ39" s="19"/>
      <c r="AK39" s="26"/>
      <c r="AL39" s="19"/>
      <c r="AM39" s="19"/>
      <c r="AN39" s="19"/>
      <c r="AO39" s="19"/>
      <c r="AP39" s="19"/>
      <c r="AQ39" s="19"/>
      <c r="AR39" s="19"/>
      <c r="AS39" s="19"/>
      <c r="AT39" s="19"/>
      <c r="AU39" s="19"/>
      <c r="AV39" s="19"/>
      <c r="AW39" s="19"/>
      <c r="AX39" s="19"/>
      <c r="AY39" s="19"/>
      <c r="AZ39" s="19"/>
      <c r="BA39" s="19"/>
      <c r="BB39" s="19"/>
      <c r="BC39" s="19"/>
      <c r="BD39" s="19"/>
      <c r="BE39" s="19"/>
      <c r="BF39" s="19"/>
      <c r="BG39" s="19"/>
      <c r="BH39" s="4"/>
      <c r="BI39" s="4">
        <f t="shared" si="0"/>
        <v>0</v>
      </c>
      <c r="BJ39" s="4">
        <f t="shared" si="1"/>
        <v>0</v>
      </c>
      <c r="BK39" s="4"/>
      <c r="BL39" s="3">
        <v>37</v>
      </c>
    </row>
    <row r="40" spans="1:64">
      <c r="A40" s="1">
        <v>38</v>
      </c>
      <c r="B40" s="12">
        <f>MAESTRO!F42</f>
        <v>0</v>
      </c>
      <c r="C40" s="64"/>
      <c r="D40" s="19"/>
      <c r="E40" s="19"/>
      <c r="F40" s="64"/>
      <c r="G40" s="19"/>
      <c r="H40" s="19"/>
      <c r="I40" s="19"/>
      <c r="J40" s="19"/>
      <c r="K40" s="19"/>
      <c r="L40" s="19"/>
      <c r="M40" s="19"/>
      <c r="N40" s="19"/>
      <c r="O40" s="19"/>
      <c r="P40" s="19"/>
      <c r="Q40" s="19"/>
      <c r="R40" s="19"/>
      <c r="S40" s="19"/>
      <c r="T40" s="19"/>
      <c r="U40" s="19"/>
      <c r="V40" s="19"/>
      <c r="W40" s="19"/>
      <c r="X40" s="19"/>
      <c r="Y40" s="26"/>
      <c r="Z40" s="26"/>
      <c r="AA40" s="26"/>
      <c r="AB40" s="26"/>
      <c r="AC40" s="26"/>
      <c r="AD40" s="19"/>
      <c r="AE40" s="19"/>
      <c r="AF40" s="19"/>
      <c r="AG40" s="19"/>
      <c r="AH40" s="19"/>
      <c r="AI40" s="19"/>
      <c r="AJ40" s="19"/>
      <c r="AK40" s="26"/>
      <c r="AL40" s="19"/>
      <c r="AM40" s="19"/>
      <c r="AN40" s="19"/>
      <c r="AO40" s="19"/>
      <c r="AP40" s="19"/>
      <c r="AQ40" s="19"/>
      <c r="AR40" s="19"/>
      <c r="AS40" s="19"/>
      <c r="AT40" s="19"/>
      <c r="AU40" s="19"/>
      <c r="AV40" s="19"/>
      <c r="AW40" s="19"/>
      <c r="AX40" s="19"/>
      <c r="AY40" s="19"/>
      <c r="AZ40" s="19"/>
      <c r="BA40" s="19"/>
      <c r="BB40" s="19"/>
      <c r="BC40" s="19"/>
      <c r="BD40" s="19"/>
      <c r="BE40" s="19"/>
      <c r="BF40" s="19"/>
      <c r="BG40" s="19"/>
      <c r="BH40" s="4"/>
      <c r="BI40" s="4">
        <f t="shared" si="0"/>
        <v>0</v>
      </c>
      <c r="BJ40" s="4">
        <f t="shared" si="1"/>
        <v>0</v>
      </c>
      <c r="BK40" s="4"/>
      <c r="BL40" s="3">
        <v>38</v>
      </c>
    </row>
    <row r="41" spans="1:64">
      <c r="A41" s="1">
        <v>39</v>
      </c>
      <c r="B41" s="12">
        <f>MAESTRO!F43</f>
        <v>0</v>
      </c>
      <c r="C41" s="19"/>
      <c r="D41" s="19"/>
      <c r="E41" s="19"/>
      <c r="F41" s="19"/>
      <c r="G41" s="19"/>
      <c r="H41" s="19"/>
      <c r="I41" s="19"/>
      <c r="J41" s="19"/>
      <c r="K41" s="19"/>
      <c r="L41" s="19"/>
      <c r="M41" s="19"/>
      <c r="N41" s="19"/>
      <c r="O41" s="19"/>
      <c r="P41" s="19"/>
      <c r="Q41" s="19"/>
      <c r="R41" s="19"/>
      <c r="S41" s="19"/>
      <c r="T41" s="19"/>
      <c r="U41" s="19"/>
      <c r="V41" s="19"/>
      <c r="W41" s="19"/>
      <c r="X41" s="19"/>
      <c r="Y41" s="19"/>
      <c r="Z41" s="19"/>
      <c r="AA41" s="26"/>
      <c r="AB41" s="26"/>
      <c r="AC41" s="26"/>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4"/>
      <c r="BI41" s="4">
        <f>COUNTIF(C41:BH41,"A")</f>
        <v>0</v>
      </c>
      <c r="BJ41" s="4">
        <f t="shared" si="1"/>
        <v>0</v>
      </c>
      <c r="BK41" s="4"/>
      <c r="BL41" s="3">
        <v>39</v>
      </c>
    </row>
    <row r="42" spans="1:64">
      <c r="A42" s="1">
        <v>40</v>
      </c>
      <c r="B42" s="4">
        <f>MAESTRO!F44</f>
        <v>0</v>
      </c>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4"/>
      <c r="BI42" s="4">
        <f>COUNTIF(C42:BH42,"A")</f>
        <v>0</v>
      </c>
      <c r="BJ42" s="4">
        <f t="shared" si="1"/>
        <v>0</v>
      </c>
      <c r="BK42" s="4"/>
      <c r="BL42" s="3">
        <v>40</v>
      </c>
    </row>
    <row r="43" spans="1:64">
      <c r="A43" s="6">
        <v>41</v>
      </c>
      <c r="B43" s="4"/>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4"/>
      <c r="BI43" s="4">
        <f>COUNTIF(C43:BH43,"A")</f>
        <v>0</v>
      </c>
      <c r="BJ43" s="4">
        <f t="shared" si="1"/>
        <v>0</v>
      </c>
      <c r="BK43" s="4"/>
      <c r="BL43" s="4">
        <v>41</v>
      </c>
    </row>
    <row r="44" spans="1:64" ht="31.2" customHeight="1">
      <c r="A44" s="244"/>
      <c r="B44" s="249" t="s">
        <v>77</v>
      </c>
      <c r="C44" s="250" t="s">
        <v>82</v>
      </c>
      <c r="D44" s="251"/>
      <c r="E44" s="251"/>
      <c r="F44" s="251"/>
      <c r="G44" s="251"/>
      <c r="H44" s="251"/>
      <c r="I44" s="251"/>
      <c r="J44" s="251"/>
      <c r="K44" s="251"/>
      <c r="L44" s="251"/>
      <c r="M44" s="251"/>
      <c r="N44" s="251"/>
      <c r="O44" s="251"/>
      <c r="P44" s="251"/>
      <c r="Q44" s="251"/>
      <c r="R44" s="251"/>
      <c r="S44" s="251"/>
      <c r="T44" s="251"/>
      <c r="U44" s="251"/>
      <c r="V44" s="251"/>
      <c r="W44" s="251"/>
      <c r="X44" s="251"/>
      <c r="Y44" s="251"/>
      <c r="Z44" s="251"/>
      <c r="AA44" s="251"/>
      <c r="AB44" s="251"/>
      <c r="AC44" s="251"/>
      <c r="AD44" s="251"/>
      <c r="AE44" s="251"/>
      <c r="AF44" s="251"/>
      <c r="AG44" s="251"/>
      <c r="AH44" s="251"/>
      <c r="AI44" s="251"/>
      <c r="AJ44" s="251"/>
      <c r="AK44" s="251"/>
      <c r="AL44" s="251"/>
      <c r="AM44" s="251"/>
      <c r="AN44" s="251"/>
      <c r="AO44" s="251"/>
      <c r="AP44" s="251"/>
      <c r="AQ44" s="251"/>
      <c r="AR44" s="251"/>
      <c r="AS44" s="251"/>
      <c r="AT44" s="251"/>
      <c r="AU44" s="251"/>
      <c r="AV44" s="251"/>
      <c r="AW44" s="251"/>
      <c r="AX44" s="251"/>
      <c r="AY44" s="251"/>
      <c r="AZ44" s="251"/>
      <c r="BA44" s="251"/>
      <c r="BB44" s="251"/>
      <c r="BC44" s="251"/>
      <c r="BD44" s="251"/>
      <c r="BE44" s="251"/>
      <c r="BF44" s="251"/>
      <c r="BG44" s="251"/>
      <c r="BH44" s="241"/>
      <c r="BI44" s="240" t="s">
        <v>83</v>
      </c>
      <c r="BJ44" s="241"/>
      <c r="BK44" s="245" t="s">
        <v>18</v>
      </c>
      <c r="BL44" s="77"/>
    </row>
    <row r="45" spans="1:64" ht="42.6" customHeight="1">
      <c r="A45" s="243"/>
      <c r="B45" s="243"/>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9"/>
      <c r="BA45" s="19"/>
      <c r="BB45" s="19"/>
      <c r="BC45" s="19"/>
      <c r="BD45" s="19"/>
      <c r="BE45" s="19"/>
      <c r="BF45" s="19"/>
      <c r="BG45" s="19"/>
      <c r="BH45" s="4"/>
      <c r="BI45" s="2" t="s">
        <v>80</v>
      </c>
      <c r="BJ45" s="2" t="s">
        <v>81</v>
      </c>
      <c r="BK45" s="243"/>
      <c r="BL45" s="77"/>
    </row>
    <row r="46" spans="1:64" ht="14.4" customHeight="1">
      <c r="A46" s="1">
        <v>1</v>
      </c>
      <c r="B46" s="4">
        <f t="shared" ref="B46:B82" si="2">B3</f>
        <v>0</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4"/>
      <c r="BI46" s="4">
        <f t="shared" ref="BI46:BI87" si="3">COUNTIF(C46:BH46,"-")</f>
        <v>0</v>
      </c>
      <c r="BJ46" s="4">
        <f t="shared" ref="BJ46:BJ87" si="4">COUNTIF(D46:BI46,"T")</f>
        <v>0</v>
      </c>
      <c r="BK46" s="4"/>
      <c r="BL46" s="3">
        <v>1</v>
      </c>
    </row>
    <row r="47" spans="1:64" ht="18" customHeight="1">
      <c r="A47" s="1">
        <v>2</v>
      </c>
      <c r="B47" s="4">
        <f t="shared" si="2"/>
        <v>0</v>
      </c>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4"/>
      <c r="BI47" s="4">
        <f t="shared" si="3"/>
        <v>0</v>
      </c>
      <c r="BJ47" s="4">
        <f t="shared" si="4"/>
        <v>0</v>
      </c>
      <c r="BK47" s="4"/>
      <c r="BL47" s="3">
        <v>2</v>
      </c>
    </row>
    <row r="48" spans="1:64">
      <c r="A48" s="1">
        <v>3</v>
      </c>
      <c r="B48" s="4">
        <f t="shared" si="2"/>
        <v>0</v>
      </c>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4"/>
      <c r="BI48" s="4">
        <f t="shared" si="3"/>
        <v>0</v>
      </c>
      <c r="BJ48" s="4">
        <f t="shared" si="4"/>
        <v>0</v>
      </c>
      <c r="BK48" s="4"/>
      <c r="BL48" s="3">
        <v>3</v>
      </c>
    </row>
    <row r="49" spans="1:64">
      <c r="A49" s="1">
        <v>4</v>
      </c>
      <c r="B49" s="4">
        <f t="shared" si="2"/>
        <v>0</v>
      </c>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4"/>
      <c r="BI49" s="4">
        <f t="shared" si="3"/>
        <v>0</v>
      </c>
      <c r="BJ49" s="4">
        <f t="shared" si="4"/>
        <v>0</v>
      </c>
      <c r="BK49" s="4"/>
      <c r="BL49" s="3">
        <v>4</v>
      </c>
    </row>
    <row r="50" spans="1:64">
      <c r="A50" s="1">
        <v>5</v>
      </c>
      <c r="B50" s="4">
        <f t="shared" si="2"/>
        <v>0</v>
      </c>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4"/>
      <c r="BI50" s="4">
        <f t="shared" si="3"/>
        <v>0</v>
      </c>
      <c r="BJ50" s="4">
        <f t="shared" si="4"/>
        <v>0</v>
      </c>
      <c r="BK50" s="4"/>
      <c r="BL50" s="3">
        <v>5</v>
      </c>
    </row>
    <row r="51" spans="1:64">
      <c r="A51" s="1">
        <v>6</v>
      </c>
      <c r="B51" s="4">
        <f t="shared" si="2"/>
        <v>0</v>
      </c>
      <c r="C51" s="4"/>
      <c r="D51" s="4"/>
      <c r="E51" s="4"/>
      <c r="F51" s="4"/>
      <c r="G51" s="4"/>
      <c r="H51" s="4"/>
      <c r="I51" s="4"/>
      <c r="J51" s="4"/>
      <c r="K51" s="4"/>
      <c r="L51" s="4"/>
      <c r="M51" s="4"/>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4"/>
      <c r="BI51" s="4">
        <f t="shared" si="3"/>
        <v>0</v>
      </c>
      <c r="BJ51" s="4">
        <f t="shared" si="4"/>
        <v>0</v>
      </c>
      <c r="BK51" s="4"/>
      <c r="BL51" s="3">
        <v>6</v>
      </c>
    </row>
    <row r="52" spans="1:64">
      <c r="A52" s="1">
        <v>7</v>
      </c>
      <c r="B52" s="4">
        <f t="shared" si="2"/>
        <v>0</v>
      </c>
      <c r="C52" s="4"/>
      <c r="D52" s="4"/>
      <c r="E52" s="4"/>
      <c r="F52" s="4"/>
      <c r="G52" s="4"/>
      <c r="H52" s="4"/>
      <c r="I52" s="4"/>
      <c r="J52" s="4"/>
      <c r="K52" s="4"/>
      <c r="L52" s="4"/>
      <c r="M52" s="4"/>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4"/>
      <c r="BI52" s="4">
        <f t="shared" si="3"/>
        <v>0</v>
      </c>
      <c r="BJ52" s="4">
        <f t="shared" si="4"/>
        <v>0</v>
      </c>
      <c r="BK52" s="4"/>
      <c r="BL52" s="3">
        <v>7</v>
      </c>
    </row>
    <row r="53" spans="1:64">
      <c r="A53" s="1">
        <v>8</v>
      </c>
      <c r="B53" s="4">
        <f t="shared" si="2"/>
        <v>0</v>
      </c>
      <c r="C53" s="4"/>
      <c r="D53" s="4"/>
      <c r="E53" s="4"/>
      <c r="F53" s="4"/>
      <c r="G53" s="4"/>
      <c r="H53" s="4"/>
      <c r="I53" s="4"/>
      <c r="J53" s="4"/>
      <c r="K53" s="4"/>
      <c r="L53" s="4"/>
      <c r="M53" s="4"/>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4"/>
      <c r="BI53" s="4">
        <f t="shared" si="3"/>
        <v>0</v>
      </c>
      <c r="BJ53" s="4">
        <f t="shared" si="4"/>
        <v>0</v>
      </c>
      <c r="BK53" s="4"/>
      <c r="BL53" s="3">
        <v>8</v>
      </c>
    </row>
    <row r="54" spans="1:64">
      <c r="A54" s="1">
        <v>9</v>
      </c>
      <c r="B54" s="4">
        <f t="shared" si="2"/>
        <v>0</v>
      </c>
      <c r="C54" s="4"/>
      <c r="D54" s="4"/>
      <c r="E54" s="4"/>
      <c r="F54" s="4"/>
      <c r="G54" s="4"/>
      <c r="H54" s="4"/>
      <c r="I54" s="4"/>
      <c r="J54" s="4"/>
      <c r="K54" s="4"/>
      <c r="L54" s="4"/>
      <c r="M54" s="4"/>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4"/>
      <c r="BI54" s="4">
        <f t="shared" si="3"/>
        <v>0</v>
      </c>
      <c r="BJ54" s="4">
        <f t="shared" si="4"/>
        <v>0</v>
      </c>
      <c r="BK54" s="4"/>
      <c r="BL54" s="3">
        <v>9</v>
      </c>
    </row>
    <row r="55" spans="1:64">
      <c r="A55" s="1">
        <v>10</v>
      </c>
      <c r="B55" s="4">
        <f t="shared" si="2"/>
        <v>0</v>
      </c>
      <c r="C55" s="4"/>
      <c r="D55" s="4"/>
      <c r="E55" s="4"/>
      <c r="F55" s="4"/>
      <c r="G55" s="4"/>
      <c r="H55" s="4"/>
      <c r="I55" s="4"/>
      <c r="J55" s="4"/>
      <c r="K55" s="4"/>
      <c r="L55" s="4"/>
      <c r="M55" s="4"/>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4"/>
      <c r="BI55" s="4">
        <f t="shared" si="3"/>
        <v>0</v>
      </c>
      <c r="BJ55" s="4">
        <f t="shared" si="4"/>
        <v>0</v>
      </c>
      <c r="BK55" s="4"/>
      <c r="BL55" s="3">
        <v>10</v>
      </c>
    </row>
    <row r="56" spans="1:64">
      <c r="A56" s="1">
        <v>11</v>
      </c>
      <c r="B56" s="4">
        <f t="shared" si="2"/>
        <v>0</v>
      </c>
      <c r="C56" s="4"/>
      <c r="D56" s="4"/>
      <c r="E56" s="4"/>
      <c r="F56" s="4"/>
      <c r="G56" s="4"/>
      <c r="H56" s="4"/>
      <c r="I56" s="4"/>
      <c r="J56" s="4"/>
      <c r="K56" s="4"/>
      <c r="L56" s="4"/>
      <c r="M56" s="4"/>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4"/>
      <c r="BI56" s="4">
        <f t="shared" si="3"/>
        <v>0</v>
      </c>
      <c r="BJ56" s="4">
        <f t="shared" si="4"/>
        <v>0</v>
      </c>
      <c r="BK56" s="4"/>
      <c r="BL56" s="3">
        <v>11</v>
      </c>
    </row>
    <row r="57" spans="1:64">
      <c r="A57" s="1">
        <v>12</v>
      </c>
      <c r="B57" s="4">
        <f t="shared" si="2"/>
        <v>0</v>
      </c>
      <c r="C57" s="4"/>
      <c r="D57" s="4"/>
      <c r="E57" s="4"/>
      <c r="F57" s="4"/>
      <c r="G57" s="4"/>
      <c r="H57" s="4"/>
      <c r="I57" s="4"/>
      <c r="J57" s="4"/>
      <c r="K57" s="4"/>
      <c r="L57" s="4"/>
      <c r="M57" s="4"/>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4"/>
      <c r="BI57" s="4">
        <f t="shared" si="3"/>
        <v>0</v>
      </c>
      <c r="BJ57" s="4">
        <f t="shared" si="4"/>
        <v>0</v>
      </c>
      <c r="BK57" s="4"/>
      <c r="BL57" s="3">
        <v>12</v>
      </c>
    </row>
    <row r="58" spans="1:64">
      <c r="A58" s="1">
        <v>13</v>
      </c>
      <c r="B58" s="4">
        <f t="shared" si="2"/>
        <v>0</v>
      </c>
      <c r="C58" s="4"/>
      <c r="D58" s="4"/>
      <c r="E58" s="4"/>
      <c r="F58" s="4"/>
      <c r="G58" s="4"/>
      <c r="H58" s="4"/>
      <c r="I58" s="4"/>
      <c r="J58" s="4"/>
      <c r="K58" s="4"/>
      <c r="L58" s="4"/>
      <c r="M58" s="4"/>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4"/>
      <c r="BI58" s="4">
        <f t="shared" si="3"/>
        <v>0</v>
      </c>
      <c r="BJ58" s="4">
        <f t="shared" si="4"/>
        <v>0</v>
      </c>
      <c r="BK58" s="4"/>
      <c r="BL58" s="3">
        <v>13</v>
      </c>
    </row>
    <row r="59" spans="1:64">
      <c r="A59" s="1">
        <v>14</v>
      </c>
      <c r="B59" s="4">
        <f t="shared" si="2"/>
        <v>0</v>
      </c>
      <c r="C59" s="4"/>
      <c r="D59" s="4"/>
      <c r="E59" s="4"/>
      <c r="F59" s="4"/>
      <c r="G59" s="4"/>
      <c r="H59" s="4"/>
      <c r="I59" s="4"/>
      <c r="J59" s="4"/>
      <c r="K59" s="4"/>
      <c r="L59" s="4"/>
      <c r="M59" s="4"/>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4"/>
      <c r="BI59" s="4">
        <f t="shared" si="3"/>
        <v>0</v>
      </c>
      <c r="BJ59" s="4">
        <f t="shared" si="4"/>
        <v>0</v>
      </c>
      <c r="BK59" s="4"/>
      <c r="BL59" s="3">
        <v>14</v>
      </c>
    </row>
    <row r="60" spans="1:64">
      <c r="A60" s="1">
        <v>15</v>
      </c>
      <c r="B60" s="4">
        <f t="shared" si="2"/>
        <v>0</v>
      </c>
      <c r="C60" s="4"/>
      <c r="D60" s="4"/>
      <c r="E60" s="4"/>
      <c r="F60" s="4"/>
      <c r="G60" s="4"/>
      <c r="H60" s="4"/>
      <c r="I60" s="4"/>
      <c r="J60" s="4"/>
      <c r="K60" s="4"/>
      <c r="L60" s="4"/>
      <c r="M60" s="4"/>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4"/>
      <c r="BI60" s="4">
        <f t="shared" si="3"/>
        <v>0</v>
      </c>
      <c r="BJ60" s="4">
        <f t="shared" si="4"/>
        <v>0</v>
      </c>
      <c r="BK60" s="4"/>
      <c r="BL60" s="3">
        <v>15</v>
      </c>
    </row>
    <row r="61" spans="1:64">
      <c r="A61" s="1">
        <v>16</v>
      </c>
      <c r="B61" s="4">
        <f t="shared" si="2"/>
        <v>0</v>
      </c>
      <c r="C61" s="4"/>
      <c r="D61" s="4"/>
      <c r="E61" s="4"/>
      <c r="F61" s="4"/>
      <c r="G61" s="4"/>
      <c r="H61" s="4"/>
      <c r="I61" s="4"/>
      <c r="J61" s="4"/>
      <c r="K61" s="4"/>
      <c r="L61" s="4"/>
      <c r="M61" s="4"/>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4"/>
      <c r="BI61" s="4">
        <f t="shared" si="3"/>
        <v>0</v>
      </c>
      <c r="BJ61" s="4">
        <f t="shared" si="4"/>
        <v>0</v>
      </c>
      <c r="BK61" s="4"/>
      <c r="BL61" s="3">
        <v>16</v>
      </c>
    </row>
    <row r="62" spans="1:64">
      <c r="A62" s="1">
        <v>17</v>
      </c>
      <c r="B62" s="4">
        <f t="shared" si="2"/>
        <v>0</v>
      </c>
      <c r="C62" s="4"/>
      <c r="D62" s="4"/>
      <c r="E62" s="4"/>
      <c r="F62" s="4"/>
      <c r="G62" s="4"/>
      <c r="H62" s="4"/>
      <c r="I62" s="4"/>
      <c r="J62" s="4"/>
      <c r="K62" s="4"/>
      <c r="L62" s="4"/>
      <c r="M62" s="4"/>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4"/>
      <c r="BI62" s="4">
        <f t="shared" si="3"/>
        <v>0</v>
      </c>
      <c r="BJ62" s="4">
        <f t="shared" si="4"/>
        <v>0</v>
      </c>
      <c r="BK62" s="4"/>
      <c r="BL62" s="3">
        <v>17</v>
      </c>
    </row>
    <row r="63" spans="1:64">
      <c r="A63" s="1">
        <v>18</v>
      </c>
      <c r="B63" s="4">
        <f t="shared" si="2"/>
        <v>0</v>
      </c>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4"/>
      <c r="BI63" s="4">
        <f t="shared" si="3"/>
        <v>0</v>
      </c>
      <c r="BJ63" s="4">
        <f t="shared" si="4"/>
        <v>0</v>
      </c>
      <c r="BK63" s="4"/>
      <c r="BL63" s="3">
        <v>18</v>
      </c>
    </row>
    <row r="64" spans="1:64">
      <c r="A64" s="1">
        <v>19</v>
      </c>
      <c r="B64" s="4">
        <f t="shared" si="2"/>
        <v>0</v>
      </c>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4"/>
      <c r="BI64" s="4">
        <f t="shared" si="3"/>
        <v>0</v>
      </c>
      <c r="BJ64" s="4">
        <f t="shared" si="4"/>
        <v>0</v>
      </c>
      <c r="BK64" s="4"/>
      <c r="BL64" s="3">
        <v>19</v>
      </c>
    </row>
    <row r="65" spans="1:64">
      <c r="A65" s="1">
        <v>20</v>
      </c>
      <c r="B65" s="4">
        <f t="shared" si="2"/>
        <v>0</v>
      </c>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4"/>
      <c r="BI65" s="4">
        <f t="shared" si="3"/>
        <v>0</v>
      </c>
      <c r="BJ65" s="4">
        <f t="shared" si="4"/>
        <v>0</v>
      </c>
      <c r="BK65" s="4"/>
      <c r="BL65" s="3">
        <v>20</v>
      </c>
    </row>
    <row r="66" spans="1:64">
      <c r="A66" s="1">
        <v>21</v>
      </c>
      <c r="B66" s="4">
        <f t="shared" si="2"/>
        <v>0</v>
      </c>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4"/>
      <c r="BI66" s="4">
        <f t="shared" si="3"/>
        <v>0</v>
      </c>
      <c r="BJ66" s="4">
        <f t="shared" si="4"/>
        <v>0</v>
      </c>
      <c r="BK66" s="4"/>
      <c r="BL66" s="3">
        <v>21</v>
      </c>
    </row>
    <row r="67" spans="1:64">
      <c r="A67" s="1">
        <v>22</v>
      </c>
      <c r="B67" s="4">
        <f t="shared" si="2"/>
        <v>0</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4"/>
      <c r="BI67" s="4">
        <f t="shared" si="3"/>
        <v>0</v>
      </c>
      <c r="BJ67" s="4">
        <f t="shared" si="4"/>
        <v>0</v>
      </c>
      <c r="BK67" s="4"/>
      <c r="BL67" s="3">
        <v>22</v>
      </c>
    </row>
    <row r="68" spans="1:64">
      <c r="A68" s="1">
        <v>23</v>
      </c>
      <c r="B68" s="4">
        <f t="shared" si="2"/>
        <v>0</v>
      </c>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4"/>
      <c r="BI68" s="4">
        <f t="shared" si="3"/>
        <v>0</v>
      </c>
      <c r="BJ68" s="4">
        <f t="shared" si="4"/>
        <v>0</v>
      </c>
      <c r="BK68" s="4"/>
      <c r="BL68" s="3">
        <v>23</v>
      </c>
    </row>
    <row r="69" spans="1:64">
      <c r="A69" s="1">
        <v>24</v>
      </c>
      <c r="B69" s="4">
        <f t="shared" si="2"/>
        <v>0</v>
      </c>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4"/>
      <c r="BI69" s="4">
        <f t="shared" si="3"/>
        <v>0</v>
      </c>
      <c r="BJ69" s="4">
        <f t="shared" si="4"/>
        <v>0</v>
      </c>
      <c r="BK69" s="4"/>
      <c r="BL69" s="3">
        <v>24</v>
      </c>
    </row>
    <row r="70" spans="1:64">
      <c r="A70" s="1">
        <v>25</v>
      </c>
      <c r="B70" s="4">
        <f t="shared" si="2"/>
        <v>0</v>
      </c>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4"/>
      <c r="BI70" s="4">
        <f t="shared" si="3"/>
        <v>0</v>
      </c>
      <c r="BJ70" s="4">
        <f t="shared" si="4"/>
        <v>0</v>
      </c>
      <c r="BK70" s="4"/>
      <c r="BL70" s="3">
        <v>25</v>
      </c>
    </row>
    <row r="71" spans="1:64">
      <c r="A71" s="1">
        <v>26</v>
      </c>
      <c r="B71" s="4">
        <f t="shared" si="2"/>
        <v>0</v>
      </c>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4"/>
      <c r="BI71" s="4">
        <f t="shared" si="3"/>
        <v>0</v>
      </c>
      <c r="BJ71" s="4">
        <f t="shared" si="4"/>
        <v>0</v>
      </c>
      <c r="BK71" s="4"/>
      <c r="BL71" s="3">
        <v>26</v>
      </c>
    </row>
    <row r="72" spans="1:64">
      <c r="A72" s="1">
        <v>27</v>
      </c>
      <c r="B72" s="4">
        <f t="shared" si="2"/>
        <v>0</v>
      </c>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4"/>
      <c r="BI72" s="4">
        <f t="shared" si="3"/>
        <v>0</v>
      </c>
      <c r="BJ72" s="4">
        <f t="shared" si="4"/>
        <v>0</v>
      </c>
      <c r="BK72" s="4"/>
      <c r="BL72" s="3">
        <v>27</v>
      </c>
    </row>
    <row r="73" spans="1:64">
      <c r="A73" s="1">
        <v>28</v>
      </c>
      <c r="B73" s="4">
        <f t="shared" si="2"/>
        <v>0</v>
      </c>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4"/>
      <c r="BI73" s="4">
        <f t="shared" si="3"/>
        <v>0</v>
      </c>
      <c r="BJ73" s="4">
        <f t="shared" si="4"/>
        <v>0</v>
      </c>
      <c r="BK73" s="4"/>
      <c r="BL73" s="3">
        <v>28</v>
      </c>
    </row>
    <row r="74" spans="1:64">
      <c r="A74" s="1">
        <v>29</v>
      </c>
      <c r="B74" s="4">
        <f t="shared" si="2"/>
        <v>0</v>
      </c>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4"/>
      <c r="BI74" s="4">
        <f t="shared" si="3"/>
        <v>0</v>
      </c>
      <c r="BJ74" s="4">
        <f t="shared" si="4"/>
        <v>0</v>
      </c>
      <c r="BK74" s="4"/>
      <c r="BL74" s="3">
        <v>29</v>
      </c>
    </row>
    <row r="75" spans="1:64">
      <c r="A75" s="1">
        <v>30</v>
      </c>
      <c r="B75" s="4">
        <f t="shared" si="2"/>
        <v>0</v>
      </c>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4"/>
      <c r="BI75" s="4">
        <f t="shared" si="3"/>
        <v>0</v>
      </c>
      <c r="BJ75" s="4">
        <f t="shared" si="4"/>
        <v>0</v>
      </c>
      <c r="BK75" s="4"/>
      <c r="BL75" s="3">
        <v>30</v>
      </c>
    </row>
    <row r="76" spans="1:64">
      <c r="A76" s="1">
        <v>31</v>
      </c>
      <c r="B76" s="4">
        <f t="shared" si="2"/>
        <v>0</v>
      </c>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4"/>
      <c r="BI76" s="4">
        <f t="shared" si="3"/>
        <v>0</v>
      </c>
      <c r="BJ76" s="4">
        <f t="shared" si="4"/>
        <v>0</v>
      </c>
      <c r="BK76" s="4"/>
      <c r="BL76" s="3">
        <v>31</v>
      </c>
    </row>
    <row r="77" spans="1:64">
      <c r="A77" s="1">
        <v>32</v>
      </c>
      <c r="B77" s="4">
        <f t="shared" si="2"/>
        <v>0</v>
      </c>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4"/>
      <c r="BI77" s="4">
        <f t="shared" si="3"/>
        <v>0</v>
      </c>
      <c r="BJ77" s="4">
        <f t="shared" si="4"/>
        <v>0</v>
      </c>
      <c r="BK77" s="4"/>
      <c r="BL77" s="3">
        <v>32</v>
      </c>
    </row>
    <row r="78" spans="1:64">
      <c r="A78" s="1">
        <v>33</v>
      </c>
      <c r="B78" s="4">
        <f t="shared" si="2"/>
        <v>0</v>
      </c>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4"/>
      <c r="BI78" s="4">
        <f t="shared" si="3"/>
        <v>0</v>
      </c>
      <c r="BJ78" s="4">
        <f t="shared" si="4"/>
        <v>0</v>
      </c>
      <c r="BK78" s="4"/>
      <c r="BL78" s="3">
        <v>33</v>
      </c>
    </row>
    <row r="79" spans="1:64">
      <c r="A79" s="1">
        <v>34</v>
      </c>
      <c r="B79" s="4">
        <f t="shared" si="2"/>
        <v>0</v>
      </c>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4"/>
      <c r="BI79" s="4">
        <f t="shared" si="3"/>
        <v>0</v>
      </c>
      <c r="BJ79" s="4">
        <f t="shared" si="4"/>
        <v>0</v>
      </c>
      <c r="BK79" s="4"/>
      <c r="BL79" s="3">
        <v>34</v>
      </c>
    </row>
    <row r="80" spans="1:64">
      <c r="A80" s="1">
        <v>35</v>
      </c>
      <c r="B80" s="4">
        <f t="shared" si="2"/>
        <v>0</v>
      </c>
      <c r="C80" s="19" t="s">
        <v>84</v>
      </c>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4"/>
      <c r="BI80" s="4">
        <f t="shared" si="3"/>
        <v>0</v>
      </c>
      <c r="BJ80" s="4">
        <f t="shared" si="4"/>
        <v>0</v>
      </c>
      <c r="BK80" s="4"/>
      <c r="BL80" s="3">
        <v>35</v>
      </c>
    </row>
    <row r="81" spans="1:64">
      <c r="A81" s="1">
        <v>36</v>
      </c>
      <c r="B81" s="4">
        <f t="shared" si="2"/>
        <v>0</v>
      </c>
      <c r="C81" s="19" t="s">
        <v>84</v>
      </c>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4"/>
      <c r="BI81" s="4">
        <f t="shared" si="3"/>
        <v>0</v>
      </c>
      <c r="BJ81" s="4">
        <f t="shared" si="4"/>
        <v>0</v>
      </c>
      <c r="BK81" s="4"/>
      <c r="BL81" s="3">
        <v>36</v>
      </c>
    </row>
    <row r="82" spans="1:64">
      <c r="A82" s="1">
        <v>37</v>
      </c>
      <c r="B82" s="4">
        <f t="shared" si="2"/>
        <v>0</v>
      </c>
      <c r="C82" s="19" t="s">
        <v>84</v>
      </c>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4"/>
      <c r="BI82" s="4">
        <f t="shared" si="3"/>
        <v>0</v>
      </c>
      <c r="BJ82" s="4">
        <f t="shared" si="4"/>
        <v>0</v>
      </c>
      <c r="BK82" s="4"/>
      <c r="BL82" s="3">
        <v>37</v>
      </c>
    </row>
    <row r="83" spans="1:64">
      <c r="A83" s="1">
        <v>38</v>
      </c>
      <c r="B83" s="4"/>
      <c r="C83" s="19" t="s">
        <v>84</v>
      </c>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4"/>
      <c r="BI83" s="4">
        <f t="shared" si="3"/>
        <v>0</v>
      </c>
      <c r="BJ83" s="4">
        <f t="shared" si="4"/>
        <v>0</v>
      </c>
      <c r="BK83" s="4"/>
      <c r="BL83" s="3">
        <v>38</v>
      </c>
    </row>
    <row r="84" spans="1:64">
      <c r="A84" s="1">
        <v>39</v>
      </c>
      <c r="B84" s="4"/>
      <c r="C84" s="19" t="s">
        <v>84</v>
      </c>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4"/>
      <c r="BI84" s="4">
        <f t="shared" si="3"/>
        <v>0</v>
      </c>
      <c r="BJ84" s="4">
        <f t="shared" si="4"/>
        <v>0</v>
      </c>
      <c r="BK84" s="4"/>
      <c r="BL84" s="3">
        <v>39</v>
      </c>
    </row>
    <row r="85" spans="1:64">
      <c r="A85" s="1">
        <v>40</v>
      </c>
      <c r="B85" s="4"/>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4"/>
      <c r="BI85" s="4">
        <f t="shared" si="3"/>
        <v>0</v>
      </c>
      <c r="BJ85" s="4">
        <f t="shared" si="4"/>
        <v>0</v>
      </c>
      <c r="BK85" s="4"/>
      <c r="BL85" s="3">
        <v>40</v>
      </c>
    </row>
    <row r="86" spans="1:64">
      <c r="A86" s="1">
        <v>41</v>
      </c>
      <c r="B86" s="4"/>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4"/>
      <c r="BI86" s="4">
        <f t="shared" si="3"/>
        <v>0</v>
      </c>
      <c r="BJ86" s="4">
        <f t="shared" si="4"/>
        <v>0</v>
      </c>
      <c r="BK86" s="4"/>
      <c r="BL86" s="3">
        <v>41</v>
      </c>
    </row>
    <row r="87" spans="1:64">
      <c r="A87" s="6">
        <v>42</v>
      </c>
      <c r="B87" s="7"/>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1"/>
      <c r="AV87" s="21"/>
      <c r="AW87" s="21"/>
      <c r="AX87" s="21"/>
      <c r="AY87" s="21"/>
      <c r="AZ87" s="21"/>
      <c r="BA87" s="21"/>
      <c r="BB87" s="21"/>
      <c r="BC87" s="21"/>
      <c r="BD87" s="21"/>
      <c r="BE87" s="21"/>
      <c r="BF87" s="21"/>
      <c r="BG87" s="21"/>
      <c r="BH87" s="7"/>
      <c r="BI87" s="7">
        <f t="shared" si="3"/>
        <v>0</v>
      </c>
      <c r="BJ87" s="7">
        <f t="shared" si="4"/>
        <v>0</v>
      </c>
      <c r="BK87" s="7"/>
      <c r="BL87" s="8">
        <v>42</v>
      </c>
    </row>
    <row r="89" spans="1:64" ht="31.2" customHeight="1">
      <c r="A89" s="244"/>
      <c r="B89" s="249" t="s">
        <v>77</v>
      </c>
      <c r="C89" s="240" t="s">
        <v>85</v>
      </c>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251"/>
      <c r="AI89" s="251"/>
      <c r="AJ89" s="251"/>
      <c r="AK89" s="251"/>
      <c r="AL89" s="251"/>
      <c r="AM89" s="251"/>
      <c r="AN89" s="251"/>
      <c r="AO89" s="251"/>
      <c r="AP89" s="251"/>
      <c r="AQ89" s="251"/>
      <c r="AR89" s="251"/>
      <c r="AS89" s="251"/>
      <c r="AT89" s="251"/>
      <c r="AU89" s="251"/>
      <c r="AV89" s="251"/>
      <c r="AW89" s="251"/>
      <c r="AX89" s="251"/>
      <c r="AY89" s="251"/>
      <c r="AZ89" s="251"/>
      <c r="BA89" s="251"/>
      <c r="BB89" s="251"/>
      <c r="BC89" s="251"/>
      <c r="BD89" s="251"/>
      <c r="BE89" s="251"/>
      <c r="BF89" s="251"/>
      <c r="BG89" s="251"/>
      <c r="BH89" s="241"/>
      <c r="BI89" s="240" t="s">
        <v>86</v>
      </c>
      <c r="BJ89" s="241"/>
      <c r="BK89" s="245" t="s">
        <v>18</v>
      </c>
      <c r="BL89" s="77"/>
    </row>
    <row r="90" spans="1:64" ht="43.2" customHeight="1">
      <c r="A90" s="243"/>
      <c r="B90" s="243"/>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2" t="s">
        <v>80</v>
      </c>
      <c r="BJ90" s="2" t="s">
        <v>81</v>
      </c>
      <c r="BK90" s="243"/>
      <c r="BL90" s="77"/>
    </row>
    <row r="91" spans="1:64" ht="13.2" customHeight="1">
      <c r="A91" s="1">
        <v>1</v>
      </c>
      <c r="B91" s="4">
        <f t="shared" ref="B91:B127" si="5">B46</f>
        <v>0</v>
      </c>
      <c r="C91" s="19"/>
      <c r="D91" s="101"/>
      <c r="E91" s="19"/>
      <c r="F91" s="19"/>
      <c r="G91" s="101"/>
      <c r="H91" s="101"/>
      <c r="I91" s="19"/>
      <c r="J91" s="19"/>
      <c r="K91" s="19"/>
      <c r="L91" s="19"/>
      <c r="M91" s="19"/>
      <c r="N91" s="19"/>
      <c r="O91" s="19"/>
      <c r="P91" s="19"/>
      <c r="Q91" s="19"/>
      <c r="R91" s="19"/>
      <c r="S91" s="19"/>
      <c r="T91" s="19"/>
      <c r="U91" s="19"/>
      <c r="V91" s="19"/>
      <c r="W91" s="19"/>
      <c r="X91" s="19"/>
      <c r="Y91" s="19"/>
      <c r="Z91" s="102"/>
      <c r="AA91" s="102"/>
      <c r="AD91" s="102"/>
      <c r="AE91" s="102"/>
      <c r="AF91" s="102"/>
      <c r="AG91" s="102"/>
      <c r="AH91" s="102"/>
      <c r="AI91" s="102"/>
      <c r="AJ91" s="102"/>
      <c r="AK91" s="102"/>
      <c r="AL91" s="102"/>
      <c r="AM91" s="102"/>
      <c r="AN91" s="102"/>
      <c r="AO91" s="102"/>
      <c r="AP91" s="102"/>
      <c r="AQ91" s="102"/>
      <c r="AR91" s="19"/>
      <c r="AS91" s="19"/>
      <c r="AT91" s="19"/>
      <c r="AU91" s="19"/>
      <c r="AV91" s="19"/>
      <c r="AW91" s="19"/>
      <c r="AX91" s="19"/>
      <c r="AY91" s="19"/>
      <c r="AZ91" s="19"/>
      <c r="BA91" s="19"/>
      <c r="BB91" s="19"/>
      <c r="BC91" s="19"/>
      <c r="BD91" s="19"/>
      <c r="BE91" s="19"/>
      <c r="BF91" s="19"/>
      <c r="BG91" s="19"/>
      <c r="BH91" s="4"/>
      <c r="BI91" s="4">
        <f t="shared" ref="BI91:BI128" si="6">COUNTIF(C91:BH91,"-")</f>
        <v>0</v>
      </c>
      <c r="BJ91" s="4">
        <f t="shared" ref="BJ91:BJ128" si="7">COUNTIF(D91:BI91,"T")</f>
        <v>0</v>
      </c>
      <c r="BK91" s="4"/>
      <c r="BL91" s="3">
        <v>1</v>
      </c>
    </row>
    <row r="92" spans="1:64" ht="14.4" customHeight="1">
      <c r="A92" s="1">
        <v>2</v>
      </c>
      <c r="B92" s="4">
        <f t="shared" si="5"/>
        <v>0</v>
      </c>
      <c r="C92" s="19"/>
      <c r="D92" s="101"/>
      <c r="E92" s="19"/>
      <c r="F92" s="19"/>
      <c r="G92" s="101"/>
      <c r="H92" s="101"/>
      <c r="I92" s="19"/>
      <c r="J92" s="19"/>
      <c r="K92" s="19"/>
      <c r="L92" s="19"/>
      <c r="M92" s="19"/>
      <c r="N92" s="19"/>
      <c r="O92" s="19"/>
      <c r="P92" s="19"/>
      <c r="Q92" s="19"/>
      <c r="R92" s="19"/>
      <c r="S92" s="19"/>
      <c r="T92" s="19"/>
      <c r="U92" s="19"/>
      <c r="V92" s="19"/>
      <c r="W92" s="19"/>
      <c r="X92" s="19"/>
      <c r="Y92" s="19"/>
      <c r="Z92" s="102"/>
      <c r="AA92" s="102"/>
      <c r="AB92" s="19"/>
      <c r="AC92" s="19"/>
      <c r="AD92" s="102"/>
      <c r="AE92" s="102"/>
      <c r="AF92" s="102"/>
      <c r="AG92" s="102"/>
      <c r="AH92" s="102"/>
      <c r="AI92" s="102"/>
      <c r="AJ92" s="102"/>
      <c r="AK92" s="102"/>
      <c r="AL92" s="102"/>
      <c r="AM92" s="102"/>
      <c r="AN92" s="102"/>
      <c r="AO92" s="102"/>
      <c r="AP92" s="102"/>
      <c r="AQ92" s="102"/>
      <c r="AR92" s="19"/>
      <c r="AS92" s="19"/>
      <c r="AT92" s="19"/>
      <c r="AU92" s="19"/>
      <c r="AV92" s="19"/>
      <c r="AW92" s="19"/>
      <c r="AX92" s="19"/>
      <c r="AY92" s="19"/>
      <c r="AZ92" s="19"/>
      <c r="BA92" s="19"/>
      <c r="BB92" s="19"/>
      <c r="BC92" s="19"/>
      <c r="BD92" s="19"/>
      <c r="BE92" s="19"/>
      <c r="BF92" s="19"/>
      <c r="BG92" s="19"/>
      <c r="BH92" s="4"/>
      <c r="BI92" s="4">
        <f t="shared" si="6"/>
        <v>0</v>
      </c>
      <c r="BJ92" s="4">
        <f t="shared" si="7"/>
        <v>0</v>
      </c>
      <c r="BK92" s="4"/>
      <c r="BL92" s="3">
        <v>2</v>
      </c>
    </row>
    <row r="93" spans="1:64">
      <c r="A93" s="1">
        <v>3</v>
      </c>
      <c r="B93" s="4">
        <f t="shared" si="5"/>
        <v>0</v>
      </c>
      <c r="C93" s="19"/>
      <c r="D93" s="101"/>
      <c r="E93" s="19"/>
      <c r="F93" s="19"/>
      <c r="G93" s="101"/>
      <c r="H93" s="101"/>
      <c r="I93" s="19"/>
      <c r="J93" s="19"/>
      <c r="K93" s="19"/>
      <c r="L93" s="19"/>
      <c r="M93" s="19"/>
      <c r="N93" s="19"/>
      <c r="O93" s="19"/>
      <c r="P93" s="19"/>
      <c r="Q93" s="19"/>
      <c r="R93" s="19"/>
      <c r="S93" s="19"/>
      <c r="T93" s="19"/>
      <c r="U93" s="19"/>
      <c r="V93" s="19"/>
      <c r="W93" s="19"/>
      <c r="X93" s="19"/>
      <c r="Y93" s="19"/>
      <c r="Z93" s="102"/>
      <c r="AA93" s="102"/>
      <c r="AB93" s="19"/>
      <c r="AC93" s="19"/>
      <c r="AD93" s="102"/>
      <c r="AE93" s="102"/>
      <c r="AF93" s="102"/>
      <c r="AG93" s="102"/>
      <c r="AH93" s="102"/>
      <c r="AI93" s="102"/>
      <c r="AJ93" s="102"/>
      <c r="AK93" s="102"/>
      <c r="AL93" s="102"/>
      <c r="AM93" s="102"/>
      <c r="AN93" s="102"/>
      <c r="AO93" s="102"/>
      <c r="AP93" s="102"/>
      <c r="AQ93" s="102"/>
      <c r="AR93" s="19"/>
      <c r="AS93" s="19"/>
      <c r="AT93" s="19"/>
      <c r="AU93" s="19"/>
      <c r="AV93" s="19"/>
      <c r="AW93" s="19"/>
      <c r="AX93" s="19"/>
      <c r="AY93" s="19"/>
      <c r="AZ93" s="19"/>
      <c r="BA93" s="19"/>
      <c r="BB93" s="19"/>
      <c r="BC93" s="19"/>
      <c r="BD93" s="19"/>
      <c r="BE93" s="19"/>
      <c r="BF93" s="19"/>
      <c r="BG93" s="19"/>
      <c r="BH93" s="4"/>
      <c r="BI93" s="4">
        <f t="shared" si="6"/>
        <v>0</v>
      </c>
      <c r="BJ93" s="4">
        <f t="shared" si="7"/>
        <v>0</v>
      </c>
      <c r="BK93" s="4"/>
      <c r="BL93" s="3">
        <v>3</v>
      </c>
    </row>
    <row r="94" spans="1:64" ht="14.4" customHeight="1">
      <c r="A94" s="1">
        <v>4</v>
      </c>
      <c r="B94" s="4">
        <f t="shared" si="5"/>
        <v>0</v>
      </c>
      <c r="C94" s="19"/>
      <c r="D94" s="101"/>
      <c r="E94" s="19"/>
      <c r="F94" s="19"/>
      <c r="G94" s="101"/>
      <c r="H94" s="101"/>
      <c r="I94" s="19"/>
      <c r="J94" s="19"/>
      <c r="K94" s="19"/>
      <c r="L94" s="19"/>
      <c r="M94" s="19"/>
      <c r="N94" s="19"/>
      <c r="O94" s="19"/>
      <c r="P94" s="19"/>
      <c r="Q94" s="19"/>
      <c r="R94" s="19"/>
      <c r="S94" s="19"/>
      <c r="T94" s="19"/>
      <c r="U94" s="19"/>
      <c r="V94" s="19"/>
      <c r="W94" s="19"/>
      <c r="X94" s="19"/>
      <c r="Y94" s="19"/>
      <c r="Z94" s="102"/>
      <c r="AA94" s="102"/>
      <c r="AB94" s="19"/>
      <c r="AC94" s="19"/>
      <c r="AD94" s="102"/>
      <c r="AE94" s="102"/>
      <c r="AF94" s="102"/>
      <c r="AG94" s="102"/>
      <c r="AH94" s="102"/>
      <c r="AI94" s="102"/>
      <c r="AJ94" s="102"/>
      <c r="AK94" s="102"/>
      <c r="AL94" s="102"/>
      <c r="AM94" s="102"/>
      <c r="AN94" s="102"/>
      <c r="AO94" s="102"/>
      <c r="AP94" s="102"/>
      <c r="AQ94" s="102"/>
      <c r="AR94" s="19"/>
      <c r="AS94" s="19"/>
      <c r="AT94" s="19"/>
      <c r="AU94" s="19"/>
      <c r="AV94" s="19"/>
      <c r="AW94" s="19"/>
      <c r="AX94" s="19"/>
      <c r="AY94" s="19"/>
      <c r="AZ94" s="19"/>
      <c r="BA94" s="19"/>
      <c r="BB94" s="19"/>
      <c r="BC94" s="19"/>
      <c r="BD94" s="19"/>
      <c r="BE94" s="19"/>
      <c r="BF94" s="19"/>
      <c r="BG94" s="19"/>
      <c r="BH94" s="4"/>
      <c r="BI94" s="4">
        <f t="shared" si="6"/>
        <v>0</v>
      </c>
      <c r="BJ94" s="4">
        <f t="shared" si="7"/>
        <v>0</v>
      </c>
      <c r="BK94" s="4"/>
      <c r="BL94" s="3">
        <v>4</v>
      </c>
    </row>
    <row r="95" spans="1:64">
      <c r="A95" s="1">
        <v>5</v>
      </c>
      <c r="B95" s="4">
        <f t="shared" si="5"/>
        <v>0</v>
      </c>
      <c r="C95" s="19"/>
      <c r="D95" s="101"/>
      <c r="E95" s="19"/>
      <c r="F95" s="19"/>
      <c r="G95" s="101"/>
      <c r="H95" s="101"/>
      <c r="I95" s="19"/>
      <c r="J95" s="19"/>
      <c r="K95" s="19"/>
      <c r="L95" s="19"/>
      <c r="M95" s="19"/>
      <c r="N95" s="19"/>
      <c r="O95" s="19"/>
      <c r="P95" s="19"/>
      <c r="Q95" s="19"/>
      <c r="R95" s="19"/>
      <c r="S95" s="19"/>
      <c r="T95" s="19"/>
      <c r="U95" s="19"/>
      <c r="V95" s="19"/>
      <c r="W95" s="19"/>
      <c r="X95" s="19"/>
      <c r="Y95" s="19"/>
      <c r="Z95" s="102"/>
      <c r="AA95" s="102"/>
      <c r="AB95" s="19"/>
      <c r="AC95" s="19"/>
      <c r="AD95" s="102"/>
      <c r="AE95" s="102"/>
      <c r="AF95" s="102"/>
      <c r="AG95" s="102"/>
      <c r="AH95" s="102"/>
      <c r="AI95" s="102"/>
      <c r="AJ95" s="102"/>
      <c r="AK95" s="102"/>
      <c r="AL95" s="102"/>
      <c r="AM95" s="102"/>
      <c r="AN95" s="102"/>
      <c r="AO95" s="102"/>
      <c r="AP95" s="102"/>
      <c r="AQ95" s="102"/>
      <c r="AR95" s="19"/>
      <c r="AS95" s="19"/>
      <c r="AT95" s="19"/>
      <c r="AU95" s="19"/>
      <c r="AV95" s="19"/>
      <c r="AW95" s="19"/>
      <c r="AX95" s="19"/>
      <c r="AY95" s="19"/>
      <c r="AZ95" s="19"/>
      <c r="BA95" s="19"/>
      <c r="BB95" s="19"/>
      <c r="BC95" s="19"/>
      <c r="BD95" s="19"/>
      <c r="BE95" s="19"/>
      <c r="BF95" s="19"/>
      <c r="BG95" s="19"/>
      <c r="BH95" s="4"/>
      <c r="BI95" s="4">
        <f t="shared" si="6"/>
        <v>0</v>
      </c>
      <c r="BJ95" s="4">
        <f t="shared" si="7"/>
        <v>0</v>
      </c>
      <c r="BK95" s="4"/>
      <c r="BL95" s="3">
        <v>5</v>
      </c>
    </row>
    <row r="96" spans="1:64">
      <c r="A96" s="1">
        <v>6</v>
      </c>
      <c r="B96" s="4">
        <f t="shared" si="5"/>
        <v>0</v>
      </c>
      <c r="C96" s="19"/>
      <c r="D96" s="101"/>
      <c r="E96" s="19"/>
      <c r="F96" s="19"/>
      <c r="G96" s="101"/>
      <c r="H96" s="101"/>
      <c r="I96" s="19"/>
      <c r="J96" s="19"/>
      <c r="K96" s="19"/>
      <c r="L96" s="19"/>
      <c r="M96" s="19"/>
      <c r="N96" s="19"/>
      <c r="O96" s="19"/>
      <c r="P96" s="19"/>
      <c r="Q96" s="19"/>
      <c r="R96" s="19"/>
      <c r="S96" s="19"/>
      <c r="T96" s="19"/>
      <c r="U96" s="19"/>
      <c r="V96" s="19"/>
      <c r="W96" s="19"/>
      <c r="X96" s="19"/>
      <c r="Y96" s="19"/>
      <c r="Z96" s="102"/>
      <c r="AA96" s="102"/>
      <c r="AB96" s="19"/>
      <c r="AC96" s="19"/>
      <c r="AD96" s="102"/>
      <c r="AE96" s="102"/>
      <c r="AF96" s="102"/>
      <c r="AG96" s="102"/>
      <c r="AH96" s="102"/>
      <c r="AI96" s="102"/>
      <c r="AJ96" s="102"/>
      <c r="AK96" s="102"/>
      <c r="AL96" s="102"/>
      <c r="AM96" s="102"/>
      <c r="AN96" s="102"/>
      <c r="AO96" s="102"/>
      <c r="AP96" s="102"/>
      <c r="AQ96" s="102"/>
      <c r="AR96" s="19"/>
      <c r="AS96" s="19"/>
      <c r="AT96" s="19"/>
      <c r="AU96" s="19"/>
      <c r="AV96" s="19"/>
      <c r="AW96" s="19"/>
      <c r="AX96" s="19"/>
      <c r="AY96" s="19"/>
      <c r="AZ96" s="19"/>
      <c r="BA96" s="19"/>
      <c r="BB96" s="19"/>
      <c r="BC96" s="19"/>
      <c r="BD96" s="19"/>
      <c r="BE96" s="19"/>
      <c r="BF96" s="19"/>
      <c r="BG96" s="19"/>
      <c r="BH96" s="4"/>
      <c r="BI96" s="4">
        <f t="shared" si="6"/>
        <v>0</v>
      </c>
      <c r="BJ96" s="4">
        <f t="shared" si="7"/>
        <v>0</v>
      </c>
      <c r="BK96" s="4"/>
      <c r="BL96" s="3">
        <v>6</v>
      </c>
    </row>
    <row r="97" spans="1:64">
      <c r="A97" s="1">
        <v>7</v>
      </c>
      <c r="B97" s="4">
        <f t="shared" si="5"/>
        <v>0</v>
      </c>
      <c r="C97" s="19"/>
      <c r="D97" s="101"/>
      <c r="E97" s="19"/>
      <c r="F97" s="19"/>
      <c r="G97" s="101"/>
      <c r="H97" s="101"/>
      <c r="I97" s="19"/>
      <c r="J97" s="19"/>
      <c r="K97" s="19"/>
      <c r="L97" s="19"/>
      <c r="M97" s="19"/>
      <c r="N97" s="19"/>
      <c r="O97" s="19"/>
      <c r="P97" s="19"/>
      <c r="Q97" s="19"/>
      <c r="R97" s="19"/>
      <c r="S97" s="19"/>
      <c r="T97" s="19"/>
      <c r="U97" s="19"/>
      <c r="V97" s="19"/>
      <c r="W97" s="19"/>
      <c r="X97" s="19"/>
      <c r="Y97" s="19"/>
      <c r="Z97" s="102"/>
      <c r="AA97" s="102"/>
      <c r="AB97" s="19"/>
      <c r="AC97" s="19"/>
      <c r="AD97" s="102"/>
      <c r="AE97" s="102"/>
      <c r="AF97" s="102"/>
      <c r="AG97" s="102"/>
      <c r="AH97" s="102"/>
      <c r="AI97" s="102"/>
      <c r="AJ97" s="102"/>
      <c r="AK97" s="102"/>
      <c r="AL97" s="102"/>
      <c r="AM97" s="102"/>
      <c r="AN97" s="102"/>
      <c r="AO97" s="102"/>
      <c r="AP97" s="102"/>
      <c r="AQ97" s="102"/>
      <c r="AR97" s="19"/>
      <c r="AS97" s="19"/>
      <c r="AT97" s="19"/>
      <c r="AU97" s="19"/>
      <c r="AV97" s="19"/>
      <c r="AW97" s="19"/>
      <c r="AX97" s="19"/>
      <c r="AY97" s="19"/>
      <c r="AZ97" s="19"/>
      <c r="BA97" s="19"/>
      <c r="BB97" s="19"/>
      <c r="BC97" s="19"/>
      <c r="BD97" s="19"/>
      <c r="BE97" s="19"/>
      <c r="BF97" s="19"/>
      <c r="BG97" s="19"/>
      <c r="BH97" s="4"/>
      <c r="BI97" s="4">
        <f t="shared" si="6"/>
        <v>0</v>
      </c>
      <c r="BJ97" s="4">
        <f t="shared" si="7"/>
        <v>0</v>
      </c>
      <c r="BK97" s="4"/>
      <c r="BL97" s="3">
        <v>7</v>
      </c>
    </row>
    <row r="98" spans="1:64">
      <c r="A98" s="1">
        <v>8</v>
      </c>
      <c r="B98" s="4">
        <f t="shared" si="5"/>
        <v>0</v>
      </c>
      <c r="C98" s="19"/>
      <c r="D98" s="101"/>
      <c r="E98" s="19"/>
      <c r="F98" s="19"/>
      <c r="G98" s="101"/>
      <c r="H98" s="101"/>
      <c r="I98" s="19"/>
      <c r="J98" s="19"/>
      <c r="K98" s="19"/>
      <c r="L98" s="19"/>
      <c r="M98" s="19"/>
      <c r="N98" s="19"/>
      <c r="O98" s="19"/>
      <c r="P98" s="19"/>
      <c r="Q98" s="19"/>
      <c r="R98" s="19"/>
      <c r="S98" s="19"/>
      <c r="T98" s="19"/>
      <c r="U98" s="19"/>
      <c r="V98" s="19"/>
      <c r="W98" s="19"/>
      <c r="X98" s="19"/>
      <c r="Y98" s="19"/>
      <c r="Z98" s="102"/>
      <c r="AA98" s="102"/>
      <c r="AB98" s="19"/>
      <c r="AC98" s="19"/>
      <c r="AD98" s="102"/>
      <c r="AE98" s="102"/>
      <c r="AF98" s="102"/>
      <c r="AG98" s="102"/>
      <c r="AH98" s="102"/>
      <c r="AI98" s="102"/>
      <c r="AJ98" s="102"/>
      <c r="AK98" s="102"/>
      <c r="AL98" s="102"/>
      <c r="AM98" s="102"/>
      <c r="AN98" s="102"/>
      <c r="AO98" s="102"/>
      <c r="AP98" s="102"/>
      <c r="AQ98" s="102"/>
      <c r="AR98" s="19"/>
      <c r="AS98" s="19"/>
      <c r="AT98" s="19"/>
      <c r="AU98" s="19"/>
      <c r="AV98" s="19"/>
      <c r="AW98" s="19"/>
      <c r="AX98" s="19"/>
      <c r="AY98" s="19"/>
      <c r="AZ98" s="19"/>
      <c r="BA98" s="19"/>
      <c r="BB98" s="19"/>
      <c r="BC98" s="19"/>
      <c r="BD98" s="19"/>
      <c r="BE98" s="19"/>
      <c r="BF98" s="19"/>
      <c r="BG98" s="19"/>
      <c r="BH98" s="4"/>
      <c r="BI98" s="4">
        <f t="shared" si="6"/>
        <v>0</v>
      </c>
      <c r="BJ98" s="4">
        <f t="shared" si="7"/>
        <v>0</v>
      </c>
      <c r="BK98" s="4"/>
      <c r="BL98" s="3">
        <v>8</v>
      </c>
    </row>
    <row r="99" spans="1:64">
      <c r="A99" s="1">
        <v>9</v>
      </c>
      <c r="B99" s="4">
        <f t="shared" si="5"/>
        <v>0</v>
      </c>
      <c r="C99" s="19"/>
      <c r="D99" s="101"/>
      <c r="E99" s="19"/>
      <c r="F99" s="19"/>
      <c r="G99" s="101"/>
      <c r="H99" s="101"/>
      <c r="I99" s="19"/>
      <c r="J99" s="19"/>
      <c r="K99" s="19"/>
      <c r="L99" s="19"/>
      <c r="M99" s="19"/>
      <c r="N99" s="19"/>
      <c r="O99" s="19"/>
      <c r="P99" s="19"/>
      <c r="Q99" s="19"/>
      <c r="R99" s="19"/>
      <c r="S99" s="19"/>
      <c r="T99" s="19"/>
      <c r="U99" s="19"/>
      <c r="V99" s="19"/>
      <c r="W99" s="19"/>
      <c r="X99" s="19"/>
      <c r="Y99" s="19"/>
      <c r="Z99" s="102"/>
      <c r="AA99" s="102"/>
      <c r="AB99" s="19"/>
      <c r="AC99" s="19"/>
      <c r="AD99" s="102"/>
      <c r="AE99" s="102"/>
      <c r="AF99" s="102"/>
      <c r="AG99" s="102"/>
      <c r="AH99" s="102"/>
      <c r="AI99" s="102"/>
      <c r="AJ99" s="102"/>
      <c r="AK99" s="102"/>
      <c r="AL99" s="102"/>
      <c r="AM99" s="102"/>
      <c r="AN99" s="102"/>
      <c r="AO99" s="102"/>
      <c r="AP99" s="102"/>
      <c r="AQ99" s="102"/>
      <c r="AR99" s="19"/>
      <c r="AS99" s="19"/>
      <c r="AT99" s="19"/>
      <c r="AU99" s="19"/>
      <c r="AV99" s="19"/>
      <c r="AW99" s="19"/>
      <c r="AX99" s="19"/>
      <c r="AY99" s="19"/>
      <c r="AZ99" s="19"/>
      <c r="BA99" s="19"/>
      <c r="BB99" s="19"/>
      <c r="BC99" s="19"/>
      <c r="BD99" s="19"/>
      <c r="BE99" s="19"/>
      <c r="BF99" s="19"/>
      <c r="BG99" s="19"/>
      <c r="BH99" s="4"/>
      <c r="BI99" s="4">
        <f t="shared" si="6"/>
        <v>0</v>
      </c>
      <c r="BJ99" s="4">
        <f t="shared" si="7"/>
        <v>0</v>
      </c>
      <c r="BK99" s="4"/>
      <c r="BL99" s="3">
        <v>9</v>
      </c>
    </row>
    <row r="100" spans="1:64">
      <c r="A100" s="1">
        <v>10</v>
      </c>
      <c r="B100" s="4">
        <f t="shared" si="5"/>
        <v>0</v>
      </c>
      <c r="C100" s="19"/>
      <c r="D100" s="101"/>
      <c r="E100" s="19"/>
      <c r="F100" s="19"/>
      <c r="G100" s="101"/>
      <c r="H100" s="101"/>
      <c r="I100" s="19"/>
      <c r="J100" s="19"/>
      <c r="K100" s="19"/>
      <c r="L100" s="19"/>
      <c r="M100" s="19"/>
      <c r="N100" s="19"/>
      <c r="O100" s="19"/>
      <c r="P100" s="19"/>
      <c r="Q100" s="19"/>
      <c r="R100" s="19"/>
      <c r="S100" s="19"/>
      <c r="T100" s="19"/>
      <c r="U100" s="19"/>
      <c r="V100" s="19"/>
      <c r="W100" s="19"/>
      <c r="X100" s="19"/>
      <c r="Y100" s="19"/>
      <c r="Z100" s="102"/>
      <c r="AA100" s="102"/>
      <c r="AB100" s="19"/>
      <c r="AC100" s="19"/>
      <c r="AD100" s="102"/>
      <c r="AE100" s="102"/>
      <c r="AF100" s="102"/>
      <c r="AG100" s="102"/>
      <c r="AH100" s="102"/>
      <c r="AI100" s="102"/>
      <c r="AJ100" s="102"/>
      <c r="AK100" s="102"/>
      <c r="AL100" s="102"/>
      <c r="AM100" s="102"/>
      <c r="AN100" s="102"/>
      <c r="AO100" s="102"/>
      <c r="AP100" s="102"/>
      <c r="AQ100" s="102"/>
      <c r="AR100" s="19"/>
      <c r="AS100" s="19"/>
      <c r="AT100" s="19"/>
      <c r="AU100" s="19"/>
      <c r="AV100" s="19"/>
      <c r="AW100" s="19"/>
      <c r="AX100" s="19"/>
      <c r="AY100" s="19"/>
      <c r="AZ100" s="19"/>
      <c r="BA100" s="19"/>
      <c r="BB100" s="19"/>
      <c r="BC100" s="19"/>
      <c r="BD100" s="19"/>
      <c r="BE100" s="19"/>
      <c r="BF100" s="19"/>
      <c r="BG100" s="19"/>
      <c r="BH100" s="4"/>
      <c r="BI100" s="4">
        <f t="shared" si="6"/>
        <v>0</v>
      </c>
      <c r="BJ100" s="4">
        <f t="shared" si="7"/>
        <v>0</v>
      </c>
      <c r="BK100" s="4"/>
      <c r="BL100" s="3">
        <v>10</v>
      </c>
    </row>
    <row r="101" spans="1:64">
      <c r="A101" s="1">
        <v>11</v>
      </c>
      <c r="B101" s="4">
        <f t="shared" si="5"/>
        <v>0</v>
      </c>
      <c r="C101" s="19"/>
      <c r="D101" s="101"/>
      <c r="E101" s="19"/>
      <c r="F101" s="19"/>
      <c r="G101" s="101"/>
      <c r="H101" s="101"/>
      <c r="I101" s="19"/>
      <c r="J101" s="19"/>
      <c r="K101" s="19"/>
      <c r="L101" s="19"/>
      <c r="M101" s="19"/>
      <c r="N101" s="19"/>
      <c r="O101" s="19"/>
      <c r="P101" s="19"/>
      <c r="Q101" s="19"/>
      <c r="R101" s="19"/>
      <c r="S101" s="19"/>
      <c r="T101" s="19"/>
      <c r="U101" s="19"/>
      <c r="V101" s="19"/>
      <c r="W101" s="19"/>
      <c r="X101" s="19"/>
      <c r="Y101" s="19"/>
      <c r="Z101" s="102"/>
      <c r="AA101" s="102"/>
      <c r="AB101" s="19"/>
      <c r="AC101" s="19"/>
      <c r="AD101" s="102"/>
      <c r="AE101" s="102"/>
      <c r="AF101" s="102"/>
      <c r="AG101" s="102"/>
      <c r="AH101" s="102"/>
      <c r="AI101" s="102"/>
      <c r="AJ101" s="102"/>
      <c r="AK101" s="102"/>
      <c r="AL101" s="102"/>
      <c r="AM101" s="102"/>
      <c r="AN101" s="102"/>
      <c r="AO101" s="102"/>
      <c r="AP101" s="102"/>
      <c r="AQ101" s="102"/>
      <c r="AR101" s="19"/>
      <c r="AS101" s="19"/>
      <c r="AT101" s="19"/>
      <c r="AU101" s="19"/>
      <c r="AV101" s="19"/>
      <c r="AW101" s="19"/>
      <c r="AX101" s="19"/>
      <c r="AY101" s="19"/>
      <c r="AZ101" s="19"/>
      <c r="BA101" s="19"/>
      <c r="BB101" s="19"/>
      <c r="BC101" s="19"/>
      <c r="BD101" s="19"/>
      <c r="BE101" s="19"/>
      <c r="BF101" s="19"/>
      <c r="BG101" s="19"/>
      <c r="BH101" s="4"/>
      <c r="BI101" s="4">
        <f t="shared" si="6"/>
        <v>0</v>
      </c>
      <c r="BJ101" s="4">
        <f t="shared" si="7"/>
        <v>0</v>
      </c>
      <c r="BK101" s="4"/>
      <c r="BL101" s="3">
        <v>11</v>
      </c>
    </row>
    <row r="102" spans="1:64">
      <c r="A102" s="1">
        <v>12</v>
      </c>
      <c r="B102" s="4">
        <f t="shared" si="5"/>
        <v>0</v>
      </c>
      <c r="C102" s="19"/>
      <c r="D102" s="101"/>
      <c r="E102" s="19"/>
      <c r="F102" s="19"/>
      <c r="G102" s="101"/>
      <c r="H102" s="101"/>
      <c r="I102" s="19"/>
      <c r="J102" s="19"/>
      <c r="K102" s="19"/>
      <c r="L102" s="19"/>
      <c r="M102" s="19"/>
      <c r="N102" s="19"/>
      <c r="O102" s="19"/>
      <c r="P102" s="19"/>
      <c r="Q102" s="19"/>
      <c r="R102" s="19"/>
      <c r="S102" s="19"/>
      <c r="T102" s="19"/>
      <c r="U102" s="19"/>
      <c r="V102" s="19"/>
      <c r="W102" s="19"/>
      <c r="X102" s="19"/>
      <c r="Y102" s="19"/>
      <c r="Z102" s="102"/>
      <c r="AA102" s="102"/>
      <c r="AB102" s="19"/>
      <c r="AC102" s="19"/>
      <c r="AD102" s="102"/>
      <c r="AE102" s="102"/>
      <c r="AF102" s="102"/>
      <c r="AG102" s="102"/>
      <c r="AH102" s="102"/>
      <c r="AI102" s="102"/>
      <c r="AJ102" s="102"/>
      <c r="AK102" s="102"/>
      <c r="AL102" s="102"/>
      <c r="AM102" s="102"/>
      <c r="AN102" s="102"/>
      <c r="AO102" s="102"/>
      <c r="AP102" s="102"/>
      <c r="AQ102" s="102"/>
      <c r="AR102" s="19"/>
      <c r="AS102" s="19"/>
      <c r="AT102" s="19"/>
      <c r="AU102" s="19"/>
      <c r="AV102" s="19"/>
      <c r="AW102" s="19"/>
      <c r="AX102" s="19"/>
      <c r="AY102" s="19"/>
      <c r="AZ102" s="19"/>
      <c r="BA102" s="19"/>
      <c r="BB102" s="19"/>
      <c r="BC102" s="19"/>
      <c r="BD102" s="19"/>
      <c r="BE102" s="19"/>
      <c r="BF102" s="19"/>
      <c r="BG102" s="19"/>
      <c r="BH102" s="4"/>
      <c r="BI102" s="4">
        <f t="shared" si="6"/>
        <v>0</v>
      </c>
      <c r="BJ102" s="4">
        <f t="shared" si="7"/>
        <v>0</v>
      </c>
      <c r="BK102" s="4"/>
      <c r="BL102" s="3">
        <v>12</v>
      </c>
    </row>
    <row r="103" spans="1:64">
      <c r="A103" s="1">
        <v>13</v>
      </c>
      <c r="B103" s="4">
        <f t="shared" si="5"/>
        <v>0</v>
      </c>
      <c r="C103" s="19"/>
      <c r="D103" s="101"/>
      <c r="E103" s="19"/>
      <c r="F103" s="19"/>
      <c r="G103" s="101"/>
      <c r="H103" s="101"/>
      <c r="I103" s="19"/>
      <c r="J103" s="19"/>
      <c r="K103" s="19"/>
      <c r="L103" s="19"/>
      <c r="M103" s="19"/>
      <c r="N103" s="19"/>
      <c r="O103" s="19"/>
      <c r="P103" s="19"/>
      <c r="Q103" s="19"/>
      <c r="R103" s="19"/>
      <c r="S103" s="19"/>
      <c r="T103" s="19"/>
      <c r="U103" s="19"/>
      <c r="V103" s="19"/>
      <c r="W103" s="19"/>
      <c r="X103" s="19"/>
      <c r="Y103" s="19"/>
      <c r="Z103" s="102"/>
      <c r="AA103" s="102"/>
      <c r="AB103" s="19"/>
      <c r="AC103" s="19"/>
      <c r="AD103" s="102"/>
      <c r="AE103" s="102"/>
      <c r="AF103" s="102"/>
      <c r="AG103" s="102"/>
      <c r="AH103" s="102"/>
      <c r="AI103" s="102"/>
      <c r="AJ103" s="102"/>
      <c r="AK103" s="102"/>
      <c r="AL103" s="102"/>
      <c r="AM103" s="102"/>
      <c r="AN103" s="102"/>
      <c r="AO103" s="102"/>
      <c r="AP103" s="102"/>
      <c r="AQ103" s="102"/>
      <c r="AR103" s="19"/>
      <c r="AS103" s="19"/>
      <c r="AT103" s="19"/>
      <c r="AU103" s="19"/>
      <c r="AV103" s="19"/>
      <c r="AW103" s="19"/>
      <c r="AX103" s="19"/>
      <c r="AY103" s="19"/>
      <c r="AZ103" s="19"/>
      <c r="BA103" s="19"/>
      <c r="BB103" s="19"/>
      <c r="BC103" s="19"/>
      <c r="BD103" s="19"/>
      <c r="BE103" s="19"/>
      <c r="BF103" s="19"/>
      <c r="BG103" s="19"/>
      <c r="BH103" s="4"/>
      <c r="BI103" s="4">
        <f t="shared" si="6"/>
        <v>0</v>
      </c>
      <c r="BJ103" s="4">
        <f t="shared" si="7"/>
        <v>0</v>
      </c>
      <c r="BK103" s="4"/>
      <c r="BL103" s="3">
        <v>13</v>
      </c>
    </row>
    <row r="104" spans="1:64">
      <c r="A104" s="1">
        <v>14</v>
      </c>
      <c r="B104" s="4">
        <f t="shared" si="5"/>
        <v>0</v>
      </c>
      <c r="C104" s="19"/>
      <c r="D104" s="101"/>
      <c r="E104" s="19"/>
      <c r="F104" s="19"/>
      <c r="G104" s="101"/>
      <c r="H104" s="101"/>
      <c r="I104" s="19"/>
      <c r="J104" s="19"/>
      <c r="K104" s="19"/>
      <c r="L104" s="19"/>
      <c r="M104" s="19"/>
      <c r="N104" s="19"/>
      <c r="O104" s="19"/>
      <c r="P104" s="19"/>
      <c r="Q104" s="19"/>
      <c r="R104" s="19"/>
      <c r="S104" s="19"/>
      <c r="T104" s="19"/>
      <c r="U104" s="19"/>
      <c r="V104" s="19"/>
      <c r="W104" s="19"/>
      <c r="X104" s="19"/>
      <c r="Y104" s="19"/>
      <c r="Z104" s="102"/>
      <c r="AA104" s="102"/>
      <c r="AB104" s="19"/>
      <c r="AC104" s="19"/>
      <c r="AD104" s="102"/>
      <c r="AE104" s="102"/>
      <c r="AF104" s="102"/>
      <c r="AG104" s="102"/>
      <c r="AH104" s="102"/>
      <c r="AI104" s="102"/>
      <c r="AJ104" s="102"/>
      <c r="AK104" s="102"/>
      <c r="AL104" s="102"/>
      <c r="AM104" s="102"/>
      <c r="AN104" s="102"/>
      <c r="AO104" s="102"/>
      <c r="AP104" s="102"/>
      <c r="AQ104" s="102"/>
      <c r="AR104" s="19"/>
      <c r="AS104" s="19"/>
      <c r="AT104" s="19"/>
      <c r="AU104" s="19"/>
      <c r="AV104" s="19"/>
      <c r="AW104" s="19"/>
      <c r="AX104" s="19"/>
      <c r="AY104" s="19"/>
      <c r="AZ104" s="19"/>
      <c r="BA104" s="19"/>
      <c r="BB104" s="19"/>
      <c r="BC104" s="19"/>
      <c r="BD104" s="19"/>
      <c r="BE104" s="19"/>
      <c r="BF104" s="19"/>
      <c r="BG104" s="19"/>
      <c r="BH104" s="4"/>
      <c r="BI104" s="4">
        <f t="shared" si="6"/>
        <v>0</v>
      </c>
      <c r="BJ104" s="4">
        <f t="shared" si="7"/>
        <v>0</v>
      </c>
      <c r="BK104" s="4"/>
      <c r="BL104" s="3">
        <v>14</v>
      </c>
    </row>
    <row r="105" spans="1:64">
      <c r="A105" s="1">
        <v>15</v>
      </c>
      <c r="B105" s="4">
        <f t="shared" si="5"/>
        <v>0</v>
      </c>
      <c r="C105" s="19"/>
      <c r="D105" s="101"/>
      <c r="E105" s="19"/>
      <c r="F105" s="19"/>
      <c r="G105" s="101"/>
      <c r="H105" s="101"/>
      <c r="I105" s="19"/>
      <c r="J105" s="19"/>
      <c r="K105" s="19"/>
      <c r="L105" s="19"/>
      <c r="M105" s="19"/>
      <c r="N105" s="19"/>
      <c r="O105" s="19"/>
      <c r="P105" s="19"/>
      <c r="Q105" s="19"/>
      <c r="R105" s="19"/>
      <c r="S105" s="19"/>
      <c r="T105" s="19"/>
      <c r="U105" s="19"/>
      <c r="V105" s="19"/>
      <c r="W105" s="19"/>
      <c r="X105" s="19"/>
      <c r="Y105" s="19"/>
      <c r="Z105" s="102"/>
      <c r="AA105" s="102"/>
      <c r="AB105" s="19"/>
      <c r="AC105" s="19"/>
      <c r="AD105" s="102"/>
      <c r="AE105" s="102"/>
      <c r="AF105" s="102"/>
      <c r="AG105" s="102"/>
      <c r="AH105" s="102"/>
      <c r="AI105" s="102"/>
      <c r="AJ105" s="102"/>
      <c r="AK105" s="102"/>
      <c r="AL105" s="102"/>
      <c r="AM105" s="102"/>
      <c r="AN105" s="102"/>
      <c r="AO105" s="102"/>
      <c r="AP105" s="102"/>
      <c r="AQ105" s="102"/>
      <c r="AR105" s="19"/>
      <c r="AS105" s="19"/>
      <c r="AT105" s="19"/>
      <c r="AU105" s="19"/>
      <c r="AV105" s="19"/>
      <c r="AW105" s="19"/>
      <c r="AX105" s="19"/>
      <c r="AY105" s="19"/>
      <c r="AZ105" s="19"/>
      <c r="BA105" s="19"/>
      <c r="BB105" s="19"/>
      <c r="BC105" s="19"/>
      <c r="BD105" s="19"/>
      <c r="BE105" s="19"/>
      <c r="BF105" s="19"/>
      <c r="BG105" s="19"/>
      <c r="BH105" s="4"/>
      <c r="BI105" s="4">
        <f t="shared" si="6"/>
        <v>0</v>
      </c>
      <c r="BJ105" s="4">
        <f t="shared" si="7"/>
        <v>0</v>
      </c>
      <c r="BK105" s="4"/>
      <c r="BL105" s="3">
        <v>15</v>
      </c>
    </row>
    <row r="106" spans="1:64">
      <c r="A106" s="1">
        <v>16</v>
      </c>
      <c r="B106" s="4">
        <f t="shared" si="5"/>
        <v>0</v>
      </c>
      <c r="C106" s="19"/>
      <c r="D106" s="101"/>
      <c r="E106" s="19"/>
      <c r="F106" s="19"/>
      <c r="G106" s="101"/>
      <c r="H106" s="101"/>
      <c r="I106" s="19"/>
      <c r="J106" s="19"/>
      <c r="K106" s="19"/>
      <c r="L106" s="19"/>
      <c r="M106" s="19"/>
      <c r="N106" s="19"/>
      <c r="O106" s="19"/>
      <c r="P106" s="19"/>
      <c r="Q106" s="19"/>
      <c r="R106" s="19"/>
      <c r="S106" s="19"/>
      <c r="T106" s="19"/>
      <c r="U106" s="19"/>
      <c r="V106" s="19"/>
      <c r="W106" s="19"/>
      <c r="X106" s="19"/>
      <c r="Y106" s="19"/>
      <c r="Z106" s="102"/>
      <c r="AA106" s="102"/>
      <c r="AB106" s="19"/>
      <c r="AC106" s="19"/>
      <c r="AD106" s="102"/>
      <c r="AE106" s="102"/>
      <c r="AF106" s="102"/>
      <c r="AG106" s="102"/>
      <c r="AH106" s="102"/>
      <c r="AI106" s="102"/>
      <c r="AJ106" s="102"/>
      <c r="AK106" s="102"/>
      <c r="AL106" s="102"/>
      <c r="AM106" s="102"/>
      <c r="AN106" s="102"/>
      <c r="AO106" s="102"/>
      <c r="AP106" s="102"/>
      <c r="AQ106" s="102"/>
      <c r="AR106" s="19"/>
      <c r="AS106" s="19"/>
      <c r="AT106" s="19"/>
      <c r="AU106" s="19"/>
      <c r="AV106" s="19"/>
      <c r="AW106" s="19"/>
      <c r="AX106" s="19"/>
      <c r="AY106" s="19"/>
      <c r="AZ106" s="19"/>
      <c r="BA106" s="19"/>
      <c r="BB106" s="19"/>
      <c r="BC106" s="19"/>
      <c r="BD106" s="19"/>
      <c r="BE106" s="19"/>
      <c r="BF106" s="19"/>
      <c r="BG106" s="19"/>
      <c r="BH106" s="4"/>
      <c r="BI106" s="4">
        <f t="shared" si="6"/>
        <v>0</v>
      </c>
      <c r="BJ106" s="4">
        <f t="shared" si="7"/>
        <v>0</v>
      </c>
      <c r="BK106" s="4"/>
      <c r="BL106" s="3">
        <v>16</v>
      </c>
    </row>
    <row r="107" spans="1:64">
      <c r="A107" s="1">
        <v>17</v>
      </c>
      <c r="B107" s="4">
        <f t="shared" si="5"/>
        <v>0</v>
      </c>
      <c r="C107" s="19"/>
      <c r="D107" s="101"/>
      <c r="E107" s="19"/>
      <c r="F107" s="19"/>
      <c r="G107" s="101"/>
      <c r="H107" s="101"/>
      <c r="I107" s="19"/>
      <c r="J107" s="19"/>
      <c r="K107" s="19"/>
      <c r="L107" s="19"/>
      <c r="M107" s="19"/>
      <c r="N107" s="19"/>
      <c r="O107" s="19"/>
      <c r="P107" s="19"/>
      <c r="Q107" s="19"/>
      <c r="R107" s="19"/>
      <c r="S107" s="19"/>
      <c r="T107" s="19"/>
      <c r="U107" s="19"/>
      <c r="V107" s="19"/>
      <c r="W107" s="19"/>
      <c r="X107" s="19"/>
      <c r="Y107" s="19"/>
      <c r="Z107" s="102"/>
      <c r="AA107" s="102"/>
      <c r="AB107" s="19"/>
      <c r="AC107" s="19"/>
      <c r="AD107" s="102"/>
      <c r="AE107" s="102"/>
      <c r="AF107" s="102"/>
      <c r="AG107" s="102"/>
      <c r="AH107" s="102"/>
      <c r="AI107" s="102"/>
      <c r="AJ107" s="102"/>
      <c r="AK107" s="102"/>
      <c r="AL107" s="102"/>
      <c r="AM107" s="102"/>
      <c r="AN107" s="102"/>
      <c r="AO107" s="102"/>
      <c r="AP107" s="102"/>
      <c r="AQ107" s="102"/>
      <c r="AR107" s="19"/>
      <c r="AS107" s="19"/>
      <c r="AT107" s="19"/>
      <c r="AU107" s="19"/>
      <c r="AV107" s="19"/>
      <c r="AW107" s="19"/>
      <c r="AX107" s="19"/>
      <c r="AY107" s="19"/>
      <c r="AZ107" s="19"/>
      <c r="BA107" s="19"/>
      <c r="BB107" s="19"/>
      <c r="BC107" s="19"/>
      <c r="BD107" s="19"/>
      <c r="BE107" s="19"/>
      <c r="BF107" s="19"/>
      <c r="BG107" s="19"/>
      <c r="BH107" s="4"/>
      <c r="BI107" s="4">
        <f t="shared" si="6"/>
        <v>0</v>
      </c>
      <c r="BJ107" s="4">
        <f t="shared" si="7"/>
        <v>0</v>
      </c>
      <c r="BK107" s="4"/>
      <c r="BL107" s="3">
        <v>17</v>
      </c>
    </row>
    <row r="108" spans="1:64">
      <c r="A108" s="1">
        <v>18</v>
      </c>
      <c r="B108" s="4">
        <f t="shared" si="5"/>
        <v>0</v>
      </c>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4"/>
      <c r="BI108" s="4">
        <f t="shared" si="6"/>
        <v>0</v>
      </c>
      <c r="BJ108" s="4">
        <f t="shared" si="7"/>
        <v>0</v>
      </c>
      <c r="BK108" s="4"/>
      <c r="BL108" s="3">
        <v>18</v>
      </c>
    </row>
    <row r="109" spans="1:64">
      <c r="A109" s="1">
        <v>19</v>
      </c>
      <c r="B109" s="4">
        <f t="shared" si="5"/>
        <v>0</v>
      </c>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4"/>
      <c r="BI109" s="4">
        <f t="shared" si="6"/>
        <v>0</v>
      </c>
      <c r="BJ109" s="4">
        <f t="shared" si="7"/>
        <v>0</v>
      </c>
      <c r="BK109" s="4"/>
      <c r="BL109" s="3">
        <v>19</v>
      </c>
    </row>
    <row r="110" spans="1:64">
      <c r="A110" s="1">
        <v>20</v>
      </c>
      <c r="B110" s="4">
        <f t="shared" si="5"/>
        <v>0</v>
      </c>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4"/>
      <c r="BI110" s="4">
        <f t="shared" si="6"/>
        <v>0</v>
      </c>
      <c r="BJ110" s="4">
        <f t="shared" si="7"/>
        <v>0</v>
      </c>
      <c r="BK110" s="4"/>
      <c r="BL110" s="3">
        <v>20</v>
      </c>
    </row>
    <row r="111" spans="1:64">
      <c r="A111" s="1">
        <v>21</v>
      </c>
      <c r="B111" s="4">
        <f t="shared" si="5"/>
        <v>0</v>
      </c>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4"/>
      <c r="BI111" s="4">
        <f t="shared" si="6"/>
        <v>0</v>
      </c>
      <c r="BJ111" s="4">
        <f t="shared" si="7"/>
        <v>0</v>
      </c>
      <c r="BK111" s="4"/>
      <c r="BL111" s="3">
        <v>21</v>
      </c>
    </row>
    <row r="112" spans="1:64">
      <c r="A112" s="1">
        <v>22</v>
      </c>
      <c r="B112" s="4">
        <f t="shared" si="5"/>
        <v>0</v>
      </c>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4"/>
      <c r="BI112" s="4">
        <f t="shared" si="6"/>
        <v>0</v>
      </c>
      <c r="BJ112" s="4">
        <f t="shared" si="7"/>
        <v>0</v>
      </c>
      <c r="BK112" s="4"/>
      <c r="BL112" s="3">
        <v>22</v>
      </c>
    </row>
    <row r="113" spans="1:64">
      <c r="A113" s="1">
        <v>23</v>
      </c>
      <c r="B113" s="4">
        <f t="shared" si="5"/>
        <v>0</v>
      </c>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4"/>
      <c r="BI113" s="4">
        <f t="shared" si="6"/>
        <v>0</v>
      </c>
      <c r="BJ113" s="4">
        <f t="shared" si="7"/>
        <v>0</v>
      </c>
      <c r="BK113" s="4"/>
      <c r="BL113" s="3">
        <v>23</v>
      </c>
    </row>
    <row r="114" spans="1:64">
      <c r="A114" s="1">
        <v>24</v>
      </c>
      <c r="B114" s="4">
        <f t="shared" si="5"/>
        <v>0</v>
      </c>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4"/>
      <c r="BI114" s="4">
        <f t="shared" si="6"/>
        <v>0</v>
      </c>
      <c r="BJ114" s="4">
        <f t="shared" si="7"/>
        <v>0</v>
      </c>
      <c r="BK114" s="4"/>
      <c r="BL114" s="3">
        <v>24</v>
      </c>
    </row>
    <row r="115" spans="1:64">
      <c r="A115" s="1">
        <v>25</v>
      </c>
      <c r="B115" s="4">
        <f t="shared" si="5"/>
        <v>0</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4"/>
      <c r="BI115" s="4">
        <f t="shared" si="6"/>
        <v>0</v>
      </c>
      <c r="BJ115" s="4">
        <f t="shared" si="7"/>
        <v>0</v>
      </c>
      <c r="BK115" s="4"/>
      <c r="BL115" s="3">
        <v>25</v>
      </c>
    </row>
    <row r="116" spans="1:64">
      <c r="A116" s="1">
        <v>26</v>
      </c>
      <c r="B116" s="4">
        <f t="shared" si="5"/>
        <v>0</v>
      </c>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4"/>
      <c r="BI116" s="4">
        <f t="shared" si="6"/>
        <v>0</v>
      </c>
      <c r="BJ116" s="4">
        <f t="shared" si="7"/>
        <v>0</v>
      </c>
      <c r="BK116" s="4"/>
      <c r="BL116" s="3">
        <v>26</v>
      </c>
    </row>
    <row r="117" spans="1:64">
      <c r="A117" s="1">
        <v>27</v>
      </c>
      <c r="B117" s="4">
        <f t="shared" si="5"/>
        <v>0</v>
      </c>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4"/>
      <c r="BI117" s="4">
        <f t="shared" si="6"/>
        <v>0</v>
      </c>
      <c r="BJ117" s="4">
        <f t="shared" si="7"/>
        <v>0</v>
      </c>
      <c r="BK117" s="4"/>
      <c r="BL117" s="3">
        <v>27</v>
      </c>
    </row>
    <row r="118" spans="1:64">
      <c r="A118" s="1">
        <v>28</v>
      </c>
      <c r="B118" s="4">
        <f t="shared" si="5"/>
        <v>0</v>
      </c>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4"/>
      <c r="BI118" s="4">
        <f t="shared" si="6"/>
        <v>0</v>
      </c>
      <c r="BJ118" s="4">
        <f t="shared" si="7"/>
        <v>0</v>
      </c>
      <c r="BK118" s="4"/>
      <c r="BL118" s="3">
        <v>28</v>
      </c>
    </row>
    <row r="119" spans="1:64">
      <c r="A119" s="1">
        <v>29</v>
      </c>
      <c r="B119" s="4">
        <f t="shared" si="5"/>
        <v>0</v>
      </c>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4"/>
      <c r="BI119" s="4">
        <f t="shared" si="6"/>
        <v>0</v>
      </c>
      <c r="BJ119" s="4">
        <f t="shared" si="7"/>
        <v>0</v>
      </c>
      <c r="BK119" s="4"/>
      <c r="BL119" s="3">
        <v>29</v>
      </c>
    </row>
    <row r="120" spans="1:64">
      <c r="A120" s="1">
        <v>30</v>
      </c>
      <c r="B120" s="4">
        <f t="shared" si="5"/>
        <v>0</v>
      </c>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4"/>
      <c r="BI120" s="4">
        <f t="shared" si="6"/>
        <v>0</v>
      </c>
      <c r="BJ120" s="4">
        <f t="shared" si="7"/>
        <v>0</v>
      </c>
      <c r="BK120" s="4"/>
      <c r="BL120" s="3">
        <v>30</v>
      </c>
    </row>
    <row r="121" spans="1:64">
      <c r="A121" s="1">
        <v>31</v>
      </c>
      <c r="B121" s="4">
        <f t="shared" si="5"/>
        <v>0</v>
      </c>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4"/>
      <c r="BI121" s="4">
        <f t="shared" si="6"/>
        <v>0</v>
      </c>
      <c r="BJ121" s="4">
        <f t="shared" si="7"/>
        <v>0</v>
      </c>
      <c r="BK121" s="4"/>
      <c r="BL121" s="3">
        <v>31</v>
      </c>
    </row>
    <row r="122" spans="1:64">
      <c r="A122" s="1">
        <v>32</v>
      </c>
      <c r="B122" s="4">
        <f t="shared" si="5"/>
        <v>0</v>
      </c>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4"/>
      <c r="BI122" s="4">
        <f t="shared" si="6"/>
        <v>0</v>
      </c>
      <c r="BJ122" s="4">
        <f t="shared" si="7"/>
        <v>0</v>
      </c>
      <c r="BK122" s="4"/>
      <c r="BL122" s="3">
        <v>32</v>
      </c>
    </row>
    <row r="123" spans="1:64">
      <c r="A123" s="1">
        <v>33</v>
      </c>
      <c r="B123" s="4">
        <f t="shared" si="5"/>
        <v>0</v>
      </c>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4"/>
      <c r="BI123" s="4">
        <f t="shared" si="6"/>
        <v>0</v>
      </c>
      <c r="BJ123" s="4">
        <f t="shared" si="7"/>
        <v>0</v>
      </c>
      <c r="BK123" s="4"/>
      <c r="BL123" s="3">
        <v>33</v>
      </c>
    </row>
    <row r="124" spans="1:64">
      <c r="A124" s="1">
        <v>34</v>
      </c>
      <c r="B124" s="4">
        <f t="shared" si="5"/>
        <v>0</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4"/>
      <c r="BI124" s="4">
        <f t="shared" si="6"/>
        <v>0</v>
      </c>
      <c r="BJ124" s="4">
        <f t="shared" si="7"/>
        <v>0</v>
      </c>
      <c r="BK124" s="4"/>
      <c r="BL124" s="3">
        <v>34</v>
      </c>
    </row>
    <row r="125" spans="1:64">
      <c r="A125" s="1">
        <v>35</v>
      </c>
      <c r="B125" s="4">
        <f t="shared" si="5"/>
        <v>0</v>
      </c>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4"/>
      <c r="BI125" s="4">
        <f t="shared" si="6"/>
        <v>0</v>
      </c>
      <c r="BJ125" s="4">
        <f t="shared" si="7"/>
        <v>0</v>
      </c>
      <c r="BK125" s="4"/>
      <c r="BL125" s="3">
        <v>35</v>
      </c>
    </row>
    <row r="126" spans="1:64">
      <c r="A126" s="1">
        <v>36</v>
      </c>
      <c r="B126" s="4">
        <f t="shared" si="5"/>
        <v>0</v>
      </c>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4"/>
      <c r="BI126" s="4">
        <f t="shared" si="6"/>
        <v>0</v>
      </c>
      <c r="BJ126" s="4">
        <f t="shared" si="7"/>
        <v>0</v>
      </c>
      <c r="BK126" s="4"/>
      <c r="BL126" s="3">
        <v>36</v>
      </c>
    </row>
    <row r="127" spans="1:64">
      <c r="A127" s="1">
        <v>37</v>
      </c>
      <c r="B127" s="4">
        <f t="shared" si="5"/>
        <v>0</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4"/>
      <c r="BI127" s="4">
        <f t="shared" si="6"/>
        <v>0</v>
      </c>
      <c r="BJ127" s="4">
        <f t="shared" si="7"/>
        <v>0</v>
      </c>
      <c r="BK127" s="4"/>
      <c r="BL127" s="3">
        <v>37</v>
      </c>
    </row>
    <row r="128" spans="1:64">
      <c r="A128" s="1">
        <v>38</v>
      </c>
      <c r="B128" s="4"/>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4"/>
      <c r="BI128" s="4">
        <f t="shared" si="6"/>
        <v>0</v>
      </c>
      <c r="BJ128" s="4">
        <f t="shared" si="7"/>
        <v>0</v>
      </c>
      <c r="BK128" s="4"/>
      <c r="BL128" s="3">
        <v>38</v>
      </c>
    </row>
    <row r="138" spans="1:64" ht="13.5" customHeight="1"/>
    <row r="139" spans="1:64" ht="14.4" customHeight="1">
      <c r="A139" s="87"/>
      <c r="B139" s="86"/>
      <c r="BI139" s="239"/>
      <c r="BJ139" s="186"/>
      <c r="BK139" s="79"/>
      <c r="BL139" s="79"/>
    </row>
    <row r="140" spans="1:64" ht="21.75" customHeight="1">
      <c r="A140" s="87"/>
      <c r="B140" s="86"/>
      <c r="BI140" s="85"/>
      <c r="BJ140" s="85"/>
      <c r="BK140" s="79"/>
      <c r="BL140" s="79"/>
    </row>
  </sheetData>
  <mergeCells count="16">
    <mergeCell ref="BI139:BJ139"/>
    <mergeCell ref="BI1:BJ1"/>
    <mergeCell ref="B1:B2"/>
    <mergeCell ref="A89:A90"/>
    <mergeCell ref="BK1:BL2"/>
    <mergeCell ref="B89:B90"/>
    <mergeCell ref="C1:BH1"/>
    <mergeCell ref="BI89:BJ89"/>
    <mergeCell ref="BI44:BJ44"/>
    <mergeCell ref="B44:B45"/>
    <mergeCell ref="A44:A45"/>
    <mergeCell ref="A1:A2"/>
    <mergeCell ref="BK89:BK90"/>
    <mergeCell ref="C44:BH44"/>
    <mergeCell ref="C89:BH89"/>
    <mergeCell ref="BK44:BK45"/>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ASIGNATURA___&amp;UTECNOLOGIA - INGLES&amp;U_- &amp;UARTISTICA________&amp;U
AÑO_&amp;U2025&amp;U_____   AULA_  &amp;U_______9°_______&amp;U                    NOMBRE DEL PROF./A CONSEJERO/A: _&amp;U_________________&amp;U__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7">
    <tabColor rgb="FF4472C4"/>
  </sheetPr>
  <dimension ref="A1:EE49"/>
  <sheetViews>
    <sheetView view="pageLayout" zoomScale="70" zoomScaleNormal="100" zoomScalePageLayoutView="70" workbookViewId="0"/>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89</v>
      </c>
      <c r="BQ1" s="251"/>
      <c r="BR1" s="251"/>
      <c r="BS1" s="251"/>
      <c r="BT1" s="251"/>
      <c r="BU1" s="251"/>
      <c r="BV1" s="251"/>
      <c r="BW1" s="251"/>
      <c r="BX1" s="251"/>
      <c r="BY1" s="251"/>
      <c r="BZ1" s="251"/>
      <c r="CA1" s="251"/>
      <c r="CB1" s="251"/>
      <c r="CC1" s="251"/>
      <c r="CD1" s="251"/>
      <c r="CE1" s="251"/>
      <c r="CF1" s="241"/>
      <c r="CG1" s="263" t="s">
        <v>90</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25"/>
      <c r="H4" s="25"/>
      <c r="I4" s="25"/>
      <c r="J4" s="25"/>
      <c r="K4" s="25"/>
      <c r="L4" s="25"/>
      <c r="M4" s="25"/>
      <c r="N4" s="25"/>
      <c r="O4" s="25"/>
      <c r="P4" s="243"/>
      <c r="Q4" s="61"/>
      <c r="R4" s="25"/>
      <c r="S4" s="25"/>
      <c r="T4" s="25"/>
      <c r="U4" s="25"/>
      <c r="V4" s="25"/>
      <c r="W4" s="25"/>
      <c r="X4" s="25"/>
      <c r="Y4" s="25"/>
      <c r="Z4" s="25"/>
      <c r="AA4" s="243"/>
      <c r="AB4" s="247"/>
      <c r="AC4" s="248"/>
      <c r="AD4" s="243"/>
      <c r="AE4" s="243"/>
      <c r="AF4" s="247"/>
      <c r="AG4" s="248"/>
      <c r="AH4" s="243"/>
      <c r="AI4" s="247"/>
      <c r="AJ4" s="248"/>
      <c r="AK4" s="25"/>
      <c r="AL4" s="25"/>
      <c r="AM4" s="25"/>
      <c r="AN4" s="25"/>
      <c r="AO4" s="25"/>
      <c r="AP4" s="25"/>
      <c r="AQ4" s="25"/>
      <c r="AR4" s="25"/>
      <c r="AS4" s="25"/>
      <c r="AT4" s="25"/>
      <c r="AU4" s="25"/>
      <c r="AV4" s="25"/>
      <c r="AW4" s="70"/>
      <c r="AX4" s="243"/>
      <c r="AY4" s="25"/>
      <c r="AZ4" s="25"/>
      <c r="BA4" s="25"/>
      <c r="BB4" s="25"/>
      <c r="BC4" s="25"/>
      <c r="BD4" s="25"/>
      <c r="BE4" s="25"/>
      <c r="BF4" s="25"/>
      <c r="BG4" s="25"/>
      <c r="BH4" s="25"/>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25"/>
      <c r="CL4" s="25"/>
      <c r="CM4" s="25"/>
      <c r="CN4" s="25"/>
      <c r="CO4" s="25"/>
      <c r="CP4" s="2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75">
        <f>MAESTRO!B5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TRUNC(AVERAGE(AX5,BI5,BL5),1)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TRUNC(AVERAGE(CF5,CT5,CQ5),1)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MAESTRO!B6</f>
        <v>0</v>
      </c>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MAESTRO!B7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MAESTRO!B8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MAESTRO!B9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MAESTRO!B10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MAESTRO!B11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MAESTRO!B12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MAESTRO!B13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MAESTRO!B14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MAESTRO!B15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MAESTRO!B16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MAESTRO!B17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MAESTRO!B18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MAESTRO!B19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2" customHeight="1">
      <c r="A20" s="4">
        <v>16</v>
      </c>
      <c r="B20" s="10">
        <f>MAESTRO!B20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2" customHeight="1">
      <c r="A21" s="4">
        <v>17</v>
      </c>
      <c r="B21" s="10">
        <f>MAESTRO!B21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MAESTRO!B22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MAESTRO!B23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10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MAESTRO!B24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10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MAESTRO!B25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10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MAESTRO!B26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10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5"/>
      <c r="BT26" s="5"/>
      <c r="BU26" s="5"/>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MAESTRO!B27</f>
        <v>0</v>
      </c>
      <c r="C27" s="5"/>
      <c r="D27" s="5"/>
      <c r="E27" s="5"/>
      <c r="F27" s="5"/>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10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5"/>
      <c r="BT27" s="5"/>
      <c r="BU27" s="5"/>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MAESTRO!B28</f>
        <v>0</v>
      </c>
      <c r="C28" s="5"/>
      <c r="D28" s="5"/>
      <c r="E28" s="5"/>
      <c r="F28" s="5"/>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65"/>
      <c r="AM28" s="105"/>
      <c r="AN28" s="65"/>
      <c r="AO28" s="6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5"/>
      <c r="BT28" s="5"/>
      <c r="BU28" s="5"/>
      <c r="BV28" s="5"/>
      <c r="BW28" s="5"/>
      <c r="BX28" s="5"/>
      <c r="BY28" s="5"/>
      <c r="BZ28" s="5"/>
      <c r="CA28" s="5"/>
      <c r="CB28" s="5"/>
      <c r="CC28" s="5"/>
      <c r="CD28" s="5"/>
      <c r="CE28" s="5"/>
      <c r="CF28" s="5" t="e">
        <f t="shared" si="10"/>
        <v>#DIV/0!</v>
      </c>
      <c r="CG28" s="5"/>
      <c r="CH28" s="5"/>
      <c r="CI28" s="5"/>
      <c r="CJ28" s="5"/>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MAESTRO!B29</f>
        <v>0</v>
      </c>
      <c r="C29" s="5"/>
      <c r="D29" s="5"/>
      <c r="E29" s="5"/>
      <c r="F29" s="5"/>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65"/>
      <c r="AL29" s="65"/>
      <c r="AM29" s="105"/>
      <c r="AN29" s="65"/>
      <c r="AO29" s="65"/>
      <c r="AP29" s="105"/>
      <c r="AQ29" s="10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5"/>
      <c r="BT29" s="5"/>
      <c r="BU29" s="5"/>
      <c r="BV29" s="5"/>
      <c r="BW29" s="5"/>
      <c r="BX29" s="5"/>
      <c r="BY29" s="5"/>
      <c r="BZ29" s="5"/>
      <c r="CA29" s="5"/>
      <c r="CB29" s="5"/>
      <c r="CC29" s="5"/>
      <c r="CD29" s="5"/>
      <c r="CE29" s="5"/>
      <c r="CF29" s="5" t="e">
        <f t="shared" si="10"/>
        <v>#DIV/0!</v>
      </c>
      <c r="CG29" s="5"/>
      <c r="CH29" s="5"/>
      <c r="CI29" s="5"/>
      <c r="CJ29" s="5"/>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MAESTRO!B30</f>
        <v>0</v>
      </c>
      <c r="C30" s="5"/>
      <c r="D30" s="5"/>
      <c r="E30" s="5"/>
      <c r="F30" s="5"/>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65"/>
      <c r="AL30" s="65"/>
      <c r="AM30" s="105"/>
      <c r="AN30" s="65"/>
      <c r="AO30" s="65"/>
      <c r="AP30" s="105"/>
      <c r="AQ30" s="10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5"/>
      <c r="BT30" s="5"/>
      <c r="BU30" s="5"/>
      <c r="BV30" s="5"/>
      <c r="BW30" s="5"/>
      <c r="BX30" s="5"/>
      <c r="BY30" s="5"/>
      <c r="BZ30" s="5"/>
      <c r="CA30" s="5"/>
      <c r="CB30" s="5"/>
      <c r="CC30" s="5"/>
      <c r="CD30" s="5"/>
      <c r="CE30" s="5"/>
      <c r="CF30" s="5" t="e">
        <f t="shared" si="10"/>
        <v>#DIV/0!</v>
      </c>
      <c r="CG30" s="5"/>
      <c r="CH30" s="5"/>
      <c r="CI30" s="5"/>
      <c r="CJ30" s="5"/>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MAESTRO!B31</f>
        <v>0</v>
      </c>
      <c r="C31" s="103"/>
      <c r="D31" s="104"/>
      <c r="E31" s="103"/>
      <c r="F31" s="103"/>
      <c r="G31" s="103"/>
      <c r="H31" s="5"/>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65"/>
      <c r="AL31" s="65"/>
      <c r="AM31" s="105"/>
      <c r="AN31" s="65"/>
      <c r="AO31" s="65"/>
      <c r="AP31" s="105"/>
      <c r="AQ31" s="10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103"/>
      <c r="BW31" s="104"/>
      <c r="BX31" s="5"/>
      <c r="BY31" s="5"/>
      <c r="BZ31" s="5"/>
      <c r="CA31" s="5"/>
      <c r="CB31" s="5"/>
      <c r="CC31" s="5"/>
      <c r="CD31" s="5"/>
      <c r="CE31" s="5"/>
      <c r="CF31" s="5" t="e">
        <f t="shared" si="10"/>
        <v>#DIV/0!</v>
      </c>
      <c r="CG31" s="5"/>
      <c r="CH31" s="5"/>
      <c r="CI31" s="5"/>
      <c r="CJ31" s="5"/>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MAESTRO!B32</f>
        <v>0</v>
      </c>
      <c r="C32" s="103"/>
      <c r="D32" s="104"/>
      <c r="E32" s="103"/>
      <c r="F32" s="103"/>
      <c r="G32" s="103"/>
      <c r="H32" s="5"/>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65"/>
      <c r="AL32" s="65"/>
      <c r="AM32" s="105"/>
      <c r="AN32" s="65"/>
      <c r="AO32" s="65"/>
      <c r="AP32" s="105"/>
      <c r="AQ32" s="10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103"/>
      <c r="BW32" s="104"/>
      <c r="BX32" s="5"/>
      <c r="BY32" s="5"/>
      <c r="BZ32" s="5"/>
      <c r="CA32" s="5"/>
      <c r="CB32" s="5"/>
      <c r="CC32" s="5"/>
      <c r="CD32" s="5"/>
      <c r="CE32" s="5"/>
      <c r="CF32" s="5" t="e">
        <f t="shared" si="10"/>
        <v>#DIV/0!</v>
      </c>
      <c r="CG32" s="5"/>
      <c r="CH32" s="5"/>
      <c r="CI32" s="5"/>
      <c r="CJ32" s="5"/>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MAESTRO!B33</f>
        <v>0</v>
      </c>
      <c r="C33" s="103"/>
      <c r="D33" s="104"/>
      <c r="E33" s="103"/>
      <c r="F33" s="103"/>
      <c r="G33" s="103"/>
      <c r="H33" s="5"/>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65"/>
      <c r="AL33" s="65"/>
      <c r="AM33" s="105"/>
      <c r="AN33" s="65"/>
      <c r="AO33" s="105"/>
      <c r="AP33" s="105"/>
      <c r="AQ33" s="10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103"/>
      <c r="BW33" s="104"/>
      <c r="BX33" s="5"/>
      <c r="BY33" s="5"/>
      <c r="BZ33" s="5"/>
      <c r="CA33" s="5"/>
      <c r="CB33" s="5"/>
      <c r="CC33" s="5"/>
      <c r="CD33" s="5"/>
      <c r="CE33" s="5"/>
      <c r="CF33" s="5" t="e">
        <f t="shared" si="10"/>
        <v>#DIV/0!</v>
      </c>
      <c r="CG33" s="5"/>
      <c r="CH33" s="5"/>
      <c r="CI33" s="5"/>
      <c r="CJ33" s="5"/>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MAESTRO!B34</f>
        <v>0</v>
      </c>
      <c r="C34" s="103"/>
      <c r="D34" s="104"/>
      <c r="E34" s="103"/>
      <c r="F34" s="103"/>
      <c r="G34" s="103"/>
      <c r="H34" s="5"/>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65"/>
      <c r="AL34" s="65"/>
      <c r="AM34" s="105"/>
      <c r="AN34" s="65"/>
      <c r="AO34" s="105"/>
      <c r="AP34" s="105"/>
      <c r="AQ34" s="10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103"/>
      <c r="BW34" s="104"/>
      <c r="BX34" s="5"/>
      <c r="BY34" s="5"/>
      <c r="BZ34" s="5"/>
      <c r="CA34" s="5"/>
      <c r="CB34" s="5"/>
      <c r="CC34" s="5"/>
      <c r="CD34" s="5"/>
      <c r="CE34" s="5"/>
      <c r="CF34" s="5" t="e">
        <f t="shared" si="10"/>
        <v>#DIV/0!</v>
      </c>
      <c r="CG34" s="5"/>
      <c r="CH34" s="5"/>
      <c r="CI34" s="5"/>
      <c r="CJ34" s="5"/>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MAESTRO!B35</f>
        <v>0</v>
      </c>
      <c r="C35" s="103"/>
      <c r="D35" s="104"/>
      <c r="E35" s="103"/>
      <c r="F35" s="103"/>
      <c r="G35" s="103"/>
      <c r="H35" s="5"/>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65"/>
      <c r="AL35" s="65"/>
      <c r="AM35" s="105"/>
      <c r="AN35" s="105"/>
      <c r="AO35" s="105"/>
      <c r="AP35" s="105"/>
      <c r="AQ35" s="10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103"/>
      <c r="BW35" s="104"/>
      <c r="BX35" s="5"/>
      <c r="BY35" s="5"/>
      <c r="BZ35" s="5"/>
      <c r="CA35" s="5"/>
      <c r="CB35" s="5"/>
      <c r="CC35" s="5"/>
      <c r="CD35" s="5"/>
      <c r="CE35" s="5"/>
      <c r="CF35" s="5" t="e">
        <f t="shared" si="10"/>
        <v>#DIV/0!</v>
      </c>
      <c r="CG35" s="5"/>
      <c r="CH35" s="5"/>
      <c r="CI35" s="5"/>
      <c r="CJ35" s="5"/>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MAESTRO!B36</f>
        <v>0</v>
      </c>
      <c r="C36" s="103"/>
      <c r="D36" s="104"/>
      <c r="E36" s="103"/>
      <c r="F36" s="103"/>
      <c r="G36" s="103"/>
      <c r="H36" s="5"/>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105"/>
      <c r="AQ36" s="10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103"/>
      <c r="BW36" s="104"/>
      <c r="BX36" s="5"/>
      <c r="BY36" s="5"/>
      <c r="BZ36" s="5"/>
      <c r="CA36" s="5"/>
      <c r="CB36" s="5"/>
      <c r="CC36" s="5"/>
      <c r="CD36" s="5"/>
      <c r="CE36" s="5"/>
      <c r="CF36" s="5" t="e">
        <f t="shared" si="10"/>
        <v>#DIV/0!</v>
      </c>
      <c r="CG36" s="5"/>
      <c r="CH36" s="5"/>
      <c r="CI36" s="5"/>
      <c r="CJ36" s="5"/>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MAESTRO!B37</f>
        <v>0</v>
      </c>
      <c r="C37" s="103"/>
      <c r="D37" s="104"/>
      <c r="E37" s="103"/>
      <c r="F37" s="103"/>
      <c r="G37" s="103"/>
      <c r="H37" s="5"/>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105"/>
      <c r="AQ37" s="10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103"/>
      <c r="BW37" s="104"/>
      <c r="BX37" s="5"/>
      <c r="BY37" s="5"/>
      <c r="BZ37" s="5"/>
      <c r="CA37" s="5"/>
      <c r="CB37" s="5"/>
      <c r="CC37" s="5"/>
      <c r="CD37" s="5"/>
      <c r="CE37" s="5"/>
      <c r="CF37" s="5" t="e">
        <f t="shared" si="10"/>
        <v>#DIV/0!</v>
      </c>
      <c r="CG37" s="5"/>
      <c r="CH37" s="5"/>
      <c r="CI37" s="5"/>
      <c r="CJ37" s="5"/>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MAESTRO!B38</f>
        <v>0</v>
      </c>
      <c r="C38" s="103"/>
      <c r="D38" s="104"/>
      <c r="E38" s="103"/>
      <c r="F38" s="103"/>
      <c r="G38" s="103"/>
      <c r="H38" s="5"/>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105"/>
      <c r="AQ38" s="10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103"/>
      <c r="BW38" s="104"/>
      <c r="BX38" s="5"/>
      <c r="BY38" s="5"/>
      <c r="BZ38" s="5"/>
      <c r="CA38" s="5"/>
      <c r="CB38" s="5"/>
      <c r="CC38" s="5"/>
      <c r="CD38" s="5"/>
      <c r="CE38" s="5"/>
      <c r="CF38" s="5" t="e">
        <f t="shared" si="10"/>
        <v>#DIV/0!</v>
      </c>
      <c r="CG38" s="5"/>
      <c r="CH38" s="5"/>
      <c r="CI38" s="5"/>
      <c r="CJ38" s="5"/>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MAESTRO!B39</f>
        <v>0</v>
      </c>
      <c r="C39" s="103"/>
      <c r="D39" s="104"/>
      <c r="E39" s="103"/>
      <c r="F39" s="103"/>
      <c r="G39" s="103"/>
      <c r="H39" s="5"/>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105"/>
      <c r="AQ39" s="10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103"/>
      <c r="BW39" s="104"/>
      <c r="BX39" s="5"/>
      <c r="BY39" s="5"/>
      <c r="BZ39" s="5"/>
      <c r="CA39" s="5"/>
      <c r="CB39" s="5"/>
      <c r="CC39" s="5"/>
      <c r="CD39" s="5"/>
      <c r="CE39" s="5"/>
      <c r="CF39" s="5" t="e">
        <f t="shared" si="10"/>
        <v>#DIV/0!</v>
      </c>
      <c r="CG39" s="5"/>
      <c r="CH39" s="5"/>
      <c r="CI39" s="5"/>
      <c r="CJ39" s="5"/>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MAESTRO!B40</f>
        <v>0</v>
      </c>
      <c r="C40" s="103"/>
      <c r="D40" s="104"/>
      <c r="E40" s="103"/>
      <c r="F40" s="103"/>
      <c r="G40" s="103"/>
      <c r="H40" s="5"/>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105"/>
      <c r="AQ40" s="10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103"/>
      <c r="BW40" s="104"/>
      <c r="BX40" s="5"/>
      <c r="BY40" s="5"/>
      <c r="BZ40" s="5"/>
      <c r="CA40" s="5"/>
      <c r="CB40" s="5"/>
      <c r="CC40" s="5"/>
      <c r="CD40" s="5"/>
      <c r="CE40" s="5"/>
      <c r="CF40" s="5" t="e">
        <f t="shared" si="10"/>
        <v>#DIV/0!</v>
      </c>
      <c r="CG40" s="5"/>
      <c r="CH40" s="5"/>
      <c r="CI40" s="5"/>
      <c r="CJ40" s="5"/>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MAESTRO!B41</f>
        <v>0</v>
      </c>
      <c r="C41" s="103"/>
      <c r="D41" s="104"/>
      <c r="E41" s="103"/>
      <c r="F41" s="103"/>
      <c r="G41" s="103"/>
      <c r="H41" s="5"/>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105"/>
      <c r="AQ41" s="10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103"/>
      <c r="BW41" s="104"/>
      <c r="BX41" s="5"/>
      <c r="BY41" s="5"/>
      <c r="BZ41" s="5"/>
      <c r="CA41" s="5"/>
      <c r="CB41" s="5"/>
      <c r="CC41" s="5"/>
      <c r="CD41" s="5"/>
      <c r="CE41" s="5"/>
      <c r="CF41" s="5" t="e">
        <f t="shared" si="10"/>
        <v>#DIV/0!</v>
      </c>
      <c r="CG41" s="5"/>
      <c r="CH41" s="5"/>
      <c r="CI41" s="5"/>
      <c r="CJ41" s="5"/>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MAESTRO!B42</f>
        <v>0</v>
      </c>
      <c r="C42" s="103"/>
      <c r="D42" s="104"/>
      <c r="E42" s="103"/>
      <c r="F42" s="103"/>
      <c r="G42" s="103"/>
      <c r="H42" s="5"/>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105"/>
      <c r="AQ42" s="10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103"/>
      <c r="BW42" s="104"/>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MAESTRO!B43</f>
        <v>0</v>
      </c>
      <c r="C43" s="103"/>
      <c r="D43" s="104"/>
      <c r="E43" s="103"/>
      <c r="F43" s="103"/>
      <c r="G43" s="103"/>
      <c r="H43" s="5"/>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105"/>
      <c r="AQ43" s="10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103"/>
      <c r="BW43" s="104"/>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MAESTRO!B44</f>
        <v>0</v>
      </c>
      <c r="C44" s="103"/>
      <c r="D44" s="104"/>
      <c r="E44" s="103"/>
      <c r="F44" s="103"/>
      <c r="G44" s="103"/>
      <c r="H44" s="93"/>
      <c r="I44" s="93"/>
      <c r="J44" s="93"/>
      <c r="K44" s="93"/>
      <c r="L44" s="93"/>
      <c r="M44" s="93"/>
      <c r="N44" s="93"/>
      <c r="O44" s="93"/>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105"/>
      <c r="AQ44" s="105"/>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103"/>
      <c r="BW44" s="104"/>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4"/>
      <c r="E45" s="103"/>
      <c r="F45" s="103"/>
      <c r="G45" s="103"/>
      <c r="H45" s="93"/>
      <c r="I45" s="93"/>
      <c r="J45" s="93"/>
      <c r="K45" s="93"/>
      <c r="L45" s="93"/>
      <c r="M45" s="93"/>
      <c r="N45" s="93"/>
      <c r="O45" s="93"/>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105"/>
      <c r="AQ45" s="105"/>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103"/>
      <c r="BW45" s="104"/>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4"/>
      <c r="E46" s="103"/>
      <c r="F46" s="103"/>
      <c r="G46" s="103"/>
      <c r="H46" s="93"/>
      <c r="I46" s="93"/>
      <c r="J46" s="93"/>
      <c r="K46" s="93"/>
      <c r="L46" s="93"/>
      <c r="M46" s="93"/>
      <c r="N46" s="93"/>
      <c r="O46" s="93"/>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105"/>
      <c r="AQ46" s="105"/>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103"/>
      <c r="BW46" s="104"/>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4"/>
      <c r="E47" s="103"/>
      <c r="F47" s="103"/>
      <c r="G47" s="103"/>
      <c r="H47" s="93"/>
      <c r="I47" s="93"/>
      <c r="J47" s="93"/>
      <c r="K47" s="93"/>
      <c r="L47" s="93"/>
      <c r="M47" s="93"/>
      <c r="N47" s="93"/>
      <c r="O47" s="93"/>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105"/>
      <c r="AQ47" s="105"/>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103"/>
      <c r="BW47" s="104"/>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4"/>
      <c r="E48" s="103"/>
      <c r="F48" s="103"/>
      <c r="G48" s="103"/>
      <c r="H48" s="93"/>
      <c r="I48" s="93"/>
      <c r="J48" s="93"/>
      <c r="K48" s="93"/>
      <c r="L48" s="93"/>
      <c r="M48" s="93"/>
      <c r="N48" s="93"/>
      <c r="O48" s="93"/>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105"/>
      <c r="AQ48" s="105"/>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7">
        <v>44</v>
      </c>
      <c r="BQ48" s="255"/>
      <c r="BR48" s="241"/>
      <c r="BS48" s="103"/>
      <c r="BT48" s="103"/>
      <c r="BU48" s="103"/>
      <c r="BV48" s="103"/>
      <c r="BW48" s="104"/>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90">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1"/>
      <c r="D49" s="92"/>
      <c r="E49" s="91"/>
      <c r="F49" s="91"/>
      <c r="G49" s="91"/>
      <c r="H49" s="91"/>
      <c r="I49" s="91"/>
      <c r="J49" s="91"/>
      <c r="K49" s="91"/>
      <c r="L49" s="91"/>
      <c r="M49" s="91"/>
      <c r="N49" s="91"/>
      <c r="O49" s="91"/>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53"/>
      <c r="AN49" s="53"/>
      <c r="AO49" s="53"/>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59">
        <v>45</v>
      </c>
      <c r="BQ49" s="186"/>
      <c r="BR49" s="186"/>
      <c r="BU49" s="96"/>
      <c r="BV49" s="96"/>
      <c r="CF49" s="51"/>
      <c r="CY49" s="186"/>
      <c r="CZ49" s="186"/>
      <c r="DA49" s="51"/>
      <c r="DB49" s="51"/>
      <c r="DC49" s="51"/>
      <c r="DD49" s="51"/>
      <c r="DE49" s="51"/>
      <c r="DF49" s="51"/>
      <c r="DG49" s="51"/>
      <c r="DH49" s="51"/>
      <c r="DI49" s="51"/>
      <c r="DJ49" s="51"/>
      <c r="DK49" s="51"/>
      <c r="DL49" s="51"/>
      <c r="DM49" s="51"/>
      <c r="DN49" s="51"/>
      <c r="EB49" s="51"/>
      <c r="EC49" s="51"/>
    </row>
  </sheetData>
  <mergeCells count="192">
    <mergeCell ref="AI23:AJ23"/>
    <mergeCell ref="R2:AG2"/>
    <mergeCell ref="AI49:AJ49"/>
    <mergeCell ref="AI36:AJ36"/>
    <mergeCell ref="BQ16:BR16"/>
    <mergeCell ref="CY16:CZ16"/>
    <mergeCell ref="AI45:AJ45"/>
    <mergeCell ref="BQ25:BR25"/>
    <mergeCell ref="CY46:CZ46"/>
    <mergeCell ref="A2:P2"/>
    <mergeCell ref="ED3:EE4"/>
    <mergeCell ref="AI8:AJ8"/>
    <mergeCell ref="AI17:AJ17"/>
    <mergeCell ref="CX3:CX4"/>
    <mergeCell ref="BQ40:BR40"/>
    <mergeCell ref="CY28:CZ28"/>
    <mergeCell ref="BQ37:BR37"/>
    <mergeCell ref="CY37:CZ37"/>
    <mergeCell ref="AI10:AJ10"/>
    <mergeCell ref="BQ24:BR24"/>
    <mergeCell ref="BP2:CF2"/>
    <mergeCell ref="CX2:DN2"/>
    <mergeCell ref="AI20:AJ20"/>
    <mergeCell ref="CY9:CZ9"/>
    <mergeCell ref="CY45:CZ45"/>
    <mergeCell ref="AA3:AA4"/>
    <mergeCell ref="A1:P1"/>
    <mergeCell ref="CY3:CZ4"/>
    <mergeCell ref="BQ21:BR21"/>
    <mergeCell ref="CY21:CZ21"/>
    <mergeCell ref="AI16:AJ16"/>
    <mergeCell ref="CV3:CW4"/>
    <mergeCell ref="AE3:AE4"/>
    <mergeCell ref="BI3:BI4"/>
    <mergeCell ref="R1:AG1"/>
    <mergeCell ref="CY6:CZ6"/>
    <mergeCell ref="AH2:AX2"/>
    <mergeCell ref="AI3:AJ4"/>
    <mergeCell ref="A3:A4"/>
    <mergeCell ref="R3:Z3"/>
    <mergeCell ref="AH1:AX1"/>
    <mergeCell ref="CY20:CZ20"/>
    <mergeCell ref="AK3:AW3"/>
    <mergeCell ref="BQ11:BR11"/>
    <mergeCell ref="AI12:AJ12"/>
    <mergeCell ref="AY1:BO1"/>
    <mergeCell ref="AI21:AJ21"/>
    <mergeCell ref="AI14:AJ14"/>
    <mergeCell ref="AI18:AJ18"/>
    <mergeCell ref="CY13:CZ13"/>
    <mergeCell ref="BQ7:BR7"/>
    <mergeCell ref="AI33:AJ33"/>
    <mergeCell ref="CY7:CZ7"/>
    <mergeCell ref="AI42:AJ42"/>
    <mergeCell ref="CY43:CZ43"/>
    <mergeCell ref="CY40:CZ40"/>
    <mergeCell ref="CY27:CZ27"/>
    <mergeCell ref="BQ34:BR34"/>
    <mergeCell ref="AI34:AJ34"/>
    <mergeCell ref="AI28:AJ28"/>
    <mergeCell ref="CY24:CZ24"/>
    <mergeCell ref="AI19:AJ19"/>
    <mergeCell ref="AI9:AJ9"/>
    <mergeCell ref="CY10:CZ10"/>
    <mergeCell ref="BQ26:BR26"/>
    <mergeCell ref="CY29:CZ29"/>
    <mergeCell ref="AI22:AJ22"/>
    <mergeCell ref="BQ42:BR42"/>
    <mergeCell ref="AI37:AJ37"/>
    <mergeCell ref="AI31:AJ31"/>
    <mergeCell ref="BQ43:BR43"/>
    <mergeCell ref="CY35:CZ35"/>
    <mergeCell ref="AX3:AX4"/>
    <mergeCell ref="DA3:DM3"/>
    <mergeCell ref="CG2:CW2"/>
    <mergeCell ref="BQ31:BR31"/>
    <mergeCell ref="AI26:AJ26"/>
    <mergeCell ref="AF3:AG4"/>
    <mergeCell ref="CY12:CZ12"/>
    <mergeCell ref="AI7:AJ7"/>
    <mergeCell ref="AI44:AJ44"/>
    <mergeCell ref="CQ3:CQ4"/>
    <mergeCell ref="BQ36:BR36"/>
    <mergeCell ref="AI30:AJ30"/>
    <mergeCell ref="BQ33:BR33"/>
    <mergeCell ref="AI6:AJ6"/>
    <mergeCell ref="BQ20:BR20"/>
    <mergeCell ref="AI11:AJ11"/>
    <mergeCell ref="CY25:CZ25"/>
    <mergeCell ref="AY3:BH3"/>
    <mergeCell ref="CY30:CZ30"/>
    <mergeCell ref="BQ32:BR32"/>
    <mergeCell ref="AI27:AJ27"/>
    <mergeCell ref="CY41:CZ41"/>
    <mergeCell ref="AI43:AJ43"/>
    <mergeCell ref="BQ23:BR23"/>
    <mergeCell ref="CY49:CZ49"/>
    <mergeCell ref="CY18:CZ18"/>
    <mergeCell ref="BP3:BP4"/>
    <mergeCell ref="BQ5:BR5"/>
    <mergeCell ref="AU44:AV44"/>
    <mergeCell ref="AI40:AJ40"/>
    <mergeCell ref="AI15:AJ15"/>
    <mergeCell ref="BQ29:BR29"/>
    <mergeCell ref="AI24:AJ24"/>
    <mergeCell ref="BQ46:BR46"/>
    <mergeCell ref="BQ48:BR48"/>
    <mergeCell ref="BQ49:BR49"/>
    <mergeCell ref="BQ35:BR35"/>
    <mergeCell ref="CY5:CZ5"/>
    <mergeCell ref="CY34:CZ34"/>
    <mergeCell ref="BQ22:BR22"/>
    <mergeCell ref="AI32:AJ32"/>
    <mergeCell ref="BQ12:BR12"/>
    <mergeCell ref="CY11:CZ11"/>
    <mergeCell ref="AI46:AJ46"/>
    <mergeCell ref="BL3:BL4"/>
    <mergeCell ref="AI47:AJ47"/>
    <mergeCell ref="CY32:CZ32"/>
    <mergeCell ref="BQ39:BR39"/>
    <mergeCell ref="AI48:AJ48"/>
    <mergeCell ref="BQ28:BR28"/>
    <mergeCell ref="AI29:AJ29"/>
    <mergeCell ref="BQ9:BR9"/>
    <mergeCell ref="B3:B4"/>
    <mergeCell ref="AI38:AJ38"/>
    <mergeCell ref="CY39:CZ39"/>
    <mergeCell ref="BQ3:BR4"/>
    <mergeCell ref="CY36:CZ36"/>
    <mergeCell ref="AB3:AC4"/>
    <mergeCell ref="C3:O3"/>
    <mergeCell ref="P3:P4"/>
    <mergeCell ref="AD3:AD4"/>
    <mergeCell ref="BQ14:BR14"/>
    <mergeCell ref="BN3:BO4"/>
    <mergeCell ref="CY42:CZ42"/>
    <mergeCell ref="AH3:AH4"/>
    <mergeCell ref="CY47:CZ47"/>
    <mergeCell ref="BQ38:BR38"/>
    <mergeCell ref="CY48:CZ48"/>
    <mergeCell ref="BQ30:BR30"/>
    <mergeCell ref="BJ3:BK4"/>
    <mergeCell ref="BQ45:BR45"/>
    <mergeCell ref="CF3:CF4"/>
    <mergeCell ref="AI41:AJ41"/>
    <mergeCell ref="BQ41:BR41"/>
    <mergeCell ref="AI35:AJ35"/>
    <mergeCell ref="CT3:CT4"/>
    <mergeCell ref="BQ47:BR47"/>
    <mergeCell ref="AI25:AJ25"/>
    <mergeCell ref="CY26:CZ26"/>
    <mergeCell ref="BQ27:BR27"/>
    <mergeCell ref="BQ18:BR18"/>
    <mergeCell ref="CG3:CP3"/>
    <mergeCell ref="CU3:CU4"/>
    <mergeCell ref="BQ8:BR8"/>
    <mergeCell ref="CY8:CZ8"/>
    <mergeCell ref="BQ17:BR17"/>
    <mergeCell ref="CY17:CZ17"/>
    <mergeCell ref="CY38:CZ38"/>
    <mergeCell ref="AI13:AJ13"/>
    <mergeCell ref="BQ13:BR13"/>
    <mergeCell ref="BQ44:BR44"/>
    <mergeCell ref="AI5:AJ5"/>
    <mergeCell ref="AI39:AJ39"/>
    <mergeCell ref="CY44:CZ44"/>
    <mergeCell ref="CY15:CZ15"/>
    <mergeCell ref="BS3:CE3"/>
    <mergeCell ref="DO1:EE1"/>
    <mergeCell ref="CY33:CZ33"/>
    <mergeCell ref="BQ6:BR6"/>
    <mergeCell ref="BQ15:BR15"/>
    <mergeCell ref="DY3:DY4"/>
    <mergeCell ref="CY14:CZ14"/>
    <mergeCell ref="EB3:EB4"/>
    <mergeCell ref="AY2:BO2"/>
    <mergeCell ref="BP1:CF1"/>
    <mergeCell ref="CX1:DN1"/>
    <mergeCell ref="BQ10:BR10"/>
    <mergeCell ref="BM3:BM4"/>
    <mergeCell ref="BQ19:BR19"/>
    <mergeCell ref="CY19:CZ19"/>
    <mergeCell ref="DO3:DX3"/>
    <mergeCell ref="EC3:EC4"/>
    <mergeCell ref="DN3:DN4"/>
    <mergeCell ref="CG1:CW1"/>
    <mergeCell ref="DZ3:EA4"/>
    <mergeCell ref="CY23:CZ23"/>
    <mergeCell ref="CR3:CS4"/>
    <mergeCell ref="DO2:EE2"/>
    <mergeCell ref="CY22:CZ22"/>
    <mergeCell ref="CY31:CZ31"/>
  </mergeCells>
  <conditionalFormatting sqref="AE1:AE41 AE50:AE1048576">
    <cfRule type="cellIs" dxfId="19" priority="3"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8">
    <tabColor rgb="FF70A0D4"/>
  </sheetPr>
  <dimension ref="B3:Q58"/>
  <sheetViews>
    <sheetView view="pageLayout" zoomScale="70" zoomScaleNormal="100" zoomScalePageLayoutView="70" workbookViewId="0">
      <selection activeCell="C20" sqref="C2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19</v>
      </c>
      <c r="M9" s="251"/>
      <c r="N9" s="251"/>
      <c r="O9" s="251"/>
      <c r="P9" s="251"/>
      <c r="Q9" s="241"/>
    </row>
    <row r="10" spans="2:17">
      <c r="B10" s="291" t="s">
        <v>104</v>
      </c>
      <c r="C10" s="241"/>
      <c r="D10" s="286" t="s">
        <v>105</v>
      </c>
      <c r="E10" s="251"/>
      <c r="F10" s="251"/>
      <c r="G10" s="241"/>
      <c r="H10" s="13"/>
      <c r="I10" s="49"/>
      <c r="J10" s="13"/>
      <c r="K10" s="13"/>
      <c r="L10" s="13"/>
      <c r="M10" s="13"/>
      <c r="N10" s="13"/>
      <c r="O10" s="13"/>
      <c r="P10" s="13"/>
      <c r="Q10" s="13"/>
    </row>
    <row r="11" spans="2:17">
      <c r="B11" s="282" t="s">
        <v>106</v>
      </c>
      <c r="C11" s="241"/>
      <c r="D11" s="284" t="s">
        <v>107</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MAESTRO!B5</f>
        <v>0</v>
      </c>
      <c r="D16" s="17"/>
      <c r="E16" s="17"/>
      <c r="F16" s="52" t="e">
        <f>'PROM (Ingles 7°)'!AE5</f>
        <v>#DIV/0!</v>
      </c>
      <c r="G16" s="52" t="e">
        <f>'PROM (Ingles 7°)'!BM5</f>
        <v>#DIV/0!</v>
      </c>
      <c r="H16" s="52" t="e">
        <f>'PROM (Ingles 7°)'!CU5</f>
        <v>#DIV/0!</v>
      </c>
      <c r="I16" s="52" t="e">
        <f t="shared" ref="I16:I52" si="0">TRUNC(AVERAGE(F16:H16),1)</f>
        <v>#DIV/0!</v>
      </c>
      <c r="J16" s="62">
        <f>'Asistencia (7°)'!BI3</f>
        <v>0</v>
      </c>
      <c r="K16" s="62">
        <f>'Asistencia (9°)'!BJ3</f>
        <v>0</v>
      </c>
      <c r="L16" s="62">
        <f>'Asistencia (7°)'!BJ3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MAESTRO!B6</f>
        <v>0</v>
      </c>
      <c r="D17" s="17"/>
      <c r="E17" s="17"/>
      <c r="F17" s="52" t="e">
        <f>'PROM (Ingles 7°)'!AE6</f>
        <v>#DIV/0!</v>
      </c>
      <c r="G17" s="52" t="e">
        <f>'PROM (Ingles 7°)'!BM6</f>
        <v>#DIV/0!</v>
      </c>
      <c r="H17" s="52" t="e">
        <f>'PROM (Ingles 7°)'!CU6</f>
        <v>#DIV/0!</v>
      </c>
      <c r="I17" s="52" t="e">
        <f t="shared" si="0"/>
        <v>#DIV/0!</v>
      </c>
      <c r="J17" s="62">
        <f>'Asistencia (7°)'!BI4</f>
        <v>0</v>
      </c>
      <c r="K17" s="62">
        <f>'Asistencia (9°)'!BJ4</f>
        <v>0</v>
      </c>
      <c r="L17" s="62">
        <f>'Asistencia (7°)'!BJ4</f>
        <v>0</v>
      </c>
      <c r="M17" s="62">
        <f>'Asistencia (9°)'!BJ47</f>
        <v>0</v>
      </c>
      <c r="N17" s="62">
        <f>'Asistencia (9°)'!BI92</f>
        <v>0</v>
      </c>
      <c r="O17" s="62">
        <f>'Asistencia (9°)'!BJ92</f>
        <v>0</v>
      </c>
      <c r="P17" s="63">
        <f t="shared" si="1"/>
        <v>0</v>
      </c>
      <c r="Q17" s="63">
        <f t="shared" si="2"/>
        <v>0</v>
      </c>
    </row>
    <row r="18" spans="2:17">
      <c r="B18" s="10">
        <v>3</v>
      </c>
      <c r="C18" s="12">
        <f>MAESTRO!B7</f>
        <v>0</v>
      </c>
      <c r="D18" s="17"/>
      <c r="E18" s="17"/>
      <c r="F18" s="52" t="e">
        <f>'PROM (Ingles 7°)'!AE7</f>
        <v>#DIV/0!</v>
      </c>
      <c r="G18" s="52" t="e">
        <f>'PROM (Ingles 7°)'!BM7</f>
        <v>#DIV/0!</v>
      </c>
      <c r="H18" s="52" t="e">
        <f>'PROM (Ingles 7°)'!CU7</f>
        <v>#DIV/0!</v>
      </c>
      <c r="I18" s="52" t="e">
        <f t="shared" si="0"/>
        <v>#DIV/0!</v>
      </c>
      <c r="J18" s="62">
        <f>'Asistencia (7°)'!BI5</f>
        <v>0</v>
      </c>
      <c r="K18" s="62">
        <f>'Asistencia (9°)'!BJ5</f>
        <v>0</v>
      </c>
      <c r="L18" s="62">
        <f>'Asistencia (7°)'!BJ5</f>
        <v>0</v>
      </c>
      <c r="M18" s="62">
        <f>'Asistencia (9°)'!BJ48</f>
        <v>0</v>
      </c>
      <c r="N18" s="62">
        <f>'Asistencia (9°)'!BI93</f>
        <v>0</v>
      </c>
      <c r="O18" s="62">
        <f>'Asistencia (9°)'!BJ93</f>
        <v>0</v>
      </c>
      <c r="P18" s="63">
        <f t="shared" si="1"/>
        <v>0</v>
      </c>
      <c r="Q18" s="63">
        <f t="shared" si="2"/>
        <v>0</v>
      </c>
    </row>
    <row r="19" spans="2:17">
      <c r="B19" s="10">
        <v>4</v>
      </c>
      <c r="C19" s="12">
        <f>MAESTRO!B8</f>
        <v>0</v>
      </c>
      <c r="D19" s="17"/>
      <c r="E19" s="17"/>
      <c r="F19" s="52" t="e">
        <f>'PROM (Ingles 7°)'!AE8</f>
        <v>#DIV/0!</v>
      </c>
      <c r="G19" s="52" t="e">
        <f>'PROM (Ingles 7°)'!BM8</f>
        <v>#DIV/0!</v>
      </c>
      <c r="H19" s="52" t="e">
        <f>'PROM (Ingles 7°)'!CU8</f>
        <v>#DIV/0!</v>
      </c>
      <c r="I19" s="52" t="e">
        <f t="shared" si="0"/>
        <v>#DIV/0!</v>
      </c>
      <c r="J19" s="62">
        <f>'Asistencia (7°)'!BI6</f>
        <v>0</v>
      </c>
      <c r="K19" s="62">
        <f>'Asistencia (9°)'!BJ6</f>
        <v>0</v>
      </c>
      <c r="L19" s="62">
        <f>'Asistencia (7°)'!BJ6</f>
        <v>0</v>
      </c>
      <c r="M19" s="62">
        <f>'Asistencia (9°)'!BJ49</f>
        <v>0</v>
      </c>
      <c r="N19" s="62">
        <f>'Asistencia (9°)'!BI94</f>
        <v>0</v>
      </c>
      <c r="O19" s="62">
        <f>'Asistencia (9°)'!BJ94</f>
        <v>0</v>
      </c>
      <c r="P19" s="63">
        <f t="shared" si="1"/>
        <v>0</v>
      </c>
      <c r="Q19" s="63">
        <f t="shared" si="2"/>
        <v>0</v>
      </c>
    </row>
    <row r="20" spans="2:17">
      <c r="B20" s="10">
        <v>5</v>
      </c>
      <c r="C20" s="12">
        <f>MAESTRO!B9</f>
        <v>0</v>
      </c>
      <c r="D20" s="17"/>
      <c r="E20" s="17"/>
      <c r="F20" s="52" t="e">
        <f>'PROM (Ingles 7°)'!AE9</f>
        <v>#DIV/0!</v>
      </c>
      <c r="G20" s="52" t="e">
        <f>'PROM (Ingles 7°)'!BM9</f>
        <v>#DIV/0!</v>
      </c>
      <c r="H20" s="52" t="e">
        <f>'PROM (Ingles 7°)'!CU9</f>
        <v>#DIV/0!</v>
      </c>
      <c r="I20" s="52" t="e">
        <f t="shared" si="0"/>
        <v>#DIV/0!</v>
      </c>
      <c r="J20" s="62">
        <f>'Asistencia (7°)'!BI7</f>
        <v>0</v>
      </c>
      <c r="K20" s="62">
        <f>'Asistencia (9°)'!BJ7</f>
        <v>0</v>
      </c>
      <c r="L20" s="62">
        <f>'Asistencia (7°)'!BJ7</f>
        <v>0</v>
      </c>
      <c r="M20" s="62">
        <f>'Asistencia (9°)'!BJ50</f>
        <v>0</v>
      </c>
      <c r="N20" s="62">
        <f>'Asistencia (9°)'!BI95</f>
        <v>0</v>
      </c>
      <c r="O20" s="62">
        <f>'Asistencia (9°)'!BJ95</f>
        <v>0</v>
      </c>
      <c r="P20" s="63">
        <f t="shared" si="1"/>
        <v>0</v>
      </c>
      <c r="Q20" s="63">
        <f t="shared" si="2"/>
        <v>0</v>
      </c>
    </row>
    <row r="21" spans="2:17">
      <c r="B21" s="10">
        <v>6</v>
      </c>
      <c r="C21" s="12">
        <f>MAESTRO!B10</f>
        <v>0</v>
      </c>
      <c r="D21" s="17"/>
      <c r="E21" s="17"/>
      <c r="F21" s="52" t="e">
        <f>'PROM (Ingles 7°)'!AE10</f>
        <v>#DIV/0!</v>
      </c>
      <c r="G21" s="52" t="e">
        <f>'PROM (Ingles 7°)'!BM10</f>
        <v>#DIV/0!</v>
      </c>
      <c r="H21" s="52" t="e">
        <f>'PROM (Ingles 7°)'!CU10</f>
        <v>#DIV/0!</v>
      </c>
      <c r="I21" s="52" t="e">
        <f t="shared" si="0"/>
        <v>#DIV/0!</v>
      </c>
      <c r="J21" s="62">
        <f>'Asistencia (7°)'!BI8</f>
        <v>0</v>
      </c>
      <c r="K21" s="62">
        <f>'Asistencia (9°)'!BJ8</f>
        <v>0</v>
      </c>
      <c r="L21" s="62">
        <f>'Asistencia (7°)'!BJ8</f>
        <v>0</v>
      </c>
      <c r="M21" s="62">
        <f>'Asistencia (9°)'!BJ51</f>
        <v>0</v>
      </c>
      <c r="N21" s="62">
        <f>'Asistencia (9°)'!BI96</f>
        <v>0</v>
      </c>
      <c r="O21" s="62">
        <f>'Asistencia (9°)'!BJ96</f>
        <v>0</v>
      </c>
      <c r="P21" s="63">
        <f t="shared" si="1"/>
        <v>0</v>
      </c>
      <c r="Q21" s="63">
        <f t="shared" si="2"/>
        <v>0</v>
      </c>
    </row>
    <row r="22" spans="2:17">
      <c r="B22" s="10">
        <v>7</v>
      </c>
      <c r="C22" s="12">
        <f>MAESTRO!B11</f>
        <v>0</v>
      </c>
      <c r="D22" s="17"/>
      <c r="E22" s="17"/>
      <c r="F22" s="52" t="e">
        <f>'PROM (Ingles 7°)'!AE11</f>
        <v>#DIV/0!</v>
      </c>
      <c r="G22" s="52" t="e">
        <f>'PROM (Ingles 7°)'!BM11</f>
        <v>#DIV/0!</v>
      </c>
      <c r="H22" s="52" t="e">
        <f>'PROM (Ingles 7°)'!CU11</f>
        <v>#DIV/0!</v>
      </c>
      <c r="I22" s="52" t="e">
        <f t="shared" si="0"/>
        <v>#DIV/0!</v>
      </c>
      <c r="J22" s="62">
        <f>'Asistencia (7°)'!BI9</f>
        <v>0</v>
      </c>
      <c r="K22" s="62">
        <f>'Asistencia (9°)'!BJ9</f>
        <v>0</v>
      </c>
      <c r="L22" s="62">
        <f>'Asistencia (7°)'!BJ9</f>
        <v>0</v>
      </c>
      <c r="M22" s="62">
        <f>'Asistencia (9°)'!BJ52</f>
        <v>0</v>
      </c>
      <c r="N22" s="62">
        <f>'Asistencia (9°)'!BI97</f>
        <v>0</v>
      </c>
      <c r="O22" s="62">
        <f>'Asistencia (9°)'!BJ97</f>
        <v>0</v>
      </c>
      <c r="P22" s="63">
        <f t="shared" si="1"/>
        <v>0</v>
      </c>
      <c r="Q22" s="63">
        <f t="shared" si="2"/>
        <v>0</v>
      </c>
    </row>
    <row r="23" spans="2:17">
      <c r="B23" s="10">
        <v>8</v>
      </c>
      <c r="C23" s="12">
        <f>MAESTRO!B12</f>
        <v>0</v>
      </c>
      <c r="D23" s="17"/>
      <c r="E23" s="17"/>
      <c r="F23" s="52" t="e">
        <f>'PROM (Ingles 7°)'!AE12</f>
        <v>#DIV/0!</v>
      </c>
      <c r="G23" s="52" t="e">
        <f>'PROM (Ingles 7°)'!BM12</f>
        <v>#DIV/0!</v>
      </c>
      <c r="H23" s="52" t="e">
        <f>'PROM (Ingles 7°)'!CU12</f>
        <v>#DIV/0!</v>
      </c>
      <c r="I23" s="52" t="e">
        <f t="shared" si="0"/>
        <v>#DIV/0!</v>
      </c>
      <c r="J23" s="62">
        <f>'Asistencia (7°)'!BI10</f>
        <v>0</v>
      </c>
      <c r="K23" s="62">
        <f>'Asistencia (9°)'!BJ10</f>
        <v>0</v>
      </c>
      <c r="L23" s="62">
        <f>'Asistencia (7°)'!BJ10</f>
        <v>0</v>
      </c>
      <c r="M23" s="62">
        <f>'Asistencia (9°)'!BJ53</f>
        <v>0</v>
      </c>
      <c r="N23" s="62">
        <f>'Asistencia (9°)'!BI98</f>
        <v>0</v>
      </c>
      <c r="O23" s="62">
        <f>'Asistencia (9°)'!BJ98</f>
        <v>0</v>
      </c>
      <c r="P23" s="63">
        <f t="shared" si="1"/>
        <v>0</v>
      </c>
      <c r="Q23" s="63">
        <f t="shared" si="2"/>
        <v>0</v>
      </c>
    </row>
    <row r="24" spans="2:17">
      <c r="B24" s="10">
        <v>9</v>
      </c>
      <c r="C24" s="12">
        <f>MAESTRO!B13</f>
        <v>0</v>
      </c>
      <c r="D24" s="17"/>
      <c r="E24" s="17"/>
      <c r="F24" s="52" t="e">
        <f>'PROM (Ingles 7°)'!AE13</f>
        <v>#DIV/0!</v>
      </c>
      <c r="G24" s="52" t="e">
        <f>'PROM (Ingles 7°)'!BM13</f>
        <v>#DIV/0!</v>
      </c>
      <c r="H24" s="52" t="e">
        <f>'PROM (Ingles 7°)'!CU13</f>
        <v>#DIV/0!</v>
      </c>
      <c r="I24" s="52" t="e">
        <f t="shared" si="0"/>
        <v>#DIV/0!</v>
      </c>
      <c r="J24" s="62">
        <f>'Asistencia (7°)'!BI11</f>
        <v>0</v>
      </c>
      <c r="K24" s="62">
        <f>'Asistencia (9°)'!BJ11</f>
        <v>0</v>
      </c>
      <c r="L24" s="62">
        <f>'Asistencia (7°)'!BJ11</f>
        <v>0</v>
      </c>
      <c r="M24" s="62">
        <f>'Asistencia (9°)'!BJ54</f>
        <v>0</v>
      </c>
      <c r="N24" s="62">
        <f>'Asistencia (9°)'!BI99</f>
        <v>0</v>
      </c>
      <c r="O24" s="62">
        <f>'Asistencia (9°)'!BJ99</f>
        <v>0</v>
      </c>
      <c r="P24" s="63">
        <f t="shared" si="1"/>
        <v>0</v>
      </c>
      <c r="Q24" s="63">
        <f t="shared" si="2"/>
        <v>0</v>
      </c>
    </row>
    <row r="25" spans="2:17">
      <c r="B25" s="10">
        <v>10</v>
      </c>
      <c r="C25" s="12">
        <f>MAESTRO!B14</f>
        <v>0</v>
      </c>
      <c r="D25" s="17"/>
      <c r="E25" s="17"/>
      <c r="F25" s="52" t="e">
        <f>'PROM (Ingles 7°)'!AE14</f>
        <v>#DIV/0!</v>
      </c>
      <c r="G25" s="52" t="e">
        <f>'PROM (Ingles 7°)'!BM14</f>
        <v>#DIV/0!</v>
      </c>
      <c r="H25" s="52" t="e">
        <f>'PROM (Ingles 7°)'!CU14</f>
        <v>#DIV/0!</v>
      </c>
      <c r="I25" s="52" t="e">
        <f t="shared" si="0"/>
        <v>#DIV/0!</v>
      </c>
      <c r="J25" s="62">
        <f>'Asistencia (7°)'!BI12</f>
        <v>0</v>
      </c>
      <c r="K25" s="62">
        <f>'Asistencia (9°)'!BJ12</f>
        <v>0</v>
      </c>
      <c r="L25" s="62">
        <f>'Asistencia (7°)'!BJ12</f>
        <v>0</v>
      </c>
      <c r="M25" s="62">
        <f>'Asistencia (9°)'!BJ55</f>
        <v>0</v>
      </c>
      <c r="N25" s="62">
        <f>'Asistencia (9°)'!BI100</f>
        <v>0</v>
      </c>
      <c r="O25" s="62">
        <f>'Asistencia (9°)'!BJ100</f>
        <v>0</v>
      </c>
      <c r="P25" s="63">
        <f t="shared" si="1"/>
        <v>0</v>
      </c>
      <c r="Q25" s="63">
        <f t="shared" si="2"/>
        <v>0</v>
      </c>
    </row>
    <row r="26" spans="2:17">
      <c r="B26" s="10">
        <v>11</v>
      </c>
      <c r="C26" s="12">
        <f>MAESTRO!B15</f>
        <v>0</v>
      </c>
      <c r="D26" s="17"/>
      <c r="E26" s="17"/>
      <c r="F26" s="52" t="e">
        <f>'PROM (Ingles 7°)'!AE15</f>
        <v>#DIV/0!</v>
      </c>
      <c r="G26" s="52" t="e">
        <f>'PROM (Ingles 7°)'!BM15</f>
        <v>#DIV/0!</v>
      </c>
      <c r="H26" s="52" t="e">
        <f>'PROM (Ingles 7°)'!CU15</f>
        <v>#DIV/0!</v>
      </c>
      <c r="I26" s="52" t="e">
        <f t="shared" si="0"/>
        <v>#DIV/0!</v>
      </c>
      <c r="J26" s="62">
        <f>'Asistencia (7°)'!BI13</f>
        <v>0</v>
      </c>
      <c r="K26" s="62">
        <f>'Asistencia (9°)'!BJ13</f>
        <v>0</v>
      </c>
      <c r="L26" s="62">
        <f>'Asistencia (7°)'!BJ13</f>
        <v>0</v>
      </c>
      <c r="M26" s="62">
        <f>'Asistencia (9°)'!BJ56</f>
        <v>0</v>
      </c>
      <c r="N26" s="62">
        <f>'Asistencia (9°)'!BI101</f>
        <v>0</v>
      </c>
      <c r="O26" s="62">
        <f>'Asistencia (9°)'!BJ101</f>
        <v>0</v>
      </c>
      <c r="P26" s="63">
        <f t="shared" si="1"/>
        <v>0</v>
      </c>
      <c r="Q26" s="63">
        <f t="shared" si="2"/>
        <v>0</v>
      </c>
    </row>
    <row r="27" spans="2:17">
      <c r="B27" s="10">
        <v>12</v>
      </c>
      <c r="C27" s="12">
        <f>MAESTRO!B16</f>
        <v>0</v>
      </c>
      <c r="D27" s="17"/>
      <c r="E27" s="17"/>
      <c r="F27" s="52" t="e">
        <f>'PROM (Ingles 7°)'!AE16</f>
        <v>#DIV/0!</v>
      </c>
      <c r="G27" s="52" t="e">
        <f>'PROM (Ingles 7°)'!BM16</f>
        <v>#DIV/0!</v>
      </c>
      <c r="H27" s="52" t="e">
        <f>'PROM (Ingles 7°)'!CU16</f>
        <v>#DIV/0!</v>
      </c>
      <c r="I27" s="52" t="e">
        <f t="shared" si="0"/>
        <v>#DIV/0!</v>
      </c>
      <c r="J27" s="62">
        <f>'Asistencia (7°)'!BI14</f>
        <v>0</v>
      </c>
      <c r="K27" s="62">
        <f>'Asistencia (9°)'!BJ14</f>
        <v>0</v>
      </c>
      <c r="L27" s="62">
        <f>'Asistencia (7°)'!BJ14</f>
        <v>0</v>
      </c>
      <c r="M27" s="62">
        <f>'Asistencia (9°)'!BJ57</f>
        <v>0</v>
      </c>
      <c r="N27" s="62">
        <f>'Asistencia (9°)'!BI102</f>
        <v>0</v>
      </c>
      <c r="O27" s="62">
        <f>'Asistencia (9°)'!BJ102</f>
        <v>0</v>
      </c>
      <c r="P27" s="63">
        <f t="shared" si="1"/>
        <v>0</v>
      </c>
      <c r="Q27" s="63">
        <f t="shared" si="2"/>
        <v>0</v>
      </c>
    </row>
    <row r="28" spans="2:17">
      <c r="B28" s="10">
        <v>13</v>
      </c>
      <c r="C28" s="12">
        <f>MAESTRO!B17</f>
        <v>0</v>
      </c>
      <c r="D28" s="17"/>
      <c r="E28" s="17"/>
      <c r="F28" s="52" t="e">
        <f>'PROM (Ingles 7°)'!AE17</f>
        <v>#DIV/0!</v>
      </c>
      <c r="G28" s="52" t="e">
        <f>'PROM (Ingles 7°)'!BM17</f>
        <v>#DIV/0!</v>
      </c>
      <c r="H28" s="52" t="e">
        <f>'PROM (Ingles 7°)'!CU17</f>
        <v>#DIV/0!</v>
      </c>
      <c r="I28" s="52" t="e">
        <f t="shared" si="0"/>
        <v>#DIV/0!</v>
      </c>
      <c r="J28" s="62">
        <f>'Asistencia (7°)'!BI15</f>
        <v>0</v>
      </c>
      <c r="K28" s="62">
        <f>'Asistencia (9°)'!BJ15</f>
        <v>0</v>
      </c>
      <c r="L28" s="62">
        <f>'Asistencia (7°)'!BJ15</f>
        <v>0</v>
      </c>
      <c r="M28" s="62">
        <f>'Asistencia (9°)'!BJ58</f>
        <v>0</v>
      </c>
      <c r="N28" s="62">
        <f>'Asistencia (9°)'!BI103</f>
        <v>0</v>
      </c>
      <c r="O28" s="62">
        <f>'Asistencia (9°)'!BJ103</f>
        <v>0</v>
      </c>
      <c r="P28" s="63">
        <f t="shared" si="1"/>
        <v>0</v>
      </c>
      <c r="Q28" s="63">
        <f t="shared" si="2"/>
        <v>0</v>
      </c>
    </row>
    <row r="29" spans="2:17">
      <c r="B29" s="10">
        <v>14</v>
      </c>
      <c r="C29" s="12">
        <f>MAESTRO!B18</f>
        <v>0</v>
      </c>
      <c r="D29" s="17"/>
      <c r="E29" s="17"/>
      <c r="F29" s="52" t="e">
        <f>'PROM (Ingles 7°)'!AE18</f>
        <v>#DIV/0!</v>
      </c>
      <c r="G29" s="52" t="e">
        <f>'PROM (Ingles 7°)'!BM18</f>
        <v>#DIV/0!</v>
      </c>
      <c r="H29" s="52" t="e">
        <f>'PROM (Ingles 7°)'!CU18</f>
        <v>#DIV/0!</v>
      </c>
      <c r="I29" s="52" t="e">
        <f t="shared" si="0"/>
        <v>#DIV/0!</v>
      </c>
      <c r="J29" s="62">
        <f>'Asistencia (7°)'!BI16</f>
        <v>0</v>
      </c>
      <c r="K29" s="62">
        <f>'Asistencia (9°)'!BJ16</f>
        <v>0</v>
      </c>
      <c r="L29" s="62">
        <f>'Asistencia (7°)'!BJ16</f>
        <v>0</v>
      </c>
      <c r="M29" s="62">
        <f>'Asistencia (9°)'!BJ59</f>
        <v>0</v>
      </c>
      <c r="N29" s="62">
        <f>'Asistencia (9°)'!BI104</f>
        <v>0</v>
      </c>
      <c r="O29" s="62">
        <f>'Asistencia (9°)'!BJ104</f>
        <v>0</v>
      </c>
      <c r="P29" s="63">
        <f t="shared" si="1"/>
        <v>0</v>
      </c>
      <c r="Q29" s="63">
        <f t="shared" si="2"/>
        <v>0</v>
      </c>
    </row>
    <row r="30" spans="2:17">
      <c r="B30" s="10">
        <v>15</v>
      </c>
      <c r="C30" s="12">
        <f>MAESTRO!B19</f>
        <v>0</v>
      </c>
      <c r="D30" s="17"/>
      <c r="E30" s="17"/>
      <c r="F30" s="52" t="e">
        <f>'PROM (Ingles 7°)'!AE19</f>
        <v>#DIV/0!</v>
      </c>
      <c r="G30" s="52" t="e">
        <f>'PROM (Ingles 7°)'!BM19</f>
        <v>#DIV/0!</v>
      </c>
      <c r="H30" s="52" t="e">
        <f>'PROM (Ingles 7°)'!CU19</f>
        <v>#DIV/0!</v>
      </c>
      <c r="I30" s="52" t="e">
        <f t="shared" si="0"/>
        <v>#DIV/0!</v>
      </c>
      <c r="J30" s="62">
        <f>'Asistencia (7°)'!BI17</f>
        <v>0</v>
      </c>
      <c r="K30" s="62">
        <f>'Asistencia (9°)'!BJ17</f>
        <v>0</v>
      </c>
      <c r="L30" s="62">
        <f>'Asistencia (7°)'!BJ17</f>
        <v>0</v>
      </c>
      <c r="M30" s="62">
        <f>'Asistencia (9°)'!BJ60</f>
        <v>0</v>
      </c>
      <c r="N30" s="62">
        <f>'Asistencia (9°)'!BI105</f>
        <v>0</v>
      </c>
      <c r="O30" s="62">
        <f>'Asistencia (9°)'!BJ105</f>
        <v>0</v>
      </c>
      <c r="P30" s="63">
        <f t="shared" si="1"/>
        <v>0</v>
      </c>
      <c r="Q30" s="63">
        <f t="shared" si="2"/>
        <v>0</v>
      </c>
    </row>
    <row r="31" spans="2:17">
      <c r="B31" s="10">
        <v>16</v>
      </c>
      <c r="C31" s="12">
        <f>MAESTRO!B20</f>
        <v>0</v>
      </c>
      <c r="D31" s="17"/>
      <c r="E31" s="17"/>
      <c r="F31" s="52" t="e">
        <f>'PROM (Ingles 7°)'!AE20</f>
        <v>#DIV/0!</v>
      </c>
      <c r="G31" s="52" t="e">
        <f>'PROM (Ingles 7°)'!BM20</f>
        <v>#DIV/0!</v>
      </c>
      <c r="H31" s="52" t="e">
        <f>'PROM (Ingles 7°)'!CU20</f>
        <v>#DIV/0!</v>
      </c>
      <c r="I31" s="52" t="e">
        <f t="shared" si="0"/>
        <v>#DIV/0!</v>
      </c>
      <c r="J31" s="62">
        <f>'Asistencia (7°)'!BI18</f>
        <v>0</v>
      </c>
      <c r="K31" s="62">
        <f>'Asistencia (9°)'!BJ18</f>
        <v>0</v>
      </c>
      <c r="L31" s="62">
        <f>'Asistencia (7°)'!BJ18</f>
        <v>0</v>
      </c>
      <c r="M31" s="62">
        <f>'Asistencia (9°)'!BJ61</f>
        <v>0</v>
      </c>
      <c r="N31" s="62">
        <f>'Asistencia (9°)'!BI106</f>
        <v>0</v>
      </c>
      <c r="O31" s="62">
        <f>'Asistencia (9°)'!BJ106</f>
        <v>0</v>
      </c>
      <c r="P31" s="63">
        <f t="shared" si="1"/>
        <v>0</v>
      </c>
      <c r="Q31" s="63">
        <f t="shared" si="2"/>
        <v>0</v>
      </c>
    </row>
    <row r="32" spans="2:17">
      <c r="B32" s="10">
        <v>17</v>
      </c>
      <c r="C32" s="12">
        <f>MAESTRO!B21</f>
        <v>0</v>
      </c>
      <c r="D32" s="17"/>
      <c r="E32" s="17"/>
      <c r="F32" s="52" t="e">
        <f>'PROM (Ingles 7°)'!AE21</f>
        <v>#DIV/0!</v>
      </c>
      <c r="G32" s="52" t="e">
        <f>'PROM (Ingles 7°)'!BM21</f>
        <v>#DIV/0!</v>
      </c>
      <c r="H32" s="52" t="e">
        <f>'PROM (Ingles 7°)'!CU21</f>
        <v>#DIV/0!</v>
      </c>
      <c r="I32" s="52" t="e">
        <f t="shared" si="0"/>
        <v>#DIV/0!</v>
      </c>
      <c r="J32" s="62">
        <f>'Asistencia (7°)'!BI19</f>
        <v>0</v>
      </c>
      <c r="K32" s="62">
        <f>'Asistencia (9°)'!BJ19</f>
        <v>0</v>
      </c>
      <c r="L32" s="62">
        <f>'Asistencia (7°)'!BJ19</f>
        <v>0</v>
      </c>
      <c r="M32" s="62">
        <f>'Asistencia (9°)'!BJ62</f>
        <v>0</v>
      </c>
      <c r="N32" s="62">
        <f>'Asistencia (9°)'!BI107</f>
        <v>0</v>
      </c>
      <c r="O32" s="62">
        <f>'Asistencia (9°)'!BJ107</f>
        <v>0</v>
      </c>
      <c r="P32" s="63">
        <f t="shared" si="1"/>
        <v>0</v>
      </c>
      <c r="Q32" s="63">
        <f t="shared" si="2"/>
        <v>0</v>
      </c>
    </row>
    <row r="33" spans="2:17">
      <c r="B33" s="10">
        <v>18</v>
      </c>
      <c r="C33" s="12">
        <f>MAESTRO!B22</f>
        <v>0</v>
      </c>
      <c r="D33" s="17"/>
      <c r="E33" s="17"/>
      <c r="F33" s="52" t="e">
        <f>'PROM (Ingles 7°)'!AE22</f>
        <v>#DIV/0!</v>
      </c>
      <c r="G33" s="52" t="e">
        <f>'PROM (Ingles 7°)'!BM22</f>
        <v>#DIV/0!</v>
      </c>
      <c r="H33" s="52" t="e">
        <f>'PROM (Ingles 7°)'!CU22</f>
        <v>#DIV/0!</v>
      </c>
      <c r="I33" s="52" t="e">
        <f t="shared" si="0"/>
        <v>#DIV/0!</v>
      </c>
      <c r="J33" s="62">
        <f>'Asistencia (7°)'!BI20</f>
        <v>0</v>
      </c>
      <c r="K33" s="62">
        <f>'Asistencia (9°)'!BJ20</f>
        <v>0</v>
      </c>
      <c r="L33" s="62">
        <f>'Asistencia (7°)'!BJ20</f>
        <v>0</v>
      </c>
      <c r="M33" s="62">
        <f>'Asistencia (9°)'!BJ63</f>
        <v>0</v>
      </c>
      <c r="N33" s="62">
        <f>'Asistencia (9°)'!BI108</f>
        <v>0</v>
      </c>
      <c r="O33" s="62">
        <f>'Asistencia (9°)'!BJ108</f>
        <v>0</v>
      </c>
      <c r="P33" s="63">
        <f t="shared" si="1"/>
        <v>0</v>
      </c>
      <c r="Q33" s="63">
        <f t="shared" si="2"/>
        <v>0</v>
      </c>
    </row>
    <row r="34" spans="2:17">
      <c r="B34" s="10">
        <v>19</v>
      </c>
      <c r="C34" s="12">
        <f>MAESTRO!B23</f>
        <v>0</v>
      </c>
      <c r="D34" s="17"/>
      <c r="E34" s="17"/>
      <c r="F34" s="52" t="e">
        <f>'PROM (Ingles 7°)'!AE23</f>
        <v>#DIV/0!</v>
      </c>
      <c r="G34" s="52" t="e">
        <f>'PROM (Ingles 7°)'!BM23</f>
        <v>#DIV/0!</v>
      </c>
      <c r="H34" s="52" t="e">
        <f>'PROM (Ingles 7°)'!CU23</f>
        <v>#DIV/0!</v>
      </c>
      <c r="I34" s="52" t="e">
        <f t="shared" si="0"/>
        <v>#DIV/0!</v>
      </c>
      <c r="J34" s="62">
        <f>'Asistencia (7°)'!BI21</f>
        <v>0</v>
      </c>
      <c r="K34" s="62">
        <f>'Asistencia (9°)'!BJ21</f>
        <v>0</v>
      </c>
      <c r="L34" s="62">
        <f>'Asistencia (7°)'!BJ21</f>
        <v>0</v>
      </c>
      <c r="M34" s="62">
        <f>'Asistencia (9°)'!BJ64</f>
        <v>0</v>
      </c>
      <c r="N34" s="62">
        <f>'Asistencia (9°)'!BI109</f>
        <v>0</v>
      </c>
      <c r="O34" s="62">
        <f>'Asistencia (9°)'!BJ109</f>
        <v>0</v>
      </c>
      <c r="P34" s="63">
        <f t="shared" si="1"/>
        <v>0</v>
      </c>
      <c r="Q34" s="63">
        <f t="shared" si="2"/>
        <v>0</v>
      </c>
    </row>
    <row r="35" spans="2:17">
      <c r="B35" s="10">
        <v>20</v>
      </c>
      <c r="C35" s="12">
        <f>MAESTRO!B24</f>
        <v>0</v>
      </c>
      <c r="D35" s="17"/>
      <c r="E35" s="17"/>
      <c r="F35" s="52" t="e">
        <f>'PROM (Ingles 7°)'!AE24</f>
        <v>#DIV/0!</v>
      </c>
      <c r="G35" s="52" t="e">
        <f>'PROM (Ingles 7°)'!BM24</f>
        <v>#DIV/0!</v>
      </c>
      <c r="H35" s="52" t="e">
        <f>'PROM (Ingles 7°)'!CU24</f>
        <v>#DIV/0!</v>
      </c>
      <c r="I35" s="52" t="e">
        <f t="shared" si="0"/>
        <v>#DIV/0!</v>
      </c>
      <c r="J35" s="62">
        <f>'Asistencia (7°)'!BI22</f>
        <v>0</v>
      </c>
      <c r="K35" s="62">
        <f>'Asistencia (9°)'!BJ22</f>
        <v>0</v>
      </c>
      <c r="L35" s="62">
        <f>'Asistencia (7°)'!BJ22</f>
        <v>0</v>
      </c>
      <c r="M35" s="62">
        <f>'Asistencia (9°)'!BJ65</f>
        <v>0</v>
      </c>
      <c r="N35" s="62">
        <f>'Asistencia (9°)'!BI110</f>
        <v>0</v>
      </c>
      <c r="O35" s="62">
        <f>'Asistencia (9°)'!BJ110</f>
        <v>0</v>
      </c>
      <c r="P35" s="63">
        <f t="shared" si="1"/>
        <v>0</v>
      </c>
      <c r="Q35" s="63">
        <f t="shared" si="2"/>
        <v>0</v>
      </c>
    </row>
    <row r="36" spans="2:17">
      <c r="B36" s="10">
        <v>21</v>
      </c>
      <c r="C36" s="12">
        <f>MAESTRO!B25</f>
        <v>0</v>
      </c>
      <c r="D36" s="17"/>
      <c r="E36" s="17"/>
      <c r="F36" s="52" t="e">
        <f>'PROM (Ingles 7°)'!AE25</f>
        <v>#DIV/0!</v>
      </c>
      <c r="G36" s="52" t="e">
        <f>'PROM (Ingles 7°)'!BM25</f>
        <v>#DIV/0!</v>
      </c>
      <c r="H36" s="52" t="e">
        <f>'PROM (Ingles 7°)'!CU25</f>
        <v>#DIV/0!</v>
      </c>
      <c r="I36" s="52" t="e">
        <f t="shared" si="0"/>
        <v>#DIV/0!</v>
      </c>
      <c r="J36" s="62">
        <f>'Asistencia (7°)'!BI23</f>
        <v>0</v>
      </c>
      <c r="K36" s="62">
        <f>'Asistencia (9°)'!BJ23</f>
        <v>0</v>
      </c>
      <c r="L36" s="62">
        <f>'Asistencia (7°)'!BJ23</f>
        <v>0</v>
      </c>
      <c r="M36" s="62">
        <f>'Asistencia (9°)'!BJ66</f>
        <v>0</v>
      </c>
      <c r="N36" s="62">
        <f>'Asistencia (9°)'!BI111</f>
        <v>0</v>
      </c>
      <c r="O36" s="62">
        <f>'Asistencia (9°)'!BJ111</f>
        <v>0</v>
      </c>
      <c r="P36" s="63">
        <f t="shared" si="1"/>
        <v>0</v>
      </c>
      <c r="Q36" s="63">
        <f t="shared" si="2"/>
        <v>0</v>
      </c>
    </row>
    <row r="37" spans="2:17">
      <c r="B37" s="10">
        <v>22</v>
      </c>
      <c r="C37" s="12">
        <f>MAESTRO!B26</f>
        <v>0</v>
      </c>
      <c r="D37" s="17"/>
      <c r="E37" s="17"/>
      <c r="F37" s="52" t="e">
        <f>'PROM (Ingles 7°)'!AE26</f>
        <v>#DIV/0!</v>
      </c>
      <c r="G37" s="52" t="e">
        <f>'PROM (Ingles 7°)'!BM26</f>
        <v>#DIV/0!</v>
      </c>
      <c r="H37" s="52" t="e">
        <f>'PROM (Ingles 7°)'!CU26</f>
        <v>#DIV/0!</v>
      </c>
      <c r="I37" s="52" t="e">
        <f t="shared" si="0"/>
        <v>#DIV/0!</v>
      </c>
      <c r="J37" s="62">
        <f>'Asistencia (7°)'!BI24</f>
        <v>0</v>
      </c>
      <c r="K37" s="62">
        <f>'Asistencia (9°)'!BJ24</f>
        <v>0</v>
      </c>
      <c r="L37" s="62">
        <f>'Asistencia (7°)'!BJ24</f>
        <v>0</v>
      </c>
      <c r="M37" s="62">
        <f>'Asistencia (9°)'!BJ67</f>
        <v>0</v>
      </c>
      <c r="N37" s="62">
        <f>'Asistencia (9°)'!BI112</f>
        <v>0</v>
      </c>
      <c r="O37" s="62">
        <f>'Asistencia (9°)'!BJ112</f>
        <v>0</v>
      </c>
      <c r="P37" s="63">
        <f t="shared" si="1"/>
        <v>0</v>
      </c>
      <c r="Q37" s="63">
        <f t="shared" si="2"/>
        <v>0</v>
      </c>
    </row>
    <row r="38" spans="2:17">
      <c r="B38" s="10">
        <v>23</v>
      </c>
      <c r="C38" s="12">
        <f>MAESTRO!B27</f>
        <v>0</v>
      </c>
      <c r="D38" s="17"/>
      <c r="E38" s="17"/>
      <c r="F38" s="52" t="e">
        <f>'PROM (Ingles 7°)'!AE27</f>
        <v>#DIV/0!</v>
      </c>
      <c r="G38" s="52" t="e">
        <f>'PROM (Ingles 7°)'!BM27</f>
        <v>#DIV/0!</v>
      </c>
      <c r="H38" s="52" t="e">
        <f>'PROM (Ingles 7°)'!CU27</f>
        <v>#DIV/0!</v>
      </c>
      <c r="I38" s="52" t="e">
        <f t="shared" si="0"/>
        <v>#DIV/0!</v>
      </c>
      <c r="J38" s="62">
        <f>'Asistencia (7°)'!BI25</f>
        <v>0</v>
      </c>
      <c r="K38" s="62">
        <f>'Asistencia (9°)'!BJ25</f>
        <v>0</v>
      </c>
      <c r="L38" s="62">
        <f>'Asistencia (7°)'!BJ25</f>
        <v>0</v>
      </c>
      <c r="M38" s="62">
        <f>'Asistencia (9°)'!BJ68</f>
        <v>0</v>
      </c>
      <c r="N38" s="62">
        <f>'Asistencia (9°)'!BI113</f>
        <v>0</v>
      </c>
      <c r="O38" s="62">
        <f>'Asistencia (9°)'!BJ113</f>
        <v>0</v>
      </c>
      <c r="P38" s="63">
        <f t="shared" si="1"/>
        <v>0</v>
      </c>
      <c r="Q38" s="63">
        <f t="shared" si="2"/>
        <v>0</v>
      </c>
    </row>
    <row r="39" spans="2:17">
      <c r="B39" s="10">
        <v>24</v>
      </c>
      <c r="C39" s="12">
        <f>MAESTRO!B28</f>
        <v>0</v>
      </c>
      <c r="D39" s="17"/>
      <c r="E39" s="17"/>
      <c r="F39" s="52" t="e">
        <f>'PROM (Ingles 7°)'!AE28</f>
        <v>#DIV/0!</v>
      </c>
      <c r="G39" s="52" t="e">
        <f>'PROM (Ingles 7°)'!BM28</f>
        <v>#DIV/0!</v>
      </c>
      <c r="H39" s="52" t="e">
        <f>'PROM (Ingles 7°)'!CU28</f>
        <v>#DIV/0!</v>
      </c>
      <c r="I39" s="52" t="e">
        <f t="shared" si="0"/>
        <v>#DIV/0!</v>
      </c>
      <c r="J39" s="62">
        <f>'Asistencia (7°)'!BI26</f>
        <v>0</v>
      </c>
      <c r="K39" s="62">
        <f>'Asistencia (9°)'!BJ26</f>
        <v>0</v>
      </c>
      <c r="L39" s="62">
        <f>'Asistencia (7°)'!BJ26</f>
        <v>0</v>
      </c>
      <c r="M39" s="62">
        <f>'Asistencia (9°)'!BJ69</f>
        <v>0</v>
      </c>
      <c r="N39" s="62">
        <f>'Asistencia (9°)'!BI114</f>
        <v>0</v>
      </c>
      <c r="O39" s="62">
        <f>'Asistencia (9°)'!BJ114</f>
        <v>0</v>
      </c>
      <c r="P39" s="63">
        <f t="shared" si="1"/>
        <v>0</v>
      </c>
      <c r="Q39" s="63">
        <f t="shared" si="2"/>
        <v>0</v>
      </c>
    </row>
    <row r="40" spans="2:17">
      <c r="B40" s="10">
        <v>25</v>
      </c>
      <c r="C40" s="12">
        <f>MAESTRO!B29</f>
        <v>0</v>
      </c>
      <c r="D40" s="17"/>
      <c r="E40" s="17"/>
      <c r="F40" s="52" t="e">
        <f>'PROM (Ingles 7°)'!AE29</f>
        <v>#DIV/0!</v>
      </c>
      <c r="G40" s="52" t="e">
        <f>'PROM (Ingles 7°)'!BM29</f>
        <v>#DIV/0!</v>
      </c>
      <c r="H40" s="52" t="e">
        <f>'PROM (Ingles 7°)'!CU29</f>
        <v>#DIV/0!</v>
      </c>
      <c r="I40" s="52" t="e">
        <f t="shared" si="0"/>
        <v>#DIV/0!</v>
      </c>
      <c r="J40" s="62">
        <f>'Asistencia (7°)'!BI27</f>
        <v>0</v>
      </c>
      <c r="K40" s="62">
        <f>'Asistencia (9°)'!BJ27</f>
        <v>0</v>
      </c>
      <c r="L40" s="62">
        <f>'Asistencia (7°)'!BJ27</f>
        <v>0</v>
      </c>
      <c r="M40" s="62">
        <f>'Asistencia (9°)'!BJ70</f>
        <v>0</v>
      </c>
      <c r="N40" s="62">
        <f>'Asistencia (9°)'!BI115</f>
        <v>0</v>
      </c>
      <c r="O40" s="62">
        <f>'Asistencia (9°)'!BJ115</f>
        <v>0</v>
      </c>
      <c r="P40" s="63">
        <f t="shared" si="1"/>
        <v>0</v>
      </c>
      <c r="Q40" s="63">
        <f t="shared" si="2"/>
        <v>0</v>
      </c>
    </row>
    <row r="41" spans="2:17">
      <c r="B41" s="10">
        <v>26</v>
      </c>
      <c r="C41" s="12">
        <f>MAESTRO!B30</f>
        <v>0</v>
      </c>
      <c r="D41" s="17"/>
      <c r="E41" s="17"/>
      <c r="F41" s="52" t="e">
        <f>'PROM (Ingles 7°)'!AE30</f>
        <v>#DIV/0!</v>
      </c>
      <c r="G41" s="52" t="e">
        <f>'PROM (Ingles 7°)'!BM30</f>
        <v>#DIV/0!</v>
      </c>
      <c r="H41" s="52" t="e">
        <f>'PROM (Ingles 7°)'!CU30</f>
        <v>#DIV/0!</v>
      </c>
      <c r="I41" s="52" t="e">
        <f t="shared" si="0"/>
        <v>#DIV/0!</v>
      </c>
      <c r="J41" s="62">
        <f>'Asistencia (7°)'!BI28</f>
        <v>0</v>
      </c>
      <c r="K41" s="62">
        <f>'Asistencia (9°)'!BJ28</f>
        <v>0</v>
      </c>
      <c r="L41" s="62">
        <f>'Asistencia (7°)'!BJ28</f>
        <v>0</v>
      </c>
      <c r="M41" s="62">
        <f>'Asistencia (9°)'!BJ71</f>
        <v>0</v>
      </c>
      <c r="N41" s="62">
        <f>'Asistencia (9°)'!BI116</f>
        <v>0</v>
      </c>
      <c r="O41" s="62">
        <f>'Asistencia (9°)'!BJ116</f>
        <v>0</v>
      </c>
      <c r="P41" s="63">
        <f t="shared" si="1"/>
        <v>0</v>
      </c>
      <c r="Q41" s="63">
        <f t="shared" si="2"/>
        <v>0</v>
      </c>
    </row>
    <row r="42" spans="2:17">
      <c r="B42" s="10">
        <v>27</v>
      </c>
      <c r="C42" s="12">
        <f>MAESTRO!B31</f>
        <v>0</v>
      </c>
      <c r="D42" s="17"/>
      <c r="E42" s="17"/>
      <c r="F42" s="52" t="e">
        <f>'PROM (Ingles 7°)'!AE31</f>
        <v>#DIV/0!</v>
      </c>
      <c r="G42" s="52" t="e">
        <f>'PROM (Ingles 7°)'!BM31</f>
        <v>#DIV/0!</v>
      </c>
      <c r="H42" s="52" t="e">
        <f>'PROM (Ingles 7°)'!CU31</f>
        <v>#DIV/0!</v>
      </c>
      <c r="I42" s="52" t="e">
        <f t="shared" si="0"/>
        <v>#DIV/0!</v>
      </c>
      <c r="J42" s="62">
        <f>'Asistencia (7°)'!BI29</f>
        <v>0</v>
      </c>
      <c r="K42" s="62">
        <f>'Asistencia (9°)'!BJ29</f>
        <v>0</v>
      </c>
      <c r="L42" s="62">
        <f>'Asistencia (7°)'!BJ29</f>
        <v>0</v>
      </c>
      <c r="M42" s="62">
        <f>'Asistencia (9°)'!BJ72</f>
        <v>0</v>
      </c>
      <c r="N42" s="62">
        <f>'Asistencia (9°)'!BI117</f>
        <v>0</v>
      </c>
      <c r="O42" s="62">
        <f>'Asistencia (9°)'!BJ117</f>
        <v>0</v>
      </c>
      <c r="P42" s="63">
        <f t="shared" si="1"/>
        <v>0</v>
      </c>
      <c r="Q42" s="63">
        <f t="shared" si="2"/>
        <v>0</v>
      </c>
    </row>
    <row r="43" spans="2:17">
      <c r="B43" s="10">
        <v>28</v>
      </c>
      <c r="C43" s="12">
        <f>MAESTRO!B32</f>
        <v>0</v>
      </c>
      <c r="D43" s="17"/>
      <c r="E43" s="17"/>
      <c r="F43" s="52" t="e">
        <f>'PROM (Ingles 7°)'!AE32</f>
        <v>#DIV/0!</v>
      </c>
      <c r="G43" s="52" t="e">
        <f>'PROM (Ingles 7°)'!BM32</f>
        <v>#DIV/0!</v>
      </c>
      <c r="H43" s="52" t="e">
        <f>'PROM (Ingles 7°)'!CU32</f>
        <v>#DIV/0!</v>
      </c>
      <c r="I43" s="52" t="e">
        <f t="shared" si="0"/>
        <v>#DIV/0!</v>
      </c>
      <c r="J43" s="62">
        <f>'Asistencia (7°)'!BI30</f>
        <v>0</v>
      </c>
      <c r="K43" s="62">
        <f>'Asistencia (9°)'!BJ30</f>
        <v>0</v>
      </c>
      <c r="L43" s="62">
        <f>'Asistencia (7°)'!BJ30</f>
        <v>0</v>
      </c>
      <c r="M43" s="62">
        <f>'Asistencia (9°)'!BJ73</f>
        <v>0</v>
      </c>
      <c r="N43" s="62">
        <f>'Asistencia (9°)'!BI118</f>
        <v>0</v>
      </c>
      <c r="O43" s="62">
        <f>'Asistencia (9°)'!BJ118</f>
        <v>0</v>
      </c>
      <c r="P43" s="63">
        <f t="shared" si="1"/>
        <v>0</v>
      </c>
      <c r="Q43" s="63">
        <f t="shared" si="2"/>
        <v>0</v>
      </c>
    </row>
    <row r="44" spans="2:17">
      <c r="B44" s="10">
        <v>29</v>
      </c>
      <c r="C44" s="12">
        <f>MAESTRO!B33</f>
        <v>0</v>
      </c>
      <c r="D44" s="17"/>
      <c r="E44" s="17"/>
      <c r="F44" s="52" t="e">
        <f>'PROM (Ingles 7°)'!AE33</f>
        <v>#DIV/0!</v>
      </c>
      <c r="G44" s="52" t="e">
        <f>'PROM (Ingles 7°)'!BM33</f>
        <v>#DIV/0!</v>
      </c>
      <c r="H44" s="52" t="e">
        <f>'PROM (Ingles 7°)'!CU33</f>
        <v>#DIV/0!</v>
      </c>
      <c r="I44" s="52" t="e">
        <f t="shared" si="0"/>
        <v>#DIV/0!</v>
      </c>
      <c r="J44" s="62">
        <f>'Asistencia (7°)'!BI31</f>
        <v>0</v>
      </c>
      <c r="K44" s="62">
        <f>'Asistencia (9°)'!BJ31</f>
        <v>0</v>
      </c>
      <c r="L44" s="62">
        <f>'Asistencia (7°)'!BJ31</f>
        <v>0</v>
      </c>
      <c r="M44" s="62">
        <f>'Asistencia (9°)'!BJ74</f>
        <v>0</v>
      </c>
      <c r="N44" s="62">
        <f>'Asistencia (9°)'!BI119</f>
        <v>0</v>
      </c>
      <c r="O44" s="62">
        <f>'Asistencia (9°)'!BJ119</f>
        <v>0</v>
      </c>
      <c r="P44" s="63">
        <f t="shared" si="1"/>
        <v>0</v>
      </c>
      <c r="Q44" s="63">
        <f t="shared" si="2"/>
        <v>0</v>
      </c>
    </row>
    <row r="45" spans="2:17">
      <c r="B45" s="10">
        <v>30</v>
      </c>
      <c r="C45" s="12">
        <f>MAESTRO!B34</f>
        <v>0</v>
      </c>
      <c r="D45" s="17"/>
      <c r="E45" s="17"/>
      <c r="F45" s="52" t="e">
        <f>'PROM (Ingles 7°)'!AE34</f>
        <v>#DIV/0!</v>
      </c>
      <c r="G45" s="52" t="e">
        <f>'PROM (Ingles 7°)'!BM34</f>
        <v>#DIV/0!</v>
      </c>
      <c r="H45" s="52" t="e">
        <f>'PROM (Ingles 7°)'!CU34</f>
        <v>#DIV/0!</v>
      </c>
      <c r="I45" s="52" t="e">
        <f t="shared" si="0"/>
        <v>#DIV/0!</v>
      </c>
      <c r="J45" s="62">
        <f>'Asistencia (7°)'!BI32</f>
        <v>0</v>
      </c>
      <c r="K45" s="62">
        <f>'Asistencia (9°)'!BJ32</f>
        <v>0</v>
      </c>
      <c r="L45" s="62">
        <f>'Asistencia (7°)'!BJ32</f>
        <v>0</v>
      </c>
      <c r="M45" s="62">
        <f>'Asistencia (9°)'!BJ75</f>
        <v>0</v>
      </c>
      <c r="N45" s="62">
        <f>'Asistencia (9°)'!BI120</f>
        <v>0</v>
      </c>
      <c r="O45" s="62">
        <f>'Asistencia (9°)'!BJ120</f>
        <v>0</v>
      </c>
      <c r="P45" s="63">
        <f t="shared" si="1"/>
        <v>0</v>
      </c>
      <c r="Q45" s="63">
        <f t="shared" si="2"/>
        <v>0</v>
      </c>
    </row>
    <row r="46" spans="2:17">
      <c r="B46" s="10">
        <v>31</v>
      </c>
      <c r="C46" s="12">
        <f>MAESTRO!B35</f>
        <v>0</v>
      </c>
      <c r="D46" s="17"/>
      <c r="E46" s="17"/>
      <c r="F46" s="52" t="e">
        <f>'PROM (Ingles 7°)'!AE35</f>
        <v>#DIV/0!</v>
      </c>
      <c r="G46" s="52" t="e">
        <f>'PROM (Ingles 7°)'!BM35</f>
        <v>#DIV/0!</v>
      </c>
      <c r="H46" s="52" t="e">
        <f>'PROM (Ingles 7°)'!CU35</f>
        <v>#DIV/0!</v>
      </c>
      <c r="I46" s="52" t="e">
        <f t="shared" si="0"/>
        <v>#DIV/0!</v>
      </c>
      <c r="J46" s="62">
        <f>'Asistencia (7°)'!BI33</f>
        <v>0</v>
      </c>
      <c r="K46" s="62">
        <f>'Asistencia (9°)'!BJ33</f>
        <v>0</v>
      </c>
      <c r="L46" s="62">
        <f>'Asistencia (7°)'!BJ33</f>
        <v>0</v>
      </c>
      <c r="M46" s="62">
        <f>'Asistencia (9°)'!BJ76</f>
        <v>0</v>
      </c>
      <c r="N46" s="62">
        <f>'Asistencia (9°)'!BI121</f>
        <v>0</v>
      </c>
      <c r="O46" s="62">
        <f>'Asistencia (9°)'!BJ121</f>
        <v>0</v>
      </c>
      <c r="P46" s="63">
        <f t="shared" si="1"/>
        <v>0</v>
      </c>
      <c r="Q46" s="63">
        <f t="shared" si="2"/>
        <v>0</v>
      </c>
    </row>
    <row r="47" spans="2:17">
      <c r="B47" s="10">
        <v>32</v>
      </c>
      <c r="C47" s="12">
        <f>MAESTRO!B36</f>
        <v>0</v>
      </c>
      <c r="D47" s="17"/>
      <c r="E47" s="17"/>
      <c r="F47" s="52" t="e">
        <f>'PROM (Ingles 7°)'!AE36</f>
        <v>#DIV/0!</v>
      </c>
      <c r="G47" s="52" t="e">
        <f>'PROM (Ingles 7°)'!BM36</f>
        <v>#DIV/0!</v>
      </c>
      <c r="H47" s="52" t="e">
        <f>'PROM (Ingles 7°)'!CU36</f>
        <v>#DIV/0!</v>
      </c>
      <c r="I47" s="52" t="e">
        <f t="shared" si="0"/>
        <v>#DIV/0!</v>
      </c>
      <c r="J47" s="62">
        <f>'Asistencia (7°)'!BI34</f>
        <v>0</v>
      </c>
      <c r="K47" s="62">
        <f>'Asistencia (9°)'!BJ34</f>
        <v>0</v>
      </c>
      <c r="L47" s="62">
        <f>'Asistencia (7°)'!BJ34</f>
        <v>0</v>
      </c>
      <c r="M47" s="62">
        <f>'Asistencia (9°)'!BJ77</f>
        <v>0</v>
      </c>
      <c r="N47" s="62">
        <f>'Asistencia (9°)'!BI122</f>
        <v>0</v>
      </c>
      <c r="O47" s="62">
        <f>'Asistencia (9°)'!BJ122</f>
        <v>0</v>
      </c>
      <c r="P47" s="63">
        <f t="shared" si="1"/>
        <v>0</v>
      </c>
      <c r="Q47" s="63">
        <f t="shared" si="2"/>
        <v>0</v>
      </c>
    </row>
    <row r="48" spans="2:17">
      <c r="B48" s="10">
        <v>33</v>
      </c>
      <c r="C48" s="12">
        <f>MAESTRO!B37</f>
        <v>0</v>
      </c>
      <c r="D48" s="17"/>
      <c r="E48" s="17"/>
      <c r="F48" s="52" t="e">
        <f>'PROM (Ingles 7°)'!AE37</f>
        <v>#DIV/0!</v>
      </c>
      <c r="G48" s="52" t="e">
        <f>'PROM (Ingles 7°)'!BM37</f>
        <v>#DIV/0!</v>
      </c>
      <c r="H48" s="52" t="e">
        <f>'PROM (Ingles 7°)'!CU37</f>
        <v>#DIV/0!</v>
      </c>
      <c r="I48" s="52" t="e">
        <f t="shared" si="0"/>
        <v>#DIV/0!</v>
      </c>
      <c r="J48" s="62">
        <f>'Asistencia (7°)'!BI35</f>
        <v>0</v>
      </c>
      <c r="K48" s="62">
        <f>'Asistencia (9°)'!BJ35</f>
        <v>0</v>
      </c>
      <c r="L48" s="62">
        <f>'Asistencia (7°)'!BJ35</f>
        <v>0</v>
      </c>
      <c r="M48" s="62">
        <f>'Asistencia (9°)'!BJ78</f>
        <v>0</v>
      </c>
      <c r="N48" s="62">
        <f>'Asistencia (9°)'!BI123</f>
        <v>0</v>
      </c>
      <c r="O48" s="62">
        <f>'Asistencia (9°)'!BJ123</f>
        <v>0</v>
      </c>
      <c r="P48" s="63">
        <f t="shared" si="1"/>
        <v>0</v>
      </c>
      <c r="Q48" s="63">
        <f t="shared" si="2"/>
        <v>0</v>
      </c>
    </row>
    <row r="49" spans="2:17">
      <c r="B49" s="10">
        <v>34</v>
      </c>
      <c r="C49" s="12">
        <f>MAESTRO!B38</f>
        <v>0</v>
      </c>
      <c r="D49" s="17"/>
      <c r="E49" s="17"/>
      <c r="F49" s="52" t="e">
        <f>'PROM (Ingles 7°)'!AE38</f>
        <v>#DIV/0!</v>
      </c>
      <c r="G49" s="52" t="e">
        <f>'PROM (Ingles 7°)'!BM38</f>
        <v>#DIV/0!</v>
      </c>
      <c r="H49" s="52" t="e">
        <f>'PROM (Ingles 7°)'!CU38</f>
        <v>#DIV/0!</v>
      </c>
      <c r="I49" s="52" t="e">
        <f t="shared" si="0"/>
        <v>#DIV/0!</v>
      </c>
      <c r="J49" s="62">
        <f>'Asistencia (7°)'!BI36</f>
        <v>0</v>
      </c>
      <c r="K49" s="62">
        <f>'Asistencia (9°)'!BJ36</f>
        <v>0</v>
      </c>
      <c r="L49" s="62">
        <f>'Asistencia (7°)'!BJ36</f>
        <v>0</v>
      </c>
      <c r="M49" s="62">
        <f>'Asistencia (9°)'!BJ79</f>
        <v>0</v>
      </c>
      <c r="N49" s="62">
        <f>'Asistencia (9°)'!BI124</f>
        <v>0</v>
      </c>
      <c r="O49" s="62">
        <f>'Asistencia (9°)'!BJ124</f>
        <v>0</v>
      </c>
      <c r="P49" s="63">
        <f t="shared" si="1"/>
        <v>0</v>
      </c>
      <c r="Q49" s="63">
        <f t="shared" si="2"/>
        <v>0</v>
      </c>
    </row>
    <row r="50" spans="2:17">
      <c r="B50" s="10">
        <v>35</v>
      </c>
      <c r="C50" s="12">
        <f>MAESTRO!B39</f>
        <v>0</v>
      </c>
      <c r="D50" s="17"/>
      <c r="E50" s="17"/>
      <c r="F50" s="52" t="e">
        <f>'PROM (Ingles 7°)'!AE39</f>
        <v>#DIV/0!</v>
      </c>
      <c r="G50" s="52" t="e">
        <f>'PROM (Ingles 7°)'!BM39</f>
        <v>#DIV/0!</v>
      </c>
      <c r="H50" s="52" t="e">
        <f>'PROM (Ingles 7°)'!CU39</f>
        <v>#DIV/0!</v>
      </c>
      <c r="I50" s="52" t="e">
        <f t="shared" si="0"/>
        <v>#DIV/0!</v>
      </c>
      <c r="J50" s="62">
        <f>'Asistencia (7°)'!BI37</f>
        <v>0</v>
      </c>
      <c r="K50" s="62">
        <f>'Asistencia (9°)'!BJ37</f>
        <v>0</v>
      </c>
      <c r="L50" s="62">
        <f>'Asistencia (7°)'!BJ37</f>
        <v>0</v>
      </c>
      <c r="M50" s="62">
        <f>'Asistencia (9°)'!BJ80</f>
        <v>0</v>
      </c>
      <c r="N50" s="62">
        <f>'Asistencia (9°)'!BI125</f>
        <v>0</v>
      </c>
      <c r="O50" s="62">
        <f>'Asistencia (9°)'!BJ125</f>
        <v>0</v>
      </c>
      <c r="P50" s="63">
        <f t="shared" si="1"/>
        <v>0</v>
      </c>
      <c r="Q50" s="63">
        <f t="shared" si="2"/>
        <v>0</v>
      </c>
    </row>
    <row r="51" spans="2:17">
      <c r="B51" s="10">
        <v>36</v>
      </c>
      <c r="C51" s="12">
        <f>MAESTRO!B40</f>
        <v>0</v>
      </c>
      <c r="D51" s="17"/>
      <c r="E51" s="17"/>
      <c r="F51" s="52" t="e">
        <f>'PROM (Ingles 7°)'!AE40</f>
        <v>#DIV/0!</v>
      </c>
      <c r="G51" s="52" t="e">
        <f>'PROM (Ingles 7°)'!BM40</f>
        <v>#DIV/0!</v>
      </c>
      <c r="H51" s="52" t="e">
        <f>'PROM (Ingles 7°)'!CU40</f>
        <v>#DIV/0!</v>
      </c>
      <c r="I51" s="52" t="e">
        <f t="shared" si="0"/>
        <v>#DIV/0!</v>
      </c>
      <c r="J51" s="62">
        <f>'Asistencia (7°)'!BI38</f>
        <v>0</v>
      </c>
      <c r="K51" s="62">
        <f>'Asistencia (9°)'!BJ38</f>
        <v>0</v>
      </c>
      <c r="L51" s="62">
        <f>'Asistencia (7°)'!BJ38</f>
        <v>0</v>
      </c>
      <c r="M51" s="62">
        <f>'Asistencia (9°)'!BJ81</f>
        <v>0</v>
      </c>
      <c r="N51" s="62">
        <f>'Asistencia (9°)'!BI126</f>
        <v>0</v>
      </c>
      <c r="O51" s="62">
        <f>'Asistencia (9°)'!BJ126</f>
        <v>0</v>
      </c>
      <c r="P51" s="63">
        <f t="shared" si="1"/>
        <v>0</v>
      </c>
      <c r="Q51" s="63">
        <f t="shared" si="2"/>
        <v>0</v>
      </c>
    </row>
    <row r="52" spans="2:17">
      <c r="B52" s="10">
        <v>37</v>
      </c>
      <c r="C52" s="12">
        <f>MAESTRO!B41</f>
        <v>0</v>
      </c>
      <c r="D52" s="17"/>
      <c r="E52" s="17"/>
      <c r="F52" s="52" t="e">
        <f>'PROM (Ingles 7°)'!AE41</f>
        <v>#DIV/0!</v>
      </c>
      <c r="G52" s="52" t="e">
        <f>'PROM (Ingles 7°)'!BM41</f>
        <v>#DIV/0!</v>
      </c>
      <c r="H52" s="52" t="e">
        <f>'PROM (Ingles 7°)'!CU41</f>
        <v>#DIV/0!</v>
      </c>
      <c r="I52" s="52" t="e">
        <f t="shared" si="0"/>
        <v>#DIV/0!</v>
      </c>
      <c r="J52" s="62">
        <f>'Asistencia (7°)'!BI39</f>
        <v>0</v>
      </c>
      <c r="K52" s="62">
        <f>'Asistencia (9°)'!BJ39</f>
        <v>0</v>
      </c>
      <c r="L52" s="62">
        <f>'Asistencia (7°)'!BJ39</f>
        <v>0</v>
      </c>
      <c r="M52" s="62">
        <f>'Asistencia (9°)'!BJ82</f>
        <v>0</v>
      </c>
      <c r="N52" s="62">
        <f>'Asistencia (9°)'!BI127</f>
        <v>0</v>
      </c>
      <c r="O52" s="62">
        <f>'Asistencia (9°)'!BJ127</f>
        <v>0</v>
      </c>
      <c r="P52" s="63">
        <f t="shared" si="1"/>
        <v>0</v>
      </c>
      <c r="Q52" s="63">
        <f t="shared" si="2"/>
        <v>0</v>
      </c>
    </row>
    <row r="53" spans="2:17">
      <c r="B53" s="10">
        <v>38</v>
      </c>
      <c r="C53" s="12">
        <f>MAESTRO!B42</f>
        <v>0</v>
      </c>
      <c r="D53" s="17"/>
      <c r="E53" s="17"/>
      <c r="F53" s="52"/>
      <c r="G53" s="52"/>
      <c r="H53" s="52"/>
      <c r="I53" s="52"/>
      <c r="J53" s="62">
        <f>'Asistencia (7°)'!BI40</f>
        <v>0</v>
      </c>
      <c r="K53" s="62"/>
      <c r="L53" s="62">
        <f>'Asistencia (7°)'!BJ40</f>
        <v>0</v>
      </c>
      <c r="M53" s="62"/>
      <c r="N53" s="62"/>
      <c r="O53" s="62"/>
      <c r="P53" s="63"/>
      <c r="Q53" s="63"/>
    </row>
    <row r="54" spans="2:17">
      <c r="B54" s="10">
        <v>39</v>
      </c>
      <c r="C54" s="12">
        <f>MAESTRO!B43</f>
        <v>0</v>
      </c>
      <c r="D54" s="17"/>
      <c r="E54" s="18"/>
      <c r="F54" s="52"/>
      <c r="G54" s="52"/>
      <c r="H54" s="52"/>
      <c r="I54" s="52"/>
      <c r="J54" s="62">
        <f>'Asistencia (7°)'!BI41</f>
        <v>0</v>
      </c>
      <c r="K54" s="62"/>
      <c r="L54" s="62">
        <f>'Asistencia (7°)'!BJ41</f>
        <v>0</v>
      </c>
      <c r="M54" s="62"/>
      <c r="N54" s="62"/>
      <c r="O54" s="62"/>
      <c r="P54" s="63"/>
      <c r="Q54" s="63"/>
    </row>
    <row r="55" spans="2:17">
      <c r="B55" s="10"/>
      <c r="C55" s="12">
        <f>MAESTRO!B44</f>
        <v>0</v>
      </c>
      <c r="D55" s="17"/>
      <c r="E55" s="18"/>
      <c r="F55" s="52"/>
      <c r="G55" s="52"/>
      <c r="H55" s="52"/>
      <c r="I55" s="52"/>
      <c r="J55" s="62">
        <f>'Asistencia (7°)'!BI42</f>
        <v>0</v>
      </c>
      <c r="K55" s="62"/>
      <c r="L55" s="62">
        <f>'Asistencia (7°)'!BJ42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G14:G15"/>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s>
  <conditionalFormatting sqref="F16:I52">
    <cfRule type="cellIs" dxfId="18" priority="1" operator="lessThan">
      <formula>3</formula>
    </cfRule>
  </conditionalFormatting>
  <pageMargins left="0.25" right="4.9479166666666657E-2" top="0.75" bottom="0.75" header="0.3" footer="0.3"/>
  <pageSetup orientation="portrait" horizontalDpi="4294967293"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13">
    <tabColor rgb="FF4472C4"/>
  </sheetPr>
  <dimension ref="A1:EE49"/>
  <sheetViews>
    <sheetView view="pageLayout" zoomScale="60" zoomScaleNormal="100" zoomScalePageLayoutView="60" workbookViewId="0">
      <selection activeCell="H12" sqref="H12"/>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110"/>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119</v>
      </c>
      <c r="BQ1" s="251"/>
      <c r="BR1" s="251"/>
      <c r="BS1" s="251"/>
      <c r="BT1" s="251"/>
      <c r="BU1" s="251"/>
      <c r="BV1" s="251"/>
      <c r="BW1" s="251"/>
      <c r="BX1" s="251"/>
      <c r="BY1" s="251"/>
      <c r="BZ1" s="251"/>
      <c r="CA1" s="251"/>
      <c r="CB1" s="251"/>
      <c r="CC1" s="251"/>
      <c r="CD1" s="251"/>
      <c r="CE1" s="251"/>
      <c r="CF1" s="241"/>
      <c r="CG1" s="263" t="s">
        <v>119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111"/>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4"/>
      <c r="H4" s="4"/>
      <c r="I4" s="4"/>
      <c r="J4" s="4"/>
      <c r="K4" s="4"/>
      <c r="L4" s="4"/>
      <c r="M4" s="4"/>
      <c r="N4" s="4"/>
      <c r="O4" s="4"/>
      <c r="P4" s="243"/>
      <c r="Q4" s="112"/>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2"/>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25"/>
      <c r="CL4" s="25"/>
      <c r="CM4" s="25"/>
      <c r="CN4" s="25"/>
      <c r="CO4" s="25"/>
      <c r="CP4" s="2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MAESTRO!B5</f>
        <v>0</v>
      </c>
      <c r="C5" s="5"/>
      <c r="D5" s="5"/>
      <c r="E5" s="5"/>
      <c r="F5" s="5"/>
      <c r="G5" s="5"/>
      <c r="H5" s="5"/>
      <c r="I5" s="5"/>
      <c r="J5" s="5"/>
      <c r="K5" s="5"/>
      <c r="L5" s="5"/>
      <c r="M5" s="5"/>
      <c r="N5" s="5"/>
      <c r="O5" s="5"/>
      <c r="P5" s="5" t="e">
        <f t="shared" ref="P5:P41" si="0">TRUNC(AVERAGE(C5:O5),1)</f>
        <v>#DIV/0!</v>
      </c>
      <c r="Q5" s="109">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c r="CU5" s="5" t="e">
        <f t="shared" ref="CU5:CU41" si="12">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MAESTRO!B6</f>
        <v>0</v>
      </c>
      <c r="C6" s="5"/>
      <c r="D6" s="5"/>
      <c r="E6" s="5"/>
      <c r="F6" s="5"/>
      <c r="G6" s="5"/>
      <c r="H6" s="5"/>
      <c r="I6" s="5"/>
      <c r="J6" s="5"/>
      <c r="K6" s="5"/>
      <c r="L6" s="5"/>
      <c r="M6" s="5"/>
      <c r="N6" s="5"/>
      <c r="O6" s="5"/>
      <c r="P6" s="5" t="e">
        <f t="shared" si="0"/>
        <v>#DIV/0!</v>
      </c>
      <c r="Q6" s="109">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c r="CU6" s="5" t="e">
        <f t="shared" si="12"/>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MAESTRO!B7</f>
        <v>0</v>
      </c>
      <c r="C7" s="5"/>
      <c r="D7" s="5"/>
      <c r="E7" s="5"/>
      <c r="F7" s="5"/>
      <c r="G7" s="5"/>
      <c r="H7" s="5"/>
      <c r="I7" s="5"/>
      <c r="J7" s="5"/>
      <c r="K7" s="5"/>
      <c r="L7" s="5"/>
      <c r="M7" s="5"/>
      <c r="N7" s="5"/>
      <c r="O7" s="5"/>
      <c r="P7" s="5" t="e">
        <f t="shared" si="0"/>
        <v>#DIV/0!</v>
      </c>
      <c r="Q7" s="109">
        <v>3</v>
      </c>
      <c r="R7" s="24"/>
      <c r="S7" s="24"/>
      <c r="T7" s="24"/>
      <c r="U7" s="24"/>
      <c r="V7" s="24"/>
      <c r="W7" s="24"/>
      <c r="X7" s="24"/>
      <c r="Y7" s="24"/>
      <c r="Z7" s="24"/>
      <c r="AA7" s="48" t="e">
        <f t="shared" si="1"/>
        <v>#DIV/0!</v>
      </c>
      <c r="AB7" s="4"/>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c r="CU7" s="5" t="e">
        <f t="shared" si="12"/>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MAESTRO!B8</f>
        <v>0</v>
      </c>
      <c r="C8" s="5"/>
      <c r="D8" s="5"/>
      <c r="E8" s="5"/>
      <c r="F8" s="5"/>
      <c r="G8" s="5"/>
      <c r="H8" s="5"/>
      <c r="I8" s="5"/>
      <c r="J8" s="5"/>
      <c r="K8" s="5"/>
      <c r="L8" s="5"/>
      <c r="M8" s="5"/>
      <c r="N8" s="5"/>
      <c r="O8" s="5"/>
      <c r="P8" s="5" t="e">
        <f t="shared" si="0"/>
        <v>#DIV/0!</v>
      </c>
      <c r="Q8" s="109">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c r="CU8" s="5" t="e">
        <f t="shared" si="12"/>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MAESTRO!B9</f>
        <v>0</v>
      </c>
      <c r="C9" s="5"/>
      <c r="D9" s="5"/>
      <c r="E9" s="5"/>
      <c r="F9" s="5"/>
      <c r="G9" s="5"/>
      <c r="H9" s="5"/>
      <c r="I9" s="5"/>
      <c r="J9" s="5"/>
      <c r="K9" s="5"/>
      <c r="L9" s="5"/>
      <c r="M9" s="5"/>
      <c r="N9" s="5"/>
      <c r="O9" s="5"/>
      <c r="P9" s="5" t="e">
        <f t="shared" si="0"/>
        <v>#DIV/0!</v>
      </c>
      <c r="Q9" s="109">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c r="CU9" s="5" t="e">
        <f t="shared" si="12"/>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MAESTRO!B10</f>
        <v>0</v>
      </c>
      <c r="C10" s="5"/>
      <c r="D10" s="5"/>
      <c r="E10" s="5"/>
      <c r="F10" s="5"/>
      <c r="G10" s="5"/>
      <c r="H10" s="5"/>
      <c r="I10" s="5"/>
      <c r="J10" s="5"/>
      <c r="K10" s="5"/>
      <c r="L10" s="5"/>
      <c r="M10" s="5"/>
      <c r="N10" s="5"/>
      <c r="O10" s="5"/>
      <c r="P10" s="5" t="e">
        <f t="shared" si="0"/>
        <v>#DIV/0!</v>
      </c>
      <c r="Q10" s="109">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c r="CU10" s="5" t="e">
        <f t="shared" si="12"/>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MAESTRO!B11</f>
        <v>0</v>
      </c>
      <c r="C11" s="5"/>
      <c r="D11" s="5"/>
      <c r="E11" s="5"/>
      <c r="F11" s="5"/>
      <c r="G11" s="5"/>
      <c r="H11" s="5"/>
      <c r="I11" s="5"/>
      <c r="J11" s="5"/>
      <c r="K11" s="5"/>
      <c r="L11" s="5"/>
      <c r="M11" s="5"/>
      <c r="N11" s="5"/>
      <c r="O11" s="5"/>
      <c r="P11" s="5" t="e">
        <f t="shared" si="0"/>
        <v>#DIV/0!</v>
      </c>
      <c r="Q11" s="109">
        <v>7</v>
      </c>
      <c r="R11" s="24"/>
      <c r="S11" s="24"/>
      <c r="T11" s="24"/>
      <c r="U11" s="24"/>
      <c r="V11" s="24"/>
      <c r="W11" s="24"/>
      <c r="X11" s="24"/>
      <c r="Y11" s="24"/>
      <c r="Z11" s="24"/>
      <c r="AA11" s="48" t="e">
        <f t="shared" si="1"/>
        <v>#DIV/0!</v>
      </c>
      <c r="AB11" s="4"/>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c r="CU11" s="5" t="e">
        <f t="shared" si="12"/>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MAESTRO!B12</f>
        <v>0</v>
      </c>
      <c r="C12" s="5"/>
      <c r="D12" s="5"/>
      <c r="E12" s="5"/>
      <c r="F12" s="5"/>
      <c r="G12" s="5"/>
      <c r="H12" s="5"/>
      <c r="I12" s="5"/>
      <c r="J12" s="5"/>
      <c r="K12" s="5"/>
      <c r="L12" s="5"/>
      <c r="M12" s="5"/>
      <c r="N12" s="5"/>
      <c r="O12" s="5"/>
      <c r="P12" s="5" t="e">
        <f t="shared" si="0"/>
        <v>#DIV/0!</v>
      </c>
      <c r="Q12" s="109">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c r="CU12" s="5" t="e">
        <f t="shared" si="12"/>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MAESTRO!B13</f>
        <v>0</v>
      </c>
      <c r="C13" s="5"/>
      <c r="D13" s="5"/>
      <c r="E13" s="5"/>
      <c r="F13" s="5"/>
      <c r="G13" s="5"/>
      <c r="H13" s="5"/>
      <c r="I13" s="5"/>
      <c r="J13" s="5"/>
      <c r="K13" s="5"/>
      <c r="L13" s="5"/>
      <c r="M13" s="5"/>
      <c r="N13" s="5"/>
      <c r="O13" s="5"/>
      <c r="P13" s="5" t="e">
        <f t="shared" si="0"/>
        <v>#DIV/0!</v>
      </c>
      <c r="Q13" s="109">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6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c r="CU13" s="5" t="e">
        <f t="shared" si="12"/>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MAESTRO!B14</f>
        <v>0</v>
      </c>
      <c r="C14" s="5"/>
      <c r="D14" s="5"/>
      <c r="E14" s="5"/>
      <c r="F14" s="5"/>
      <c r="G14" s="5"/>
      <c r="H14" s="5"/>
      <c r="I14" s="5"/>
      <c r="J14" s="5"/>
      <c r="K14" s="5"/>
      <c r="L14" s="5"/>
      <c r="M14" s="5"/>
      <c r="N14" s="5"/>
      <c r="O14" s="5"/>
      <c r="P14" s="5" t="e">
        <f t="shared" si="0"/>
        <v>#DIV/0!</v>
      </c>
      <c r="Q14" s="109">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c r="CU14" s="5" t="e">
        <f t="shared" si="12"/>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MAESTRO!B15</f>
        <v>0</v>
      </c>
      <c r="C15" s="5"/>
      <c r="D15" s="5"/>
      <c r="E15" s="5"/>
      <c r="F15" s="5"/>
      <c r="G15" s="5"/>
      <c r="H15" s="5"/>
      <c r="I15" s="5"/>
      <c r="J15" s="5"/>
      <c r="K15" s="5"/>
      <c r="L15" s="5"/>
      <c r="M15" s="5"/>
      <c r="N15" s="5"/>
      <c r="O15" s="5"/>
      <c r="P15" s="5" t="e">
        <f t="shared" si="0"/>
        <v>#DIV/0!</v>
      </c>
      <c r="Q15" s="109">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c r="CU15" s="5" t="e">
        <f t="shared" si="12"/>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MAESTRO!B16</f>
        <v>0</v>
      </c>
      <c r="C16" s="5"/>
      <c r="D16" s="5"/>
      <c r="E16" s="5"/>
      <c r="F16" s="5"/>
      <c r="G16" s="5"/>
      <c r="H16" s="5"/>
      <c r="I16" s="5"/>
      <c r="J16" s="5"/>
      <c r="K16" s="5"/>
      <c r="L16" s="5"/>
      <c r="M16" s="5"/>
      <c r="N16" s="5"/>
      <c r="O16" s="5"/>
      <c r="P16" s="5" t="e">
        <f t="shared" si="0"/>
        <v>#DIV/0!</v>
      </c>
      <c r="Q16" s="109">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c r="CU16" s="5" t="e">
        <f t="shared" si="12"/>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MAESTRO!B17</f>
        <v>0</v>
      </c>
      <c r="C17" s="5"/>
      <c r="D17" s="5"/>
      <c r="E17" s="5"/>
      <c r="F17" s="5"/>
      <c r="G17" s="5"/>
      <c r="H17" s="5"/>
      <c r="I17" s="5"/>
      <c r="J17" s="5"/>
      <c r="K17" s="5"/>
      <c r="L17" s="5"/>
      <c r="M17" s="5"/>
      <c r="N17" s="5"/>
      <c r="O17" s="5"/>
      <c r="P17" s="5" t="e">
        <f t="shared" si="0"/>
        <v>#DIV/0!</v>
      </c>
      <c r="Q17" s="109">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c r="CU17" s="5" t="e">
        <f t="shared" si="12"/>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MAESTRO!B18</f>
        <v>0</v>
      </c>
      <c r="C18" s="5"/>
      <c r="D18" s="5"/>
      <c r="E18" s="5"/>
      <c r="F18" s="5"/>
      <c r="G18" s="5"/>
      <c r="H18" s="5"/>
      <c r="I18" s="5"/>
      <c r="J18" s="5"/>
      <c r="K18" s="5"/>
      <c r="L18" s="5"/>
      <c r="M18" s="5"/>
      <c r="N18" s="5"/>
      <c r="O18" s="5"/>
      <c r="P18" s="5" t="e">
        <f t="shared" si="0"/>
        <v>#DIV/0!</v>
      </c>
      <c r="Q18" s="109">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c r="CU18" s="5" t="e">
        <f t="shared" si="12"/>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MAESTRO!B19</f>
        <v>0</v>
      </c>
      <c r="C19" s="5"/>
      <c r="D19" s="5"/>
      <c r="E19" s="5"/>
      <c r="F19" s="5"/>
      <c r="G19" s="5"/>
      <c r="H19" s="5"/>
      <c r="I19" s="5"/>
      <c r="J19" s="5"/>
      <c r="K19" s="5"/>
      <c r="L19" s="5"/>
      <c r="M19" s="5"/>
      <c r="N19" s="5"/>
      <c r="O19" s="5"/>
      <c r="P19" s="5" t="e">
        <f t="shared" si="0"/>
        <v>#DIV/0!</v>
      </c>
      <c r="Q19" s="109">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c r="CU19" s="5" t="e">
        <f t="shared" si="12"/>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MAESTRO!B20</f>
        <v>0</v>
      </c>
      <c r="C20" s="5"/>
      <c r="D20" s="5"/>
      <c r="E20" s="5"/>
      <c r="F20" s="5"/>
      <c r="G20" s="5"/>
      <c r="H20" s="5"/>
      <c r="I20" s="5"/>
      <c r="J20" s="5"/>
      <c r="K20" s="5"/>
      <c r="L20" s="5"/>
      <c r="M20" s="5"/>
      <c r="N20" s="5"/>
      <c r="O20" s="5"/>
      <c r="P20" s="5" t="e">
        <f t="shared" si="0"/>
        <v>#DIV/0!</v>
      </c>
      <c r="Q20" s="109">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c r="CU20" s="5" t="e">
        <f t="shared" si="12"/>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MAESTRO!B21</f>
        <v>0</v>
      </c>
      <c r="C21" s="5"/>
      <c r="D21" s="5"/>
      <c r="E21" s="5"/>
      <c r="F21" s="5"/>
      <c r="G21" s="5"/>
      <c r="H21" s="5"/>
      <c r="I21" s="5"/>
      <c r="J21" s="5"/>
      <c r="K21" s="5"/>
      <c r="L21" s="5"/>
      <c r="M21" s="5"/>
      <c r="N21" s="5"/>
      <c r="O21" s="5"/>
      <c r="P21" s="5" t="e">
        <f t="shared" si="0"/>
        <v>#DIV/0!</v>
      </c>
      <c r="Q21" s="109">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c r="CU21" s="5" t="e">
        <f t="shared" si="12"/>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MAESTRO!B22</f>
        <v>0</v>
      </c>
      <c r="C22" s="5"/>
      <c r="D22" s="5"/>
      <c r="E22" s="5"/>
      <c r="F22" s="5"/>
      <c r="G22" s="5"/>
      <c r="H22" s="5"/>
      <c r="I22" s="5"/>
      <c r="J22" s="5"/>
      <c r="K22" s="5"/>
      <c r="L22" s="5"/>
      <c r="M22" s="5"/>
      <c r="N22" s="5"/>
      <c r="O22" s="5"/>
      <c r="P22" s="5" t="e">
        <f t="shared" si="0"/>
        <v>#DIV/0!</v>
      </c>
      <c r="Q22" s="109">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c r="CU22" s="5" t="e">
        <f t="shared" si="12"/>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MAESTRO!B23</f>
        <v>0</v>
      </c>
      <c r="C23" s="5"/>
      <c r="D23" s="5"/>
      <c r="E23" s="5"/>
      <c r="F23" s="5"/>
      <c r="G23" s="5"/>
      <c r="H23" s="5"/>
      <c r="I23" s="5"/>
      <c r="J23" s="5"/>
      <c r="K23" s="5"/>
      <c r="L23" s="5"/>
      <c r="M23" s="5"/>
      <c r="N23" s="5"/>
      <c r="O23" s="5"/>
      <c r="P23" s="5" t="e">
        <f t="shared" si="0"/>
        <v>#DIV/0!</v>
      </c>
      <c r="Q23" s="109">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c r="CU23" s="5" t="e">
        <f t="shared" si="12"/>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MAESTRO!B24</f>
        <v>0</v>
      </c>
      <c r="C24" s="5"/>
      <c r="D24" s="5"/>
      <c r="E24" s="5"/>
      <c r="F24" s="5"/>
      <c r="G24" s="5"/>
      <c r="H24" s="5"/>
      <c r="I24" s="5"/>
      <c r="J24" s="5"/>
      <c r="K24" s="5"/>
      <c r="L24" s="5"/>
      <c r="M24" s="5"/>
      <c r="N24" s="5"/>
      <c r="O24" s="5"/>
      <c r="P24" s="5" t="e">
        <f t="shared" si="0"/>
        <v>#DIV/0!</v>
      </c>
      <c r="Q24" s="109">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107"/>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c r="CU24" s="5" t="e">
        <f t="shared" si="12"/>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MAESTRO!B25</f>
        <v>0</v>
      </c>
      <c r="C25" s="5"/>
      <c r="D25" s="103"/>
      <c r="E25" s="5"/>
      <c r="F25" s="5"/>
      <c r="G25" s="5"/>
      <c r="H25" s="5"/>
      <c r="I25" s="5"/>
      <c r="J25" s="5"/>
      <c r="K25" s="5"/>
      <c r="L25" s="5"/>
      <c r="M25" s="5"/>
      <c r="N25" s="5"/>
      <c r="O25" s="5"/>
      <c r="P25" s="5" t="e">
        <f t="shared" si="0"/>
        <v>#DIV/0!</v>
      </c>
      <c r="Q25" s="109">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107"/>
      <c r="AL25" s="65"/>
      <c r="AM25" s="65"/>
      <c r="AN25" s="65"/>
      <c r="AO25" s="10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c r="CU25" s="5" t="e">
        <f t="shared" si="12"/>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MAESTRO!B26</f>
        <v>0</v>
      </c>
      <c r="C26" s="5"/>
      <c r="D26" s="103"/>
      <c r="E26" s="5"/>
      <c r="F26" s="5"/>
      <c r="G26" s="5"/>
      <c r="H26" s="5"/>
      <c r="I26" s="5"/>
      <c r="J26" s="5"/>
      <c r="K26" s="5"/>
      <c r="L26" s="5"/>
      <c r="M26" s="5"/>
      <c r="N26" s="5"/>
      <c r="O26" s="5"/>
      <c r="P26" s="5" t="e">
        <f t="shared" si="0"/>
        <v>#DIV/0!</v>
      </c>
      <c r="Q26" s="109">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107"/>
      <c r="AL26" s="65"/>
      <c r="AM26" s="105"/>
      <c r="AN26" s="65"/>
      <c r="AO26" s="10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5"/>
      <c r="BT26" s="103"/>
      <c r="BU26" s="103"/>
      <c r="BV26" s="5"/>
      <c r="BW26" s="104"/>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c r="CU26" s="5" t="e">
        <f t="shared" si="12"/>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MAESTRO!B27</f>
        <v>0</v>
      </c>
      <c r="C27" s="5"/>
      <c r="D27" s="103"/>
      <c r="E27" s="5"/>
      <c r="F27" s="5"/>
      <c r="G27" s="5"/>
      <c r="H27" s="5"/>
      <c r="I27" s="5"/>
      <c r="J27" s="5"/>
      <c r="K27" s="5"/>
      <c r="L27" s="5"/>
      <c r="M27" s="5"/>
      <c r="N27" s="5"/>
      <c r="O27" s="5"/>
      <c r="P27" s="5" t="e">
        <f t="shared" si="0"/>
        <v>#DIV/0!</v>
      </c>
      <c r="Q27" s="109">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107"/>
      <c r="AL27" s="65"/>
      <c r="AM27" s="105"/>
      <c r="AN27" s="65"/>
      <c r="AO27" s="10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5"/>
      <c r="BT27" s="103"/>
      <c r="BU27" s="103"/>
      <c r="BV27" s="5"/>
      <c r="BW27" s="104"/>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c r="CU27" s="5" t="e">
        <f t="shared" si="12"/>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MAESTRO!B28</f>
        <v>0</v>
      </c>
      <c r="C28" s="5"/>
      <c r="D28" s="103"/>
      <c r="E28" s="103"/>
      <c r="F28" s="5"/>
      <c r="G28" s="5"/>
      <c r="H28" s="5"/>
      <c r="I28" s="5"/>
      <c r="J28" s="5"/>
      <c r="K28" s="5"/>
      <c r="L28" s="5"/>
      <c r="M28" s="5"/>
      <c r="N28" s="5"/>
      <c r="O28" s="5"/>
      <c r="P28" s="5" t="e">
        <f t="shared" si="0"/>
        <v>#DIV/0!</v>
      </c>
      <c r="Q28" s="109">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107"/>
      <c r="AL28" s="105"/>
      <c r="AM28" s="105"/>
      <c r="AN28" s="105"/>
      <c r="AO28" s="105"/>
      <c r="AP28" s="10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5"/>
      <c r="BT28" s="103"/>
      <c r="BU28" s="103"/>
      <c r="BV28" s="5"/>
      <c r="BW28" s="104"/>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c r="CU28" s="5" t="e">
        <f t="shared" si="12"/>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MAESTRO!B29</f>
        <v>0</v>
      </c>
      <c r="C29" s="5"/>
      <c r="D29" s="103"/>
      <c r="E29" s="103"/>
      <c r="F29" s="103"/>
      <c r="G29" s="5"/>
      <c r="H29" s="5"/>
      <c r="I29" s="5"/>
      <c r="J29" s="5"/>
      <c r="K29" s="5"/>
      <c r="L29" s="5"/>
      <c r="M29" s="5"/>
      <c r="N29" s="5"/>
      <c r="O29" s="5"/>
      <c r="P29" s="5" t="e">
        <f t="shared" si="0"/>
        <v>#DIV/0!</v>
      </c>
      <c r="Q29" s="109">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107"/>
      <c r="AL29" s="105"/>
      <c r="AM29" s="105"/>
      <c r="AN29" s="105"/>
      <c r="AO29" s="105"/>
      <c r="AP29" s="10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5"/>
      <c r="BT29" s="103"/>
      <c r="BU29" s="103"/>
      <c r="BV29" s="5"/>
      <c r="BW29" s="104"/>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c r="CU29" s="5" t="e">
        <f t="shared" si="12"/>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MAESTRO!B30</f>
        <v>0</v>
      </c>
      <c r="C30" s="5"/>
      <c r="D30" s="103"/>
      <c r="E30" s="103"/>
      <c r="F30" s="103"/>
      <c r="G30" s="5"/>
      <c r="H30" s="5"/>
      <c r="I30" s="5"/>
      <c r="J30" s="5"/>
      <c r="K30" s="5"/>
      <c r="L30" s="5"/>
      <c r="M30" s="5"/>
      <c r="N30" s="5"/>
      <c r="O30" s="5"/>
      <c r="P30" s="5" t="e">
        <f t="shared" si="0"/>
        <v>#DIV/0!</v>
      </c>
      <c r="Q30" s="109">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107"/>
      <c r="AL30" s="105"/>
      <c r="AM30" s="105"/>
      <c r="AN30" s="105"/>
      <c r="AO30" s="105"/>
      <c r="AP30" s="10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103"/>
      <c r="BT30" s="103"/>
      <c r="BU30" s="103"/>
      <c r="BV30" s="103"/>
      <c r="BW30" s="104"/>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c r="CU30" s="5" t="e">
        <f t="shared" si="12"/>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MAESTRO!B31</f>
        <v>0</v>
      </c>
      <c r="C31" s="5"/>
      <c r="D31" s="103"/>
      <c r="E31" s="103"/>
      <c r="F31" s="103"/>
      <c r="G31" s="5"/>
      <c r="H31" s="5"/>
      <c r="I31" s="5"/>
      <c r="J31" s="5"/>
      <c r="K31" s="5"/>
      <c r="L31" s="5"/>
      <c r="M31" s="5"/>
      <c r="N31" s="5"/>
      <c r="O31" s="5"/>
      <c r="P31" s="5" t="e">
        <f t="shared" si="0"/>
        <v>#DIV/0!</v>
      </c>
      <c r="Q31" s="109">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7"/>
      <c r="AL31" s="105"/>
      <c r="AM31" s="105"/>
      <c r="AN31" s="105"/>
      <c r="AO31" s="105"/>
      <c r="AP31" s="10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103"/>
      <c r="BW31" s="104"/>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c r="CU31" s="5" t="e">
        <f t="shared" si="12"/>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MAESTRO!B32</f>
        <v>0</v>
      </c>
      <c r="C32" s="5"/>
      <c r="D32" s="103"/>
      <c r="E32" s="103"/>
      <c r="F32" s="103"/>
      <c r="G32" s="5"/>
      <c r="H32" s="5"/>
      <c r="I32" s="5"/>
      <c r="J32" s="5"/>
      <c r="K32" s="5"/>
      <c r="L32" s="5"/>
      <c r="M32" s="5"/>
      <c r="N32" s="5"/>
      <c r="O32" s="5"/>
      <c r="P32" s="5" t="e">
        <f t="shared" si="0"/>
        <v>#DIV/0!</v>
      </c>
      <c r="Q32" s="109">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7"/>
      <c r="AL32" s="105"/>
      <c r="AM32" s="105"/>
      <c r="AN32" s="105"/>
      <c r="AO32" s="105"/>
      <c r="AP32" s="10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103"/>
      <c r="BW32" s="104"/>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c r="CU32" s="5" t="e">
        <f t="shared" si="12"/>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MAESTRO!B33</f>
        <v>0</v>
      </c>
      <c r="C33" s="103"/>
      <c r="D33" s="103"/>
      <c r="E33" s="103"/>
      <c r="F33" s="103"/>
      <c r="G33" s="5"/>
      <c r="H33" s="5"/>
      <c r="I33" s="5"/>
      <c r="J33" s="5"/>
      <c r="K33" s="5"/>
      <c r="L33" s="5"/>
      <c r="M33" s="5"/>
      <c r="N33" s="5"/>
      <c r="O33" s="5"/>
      <c r="P33" s="5" t="e">
        <f t="shared" si="0"/>
        <v>#DIV/0!</v>
      </c>
      <c r="Q33" s="109">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7"/>
      <c r="AL33" s="105"/>
      <c r="AM33" s="105"/>
      <c r="AN33" s="105"/>
      <c r="AO33" s="105"/>
      <c r="AP33" s="10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103"/>
      <c r="BW33" s="104"/>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c r="CU33" s="5" t="e">
        <f t="shared" si="12"/>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MAESTRO!B34</f>
        <v>0</v>
      </c>
      <c r="C34" s="103"/>
      <c r="D34" s="103"/>
      <c r="E34" s="103"/>
      <c r="F34" s="103"/>
      <c r="G34" s="5"/>
      <c r="H34" s="5"/>
      <c r="I34" s="5"/>
      <c r="J34" s="5"/>
      <c r="K34" s="5"/>
      <c r="L34" s="5"/>
      <c r="M34" s="5"/>
      <c r="N34" s="5"/>
      <c r="O34" s="5"/>
      <c r="P34" s="5" t="e">
        <f t="shared" si="0"/>
        <v>#DIV/0!</v>
      </c>
      <c r="Q34" s="109">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7"/>
      <c r="AL34" s="105"/>
      <c r="AM34" s="105"/>
      <c r="AN34" s="105"/>
      <c r="AO34" s="105"/>
      <c r="AP34" s="10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103"/>
      <c r="BW34" s="104"/>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c r="CU34" s="5" t="e">
        <f t="shared" si="12"/>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MAESTRO!B35</f>
        <v>0</v>
      </c>
      <c r="C35" s="103"/>
      <c r="D35" s="103"/>
      <c r="E35" s="103"/>
      <c r="F35" s="103"/>
      <c r="G35" s="5"/>
      <c r="H35" s="5"/>
      <c r="I35" s="5"/>
      <c r="J35" s="5"/>
      <c r="K35" s="5"/>
      <c r="L35" s="5"/>
      <c r="M35" s="5"/>
      <c r="N35" s="5"/>
      <c r="O35" s="5"/>
      <c r="P35" s="5" t="e">
        <f t="shared" si="0"/>
        <v>#DIV/0!</v>
      </c>
      <c r="Q35" s="109">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7"/>
      <c r="AL35" s="105"/>
      <c r="AM35" s="105"/>
      <c r="AN35" s="105"/>
      <c r="AO35" s="105"/>
      <c r="AP35" s="10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103"/>
      <c r="BW35" s="104"/>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c r="CU35" s="5" t="e">
        <f t="shared" si="12"/>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MAESTRO!B36</f>
        <v>0</v>
      </c>
      <c r="C36" s="103"/>
      <c r="D36" s="103"/>
      <c r="E36" s="103"/>
      <c r="F36" s="103"/>
      <c r="G36" s="5"/>
      <c r="H36" s="5"/>
      <c r="I36" s="5"/>
      <c r="J36" s="5"/>
      <c r="K36" s="5"/>
      <c r="L36" s="5"/>
      <c r="M36" s="5"/>
      <c r="N36" s="5"/>
      <c r="O36" s="5"/>
      <c r="P36" s="5" t="e">
        <f t="shared" si="0"/>
        <v>#DIV/0!</v>
      </c>
      <c r="Q36" s="109">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7"/>
      <c r="AL36" s="105"/>
      <c r="AM36" s="105"/>
      <c r="AN36" s="105"/>
      <c r="AO36" s="105"/>
      <c r="AP36" s="10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103"/>
      <c r="BW36" s="104"/>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c r="CU36" s="5" t="e">
        <f t="shared" si="12"/>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MAESTRO!B37</f>
        <v>0</v>
      </c>
      <c r="C37" s="103"/>
      <c r="D37" s="103"/>
      <c r="E37" s="103"/>
      <c r="F37" s="103"/>
      <c r="G37" s="5"/>
      <c r="H37" s="5"/>
      <c r="I37" s="5"/>
      <c r="J37" s="5"/>
      <c r="K37" s="5"/>
      <c r="L37" s="5"/>
      <c r="M37" s="5"/>
      <c r="N37" s="5"/>
      <c r="O37" s="5"/>
      <c r="P37" s="5" t="e">
        <f t="shared" si="0"/>
        <v>#DIV/0!</v>
      </c>
      <c r="Q37" s="109">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7"/>
      <c r="AL37" s="105"/>
      <c r="AM37" s="105"/>
      <c r="AN37" s="105"/>
      <c r="AO37" s="105"/>
      <c r="AP37" s="10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103"/>
      <c r="BW37" s="104"/>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c r="CU37" s="5" t="e">
        <f t="shared" si="12"/>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MAESTRO!B38</f>
        <v>0</v>
      </c>
      <c r="C38" s="103"/>
      <c r="D38" s="103"/>
      <c r="E38" s="103"/>
      <c r="F38" s="103"/>
      <c r="G38" s="5"/>
      <c r="H38" s="5"/>
      <c r="I38" s="5"/>
      <c r="J38" s="5"/>
      <c r="K38" s="5"/>
      <c r="L38" s="5"/>
      <c r="M38" s="5"/>
      <c r="N38" s="5"/>
      <c r="O38" s="5"/>
      <c r="P38" s="5" t="e">
        <f t="shared" si="0"/>
        <v>#DIV/0!</v>
      </c>
      <c r="Q38" s="109">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7"/>
      <c r="AL38" s="105"/>
      <c r="AM38" s="105"/>
      <c r="AN38" s="105"/>
      <c r="AO38" s="105"/>
      <c r="AP38" s="10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103"/>
      <c r="BW38" s="104"/>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c r="CU38" s="5" t="e">
        <f t="shared" si="12"/>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MAESTRO!B39</f>
        <v>0</v>
      </c>
      <c r="C39" s="103"/>
      <c r="D39" s="103"/>
      <c r="E39" s="103"/>
      <c r="F39" s="103"/>
      <c r="G39" s="5"/>
      <c r="H39" s="5"/>
      <c r="I39" s="5"/>
      <c r="J39" s="5"/>
      <c r="K39" s="5"/>
      <c r="L39" s="5"/>
      <c r="M39" s="5"/>
      <c r="N39" s="5"/>
      <c r="O39" s="5"/>
      <c r="P39" s="5" t="e">
        <f t="shared" si="0"/>
        <v>#DIV/0!</v>
      </c>
      <c r="Q39" s="109">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7"/>
      <c r="AL39" s="105"/>
      <c r="AM39" s="105"/>
      <c r="AN39" s="105"/>
      <c r="AO39" s="105"/>
      <c r="AP39" s="10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103"/>
      <c r="BW39" s="104"/>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c r="CU39" s="5" t="e">
        <f t="shared" si="12"/>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MAESTRO!B40</f>
        <v>0</v>
      </c>
      <c r="C40" s="103"/>
      <c r="D40" s="103"/>
      <c r="E40" s="103"/>
      <c r="F40" s="103"/>
      <c r="G40" s="5"/>
      <c r="H40" s="5"/>
      <c r="I40" s="5"/>
      <c r="J40" s="5"/>
      <c r="K40" s="5"/>
      <c r="L40" s="5"/>
      <c r="M40" s="5"/>
      <c r="N40" s="5"/>
      <c r="O40" s="5"/>
      <c r="P40" s="5" t="e">
        <f t="shared" si="0"/>
        <v>#DIV/0!</v>
      </c>
      <c r="Q40" s="109">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7"/>
      <c r="AL40" s="105"/>
      <c r="AM40" s="105"/>
      <c r="AN40" s="105"/>
      <c r="AO40" s="105"/>
      <c r="AP40" s="10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103"/>
      <c r="BW40" s="104"/>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c r="CU40" s="5" t="e">
        <f t="shared" si="12"/>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MAESTRO!B41</f>
        <v>0</v>
      </c>
      <c r="C41" s="103"/>
      <c r="D41" s="103"/>
      <c r="E41" s="103"/>
      <c r="F41" s="103"/>
      <c r="G41" s="5"/>
      <c r="H41" s="5"/>
      <c r="I41" s="5"/>
      <c r="J41" s="5"/>
      <c r="K41" s="5"/>
      <c r="L41" s="5"/>
      <c r="M41" s="5"/>
      <c r="N41" s="5"/>
      <c r="O41" s="5"/>
      <c r="P41" s="5" t="e">
        <f t="shared" si="0"/>
        <v>#DIV/0!</v>
      </c>
      <c r="Q41" s="109">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7"/>
      <c r="AL41" s="105"/>
      <c r="AM41" s="105"/>
      <c r="AN41" s="105"/>
      <c r="AO41" s="105"/>
      <c r="AP41" s="10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103"/>
      <c r="BW41" s="104"/>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c r="CU41" s="5" t="e">
        <f t="shared" si="12"/>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MAESTRO!B42</f>
        <v>0</v>
      </c>
      <c r="C42" s="103"/>
      <c r="D42" s="103"/>
      <c r="E42" s="103"/>
      <c r="F42" s="103"/>
      <c r="G42" s="5"/>
      <c r="H42" s="5"/>
      <c r="I42" s="5"/>
      <c r="J42" s="5"/>
      <c r="K42" s="5"/>
      <c r="L42" s="5"/>
      <c r="M42" s="5"/>
      <c r="N42" s="5"/>
      <c r="O42" s="5"/>
      <c r="P42" s="5"/>
      <c r="Q42" s="109">
        <v>38</v>
      </c>
      <c r="R42" s="104"/>
      <c r="S42" s="104"/>
      <c r="T42" s="24"/>
      <c r="U42" s="24"/>
      <c r="V42" s="24"/>
      <c r="W42" s="24"/>
      <c r="X42" s="24"/>
      <c r="Y42" s="24"/>
      <c r="Z42" s="24"/>
      <c r="AA42" s="48"/>
      <c r="AB42" s="4"/>
      <c r="AC42" s="45"/>
      <c r="AD42" s="5"/>
      <c r="AE42" s="47"/>
      <c r="AF42" s="4"/>
      <c r="AG42" s="4">
        <v>38</v>
      </c>
      <c r="AH42" s="4">
        <v>38</v>
      </c>
      <c r="AI42" s="255"/>
      <c r="AJ42" s="241"/>
      <c r="AK42" s="107"/>
      <c r="AL42" s="105"/>
      <c r="AM42" s="105"/>
      <c r="AN42" s="105"/>
      <c r="AO42" s="105"/>
      <c r="AP42" s="10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103"/>
      <c r="BW42" s="104"/>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MAESTRO!B43</f>
        <v>0</v>
      </c>
      <c r="C43" s="103"/>
      <c r="D43" s="103"/>
      <c r="E43" s="103"/>
      <c r="F43" s="103"/>
      <c r="G43" s="5"/>
      <c r="H43" s="5"/>
      <c r="I43" s="5"/>
      <c r="J43" s="5"/>
      <c r="K43" s="5"/>
      <c r="L43" s="5"/>
      <c r="M43" s="5"/>
      <c r="N43" s="5"/>
      <c r="O43" s="5"/>
      <c r="P43" s="5"/>
      <c r="Q43" s="109">
        <v>39</v>
      </c>
      <c r="R43" s="104"/>
      <c r="S43" s="104"/>
      <c r="T43" s="24"/>
      <c r="U43" s="24"/>
      <c r="V43" s="24"/>
      <c r="W43" s="24"/>
      <c r="X43" s="24"/>
      <c r="Y43" s="24"/>
      <c r="Z43" s="24"/>
      <c r="AA43" s="48"/>
      <c r="AB43" s="4"/>
      <c r="AC43" s="45"/>
      <c r="AD43" s="5"/>
      <c r="AE43" s="47"/>
      <c r="AF43" s="4"/>
      <c r="AG43" s="4">
        <v>39</v>
      </c>
      <c r="AH43" s="4">
        <v>39</v>
      </c>
      <c r="AI43" s="255"/>
      <c r="AJ43" s="241"/>
      <c r="AK43" s="107"/>
      <c r="AL43" s="105"/>
      <c r="AM43" s="105"/>
      <c r="AN43" s="105"/>
      <c r="AO43" s="105"/>
      <c r="AP43" s="10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103"/>
      <c r="BW43" s="104"/>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MAESTRO!B44</f>
        <v>0</v>
      </c>
      <c r="C44" s="103"/>
      <c r="D44" s="103"/>
      <c r="E44" s="103"/>
      <c r="F44" s="103"/>
      <c r="G44" s="93"/>
      <c r="H44" s="93"/>
      <c r="I44" s="93"/>
      <c r="J44" s="93"/>
      <c r="K44" s="5"/>
      <c r="L44" s="5"/>
      <c r="M44" s="5"/>
      <c r="N44" s="5"/>
      <c r="O44" s="5"/>
      <c r="P44" s="5"/>
      <c r="Q44" s="109">
        <v>40</v>
      </c>
      <c r="R44" s="104"/>
      <c r="S44" s="104"/>
      <c r="T44" s="93"/>
      <c r="U44" s="93"/>
      <c r="V44" s="93"/>
      <c r="W44" s="93"/>
      <c r="X44" s="93"/>
      <c r="Y44" s="93"/>
      <c r="Z44" s="93"/>
      <c r="AA44" s="24"/>
      <c r="AB44" s="24"/>
      <c r="AC44" s="24"/>
      <c r="AD44" s="24"/>
      <c r="AE44" s="24"/>
      <c r="AF44" s="4"/>
      <c r="AG44" s="4">
        <v>40</v>
      </c>
      <c r="AH44" s="4">
        <v>40</v>
      </c>
      <c r="AI44" s="255"/>
      <c r="AJ44" s="241"/>
      <c r="AK44" s="107"/>
      <c r="AL44" s="105"/>
      <c r="AM44" s="105"/>
      <c r="AN44" s="105"/>
      <c r="AO44" s="105"/>
      <c r="AP44" s="105"/>
      <c r="AQ44" s="4"/>
      <c r="AR44" s="4"/>
      <c r="AS44" s="4"/>
      <c r="AT44" s="4"/>
      <c r="AU44" s="4"/>
      <c r="AV44" s="4"/>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103"/>
      <c r="BW44" s="104"/>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103"/>
      <c r="G45" s="93"/>
      <c r="H45" s="93"/>
      <c r="I45" s="93"/>
      <c r="J45" s="93"/>
      <c r="K45" s="5"/>
      <c r="L45" s="5"/>
      <c r="M45" s="5"/>
      <c r="N45" s="5"/>
      <c r="O45" s="5"/>
      <c r="P45" s="5"/>
      <c r="Q45" s="109">
        <v>41</v>
      </c>
      <c r="R45" s="104"/>
      <c r="S45" s="104"/>
      <c r="T45" s="93"/>
      <c r="U45" s="93"/>
      <c r="V45" s="93"/>
      <c r="W45" s="93"/>
      <c r="X45" s="93"/>
      <c r="Y45" s="93"/>
      <c r="Z45" s="93"/>
      <c r="AA45" s="24"/>
      <c r="AB45" s="24"/>
      <c r="AC45" s="24"/>
      <c r="AD45" s="24"/>
      <c r="AE45" s="24"/>
      <c r="AF45" s="4"/>
      <c r="AG45" s="4">
        <v>41</v>
      </c>
      <c r="AH45" s="4">
        <v>41</v>
      </c>
      <c r="AI45" s="255"/>
      <c r="AJ45" s="241"/>
      <c r="AK45" s="107"/>
      <c r="AL45" s="105"/>
      <c r="AM45" s="105"/>
      <c r="AN45" s="105"/>
      <c r="AO45" s="105"/>
      <c r="AP45" s="105"/>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103"/>
      <c r="BW45" s="104"/>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103"/>
      <c r="G46" s="93"/>
      <c r="H46" s="93"/>
      <c r="I46" s="93"/>
      <c r="J46" s="93"/>
      <c r="K46" s="5"/>
      <c r="L46" s="5"/>
      <c r="M46" s="5"/>
      <c r="N46" s="5"/>
      <c r="O46" s="5"/>
      <c r="P46" s="5"/>
      <c r="Q46" s="109">
        <v>42</v>
      </c>
      <c r="R46" s="104"/>
      <c r="S46" s="104"/>
      <c r="T46" s="93"/>
      <c r="U46" s="93"/>
      <c r="V46" s="93"/>
      <c r="W46" s="93"/>
      <c r="X46" s="93"/>
      <c r="Y46" s="93"/>
      <c r="Z46" s="93"/>
      <c r="AA46" s="24"/>
      <c r="AB46" s="24"/>
      <c r="AC46" s="24"/>
      <c r="AD46" s="24"/>
      <c r="AE46" s="24"/>
      <c r="AF46" s="4"/>
      <c r="AG46" s="4">
        <v>42</v>
      </c>
      <c r="AH46" s="4">
        <v>42</v>
      </c>
      <c r="AI46" s="255"/>
      <c r="AJ46" s="241"/>
      <c r="AK46" s="107"/>
      <c r="AL46" s="105"/>
      <c r="AM46" s="105"/>
      <c r="AN46" s="105"/>
      <c r="AO46" s="105"/>
      <c r="AP46" s="105"/>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103"/>
      <c r="BW46" s="104"/>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103"/>
      <c r="G47" s="93"/>
      <c r="H47" s="93"/>
      <c r="I47" s="93"/>
      <c r="J47" s="93"/>
      <c r="K47" s="5"/>
      <c r="L47" s="5"/>
      <c r="M47" s="5"/>
      <c r="N47" s="5"/>
      <c r="O47" s="5"/>
      <c r="P47" s="5"/>
      <c r="Q47" s="109">
        <v>43</v>
      </c>
      <c r="R47" s="104"/>
      <c r="S47" s="104"/>
      <c r="T47" s="93"/>
      <c r="U47" s="93"/>
      <c r="V47" s="93"/>
      <c r="W47" s="93"/>
      <c r="X47" s="93"/>
      <c r="Y47" s="93"/>
      <c r="Z47" s="93"/>
      <c r="AA47" s="24"/>
      <c r="AB47" s="24"/>
      <c r="AC47" s="24"/>
      <c r="AD47" s="24"/>
      <c r="AE47" s="24"/>
      <c r="AF47" s="4"/>
      <c r="AG47" s="4">
        <v>43</v>
      </c>
      <c r="AH47" s="4">
        <v>43</v>
      </c>
      <c r="AI47" s="255"/>
      <c r="AJ47" s="241"/>
      <c r="AK47" s="107"/>
      <c r="AL47" s="105"/>
      <c r="AM47" s="105"/>
      <c r="AN47" s="105"/>
      <c r="AO47" s="105"/>
      <c r="AP47" s="105"/>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103"/>
      <c r="BW47" s="104"/>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103"/>
      <c r="G48" s="93"/>
      <c r="H48" s="93"/>
      <c r="I48" s="93"/>
      <c r="J48" s="93"/>
      <c r="K48" s="5"/>
      <c r="L48" s="5"/>
      <c r="M48" s="5"/>
      <c r="N48" s="5"/>
      <c r="O48" s="5"/>
      <c r="P48" s="5"/>
      <c r="Q48" s="109">
        <v>44</v>
      </c>
      <c r="R48" s="104"/>
      <c r="S48" s="104"/>
      <c r="T48" s="93"/>
      <c r="U48" s="93"/>
      <c r="V48" s="93"/>
      <c r="W48" s="93"/>
      <c r="X48" s="93"/>
      <c r="Y48" s="93"/>
      <c r="Z48" s="93"/>
      <c r="AA48" s="24"/>
      <c r="AB48" s="24"/>
      <c r="AC48" s="24"/>
      <c r="AD48" s="24"/>
      <c r="AE48" s="24"/>
      <c r="AF48" s="4"/>
      <c r="AG48" s="4">
        <v>44</v>
      </c>
      <c r="AH48" s="4">
        <v>44</v>
      </c>
      <c r="AI48" s="255"/>
      <c r="AJ48" s="241"/>
      <c r="AK48" s="107"/>
      <c r="AL48" s="105"/>
      <c r="AM48" s="105"/>
      <c r="AN48" s="105"/>
      <c r="AO48" s="105"/>
      <c r="AP48" s="105"/>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103"/>
      <c r="BW48" s="104"/>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4"/>
      <c r="E49" s="93"/>
      <c r="F49" s="93"/>
      <c r="G49" s="93"/>
      <c r="H49" s="93"/>
      <c r="I49" s="93"/>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98"/>
      <c r="AN49" s="98"/>
      <c r="AO49" s="98"/>
      <c r="AP49" s="98"/>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5"/>
      <c r="BU49" s="95"/>
      <c r="BV49" s="95"/>
      <c r="BW49" s="95"/>
      <c r="BX49" s="5"/>
      <c r="BY49" s="5"/>
      <c r="BZ49" s="5"/>
      <c r="CA49" s="5"/>
      <c r="CB49" s="5"/>
      <c r="CC49" s="5"/>
      <c r="CD49" s="5"/>
      <c r="CE49" s="5"/>
      <c r="CF49" s="5" t="e">
        <f>TRUNC(AVERAGE(BS49:CE49),1)</f>
        <v>#DIV/0!</v>
      </c>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1">
    <mergeCell ref="AI12:AJ12"/>
    <mergeCell ref="AI21:AJ21"/>
    <mergeCell ref="CY34:CZ34"/>
    <mergeCell ref="AI23:AJ23"/>
    <mergeCell ref="EC3:EC4"/>
    <mergeCell ref="A2:P2"/>
    <mergeCell ref="R2:AG2"/>
    <mergeCell ref="AI9:AJ9"/>
    <mergeCell ref="CY10:CZ10"/>
    <mergeCell ref="DO2:EE2"/>
    <mergeCell ref="AI3:AJ4"/>
    <mergeCell ref="BQ26:BR26"/>
    <mergeCell ref="A3:A4"/>
    <mergeCell ref="CY29:CZ29"/>
    <mergeCell ref="R3:Z3"/>
    <mergeCell ref="BQ16:BR16"/>
    <mergeCell ref="CY16:CZ16"/>
    <mergeCell ref="BQ25:BR25"/>
    <mergeCell ref="BP2:CF2"/>
    <mergeCell ref="CX2:DN2"/>
    <mergeCell ref="AI20:AJ20"/>
    <mergeCell ref="CY9:CZ9"/>
    <mergeCell ref="AA3:AA4"/>
    <mergeCell ref="CY20:CZ20"/>
    <mergeCell ref="AK3:AW3"/>
    <mergeCell ref="AI22:AJ22"/>
    <mergeCell ref="CY42:CZ42"/>
    <mergeCell ref="CY47:CZ47"/>
    <mergeCell ref="BQ38:BR38"/>
    <mergeCell ref="AH1:AX1"/>
    <mergeCell ref="AI45:AJ45"/>
    <mergeCell ref="CY45:CZ45"/>
    <mergeCell ref="BQ42:BR42"/>
    <mergeCell ref="BQ43:BR43"/>
    <mergeCell ref="AY1:BO1"/>
    <mergeCell ref="CY46:CZ46"/>
    <mergeCell ref="AH2:AX2"/>
    <mergeCell ref="CY22:CZ22"/>
    <mergeCell ref="AI8:AJ8"/>
    <mergeCell ref="CX3:CX4"/>
    <mergeCell ref="AI17:AJ17"/>
    <mergeCell ref="BQ40:BR40"/>
    <mergeCell ref="CY28:CZ28"/>
    <mergeCell ref="BQ37:BR37"/>
    <mergeCell ref="CY37:CZ37"/>
    <mergeCell ref="AI10:AJ10"/>
    <mergeCell ref="BQ24:BR24"/>
    <mergeCell ref="CR3:CS4"/>
    <mergeCell ref="AI19:AJ19"/>
    <mergeCell ref="CY24:CZ24"/>
    <mergeCell ref="BQ49:BR49"/>
    <mergeCell ref="BQ36:BR36"/>
    <mergeCell ref="AI30:AJ30"/>
    <mergeCell ref="BQ33:BR33"/>
    <mergeCell ref="AI6:AJ6"/>
    <mergeCell ref="AI11:AJ11"/>
    <mergeCell ref="C3:O3"/>
    <mergeCell ref="AY3:BH3"/>
    <mergeCell ref="BQ20:BR20"/>
    <mergeCell ref="BQ35:BR35"/>
    <mergeCell ref="BQ22:BR22"/>
    <mergeCell ref="P3:P4"/>
    <mergeCell ref="BQ12:BR12"/>
    <mergeCell ref="AI32:AJ32"/>
    <mergeCell ref="AI46:AJ46"/>
    <mergeCell ref="AD3:AD4"/>
    <mergeCell ref="BL3:BL4"/>
    <mergeCell ref="AH3:AH4"/>
    <mergeCell ref="AI49:AJ49"/>
    <mergeCell ref="AI48:AJ48"/>
    <mergeCell ref="BQ9:BR9"/>
    <mergeCell ref="AI29:AJ29"/>
    <mergeCell ref="BQ44:BR44"/>
    <mergeCell ref="AI47:AJ47"/>
    <mergeCell ref="A1:P1"/>
    <mergeCell ref="CY3:CZ4"/>
    <mergeCell ref="AI7:AJ7"/>
    <mergeCell ref="CY12:CZ12"/>
    <mergeCell ref="BQ21:BR21"/>
    <mergeCell ref="AI16:AJ16"/>
    <mergeCell ref="CY21:CZ21"/>
    <mergeCell ref="CV3:CW4"/>
    <mergeCell ref="CY41:CZ41"/>
    <mergeCell ref="BQ23:BR23"/>
    <mergeCell ref="AI18:AJ18"/>
    <mergeCell ref="CY23:CZ23"/>
    <mergeCell ref="CY13:CZ13"/>
    <mergeCell ref="BQ7:BR7"/>
    <mergeCell ref="CY7:CZ7"/>
    <mergeCell ref="AI33:AJ33"/>
    <mergeCell ref="CY40:CZ40"/>
    <mergeCell ref="CY27:CZ27"/>
    <mergeCell ref="AE3:AE4"/>
    <mergeCell ref="AI34:AJ34"/>
    <mergeCell ref="BQ34:BR34"/>
    <mergeCell ref="AI28:AJ28"/>
    <mergeCell ref="BI3:BI4"/>
    <mergeCell ref="CQ3:CQ4"/>
    <mergeCell ref="CY49:CZ49"/>
    <mergeCell ref="BP3:BP4"/>
    <mergeCell ref="BQ5:BR5"/>
    <mergeCell ref="AI40:AJ40"/>
    <mergeCell ref="AI15:AJ15"/>
    <mergeCell ref="BQ29:BR29"/>
    <mergeCell ref="AI24:AJ24"/>
    <mergeCell ref="AB3:AC4"/>
    <mergeCell ref="R1:AG1"/>
    <mergeCell ref="CY6:CZ6"/>
    <mergeCell ref="AX3:AX4"/>
    <mergeCell ref="BS3:CE3"/>
    <mergeCell ref="CY15:CZ15"/>
    <mergeCell ref="CY44:CZ44"/>
    <mergeCell ref="CG2:CW2"/>
    <mergeCell ref="BQ31:BR31"/>
    <mergeCell ref="AI26:AJ26"/>
    <mergeCell ref="AF3:AG4"/>
    <mergeCell ref="AI43:AJ43"/>
    <mergeCell ref="BQ46:BR46"/>
    <mergeCell ref="AI42:AJ42"/>
    <mergeCell ref="CY43:CZ43"/>
    <mergeCell ref="BQ48:BR48"/>
    <mergeCell ref="AI44:AJ44"/>
    <mergeCell ref="B3:B4"/>
    <mergeCell ref="AI38:AJ38"/>
    <mergeCell ref="CY39:CZ39"/>
    <mergeCell ref="BQ3:BR4"/>
    <mergeCell ref="CY36:CZ36"/>
    <mergeCell ref="CY18:CZ18"/>
    <mergeCell ref="CY25:CZ25"/>
    <mergeCell ref="CY30:CZ30"/>
    <mergeCell ref="CY5:CZ5"/>
    <mergeCell ref="CY11:CZ11"/>
    <mergeCell ref="AI13:AJ13"/>
    <mergeCell ref="BQ13:BR13"/>
    <mergeCell ref="CY38:CZ38"/>
    <mergeCell ref="AI5:AJ5"/>
    <mergeCell ref="AI39:AJ39"/>
    <mergeCell ref="BQ14:BR14"/>
    <mergeCell ref="CY32:CZ32"/>
    <mergeCell ref="BQ39:BR39"/>
    <mergeCell ref="BN3:BO4"/>
    <mergeCell ref="AI36:AJ36"/>
    <mergeCell ref="AI31:AJ31"/>
    <mergeCell ref="AI37:AJ37"/>
    <mergeCell ref="CY35:CZ35"/>
    <mergeCell ref="CY31:CZ31"/>
    <mergeCell ref="CY48:CZ48"/>
    <mergeCell ref="BQ30:BR30"/>
    <mergeCell ref="BJ3:BK4"/>
    <mergeCell ref="BQ45:BR45"/>
    <mergeCell ref="AI14:AJ14"/>
    <mergeCell ref="CF3:CF4"/>
    <mergeCell ref="BQ32:BR32"/>
    <mergeCell ref="AI27:AJ27"/>
    <mergeCell ref="DZ3:EA4"/>
    <mergeCell ref="AI41:AJ41"/>
    <mergeCell ref="BQ41:BR41"/>
    <mergeCell ref="AI35:AJ35"/>
    <mergeCell ref="CT3:CT4"/>
    <mergeCell ref="BQ47:BR47"/>
    <mergeCell ref="AI25:AJ25"/>
    <mergeCell ref="CY26:CZ26"/>
    <mergeCell ref="CU3:CU4"/>
    <mergeCell ref="CG3:CP3"/>
    <mergeCell ref="BQ18:BR18"/>
    <mergeCell ref="BQ27:BR27"/>
    <mergeCell ref="BQ8:BR8"/>
    <mergeCell ref="CY8:CZ8"/>
    <mergeCell ref="BQ17:BR17"/>
    <mergeCell ref="CY17:CZ17"/>
    <mergeCell ref="DO1:EE1"/>
    <mergeCell ref="CY33:CZ33"/>
    <mergeCell ref="BQ6:BR6"/>
    <mergeCell ref="BQ15:BR15"/>
    <mergeCell ref="DY3:DY4"/>
    <mergeCell ref="CY14:CZ14"/>
    <mergeCell ref="EB3:EB4"/>
    <mergeCell ref="AY2:BO2"/>
    <mergeCell ref="CX1:DN1"/>
    <mergeCell ref="BP1:CF1"/>
    <mergeCell ref="BQ10:BR10"/>
    <mergeCell ref="BM3:BM4"/>
    <mergeCell ref="CY19:CZ19"/>
    <mergeCell ref="BQ19:BR19"/>
    <mergeCell ref="BQ28:BR28"/>
    <mergeCell ref="DA3:DM3"/>
    <mergeCell ref="DO3:DX3"/>
    <mergeCell ref="CG1:CW1"/>
    <mergeCell ref="DN3:DN4"/>
    <mergeCell ref="ED3:EE4"/>
    <mergeCell ref="BQ11:BR11"/>
  </mergeCells>
  <conditionalFormatting sqref="AE1:AE42 AE50:AE1048576">
    <cfRule type="cellIs" dxfId="17" priority="1" operator="lessThan">
      <formula>3</formula>
    </cfRule>
  </conditionalFormatting>
  <pageMargins left="0.7" right="0.7" top="0.75" bottom="0.75" header="0.3" footer="0.3"/>
  <pageSetup orientation="portrait" horizontalDpi="4294967293" r:id="rId1"/>
  <headerFooter>
    <oddHeader>&amp;LHOGAR Y DESARROLLO &amp;CGRUPO 7°</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14">
    <tabColor rgb="FF70A0D4"/>
  </sheetPr>
  <dimension ref="B3:Q58"/>
  <sheetViews>
    <sheetView view="pageLayout" zoomScale="70" zoomScaleNormal="100" zoomScalePageLayoutView="70" workbookViewId="0">
      <selection activeCell="AA23" sqref="AA23"/>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19</v>
      </c>
      <c r="M9" s="251"/>
      <c r="N9" s="251"/>
      <c r="O9" s="251"/>
      <c r="P9" s="251"/>
      <c r="Q9" s="241"/>
    </row>
    <row r="10" spans="2:17">
      <c r="B10" s="291" t="s">
        <v>104</v>
      </c>
      <c r="C10" s="241"/>
      <c r="D10" s="286" t="s">
        <v>105</v>
      </c>
      <c r="E10" s="251"/>
      <c r="F10" s="251"/>
      <c r="G10" s="241"/>
      <c r="H10" s="13"/>
      <c r="I10" s="49"/>
      <c r="J10" s="13"/>
      <c r="K10" s="13"/>
      <c r="L10" s="13"/>
      <c r="M10" s="13"/>
      <c r="N10" s="13"/>
      <c r="O10" s="13"/>
      <c r="P10" s="13"/>
      <c r="Q10" s="13"/>
    </row>
    <row r="11" spans="2:17">
      <c r="B11" s="282" t="s">
        <v>106</v>
      </c>
      <c r="C11" s="241"/>
      <c r="D11" s="286" t="s">
        <v>120</v>
      </c>
      <c r="E11" s="251"/>
      <c r="F11" s="251"/>
      <c r="G11" s="241"/>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MAESTRO!B5</f>
        <v>0</v>
      </c>
      <c r="D16" s="17"/>
      <c r="E16" s="17"/>
      <c r="F16" s="52" t="e">
        <f>'PROM (Hogar y Desarrollo 7°)'!AE5</f>
        <v>#DIV/0!</v>
      </c>
      <c r="G16" s="52" t="e">
        <f>'PROM (Hogar y Desarrollo 7°)'!BM5</f>
        <v>#DIV/0!</v>
      </c>
      <c r="H16" s="52" t="e">
        <f>'PROM (Ingles 7°)'!CU5</f>
        <v>#DIV/0!</v>
      </c>
      <c r="I16" s="52" t="e">
        <f t="shared" ref="I16:I52" si="0">TRUNC(AVERAGE(F16:H16),1)</f>
        <v>#DIV/0!</v>
      </c>
      <c r="J16" s="62">
        <f>'Asistencia (7°)'!BI3</f>
        <v>0</v>
      </c>
      <c r="K16" s="62">
        <f>'Asistencia (9°)'!BJ3</f>
        <v>0</v>
      </c>
      <c r="L16" s="62">
        <f>'Asistencia (7°)'!BJ3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MAESTRO!B6</f>
        <v>0</v>
      </c>
      <c r="D17" s="17"/>
      <c r="E17" s="17"/>
      <c r="F17" s="52" t="e">
        <f>'PROM (Hogar y Desarrollo 7°)'!AE6</f>
        <v>#DIV/0!</v>
      </c>
      <c r="G17" s="52" t="e">
        <f>'PROM (Hogar y Desarrollo 7°)'!BM6</f>
        <v>#DIV/0!</v>
      </c>
      <c r="H17" s="52" t="e">
        <f>'PROM (Ingles 7°)'!CU6</f>
        <v>#DIV/0!</v>
      </c>
      <c r="I17" s="52" t="e">
        <f t="shared" si="0"/>
        <v>#DIV/0!</v>
      </c>
      <c r="J17" s="62">
        <f>'Asistencia (7°)'!BI4</f>
        <v>0</v>
      </c>
      <c r="K17" s="62">
        <f>'Asistencia (9°)'!BJ4</f>
        <v>0</v>
      </c>
      <c r="L17" s="62">
        <f>'Asistencia (7°)'!BJ4</f>
        <v>0</v>
      </c>
      <c r="M17" s="62">
        <f>'Asistencia (9°)'!BJ47</f>
        <v>0</v>
      </c>
      <c r="N17" s="62">
        <f>'Asistencia (9°)'!BI92</f>
        <v>0</v>
      </c>
      <c r="O17" s="62">
        <f>'Asistencia (9°)'!BJ92</f>
        <v>0</v>
      </c>
      <c r="P17" s="63">
        <f t="shared" si="1"/>
        <v>0</v>
      </c>
      <c r="Q17" s="63">
        <f t="shared" si="2"/>
        <v>0</v>
      </c>
    </row>
    <row r="18" spans="2:17">
      <c r="B18" s="10">
        <v>3</v>
      </c>
      <c r="C18" s="12">
        <f>MAESTRO!B7</f>
        <v>0</v>
      </c>
      <c r="D18" s="17"/>
      <c r="E18" s="17"/>
      <c r="F18" s="52" t="e">
        <f>'PROM (Hogar y Desarrollo 7°)'!AE7</f>
        <v>#DIV/0!</v>
      </c>
      <c r="G18" s="52" t="e">
        <f>'PROM (Hogar y Desarrollo 7°)'!BM7</f>
        <v>#DIV/0!</v>
      </c>
      <c r="H18" s="52" t="e">
        <f>'PROM (Ingles 7°)'!CU7</f>
        <v>#DIV/0!</v>
      </c>
      <c r="I18" s="52" t="e">
        <f t="shared" si="0"/>
        <v>#DIV/0!</v>
      </c>
      <c r="J18" s="62">
        <f>'Asistencia (7°)'!BI5</f>
        <v>0</v>
      </c>
      <c r="K18" s="62">
        <f>'Asistencia (9°)'!BJ5</f>
        <v>0</v>
      </c>
      <c r="L18" s="62">
        <f>'Asistencia (7°)'!BJ5</f>
        <v>0</v>
      </c>
      <c r="M18" s="62">
        <f>'Asistencia (9°)'!BJ48</f>
        <v>0</v>
      </c>
      <c r="N18" s="62">
        <f>'Asistencia (9°)'!BI93</f>
        <v>0</v>
      </c>
      <c r="O18" s="62">
        <f>'Asistencia (9°)'!BJ93</f>
        <v>0</v>
      </c>
      <c r="P18" s="63">
        <f t="shared" si="1"/>
        <v>0</v>
      </c>
      <c r="Q18" s="63">
        <f t="shared" si="2"/>
        <v>0</v>
      </c>
    </row>
    <row r="19" spans="2:17">
      <c r="B19" s="10">
        <v>4</v>
      </c>
      <c r="C19" s="12">
        <f>MAESTRO!B8</f>
        <v>0</v>
      </c>
      <c r="D19" s="17"/>
      <c r="E19" s="17"/>
      <c r="F19" s="52" t="e">
        <f>'PROM (Hogar y Desarrollo 7°)'!AE8</f>
        <v>#DIV/0!</v>
      </c>
      <c r="G19" s="52" t="e">
        <f>'PROM (Hogar y Desarrollo 7°)'!BM8</f>
        <v>#DIV/0!</v>
      </c>
      <c r="H19" s="52" t="e">
        <f>'PROM (Ingles 7°)'!CU8</f>
        <v>#DIV/0!</v>
      </c>
      <c r="I19" s="52" t="e">
        <f t="shared" si="0"/>
        <v>#DIV/0!</v>
      </c>
      <c r="J19" s="62">
        <f>'Asistencia (7°)'!BI6</f>
        <v>0</v>
      </c>
      <c r="K19" s="62">
        <f>'Asistencia (9°)'!BJ6</f>
        <v>0</v>
      </c>
      <c r="L19" s="62">
        <f>'Asistencia (7°)'!BJ6</f>
        <v>0</v>
      </c>
      <c r="M19" s="62">
        <f>'Asistencia (9°)'!BJ49</f>
        <v>0</v>
      </c>
      <c r="N19" s="62">
        <f>'Asistencia (9°)'!BI94</f>
        <v>0</v>
      </c>
      <c r="O19" s="62">
        <f>'Asistencia (9°)'!BJ94</f>
        <v>0</v>
      </c>
      <c r="P19" s="63">
        <f t="shared" si="1"/>
        <v>0</v>
      </c>
      <c r="Q19" s="63">
        <f t="shared" si="2"/>
        <v>0</v>
      </c>
    </row>
    <row r="20" spans="2:17">
      <c r="B20" s="10">
        <v>5</v>
      </c>
      <c r="C20" s="12">
        <f>MAESTRO!B9</f>
        <v>0</v>
      </c>
      <c r="D20" s="17"/>
      <c r="E20" s="17"/>
      <c r="F20" s="52" t="e">
        <f>'PROM (Hogar y Desarrollo 7°)'!AE9</f>
        <v>#DIV/0!</v>
      </c>
      <c r="G20" s="52" t="e">
        <f>'PROM (Hogar y Desarrollo 7°)'!BM9</f>
        <v>#DIV/0!</v>
      </c>
      <c r="H20" s="52" t="e">
        <f>'PROM (Ingles 7°)'!CU9</f>
        <v>#DIV/0!</v>
      </c>
      <c r="I20" s="52" t="e">
        <f t="shared" si="0"/>
        <v>#DIV/0!</v>
      </c>
      <c r="J20" s="62">
        <f>'Asistencia (7°)'!BI7</f>
        <v>0</v>
      </c>
      <c r="K20" s="62">
        <f>'Asistencia (9°)'!BJ7</f>
        <v>0</v>
      </c>
      <c r="L20" s="62">
        <f>'Asistencia (7°)'!BJ7</f>
        <v>0</v>
      </c>
      <c r="M20" s="62">
        <f>'Asistencia (9°)'!BJ50</f>
        <v>0</v>
      </c>
      <c r="N20" s="62">
        <f>'Asistencia (9°)'!BI95</f>
        <v>0</v>
      </c>
      <c r="O20" s="62">
        <f>'Asistencia (9°)'!BJ95</f>
        <v>0</v>
      </c>
      <c r="P20" s="63">
        <f t="shared" si="1"/>
        <v>0</v>
      </c>
      <c r="Q20" s="63">
        <f t="shared" si="2"/>
        <v>0</v>
      </c>
    </row>
    <row r="21" spans="2:17">
      <c r="B21" s="10">
        <v>6</v>
      </c>
      <c r="C21" s="12">
        <f>MAESTRO!B10</f>
        <v>0</v>
      </c>
      <c r="D21" s="17"/>
      <c r="E21" s="17"/>
      <c r="F21" s="52" t="e">
        <f>'PROM (Hogar y Desarrollo 7°)'!AE10</f>
        <v>#DIV/0!</v>
      </c>
      <c r="G21" s="52" t="e">
        <f>'PROM (Hogar y Desarrollo 7°)'!BM10</f>
        <v>#DIV/0!</v>
      </c>
      <c r="H21" s="52" t="e">
        <f>'PROM (Ingles 7°)'!CU10</f>
        <v>#DIV/0!</v>
      </c>
      <c r="I21" s="52" t="e">
        <f t="shared" si="0"/>
        <v>#DIV/0!</v>
      </c>
      <c r="J21" s="62">
        <f>'Asistencia (7°)'!BI8</f>
        <v>0</v>
      </c>
      <c r="K21" s="62">
        <f>'Asistencia (9°)'!BJ8</f>
        <v>0</v>
      </c>
      <c r="L21" s="62">
        <f>'Asistencia (7°)'!BJ8</f>
        <v>0</v>
      </c>
      <c r="M21" s="62">
        <f>'Asistencia (9°)'!BJ51</f>
        <v>0</v>
      </c>
      <c r="N21" s="62">
        <f>'Asistencia (9°)'!BI96</f>
        <v>0</v>
      </c>
      <c r="O21" s="62">
        <f>'Asistencia (9°)'!BJ96</f>
        <v>0</v>
      </c>
      <c r="P21" s="63">
        <f t="shared" si="1"/>
        <v>0</v>
      </c>
      <c r="Q21" s="63">
        <f t="shared" si="2"/>
        <v>0</v>
      </c>
    </row>
    <row r="22" spans="2:17">
      <c r="B22" s="10">
        <v>7</v>
      </c>
      <c r="C22" s="12">
        <f>MAESTRO!B11</f>
        <v>0</v>
      </c>
      <c r="D22" s="17"/>
      <c r="E22" s="17"/>
      <c r="F22" s="52" t="e">
        <f>'PROM (Hogar y Desarrollo 7°)'!AE11</f>
        <v>#DIV/0!</v>
      </c>
      <c r="G22" s="52" t="e">
        <f>'PROM (Hogar y Desarrollo 7°)'!BM11</f>
        <v>#DIV/0!</v>
      </c>
      <c r="H22" s="52" t="e">
        <f>'PROM (Ingles 7°)'!CU11</f>
        <v>#DIV/0!</v>
      </c>
      <c r="I22" s="52" t="e">
        <f t="shared" si="0"/>
        <v>#DIV/0!</v>
      </c>
      <c r="J22" s="62">
        <f>'Asistencia (7°)'!BI9</f>
        <v>0</v>
      </c>
      <c r="K22" s="62">
        <f>'Asistencia (9°)'!BJ9</f>
        <v>0</v>
      </c>
      <c r="L22" s="62">
        <f>'Asistencia (7°)'!BJ9</f>
        <v>0</v>
      </c>
      <c r="M22" s="62">
        <f>'Asistencia (9°)'!BJ52</f>
        <v>0</v>
      </c>
      <c r="N22" s="62">
        <f>'Asistencia (9°)'!BI97</f>
        <v>0</v>
      </c>
      <c r="O22" s="62">
        <f>'Asistencia (9°)'!BJ97</f>
        <v>0</v>
      </c>
      <c r="P22" s="63">
        <f t="shared" si="1"/>
        <v>0</v>
      </c>
      <c r="Q22" s="63">
        <f t="shared" si="2"/>
        <v>0</v>
      </c>
    </row>
    <row r="23" spans="2:17">
      <c r="B23" s="10">
        <v>8</v>
      </c>
      <c r="C23" s="12">
        <f>MAESTRO!B12</f>
        <v>0</v>
      </c>
      <c r="D23" s="17"/>
      <c r="E23" s="17"/>
      <c r="F23" s="52" t="e">
        <f>'PROM (Hogar y Desarrollo 7°)'!AE12</f>
        <v>#DIV/0!</v>
      </c>
      <c r="G23" s="52" t="e">
        <f>'PROM (Hogar y Desarrollo 7°)'!BM12</f>
        <v>#DIV/0!</v>
      </c>
      <c r="H23" s="52" t="e">
        <f>'PROM (Ingles 7°)'!CU12</f>
        <v>#DIV/0!</v>
      </c>
      <c r="I23" s="52" t="e">
        <f t="shared" si="0"/>
        <v>#DIV/0!</v>
      </c>
      <c r="J23" s="62">
        <f>'Asistencia (7°)'!BI10</f>
        <v>0</v>
      </c>
      <c r="K23" s="62">
        <f>'Asistencia (9°)'!BJ10</f>
        <v>0</v>
      </c>
      <c r="L23" s="62">
        <f>'Asistencia (7°)'!BJ10</f>
        <v>0</v>
      </c>
      <c r="M23" s="62">
        <f>'Asistencia (9°)'!BJ53</f>
        <v>0</v>
      </c>
      <c r="N23" s="62">
        <f>'Asistencia (9°)'!BI98</f>
        <v>0</v>
      </c>
      <c r="O23" s="62">
        <f>'Asistencia (9°)'!BJ98</f>
        <v>0</v>
      </c>
      <c r="P23" s="63">
        <f t="shared" si="1"/>
        <v>0</v>
      </c>
      <c r="Q23" s="63">
        <f t="shared" si="2"/>
        <v>0</v>
      </c>
    </row>
    <row r="24" spans="2:17">
      <c r="B24" s="10">
        <v>9</v>
      </c>
      <c r="C24" s="12">
        <f>MAESTRO!B13</f>
        <v>0</v>
      </c>
      <c r="D24" s="17"/>
      <c r="E24" s="17"/>
      <c r="F24" s="52" t="e">
        <f>'PROM (Hogar y Desarrollo 7°)'!AE13</f>
        <v>#DIV/0!</v>
      </c>
      <c r="G24" s="52" t="e">
        <f>'PROM (Hogar y Desarrollo 7°)'!BM13</f>
        <v>#DIV/0!</v>
      </c>
      <c r="H24" s="52" t="e">
        <f>'PROM (Ingles 7°)'!CU13</f>
        <v>#DIV/0!</v>
      </c>
      <c r="I24" s="52" t="e">
        <f t="shared" si="0"/>
        <v>#DIV/0!</v>
      </c>
      <c r="J24" s="62">
        <f>'Asistencia (7°)'!BI11</f>
        <v>0</v>
      </c>
      <c r="K24" s="62">
        <f>'Asistencia (9°)'!BJ11</f>
        <v>0</v>
      </c>
      <c r="L24" s="62">
        <f>'Asistencia (7°)'!BJ11</f>
        <v>0</v>
      </c>
      <c r="M24" s="62">
        <f>'Asistencia (9°)'!BJ54</f>
        <v>0</v>
      </c>
      <c r="N24" s="62">
        <f>'Asistencia (9°)'!BI99</f>
        <v>0</v>
      </c>
      <c r="O24" s="62">
        <f>'Asistencia (9°)'!BJ99</f>
        <v>0</v>
      </c>
      <c r="P24" s="63">
        <f t="shared" si="1"/>
        <v>0</v>
      </c>
      <c r="Q24" s="63">
        <f t="shared" si="2"/>
        <v>0</v>
      </c>
    </row>
    <row r="25" spans="2:17">
      <c r="B25" s="10">
        <v>10</v>
      </c>
      <c r="C25" s="12">
        <f>MAESTRO!B14</f>
        <v>0</v>
      </c>
      <c r="D25" s="17"/>
      <c r="E25" s="17"/>
      <c r="F25" s="52" t="e">
        <f>'PROM (Hogar y Desarrollo 7°)'!AE14</f>
        <v>#DIV/0!</v>
      </c>
      <c r="G25" s="52" t="e">
        <f>'PROM (Hogar y Desarrollo 7°)'!BM14</f>
        <v>#DIV/0!</v>
      </c>
      <c r="H25" s="52" t="e">
        <f>'PROM (Ingles 7°)'!CU14</f>
        <v>#DIV/0!</v>
      </c>
      <c r="I25" s="52" t="e">
        <f t="shared" si="0"/>
        <v>#DIV/0!</v>
      </c>
      <c r="J25" s="62">
        <f>'Asistencia (7°)'!BI12</f>
        <v>0</v>
      </c>
      <c r="K25" s="62">
        <f>'Asistencia (9°)'!BJ12</f>
        <v>0</v>
      </c>
      <c r="L25" s="62">
        <f>'Asistencia (7°)'!BJ12</f>
        <v>0</v>
      </c>
      <c r="M25" s="62">
        <f>'Asistencia (9°)'!BJ55</f>
        <v>0</v>
      </c>
      <c r="N25" s="62">
        <f>'Asistencia (9°)'!BI100</f>
        <v>0</v>
      </c>
      <c r="O25" s="62">
        <f>'Asistencia (9°)'!BJ100</f>
        <v>0</v>
      </c>
      <c r="P25" s="63">
        <f t="shared" si="1"/>
        <v>0</v>
      </c>
      <c r="Q25" s="63">
        <f t="shared" si="2"/>
        <v>0</v>
      </c>
    </row>
    <row r="26" spans="2:17">
      <c r="B26" s="10">
        <v>11</v>
      </c>
      <c r="C26" s="12">
        <f>MAESTRO!B15</f>
        <v>0</v>
      </c>
      <c r="D26" s="17"/>
      <c r="E26" s="17"/>
      <c r="F26" s="52" t="e">
        <f>'PROM (Hogar y Desarrollo 7°)'!AE15</f>
        <v>#DIV/0!</v>
      </c>
      <c r="G26" s="52" t="e">
        <f>'PROM (Hogar y Desarrollo 7°)'!BM15</f>
        <v>#DIV/0!</v>
      </c>
      <c r="H26" s="52" t="e">
        <f>'PROM (Ingles 7°)'!CU15</f>
        <v>#DIV/0!</v>
      </c>
      <c r="I26" s="52" t="e">
        <f t="shared" si="0"/>
        <v>#DIV/0!</v>
      </c>
      <c r="J26" s="62">
        <f>'Asistencia (7°)'!BI13</f>
        <v>0</v>
      </c>
      <c r="K26" s="62">
        <f>'Asistencia (9°)'!BJ13</f>
        <v>0</v>
      </c>
      <c r="L26" s="62">
        <f>'Asistencia (7°)'!BJ13</f>
        <v>0</v>
      </c>
      <c r="M26" s="62">
        <f>'Asistencia (9°)'!BJ56</f>
        <v>0</v>
      </c>
      <c r="N26" s="62">
        <f>'Asistencia (9°)'!BI101</f>
        <v>0</v>
      </c>
      <c r="O26" s="62">
        <f>'Asistencia (9°)'!BJ101</f>
        <v>0</v>
      </c>
      <c r="P26" s="63">
        <f t="shared" si="1"/>
        <v>0</v>
      </c>
      <c r="Q26" s="63">
        <f t="shared" si="2"/>
        <v>0</v>
      </c>
    </row>
    <row r="27" spans="2:17">
      <c r="B27" s="10">
        <v>12</v>
      </c>
      <c r="C27" s="12">
        <f>MAESTRO!B16</f>
        <v>0</v>
      </c>
      <c r="D27" s="17"/>
      <c r="E27" s="17"/>
      <c r="F27" s="52" t="e">
        <f>'PROM (Hogar y Desarrollo 7°)'!AE16</f>
        <v>#DIV/0!</v>
      </c>
      <c r="G27" s="52" t="e">
        <f>'PROM (Hogar y Desarrollo 7°)'!BM16</f>
        <v>#DIV/0!</v>
      </c>
      <c r="H27" s="52" t="e">
        <f>'PROM (Ingles 7°)'!CU16</f>
        <v>#DIV/0!</v>
      </c>
      <c r="I27" s="52" t="e">
        <f t="shared" si="0"/>
        <v>#DIV/0!</v>
      </c>
      <c r="J27" s="62">
        <f>'Asistencia (7°)'!BI14</f>
        <v>0</v>
      </c>
      <c r="K27" s="62">
        <f>'Asistencia (9°)'!BJ14</f>
        <v>0</v>
      </c>
      <c r="L27" s="62">
        <f>'Asistencia (7°)'!BJ14</f>
        <v>0</v>
      </c>
      <c r="M27" s="62">
        <f>'Asistencia (9°)'!BJ57</f>
        <v>0</v>
      </c>
      <c r="N27" s="62">
        <f>'Asistencia (9°)'!BI102</f>
        <v>0</v>
      </c>
      <c r="O27" s="62">
        <f>'Asistencia (9°)'!BJ102</f>
        <v>0</v>
      </c>
      <c r="P27" s="63">
        <f t="shared" si="1"/>
        <v>0</v>
      </c>
      <c r="Q27" s="63">
        <f t="shared" si="2"/>
        <v>0</v>
      </c>
    </row>
    <row r="28" spans="2:17">
      <c r="B28" s="10">
        <v>13</v>
      </c>
      <c r="C28" s="12">
        <f>MAESTRO!B17</f>
        <v>0</v>
      </c>
      <c r="D28" s="17"/>
      <c r="E28" s="17"/>
      <c r="F28" s="52" t="e">
        <f>'PROM (Hogar y Desarrollo 7°)'!AE17</f>
        <v>#DIV/0!</v>
      </c>
      <c r="G28" s="52" t="e">
        <f>'PROM (Hogar y Desarrollo 7°)'!BM17</f>
        <v>#DIV/0!</v>
      </c>
      <c r="H28" s="52" t="e">
        <f>'PROM (Ingles 7°)'!CU17</f>
        <v>#DIV/0!</v>
      </c>
      <c r="I28" s="52" t="e">
        <f t="shared" si="0"/>
        <v>#DIV/0!</v>
      </c>
      <c r="J28" s="62">
        <f>'Asistencia (7°)'!BI15</f>
        <v>0</v>
      </c>
      <c r="K28" s="62">
        <f>'Asistencia (9°)'!BJ15</f>
        <v>0</v>
      </c>
      <c r="L28" s="62">
        <f>'Asistencia (7°)'!BJ15</f>
        <v>0</v>
      </c>
      <c r="M28" s="62">
        <f>'Asistencia (9°)'!BJ58</f>
        <v>0</v>
      </c>
      <c r="N28" s="62">
        <f>'Asistencia (9°)'!BI103</f>
        <v>0</v>
      </c>
      <c r="O28" s="62">
        <f>'Asistencia (9°)'!BJ103</f>
        <v>0</v>
      </c>
      <c r="P28" s="63">
        <f t="shared" si="1"/>
        <v>0</v>
      </c>
      <c r="Q28" s="63">
        <f t="shared" si="2"/>
        <v>0</v>
      </c>
    </row>
    <row r="29" spans="2:17">
      <c r="B29" s="10">
        <v>14</v>
      </c>
      <c r="C29" s="12">
        <f>MAESTRO!B18</f>
        <v>0</v>
      </c>
      <c r="D29" s="17"/>
      <c r="E29" s="17"/>
      <c r="F29" s="52" t="e">
        <f>'PROM (Hogar y Desarrollo 7°)'!AE18</f>
        <v>#DIV/0!</v>
      </c>
      <c r="G29" s="52" t="e">
        <f>'PROM (Hogar y Desarrollo 7°)'!BM18</f>
        <v>#DIV/0!</v>
      </c>
      <c r="H29" s="52" t="e">
        <f>'PROM (Ingles 7°)'!CU18</f>
        <v>#DIV/0!</v>
      </c>
      <c r="I29" s="52" t="e">
        <f t="shared" si="0"/>
        <v>#DIV/0!</v>
      </c>
      <c r="J29" s="62">
        <f>'Asistencia (7°)'!BI16</f>
        <v>0</v>
      </c>
      <c r="K29" s="62">
        <f>'Asistencia (9°)'!BJ16</f>
        <v>0</v>
      </c>
      <c r="L29" s="62">
        <f>'Asistencia (7°)'!BJ16</f>
        <v>0</v>
      </c>
      <c r="M29" s="62">
        <f>'Asistencia (9°)'!BJ59</f>
        <v>0</v>
      </c>
      <c r="N29" s="62">
        <f>'Asistencia (9°)'!BI104</f>
        <v>0</v>
      </c>
      <c r="O29" s="62">
        <f>'Asistencia (9°)'!BJ104</f>
        <v>0</v>
      </c>
      <c r="P29" s="63">
        <f t="shared" si="1"/>
        <v>0</v>
      </c>
      <c r="Q29" s="63">
        <f t="shared" si="2"/>
        <v>0</v>
      </c>
    </row>
    <row r="30" spans="2:17">
      <c r="B30" s="10">
        <v>15</v>
      </c>
      <c r="C30" s="12">
        <f>MAESTRO!B19</f>
        <v>0</v>
      </c>
      <c r="D30" s="17"/>
      <c r="E30" s="17"/>
      <c r="F30" s="52" t="e">
        <f>'PROM (Hogar y Desarrollo 7°)'!AE19</f>
        <v>#DIV/0!</v>
      </c>
      <c r="G30" s="52" t="e">
        <f>'PROM (Hogar y Desarrollo 7°)'!BM19</f>
        <v>#DIV/0!</v>
      </c>
      <c r="H30" s="52" t="e">
        <f>'PROM (Ingles 7°)'!CU19</f>
        <v>#DIV/0!</v>
      </c>
      <c r="I30" s="52" t="e">
        <f t="shared" si="0"/>
        <v>#DIV/0!</v>
      </c>
      <c r="J30" s="62">
        <f>'Asistencia (7°)'!BI17</f>
        <v>0</v>
      </c>
      <c r="K30" s="62">
        <f>'Asistencia (9°)'!BJ17</f>
        <v>0</v>
      </c>
      <c r="L30" s="62">
        <f>'Asistencia (7°)'!BJ17</f>
        <v>0</v>
      </c>
      <c r="M30" s="62">
        <f>'Asistencia (9°)'!BJ60</f>
        <v>0</v>
      </c>
      <c r="N30" s="62">
        <f>'Asistencia (9°)'!BI105</f>
        <v>0</v>
      </c>
      <c r="O30" s="62">
        <f>'Asistencia (9°)'!BJ105</f>
        <v>0</v>
      </c>
      <c r="P30" s="63">
        <f t="shared" si="1"/>
        <v>0</v>
      </c>
      <c r="Q30" s="63">
        <f t="shared" si="2"/>
        <v>0</v>
      </c>
    </row>
    <row r="31" spans="2:17">
      <c r="B31" s="10">
        <v>16</v>
      </c>
      <c r="C31" s="12">
        <f>MAESTRO!B20</f>
        <v>0</v>
      </c>
      <c r="D31" s="17"/>
      <c r="E31" s="17"/>
      <c r="F31" s="52" t="e">
        <f>'PROM (Hogar y Desarrollo 7°)'!AE20</f>
        <v>#DIV/0!</v>
      </c>
      <c r="G31" s="52" t="e">
        <f>'PROM (Hogar y Desarrollo 7°)'!BM20</f>
        <v>#DIV/0!</v>
      </c>
      <c r="H31" s="52" t="e">
        <f>'PROM (Ingles 7°)'!CU20</f>
        <v>#DIV/0!</v>
      </c>
      <c r="I31" s="52" t="e">
        <f t="shared" si="0"/>
        <v>#DIV/0!</v>
      </c>
      <c r="J31" s="62">
        <f>'Asistencia (7°)'!BI18</f>
        <v>0</v>
      </c>
      <c r="K31" s="62">
        <f>'Asistencia (9°)'!BJ18</f>
        <v>0</v>
      </c>
      <c r="L31" s="62">
        <f>'Asistencia (7°)'!BJ18</f>
        <v>0</v>
      </c>
      <c r="M31" s="62">
        <f>'Asistencia (9°)'!BJ61</f>
        <v>0</v>
      </c>
      <c r="N31" s="62">
        <f>'Asistencia (9°)'!BI106</f>
        <v>0</v>
      </c>
      <c r="O31" s="62">
        <f>'Asistencia (9°)'!BJ106</f>
        <v>0</v>
      </c>
      <c r="P31" s="63">
        <f t="shared" si="1"/>
        <v>0</v>
      </c>
      <c r="Q31" s="63">
        <f t="shared" si="2"/>
        <v>0</v>
      </c>
    </row>
    <row r="32" spans="2:17">
      <c r="B32" s="10">
        <v>17</v>
      </c>
      <c r="C32" s="12">
        <f>MAESTRO!B21</f>
        <v>0</v>
      </c>
      <c r="D32" s="17"/>
      <c r="E32" s="17"/>
      <c r="F32" s="52" t="e">
        <f>'PROM (Hogar y Desarrollo 7°)'!AE21</f>
        <v>#DIV/0!</v>
      </c>
      <c r="G32" s="73" t="e">
        <f>'PROM (Hogar y Desarrollo 7°)'!BM21</f>
        <v>#DIV/0!</v>
      </c>
      <c r="H32" s="52" t="e">
        <f>'PROM (Ingles 7°)'!CU21</f>
        <v>#DIV/0!</v>
      </c>
      <c r="I32" s="52" t="e">
        <f t="shared" si="0"/>
        <v>#DIV/0!</v>
      </c>
      <c r="J32" s="62">
        <f>'Asistencia (7°)'!BI19</f>
        <v>0</v>
      </c>
      <c r="K32" s="62">
        <f>'Asistencia (9°)'!BJ19</f>
        <v>0</v>
      </c>
      <c r="L32" s="62">
        <f>'Asistencia (7°)'!BJ19</f>
        <v>0</v>
      </c>
      <c r="M32" s="62">
        <f>'Asistencia (9°)'!BJ62</f>
        <v>0</v>
      </c>
      <c r="N32" s="62">
        <f>'Asistencia (9°)'!BI107</f>
        <v>0</v>
      </c>
      <c r="O32" s="62">
        <f>'Asistencia (9°)'!BJ107</f>
        <v>0</v>
      </c>
      <c r="P32" s="63">
        <f t="shared" si="1"/>
        <v>0</v>
      </c>
      <c r="Q32" s="63">
        <f t="shared" si="2"/>
        <v>0</v>
      </c>
    </row>
    <row r="33" spans="2:17">
      <c r="B33" s="10">
        <v>18</v>
      </c>
      <c r="C33" s="12">
        <f>MAESTRO!B22</f>
        <v>0</v>
      </c>
      <c r="D33" s="17"/>
      <c r="E33" s="17"/>
      <c r="F33" s="52" t="e">
        <f>'PROM (Hogar y Desarrollo 7°)'!AE22</f>
        <v>#DIV/0!</v>
      </c>
      <c r="G33" s="73" t="e">
        <f>'PROM (Hogar y Desarrollo 7°)'!BM22</f>
        <v>#DIV/0!</v>
      </c>
      <c r="H33" s="52" t="e">
        <f>'PROM (Ingles 7°)'!CU22</f>
        <v>#DIV/0!</v>
      </c>
      <c r="I33" s="52" t="e">
        <f t="shared" si="0"/>
        <v>#DIV/0!</v>
      </c>
      <c r="J33" s="62">
        <f>'Asistencia (7°)'!BI20</f>
        <v>0</v>
      </c>
      <c r="K33" s="62">
        <f>'Asistencia (9°)'!BJ20</f>
        <v>0</v>
      </c>
      <c r="L33" s="62">
        <f>'Asistencia (7°)'!BJ20</f>
        <v>0</v>
      </c>
      <c r="M33" s="62">
        <f>'Asistencia (9°)'!BJ63</f>
        <v>0</v>
      </c>
      <c r="N33" s="62">
        <f>'Asistencia (9°)'!BI108</f>
        <v>0</v>
      </c>
      <c r="O33" s="62">
        <f>'Asistencia (9°)'!BJ108</f>
        <v>0</v>
      </c>
      <c r="P33" s="63">
        <f t="shared" si="1"/>
        <v>0</v>
      </c>
      <c r="Q33" s="63">
        <f t="shared" si="2"/>
        <v>0</v>
      </c>
    </row>
    <row r="34" spans="2:17">
      <c r="B34" s="10">
        <v>19</v>
      </c>
      <c r="C34" s="12">
        <f>MAESTRO!B23</f>
        <v>0</v>
      </c>
      <c r="D34" s="17"/>
      <c r="E34" s="17"/>
      <c r="F34" s="52" t="e">
        <f>'PROM (Hogar y Desarrollo 7°)'!AE23</f>
        <v>#DIV/0!</v>
      </c>
      <c r="G34" s="73" t="e">
        <f>'PROM (Hogar y Desarrollo 7°)'!BM23</f>
        <v>#DIV/0!</v>
      </c>
      <c r="H34" s="52" t="e">
        <f>'PROM (Ingles 7°)'!CU23</f>
        <v>#DIV/0!</v>
      </c>
      <c r="I34" s="52" t="e">
        <f t="shared" si="0"/>
        <v>#DIV/0!</v>
      </c>
      <c r="J34" s="62">
        <f>'Asistencia (7°)'!BI21</f>
        <v>0</v>
      </c>
      <c r="K34" s="62">
        <f>'Asistencia (9°)'!BJ21</f>
        <v>0</v>
      </c>
      <c r="L34" s="62">
        <f>'Asistencia (7°)'!BJ21</f>
        <v>0</v>
      </c>
      <c r="M34" s="62">
        <f>'Asistencia (9°)'!BJ64</f>
        <v>0</v>
      </c>
      <c r="N34" s="62">
        <f>'Asistencia (9°)'!BI109</f>
        <v>0</v>
      </c>
      <c r="O34" s="62">
        <f>'Asistencia (9°)'!BJ109</f>
        <v>0</v>
      </c>
      <c r="P34" s="63">
        <f t="shared" si="1"/>
        <v>0</v>
      </c>
      <c r="Q34" s="63">
        <f t="shared" si="2"/>
        <v>0</v>
      </c>
    </row>
    <row r="35" spans="2:17">
      <c r="B35" s="10">
        <v>20</v>
      </c>
      <c r="C35" s="12">
        <f>MAESTRO!B24</f>
        <v>0</v>
      </c>
      <c r="D35" s="17"/>
      <c r="E35" s="17"/>
      <c r="F35" s="52" t="e">
        <f>'PROM (Hogar y Desarrollo 7°)'!AE24</f>
        <v>#DIV/0!</v>
      </c>
      <c r="G35" s="73" t="e">
        <f>'PROM (Hogar y Desarrollo 7°)'!BM24</f>
        <v>#DIV/0!</v>
      </c>
      <c r="H35" s="52" t="e">
        <f>'PROM (Ingles 7°)'!CU24</f>
        <v>#DIV/0!</v>
      </c>
      <c r="I35" s="52" t="e">
        <f t="shared" si="0"/>
        <v>#DIV/0!</v>
      </c>
      <c r="J35" s="62">
        <f>'Asistencia (7°)'!BI22</f>
        <v>0</v>
      </c>
      <c r="K35" s="62">
        <f>'Asistencia (9°)'!BJ22</f>
        <v>0</v>
      </c>
      <c r="L35" s="62">
        <f>'Asistencia (7°)'!BJ22</f>
        <v>0</v>
      </c>
      <c r="M35" s="62">
        <f>'Asistencia (9°)'!BJ65</f>
        <v>0</v>
      </c>
      <c r="N35" s="62">
        <f>'Asistencia (9°)'!BI110</f>
        <v>0</v>
      </c>
      <c r="O35" s="62">
        <f>'Asistencia (9°)'!BJ110</f>
        <v>0</v>
      </c>
      <c r="P35" s="63">
        <f t="shared" si="1"/>
        <v>0</v>
      </c>
      <c r="Q35" s="63">
        <f t="shared" si="2"/>
        <v>0</v>
      </c>
    </row>
    <row r="36" spans="2:17">
      <c r="B36" s="10">
        <v>21</v>
      </c>
      <c r="C36" s="12">
        <f>MAESTRO!B25</f>
        <v>0</v>
      </c>
      <c r="D36" s="17"/>
      <c r="E36" s="17"/>
      <c r="F36" s="52" t="e">
        <f>'PROM (Hogar y Desarrollo 7°)'!AE25</f>
        <v>#DIV/0!</v>
      </c>
      <c r="G36" s="73" t="e">
        <f>'PROM (Hogar y Desarrollo 7°)'!BM25</f>
        <v>#DIV/0!</v>
      </c>
      <c r="H36" s="52" t="e">
        <f>'PROM (Ingles 7°)'!CU25</f>
        <v>#DIV/0!</v>
      </c>
      <c r="I36" s="52" t="e">
        <f t="shared" si="0"/>
        <v>#DIV/0!</v>
      </c>
      <c r="J36" s="62">
        <f>'Asistencia (7°)'!BI23</f>
        <v>0</v>
      </c>
      <c r="K36" s="62">
        <f>'Asistencia (9°)'!BJ23</f>
        <v>0</v>
      </c>
      <c r="L36" s="62">
        <f>'Asistencia (7°)'!BJ23</f>
        <v>0</v>
      </c>
      <c r="M36" s="62">
        <f>'Asistencia (9°)'!BJ66</f>
        <v>0</v>
      </c>
      <c r="N36" s="62">
        <f>'Asistencia (9°)'!BI111</f>
        <v>0</v>
      </c>
      <c r="O36" s="62">
        <f>'Asistencia (9°)'!BJ111</f>
        <v>0</v>
      </c>
      <c r="P36" s="63">
        <f t="shared" si="1"/>
        <v>0</v>
      </c>
      <c r="Q36" s="63">
        <f t="shared" si="2"/>
        <v>0</v>
      </c>
    </row>
    <row r="37" spans="2:17">
      <c r="B37" s="10">
        <v>22</v>
      </c>
      <c r="C37" s="12">
        <f>MAESTRO!B26</f>
        <v>0</v>
      </c>
      <c r="D37" s="17"/>
      <c r="E37" s="17"/>
      <c r="F37" s="52" t="e">
        <f>'PROM (Hogar y Desarrollo 7°)'!AE26</f>
        <v>#DIV/0!</v>
      </c>
      <c r="G37" s="73" t="e">
        <f>'PROM (Hogar y Desarrollo 7°)'!BM26</f>
        <v>#DIV/0!</v>
      </c>
      <c r="H37" s="52" t="e">
        <f>'PROM (Ingles 7°)'!CU26</f>
        <v>#DIV/0!</v>
      </c>
      <c r="I37" s="52" t="e">
        <f t="shared" si="0"/>
        <v>#DIV/0!</v>
      </c>
      <c r="J37" s="62">
        <f>'Asistencia (7°)'!BI24</f>
        <v>0</v>
      </c>
      <c r="K37" s="62">
        <f>'Asistencia (9°)'!BJ24</f>
        <v>0</v>
      </c>
      <c r="L37" s="62">
        <f>'Asistencia (7°)'!BJ24</f>
        <v>0</v>
      </c>
      <c r="M37" s="62">
        <f>'Asistencia (9°)'!BJ67</f>
        <v>0</v>
      </c>
      <c r="N37" s="62">
        <f>'Asistencia (9°)'!BI112</f>
        <v>0</v>
      </c>
      <c r="O37" s="62">
        <f>'Asistencia (9°)'!BJ112</f>
        <v>0</v>
      </c>
      <c r="P37" s="63">
        <f t="shared" si="1"/>
        <v>0</v>
      </c>
      <c r="Q37" s="63">
        <f t="shared" si="2"/>
        <v>0</v>
      </c>
    </row>
    <row r="38" spans="2:17">
      <c r="B38" s="10">
        <v>23</v>
      </c>
      <c r="C38" s="12">
        <f>MAESTRO!B27</f>
        <v>0</v>
      </c>
      <c r="D38" s="17"/>
      <c r="E38" s="17"/>
      <c r="F38" s="52" t="e">
        <f>'PROM (Hogar y Desarrollo 7°)'!AE27</f>
        <v>#DIV/0!</v>
      </c>
      <c r="G38" s="73" t="e">
        <f>'PROM (Hogar y Desarrollo 7°)'!BM27</f>
        <v>#DIV/0!</v>
      </c>
      <c r="H38" s="52" t="e">
        <f>'PROM (Ingles 7°)'!CU27</f>
        <v>#DIV/0!</v>
      </c>
      <c r="I38" s="52" t="e">
        <f t="shared" si="0"/>
        <v>#DIV/0!</v>
      </c>
      <c r="J38" s="62">
        <f>'Asistencia (7°)'!BI25</f>
        <v>0</v>
      </c>
      <c r="K38" s="62">
        <f>'Asistencia (9°)'!BJ25</f>
        <v>0</v>
      </c>
      <c r="L38" s="62">
        <f>'Asistencia (7°)'!BJ25</f>
        <v>0</v>
      </c>
      <c r="M38" s="62">
        <f>'Asistencia (9°)'!BJ68</f>
        <v>0</v>
      </c>
      <c r="N38" s="62">
        <f>'Asistencia (9°)'!BI113</f>
        <v>0</v>
      </c>
      <c r="O38" s="62">
        <f>'Asistencia (9°)'!BJ113</f>
        <v>0</v>
      </c>
      <c r="P38" s="63">
        <f t="shared" si="1"/>
        <v>0</v>
      </c>
      <c r="Q38" s="63">
        <f t="shared" si="2"/>
        <v>0</v>
      </c>
    </row>
    <row r="39" spans="2:17">
      <c r="B39" s="10">
        <v>24</v>
      </c>
      <c r="C39" s="12">
        <f>MAESTRO!B28</f>
        <v>0</v>
      </c>
      <c r="D39" s="17"/>
      <c r="E39" s="17"/>
      <c r="F39" s="52" t="e">
        <f>'PROM (Hogar y Desarrollo 7°)'!AE28</f>
        <v>#DIV/0!</v>
      </c>
      <c r="G39" s="73" t="e">
        <f>'PROM (Hogar y Desarrollo 7°)'!BM28</f>
        <v>#DIV/0!</v>
      </c>
      <c r="H39" s="52" t="e">
        <f>'PROM (Ingles 7°)'!CU28</f>
        <v>#DIV/0!</v>
      </c>
      <c r="I39" s="52" t="e">
        <f t="shared" si="0"/>
        <v>#DIV/0!</v>
      </c>
      <c r="J39" s="62">
        <f>'Asistencia (7°)'!BI26</f>
        <v>0</v>
      </c>
      <c r="K39" s="62">
        <f>'Asistencia (9°)'!BJ26</f>
        <v>0</v>
      </c>
      <c r="L39" s="62">
        <f>'Asistencia (7°)'!BJ26</f>
        <v>0</v>
      </c>
      <c r="M39" s="62">
        <f>'Asistencia (9°)'!BJ69</f>
        <v>0</v>
      </c>
      <c r="N39" s="62">
        <f>'Asistencia (9°)'!BI114</f>
        <v>0</v>
      </c>
      <c r="O39" s="62">
        <f>'Asistencia (9°)'!BJ114</f>
        <v>0</v>
      </c>
      <c r="P39" s="63">
        <f t="shared" si="1"/>
        <v>0</v>
      </c>
      <c r="Q39" s="63">
        <f t="shared" si="2"/>
        <v>0</v>
      </c>
    </row>
    <row r="40" spans="2:17">
      <c r="B40" s="10">
        <v>25</v>
      </c>
      <c r="C40" s="12">
        <f>MAESTRO!B29</f>
        <v>0</v>
      </c>
      <c r="D40" s="17"/>
      <c r="E40" s="17"/>
      <c r="F40" s="52" t="e">
        <f>'PROM (Hogar y Desarrollo 7°)'!AE29</f>
        <v>#DIV/0!</v>
      </c>
      <c r="G40" s="73" t="e">
        <f>'PROM (Hogar y Desarrollo 7°)'!BM29</f>
        <v>#DIV/0!</v>
      </c>
      <c r="H40" s="52" t="e">
        <f>'PROM (Ingles 7°)'!CU29</f>
        <v>#DIV/0!</v>
      </c>
      <c r="I40" s="52" t="e">
        <f t="shared" si="0"/>
        <v>#DIV/0!</v>
      </c>
      <c r="J40" s="62">
        <f>'Asistencia (7°)'!BI27</f>
        <v>0</v>
      </c>
      <c r="K40" s="62">
        <f>'Asistencia (9°)'!BJ27</f>
        <v>0</v>
      </c>
      <c r="L40" s="62">
        <f>'Asistencia (7°)'!BJ27</f>
        <v>0</v>
      </c>
      <c r="M40" s="62">
        <f>'Asistencia (9°)'!BJ70</f>
        <v>0</v>
      </c>
      <c r="N40" s="62">
        <f>'Asistencia (9°)'!BI115</f>
        <v>0</v>
      </c>
      <c r="O40" s="62">
        <f>'Asistencia (9°)'!BJ115</f>
        <v>0</v>
      </c>
      <c r="P40" s="63">
        <f t="shared" si="1"/>
        <v>0</v>
      </c>
      <c r="Q40" s="63">
        <f t="shared" si="2"/>
        <v>0</v>
      </c>
    </row>
    <row r="41" spans="2:17">
      <c r="B41" s="10">
        <v>26</v>
      </c>
      <c r="C41" s="12">
        <f>MAESTRO!B30</f>
        <v>0</v>
      </c>
      <c r="D41" s="17"/>
      <c r="E41" s="17"/>
      <c r="F41" s="52" t="e">
        <f>'PROM (Hogar y Desarrollo 7°)'!AE30</f>
        <v>#DIV/0!</v>
      </c>
      <c r="G41" s="73" t="e">
        <f>'PROM (Hogar y Desarrollo 7°)'!BM30</f>
        <v>#DIV/0!</v>
      </c>
      <c r="H41" s="52" t="e">
        <f>'PROM (Ingles 7°)'!CU30</f>
        <v>#DIV/0!</v>
      </c>
      <c r="I41" s="52" t="e">
        <f t="shared" si="0"/>
        <v>#DIV/0!</v>
      </c>
      <c r="J41" s="62">
        <f>'Asistencia (7°)'!BI28</f>
        <v>0</v>
      </c>
      <c r="K41" s="62">
        <f>'Asistencia (9°)'!BJ28</f>
        <v>0</v>
      </c>
      <c r="L41" s="62">
        <f>'Asistencia (7°)'!BJ28</f>
        <v>0</v>
      </c>
      <c r="M41" s="62">
        <f>'Asistencia (9°)'!BJ71</f>
        <v>0</v>
      </c>
      <c r="N41" s="62">
        <f>'Asistencia (9°)'!BI116</f>
        <v>0</v>
      </c>
      <c r="O41" s="62">
        <f>'Asistencia (9°)'!BJ116</f>
        <v>0</v>
      </c>
      <c r="P41" s="63">
        <f t="shared" si="1"/>
        <v>0</v>
      </c>
      <c r="Q41" s="63">
        <f t="shared" si="2"/>
        <v>0</v>
      </c>
    </row>
    <row r="42" spans="2:17">
      <c r="B42" s="10">
        <v>27</v>
      </c>
      <c r="C42" s="12">
        <f>MAESTRO!B31</f>
        <v>0</v>
      </c>
      <c r="D42" s="17"/>
      <c r="E42" s="17"/>
      <c r="F42" s="52" t="e">
        <f>'PROM (Hogar y Desarrollo 7°)'!AE31</f>
        <v>#DIV/0!</v>
      </c>
      <c r="G42" s="73" t="e">
        <f>'PROM (Hogar y Desarrollo 7°)'!BM31</f>
        <v>#DIV/0!</v>
      </c>
      <c r="H42" s="52" t="e">
        <f>'PROM (Ingles 7°)'!CU31</f>
        <v>#DIV/0!</v>
      </c>
      <c r="I42" s="52" t="e">
        <f t="shared" si="0"/>
        <v>#DIV/0!</v>
      </c>
      <c r="J42" s="62">
        <f>'Asistencia (7°)'!BI29</f>
        <v>0</v>
      </c>
      <c r="K42" s="62">
        <f>'Asistencia (9°)'!BJ29</f>
        <v>0</v>
      </c>
      <c r="L42" s="62">
        <f>'Asistencia (7°)'!BJ29</f>
        <v>0</v>
      </c>
      <c r="M42" s="62">
        <f>'Asistencia (9°)'!BJ72</f>
        <v>0</v>
      </c>
      <c r="N42" s="62">
        <f>'Asistencia (9°)'!BI117</f>
        <v>0</v>
      </c>
      <c r="O42" s="62">
        <f>'Asistencia (9°)'!BJ117</f>
        <v>0</v>
      </c>
      <c r="P42" s="63">
        <f t="shared" si="1"/>
        <v>0</v>
      </c>
      <c r="Q42" s="63">
        <f t="shared" si="2"/>
        <v>0</v>
      </c>
    </row>
    <row r="43" spans="2:17">
      <c r="B43" s="10">
        <v>28</v>
      </c>
      <c r="C43" s="12">
        <f>MAESTRO!B32</f>
        <v>0</v>
      </c>
      <c r="D43" s="17"/>
      <c r="E43" s="17"/>
      <c r="F43" s="52" t="e">
        <f>'PROM (Hogar y Desarrollo 7°)'!AE32</f>
        <v>#DIV/0!</v>
      </c>
      <c r="G43" s="73" t="e">
        <f>'PROM (Hogar y Desarrollo 7°)'!BM32</f>
        <v>#DIV/0!</v>
      </c>
      <c r="H43" s="52" t="e">
        <f>'PROM (Ingles 7°)'!CU32</f>
        <v>#DIV/0!</v>
      </c>
      <c r="I43" s="52" t="e">
        <f t="shared" si="0"/>
        <v>#DIV/0!</v>
      </c>
      <c r="J43" s="62">
        <f>'Asistencia (7°)'!BI30</f>
        <v>0</v>
      </c>
      <c r="K43" s="62">
        <f>'Asistencia (9°)'!BJ30</f>
        <v>0</v>
      </c>
      <c r="L43" s="62">
        <f>'Asistencia (7°)'!BJ30</f>
        <v>0</v>
      </c>
      <c r="M43" s="62">
        <f>'Asistencia (9°)'!BJ73</f>
        <v>0</v>
      </c>
      <c r="N43" s="62">
        <f>'Asistencia (9°)'!BI118</f>
        <v>0</v>
      </c>
      <c r="O43" s="62">
        <f>'Asistencia (9°)'!BJ118</f>
        <v>0</v>
      </c>
      <c r="P43" s="63">
        <f t="shared" si="1"/>
        <v>0</v>
      </c>
      <c r="Q43" s="63">
        <f t="shared" si="2"/>
        <v>0</v>
      </c>
    </row>
    <row r="44" spans="2:17">
      <c r="B44" s="10">
        <v>29</v>
      </c>
      <c r="C44" s="12">
        <f>MAESTRO!B33</f>
        <v>0</v>
      </c>
      <c r="D44" s="17"/>
      <c r="E44" s="17"/>
      <c r="F44" s="52" t="e">
        <f>'PROM (Hogar y Desarrollo 7°)'!AE33</f>
        <v>#DIV/0!</v>
      </c>
      <c r="G44" s="73" t="e">
        <f>'PROM (Hogar y Desarrollo 7°)'!BM33</f>
        <v>#DIV/0!</v>
      </c>
      <c r="H44" s="52" t="e">
        <f>'PROM (Ingles 7°)'!CU33</f>
        <v>#DIV/0!</v>
      </c>
      <c r="I44" s="52" t="e">
        <f t="shared" si="0"/>
        <v>#DIV/0!</v>
      </c>
      <c r="J44" s="62">
        <f>'Asistencia (7°)'!BI31</f>
        <v>0</v>
      </c>
      <c r="K44" s="62">
        <f>'Asistencia (9°)'!BJ31</f>
        <v>0</v>
      </c>
      <c r="L44" s="62">
        <f>'Asistencia (7°)'!BJ31</f>
        <v>0</v>
      </c>
      <c r="M44" s="62">
        <f>'Asistencia (9°)'!BJ74</f>
        <v>0</v>
      </c>
      <c r="N44" s="62">
        <f>'Asistencia (9°)'!BI119</f>
        <v>0</v>
      </c>
      <c r="O44" s="62">
        <f>'Asistencia (9°)'!BJ119</f>
        <v>0</v>
      </c>
      <c r="P44" s="63">
        <f t="shared" si="1"/>
        <v>0</v>
      </c>
      <c r="Q44" s="63">
        <f t="shared" si="2"/>
        <v>0</v>
      </c>
    </row>
    <row r="45" spans="2:17">
      <c r="B45" s="10">
        <v>30</v>
      </c>
      <c r="C45" s="12">
        <f>MAESTRO!B34</f>
        <v>0</v>
      </c>
      <c r="D45" s="17"/>
      <c r="E45" s="17"/>
      <c r="F45" s="52" t="e">
        <f>'PROM (Hogar y Desarrollo 7°)'!AE34</f>
        <v>#DIV/0!</v>
      </c>
      <c r="G45" s="73" t="e">
        <f>'PROM (Hogar y Desarrollo 7°)'!BM34</f>
        <v>#DIV/0!</v>
      </c>
      <c r="H45" s="52" t="e">
        <f>'PROM (Ingles 7°)'!CU34</f>
        <v>#DIV/0!</v>
      </c>
      <c r="I45" s="52" t="e">
        <f t="shared" si="0"/>
        <v>#DIV/0!</v>
      </c>
      <c r="J45" s="62">
        <f>'Asistencia (7°)'!BI32</f>
        <v>0</v>
      </c>
      <c r="K45" s="62">
        <f>'Asistencia (9°)'!BJ32</f>
        <v>0</v>
      </c>
      <c r="L45" s="62">
        <f>'Asistencia (7°)'!BJ32</f>
        <v>0</v>
      </c>
      <c r="M45" s="62">
        <f>'Asistencia (9°)'!BJ75</f>
        <v>0</v>
      </c>
      <c r="N45" s="62">
        <f>'Asistencia (9°)'!BI120</f>
        <v>0</v>
      </c>
      <c r="O45" s="62">
        <f>'Asistencia (9°)'!BJ120</f>
        <v>0</v>
      </c>
      <c r="P45" s="63">
        <f t="shared" si="1"/>
        <v>0</v>
      </c>
      <c r="Q45" s="63">
        <f t="shared" si="2"/>
        <v>0</v>
      </c>
    </row>
    <row r="46" spans="2:17">
      <c r="B46" s="10">
        <v>31</v>
      </c>
      <c r="C46" s="12">
        <f>MAESTRO!B35</f>
        <v>0</v>
      </c>
      <c r="D46" s="17"/>
      <c r="E46" s="17"/>
      <c r="F46" s="52" t="e">
        <f>'PROM (Hogar y Desarrollo 7°)'!AE35</f>
        <v>#DIV/0!</v>
      </c>
      <c r="G46" s="73" t="e">
        <f>'PROM (Hogar y Desarrollo 7°)'!BM35</f>
        <v>#DIV/0!</v>
      </c>
      <c r="H46" s="52" t="e">
        <f>'PROM (Ingles 7°)'!CU35</f>
        <v>#DIV/0!</v>
      </c>
      <c r="I46" s="52" t="e">
        <f t="shared" si="0"/>
        <v>#DIV/0!</v>
      </c>
      <c r="J46" s="62">
        <f>'Asistencia (7°)'!BI33</f>
        <v>0</v>
      </c>
      <c r="K46" s="62">
        <f>'Asistencia (9°)'!BJ33</f>
        <v>0</v>
      </c>
      <c r="L46" s="62">
        <f>'Asistencia (7°)'!BJ33</f>
        <v>0</v>
      </c>
      <c r="M46" s="62">
        <f>'Asistencia (9°)'!BJ76</f>
        <v>0</v>
      </c>
      <c r="N46" s="62">
        <f>'Asistencia (9°)'!BI121</f>
        <v>0</v>
      </c>
      <c r="O46" s="62">
        <f>'Asistencia (9°)'!BJ121</f>
        <v>0</v>
      </c>
      <c r="P46" s="63">
        <f t="shared" si="1"/>
        <v>0</v>
      </c>
      <c r="Q46" s="63">
        <f t="shared" si="2"/>
        <v>0</v>
      </c>
    </row>
    <row r="47" spans="2:17">
      <c r="B47" s="10">
        <v>32</v>
      </c>
      <c r="C47" s="12">
        <f>MAESTRO!B36</f>
        <v>0</v>
      </c>
      <c r="D47" s="17"/>
      <c r="E47" s="17"/>
      <c r="F47" s="52" t="e">
        <f>'PROM (Hogar y Desarrollo 7°)'!AE36</f>
        <v>#DIV/0!</v>
      </c>
      <c r="G47" s="73" t="e">
        <f>'PROM (Hogar y Desarrollo 7°)'!BM36</f>
        <v>#DIV/0!</v>
      </c>
      <c r="H47" s="52" t="e">
        <f>'PROM (Ingles 7°)'!CU36</f>
        <v>#DIV/0!</v>
      </c>
      <c r="I47" s="52" t="e">
        <f t="shared" si="0"/>
        <v>#DIV/0!</v>
      </c>
      <c r="J47" s="62">
        <f>'Asistencia (7°)'!BI34</f>
        <v>0</v>
      </c>
      <c r="K47" s="62">
        <f>'Asistencia (9°)'!BJ34</f>
        <v>0</v>
      </c>
      <c r="L47" s="62">
        <f>'Asistencia (7°)'!BJ34</f>
        <v>0</v>
      </c>
      <c r="M47" s="62">
        <f>'Asistencia (9°)'!BJ77</f>
        <v>0</v>
      </c>
      <c r="N47" s="62">
        <f>'Asistencia (9°)'!BI122</f>
        <v>0</v>
      </c>
      <c r="O47" s="62">
        <f>'Asistencia (9°)'!BJ122</f>
        <v>0</v>
      </c>
      <c r="P47" s="63">
        <f t="shared" si="1"/>
        <v>0</v>
      </c>
      <c r="Q47" s="63">
        <f t="shared" si="2"/>
        <v>0</v>
      </c>
    </row>
    <row r="48" spans="2:17">
      <c r="B48" s="10">
        <v>33</v>
      </c>
      <c r="C48" s="12">
        <f>MAESTRO!B37</f>
        <v>0</v>
      </c>
      <c r="D48" s="17"/>
      <c r="E48" s="17"/>
      <c r="F48" s="52" t="e">
        <f>'PROM (Hogar y Desarrollo 7°)'!AE37</f>
        <v>#DIV/0!</v>
      </c>
      <c r="G48" s="73" t="e">
        <f>'PROM (Hogar y Desarrollo 7°)'!BM37</f>
        <v>#DIV/0!</v>
      </c>
      <c r="H48" s="52" t="e">
        <f>'PROM (Ingles 7°)'!CU37</f>
        <v>#DIV/0!</v>
      </c>
      <c r="I48" s="52" t="e">
        <f t="shared" si="0"/>
        <v>#DIV/0!</v>
      </c>
      <c r="J48" s="62">
        <f>'Asistencia (7°)'!BI35</f>
        <v>0</v>
      </c>
      <c r="K48" s="62">
        <f>'Asistencia (9°)'!BJ35</f>
        <v>0</v>
      </c>
      <c r="L48" s="62">
        <f>'Asistencia (7°)'!BJ35</f>
        <v>0</v>
      </c>
      <c r="M48" s="62">
        <f>'Asistencia (9°)'!BJ78</f>
        <v>0</v>
      </c>
      <c r="N48" s="62">
        <f>'Asistencia (9°)'!BI123</f>
        <v>0</v>
      </c>
      <c r="O48" s="62">
        <f>'Asistencia (9°)'!BJ123</f>
        <v>0</v>
      </c>
      <c r="P48" s="63">
        <f t="shared" si="1"/>
        <v>0</v>
      </c>
      <c r="Q48" s="63">
        <f t="shared" si="2"/>
        <v>0</v>
      </c>
    </row>
    <row r="49" spans="2:17">
      <c r="B49" s="10">
        <v>34</v>
      </c>
      <c r="C49" s="12">
        <f>MAESTRO!B38</f>
        <v>0</v>
      </c>
      <c r="D49" s="17"/>
      <c r="E49" s="17"/>
      <c r="F49" s="52" t="e">
        <f>'PROM (Hogar y Desarrollo 7°)'!AE38</f>
        <v>#DIV/0!</v>
      </c>
      <c r="G49" s="73" t="e">
        <f>'PROM (Hogar y Desarrollo 7°)'!BM38</f>
        <v>#DIV/0!</v>
      </c>
      <c r="H49" s="52" t="e">
        <f>'PROM (Ingles 7°)'!CU38</f>
        <v>#DIV/0!</v>
      </c>
      <c r="I49" s="52" t="e">
        <f t="shared" si="0"/>
        <v>#DIV/0!</v>
      </c>
      <c r="J49" s="62">
        <f>'Asistencia (7°)'!BI36</f>
        <v>0</v>
      </c>
      <c r="K49" s="62">
        <f>'Asistencia (9°)'!BJ36</f>
        <v>0</v>
      </c>
      <c r="L49" s="62">
        <f>'Asistencia (7°)'!BJ36</f>
        <v>0</v>
      </c>
      <c r="M49" s="62">
        <f>'Asistencia (9°)'!BJ79</f>
        <v>0</v>
      </c>
      <c r="N49" s="62">
        <f>'Asistencia (9°)'!BI124</f>
        <v>0</v>
      </c>
      <c r="O49" s="62">
        <f>'Asistencia (9°)'!BJ124</f>
        <v>0</v>
      </c>
      <c r="P49" s="63">
        <f t="shared" si="1"/>
        <v>0</v>
      </c>
      <c r="Q49" s="63">
        <f t="shared" si="2"/>
        <v>0</v>
      </c>
    </row>
    <row r="50" spans="2:17">
      <c r="B50" s="10">
        <v>35</v>
      </c>
      <c r="C50" s="12">
        <f>MAESTRO!B39</f>
        <v>0</v>
      </c>
      <c r="D50" s="17"/>
      <c r="E50" s="17"/>
      <c r="F50" s="52" t="e">
        <f>'PROM (Hogar y Desarrollo 7°)'!AE39</f>
        <v>#DIV/0!</v>
      </c>
      <c r="G50" s="73" t="e">
        <f>'PROM (Hogar y Desarrollo 7°)'!BM39</f>
        <v>#DIV/0!</v>
      </c>
      <c r="H50" s="52" t="e">
        <f>'PROM (Ingles 7°)'!CU39</f>
        <v>#DIV/0!</v>
      </c>
      <c r="I50" s="52" t="e">
        <f t="shared" si="0"/>
        <v>#DIV/0!</v>
      </c>
      <c r="J50" s="62">
        <f>'Asistencia (7°)'!BI37</f>
        <v>0</v>
      </c>
      <c r="K50" s="62">
        <f>'Asistencia (9°)'!BJ37</f>
        <v>0</v>
      </c>
      <c r="L50" s="62">
        <f>'Asistencia (7°)'!BJ37</f>
        <v>0</v>
      </c>
      <c r="M50" s="62">
        <f>'Asistencia (9°)'!BJ80</f>
        <v>0</v>
      </c>
      <c r="N50" s="62">
        <f>'Asistencia (9°)'!BI125</f>
        <v>0</v>
      </c>
      <c r="O50" s="62">
        <f>'Asistencia (9°)'!BJ125</f>
        <v>0</v>
      </c>
      <c r="P50" s="63">
        <f t="shared" si="1"/>
        <v>0</v>
      </c>
      <c r="Q50" s="63">
        <f t="shared" si="2"/>
        <v>0</v>
      </c>
    </row>
    <row r="51" spans="2:17">
      <c r="B51" s="10">
        <v>36</v>
      </c>
      <c r="C51" s="12">
        <f>MAESTRO!B40</f>
        <v>0</v>
      </c>
      <c r="D51" s="17"/>
      <c r="E51" s="17"/>
      <c r="F51" s="52" t="e">
        <f>'PROM (Hogar y Desarrollo 7°)'!AE40</f>
        <v>#DIV/0!</v>
      </c>
      <c r="G51" s="73" t="e">
        <f>'PROM (Hogar y Desarrollo 7°)'!BM40</f>
        <v>#DIV/0!</v>
      </c>
      <c r="H51" s="52" t="e">
        <f>'PROM (Ingles 7°)'!CU40</f>
        <v>#DIV/0!</v>
      </c>
      <c r="I51" s="52" t="e">
        <f t="shared" si="0"/>
        <v>#DIV/0!</v>
      </c>
      <c r="J51" s="62">
        <f>'Asistencia (7°)'!BI38</f>
        <v>0</v>
      </c>
      <c r="K51" s="62">
        <f>'Asistencia (9°)'!BJ38</f>
        <v>0</v>
      </c>
      <c r="L51" s="62">
        <f>'Asistencia (7°)'!BJ38</f>
        <v>0</v>
      </c>
      <c r="M51" s="62">
        <f>'Asistencia (9°)'!BJ81</f>
        <v>0</v>
      </c>
      <c r="N51" s="62">
        <f>'Asistencia (9°)'!BI126</f>
        <v>0</v>
      </c>
      <c r="O51" s="62">
        <f>'Asistencia (9°)'!BJ126</f>
        <v>0</v>
      </c>
      <c r="P51" s="63">
        <f t="shared" si="1"/>
        <v>0</v>
      </c>
      <c r="Q51" s="63">
        <f t="shared" si="2"/>
        <v>0</v>
      </c>
    </row>
    <row r="52" spans="2:17">
      <c r="B52" s="10">
        <v>37</v>
      </c>
      <c r="C52" s="12">
        <f>MAESTRO!B41</f>
        <v>0</v>
      </c>
      <c r="D52" s="17"/>
      <c r="E52" s="17"/>
      <c r="F52" s="52" t="e">
        <f>'PROM (Hogar y Desarrollo 7°)'!AE41</f>
        <v>#DIV/0!</v>
      </c>
      <c r="G52" s="73" t="e">
        <f>'PROM (Hogar y Desarrollo 7°)'!BM41</f>
        <v>#DIV/0!</v>
      </c>
      <c r="H52" s="52" t="e">
        <f>'PROM (Ingles 7°)'!CU41</f>
        <v>#DIV/0!</v>
      </c>
      <c r="I52" s="52" t="e">
        <f t="shared" si="0"/>
        <v>#DIV/0!</v>
      </c>
      <c r="J52" s="62">
        <f>'Asistencia (7°)'!BI39</f>
        <v>0</v>
      </c>
      <c r="K52" s="62">
        <f>'Asistencia (9°)'!BJ39</f>
        <v>0</v>
      </c>
      <c r="L52" s="62">
        <f>'Asistencia (7°)'!BJ39</f>
        <v>0</v>
      </c>
      <c r="M52" s="62">
        <f>'Asistencia (9°)'!BJ82</f>
        <v>0</v>
      </c>
      <c r="N52" s="62">
        <f>'Asistencia (9°)'!BI127</f>
        <v>0</v>
      </c>
      <c r="O52" s="62">
        <f>'Asistencia (9°)'!BJ127</f>
        <v>0</v>
      </c>
      <c r="P52" s="63">
        <f t="shared" si="1"/>
        <v>0</v>
      </c>
      <c r="Q52" s="63">
        <f t="shared" si="2"/>
        <v>0</v>
      </c>
    </row>
    <row r="53" spans="2:17">
      <c r="B53" s="10">
        <v>38</v>
      </c>
      <c r="C53" s="12">
        <f>MAESTRO!B42</f>
        <v>0</v>
      </c>
      <c r="D53" s="17"/>
      <c r="E53" s="17"/>
      <c r="F53" s="52"/>
      <c r="G53" s="52"/>
      <c r="H53" s="52"/>
      <c r="I53" s="52"/>
      <c r="J53" s="62">
        <f>'Asistencia (7°)'!BI40</f>
        <v>0</v>
      </c>
      <c r="K53" s="62"/>
      <c r="L53" s="62">
        <f>'Asistencia (7°)'!BJ40</f>
        <v>0</v>
      </c>
      <c r="M53" s="62"/>
      <c r="N53" s="62"/>
      <c r="O53" s="62"/>
      <c r="P53" s="63"/>
      <c r="Q53" s="63"/>
    </row>
    <row r="54" spans="2:17">
      <c r="B54" s="10">
        <v>39</v>
      </c>
      <c r="C54" s="12">
        <f>MAESTRO!B43</f>
        <v>0</v>
      </c>
      <c r="D54" s="17"/>
      <c r="E54" s="18"/>
      <c r="F54" s="52"/>
      <c r="G54" s="52"/>
      <c r="H54" s="52"/>
      <c r="I54" s="52"/>
      <c r="J54" s="62">
        <f>'Asistencia (7°)'!BI41</f>
        <v>0</v>
      </c>
      <c r="K54" s="62"/>
      <c r="L54" s="62">
        <f>'Asistencia (7°)'!BJ41</f>
        <v>0</v>
      </c>
      <c r="M54" s="62"/>
      <c r="N54" s="62"/>
      <c r="O54" s="62"/>
      <c r="P54" s="63"/>
      <c r="Q54" s="63"/>
    </row>
    <row r="55" spans="2:17">
      <c r="B55" s="10"/>
      <c r="C55" s="12">
        <f>MAESTRO!B44</f>
        <v>0</v>
      </c>
      <c r="D55" s="17"/>
      <c r="E55" s="18"/>
      <c r="F55" s="52"/>
      <c r="G55" s="52"/>
      <c r="H55" s="52"/>
      <c r="I55" s="52"/>
      <c r="J55" s="62">
        <f>'Asistencia (7°)'!BI42</f>
        <v>0</v>
      </c>
      <c r="K55" s="62"/>
      <c r="L55" s="62">
        <f>'Asistencia (7°)'!BJ42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D11:G11"/>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L9:Q9"/>
    <mergeCell ref="D10:G10"/>
    <mergeCell ref="L14:M14"/>
    <mergeCell ref="B7:Q7"/>
    <mergeCell ref="N14:O14"/>
    <mergeCell ref="G14:G15"/>
  </mergeCells>
  <conditionalFormatting sqref="F16:I52">
    <cfRule type="cellIs" dxfId="16" priority="1" operator="lessThan">
      <formula>3</formula>
    </cfRule>
  </conditionalFormatting>
  <pageMargins left="0.25" right="4.9479166666666657E-2" top="0.75" bottom="0.75" header="0.3" footer="0.3"/>
  <pageSetup orientation="portrait" horizontalDpi="4294967293"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21">
    <tabColor rgb="FF4472C4"/>
  </sheetPr>
  <dimension ref="A1:EE49"/>
  <sheetViews>
    <sheetView view="pageLayout" zoomScale="80" zoomScaleNormal="100" zoomScalePageLayoutView="80" workbookViewId="0">
      <selection activeCell="I9" sqref="I9"/>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90</v>
      </c>
      <c r="BQ1" s="251"/>
      <c r="BR1" s="251"/>
      <c r="BS1" s="251"/>
      <c r="BT1" s="251"/>
      <c r="BU1" s="251"/>
      <c r="BV1" s="251"/>
      <c r="BW1" s="251"/>
      <c r="BX1" s="251"/>
      <c r="BY1" s="251"/>
      <c r="BZ1" s="251"/>
      <c r="CA1" s="251"/>
      <c r="CB1" s="251"/>
      <c r="CC1" s="251"/>
      <c r="CD1" s="251"/>
      <c r="CE1" s="251"/>
      <c r="CF1" s="241"/>
      <c r="CG1" s="263" t="s">
        <v>90</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25"/>
      <c r="H4" s="25"/>
      <c r="I4" s="25"/>
      <c r="K4" s="25"/>
      <c r="L4" s="25"/>
      <c r="M4" s="25"/>
      <c r="N4" s="25"/>
      <c r="O4" s="25"/>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5"/>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MAESTRO!B5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TRUNC(AVERAGE(AX5,BI5,BL5),1)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MAESTRO!B6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MAESTRO!B7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MAESTRO!B8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MAESTRO!B9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MAESTRO!B10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MAESTRO!B11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MAESTRO!B12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MAESTRO!B13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MAESTRO!B14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MAESTRO!B15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MAESTRO!B16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MAESTRO!B17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MAESTRO!B18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MAESTRO!B19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MAESTRO!B20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MAESTRO!B21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MAESTRO!B22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MAESTRO!B23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53"/>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MAESTRO!B24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53"/>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MAESTRO!B25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53"/>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MAESTRO!B26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65"/>
      <c r="AP26" s="53"/>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103"/>
      <c r="BT26" s="103"/>
      <c r="BU26" s="103"/>
      <c r="BV26" s="103"/>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MAESTRO!B27</f>
        <v>0</v>
      </c>
      <c r="C27" s="5"/>
      <c r="D27" s="5"/>
      <c r="E27" s="5"/>
      <c r="F27" s="5"/>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105"/>
      <c r="AM27" s="65"/>
      <c r="AN27" s="65"/>
      <c r="AO27" s="65"/>
      <c r="AP27" s="53"/>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103"/>
      <c r="BT27" s="103"/>
      <c r="BU27" s="103"/>
      <c r="BV27" s="103"/>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MAESTRO!B28</f>
        <v>0</v>
      </c>
      <c r="C28" s="5"/>
      <c r="D28" s="5"/>
      <c r="E28" s="5"/>
      <c r="F28" s="5"/>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105"/>
      <c r="AM28" s="65"/>
      <c r="AN28" s="65"/>
      <c r="AO28" s="65"/>
      <c r="AP28" s="53"/>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103"/>
      <c r="BT28" s="103"/>
      <c r="BU28" s="103"/>
      <c r="BV28" s="103"/>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MAESTRO!B29</f>
        <v>0</v>
      </c>
      <c r="C29" s="5"/>
      <c r="D29" s="5"/>
      <c r="E29" s="5"/>
      <c r="F29" s="5"/>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65"/>
      <c r="AL29" s="105"/>
      <c r="AM29" s="65"/>
      <c r="AN29" s="65"/>
      <c r="AO29" s="65"/>
      <c r="AP29" s="53"/>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103"/>
      <c r="BT29" s="103"/>
      <c r="BU29" s="103"/>
      <c r="BV29" s="103"/>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MAESTRO!B30</f>
        <v>0</v>
      </c>
      <c r="C30" s="5"/>
      <c r="D30" s="5"/>
      <c r="E30" s="5"/>
      <c r="F30" s="5"/>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105"/>
      <c r="AL30" s="105"/>
      <c r="AM30" s="105"/>
      <c r="AN30" s="105"/>
      <c r="AO30" s="105"/>
      <c r="AP30" s="105"/>
      <c r="AQ30" s="10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103"/>
      <c r="BT30" s="103"/>
      <c r="BU30" s="103"/>
      <c r="BV30" s="103"/>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MAESTRO!B31</f>
        <v>0</v>
      </c>
      <c r="C31" s="5"/>
      <c r="D31" s="5"/>
      <c r="E31" s="103"/>
      <c r="F31" s="5"/>
      <c r="G31" s="5"/>
      <c r="H31" s="5"/>
      <c r="I31" s="103"/>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5"/>
      <c r="AL31" s="105"/>
      <c r="AM31" s="105"/>
      <c r="AN31" s="105"/>
      <c r="AO31" s="105"/>
      <c r="AP31" s="105"/>
      <c r="AQ31" s="10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103"/>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MAESTRO!B32</f>
        <v>0</v>
      </c>
      <c r="C32" s="5"/>
      <c r="D32" s="5"/>
      <c r="E32" s="103"/>
      <c r="F32" s="5"/>
      <c r="G32" s="5"/>
      <c r="H32" s="5"/>
      <c r="I32" s="103"/>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105"/>
      <c r="AP32" s="105"/>
      <c r="AQ32" s="10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103"/>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MAESTRO!B33</f>
        <v>0</v>
      </c>
      <c r="C33" s="5"/>
      <c r="D33" s="5"/>
      <c r="E33" s="103"/>
      <c r="F33" s="5"/>
      <c r="G33" s="5"/>
      <c r="H33" s="5"/>
      <c r="I33" s="103"/>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105"/>
      <c r="AP33" s="105"/>
      <c r="AQ33" s="10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103"/>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MAESTRO!B34</f>
        <v>0</v>
      </c>
      <c r="C34" s="103"/>
      <c r="D34" s="103"/>
      <c r="E34" s="103"/>
      <c r="F34" s="103"/>
      <c r="G34" s="103"/>
      <c r="H34" s="103"/>
      <c r="I34" s="103"/>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105"/>
      <c r="AP34" s="105"/>
      <c r="AQ34" s="10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103"/>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MAESTRO!B35</f>
        <v>0</v>
      </c>
      <c r="C35" s="103"/>
      <c r="D35" s="103"/>
      <c r="E35" s="103"/>
      <c r="F35" s="103"/>
      <c r="G35" s="103"/>
      <c r="H35" s="103"/>
      <c r="I35" s="103"/>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105"/>
      <c r="AP35" s="105"/>
      <c r="AQ35" s="10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103"/>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MAESTRO!B36</f>
        <v>0</v>
      </c>
      <c r="C36" s="103"/>
      <c r="D36" s="103"/>
      <c r="E36" s="103"/>
      <c r="F36" s="103"/>
      <c r="G36" s="103"/>
      <c r="H36" s="103"/>
      <c r="I36" s="103"/>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105"/>
      <c r="AQ36" s="10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103"/>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MAESTRO!B37</f>
        <v>0</v>
      </c>
      <c r="C37" s="103"/>
      <c r="D37" s="103"/>
      <c r="E37" s="103"/>
      <c r="F37" s="103"/>
      <c r="G37" s="103"/>
      <c r="H37" s="103"/>
      <c r="I37" s="103"/>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105"/>
      <c r="AQ37" s="10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103"/>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MAESTRO!B38</f>
        <v>0</v>
      </c>
      <c r="C38" s="103"/>
      <c r="D38" s="103"/>
      <c r="E38" s="103"/>
      <c r="F38" s="103"/>
      <c r="G38" s="103"/>
      <c r="H38" s="103"/>
      <c r="I38" s="103"/>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105"/>
      <c r="AQ38" s="10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103"/>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MAESTRO!B39</f>
        <v>0</v>
      </c>
      <c r="C39" s="103"/>
      <c r="D39" s="103"/>
      <c r="E39" s="103"/>
      <c r="F39" s="103"/>
      <c r="G39" s="103"/>
      <c r="H39" s="103"/>
      <c r="I39" s="103"/>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105"/>
      <c r="AQ39" s="10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103"/>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MAESTRO!B40</f>
        <v>0</v>
      </c>
      <c r="C40" s="103"/>
      <c r="D40" s="103"/>
      <c r="E40" s="103"/>
      <c r="F40" s="103"/>
      <c r="G40" s="103"/>
      <c r="H40" s="103"/>
      <c r="I40" s="103"/>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105"/>
      <c r="AQ40" s="10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103"/>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MAESTRO!B41</f>
        <v>0</v>
      </c>
      <c r="C41" s="103"/>
      <c r="D41" s="103"/>
      <c r="E41" s="103"/>
      <c r="F41" s="103"/>
      <c r="G41" s="103"/>
      <c r="H41" s="103"/>
      <c r="I41" s="103"/>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105"/>
      <c r="AQ41" s="10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103"/>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MAESTRO!B42</f>
        <v>0</v>
      </c>
      <c r="C42" s="103"/>
      <c r="D42" s="103"/>
      <c r="E42" s="103"/>
      <c r="F42" s="103"/>
      <c r="G42" s="103"/>
      <c r="H42" s="103"/>
      <c r="I42" s="103"/>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105"/>
      <c r="AQ42" s="10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103"/>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MAESTRO!B43</f>
        <v>0</v>
      </c>
      <c r="C43" s="103"/>
      <c r="D43" s="103"/>
      <c r="E43" s="103"/>
      <c r="F43" s="103"/>
      <c r="G43" s="103"/>
      <c r="H43" s="103"/>
      <c r="I43" s="103"/>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105"/>
      <c r="AQ43" s="10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103"/>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MAESTRO!B44</f>
        <v>0</v>
      </c>
      <c r="C44" s="103"/>
      <c r="D44" s="103"/>
      <c r="E44" s="103"/>
      <c r="F44" s="103"/>
      <c r="G44" s="103"/>
      <c r="H44" s="103"/>
      <c r="I44" s="10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105"/>
      <c r="AQ44" s="105"/>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103"/>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103"/>
      <c r="G45" s="103"/>
      <c r="H45" s="103"/>
      <c r="I45" s="10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105"/>
      <c r="AQ45" s="105"/>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103"/>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103"/>
      <c r="G46" s="103"/>
      <c r="H46" s="103"/>
      <c r="I46" s="10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105"/>
      <c r="AQ46" s="105"/>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103"/>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103"/>
      <c r="G47" s="103"/>
      <c r="H47" s="103"/>
      <c r="I47" s="10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105"/>
      <c r="AQ47" s="105"/>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103"/>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103"/>
      <c r="G48" s="103"/>
      <c r="H48" s="103"/>
      <c r="I48" s="10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105"/>
      <c r="AQ48" s="105"/>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103"/>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5"/>
      <c r="E49" s="95"/>
      <c r="F49" s="95"/>
      <c r="G49" s="95"/>
      <c r="H49" s="95"/>
      <c r="I49" s="95"/>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53"/>
      <c r="AN49" s="53"/>
      <c r="AO49" s="53"/>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95"/>
      <c r="BU49" s="95"/>
      <c r="BV49" s="95"/>
      <c r="BW49" s="5"/>
      <c r="BX49" s="5"/>
      <c r="BY49" s="5"/>
      <c r="BZ49" s="5"/>
      <c r="CA49" s="5"/>
      <c r="CB49" s="5"/>
      <c r="CC49" s="5"/>
      <c r="CD49" s="5"/>
      <c r="CE49" s="5"/>
      <c r="CF49" s="5" t="e">
        <f>TRUNC(AVERAGE(BS49:CE49),1)</f>
        <v>#DIV/0!</v>
      </c>
      <c r="CG49" s="5"/>
      <c r="CH49" s="5"/>
      <c r="CI49" s="5"/>
      <c r="CJ49" s="5"/>
      <c r="CK49" s="5"/>
      <c r="CL49" s="5"/>
      <c r="CM49" s="5"/>
      <c r="CN49" s="5"/>
      <c r="CO49" s="5"/>
      <c r="CP49" s="5"/>
      <c r="CQ49" s="5"/>
      <c r="CR49" s="5"/>
      <c r="CS49" s="5"/>
      <c r="CT49" s="5"/>
      <c r="CU49" s="5"/>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2">
    <mergeCell ref="A2:P2"/>
    <mergeCell ref="R2:AG2"/>
    <mergeCell ref="CY10:CZ10"/>
    <mergeCell ref="AI9:AJ9"/>
    <mergeCell ref="DO2:EE2"/>
    <mergeCell ref="AI3:AJ4"/>
    <mergeCell ref="BQ26:BR26"/>
    <mergeCell ref="A3:A4"/>
    <mergeCell ref="CY29:CZ29"/>
    <mergeCell ref="R3:Z3"/>
    <mergeCell ref="BQ16:BR16"/>
    <mergeCell ref="CY16:CZ16"/>
    <mergeCell ref="BQ25:BR25"/>
    <mergeCell ref="BP2:CF2"/>
    <mergeCell ref="CX2:DN2"/>
    <mergeCell ref="AI20:AJ20"/>
    <mergeCell ref="CY9:CZ9"/>
    <mergeCell ref="AA3:AA4"/>
    <mergeCell ref="CY20:CZ20"/>
    <mergeCell ref="AK3:AW3"/>
    <mergeCell ref="AI22:AJ22"/>
    <mergeCell ref="BQ11:BR11"/>
    <mergeCell ref="AI12:AJ12"/>
    <mergeCell ref="AI21:AJ21"/>
    <mergeCell ref="CY22:CZ22"/>
    <mergeCell ref="ED3:EE4"/>
    <mergeCell ref="AI8:AJ8"/>
    <mergeCell ref="CX3:CX4"/>
    <mergeCell ref="AI17:AJ17"/>
    <mergeCell ref="BQ40:BR40"/>
    <mergeCell ref="CY28:CZ28"/>
    <mergeCell ref="BQ37:BR37"/>
    <mergeCell ref="CY37:CZ37"/>
    <mergeCell ref="AI10:AJ10"/>
    <mergeCell ref="BQ24:BR24"/>
    <mergeCell ref="CR3:CS4"/>
    <mergeCell ref="AI19:AJ19"/>
    <mergeCell ref="CY24:CZ24"/>
    <mergeCell ref="AI36:AJ36"/>
    <mergeCell ref="AI31:AJ31"/>
    <mergeCell ref="AI37:AJ37"/>
    <mergeCell ref="CY35:CZ35"/>
    <mergeCell ref="CY31:CZ31"/>
    <mergeCell ref="CY34:CZ34"/>
    <mergeCell ref="AI23:AJ23"/>
    <mergeCell ref="DZ3:EA4"/>
    <mergeCell ref="BQ17:BR17"/>
    <mergeCell ref="CY17:CZ17"/>
    <mergeCell ref="CG1:CW1"/>
    <mergeCell ref="DN3:DN4"/>
    <mergeCell ref="AI47:AJ47"/>
    <mergeCell ref="BQ14:BR14"/>
    <mergeCell ref="CY32:CZ32"/>
    <mergeCell ref="BQ39:BR39"/>
    <mergeCell ref="BN3:BO4"/>
    <mergeCell ref="CY42:CZ42"/>
    <mergeCell ref="AH3:AH4"/>
    <mergeCell ref="CY47:CZ47"/>
    <mergeCell ref="BQ38:BR38"/>
    <mergeCell ref="AH1:AX1"/>
    <mergeCell ref="AI45:AJ45"/>
    <mergeCell ref="CY45:CZ45"/>
    <mergeCell ref="BQ42:BR42"/>
    <mergeCell ref="BQ43:BR43"/>
    <mergeCell ref="AY1:BO1"/>
    <mergeCell ref="CY46:CZ46"/>
    <mergeCell ref="AI29:AJ29"/>
    <mergeCell ref="CG3:CP3"/>
    <mergeCell ref="BQ18:BR18"/>
    <mergeCell ref="BQ27:BR27"/>
    <mergeCell ref="BQ8:BR8"/>
    <mergeCell ref="CY8:CZ8"/>
    <mergeCell ref="A1:P1"/>
    <mergeCell ref="CY3:CZ4"/>
    <mergeCell ref="AI7:AJ7"/>
    <mergeCell ref="CY12:CZ12"/>
    <mergeCell ref="BQ21:BR21"/>
    <mergeCell ref="AI16:AJ16"/>
    <mergeCell ref="CY21:CZ21"/>
    <mergeCell ref="CV3:CW4"/>
    <mergeCell ref="CY41:CZ41"/>
    <mergeCell ref="BQ23:BR23"/>
    <mergeCell ref="AI18:AJ18"/>
    <mergeCell ref="CY23:CZ23"/>
    <mergeCell ref="CY13:CZ13"/>
    <mergeCell ref="BQ7:BR7"/>
    <mergeCell ref="CY7:CZ7"/>
    <mergeCell ref="AI33:AJ33"/>
    <mergeCell ref="CY40:CZ40"/>
    <mergeCell ref="CY27:CZ27"/>
    <mergeCell ref="AE3:AE4"/>
    <mergeCell ref="AI34:AJ34"/>
    <mergeCell ref="BQ34:BR34"/>
    <mergeCell ref="AI28:AJ28"/>
    <mergeCell ref="CQ3:CQ4"/>
    <mergeCell ref="BI3:BI4"/>
    <mergeCell ref="R1:AG1"/>
    <mergeCell ref="CY6:CZ6"/>
    <mergeCell ref="AX3:AX4"/>
    <mergeCell ref="DA3:DM3"/>
    <mergeCell ref="BS3:CE3"/>
    <mergeCell ref="CY15:CZ15"/>
    <mergeCell ref="CY44:CZ44"/>
    <mergeCell ref="CG2:CW2"/>
    <mergeCell ref="BQ31:BR31"/>
    <mergeCell ref="AI26:AJ26"/>
    <mergeCell ref="AF3:AG4"/>
    <mergeCell ref="AI43:AJ43"/>
    <mergeCell ref="AI42:AJ42"/>
    <mergeCell ref="CY43:CZ43"/>
    <mergeCell ref="AI44:AJ44"/>
    <mergeCell ref="BQ36:BR36"/>
    <mergeCell ref="AI30:AJ30"/>
    <mergeCell ref="BQ33:BR33"/>
    <mergeCell ref="AI6:AJ6"/>
    <mergeCell ref="AI11:AJ11"/>
    <mergeCell ref="AY3:BH3"/>
    <mergeCell ref="BQ20:BR20"/>
    <mergeCell ref="CY25:CZ25"/>
    <mergeCell ref="CY30:CZ30"/>
    <mergeCell ref="CY49:CZ49"/>
    <mergeCell ref="BP3:BP4"/>
    <mergeCell ref="BQ5:BR5"/>
    <mergeCell ref="AU44:AV44"/>
    <mergeCell ref="AI40:AJ40"/>
    <mergeCell ref="AI15:AJ15"/>
    <mergeCell ref="BQ29:BR29"/>
    <mergeCell ref="AI24:AJ24"/>
    <mergeCell ref="AB3:AC4"/>
    <mergeCell ref="BQ46:BR46"/>
    <mergeCell ref="BQ48:BR48"/>
    <mergeCell ref="BQ49:BR49"/>
    <mergeCell ref="BQ35:BR35"/>
    <mergeCell ref="CY5:CZ5"/>
    <mergeCell ref="BQ22:BR22"/>
    <mergeCell ref="BQ12:BR12"/>
    <mergeCell ref="AI32:AJ32"/>
    <mergeCell ref="CY11:CZ11"/>
    <mergeCell ref="AI46:AJ46"/>
    <mergeCell ref="AD3:AD4"/>
    <mergeCell ref="BL3:BL4"/>
    <mergeCell ref="AI49:AJ49"/>
    <mergeCell ref="AI48:AJ48"/>
    <mergeCell ref="BQ9:BR9"/>
    <mergeCell ref="B3:B4"/>
    <mergeCell ref="AI38:AJ38"/>
    <mergeCell ref="CY39:CZ39"/>
    <mergeCell ref="BQ3:BR4"/>
    <mergeCell ref="CY36:CZ36"/>
    <mergeCell ref="CY18:CZ18"/>
    <mergeCell ref="C3:O3"/>
    <mergeCell ref="P3:P4"/>
    <mergeCell ref="CY48:CZ48"/>
    <mergeCell ref="BQ30:BR30"/>
    <mergeCell ref="BJ3:BK4"/>
    <mergeCell ref="BQ45:BR45"/>
    <mergeCell ref="AI14:AJ14"/>
    <mergeCell ref="CF3:CF4"/>
    <mergeCell ref="BQ32:BR32"/>
    <mergeCell ref="AI27:AJ27"/>
    <mergeCell ref="AI41:AJ41"/>
    <mergeCell ref="BQ41:BR41"/>
    <mergeCell ref="AI35:AJ35"/>
    <mergeCell ref="CT3:CT4"/>
    <mergeCell ref="BQ47:BR47"/>
    <mergeCell ref="AI25:AJ25"/>
    <mergeCell ref="CY26:CZ26"/>
    <mergeCell ref="CU3:CU4"/>
    <mergeCell ref="AI13:AJ13"/>
    <mergeCell ref="BQ13:BR13"/>
    <mergeCell ref="BQ44:BR44"/>
    <mergeCell ref="DO1:EE1"/>
    <mergeCell ref="CY33:CZ33"/>
    <mergeCell ref="BQ6:BR6"/>
    <mergeCell ref="BQ15:BR15"/>
    <mergeCell ref="DY3:DY4"/>
    <mergeCell ref="CY14:CZ14"/>
    <mergeCell ref="EB3:EB4"/>
    <mergeCell ref="AY2:BO2"/>
    <mergeCell ref="BP1:CF1"/>
    <mergeCell ref="CX1:DN1"/>
    <mergeCell ref="AH2:AX2"/>
    <mergeCell ref="CY38:CZ38"/>
    <mergeCell ref="BQ10:BR10"/>
    <mergeCell ref="AI5:AJ5"/>
    <mergeCell ref="BM3:BM4"/>
    <mergeCell ref="AI39:AJ39"/>
    <mergeCell ref="CY19:CZ19"/>
    <mergeCell ref="BQ19:BR19"/>
    <mergeCell ref="BQ28:BR28"/>
    <mergeCell ref="DO3:DX3"/>
    <mergeCell ref="EC3:EC4"/>
  </mergeCells>
  <conditionalFormatting sqref="AE1:AE41 AE50:AE1048576">
    <cfRule type="cellIs" dxfId="15" priority="1" operator="lessThan">
      <formula>3</formula>
    </cfRule>
  </conditionalFormatting>
  <pageMargins left="0.7" right="0.7" top="0.75" bottom="0.75" header="0.3" footer="0.3"/>
  <pageSetup orientation="portrait" horizontalDpi="4294967293" r:id="rId1"/>
  <headerFooter>
    <oddHeader>&amp;LAGROPECUARIA&amp;CGRUPO 7°</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22">
    <tabColor rgb="FF70A0D4"/>
  </sheetPr>
  <dimension ref="B3:Q58"/>
  <sheetViews>
    <sheetView view="pageLayout" zoomScale="70" zoomScaleNormal="100" zoomScalePageLayoutView="70" workbookViewId="0">
      <selection activeCell="E24" sqref="E24"/>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19</v>
      </c>
      <c r="M9" s="251"/>
      <c r="N9" s="251"/>
      <c r="O9" s="251"/>
      <c r="P9" s="251"/>
      <c r="Q9" s="241"/>
    </row>
    <row r="10" spans="2:17">
      <c r="B10" s="291" t="s">
        <v>104</v>
      </c>
      <c r="C10" s="241"/>
      <c r="D10" s="286" t="s">
        <v>105</v>
      </c>
      <c r="E10" s="251"/>
      <c r="F10" s="251"/>
      <c r="G10" s="241"/>
      <c r="H10" s="13"/>
      <c r="I10" s="49"/>
      <c r="J10" s="13"/>
      <c r="K10" s="13"/>
      <c r="L10" s="13"/>
      <c r="M10" s="13"/>
      <c r="N10" s="13"/>
      <c r="O10" s="13"/>
      <c r="P10" s="13"/>
      <c r="Q10" s="13"/>
    </row>
    <row r="11" spans="2:17">
      <c r="B11" s="282" t="s">
        <v>106</v>
      </c>
      <c r="C11" s="241"/>
      <c r="D11" s="284" t="s">
        <v>5</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MAESTRO!B5</f>
        <v>0</v>
      </c>
      <c r="D16" s="17"/>
      <c r="E16" s="17"/>
      <c r="F16" s="52" t="e">
        <f>'PROM (Agropecuaria 7°)'!AE5</f>
        <v>#DIV/0!</v>
      </c>
      <c r="G16" s="52" t="e">
        <f>'PROM (Agropecuaria 7°)'!BM5</f>
        <v>#DIV/0!</v>
      </c>
      <c r="H16" s="52" t="e">
        <f>'PROM (Agropecuaria 7°)'!CU5</f>
        <v>#DIV/0!</v>
      </c>
      <c r="I16" s="52" t="e">
        <f t="shared" ref="I16:I52" si="0">TRUNC(AVERAGE(F16:H16),1)</f>
        <v>#DIV/0!</v>
      </c>
      <c r="J16" s="62">
        <f>'Asistencia (7°)'!BI3</f>
        <v>0</v>
      </c>
      <c r="K16" s="62">
        <f>'Asistencia (9°)'!BJ3</f>
        <v>0</v>
      </c>
      <c r="L16" s="62">
        <f>'Asistencia (7°)'!BJ3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MAESTRO!B6</f>
        <v>0</v>
      </c>
      <c r="D17" s="17"/>
      <c r="E17" s="17"/>
      <c r="F17" s="52" t="e">
        <f>'PROM (Agropecuaria 7°)'!AE6</f>
        <v>#DIV/0!</v>
      </c>
      <c r="G17" s="52" t="e">
        <f>'PROM (Agropecuaria 7°)'!BM6</f>
        <v>#DIV/0!</v>
      </c>
      <c r="H17" s="52" t="e">
        <f>'PROM (Agropecuaria 7°)'!CU6</f>
        <v>#DIV/0!</v>
      </c>
      <c r="I17" s="52" t="e">
        <f t="shared" si="0"/>
        <v>#DIV/0!</v>
      </c>
      <c r="J17" s="62">
        <f>'Asistencia (7°)'!BI4</f>
        <v>0</v>
      </c>
      <c r="K17" s="62">
        <f>'Asistencia (9°)'!BJ4</f>
        <v>0</v>
      </c>
      <c r="L17" s="62">
        <f>'Asistencia (7°)'!BJ4</f>
        <v>0</v>
      </c>
      <c r="M17" s="62">
        <f>'Asistencia (9°)'!BJ47</f>
        <v>0</v>
      </c>
      <c r="N17" s="62">
        <f>'Asistencia (9°)'!BI92</f>
        <v>0</v>
      </c>
      <c r="O17" s="62">
        <f>'Asistencia (9°)'!BJ92</f>
        <v>0</v>
      </c>
      <c r="P17" s="63">
        <f t="shared" si="1"/>
        <v>0</v>
      </c>
      <c r="Q17" s="63">
        <f t="shared" si="2"/>
        <v>0</v>
      </c>
    </row>
    <row r="18" spans="2:17">
      <c r="B18" s="10">
        <v>3</v>
      </c>
      <c r="C18" s="12">
        <f>MAESTRO!B7</f>
        <v>0</v>
      </c>
      <c r="D18" s="17"/>
      <c r="E18" s="17"/>
      <c r="F18" s="52" t="e">
        <f>'PROM (Agropecuaria 7°)'!AE7</f>
        <v>#DIV/0!</v>
      </c>
      <c r="G18" s="52" t="e">
        <f>'PROM (Agropecuaria 7°)'!BM7</f>
        <v>#DIV/0!</v>
      </c>
      <c r="H18" s="52" t="e">
        <f>'PROM (Agropecuaria 7°)'!CU7</f>
        <v>#DIV/0!</v>
      </c>
      <c r="I18" s="52" t="e">
        <f t="shared" si="0"/>
        <v>#DIV/0!</v>
      </c>
      <c r="J18" s="62">
        <f>'Asistencia (7°)'!BI5</f>
        <v>0</v>
      </c>
      <c r="K18" s="62">
        <f>'Asistencia (9°)'!BJ5</f>
        <v>0</v>
      </c>
      <c r="L18" s="62">
        <f>'Asistencia (7°)'!BJ5</f>
        <v>0</v>
      </c>
      <c r="M18" s="62">
        <f>'Asistencia (9°)'!BJ48</f>
        <v>0</v>
      </c>
      <c r="N18" s="62">
        <f>'Asistencia (9°)'!BI93</f>
        <v>0</v>
      </c>
      <c r="O18" s="62">
        <f>'Asistencia (9°)'!BJ93</f>
        <v>0</v>
      </c>
      <c r="P18" s="63">
        <f t="shared" si="1"/>
        <v>0</v>
      </c>
      <c r="Q18" s="63">
        <f t="shared" si="2"/>
        <v>0</v>
      </c>
    </row>
    <row r="19" spans="2:17">
      <c r="B19" s="10">
        <v>4</v>
      </c>
      <c r="C19" s="12">
        <f>MAESTRO!B8</f>
        <v>0</v>
      </c>
      <c r="D19" s="17"/>
      <c r="E19" s="17"/>
      <c r="F19" s="52" t="e">
        <f>'PROM (Agropecuaria 7°)'!AE8</f>
        <v>#DIV/0!</v>
      </c>
      <c r="G19" s="52" t="e">
        <f>'PROM (Agropecuaria 7°)'!BM8</f>
        <v>#DIV/0!</v>
      </c>
      <c r="H19" s="52" t="e">
        <f>'PROM (Agropecuaria 7°)'!CU8</f>
        <v>#DIV/0!</v>
      </c>
      <c r="I19" s="52" t="e">
        <f t="shared" si="0"/>
        <v>#DIV/0!</v>
      </c>
      <c r="J19" s="62">
        <f>'Asistencia (7°)'!BI6</f>
        <v>0</v>
      </c>
      <c r="K19" s="62">
        <f>'Asistencia (9°)'!BJ6</f>
        <v>0</v>
      </c>
      <c r="L19" s="62">
        <f>'Asistencia (7°)'!BJ6</f>
        <v>0</v>
      </c>
      <c r="M19" s="62">
        <f>'Asistencia (9°)'!BJ49</f>
        <v>0</v>
      </c>
      <c r="N19" s="62">
        <f>'Asistencia (9°)'!BI94</f>
        <v>0</v>
      </c>
      <c r="O19" s="62">
        <f>'Asistencia (9°)'!BJ94</f>
        <v>0</v>
      </c>
      <c r="P19" s="63">
        <f t="shared" si="1"/>
        <v>0</v>
      </c>
      <c r="Q19" s="63">
        <f t="shared" si="2"/>
        <v>0</v>
      </c>
    </row>
    <row r="20" spans="2:17">
      <c r="B20" s="10">
        <v>5</v>
      </c>
      <c r="C20" s="12">
        <f>MAESTRO!B9</f>
        <v>0</v>
      </c>
      <c r="D20" s="17"/>
      <c r="E20" s="17"/>
      <c r="F20" s="52" t="e">
        <f>'PROM (Agropecuaria 7°)'!AE9</f>
        <v>#DIV/0!</v>
      </c>
      <c r="G20" s="52" t="e">
        <f>'PROM (Agropecuaria 7°)'!BM9</f>
        <v>#DIV/0!</v>
      </c>
      <c r="H20" s="52" t="e">
        <f>'PROM (Agropecuaria 7°)'!CU9</f>
        <v>#DIV/0!</v>
      </c>
      <c r="I20" s="52" t="e">
        <f t="shared" si="0"/>
        <v>#DIV/0!</v>
      </c>
      <c r="J20" s="62">
        <f>'Asistencia (7°)'!BI7</f>
        <v>0</v>
      </c>
      <c r="K20" s="62">
        <f>'Asistencia (9°)'!BJ7</f>
        <v>0</v>
      </c>
      <c r="L20" s="62">
        <f>'Asistencia (7°)'!BJ7</f>
        <v>0</v>
      </c>
      <c r="M20" s="62">
        <f>'Asistencia (9°)'!BJ50</f>
        <v>0</v>
      </c>
      <c r="N20" s="62">
        <f>'Asistencia (9°)'!BI95</f>
        <v>0</v>
      </c>
      <c r="O20" s="62">
        <f>'Asistencia (9°)'!BJ95</f>
        <v>0</v>
      </c>
      <c r="P20" s="63">
        <f t="shared" si="1"/>
        <v>0</v>
      </c>
      <c r="Q20" s="63">
        <f t="shared" si="2"/>
        <v>0</v>
      </c>
    </row>
    <row r="21" spans="2:17">
      <c r="B21" s="10">
        <v>6</v>
      </c>
      <c r="C21" s="12">
        <f>MAESTRO!B10</f>
        <v>0</v>
      </c>
      <c r="D21" s="17"/>
      <c r="E21" s="17"/>
      <c r="F21" s="52" t="e">
        <f>'PROM (Agropecuaria 7°)'!AE10</f>
        <v>#DIV/0!</v>
      </c>
      <c r="G21" s="52" t="e">
        <f>'PROM (Agropecuaria 7°)'!BM10</f>
        <v>#DIV/0!</v>
      </c>
      <c r="H21" s="52" t="e">
        <f>'PROM (Agropecuaria 7°)'!CU10</f>
        <v>#DIV/0!</v>
      </c>
      <c r="I21" s="52" t="e">
        <f t="shared" si="0"/>
        <v>#DIV/0!</v>
      </c>
      <c r="J21" s="62">
        <f>'Asistencia (7°)'!BI8</f>
        <v>0</v>
      </c>
      <c r="K21" s="62">
        <f>'Asistencia (9°)'!BJ8</f>
        <v>0</v>
      </c>
      <c r="L21" s="62">
        <f>'Asistencia (7°)'!BJ8</f>
        <v>0</v>
      </c>
      <c r="M21" s="62">
        <f>'Asistencia (9°)'!BJ51</f>
        <v>0</v>
      </c>
      <c r="N21" s="62">
        <f>'Asistencia (9°)'!BI96</f>
        <v>0</v>
      </c>
      <c r="O21" s="62">
        <f>'Asistencia (9°)'!BJ96</f>
        <v>0</v>
      </c>
      <c r="P21" s="63">
        <f t="shared" si="1"/>
        <v>0</v>
      </c>
      <c r="Q21" s="63">
        <f t="shared" si="2"/>
        <v>0</v>
      </c>
    </row>
    <row r="22" spans="2:17">
      <c r="B22" s="10">
        <v>7</v>
      </c>
      <c r="C22" s="12">
        <f>MAESTRO!B11</f>
        <v>0</v>
      </c>
      <c r="D22" s="17"/>
      <c r="E22" s="17"/>
      <c r="F22" s="52" t="e">
        <f>'PROM (Agropecuaria 7°)'!AE11</f>
        <v>#DIV/0!</v>
      </c>
      <c r="G22" s="52" t="e">
        <f>'PROM (Agropecuaria 7°)'!BM11</f>
        <v>#DIV/0!</v>
      </c>
      <c r="H22" s="52" t="e">
        <f>'PROM (Agropecuaria 7°)'!CU11</f>
        <v>#DIV/0!</v>
      </c>
      <c r="I22" s="52" t="e">
        <f t="shared" si="0"/>
        <v>#DIV/0!</v>
      </c>
      <c r="J22" s="62">
        <f>'Asistencia (7°)'!BI9</f>
        <v>0</v>
      </c>
      <c r="K22" s="62">
        <f>'Asistencia (9°)'!BJ9</f>
        <v>0</v>
      </c>
      <c r="L22" s="62">
        <f>'Asistencia (7°)'!BJ9</f>
        <v>0</v>
      </c>
      <c r="M22" s="62">
        <f>'Asistencia (9°)'!BJ52</f>
        <v>0</v>
      </c>
      <c r="N22" s="62">
        <f>'Asistencia (9°)'!BI97</f>
        <v>0</v>
      </c>
      <c r="O22" s="62">
        <f>'Asistencia (9°)'!BJ97</f>
        <v>0</v>
      </c>
      <c r="P22" s="63">
        <f t="shared" si="1"/>
        <v>0</v>
      </c>
      <c r="Q22" s="63">
        <f t="shared" si="2"/>
        <v>0</v>
      </c>
    </row>
    <row r="23" spans="2:17">
      <c r="B23" s="10">
        <v>8</v>
      </c>
      <c r="C23" s="12">
        <f>MAESTRO!B12</f>
        <v>0</v>
      </c>
      <c r="D23" s="17"/>
      <c r="E23" s="17"/>
      <c r="F23" s="52" t="e">
        <f>'PROM (Agropecuaria 7°)'!AE12</f>
        <v>#DIV/0!</v>
      </c>
      <c r="G23" s="52" t="e">
        <f>'PROM (Agropecuaria 7°)'!BM12</f>
        <v>#DIV/0!</v>
      </c>
      <c r="H23" s="52" t="e">
        <f>'PROM (Agropecuaria 7°)'!CU12</f>
        <v>#DIV/0!</v>
      </c>
      <c r="I23" s="52" t="e">
        <f t="shared" si="0"/>
        <v>#DIV/0!</v>
      </c>
      <c r="J23" s="62">
        <f>'Asistencia (7°)'!BI10</f>
        <v>0</v>
      </c>
      <c r="K23" s="62">
        <f>'Asistencia (9°)'!BJ10</f>
        <v>0</v>
      </c>
      <c r="L23" s="62">
        <f>'Asistencia (7°)'!BJ10</f>
        <v>0</v>
      </c>
      <c r="M23" s="62">
        <f>'Asistencia (9°)'!BJ53</f>
        <v>0</v>
      </c>
      <c r="N23" s="62">
        <f>'Asistencia (9°)'!BI98</f>
        <v>0</v>
      </c>
      <c r="O23" s="62">
        <f>'Asistencia (9°)'!BJ98</f>
        <v>0</v>
      </c>
      <c r="P23" s="63">
        <f t="shared" si="1"/>
        <v>0</v>
      </c>
      <c r="Q23" s="63">
        <f t="shared" si="2"/>
        <v>0</v>
      </c>
    </row>
    <row r="24" spans="2:17">
      <c r="B24" s="10">
        <v>9</v>
      </c>
      <c r="C24" s="12">
        <f>MAESTRO!B13</f>
        <v>0</v>
      </c>
      <c r="D24" s="17"/>
      <c r="E24" s="17"/>
      <c r="F24" s="52" t="e">
        <f>'PROM (Agropecuaria 7°)'!AE13</f>
        <v>#DIV/0!</v>
      </c>
      <c r="G24" s="52" t="e">
        <f>'PROM (Agropecuaria 7°)'!BM13</f>
        <v>#DIV/0!</v>
      </c>
      <c r="H24" s="52" t="e">
        <f>'PROM (Agropecuaria 7°)'!CU13</f>
        <v>#DIV/0!</v>
      </c>
      <c r="I24" s="52" t="e">
        <f t="shared" si="0"/>
        <v>#DIV/0!</v>
      </c>
      <c r="J24" s="62">
        <f>'Asistencia (7°)'!BI11</f>
        <v>0</v>
      </c>
      <c r="K24" s="62">
        <f>'Asistencia (9°)'!BJ11</f>
        <v>0</v>
      </c>
      <c r="L24" s="62">
        <f>'Asistencia (7°)'!BJ11</f>
        <v>0</v>
      </c>
      <c r="M24" s="62">
        <f>'Asistencia (9°)'!BJ54</f>
        <v>0</v>
      </c>
      <c r="N24" s="62">
        <f>'Asistencia (9°)'!BI99</f>
        <v>0</v>
      </c>
      <c r="O24" s="62">
        <f>'Asistencia (9°)'!BJ99</f>
        <v>0</v>
      </c>
      <c r="P24" s="63">
        <f t="shared" si="1"/>
        <v>0</v>
      </c>
      <c r="Q24" s="63">
        <f t="shared" si="2"/>
        <v>0</v>
      </c>
    </row>
    <row r="25" spans="2:17">
      <c r="B25" s="10">
        <v>10</v>
      </c>
      <c r="C25" s="12">
        <f>MAESTRO!B14</f>
        <v>0</v>
      </c>
      <c r="D25" s="17"/>
      <c r="E25" s="17"/>
      <c r="F25" s="52" t="e">
        <f>'PROM (Agropecuaria 7°)'!AE14</f>
        <v>#DIV/0!</v>
      </c>
      <c r="G25" s="52" t="e">
        <f>'PROM (Agropecuaria 7°)'!BM14</f>
        <v>#DIV/0!</v>
      </c>
      <c r="H25" s="52" t="e">
        <f>'PROM (Agropecuaria 7°)'!CU14</f>
        <v>#DIV/0!</v>
      </c>
      <c r="I25" s="52" t="e">
        <f t="shared" si="0"/>
        <v>#DIV/0!</v>
      </c>
      <c r="J25" s="62">
        <f>'Asistencia (7°)'!BI12</f>
        <v>0</v>
      </c>
      <c r="K25" s="62">
        <f>'Asistencia (9°)'!BJ12</f>
        <v>0</v>
      </c>
      <c r="L25" s="62">
        <f>'Asistencia (7°)'!BJ12</f>
        <v>0</v>
      </c>
      <c r="M25" s="62">
        <f>'Asistencia (9°)'!BJ55</f>
        <v>0</v>
      </c>
      <c r="N25" s="62">
        <f>'Asistencia (9°)'!BI100</f>
        <v>0</v>
      </c>
      <c r="O25" s="62">
        <f>'Asistencia (9°)'!BJ100</f>
        <v>0</v>
      </c>
      <c r="P25" s="63">
        <f t="shared" si="1"/>
        <v>0</v>
      </c>
      <c r="Q25" s="63">
        <f t="shared" si="2"/>
        <v>0</v>
      </c>
    </row>
    <row r="26" spans="2:17">
      <c r="B26" s="10">
        <v>11</v>
      </c>
      <c r="C26" s="12">
        <f>MAESTRO!B15</f>
        <v>0</v>
      </c>
      <c r="D26" s="17"/>
      <c r="E26" s="17"/>
      <c r="F26" s="52" t="e">
        <f>'PROM (Agropecuaria 7°)'!AE15</f>
        <v>#DIV/0!</v>
      </c>
      <c r="G26" s="52" t="e">
        <f>'PROM (Agropecuaria 7°)'!BM15</f>
        <v>#DIV/0!</v>
      </c>
      <c r="H26" s="52" t="e">
        <f>'PROM (Agropecuaria 7°)'!CU15</f>
        <v>#DIV/0!</v>
      </c>
      <c r="I26" s="52" t="e">
        <f t="shared" si="0"/>
        <v>#DIV/0!</v>
      </c>
      <c r="J26" s="62">
        <f>'Asistencia (7°)'!BI13</f>
        <v>0</v>
      </c>
      <c r="K26" s="62">
        <f>'Asistencia (9°)'!BJ13</f>
        <v>0</v>
      </c>
      <c r="L26" s="62">
        <f>'Asistencia (7°)'!BJ13</f>
        <v>0</v>
      </c>
      <c r="M26" s="62">
        <f>'Asistencia (9°)'!BJ56</f>
        <v>0</v>
      </c>
      <c r="N26" s="62">
        <f>'Asistencia (9°)'!BI101</f>
        <v>0</v>
      </c>
      <c r="O26" s="62">
        <f>'Asistencia (9°)'!BJ101</f>
        <v>0</v>
      </c>
      <c r="P26" s="63">
        <f t="shared" si="1"/>
        <v>0</v>
      </c>
      <c r="Q26" s="63">
        <f t="shared" si="2"/>
        <v>0</v>
      </c>
    </row>
    <row r="27" spans="2:17">
      <c r="B27" s="10">
        <v>12</v>
      </c>
      <c r="C27" s="12">
        <f>MAESTRO!B16</f>
        <v>0</v>
      </c>
      <c r="D27" s="17"/>
      <c r="E27" s="17"/>
      <c r="F27" s="52" t="e">
        <f>'PROM (Agropecuaria 7°)'!AE16</f>
        <v>#DIV/0!</v>
      </c>
      <c r="G27" s="52" t="e">
        <f>'PROM (Agropecuaria 7°)'!BM16</f>
        <v>#DIV/0!</v>
      </c>
      <c r="H27" s="52" t="e">
        <f>'PROM (Agropecuaria 7°)'!CU16</f>
        <v>#DIV/0!</v>
      </c>
      <c r="I27" s="52" t="e">
        <f t="shared" si="0"/>
        <v>#DIV/0!</v>
      </c>
      <c r="J27" s="62">
        <f>'Asistencia (7°)'!BI14</f>
        <v>0</v>
      </c>
      <c r="K27" s="62">
        <f>'Asistencia (9°)'!BJ14</f>
        <v>0</v>
      </c>
      <c r="L27" s="62">
        <f>'Asistencia (7°)'!BJ14</f>
        <v>0</v>
      </c>
      <c r="M27" s="62">
        <f>'Asistencia (9°)'!BJ57</f>
        <v>0</v>
      </c>
      <c r="N27" s="62">
        <f>'Asistencia (9°)'!BI102</f>
        <v>0</v>
      </c>
      <c r="O27" s="62">
        <f>'Asistencia (9°)'!BJ102</f>
        <v>0</v>
      </c>
      <c r="P27" s="63">
        <f t="shared" si="1"/>
        <v>0</v>
      </c>
      <c r="Q27" s="63">
        <f t="shared" si="2"/>
        <v>0</v>
      </c>
    </row>
    <row r="28" spans="2:17">
      <c r="B28" s="10">
        <v>13</v>
      </c>
      <c r="C28" s="12">
        <f>MAESTRO!B17</f>
        <v>0</v>
      </c>
      <c r="D28" s="17"/>
      <c r="E28" s="17"/>
      <c r="F28" s="52" t="e">
        <f>'PROM (Agropecuaria 7°)'!AE17</f>
        <v>#DIV/0!</v>
      </c>
      <c r="G28" s="52" t="e">
        <f>'PROM (Agropecuaria 7°)'!BM17</f>
        <v>#DIV/0!</v>
      </c>
      <c r="H28" s="52" t="e">
        <f>'PROM (Agropecuaria 7°)'!CU17</f>
        <v>#DIV/0!</v>
      </c>
      <c r="I28" s="52" t="e">
        <f t="shared" si="0"/>
        <v>#DIV/0!</v>
      </c>
      <c r="J28" s="62">
        <f>'Asistencia (7°)'!BI15</f>
        <v>0</v>
      </c>
      <c r="K28" s="62">
        <f>'Asistencia (9°)'!BJ15</f>
        <v>0</v>
      </c>
      <c r="L28" s="62">
        <f>'Asistencia (7°)'!BJ15</f>
        <v>0</v>
      </c>
      <c r="M28" s="62">
        <f>'Asistencia (9°)'!BJ58</f>
        <v>0</v>
      </c>
      <c r="N28" s="62">
        <f>'Asistencia (9°)'!BI103</f>
        <v>0</v>
      </c>
      <c r="O28" s="62">
        <f>'Asistencia (9°)'!BJ103</f>
        <v>0</v>
      </c>
      <c r="P28" s="63">
        <f t="shared" si="1"/>
        <v>0</v>
      </c>
      <c r="Q28" s="63">
        <f t="shared" si="2"/>
        <v>0</v>
      </c>
    </row>
    <row r="29" spans="2:17">
      <c r="B29" s="10">
        <v>14</v>
      </c>
      <c r="C29" s="12">
        <f>MAESTRO!B18</f>
        <v>0</v>
      </c>
      <c r="D29" s="17"/>
      <c r="E29" s="17"/>
      <c r="F29" s="52" t="e">
        <f>'PROM (Agropecuaria 7°)'!AE18</f>
        <v>#DIV/0!</v>
      </c>
      <c r="G29" s="52" t="e">
        <f>'PROM (Agropecuaria 7°)'!BM18</f>
        <v>#DIV/0!</v>
      </c>
      <c r="H29" s="52" t="e">
        <f>'PROM (Agropecuaria 7°)'!CU18</f>
        <v>#DIV/0!</v>
      </c>
      <c r="I29" s="52" t="e">
        <f t="shared" si="0"/>
        <v>#DIV/0!</v>
      </c>
      <c r="J29" s="62">
        <f>'Asistencia (7°)'!BI16</f>
        <v>0</v>
      </c>
      <c r="K29" s="62">
        <f>'Asistencia (9°)'!BJ16</f>
        <v>0</v>
      </c>
      <c r="L29" s="62">
        <f>'Asistencia (7°)'!BJ16</f>
        <v>0</v>
      </c>
      <c r="M29" s="62">
        <f>'Asistencia (9°)'!BJ59</f>
        <v>0</v>
      </c>
      <c r="N29" s="62">
        <f>'Asistencia (9°)'!BI104</f>
        <v>0</v>
      </c>
      <c r="O29" s="62">
        <f>'Asistencia (9°)'!BJ104</f>
        <v>0</v>
      </c>
      <c r="P29" s="63">
        <f t="shared" si="1"/>
        <v>0</v>
      </c>
      <c r="Q29" s="63">
        <f t="shared" si="2"/>
        <v>0</v>
      </c>
    </row>
    <row r="30" spans="2:17">
      <c r="B30" s="10">
        <v>15</v>
      </c>
      <c r="C30" s="12">
        <f>MAESTRO!B19</f>
        <v>0</v>
      </c>
      <c r="D30" s="17"/>
      <c r="E30" s="17"/>
      <c r="F30" s="52" t="e">
        <f>'PROM (Agropecuaria 7°)'!AE19</f>
        <v>#DIV/0!</v>
      </c>
      <c r="G30" s="52" t="e">
        <f>'PROM (Agropecuaria 7°)'!BM19</f>
        <v>#DIV/0!</v>
      </c>
      <c r="H30" s="52" t="e">
        <f>'PROM (Agropecuaria 7°)'!CU19</f>
        <v>#DIV/0!</v>
      </c>
      <c r="I30" s="52" t="e">
        <f t="shared" si="0"/>
        <v>#DIV/0!</v>
      </c>
      <c r="J30" s="62">
        <f>'Asistencia (7°)'!BI17</f>
        <v>0</v>
      </c>
      <c r="K30" s="62">
        <f>'Asistencia (9°)'!BJ17</f>
        <v>0</v>
      </c>
      <c r="L30" s="62">
        <f>'Asistencia (7°)'!BJ17</f>
        <v>0</v>
      </c>
      <c r="M30" s="62">
        <f>'Asistencia (9°)'!BJ60</f>
        <v>0</v>
      </c>
      <c r="N30" s="62">
        <f>'Asistencia (9°)'!BI105</f>
        <v>0</v>
      </c>
      <c r="O30" s="62">
        <f>'Asistencia (9°)'!BJ105</f>
        <v>0</v>
      </c>
      <c r="P30" s="63">
        <f t="shared" si="1"/>
        <v>0</v>
      </c>
      <c r="Q30" s="63">
        <f t="shared" si="2"/>
        <v>0</v>
      </c>
    </row>
    <row r="31" spans="2:17">
      <c r="B31" s="10">
        <v>16</v>
      </c>
      <c r="C31" s="12">
        <f>MAESTRO!B20</f>
        <v>0</v>
      </c>
      <c r="D31" s="17"/>
      <c r="E31" s="17"/>
      <c r="F31" s="52" t="e">
        <f>'PROM (Agropecuaria 7°)'!AE20</f>
        <v>#DIV/0!</v>
      </c>
      <c r="G31" s="52" t="e">
        <f>'PROM (Agropecuaria 7°)'!BM20</f>
        <v>#DIV/0!</v>
      </c>
      <c r="H31" s="52" t="e">
        <f>'PROM (Agropecuaria 7°)'!CU20</f>
        <v>#DIV/0!</v>
      </c>
      <c r="I31" s="52" t="e">
        <f t="shared" si="0"/>
        <v>#DIV/0!</v>
      </c>
      <c r="J31" s="62">
        <f>'Asistencia (7°)'!BI18</f>
        <v>0</v>
      </c>
      <c r="K31" s="62">
        <f>'Asistencia (9°)'!BJ18</f>
        <v>0</v>
      </c>
      <c r="L31" s="62">
        <f>'Asistencia (7°)'!BJ18</f>
        <v>0</v>
      </c>
      <c r="M31" s="62">
        <f>'Asistencia (9°)'!BJ61</f>
        <v>0</v>
      </c>
      <c r="N31" s="62">
        <f>'Asistencia (9°)'!BI106</f>
        <v>0</v>
      </c>
      <c r="O31" s="62">
        <f>'Asistencia (9°)'!BJ106</f>
        <v>0</v>
      </c>
      <c r="P31" s="63">
        <f t="shared" si="1"/>
        <v>0</v>
      </c>
      <c r="Q31" s="63">
        <f t="shared" si="2"/>
        <v>0</v>
      </c>
    </row>
    <row r="32" spans="2:17">
      <c r="B32" s="10">
        <v>17</v>
      </c>
      <c r="C32" s="12">
        <f>MAESTRO!B21</f>
        <v>0</v>
      </c>
      <c r="D32" s="17"/>
      <c r="E32" s="17"/>
      <c r="F32" s="52" t="e">
        <f>'PROM (Agropecuaria 7°)'!AE21</f>
        <v>#DIV/0!</v>
      </c>
      <c r="G32" s="73" t="e">
        <f>'PROM (Agropecuaria 7°)'!BM21</f>
        <v>#DIV/0!</v>
      </c>
      <c r="H32" s="52" t="e">
        <f>'PROM (Agropecuaria 7°)'!CU21</f>
        <v>#DIV/0!</v>
      </c>
      <c r="I32" s="52" t="e">
        <f t="shared" si="0"/>
        <v>#DIV/0!</v>
      </c>
      <c r="J32" s="62">
        <f>'Asistencia (7°)'!BI19</f>
        <v>0</v>
      </c>
      <c r="K32" s="62">
        <f>'Asistencia (9°)'!BJ19</f>
        <v>0</v>
      </c>
      <c r="L32" s="62">
        <f>'Asistencia (7°)'!BJ19</f>
        <v>0</v>
      </c>
      <c r="M32" s="62">
        <f>'Asistencia (9°)'!BJ62</f>
        <v>0</v>
      </c>
      <c r="N32" s="62">
        <f>'Asistencia (9°)'!BI107</f>
        <v>0</v>
      </c>
      <c r="O32" s="62">
        <f>'Asistencia (9°)'!BJ107</f>
        <v>0</v>
      </c>
      <c r="P32" s="63">
        <f t="shared" si="1"/>
        <v>0</v>
      </c>
      <c r="Q32" s="63">
        <f t="shared" si="2"/>
        <v>0</v>
      </c>
    </row>
    <row r="33" spans="2:17">
      <c r="B33" s="10">
        <v>18</v>
      </c>
      <c r="C33" s="12">
        <f>MAESTRO!B22</f>
        <v>0</v>
      </c>
      <c r="D33" s="17"/>
      <c r="E33" s="17"/>
      <c r="F33" s="52" t="e">
        <f>'PROM (Agropecuaria 7°)'!AE22</f>
        <v>#DIV/0!</v>
      </c>
      <c r="G33" s="73" t="e">
        <f>'PROM (Agropecuaria 7°)'!BM22</f>
        <v>#DIV/0!</v>
      </c>
      <c r="H33" s="52" t="e">
        <f>'PROM (Agropecuaria 7°)'!CU22</f>
        <v>#DIV/0!</v>
      </c>
      <c r="I33" s="52" t="e">
        <f t="shared" si="0"/>
        <v>#DIV/0!</v>
      </c>
      <c r="J33" s="62">
        <f>'Asistencia (7°)'!BI20</f>
        <v>0</v>
      </c>
      <c r="K33" s="62">
        <f>'Asistencia (9°)'!BJ20</f>
        <v>0</v>
      </c>
      <c r="L33" s="62">
        <f>'Asistencia (7°)'!BJ20</f>
        <v>0</v>
      </c>
      <c r="M33" s="62">
        <f>'Asistencia (9°)'!BJ63</f>
        <v>0</v>
      </c>
      <c r="N33" s="62">
        <f>'Asistencia (9°)'!BI108</f>
        <v>0</v>
      </c>
      <c r="O33" s="62">
        <f>'Asistencia (9°)'!BJ108</f>
        <v>0</v>
      </c>
      <c r="P33" s="63">
        <f t="shared" si="1"/>
        <v>0</v>
      </c>
      <c r="Q33" s="63">
        <f t="shared" si="2"/>
        <v>0</v>
      </c>
    </row>
    <row r="34" spans="2:17">
      <c r="B34" s="10">
        <v>19</v>
      </c>
      <c r="C34" s="12">
        <f>MAESTRO!B23</f>
        <v>0</v>
      </c>
      <c r="D34" s="17"/>
      <c r="E34" s="17"/>
      <c r="F34" s="52" t="e">
        <f>'PROM (Agropecuaria 7°)'!AE23</f>
        <v>#DIV/0!</v>
      </c>
      <c r="G34" s="73" t="e">
        <f>'PROM (Agropecuaria 7°)'!BM23</f>
        <v>#DIV/0!</v>
      </c>
      <c r="H34" s="52" t="e">
        <f>'PROM (Agropecuaria 7°)'!CU23</f>
        <v>#DIV/0!</v>
      </c>
      <c r="I34" s="52" t="e">
        <f t="shared" si="0"/>
        <v>#DIV/0!</v>
      </c>
      <c r="J34" s="62">
        <f>'Asistencia (7°)'!BI21</f>
        <v>0</v>
      </c>
      <c r="K34" s="62">
        <f>'Asistencia (9°)'!BJ21</f>
        <v>0</v>
      </c>
      <c r="L34" s="62">
        <f>'Asistencia (7°)'!BJ21</f>
        <v>0</v>
      </c>
      <c r="M34" s="62">
        <f>'Asistencia (9°)'!BJ64</f>
        <v>0</v>
      </c>
      <c r="N34" s="62">
        <f>'Asistencia (9°)'!BI109</f>
        <v>0</v>
      </c>
      <c r="O34" s="62">
        <f>'Asistencia (9°)'!BJ109</f>
        <v>0</v>
      </c>
      <c r="P34" s="63">
        <f t="shared" si="1"/>
        <v>0</v>
      </c>
      <c r="Q34" s="63">
        <f t="shared" si="2"/>
        <v>0</v>
      </c>
    </row>
    <row r="35" spans="2:17">
      <c r="B35" s="10">
        <v>20</v>
      </c>
      <c r="C35" s="12">
        <f>MAESTRO!B24</f>
        <v>0</v>
      </c>
      <c r="D35" s="17"/>
      <c r="E35" s="17"/>
      <c r="F35" s="52" t="e">
        <f>'PROM (Agropecuaria 7°)'!AE24</f>
        <v>#DIV/0!</v>
      </c>
      <c r="G35" s="73" t="e">
        <f>'PROM (Agropecuaria 7°)'!BM24</f>
        <v>#DIV/0!</v>
      </c>
      <c r="H35" s="52" t="e">
        <f>'PROM (Agropecuaria 7°)'!CU24</f>
        <v>#DIV/0!</v>
      </c>
      <c r="I35" s="52" t="e">
        <f t="shared" si="0"/>
        <v>#DIV/0!</v>
      </c>
      <c r="J35" s="62">
        <f>'Asistencia (7°)'!BI22</f>
        <v>0</v>
      </c>
      <c r="K35" s="62">
        <f>'Asistencia (9°)'!BJ22</f>
        <v>0</v>
      </c>
      <c r="L35" s="62">
        <f>'Asistencia (7°)'!BJ22</f>
        <v>0</v>
      </c>
      <c r="M35" s="62">
        <f>'Asistencia (9°)'!BJ65</f>
        <v>0</v>
      </c>
      <c r="N35" s="62">
        <f>'Asistencia (9°)'!BI110</f>
        <v>0</v>
      </c>
      <c r="O35" s="62">
        <f>'Asistencia (9°)'!BJ110</f>
        <v>0</v>
      </c>
      <c r="P35" s="63">
        <f t="shared" si="1"/>
        <v>0</v>
      </c>
      <c r="Q35" s="63">
        <f t="shared" si="2"/>
        <v>0</v>
      </c>
    </row>
    <row r="36" spans="2:17">
      <c r="B36" s="10">
        <v>21</v>
      </c>
      <c r="C36" s="12">
        <f>MAESTRO!B25</f>
        <v>0</v>
      </c>
      <c r="D36" s="17"/>
      <c r="E36" s="17"/>
      <c r="F36" s="52" t="e">
        <f>'PROM (Agropecuaria 7°)'!AE25</f>
        <v>#DIV/0!</v>
      </c>
      <c r="G36" s="73" t="e">
        <f>'PROM (Agropecuaria 7°)'!BM25</f>
        <v>#DIV/0!</v>
      </c>
      <c r="H36" s="52" t="e">
        <f>'PROM (Agropecuaria 7°)'!CU25</f>
        <v>#DIV/0!</v>
      </c>
      <c r="I36" s="52" t="e">
        <f t="shared" si="0"/>
        <v>#DIV/0!</v>
      </c>
      <c r="J36" s="62">
        <f>'Asistencia (7°)'!BI23</f>
        <v>0</v>
      </c>
      <c r="K36" s="62">
        <f>'Asistencia (9°)'!BJ23</f>
        <v>0</v>
      </c>
      <c r="L36" s="62">
        <f>'Asistencia (7°)'!BJ23</f>
        <v>0</v>
      </c>
      <c r="M36" s="62">
        <f>'Asistencia (9°)'!BJ66</f>
        <v>0</v>
      </c>
      <c r="N36" s="62">
        <f>'Asistencia (9°)'!BI111</f>
        <v>0</v>
      </c>
      <c r="O36" s="62">
        <f>'Asistencia (9°)'!BJ111</f>
        <v>0</v>
      </c>
      <c r="P36" s="63">
        <f t="shared" si="1"/>
        <v>0</v>
      </c>
      <c r="Q36" s="63">
        <f t="shared" si="2"/>
        <v>0</v>
      </c>
    </row>
    <row r="37" spans="2:17">
      <c r="B37" s="10">
        <v>22</v>
      </c>
      <c r="C37" s="12">
        <f>MAESTRO!B26</f>
        <v>0</v>
      </c>
      <c r="D37" s="17"/>
      <c r="E37" s="17"/>
      <c r="F37" s="52" t="e">
        <f>'PROM (Agropecuaria 7°)'!AE26</f>
        <v>#DIV/0!</v>
      </c>
      <c r="G37" s="73" t="e">
        <f>'PROM (Agropecuaria 7°)'!BM26</f>
        <v>#DIV/0!</v>
      </c>
      <c r="H37" s="52" t="e">
        <f>'PROM (Agropecuaria 7°)'!CU26</f>
        <v>#DIV/0!</v>
      </c>
      <c r="I37" s="52" t="e">
        <f t="shared" si="0"/>
        <v>#DIV/0!</v>
      </c>
      <c r="J37" s="62">
        <f>'Asistencia (7°)'!BI24</f>
        <v>0</v>
      </c>
      <c r="K37" s="62">
        <f>'Asistencia (9°)'!BJ24</f>
        <v>0</v>
      </c>
      <c r="L37" s="62">
        <f>'Asistencia (7°)'!BJ24</f>
        <v>0</v>
      </c>
      <c r="M37" s="62">
        <f>'Asistencia (9°)'!BJ67</f>
        <v>0</v>
      </c>
      <c r="N37" s="62">
        <f>'Asistencia (9°)'!BI112</f>
        <v>0</v>
      </c>
      <c r="O37" s="62">
        <f>'Asistencia (9°)'!BJ112</f>
        <v>0</v>
      </c>
      <c r="P37" s="63">
        <f t="shared" si="1"/>
        <v>0</v>
      </c>
      <c r="Q37" s="63">
        <f t="shared" si="2"/>
        <v>0</v>
      </c>
    </row>
    <row r="38" spans="2:17">
      <c r="B38" s="10">
        <v>23</v>
      </c>
      <c r="C38" s="12">
        <f>MAESTRO!B27</f>
        <v>0</v>
      </c>
      <c r="D38" s="17"/>
      <c r="E38" s="17"/>
      <c r="F38" s="52" t="e">
        <f>'PROM (Agropecuaria 7°)'!AE27</f>
        <v>#DIV/0!</v>
      </c>
      <c r="G38" s="73" t="e">
        <f>'PROM (Agropecuaria 7°)'!BM27</f>
        <v>#DIV/0!</v>
      </c>
      <c r="H38" s="52" t="e">
        <f>'PROM (Agropecuaria 7°)'!CU27</f>
        <v>#DIV/0!</v>
      </c>
      <c r="I38" s="52" t="e">
        <f t="shared" si="0"/>
        <v>#DIV/0!</v>
      </c>
      <c r="J38" s="62">
        <f>'Asistencia (7°)'!BI25</f>
        <v>0</v>
      </c>
      <c r="K38" s="62">
        <f>'Asistencia (9°)'!BJ25</f>
        <v>0</v>
      </c>
      <c r="L38" s="62">
        <f>'Asistencia (7°)'!BJ25</f>
        <v>0</v>
      </c>
      <c r="M38" s="62">
        <f>'Asistencia (9°)'!BJ68</f>
        <v>0</v>
      </c>
      <c r="N38" s="62">
        <f>'Asistencia (9°)'!BI113</f>
        <v>0</v>
      </c>
      <c r="O38" s="62">
        <f>'Asistencia (9°)'!BJ113</f>
        <v>0</v>
      </c>
      <c r="P38" s="63">
        <f t="shared" si="1"/>
        <v>0</v>
      </c>
      <c r="Q38" s="63">
        <f t="shared" si="2"/>
        <v>0</v>
      </c>
    </row>
    <row r="39" spans="2:17">
      <c r="B39" s="10">
        <v>24</v>
      </c>
      <c r="C39" s="12">
        <f>MAESTRO!B28</f>
        <v>0</v>
      </c>
      <c r="D39" s="17"/>
      <c r="E39" s="17"/>
      <c r="F39" s="52" t="e">
        <f>'PROM (Agropecuaria 7°)'!AE28</f>
        <v>#DIV/0!</v>
      </c>
      <c r="G39" s="73" t="e">
        <f>'PROM (Agropecuaria 7°)'!BM28</f>
        <v>#DIV/0!</v>
      </c>
      <c r="H39" s="52" t="e">
        <f>'PROM (Agropecuaria 7°)'!CU28</f>
        <v>#DIV/0!</v>
      </c>
      <c r="I39" s="52" t="e">
        <f t="shared" si="0"/>
        <v>#DIV/0!</v>
      </c>
      <c r="J39" s="62">
        <f>'Asistencia (7°)'!BI26</f>
        <v>0</v>
      </c>
      <c r="K39" s="62">
        <f>'Asistencia (9°)'!BJ26</f>
        <v>0</v>
      </c>
      <c r="L39" s="62">
        <f>'Asistencia (7°)'!BJ26</f>
        <v>0</v>
      </c>
      <c r="M39" s="62">
        <f>'Asistencia (9°)'!BJ69</f>
        <v>0</v>
      </c>
      <c r="N39" s="62">
        <f>'Asistencia (9°)'!BI114</f>
        <v>0</v>
      </c>
      <c r="O39" s="62">
        <f>'Asistencia (9°)'!BJ114</f>
        <v>0</v>
      </c>
      <c r="P39" s="63">
        <f t="shared" si="1"/>
        <v>0</v>
      </c>
      <c r="Q39" s="63">
        <f t="shared" si="2"/>
        <v>0</v>
      </c>
    </row>
    <row r="40" spans="2:17">
      <c r="B40" s="10">
        <v>25</v>
      </c>
      <c r="C40" s="12">
        <f>MAESTRO!B29</f>
        <v>0</v>
      </c>
      <c r="D40" s="17"/>
      <c r="E40" s="17"/>
      <c r="F40" s="52" t="e">
        <f>'PROM (Agropecuaria 7°)'!AE29</f>
        <v>#DIV/0!</v>
      </c>
      <c r="G40" s="73" t="e">
        <f>'PROM (Agropecuaria 7°)'!BM29</f>
        <v>#DIV/0!</v>
      </c>
      <c r="H40" s="52" t="e">
        <f>'PROM (Agropecuaria 7°)'!CU29</f>
        <v>#DIV/0!</v>
      </c>
      <c r="I40" s="52" t="e">
        <f t="shared" si="0"/>
        <v>#DIV/0!</v>
      </c>
      <c r="J40" s="62">
        <f>'Asistencia (7°)'!BI27</f>
        <v>0</v>
      </c>
      <c r="K40" s="62">
        <f>'Asistencia (9°)'!BJ27</f>
        <v>0</v>
      </c>
      <c r="L40" s="62">
        <f>'Asistencia (7°)'!BJ27</f>
        <v>0</v>
      </c>
      <c r="M40" s="62">
        <f>'Asistencia (9°)'!BJ70</f>
        <v>0</v>
      </c>
      <c r="N40" s="62">
        <f>'Asistencia (9°)'!BI115</f>
        <v>0</v>
      </c>
      <c r="O40" s="62">
        <f>'Asistencia (9°)'!BJ115</f>
        <v>0</v>
      </c>
      <c r="P40" s="63">
        <f t="shared" si="1"/>
        <v>0</v>
      </c>
      <c r="Q40" s="63">
        <f t="shared" si="2"/>
        <v>0</v>
      </c>
    </row>
    <row r="41" spans="2:17">
      <c r="B41" s="10">
        <v>26</v>
      </c>
      <c r="C41" s="12">
        <f>MAESTRO!B30</f>
        <v>0</v>
      </c>
      <c r="D41" s="17"/>
      <c r="E41" s="17"/>
      <c r="F41" s="52" t="e">
        <f>'PROM (Agropecuaria 7°)'!AE30</f>
        <v>#DIV/0!</v>
      </c>
      <c r="G41" s="73" t="e">
        <f>'PROM (Agropecuaria 7°)'!BM30</f>
        <v>#DIV/0!</v>
      </c>
      <c r="H41" s="52" t="e">
        <f>'PROM (Agropecuaria 7°)'!CU30</f>
        <v>#DIV/0!</v>
      </c>
      <c r="I41" s="52" t="e">
        <f t="shared" si="0"/>
        <v>#DIV/0!</v>
      </c>
      <c r="J41" s="62">
        <f>'Asistencia (7°)'!BI28</f>
        <v>0</v>
      </c>
      <c r="K41" s="62">
        <f>'Asistencia (9°)'!BJ28</f>
        <v>0</v>
      </c>
      <c r="L41" s="62">
        <f>'Asistencia (7°)'!BJ28</f>
        <v>0</v>
      </c>
      <c r="M41" s="62">
        <f>'Asistencia (9°)'!BJ71</f>
        <v>0</v>
      </c>
      <c r="N41" s="62">
        <f>'Asistencia (9°)'!BI116</f>
        <v>0</v>
      </c>
      <c r="O41" s="62">
        <f>'Asistencia (9°)'!BJ116</f>
        <v>0</v>
      </c>
      <c r="P41" s="63">
        <f t="shared" si="1"/>
        <v>0</v>
      </c>
      <c r="Q41" s="63">
        <f t="shared" si="2"/>
        <v>0</v>
      </c>
    </row>
    <row r="42" spans="2:17">
      <c r="B42" s="10">
        <v>27</v>
      </c>
      <c r="C42" s="12">
        <f>MAESTRO!B31</f>
        <v>0</v>
      </c>
      <c r="D42" s="17"/>
      <c r="E42" s="17"/>
      <c r="F42" s="52" t="e">
        <f>'PROM (Agropecuaria 7°)'!AE31</f>
        <v>#DIV/0!</v>
      </c>
      <c r="G42" s="73" t="e">
        <f>'PROM (Agropecuaria 7°)'!BM31</f>
        <v>#DIV/0!</v>
      </c>
      <c r="H42" s="52" t="e">
        <f>'PROM (Agropecuaria 7°)'!CU31</f>
        <v>#DIV/0!</v>
      </c>
      <c r="I42" s="52" t="e">
        <f t="shared" si="0"/>
        <v>#DIV/0!</v>
      </c>
      <c r="J42" s="62">
        <f>'Asistencia (7°)'!BI29</f>
        <v>0</v>
      </c>
      <c r="K42" s="62">
        <f>'Asistencia (9°)'!BJ29</f>
        <v>0</v>
      </c>
      <c r="L42" s="62">
        <f>'Asistencia (7°)'!BJ29</f>
        <v>0</v>
      </c>
      <c r="M42" s="62">
        <f>'Asistencia (9°)'!BJ72</f>
        <v>0</v>
      </c>
      <c r="N42" s="62">
        <f>'Asistencia (9°)'!BI117</f>
        <v>0</v>
      </c>
      <c r="O42" s="62">
        <f>'Asistencia (9°)'!BJ117</f>
        <v>0</v>
      </c>
      <c r="P42" s="63">
        <f t="shared" si="1"/>
        <v>0</v>
      </c>
      <c r="Q42" s="63">
        <f t="shared" si="2"/>
        <v>0</v>
      </c>
    </row>
    <row r="43" spans="2:17">
      <c r="B43" s="10">
        <v>28</v>
      </c>
      <c r="C43" s="12">
        <f>MAESTRO!B32</f>
        <v>0</v>
      </c>
      <c r="D43" s="17"/>
      <c r="E43" s="17"/>
      <c r="F43" s="52" t="e">
        <f>'PROM (Agropecuaria 7°)'!AE32</f>
        <v>#DIV/0!</v>
      </c>
      <c r="G43" s="73" t="e">
        <f>'PROM (Agropecuaria 7°)'!BM32</f>
        <v>#DIV/0!</v>
      </c>
      <c r="H43" s="52" t="e">
        <f>'PROM (Agropecuaria 7°)'!CU32</f>
        <v>#DIV/0!</v>
      </c>
      <c r="I43" s="52" t="e">
        <f t="shared" si="0"/>
        <v>#DIV/0!</v>
      </c>
      <c r="J43" s="62">
        <f>'Asistencia (7°)'!BI30</f>
        <v>0</v>
      </c>
      <c r="K43" s="62">
        <f>'Asistencia (9°)'!BJ30</f>
        <v>0</v>
      </c>
      <c r="L43" s="62">
        <f>'Asistencia (7°)'!BJ30</f>
        <v>0</v>
      </c>
      <c r="M43" s="62">
        <f>'Asistencia (9°)'!BJ73</f>
        <v>0</v>
      </c>
      <c r="N43" s="62">
        <f>'Asistencia (9°)'!BI118</f>
        <v>0</v>
      </c>
      <c r="O43" s="62">
        <f>'Asistencia (9°)'!BJ118</f>
        <v>0</v>
      </c>
      <c r="P43" s="63">
        <f t="shared" si="1"/>
        <v>0</v>
      </c>
      <c r="Q43" s="63">
        <f t="shared" si="2"/>
        <v>0</v>
      </c>
    </row>
    <row r="44" spans="2:17">
      <c r="B44" s="10">
        <v>29</v>
      </c>
      <c r="C44" s="12">
        <f>MAESTRO!B33</f>
        <v>0</v>
      </c>
      <c r="D44" s="17"/>
      <c r="E44" s="17"/>
      <c r="F44" s="52" t="e">
        <f>'PROM (Agropecuaria 7°)'!AE33</f>
        <v>#DIV/0!</v>
      </c>
      <c r="G44" s="73" t="e">
        <f>'PROM (Agropecuaria 7°)'!BM33</f>
        <v>#DIV/0!</v>
      </c>
      <c r="H44" s="52" t="e">
        <f>'PROM (Agropecuaria 7°)'!CU33</f>
        <v>#DIV/0!</v>
      </c>
      <c r="I44" s="52" t="e">
        <f t="shared" si="0"/>
        <v>#DIV/0!</v>
      </c>
      <c r="J44" s="62">
        <f>'Asistencia (7°)'!BI31</f>
        <v>0</v>
      </c>
      <c r="K44" s="62">
        <f>'Asistencia (9°)'!BJ31</f>
        <v>0</v>
      </c>
      <c r="L44" s="62">
        <f>'Asistencia (7°)'!BJ31</f>
        <v>0</v>
      </c>
      <c r="M44" s="62">
        <f>'Asistencia (9°)'!BJ74</f>
        <v>0</v>
      </c>
      <c r="N44" s="62">
        <f>'Asistencia (9°)'!BI119</f>
        <v>0</v>
      </c>
      <c r="O44" s="62">
        <f>'Asistencia (9°)'!BJ119</f>
        <v>0</v>
      </c>
      <c r="P44" s="63">
        <f t="shared" si="1"/>
        <v>0</v>
      </c>
      <c r="Q44" s="63">
        <f t="shared" si="2"/>
        <v>0</v>
      </c>
    </row>
    <row r="45" spans="2:17">
      <c r="B45" s="10">
        <v>30</v>
      </c>
      <c r="C45" s="12">
        <f>MAESTRO!B34</f>
        <v>0</v>
      </c>
      <c r="D45" s="17"/>
      <c r="E45" s="17"/>
      <c r="F45" s="52" t="e">
        <f>'PROM (Agropecuaria 7°)'!AE34</f>
        <v>#DIV/0!</v>
      </c>
      <c r="G45" s="73" t="e">
        <f>'PROM (Agropecuaria 7°)'!BM34</f>
        <v>#DIV/0!</v>
      </c>
      <c r="H45" s="52" t="e">
        <f>'PROM (Agropecuaria 7°)'!CU34</f>
        <v>#DIV/0!</v>
      </c>
      <c r="I45" s="52" t="e">
        <f t="shared" si="0"/>
        <v>#DIV/0!</v>
      </c>
      <c r="J45" s="62">
        <f>'Asistencia (7°)'!BI32</f>
        <v>0</v>
      </c>
      <c r="K45" s="62">
        <f>'Asistencia (9°)'!BJ32</f>
        <v>0</v>
      </c>
      <c r="L45" s="62">
        <f>'Asistencia (7°)'!BJ32</f>
        <v>0</v>
      </c>
      <c r="M45" s="62">
        <f>'Asistencia (9°)'!BJ75</f>
        <v>0</v>
      </c>
      <c r="N45" s="62">
        <f>'Asistencia (9°)'!BI120</f>
        <v>0</v>
      </c>
      <c r="O45" s="62">
        <f>'Asistencia (9°)'!BJ120</f>
        <v>0</v>
      </c>
      <c r="P45" s="63">
        <f t="shared" si="1"/>
        <v>0</v>
      </c>
      <c r="Q45" s="63">
        <f t="shared" si="2"/>
        <v>0</v>
      </c>
    </row>
    <row r="46" spans="2:17">
      <c r="B46" s="10">
        <v>31</v>
      </c>
      <c r="C46" s="12">
        <f>MAESTRO!B35</f>
        <v>0</v>
      </c>
      <c r="D46" s="17"/>
      <c r="E46" s="17"/>
      <c r="F46" s="52" t="e">
        <f>'PROM (Agropecuaria 7°)'!AE35</f>
        <v>#DIV/0!</v>
      </c>
      <c r="G46" s="73" t="e">
        <f>'PROM (Agropecuaria 7°)'!BM35</f>
        <v>#DIV/0!</v>
      </c>
      <c r="H46" s="52" t="e">
        <f>'PROM (Agropecuaria 7°)'!CU35</f>
        <v>#DIV/0!</v>
      </c>
      <c r="I46" s="52" t="e">
        <f t="shared" si="0"/>
        <v>#DIV/0!</v>
      </c>
      <c r="J46" s="62">
        <f>'Asistencia (7°)'!BI33</f>
        <v>0</v>
      </c>
      <c r="K46" s="62">
        <f>'Asistencia (9°)'!BJ33</f>
        <v>0</v>
      </c>
      <c r="L46" s="62">
        <f>'Asistencia (7°)'!BJ33</f>
        <v>0</v>
      </c>
      <c r="M46" s="62">
        <f>'Asistencia (9°)'!BJ76</f>
        <v>0</v>
      </c>
      <c r="N46" s="62">
        <f>'Asistencia (9°)'!BI121</f>
        <v>0</v>
      </c>
      <c r="O46" s="62">
        <f>'Asistencia (9°)'!BJ121</f>
        <v>0</v>
      </c>
      <c r="P46" s="63">
        <f t="shared" si="1"/>
        <v>0</v>
      </c>
      <c r="Q46" s="63">
        <f t="shared" si="2"/>
        <v>0</v>
      </c>
    </row>
    <row r="47" spans="2:17">
      <c r="B47" s="10">
        <v>32</v>
      </c>
      <c r="C47" s="12">
        <f>MAESTRO!B36</f>
        <v>0</v>
      </c>
      <c r="D47" s="17"/>
      <c r="E47" s="17"/>
      <c r="F47" s="52" t="e">
        <f>'PROM (Agropecuaria 7°)'!AE36</f>
        <v>#DIV/0!</v>
      </c>
      <c r="G47" s="73" t="e">
        <f>'PROM (Agropecuaria 7°)'!BM36</f>
        <v>#DIV/0!</v>
      </c>
      <c r="H47" s="52" t="e">
        <f>'PROM (Agropecuaria 7°)'!CU36</f>
        <v>#DIV/0!</v>
      </c>
      <c r="I47" s="52" t="e">
        <f t="shared" si="0"/>
        <v>#DIV/0!</v>
      </c>
      <c r="J47" s="62">
        <f>'Asistencia (7°)'!BI34</f>
        <v>0</v>
      </c>
      <c r="K47" s="62">
        <f>'Asistencia (9°)'!BJ34</f>
        <v>0</v>
      </c>
      <c r="L47" s="62">
        <f>'Asistencia (7°)'!BJ34</f>
        <v>0</v>
      </c>
      <c r="M47" s="62">
        <f>'Asistencia (9°)'!BJ77</f>
        <v>0</v>
      </c>
      <c r="N47" s="62">
        <f>'Asistencia (9°)'!BI122</f>
        <v>0</v>
      </c>
      <c r="O47" s="62">
        <f>'Asistencia (9°)'!BJ122</f>
        <v>0</v>
      </c>
      <c r="P47" s="63">
        <f t="shared" si="1"/>
        <v>0</v>
      </c>
      <c r="Q47" s="63">
        <f t="shared" si="2"/>
        <v>0</v>
      </c>
    </row>
    <row r="48" spans="2:17">
      <c r="B48" s="10">
        <v>33</v>
      </c>
      <c r="C48" s="12">
        <f>MAESTRO!B37</f>
        <v>0</v>
      </c>
      <c r="D48" s="17"/>
      <c r="E48" s="17"/>
      <c r="F48" s="52" t="e">
        <f>'PROM (Agropecuaria 7°)'!AE37</f>
        <v>#DIV/0!</v>
      </c>
      <c r="G48" s="73" t="e">
        <f>'PROM (Agropecuaria 7°)'!BM37</f>
        <v>#DIV/0!</v>
      </c>
      <c r="H48" s="52" t="e">
        <f>'PROM (Agropecuaria 7°)'!CU37</f>
        <v>#DIV/0!</v>
      </c>
      <c r="I48" s="52" t="e">
        <f t="shared" si="0"/>
        <v>#DIV/0!</v>
      </c>
      <c r="J48" s="62">
        <f>'Asistencia (7°)'!BI35</f>
        <v>0</v>
      </c>
      <c r="K48" s="62">
        <f>'Asistencia (9°)'!BJ35</f>
        <v>0</v>
      </c>
      <c r="L48" s="62">
        <f>'Asistencia (7°)'!BJ35</f>
        <v>0</v>
      </c>
      <c r="M48" s="62">
        <f>'Asistencia (9°)'!BJ78</f>
        <v>0</v>
      </c>
      <c r="N48" s="62">
        <f>'Asistencia (9°)'!BI123</f>
        <v>0</v>
      </c>
      <c r="O48" s="62">
        <f>'Asistencia (9°)'!BJ123</f>
        <v>0</v>
      </c>
      <c r="P48" s="63">
        <f t="shared" si="1"/>
        <v>0</v>
      </c>
      <c r="Q48" s="63">
        <f t="shared" si="2"/>
        <v>0</v>
      </c>
    </row>
    <row r="49" spans="2:17">
      <c r="B49" s="10">
        <v>34</v>
      </c>
      <c r="C49" s="12">
        <f>MAESTRO!B38</f>
        <v>0</v>
      </c>
      <c r="D49" s="17"/>
      <c r="E49" s="17"/>
      <c r="F49" s="52" t="e">
        <f>'PROM (Agropecuaria 7°)'!AE38</f>
        <v>#DIV/0!</v>
      </c>
      <c r="G49" s="73" t="e">
        <f>'PROM (Agropecuaria 7°)'!BM38</f>
        <v>#DIV/0!</v>
      </c>
      <c r="H49" s="52" t="e">
        <f>'PROM (Agropecuaria 7°)'!CU38</f>
        <v>#DIV/0!</v>
      </c>
      <c r="I49" s="52" t="e">
        <f t="shared" si="0"/>
        <v>#DIV/0!</v>
      </c>
      <c r="J49" s="62">
        <f>'Asistencia (7°)'!BI36</f>
        <v>0</v>
      </c>
      <c r="K49" s="62">
        <f>'Asistencia (9°)'!BJ36</f>
        <v>0</v>
      </c>
      <c r="L49" s="62">
        <f>'Asistencia (7°)'!BJ36</f>
        <v>0</v>
      </c>
      <c r="M49" s="62">
        <f>'Asistencia (9°)'!BJ79</f>
        <v>0</v>
      </c>
      <c r="N49" s="62">
        <f>'Asistencia (9°)'!BI124</f>
        <v>0</v>
      </c>
      <c r="O49" s="62">
        <f>'Asistencia (9°)'!BJ124</f>
        <v>0</v>
      </c>
      <c r="P49" s="63">
        <f t="shared" si="1"/>
        <v>0</v>
      </c>
      <c r="Q49" s="63">
        <f t="shared" si="2"/>
        <v>0</v>
      </c>
    </row>
    <row r="50" spans="2:17">
      <c r="B50" s="10">
        <v>35</v>
      </c>
      <c r="C50" s="12">
        <f>MAESTRO!B39</f>
        <v>0</v>
      </c>
      <c r="D50" s="17"/>
      <c r="E50" s="17"/>
      <c r="F50" s="52" t="e">
        <f>'PROM (Agropecuaria 7°)'!AE39</f>
        <v>#DIV/0!</v>
      </c>
      <c r="G50" s="73" t="e">
        <f>'PROM (Agropecuaria 7°)'!BM39</f>
        <v>#DIV/0!</v>
      </c>
      <c r="H50" s="52" t="e">
        <f>'PROM (Agropecuaria 7°)'!CU39</f>
        <v>#DIV/0!</v>
      </c>
      <c r="I50" s="52" t="e">
        <f t="shared" si="0"/>
        <v>#DIV/0!</v>
      </c>
      <c r="J50" s="62">
        <f>'Asistencia (7°)'!BI37</f>
        <v>0</v>
      </c>
      <c r="K50" s="62">
        <f>'Asistencia (9°)'!BJ37</f>
        <v>0</v>
      </c>
      <c r="L50" s="62">
        <f>'Asistencia (7°)'!BJ37</f>
        <v>0</v>
      </c>
      <c r="M50" s="62">
        <f>'Asistencia (9°)'!BJ80</f>
        <v>0</v>
      </c>
      <c r="N50" s="62">
        <f>'Asistencia (9°)'!BI125</f>
        <v>0</v>
      </c>
      <c r="O50" s="62">
        <f>'Asistencia (9°)'!BJ125</f>
        <v>0</v>
      </c>
      <c r="P50" s="63">
        <f t="shared" si="1"/>
        <v>0</v>
      </c>
      <c r="Q50" s="63">
        <f t="shared" si="2"/>
        <v>0</v>
      </c>
    </row>
    <row r="51" spans="2:17">
      <c r="B51" s="10">
        <v>36</v>
      </c>
      <c r="C51" s="12">
        <f>MAESTRO!B40</f>
        <v>0</v>
      </c>
      <c r="D51" s="17"/>
      <c r="E51" s="17"/>
      <c r="F51" s="52" t="e">
        <f>'PROM (Agropecuaria 7°)'!AE40</f>
        <v>#DIV/0!</v>
      </c>
      <c r="G51" s="73" t="e">
        <f>'PROM (Agropecuaria 7°)'!BM40</f>
        <v>#DIV/0!</v>
      </c>
      <c r="H51" s="52" t="e">
        <f>'PROM (Agropecuaria 7°)'!CU40</f>
        <v>#DIV/0!</v>
      </c>
      <c r="I51" s="52" t="e">
        <f t="shared" si="0"/>
        <v>#DIV/0!</v>
      </c>
      <c r="J51" s="62">
        <f>'Asistencia (7°)'!BI38</f>
        <v>0</v>
      </c>
      <c r="K51" s="62">
        <f>'Asistencia (9°)'!BJ38</f>
        <v>0</v>
      </c>
      <c r="L51" s="62">
        <f>'Asistencia (7°)'!BJ38</f>
        <v>0</v>
      </c>
      <c r="M51" s="62">
        <f>'Asistencia (9°)'!BJ81</f>
        <v>0</v>
      </c>
      <c r="N51" s="62">
        <f>'Asistencia (9°)'!BI126</f>
        <v>0</v>
      </c>
      <c r="O51" s="62">
        <f>'Asistencia (9°)'!BJ126</f>
        <v>0</v>
      </c>
      <c r="P51" s="63">
        <f t="shared" si="1"/>
        <v>0</v>
      </c>
      <c r="Q51" s="63">
        <f t="shared" si="2"/>
        <v>0</v>
      </c>
    </row>
    <row r="52" spans="2:17">
      <c r="B52" s="10">
        <v>37</v>
      </c>
      <c r="C52" s="12">
        <f>MAESTRO!B41</f>
        <v>0</v>
      </c>
      <c r="D52" s="17"/>
      <c r="E52" s="17"/>
      <c r="F52" s="52" t="e">
        <f>'PROM (Agropecuaria 7°)'!AE41</f>
        <v>#DIV/0!</v>
      </c>
      <c r="G52" s="73" t="e">
        <f>'PROM (Agropecuaria 7°)'!BM41</f>
        <v>#DIV/0!</v>
      </c>
      <c r="H52" s="52" t="e">
        <f>'PROM (Agropecuaria 7°)'!CU41</f>
        <v>#DIV/0!</v>
      </c>
      <c r="I52" s="52" t="e">
        <f t="shared" si="0"/>
        <v>#DIV/0!</v>
      </c>
      <c r="J52" s="62">
        <f>'Asistencia (7°)'!BI39</f>
        <v>0</v>
      </c>
      <c r="K52" s="62">
        <f>'Asistencia (9°)'!BJ39</f>
        <v>0</v>
      </c>
      <c r="L52" s="62">
        <f>'Asistencia (7°)'!BJ39</f>
        <v>0</v>
      </c>
      <c r="M52" s="62">
        <f>'Asistencia (9°)'!BJ82</f>
        <v>0</v>
      </c>
      <c r="N52" s="62">
        <f>'Asistencia (9°)'!BI127</f>
        <v>0</v>
      </c>
      <c r="O52" s="62">
        <f>'Asistencia (9°)'!BJ127</f>
        <v>0</v>
      </c>
      <c r="P52" s="63">
        <f t="shared" si="1"/>
        <v>0</v>
      </c>
      <c r="Q52" s="63">
        <f t="shared" si="2"/>
        <v>0</v>
      </c>
    </row>
    <row r="53" spans="2:17">
      <c r="B53" s="10">
        <v>38</v>
      </c>
      <c r="C53" s="12">
        <f>MAESTRO!B42</f>
        <v>0</v>
      </c>
      <c r="D53" s="17"/>
      <c r="E53" s="17"/>
      <c r="F53" s="52"/>
      <c r="G53" s="52"/>
      <c r="H53" s="52"/>
      <c r="I53" s="52"/>
      <c r="J53" s="62">
        <f>'Asistencia (7°)'!BI40</f>
        <v>0</v>
      </c>
      <c r="K53" s="62"/>
      <c r="L53" s="62">
        <f>'Asistencia (7°)'!BJ40</f>
        <v>0</v>
      </c>
      <c r="M53" s="62"/>
      <c r="N53" s="62"/>
      <c r="O53" s="62"/>
      <c r="P53" s="63"/>
      <c r="Q53" s="63"/>
    </row>
    <row r="54" spans="2:17">
      <c r="B54" s="10">
        <v>39</v>
      </c>
      <c r="C54" s="12">
        <f>MAESTRO!B43</f>
        <v>0</v>
      </c>
      <c r="D54" s="17"/>
      <c r="E54" s="18"/>
      <c r="F54" s="52"/>
      <c r="G54" s="52"/>
      <c r="H54" s="52"/>
      <c r="I54" s="52"/>
      <c r="J54" s="62">
        <f>'Asistencia (7°)'!BI41</f>
        <v>0</v>
      </c>
      <c r="K54" s="62"/>
      <c r="L54" s="62">
        <f>'Asistencia (7°)'!BJ41</f>
        <v>0</v>
      </c>
      <c r="M54" s="62"/>
      <c r="N54" s="62"/>
      <c r="O54" s="62"/>
      <c r="P54" s="63"/>
      <c r="Q54" s="63"/>
    </row>
    <row r="55" spans="2:17">
      <c r="B55" s="10"/>
      <c r="C55" s="12">
        <f>MAESTRO!B44</f>
        <v>0</v>
      </c>
      <c r="D55" s="17"/>
      <c r="E55" s="18"/>
      <c r="F55" s="52"/>
      <c r="G55" s="52"/>
      <c r="H55" s="52"/>
      <c r="I55" s="52"/>
      <c r="J55" s="62">
        <f>'Asistencia (7°)'!BI42</f>
        <v>0</v>
      </c>
      <c r="K55" s="62"/>
      <c r="L55" s="62">
        <f>'Asistencia (7°)'!BJ42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4" priority="1" operator="lessThan">
      <formula>3</formula>
    </cfRule>
  </conditionalFormatting>
  <pageMargins left="0.25" right="4.9479166666666657E-2" top="0.75" bottom="0.75" header="0.3" footer="0.3"/>
  <pageSetup orientation="portrait" horizontalDpi="4294967293"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9">
    <tabColor rgb="FF9966CC"/>
  </sheetPr>
  <dimension ref="A1:EE49"/>
  <sheetViews>
    <sheetView view="pageLayout" zoomScale="60" zoomScaleNormal="100" zoomScalePageLayoutView="60" workbookViewId="0">
      <selection activeCell="B7" sqref="B7"/>
    </sheetView>
  </sheetViews>
  <sheetFormatPr baseColWidth="10" defaultRowHeight="14.4"/>
  <cols>
    <col min="1" max="1" width="3.21875" bestFit="1" customWidth="1"/>
    <col min="2" max="2" width="19.554687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89</v>
      </c>
      <c r="BQ1" s="251"/>
      <c r="BR1" s="251"/>
      <c r="BS1" s="251"/>
      <c r="BT1" s="251"/>
      <c r="BU1" s="251"/>
      <c r="BV1" s="251"/>
      <c r="BW1" s="251"/>
      <c r="BX1" s="251"/>
      <c r="BY1" s="251"/>
      <c r="BZ1" s="251"/>
      <c r="CA1" s="251"/>
      <c r="CB1" s="251"/>
      <c r="CC1" s="251"/>
      <c r="CD1" s="251"/>
      <c r="CE1" s="251"/>
      <c r="CF1" s="241"/>
      <c r="CG1" s="263" t="s">
        <v>89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4"/>
      <c r="H4" s="4"/>
      <c r="I4" s="4"/>
      <c r="J4" s="4"/>
      <c r="K4" s="4"/>
      <c r="L4" s="4"/>
      <c r="M4" s="4"/>
      <c r="N4" s="4"/>
      <c r="O4" s="4"/>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2"/>
      <c r="AX4" s="243"/>
      <c r="AY4" s="25">
        <v>171</v>
      </c>
      <c r="AZ4" s="25">
        <v>45512</v>
      </c>
      <c r="BA4" s="25">
        <v>45532</v>
      </c>
      <c r="BB4" s="25">
        <v>45547</v>
      </c>
      <c r="BC4" s="25">
        <v>45548</v>
      </c>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25"/>
      <c r="CL4" s="25"/>
      <c r="CM4" s="25"/>
      <c r="CN4" s="25"/>
      <c r="CO4" s="25"/>
      <c r="CP4" s="2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MAESTRO!D5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MAESTRO!D6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MAESTRO!D7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MAESTRO!D8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MAESTRO!D9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MAESTRO!D10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MAESTRO!D11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MAESTRO!D12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MAESTRO!D13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MAESTRO!D14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MAESTRO!D15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MAESTRO!D16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MAESTRO!D17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MAESTRO!D18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MAESTRO!D19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MAESTRO!D20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MAESTRO!D21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MAESTRO!D22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MAESTRO!D23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103"/>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MAESTRO!D24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103"/>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MAESTRO!D25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103"/>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MAESTRO!D26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10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103"/>
      <c r="BT26" s="103"/>
      <c r="BU26" s="103"/>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MAESTRO!D27</f>
        <v>0</v>
      </c>
      <c r="C27" s="5"/>
      <c r="D27" s="5"/>
      <c r="E27" s="5"/>
      <c r="F27" s="5"/>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65"/>
      <c r="AN27" s="65"/>
      <c r="AO27" s="10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103"/>
      <c r="BT27" s="103"/>
      <c r="BU27" s="103"/>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MAESTRO!D28</f>
        <v>0</v>
      </c>
      <c r="C28" s="5"/>
      <c r="D28" s="5"/>
      <c r="E28" s="5"/>
      <c r="F28" s="5"/>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105"/>
      <c r="AL28" s="105"/>
      <c r="AM28" s="105"/>
      <c r="AN28" s="105"/>
      <c r="AO28" s="10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103"/>
      <c r="BT28" s="103"/>
      <c r="BU28" s="103"/>
      <c r="BV28" s="5"/>
      <c r="BW28" s="5"/>
      <c r="BX28" s="5"/>
      <c r="BY28" s="5"/>
      <c r="BZ28" s="5"/>
      <c r="CA28" s="5"/>
      <c r="CB28" s="5"/>
      <c r="CC28" s="5"/>
      <c r="CD28" s="5"/>
      <c r="CE28" s="5"/>
      <c r="CF28" s="5" t="e">
        <f t="shared" si="10"/>
        <v>#DIV/0!</v>
      </c>
      <c r="CG28" s="5"/>
      <c r="CH28" s="5"/>
      <c r="CI28" s="5"/>
      <c r="CJ28" s="5"/>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MAESTRO!D29</f>
        <v>0</v>
      </c>
      <c r="C29" s="5"/>
      <c r="D29" s="5"/>
      <c r="E29" s="5"/>
      <c r="F29" s="5"/>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105"/>
      <c r="AL29" s="105"/>
      <c r="AM29" s="105"/>
      <c r="AN29" s="105"/>
      <c r="AO29" s="105"/>
      <c r="AP29" s="6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103"/>
      <c r="BT29" s="103"/>
      <c r="BU29" s="103"/>
      <c r="BV29" s="5"/>
      <c r="BW29" s="5"/>
      <c r="BX29" s="5"/>
      <c r="BY29" s="5"/>
      <c r="BZ29" s="5"/>
      <c r="CA29" s="5"/>
      <c r="CB29" s="5"/>
      <c r="CC29" s="5"/>
      <c r="CD29" s="5"/>
      <c r="CE29" s="5"/>
      <c r="CF29" s="5" t="e">
        <f t="shared" si="10"/>
        <v>#DIV/0!</v>
      </c>
      <c r="CG29" s="5"/>
      <c r="CH29" s="5"/>
      <c r="CI29" s="5"/>
      <c r="CJ29" s="5"/>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MAESTRO!D30</f>
        <v>0</v>
      </c>
      <c r="C30" s="5"/>
      <c r="D30" s="5"/>
      <c r="E30" s="5"/>
      <c r="F30" s="5"/>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105"/>
      <c r="AL30" s="105"/>
      <c r="AM30" s="105"/>
      <c r="AN30" s="105"/>
      <c r="AO30" s="105"/>
      <c r="AP30" s="6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103"/>
      <c r="BT30" s="103"/>
      <c r="BU30" s="103"/>
      <c r="BV30" s="5"/>
      <c r="BW30" s="5"/>
      <c r="BX30" s="5"/>
      <c r="BY30" s="5"/>
      <c r="BZ30" s="5"/>
      <c r="CA30" s="5"/>
      <c r="CB30" s="5"/>
      <c r="CC30" s="5"/>
      <c r="CD30" s="5"/>
      <c r="CE30" s="5"/>
      <c r="CF30" s="5" t="e">
        <f t="shared" si="10"/>
        <v>#DIV/0!</v>
      </c>
      <c r="CG30" s="5"/>
      <c r="CH30" s="5"/>
      <c r="CI30" s="5"/>
      <c r="CJ30" s="5"/>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MAESTRO!D31</f>
        <v>0</v>
      </c>
      <c r="C31" s="104"/>
      <c r="D31" s="104"/>
      <c r="E31" s="103"/>
      <c r="F31" s="5"/>
      <c r="G31" s="5"/>
      <c r="H31" s="5"/>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5"/>
      <c r="AL31" s="105"/>
      <c r="AM31" s="105"/>
      <c r="AN31" s="105"/>
      <c r="AO31" s="105"/>
      <c r="AP31" s="6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5"/>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MAESTRO!D32</f>
        <v>0</v>
      </c>
      <c r="C32" s="104"/>
      <c r="D32" s="104"/>
      <c r="E32" s="103"/>
      <c r="F32" s="5"/>
      <c r="G32" s="5"/>
      <c r="H32" s="5"/>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105"/>
      <c r="AP32" s="6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5"/>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MAESTRO!D33</f>
        <v>0</v>
      </c>
      <c r="C33" s="104"/>
      <c r="D33" s="104"/>
      <c r="E33" s="103"/>
      <c r="F33" s="5"/>
      <c r="G33" s="5"/>
      <c r="H33" s="5"/>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105"/>
      <c r="AP33" s="6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5"/>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MAESTRO!D34</f>
        <v>0</v>
      </c>
      <c r="C34" s="104"/>
      <c r="D34" s="104"/>
      <c r="E34" s="103"/>
      <c r="F34" s="5"/>
      <c r="G34" s="5"/>
      <c r="H34" s="5"/>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105"/>
      <c r="AP34" s="6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5"/>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MAESTRO!D35</f>
        <v>0</v>
      </c>
      <c r="C35" s="104"/>
      <c r="D35" s="104"/>
      <c r="E35" s="103"/>
      <c r="F35" s="5"/>
      <c r="G35" s="5"/>
      <c r="H35" s="5"/>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105"/>
      <c r="AP35" s="6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5"/>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MAESTRO!D36</f>
        <v>0</v>
      </c>
      <c r="C36" s="104"/>
      <c r="D36" s="104"/>
      <c r="E36" s="103"/>
      <c r="F36" s="5"/>
      <c r="G36" s="5"/>
      <c r="H36" s="5"/>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6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5"/>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MAESTRO!D37</f>
        <v>0</v>
      </c>
      <c r="C37" s="104"/>
      <c r="D37" s="104"/>
      <c r="E37" s="103"/>
      <c r="F37" s="5"/>
      <c r="G37" s="5"/>
      <c r="H37" s="5"/>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6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5"/>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MAESTRO!D38</f>
        <v>0</v>
      </c>
      <c r="C38" s="104"/>
      <c r="D38" s="104"/>
      <c r="E38" s="103"/>
      <c r="F38" s="5"/>
      <c r="G38" s="5"/>
      <c r="H38" s="5"/>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6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5"/>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MAESTRO!D39</f>
        <v>0</v>
      </c>
      <c r="C39" s="104"/>
      <c r="D39" s="104"/>
      <c r="E39" s="103"/>
      <c r="F39" s="5"/>
      <c r="G39" s="5"/>
      <c r="H39" s="5"/>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6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5"/>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MAESTRO!D40</f>
        <v>0</v>
      </c>
      <c r="C40" s="104"/>
      <c r="D40" s="104"/>
      <c r="E40" s="103"/>
      <c r="F40" s="5"/>
      <c r="G40" s="5"/>
      <c r="H40" s="5"/>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6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5"/>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MAESTRO!D41</f>
        <v>0</v>
      </c>
      <c r="C41" s="104"/>
      <c r="D41" s="104"/>
      <c r="E41" s="103"/>
      <c r="F41" s="5"/>
      <c r="G41" s="5"/>
      <c r="H41" s="5"/>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6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5"/>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MAESTRO!D42</f>
        <v>0</v>
      </c>
      <c r="C42" s="104"/>
      <c r="D42" s="104"/>
      <c r="E42" s="103"/>
      <c r="F42" s="5"/>
      <c r="G42" s="5"/>
      <c r="H42" s="5"/>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6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5"/>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MAESTRO!D43</f>
        <v>0</v>
      </c>
      <c r="C43" s="104"/>
      <c r="D43" s="104"/>
      <c r="E43" s="103"/>
      <c r="F43" s="5"/>
      <c r="G43" s="5"/>
      <c r="H43" s="5"/>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6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5"/>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MAESTRO!D44</f>
        <v>0</v>
      </c>
      <c r="C44" s="104"/>
      <c r="D44" s="104"/>
      <c r="E44" s="103"/>
      <c r="F44" s="93"/>
      <c r="G44" s="93"/>
      <c r="H44" s="93"/>
      <c r="I44" s="9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4"/>
      <c r="AQ44" s="4"/>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5"/>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4"/>
      <c r="D45" s="104"/>
      <c r="E45" s="103"/>
      <c r="F45" s="93"/>
      <c r="G45" s="93"/>
      <c r="H45" s="93"/>
      <c r="I45" s="9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53"/>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5"/>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4"/>
      <c r="D46" s="104"/>
      <c r="E46" s="103"/>
      <c r="F46" s="93"/>
      <c r="G46" s="93"/>
      <c r="H46" s="93"/>
      <c r="I46" s="9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53"/>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5"/>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4"/>
      <c r="D47" s="104"/>
      <c r="E47" s="103"/>
      <c r="F47" s="93"/>
      <c r="G47" s="93"/>
      <c r="H47" s="93"/>
      <c r="I47" s="9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53"/>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5"/>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4"/>
      <c r="D48" s="104"/>
      <c r="E48" s="103"/>
      <c r="F48" s="93"/>
      <c r="G48" s="93"/>
      <c r="H48" s="93"/>
      <c r="I48" s="9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53"/>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5"/>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f>'Asistencia (9°)'!B46</f>
        <v>0</v>
      </c>
      <c r="C49" s="93"/>
      <c r="D49" s="94"/>
      <c r="E49" s="93"/>
      <c r="F49" s="93"/>
      <c r="G49" s="93"/>
      <c r="H49" s="93"/>
      <c r="I49" s="93"/>
      <c r="J49" s="93"/>
      <c r="K49" s="5"/>
      <c r="L49" s="5"/>
      <c r="M49" s="5"/>
      <c r="N49" s="5"/>
      <c r="O49" s="5"/>
      <c r="P49" s="5"/>
      <c r="Q49" s="42"/>
      <c r="R49" s="92"/>
      <c r="S49" s="92"/>
      <c r="T49" s="91"/>
      <c r="U49" s="91"/>
      <c r="V49" s="91"/>
      <c r="W49" s="91"/>
      <c r="X49" s="91"/>
      <c r="Y49" s="91"/>
      <c r="Z49" s="91"/>
      <c r="AA49" s="24"/>
      <c r="AB49" s="24"/>
      <c r="AC49" s="24"/>
      <c r="AD49" s="24"/>
      <c r="AE49" s="24"/>
      <c r="AF49" s="4"/>
      <c r="AG49" s="4">
        <v>45</v>
      </c>
      <c r="AH49" s="4">
        <v>45</v>
      </c>
      <c r="AI49" s="255"/>
      <c r="AJ49" s="241"/>
      <c r="AK49" s="53"/>
      <c r="AL49" s="99"/>
      <c r="AM49" s="99"/>
      <c r="AN49" s="99"/>
      <c r="AO49" s="99"/>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100"/>
      <c r="BU49" s="5"/>
      <c r="BV49" s="5"/>
      <c r="BW49" s="5"/>
      <c r="BX49" s="5"/>
      <c r="BY49" s="5"/>
      <c r="BZ49" s="5"/>
      <c r="CA49" s="5"/>
      <c r="CB49" s="5"/>
      <c r="CC49" s="5"/>
      <c r="CD49" s="5"/>
      <c r="CE49" s="5"/>
      <c r="CF49" s="5" t="e">
        <f>TRUNC(AVERAGE(BS49:CE49),1)</f>
        <v>#DIV/0!</v>
      </c>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2">
    <mergeCell ref="CY45:CZ45"/>
    <mergeCell ref="AA3:AA4"/>
    <mergeCell ref="CY20:CZ20"/>
    <mergeCell ref="AK3:AW3"/>
    <mergeCell ref="AI22:AJ22"/>
    <mergeCell ref="BQ42:BR42"/>
    <mergeCell ref="AI37:AJ37"/>
    <mergeCell ref="AI31:AJ31"/>
    <mergeCell ref="BQ11:BR11"/>
    <mergeCell ref="BQ43:BR43"/>
    <mergeCell ref="CY35:CZ35"/>
    <mergeCell ref="AI12:AJ12"/>
    <mergeCell ref="AI21:AJ21"/>
    <mergeCell ref="CY22:CZ22"/>
    <mergeCell ref="CY31:CZ31"/>
    <mergeCell ref="AI14:AJ14"/>
    <mergeCell ref="AI23:AJ23"/>
    <mergeCell ref="DO2:EE2"/>
    <mergeCell ref="BQ26:BR26"/>
    <mergeCell ref="AI3:AJ4"/>
    <mergeCell ref="CY29:CZ29"/>
    <mergeCell ref="A3:A4"/>
    <mergeCell ref="R3:Z3"/>
    <mergeCell ref="AI49:AJ49"/>
    <mergeCell ref="AI36:AJ36"/>
    <mergeCell ref="BQ16:BR16"/>
    <mergeCell ref="CY16:CZ16"/>
    <mergeCell ref="AI45:AJ45"/>
    <mergeCell ref="BQ25:BR25"/>
    <mergeCell ref="CY46:CZ46"/>
    <mergeCell ref="A2:P2"/>
    <mergeCell ref="ED3:EE4"/>
    <mergeCell ref="AI8:AJ8"/>
    <mergeCell ref="AI17:AJ17"/>
    <mergeCell ref="CX3:CX4"/>
    <mergeCell ref="BQ40:BR40"/>
    <mergeCell ref="CY28:CZ28"/>
    <mergeCell ref="BQ37:BR37"/>
    <mergeCell ref="CY37:CZ37"/>
    <mergeCell ref="AI10:AJ10"/>
    <mergeCell ref="BQ24:BR24"/>
    <mergeCell ref="A1:P1"/>
    <mergeCell ref="BQ21:BR21"/>
    <mergeCell ref="CY21:CZ21"/>
    <mergeCell ref="AI16:AJ16"/>
    <mergeCell ref="CV3:CW4"/>
    <mergeCell ref="AE3:AE4"/>
    <mergeCell ref="BI3:BI4"/>
    <mergeCell ref="CQ3:CQ4"/>
    <mergeCell ref="R1:AG1"/>
    <mergeCell ref="CY6:CZ6"/>
    <mergeCell ref="AH2:AX2"/>
    <mergeCell ref="AH1:AX1"/>
    <mergeCell ref="BP2:CF2"/>
    <mergeCell ref="CX2:DN2"/>
    <mergeCell ref="AI20:AJ20"/>
    <mergeCell ref="CY9:CZ9"/>
    <mergeCell ref="AY1:BO1"/>
    <mergeCell ref="R2:AG2"/>
    <mergeCell ref="AI33:AJ33"/>
    <mergeCell ref="CY7:CZ7"/>
    <mergeCell ref="AI42:AJ42"/>
    <mergeCell ref="CY43:CZ43"/>
    <mergeCell ref="CY40:CZ40"/>
    <mergeCell ref="CY27:CZ27"/>
    <mergeCell ref="AI34:AJ34"/>
    <mergeCell ref="BQ34:BR34"/>
    <mergeCell ref="AI28:AJ28"/>
    <mergeCell ref="CY24:CZ24"/>
    <mergeCell ref="AI19:AJ19"/>
    <mergeCell ref="AI9:AJ9"/>
    <mergeCell ref="CY10:CZ10"/>
    <mergeCell ref="AI26:AJ26"/>
    <mergeCell ref="AF3:AG4"/>
    <mergeCell ref="CY12:CZ12"/>
    <mergeCell ref="AI7:AJ7"/>
    <mergeCell ref="CY3:CZ4"/>
    <mergeCell ref="AI44:AJ44"/>
    <mergeCell ref="BQ36:BR36"/>
    <mergeCell ref="AI30:AJ30"/>
    <mergeCell ref="BQ33:BR33"/>
    <mergeCell ref="AI6:AJ6"/>
    <mergeCell ref="BQ20:BR20"/>
    <mergeCell ref="AI11:AJ11"/>
    <mergeCell ref="AY3:BH3"/>
    <mergeCell ref="CY25:CZ25"/>
    <mergeCell ref="CY30:CZ30"/>
    <mergeCell ref="BQ32:BR32"/>
    <mergeCell ref="AI27:AJ27"/>
    <mergeCell ref="CY41:CZ41"/>
    <mergeCell ref="AI43:AJ43"/>
    <mergeCell ref="AI18:AJ18"/>
    <mergeCell ref="BQ23:BR23"/>
    <mergeCell ref="CY23:CZ23"/>
    <mergeCell ref="CY13:CZ13"/>
    <mergeCell ref="BQ7:BR7"/>
    <mergeCell ref="CY49:CZ49"/>
    <mergeCell ref="CY18:CZ18"/>
    <mergeCell ref="BP3:BP4"/>
    <mergeCell ref="BQ5:BR5"/>
    <mergeCell ref="AU44:AV44"/>
    <mergeCell ref="AI40:AJ40"/>
    <mergeCell ref="AI15:AJ15"/>
    <mergeCell ref="BQ29:BR29"/>
    <mergeCell ref="AI24:AJ24"/>
    <mergeCell ref="BQ46:BR46"/>
    <mergeCell ref="BQ48:BR48"/>
    <mergeCell ref="BQ49:BR49"/>
    <mergeCell ref="BQ35:BR35"/>
    <mergeCell ref="CY5:CZ5"/>
    <mergeCell ref="CY34:CZ34"/>
    <mergeCell ref="BQ22:BR22"/>
    <mergeCell ref="AI32:AJ32"/>
    <mergeCell ref="BQ12:BR12"/>
    <mergeCell ref="CY11:CZ11"/>
    <mergeCell ref="AI46:AJ46"/>
    <mergeCell ref="BL3:BL4"/>
    <mergeCell ref="AI47:AJ47"/>
    <mergeCell ref="CY32:CZ32"/>
    <mergeCell ref="BQ39:BR39"/>
    <mergeCell ref="AI48:AJ48"/>
    <mergeCell ref="BQ28:BR28"/>
    <mergeCell ref="AI29:AJ29"/>
    <mergeCell ref="BQ9:BR9"/>
    <mergeCell ref="B3:B4"/>
    <mergeCell ref="AI38:AJ38"/>
    <mergeCell ref="CY39:CZ39"/>
    <mergeCell ref="BQ3:BR4"/>
    <mergeCell ref="CY36:CZ36"/>
    <mergeCell ref="AB3:AC4"/>
    <mergeCell ref="C3:O3"/>
    <mergeCell ref="P3:P4"/>
    <mergeCell ref="AD3:AD4"/>
    <mergeCell ref="BQ14:BR14"/>
    <mergeCell ref="BN3:BO4"/>
    <mergeCell ref="CY42:CZ42"/>
    <mergeCell ref="AH3:AH4"/>
    <mergeCell ref="CY47:CZ47"/>
    <mergeCell ref="BQ38:BR38"/>
    <mergeCell ref="CY48:CZ48"/>
    <mergeCell ref="BQ30:BR30"/>
    <mergeCell ref="BJ3:BK4"/>
    <mergeCell ref="BQ45:BR45"/>
    <mergeCell ref="CF3:CF4"/>
    <mergeCell ref="AI41:AJ41"/>
    <mergeCell ref="BQ41:BR41"/>
    <mergeCell ref="AI35:AJ35"/>
    <mergeCell ref="CT3:CT4"/>
    <mergeCell ref="BQ47:BR47"/>
    <mergeCell ref="AI25:AJ25"/>
    <mergeCell ref="CY26:CZ26"/>
    <mergeCell ref="BQ27:BR27"/>
    <mergeCell ref="BQ18:BR18"/>
    <mergeCell ref="CG3:CP3"/>
    <mergeCell ref="CU3:CU4"/>
    <mergeCell ref="BQ8:BR8"/>
    <mergeCell ref="CY8:CZ8"/>
    <mergeCell ref="BQ17:BR17"/>
    <mergeCell ref="CY17:CZ17"/>
    <mergeCell ref="CY38:CZ38"/>
    <mergeCell ref="AI13:AJ13"/>
    <mergeCell ref="BQ13:BR13"/>
    <mergeCell ref="BQ44:BR44"/>
    <mergeCell ref="AI5:AJ5"/>
    <mergeCell ref="AI39:AJ39"/>
    <mergeCell ref="CY44:CZ44"/>
    <mergeCell ref="CY15:CZ15"/>
    <mergeCell ref="AX3:AX4"/>
    <mergeCell ref="DO1:EE1"/>
    <mergeCell ref="CY33:CZ33"/>
    <mergeCell ref="BQ6:BR6"/>
    <mergeCell ref="BQ15:BR15"/>
    <mergeCell ref="DY3:DY4"/>
    <mergeCell ref="CY14:CZ14"/>
    <mergeCell ref="EB3:EB4"/>
    <mergeCell ref="AY2:BO2"/>
    <mergeCell ref="BP1:CF1"/>
    <mergeCell ref="CX1:DN1"/>
    <mergeCell ref="BQ10:BR10"/>
    <mergeCell ref="BM3:BM4"/>
    <mergeCell ref="BQ19:BR19"/>
    <mergeCell ref="CY19:CZ19"/>
    <mergeCell ref="DO3:DX3"/>
    <mergeCell ref="EC3:EC4"/>
    <mergeCell ref="DN3:DN4"/>
    <mergeCell ref="CG1:CW1"/>
    <mergeCell ref="DZ3:EA4"/>
    <mergeCell ref="BS3:CE3"/>
    <mergeCell ref="DA3:DM3"/>
    <mergeCell ref="CG2:CW2"/>
    <mergeCell ref="BQ31:BR31"/>
    <mergeCell ref="CR3:CS4"/>
  </mergeCells>
  <conditionalFormatting sqref="AE1:AE41 AE50:AE1048576">
    <cfRule type="cellIs" dxfId="13" priority="1" operator="lessThan">
      <formula>3</formula>
    </cfRule>
  </conditionalFormatting>
  <pageMargins left="0.7" right="0.7" top="0.75" bottom="0.75" header="0.3" footer="0.3"/>
  <pageSetup orientation="portrait" horizontalDpi="4294967293" r:id="rId1"/>
  <headerFooter>
    <oddHeader>&amp;LINLGES&amp;CGRUPO 8°</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10">
    <tabColor rgb="FFBB99EE"/>
  </sheetPr>
  <dimension ref="B3:Q58"/>
  <sheetViews>
    <sheetView view="pageLayout" zoomScale="70" zoomScaleNormal="100" zoomScalePageLayoutView="70" workbookViewId="0">
      <selection activeCell="D9" sqref="D9:E9"/>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121</v>
      </c>
      <c r="M9" s="251"/>
      <c r="N9" s="251"/>
      <c r="O9" s="251"/>
      <c r="P9" s="251"/>
      <c r="Q9" s="241"/>
    </row>
    <row r="10" spans="2:17">
      <c r="B10" s="291" t="s">
        <v>104</v>
      </c>
      <c r="C10" s="241"/>
      <c r="D10" s="286" t="s">
        <v>122</v>
      </c>
      <c r="E10" s="251"/>
      <c r="F10" s="251"/>
      <c r="G10" s="241"/>
      <c r="H10" s="13"/>
      <c r="I10" s="49"/>
      <c r="J10" s="13"/>
      <c r="K10" s="13"/>
      <c r="L10" s="13"/>
      <c r="M10" s="13"/>
      <c r="N10" s="13"/>
      <c r="O10" s="13"/>
      <c r="P10" s="13"/>
      <c r="Q10" s="13"/>
    </row>
    <row r="11" spans="2:17">
      <c r="B11" s="282" t="s">
        <v>106</v>
      </c>
      <c r="C11" s="241"/>
      <c r="D11" s="284" t="s">
        <v>107</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MAESTRO!D5</f>
        <v>0</v>
      </c>
      <c r="D16" s="17"/>
      <c r="E16" s="17"/>
      <c r="F16" s="52" t="e">
        <f>'PROM (Ingles 8°)'!AE5</f>
        <v>#DIV/0!</v>
      </c>
      <c r="G16" s="52" t="e">
        <f>'PROM (Ingles 8°)'!BM5</f>
        <v>#DIV/0!</v>
      </c>
      <c r="H16" s="52" t="e">
        <f>'PROM (Ingles 8°)'!CU5</f>
        <v>#DIV/0!</v>
      </c>
      <c r="I16" s="52" t="e">
        <f t="shared" ref="I16:I52" si="0">TRUNC(AVERAGE(F16:H16),1)</f>
        <v>#DIV/0!</v>
      </c>
      <c r="J16" s="62">
        <f>'Asistencia (8°)'!BI3</f>
        <v>0</v>
      </c>
      <c r="K16" s="62">
        <f>'Asistencia (9°)'!BJ3</f>
        <v>0</v>
      </c>
      <c r="L16" s="62">
        <f>'Asistencia (8°)'!BJ3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MAESTRO!D6</f>
        <v>0</v>
      </c>
      <c r="D17" s="17"/>
      <c r="E17" s="17"/>
      <c r="F17" s="52" t="e">
        <f>'PROM (Ingles 8°)'!AE6</f>
        <v>#DIV/0!</v>
      </c>
      <c r="G17" s="52" t="e">
        <f>'PROM (Ingles 8°)'!BM6</f>
        <v>#DIV/0!</v>
      </c>
      <c r="H17" s="52" t="e">
        <f>'PROM (Ingles 8°)'!CU6</f>
        <v>#DIV/0!</v>
      </c>
      <c r="I17" s="52" t="e">
        <f t="shared" si="0"/>
        <v>#DIV/0!</v>
      </c>
      <c r="J17" s="62">
        <f>'Asistencia (8°)'!BI4</f>
        <v>0</v>
      </c>
      <c r="K17" s="62">
        <f>'Asistencia (9°)'!BJ4</f>
        <v>0</v>
      </c>
      <c r="L17" s="62">
        <f>'Asistencia (8°)'!BJ4</f>
        <v>0</v>
      </c>
      <c r="M17" s="62">
        <f>'Asistencia (9°)'!BJ47</f>
        <v>0</v>
      </c>
      <c r="N17" s="62">
        <f>'Asistencia (9°)'!BI92</f>
        <v>0</v>
      </c>
      <c r="O17" s="62">
        <f>'Asistencia (9°)'!BJ92</f>
        <v>0</v>
      </c>
      <c r="P17" s="63">
        <f t="shared" si="1"/>
        <v>0</v>
      </c>
      <c r="Q17" s="63">
        <f t="shared" si="2"/>
        <v>0</v>
      </c>
    </row>
    <row r="18" spans="2:17">
      <c r="B18" s="10">
        <v>3</v>
      </c>
      <c r="C18" s="12">
        <f>MAESTRO!D7</f>
        <v>0</v>
      </c>
      <c r="D18" s="17"/>
      <c r="E18" s="17"/>
      <c r="F18" s="52" t="e">
        <f>'PROM (Ingles 8°)'!AE7</f>
        <v>#DIV/0!</v>
      </c>
      <c r="G18" s="52" t="e">
        <f>'PROM (Ingles 8°)'!BM7</f>
        <v>#DIV/0!</v>
      </c>
      <c r="H18" s="52" t="e">
        <f>'PROM (Ingles 8°)'!CU7</f>
        <v>#DIV/0!</v>
      </c>
      <c r="I18" s="52" t="e">
        <f t="shared" si="0"/>
        <v>#DIV/0!</v>
      </c>
      <c r="J18" s="62">
        <f>'Asistencia (8°)'!BI5</f>
        <v>0</v>
      </c>
      <c r="K18" s="62">
        <f>'Asistencia (9°)'!BJ5</f>
        <v>0</v>
      </c>
      <c r="L18" s="62">
        <f>'Asistencia (8°)'!BJ5</f>
        <v>0</v>
      </c>
      <c r="M18" s="62">
        <f>'Asistencia (9°)'!BJ48</f>
        <v>0</v>
      </c>
      <c r="N18" s="62">
        <f>'Asistencia (9°)'!BI93</f>
        <v>0</v>
      </c>
      <c r="O18" s="62">
        <f>'Asistencia (9°)'!BJ93</f>
        <v>0</v>
      </c>
      <c r="P18" s="63">
        <f t="shared" si="1"/>
        <v>0</v>
      </c>
      <c r="Q18" s="63">
        <f t="shared" si="2"/>
        <v>0</v>
      </c>
    </row>
    <row r="19" spans="2:17">
      <c r="B19" s="10">
        <v>4</v>
      </c>
      <c r="C19" s="12">
        <f>MAESTRO!D8</f>
        <v>0</v>
      </c>
      <c r="D19" s="17"/>
      <c r="E19" s="17"/>
      <c r="F19" s="52" t="e">
        <f>'PROM (Ingles 8°)'!AE8</f>
        <v>#DIV/0!</v>
      </c>
      <c r="G19" s="52" t="e">
        <f>'PROM (Ingles 8°)'!BM8</f>
        <v>#DIV/0!</v>
      </c>
      <c r="H19" s="52" t="e">
        <f>'PROM (Ingles 8°)'!CU8</f>
        <v>#DIV/0!</v>
      </c>
      <c r="I19" s="52" t="e">
        <f t="shared" si="0"/>
        <v>#DIV/0!</v>
      </c>
      <c r="J19" s="62">
        <f>'Asistencia (8°)'!BI6</f>
        <v>0</v>
      </c>
      <c r="K19" s="62">
        <f>'Asistencia (9°)'!BJ6</f>
        <v>0</v>
      </c>
      <c r="L19" s="62">
        <f>'Asistencia (8°)'!BJ6</f>
        <v>0</v>
      </c>
      <c r="M19" s="62">
        <f>'Asistencia (9°)'!BJ49</f>
        <v>0</v>
      </c>
      <c r="N19" s="62">
        <f>'Asistencia (9°)'!BI94</f>
        <v>0</v>
      </c>
      <c r="O19" s="62">
        <f>'Asistencia (9°)'!BJ94</f>
        <v>0</v>
      </c>
      <c r="P19" s="63">
        <f t="shared" si="1"/>
        <v>0</v>
      </c>
      <c r="Q19" s="63">
        <f t="shared" si="2"/>
        <v>0</v>
      </c>
    </row>
    <row r="20" spans="2:17">
      <c r="B20" s="10">
        <v>5</v>
      </c>
      <c r="C20" s="12">
        <f>MAESTRO!D9</f>
        <v>0</v>
      </c>
      <c r="D20" s="17"/>
      <c r="E20" s="17"/>
      <c r="F20" s="52" t="e">
        <f>'PROM (Ingles 8°)'!AE9</f>
        <v>#DIV/0!</v>
      </c>
      <c r="G20" s="52" t="e">
        <f>'PROM (Ingles 8°)'!BM9</f>
        <v>#DIV/0!</v>
      </c>
      <c r="H20" s="52" t="e">
        <f>'PROM (Ingles 8°)'!CU9</f>
        <v>#DIV/0!</v>
      </c>
      <c r="I20" s="52" t="e">
        <f t="shared" si="0"/>
        <v>#DIV/0!</v>
      </c>
      <c r="J20" s="62">
        <f>'Asistencia (8°)'!BI7</f>
        <v>0</v>
      </c>
      <c r="K20" s="62">
        <f>'Asistencia (9°)'!BJ7</f>
        <v>0</v>
      </c>
      <c r="L20" s="62">
        <f>'Asistencia (8°)'!BJ7</f>
        <v>0</v>
      </c>
      <c r="M20" s="62">
        <f>'Asistencia (9°)'!BJ50</f>
        <v>0</v>
      </c>
      <c r="N20" s="62">
        <f>'Asistencia (9°)'!BI95</f>
        <v>0</v>
      </c>
      <c r="O20" s="62">
        <f>'Asistencia (9°)'!BJ95</f>
        <v>0</v>
      </c>
      <c r="P20" s="63">
        <f t="shared" si="1"/>
        <v>0</v>
      </c>
      <c r="Q20" s="63">
        <f t="shared" si="2"/>
        <v>0</v>
      </c>
    </row>
    <row r="21" spans="2:17">
      <c r="B21" s="10">
        <v>6</v>
      </c>
      <c r="C21" s="12">
        <f>MAESTRO!D10</f>
        <v>0</v>
      </c>
      <c r="D21" s="17"/>
      <c r="E21" s="17"/>
      <c r="F21" s="52" t="e">
        <f>'PROM (Ingles 8°)'!AE10</f>
        <v>#DIV/0!</v>
      </c>
      <c r="G21" s="52" t="e">
        <f>'PROM (Ingles 8°)'!BM10</f>
        <v>#DIV/0!</v>
      </c>
      <c r="H21" s="52" t="e">
        <f>'PROM (Ingles 8°)'!CU10</f>
        <v>#DIV/0!</v>
      </c>
      <c r="I21" s="52" t="e">
        <f t="shared" si="0"/>
        <v>#DIV/0!</v>
      </c>
      <c r="J21" s="62">
        <f>'Asistencia (8°)'!BI8</f>
        <v>0</v>
      </c>
      <c r="K21" s="62">
        <f>'Asistencia (9°)'!BJ8</f>
        <v>0</v>
      </c>
      <c r="L21" s="62">
        <f>'Asistencia (8°)'!BJ8</f>
        <v>0</v>
      </c>
      <c r="M21" s="62">
        <f>'Asistencia (9°)'!BJ51</f>
        <v>0</v>
      </c>
      <c r="N21" s="62">
        <f>'Asistencia (9°)'!BI96</f>
        <v>0</v>
      </c>
      <c r="O21" s="62">
        <f>'Asistencia (9°)'!BJ96</f>
        <v>0</v>
      </c>
      <c r="P21" s="63">
        <f t="shared" si="1"/>
        <v>0</v>
      </c>
      <c r="Q21" s="63">
        <f t="shared" si="2"/>
        <v>0</v>
      </c>
    </row>
    <row r="22" spans="2:17">
      <c r="B22" s="10">
        <v>7</v>
      </c>
      <c r="C22" s="12">
        <f>MAESTRO!D11</f>
        <v>0</v>
      </c>
      <c r="D22" s="17"/>
      <c r="E22" s="17"/>
      <c r="F22" s="52" t="e">
        <f>'PROM (Ingles 8°)'!AE11</f>
        <v>#DIV/0!</v>
      </c>
      <c r="G22" s="52" t="e">
        <f>'PROM (Ingles 8°)'!BM11</f>
        <v>#DIV/0!</v>
      </c>
      <c r="H22" s="52" t="e">
        <f>'PROM (Ingles 8°)'!CU11</f>
        <v>#DIV/0!</v>
      </c>
      <c r="I22" s="52" t="e">
        <f t="shared" si="0"/>
        <v>#DIV/0!</v>
      </c>
      <c r="J22" s="62">
        <f>'Asistencia (8°)'!BI9</f>
        <v>0</v>
      </c>
      <c r="K22" s="62">
        <f>'Asistencia (9°)'!BJ9</f>
        <v>0</v>
      </c>
      <c r="L22" s="62">
        <f>'Asistencia (8°)'!BJ9</f>
        <v>0</v>
      </c>
      <c r="M22" s="62">
        <f>'Asistencia (9°)'!BJ52</f>
        <v>0</v>
      </c>
      <c r="N22" s="62">
        <f>'Asistencia (9°)'!BI97</f>
        <v>0</v>
      </c>
      <c r="O22" s="62">
        <f>'Asistencia (9°)'!BJ97</f>
        <v>0</v>
      </c>
      <c r="P22" s="63">
        <f t="shared" si="1"/>
        <v>0</v>
      </c>
      <c r="Q22" s="63">
        <f t="shared" si="2"/>
        <v>0</v>
      </c>
    </row>
    <row r="23" spans="2:17">
      <c r="B23" s="10">
        <v>8</v>
      </c>
      <c r="C23" s="12">
        <f>MAESTRO!D12</f>
        <v>0</v>
      </c>
      <c r="D23" s="17"/>
      <c r="E23" s="17"/>
      <c r="F23" s="52" t="e">
        <f>'PROM (Ingles 8°)'!AE12</f>
        <v>#DIV/0!</v>
      </c>
      <c r="G23" s="52" t="e">
        <f>'PROM (Ingles 8°)'!BM12</f>
        <v>#DIV/0!</v>
      </c>
      <c r="H23" s="52" t="e">
        <f>'PROM (Ingles 8°)'!CU12</f>
        <v>#DIV/0!</v>
      </c>
      <c r="I23" s="52" t="e">
        <f t="shared" si="0"/>
        <v>#DIV/0!</v>
      </c>
      <c r="J23" s="62">
        <f>'Asistencia (8°)'!BI10</f>
        <v>0</v>
      </c>
      <c r="K23" s="62">
        <f>'Asistencia (9°)'!BJ10</f>
        <v>0</v>
      </c>
      <c r="L23" s="62">
        <f>'Asistencia (8°)'!BJ10</f>
        <v>0</v>
      </c>
      <c r="M23" s="62">
        <f>'Asistencia (9°)'!BJ53</f>
        <v>0</v>
      </c>
      <c r="N23" s="62">
        <f>'Asistencia (9°)'!BI98</f>
        <v>0</v>
      </c>
      <c r="O23" s="62">
        <f>'Asistencia (9°)'!BJ98</f>
        <v>0</v>
      </c>
      <c r="P23" s="63">
        <f t="shared" si="1"/>
        <v>0</v>
      </c>
      <c r="Q23" s="63">
        <f t="shared" si="2"/>
        <v>0</v>
      </c>
    </row>
    <row r="24" spans="2:17">
      <c r="B24" s="10">
        <v>9</v>
      </c>
      <c r="C24" s="12">
        <f>MAESTRO!D13</f>
        <v>0</v>
      </c>
      <c r="D24" s="17"/>
      <c r="E24" s="17"/>
      <c r="F24" s="52" t="e">
        <f>'PROM (Ingles 8°)'!AE13</f>
        <v>#DIV/0!</v>
      </c>
      <c r="G24" s="52" t="e">
        <f>'PROM (Ingles 8°)'!BM13</f>
        <v>#DIV/0!</v>
      </c>
      <c r="H24" s="52" t="e">
        <f>'PROM (Ingles 8°)'!CU13</f>
        <v>#DIV/0!</v>
      </c>
      <c r="I24" s="52" t="e">
        <f t="shared" si="0"/>
        <v>#DIV/0!</v>
      </c>
      <c r="J24" s="62">
        <f>'Asistencia (8°)'!BI11</f>
        <v>0</v>
      </c>
      <c r="K24" s="62">
        <f>'Asistencia (9°)'!BJ11</f>
        <v>0</v>
      </c>
      <c r="L24" s="62">
        <f>'Asistencia (8°)'!BJ11</f>
        <v>0</v>
      </c>
      <c r="M24" s="62">
        <f>'Asistencia (9°)'!BJ54</f>
        <v>0</v>
      </c>
      <c r="N24" s="62">
        <f>'Asistencia (9°)'!BI99</f>
        <v>0</v>
      </c>
      <c r="O24" s="62">
        <f>'Asistencia (9°)'!BJ99</f>
        <v>0</v>
      </c>
      <c r="P24" s="63">
        <f t="shared" si="1"/>
        <v>0</v>
      </c>
      <c r="Q24" s="63">
        <f t="shared" si="2"/>
        <v>0</v>
      </c>
    </row>
    <row r="25" spans="2:17">
      <c r="B25" s="10">
        <v>10</v>
      </c>
      <c r="C25" s="12">
        <f>MAESTRO!D14</f>
        <v>0</v>
      </c>
      <c r="D25" s="17"/>
      <c r="E25" s="17"/>
      <c r="F25" s="52" t="e">
        <f>'PROM (Ingles 8°)'!AE14</f>
        <v>#DIV/0!</v>
      </c>
      <c r="G25" s="52" t="e">
        <f>'PROM (Ingles 8°)'!BM14</f>
        <v>#DIV/0!</v>
      </c>
      <c r="H25" s="52" t="e">
        <f>'PROM (Ingles 8°)'!CU14</f>
        <v>#DIV/0!</v>
      </c>
      <c r="I25" s="52" t="e">
        <f t="shared" si="0"/>
        <v>#DIV/0!</v>
      </c>
      <c r="J25" s="62">
        <f>'Asistencia (8°)'!BI12</f>
        <v>0</v>
      </c>
      <c r="K25" s="62">
        <f>'Asistencia (9°)'!BJ12</f>
        <v>0</v>
      </c>
      <c r="L25" s="62">
        <f>'Asistencia (8°)'!BJ12</f>
        <v>0</v>
      </c>
      <c r="M25" s="62">
        <f>'Asistencia (9°)'!BJ55</f>
        <v>0</v>
      </c>
      <c r="N25" s="62">
        <f>'Asistencia (9°)'!BI100</f>
        <v>0</v>
      </c>
      <c r="O25" s="62">
        <f>'Asistencia (9°)'!BJ100</f>
        <v>0</v>
      </c>
      <c r="P25" s="63">
        <f t="shared" si="1"/>
        <v>0</v>
      </c>
      <c r="Q25" s="63">
        <f t="shared" si="2"/>
        <v>0</v>
      </c>
    </row>
    <row r="26" spans="2:17">
      <c r="B26" s="10">
        <v>11</v>
      </c>
      <c r="C26" s="12">
        <f>MAESTRO!D15</f>
        <v>0</v>
      </c>
      <c r="D26" s="17"/>
      <c r="E26" s="17"/>
      <c r="F26" s="52" t="e">
        <f>'PROM (Ingles 8°)'!AE15</f>
        <v>#DIV/0!</v>
      </c>
      <c r="G26" s="52" t="e">
        <f>'PROM (Ingles 8°)'!BM15</f>
        <v>#DIV/0!</v>
      </c>
      <c r="H26" s="52" t="e">
        <f>'PROM (Ingles 8°)'!CU15</f>
        <v>#DIV/0!</v>
      </c>
      <c r="I26" s="52" t="e">
        <f t="shared" si="0"/>
        <v>#DIV/0!</v>
      </c>
      <c r="J26" s="62">
        <f>'Asistencia (8°)'!BI13</f>
        <v>0</v>
      </c>
      <c r="K26" s="62">
        <f>'Asistencia (9°)'!BJ13</f>
        <v>0</v>
      </c>
      <c r="L26" s="62">
        <f>'Asistencia (8°)'!BJ13</f>
        <v>0</v>
      </c>
      <c r="M26" s="62">
        <f>'Asistencia (9°)'!BJ56</f>
        <v>0</v>
      </c>
      <c r="N26" s="62">
        <f>'Asistencia (9°)'!BI101</f>
        <v>0</v>
      </c>
      <c r="O26" s="62">
        <f>'Asistencia (9°)'!BJ101</f>
        <v>0</v>
      </c>
      <c r="P26" s="63">
        <f t="shared" si="1"/>
        <v>0</v>
      </c>
      <c r="Q26" s="63">
        <f t="shared" si="2"/>
        <v>0</v>
      </c>
    </row>
    <row r="27" spans="2:17">
      <c r="B27" s="10">
        <v>12</v>
      </c>
      <c r="C27" s="12">
        <f>MAESTRO!D16</f>
        <v>0</v>
      </c>
      <c r="D27" s="17"/>
      <c r="E27" s="17"/>
      <c r="F27" s="52" t="e">
        <f>'PROM (Ingles 8°)'!AE16</f>
        <v>#DIV/0!</v>
      </c>
      <c r="G27" s="52" t="e">
        <f>'PROM (Ingles 8°)'!BM16</f>
        <v>#DIV/0!</v>
      </c>
      <c r="H27" s="52" t="e">
        <f>'PROM (Ingles 8°)'!CU16</f>
        <v>#DIV/0!</v>
      </c>
      <c r="I27" s="52" t="e">
        <f t="shared" si="0"/>
        <v>#DIV/0!</v>
      </c>
      <c r="J27" s="62">
        <f>'Asistencia (8°)'!BI14</f>
        <v>0</v>
      </c>
      <c r="K27" s="62">
        <f>'Asistencia (9°)'!BJ14</f>
        <v>0</v>
      </c>
      <c r="L27" s="62">
        <f>'Asistencia (8°)'!BJ14</f>
        <v>0</v>
      </c>
      <c r="M27" s="62">
        <f>'Asistencia (9°)'!BJ57</f>
        <v>0</v>
      </c>
      <c r="N27" s="62">
        <f>'Asistencia (9°)'!BI102</f>
        <v>0</v>
      </c>
      <c r="O27" s="62">
        <f>'Asistencia (9°)'!BJ102</f>
        <v>0</v>
      </c>
      <c r="P27" s="63">
        <f t="shared" si="1"/>
        <v>0</v>
      </c>
      <c r="Q27" s="63">
        <f t="shared" si="2"/>
        <v>0</v>
      </c>
    </row>
    <row r="28" spans="2:17">
      <c r="B28" s="10">
        <v>13</v>
      </c>
      <c r="C28" s="12">
        <f>MAESTRO!D17</f>
        <v>0</v>
      </c>
      <c r="D28" s="17"/>
      <c r="E28" s="17"/>
      <c r="F28" s="52" t="e">
        <f>'PROM (Ingles 8°)'!AE17</f>
        <v>#DIV/0!</v>
      </c>
      <c r="G28" s="52" t="e">
        <f>'PROM (Ingles 8°)'!BM17</f>
        <v>#DIV/0!</v>
      </c>
      <c r="H28" s="52" t="e">
        <f>'PROM (Ingles 8°)'!CU17</f>
        <v>#DIV/0!</v>
      </c>
      <c r="I28" s="52" t="e">
        <f t="shared" si="0"/>
        <v>#DIV/0!</v>
      </c>
      <c r="J28" s="62">
        <f>'Asistencia (8°)'!BI15</f>
        <v>0</v>
      </c>
      <c r="K28" s="62">
        <f>'Asistencia (9°)'!BJ15</f>
        <v>0</v>
      </c>
      <c r="L28" s="62">
        <f>'Asistencia (8°)'!BJ15</f>
        <v>0</v>
      </c>
      <c r="M28" s="62">
        <f>'Asistencia (9°)'!BJ58</f>
        <v>0</v>
      </c>
      <c r="N28" s="62">
        <f>'Asistencia (9°)'!BI103</f>
        <v>0</v>
      </c>
      <c r="O28" s="62">
        <f>'Asistencia (9°)'!BJ103</f>
        <v>0</v>
      </c>
      <c r="P28" s="63">
        <f t="shared" si="1"/>
        <v>0</v>
      </c>
      <c r="Q28" s="63">
        <f t="shared" si="2"/>
        <v>0</v>
      </c>
    </row>
    <row r="29" spans="2:17">
      <c r="B29" s="10">
        <v>14</v>
      </c>
      <c r="C29" s="12">
        <f>MAESTRO!D18</f>
        <v>0</v>
      </c>
      <c r="D29" s="17"/>
      <c r="E29" s="17"/>
      <c r="F29" s="52" t="e">
        <f>'PROM (Ingles 8°)'!AE18</f>
        <v>#DIV/0!</v>
      </c>
      <c r="G29" s="52" t="e">
        <f>'PROM (Ingles 8°)'!BM18</f>
        <v>#DIV/0!</v>
      </c>
      <c r="H29" s="52" t="e">
        <f>'PROM (Ingles 8°)'!CU18</f>
        <v>#DIV/0!</v>
      </c>
      <c r="I29" s="52" t="e">
        <f t="shared" si="0"/>
        <v>#DIV/0!</v>
      </c>
      <c r="J29" s="62">
        <f>'Asistencia (8°)'!BI16</f>
        <v>0</v>
      </c>
      <c r="K29" s="62">
        <f>'Asistencia (9°)'!BJ16</f>
        <v>0</v>
      </c>
      <c r="L29" s="62">
        <f>'Asistencia (8°)'!BJ16</f>
        <v>0</v>
      </c>
      <c r="M29" s="62">
        <f>'Asistencia (9°)'!BJ59</f>
        <v>0</v>
      </c>
      <c r="N29" s="62">
        <f>'Asistencia (9°)'!BI104</f>
        <v>0</v>
      </c>
      <c r="O29" s="62">
        <f>'Asistencia (9°)'!BJ104</f>
        <v>0</v>
      </c>
      <c r="P29" s="63">
        <f t="shared" si="1"/>
        <v>0</v>
      </c>
      <c r="Q29" s="63">
        <f t="shared" si="2"/>
        <v>0</v>
      </c>
    </row>
    <row r="30" spans="2:17">
      <c r="B30" s="10">
        <v>15</v>
      </c>
      <c r="C30" s="12">
        <f>MAESTRO!D19</f>
        <v>0</v>
      </c>
      <c r="D30" s="17"/>
      <c r="E30" s="17"/>
      <c r="F30" s="52" t="e">
        <f>'PROM (Ingles 8°)'!AE19</f>
        <v>#DIV/0!</v>
      </c>
      <c r="G30" s="52" t="e">
        <f>'PROM (Ingles 8°)'!BM19</f>
        <v>#DIV/0!</v>
      </c>
      <c r="H30" s="52" t="e">
        <f>'PROM (Ingles 8°)'!CU19</f>
        <v>#DIV/0!</v>
      </c>
      <c r="I30" s="52" t="e">
        <f t="shared" si="0"/>
        <v>#DIV/0!</v>
      </c>
      <c r="J30" s="62">
        <f>'Asistencia (8°)'!BI17</f>
        <v>0</v>
      </c>
      <c r="K30" s="62">
        <f>'Asistencia (9°)'!BJ17</f>
        <v>0</v>
      </c>
      <c r="L30" s="62">
        <f>'Asistencia (8°)'!BJ17</f>
        <v>0</v>
      </c>
      <c r="M30" s="62">
        <f>'Asistencia (9°)'!BJ60</f>
        <v>0</v>
      </c>
      <c r="N30" s="62">
        <f>'Asistencia (9°)'!BI105</f>
        <v>0</v>
      </c>
      <c r="O30" s="62">
        <f>'Asistencia (9°)'!BJ105</f>
        <v>0</v>
      </c>
      <c r="P30" s="63">
        <f t="shared" si="1"/>
        <v>0</v>
      </c>
      <c r="Q30" s="63">
        <f t="shared" si="2"/>
        <v>0</v>
      </c>
    </row>
    <row r="31" spans="2:17">
      <c r="B31" s="10">
        <v>16</v>
      </c>
      <c r="C31" s="12">
        <f>MAESTRO!D20</f>
        <v>0</v>
      </c>
      <c r="D31" s="17"/>
      <c r="E31" s="17"/>
      <c r="F31" s="52" t="e">
        <f>'PROM (Ingles 8°)'!AE20</f>
        <v>#DIV/0!</v>
      </c>
      <c r="G31" s="52" t="e">
        <f>'PROM (Ingles 8°)'!BM20</f>
        <v>#DIV/0!</v>
      </c>
      <c r="H31" s="52" t="e">
        <f>'PROM (Ingles 8°)'!CU20</f>
        <v>#DIV/0!</v>
      </c>
      <c r="I31" s="52" t="e">
        <f t="shared" si="0"/>
        <v>#DIV/0!</v>
      </c>
      <c r="J31" s="62">
        <f>'Asistencia (8°)'!BI18</f>
        <v>0</v>
      </c>
      <c r="K31" s="62">
        <f>'Asistencia (9°)'!BJ18</f>
        <v>0</v>
      </c>
      <c r="L31" s="62">
        <f>'Asistencia (8°)'!BJ18</f>
        <v>0</v>
      </c>
      <c r="M31" s="62">
        <f>'Asistencia (9°)'!BJ61</f>
        <v>0</v>
      </c>
      <c r="N31" s="62">
        <f>'Asistencia (9°)'!BI106</f>
        <v>0</v>
      </c>
      <c r="O31" s="62">
        <f>'Asistencia (9°)'!BJ106</f>
        <v>0</v>
      </c>
      <c r="P31" s="63">
        <f t="shared" si="1"/>
        <v>0</v>
      </c>
      <c r="Q31" s="63">
        <f t="shared" si="2"/>
        <v>0</v>
      </c>
    </row>
    <row r="32" spans="2:17">
      <c r="B32" s="10">
        <v>17</v>
      </c>
      <c r="C32" s="12">
        <f>MAESTRO!D21</f>
        <v>0</v>
      </c>
      <c r="D32" s="17"/>
      <c r="E32" s="17"/>
      <c r="F32" s="52" t="e">
        <f>'PROM (Ingles 8°)'!AE21</f>
        <v>#DIV/0!</v>
      </c>
      <c r="G32" s="52" t="e">
        <f>'PROM (Ingles 8°)'!BM21</f>
        <v>#DIV/0!</v>
      </c>
      <c r="H32" s="52" t="e">
        <f>'PROM (Ingles 8°)'!CU21</f>
        <v>#DIV/0!</v>
      </c>
      <c r="I32" s="52" t="e">
        <f t="shared" si="0"/>
        <v>#DIV/0!</v>
      </c>
      <c r="J32" s="62">
        <f>'Asistencia (8°)'!BI19</f>
        <v>0</v>
      </c>
      <c r="K32" s="62">
        <f>'Asistencia (9°)'!BJ19</f>
        <v>0</v>
      </c>
      <c r="L32" s="62">
        <f>'Asistencia (8°)'!BJ19</f>
        <v>0</v>
      </c>
      <c r="M32" s="62">
        <f>'Asistencia (9°)'!BJ62</f>
        <v>0</v>
      </c>
      <c r="N32" s="62">
        <f>'Asistencia (9°)'!BI107</f>
        <v>0</v>
      </c>
      <c r="O32" s="62">
        <f>'Asistencia (9°)'!BJ107</f>
        <v>0</v>
      </c>
      <c r="P32" s="63">
        <f t="shared" si="1"/>
        <v>0</v>
      </c>
      <c r="Q32" s="63">
        <f t="shared" si="2"/>
        <v>0</v>
      </c>
    </row>
    <row r="33" spans="2:17">
      <c r="B33" s="10">
        <v>18</v>
      </c>
      <c r="C33" s="12">
        <f>MAESTRO!D22</f>
        <v>0</v>
      </c>
      <c r="D33" s="17"/>
      <c r="E33" s="17"/>
      <c r="F33" s="52" t="e">
        <f>'PROM (Ingles 8°)'!AE22</f>
        <v>#DIV/0!</v>
      </c>
      <c r="G33" s="52" t="e">
        <f>'PROM (Ingles 8°)'!BM22</f>
        <v>#DIV/0!</v>
      </c>
      <c r="H33" s="52" t="e">
        <f>'PROM (Ingles 8°)'!CU22</f>
        <v>#DIV/0!</v>
      </c>
      <c r="I33" s="52" t="e">
        <f t="shared" si="0"/>
        <v>#DIV/0!</v>
      </c>
      <c r="J33" s="62">
        <f>'Asistencia (8°)'!BI20</f>
        <v>0</v>
      </c>
      <c r="K33" s="62">
        <f>'Asistencia (9°)'!BJ20</f>
        <v>0</v>
      </c>
      <c r="L33" s="62">
        <f>'Asistencia (8°)'!BJ20</f>
        <v>0</v>
      </c>
      <c r="M33" s="62">
        <f>'Asistencia (9°)'!BJ63</f>
        <v>0</v>
      </c>
      <c r="N33" s="62">
        <f>'Asistencia (9°)'!BI108</f>
        <v>0</v>
      </c>
      <c r="O33" s="62">
        <f>'Asistencia (9°)'!BJ108</f>
        <v>0</v>
      </c>
      <c r="P33" s="63">
        <f t="shared" si="1"/>
        <v>0</v>
      </c>
      <c r="Q33" s="63">
        <f t="shared" si="2"/>
        <v>0</v>
      </c>
    </row>
    <row r="34" spans="2:17">
      <c r="B34" s="10">
        <v>19</v>
      </c>
      <c r="C34" s="12">
        <f>MAESTRO!D23</f>
        <v>0</v>
      </c>
      <c r="D34" s="17"/>
      <c r="E34" s="17"/>
      <c r="F34" s="52" t="e">
        <f>'PROM (Ingles 8°)'!AE23</f>
        <v>#DIV/0!</v>
      </c>
      <c r="G34" s="52" t="e">
        <f>'PROM (Ingles 8°)'!BM23</f>
        <v>#DIV/0!</v>
      </c>
      <c r="H34" s="52" t="e">
        <f>'PROM (Ingles 8°)'!CU23</f>
        <v>#DIV/0!</v>
      </c>
      <c r="I34" s="52" t="e">
        <f t="shared" si="0"/>
        <v>#DIV/0!</v>
      </c>
      <c r="J34" s="62">
        <f>'Asistencia (8°)'!BI21</f>
        <v>0</v>
      </c>
      <c r="K34" s="62">
        <f>'Asistencia (9°)'!BJ21</f>
        <v>0</v>
      </c>
      <c r="L34" s="62">
        <f>'Asistencia (8°)'!BJ21</f>
        <v>0</v>
      </c>
      <c r="M34" s="62">
        <f>'Asistencia (9°)'!BJ64</f>
        <v>0</v>
      </c>
      <c r="N34" s="62">
        <f>'Asistencia (9°)'!BI109</f>
        <v>0</v>
      </c>
      <c r="O34" s="62">
        <f>'Asistencia (9°)'!BJ109</f>
        <v>0</v>
      </c>
      <c r="P34" s="63">
        <f t="shared" si="1"/>
        <v>0</v>
      </c>
      <c r="Q34" s="63">
        <f t="shared" si="2"/>
        <v>0</v>
      </c>
    </row>
    <row r="35" spans="2:17">
      <c r="B35" s="10">
        <v>20</v>
      </c>
      <c r="C35" s="12">
        <f>MAESTRO!D24</f>
        <v>0</v>
      </c>
      <c r="D35" s="17"/>
      <c r="E35" s="17"/>
      <c r="F35" s="52" t="e">
        <f>'PROM (Ingles 8°)'!AE24</f>
        <v>#DIV/0!</v>
      </c>
      <c r="G35" s="52" t="e">
        <f>'PROM (Ingles 8°)'!BM24</f>
        <v>#DIV/0!</v>
      </c>
      <c r="H35" s="52" t="e">
        <f>'PROM (Ingles 8°)'!CU24</f>
        <v>#DIV/0!</v>
      </c>
      <c r="I35" s="52" t="e">
        <f t="shared" si="0"/>
        <v>#DIV/0!</v>
      </c>
      <c r="J35" s="62">
        <f>'Asistencia (8°)'!BI22</f>
        <v>0</v>
      </c>
      <c r="K35" s="62">
        <f>'Asistencia (9°)'!BJ22</f>
        <v>0</v>
      </c>
      <c r="L35" s="62">
        <f>'Asistencia (8°)'!BJ22</f>
        <v>0</v>
      </c>
      <c r="M35" s="62">
        <f>'Asistencia (9°)'!BJ65</f>
        <v>0</v>
      </c>
      <c r="N35" s="62">
        <f>'Asistencia (9°)'!BI110</f>
        <v>0</v>
      </c>
      <c r="O35" s="62">
        <f>'Asistencia (9°)'!BJ110</f>
        <v>0</v>
      </c>
      <c r="P35" s="63">
        <f t="shared" si="1"/>
        <v>0</v>
      </c>
      <c r="Q35" s="63">
        <f t="shared" si="2"/>
        <v>0</v>
      </c>
    </row>
    <row r="36" spans="2:17">
      <c r="B36" s="10">
        <v>21</v>
      </c>
      <c r="C36" s="12">
        <f>MAESTRO!D25</f>
        <v>0</v>
      </c>
      <c r="D36" s="17"/>
      <c r="E36" s="17"/>
      <c r="F36" s="52" t="e">
        <f>'PROM (Ingles 8°)'!AE25</f>
        <v>#DIV/0!</v>
      </c>
      <c r="G36" s="52" t="e">
        <f>'PROM (Ingles 8°)'!BM25</f>
        <v>#DIV/0!</v>
      </c>
      <c r="H36" s="52" t="e">
        <f>'PROM (Ingles 8°)'!CU25</f>
        <v>#DIV/0!</v>
      </c>
      <c r="I36" s="52" t="e">
        <f t="shared" si="0"/>
        <v>#DIV/0!</v>
      </c>
      <c r="J36" s="62">
        <f>'Asistencia (8°)'!BI23</f>
        <v>0</v>
      </c>
      <c r="K36" s="62">
        <f>'Asistencia (9°)'!BJ23</f>
        <v>0</v>
      </c>
      <c r="L36" s="62">
        <f>'Asistencia (8°)'!BJ23</f>
        <v>0</v>
      </c>
      <c r="M36" s="62">
        <f>'Asistencia (9°)'!BJ66</f>
        <v>0</v>
      </c>
      <c r="N36" s="62">
        <f>'Asistencia (9°)'!BI111</f>
        <v>0</v>
      </c>
      <c r="O36" s="62">
        <f>'Asistencia (9°)'!BJ111</f>
        <v>0</v>
      </c>
      <c r="P36" s="63">
        <f t="shared" si="1"/>
        <v>0</v>
      </c>
      <c r="Q36" s="63">
        <f t="shared" si="2"/>
        <v>0</v>
      </c>
    </row>
    <row r="37" spans="2:17">
      <c r="B37" s="10">
        <v>22</v>
      </c>
      <c r="C37" s="12">
        <f>MAESTRO!D26</f>
        <v>0</v>
      </c>
      <c r="D37" s="17"/>
      <c r="E37" s="17"/>
      <c r="F37" s="52" t="e">
        <f>'PROM (Ingles 8°)'!AE26</f>
        <v>#DIV/0!</v>
      </c>
      <c r="G37" s="52" t="e">
        <f>'PROM (Ingles 8°)'!BM26</f>
        <v>#DIV/0!</v>
      </c>
      <c r="H37" s="52" t="e">
        <f>'PROM (Ingles 8°)'!CU26</f>
        <v>#DIV/0!</v>
      </c>
      <c r="I37" s="52" t="e">
        <f t="shared" si="0"/>
        <v>#DIV/0!</v>
      </c>
      <c r="J37" s="62">
        <f>'Asistencia (8°)'!BI24</f>
        <v>0</v>
      </c>
      <c r="K37" s="62">
        <f>'Asistencia (9°)'!BJ24</f>
        <v>0</v>
      </c>
      <c r="L37" s="62">
        <f>'Asistencia (8°)'!BJ24</f>
        <v>0</v>
      </c>
      <c r="M37" s="62">
        <f>'Asistencia (9°)'!BJ67</f>
        <v>0</v>
      </c>
      <c r="N37" s="62">
        <f>'Asistencia (9°)'!BI112</f>
        <v>0</v>
      </c>
      <c r="O37" s="62">
        <f>'Asistencia (9°)'!BJ112</f>
        <v>0</v>
      </c>
      <c r="P37" s="63">
        <f t="shared" si="1"/>
        <v>0</v>
      </c>
      <c r="Q37" s="63">
        <f t="shared" si="2"/>
        <v>0</v>
      </c>
    </row>
    <row r="38" spans="2:17">
      <c r="B38" s="10">
        <v>23</v>
      </c>
      <c r="C38" s="12">
        <f>MAESTRO!D27</f>
        <v>0</v>
      </c>
      <c r="D38" s="17"/>
      <c r="E38" s="17"/>
      <c r="F38" s="52" t="e">
        <f>'PROM (Ingles 8°)'!AE27</f>
        <v>#DIV/0!</v>
      </c>
      <c r="G38" s="52" t="e">
        <f>'PROM (Ingles 8°)'!BM27</f>
        <v>#DIV/0!</v>
      </c>
      <c r="H38" s="52" t="e">
        <f>'PROM (Ingles 8°)'!CU27</f>
        <v>#DIV/0!</v>
      </c>
      <c r="I38" s="52" t="e">
        <f t="shared" si="0"/>
        <v>#DIV/0!</v>
      </c>
      <c r="J38" s="62">
        <f>'Asistencia (8°)'!BI25</f>
        <v>0</v>
      </c>
      <c r="K38" s="62">
        <f>'Asistencia (9°)'!BJ25</f>
        <v>0</v>
      </c>
      <c r="L38" s="62">
        <f>'Asistencia (8°)'!BJ25</f>
        <v>0</v>
      </c>
      <c r="M38" s="62">
        <f>'Asistencia (9°)'!BJ68</f>
        <v>0</v>
      </c>
      <c r="N38" s="62">
        <f>'Asistencia (9°)'!BI113</f>
        <v>0</v>
      </c>
      <c r="O38" s="62">
        <f>'Asistencia (9°)'!BJ113</f>
        <v>0</v>
      </c>
      <c r="P38" s="63">
        <f t="shared" si="1"/>
        <v>0</v>
      </c>
      <c r="Q38" s="63">
        <f t="shared" si="2"/>
        <v>0</v>
      </c>
    </row>
    <row r="39" spans="2:17">
      <c r="B39" s="10">
        <v>24</v>
      </c>
      <c r="C39" s="12">
        <f>MAESTRO!D28</f>
        <v>0</v>
      </c>
      <c r="D39" s="17"/>
      <c r="E39" s="17"/>
      <c r="F39" s="52" t="e">
        <f>'PROM (Ingles 8°)'!AE28</f>
        <v>#DIV/0!</v>
      </c>
      <c r="G39" s="52" t="e">
        <f>'PROM (Ingles 8°)'!BM28</f>
        <v>#DIV/0!</v>
      </c>
      <c r="H39" s="52" t="e">
        <f>'PROM (Ingles 8°)'!CU28</f>
        <v>#DIV/0!</v>
      </c>
      <c r="I39" s="52" t="e">
        <f t="shared" si="0"/>
        <v>#DIV/0!</v>
      </c>
      <c r="J39" s="62">
        <f>'Asistencia (8°)'!BI26</f>
        <v>0</v>
      </c>
      <c r="K39" s="62">
        <f>'Asistencia (9°)'!BJ26</f>
        <v>0</v>
      </c>
      <c r="L39" s="62">
        <f>'Asistencia (8°)'!BJ26</f>
        <v>0</v>
      </c>
      <c r="M39" s="62">
        <f>'Asistencia (9°)'!BJ69</f>
        <v>0</v>
      </c>
      <c r="N39" s="62">
        <f>'Asistencia (9°)'!BI114</f>
        <v>0</v>
      </c>
      <c r="O39" s="62">
        <f>'Asistencia (9°)'!BJ114</f>
        <v>0</v>
      </c>
      <c r="P39" s="63">
        <f t="shared" si="1"/>
        <v>0</v>
      </c>
      <c r="Q39" s="63">
        <f t="shared" si="2"/>
        <v>0</v>
      </c>
    </row>
    <row r="40" spans="2:17">
      <c r="B40" s="10">
        <v>25</v>
      </c>
      <c r="C40" s="12">
        <f>MAESTRO!D29</f>
        <v>0</v>
      </c>
      <c r="D40" s="17"/>
      <c r="E40" s="17"/>
      <c r="F40" s="52" t="e">
        <f>'PROM (Ingles 8°)'!AE29</f>
        <v>#DIV/0!</v>
      </c>
      <c r="G40" s="52" t="e">
        <f>'PROM (Ingles 8°)'!BM29</f>
        <v>#DIV/0!</v>
      </c>
      <c r="H40" s="52" t="e">
        <f>'PROM (Ingles 8°)'!CU29</f>
        <v>#DIV/0!</v>
      </c>
      <c r="I40" s="52" t="e">
        <f t="shared" si="0"/>
        <v>#DIV/0!</v>
      </c>
      <c r="J40" s="62">
        <f>'Asistencia (8°)'!BI27</f>
        <v>0</v>
      </c>
      <c r="K40" s="62">
        <f>'Asistencia (9°)'!BJ27</f>
        <v>0</v>
      </c>
      <c r="L40" s="62">
        <f>'Asistencia (8°)'!BJ27</f>
        <v>0</v>
      </c>
      <c r="M40" s="62">
        <f>'Asistencia (9°)'!BJ70</f>
        <v>0</v>
      </c>
      <c r="N40" s="62">
        <f>'Asistencia (9°)'!BI115</f>
        <v>0</v>
      </c>
      <c r="O40" s="62">
        <f>'Asistencia (9°)'!BJ115</f>
        <v>0</v>
      </c>
      <c r="P40" s="63">
        <f t="shared" si="1"/>
        <v>0</v>
      </c>
      <c r="Q40" s="63">
        <f t="shared" si="2"/>
        <v>0</v>
      </c>
    </row>
    <row r="41" spans="2:17">
      <c r="B41" s="10">
        <v>26</v>
      </c>
      <c r="C41" s="12">
        <f>MAESTRO!D30</f>
        <v>0</v>
      </c>
      <c r="D41" s="17"/>
      <c r="E41" s="17"/>
      <c r="F41" s="52" t="e">
        <f>'PROM (Ingles 8°)'!AE30</f>
        <v>#DIV/0!</v>
      </c>
      <c r="G41" s="52" t="e">
        <f>'PROM (Ingles 8°)'!BM30</f>
        <v>#DIV/0!</v>
      </c>
      <c r="H41" s="52" t="e">
        <f>'PROM (Ingles 8°)'!CU30</f>
        <v>#DIV/0!</v>
      </c>
      <c r="I41" s="52" t="e">
        <f t="shared" si="0"/>
        <v>#DIV/0!</v>
      </c>
      <c r="J41" s="62">
        <f>'Asistencia (8°)'!BI28</f>
        <v>0</v>
      </c>
      <c r="K41" s="62">
        <f>'Asistencia (9°)'!BJ28</f>
        <v>0</v>
      </c>
      <c r="L41" s="62">
        <f>'Asistencia (8°)'!BJ28</f>
        <v>0</v>
      </c>
      <c r="M41" s="62">
        <f>'Asistencia (9°)'!BJ71</f>
        <v>0</v>
      </c>
      <c r="N41" s="62">
        <f>'Asistencia (9°)'!BI116</f>
        <v>0</v>
      </c>
      <c r="O41" s="62">
        <f>'Asistencia (9°)'!BJ116</f>
        <v>0</v>
      </c>
      <c r="P41" s="63">
        <f t="shared" si="1"/>
        <v>0</v>
      </c>
      <c r="Q41" s="63">
        <f t="shared" si="2"/>
        <v>0</v>
      </c>
    </row>
    <row r="42" spans="2:17">
      <c r="B42" s="10">
        <v>27</v>
      </c>
      <c r="C42" s="12">
        <f>MAESTRO!D31</f>
        <v>0</v>
      </c>
      <c r="D42" s="17"/>
      <c r="E42" s="17"/>
      <c r="F42" s="52" t="e">
        <f>'PROM (Ingles 8°)'!AE31</f>
        <v>#DIV/0!</v>
      </c>
      <c r="G42" s="52" t="e">
        <f>'PROM (Ingles 8°)'!BM31</f>
        <v>#DIV/0!</v>
      </c>
      <c r="H42" s="52" t="e">
        <f>'PROM (Ingles 8°)'!CU31</f>
        <v>#DIV/0!</v>
      </c>
      <c r="I42" s="52" t="e">
        <f t="shared" si="0"/>
        <v>#DIV/0!</v>
      </c>
      <c r="J42" s="62">
        <f>'Asistencia (8°)'!BI29</f>
        <v>0</v>
      </c>
      <c r="K42" s="62">
        <f>'Asistencia (9°)'!BJ29</f>
        <v>0</v>
      </c>
      <c r="L42" s="62">
        <f>'Asistencia (8°)'!BJ29</f>
        <v>0</v>
      </c>
      <c r="M42" s="62">
        <f>'Asistencia (9°)'!BJ72</f>
        <v>0</v>
      </c>
      <c r="N42" s="62">
        <f>'Asistencia (9°)'!BI117</f>
        <v>0</v>
      </c>
      <c r="O42" s="62">
        <f>'Asistencia (9°)'!BJ117</f>
        <v>0</v>
      </c>
      <c r="P42" s="63">
        <f t="shared" si="1"/>
        <v>0</v>
      </c>
      <c r="Q42" s="63">
        <f t="shared" si="2"/>
        <v>0</v>
      </c>
    </row>
    <row r="43" spans="2:17">
      <c r="B43" s="10">
        <v>28</v>
      </c>
      <c r="C43" s="12">
        <f>MAESTRO!D32</f>
        <v>0</v>
      </c>
      <c r="D43" s="17"/>
      <c r="E43" s="17"/>
      <c r="F43" s="52" t="e">
        <f>'PROM (Ingles 8°)'!AE32</f>
        <v>#DIV/0!</v>
      </c>
      <c r="G43" s="52" t="e">
        <f>'PROM (Ingles 8°)'!BM32</f>
        <v>#DIV/0!</v>
      </c>
      <c r="H43" s="52" t="e">
        <f>'PROM (Ingles 8°)'!CU32</f>
        <v>#DIV/0!</v>
      </c>
      <c r="I43" s="52" t="e">
        <f t="shared" si="0"/>
        <v>#DIV/0!</v>
      </c>
      <c r="J43" s="62">
        <f>'Asistencia (8°)'!BI30</f>
        <v>0</v>
      </c>
      <c r="K43" s="62">
        <f>'Asistencia (9°)'!BJ30</f>
        <v>0</v>
      </c>
      <c r="L43" s="62">
        <f>'Asistencia (8°)'!BJ30</f>
        <v>0</v>
      </c>
      <c r="M43" s="62">
        <f>'Asistencia (9°)'!BJ73</f>
        <v>0</v>
      </c>
      <c r="N43" s="62">
        <f>'Asistencia (9°)'!BI118</f>
        <v>0</v>
      </c>
      <c r="O43" s="62">
        <f>'Asistencia (9°)'!BJ118</f>
        <v>0</v>
      </c>
      <c r="P43" s="63">
        <f t="shared" si="1"/>
        <v>0</v>
      </c>
      <c r="Q43" s="63">
        <f t="shared" si="2"/>
        <v>0</v>
      </c>
    </row>
    <row r="44" spans="2:17">
      <c r="B44" s="10">
        <v>29</v>
      </c>
      <c r="C44" s="12">
        <f>MAESTRO!D33</f>
        <v>0</v>
      </c>
      <c r="D44" s="17"/>
      <c r="E44" s="17"/>
      <c r="F44" s="52" t="e">
        <f>'PROM (Ingles 8°)'!AE33</f>
        <v>#DIV/0!</v>
      </c>
      <c r="G44" s="52" t="e">
        <f>'PROM (Ingles 8°)'!BM33</f>
        <v>#DIV/0!</v>
      </c>
      <c r="H44" s="52" t="e">
        <f>'PROM (Ingles 8°)'!CU33</f>
        <v>#DIV/0!</v>
      </c>
      <c r="I44" s="52" t="e">
        <f t="shared" si="0"/>
        <v>#DIV/0!</v>
      </c>
      <c r="J44" s="62">
        <f>'Asistencia (8°)'!BI31</f>
        <v>0</v>
      </c>
      <c r="K44" s="62">
        <f>'Asistencia (9°)'!BJ31</f>
        <v>0</v>
      </c>
      <c r="L44" s="62">
        <f>'Asistencia (8°)'!BJ31</f>
        <v>0</v>
      </c>
      <c r="M44" s="62">
        <f>'Asistencia (9°)'!BJ74</f>
        <v>0</v>
      </c>
      <c r="N44" s="62">
        <f>'Asistencia (9°)'!BI119</f>
        <v>0</v>
      </c>
      <c r="O44" s="62">
        <f>'Asistencia (9°)'!BJ119</f>
        <v>0</v>
      </c>
      <c r="P44" s="63">
        <f t="shared" si="1"/>
        <v>0</v>
      </c>
      <c r="Q44" s="63">
        <f t="shared" si="2"/>
        <v>0</v>
      </c>
    </row>
    <row r="45" spans="2:17">
      <c r="B45" s="10">
        <v>30</v>
      </c>
      <c r="C45" s="12">
        <f>MAESTRO!D34</f>
        <v>0</v>
      </c>
      <c r="D45" s="17"/>
      <c r="E45" s="17"/>
      <c r="F45" s="52" t="e">
        <f>'PROM (Ingles 8°)'!AE34</f>
        <v>#DIV/0!</v>
      </c>
      <c r="G45" s="52" t="e">
        <f>'PROM (Ingles 8°)'!BM34</f>
        <v>#DIV/0!</v>
      </c>
      <c r="H45" s="52" t="e">
        <f>'PROM (Ingles 8°)'!CU34</f>
        <v>#DIV/0!</v>
      </c>
      <c r="I45" s="52" t="e">
        <f t="shared" si="0"/>
        <v>#DIV/0!</v>
      </c>
      <c r="J45" s="62">
        <f>'Asistencia (8°)'!BI32</f>
        <v>0</v>
      </c>
      <c r="K45" s="62">
        <f>'Asistencia (9°)'!BJ32</f>
        <v>0</v>
      </c>
      <c r="L45" s="62">
        <f>'Asistencia (8°)'!BJ32</f>
        <v>0</v>
      </c>
      <c r="M45" s="62">
        <f>'Asistencia (9°)'!BJ75</f>
        <v>0</v>
      </c>
      <c r="N45" s="62">
        <f>'Asistencia (9°)'!BI120</f>
        <v>0</v>
      </c>
      <c r="O45" s="62">
        <f>'Asistencia (9°)'!BJ120</f>
        <v>0</v>
      </c>
      <c r="P45" s="63">
        <f t="shared" si="1"/>
        <v>0</v>
      </c>
      <c r="Q45" s="63">
        <f t="shared" si="2"/>
        <v>0</v>
      </c>
    </row>
    <row r="46" spans="2:17">
      <c r="B46" s="10">
        <v>31</v>
      </c>
      <c r="C46" s="12">
        <f>MAESTRO!D35</f>
        <v>0</v>
      </c>
      <c r="D46" s="17"/>
      <c r="E46" s="17"/>
      <c r="F46" s="52" t="e">
        <f>'PROM (Ingles 8°)'!AE35</f>
        <v>#DIV/0!</v>
      </c>
      <c r="G46" s="52" t="e">
        <f>'PROM (Ingles 8°)'!BM35</f>
        <v>#DIV/0!</v>
      </c>
      <c r="H46" s="52" t="e">
        <f>'PROM (Ingles 8°)'!CU35</f>
        <v>#DIV/0!</v>
      </c>
      <c r="I46" s="52" t="e">
        <f t="shared" si="0"/>
        <v>#DIV/0!</v>
      </c>
      <c r="J46" s="62">
        <f>'Asistencia (8°)'!BI33</f>
        <v>0</v>
      </c>
      <c r="K46" s="62">
        <f>'Asistencia (9°)'!BJ33</f>
        <v>0</v>
      </c>
      <c r="L46" s="62">
        <f>'Asistencia (8°)'!BJ33</f>
        <v>0</v>
      </c>
      <c r="M46" s="62">
        <f>'Asistencia (9°)'!BJ76</f>
        <v>0</v>
      </c>
      <c r="N46" s="62">
        <f>'Asistencia (9°)'!BI121</f>
        <v>0</v>
      </c>
      <c r="O46" s="62">
        <f>'Asistencia (9°)'!BJ121</f>
        <v>0</v>
      </c>
      <c r="P46" s="63">
        <f t="shared" si="1"/>
        <v>0</v>
      </c>
      <c r="Q46" s="63">
        <f t="shared" si="2"/>
        <v>0</v>
      </c>
    </row>
    <row r="47" spans="2:17">
      <c r="B47" s="10">
        <v>32</v>
      </c>
      <c r="C47" s="12">
        <f>MAESTRO!D36</f>
        <v>0</v>
      </c>
      <c r="D47" s="17"/>
      <c r="E47" s="17"/>
      <c r="F47" s="52" t="e">
        <f>'PROM (Ingles 8°)'!AE36</f>
        <v>#DIV/0!</v>
      </c>
      <c r="G47" s="52" t="e">
        <f>'PROM (Ingles 8°)'!BM36</f>
        <v>#DIV/0!</v>
      </c>
      <c r="H47" s="52" t="e">
        <f>'PROM (Ingles 8°)'!CU36</f>
        <v>#DIV/0!</v>
      </c>
      <c r="I47" s="52" t="e">
        <f t="shared" si="0"/>
        <v>#DIV/0!</v>
      </c>
      <c r="J47" s="62">
        <f>'Asistencia (8°)'!BI34</f>
        <v>0</v>
      </c>
      <c r="K47" s="62">
        <f>'Asistencia (9°)'!BJ34</f>
        <v>0</v>
      </c>
      <c r="L47" s="62">
        <f>'Asistencia (8°)'!BJ34</f>
        <v>0</v>
      </c>
      <c r="M47" s="62">
        <f>'Asistencia (9°)'!BJ77</f>
        <v>0</v>
      </c>
      <c r="N47" s="62">
        <f>'Asistencia (9°)'!BI122</f>
        <v>0</v>
      </c>
      <c r="O47" s="62">
        <f>'Asistencia (9°)'!BJ122</f>
        <v>0</v>
      </c>
      <c r="P47" s="63">
        <f t="shared" si="1"/>
        <v>0</v>
      </c>
      <c r="Q47" s="63">
        <f t="shared" si="2"/>
        <v>0</v>
      </c>
    </row>
    <row r="48" spans="2:17">
      <c r="B48" s="10">
        <v>33</v>
      </c>
      <c r="C48" s="12">
        <f>MAESTRO!D37</f>
        <v>0</v>
      </c>
      <c r="D48" s="17"/>
      <c r="E48" s="17"/>
      <c r="F48" s="52" t="e">
        <f>'PROM (Ingles 8°)'!AE37</f>
        <v>#DIV/0!</v>
      </c>
      <c r="G48" s="52" t="e">
        <f>'PROM (Ingles 8°)'!BM37</f>
        <v>#DIV/0!</v>
      </c>
      <c r="H48" s="52" t="e">
        <f>'PROM (Ingles 8°)'!CU37</f>
        <v>#DIV/0!</v>
      </c>
      <c r="I48" s="52" t="e">
        <f t="shared" si="0"/>
        <v>#DIV/0!</v>
      </c>
      <c r="J48" s="62">
        <f>'Asistencia (8°)'!BI35</f>
        <v>0</v>
      </c>
      <c r="K48" s="62">
        <f>'Asistencia (9°)'!BJ35</f>
        <v>0</v>
      </c>
      <c r="L48" s="62">
        <f>'Asistencia (8°)'!BJ35</f>
        <v>0</v>
      </c>
      <c r="M48" s="62">
        <f>'Asistencia (9°)'!BJ78</f>
        <v>0</v>
      </c>
      <c r="N48" s="62">
        <f>'Asistencia (9°)'!BI123</f>
        <v>0</v>
      </c>
      <c r="O48" s="62">
        <f>'Asistencia (9°)'!BJ123</f>
        <v>0</v>
      </c>
      <c r="P48" s="63">
        <f t="shared" si="1"/>
        <v>0</v>
      </c>
      <c r="Q48" s="63">
        <f t="shared" si="2"/>
        <v>0</v>
      </c>
    </row>
    <row r="49" spans="2:17">
      <c r="B49" s="10">
        <v>34</v>
      </c>
      <c r="C49" s="12">
        <f>MAESTRO!D38</f>
        <v>0</v>
      </c>
      <c r="D49" s="17"/>
      <c r="E49" s="17"/>
      <c r="F49" s="52" t="e">
        <f>'PROM (Ingles 8°)'!AE38</f>
        <v>#DIV/0!</v>
      </c>
      <c r="G49" s="52" t="e">
        <f>'PROM (Ingles 8°)'!BM38</f>
        <v>#DIV/0!</v>
      </c>
      <c r="H49" s="52" t="e">
        <f>'PROM (Ingles 8°)'!CU38</f>
        <v>#DIV/0!</v>
      </c>
      <c r="I49" s="52" t="e">
        <f t="shared" si="0"/>
        <v>#DIV/0!</v>
      </c>
      <c r="J49" s="62">
        <f>'Asistencia (8°)'!BI36</f>
        <v>0</v>
      </c>
      <c r="K49" s="62">
        <f>'Asistencia (9°)'!BJ36</f>
        <v>0</v>
      </c>
      <c r="L49" s="62">
        <f>'Asistencia (8°)'!BJ36</f>
        <v>0</v>
      </c>
      <c r="M49" s="62">
        <f>'Asistencia (9°)'!BJ79</f>
        <v>0</v>
      </c>
      <c r="N49" s="62">
        <f>'Asistencia (9°)'!BI124</f>
        <v>0</v>
      </c>
      <c r="O49" s="62">
        <f>'Asistencia (9°)'!BJ124</f>
        <v>0</v>
      </c>
      <c r="P49" s="63">
        <f t="shared" si="1"/>
        <v>0</v>
      </c>
      <c r="Q49" s="63">
        <f t="shared" si="2"/>
        <v>0</v>
      </c>
    </row>
    <row r="50" spans="2:17">
      <c r="B50" s="10">
        <v>35</v>
      </c>
      <c r="C50" s="12">
        <f>MAESTRO!D39</f>
        <v>0</v>
      </c>
      <c r="D50" s="17"/>
      <c r="E50" s="17"/>
      <c r="F50" s="52" t="e">
        <f>'PROM (Ingles 8°)'!AE39</f>
        <v>#DIV/0!</v>
      </c>
      <c r="G50" s="52" t="e">
        <f>'PROM (Ingles 8°)'!BM39</f>
        <v>#DIV/0!</v>
      </c>
      <c r="H50" s="52" t="e">
        <f>'PROM (Ingles 8°)'!CU39</f>
        <v>#DIV/0!</v>
      </c>
      <c r="I50" s="52" t="e">
        <f t="shared" si="0"/>
        <v>#DIV/0!</v>
      </c>
      <c r="J50" s="62">
        <f>'Asistencia (8°)'!BI37</f>
        <v>0</v>
      </c>
      <c r="K50" s="62">
        <f>'Asistencia (9°)'!BJ37</f>
        <v>0</v>
      </c>
      <c r="L50" s="62">
        <f>'Asistencia (8°)'!BJ37</f>
        <v>0</v>
      </c>
      <c r="M50" s="62">
        <f>'Asistencia (9°)'!BJ80</f>
        <v>0</v>
      </c>
      <c r="N50" s="62">
        <f>'Asistencia (9°)'!BI125</f>
        <v>0</v>
      </c>
      <c r="O50" s="62">
        <f>'Asistencia (9°)'!BJ125</f>
        <v>0</v>
      </c>
      <c r="P50" s="63">
        <f t="shared" si="1"/>
        <v>0</v>
      </c>
      <c r="Q50" s="63">
        <f t="shared" si="2"/>
        <v>0</v>
      </c>
    </row>
    <row r="51" spans="2:17">
      <c r="B51" s="10">
        <v>36</v>
      </c>
      <c r="C51" s="12">
        <f>MAESTRO!D40</f>
        <v>0</v>
      </c>
      <c r="D51" s="17"/>
      <c r="E51" s="17"/>
      <c r="F51" s="52" t="e">
        <f>'PROM (Ingles 8°)'!AE40</f>
        <v>#DIV/0!</v>
      </c>
      <c r="G51" s="52" t="e">
        <f>'PROM (Ingles 8°)'!BM40</f>
        <v>#DIV/0!</v>
      </c>
      <c r="H51" s="52" t="e">
        <f>'PROM (Ingles 8°)'!CU40</f>
        <v>#DIV/0!</v>
      </c>
      <c r="I51" s="52" t="e">
        <f t="shared" si="0"/>
        <v>#DIV/0!</v>
      </c>
      <c r="J51" s="62">
        <f>'Asistencia (8°)'!BI38</f>
        <v>0</v>
      </c>
      <c r="K51" s="62">
        <f>'Asistencia (9°)'!BJ38</f>
        <v>0</v>
      </c>
      <c r="L51" s="62">
        <f>'Asistencia (8°)'!BJ38</f>
        <v>0</v>
      </c>
      <c r="M51" s="62">
        <f>'Asistencia (9°)'!BJ81</f>
        <v>0</v>
      </c>
      <c r="N51" s="62">
        <f>'Asistencia (9°)'!BI126</f>
        <v>0</v>
      </c>
      <c r="O51" s="62">
        <f>'Asistencia (9°)'!BJ126</f>
        <v>0</v>
      </c>
      <c r="P51" s="63">
        <f t="shared" si="1"/>
        <v>0</v>
      </c>
      <c r="Q51" s="63">
        <f t="shared" si="2"/>
        <v>0</v>
      </c>
    </row>
    <row r="52" spans="2:17">
      <c r="B52" s="10">
        <v>37</v>
      </c>
      <c r="C52" s="12">
        <f>MAESTRO!D41</f>
        <v>0</v>
      </c>
      <c r="D52" s="17"/>
      <c r="E52" s="17"/>
      <c r="F52" s="52" t="e">
        <f>'PROM (Ingles 8°)'!AE41</f>
        <v>#DIV/0!</v>
      </c>
      <c r="G52" s="52" t="e">
        <f>'PROM (Ingles 8°)'!BM41</f>
        <v>#DIV/0!</v>
      </c>
      <c r="H52" s="52" t="e">
        <f>'PROM (Ingles 8°)'!CU41</f>
        <v>#DIV/0!</v>
      </c>
      <c r="I52" s="52" t="e">
        <f t="shared" si="0"/>
        <v>#DIV/0!</v>
      </c>
      <c r="J52" s="62">
        <f>'Asistencia (8°)'!BI39</f>
        <v>0</v>
      </c>
      <c r="K52" s="62">
        <f>'Asistencia (9°)'!BJ39</f>
        <v>0</v>
      </c>
      <c r="L52" s="62">
        <f>'Asistencia (8°)'!BJ39</f>
        <v>0</v>
      </c>
      <c r="M52" s="62">
        <f>'Asistencia (9°)'!BJ82</f>
        <v>0</v>
      </c>
      <c r="N52" s="62">
        <f>'Asistencia (9°)'!BI127</f>
        <v>0</v>
      </c>
      <c r="O52" s="62">
        <f>'Asistencia (9°)'!BJ127</f>
        <v>0</v>
      </c>
      <c r="P52" s="63">
        <f t="shared" si="1"/>
        <v>0</v>
      </c>
      <c r="Q52" s="63">
        <f t="shared" si="2"/>
        <v>0</v>
      </c>
    </row>
    <row r="53" spans="2:17">
      <c r="B53" s="10">
        <v>38</v>
      </c>
      <c r="C53" s="12">
        <f>MAESTRO!D42</f>
        <v>0</v>
      </c>
      <c r="D53" s="17"/>
      <c r="E53" s="17"/>
      <c r="F53" s="52"/>
      <c r="G53" s="52"/>
      <c r="H53" s="52"/>
      <c r="I53" s="52"/>
      <c r="J53" s="62">
        <f>'Asistencia (8°)'!BI40</f>
        <v>0</v>
      </c>
      <c r="K53" s="62"/>
      <c r="L53" s="62">
        <f>'Asistencia (8°)'!BJ40</f>
        <v>0</v>
      </c>
      <c r="M53" s="62"/>
      <c r="N53" s="62"/>
      <c r="O53" s="62"/>
      <c r="P53" s="63"/>
      <c r="Q53" s="63"/>
    </row>
    <row r="54" spans="2:17">
      <c r="B54" s="10">
        <v>39</v>
      </c>
      <c r="C54" s="12">
        <f>MAESTRO!D43</f>
        <v>0</v>
      </c>
      <c r="D54" s="17"/>
      <c r="E54" s="18"/>
      <c r="F54" s="52"/>
      <c r="G54" s="52"/>
      <c r="H54" s="52"/>
      <c r="I54" s="52"/>
      <c r="J54" s="62">
        <f>'Asistencia (8°)'!BI41</f>
        <v>0</v>
      </c>
      <c r="K54" s="62"/>
      <c r="L54" s="62">
        <f>'Asistencia (8°)'!BJ41</f>
        <v>0</v>
      </c>
      <c r="M54" s="62"/>
      <c r="N54" s="62"/>
      <c r="O54" s="62"/>
      <c r="P54" s="63"/>
      <c r="Q54" s="63"/>
    </row>
    <row r="55" spans="2:17">
      <c r="B55" s="10"/>
      <c r="C55" s="12">
        <f>MAESTRO!D44</f>
        <v>0</v>
      </c>
      <c r="D55" s="17"/>
      <c r="E55" s="18"/>
      <c r="F55" s="52"/>
      <c r="G55" s="52"/>
      <c r="H55" s="52"/>
      <c r="I55" s="52"/>
      <c r="J55" s="62">
        <f>'Asistencia (8°)'!BI42</f>
        <v>0</v>
      </c>
      <c r="K55" s="62"/>
      <c r="L55" s="62">
        <f>'Asistencia (8°)'!BJ42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2" priority="1" operator="lessThan">
      <formula>3</formula>
    </cfRule>
  </conditionalFormatting>
  <pageMargins left="0.25" right="4.9479166666666657E-2" top="0.75" bottom="0.75" header="0.3" footer="0.3"/>
  <pageSetup orientation="portrait" horizontalDpi="4294967293"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15">
    <tabColor rgb="FF9966CC"/>
  </sheetPr>
  <dimension ref="A1:EE49"/>
  <sheetViews>
    <sheetView view="pageLayout" zoomScale="70" zoomScaleNormal="100" zoomScalePageLayoutView="70" workbookViewId="0">
      <selection activeCell="I19" sqref="I19"/>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119</v>
      </c>
      <c r="BQ1" s="251"/>
      <c r="BR1" s="251"/>
      <c r="BS1" s="251"/>
      <c r="BT1" s="251"/>
      <c r="BU1" s="251"/>
      <c r="BV1" s="251"/>
      <c r="BW1" s="251"/>
      <c r="BX1" s="251"/>
      <c r="BY1" s="251"/>
      <c r="BZ1" s="251"/>
      <c r="CA1" s="251"/>
      <c r="CB1" s="251"/>
      <c r="CC1" s="251"/>
      <c r="CD1" s="251"/>
      <c r="CE1" s="251"/>
      <c r="CF1" s="241"/>
      <c r="CG1" s="263" t="s">
        <v>119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4"/>
      <c r="H4" s="4"/>
      <c r="I4" s="4"/>
      <c r="J4" s="4"/>
      <c r="K4" s="4"/>
      <c r="L4" s="4"/>
      <c r="M4" s="4"/>
      <c r="N4" s="4"/>
      <c r="O4" s="4"/>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2"/>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MAESTRO!D5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MAESTRO!D6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MAESTRO!D7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MAESTRO!D8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MAESTRO!D9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MAESTRO!D10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MAESTRO!D11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MAESTRO!D12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MAESTRO!D13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MAESTRO!D14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MAESTRO!D15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MAESTRO!D16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MAESTRO!D17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MAESTRO!D18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MAESTRO!D19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MAESTRO!D20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MAESTRO!D21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MAESTRO!D22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MAESTRO!D23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MAESTRO!D24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103"/>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MAESTRO!D25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103"/>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MAESTRO!D26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103"/>
      <c r="BT26" s="103"/>
      <c r="BU26" s="103"/>
      <c r="BV26" s="103"/>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MAESTRO!D27</f>
        <v>0</v>
      </c>
      <c r="C27" s="5"/>
      <c r="D27" s="5"/>
      <c r="E27" s="5"/>
      <c r="F27" s="5"/>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6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103"/>
      <c r="BT27" s="103"/>
      <c r="BU27" s="103"/>
      <c r="BV27" s="103"/>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MAESTRO!D28</f>
        <v>0</v>
      </c>
      <c r="C28" s="5"/>
      <c r="D28" s="5"/>
      <c r="E28" s="5"/>
      <c r="F28" s="5"/>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105"/>
      <c r="AL28" s="105"/>
      <c r="AM28" s="105"/>
      <c r="AN28" s="105"/>
      <c r="AO28" s="105"/>
      <c r="AP28" s="10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103"/>
      <c r="BT28" s="103"/>
      <c r="BU28" s="103"/>
      <c r="BV28" s="103"/>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MAESTRO!D29</f>
        <v>0</v>
      </c>
      <c r="C29" s="5"/>
      <c r="D29" s="5"/>
      <c r="E29" s="103"/>
      <c r="F29" s="5"/>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105"/>
      <c r="AL29" s="105"/>
      <c r="AM29" s="105"/>
      <c r="AN29" s="105"/>
      <c r="AO29" s="105"/>
      <c r="AP29" s="10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103"/>
      <c r="BT29" s="103"/>
      <c r="BU29" s="103"/>
      <c r="BV29" s="103"/>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MAESTRO!D30</f>
        <v>0</v>
      </c>
      <c r="C30" s="5"/>
      <c r="D30" s="5"/>
      <c r="E30" s="103"/>
      <c r="F30" s="5"/>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105"/>
      <c r="AL30" s="105"/>
      <c r="AM30" s="105"/>
      <c r="AN30" s="105"/>
      <c r="AO30" s="105"/>
      <c r="AP30" s="10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103"/>
      <c r="BT30" s="103"/>
      <c r="BU30" s="103"/>
      <c r="BV30" s="103"/>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MAESTRO!D31</f>
        <v>0</v>
      </c>
      <c r="C31" s="5"/>
      <c r="D31" s="5"/>
      <c r="E31" s="103"/>
      <c r="F31" s="5"/>
      <c r="G31" s="5"/>
      <c r="H31" s="5"/>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5"/>
      <c r="AL31" s="105"/>
      <c r="AM31" s="105"/>
      <c r="AN31" s="105"/>
      <c r="AO31" s="105"/>
      <c r="AP31" s="10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103"/>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MAESTRO!D32</f>
        <v>0</v>
      </c>
      <c r="C32" s="103"/>
      <c r="D32" s="103"/>
      <c r="E32" s="103"/>
      <c r="F32" s="103"/>
      <c r="G32" s="5"/>
      <c r="H32" s="5"/>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105"/>
      <c r="AP32" s="10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103"/>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MAESTRO!D33</f>
        <v>0</v>
      </c>
      <c r="C33" s="103"/>
      <c r="D33" s="103"/>
      <c r="E33" s="103"/>
      <c r="F33" s="103"/>
      <c r="G33" s="5"/>
      <c r="H33" s="5"/>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105"/>
      <c r="AP33" s="10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103"/>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MAESTRO!D34</f>
        <v>0</v>
      </c>
      <c r="C34" s="103"/>
      <c r="D34" s="103"/>
      <c r="E34" s="103"/>
      <c r="F34" s="103"/>
      <c r="G34" s="5"/>
      <c r="H34" s="5"/>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105"/>
      <c r="AP34" s="10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103"/>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MAESTRO!D35</f>
        <v>0</v>
      </c>
      <c r="C35" s="103"/>
      <c r="D35" s="103"/>
      <c r="E35" s="103"/>
      <c r="F35" s="103"/>
      <c r="G35" s="5"/>
      <c r="H35" s="5"/>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105"/>
      <c r="AP35" s="10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103"/>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MAESTRO!D36</f>
        <v>0</v>
      </c>
      <c r="C36" s="103"/>
      <c r="D36" s="103"/>
      <c r="E36" s="103"/>
      <c r="F36" s="103"/>
      <c r="G36" s="5"/>
      <c r="H36" s="5"/>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10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103"/>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MAESTRO!D37</f>
        <v>0</v>
      </c>
      <c r="C37" s="103"/>
      <c r="D37" s="103"/>
      <c r="E37" s="103"/>
      <c r="F37" s="103"/>
      <c r="G37" s="5"/>
      <c r="H37" s="5"/>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10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103"/>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MAESTRO!D38</f>
        <v>0</v>
      </c>
      <c r="C38" s="103"/>
      <c r="D38" s="103"/>
      <c r="E38" s="103"/>
      <c r="F38" s="103"/>
      <c r="G38" s="5"/>
      <c r="H38" s="5"/>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10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103"/>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MAESTRO!D39</f>
        <v>0</v>
      </c>
      <c r="C39" s="103"/>
      <c r="D39" s="103"/>
      <c r="E39" s="103"/>
      <c r="F39" s="103"/>
      <c r="G39" s="5"/>
      <c r="H39" s="5"/>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10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103"/>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MAESTRO!D40</f>
        <v>0</v>
      </c>
      <c r="C40" s="103"/>
      <c r="D40" s="103"/>
      <c r="E40" s="103"/>
      <c r="F40" s="103"/>
      <c r="G40" s="5"/>
      <c r="H40" s="5"/>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10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103"/>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MAESTRO!D41</f>
        <v>0</v>
      </c>
      <c r="C41" s="103"/>
      <c r="D41" s="103"/>
      <c r="E41" s="103"/>
      <c r="F41" s="103"/>
      <c r="G41" s="5"/>
      <c r="H41" s="5"/>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10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103"/>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MAESTRO!D42</f>
        <v>0</v>
      </c>
      <c r="C42" s="103"/>
      <c r="D42" s="103"/>
      <c r="E42" s="103"/>
      <c r="F42" s="103"/>
      <c r="G42" s="5"/>
      <c r="H42" s="5"/>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10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103"/>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MAESTRO!D43</f>
        <v>0</v>
      </c>
      <c r="C43" s="103"/>
      <c r="D43" s="103"/>
      <c r="E43" s="103"/>
      <c r="F43" s="103"/>
      <c r="G43" s="5"/>
      <c r="H43" s="5"/>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10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103"/>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MAESTRO!D44</f>
        <v>0</v>
      </c>
      <c r="C44" s="103"/>
      <c r="D44" s="103"/>
      <c r="E44" s="103"/>
      <c r="F44" s="103"/>
      <c r="G44" s="93"/>
      <c r="H44" s="93"/>
      <c r="I44" s="9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105"/>
      <c r="AQ44" s="4"/>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103"/>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103"/>
      <c r="G45" s="93"/>
      <c r="H45" s="93"/>
      <c r="I45" s="9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105"/>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103"/>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103"/>
      <c r="G46" s="93"/>
      <c r="H46" s="93"/>
      <c r="I46" s="9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105"/>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103"/>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103"/>
      <c r="G47" s="93"/>
      <c r="H47" s="93"/>
      <c r="I47" s="9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105"/>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103"/>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103"/>
      <c r="G48" s="93"/>
      <c r="H48" s="93"/>
      <c r="I48" s="9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105"/>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103"/>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4"/>
      <c r="E49" s="93"/>
      <c r="F49" s="93"/>
      <c r="G49" s="93"/>
      <c r="H49" s="93"/>
      <c r="I49" s="93"/>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53"/>
      <c r="AN49" s="53"/>
      <c r="AO49" s="53"/>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5"/>
      <c r="BU49" s="5"/>
      <c r="BV49" s="5"/>
      <c r="BW49" s="5"/>
      <c r="BX49" s="5"/>
      <c r="BY49" s="5"/>
      <c r="BZ49" s="5"/>
      <c r="CA49" s="5"/>
      <c r="CB49" s="5"/>
      <c r="CC49" s="5"/>
      <c r="CD49" s="5"/>
      <c r="CE49" s="5"/>
      <c r="CF49" s="5"/>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2">
    <mergeCell ref="A2:P2"/>
    <mergeCell ref="R2:AG2"/>
    <mergeCell ref="CY10:CZ10"/>
    <mergeCell ref="AI9:AJ9"/>
    <mergeCell ref="DO2:EE2"/>
    <mergeCell ref="AI3:AJ4"/>
    <mergeCell ref="BQ26:BR26"/>
    <mergeCell ref="A3:A4"/>
    <mergeCell ref="CY29:CZ29"/>
    <mergeCell ref="R3:Z3"/>
    <mergeCell ref="BQ16:BR16"/>
    <mergeCell ref="CY16:CZ16"/>
    <mergeCell ref="BQ25:BR25"/>
    <mergeCell ref="BP2:CF2"/>
    <mergeCell ref="CX2:DN2"/>
    <mergeCell ref="AI20:AJ20"/>
    <mergeCell ref="CY9:CZ9"/>
    <mergeCell ref="AA3:AA4"/>
    <mergeCell ref="CY20:CZ20"/>
    <mergeCell ref="AK3:AW3"/>
    <mergeCell ref="AI22:AJ22"/>
    <mergeCell ref="BQ11:BR11"/>
    <mergeCell ref="AI12:AJ12"/>
    <mergeCell ref="AI21:AJ21"/>
    <mergeCell ref="CY22:CZ22"/>
    <mergeCell ref="ED3:EE4"/>
    <mergeCell ref="AI8:AJ8"/>
    <mergeCell ref="CX3:CX4"/>
    <mergeCell ref="AI17:AJ17"/>
    <mergeCell ref="BQ40:BR40"/>
    <mergeCell ref="CY28:CZ28"/>
    <mergeCell ref="BQ37:BR37"/>
    <mergeCell ref="CY37:CZ37"/>
    <mergeCell ref="AI10:AJ10"/>
    <mergeCell ref="BQ24:BR24"/>
    <mergeCell ref="CR3:CS4"/>
    <mergeCell ref="AI19:AJ19"/>
    <mergeCell ref="CY24:CZ24"/>
    <mergeCell ref="AI36:AJ36"/>
    <mergeCell ref="AI31:AJ31"/>
    <mergeCell ref="AI37:AJ37"/>
    <mergeCell ref="CY35:CZ35"/>
    <mergeCell ref="CY31:CZ31"/>
    <mergeCell ref="CY34:CZ34"/>
    <mergeCell ref="AI23:AJ23"/>
    <mergeCell ref="DZ3:EA4"/>
    <mergeCell ref="BQ17:BR17"/>
    <mergeCell ref="CY17:CZ17"/>
    <mergeCell ref="CG1:CW1"/>
    <mergeCell ref="DN3:DN4"/>
    <mergeCell ref="AI47:AJ47"/>
    <mergeCell ref="BQ14:BR14"/>
    <mergeCell ref="BQ39:BR39"/>
    <mergeCell ref="CY32:CZ32"/>
    <mergeCell ref="BN3:BO4"/>
    <mergeCell ref="CY42:CZ42"/>
    <mergeCell ref="AH3:AH4"/>
    <mergeCell ref="CY47:CZ47"/>
    <mergeCell ref="BQ38:BR38"/>
    <mergeCell ref="AH1:AX1"/>
    <mergeCell ref="AI45:AJ45"/>
    <mergeCell ref="CY45:CZ45"/>
    <mergeCell ref="BQ42:BR42"/>
    <mergeCell ref="BQ43:BR43"/>
    <mergeCell ref="AY1:BO1"/>
    <mergeCell ref="CY46:CZ46"/>
    <mergeCell ref="AI29:AJ29"/>
    <mergeCell ref="CG3:CP3"/>
    <mergeCell ref="BQ18:BR18"/>
    <mergeCell ref="BQ27:BR27"/>
    <mergeCell ref="BQ8:BR8"/>
    <mergeCell ref="CY8:CZ8"/>
    <mergeCell ref="A1:P1"/>
    <mergeCell ref="CY3:CZ4"/>
    <mergeCell ref="AI7:AJ7"/>
    <mergeCell ref="CY12:CZ12"/>
    <mergeCell ref="BQ21:BR21"/>
    <mergeCell ref="AI16:AJ16"/>
    <mergeCell ref="CY21:CZ21"/>
    <mergeCell ref="CV3:CW4"/>
    <mergeCell ref="CY41:CZ41"/>
    <mergeCell ref="BQ23:BR23"/>
    <mergeCell ref="AI18:AJ18"/>
    <mergeCell ref="CY23:CZ23"/>
    <mergeCell ref="CY13:CZ13"/>
    <mergeCell ref="BQ7:BR7"/>
    <mergeCell ref="CY7:CZ7"/>
    <mergeCell ref="AI33:AJ33"/>
    <mergeCell ref="CY40:CZ40"/>
    <mergeCell ref="CY27:CZ27"/>
    <mergeCell ref="AE3:AE4"/>
    <mergeCell ref="AI34:AJ34"/>
    <mergeCell ref="BQ34:BR34"/>
    <mergeCell ref="AI28:AJ28"/>
    <mergeCell ref="CQ3:CQ4"/>
    <mergeCell ref="BI3:BI4"/>
    <mergeCell ref="R1:AG1"/>
    <mergeCell ref="CY6:CZ6"/>
    <mergeCell ref="AX3:AX4"/>
    <mergeCell ref="DA3:DM3"/>
    <mergeCell ref="BS3:CE3"/>
    <mergeCell ref="CY15:CZ15"/>
    <mergeCell ref="CY44:CZ44"/>
    <mergeCell ref="CG2:CW2"/>
    <mergeCell ref="BQ31:BR31"/>
    <mergeCell ref="AI26:AJ26"/>
    <mergeCell ref="AF3:AG4"/>
    <mergeCell ref="AI43:AJ43"/>
    <mergeCell ref="AI42:AJ42"/>
    <mergeCell ref="CY43:CZ43"/>
    <mergeCell ref="AI44:AJ44"/>
    <mergeCell ref="BQ36:BR36"/>
    <mergeCell ref="AI30:AJ30"/>
    <mergeCell ref="BQ33:BR33"/>
    <mergeCell ref="AI6:AJ6"/>
    <mergeCell ref="AI11:AJ11"/>
    <mergeCell ref="AY3:BH3"/>
    <mergeCell ref="BQ20:BR20"/>
    <mergeCell ref="CY25:CZ25"/>
    <mergeCell ref="CY30:CZ30"/>
    <mergeCell ref="CY49:CZ49"/>
    <mergeCell ref="BP3:BP4"/>
    <mergeCell ref="BQ5:BR5"/>
    <mergeCell ref="AU44:AV44"/>
    <mergeCell ref="AI40:AJ40"/>
    <mergeCell ref="AI15:AJ15"/>
    <mergeCell ref="BQ29:BR29"/>
    <mergeCell ref="AI24:AJ24"/>
    <mergeCell ref="AB3:AC4"/>
    <mergeCell ref="BQ46:BR46"/>
    <mergeCell ref="BQ48:BR48"/>
    <mergeCell ref="BQ49:BR49"/>
    <mergeCell ref="BQ35:BR35"/>
    <mergeCell ref="CY5:CZ5"/>
    <mergeCell ref="BQ22:BR22"/>
    <mergeCell ref="BQ12:BR12"/>
    <mergeCell ref="AI32:AJ32"/>
    <mergeCell ref="CY11:CZ11"/>
    <mergeCell ref="AI46:AJ46"/>
    <mergeCell ref="AD3:AD4"/>
    <mergeCell ref="BL3:BL4"/>
    <mergeCell ref="AI49:AJ49"/>
    <mergeCell ref="AI48:AJ48"/>
    <mergeCell ref="BQ9:BR9"/>
    <mergeCell ref="B3:B4"/>
    <mergeCell ref="AI38:AJ38"/>
    <mergeCell ref="CY39:CZ39"/>
    <mergeCell ref="BQ3:BR4"/>
    <mergeCell ref="CY36:CZ36"/>
    <mergeCell ref="CY18:CZ18"/>
    <mergeCell ref="C3:O3"/>
    <mergeCell ref="P3:P4"/>
    <mergeCell ref="CY48:CZ48"/>
    <mergeCell ref="BQ30:BR30"/>
    <mergeCell ref="BJ3:BK4"/>
    <mergeCell ref="BQ45:BR45"/>
    <mergeCell ref="AI14:AJ14"/>
    <mergeCell ref="CF3:CF4"/>
    <mergeCell ref="BQ32:BR32"/>
    <mergeCell ref="AI27:AJ27"/>
    <mergeCell ref="AI41:AJ41"/>
    <mergeCell ref="BQ41:BR41"/>
    <mergeCell ref="AI35:AJ35"/>
    <mergeCell ref="CT3:CT4"/>
    <mergeCell ref="BQ47:BR47"/>
    <mergeCell ref="AI25:AJ25"/>
    <mergeCell ref="CY26:CZ26"/>
    <mergeCell ref="CU3:CU4"/>
    <mergeCell ref="AI13:AJ13"/>
    <mergeCell ref="BQ13:BR13"/>
    <mergeCell ref="BQ44:BR44"/>
    <mergeCell ref="DO1:EE1"/>
    <mergeCell ref="CY33:CZ33"/>
    <mergeCell ref="BQ6:BR6"/>
    <mergeCell ref="BQ15:BR15"/>
    <mergeCell ref="DY3:DY4"/>
    <mergeCell ref="CY14:CZ14"/>
    <mergeCell ref="EB3:EB4"/>
    <mergeCell ref="AY2:BO2"/>
    <mergeCell ref="BP1:CF1"/>
    <mergeCell ref="CX1:DN1"/>
    <mergeCell ref="AH2:AX2"/>
    <mergeCell ref="CY38:CZ38"/>
    <mergeCell ref="BQ10:BR10"/>
    <mergeCell ref="AI5:AJ5"/>
    <mergeCell ref="BM3:BM4"/>
    <mergeCell ref="AI39:AJ39"/>
    <mergeCell ref="CY19:CZ19"/>
    <mergeCell ref="BQ19:BR19"/>
    <mergeCell ref="BQ28:BR28"/>
    <mergeCell ref="DO3:DX3"/>
    <mergeCell ref="EC3:EC4"/>
  </mergeCells>
  <conditionalFormatting sqref="AE1:AE41 AE50:AE1048576">
    <cfRule type="cellIs" dxfId="11" priority="1" operator="lessThan">
      <formula>3</formula>
    </cfRule>
  </conditionalFormatting>
  <pageMargins left="0.7" right="0.7" top="0.75" bottom="0.75" header="0.3" footer="0.3"/>
  <pageSetup orientation="portrait" horizontalDpi="4294967293" r:id="rId1"/>
  <headerFooter>
    <oddHeader>&amp;LCOMERCIO&amp;CGRUPO 8°</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16">
    <tabColor rgb="FFBB99EE"/>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121</v>
      </c>
      <c r="M9" s="251"/>
      <c r="N9" s="251"/>
      <c r="O9" s="251"/>
      <c r="P9" s="251"/>
      <c r="Q9" s="241"/>
    </row>
    <row r="10" spans="2:17">
      <c r="B10" s="291" t="s">
        <v>104</v>
      </c>
      <c r="C10" s="241"/>
      <c r="D10" s="286" t="s">
        <v>122</v>
      </c>
      <c r="E10" s="251"/>
      <c r="F10" s="251"/>
      <c r="G10" s="241"/>
      <c r="H10" s="13"/>
      <c r="I10" s="49"/>
      <c r="J10" s="13"/>
      <c r="K10" s="13"/>
      <c r="L10" s="13"/>
      <c r="M10" s="13"/>
      <c r="N10" s="13"/>
      <c r="O10" s="13"/>
      <c r="P10" s="13"/>
      <c r="Q10" s="13"/>
    </row>
    <row r="11" spans="2:17">
      <c r="B11" s="282" t="s">
        <v>106</v>
      </c>
      <c r="C11" s="241"/>
      <c r="D11" s="284" t="s">
        <v>6</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MAESTRO!D5</f>
        <v>0</v>
      </c>
      <c r="D16" s="17"/>
      <c r="E16" s="17"/>
      <c r="F16" s="52" t="e">
        <f>'PROM (Comercio 8°)'!AE5</f>
        <v>#DIV/0!</v>
      </c>
      <c r="G16" s="52" t="e">
        <f>'PROM (Comercio 8°)'!BM5</f>
        <v>#DIV/0!</v>
      </c>
      <c r="H16" s="52" t="e">
        <f>'PROM (Comercio 8°)'!CU5</f>
        <v>#DIV/0!</v>
      </c>
      <c r="I16" s="52" t="e">
        <f t="shared" ref="I16:I52" si="0">TRUNC(AVERAGE(F16:H16),1)</f>
        <v>#DIV/0!</v>
      </c>
      <c r="J16" s="62">
        <f>'Asistencia (8°)'!BI3</f>
        <v>0</v>
      </c>
      <c r="K16" s="62">
        <f>'Asistencia (9°)'!BJ3</f>
        <v>0</v>
      </c>
      <c r="L16" s="62">
        <f>'Asistencia (8°)'!BJ3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MAESTRO!D6</f>
        <v>0</v>
      </c>
      <c r="D17" s="17"/>
      <c r="E17" s="17"/>
      <c r="F17" s="52" t="e">
        <f>'PROM (Comercio 8°)'!AE6</f>
        <v>#DIV/0!</v>
      </c>
      <c r="G17" s="52" t="e">
        <f>'PROM (Comercio 8°)'!BM6</f>
        <v>#DIV/0!</v>
      </c>
      <c r="H17" s="52" t="e">
        <f>'PROM (Comercio 8°)'!CU6</f>
        <v>#DIV/0!</v>
      </c>
      <c r="I17" s="52" t="e">
        <f t="shared" si="0"/>
        <v>#DIV/0!</v>
      </c>
      <c r="J17" s="62">
        <f>'Asistencia (8°)'!BI4</f>
        <v>0</v>
      </c>
      <c r="K17" s="62">
        <f>'Asistencia (9°)'!BJ4</f>
        <v>0</v>
      </c>
      <c r="L17" s="62">
        <f>'Asistencia (8°)'!BJ4</f>
        <v>0</v>
      </c>
      <c r="M17" s="62">
        <f>'Asistencia (9°)'!BJ47</f>
        <v>0</v>
      </c>
      <c r="N17" s="62">
        <f>'Asistencia (9°)'!BI92</f>
        <v>0</v>
      </c>
      <c r="O17" s="62">
        <f>'Asistencia (9°)'!BJ92</f>
        <v>0</v>
      </c>
      <c r="P17" s="63">
        <f t="shared" si="1"/>
        <v>0</v>
      </c>
      <c r="Q17" s="63">
        <f t="shared" si="2"/>
        <v>0</v>
      </c>
    </row>
    <row r="18" spans="2:17">
      <c r="B18" s="10">
        <v>3</v>
      </c>
      <c r="C18" s="12">
        <f>MAESTRO!D7</f>
        <v>0</v>
      </c>
      <c r="D18" s="17"/>
      <c r="E18" s="17"/>
      <c r="F18" s="52" t="e">
        <f>'PROM (Comercio 8°)'!AE7</f>
        <v>#DIV/0!</v>
      </c>
      <c r="G18" s="52" t="e">
        <f>'PROM (Comercio 8°)'!BM7</f>
        <v>#DIV/0!</v>
      </c>
      <c r="H18" s="52" t="e">
        <f>'PROM (Comercio 8°)'!CU7</f>
        <v>#DIV/0!</v>
      </c>
      <c r="I18" s="52" t="e">
        <f t="shared" si="0"/>
        <v>#DIV/0!</v>
      </c>
      <c r="J18" s="62">
        <f>'Asistencia (8°)'!BI5</f>
        <v>0</v>
      </c>
      <c r="K18" s="62">
        <f>'Asistencia (9°)'!BJ5</f>
        <v>0</v>
      </c>
      <c r="L18" s="62">
        <f>'Asistencia (8°)'!BJ5</f>
        <v>0</v>
      </c>
      <c r="M18" s="62">
        <f>'Asistencia (9°)'!BJ48</f>
        <v>0</v>
      </c>
      <c r="N18" s="62">
        <f>'Asistencia (9°)'!BI93</f>
        <v>0</v>
      </c>
      <c r="O18" s="62">
        <f>'Asistencia (9°)'!BJ93</f>
        <v>0</v>
      </c>
      <c r="P18" s="63">
        <f t="shared" si="1"/>
        <v>0</v>
      </c>
      <c r="Q18" s="63">
        <f t="shared" si="2"/>
        <v>0</v>
      </c>
    </row>
    <row r="19" spans="2:17">
      <c r="B19" s="10">
        <v>4</v>
      </c>
      <c r="C19" s="12">
        <f>MAESTRO!D8</f>
        <v>0</v>
      </c>
      <c r="D19" s="17"/>
      <c r="E19" s="17"/>
      <c r="F19" s="52" t="e">
        <f>'PROM (Comercio 8°)'!AE8</f>
        <v>#DIV/0!</v>
      </c>
      <c r="G19" s="52" t="e">
        <f>'PROM (Comercio 8°)'!BM8</f>
        <v>#DIV/0!</v>
      </c>
      <c r="H19" s="52" t="e">
        <f>'PROM (Comercio 8°)'!CU8</f>
        <v>#DIV/0!</v>
      </c>
      <c r="I19" s="52" t="e">
        <f t="shared" si="0"/>
        <v>#DIV/0!</v>
      </c>
      <c r="J19" s="62">
        <f>'Asistencia (8°)'!BI6</f>
        <v>0</v>
      </c>
      <c r="K19" s="62">
        <f>'Asistencia (9°)'!BJ6</f>
        <v>0</v>
      </c>
      <c r="L19" s="62">
        <f>'Asistencia (8°)'!BJ6</f>
        <v>0</v>
      </c>
      <c r="M19" s="62">
        <f>'Asistencia (9°)'!BJ49</f>
        <v>0</v>
      </c>
      <c r="N19" s="62">
        <f>'Asistencia (9°)'!BI94</f>
        <v>0</v>
      </c>
      <c r="O19" s="62">
        <f>'Asistencia (9°)'!BJ94</f>
        <v>0</v>
      </c>
      <c r="P19" s="63">
        <f t="shared" si="1"/>
        <v>0</v>
      </c>
      <c r="Q19" s="63">
        <f t="shared" si="2"/>
        <v>0</v>
      </c>
    </row>
    <row r="20" spans="2:17">
      <c r="B20" s="10">
        <v>5</v>
      </c>
      <c r="C20" s="12">
        <f>MAESTRO!D9</f>
        <v>0</v>
      </c>
      <c r="D20" s="17"/>
      <c r="E20" s="17"/>
      <c r="F20" s="52" t="e">
        <f>'PROM (Comercio 8°)'!AE9</f>
        <v>#DIV/0!</v>
      </c>
      <c r="G20" s="52" t="e">
        <f>'PROM (Comercio 8°)'!BM9</f>
        <v>#DIV/0!</v>
      </c>
      <c r="H20" s="52" t="e">
        <f>'PROM (Comercio 8°)'!CU9</f>
        <v>#DIV/0!</v>
      </c>
      <c r="I20" s="52" t="e">
        <f t="shared" si="0"/>
        <v>#DIV/0!</v>
      </c>
      <c r="J20" s="62">
        <f>'Asistencia (8°)'!BI7</f>
        <v>0</v>
      </c>
      <c r="K20" s="62">
        <f>'Asistencia (9°)'!BJ7</f>
        <v>0</v>
      </c>
      <c r="L20" s="62">
        <f>'Asistencia (8°)'!BJ7</f>
        <v>0</v>
      </c>
      <c r="M20" s="62">
        <f>'Asistencia (9°)'!BJ50</f>
        <v>0</v>
      </c>
      <c r="N20" s="62">
        <f>'Asistencia (9°)'!BI95</f>
        <v>0</v>
      </c>
      <c r="O20" s="62">
        <f>'Asistencia (9°)'!BJ95</f>
        <v>0</v>
      </c>
      <c r="P20" s="63">
        <f t="shared" si="1"/>
        <v>0</v>
      </c>
      <c r="Q20" s="63">
        <f t="shared" si="2"/>
        <v>0</v>
      </c>
    </row>
    <row r="21" spans="2:17">
      <c r="B21" s="10">
        <v>6</v>
      </c>
      <c r="C21" s="12">
        <f>MAESTRO!D10</f>
        <v>0</v>
      </c>
      <c r="D21" s="17"/>
      <c r="E21" s="17"/>
      <c r="F21" s="52" t="e">
        <f>'PROM (Comercio 8°)'!AE10</f>
        <v>#DIV/0!</v>
      </c>
      <c r="G21" s="52" t="e">
        <f>'PROM (Comercio 8°)'!BM10</f>
        <v>#DIV/0!</v>
      </c>
      <c r="H21" s="52" t="e">
        <f>'PROM (Comercio 8°)'!CU10</f>
        <v>#DIV/0!</v>
      </c>
      <c r="I21" s="52" t="e">
        <f t="shared" si="0"/>
        <v>#DIV/0!</v>
      </c>
      <c r="J21" s="62">
        <f>'Asistencia (8°)'!BI8</f>
        <v>0</v>
      </c>
      <c r="K21" s="62">
        <f>'Asistencia (9°)'!BJ8</f>
        <v>0</v>
      </c>
      <c r="L21" s="62">
        <f>'Asistencia (8°)'!BJ8</f>
        <v>0</v>
      </c>
      <c r="M21" s="62">
        <f>'Asistencia (9°)'!BJ51</f>
        <v>0</v>
      </c>
      <c r="N21" s="62">
        <f>'Asistencia (9°)'!BI96</f>
        <v>0</v>
      </c>
      <c r="O21" s="62">
        <f>'Asistencia (9°)'!BJ96</f>
        <v>0</v>
      </c>
      <c r="P21" s="63">
        <f t="shared" si="1"/>
        <v>0</v>
      </c>
      <c r="Q21" s="63">
        <f t="shared" si="2"/>
        <v>0</v>
      </c>
    </row>
    <row r="22" spans="2:17">
      <c r="B22" s="10">
        <v>7</v>
      </c>
      <c r="C22" s="12">
        <f>MAESTRO!D11</f>
        <v>0</v>
      </c>
      <c r="D22" s="17"/>
      <c r="E22" s="17"/>
      <c r="F22" s="52" t="e">
        <f>'PROM (Comercio 8°)'!AE11</f>
        <v>#DIV/0!</v>
      </c>
      <c r="G22" s="52" t="e">
        <f>'PROM (Comercio 8°)'!BM11</f>
        <v>#DIV/0!</v>
      </c>
      <c r="H22" s="52" t="e">
        <f>'PROM (Comercio 8°)'!CU11</f>
        <v>#DIV/0!</v>
      </c>
      <c r="I22" s="52" t="e">
        <f t="shared" si="0"/>
        <v>#DIV/0!</v>
      </c>
      <c r="J22" s="62">
        <f>'Asistencia (8°)'!BI9</f>
        <v>0</v>
      </c>
      <c r="K22" s="62">
        <f>'Asistencia (9°)'!BJ9</f>
        <v>0</v>
      </c>
      <c r="L22" s="62">
        <f>'Asistencia (8°)'!BJ9</f>
        <v>0</v>
      </c>
      <c r="M22" s="62">
        <f>'Asistencia (9°)'!BJ52</f>
        <v>0</v>
      </c>
      <c r="N22" s="62">
        <f>'Asistencia (9°)'!BI97</f>
        <v>0</v>
      </c>
      <c r="O22" s="62">
        <f>'Asistencia (9°)'!BJ97</f>
        <v>0</v>
      </c>
      <c r="P22" s="63">
        <f t="shared" si="1"/>
        <v>0</v>
      </c>
      <c r="Q22" s="63">
        <f t="shared" si="2"/>
        <v>0</v>
      </c>
    </row>
    <row r="23" spans="2:17">
      <c r="B23" s="10">
        <v>8</v>
      </c>
      <c r="C23" s="12">
        <f>MAESTRO!D12</f>
        <v>0</v>
      </c>
      <c r="D23" s="17"/>
      <c r="E23" s="17"/>
      <c r="F23" s="52" t="e">
        <f>'PROM (Comercio 8°)'!AE12</f>
        <v>#DIV/0!</v>
      </c>
      <c r="G23" s="52" t="e">
        <f>'PROM (Comercio 8°)'!BM12</f>
        <v>#DIV/0!</v>
      </c>
      <c r="H23" s="52" t="e">
        <f>'PROM (Comercio 8°)'!CU12</f>
        <v>#DIV/0!</v>
      </c>
      <c r="I23" s="52" t="e">
        <f t="shared" si="0"/>
        <v>#DIV/0!</v>
      </c>
      <c r="J23" s="62">
        <f>'Asistencia (8°)'!BI10</f>
        <v>0</v>
      </c>
      <c r="K23" s="62">
        <f>'Asistencia (9°)'!BJ10</f>
        <v>0</v>
      </c>
      <c r="L23" s="62">
        <f>'Asistencia (8°)'!BJ10</f>
        <v>0</v>
      </c>
      <c r="M23" s="62">
        <f>'Asistencia (9°)'!BJ53</f>
        <v>0</v>
      </c>
      <c r="N23" s="62">
        <f>'Asistencia (9°)'!BI98</f>
        <v>0</v>
      </c>
      <c r="O23" s="62">
        <f>'Asistencia (9°)'!BJ98</f>
        <v>0</v>
      </c>
      <c r="P23" s="63">
        <f t="shared" si="1"/>
        <v>0</v>
      </c>
      <c r="Q23" s="63">
        <f t="shared" si="2"/>
        <v>0</v>
      </c>
    </row>
    <row r="24" spans="2:17">
      <c r="B24" s="10">
        <v>9</v>
      </c>
      <c r="C24" s="12">
        <f>MAESTRO!D13</f>
        <v>0</v>
      </c>
      <c r="D24" s="17"/>
      <c r="E24" s="17"/>
      <c r="F24" s="52" t="e">
        <f>'PROM (Comercio 8°)'!AE13</f>
        <v>#DIV/0!</v>
      </c>
      <c r="G24" s="52" t="e">
        <f>'PROM (Comercio 8°)'!BM13</f>
        <v>#DIV/0!</v>
      </c>
      <c r="H24" s="52" t="e">
        <f>'PROM (Comercio 8°)'!CU13</f>
        <v>#DIV/0!</v>
      </c>
      <c r="I24" s="52" t="e">
        <f t="shared" si="0"/>
        <v>#DIV/0!</v>
      </c>
      <c r="J24" s="62">
        <f>'Asistencia (8°)'!BI11</f>
        <v>0</v>
      </c>
      <c r="K24" s="62">
        <f>'Asistencia (9°)'!BJ11</f>
        <v>0</v>
      </c>
      <c r="L24" s="62">
        <f>'Asistencia (8°)'!BJ11</f>
        <v>0</v>
      </c>
      <c r="M24" s="62">
        <f>'Asistencia (9°)'!BJ54</f>
        <v>0</v>
      </c>
      <c r="N24" s="62">
        <f>'Asistencia (9°)'!BI99</f>
        <v>0</v>
      </c>
      <c r="O24" s="62">
        <f>'Asistencia (9°)'!BJ99</f>
        <v>0</v>
      </c>
      <c r="P24" s="63">
        <f t="shared" si="1"/>
        <v>0</v>
      </c>
      <c r="Q24" s="63">
        <f t="shared" si="2"/>
        <v>0</v>
      </c>
    </row>
    <row r="25" spans="2:17">
      <c r="B25" s="10">
        <v>10</v>
      </c>
      <c r="C25" s="12">
        <f>MAESTRO!D14</f>
        <v>0</v>
      </c>
      <c r="D25" s="17"/>
      <c r="E25" s="17"/>
      <c r="F25" s="52" t="e">
        <f>'PROM (Comercio 8°)'!AE14</f>
        <v>#DIV/0!</v>
      </c>
      <c r="G25" s="52" t="e">
        <f>'PROM (Comercio 8°)'!BM14</f>
        <v>#DIV/0!</v>
      </c>
      <c r="H25" s="52" t="e">
        <f>'PROM (Comercio 8°)'!CU14</f>
        <v>#DIV/0!</v>
      </c>
      <c r="I25" s="52" t="e">
        <f t="shared" si="0"/>
        <v>#DIV/0!</v>
      </c>
      <c r="J25" s="62">
        <f>'Asistencia (8°)'!BI12</f>
        <v>0</v>
      </c>
      <c r="K25" s="62">
        <f>'Asistencia (9°)'!BJ12</f>
        <v>0</v>
      </c>
      <c r="L25" s="62">
        <f>'Asistencia (8°)'!BJ12</f>
        <v>0</v>
      </c>
      <c r="M25" s="62">
        <f>'Asistencia (9°)'!BJ55</f>
        <v>0</v>
      </c>
      <c r="N25" s="62">
        <f>'Asistencia (9°)'!BI100</f>
        <v>0</v>
      </c>
      <c r="O25" s="62">
        <f>'Asistencia (9°)'!BJ100</f>
        <v>0</v>
      </c>
      <c r="P25" s="63">
        <f t="shared" si="1"/>
        <v>0</v>
      </c>
      <c r="Q25" s="63">
        <f t="shared" si="2"/>
        <v>0</v>
      </c>
    </row>
    <row r="26" spans="2:17">
      <c r="B26" s="10">
        <v>11</v>
      </c>
      <c r="C26" s="12">
        <f>MAESTRO!D15</f>
        <v>0</v>
      </c>
      <c r="D26" s="17"/>
      <c r="E26" s="17"/>
      <c r="F26" s="52" t="e">
        <f>'PROM (Comercio 8°)'!AE15</f>
        <v>#DIV/0!</v>
      </c>
      <c r="G26" s="52" t="e">
        <f>'PROM (Comercio 8°)'!BM15</f>
        <v>#DIV/0!</v>
      </c>
      <c r="H26" s="52" t="e">
        <f>'PROM (Comercio 8°)'!CU15</f>
        <v>#DIV/0!</v>
      </c>
      <c r="I26" s="52" t="e">
        <f t="shared" si="0"/>
        <v>#DIV/0!</v>
      </c>
      <c r="J26" s="62">
        <f>'Asistencia (8°)'!BI13</f>
        <v>0</v>
      </c>
      <c r="K26" s="62">
        <f>'Asistencia (9°)'!BJ13</f>
        <v>0</v>
      </c>
      <c r="L26" s="62">
        <f>'Asistencia (8°)'!BJ13</f>
        <v>0</v>
      </c>
      <c r="M26" s="62">
        <f>'Asistencia (9°)'!BJ56</f>
        <v>0</v>
      </c>
      <c r="N26" s="62">
        <f>'Asistencia (9°)'!BI101</f>
        <v>0</v>
      </c>
      <c r="O26" s="62">
        <f>'Asistencia (9°)'!BJ101</f>
        <v>0</v>
      </c>
      <c r="P26" s="63">
        <f t="shared" si="1"/>
        <v>0</v>
      </c>
      <c r="Q26" s="63">
        <f t="shared" si="2"/>
        <v>0</v>
      </c>
    </row>
    <row r="27" spans="2:17">
      <c r="B27" s="10">
        <v>12</v>
      </c>
      <c r="C27" s="12">
        <f>MAESTRO!D16</f>
        <v>0</v>
      </c>
      <c r="D27" s="17"/>
      <c r="E27" s="17"/>
      <c r="F27" s="52" t="e">
        <f>'PROM (Comercio 8°)'!AE16</f>
        <v>#DIV/0!</v>
      </c>
      <c r="G27" s="52" t="e">
        <f>'PROM (Comercio 8°)'!BM16</f>
        <v>#DIV/0!</v>
      </c>
      <c r="H27" s="52" t="e">
        <f>'PROM (Comercio 8°)'!CU16</f>
        <v>#DIV/0!</v>
      </c>
      <c r="I27" s="52" t="e">
        <f t="shared" si="0"/>
        <v>#DIV/0!</v>
      </c>
      <c r="J27" s="62">
        <f>'Asistencia (8°)'!BI14</f>
        <v>0</v>
      </c>
      <c r="K27" s="62">
        <f>'Asistencia (9°)'!BJ14</f>
        <v>0</v>
      </c>
      <c r="L27" s="62">
        <f>'Asistencia (8°)'!BJ14</f>
        <v>0</v>
      </c>
      <c r="M27" s="62">
        <f>'Asistencia (9°)'!BJ57</f>
        <v>0</v>
      </c>
      <c r="N27" s="62">
        <f>'Asistencia (9°)'!BI102</f>
        <v>0</v>
      </c>
      <c r="O27" s="62">
        <f>'Asistencia (9°)'!BJ102</f>
        <v>0</v>
      </c>
      <c r="P27" s="63">
        <f t="shared" si="1"/>
        <v>0</v>
      </c>
      <c r="Q27" s="63">
        <f t="shared" si="2"/>
        <v>0</v>
      </c>
    </row>
    <row r="28" spans="2:17">
      <c r="B28" s="10">
        <v>13</v>
      </c>
      <c r="C28" s="12">
        <f>MAESTRO!D17</f>
        <v>0</v>
      </c>
      <c r="D28" s="17"/>
      <c r="E28" s="17"/>
      <c r="F28" s="52" t="e">
        <f>'PROM (Comercio 8°)'!AE17</f>
        <v>#DIV/0!</v>
      </c>
      <c r="G28" s="52" t="e">
        <f>'PROM (Comercio 8°)'!BM17</f>
        <v>#DIV/0!</v>
      </c>
      <c r="H28" s="52" t="e">
        <f>'PROM (Comercio 8°)'!CU17</f>
        <v>#DIV/0!</v>
      </c>
      <c r="I28" s="52" t="e">
        <f t="shared" si="0"/>
        <v>#DIV/0!</v>
      </c>
      <c r="J28" s="62">
        <f>'Asistencia (8°)'!BI15</f>
        <v>0</v>
      </c>
      <c r="K28" s="62">
        <f>'Asistencia (9°)'!BJ15</f>
        <v>0</v>
      </c>
      <c r="L28" s="62">
        <f>'Asistencia (8°)'!BJ15</f>
        <v>0</v>
      </c>
      <c r="M28" s="62">
        <f>'Asistencia (9°)'!BJ58</f>
        <v>0</v>
      </c>
      <c r="N28" s="62">
        <f>'Asistencia (9°)'!BI103</f>
        <v>0</v>
      </c>
      <c r="O28" s="62">
        <f>'Asistencia (9°)'!BJ103</f>
        <v>0</v>
      </c>
      <c r="P28" s="63">
        <f t="shared" si="1"/>
        <v>0</v>
      </c>
      <c r="Q28" s="63">
        <f t="shared" si="2"/>
        <v>0</v>
      </c>
    </row>
    <row r="29" spans="2:17">
      <c r="B29" s="10">
        <v>14</v>
      </c>
      <c r="C29" s="12">
        <f>MAESTRO!D18</f>
        <v>0</v>
      </c>
      <c r="D29" s="17"/>
      <c r="E29" s="17"/>
      <c r="F29" s="52" t="e">
        <f>'PROM (Comercio 8°)'!AE18</f>
        <v>#DIV/0!</v>
      </c>
      <c r="G29" s="52" t="e">
        <f>'PROM (Comercio 8°)'!BM18</f>
        <v>#DIV/0!</v>
      </c>
      <c r="H29" s="52" t="e">
        <f>'PROM (Comercio 8°)'!CU18</f>
        <v>#DIV/0!</v>
      </c>
      <c r="I29" s="52" t="e">
        <f t="shared" si="0"/>
        <v>#DIV/0!</v>
      </c>
      <c r="J29" s="62">
        <f>'Asistencia (8°)'!BI16</f>
        <v>0</v>
      </c>
      <c r="K29" s="62">
        <f>'Asistencia (9°)'!BJ16</f>
        <v>0</v>
      </c>
      <c r="L29" s="62">
        <f>'Asistencia (8°)'!BJ16</f>
        <v>0</v>
      </c>
      <c r="M29" s="62">
        <f>'Asistencia (9°)'!BJ59</f>
        <v>0</v>
      </c>
      <c r="N29" s="62">
        <f>'Asistencia (9°)'!BI104</f>
        <v>0</v>
      </c>
      <c r="O29" s="62">
        <f>'Asistencia (9°)'!BJ104</f>
        <v>0</v>
      </c>
      <c r="P29" s="63">
        <f t="shared" si="1"/>
        <v>0</v>
      </c>
      <c r="Q29" s="63">
        <f t="shared" si="2"/>
        <v>0</v>
      </c>
    </row>
    <row r="30" spans="2:17">
      <c r="B30" s="10">
        <v>15</v>
      </c>
      <c r="C30" s="12">
        <f>MAESTRO!D19</f>
        <v>0</v>
      </c>
      <c r="D30" s="17"/>
      <c r="E30" s="17"/>
      <c r="F30" s="52" t="e">
        <f>'PROM (Comercio 8°)'!AE19</f>
        <v>#DIV/0!</v>
      </c>
      <c r="G30" s="52" t="e">
        <f>'PROM (Comercio 8°)'!BM19</f>
        <v>#DIV/0!</v>
      </c>
      <c r="H30" s="52" t="e">
        <f>'PROM (Comercio 8°)'!CU19</f>
        <v>#DIV/0!</v>
      </c>
      <c r="I30" s="52" t="e">
        <f t="shared" si="0"/>
        <v>#DIV/0!</v>
      </c>
      <c r="J30" s="62">
        <f>'Asistencia (8°)'!BI17</f>
        <v>0</v>
      </c>
      <c r="K30" s="62">
        <f>'Asistencia (9°)'!BJ17</f>
        <v>0</v>
      </c>
      <c r="L30" s="62">
        <f>'Asistencia (8°)'!BJ17</f>
        <v>0</v>
      </c>
      <c r="M30" s="62">
        <f>'Asistencia (9°)'!BJ60</f>
        <v>0</v>
      </c>
      <c r="N30" s="62">
        <f>'Asistencia (9°)'!BI105</f>
        <v>0</v>
      </c>
      <c r="O30" s="62">
        <f>'Asistencia (9°)'!BJ105</f>
        <v>0</v>
      </c>
      <c r="P30" s="63">
        <f t="shared" si="1"/>
        <v>0</v>
      </c>
      <c r="Q30" s="63">
        <f t="shared" si="2"/>
        <v>0</v>
      </c>
    </row>
    <row r="31" spans="2:17">
      <c r="B31" s="10">
        <v>16</v>
      </c>
      <c r="C31" s="12">
        <f>MAESTRO!D20</f>
        <v>0</v>
      </c>
      <c r="D31" s="17"/>
      <c r="E31" s="17"/>
      <c r="F31" s="52" t="e">
        <f>'PROM (Comercio 8°)'!AE20</f>
        <v>#DIV/0!</v>
      </c>
      <c r="G31" s="52" t="e">
        <f>'PROM (Comercio 8°)'!BM20</f>
        <v>#DIV/0!</v>
      </c>
      <c r="H31" s="52" t="e">
        <f>'PROM (Comercio 8°)'!CU20</f>
        <v>#DIV/0!</v>
      </c>
      <c r="I31" s="52" t="e">
        <f t="shared" si="0"/>
        <v>#DIV/0!</v>
      </c>
      <c r="J31" s="62">
        <f>'Asistencia (8°)'!BI18</f>
        <v>0</v>
      </c>
      <c r="K31" s="62">
        <f>'Asistencia (9°)'!BJ18</f>
        <v>0</v>
      </c>
      <c r="L31" s="62">
        <f>'Asistencia (8°)'!BJ18</f>
        <v>0</v>
      </c>
      <c r="M31" s="62">
        <f>'Asistencia (9°)'!BJ61</f>
        <v>0</v>
      </c>
      <c r="N31" s="62">
        <f>'Asistencia (9°)'!BI106</f>
        <v>0</v>
      </c>
      <c r="O31" s="62">
        <f>'Asistencia (9°)'!BJ106</f>
        <v>0</v>
      </c>
      <c r="P31" s="63">
        <f t="shared" si="1"/>
        <v>0</v>
      </c>
      <c r="Q31" s="63">
        <f t="shared" si="2"/>
        <v>0</v>
      </c>
    </row>
    <row r="32" spans="2:17">
      <c r="B32" s="10">
        <v>17</v>
      </c>
      <c r="C32" s="12">
        <f>MAESTRO!D21</f>
        <v>0</v>
      </c>
      <c r="D32" s="17"/>
      <c r="E32" s="17"/>
      <c r="F32" s="52" t="e">
        <f>'PROM (Comercio 8°)'!AE21</f>
        <v>#DIV/0!</v>
      </c>
      <c r="G32" s="52" t="e">
        <f>'PROM (Comercio 8°)'!BM21</f>
        <v>#DIV/0!</v>
      </c>
      <c r="H32" s="52" t="e">
        <f>'PROM (Comercio 8°)'!CU21</f>
        <v>#DIV/0!</v>
      </c>
      <c r="I32" s="52" t="e">
        <f t="shared" si="0"/>
        <v>#DIV/0!</v>
      </c>
      <c r="J32" s="62">
        <f>'Asistencia (8°)'!BI19</f>
        <v>0</v>
      </c>
      <c r="K32" s="62">
        <f>'Asistencia (9°)'!BJ19</f>
        <v>0</v>
      </c>
      <c r="L32" s="62">
        <f>'Asistencia (8°)'!BJ19</f>
        <v>0</v>
      </c>
      <c r="M32" s="62">
        <f>'Asistencia (9°)'!BJ62</f>
        <v>0</v>
      </c>
      <c r="N32" s="62">
        <f>'Asistencia (9°)'!BI107</f>
        <v>0</v>
      </c>
      <c r="O32" s="62">
        <f>'Asistencia (9°)'!BJ107</f>
        <v>0</v>
      </c>
      <c r="P32" s="63">
        <f t="shared" si="1"/>
        <v>0</v>
      </c>
      <c r="Q32" s="63">
        <f t="shared" si="2"/>
        <v>0</v>
      </c>
    </row>
    <row r="33" spans="2:17">
      <c r="B33" s="10">
        <v>18</v>
      </c>
      <c r="C33" s="12">
        <f>MAESTRO!D22</f>
        <v>0</v>
      </c>
      <c r="D33" s="17"/>
      <c r="E33" s="17"/>
      <c r="F33" s="52" t="e">
        <f>'PROM (Comercio 8°)'!AE22</f>
        <v>#DIV/0!</v>
      </c>
      <c r="G33" s="52" t="e">
        <f>'PROM (Comercio 8°)'!BM22</f>
        <v>#DIV/0!</v>
      </c>
      <c r="H33" s="52" t="e">
        <f>'PROM (Comercio 8°)'!CU22</f>
        <v>#DIV/0!</v>
      </c>
      <c r="I33" s="52" t="e">
        <f t="shared" si="0"/>
        <v>#DIV/0!</v>
      </c>
      <c r="J33" s="62">
        <f>'Asistencia (8°)'!BI20</f>
        <v>0</v>
      </c>
      <c r="K33" s="62">
        <f>'Asistencia (9°)'!BJ20</f>
        <v>0</v>
      </c>
      <c r="L33" s="62">
        <f>'Asistencia (8°)'!BJ20</f>
        <v>0</v>
      </c>
      <c r="M33" s="62">
        <f>'Asistencia (9°)'!BJ63</f>
        <v>0</v>
      </c>
      <c r="N33" s="62">
        <f>'Asistencia (9°)'!BI108</f>
        <v>0</v>
      </c>
      <c r="O33" s="62">
        <f>'Asistencia (9°)'!BJ108</f>
        <v>0</v>
      </c>
      <c r="P33" s="63">
        <f t="shared" si="1"/>
        <v>0</v>
      </c>
      <c r="Q33" s="63">
        <f t="shared" si="2"/>
        <v>0</v>
      </c>
    </row>
    <row r="34" spans="2:17">
      <c r="B34" s="10">
        <v>19</v>
      </c>
      <c r="C34" s="12">
        <f>MAESTRO!D23</f>
        <v>0</v>
      </c>
      <c r="D34" s="17"/>
      <c r="E34" s="17"/>
      <c r="F34" s="52" t="e">
        <f>'PROM (Comercio 8°)'!AE23</f>
        <v>#DIV/0!</v>
      </c>
      <c r="G34" s="52" t="e">
        <f>'PROM (Comercio 8°)'!BM23</f>
        <v>#DIV/0!</v>
      </c>
      <c r="H34" s="52" t="e">
        <f>'PROM (Comercio 8°)'!CU23</f>
        <v>#DIV/0!</v>
      </c>
      <c r="I34" s="52" t="e">
        <f t="shared" si="0"/>
        <v>#DIV/0!</v>
      </c>
      <c r="J34" s="62">
        <f>'Asistencia (8°)'!BI21</f>
        <v>0</v>
      </c>
      <c r="K34" s="62">
        <f>'Asistencia (9°)'!BJ21</f>
        <v>0</v>
      </c>
      <c r="L34" s="62">
        <f>'Asistencia (8°)'!BJ21</f>
        <v>0</v>
      </c>
      <c r="M34" s="62">
        <f>'Asistencia (9°)'!BJ64</f>
        <v>0</v>
      </c>
      <c r="N34" s="62">
        <f>'Asistencia (9°)'!BI109</f>
        <v>0</v>
      </c>
      <c r="O34" s="62">
        <f>'Asistencia (9°)'!BJ109</f>
        <v>0</v>
      </c>
      <c r="P34" s="63">
        <f t="shared" si="1"/>
        <v>0</v>
      </c>
      <c r="Q34" s="63">
        <f t="shared" si="2"/>
        <v>0</v>
      </c>
    </row>
    <row r="35" spans="2:17">
      <c r="B35" s="10">
        <v>20</v>
      </c>
      <c r="C35" s="12">
        <f>MAESTRO!D24</f>
        <v>0</v>
      </c>
      <c r="D35" s="17"/>
      <c r="E35" s="17"/>
      <c r="F35" s="52" t="e">
        <f>'PROM (Comercio 8°)'!AE24</f>
        <v>#DIV/0!</v>
      </c>
      <c r="G35" s="52" t="e">
        <f>'PROM (Comercio 8°)'!BM24</f>
        <v>#DIV/0!</v>
      </c>
      <c r="H35" s="52" t="e">
        <f>'PROM (Comercio 8°)'!CU24</f>
        <v>#DIV/0!</v>
      </c>
      <c r="I35" s="52" t="e">
        <f t="shared" si="0"/>
        <v>#DIV/0!</v>
      </c>
      <c r="J35" s="62">
        <f>'Asistencia (8°)'!BI22</f>
        <v>0</v>
      </c>
      <c r="K35" s="62">
        <f>'Asistencia (9°)'!BJ22</f>
        <v>0</v>
      </c>
      <c r="L35" s="62">
        <f>'Asistencia (8°)'!BJ22</f>
        <v>0</v>
      </c>
      <c r="M35" s="62">
        <f>'Asistencia (9°)'!BJ65</f>
        <v>0</v>
      </c>
      <c r="N35" s="62">
        <f>'Asistencia (9°)'!BI110</f>
        <v>0</v>
      </c>
      <c r="O35" s="62">
        <f>'Asistencia (9°)'!BJ110</f>
        <v>0</v>
      </c>
      <c r="P35" s="63">
        <f t="shared" si="1"/>
        <v>0</v>
      </c>
      <c r="Q35" s="63">
        <f t="shared" si="2"/>
        <v>0</v>
      </c>
    </row>
    <row r="36" spans="2:17">
      <c r="B36" s="10">
        <v>21</v>
      </c>
      <c r="C36" s="12">
        <f>MAESTRO!D25</f>
        <v>0</v>
      </c>
      <c r="D36" s="17"/>
      <c r="E36" s="17"/>
      <c r="F36" s="52" t="e">
        <f>'PROM (Comercio 8°)'!AE25</f>
        <v>#DIV/0!</v>
      </c>
      <c r="G36" s="52" t="e">
        <f>'PROM (Comercio 8°)'!BM25</f>
        <v>#DIV/0!</v>
      </c>
      <c r="H36" s="52" t="e">
        <f>'PROM (Comercio 8°)'!CU25</f>
        <v>#DIV/0!</v>
      </c>
      <c r="I36" s="52" t="e">
        <f t="shared" si="0"/>
        <v>#DIV/0!</v>
      </c>
      <c r="J36" s="62">
        <f>'Asistencia (8°)'!BI23</f>
        <v>0</v>
      </c>
      <c r="K36" s="62">
        <f>'Asistencia (9°)'!BJ23</f>
        <v>0</v>
      </c>
      <c r="L36" s="62">
        <f>'Asistencia (8°)'!BJ23</f>
        <v>0</v>
      </c>
      <c r="M36" s="62">
        <f>'Asistencia (9°)'!BJ66</f>
        <v>0</v>
      </c>
      <c r="N36" s="62">
        <f>'Asistencia (9°)'!BI111</f>
        <v>0</v>
      </c>
      <c r="O36" s="62">
        <f>'Asistencia (9°)'!BJ111</f>
        <v>0</v>
      </c>
      <c r="P36" s="63">
        <f t="shared" si="1"/>
        <v>0</v>
      </c>
      <c r="Q36" s="63">
        <f t="shared" si="2"/>
        <v>0</v>
      </c>
    </row>
    <row r="37" spans="2:17">
      <c r="B37" s="10">
        <v>22</v>
      </c>
      <c r="C37" s="12">
        <f>MAESTRO!D26</f>
        <v>0</v>
      </c>
      <c r="D37" s="17"/>
      <c r="E37" s="17"/>
      <c r="F37" s="52" t="e">
        <f>'PROM (Comercio 8°)'!AE26</f>
        <v>#DIV/0!</v>
      </c>
      <c r="G37" s="52" t="e">
        <f>'PROM (Comercio 8°)'!BM26</f>
        <v>#DIV/0!</v>
      </c>
      <c r="H37" s="52" t="e">
        <f>'PROM (Comercio 8°)'!CU26</f>
        <v>#DIV/0!</v>
      </c>
      <c r="I37" s="52" t="e">
        <f t="shared" si="0"/>
        <v>#DIV/0!</v>
      </c>
      <c r="J37" s="62">
        <f>'Asistencia (8°)'!BI24</f>
        <v>0</v>
      </c>
      <c r="K37" s="62">
        <f>'Asistencia (9°)'!BJ24</f>
        <v>0</v>
      </c>
      <c r="L37" s="62">
        <f>'Asistencia (8°)'!BJ24</f>
        <v>0</v>
      </c>
      <c r="M37" s="62">
        <f>'Asistencia (9°)'!BJ67</f>
        <v>0</v>
      </c>
      <c r="N37" s="62">
        <f>'Asistencia (9°)'!BI112</f>
        <v>0</v>
      </c>
      <c r="O37" s="62">
        <f>'Asistencia (9°)'!BJ112</f>
        <v>0</v>
      </c>
      <c r="P37" s="63">
        <f t="shared" si="1"/>
        <v>0</v>
      </c>
      <c r="Q37" s="63">
        <f t="shared" si="2"/>
        <v>0</v>
      </c>
    </row>
    <row r="38" spans="2:17">
      <c r="B38" s="10">
        <v>23</v>
      </c>
      <c r="C38" s="12">
        <f>MAESTRO!D27</f>
        <v>0</v>
      </c>
      <c r="D38" s="17"/>
      <c r="E38" s="17"/>
      <c r="F38" s="52" t="e">
        <f>'PROM (Comercio 8°)'!AE27</f>
        <v>#DIV/0!</v>
      </c>
      <c r="G38" s="52" t="e">
        <f>'PROM (Comercio 8°)'!BM27</f>
        <v>#DIV/0!</v>
      </c>
      <c r="H38" s="52" t="e">
        <f>'PROM (Comercio 8°)'!CU27</f>
        <v>#DIV/0!</v>
      </c>
      <c r="I38" s="52" t="e">
        <f t="shared" si="0"/>
        <v>#DIV/0!</v>
      </c>
      <c r="J38" s="62">
        <f>'Asistencia (8°)'!BI25</f>
        <v>0</v>
      </c>
      <c r="K38" s="62">
        <f>'Asistencia (9°)'!BJ25</f>
        <v>0</v>
      </c>
      <c r="L38" s="62">
        <f>'Asistencia (8°)'!BJ25</f>
        <v>0</v>
      </c>
      <c r="M38" s="62">
        <f>'Asistencia (9°)'!BJ68</f>
        <v>0</v>
      </c>
      <c r="N38" s="62">
        <f>'Asistencia (9°)'!BI113</f>
        <v>0</v>
      </c>
      <c r="O38" s="62">
        <f>'Asistencia (9°)'!BJ113</f>
        <v>0</v>
      </c>
      <c r="P38" s="63">
        <f t="shared" si="1"/>
        <v>0</v>
      </c>
      <c r="Q38" s="63">
        <f t="shared" si="2"/>
        <v>0</v>
      </c>
    </row>
    <row r="39" spans="2:17">
      <c r="B39" s="10">
        <v>24</v>
      </c>
      <c r="C39" s="12">
        <f>MAESTRO!D28</f>
        <v>0</v>
      </c>
      <c r="D39" s="17"/>
      <c r="E39" s="17"/>
      <c r="F39" s="52" t="e">
        <f>'PROM (Comercio 8°)'!AE28</f>
        <v>#DIV/0!</v>
      </c>
      <c r="G39" s="52" t="e">
        <f>'PROM (Comercio 8°)'!BM28</f>
        <v>#DIV/0!</v>
      </c>
      <c r="H39" s="52" t="e">
        <f>'PROM (Comercio 8°)'!CU28</f>
        <v>#DIV/0!</v>
      </c>
      <c r="I39" s="52" t="e">
        <f t="shared" si="0"/>
        <v>#DIV/0!</v>
      </c>
      <c r="J39" s="62">
        <f>'Asistencia (8°)'!BI26</f>
        <v>0</v>
      </c>
      <c r="K39" s="62">
        <f>'Asistencia (9°)'!BJ26</f>
        <v>0</v>
      </c>
      <c r="L39" s="62">
        <f>'Asistencia (8°)'!BJ26</f>
        <v>0</v>
      </c>
      <c r="M39" s="62">
        <f>'Asistencia (9°)'!BJ69</f>
        <v>0</v>
      </c>
      <c r="N39" s="62">
        <f>'Asistencia (9°)'!BI114</f>
        <v>0</v>
      </c>
      <c r="O39" s="62">
        <f>'Asistencia (9°)'!BJ114</f>
        <v>0</v>
      </c>
      <c r="P39" s="63">
        <f t="shared" si="1"/>
        <v>0</v>
      </c>
      <c r="Q39" s="63">
        <f t="shared" si="2"/>
        <v>0</v>
      </c>
    </row>
    <row r="40" spans="2:17">
      <c r="B40" s="10">
        <v>25</v>
      </c>
      <c r="C40" s="12">
        <f>MAESTRO!D29</f>
        <v>0</v>
      </c>
      <c r="D40" s="17"/>
      <c r="E40" s="17"/>
      <c r="F40" s="52" t="e">
        <f>'PROM (Comercio 8°)'!AE29</f>
        <v>#DIV/0!</v>
      </c>
      <c r="G40" s="52" t="e">
        <f>'PROM (Comercio 8°)'!BM29</f>
        <v>#DIV/0!</v>
      </c>
      <c r="H40" s="52" t="e">
        <f>'PROM (Comercio 8°)'!CU29</f>
        <v>#DIV/0!</v>
      </c>
      <c r="I40" s="52" t="e">
        <f t="shared" si="0"/>
        <v>#DIV/0!</v>
      </c>
      <c r="J40" s="62">
        <f>'Asistencia (8°)'!BI27</f>
        <v>0</v>
      </c>
      <c r="K40" s="62">
        <f>'Asistencia (9°)'!BJ27</f>
        <v>0</v>
      </c>
      <c r="L40" s="62">
        <f>'Asistencia (8°)'!BJ27</f>
        <v>0</v>
      </c>
      <c r="M40" s="62">
        <f>'Asistencia (9°)'!BJ70</f>
        <v>0</v>
      </c>
      <c r="N40" s="62">
        <f>'Asistencia (9°)'!BI115</f>
        <v>0</v>
      </c>
      <c r="O40" s="62">
        <f>'Asistencia (9°)'!BJ115</f>
        <v>0</v>
      </c>
      <c r="P40" s="63">
        <f t="shared" si="1"/>
        <v>0</v>
      </c>
      <c r="Q40" s="63">
        <f t="shared" si="2"/>
        <v>0</v>
      </c>
    </row>
    <row r="41" spans="2:17">
      <c r="B41" s="10">
        <v>26</v>
      </c>
      <c r="C41" s="12">
        <f>MAESTRO!D30</f>
        <v>0</v>
      </c>
      <c r="D41" s="17"/>
      <c r="E41" s="17"/>
      <c r="F41" s="52" t="e">
        <f>'PROM (Comercio 8°)'!AE30</f>
        <v>#DIV/0!</v>
      </c>
      <c r="G41" s="52" t="e">
        <f>'PROM (Comercio 8°)'!BM30</f>
        <v>#DIV/0!</v>
      </c>
      <c r="H41" s="52" t="e">
        <f>'PROM (Comercio 8°)'!CU30</f>
        <v>#DIV/0!</v>
      </c>
      <c r="I41" s="52" t="e">
        <f t="shared" si="0"/>
        <v>#DIV/0!</v>
      </c>
      <c r="J41" s="62">
        <f>'Asistencia (8°)'!BI28</f>
        <v>0</v>
      </c>
      <c r="K41" s="62">
        <f>'Asistencia (9°)'!BJ28</f>
        <v>0</v>
      </c>
      <c r="L41" s="62">
        <f>'Asistencia (8°)'!BJ28</f>
        <v>0</v>
      </c>
      <c r="M41" s="62">
        <f>'Asistencia (9°)'!BJ71</f>
        <v>0</v>
      </c>
      <c r="N41" s="62">
        <f>'Asistencia (9°)'!BI116</f>
        <v>0</v>
      </c>
      <c r="O41" s="62">
        <f>'Asistencia (9°)'!BJ116</f>
        <v>0</v>
      </c>
      <c r="P41" s="63">
        <f t="shared" si="1"/>
        <v>0</v>
      </c>
      <c r="Q41" s="63">
        <f t="shared" si="2"/>
        <v>0</v>
      </c>
    </row>
    <row r="42" spans="2:17">
      <c r="B42" s="10">
        <v>27</v>
      </c>
      <c r="C42" s="12">
        <f>MAESTRO!D31</f>
        <v>0</v>
      </c>
      <c r="D42" s="17"/>
      <c r="E42" s="17"/>
      <c r="F42" s="52" t="e">
        <f>'PROM (Comercio 8°)'!AE31</f>
        <v>#DIV/0!</v>
      </c>
      <c r="G42" s="52" t="e">
        <f>'PROM (Comercio 8°)'!BM31</f>
        <v>#DIV/0!</v>
      </c>
      <c r="H42" s="52" t="e">
        <f>'PROM (Comercio 8°)'!CU31</f>
        <v>#DIV/0!</v>
      </c>
      <c r="I42" s="52" t="e">
        <f t="shared" si="0"/>
        <v>#DIV/0!</v>
      </c>
      <c r="J42" s="62">
        <f>'Asistencia (8°)'!BI29</f>
        <v>0</v>
      </c>
      <c r="K42" s="62">
        <f>'Asistencia (9°)'!BJ29</f>
        <v>0</v>
      </c>
      <c r="L42" s="62">
        <f>'Asistencia (8°)'!BJ29</f>
        <v>0</v>
      </c>
      <c r="M42" s="62">
        <f>'Asistencia (9°)'!BJ72</f>
        <v>0</v>
      </c>
      <c r="N42" s="62">
        <f>'Asistencia (9°)'!BI117</f>
        <v>0</v>
      </c>
      <c r="O42" s="62">
        <f>'Asistencia (9°)'!BJ117</f>
        <v>0</v>
      </c>
      <c r="P42" s="63">
        <f t="shared" si="1"/>
        <v>0</v>
      </c>
      <c r="Q42" s="63">
        <f t="shared" si="2"/>
        <v>0</v>
      </c>
    </row>
    <row r="43" spans="2:17">
      <c r="B43" s="10">
        <v>28</v>
      </c>
      <c r="C43" s="12">
        <f>MAESTRO!D32</f>
        <v>0</v>
      </c>
      <c r="D43" s="17"/>
      <c r="E43" s="17"/>
      <c r="F43" s="52" t="e">
        <f>'PROM (Comercio 8°)'!AE32</f>
        <v>#DIV/0!</v>
      </c>
      <c r="G43" s="52" t="e">
        <f>'PROM (Comercio 8°)'!BM32</f>
        <v>#DIV/0!</v>
      </c>
      <c r="H43" s="52" t="e">
        <f>'PROM (Comercio 8°)'!CU32</f>
        <v>#DIV/0!</v>
      </c>
      <c r="I43" s="52" t="e">
        <f t="shared" si="0"/>
        <v>#DIV/0!</v>
      </c>
      <c r="J43" s="62">
        <f>'Asistencia (8°)'!BI30</f>
        <v>0</v>
      </c>
      <c r="K43" s="62">
        <f>'Asistencia (9°)'!BJ30</f>
        <v>0</v>
      </c>
      <c r="L43" s="62">
        <f>'Asistencia (8°)'!BJ30</f>
        <v>0</v>
      </c>
      <c r="M43" s="62">
        <f>'Asistencia (9°)'!BJ73</f>
        <v>0</v>
      </c>
      <c r="N43" s="62">
        <f>'Asistencia (9°)'!BI118</f>
        <v>0</v>
      </c>
      <c r="O43" s="62">
        <f>'Asistencia (9°)'!BJ118</f>
        <v>0</v>
      </c>
      <c r="P43" s="63">
        <f t="shared" si="1"/>
        <v>0</v>
      </c>
      <c r="Q43" s="63">
        <f t="shared" si="2"/>
        <v>0</v>
      </c>
    </row>
    <row r="44" spans="2:17">
      <c r="B44" s="10">
        <v>29</v>
      </c>
      <c r="C44" s="12">
        <f>MAESTRO!D33</f>
        <v>0</v>
      </c>
      <c r="D44" s="17"/>
      <c r="E44" s="17"/>
      <c r="F44" s="52" t="e">
        <f>'PROM (Comercio 8°)'!AE33</f>
        <v>#DIV/0!</v>
      </c>
      <c r="G44" s="52" t="e">
        <f>'PROM (Comercio 8°)'!BM33</f>
        <v>#DIV/0!</v>
      </c>
      <c r="H44" s="52" t="e">
        <f>'PROM (Comercio 8°)'!CU33</f>
        <v>#DIV/0!</v>
      </c>
      <c r="I44" s="52" t="e">
        <f t="shared" si="0"/>
        <v>#DIV/0!</v>
      </c>
      <c r="J44" s="62">
        <f>'Asistencia (8°)'!BI31</f>
        <v>0</v>
      </c>
      <c r="K44" s="62">
        <f>'Asistencia (9°)'!BJ31</f>
        <v>0</v>
      </c>
      <c r="L44" s="62">
        <f>'Asistencia (8°)'!BJ31</f>
        <v>0</v>
      </c>
      <c r="M44" s="62">
        <f>'Asistencia (9°)'!BJ74</f>
        <v>0</v>
      </c>
      <c r="N44" s="62">
        <f>'Asistencia (9°)'!BI119</f>
        <v>0</v>
      </c>
      <c r="O44" s="62">
        <f>'Asistencia (9°)'!BJ119</f>
        <v>0</v>
      </c>
      <c r="P44" s="63">
        <f t="shared" si="1"/>
        <v>0</v>
      </c>
      <c r="Q44" s="63">
        <f t="shared" si="2"/>
        <v>0</v>
      </c>
    </row>
    <row r="45" spans="2:17">
      <c r="B45" s="10">
        <v>30</v>
      </c>
      <c r="C45" s="12">
        <f>MAESTRO!D34</f>
        <v>0</v>
      </c>
      <c r="D45" s="17"/>
      <c r="E45" s="17"/>
      <c r="F45" s="52" t="e">
        <f>'PROM (Comercio 8°)'!AE34</f>
        <v>#DIV/0!</v>
      </c>
      <c r="G45" s="52" t="e">
        <f>'PROM (Comercio 8°)'!BM34</f>
        <v>#DIV/0!</v>
      </c>
      <c r="H45" s="52" t="e">
        <f>'PROM (Comercio 8°)'!CU34</f>
        <v>#DIV/0!</v>
      </c>
      <c r="I45" s="52" t="e">
        <f t="shared" si="0"/>
        <v>#DIV/0!</v>
      </c>
      <c r="J45" s="62">
        <f>'Asistencia (8°)'!BI32</f>
        <v>0</v>
      </c>
      <c r="K45" s="62">
        <f>'Asistencia (9°)'!BJ32</f>
        <v>0</v>
      </c>
      <c r="L45" s="62">
        <f>'Asistencia (8°)'!BJ32</f>
        <v>0</v>
      </c>
      <c r="M45" s="62">
        <f>'Asistencia (9°)'!BJ75</f>
        <v>0</v>
      </c>
      <c r="N45" s="62">
        <f>'Asistencia (9°)'!BI120</f>
        <v>0</v>
      </c>
      <c r="O45" s="62">
        <f>'Asistencia (9°)'!BJ120</f>
        <v>0</v>
      </c>
      <c r="P45" s="63">
        <f t="shared" si="1"/>
        <v>0</v>
      </c>
      <c r="Q45" s="63">
        <f t="shared" si="2"/>
        <v>0</v>
      </c>
    </row>
    <row r="46" spans="2:17">
      <c r="B46" s="10">
        <v>31</v>
      </c>
      <c r="C46" s="12">
        <f>MAESTRO!D35</f>
        <v>0</v>
      </c>
      <c r="D46" s="17"/>
      <c r="E46" s="17"/>
      <c r="F46" s="52" t="e">
        <f>'PROM (Comercio 8°)'!AE35</f>
        <v>#DIV/0!</v>
      </c>
      <c r="G46" s="52" t="e">
        <f>'PROM (Comercio 8°)'!BM35</f>
        <v>#DIV/0!</v>
      </c>
      <c r="H46" s="52" t="e">
        <f>'PROM (Comercio 8°)'!CU35</f>
        <v>#DIV/0!</v>
      </c>
      <c r="I46" s="52" t="e">
        <f t="shared" si="0"/>
        <v>#DIV/0!</v>
      </c>
      <c r="J46" s="62">
        <f>'Asistencia (8°)'!BI33</f>
        <v>0</v>
      </c>
      <c r="K46" s="62">
        <f>'Asistencia (9°)'!BJ33</f>
        <v>0</v>
      </c>
      <c r="L46" s="62">
        <f>'Asistencia (8°)'!BJ33</f>
        <v>0</v>
      </c>
      <c r="M46" s="62">
        <f>'Asistencia (9°)'!BJ76</f>
        <v>0</v>
      </c>
      <c r="N46" s="62">
        <f>'Asistencia (9°)'!BI121</f>
        <v>0</v>
      </c>
      <c r="O46" s="62">
        <f>'Asistencia (9°)'!BJ121</f>
        <v>0</v>
      </c>
      <c r="P46" s="63">
        <f t="shared" si="1"/>
        <v>0</v>
      </c>
      <c r="Q46" s="63">
        <f t="shared" si="2"/>
        <v>0</v>
      </c>
    </row>
    <row r="47" spans="2:17">
      <c r="B47" s="10">
        <v>32</v>
      </c>
      <c r="C47" s="12">
        <f>MAESTRO!D36</f>
        <v>0</v>
      </c>
      <c r="D47" s="17"/>
      <c r="E47" s="17"/>
      <c r="F47" s="52" t="e">
        <f>'PROM (Comercio 8°)'!AE36</f>
        <v>#DIV/0!</v>
      </c>
      <c r="G47" s="52" t="e">
        <f>'PROM (Comercio 8°)'!BM36</f>
        <v>#DIV/0!</v>
      </c>
      <c r="H47" s="52" t="e">
        <f>'PROM (Comercio 8°)'!CU36</f>
        <v>#DIV/0!</v>
      </c>
      <c r="I47" s="52" t="e">
        <f t="shared" si="0"/>
        <v>#DIV/0!</v>
      </c>
      <c r="J47" s="62">
        <f>'Asistencia (8°)'!BI34</f>
        <v>0</v>
      </c>
      <c r="K47" s="62">
        <f>'Asistencia (9°)'!BJ34</f>
        <v>0</v>
      </c>
      <c r="L47" s="62">
        <f>'Asistencia (8°)'!BJ34</f>
        <v>0</v>
      </c>
      <c r="M47" s="62">
        <f>'Asistencia (9°)'!BJ77</f>
        <v>0</v>
      </c>
      <c r="N47" s="62">
        <f>'Asistencia (9°)'!BI122</f>
        <v>0</v>
      </c>
      <c r="O47" s="62">
        <f>'Asistencia (9°)'!BJ122</f>
        <v>0</v>
      </c>
      <c r="P47" s="63">
        <f t="shared" si="1"/>
        <v>0</v>
      </c>
      <c r="Q47" s="63">
        <f t="shared" si="2"/>
        <v>0</v>
      </c>
    </row>
    <row r="48" spans="2:17">
      <c r="B48" s="10">
        <v>33</v>
      </c>
      <c r="C48" s="12">
        <f>MAESTRO!D37</f>
        <v>0</v>
      </c>
      <c r="D48" s="17"/>
      <c r="E48" s="17"/>
      <c r="F48" s="52" t="e">
        <f>'PROM (Comercio 8°)'!AE37</f>
        <v>#DIV/0!</v>
      </c>
      <c r="G48" s="52" t="e">
        <f>'PROM (Comercio 8°)'!BM37</f>
        <v>#DIV/0!</v>
      </c>
      <c r="H48" s="52" t="e">
        <f>'PROM (Comercio 8°)'!CU37</f>
        <v>#DIV/0!</v>
      </c>
      <c r="I48" s="52" t="e">
        <f t="shared" si="0"/>
        <v>#DIV/0!</v>
      </c>
      <c r="J48" s="62">
        <f>'Asistencia (8°)'!BI35</f>
        <v>0</v>
      </c>
      <c r="K48" s="62">
        <f>'Asistencia (9°)'!BJ35</f>
        <v>0</v>
      </c>
      <c r="L48" s="62">
        <f>'Asistencia (8°)'!BJ35</f>
        <v>0</v>
      </c>
      <c r="M48" s="62">
        <f>'Asistencia (9°)'!BJ78</f>
        <v>0</v>
      </c>
      <c r="N48" s="62">
        <f>'Asistencia (9°)'!BI123</f>
        <v>0</v>
      </c>
      <c r="O48" s="62">
        <f>'Asistencia (9°)'!BJ123</f>
        <v>0</v>
      </c>
      <c r="P48" s="63">
        <f t="shared" si="1"/>
        <v>0</v>
      </c>
      <c r="Q48" s="63">
        <f t="shared" si="2"/>
        <v>0</v>
      </c>
    </row>
    <row r="49" spans="2:17">
      <c r="B49" s="10">
        <v>34</v>
      </c>
      <c r="C49" s="12">
        <f>MAESTRO!D38</f>
        <v>0</v>
      </c>
      <c r="D49" s="17"/>
      <c r="E49" s="17"/>
      <c r="F49" s="52" t="e">
        <f>'PROM (Comercio 8°)'!AE38</f>
        <v>#DIV/0!</v>
      </c>
      <c r="G49" s="52" t="e">
        <f>'PROM (Comercio 8°)'!BM38</f>
        <v>#DIV/0!</v>
      </c>
      <c r="H49" s="52" t="e">
        <f>'PROM (Comercio 8°)'!CU38</f>
        <v>#DIV/0!</v>
      </c>
      <c r="I49" s="52" t="e">
        <f t="shared" si="0"/>
        <v>#DIV/0!</v>
      </c>
      <c r="J49" s="62">
        <f>'Asistencia (8°)'!BI36</f>
        <v>0</v>
      </c>
      <c r="K49" s="62">
        <f>'Asistencia (9°)'!BJ36</f>
        <v>0</v>
      </c>
      <c r="L49" s="62">
        <f>'Asistencia (8°)'!BJ36</f>
        <v>0</v>
      </c>
      <c r="M49" s="62">
        <f>'Asistencia (9°)'!BJ79</f>
        <v>0</v>
      </c>
      <c r="N49" s="62">
        <f>'Asistencia (9°)'!BI124</f>
        <v>0</v>
      </c>
      <c r="O49" s="62">
        <f>'Asistencia (9°)'!BJ124</f>
        <v>0</v>
      </c>
      <c r="P49" s="63">
        <f t="shared" si="1"/>
        <v>0</v>
      </c>
      <c r="Q49" s="63">
        <f t="shared" si="2"/>
        <v>0</v>
      </c>
    </row>
    <row r="50" spans="2:17">
      <c r="B50" s="10">
        <v>35</v>
      </c>
      <c r="C50" s="12">
        <f>MAESTRO!D39</f>
        <v>0</v>
      </c>
      <c r="D50" s="17"/>
      <c r="E50" s="17"/>
      <c r="F50" s="52" t="e">
        <f>'PROM (Comercio 8°)'!AE39</f>
        <v>#DIV/0!</v>
      </c>
      <c r="G50" s="52" t="e">
        <f>'PROM (Comercio 8°)'!BM39</f>
        <v>#DIV/0!</v>
      </c>
      <c r="H50" s="52" t="e">
        <f>'PROM (Comercio 8°)'!CU39</f>
        <v>#DIV/0!</v>
      </c>
      <c r="I50" s="52" t="e">
        <f t="shared" si="0"/>
        <v>#DIV/0!</v>
      </c>
      <c r="J50" s="62">
        <f>'Asistencia (8°)'!BI37</f>
        <v>0</v>
      </c>
      <c r="K50" s="62">
        <f>'Asistencia (9°)'!BJ37</f>
        <v>0</v>
      </c>
      <c r="L50" s="62">
        <f>'Asistencia (8°)'!BJ37</f>
        <v>0</v>
      </c>
      <c r="M50" s="62">
        <f>'Asistencia (9°)'!BJ80</f>
        <v>0</v>
      </c>
      <c r="N50" s="62">
        <f>'Asistencia (9°)'!BI125</f>
        <v>0</v>
      </c>
      <c r="O50" s="62">
        <f>'Asistencia (9°)'!BJ125</f>
        <v>0</v>
      </c>
      <c r="P50" s="63">
        <f t="shared" si="1"/>
        <v>0</v>
      </c>
      <c r="Q50" s="63">
        <f t="shared" si="2"/>
        <v>0</v>
      </c>
    </row>
    <row r="51" spans="2:17">
      <c r="B51" s="10">
        <v>36</v>
      </c>
      <c r="C51" s="12">
        <f>MAESTRO!D40</f>
        <v>0</v>
      </c>
      <c r="D51" s="17"/>
      <c r="E51" s="17"/>
      <c r="F51" s="52" t="e">
        <f>'PROM (Comercio 8°)'!AE40</f>
        <v>#DIV/0!</v>
      </c>
      <c r="G51" s="52" t="e">
        <f>'PROM (Comercio 8°)'!BM40</f>
        <v>#DIV/0!</v>
      </c>
      <c r="H51" s="52" t="e">
        <f>'PROM (Comercio 8°)'!CU40</f>
        <v>#DIV/0!</v>
      </c>
      <c r="I51" s="52" t="e">
        <f t="shared" si="0"/>
        <v>#DIV/0!</v>
      </c>
      <c r="J51" s="62">
        <f>'Asistencia (8°)'!BI38</f>
        <v>0</v>
      </c>
      <c r="K51" s="62">
        <f>'Asistencia (9°)'!BJ38</f>
        <v>0</v>
      </c>
      <c r="L51" s="62">
        <f>'Asistencia (8°)'!BJ38</f>
        <v>0</v>
      </c>
      <c r="M51" s="62">
        <f>'Asistencia (9°)'!BJ81</f>
        <v>0</v>
      </c>
      <c r="N51" s="62">
        <f>'Asistencia (9°)'!BI126</f>
        <v>0</v>
      </c>
      <c r="O51" s="62">
        <f>'Asistencia (9°)'!BJ126</f>
        <v>0</v>
      </c>
      <c r="P51" s="63">
        <f t="shared" si="1"/>
        <v>0</v>
      </c>
      <c r="Q51" s="63">
        <f t="shared" si="2"/>
        <v>0</v>
      </c>
    </row>
    <row r="52" spans="2:17">
      <c r="B52" s="10">
        <v>37</v>
      </c>
      <c r="C52" s="12">
        <f>MAESTRO!D41</f>
        <v>0</v>
      </c>
      <c r="D52" s="17"/>
      <c r="E52" s="17"/>
      <c r="F52" s="52" t="e">
        <f>'PROM (Comercio 8°)'!AE41</f>
        <v>#DIV/0!</v>
      </c>
      <c r="G52" s="52" t="e">
        <f>'PROM (Comercio 8°)'!BM41</f>
        <v>#DIV/0!</v>
      </c>
      <c r="H52" s="52" t="e">
        <f>'PROM (Comercio 8°)'!CU41</f>
        <v>#DIV/0!</v>
      </c>
      <c r="I52" s="52" t="e">
        <f t="shared" si="0"/>
        <v>#DIV/0!</v>
      </c>
      <c r="J52" s="62">
        <f>'Asistencia (8°)'!BI39</f>
        <v>0</v>
      </c>
      <c r="K52" s="62">
        <f>'Asistencia (9°)'!BJ39</f>
        <v>0</v>
      </c>
      <c r="L52" s="62">
        <f>'Asistencia (8°)'!BJ39</f>
        <v>0</v>
      </c>
      <c r="M52" s="62">
        <f>'Asistencia (9°)'!BJ82</f>
        <v>0</v>
      </c>
      <c r="N52" s="62">
        <f>'Asistencia (9°)'!BI127</f>
        <v>0</v>
      </c>
      <c r="O52" s="62">
        <f>'Asistencia (9°)'!BJ127</f>
        <v>0</v>
      </c>
      <c r="P52" s="63">
        <f t="shared" si="1"/>
        <v>0</v>
      </c>
      <c r="Q52" s="63">
        <f t="shared" si="2"/>
        <v>0</v>
      </c>
    </row>
    <row r="53" spans="2:17">
      <c r="B53" s="10">
        <v>38</v>
      </c>
      <c r="C53" s="12">
        <f>MAESTRO!D42</f>
        <v>0</v>
      </c>
      <c r="D53" s="17"/>
      <c r="E53" s="17"/>
      <c r="F53" s="52"/>
      <c r="G53" s="52"/>
      <c r="H53" s="52"/>
      <c r="I53" s="52"/>
      <c r="J53" s="62">
        <f>'Asistencia (8°)'!BI40</f>
        <v>0</v>
      </c>
      <c r="K53" s="62"/>
      <c r="L53" s="62">
        <f>'Asistencia (8°)'!BJ40</f>
        <v>0</v>
      </c>
      <c r="M53" s="62"/>
      <c r="N53" s="62"/>
      <c r="O53" s="62"/>
      <c r="P53" s="63"/>
      <c r="Q53" s="63"/>
    </row>
    <row r="54" spans="2:17">
      <c r="B54" s="10">
        <v>39</v>
      </c>
      <c r="C54" s="12">
        <f>MAESTRO!D43</f>
        <v>0</v>
      </c>
      <c r="D54" s="17"/>
      <c r="E54" s="18"/>
      <c r="F54" s="52"/>
      <c r="G54" s="52"/>
      <c r="H54" s="52"/>
      <c r="I54" s="52"/>
      <c r="J54" s="62">
        <f>'Asistencia (8°)'!BI41</f>
        <v>0</v>
      </c>
      <c r="K54" s="62"/>
      <c r="L54" s="62">
        <f>'Asistencia (8°)'!BJ41</f>
        <v>0</v>
      </c>
      <c r="M54" s="62"/>
      <c r="N54" s="62"/>
      <c r="O54" s="62"/>
      <c r="P54" s="63"/>
      <c r="Q54" s="63"/>
    </row>
    <row r="55" spans="2:17">
      <c r="B55" s="10"/>
      <c r="C55" s="12">
        <f>MAESTRO!D44</f>
        <v>0</v>
      </c>
      <c r="D55" s="17"/>
      <c r="E55" s="18"/>
      <c r="F55" s="52"/>
      <c r="G55" s="52"/>
      <c r="H55" s="52"/>
      <c r="I55" s="52"/>
      <c r="J55" s="62">
        <f>'Asistencia (8°)'!BI42</f>
        <v>0</v>
      </c>
      <c r="K55" s="62"/>
      <c r="L55" s="62">
        <f>'Asistencia (8°)'!BJ42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0" priority="1" operator="lessThan">
      <formula>3</formula>
    </cfRule>
  </conditionalFormatting>
  <pageMargins left="0.25" right="4.9479166666666657E-2" top="0.75" bottom="0.75" header="0.3" footer="0.3"/>
  <pageSetup orientation="portrait" horizontalDpi="4294967293"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23">
    <tabColor rgb="FF9966CC"/>
  </sheetPr>
  <dimension ref="A1:EE49"/>
  <sheetViews>
    <sheetView view="pageLayout" zoomScale="80" zoomScaleNormal="100" zoomScalePageLayoutView="80" workbookViewId="0">
      <selection activeCell="H20" sqref="H20"/>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119</v>
      </c>
      <c r="BQ1" s="251"/>
      <c r="BR1" s="251"/>
      <c r="BS1" s="251"/>
      <c r="BT1" s="251"/>
      <c r="BU1" s="251"/>
      <c r="BV1" s="251"/>
      <c r="BW1" s="251"/>
      <c r="BX1" s="251"/>
      <c r="BY1" s="251"/>
      <c r="BZ1" s="251"/>
      <c r="CA1" s="251"/>
      <c r="CB1" s="251"/>
      <c r="CC1" s="251"/>
      <c r="CD1" s="251"/>
      <c r="CE1" s="251"/>
      <c r="CF1" s="241"/>
      <c r="CG1" s="263" t="s">
        <v>119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25"/>
      <c r="H4" s="25"/>
      <c r="I4" s="25"/>
      <c r="J4" s="25"/>
      <c r="K4" s="25"/>
      <c r="L4" s="25"/>
      <c r="M4" s="25"/>
      <c r="N4" s="25"/>
      <c r="O4" s="25"/>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5"/>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MAESTRO!D5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TRUNC(AVERAGE(AX5,BI5,BL5),1)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MAESTRO!D6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MAESTRO!D7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MAESTRO!D8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MAESTRO!D9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MAESTRO!D10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MAESTRO!D11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MAESTRO!D12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MAESTRO!D13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MAESTRO!D14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MAESTRO!D15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MAESTRO!D16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MAESTRO!D17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MAESTRO!D18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MAESTRO!D19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MAESTRO!D20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MAESTRO!D21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MAESTRO!D22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MAESTRO!D23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MAESTRO!D24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MAESTRO!D25</f>
        <v>0</v>
      </c>
      <c r="C25" s="103"/>
      <c r="D25" s="103"/>
      <c r="E25" s="103"/>
      <c r="F25" s="103"/>
      <c r="G25" s="103"/>
      <c r="H25" s="103"/>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MAESTRO!D26</f>
        <v>0</v>
      </c>
      <c r="C26" s="103"/>
      <c r="D26" s="103"/>
      <c r="E26" s="103"/>
      <c r="F26" s="103"/>
      <c r="G26" s="103"/>
      <c r="H26" s="103"/>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5"/>
      <c r="BT26" s="5"/>
      <c r="BU26" s="5"/>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MAESTRO!D27</f>
        <v>0</v>
      </c>
      <c r="C27" s="103"/>
      <c r="D27" s="103"/>
      <c r="E27" s="103"/>
      <c r="F27" s="103"/>
      <c r="G27" s="103"/>
      <c r="H27" s="103"/>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6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5"/>
      <c r="BT27" s="5"/>
      <c r="BU27" s="103"/>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MAESTRO!D28</f>
        <v>0</v>
      </c>
      <c r="C28" s="103"/>
      <c r="D28" s="103"/>
      <c r="E28" s="103"/>
      <c r="F28" s="103"/>
      <c r="G28" s="103"/>
      <c r="H28" s="103"/>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65"/>
      <c r="AM28" s="65"/>
      <c r="AN28" s="65"/>
      <c r="AO28" s="6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5"/>
      <c r="BT28" s="5"/>
      <c r="BU28" s="103"/>
      <c r="BV28" s="5"/>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MAESTRO!D29</f>
        <v>0</v>
      </c>
      <c r="C29" s="103"/>
      <c r="D29" s="103"/>
      <c r="E29" s="103"/>
      <c r="F29" s="103"/>
      <c r="G29" s="103"/>
      <c r="H29" s="103"/>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65"/>
      <c r="AL29" s="65"/>
      <c r="AM29" s="65"/>
      <c r="AN29" s="65"/>
      <c r="AO29" s="65"/>
      <c r="AP29" s="6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5"/>
      <c r="BT29" s="5"/>
      <c r="BU29" s="103"/>
      <c r="BV29" s="5"/>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MAESTRO!D30</f>
        <v>0</v>
      </c>
      <c r="C30" s="103"/>
      <c r="D30" s="103"/>
      <c r="E30" s="103"/>
      <c r="F30" s="103"/>
      <c r="G30" s="103"/>
      <c r="H30" s="103"/>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65"/>
      <c r="AL30" s="65"/>
      <c r="AM30" s="65"/>
      <c r="AN30" s="65"/>
      <c r="AO30" s="65"/>
      <c r="AP30" s="6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5"/>
      <c r="BT30" s="5"/>
      <c r="BU30" s="103"/>
      <c r="BV30" s="5"/>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MAESTRO!D31</f>
        <v>0</v>
      </c>
      <c r="C31" s="103"/>
      <c r="D31" s="103"/>
      <c r="E31" s="103"/>
      <c r="F31" s="103"/>
      <c r="G31" s="103"/>
      <c r="H31" s="103"/>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65"/>
      <c r="AL31" s="65"/>
      <c r="AM31" s="65"/>
      <c r="AN31" s="65"/>
      <c r="AO31" s="65"/>
      <c r="AP31" s="6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5"/>
      <c r="BT31" s="5"/>
      <c r="BU31" s="103"/>
      <c r="BV31" s="5"/>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MAESTRO!D32</f>
        <v>0</v>
      </c>
      <c r="C32" s="103"/>
      <c r="D32" s="103"/>
      <c r="E32" s="103"/>
      <c r="F32" s="103"/>
      <c r="G32" s="103"/>
      <c r="H32" s="103"/>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105"/>
      <c r="AP32" s="105"/>
      <c r="AQ32" s="10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5"/>
      <c r="BT32" s="5"/>
      <c r="BU32" s="103"/>
      <c r="BV32" s="5"/>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MAESTRO!D33</f>
        <v>0</v>
      </c>
      <c r="C33" s="103"/>
      <c r="D33" s="103"/>
      <c r="E33" s="103"/>
      <c r="F33" s="103"/>
      <c r="G33" s="103"/>
      <c r="H33" s="103"/>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105"/>
      <c r="AP33" s="105"/>
      <c r="AQ33" s="10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103"/>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MAESTRO!D34</f>
        <v>0</v>
      </c>
      <c r="C34" s="103"/>
      <c r="D34" s="103"/>
      <c r="E34" s="103"/>
      <c r="F34" s="103"/>
      <c r="G34" s="103"/>
      <c r="H34" s="103"/>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105"/>
      <c r="AP34" s="105"/>
      <c r="AQ34" s="10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103"/>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MAESTRO!D35</f>
        <v>0</v>
      </c>
      <c r="C35" s="103"/>
      <c r="D35" s="103"/>
      <c r="E35" s="103"/>
      <c r="F35" s="103"/>
      <c r="G35" s="103"/>
      <c r="H35" s="103"/>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105"/>
      <c r="AP35" s="105"/>
      <c r="AQ35" s="10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103"/>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MAESTRO!D36</f>
        <v>0</v>
      </c>
      <c r="C36" s="103"/>
      <c r="D36" s="103"/>
      <c r="E36" s="103"/>
      <c r="F36" s="103"/>
      <c r="G36" s="103"/>
      <c r="H36" s="103"/>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105"/>
      <c r="AQ36" s="10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103"/>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MAESTRO!D37</f>
        <v>0</v>
      </c>
      <c r="C37" s="103"/>
      <c r="D37" s="103"/>
      <c r="E37" s="103"/>
      <c r="F37" s="103"/>
      <c r="G37" s="103"/>
      <c r="H37" s="103"/>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105"/>
      <c r="AQ37" s="10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103"/>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MAESTRO!D38</f>
        <v>0</v>
      </c>
      <c r="C38" s="103"/>
      <c r="D38" s="103"/>
      <c r="E38" s="103"/>
      <c r="F38" s="103"/>
      <c r="G38" s="103"/>
      <c r="H38" s="103"/>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105"/>
      <c r="AQ38" s="10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103"/>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MAESTRO!D39</f>
        <v>0</v>
      </c>
      <c r="C39" s="103"/>
      <c r="D39" s="103"/>
      <c r="E39" s="103"/>
      <c r="F39" s="103"/>
      <c r="G39" s="103"/>
      <c r="H39" s="103"/>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105"/>
      <c r="AQ39" s="10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103"/>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MAESTRO!D40</f>
        <v>0</v>
      </c>
      <c r="C40" s="103"/>
      <c r="D40" s="103"/>
      <c r="E40" s="103"/>
      <c r="F40" s="103"/>
      <c r="G40" s="103"/>
      <c r="H40" s="103"/>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105"/>
      <c r="AQ40" s="10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103"/>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MAESTRO!D41</f>
        <v>0</v>
      </c>
      <c r="C41" s="103"/>
      <c r="D41" s="103"/>
      <c r="E41" s="103"/>
      <c r="F41" s="103"/>
      <c r="G41" s="103"/>
      <c r="H41" s="103"/>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105"/>
      <c r="AQ41" s="10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103"/>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MAESTRO!D42</f>
        <v>0</v>
      </c>
      <c r="C42" s="103"/>
      <c r="D42" s="103"/>
      <c r="E42" s="103"/>
      <c r="F42" s="103"/>
      <c r="G42" s="103"/>
      <c r="H42" s="103"/>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105"/>
      <c r="AQ42" s="10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103"/>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MAESTRO!D43</f>
        <v>0</v>
      </c>
      <c r="C43" s="103"/>
      <c r="D43" s="103"/>
      <c r="E43" s="103"/>
      <c r="F43" s="103"/>
      <c r="G43" s="103"/>
      <c r="H43" s="103"/>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105"/>
      <c r="AQ43" s="10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103"/>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MAESTRO!D44</f>
        <v>0</v>
      </c>
      <c r="C44" s="103"/>
      <c r="D44" s="103"/>
      <c r="E44" s="103"/>
      <c r="F44" s="103"/>
      <c r="G44" s="103"/>
      <c r="H44" s="103"/>
      <c r="I44" s="9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105"/>
      <c r="AQ44" s="105"/>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103"/>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103"/>
      <c r="G45" s="103"/>
      <c r="H45" s="103"/>
      <c r="I45" s="9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105"/>
      <c r="AQ45" s="105"/>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103"/>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103"/>
      <c r="G46" s="103"/>
      <c r="H46" s="103"/>
      <c r="I46" s="9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105"/>
      <c r="AQ46" s="105"/>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103"/>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103"/>
      <c r="G47" s="103"/>
      <c r="H47" s="103"/>
      <c r="I47" s="9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105"/>
      <c r="AQ47" s="105"/>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103"/>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103"/>
      <c r="G48" s="103"/>
      <c r="H48" s="103"/>
      <c r="I48" s="9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105"/>
      <c r="AQ48" s="105"/>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103"/>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4"/>
      <c r="E49" s="93"/>
      <c r="F49" s="93"/>
      <c r="G49" s="93"/>
      <c r="H49" s="93"/>
      <c r="I49" s="93"/>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53"/>
      <c r="AN49" s="53"/>
      <c r="AO49" s="53"/>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95"/>
      <c r="BU49" s="95"/>
      <c r="BV49" s="95"/>
      <c r="BW49" s="5"/>
      <c r="BX49" s="5"/>
      <c r="BY49" s="5"/>
      <c r="BZ49" s="5"/>
      <c r="CA49" s="5"/>
      <c r="CB49" s="5"/>
      <c r="CC49" s="5"/>
      <c r="CD49" s="5"/>
      <c r="CE49" s="5"/>
      <c r="CF49" s="5" t="e">
        <f>TRUNC(AVERAGE(BS49:CE49),1)</f>
        <v>#DIV/0!</v>
      </c>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2">
    <mergeCell ref="A2:P2"/>
    <mergeCell ref="R2:AG2"/>
    <mergeCell ref="AI9:AJ9"/>
    <mergeCell ref="CY10:CZ10"/>
    <mergeCell ref="DO2:EE2"/>
    <mergeCell ref="AI3:AJ4"/>
    <mergeCell ref="BQ26:BR26"/>
    <mergeCell ref="A3:A4"/>
    <mergeCell ref="CY29:CZ29"/>
    <mergeCell ref="R3:Z3"/>
    <mergeCell ref="BQ16:BR16"/>
    <mergeCell ref="CY16:CZ16"/>
    <mergeCell ref="BQ25:BR25"/>
    <mergeCell ref="BP2:CF2"/>
    <mergeCell ref="CX2:DN2"/>
    <mergeCell ref="AI20:AJ20"/>
    <mergeCell ref="CY9:CZ9"/>
    <mergeCell ref="AA3:AA4"/>
    <mergeCell ref="CY20:CZ20"/>
    <mergeCell ref="AK3:AW3"/>
    <mergeCell ref="AI22:AJ22"/>
    <mergeCell ref="BQ11:BR11"/>
    <mergeCell ref="AI12:AJ12"/>
    <mergeCell ref="AI21:AJ21"/>
    <mergeCell ref="CY22:CZ22"/>
    <mergeCell ref="ED3:EE4"/>
    <mergeCell ref="AI8:AJ8"/>
    <mergeCell ref="CX3:CX4"/>
    <mergeCell ref="AI17:AJ17"/>
    <mergeCell ref="BQ40:BR40"/>
    <mergeCell ref="CY28:CZ28"/>
    <mergeCell ref="BQ37:BR37"/>
    <mergeCell ref="CY37:CZ37"/>
    <mergeCell ref="AI10:AJ10"/>
    <mergeCell ref="BQ24:BR24"/>
    <mergeCell ref="CR3:CS4"/>
    <mergeCell ref="AI19:AJ19"/>
    <mergeCell ref="CY24:CZ24"/>
    <mergeCell ref="AI36:AJ36"/>
    <mergeCell ref="AI31:AJ31"/>
    <mergeCell ref="AI37:AJ37"/>
    <mergeCell ref="CY35:CZ35"/>
    <mergeCell ref="CY31:CZ31"/>
    <mergeCell ref="CY34:CZ34"/>
    <mergeCell ref="AI23:AJ23"/>
    <mergeCell ref="DZ3:EA4"/>
    <mergeCell ref="BQ17:BR17"/>
    <mergeCell ref="CY17:CZ17"/>
    <mergeCell ref="CG1:CW1"/>
    <mergeCell ref="DN3:DN4"/>
    <mergeCell ref="AI47:AJ47"/>
    <mergeCell ref="BQ14:BR14"/>
    <mergeCell ref="CY32:CZ32"/>
    <mergeCell ref="BQ39:BR39"/>
    <mergeCell ref="BN3:BO4"/>
    <mergeCell ref="CY42:CZ42"/>
    <mergeCell ref="AH3:AH4"/>
    <mergeCell ref="CY47:CZ47"/>
    <mergeCell ref="BQ38:BR38"/>
    <mergeCell ref="AH1:AX1"/>
    <mergeCell ref="AI45:AJ45"/>
    <mergeCell ref="CY45:CZ45"/>
    <mergeCell ref="BQ42:BR42"/>
    <mergeCell ref="BQ43:BR43"/>
    <mergeCell ref="AY1:BO1"/>
    <mergeCell ref="CY46:CZ46"/>
    <mergeCell ref="AI29:AJ29"/>
    <mergeCell ref="CG3:CP3"/>
    <mergeCell ref="BQ18:BR18"/>
    <mergeCell ref="BQ27:BR27"/>
    <mergeCell ref="BQ8:BR8"/>
    <mergeCell ref="CY8:CZ8"/>
    <mergeCell ref="A1:P1"/>
    <mergeCell ref="CY3:CZ4"/>
    <mergeCell ref="AI7:AJ7"/>
    <mergeCell ref="CY12:CZ12"/>
    <mergeCell ref="BQ21:BR21"/>
    <mergeCell ref="AI16:AJ16"/>
    <mergeCell ref="CY21:CZ21"/>
    <mergeCell ref="CV3:CW4"/>
    <mergeCell ref="CY41:CZ41"/>
    <mergeCell ref="BQ23:BR23"/>
    <mergeCell ref="AI18:AJ18"/>
    <mergeCell ref="CY23:CZ23"/>
    <mergeCell ref="CY13:CZ13"/>
    <mergeCell ref="BQ7:BR7"/>
    <mergeCell ref="CY7:CZ7"/>
    <mergeCell ref="AI33:AJ33"/>
    <mergeCell ref="CY40:CZ40"/>
    <mergeCell ref="CY27:CZ27"/>
    <mergeCell ref="AE3:AE4"/>
    <mergeCell ref="AI34:AJ34"/>
    <mergeCell ref="BQ34:BR34"/>
    <mergeCell ref="AI28:AJ28"/>
    <mergeCell ref="BI3:BI4"/>
    <mergeCell ref="CQ3:CQ4"/>
    <mergeCell ref="R1:AG1"/>
    <mergeCell ref="CY6:CZ6"/>
    <mergeCell ref="AX3:AX4"/>
    <mergeCell ref="BS3:CE3"/>
    <mergeCell ref="DA3:DM3"/>
    <mergeCell ref="CY15:CZ15"/>
    <mergeCell ref="CY44:CZ44"/>
    <mergeCell ref="CG2:CW2"/>
    <mergeCell ref="BQ31:BR31"/>
    <mergeCell ref="AI26:AJ26"/>
    <mergeCell ref="AF3:AG4"/>
    <mergeCell ref="AI43:AJ43"/>
    <mergeCell ref="AI42:AJ42"/>
    <mergeCell ref="CY43:CZ43"/>
    <mergeCell ref="AI44:AJ44"/>
    <mergeCell ref="BQ36:BR36"/>
    <mergeCell ref="AI30:AJ30"/>
    <mergeCell ref="BQ33:BR33"/>
    <mergeCell ref="AI6:AJ6"/>
    <mergeCell ref="AI11:AJ11"/>
    <mergeCell ref="AY3:BH3"/>
    <mergeCell ref="BQ20:BR20"/>
    <mergeCell ref="CY25:CZ25"/>
    <mergeCell ref="CY30:CZ30"/>
    <mergeCell ref="CY49:CZ49"/>
    <mergeCell ref="BP3:BP4"/>
    <mergeCell ref="BQ5:BR5"/>
    <mergeCell ref="AU44:AV44"/>
    <mergeCell ref="AI40:AJ40"/>
    <mergeCell ref="AI15:AJ15"/>
    <mergeCell ref="BQ29:BR29"/>
    <mergeCell ref="AI24:AJ24"/>
    <mergeCell ref="AB3:AC4"/>
    <mergeCell ref="BQ46:BR46"/>
    <mergeCell ref="BQ48:BR48"/>
    <mergeCell ref="BQ49:BR49"/>
    <mergeCell ref="BQ35:BR35"/>
    <mergeCell ref="CY5:CZ5"/>
    <mergeCell ref="BQ22:BR22"/>
    <mergeCell ref="BQ12:BR12"/>
    <mergeCell ref="AI32:AJ32"/>
    <mergeCell ref="CY11:CZ11"/>
    <mergeCell ref="AI46:AJ46"/>
    <mergeCell ref="AD3:AD4"/>
    <mergeCell ref="BL3:BL4"/>
    <mergeCell ref="AI49:AJ49"/>
    <mergeCell ref="AI48:AJ48"/>
    <mergeCell ref="BQ9:BR9"/>
    <mergeCell ref="B3:B4"/>
    <mergeCell ref="AI38:AJ38"/>
    <mergeCell ref="CY39:CZ39"/>
    <mergeCell ref="BQ3:BR4"/>
    <mergeCell ref="CY36:CZ36"/>
    <mergeCell ref="CY18:CZ18"/>
    <mergeCell ref="C3:O3"/>
    <mergeCell ref="P3:P4"/>
    <mergeCell ref="CY48:CZ48"/>
    <mergeCell ref="BQ30:BR30"/>
    <mergeCell ref="BJ3:BK4"/>
    <mergeCell ref="BQ45:BR45"/>
    <mergeCell ref="AI14:AJ14"/>
    <mergeCell ref="CF3:CF4"/>
    <mergeCell ref="BQ32:BR32"/>
    <mergeCell ref="AI27:AJ27"/>
    <mergeCell ref="AI41:AJ41"/>
    <mergeCell ref="BQ41:BR41"/>
    <mergeCell ref="AI35:AJ35"/>
    <mergeCell ref="CT3:CT4"/>
    <mergeCell ref="BQ47:BR47"/>
    <mergeCell ref="AI25:AJ25"/>
    <mergeCell ref="CY26:CZ26"/>
    <mergeCell ref="CU3:CU4"/>
    <mergeCell ref="AI13:AJ13"/>
    <mergeCell ref="BQ13:BR13"/>
    <mergeCell ref="BQ44:BR44"/>
    <mergeCell ref="DO1:EE1"/>
    <mergeCell ref="CY33:CZ33"/>
    <mergeCell ref="BQ6:BR6"/>
    <mergeCell ref="BQ15:BR15"/>
    <mergeCell ref="DY3:DY4"/>
    <mergeCell ref="CY14:CZ14"/>
    <mergeCell ref="EB3:EB4"/>
    <mergeCell ref="AY2:BO2"/>
    <mergeCell ref="CX1:DN1"/>
    <mergeCell ref="BP1:CF1"/>
    <mergeCell ref="AH2:AX2"/>
    <mergeCell ref="CY38:CZ38"/>
    <mergeCell ref="BQ10:BR10"/>
    <mergeCell ref="AI5:AJ5"/>
    <mergeCell ref="BM3:BM4"/>
    <mergeCell ref="AI39:AJ39"/>
    <mergeCell ref="CY19:CZ19"/>
    <mergeCell ref="BQ19:BR19"/>
    <mergeCell ref="BQ28:BR28"/>
    <mergeCell ref="DO3:DX3"/>
    <mergeCell ref="EC3:EC4"/>
  </mergeCells>
  <conditionalFormatting sqref="AE1:AE41 AE50:AE1048576">
    <cfRule type="cellIs" dxfId="9" priority="1" operator="lessThan">
      <formula>3</formula>
    </cfRule>
  </conditionalFormatting>
  <pageMargins left="0.7" right="0.7" top="0.75" bottom="0.75" header="0.3" footer="0.3"/>
  <pageSetup orientation="portrait" horizontalDpi="4294967293" r:id="rId1"/>
  <headerFooter>
    <oddHeader>&amp;LAGROPECUARIA &amp;CGRUPO 8°</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24">
    <tabColor rgb="FFBB99EE"/>
  </sheetPr>
  <dimension ref="B3:Q58"/>
  <sheetViews>
    <sheetView view="pageLayout" zoomScale="70" zoomScaleNormal="100" zoomScalePageLayoutView="70" workbookViewId="0">
      <selection activeCell="S8" sqref="S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121</v>
      </c>
      <c r="M9" s="251"/>
      <c r="N9" s="251"/>
      <c r="O9" s="251"/>
      <c r="P9" s="251"/>
      <c r="Q9" s="241"/>
    </row>
    <row r="10" spans="2:17">
      <c r="B10" s="291" t="s">
        <v>104</v>
      </c>
      <c r="C10" s="241"/>
      <c r="D10" s="286" t="s">
        <v>122</v>
      </c>
      <c r="E10" s="251"/>
      <c r="F10" s="251"/>
      <c r="G10" s="241"/>
      <c r="H10" s="13"/>
      <c r="I10" s="49"/>
      <c r="J10" s="13"/>
      <c r="K10" s="13"/>
      <c r="L10" s="13"/>
      <c r="M10" s="13"/>
      <c r="N10" s="13"/>
      <c r="O10" s="13"/>
      <c r="P10" s="13"/>
      <c r="Q10" s="13"/>
    </row>
    <row r="11" spans="2:17">
      <c r="B11" s="282" t="s">
        <v>106</v>
      </c>
      <c r="C11" s="241"/>
      <c r="D11" s="284" t="s">
        <v>5</v>
      </c>
      <c r="E11" s="248"/>
      <c r="F11" s="15"/>
      <c r="G11" s="13"/>
      <c r="H11" s="13"/>
      <c r="I11" s="282" t="s">
        <v>108</v>
      </c>
      <c r="J11" s="251"/>
      <c r="K11" s="241"/>
      <c r="L11" s="290" t="s">
        <v>123</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MAESTRO!D5</f>
        <v>0</v>
      </c>
      <c r="D16" s="17"/>
      <c r="E16" s="17"/>
      <c r="F16" s="52" t="e">
        <f>'PROM (Agropecuaria 8°)'!AE5</f>
        <v>#DIV/0!</v>
      </c>
      <c r="G16" s="52" t="e">
        <f>'PROM (Agropecuaria 8°)'!BM5</f>
        <v>#DIV/0!</v>
      </c>
      <c r="H16" s="52" t="e">
        <f>'PROM (Agropecuaria 8°)'!CU5</f>
        <v>#DIV/0!</v>
      </c>
      <c r="I16" s="52" t="e">
        <f t="shared" ref="I16:I52" si="0">TRUNC(AVERAGE(F16:H16),1)</f>
        <v>#DIV/0!</v>
      </c>
      <c r="J16" s="62">
        <f>'Asistencia (8°)'!BI3</f>
        <v>0</v>
      </c>
      <c r="K16" s="62">
        <f>'Asistencia (9°)'!BJ3</f>
        <v>0</v>
      </c>
      <c r="L16" s="62">
        <f>'Asistencia (8°)'!BJ3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MAESTRO!D6</f>
        <v>0</v>
      </c>
      <c r="D17" s="17"/>
      <c r="E17" s="17"/>
      <c r="F17" s="52" t="e">
        <f>'PROM (Agropecuaria 8°)'!AE6</f>
        <v>#DIV/0!</v>
      </c>
      <c r="G17" s="52" t="e">
        <f>'PROM (Agropecuaria 8°)'!BM6</f>
        <v>#DIV/0!</v>
      </c>
      <c r="H17" s="52" t="e">
        <f>'PROM (Agropecuaria 8°)'!CU6</f>
        <v>#DIV/0!</v>
      </c>
      <c r="I17" s="52" t="e">
        <f t="shared" si="0"/>
        <v>#DIV/0!</v>
      </c>
      <c r="J17" s="62">
        <f>'Asistencia (8°)'!BI4</f>
        <v>0</v>
      </c>
      <c r="K17" s="62">
        <f>'Asistencia (9°)'!BJ4</f>
        <v>0</v>
      </c>
      <c r="L17" s="62">
        <f>'Asistencia (8°)'!BJ4</f>
        <v>0</v>
      </c>
      <c r="M17" s="62">
        <f>'Asistencia (9°)'!BJ47</f>
        <v>0</v>
      </c>
      <c r="N17" s="62">
        <f>'Asistencia (9°)'!BI92</f>
        <v>0</v>
      </c>
      <c r="O17" s="62">
        <f>'Asistencia (9°)'!BJ92</f>
        <v>0</v>
      </c>
      <c r="P17" s="63">
        <f t="shared" si="1"/>
        <v>0</v>
      </c>
      <c r="Q17" s="63">
        <f t="shared" si="2"/>
        <v>0</v>
      </c>
    </row>
    <row r="18" spans="2:17">
      <c r="B18" s="10">
        <v>3</v>
      </c>
      <c r="C18" s="12">
        <f>MAESTRO!D7</f>
        <v>0</v>
      </c>
      <c r="D18" s="17"/>
      <c r="E18" s="17"/>
      <c r="F18" s="52" t="e">
        <f>'PROM (Agropecuaria 8°)'!AE7</f>
        <v>#DIV/0!</v>
      </c>
      <c r="G18" s="52" t="e">
        <f>'PROM (Agropecuaria 8°)'!BM7</f>
        <v>#DIV/0!</v>
      </c>
      <c r="H18" s="52" t="e">
        <f>'PROM (Agropecuaria 8°)'!CU7</f>
        <v>#DIV/0!</v>
      </c>
      <c r="I18" s="52" t="e">
        <f t="shared" si="0"/>
        <v>#DIV/0!</v>
      </c>
      <c r="J18" s="62">
        <f>'Asistencia (8°)'!BI5</f>
        <v>0</v>
      </c>
      <c r="K18" s="62">
        <f>'Asistencia (9°)'!BJ5</f>
        <v>0</v>
      </c>
      <c r="L18" s="62">
        <f>'Asistencia (8°)'!BJ5</f>
        <v>0</v>
      </c>
      <c r="M18" s="62">
        <f>'Asistencia (9°)'!BJ48</f>
        <v>0</v>
      </c>
      <c r="N18" s="62">
        <f>'Asistencia (9°)'!BI93</f>
        <v>0</v>
      </c>
      <c r="O18" s="62">
        <f>'Asistencia (9°)'!BJ93</f>
        <v>0</v>
      </c>
      <c r="P18" s="63">
        <f t="shared" si="1"/>
        <v>0</v>
      </c>
      <c r="Q18" s="63">
        <f t="shared" si="2"/>
        <v>0</v>
      </c>
    </row>
    <row r="19" spans="2:17">
      <c r="B19" s="10">
        <v>4</v>
      </c>
      <c r="C19" s="12">
        <f>MAESTRO!D8</f>
        <v>0</v>
      </c>
      <c r="D19" s="17"/>
      <c r="E19" s="17"/>
      <c r="F19" s="52" t="e">
        <f>'PROM (Agropecuaria 8°)'!AE8</f>
        <v>#DIV/0!</v>
      </c>
      <c r="G19" s="52" t="e">
        <f>'PROM (Agropecuaria 8°)'!BM8</f>
        <v>#DIV/0!</v>
      </c>
      <c r="H19" s="52" t="e">
        <f>'PROM (Agropecuaria 8°)'!CU8</f>
        <v>#DIV/0!</v>
      </c>
      <c r="I19" s="52" t="e">
        <f t="shared" si="0"/>
        <v>#DIV/0!</v>
      </c>
      <c r="J19" s="62">
        <f>'Asistencia (8°)'!BI6</f>
        <v>0</v>
      </c>
      <c r="K19" s="62">
        <f>'Asistencia (9°)'!BJ6</f>
        <v>0</v>
      </c>
      <c r="L19" s="62">
        <f>'Asistencia (8°)'!BJ6</f>
        <v>0</v>
      </c>
      <c r="M19" s="62">
        <f>'Asistencia (9°)'!BJ49</f>
        <v>0</v>
      </c>
      <c r="N19" s="62">
        <f>'Asistencia (9°)'!BI94</f>
        <v>0</v>
      </c>
      <c r="O19" s="62">
        <f>'Asistencia (9°)'!BJ94</f>
        <v>0</v>
      </c>
      <c r="P19" s="63">
        <f t="shared" si="1"/>
        <v>0</v>
      </c>
      <c r="Q19" s="63">
        <f t="shared" si="2"/>
        <v>0</v>
      </c>
    </row>
    <row r="20" spans="2:17">
      <c r="B20" s="10">
        <v>5</v>
      </c>
      <c r="C20" s="12">
        <f>MAESTRO!D9</f>
        <v>0</v>
      </c>
      <c r="D20" s="17"/>
      <c r="E20" s="17"/>
      <c r="F20" s="52" t="e">
        <f>'PROM (Agropecuaria 8°)'!AE9</f>
        <v>#DIV/0!</v>
      </c>
      <c r="G20" s="52" t="e">
        <f>'PROM (Agropecuaria 8°)'!BM9</f>
        <v>#DIV/0!</v>
      </c>
      <c r="H20" s="52" t="e">
        <f>'PROM (Agropecuaria 8°)'!CU9</f>
        <v>#DIV/0!</v>
      </c>
      <c r="I20" s="52" t="e">
        <f t="shared" si="0"/>
        <v>#DIV/0!</v>
      </c>
      <c r="J20" s="62">
        <f>'Asistencia (8°)'!BI7</f>
        <v>0</v>
      </c>
      <c r="K20" s="62">
        <f>'Asistencia (9°)'!BJ7</f>
        <v>0</v>
      </c>
      <c r="L20" s="62">
        <f>'Asistencia (8°)'!BJ7</f>
        <v>0</v>
      </c>
      <c r="M20" s="62">
        <f>'Asistencia (9°)'!BJ50</f>
        <v>0</v>
      </c>
      <c r="N20" s="62">
        <f>'Asistencia (9°)'!BI95</f>
        <v>0</v>
      </c>
      <c r="O20" s="62">
        <f>'Asistencia (9°)'!BJ95</f>
        <v>0</v>
      </c>
      <c r="P20" s="63">
        <f t="shared" si="1"/>
        <v>0</v>
      </c>
      <c r="Q20" s="63">
        <f t="shared" si="2"/>
        <v>0</v>
      </c>
    </row>
    <row r="21" spans="2:17">
      <c r="B21" s="10">
        <v>6</v>
      </c>
      <c r="C21" s="12">
        <f>MAESTRO!D10</f>
        <v>0</v>
      </c>
      <c r="D21" s="17"/>
      <c r="E21" s="17"/>
      <c r="F21" s="52" t="e">
        <f>'PROM (Agropecuaria 8°)'!AE10</f>
        <v>#DIV/0!</v>
      </c>
      <c r="G21" s="52" t="e">
        <f>'PROM (Agropecuaria 8°)'!BM10</f>
        <v>#DIV/0!</v>
      </c>
      <c r="H21" s="52" t="e">
        <f>'PROM (Agropecuaria 8°)'!CU10</f>
        <v>#DIV/0!</v>
      </c>
      <c r="I21" s="52" t="e">
        <f t="shared" si="0"/>
        <v>#DIV/0!</v>
      </c>
      <c r="J21" s="62">
        <f>'Asistencia (8°)'!BI8</f>
        <v>0</v>
      </c>
      <c r="K21" s="62">
        <f>'Asistencia (9°)'!BJ8</f>
        <v>0</v>
      </c>
      <c r="L21" s="62">
        <f>'Asistencia (8°)'!BJ8</f>
        <v>0</v>
      </c>
      <c r="M21" s="62">
        <f>'Asistencia (9°)'!BJ51</f>
        <v>0</v>
      </c>
      <c r="N21" s="62">
        <f>'Asistencia (9°)'!BI96</f>
        <v>0</v>
      </c>
      <c r="O21" s="62">
        <f>'Asistencia (9°)'!BJ96</f>
        <v>0</v>
      </c>
      <c r="P21" s="63">
        <f t="shared" si="1"/>
        <v>0</v>
      </c>
      <c r="Q21" s="63">
        <f t="shared" si="2"/>
        <v>0</v>
      </c>
    </row>
    <row r="22" spans="2:17">
      <c r="B22" s="10">
        <v>7</v>
      </c>
      <c r="C22" s="12">
        <f>MAESTRO!D11</f>
        <v>0</v>
      </c>
      <c r="D22" s="17"/>
      <c r="E22" s="17"/>
      <c r="F22" s="52" t="e">
        <f>'PROM (Agropecuaria 8°)'!AE11</f>
        <v>#DIV/0!</v>
      </c>
      <c r="G22" s="52" t="e">
        <f>'PROM (Agropecuaria 8°)'!BM11</f>
        <v>#DIV/0!</v>
      </c>
      <c r="H22" s="52" t="e">
        <f>'PROM (Agropecuaria 8°)'!CU11</f>
        <v>#DIV/0!</v>
      </c>
      <c r="I22" s="52" t="e">
        <f t="shared" si="0"/>
        <v>#DIV/0!</v>
      </c>
      <c r="J22" s="62">
        <f>'Asistencia (8°)'!BI9</f>
        <v>0</v>
      </c>
      <c r="K22" s="62">
        <f>'Asistencia (9°)'!BJ9</f>
        <v>0</v>
      </c>
      <c r="L22" s="62">
        <f>'Asistencia (8°)'!BJ9</f>
        <v>0</v>
      </c>
      <c r="M22" s="62">
        <f>'Asistencia (9°)'!BJ52</f>
        <v>0</v>
      </c>
      <c r="N22" s="62">
        <f>'Asistencia (9°)'!BI97</f>
        <v>0</v>
      </c>
      <c r="O22" s="62">
        <f>'Asistencia (9°)'!BJ97</f>
        <v>0</v>
      </c>
      <c r="P22" s="63">
        <f t="shared" si="1"/>
        <v>0</v>
      </c>
      <c r="Q22" s="63">
        <f t="shared" si="2"/>
        <v>0</v>
      </c>
    </row>
    <row r="23" spans="2:17">
      <c r="B23" s="10">
        <v>8</v>
      </c>
      <c r="C23" s="12">
        <f>MAESTRO!D12</f>
        <v>0</v>
      </c>
      <c r="D23" s="17"/>
      <c r="E23" s="17"/>
      <c r="F23" s="52" t="e">
        <f>'PROM (Agropecuaria 8°)'!AE12</f>
        <v>#DIV/0!</v>
      </c>
      <c r="G23" s="52" t="e">
        <f>'PROM (Agropecuaria 8°)'!BM12</f>
        <v>#DIV/0!</v>
      </c>
      <c r="H23" s="52" t="e">
        <f>'PROM (Agropecuaria 8°)'!CU12</f>
        <v>#DIV/0!</v>
      </c>
      <c r="I23" s="52" t="e">
        <f t="shared" si="0"/>
        <v>#DIV/0!</v>
      </c>
      <c r="J23" s="62">
        <f>'Asistencia (8°)'!BI10</f>
        <v>0</v>
      </c>
      <c r="K23" s="62">
        <f>'Asistencia (9°)'!BJ10</f>
        <v>0</v>
      </c>
      <c r="L23" s="62">
        <f>'Asistencia (8°)'!BJ10</f>
        <v>0</v>
      </c>
      <c r="M23" s="62">
        <f>'Asistencia (9°)'!BJ53</f>
        <v>0</v>
      </c>
      <c r="N23" s="62">
        <f>'Asistencia (9°)'!BI98</f>
        <v>0</v>
      </c>
      <c r="O23" s="62">
        <f>'Asistencia (9°)'!BJ98</f>
        <v>0</v>
      </c>
      <c r="P23" s="63">
        <f t="shared" si="1"/>
        <v>0</v>
      </c>
      <c r="Q23" s="63">
        <f t="shared" si="2"/>
        <v>0</v>
      </c>
    </row>
    <row r="24" spans="2:17">
      <c r="B24" s="10">
        <v>9</v>
      </c>
      <c r="C24" s="12">
        <f>MAESTRO!D13</f>
        <v>0</v>
      </c>
      <c r="D24" s="17"/>
      <c r="E24" s="17"/>
      <c r="F24" s="52" t="e">
        <f>'PROM (Agropecuaria 8°)'!AE13</f>
        <v>#DIV/0!</v>
      </c>
      <c r="G24" s="52" t="e">
        <f>'PROM (Agropecuaria 8°)'!BM13</f>
        <v>#DIV/0!</v>
      </c>
      <c r="H24" s="52" t="e">
        <f>'PROM (Agropecuaria 8°)'!CU13</f>
        <v>#DIV/0!</v>
      </c>
      <c r="I24" s="52" t="e">
        <f t="shared" si="0"/>
        <v>#DIV/0!</v>
      </c>
      <c r="J24" s="62">
        <f>'Asistencia (8°)'!BI11</f>
        <v>0</v>
      </c>
      <c r="K24" s="62">
        <f>'Asistencia (9°)'!BJ11</f>
        <v>0</v>
      </c>
      <c r="L24" s="62">
        <f>'Asistencia (8°)'!BJ11</f>
        <v>0</v>
      </c>
      <c r="M24" s="62">
        <f>'Asistencia (9°)'!BJ54</f>
        <v>0</v>
      </c>
      <c r="N24" s="62">
        <f>'Asistencia (9°)'!BI99</f>
        <v>0</v>
      </c>
      <c r="O24" s="62">
        <f>'Asistencia (9°)'!BJ99</f>
        <v>0</v>
      </c>
      <c r="P24" s="63">
        <f t="shared" si="1"/>
        <v>0</v>
      </c>
      <c r="Q24" s="63">
        <f t="shared" si="2"/>
        <v>0</v>
      </c>
    </row>
    <row r="25" spans="2:17">
      <c r="B25" s="10">
        <v>10</v>
      </c>
      <c r="C25" s="12">
        <f>MAESTRO!D14</f>
        <v>0</v>
      </c>
      <c r="D25" s="17"/>
      <c r="E25" s="17"/>
      <c r="F25" s="52" t="e">
        <f>'PROM (Agropecuaria 8°)'!AE14</f>
        <v>#DIV/0!</v>
      </c>
      <c r="G25" s="52" t="e">
        <f>'PROM (Agropecuaria 8°)'!BM14</f>
        <v>#DIV/0!</v>
      </c>
      <c r="H25" s="52" t="e">
        <f>'PROM (Agropecuaria 8°)'!CU14</f>
        <v>#DIV/0!</v>
      </c>
      <c r="I25" s="52" t="e">
        <f t="shared" si="0"/>
        <v>#DIV/0!</v>
      </c>
      <c r="J25" s="62">
        <f>'Asistencia (8°)'!BI12</f>
        <v>0</v>
      </c>
      <c r="K25" s="62">
        <f>'Asistencia (9°)'!BJ12</f>
        <v>0</v>
      </c>
      <c r="L25" s="62">
        <f>'Asistencia (8°)'!BJ12</f>
        <v>0</v>
      </c>
      <c r="M25" s="62">
        <f>'Asistencia (9°)'!BJ55</f>
        <v>0</v>
      </c>
      <c r="N25" s="62">
        <f>'Asistencia (9°)'!BI100</f>
        <v>0</v>
      </c>
      <c r="O25" s="62">
        <f>'Asistencia (9°)'!BJ100</f>
        <v>0</v>
      </c>
      <c r="P25" s="63">
        <f t="shared" si="1"/>
        <v>0</v>
      </c>
      <c r="Q25" s="63">
        <f t="shared" si="2"/>
        <v>0</v>
      </c>
    </row>
    <row r="26" spans="2:17">
      <c r="B26" s="10">
        <v>11</v>
      </c>
      <c r="C26" s="12">
        <f>MAESTRO!D15</f>
        <v>0</v>
      </c>
      <c r="D26" s="17"/>
      <c r="E26" s="17"/>
      <c r="F26" s="52" t="e">
        <f>'PROM (Agropecuaria 8°)'!AE15</f>
        <v>#DIV/0!</v>
      </c>
      <c r="G26" s="52" t="e">
        <f>'PROM (Agropecuaria 8°)'!BM15</f>
        <v>#DIV/0!</v>
      </c>
      <c r="H26" s="52" t="e">
        <f>'PROM (Agropecuaria 8°)'!CU15</f>
        <v>#DIV/0!</v>
      </c>
      <c r="I26" s="52" t="e">
        <f t="shared" si="0"/>
        <v>#DIV/0!</v>
      </c>
      <c r="J26" s="62">
        <f>'Asistencia (8°)'!BI13</f>
        <v>0</v>
      </c>
      <c r="K26" s="62">
        <f>'Asistencia (9°)'!BJ13</f>
        <v>0</v>
      </c>
      <c r="L26" s="62">
        <f>'Asistencia (8°)'!BJ13</f>
        <v>0</v>
      </c>
      <c r="M26" s="62">
        <f>'Asistencia (9°)'!BJ56</f>
        <v>0</v>
      </c>
      <c r="N26" s="62">
        <f>'Asistencia (9°)'!BI101</f>
        <v>0</v>
      </c>
      <c r="O26" s="62">
        <f>'Asistencia (9°)'!BJ101</f>
        <v>0</v>
      </c>
      <c r="P26" s="63">
        <f t="shared" si="1"/>
        <v>0</v>
      </c>
      <c r="Q26" s="63">
        <f t="shared" si="2"/>
        <v>0</v>
      </c>
    </row>
    <row r="27" spans="2:17">
      <c r="B27" s="10">
        <v>12</v>
      </c>
      <c r="C27" s="12">
        <f>MAESTRO!D16</f>
        <v>0</v>
      </c>
      <c r="D27" s="17"/>
      <c r="E27" s="17"/>
      <c r="F27" s="52" t="e">
        <f>'PROM (Agropecuaria 8°)'!AE16</f>
        <v>#DIV/0!</v>
      </c>
      <c r="G27" s="52" t="e">
        <f>'PROM (Agropecuaria 8°)'!BM16</f>
        <v>#DIV/0!</v>
      </c>
      <c r="H27" s="52" t="e">
        <f>'PROM (Agropecuaria 8°)'!CU16</f>
        <v>#DIV/0!</v>
      </c>
      <c r="I27" s="52" t="e">
        <f t="shared" si="0"/>
        <v>#DIV/0!</v>
      </c>
      <c r="J27" s="62">
        <f>'Asistencia (8°)'!BI14</f>
        <v>0</v>
      </c>
      <c r="K27" s="62">
        <f>'Asistencia (9°)'!BJ14</f>
        <v>0</v>
      </c>
      <c r="L27" s="62">
        <f>'Asistencia (8°)'!BJ14</f>
        <v>0</v>
      </c>
      <c r="M27" s="62">
        <f>'Asistencia (9°)'!BJ57</f>
        <v>0</v>
      </c>
      <c r="N27" s="62">
        <f>'Asistencia (9°)'!BI102</f>
        <v>0</v>
      </c>
      <c r="O27" s="62">
        <f>'Asistencia (9°)'!BJ102</f>
        <v>0</v>
      </c>
      <c r="P27" s="63">
        <f t="shared" si="1"/>
        <v>0</v>
      </c>
      <c r="Q27" s="63">
        <f t="shared" si="2"/>
        <v>0</v>
      </c>
    </row>
    <row r="28" spans="2:17">
      <c r="B28" s="10">
        <v>13</v>
      </c>
      <c r="C28" s="12">
        <f>MAESTRO!D17</f>
        <v>0</v>
      </c>
      <c r="D28" s="17"/>
      <c r="E28" s="17"/>
      <c r="F28" s="52" t="e">
        <f>'PROM (Agropecuaria 8°)'!AE17</f>
        <v>#DIV/0!</v>
      </c>
      <c r="G28" s="52" t="e">
        <f>'PROM (Agropecuaria 8°)'!BM17</f>
        <v>#DIV/0!</v>
      </c>
      <c r="H28" s="52" t="e">
        <f>'PROM (Agropecuaria 8°)'!CU17</f>
        <v>#DIV/0!</v>
      </c>
      <c r="I28" s="52" t="e">
        <f t="shared" si="0"/>
        <v>#DIV/0!</v>
      </c>
      <c r="J28" s="62">
        <f>'Asistencia (8°)'!BI15</f>
        <v>0</v>
      </c>
      <c r="K28" s="62">
        <f>'Asistencia (9°)'!BJ15</f>
        <v>0</v>
      </c>
      <c r="L28" s="62">
        <f>'Asistencia (8°)'!BJ15</f>
        <v>0</v>
      </c>
      <c r="M28" s="62">
        <f>'Asistencia (9°)'!BJ58</f>
        <v>0</v>
      </c>
      <c r="N28" s="62">
        <f>'Asistencia (9°)'!BI103</f>
        <v>0</v>
      </c>
      <c r="O28" s="62">
        <f>'Asistencia (9°)'!BJ103</f>
        <v>0</v>
      </c>
      <c r="P28" s="63">
        <f t="shared" si="1"/>
        <v>0</v>
      </c>
      <c r="Q28" s="63">
        <f t="shared" si="2"/>
        <v>0</v>
      </c>
    </row>
    <row r="29" spans="2:17">
      <c r="B29" s="10">
        <v>14</v>
      </c>
      <c r="C29" s="12">
        <f>MAESTRO!D18</f>
        <v>0</v>
      </c>
      <c r="D29" s="17"/>
      <c r="E29" s="17"/>
      <c r="F29" s="52" t="e">
        <f>'PROM (Agropecuaria 8°)'!AE18</f>
        <v>#DIV/0!</v>
      </c>
      <c r="G29" s="52" t="e">
        <f>'PROM (Agropecuaria 8°)'!BM18</f>
        <v>#DIV/0!</v>
      </c>
      <c r="H29" s="52" t="e">
        <f>'PROM (Agropecuaria 8°)'!CU18</f>
        <v>#DIV/0!</v>
      </c>
      <c r="I29" s="52" t="e">
        <f t="shared" si="0"/>
        <v>#DIV/0!</v>
      </c>
      <c r="J29" s="62">
        <f>'Asistencia (8°)'!BI16</f>
        <v>0</v>
      </c>
      <c r="K29" s="62">
        <f>'Asistencia (9°)'!BJ16</f>
        <v>0</v>
      </c>
      <c r="L29" s="62">
        <f>'Asistencia (8°)'!BJ16</f>
        <v>0</v>
      </c>
      <c r="M29" s="62">
        <f>'Asistencia (9°)'!BJ59</f>
        <v>0</v>
      </c>
      <c r="N29" s="62">
        <f>'Asistencia (9°)'!BI104</f>
        <v>0</v>
      </c>
      <c r="O29" s="62">
        <f>'Asistencia (9°)'!BJ104</f>
        <v>0</v>
      </c>
      <c r="P29" s="63">
        <f t="shared" si="1"/>
        <v>0</v>
      </c>
      <c r="Q29" s="63">
        <f t="shared" si="2"/>
        <v>0</v>
      </c>
    </row>
    <row r="30" spans="2:17">
      <c r="B30" s="10">
        <v>15</v>
      </c>
      <c r="C30" s="12">
        <f>MAESTRO!D19</f>
        <v>0</v>
      </c>
      <c r="D30" s="17"/>
      <c r="E30" s="17"/>
      <c r="F30" s="52" t="e">
        <f>'PROM (Agropecuaria 8°)'!AE19</f>
        <v>#DIV/0!</v>
      </c>
      <c r="G30" s="52" t="e">
        <f>'PROM (Agropecuaria 8°)'!BM19</f>
        <v>#DIV/0!</v>
      </c>
      <c r="H30" s="52" t="e">
        <f>'PROM (Agropecuaria 8°)'!CU19</f>
        <v>#DIV/0!</v>
      </c>
      <c r="I30" s="52" t="e">
        <f t="shared" si="0"/>
        <v>#DIV/0!</v>
      </c>
      <c r="J30" s="62">
        <f>'Asistencia (8°)'!BI17</f>
        <v>0</v>
      </c>
      <c r="K30" s="62">
        <f>'Asistencia (9°)'!BJ17</f>
        <v>0</v>
      </c>
      <c r="L30" s="62">
        <f>'Asistencia (8°)'!BJ17</f>
        <v>0</v>
      </c>
      <c r="M30" s="62">
        <f>'Asistencia (9°)'!BJ60</f>
        <v>0</v>
      </c>
      <c r="N30" s="62">
        <f>'Asistencia (9°)'!BI105</f>
        <v>0</v>
      </c>
      <c r="O30" s="62">
        <f>'Asistencia (9°)'!BJ105</f>
        <v>0</v>
      </c>
      <c r="P30" s="63">
        <f t="shared" si="1"/>
        <v>0</v>
      </c>
      <c r="Q30" s="63">
        <f t="shared" si="2"/>
        <v>0</v>
      </c>
    </row>
    <row r="31" spans="2:17">
      <c r="B31" s="10">
        <v>16</v>
      </c>
      <c r="C31" s="12">
        <f>MAESTRO!D20</f>
        <v>0</v>
      </c>
      <c r="D31" s="17"/>
      <c r="E31" s="17"/>
      <c r="F31" s="52" t="e">
        <f>'PROM (Agropecuaria 8°)'!AE20</f>
        <v>#DIV/0!</v>
      </c>
      <c r="G31" s="52" t="e">
        <f>'PROM (Agropecuaria 8°)'!BM20</f>
        <v>#DIV/0!</v>
      </c>
      <c r="H31" s="52" t="e">
        <f>'PROM (Agropecuaria 8°)'!CU20</f>
        <v>#DIV/0!</v>
      </c>
      <c r="I31" s="52" t="e">
        <f t="shared" si="0"/>
        <v>#DIV/0!</v>
      </c>
      <c r="J31" s="62">
        <f>'Asistencia (8°)'!BI18</f>
        <v>0</v>
      </c>
      <c r="K31" s="62">
        <f>'Asistencia (9°)'!BJ18</f>
        <v>0</v>
      </c>
      <c r="L31" s="62">
        <f>'Asistencia (8°)'!BJ18</f>
        <v>0</v>
      </c>
      <c r="M31" s="62">
        <f>'Asistencia (9°)'!BJ61</f>
        <v>0</v>
      </c>
      <c r="N31" s="62">
        <f>'Asistencia (9°)'!BI106</f>
        <v>0</v>
      </c>
      <c r="O31" s="62">
        <f>'Asistencia (9°)'!BJ106</f>
        <v>0</v>
      </c>
      <c r="P31" s="63">
        <f t="shared" si="1"/>
        <v>0</v>
      </c>
      <c r="Q31" s="63">
        <f t="shared" si="2"/>
        <v>0</v>
      </c>
    </row>
    <row r="32" spans="2:17">
      <c r="B32" s="10">
        <v>17</v>
      </c>
      <c r="C32" s="12">
        <f>MAESTRO!D21</f>
        <v>0</v>
      </c>
      <c r="D32" s="17"/>
      <c r="E32" s="17"/>
      <c r="F32" s="52" t="e">
        <f>'PROM (Agropecuaria 8°)'!AE21</f>
        <v>#DIV/0!</v>
      </c>
      <c r="G32" s="73" t="e">
        <f>'PROM (Agropecuaria 8°)'!BM21</f>
        <v>#DIV/0!</v>
      </c>
      <c r="H32" s="52" t="e">
        <f>'PROM (Agropecuaria 8°)'!CU21</f>
        <v>#DIV/0!</v>
      </c>
      <c r="I32" s="52" t="e">
        <f t="shared" si="0"/>
        <v>#DIV/0!</v>
      </c>
      <c r="J32" s="62">
        <f>'Asistencia (8°)'!BI19</f>
        <v>0</v>
      </c>
      <c r="K32" s="62">
        <f>'Asistencia (9°)'!BJ19</f>
        <v>0</v>
      </c>
      <c r="L32" s="62">
        <f>'Asistencia (8°)'!BJ19</f>
        <v>0</v>
      </c>
      <c r="M32" s="62">
        <f>'Asistencia (9°)'!BJ62</f>
        <v>0</v>
      </c>
      <c r="N32" s="62">
        <f>'Asistencia (9°)'!BI107</f>
        <v>0</v>
      </c>
      <c r="O32" s="62">
        <f>'Asistencia (9°)'!BJ107</f>
        <v>0</v>
      </c>
      <c r="P32" s="63">
        <f t="shared" si="1"/>
        <v>0</v>
      </c>
      <c r="Q32" s="63">
        <f t="shared" si="2"/>
        <v>0</v>
      </c>
    </row>
    <row r="33" spans="2:17">
      <c r="B33" s="10">
        <v>18</v>
      </c>
      <c r="C33" s="12">
        <f>MAESTRO!D22</f>
        <v>0</v>
      </c>
      <c r="D33" s="17"/>
      <c r="E33" s="17"/>
      <c r="F33" s="52" t="e">
        <f>'PROM (Agropecuaria 8°)'!AE22</f>
        <v>#DIV/0!</v>
      </c>
      <c r="G33" s="73" t="e">
        <f>'PROM (Agropecuaria 8°)'!BM22</f>
        <v>#DIV/0!</v>
      </c>
      <c r="H33" s="52" t="e">
        <f>'PROM (Agropecuaria 8°)'!CU22</f>
        <v>#DIV/0!</v>
      </c>
      <c r="I33" s="52" t="e">
        <f t="shared" si="0"/>
        <v>#DIV/0!</v>
      </c>
      <c r="J33" s="62">
        <f>'Asistencia (8°)'!BI20</f>
        <v>0</v>
      </c>
      <c r="K33" s="62">
        <f>'Asistencia (9°)'!BJ20</f>
        <v>0</v>
      </c>
      <c r="L33" s="62">
        <f>'Asistencia (8°)'!BJ20</f>
        <v>0</v>
      </c>
      <c r="M33" s="62">
        <f>'Asistencia (9°)'!BJ63</f>
        <v>0</v>
      </c>
      <c r="N33" s="62">
        <f>'Asistencia (9°)'!BI108</f>
        <v>0</v>
      </c>
      <c r="O33" s="62">
        <f>'Asistencia (9°)'!BJ108</f>
        <v>0</v>
      </c>
      <c r="P33" s="63">
        <f t="shared" si="1"/>
        <v>0</v>
      </c>
      <c r="Q33" s="63">
        <f t="shared" si="2"/>
        <v>0</v>
      </c>
    </row>
    <row r="34" spans="2:17">
      <c r="B34" s="10">
        <v>19</v>
      </c>
      <c r="C34" s="12">
        <f>MAESTRO!D23</f>
        <v>0</v>
      </c>
      <c r="D34" s="17"/>
      <c r="E34" s="17"/>
      <c r="F34" s="52" t="e">
        <f>'PROM (Agropecuaria 8°)'!AE23</f>
        <v>#DIV/0!</v>
      </c>
      <c r="G34" s="73" t="e">
        <f>'PROM (Agropecuaria 8°)'!BM23</f>
        <v>#DIV/0!</v>
      </c>
      <c r="H34" s="52" t="e">
        <f>'PROM (Agropecuaria 8°)'!CU23</f>
        <v>#DIV/0!</v>
      </c>
      <c r="I34" s="52" t="e">
        <f t="shared" si="0"/>
        <v>#DIV/0!</v>
      </c>
      <c r="J34" s="62">
        <f>'Asistencia (8°)'!BI21</f>
        <v>0</v>
      </c>
      <c r="K34" s="62">
        <f>'Asistencia (9°)'!BJ21</f>
        <v>0</v>
      </c>
      <c r="L34" s="62">
        <f>'Asistencia (8°)'!BJ21</f>
        <v>0</v>
      </c>
      <c r="M34" s="62">
        <f>'Asistencia (9°)'!BJ64</f>
        <v>0</v>
      </c>
      <c r="N34" s="62">
        <f>'Asistencia (9°)'!BI109</f>
        <v>0</v>
      </c>
      <c r="O34" s="62">
        <f>'Asistencia (9°)'!BJ109</f>
        <v>0</v>
      </c>
      <c r="P34" s="63">
        <f t="shared" si="1"/>
        <v>0</v>
      </c>
      <c r="Q34" s="63">
        <f t="shared" si="2"/>
        <v>0</v>
      </c>
    </row>
    <row r="35" spans="2:17">
      <c r="B35" s="10">
        <v>20</v>
      </c>
      <c r="C35" s="12">
        <f>MAESTRO!D24</f>
        <v>0</v>
      </c>
      <c r="D35" s="17"/>
      <c r="E35" s="17"/>
      <c r="F35" s="52" t="e">
        <f>'PROM (Agropecuaria 8°)'!AE24</f>
        <v>#DIV/0!</v>
      </c>
      <c r="G35" s="73" t="e">
        <f>'PROM (Agropecuaria 8°)'!BM24</f>
        <v>#DIV/0!</v>
      </c>
      <c r="H35" s="52" t="e">
        <f>'PROM (Agropecuaria 8°)'!CU24</f>
        <v>#DIV/0!</v>
      </c>
      <c r="I35" s="52" t="e">
        <f t="shared" si="0"/>
        <v>#DIV/0!</v>
      </c>
      <c r="J35" s="62">
        <f>'Asistencia (8°)'!BI22</f>
        <v>0</v>
      </c>
      <c r="K35" s="62">
        <f>'Asistencia (9°)'!BJ22</f>
        <v>0</v>
      </c>
      <c r="L35" s="62">
        <f>'Asistencia (8°)'!BJ22</f>
        <v>0</v>
      </c>
      <c r="M35" s="62">
        <f>'Asistencia (9°)'!BJ65</f>
        <v>0</v>
      </c>
      <c r="N35" s="62">
        <f>'Asistencia (9°)'!BI110</f>
        <v>0</v>
      </c>
      <c r="O35" s="62">
        <f>'Asistencia (9°)'!BJ110</f>
        <v>0</v>
      </c>
      <c r="P35" s="63">
        <f t="shared" si="1"/>
        <v>0</v>
      </c>
      <c r="Q35" s="63">
        <f t="shared" si="2"/>
        <v>0</v>
      </c>
    </row>
    <row r="36" spans="2:17">
      <c r="B36" s="10">
        <v>21</v>
      </c>
      <c r="C36" s="12">
        <f>MAESTRO!D25</f>
        <v>0</v>
      </c>
      <c r="D36" s="17"/>
      <c r="E36" s="17"/>
      <c r="F36" s="52" t="e">
        <f>'PROM (Agropecuaria 8°)'!AE25</f>
        <v>#DIV/0!</v>
      </c>
      <c r="G36" s="73" t="e">
        <f>'PROM (Agropecuaria 8°)'!BM25</f>
        <v>#DIV/0!</v>
      </c>
      <c r="H36" s="52" t="e">
        <f>'PROM (Agropecuaria 8°)'!CU25</f>
        <v>#DIV/0!</v>
      </c>
      <c r="I36" s="52" t="e">
        <f t="shared" si="0"/>
        <v>#DIV/0!</v>
      </c>
      <c r="J36" s="62">
        <f>'Asistencia (8°)'!BI23</f>
        <v>0</v>
      </c>
      <c r="K36" s="62">
        <f>'Asistencia (9°)'!BJ23</f>
        <v>0</v>
      </c>
      <c r="L36" s="62">
        <f>'Asistencia (8°)'!BJ23</f>
        <v>0</v>
      </c>
      <c r="M36" s="62">
        <f>'Asistencia (9°)'!BJ66</f>
        <v>0</v>
      </c>
      <c r="N36" s="62">
        <f>'Asistencia (9°)'!BI111</f>
        <v>0</v>
      </c>
      <c r="O36" s="62">
        <f>'Asistencia (9°)'!BJ111</f>
        <v>0</v>
      </c>
      <c r="P36" s="63">
        <f t="shared" si="1"/>
        <v>0</v>
      </c>
      <c r="Q36" s="63">
        <f t="shared" si="2"/>
        <v>0</v>
      </c>
    </row>
    <row r="37" spans="2:17">
      <c r="B37" s="10">
        <v>22</v>
      </c>
      <c r="C37" s="12">
        <f>MAESTRO!D26</f>
        <v>0</v>
      </c>
      <c r="D37" s="17"/>
      <c r="E37" s="17"/>
      <c r="F37" s="52" t="e">
        <f>'PROM (Agropecuaria 8°)'!AE26</f>
        <v>#DIV/0!</v>
      </c>
      <c r="G37" s="73" t="e">
        <f>'PROM (Agropecuaria 8°)'!BM26</f>
        <v>#DIV/0!</v>
      </c>
      <c r="H37" s="52" t="e">
        <f>'PROM (Agropecuaria 8°)'!CU26</f>
        <v>#DIV/0!</v>
      </c>
      <c r="I37" s="52" t="e">
        <f t="shared" si="0"/>
        <v>#DIV/0!</v>
      </c>
      <c r="J37" s="62">
        <f>'Asistencia (8°)'!BI24</f>
        <v>0</v>
      </c>
      <c r="K37" s="62">
        <f>'Asistencia (9°)'!BJ24</f>
        <v>0</v>
      </c>
      <c r="L37" s="62">
        <f>'Asistencia (8°)'!BJ24</f>
        <v>0</v>
      </c>
      <c r="M37" s="62">
        <f>'Asistencia (9°)'!BJ67</f>
        <v>0</v>
      </c>
      <c r="N37" s="62">
        <f>'Asistencia (9°)'!BI112</f>
        <v>0</v>
      </c>
      <c r="O37" s="62">
        <f>'Asistencia (9°)'!BJ112</f>
        <v>0</v>
      </c>
      <c r="P37" s="63">
        <f t="shared" si="1"/>
        <v>0</v>
      </c>
      <c r="Q37" s="63">
        <f t="shared" si="2"/>
        <v>0</v>
      </c>
    </row>
    <row r="38" spans="2:17">
      <c r="B38" s="10">
        <v>23</v>
      </c>
      <c r="C38" s="12">
        <f>MAESTRO!D27</f>
        <v>0</v>
      </c>
      <c r="D38" s="17"/>
      <c r="E38" s="17"/>
      <c r="F38" s="52" t="e">
        <f>'PROM (Agropecuaria 8°)'!AE27</f>
        <v>#DIV/0!</v>
      </c>
      <c r="G38" s="73" t="e">
        <f>'PROM (Agropecuaria 8°)'!BM27</f>
        <v>#DIV/0!</v>
      </c>
      <c r="H38" s="52" t="e">
        <f>'PROM (Agropecuaria 8°)'!CU27</f>
        <v>#DIV/0!</v>
      </c>
      <c r="I38" s="52" t="e">
        <f t="shared" si="0"/>
        <v>#DIV/0!</v>
      </c>
      <c r="J38" s="62">
        <f>'Asistencia (8°)'!BI25</f>
        <v>0</v>
      </c>
      <c r="K38" s="62">
        <f>'Asistencia (9°)'!BJ25</f>
        <v>0</v>
      </c>
      <c r="L38" s="62">
        <f>'Asistencia (8°)'!BJ25</f>
        <v>0</v>
      </c>
      <c r="M38" s="62">
        <f>'Asistencia (9°)'!BJ68</f>
        <v>0</v>
      </c>
      <c r="N38" s="62">
        <f>'Asistencia (9°)'!BI113</f>
        <v>0</v>
      </c>
      <c r="O38" s="62">
        <f>'Asistencia (9°)'!BJ113</f>
        <v>0</v>
      </c>
      <c r="P38" s="63">
        <f t="shared" si="1"/>
        <v>0</v>
      </c>
      <c r="Q38" s="63">
        <f t="shared" si="2"/>
        <v>0</v>
      </c>
    </row>
    <row r="39" spans="2:17">
      <c r="B39" s="10">
        <v>24</v>
      </c>
      <c r="C39" s="12">
        <f>MAESTRO!D28</f>
        <v>0</v>
      </c>
      <c r="D39" s="17"/>
      <c r="E39" s="17"/>
      <c r="F39" s="52" t="e">
        <f>'PROM (Agropecuaria 8°)'!AE28</f>
        <v>#DIV/0!</v>
      </c>
      <c r="G39" s="73" t="e">
        <f>'PROM (Agropecuaria 8°)'!BM28</f>
        <v>#DIV/0!</v>
      </c>
      <c r="H39" s="52" t="e">
        <f>'PROM (Agropecuaria 8°)'!CU28</f>
        <v>#DIV/0!</v>
      </c>
      <c r="I39" s="52" t="e">
        <f t="shared" si="0"/>
        <v>#DIV/0!</v>
      </c>
      <c r="J39" s="62">
        <f>'Asistencia (8°)'!BI26</f>
        <v>0</v>
      </c>
      <c r="K39" s="62">
        <f>'Asistencia (9°)'!BJ26</f>
        <v>0</v>
      </c>
      <c r="L39" s="62">
        <f>'Asistencia (8°)'!BJ26</f>
        <v>0</v>
      </c>
      <c r="M39" s="62">
        <f>'Asistencia (9°)'!BJ69</f>
        <v>0</v>
      </c>
      <c r="N39" s="62">
        <f>'Asistencia (9°)'!BI114</f>
        <v>0</v>
      </c>
      <c r="O39" s="62">
        <f>'Asistencia (9°)'!BJ114</f>
        <v>0</v>
      </c>
      <c r="P39" s="63">
        <f t="shared" si="1"/>
        <v>0</v>
      </c>
      <c r="Q39" s="63">
        <f t="shared" si="2"/>
        <v>0</v>
      </c>
    </row>
    <row r="40" spans="2:17">
      <c r="B40" s="10">
        <v>25</v>
      </c>
      <c r="C40" s="12">
        <f>MAESTRO!D29</f>
        <v>0</v>
      </c>
      <c r="D40" s="17"/>
      <c r="E40" s="17"/>
      <c r="F40" s="52" t="e">
        <f>'PROM (Agropecuaria 8°)'!AE29</f>
        <v>#DIV/0!</v>
      </c>
      <c r="G40" s="73" t="e">
        <f>'PROM (Agropecuaria 8°)'!BM29</f>
        <v>#DIV/0!</v>
      </c>
      <c r="H40" s="52" t="e">
        <f>'PROM (Agropecuaria 8°)'!CU29</f>
        <v>#DIV/0!</v>
      </c>
      <c r="I40" s="52" t="e">
        <f t="shared" si="0"/>
        <v>#DIV/0!</v>
      </c>
      <c r="J40" s="62">
        <f>'Asistencia (8°)'!BI27</f>
        <v>0</v>
      </c>
      <c r="K40" s="62">
        <f>'Asistencia (9°)'!BJ27</f>
        <v>0</v>
      </c>
      <c r="L40" s="62">
        <f>'Asistencia (8°)'!BJ27</f>
        <v>0</v>
      </c>
      <c r="M40" s="62">
        <f>'Asistencia (9°)'!BJ70</f>
        <v>0</v>
      </c>
      <c r="N40" s="62">
        <f>'Asistencia (9°)'!BI115</f>
        <v>0</v>
      </c>
      <c r="O40" s="62">
        <f>'Asistencia (9°)'!BJ115</f>
        <v>0</v>
      </c>
      <c r="P40" s="63">
        <f t="shared" si="1"/>
        <v>0</v>
      </c>
      <c r="Q40" s="63">
        <f t="shared" si="2"/>
        <v>0</v>
      </c>
    </row>
    <row r="41" spans="2:17">
      <c r="B41" s="10">
        <v>26</v>
      </c>
      <c r="C41" s="12">
        <f>MAESTRO!D30</f>
        <v>0</v>
      </c>
      <c r="D41" s="17"/>
      <c r="E41" s="17"/>
      <c r="F41" s="52" t="e">
        <f>'PROM (Agropecuaria 8°)'!AE30</f>
        <v>#DIV/0!</v>
      </c>
      <c r="G41" s="73" t="e">
        <f>'PROM (Agropecuaria 8°)'!BM30</f>
        <v>#DIV/0!</v>
      </c>
      <c r="H41" s="52" t="e">
        <f>'PROM (Agropecuaria 8°)'!CU30</f>
        <v>#DIV/0!</v>
      </c>
      <c r="I41" s="52" t="e">
        <f t="shared" si="0"/>
        <v>#DIV/0!</v>
      </c>
      <c r="J41" s="62">
        <f>'Asistencia (8°)'!BI28</f>
        <v>0</v>
      </c>
      <c r="K41" s="62">
        <f>'Asistencia (9°)'!BJ28</f>
        <v>0</v>
      </c>
      <c r="L41" s="62">
        <f>'Asistencia (8°)'!BJ28</f>
        <v>0</v>
      </c>
      <c r="M41" s="62">
        <f>'Asistencia (9°)'!BJ71</f>
        <v>0</v>
      </c>
      <c r="N41" s="62">
        <f>'Asistencia (9°)'!BI116</f>
        <v>0</v>
      </c>
      <c r="O41" s="62">
        <f>'Asistencia (9°)'!BJ116</f>
        <v>0</v>
      </c>
      <c r="P41" s="63">
        <f t="shared" si="1"/>
        <v>0</v>
      </c>
      <c r="Q41" s="63">
        <f t="shared" si="2"/>
        <v>0</v>
      </c>
    </row>
    <row r="42" spans="2:17">
      <c r="B42" s="10">
        <v>27</v>
      </c>
      <c r="C42" s="12">
        <f>MAESTRO!D31</f>
        <v>0</v>
      </c>
      <c r="D42" s="17"/>
      <c r="E42" s="17"/>
      <c r="F42" s="52" t="e">
        <f>'PROM (Agropecuaria 8°)'!AE31</f>
        <v>#DIV/0!</v>
      </c>
      <c r="G42" s="73" t="e">
        <f>'PROM (Agropecuaria 8°)'!BM31</f>
        <v>#DIV/0!</v>
      </c>
      <c r="H42" s="52" t="e">
        <f>'PROM (Agropecuaria 8°)'!CU31</f>
        <v>#DIV/0!</v>
      </c>
      <c r="I42" s="52" t="e">
        <f t="shared" si="0"/>
        <v>#DIV/0!</v>
      </c>
      <c r="J42" s="62">
        <f>'Asistencia (8°)'!BI29</f>
        <v>0</v>
      </c>
      <c r="K42" s="62">
        <f>'Asistencia (9°)'!BJ29</f>
        <v>0</v>
      </c>
      <c r="L42" s="62">
        <f>'Asistencia (8°)'!BJ29</f>
        <v>0</v>
      </c>
      <c r="M42" s="62">
        <f>'Asistencia (9°)'!BJ72</f>
        <v>0</v>
      </c>
      <c r="N42" s="62">
        <f>'Asistencia (9°)'!BI117</f>
        <v>0</v>
      </c>
      <c r="O42" s="62">
        <f>'Asistencia (9°)'!BJ117</f>
        <v>0</v>
      </c>
      <c r="P42" s="63">
        <f t="shared" si="1"/>
        <v>0</v>
      </c>
      <c r="Q42" s="63">
        <f t="shared" si="2"/>
        <v>0</v>
      </c>
    </row>
    <row r="43" spans="2:17">
      <c r="B43" s="10">
        <v>28</v>
      </c>
      <c r="C43" s="12">
        <f>MAESTRO!D32</f>
        <v>0</v>
      </c>
      <c r="D43" s="17"/>
      <c r="E43" s="17"/>
      <c r="F43" s="52" t="e">
        <f>'PROM (Agropecuaria 8°)'!AE32</f>
        <v>#DIV/0!</v>
      </c>
      <c r="G43" s="73" t="e">
        <f>'PROM (Agropecuaria 8°)'!BM32</f>
        <v>#DIV/0!</v>
      </c>
      <c r="H43" s="52" t="e">
        <f>'PROM (Agropecuaria 8°)'!CU32</f>
        <v>#DIV/0!</v>
      </c>
      <c r="I43" s="52" t="e">
        <f t="shared" si="0"/>
        <v>#DIV/0!</v>
      </c>
      <c r="J43" s="62">
        <f>'Asistencia (8°)'!BI30</f>
        <v>0</v>
      </c>
      <c r="K43" s="62">
        <f>'Asistencia (9°)'!BJ30</f>
        <v>0</v>
      </c>
      <c r="L43" s="62">
        <f>'Asistencia (8°)'!BJ30</f>
        <v>0</v>
      </c>
      <c r="M43" s="62">
        <f>'Asistencia (9°)'!BJ73</f>
        <v>0</v>
      </c>
      <c r="N43" s="62">
        <f>'Asistencia (9°)'!BI118</f>
        <v>0</v>
      </c>
      <c r="O43" s="62">
        <f>'Asistencia (9°)'!BJ118</f>
        <v>0</v>
      </c>
      <c r="P43" s="63">
        <f t="shared" si="1"/>
        <v>0</v>
      </c>
      <c r="Q43" s="63">
        <f t="shared" si="2"/>
        <v>0</v>
      </c>
    </row>
    <row r="44" spans="2:17">
      <c r="B44" s="10">
        <v>29</v>
      </c>
      <c r="C44" s="12">
        <f>MAESTRO!D33</f>
        <v>0</v>
      </c>
      <c r="D44" s="17"/>
      <c r="E44" s="17"/>
      <c r="F44" s="52" t="e">
        <f>'PROM (Agropecuaria 8°)'!AE33</f>
        <v>#DIV/0!</v>
      </c>
      <c r="G44" s="73" t="e">
        <f>'PROM (Agropecuaria 8°)'!BM33</f>
        <v>#DIV/0!</v>
      </c>
      <c r="H44" s="52" t="e">
        <f>'PROM (Agropecuaria 8°)'!CU33</f>
        <v>#DIV/0!</v>
      </c>
      <c r="I44" s="52" t="e">
        <f t="shared" si="0"/>
        <v>#DIV/0!</v>
      </c>
      <c r="J44" s="62">
        <f>'Asistencia (8°)'!BI31</f>
        <v>0</v>
      </c>
      <c r="K44" s="62">
        <f>'Asistencia (9°)'!BJ31</f>
        <v>0</v>
      </c>
      <c r="L44" s="62">
        <f>'Asistencia (8°)'!BJ31</f>
        <v>0</v>
      </c>
      <c r="M44" s="62">
        <f>'Asistencia (9°)'!BJ74</f>
        <v>0</v>
      </c>
      <c r="N44" s="62">
        <f>'Asistencia (9°)'!BI119</f>
        <v>0</v>
      </c>
      <c r="O44" s="62">
        <f>'Asistencia (9°)'!BJ119</f>
        <v>0</v>
      </c>
      <c r="P44" s="63">
        <f t="shared" si="1"/>
        <v>0</v>
      </c>
      <c r="Q44" s="63">
        <f t="shared" si="2"/>
        <v>0</v>
      </c>
    </row>
    <row r="45" spans="2:17">
      <c r="B45" s="10">
        <v>30</v>
      </c>
      <c r="C45" s="12">
        <f>MAESTRO!D34</f>
        <v>0</v>
      </c>
      <c r="D45" s="17"/>
      <c r="E45" s="17"/>
      <c r="F45" s="52" t="e">
        <f>'PROM (Agropecuaria 8°)'!AE34</f>
        <v>#DIV/0!</v>
      </c>
      <c r="G45" s="73" t="e">
        <f>'PROM (Agropecuaria 8°)'!BM34</f>
        <v>#DIV/0!</v>
      </c>
      <c r="H45" s="52" t="e">
        <f>'PROM (Agropecuaria 8°)'!CU34</f>
        <v>#DIV/0!</v>
      </c>
      <c r="I45" s="52" t="e">
        <f t="shared" si="0"/>
        <v>#DIV/0!</v>
      </c>
      <c r="J45" s="62">
        <f>'Asistencia (8°)'!BI32</f>
        <v>0</v>
      </c>
      <c r="K45" s="62">
        <f>'Asistencia (9°)'!BJ32</f>
        <v>0</v>
      </c>
      <c r="L45" s="62">
        <f>'Asistencia (8°)'!BJ32</f>
        <v>0</v>
      </c>
      <c r="M45" s="62">
        <f>'Asistencia (9°)'!BJ75</f>
        <v>0</v>
      </c>
      <c r="N45" s="62">
        <f>'Asistencia (9°)'!BI120</f>
        <v>0</v>
      </c>
      <c r="O45" s="62">
        <f>'Asistencia (9°)'!BJ120</f>
        <v>0</v>
      </c>
      <c r="P45" s="63">
        <f t="shared" si="1"/>
        <v>0</v>
      </c>
      <c r="Q45" s="63">
        <f t="shared" si="2"/>
        <v>0</v>
      </c>
    </row>
    <row r="46" spans="2:17">
      <c r="B46" s="10">
        <v>31</v>
      </c>
      <c r="C46" s="12">
        <f>MAESTRO!D35</f>
        <v>0</v>
      </c>
      <c r="D46" s="17"/>
      <c r="E46" s="17"/>
      <c r="F46" s="52" t="e">
        <f>'PROM (Agropecuaria 8°)'!AE35</f>
        <v>#DIV/0!</v>
      </c>
      <c r="G46" s="73" t="e">
        <f>'PROM (Agropecuaria 8°)'!BM35</f>
        <v>#DIV/0!</v>
      </c>
      <c r="H46" s="52" t="e">
        <f>'PROM (Agropecuaria 8°)'!CU35</f>
        <v>#DIV/0!</v>
      </c>
      <c r="I46" s="52" t="e">
        <f t="shared" si="0"/>
        <v>#DIV/0!</v>
      </c>
      <c r="J46" s="62">
        <f>'Asistencia (8°)'!BI33</f>
        <v>0</v>
      </c>
      <c r="K46" s="62">
        <f>'Asistencia (9°)'!BJ33</f>
        <v>0</v>
      </c>
      <c r="L46" s="62">
        <f>'Asistencia (8°)'!BJ33</f>
        <v>0</v>
      </c>
      <c r="M46" s="62">
        <f>'Asistencia (9°)'!BJ76</f>
        <v>0</v>
      </c>
      <c r="N46" s="62">
        <f>'Asistencia (9°)'!BI121</f>
        <v>0</v>
      </c>
      <c r="O46" s="62">
        <f>'Asistencia (9°)'!BJ121</f>
        <v>0</v>
      </c>
      <c r="P46" s="63">
        <f t="shared" si="1"/>
        <v>0</v>
      </c>
      <c r="Q46" s="63">
        <f t="shared" si="2"/>
        <v>0</v>
      </c>
    </row>
    <row r="47" spans="2:17">
      <c r="B47" s="10">
        <v>32</v>
      </c>
      <c r="C47" s="12">
        <f>MAESTRO!D36</f>
        <v>0</v>
      </c>
      <c r="D47" s="17"/>
      <c r="E47" s="17"/>
      <c r="F47" s="52" t="e">
        <f>'PROM (Agropecuaria 8°)'!AE36</f>
        <v>#DIV/0!</v>
      </c>
      <c r="G47" s="73" t="e">
        <f>'PROM (Agropecuaria 8°)'!BM36</f>
        <v>#DIV/0!</v>
      </c>
      <c r="H47" s="52" t="e">
        <f>'PROM (Agropecuaria 8°)'!CU36</f>
        <v>#DIV/0!</v>
      </c>
      <c r="I47" s="52" t="e">
        <f t="shared" si="0"/>
        <v>#DIV/0!</v>
      </c>
      <c r="J47" s="62">
        <f>'Asistencia (8°)'!BI34</f>
        <v>0</v>
      </c>
      <c r="K47" s="62">
        <f>'Asistencia (9°)'!BJ34</f>
        <v>0</v>
      </c>
      <c r="L47" s="62">
        <f>'Asistencia (8°)'!BJ34</f>
        <v>0</v>
      </c>
      <c r="M47" s="62">
        <f>'Asistencia (9°)'!BJ77</f>
        <v>0</v>
      </c>
      <c r="N47" s="62">
        <f>'Asistencia (9°)'!BI122</f>
        <v>0</v>
      </c>
      <c r="O47" s="62">
        <f>'Asistencia (9°)'!BJ122</f>
        <v>0</v>
      </c>
      <c r="P47" s="63">
        <f t="shared" si="1"/>
        <v>0</v>
      </c>
      <c r="Q47" s="63">
        <f t="shared" si="2"/>
        <v>0</v>
      </c>
    </row>
    <row r="48" spans="2:17">
      <c r="B48" s="10">
        <v>33</v>
      </c>
      <c r="C48" s="12">
        <f>MAESTRO!D37</f>
        <v>0</v>
      </c>
      <c r="D48" s="17"/>
      <c r="E48" s="17"/>
      <c r="F48" s="52" t="e">
        <f>'PROM (Agropecuaria 8°)'!AE37</f>
        <v>#DIV/0!</v>
      </c>
      <c r="G48" s="73" t="e">
        <f>'PROM (Agropecuaria 8°)'!BM37</f>
        <v>#DIV/0!</v>
      </c>
      <c r="H48" s="52" t="e">
        <f>'PROM (Agropecuaria 8°)'!CU37</f>
        <v>#DIV/0!</v>
      </c>
      <c r="I48" s="52" t="e">
        <f t="shared" si="0"/>
        <v>#DIV/0!</v>
      </c>
      <c r="J48" s="62">
        <f>'Asistencia (8°)'!BI35</f>
        <v>0</v>
      </c>
      <c r="K48" s="62">
        <f>'Asistencia (9°)'!BJ35</f>
        <v>0</v>
      </c>
      <c r="L48" s="62">
        <f>'Asistencia (8°)'!BJ35</f>
        <v>0</v>
      </c>
      <c r="M48" s="62">
        <f>'Asistencia (9°)'!BJ78</f>
        <v>0</v>
      </c>
      <c r="N48" s="62">
        <f>'Asistencia (9°)'!BI123</f>
        <v>0</v>
      </c>
      <c r="O48" s="62">
        <f>'Asistencia (9°)'!BJ123</f>
        <v>0</v>
      </c>
      <c r="P48" s="63">
        <f t="shared" si="1"/>
        <v>0</v>
      </c>
      <c r="Q48" s="63">
        <f t="shared" si="2"/>
        <v>0</v>
      </c>
    </row>
    <row r="49" spans="2:17">
      <c r="B49" s="10">
        <v>34</v>
      </c>
      <c r="C49" s="12">
        <f>MAESTRO!D38</f>
        <v>0</v>
      </c>
      <c r="D49" s="17"/>
      <c r="E49" s="17"/>
      <c r="F49" s="52" t="e">
        <f>'PROM (Agropecuaria 8°)'!AE38</f>
        <v>#DIV/0!</v>
      </c>
      <c r="G49" s="73" t="e">
        <f>'PROM (Agropecuaria 8°)'!BM38</f>
        <v>#DIV/0!</v>
      </c>
      <c r="H49" s="52" t="e">
        <f>'PROM (Agropecuaria 8°)'!CU38</f>
        <v>#DIV/0!</v>
      </c>
      <c r="I49" s="52" t="e">
        <f t="shared" si="0"/>
        <v>#DIV/0!</v>
      </c>
      <c r="J49" s="62">
        <f>'Asistencia (8°)'!BI36</f>
        <v>0</v>
      </c>
      <c r="K49" s="62">
        <f>'Asistencia (9°)'!BJ36</f>
        <v>0</v>
      </c>
      <c r="L49" s="62">
        <f>'Asistencia (8°)'!BJ36</f>
        <v>0</v>
      </c>
      <c r="M49" s="62">
        <f>'Asistencia (9°)'!BJ79</f>
        <v>0</v>
      </c>
      <c r="N49" s="62">
        <f>'Asistencia (9°)'!BI124</f>
        <v>0</v>
      </c>
      <c r="O49" s="62">
        <f>'Asistencia (9°)'!BJ124</f>
        <v>0</v>
      </c>
      <c r="P49" s="63">
        <f t="shared" si="1"/>
        <v>0</v>
      </c>
      <c r="Q49" s="63">
        <f t="shared" si="2"/>
        <v>0</v>
      </c>
    </row>
    <row r="50" spans="2:17">
      <c r="B50" s="10">
        <v>35</v>
      </c>
      <c r="C50" s="12">
        <f>MAESTRO!D39</f>
        <v>0</v>
      </c>
      <c r="D50" s="17"/>
      <c r="E50" s="17"/>
      <c r="F50" s="52" t="e">
        <f>'PROM (Agropecuaria 8°)'!AE39</f>
        <v>#DIV/0!</v>
      </c>
      <c r="G50" s="73" t="e">
        <f>'PROM (Agropecuaria 8°)'!BM39</f>
        <v>#DIV/0!</v>
      </c>
      <c r="H50" s="52" t="e">
        <f>'PROM (Agropecuaria 8°)'!CU39</f>
        <v>#DIV/0!</v>
      </c>
      <c r="I50" s="52" t="e">
        <f t="shared" si="0"/>
        <v>#DIV/0!</v>
      </c>
      <c r="J50" s="62">
        <f>'Asistencia (8°)'!BI37</f>
        <v>0</v>
      </c>
      <c r="K50" s="62">
        <f>'Asistencia (9°)'!BJ37</f>
        <v>0</v>
      </c>
      <c r="L50" s="62">
        <f>'Asistencia (8°)'!BJ37</f>
        <v>0</v>
      </c>
      <c r="M50" s="62">
        <f>'Asistencia (9°)'!BJ80</f>
        <v>0</v>
      </c>
      <c r="N50" s="62">
        <f>'Asistencia (9°)'!BI125</f>
        <v>0</v>
      </c>
      <c r="O50" s="62">
        <f>'Asistencia (9°)'!BJ125</f>
        <v>0</v>
      </c>
      <c r="P50" s="63">
        <f t="shared" si="1"/>
        <v>0</v>
      </c>
      <c r="Q50" s="63">
        <f t="shared" si="2"/>
        <v>0</v>
      </c>
    </row>
    <row r="51" spans="2:17">
      <c r="B51" s="10">
        <v>36</v>
      </c>
      <c r="C51" s="12">
        <f>MAESTRO!D40</f>
        <v>0</v>
      </c>
      <c r="D51" s="17"/>
      <c r="E51" s="17"/>
      <c r="F51" s="52" t="e">
        <f>'PROM (Agropecuaria 8°)'!AE40</f>
        <v>#DIV/0!</v>
      </c>
      <c r="G51" s="73" t="e">
        <f>'PROM (Agropecuaria 8°)'!BM40</f>
        <v>#DIV/0!</v>
      </c>
      <c r="H51" s="52" t="e">
        <f>'PROM (Agropecuaria 8°)'!CU40</f>
        <v>#DIV/0!</v>
      </c>
      <c r="I51" s="52" t="e">
        <f t="shared" si="0"/>
        <v>#DIV/0!</v>
      </c>
      <c r="J51" s="62">
        <f>'Asistencia (8°)'!BI38</f>
        <v>0</v>
      </c>
      <c r="K51" s="62">
        <f>'Asistencia (9°)'!BJ38</f>
        <v>0</v>
      </c>
      <c r="L51" s="62">
        <f>'Asistencia (8°)'!BJ38</f>
        <v>0</v>
      </c>
      <c r="M51" s="62">
        <f>'Asistencia (9°)'!BJ81</f>
        <v>0</v>
      </c>
      <c r="N51" s="62">
        <f>'Asistencia (9°)'!BI126</f>
        <v>0</v>
      </c>
      <c r="O51" s="62">
        <f>'Asistencia (9°)'!BJ126</f>
        <v>0</v>
      </c>
      <c r="P51" s="63">
        <f t="shared" si="1"/>
        <v>0</v>
      </c>
      <c r="Q51" s="63">
        <f t="shared" si="2"/>
        <v>0</v>
      </c>
    </row>
    <row r="52" spans="2:17">
      <c r="B52" s="10">
        <v>37</v>
      </c>
      <c r="C52" s="12">
        <f>MAESTRO!D41</f>
        <v>0</v>
      </c>
      <c r="D52" s="17"/>
      <c r="E52" s="17"/>
      <c r="F52" s="52" t="e">
        <f>'PROM (Agropecuaria 8°)'!AE41</f>
        <v>#DIV/0!</v>
      </c>
      <c r="G52" s="73" t="e">
        <f>'PROM (Agropecuaria 8°)'!BM41</f>
        <v>#DIV/0!</v>
      </c>
      <c r="H52" s="52" t="e">
        <f>'PROM (Agropecuaria 8°)'!CU41</f>
        <v>#DIV/0!</v>
      </c>
      <c r="I52" s="52" t="e">
        <f t="shared" si="0"/>
        <v>#DIV/0!</v>
      </c>
      <c r="J52" s="62">
        <f>'Asistencia (8°)'!BI39</f>
        <v>0</v>
      </c>
      <c r="K52" s="62">
        <f>'Asistencia (9°)'!BJ39</f>
        <v>0</v>
      </c>
      <c r="L52" s="62">
        <f>'Asistencia (8°)'!BJ39</f>
        <v>0</v>
      </c>
      <c r="M52" s="62">
        <f>'Asistencia (9°)'!BJ82</f>
        <v>0</v>
      </c>
      <c r="N52" s="62">
        <f>'Asistencia (9°)'!BI127</f>
        <v>0</v>
      </c>
      <c r="O52" s="62">
        <f>'Asistencia (9°)'!BJ127</f>
        <v>0</v>
      </c>
      <c r="P52" s="63">
        <f t="shared" si="1"/>
        <v>0</v>
      </c>
      <c r="Q52" s="63">
        <f t="shared" si="2"/>
        <v>0</v>
      </c>
    </row>
    <row r="53" spans="2:17">
      <c r="B53" s="10">
        <v>38</v>
      </c>
      <c r="C53" s="12">
        <f>MAESTRO!D42</f>
        <v>0</v>
      </c>
      <c r="D53" s="17"/>
      <c r="E53" s="17"/>
      <c r="F53" s="52"/>
      <c r="G53" s="52"/>
      <c r="H53" s="52"/>
      <c r="I53" s="52"/>
      <c r="J53" s="62">
        <f>'Asistencia (8°)'!BI40</f>
        <v>0</v>
      </c>
      <c r="K53" s="62"/>
      <c r="L53" s="62">
        <f>'Asistencia (8°)'!BJ40</f>
        <v>0</v>
      </c>
      <c r="M53" s="62"/>
      <c r="N53" s="62"/>
      <c r="O53" s="62"/>
      <c r="P53" s="63"/>
      <c r="Q53" s="63"/>
    </row>
    <row r="54" spans="2:17">
      <c r="B54" s="10">
        <v>39</v>
      </c>
      <c r="C54" s="12">
        <f>MAESTRO!D43</f>
        <v>0</v>
      </c>
      <c r="D54" s="17"/>
      <c r="E54" s="18"/>
      <c r="F54" s="52"/>
      <c r="G54" s="52"/>
      <c r="H54" s="52"/>
      <c r="I54" s="52"/>
      <c r="J54" s="62">
        <f>'Asistencia (8°)'!BI41</f>
        <v>0</v>
      </c>
      <c r="K54" s="62"/>
      <c r="L54" s="62">
        <f>'Asistencia (8°)'!BJ41</f>
        <v>0</v>
      </c>
      <c r="M54" s="62"/>
      <c r="N54" s="62"/>
      <c r="O54" s="62"/>
      <c r="P54" s="63"/>
      <c r="Q54" s="63"/>
    </row>
    <row r="55" spans="2:17">
      <c r="B55" s="10"/>
      <c r="C55" s="12">
        <f>MAESTRO!D44</f>
        <v>0</v>
      </c>
      <c r="D55" s="17"/>
      <c r="E55" s="18"/>
      <c r="F55" s="52"/>
      <c r="G55" s="52"/>
      <c r="H55" s="52"/>
      <c r="I55" s="52"/>
      <c r="J55" s="62">
        <f>'Asistencia (8°)'!BI42</f>
        <v>0</v>
      </c>
      <c r="K55" s="62"/>
      <c r="L55" s="62">
        <f>'Asistencia (8°)'!BJ42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8" priority="1" operator="lessThan">
      <formula>3</formula>
    </cfRule>
  </conditionalFormatting>
  <pageMargins left="0.25" right="4.9479166666666657E-2" top="0.75" bottom="0.75" header="0.3" footer="0.3"/>
  <pageSetup orientation="portrait" horizontalDpi="4294967293"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11">
    <tabColor rgb="FFE07020"/>
  </sheetPr>
  <dimension ref="A1:EE49"/>
  <sheetViews>
    <sheetView view="pageLayout" zoomScale="60" zoomScaleNormal="100" zoomScalePageLayoutView="60" workbookViewId="0">
      <selection activeCell="CB156" sqref="CB156"/>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119</v>
      </c>
      <c r="BQ1" s="251"/>
      <c r="BR1" s="251"/>
      <c r="BS1" s="251"/>
      <c r="BT1" s="251"/>
      <c r="BU1" s="251"/>
      <c r="BV1" s="251"/>
      <c r="BW1" s="251"/>
      <c r="BX1" s="251"/>
      <c r="BY1" s="251"/>
      <c r="BZ1" s="251"/>
      <c r="CA1" s="251"/>
      <c r="CB1" s="251"/>
      <c r="CC1" s="251"/>
      <c r="CD1" s="251"/>
      <c r="CE1" s="251"/>
      <c r="CF1" s="241"/>
      <c r="CG1" s="263" t="s">
        <v>119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4"/>
      <c r="H4" s="4"/>
      <c r="I4" s="4"/>
      <c r="J4" s="4"/>
      <c r="K4" s="4"/>
      <c r="L4" s="4"/>
      <c r="M4" s="4"/>
      <c r="N4" s="4"/>
      <c r="O4" s="4"/>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2"/>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MAESTRO!F5</f>
        <v>0</v>
      </c>
      <c r="C5" s="5"/>
      <c r="D5" s="5"/>
      <c r="E5" s="5"/>
      <c r="F5" s="5"/>
      <c r="G5" s="5"/>
      <c r="H5" s="5"/>
      <c r="I5" s="5"/>
      <c r="J5" s="5"/>
      <c r="K5" s="5"/>
      <c r="L5" s="5"/>
      <c r="M5" s="5"/>
      <c r="N5" s="5"/>
      <c r="O5" s="5"/>
      <c r="P5" s="5" t="e">
        <f t="shared" ref="P5:P41" si="0">TRUNC(AVERAGE(C5:O5),1)</f>
        <v>#DIV/0!</v>
      </c>
      <c r="Q5" s="109">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TRUNC(AVERAGE(AX5,BI5,BL5),1)</f>
        <v>#DIV/0!</v>
      </c>
      <c r="BN5" s="4"/>
      <c r="BO5" s="4">
        <v>1</v>
      </c>
      <c r="BP5" s="4">
        <v>1</v>
      </c>
      <c r="BQ5" s="255">
        <f t="shared" ref="BQ5:BQ41" si="9">B5</f>
        <v>0</v>
      </c>
      <c r="BR5" s="241"/>
      <c r="BS5" s="5"/>
      <c r="BT5" s="5"/>
      <c r="BU5" s="5"/>
      <c r="BV5" s="5"/>
      <c r="BW5" s="5"/>
      <c r="BX5" s="5"/>
      <c r="BY5" s="5"/>
      <c r="BZ5" s="5"/>
      <c r="CA5" s="5"/>
      <c r="CB5" s="5"/>
      <c r="CC5" s="5"/>
      <c r="CD5" s="5"/>
      <c r="CE5" s="5"/>
      <c r="CF5" s="5" t="e">
        <f t="shared" ref="CF5:CF42"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4">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MAESTRO!F6</f>
        <v>0</v>
      </c>
      <c r="C6" s="5"/>
      <c r="D6" s="5"/>
      <c r="E6" s="5"/>
      <c r="F6" s="5"/>
      <c r="G6" s="5"/>
      <c r="H6" s="5"/>
      <c r="I6" s="5"/>
      <c r="J6" s="5"/>
      <c r="K6" s="5"/>
      <c r="L6" s="5"/>
      <c r="M6" s="5"/>
      <c r="N6" s="5"/>
      <c r="O6" s="5"/>
      <c r="P6" s="5" t="e">
        <f t="shared" si="0"/>
        <v>#DIV/0!</v>
      </c>
      <c r="Q6" s="109">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4">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MAESTRO!F7</f>
        <v>0</v>
      </c>
      <c r="C7" s="5"/>
      <c r="D7" s="5"/>
      <c r="E7" s="5"/>
      <c r="F7" s="5"/>
      <c r="G7" s="5"/>
      <c r="H7" s="5"/>
      <c r="I7" s="5"/>
      <c r="J7" s="5"/>
      <c r="K7" s="5"/>
      <c r="L7" s="5"/>
      <c r="M7" s="5"/>
      <c r="N7" s="5"/>
      <c r="O7" s="5"/>
      <c r="P7" s="5" t="e">
        <f t="shared" si="0"/>
        <v>#DIV/0!</v>
      </c>
      <c r="Q7" s="109">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4">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MAESTRO!F8</f>
        <v>0</v>
      </c>
      <c r="C8" s="5"/>
      <c r="D8" s="5"/>
      <c r="E8" s="5"/>
      <c r="F8" s="5"/>
      <c r="G8" s="5"/>
      <c r="H8" s="5"/>
      <c r="I8" s="5"/>
      <c r="J8" s="5"/>
      <c r="K8" s="5"/>
      <c r="L8" s="5"/>
      <c r="M8" s="5"/>
      <c r="N8" s="5"/>
      <c r="O8" s="5"/>
      <c r="P8" s="5" t="e">
        <f t="shared" si="0"/>
        <v>#DIV/0!</v>
      </c>
      <c r="Q8" s="109">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4">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MAESTRO!F9</f>
        <v>0</v>
      </c>
      <c r="C9" s="5"/>
      <c r="D9" s="5"/>
      <c r="E9" s="5"/>
      <c r="F9" s="5"/>
      <c r="G9" s="5"/>
      <c r="H9" s="5"/>
      <c r="I9" s="5"/>
      <c r="J9" s="5"/>
      <c r="K9" s="5"/>
      <c r="L9" s="5"/>
      <c r="M9" s="5"/>
      <c r="N9" s="5"/>
      <c r="O9" s="5"/>
      <c r="P9" s="5" t="e">
        <f t="shared" si="0"/>
        <v>#DIV/0!</v>
      </c>
      <c r="Q9" s="109">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4">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MAESTRO!F10</f>
        <v>0</v>
      </c>
      <c r="C10" s="5"/>
      <c r="D10" s="5"/>
      <c r="E10" s="5"/>
      <c r="F10" s="5"/>
      <c r="G10" s="5"/>
      <c r="H10" s="5"/>
      <c r="I10" s="5"/>
      <c r="J10" s="5"/>
      <c r="K10" s="5"/>
      <c r="L10" s="5"/>
      <c r="M10" s="5"/>
      <c r="N10" s="5"/>
      <c r="O10" s="5"/>
      <c r="P10" s="5" t="e">
        <f t="shared" si="0"/>
        <v>#DIV/0!</v>
      </c>
      <c r="Q10" s="109">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4">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MAESTRO!F11</f>
        <v>0</v>
      </c>
      <c r="C11" s="5"/>
      <c r="D11" s="5"/>
      <c r="E11" s="5"/>
      <c r="F11" s="5"/>
      <c r="G11" s="5"/>
      <c r="H11" s="5"/>
      <c r="I11" s="5"/>
      <c r="J11" s="5"/>
      <c r="K11" s="5"/>
      <c r="L11" s="5"/>
      <c r="M11" s="5"/>
      <c r="N11" s="5"/>
      <c r="O11" s="5"/>
      <c r="P11" s="5" t="e">
        <f t="shared" si="0"/>
        <v>#DIV/0!</v>
      </c>
      <c r="Q11" s="109">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4">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MAESTRO!F12</f>
        <v>0</v>
      </c>
      <c r="C12" s="5"/>
      <c r="D12" s="5"/>
      <c r="E12" s="5"/>
      <c r="F12" s="5"/>
      <c r="G12" s="5"/>
      <c r="H12" s="5"/>
      <c r="I12" s="5"/>
      <c r="J12" s="5"/>
      <c r="K12" s="5"/>
      <c r="L12" s="5"/>
      <c r="M12" s="5"/>
      <c r="N12" s="5"/>
      <c r="O12" s="5"/>
      <c r="P12" s="5" t="e">
        <f t="shared" si="0"/>
        <v>#DIV/0!</v>
      </c>
      <c r="Q12" s="109">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4">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MAESTRO!F13</f>
        <v>0</v>
      </c>
      <c r="C13" s="5"/>
      <c r="D13" s="5"/>
      <c r="E13" s="5"/>
      <c r="F13" s="5"/>
      <c r="G13" s="5"/>
      <c r="H13" s="5"/>
      <c r="I13" s="5"/>
      <c r="J13" s="5"/>
      <c r="K13" s="5"/>
      <c r="L13" s="5"/>
      <c r="M13" s="5"/>
      <c r="N13" s="5"/>
      <c r="O13" s="5"/>
      <c r="P13" s="5" t="e">
        <f t="shared" si="0"/>
        <v>#DIV/0!</v>
      </c>
      <c r="Q13" s="109">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4">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MAESTRO!F14</f>
        <v>0</v>
      </c>
      <c r="C14" s="5"/>
      <c r="D14" s="5"/>
      <c r="E14" s="5"/>
      <c r="F14" s="5"/>
      <c r="G14" s="5"/>
      <c r="H14" s="5"/>
      <c r="I14" s="5"/>
      <c r="J14" s="5"/>
      <c r="K14" s="5"/>
      <c r="L14" s="5"/>
      <c r="M14" s="5"/>
      <c r="N14" s="5"/>
      <c r="O14" s="5"/>
      <c r="P14" s="5" t="e">
        <f t="shared" si="0"/>
        <v>#DIV/0!</v>
      </c>
      <c r="Q14" s="109">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4">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MAESTRO!F15</f>
        <v>0</v>
      </c>
      <c r="C15" s="5"/>
      <c r="D15" s="5"/>
      <c r="E15" s="5"/>
      <c r="F15" s="5"/>
      <c r="G15" s="5"/>
      <c r="H15" s="5"/>
      <c r="I15" s="5"/>
      <c r="J15" s="5"/>
      <c r="K15" s="5"/>
      <c r="L15" s="5"/>
      <c r="M15" s="5"/>
      <c r="N15" s="5"/>
      <c r="O15" s="5"/>
      <c r="P15" s="5" t="e">
        <f t="shared" si="0"/>
        <v>#DIV/0!</v>
      </c>
      <c r="Q15" s="109">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4">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MAESTRO!F16</f>
        <v>0</v>
      </c>
      <c r="C16" s="5"/>
      <c r="D16" s="5"/>
      <c r="E16" s="5"/>
      <c r="F16" s="5"/>
      <c r="G16" s="5"/>
      <c r="H16" s="5"/>
      <c r="I16" s="5"/>
      <c r="J16" s="5"/>
      <c r="K16" s="5"/>
      <c r="L16" s="5"/>
      <c r="M16" s="5"/>
      <c r="N16" s="5"/>
      <c r="O16" s="5"/>
      <c r="P16" s="5" t="e">
        <f t="shared" si="0"/>
        <v>#DIV/0!</v>
      </c>
      <c r="Q16" s="109">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4">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MAESTRO!F17</f>
        <v>0</v>
      </c>
      <c r="C17" s="5"/>
      <c r="D17" s="5"/>
      <c r="E17" s="5"/>
      <c r="F17" s="5"/>
      <c r="G17" s="5"/>
      <c r="H17" s="5"/>
      <c r="I17" s="5"/>
      <c r="J17" s="5"/>
      <c r="K17" s="5"/>
      <c r="L17" s="5"/>
      <c r="M17" s="5"/>
      <c r="N17" s="5"/>
      <c r="O17" s="5"/>
      <c r="P17" s="5" t="e">
        <f t="shared" si="0"/>
        <v>#DIV/0!</v>
      </c>
      <c r="Q17" s="109">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4">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MAESTRO!F18</f>
        <v>0</v>
      </c>
      <c r="C18" s="5"/>
      <c r="D18" s="5"/>
      <c r="E18" s="5"/>
      <c r="F18" s="5"/>
      <c r="G18" s="5"/>
      <c r="H18" s="5"/>
      <c r="I18" s="5"/>
      <c r="J18" s="5"/>
      <c r="K18" s="5"/>
      <c r="L18" s="5"/>
      <c r="M18" s="5"/>
      <c r="N18" s="5"/>
      <c r="O18" s="5"/>
      <c r="P18" s="5" t="e">
        <f t="shared" si="0"/>
        <v>#DIV/0!</v>
      </c>
      <c r="Q18" s="109">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4">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MAESTRO!F19</f>
        <v>0</v>
      </c>
      <c r="C19" s="5"/>
      <c r="D19" s="5"/>
      <c r="E19" s="5"/>
      <c r="F19" s="5"/>
      <c r="G19" s="5"/>
      <c r="H19" s="5"/>
      <c r="I19" s="5"/>
      <c r="J19" s="5"/>
      <c r="K19" s="5"/>
      <c r="L19" s="5"/>
      <c r="M19" s="5"/>
      <c r="N19" s="5"/>
      <c r="O19" s="5"/>
      <c r="P19" s="5" t="e">
        <f t="shared" si="0"/>
        <v>#DIV/0!</v>
      </c>
      <c r="Q19" s="109">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4">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MAESTRO!F20</f>
        <v>0</v>
      </c>
      <c r="C20" s="5"/>
      <c r="D20" s="5"/>
      <c r="E20" s="5"/>
      <c r="F20" s="5"/>
      <c r="G20" s="5"/>
      <c r="H20" s="5"/>
      <c r="I20" s="5"/>
      <c r="J20" s="5"/>
      <c r="K20" s="5"/>
      <c r="L20" s="5"/>
      <c r="M20" s="5"/>
      <c r="N20" s="5"/>
      <c r="O20" s="5"/>
      <c r="P20" s="5" t="e">
        <f t="shared" si="0"/>
        <v>#DIV/0!</v>
      </c>
      <c r="Q20" s="109">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4">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MAESTRO!F21</f>
        <v>0</v>
      </c>
      <c r="C21" s="5"/>
      <c r="D21" s="5"/>
      <c r="E21" s="5"/>
      <c r="F21" s="5"/>
      <c r="G21" s="5"/>
      <c r="H21" s="5"/>
      <c r="I21" s="5"/>
      <c r="J21" s="5"/>
      <c r="K21" s="5"/>
      <c r="L21" s="5"/>
      <c r="M21" s="5"/>
      <c r="N21" s="5"/>
      <c r="O21" s="5"/>
      <c r="P21" s="5" t="e">
        <f t="shared" si="0"/>
        <v>#DIV/0!</v>
      </c>
      <c r="Q21" s="109">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4">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MAESTRO!F22</f>
        <v>0</v>
      </c>
      <c r="C22" s="5"/>
      <c r="D22" s="5"/>
      <c r="E22" s="5"/>
      <c r="F22" s="5"/>
      <c r="G22" s="5"/>
      <c r="H22" s="5"/>
      <c r="I22" s="5"/>
      <c r="J22" s="5"/>
      <c r="K22" s="5"/>
      <c r="L22" s="5"/>
      <c r="M22" s="5"/>
      <c r="N22" s="5"/>
      <c r="O22" s="5"/>
      <c r="P22" s="5" t="e">
        <f t="shared" si="0"/>
        <v>#DIV/0!</v>
      </c>
      <c r="Q22" s="109">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4">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MAESTRO!F23</f>
        <v>0</v>
      </c>
      <c r="C23" s="5"/>
      <c r="D23" s="5"/>
      <c r="E23" s="5"/>
      <c r="F23" s="5"/>
      <c r="G23" s="5"/>
      <c r="H23" s="5"/>
      <c r="I23" s="5"/>
      <c r="J23" s="5"/>
      <c r="K23" s="5"/>
      <c r="L23" s="5"/>
      <c r="M23" s="5"/>
      <c r="N23" s="5"/>
      <c r="O23" s="5"/>
      <c r="P23" s="5" t="e">
        <f t="shared" si="0"/>
        <v>#DIV/0!</v>
      </c>
      <c r="Q23" s="109">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4">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MAESTRO!F24</f>
        <v>0</v>
      </c>
      <c r="C24" s="5"/>
      <c r="D24" s="5"/>
      <c r="E24" s="5"/>
      <c r="F24" s="5"/>
      <c r="G24" s="5"/>
      <c r="H24" s="5"/>
      <c r="I24" s="5"/>
      <c r="J24" s="5"/>
      <c r="K24" s="5"/>
      <c r="L24" s="5"/>
      <c r="M24" s="5"/>
      <c r="N24" s="5"/>
      <c r="O24" s="5"/>
      <c r="P24" s="5" t="e">
        <f t="shared" si="0"/>
        <v>#DIV/0!</v>
      </c>
      <c r="Q24" s="109">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4">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MAESTRO!F25</f>
        <v>0</v>
      </c>
      <c r="C25" s="5"/>
      <c r="D25" s="5"/>
      <c r="E25" s="5"/>
      <c r="F25" s="5"/>
      <c r="G25" s="5"/>
      <c r="H25" s="5"/>
      <c r="I25" s="5"/>
      <c r="J25" s="5"/>
      <c r="K25" s="5"/>
      <c r="L25" s="5"/>
      <c r="M25" s="5"/>
      <c r="N25" s="5"/>
      <c r="O25" s="5"/>
      <c r="P25" s="5" t="e">
        <f t="shared" si="0"/>
        <v>#DIV/0!</v>
      </c>
      <c r="Q25" s="109">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10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103"/>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4">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MAESTRO!F26</f>
        <v>0</v>
      </c>
      <c r="C26" s="5"/>
      <c r="D26" s="5"/>
      <c r="E26" s="5"/>
      <c r="F26" s="5"/>
      <c r="G26" s="5"/>
      <c r="H26" s="5"/>
      <c r="I26" s="5"/>
      <c r="J26" s="5"/>
      <c r="K26" s="5"/>
      <c r="L26" s="5"/>
      <c r="M26" s="5"/>
      <c r="N26" s="5"/>
      <c r="O26" s="5"/>
      <c r="P26" s="5" t="e">
        <f t="shared" si="0"/>
        <v>#DIV/0!</v>
      </c>
      <c r="Q26" s="109">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10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5"/>
      <c r="BT26" s="103"/>
      <c r="BU26" s="5"/>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4">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MAESTRO!F27</f>
        <v>0</v>
      </c>
      <c r="C27" s="5"/>
      <c r="D27" s="5"/>
      <c r="E27" s="5"/>
      <c r="F27" s="5"/>
      <c r="G27" s="5"/>
      <c r="H27" s="5"/>
      <c r="I27" s="5"/>
      <c r="J27" s="5"/>
      <c r="K27" s="5"/>
      <c r="L27" s="5"/>
      <c r="M27" s="5"/>
      <c r="N27" s="5"/>
      <c r="O27" s="5"/>
      <c r="P27" s="5" t="e">
        <f t="shared" si="0"/>
        <v>#DIV/0!</v>
      </c>
      <c r="Q27" s="109">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10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5"/>
      <c r="BT27" s="103"/>
      <c r="BU27" s="103"/>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4">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MAESTRO!F28</f>
        <v>0</v>
      </c>
      <c r="C28" s="5"/>
      <c r="D28" s="5"/>
      <c r="E28" s="5"/>
      <c r="F28" s="5"/>
      <c r="G28" s="5"/>
      <c r="H28" s="5"/>
      <c r="I28" s="5"/>
      <c r="J28" s="5"/>
      <c r="K28" s="5"/>
      <c r="L28" s="5"/>
      <c r="M28" s="5"/>
      <c r="N28" s="5"/>
      <c r="O28" s="5"/>
      <c r="P28" s="5" t="e">
        <f t="shared" si="0"/>
        <v>#DIV/0!</v>
      </c>
      <c r="Q28" s="109">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65"/>
      <c r="AM28" s="105"/>
      <c r="AN28" s="65"/>
      <c r="AO28" s="6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5"/>
      <c r="BT28" s="103"/>
      <c r="BU28" s="103"/>
      <c r="BV28" s="5"/>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4">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MAESTRO!F29</f>
        <v>0</v>
      </c>
      <c r="C29" s="5"/>
      <c r="D29" s="5"/>
      <c r="E29" s="5"/>
      <c r="F29" s="5"/>
      <c r="G29" s="5"/>
      <c r="H29" s="5"/>
      <c r="I29" s="5"/>
      <c r="J29" s="5"/>
      <c r="K29" s="5"/>
      <c r="L29" s="5"/>
      <c r="M29" s="5"/>
      <c r="N29" s="5"/>
      <c r="O29" s="5"/>
      <c r="P29" s="5" t="e">
        <f t="shared" si="0"/>
        <v>#DIV/0!</v>
      </c>
      <c r="Q29" s="109">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65"/>
      <c r="AL29" s="65"/>
      <c r="AM29" s="105"/>
      <c r="AN29" s="65"/>
      <c r="AO29" s="65"/>
      <c r="AP29" s="6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5"/>
      <c r="BT29" s="103"/>
      <c r="BU29" s="103"/>
      <c r="BV29" s="5"/>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4">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MAESTRO!F30</f>
        <v>0</v>
      </c>
      <c r="C30" s="5"/>
      <c r="D30" s="5"/>
      <c r="E30" s="5"/>
      <c r="F30" s="5"/>
      <c r="G30" s="5"/>
      <c r="H30" s="5"/>
      <c r="I30" s="5"/>
      <c r="J30" s="5"/>
      <c r="K30" s="5"/>
      <c r="L30" s="5"/>
      <c r="M30" s="5"/>
      <c r="N30" s="5"/>
      <c r="O30" s="5"/>
      <c r="P30" s="5" t="e">
        <f t="shared" si="0"/>
        <v>#DIV/0!</v>
      </c>
      <c r="Q30" s="109">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105"/>
      <c r="AL30" s="105"/>
      <c r="AM30" s="105"/>
      <c r="AN30" s="105"/>
      <c r="AO30" s="105"/>
      <c r="AP30" s="6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5"/>
      <c r="BT30" s="103"/>
      <c r="BU30" s="103"/>
      <c r="BV30" s="5"/>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4">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MAESTRO!F31</f>
        <v>0</v>
      </c>
      <c r="C31" s="5"/>
      <c r="D31" s="5"/>
      <c r="E31" s="5"/>
      <c r="F31" s="5"/>
      <c r="G31" s="5"/>
      <c r="H31" s="5"/>
      <c r="I31" s="5"/>
      <c r="J31" s="5"/>
      <c r="K31" s="5"/>
      <c r="L31" s="5"/>
      <c r="M31" s="5"/>
      <c r="N31" s="5"/>
      <c r="O31" s="5"/>
      <c r="P31" s="5" t="e">
        <f t="shared" si="0"/>
        <v>#DIV/0!</v>
      </c>
      <c r="Q31" s="109">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5"/>
      <c r="AL31" s="105"/>
      <c r="AM31" s="105"/>
      <c r="AN31" s="105"/>
      <c r="AO31" s="105"/>
      <c r="AP31" s="6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5"/>
      <c r="BT31" s="103"/>
      <c r="BU31" s="103"/>
      <c r="BV31" s="5"/>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4">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MAESTRO!F32</f>
        <v>0</v>
      </c>
      <c r="C32" s="103"/>
      <c r="D32" s="103"/>
      <c r="E32" s="103"/>
      <c r="F32" s="5"/>
      <c r="G32" s="5"/>
      <c r="H32" s="5"/>
      <c r="I32" s="5"/>
      <c r="J32" s="5"/>
      <c r="K32" s="5"/>
      <c r="L32" s="5"/>
      <c r="M32" s="5"/>
      <c r="N32" s="5"/>
      <c r="O32" s="5"/>
      <c r="P32" s="5" t="e">
        <f t="shared" si="0"/>
        <v>#DIV/0!</v>
      </c>
      <c r="Q32" s="109">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105"/>
      <c r="AP32" s="6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5"/>
      <c r="BT32" s="103"/>
      <c r="BU32" s="103"/>
      <c r="BV32" s="5"/>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4">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MAESTRO!F33</f>
        <v>0</v>
      </c>
      <c r="C33" s="103"/>
      <c r="D33" s="103"/>
      <c r="E33" s="103"/>
      <c r="F33" s="5"/>
      <c r="G33" s="5"/>
      <c r="H33" s="5"/>
      <c r="I33" s="5"/>
      <c r="J33" s="5"/>
      <c r="K33" s="5"/>
      <c r="L33" s="5"/>
      <c r="M33" s="5"/>
      <c r="N33" s="5"/>
      <c r="O33" s="5"/>
      <c r="P33" s="5" t="e">
        <f t="shared" si="0"/>
        <v>#DIV/0!</v>
      </c>
      <c r="Q33" s="109">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105"/>
      <c r="AP33" s="6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5"/>
      <c r="BT33" s="103"/>
      <c r="BU33" s="103"/>
      <c r="BV33" s="5"/>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4">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MAESTRO!F34</f>
        <v>0</v>
      </c>
      <c r="C34" s="103"/>
      <c r="D34" s="103"/>
      <c r="E34" s="103"/>
      <c r="F34" s="5"/>
      <c r="G34" s="5"/>
      <c r="H34" s="5"/>
      <c r="I34" s="5"/>
      <c r="J34" s="5"/>
      <c r="K34" s="5"/>
      <c r="L34" s="5"/>
      <c r="M34" s="5"/>
      <c r="N34" s="5"/>
      <c r="O34" s="5"/>
      <c r="P34" s="5" t="e">
        <f t="shared" si="0"/>
        <v>#DIV/0!</v>
      </c>
      <c r="Q34" s="109">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105"/>
      <c r="AP34" s="6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5"/>
      <c r="BT34" s="103"/>
      <c r="BU34" s="103"/>
      <c r="BV34" s="5"/>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4">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MAESTRO!F35</f>
        <v>0</v>
      </c>
      <c r="C35" s="103"/>
      <c r="D35" s="103"/>
      <c r="E35" s="103"/>
      <c r="F35" s="5"/>
      <c r="G35" s="5"/>
      <c r="H35" s="5"/>
      <c r="I35" s="5"/>
      <c r="J35" s="5"/>
      <c r="K35" s="5"/>
      <c r="L35" s="5"/>
      <c r="M35" s="5"/>
      <c r="N35" s="5"/>
      <c r="O35" s="5"/>
      <c r="P35" s="5" t="e">
        <f t="shared" si="0"/>
        <v>#DIV/0!</v>
      </c>
      <c r="Q35" s="109">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105"/>
      <c r="AP35" s="6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5"/>
      <c r="BT35" s="103"/>
      <c r="BU35" s="103"/>
      <c r="BV35" s="5"/>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4">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MAESTRO!F36</f>
        <v>0</v>
      </c>
      <c r="C36" s="103"/>
      <c r="D36" s="103"/>
      <c r="E36" s="103"/>
      <c r="F36" s="5"/>
      <c r="G36" s="5"/>
      <c r="H36" s="5"/>
      <c r="I36" s="5"/>
      <c r="J36" s="5"/>
      <c r="K36" s="5"/>
      <c r="L36" s="5"/>
      <c r="M36" s="5"/>
      <c r="N36" s="5"/>
      <c r="O36" s="5"/>
      <c r="P36" s="5" t="e">
        <f t="shared" si="0"/>
        <v>#DIV/0!</v>
      </c>
      <c r="Q36" s="109">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6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5"/>
      <c r="BT36" s="103"/>
      <c r="BU36" s="103"/>
      <c r="BV36" s="5"/>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4">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MAESTRO!F37</f>
        <v>0</v>
      </c>
      <c r="C37" s="103"/>
      <c r="D37" s="103"/>
      <c r="E37" s="103"/>
      <c r="F37" s="5"/>
      <c r="G37" s="5"/>
      <c r="H37" s="5"/>
      <c r="I37" s="5"/>
      <c r="J37" s="5"/>
      <c r="K37" s="5"/>
      <c r="L37" s="5"/>
      <c r="M37" s="5"/>
      <c r="N37" s="5"/>
      <c r="O37" s="5"/>
      <c r="P37" s="5" t="e">
        <f t="shared" si="0"/>
        <v>#DIV/0!</v>
      </c>
      <c r="Q37" s="109">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6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5"/>
      <c r="BT37" s="103"/>
      <c r="BU37" s="103"/>
      <c r="BV37" s="5"/>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4">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MAESTRO!F38</f>
        <v>0</v>
      </c>
      <c r="C38" s="103"/>
      <c r="D38" s="103"/>
      <c r="E38" s="103"/>
      <c r="F38" s="5"/>
      <c r="G38" s="5"/>
      <c r="H38" s="5"/>
      <c r="I38" s="5"/>
      <c r="J38" s="5"/>
      <c r="K38" s="5"/>
      <c r="L38" s="5"/>
      <c r="M38" s="5"/>
      <c r="N38" s="5"/>
      <c r="O38" s="5"/>
      <c r="P38" s="5" t="e">
        <f t="shared" si="0"/>
        <v>#DIV/0!</v>
      </c>
      <c r="Q38" s="109">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6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5"/>
      <c r="BT38" s="103"/>
      <c r="BU38" s="103"/>
      <c r="BV38" s="5"/>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4">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MAESTRO!F39</f>
        <v>0</v>
      </c>
      <c r="C39" s="103"/>
      <c r="D39" s="103"/>
      <c r="E39" s="103"/>
      <c r="F39" s="5"/>
      <c r="G39" s="5"/>
      <c r="H39" s="5"/>
      <c r="I39" s="5"/>
      <c r="J39" s="5"/>
      <c r="K39" s="5"/>
      <c r="L39" s="5"/>
      <c r="M39" s="5"/>
      <c r="N39" s="5"/>
      <c r="O39" s="5"/>
      <c r="P39" s="5" t="e">
        <f t="shared" si="0"/>
        <v>#DIV/0!</v>
      </c>
      <c r="Q39" s="109">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6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5"/>
      <c r="BT39" s="103"/>
      <c r="BU39" s="103"/>
      <c r="BV39" s="5"/>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4">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MAESTRO!F40</f>
        <v>0</v>
      </c>
      <c r="C40" s="103"/>
      <c r="D40" s="103"/>
      <c r="E40" s="103"/>
      <c r="F40" s="5"/>
      <c r="G40" s="5"/>
      <c r="H40" s="5"/>
      <c r="I40" s="5"/>
      <c r="J40" s="5"/>
      <c r="K40" s="5"/>
      <c r="L40" s="5"/>
      <c r="M40" s="5"/>
      <c r="N40" s="5"/>
      <c r="O40" s="5"/>
      <c r="P40" s="5" t="e">
        <f t="shared" si="0"/>
        <v>#DIV/0!</v>
      </c>
      <c r="Q40" s="109">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6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5"/>
      <c r="BT40" s="103"/>
      <c r="BU40" s="103"/>
      <c r="BV40" s="5"/>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4">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MAESTRO!F41</f>
        <v>0</v>
      </c>
      <c r="C41" s="103"/>
      <c r="D41" s="103"/>
      <c r="E41" s="103"/>
      <c r="F41" s="5"/>
      <c r="G41" s="5"/>
      <c r="H41" s="5"/>
      <c r="I41" s="5"/>
      <c r="J41" s="5"/>
      <c r="K41" s="5"/>
      <c r="L41" s="5"/>
      <c r="M41" s="5"/>
      <c r="N41" s="5"/>
      <c r="O41" s="5"/>
      <c r="P41" s="5" t="e">
        <f t="shared" si="0"/>
        <v>#DIV/0!</v>
      </c>
      <c r="Q41" s="109">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6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5"/>
      <c r="BT41" s="103"/>
      <c r="BU41" s="103"/>
      <c r="BV41" s="5"/>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4">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MAESTRO!F42</f>
        <v>0</v>
      </c>
      <c r="C42" s="103"/>
      <c r="D42" s="103"/>
      <c r="E42" s="103"/>
      <c r="F42" s="5"/>
      <c r="G42" s="5"/>
      <c r="H42" s="5"/>
      <c r="I42" s="5"/>
      <c r="J42" s="5"/>
      <c r="K42" s="5"/>
      <c r="L42" s="5"/>
      <c r="M42" s="5"/>
      <c r="N42" s="5"/>
      <c r="O42" s="5"/>
      <c r="P42" s="5"/>
      <c r="Q42" s="109">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6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5"/>
      <c r="BT42" s="103"/>
      <c r="BU42" s="103"/>
      <c r="BV42" s="5"/>
      <c r="BW42" s="5"/>
      <c r="BX42" s="5"/>
      <c r="BY42" s="5"/>
      <c r="BZ42" s="5"/>
      <c r="CA42" s="5"/>
      <c r="CB42" s="5"/>
      <c r="CC42" s="5"/>
      <c r="CD42" s="5"/>
      <c r="CE42" s="5"/>
      <c r="CF42" s="5" t="e">
        <f t="shared" si="10"/>
        <v>#DIV/0!</v>
      </c>
      <c r="CG42" s="103"/>
      <c r="CH42" s="103"/>
      <c r="CI42" s="103"/>
      <c r="CJ42" s="103"/>
      <c r="CK42" s="5"/>
      <c r="CL42" s="5"/>
      <c r="CM42" s="5"/>
      <c r="CN42" s="5"/>
      <c r="CO42" s="5"/>
      <c r="CP42" s="5"/>
      <c r="CQ42" s="5"/>
      <c r="CR42" s="5"/>
      <c r="CS42" s="5"/>
      <c r="CT42" s="5"/>
      <c r="CU42" s="5"/>
      <c r="CV42" s="4"/>
      <c r="CW42" s="4">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MAESTRO!F43</f>
        <v>0</v>
      </c>
      <c r="C43" s="103"/>
      <c r="D43" s="103"/>
      <c r="E43" s="103"/>
      <c r="F43" s="5"/>
      <c r="G43" s="5"/>
      <c r="H43" s="5"/>
      <c r="I43" s="5"/>
      <c r="J43" s="5"/>
      <c r="K43" s="5"/>
      <c r="L43" s="5"/>
      <c r="M43" s="5"/>
      <c r="N43" s="5"/>
      <c r="O43" s="5"/>
      <c r="P43" s="5"/>
      <c r="Q43" s="109">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6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5"/>
      <c r="BT43" s="103"/>
      <c r="BU43" s="103"/>
      <c r="BV43" s="5"/>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4">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MAESTRO!F44</f>
        <v>0</v>
      </c>
      <c r="C44" s="103"/>
      <c r="D44" s="103"/>
      <c r="E44" s="103"/>
      <c r="F44" s="93"/>
      <c r="G44" s="93"/>
      <c r="H44" s="93"/>
      <c r="I44" s="93"/>
      <c r="J44" s="93"/>
      <c r="K44" s="5"/>
      <c r="L44" s="5"/>
      <c r="M44" s="5"/>
      <c r="N44" s="5"/>
      <c r="O44" s="5"/>
      <c r="P44" s="5"/>
      <c r="Q44" s="109">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4"/>
      <c r="AQ44" s="4"/>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5"/>
      <c r="BT44" s="103"/>
      <c r="BU44" s="103"/>
      <c r="BV44" s="5"/>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4">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93"/>
      <c r="G45" s="93"/>
      <c r="H45" s="93"/>
      <c r="I45" s="93"/>
      <c r="J45" s="93"/>
      <c r="K45" s="5"/>
      <c r="L45" s="5"/>
      <c r="M45" s="5"/>
      <c r="N45" s="5"/>
      <c r="O45" s="5"/>
      <c r="P45" s="5"/>
      <c r="Q45" s="109">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53"/>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5"/>
      <c r="BT45" s="103"/>
      <c r="BU45" s="103"/>
      <c r="BV45" s="5"/>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4">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93"/>
      <c r="G46" s="93"/>
      <c r="H46" s="93"/>
      <c r="I46" s="93"/>
      <c r="J46" s="93"/>
      <c r="K46" s="5"/>
      <c r="L46" s="5"/>
      <c r="M46" s="5"/>
      <c r="N46" s="5"/>
      <c r="O46" s="5"/>
      <c r="P46" s="5"/>
      <c r="Q46" s="109">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53"/>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5"/>
      <c r="BT46" s="103"/>
      <c r="BU46" s="103"/>
      <c r="BV46" s="5"/>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4">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93"/>
      <c r="G47" s="93"/>
      <c r="H47" s="93"/>
      <c r="I47" s="93"/>
      <c r="J47" s="93"/>
      <c r="K47" s="5"/>
      <c r="L47" s="5"/>
      <c r="M47" s="5"/>
      <c r="N47" s="5"/>
      <c r="O47" s="5"/>
      <c r="P47" s="5"/>
      <c r="Q47" s="109">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53"/>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5"/>
      <c r="BT47" s="103"/>
      <c r="BU47" s="103"/>
      <c r="BV47" s="5"/>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4">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93"/>
      <c r="G48" s="93"/>
      <c r="H48" s="93"/>
      <c r="I48" s="93"/>
      <c r="J48" s="93"/>
      <c r="K48" s="5"/>
      <c r="L48" s="5"/>
      <c r="M48" s="5"/>
      <c r="N48" s="5"/>
      <c r="O48" s="5"/>
      <c r="P48" s="5"/>
      <c r="Q48" s="109">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53"/>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5"/>
      <c r="BT48" s="103"/>
      <c r="BU48" s="103"/>
      <c r="BV48" s="5"/>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4">
        <v>44</v>
      </c>
      <c r="CY48" s="186"/>
      <c r="CZ48" s="186"/>
      <c r="DA48" s="51"/>
      <c r="DB48" s="51"/>
      <c r="DC48" s="51"/>
      <c r="DD48" s="51"/>
      <c r="DE48" s="51"/>
      <c r="DF48" s="51"/>
      <c r="DG48" s="51"/>
      <c r="DH48" s="51"/>
      <c r="DI48" s="51"/>
      <c r="DJ48" s="51"/>
      <c r="DK48" s="51"/>
      <c r="DL48" s="51"/>
      <c r="DM48" s="51"/>
      <c r="DN48" s="51"/>
      <c r="EB48" s="51"/>
      <c r="EC48" s="51"/>
    </row>
    <row r="49" spans="2:32" ht="15" customHeight="1">
      <c r="B49" s="186"/>
      <c r="C49" s="186"/>
      <c r="D49" s="51"/>
      <c r="E49" s="51"/>
      <c r="F49" s="51"/>
      <c r="G49" s="51"/>
      <c r="H49" s="51"/>
      <c r="I49" s="51"/>
      <c r="J49" s="51"/>
      <c r="K49" s="51"/>
      <c r="L49" s="51"/>
      <c r="M49" s="51"/>
      <c r="N49" s="51"/>
      <c r="O49" s="51"/>
      <c r="P49" s="51"/>
      <c r="Q49" s="51"/>
      <c r="AE49" s="51"/>
      <c r="AF49" s="51"/>
    </row>
  </sheetData>
  <mergeCells count="190">
    <mergeCell ref="A2:P2"/>
    <mergeCell ref="A3:A4"/>
    <mergeCell ref="CY29:CZ29"/>
    <mergeCell ref="R3:Z3"/>
    <mergeCell ref="BQ16:BR16"/>
    <mergeCell ref="CY16:CZ16"/>
    <mergeCell ref="AI36:AJ36"/>
    <mergeCell ref="BQ25:BR25"/>
    <mergeCell ref="AI46:AJ46"/>
    <mergeCell ref="AI11:AJ11"/>
    <mergeCell ref="BQ20:BR20"/>
    <mergeCell ref="CY25:CZ25"/>
    <mergeCell ref="BQ22:BR22"/>
    <mergeCell ref="AB3:AC4"/>
    <mergeCell ref="BJ3:BK4"/>
    <mergeCell ref="AI14:AJ14"/>
    <mergeCell ref="CF3:CF4"/>
    <mergeCell ref="AA3:AA4"/>
    <mergeCell ref="CY45:CZ45"/>
    <mergeCell ref="CY20:CZ20"/>
    <mergeCell ref="AK3:AW3"/>
    <mergeCell ref="AI22:AJ22"/>
    <mergeCell ref="BQ11:BR11"/>
    <mergeCell ref="AI31:AJ31"/>
    <mergeCell ref="AI37:AJ37"/>
    <mergeCell ref="BQ42:BR42"/>
    <mergeCell ref="BQ43:BR43"/>
    <mergeCell ref="CY35:CZ35"/>
    <mergeCell ref="AD3:AD4"/>
    <mergeCell ref="BL3:BL4"/>
    <mergeCell ref="AH3:AH4"/>
    <mergeCell ref="CY7:CZ7"/>
    <mergeCell ref="AI33:AJ33"/>
    <mergeCell ref="AI42:AJ42"/>
    <mergeCell ref="CY43:CZ43"/>
    <mergeCell ref="AI23:AJ23"/>
    <mergeCell ref="BQ46:BR46"/>
    <mergeCell ref="AI43:AJ43"/>
    <mergeCell ref="CY13:CZ13"/>
    <mergeCell ref="BQ7:BR7"/>
    <mergeCell ref="AH1:AX1"/>
    <mergeCell ref="AI45:AJ45"/>
    <mergeCell ref="BP2:CF2"/>
    <mergeCell ref="CX2:DN2"/>
    <mergeCell ref="AI20:AJ20"/>
    <mergeCell ref="CY9:CZ9"/>
    <mergeCell ref="CY46:CZ46"/>
    <mergeCell ref="BQ48:BR48"/>
    <mergeCell ref="CY40:CZ40"/>
    <mergeCell ref="CY27:CZ27"/>
    <mergeCell ref="AI44:AJ44"/>
    <mergeCell ref="AI34:AJ34"/>
    <mergeCell ref="BQ34:BR34"/>
    <mergeCell ref="AI28:AJ28"/>
    <mergeCell ref="BQ36:BR36"/>
    <mergeCell ref="AI30:AJ30"/>
    <mergeCell ref="BQ33:BR33"/>
    <mergeCell ref="CY30:CZ30"/>
    <mergeCell ref="BQ35:BR35"/>
    <mergeCell ref="CY48:CZ48"/>
    <mergeCell ref="BQ45:BR45"/>
    <mergeCell ref="BQ32:BR32"/>
    <mergeCell ref="AI27:AJ27"/>
    <mergeCell ref="AI47:AJ47"/>
    <mergeCell ref="CY32:CZ32"/>
    <mergeCell ref="BQ39:BR39"/>
    <mergeCell ref="CY42:CZ42"/>
    <mergeCell ref="CY47:CZ47"/>
    <mergeCell ref="BQ38:BR38"/>
    <mergeCell ref="BQ40:BR40"/>
    <mergeCell ref="CY28:CZ28"/>
    <mergeCell ref="A1:P1"/>
    <mergeCell ref="CY3:CZ4"/>
    <mergeCell ref="AI7:AJ7"/>
    <mergeCell ref="CY12:CZ12"/>
    <mergeCell ref="BQ21:BR21"/>
    <mergeCell ref="AI16:AJ16"/>
    <mergeCell ref="CY21:CZ21"/>
    <mergeCell ref="CV3:CW4"/>
    <mergeCell ref="CY41:CZ41"/>
    <mergeCell ref="BQ23:BR23"/>
    <mergeCell ref="AI18:AJ18"/>
    <mergeCell ref="CY23:CZ23"/>
    <mergeCell ref="AE3:AE4"/>
    <mergeCell ref="CQ3:CQ4"/>
    <mergeCell ref="BI3:BI4"/>
    <mergeCell ref="AI6:AJ6"/>
    <mergeCell ref="C3:O3"/>
    <mergeCell ref="AY3:BH3"/>
    <mergeCell ref="CY5:CZ5"/>
    <mergeCell ref="P3:P4"/>
    <mergeCell ref="BQ12:BR12"/>
    <mergeCell ref="AI32:AJ32"/>
    <mergeCell ref="CY11:CZ11"/>
    <mergeCell ref="CR3:CS4"/>
    <mergeCell ref="R1:AG1"/>
    <mergeCell ref="CY6:CZ6"/>
    <mergeCell ref="AX3:AX4"/>
    <mergeCell ref="DA3:DM3"/>
    <mergeCell ref="BS3:CE3"/>
    <mergeCell ref="CY15:CZ15"/>
    <mergeCell ref="CY44:CZ44"/>
    <mergeCell ref="CG2:CW2"/>
    <mergeCell ref="BQ31:BR31"/>
    <mergeCell ref="AI26:AJ26"/>
    <mergeCell ref="AF3:AG4"/>
    <mergeCell ref="AI19:AJ19"/>
    <mergeCell ref="CY24:CZ24"/>
    <mergeCell ref="R2:AG2"/>
    <mergeCell ref="CY10:CZ10"/>
    <mergeCell ref="AI9:AJ9"/>
    <mergeCell ref="AI3:AJ4"/>
    <mergeCell ref="BQ26:BR26"/>
    <mergeCell ref="AI12:AJ12"/>
    <mergeCell ref="AY1:BO1"/>
    <mergeCell ref="AI21:AJ21"/>
    <mergeCell ref="CY22:CZ22"/>
    <mergeCell ref="CY31:CZ31"/>
    <mergeCell ref="BQ30:BR30"/>
    <mergeCell ref="B49:C49"/>
    <mergeCell ref="CU3:CU4"/>
    <mergeCell ref="CG3:CP3"/>
    <mergeCell ref="BQ18:BR18"/>
    <mergeCell ref="BP1:CF1"/>
    <mergeCell ref="CX1:DN1"/>
    <mergeCell ref="BQ27:BR27"/>
    <mergeCell ref="BQ8:BR8"/>
    <mergeCell ref="CY8:CZ8"/>
    <mergeCell ref="BQ17:BR17"/>
    <mergeCell ref="CY17:CZ17"/>
    <mergeCell ref="AH2:AX2"/>
    <mergeCell ref="CY38:CZ38"/>
    <mergeCell ref="BQ10:BR10"/>
    <mergeCell ref="AI5:AJ5"/>
    <mergeCell ref="BM3:BM4"/>
    <mergeCell ref="AI39:AJ39"/>
    <mergeCell ref="CY19:CZ19"/>
    <mergeCell ref="BQ19:BR19"/>
    <mergeCell ref="BQ28:BR28"/>
    <mergeCell ref="AI48:AJ48"/>
    <mergeCell ref="BQ9:BR9"/>
    <mergeCell ref="AI29:AJ29"/>
    <mergeCell ref="B3:B4"/>
    <mergeCell ref="AI41:AJ41"/>
    <mergeCell ref="BQ41:BR41"/>
    <mergeCell ref="AI35:AJ35"/>
    <mergeCell ref="CT3:CT4"/>
    <mergeCell ref="BQ47:BR47"/>
    <mergeCell ref="AI25:AJ25"/>
    <mergeCell ref="CY26:CZ26"/>
    <mergeCell ref="AI38:AJ38"/>
    <mergeCell ref="CY39:CZ39"/>
    <mergeCell ref="BQ3:BR4"/>
    <mergeCell ref="CY36:CZ36"/>
    <mergeCell ref="CY18:CZ18"/>
    <mergeCell ref="BP3:BP4"/>
    <mergeCell ref="BQ5:BR5"/>
    <mergeCell ref="AU44:AV44"/>
    <mergeCell ref="AI13:AJ13"/>
    <mergeCell ref="BQ13:BR13"/>
    <mergeCell ref="BQ44:BR44"/>
    <mergeCell ref="BQ14:BR14"/>
    <mergeCell ref="BN3:BO4"/>
    <mergeCell ref="AI8:AJ8"/>
    <mergeCell ref="CX3:CX4"/>
    <mergeCell ref="AI17:AJ17"/>
    <mergeCell ref="BQ37:BR37"/>
    <mergeCell ref="DO1:EE1"/>
    <mergeCell ref="CY33:CZ33"/>
    <mergeCell ref="BQ6:BR6"/>
    <mergeCell ref="BQ15:BR15"/>
    <mergeCell ref="DY3:DY4"/>
    <mergeCell ref="CY14:CZ14"/>
    <mergeCell ref="EB3:EB4"/>
    <mergeCell ref="AY2:BO2"/>
    <mergeCell ref="AI40:AJ40"/>
    <mergeCell ref="AI15:AJ15"/>
    <mergeCell ref="BQ29:BR29"/>
    <mergeCell ref="AI24:AJ24"/>
    <mergeCell ref="DO3:DX3"/>
    <mergeCell ref="ED3:EE4"/>
    <mergeCell ref="DO2:EE2"/>
    <mergeCell ref="CY34:CZ34"/>
    <mergeCell ref="DZ3:EA4"/>
    <mergeCell ref="EC3:EC4"/>
    <mergeCell ref="CG1:CW1"/>
    <mergeCell ref="DN3:DN4"/>
    <mergeCell ref="CY37:CZ37"/>
    <mergeCell ref="AI10:AJ10"/>
    <mergeCell ref="BQ24:BR24"/>
  </mergeCells>
  <conditionalFormatting sqref="AE1:AE41 AE96:AE1048576">
    <cfRule type="cellIs" dxfId="7" priority="1" operator="lessThan">
      <formula>3</formula>
    </cfRule>
  </conditionalFormatting>
  <pageMargins left="0.7" right="0.7" top="0.75" bottom="0.75" header="0.3" footer="0.3"/>
  <pageSetup orientation="portrait" horizontalDpi="4294967293" r:id="rId1"/>
  <headerFooter>
    <oddHeader>&amp;LINGLES&amp;CGRUPO 9°</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12">
    <tabColor rgb="FFF0A060"/>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21</v>
      </c>
      <c r="M9" s="251"/>
      <c r="N9" s="251"/>
      <c r="O9" s="251"/>
      <c r="P9" s="251"/>
      <c r="Q9" s="241"/>
    </row>
    <row r="10" spans="2:17">
      <c r="B10" s="291" t="s">
        <v>104</v>
      </c>
      <c r="C10" s="241"/>
      <c r="D10" s="286" t="s">
        <v>124</v>
      </c>
      <c r="E10" s="251"/>
      <c r="F10" s="251"/>
      <c r="G10" s="241"/>
      <c r="H10" s="13"/>
      <c r="I10" s="49"/>
      <c r="J10" s="13"/>
      <c r="K10" s="13"/>
      <c r="L10" s="13"/>
      <c r="M10" s="13"/>
      <c r="N10" s="13"/>
      <c r="O10" s="13"/>
      <c r="P10" s="13"/>
      <c r="Q10" s="13"/>
    </row>
    <row r="11" spans="2:17">
      <c r="B11" s="282" t="s">
        <v>106</v>
      </c>
      <c r="C11" s="241"/>
      <c r="D11" s="284" t="s">
        <v>107</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MAESTRO!F5</f>
        <v>0</v>
      </c>
      <c r="D16" s="17"/>
      <c r="E16" s="17"/>
      <c r="F16" s="52" t="e">
        <f>'PROM (Ingles 9°)'!AE5</f>
        <v>#DIV/0!</v>
      </c>
      <c r="G16" s="52" t="e">
        <f>'PROM (Ingles 9°)'!BM5</f>
        <v>#DIV/0!</v>
      </c>
      <c r="H16" s="52" t="e">
        <f>'PROM (Ingles 9°)'!CU5</f>
        <v>#DIV/0!</v>
      </c>
      <c r="I16" s="52" t="e">
        <f t="shared" ref="I16:I52" si="0">TRUNC(AVERAGE(F16:H16),1)</f>
        <v>#DIV/0!</v>
      </c>
      <c r="J16" s="62">
        <f>'Asistencia (9°)'!BI3</f>
        <v>0</v>
      </c>
      <c r="K16" s="62">
        <f>'Asistencia (9°)'!BJ3</f>
        <v>0</v>
      </c>
      <c r="L16" s="62">
        <f>'Asistencia (9°)'!BJ3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MAESTRO!F6</f>
        <v>0</v>
      </c>
      <c r="D17" s="17"/>
      <c r="E17" s="17"/>
      <c r="F17" s="52" t="e">
        <f>'PROM (Ingles 9°)'!AE6</f>
        <v>#DIV/0!</v>
      </c>
      <c r="G17" s="52" t="e">
        <f>'PROM (Ingles 9°)'!BM6</f>
        <v>#DIV/0!</v>
      </c>
      <c r="H17" s="52" t="e">
        <f>'PROM (Ingles 9°)'!CU6</f>
        <v>#DIV/0!</v>
      </c>
      <c r="I17" s="52" t="e">
        <f t="shared" si="0"/>
        <v>#DIV/0!</v>
      </c>
      <c r="J17" s="62">
        <f>'Asistencia (9°)'!BI4</f>
        <v>0</v>
      </c>
      <c r="K17" s="62">
        <f>'Asistencia (9°)'!BJ4</f>
        <v>0</v>
      </c>
      <c r="L17" s="62">
        <f>'Asistencia (9°)'!BJ4</f>
        <v>0</v>
      </c>
      <c r="M17" s="62">
        <f>'Asistencia (9°)'!BJ47</f>
        <v>0</v>
      </c>
      <c r="N17" s="62">
        <f>'Asistencia (9°)'!BI92</f>
        <v>0</v>
      </c>
      <c r="O17" s="62">
        <f>'Asistencia (9°)'!BJ92</f>
        <v>0</v>
      </c>
      <c r="P17" s="63">
        <f t="shared" si="1"/>
        <v>0</v>
      </c>
      <c r="Q17" s="63">
        <f t="shared" si="2"/>
        <v>0</v>
      </c>
    </row>
    <row r="18" spans="2:17">
      <c r="B18" s="10">
        <v>3</v>
      </c>
      <c r="C18" s="12">
        <f>MAESTRO!F7</f>
        <v>0</v>
      </c>
      <c r="D18" s="17"/>
      <c r="E18" s="17"/>
      <c r="F18" s="52" t="e">
        <f>'PROM (Ingles 9°)'!AE7</f>
        <v>#DIV/0!</v>
      </c>
      <c r="G18" s="52" t="e">
        <f>'PROM (Ingles 9°)'!BM7</f>
        <v>#DIV/0!</v>
      </c>
      <c r="H18" s="52" t="e">
        <f>'PROM (Ingles 9°)'!CU7</f>
        <v>#DIV/0!</v>
      </c>
      <c r="I18" s="52" t="e">
        <f t="shared" si="0"/>
        <v>#DIV/0!</v>
      </c>
      <c r="J18" s="62">
        <f>'Asistencia (9°)'!BI5</f>
        <v>0</v>
      </c>
      <c r="K18" s="62">
        <f>'Asistencia (9°)'!BJ5</f>
        <v>0</v>
      </c>
      <c r="L18" s="62">
        <f>'Asistencia (9°)'!BJ5</f>
        <v>0</v>
      </c>
      <c r="M18" s="62">
        <f>'Asistencia (9°)'!BJ48</f>
        <v>0</v>
      </c>
      <c r="N18" s="62">
        <f>'Asistencia (9°)'!BI93</f>
        <v>0</v>
      </c>
      <c r="O18" s="62">
        <f>'Asistencia (9°)'!BJ93</f>
        <v>0</v>
      </c>
      <c r="P18" s="63">
        <f t="shared" si="1"/>
        <v>0</v>
      </c>
      <c r="Q18" s="63">
        <f t="shared" si="2"/>
        <v>0</v>
      </c>
    </row>
    <row r="19" spans="2:17">
      <c r="B19" s="10">
        <v>4</v>
      </c>
      <c r="C19" s="12">
        <f>MAESTRO!F8</f>
        <v>0</v>
      </c>
      <c r="D19" s="17"/>
      <c r="E19" s="17"/>
      <c r="F19" s="52" t="e">
        <f>'PROM (Ingles 9°)'!AE8</f>
        <v>#DIV/0!</v>
      </c>
      <c r="G19" s="52" t="e">
        <f>'PROM (Ingles 9°)'!BM8</f>
        <v>#DIV/0!</v>
      </c>
      <c r="H19" s="52" t="e">
        <f>'PROM (Ingles 9°)'!CU8</f>
        <v>#DIV/0!</v>
      </c>
      <c r="I19" s="52" t="e">
        <f t="shared" si="0"/>
        <v>#DIV/0!</v>
      </c>
      <c r="J19" s="62">
        <f>'Asistencia (9°)'!BI6</f>
        <v>0</v>
      </c>
      <c r="K19" s="62">
        <f>'Asistencia (9°)'!BJ6</f>
        <v>0</v>
      </c>
      <c r="L19" s="62">
        <f>'Asistencia (9°)'!BJ6</f>
        <v>0</v>
      </c>
      <c r="M19" s="62">
        <f>'Asistencia (9°)'!BJ49</f>
        <v>0</v>
      </c>
      <c r="N19" s="62">
        <f>'Asistencia (9°)'!BI94</f>
        <v>0</v>
      </c>
      <c r="O19" s="62">
        <f>'Asistencia (9°)'!BJ94</f>
        <v>0</v>
      </c>
      <c r="P19" s="63">
        <f t="shared" si="1"/>
        <v>0</v>
      </c>
      <c r="Q19" s="63">
        <f t="shared" si="2"/>
        <v>0</v>
      </c>
    </row>
    <row r="20" spans="2:17">
      <c r="B20" s="10">
        <v>5</v>
      </c>
      <c r="C20" s="12">
        <f>MAESTRO!F9</f>
        <v>0</v>
      </c>
      <c r="D20" s="17"/>
      <c r="E20" s="17"/>
      <c r="F20" s="52" t="e">
        <f>'PROM (Ingles 9°)'!AE9</f>
        <v>#DIV/0!</v>
      </c>
      <c r="G20" s="52" t="e">
        <f>'PROM (Ingles 9°)'!BM9</f>
        <v>#DIV/0!</v>
      </c>
      <c r="H20" s="52" t="e">
        <f>'PROM (Ingles 9°)'!CU9</f>
        <v>#DIV/0!</v>
      </c>
      <c r="I20" s="52" t="e">
        <f t="shared" si="0"/>
        <v>#DIV/0!</v>
      </c>
      <c r="J20" s="62">
        <f>'Asistencia (9°)'!BI7</f>
        <v>0</v>
      </c>
      <c r="K20" s="62">
        <f>'Asistencia (9°)'!BJ7</f>
        <v>0</v>
      </c>
      <c r="L20" s="62">
        <f>'Asistencia (9°)'!BJ7</f>
        <v>0</v>
      </c>
      <c r="M20" s="62">
        <f>'Asistencia (9°)'!BJ50</f>
        <v>0</v>
      </c>
      <c r="N20" s="62">
        <f>'Asistencia (9°)'!BI95</f>
        <v>0</v>
      </c>
      <c r="O20" s="62">
        <f>'Asistencia (9°)'!BJ95</f>
        <v>0</v>
      </c>
      <c r="P20" s="63">
        <f t="shared" si="1"/>
        <v>0</v>
      </c>
      <c r="Q20" s="63">
        <f t="shared" si="2"/>
        <v>0</v>
      </c>
    </row>
    <row r="21" spans="2:17">
      <c r="B21" s="10">
        <v>6</v>
      </c>
      <c r="C21" s="12">
        <f>MAESTRO!F10</f>
        <v>0</v>
      </c>
      <c r="D21" s="17"/>
      <c r="E21" s="17"/>
      <c r="F21" s="52" t="e">
        <f>'PROM (Ingles 9°)'!AE10</f>
        <v>#DIV/0!</v>
      </c>
      <c r="G21" s="52" t="e">
        <f>'PROM (Ingles 9°)'!BM10</f>
        <v>#DIV/0!</v>
      </c>
      <c r="H21" s="52" t="e">
        <f>'PROM (Ingles 9°)'!CU10</f>
        <v>#DIV/0!</v>
      </c>
      <c r="I21" s="52" t="e">
        <f t="shared" si="0"/>
        <v>#DIV/0!</v>
      </c>
      <c r="J21" s="62">
        <f>'Asistencia (9°)'!BI8</f>
        <v>0</v>
      </c>
      <c r="K21" s="62">
        <f>'Asistencia (9°)'!BJ8</f>
        <v>0</v>
      </c>
      <c r="L21" s="62">
        <f>'Asistencia (9°)'!BJ8</f>
        <v>0</v>
      </c>
      <c r="M21" s="62">
        <f>'Asistencia (9°)'!BJ51</f>
        <v>0</v>
      </c>
      <c r="N21" s="62">
        <f>'Asistencia (9°)'!BI96</f>
        <v>0</v>
      </c>
      <c r="O21" s="62">
        <f>'Asistencia (9°)'!BJ96</f>
        <v>0</v>
      </c>
      <c r="P21" s="63">
        <f t="shared" si="1"/>
        <v>0</v>
      </c>
      <c r="Q21" s="63">
        <f t="shared" si="2"/>
        <v>0</v>
      </c>
    </row>
    <row r="22" spans="2:17">
      <c r="B22" s="10">
        <v>7</v>
      </c>
      <c r="C22" s="12">
        <f>MAESTRO!F11</f>
        <v>0</v>
      </c>
      <c r="D22" s="17"/>
      <c r="E22" s="17"/>
      <c r="F22" s="52" t="e">
        <f>'PROM (Ingles 9°)'!AE11</f>
        <v>#DIV/0!</v>
      </c>
      <c r="G22" s="52" t="e">
        <f>'PROM (Ingles 9°)'!BM11</f>
        <v>#DIV/0!</v>
      </c>
      <c r="H22" s="52" t="e">
        <f>'PROM (Ingles 9°)'!CU11</f>
        <v>#DIV/0!</v>
      </c>
      <c r="I22" s="52" t="e">
        <f t="shared" si="0"/>
        <v>#DIV/0!</v>
      </c>
      <c r="J22" s="62">
        <f>'Asistencia (9°)'!BI9</f>
        <v>0</v>
      </c>
      <c r="K22" s="62">
        <f>'Asistencia (9°)'!BJ9</f>
        <v>0</v>
      </c>
      <c r="L22" s="62">
        <f>'Asistencia (9°)'!BJ9</f>
        <v>0</v>
      </c>
      <c r="M22" s="62">
        <f>'Asistencia (9°)'!BJ52</f>
        <v>0</v>
      </c>
      <c r="N22" s="62">
        <f>'Asistencia (9°)'!BI97</f>
        <v>0</v>
      </c>
      <c r="O22" s="62">
        <f>'Asistencia (9°)'!BJ97</f>
        <v>0</v>
      </c>
      <c r="P22" s="63">
        <f t="shared" si="1"/>
        <v>0</v>
      </c>
      <c r="Q22" s="63">
        <f t="shared" si="2"/>
        <v>0</v>
      </c>
    </row>
    <row r="23" spans="2:17">
      <c r="B23" s="10">
        <v>8</v>
      </c>
      <c r="C23" s="12">
        <f>MAESTRO!F12</f>
        <v>0</v>
      </c>
      <c r="D23" s="17"/>
      <c r="E23" s="17"/>
      <c r="F23" s="52" t="e">
        <f>'PROM (Ingles 9°)'!AE12</f>
        <v>#DIV/0!</v>
      </c>
      <c r="G23" s="52" t="e">
        <f>'PROM (Ingles 9°)'!BM12</f>
        <v>#DIV/0!</v>
      </c>
      <c r="H23" s="52" t="e">
        <f>'PROM (Ingles 9°)'!CU12</f>
        <v>#DIV/0!</v>
      </c>
      <c r="I23" s="52" t="e">
        <f t="shared" si="0"/>
        <v>#DIV/0!</v>
      </c>
      <c r="J23" s="62">
        <f>'Asistencia (9°)'!BI10</f>
        <v>0</v>
      </c>
      <c r="K23" s="62">
        <f>'Asistencia (9°)'!BJ10</f>
        <v>0</v>
      </c>
      <c r="L23" s="62">
        <f>'Asistencia (9°)'!BJ10</f>
        <v>0</v>
      </c>
      <c r="M23" s="62">
        <f>'Asistencia (9°)'!BJ53</f>
        <v>0</v>
      </c>
      <c r="N23" s="62">
        <f>'Asistencia (9°)'!BI98</f>
        <v>0</v>
      </c>
      <c r="O23" s="62">
        <f>'Asistencia (9°)'!BJ98</f>
        <v>0</v>
      </c>
      <c r="P23" s="63">
        <f t="shared" si="1"/>
        <v>0</v>
      </c>
      <c r="Q23" s="63">
        <f t="shared" si="2"/>
        <v>0</v>
      </c>
    </row>
    <row r="24" spans="2:17">
      <c r="B24" s="10">
        <v>9</v>
      </c>
      <c r="C24" s="12">
        <f>MAESTRO!F13</f>
        <v>0</v>
      </c>
      <c r="D24" s="17"/>
      <c r="E24" s="17"/>
      <c r="F24" s="52" t="e">
        <f>'PROM (Ingles 9°)'!AE13</f>
        <v>#DIV/0!</v>
      </c>
      <c r="G24" s="52" t="e">
        <f>'PROM (Ingles 9°)'!BM13</f>
        <v>#DIV/0!</v>
      </c>
      <c r="H24" s="52" t="e">
        <f>'PROM (Ingles 9°)'!CU13</f>
        <v>#DIV/0!</v>
      </c>
      <c r="I24" s="52" t="e">
        <f t="shared" si="0"/>
        <v>#DIV/0!</v>
      </c>
      <c r="J24" s="62">
        <f>'Asistencia (9°)'!BI11</f>
        <v>0</v>
      </c>
      <c r="K24" s="62">
        <f>'Asistencia (9°)'!BJ11</f>
        <v>0</v>
      </c>
      <c r="L24" s="62">
        <f>'Asistencia (9°)'!BJ11</f>
        <v>0</v>
      </c>
      <c r="M24" s="62">
        <f>'Asistencia (9°)'!BJ54</f>
        <v>0</v>
      </c>
      <c r="N24" s="62">
        <f>'Asistencia (9°)'!BI99</f>
        <v>0</v>
      </c>
      <c r="O24" s="62">
        <f>'Asistencia (9°)'!BJ99</f>
        <v>0</v>
      </c>
      <c r="P24" s="63">
        <f t="shared" si="1"/>
        <v>0</v>
      </c>
      <c r="Q24" s="63">
        <f t="shared" si="2"/>
        <v>0</v>
      </c>
    </row>
    <row r="25" spans="2:17">
      <c r="B25" s="10">
        <v>10</v>
      </c>
      <c r="C25" s="12">
        <f>MAESTRO!F14</f>
        <v>0</v>
      </c>
      <c r="D25" s="17"/>
      <c r="E25" s="17"/>
      <c r="F25" s="52" t="e">
        <f>'PROM (Ingles 9°)'!AE14</f>
        <v>#DIV/0!</v>
      </c>
      <c r="G25" s="52" t="e">
        <f>'PROM (Ingles 9°)'!BM14</f>
        <v>#DIV/0!</v>
      </c>
      <c r="H25" s="52" t="e">
        <f>'PROM (Ingles 9°)'!CU14</f>
        <v>#DIV/0!</v>
      </c>
      <c r="I25" s="52" t="e">
        <f t="shared" si="0"/>
        <v>#DIV/0!</v>
      </c>
      <c r="J25" s="62">
        <f>'Asistencia (9°)'!BI12</f>
        <v>0</v>
      </c>
      <c r="K25" s="62">
        <f>'Asistencia (9°)'!BJ12</f>
        <v>0</v>
      </c>
      <c r="L25" s="62">
        <f>'Asistencia (9°)'!BJ12</f>
        <v>0</v>
      </c>
      <c r="M25" s="62">
        <f>'Asistencia (9°)'!BJ55</f>
        <v>0</v>
      </c>
      <c r="N25" s="62">
        <f>'Asistencia (9°)'!BI100</f>
        <v>0</v>
      </c>
      <c r="O25" s="62">
        <f>'Asistencia (9°)'!BJ100</f>
        <v>0</v>
      </c>
      <c r="P25" s="63">
        <f t="shared" si="1"/>
        <v>0</v>
      </c>
      <c r="Q25" s="63">
        <f t="shared" si="2"/>
        <v>0</v>
      </c>
    </row>
    <row r="26" spans="2:17">
      <c r="B26" s="10">
        <v>11</v>
      </c>
      <c r="C26" s="12">
        <f>MAESTRO!F15</f>
        <v>0</v>
      </c>
      <c r="D26" s="17"/>
      <c r="E26" s="17"/>
      <c r="F26" s="52" t="e">
        <f>'PROM (Ingles 9°)'!AE15</f>
        <v>#DIV/0!</v>
      </c>
      <c r="G26" s="52" t="e">
        <f>'PROM (Ingles 9°)'!BM15</f>
        <v>#DIV/0!</v>
      </c>
      <c r="H26" s="52" t="e">
        <f>'PROM (Ingles 9°)'!CU15</f>
        <v>#DIV/0!</v>
      </c>
      <c r="I26" s="52" t="e">
        <f t="shared" si="0"/>
        <v>#DIV/0!</v>
      </c>
      <c r="J26" s="62">
        <f>'Asistencia (9°)'!BI13</f>
        <v>0</v>
      </c>
      <c r="K26" s="62">
        <f>'Asistencia (9°)'!BJ13</f>
        <v>0</v>
      </c>
      <c r="L26" s="62">
        <f>'Asistencia (9°)'!BJ13</f>
        <v>0</v>
      </c>
      <c r="M26" s="62">
        <f>'Asistencia (9°)'!BJ56</f>
        <v>0</v>
      </c>
      <c r="N26" s="62">
        <f>'Asistencia (9°)'!BI101</f>
        <v>0</v>
      </c>
      <c r="O26" s="62">
        <f>'Asistencia (9°)'!BJ101</f>
        <v>0</v>
      </c>
      <c r="P26" s="63">
        <f t="shared" si="1"/>
        <v>0</v>
      </c>
      <c r="Q26" s="63">
        <f t="shared" si="2"/>
        <v>0</v>
      </c>
    </row>
    <row r="27" spans="2:17">
      <c r="B27" s="10">
        <v>12</v>
      </c>
      <c r="C27" s="12">
        <f>MAESTRO!F16</f>
        <v>0</v>
      </c>
      <c r="D27" s="17"/>
      <c r="E27" s="17"/>
      <c r="F27" s="52" t="e">
        <f>'PROM (Ingles 9°)'!AE16</f>
        <v>#DIV/0!</v>
      </c>
      <c r="G27" s="52" t="e">
        <f>'PROM (Ingles 9°)'!BM16</f>
        <v>#DIV/0!</v>
      </c>
      <c r="H27" s="52" t="e">
        <f>'PROM (Ingles 9°)'!CU16</f>
        <v>#DIV/0!</v>
      </c>
      <c r="I27" s="52" t="e">
        <f t="shared" si="0"/>
        <v>#DIV/0!</v>
      </c>
      <c r="J27" s="62">
        <f>'Asistencia (9°)'!BI14</f>
        <v>0</v>
      </c>
      <c r="K27" s="62">
        <f>'Asistencia (9°)'!BJ14</f>
        <v>0</v>
      </c>
      <c r="L27" s="62">
        <f>'Asistencia (9°)'!BJ14</f>
        <v>0</v>
      </c>
      <c r="M27" s="62">
        <f>'Asistencia (9°)'!BJ57</f>
        <v>0</v>
      </c>
      <c r="N27" s="62">
        <f>'Asistencia (9°)'!BI102</f>
        <v>0</v>
      </c>
      <c r="O27" s="62">
        <f>'Asistencia (9°)'!BJ102</f>
        <v>0</v>
      </c>
      <c r="P27" s="63">
        <f t="shared" si="1"/>
        <v>0</v>
      </c>
      <c r="Q27" s="63">
        <f t="shared" si="2"/>
        <v>0</v>
      </c>
    </row>
    <row r="28" spans="2:17">
      <c r="B28" s="10">
        <v>13</v>
      </c>
      <c r="C28" s="12">
        <f>MAESTRO!F17</f>
        <v>0</v>
      </c>
      <c r="D28" s="17"/>
      <c r="E28" s="17"/>
      <c r="F28" s="52" t="e">
        <f>'PROM (Ingles 9°)'!AE17</f>
        <v>#DIV/0!</v>
      </c>
      <c r="G28" s="52" t="e">
        <f>'PROM (Ingles 9°)'!BM17</f>
        <v>#DIV/0!</v>
      </c>
      <c r="H28" s="52" t="e">
        <f>'PROM (Ingles 9°)'!CU17</f>
        <v>#DIV/0!</v>
      </c>
      <c r="I28" s="52" t="e">
        <f t="shared" si="0"/>
        <v>#DIV/0!</v>
      </c>
      <c r="J28" s="62">
        <f>'Asistencia (9°)'!BI15</f>
        <v>0</v>
      </c>
      <c r="K28" s="62">
        <f>'Asistencia (9°)'!BJ15</f>
        <v>0</v>
      </c>
      <c r="L28" s="62">
        <f>'Asistencia (9°)'!BJ15</f>
        <v>0</v>
      </c>
      <c r="M28" s="62">
        <f>'Asistencia (9°)'!BJ58</f>
        <v>0</v>
      </c>
      <c r="N28" s="62">
        <f>'Asistencia (9°)'!BI103</f>
        <v>0</v>
      </c>
      <c r="O28" s="62">
        <f>'Asistencia (9°)'!BJ103</f>
        <v>0</v>
      </c>
      <c r="P28" s="63">
        <f t="shared" si="1"/>
        <v>0</v>
      </c>
      <c r="Q28" s="63">
        <f t="shared" si="2"/>
        <v>0</v>
      </c>
    </row>
    <row r="29" spans="2:17">
      <c r="B29" s="10">
        <v>14</v>
      </c>
      <c r="C29" s="12">
        <f>MAESTRO!F18</f>
        <v>0</v>
      </c>
      <c r="D29" s="17"/>
      <c r="E29" s="17"/>
      <c r="F29" s="52" t="e">
        <f>'PROM (Ingles 9°)'!AE18</f>
        <v>#DIV/0!</v>
      </c>
      <c r="G29" s="52" t="e">
        <f>'PROM (Ingles 9°)'!BM18</f>
        <v>#DIV/0!</v>
      </c>
      <c r="H29" s="52" t="e">
        <f>'PROM (Ingles 9°)'!CU18</f>
        <v>#DIV/0!</v>
      </c>
      <c r="I29" s="52" t="e">
        <f t="shared" si="0"/>
        <v>#DIV/0!</v>
      </c>
      <c r="J29" s="62">
        <f>'Asistencia (9°)'!BI16</f>
        <v>0</v>
      </c>
      <c r="K29" s="62">
        <f>'Asistencia (9°)'!BJ16</f>
        <v>0</v>
      </c>
      <c r="L29" s="62">
        <f>'Asistencia (9°)'!BJ16</f>
        <v>0</v>
      </c>
      <c r="M29" s="62">
        <f>'Asistencia (9°)'!BJ59</f>
        <v>0</v>
      </c>
      <c r="N29" s="62">
        <f>'Asistencia (9°)'!BI104</f>
        <v>0</v>
      </c>
      <c r="O29" s="62">
        <f>'Asistencia (9°)'!BJ104</f>
        <v>0</v>
      </c>
      <c r="P29" s="63">
        <f t="shared" si="1"/>
        <v>0</v>
      </c>
      <c r="Q29" s="63">
        <f t="shared" si="2"/>
        <v>0</v>
      </c>
    </row>
    <row r="30" spans="2:17">
      <c r="B30" s="10">
        <v>15</v>
      </c>
      <c r="C30" s="12">
        <f>MAESTRO!F19</f>
        <v>0</v>
      </c>
      <c r="D30" s="17"/>
      <c r="E30" s="17"/>
      <c r="F30" s="52" t="e">
        <f>'PROM (Ingles 9°)'!AE19</f>
        <v>#DIV/0!</v>
      </c>
      <c r="G30" s="52" t="e">
        <f>'PROM (Ingles 9°)'!BM19</f>
        <v>#DIV/0!</v>
      </c>
      <c r="H30" s="52" t="e">
        <f>'PROM (Ingles 9°)'!CU19</f>
        <v>#DIV/0!</v>
      </c>
      <c r="I30" s="52" t="e">
        <f t="shared" si="0"/>
        <v>#DIV/0!</v>
      </c>
      <c r="J30" s="62">
        <f>'Asistencia (9°)'!BI17</f>
        <v>0</v>
      </c>
      <c r="K30" s="62">
        <f>'Asistencia (9°)'!BJ17</f>
        <v>0</v>
      </c>
      <c r="L30" s="62">
        <f>'Asistencia (9°)'!BJ17</f>
        <v>0</v>
      </c>
      <c r="M30" s="62">
        <f>'Asistencia (9°)'!BJ60</f>
        <v>0</v>
      </c>
      <c r="N30" s="62">
        <f>'Asistencia (9°)'!BI105</f>
        <v>0</v>
      </c>
      <c r="O30" s="62">
        <f>'Asistencia (9°)'!BJ105</f>
        <v>0</v>
      </c>
      <c r="P30" s="63">
        <f t="shared" si="1"/>
        <v>0</v>
      </c>
      <c r="Q30" s="63">
        <f t="shared" si="2"/>
        <v>0</v>
      </c>
    </row>
    <row r="31" spans="2:17">
      <c r="B31" s="10">
        <v>16</v>
      </c>
      <c r="C31" s="12">
        <f>MAESTRO!F20</f>
        <v>0</v>
      </c>
      <c r="D31" s="17"/>
      <c r="E31" s="17"/>
      <c r="F31" s="52" t="e">
        <f>'PROM (Ingles 9°)'!AE20</f>
        <v>#DIV/0!</v>
      </c>
      <c r="G31" s="52" t="e">
        <f>'PROM (Ingles 9°)'!BM20</f>
        <v>#DIV/0!</v>
      </c>
      <c r="H31" s="52" t="e">
        <f>'PROM (Ingles 9°)'!CU20</f>
        <v>#DIV/0!</v>
      </c>
      <c r="I31" s="52" t="e">
        <f t="shared" si="0"/>
        <v>#DIV/0!</v>
      </c>
      <c r="J31" s="62">
        <f>'Asistencia (9°)'!BI18</f>
        <v>0</v>
      </c>
      <c r="K31" s="62">
        <f>'Asistencia (9°)'!BJ18</f>
        <v>0</v>
      </c>
      <c r="L31" s="62">
        <f>'Asistencia (9°)'!BJ18</f>
        <v>0</v>
      </c>
      <c r="M31" s="62">
        <f>'Asistencia (9°)'!BJ61</f>
        <v>0</v>
      </c>
      <c r="N31" s="62">
        <f>'Asistencia (9°)'!BI106</f>
        <v>0</v>
      </c>
      <c r="O31" s="62">
        <f>'Asistencia (9°)'!BJ106</f>
        <v>0</v>
      </c>
      <c r="P31" s="63">
        <f t="shared" si="1"/>
        <v>0</v>
      </c>
      <c r="Q31" s="63">
        <f t="shared" si="2"/>
        <v>0</v>
      </c>
    </row>
    <row r="32" spans="2:17">
      <c r="B32" s="10">
        <v>17</v>
      </c>
      <c r="C32" s="12">
        <f>MAESTRO!F21</f>
        <v>0</v>
      </c>
      <c r="D32" s="17"/>
      <c r="E32" s="17"/>
      <c r="F32" s="52" t="e">
        <f>'PROM (Ingles 9°)'!AE21</f>
        <v>#DIV/0!</v>
      </c>
      <c r="G32" s="73" t="e">
        <f>'PROM (Ingles 9°)'!BM21</f>
        <v>#DIV/0!</v>
      </c>
      <c r="H32" s="52" t="e">
        <f>'PROM (Ingles 9°)'!CU21</f>
        <v>#DIV/0!</v>
      </c>
      <c r="I32" s="52" t="e">
        <f t="shared" si="0"/>
        <v>#DIV/0!</v>
      </c>
      <c r="J32" s="62">
        <f>'Asistencia (9°)'!BI19</f>
        <v>0</v>
      </c>
      <c r="K32" s="62">
        <f>'Asistencia (9°)'!BJ19</f>
        <v>0</v>
      </c>
      <c r="L32" s="62">
        <f>'Asistencia (9°)'!BJ19</f>
        <v>0</v>
      </c>
      <c r="M32" s="62">
        <f>'Asistencia (9°)'!BJ62</f>
        <v>0</v>
      </c>
      <c r="N32" s="62">
        <f>'Asistencia (9°)'!BI107</f>
        <v>0</v>
      </c>
      <c r="O32" s="62">
        <f>'Asistencia (9°)'!BJ107</f>
        <v>0</v>
      </c>
      <c r="P32" s="63">
        <f t="shared" si="1"/>
        <v>0</v>
      </c>
      <c r="Q32" s="63">
        <f t="shared" si="2"/>
        <v>0</v>
      </c>
    </row>
    <row r="33" spans="2:17">
      <c r="B33" s="10">
        <v>18</v>
      </c>
      <c r="C33" s="12">
        <f>MAESTRO!F22</f>
        <v>0</v>
      </c>
      <c r="D33" s="17"/>
      <c r="E33" s="17"/>
      <c r="F33" s="52" t="e">
        <f>'PROM (Ingles 9°)'!AE22</f>
        <v>#DIV/0!</v>
      </c>
      <c r="G33" s="73" t="e">
        <f>'PROM (Ingles 9°)'!BM22</f>
        <v>#DIV/0!</v>
      </c>
      <c r="H33" s="52" t="e">
        <f>'PROM (Ingles 9°)'!CU22</f>
        <v>#DIV/0!</v>
      </c>
      <c r="I33" s="52" t="e">
        <f t="shared" si="0"/>
        <v>#DIV/0!</v>
      </c>
      <c r="J33" s="62">
        <f>'Asistencia (9°)'!BI20</f>
        <v>0</v>
      </c>
      <c r="K33" s="62">
        <f>'Asistencia (9°)'!BJ20</f>
        <v>0</v>
      </c>
      <c r="L33" s="62">
        <f>'Asistencia (9°)'!BJ20</f>
        <v>0</v>
      </c>
      <c r="M33" s="62">
        <f>'Asistencia (9°)'!BJ63</f>
        <v>0</v>
      </c>
      <c r="N33" s="62">
        <f>'Asistencia (9°)'!BI108</f>
        <v>0</v>
      </c>
      <c r="O33" s="62">
        <f>'Asistencia (9°)'!BJ108</f>
        <v>0</v>
      </c>
      <c r="P33" s="63">
        <f t="shared" si="1"/>
        <v>0</v>
      </c>
      <c r="Q33" s="63">
        <f t="shared" si="2"/>
        <v>0</v>
      </c>
    </row>
    <row r="34" spans="2:17">
      <c r="B34" s="10">
        <v>19</v>
      </c>
      <c r="C34" s="12">
        <f>MAESTRO!F23</f>
        <v>0</v>
      </c>
      <c r="D34" s="17"/>
      <c r="E34" s="17"/>
      <c r="F34" s="52" t="e">
        <f>'PROM (Ingles 9°)'!AE23</f>
        <v>#DIV/0!</v>
      </c>
      <c r="G34" s="73" t="e">
        <f>'PROM (Ingles 9°)'!BM23</f>
        <v>#DIV/0!</v>
      </c>
      <c r="H34" s="52" t="e">
        <f>'PROM (Ingles 9°)'!CU23</f>
        <v>#DIV/0!</v>
      </c>
      <c r="I34" s="52" t="e">
        <f t="shared" si="0"/>
        <v>#DIV/0!</v>
      </c>
      <c r="J34" s="62">
        <f>'Asistencia (9°)'!BI21</f>
        <v>0</v>
      </c>
      <c r="K34" s="62">
        <f>'Asistencia (9°)'!BJ21</f>
        <v>0</v>
      </c>
      <c r="L34" s="62">
        <f>'Asistencia (9°)'!BJ21</f>
        <v>0</v>
      </c>
      <c r="M34" s="62">
        <f>'Asistencia (9°)'!BJ64</f>
        <v>0</v>
      </c>
      <c r="N34" s="62">
        <f>'Asistencia (9°)'!BI109</f>
        <v>0</v>
      </c>
      <c r="O34" s="62">
        <f>'Asistencia (9°)'!BJ109</f>
        <v>0</v>
      </c>
      <c r="P34" s="63">
        <f t="shared" si="1"/>
        <v>0</v>
      </c>
      <c r="Q34" s="63">
        <f t="shared" si="2"/>
        <v>0</v>
      </c>
    </row>
    <row r="35" spans="2:17">
      <c r="B35" s="10">
        <v>20</v>
      </c>
      <c r="C35" s="12">
        <f>MAESTRO!F24</f>
        <v>0</v>
      </c>
      <c r="D35" s="17"/>
      <c r="E35" s="17"/>
      <c r="F35" s="52" t="e">
        <f>'PROM (Ingles 9°)'!AE24</f>
        <v>#DIV/0!</v>
      </c>
      <c r="G35" s="73" t="e">
        <f>'PROM (Ingles 9°)'!BM24</f>
        <v>#DIV/0!</v>
      </c>
      <c r="H35" s="52" t="e">
        <f>'PROM (Ingles 9°)'!CU24</f>
        <v>#DIV/0!</v>
      </c>
      <c r="I35" s="52" t="e">
        <f t="shared" si="0"/>
        <v>#DIV/0!</v>
      </c>
      <c r="J35" s="62">
        <f>'Asistencia (9°)'!BI22</f>
        <v>0</v>
      </c>
      <c r="K35" s="62">
        <f>'Asistencia (9°)'!BJ22</f>
        <v>0</v>
      </c>
      <c r="L35" s="62">
        <f>'Asistencia (9°)'!BJ22</f>
        <v>0</v>
      </c>
      <c r="M35" s="62">
        <f>'Asistencia (9°)'!BJ65</f>
        <v>0</v>
      </c>
      <c r="N35" s="62">
        <f>'Asistencia (9°)'!BI110</f>
        <v>0</v>
      </c>
      <c r="O35" s="62">
        <f>'Asistencia (9°)'!BJ110</f>
        <v>0</v>
      </c>
      <c r="P35" s="63">
        <f t="shared" si="1"/>
        <v>0</v>
      </c>
      <c r="Q35" s="63">
        <f t="shared" si="2"/>
        <v>0</v>
      </c>
    </row>
    <row r="36" spans="2:17">
      <c r="B36" s="10">
        <v>21</v>
      </c>
      <c r="C36" s="12">
        <f>MAESTRO!F25</f>
        <v>0</v>
      </c>
      <c r="D36" s="17"/>
      <c r="E36" s="17"/>
      <c r="F36" s="52" t="e">
        <f>'PROM (Ingles 9°)'!AE25</f>
        <v>#DIV/0!</v>
      </c>
      <c r="G36" s="73" t="e">
        <f>'PROM (Ingles 9°)'!BM25</f>
        <v>#DIV/0!</v>
      </c>
      <c r="H36" s="52" t="e">
        <f>'PROM (Ingles 9°)'!CU25</f>
        <v>#DIV/0!</v>
      </c>
      <c r="I36" s="52" t="e">
        <f t="shared" si="0"/>
        <v>#DIV/0!</v>
      </c>
      <c r="J36" s="62">
        <f>'Asistencia (9°)'!BI23</f>
        <v>0</v>
      </c>
      <c r="K36" s="62">
        <f>'Asistencia (9°)'!BJ23</f>
        <v>0</v>
      </c>
      <c r="L36" s="62">
        <f>'Asistencia (9°)'!BJ23</f>
        <v>0</v>
      </c>
      <c r="M36" s="62">
        <f>'Asistencia (9°)'!BJ66</f>
        <v>0</v>
      </c>
      <c r="N36" s="62">
        <f>'Asistencia (9°)'!BI111</f>
        <v>0</v>
      </c>
      <c r="O36" s="62">
        <f>'Asistencia (9°)'!BJ111</f>
        <v>0</v>
      </c>
      <c r="P36" s="63">
        <f t="shared" si="1"/>
        <v>0</v>
      </c>
      <c r="Q36" s="63">
        <f t="shared" si="2"/>
        <v>0</v>
      </c>
    </row>
    <row r="37" spans="2:17">
      <c r="B37" s="10">
        <v>22</v>
      </c>
      <c r="C37" s="12">
        <f>MAESTRO!F26</f>
        <v>0</v>
      </c>
      <c r="D37" s="17"/>
      <c r="E37" s="17"/>
      <c r="F37" s="52" t="e">
        <f>'PROM (Ingles 9°)'!AE26</f>
        <v>#DIV/0!</v>
      </c>
      <c r="G37" s="73" t="e">
        <f>'PROM (Ingles 9°)'!BM26</f>
        <v>#DIV/0!</v>
      </c>
      <c r="H37" s="52" t="e">
        <f>'PROM (Ingles 9°)'!CU26</f>
        <v>#DIV/0!</v>
      </c>
      <c r="I37" s="52" t="e">
        <f t="shared" si="0"/>
        <v>#DIV/0!</v>
      </c>
      <c r="J37" s="62">
        <f>'Asistencia (9°)'!BI24</f>
        <v>0</v>
      </c>
      <c r="K37" s="62">
        <f>'Asistencia (9°)'!BJ24</f>
        <v>0</v>
      </c>
      <c r="L37" s="62">
        <f>'Asistencia (9°)'!BJ24</f>
        <v>0</v>
      </c>
      <c r="M37" s="62">
        <f>'Asistencia (9°)'!BJ67</f>
        <v>0</v>
      </c>
      <c r="N37" s="62">
        <f>'Asistencia (9°)'!BI112</f>
        <v>0</v>
      </c>
      <c r="O37" s="62">
        <f>'Asistencia (9°)'!BJ112</f>
        <v>0</v>
      </c>
      <c r="P37" s="63">
        <f t="shared" si="1"/>
        <v>0</v>
      </c>
      <c r="Q37" s="63">
        <f t="shared" si="2"/>
        <v>0</v>
      </c>
    </row>
    <row r="38" spans="2:17">
      <c r="B38" s="10">
        <v>23</v>
      </c>
      <c r="C38" s="12">
        <f>MAESTRO!F27</f>
        <v>0</v>
      </c>
      <c r="D38" s="17"/>
      <c r="E38" s="17"/>
      <c r="F38" s="52" t="e">
        <f>'PROM (Ingles 9°)'!AE27</f>
        <v>#DIV/0!</v>
      </c>
      <c r="G38" s="73" t="e">
        <f>'PROM (Ingles 9°)'!BM27</f>
        <v>#DIV/0!</v>
      </c>
      <c r="H38" s="52" t="e">
        <f>'PROM (Ingles 9°)'!CU27</f>
        <v>#DIV/0!</v>
      </c>
      <c r="I38" s="52" t="e">
        <f t="shared" si="0"/>
        <v>#DIV/0!</v>
      </c>
      <c r="J38" s="62">
        <f>'Asistencia (9°)'!BI25</f>
        <v>0</v>
      </c>
      <c r="K38" s="62">
        <f>'Asistencia (9°)'!BJ25</f>
        <v>0</v>
      </c>
      <c r="L38" s="62">
        <f>'Asistencia (9°)'!BJ25</f>
        <v>0</v>
      </c>
      <c r="M38" s="62">
        <f>'Asistencia (9°)'!BJ68</f>
        <v>0</v>
      </c>
      <c r="N38" s="62">
        <f>'Asistencia (9°)'!BI113</f>
        <v>0</v>
      </c>
      <c r="O38" s="62">
        <f>'Asistencia (9°)'!BJ113</f>
        <v>0</v>
      </c>
      <c r="P38" s="63">
        <f t="shared" si="1"/>
        <v>0</v>
      </c>
      <c r="Q38" s="63">
        <f t="shared" si="2"/>
        <v>0</v>
      </c>
    </row>
    <row r="39" spans="2:17">
      <c r="B39" s="10">
        <v>24</v>
      </c>
      <c r="C39" s="12">
        <f>MAESTRO!F28</f>
        <v>0</v>
      </c>
      <c r="D39" s="17"/>
      <c r="E39" s="17"/>
      <c r="F39" s="52" t="e">
        <f>'PROM (Ingles 9°)'!AE28</f>
        <v>#DIV/0!</v>
      </c>
      <c r="G39" s="73" t="e">
        <f>'PROM (Ingles 9°)'!BM28</f>
        <v>#DIV/0!</v>
      </c>
      <c r="H39" s="52" t="e">
        <f>'PROM (Ingles 9°)'!CU28</f>
        <v>#DIV/0!</v>
      </c>
      <c r="I39" s="52" t="e">
        <f t="shared" si="0"/>
        <v>#DIV/0!</v>
      </c>
      <c r="J39" s="62">
        <f>'Asistencia (9°)'!BI26</f>
        <v>0</v>
      </c>
      <c r="K39" s="62">
        <f>'Asistencia (9°)'!BJ26</f>
        <v>0</v>
      </c>
      <c r="L39" s="62">
        <f>'Asistencia (9°)'!BJ26</f>
        <v>0</v>
      </c>
      <c r="M39" s="62">
        <f>'Asistencia (9°)'!BJ69</f>
        <v>0</v>
      </c>
      <c r="N39" s="62">
        <f>'Asistencia (9°)'!BI114</f>
        <v>0</v>
      </c>
      <c r="O39" s="62">
        <f>'Asistencia (9°)'!BJ114</f>
        <v>0</v>
      </c>
      <c r="P39" s="63">
        <f t="shared" si="1"/>
        <v>0</v>
      </c>
      <c r="Q39" s="63">
        <f t="shared" si="2"/>
        <v>0</v>
      </c>
    </row>
    <row r="40" spans="2:17">
      <c r="B40" s="10">
        <v>25</v>
      </c>
      <c r="C40" s="12">
        <f>MAESTRO!F29</f>
        <v>0</v>
      </c>
      <c r="D40" s="17"/>
      <c r="E40" s="17"/>
      <c r="F40" s="52" t="e">
        <f>'PROM (Ingles 9°)'!AE29</f>
        <v>#DIV/0!</v>
      </c>
      <c r="G40" s="73" t="e">
        <f>'PROM (Ingles 9°)'!BM29</f>
        <v>#DIV/0!</v>
      </c>
      <c r="H40" s="52" t="e">
        <f>'PROM (Ingles 9°)'!CU29</f>
        <v>#DIV/0!</v>
      </c>
      <c r="I40" s="52" t="e">
        <f t="shared" si="0"/>
        <v>#DIV/0!</v>
      </c>
      <c r="J40" s="62">
        <f>'Asistencia (9°)'!BI27</f>
        <v>0</v>
      </c>
      <c r="K40" s="62">
        <f>'Asistencia (9°)'!BJ27</f>
        <v>0</v>
      </c>
      <c r="L40" s="62">
        <f>'Asistencia (9°)'!BJ27</f>
        <v>0</v>
      </c>
      <c r="M40" s="62">
        <f>'Asistencia (9°)'!BJ70</f>
        <v>0</v>
      </c>
      <c r="N40" s="62">
        <f>'Asistencia (9°)'!BI115</f>
        <v>0</v>
      </c>
      <c r="O40" s="62">
        <f>'Asistencia (9°)'!BJ115</f>
        <v>0</v>
      </c>
      <c r="P40" s="63">
        <f t="shared" si="1"/>
        <v>0</v>
      </c>
      <c r="Q40" s="63">
        <f t="shared" si="2"/>
        <v>0</v>
      </c>
    </row>
    <row r="41" spans="2:17">
      <c r="B41" s="10">
        <v>26</v>
      </c>
      <c r="C41" s="12">
        <f>MAESTRO!F30</f>
        <v>0</v>
      </c>
      <c r="D41" s="17"/>
      <c r="E41" s="17"/>
      <c r="F41" s="52" t="e">
        <f>'PROM (Ingles 9°)'!AE30</f>
        <v>#DIV/0!</v>
      </c>
      <c r="G41" s="73" t="e">
        <f>'PROM (Ingles 9°)'!BM30</f>
        <v>#DIV/0!</v>
      </c>
      <c r="H41" s="52" t="e">
        <f>'PROM (Ingles 9°)'!CU30</f>
        <v>#DIV/0!</v>
      </c>
      <c r="I41" s="52" t="e">
        <f t="shared" si="0"/>
        <v>#DIV/0!</v>
      </c>
      <c r="J41" s="62">
        <f>'Asistencia (9°)'!BI28</f>
        <v>0</v>
      </c>
      <c r="K41" s="62">
        <f>'Asistencia (9°)'!BJ28</f>
        <v>0</v>
      </c>
      <c r="L41" s="62">
        <f>'Asistencia (9°)'!BJ28</f>
        <v>0</v>
      </c>
      <c r="M41" s="62">
        <f>'Asistencia (9°)'!BJ71</f>
        <v>0</v>
      </c>
      <c r="N41" s="62">
        <f>'Asistencia (9°)'!BI116</f>
        <v>0</v>
      </c>
      <c r="O41" s="62">
        <f>'Asistencia (9°)'!BJ116</f>
        <v>0</v>
      </c>
      <c r="P41" s="63">
        <f t="shared" si="1"/>
        <v>0</v>
      </c>
      <c r="Q41" s="63">
        <f t="shared" si="2"/>
        <v>0</v>
      </c>
    </row>
    <row r="42" spans="2:17">
      <c r="B42" s="10">
        <v>27</v>
      </c>
      <c r="C42" s="12">
        <f>MAESTRO!F31</f>
        <v>0</v>
      </c>
      <c r="D42" s="17"/>
      <c r="E42" s="17"/>
      <c r="F42" s="52" t="e">
        <f>'PROM (Ingles 9°)'!AE31</f>
        <v>#DIV/0!</v>
      </c>
      <c r="G42" s="73" t="e">
        <f>'PROM (Ingles 9°)'!BM31</f>
        <v>#DIV/0!</v>
      </c>
      <c r="H42" s="52" t="e">
        <f>'PROM (Ingles 9°)'!CU31</f>
        <v>#DIV/0!</v>
      </c>
      <c r="I42" s="52" t="e">
        <f t="shared" si="0"/>
        <v>#DIV/0!</v>
      </c>
      <c r="J42" s="62">
        <f>'Asistencia (9°)'!BI29</f>
        <v>0</v>
      </c>
      <c r="K42" s="62">
        <f>'Asistencia (9°)'!BJ29</f>
        <v>0</v>
      </c>
      <c r="L42" s="62">
        <f>'Asistencia (9°)'!BJ29</f>
        <v>0</v>
      </c>
      <c r="M42" s="62">
        <f>'Asistencia (9°)'!BJ72</f>
        <v>0</v>
      </c>
      <c r="N42" s="62">
        <f>'Asistencia (9°)'!BI117</f>
        <v>0</v>
      </c>
      <c r="O42" s="62">
        <f>'Asistencia (9°)'!BJ117</f>
        <v>0</v>
      </c>
      <c r="P42" s="63">
        <f t="shared" si="1"/>
        <v>0</v>
      </c>
      <c r="Q42" s="63">
        <f t="shared" si="2"/>
        <v>0</v>
      </c>
    </row>
    <row r="43" spans="2:17">
      <c r="B43" s="10">
        <v>28</v>
      </c>
      <c r="C43" s="12">
        <f>MAESTRO!F32</f>
        <v>0</v>
      </c>
      <c r="D43" s="17"/>
      <c r="E43" s="17"/>
      <c r="F43" s="52" t="e">
        <f>'PROM (Ingles 9°)'!AE32</f>
        <v>#DIV/0!</v>
      </c>
      <c r="G43" s="73" t="e">
        <f>'PROM (Ingles 9°)'!BM32</f>
        <v>#DIV/0!</v>
      </c>
      <c r="H43" s="52" t="e">
        <f>'PROM (Ingles 9°)'!CU32</f>
        <v>#DIV/0!</v>
      </c>
      <c r="I43" s="52" t="e">
        <f t="shared" si="0"/>
        <v>#DIV/0!</v>
      </c>
      <c r="J43" s="62">
        <f>'Asistencia (9°)'!BI30</f>
        <v>0</v>
      </c>
      <c r="K43" s="62">
        <f>'Asistencia (9°)'!BJ30</f>
        <v>0</v>
      </c>
      <c r="L43" s="62">
        <f>'Asistencia (9°)'!BJ30</f>
        <v>0</v>
      </c>
      <c r="M43" s="62">
        <f>'Asistencia (9°)'!BJ73</f>
        <v>0</v>
      </c>
      <c r="N43" s="62">
        <f>'Asistencia (9°)'!BI118</f>
        <v>0</v>
      </c>
      <c r="O43" s="62">
        <f>'Asistencia (9°)'!BJ118</f>
        <v>0</v>
      </c>
      <c r="P43" s="63">
        <f t="shared" si="1"/>
        <v>0</v>
      </c>
      <c r="Q43" s="63">
        <f t="shared" si="2"/>
        <v>0</v>
      </c>
    </row>
    <row r="44" spans="2:17">
      <c r="B44" s="10">
        <v>29</v>
      </c>
      <c r="C44" s="12">
        <f>MAESTRO!F33</f>
        <v>0</v>
      </c>
      <c r="D44" s="17"/>
      <c r="E44" s="17"/>
      <c r="F44" s="52" t="e">
        <f>'PROM (Ingles 9°)'!AE33</f>
        <v>#DIV/0!</v>
      </c>
      <c r="G44" s="73" t="e">
        <f>'PROM (Ingles 9°)'!BM33</f>
        <v>#DIV/0!</v>
      </c>
      <c r="H44" s="52" t="e">
        <f>'PROM (Ingles 9°)'!CU33</f>
        <v>#DIV/0!</v>
      </c>
      <c r="I44" s="52" t="e">
        <f t="shared" si="0"/>
        <v>#DIV/0!</v>
      </c>
      <c r="J44" s="62">
        <f>'Asistencia (9°)'!BI31</f>
        <v>0</v>
      </c>
      <c r="K44" s="62">
        <f>'Asistencia (9°)'!BJ31</f>
        <v>0</v>
      </c>
      <c r="L44" s="62">
        <f>'Asistencia (9°)'!BJ31</f>
        <v>0</v>
      </c>
      <c r="M44" s="62">
        <f>'Asistencia (9°)'!BJ74</f>
        <v>0</v>
      </c>
      <c r="N44" s="62">
        <f>'Asistencia (9°)'!BI119</f>
        <v>0</v>
      </c>
      <c r="O44" s="62">
        <f>'Asistencia (9°)'!BJ119</f>
        <v>0</v>
      </c>
      <c r="P44" s="63">
        <f t="shared" si="1"/>
        <v>0</v>
      </c>
      <c r="Q44" s="63">
        <f t="shared" si="2"/>
        <v>0</v>
      </c>
    </row>
    <row r="45" spans="2:17">
      <c r="B45" s="10">
        <v>30</v>
      </c>
      <c r="C45" s="12">
        <f>MAESTRO!F34</f>
        <v>0</v>
      </c>
      <c r="D45" s="17"/>
      <c r="E45" s="17"/>
      <c r="F45" s="52" t="e">
        <f>'PROM (Ingles 9°)'!AE34</f>
        <v>#DIV/0!</v>
      </c>
      <c r="G45" s="73" t="e">
        <f>'PROM (Ingles 9°)'!BM34</f>
        <v>#DIV/0!</v>
      </c>
      <c r="H45" s="52" t="e">
        <f>'PROM (Ingles 9°)'!CU34</f>
        <v>#DIV/0!</v>
      </c>
      <c r="I45" s="52" t="e">
        <f t="shared" si="0"/>
        <v>#DIV/0!</v>
      </c>
      <c r="J45" s="62">
        <f>'Asistencia (9°)'!BI32</f>
        <v>0</v>
      </c>
      <c r="K45" s="62">
        <f>'Asistencia (9°)'!BJ32</f>
        <v>0</v>
      </c>
      <c r="L45" s="62">
        <f>'Asistencia (9°)'!BJ32</f>
        <v>0</v>
      </c>
      <c r="M45" s="62">
        <f>'Asistencia (9°)'!BJ75</f>
        <v>0</v>
      </c>
      <c r="N45" s="62">
        <f>'Asistencia (9°)'!BI120</f>
        <v>0</v>
      </c>
      <c r="O45" s="62">
        <f>'Asistencia (9°)'!BJ120</f>
        <v>0</v>
      </c>
      <c r="P45" s="63">
        <f t="shared" si="1"/>
        <v>0</v>
      </c>
      <c r="Q45" s="63">
        <f t="shared" si="2"/>
        <v>0</v>
      </c>
    </row>
    <row r="46" spans="2:17">
      <c r="B46" s="10">
        <v>31</v>
      </c>
      <c r="C46" s="12">
        <f>MAESTRO!F35</f>
        <v>0</v>
      </c>
      <c r="D46" s="17"/>
      <c r="E46" s="17"/>
      <c r="F46" s="52" t="e">
        <f>'PROM (Ingles 9°)'!AE35</f>
        <v>#DIV/0!</v>
      </c>
      <c r="G46" s="73" t="e">
        <f>'PROM (Ingles 9°)'!BM35</f>
        <v>#DIV/0!</v>
      </c>
      <c r="H46" s="52" t="e">
        <f>'PROM (Ingles 9°)'!CU35</f>
        <v>#DIV/0!</v>
      </c>
      <c r="I46" s="52" t="e">
        <f t="shared" si="0"/>
        <v>#DIV/0!</v>
      </c>
      <c r="J46" s="62">
        <f>'Asistencia (9°)'!BI33</f>
        <v>0</v>
      </c>
      <c r="K46" s="62">
        <f>'Asistencia (9°)'!BJ33</f>
        <v>0</v>
      </c>
      <c r="L46" s="62">
        <f>'Asistencia (9°)'!BJ33</f>
        <v>0</v>
      </c>
      <c r="M46" s="62">
        <f>'Asistencia (9°)'!BJ76</f>
        <v>0</v>
      </c>
      <c r="N46" s="62">
        <f>'Asistencia (9°)'!BI121</f>
        <v>0</v>
      </c>
      <c r="O46" s="62">
        <f>'Asistencia (9°)'!BJ121</f>
        <v>0</v>
      </c>
      <c r="P46" s="63">
        <f t="shared" si="1"/>
        <v>0</v>
      </c>
      <c r="Q46" s="63">
        <f t="shared" si="2"/>
        <v>0</v>
      </c>
    </row>
    <row r="47" spans="2:17">
      <c r="B47" s="10">
        <v>32</v>
      </c>
      <c r="C47" s="12">
        <f>MAESTRO!F36</f>
        <v>0</v>
      </c>
      <c r="D47" s="17"/>
      <c r="E47" s="17"/>
      <c r="F47" s="52" t="e">
        <f>'PROM (Ingles 9°)'!AE36</f>
        <v>#DIV/0!</v>
      </c>
      <c r="G47" s="73" t="e">
        <f>'PROM (Ingles 9°)'!BM36</f>
        <v>#DIV/0!</v>
      </c>
      <c r="H47" s="52" t="e">
        <f>'PROM (Ingles 9°)'!CU36</f>
        <v>#DIV/0!</v>
      </c>
      <c r="I47" s="52" t="e">
        <f t="shared" si="0"/>
        <v>#DIV/0!</v>
      </c>
      <c r="J47" s="62">
        <f>'Asistencia (9°)'!BI34</f>
        <v>0</v>
      </c>
      <c r="K47" s="62">
        <f>'Asistencia (9°)'!BJ34</f>
        <v>0</v>
      </c>
      <c r="L47" s="62">
        <f>'Asistencia (9°)'!BJ34</f>
        <v>0</v>
      </c>
      <c r="M47" s="62">
        <f>'Asistencia (9°)'!BJ77</f>
        <v>0</v>
      </c>
      <c r="N47" s="62">
        <f>'Asistencia (9°)'!BI122</f>
        <v>0</v>
      </c>
      <c r="O47" s="62">
        <f>'Asistencia (9°)'!BJ122</f>
        <v>0</v>
      </c>
      <c r="P47" s="63">
        <f t="shared" si="1"/>
        <v>0</v>
      </c>
      <c r="Q47" s="63">
        <f t="shared" si="2"/>
        <v>0</v>
      </c>
    </row>
    <row r="48" spans="2:17">
      <c r="B48" s="10">
        <v>33</v>
      </c>
      <c r="C48" s="12">
        <f>MAESTRO!F37</f>
        <v>0</v>
      </c>
      <c r="D48" s="17"/>
      <c r="E48" s="17"/>
      <c r="F48" s="52" t="e">
        <f>'PROM (Ingles 9°)'!AE37</f>
        <v>#DIV/0!</v>
      </c>
      <c r="G48" s="73" t="e">
        <f>'PROM (Ingles 9°)'!BM37</f>
        <v>#DIV/0!</v>
      </c>
      <c r="H48" s="52" t="e">
        <f>'PROM (Ingles 9°)'!CU37</f>
        <v>#DIV/0!</v>
      </c>
      <c r="I48" s="52" t="e">
        <f t="shared" si="0"/>
        <v>#DIV/0!</v>
      </c>
      <c r="J48" s="62">
        <f>'Asistencia (9°)'!BI35</f>
        <v>0</v>
      </c>
      <c r="K48" s="62">
        <f>'Asistencia (9°)'!BJ35</f>
        <v>0</v>
      </c>
      <c r="L48" s="62">
        <f>'Asistencia (9°)'!BJ35</f>
        <v>0</v>
      </c>
      <c r="M48" s="62">
        <f>'Asistencia (9°)'!BJ78</f>
        <v>0</v>
      </c>
      <c r="N48" s="62">
        <f>'Asistencia (9°)'!BI123</f>
        <v>0</v>
      </c>
      <c r="O48" s="62">
        <f>'Asistencia (9°)'!BJ123</f>
        <v>0</v>
      </c>
      <c r="P48" s="63">
        <f t="shared" si="1"/>
        <v>0</v>
      </c>
      <c r="Q48" s="63">
        <f t="shared" si="2"/>
        <v>0</v>
      </c>
    </row>
    <row r="49" spans="2:17">
      <c r="B49" s="10">
        <v>34</v>
      </c>
      <c r="C49" s="12">
        <f>MAESTRO!F38</f>
        <v>0</v>
      </c>
      <c r="D49" s="17"/>
      <c r="E49" s="17"/>
      <c r="F49" s="52" t="e">
        <f>'PROM (Ingles 9°)'!AE38</f>
        <v>#DIV/0!</v>
      </c>
      <c r="G49" s="73" t="e">
        <f>'PROM (Ingles 9°)'!BM38</f>
        <v>#DIV/0!</v>
      </c>
      <c r="H49" s="52" t="e">
        <f>'PROM (Ingles 9°)'!CU38</f>
        <v>#DIV/0!</v>
      </c>
      <c r="I49" s="52" t="e">
        <f t="shared" si="0"/>
        <v>#DIV/0!</v>
      </c>
      <c r="J49" s="62">
        <f>'Asistencia (9°)'!BI36</f>
        <v>0</v>
      </c>
      <c r="K49" s="62">
        <f>'Asistencia (9°)'!BJ36</f>
        <v>0</v>
      </c>
      <c r="L49" s="62">
        <f>'Asistencia (9°)'!BJ36</f>
        <v>0</v>
      </c>
      <c r="M49" s="62">
        <f>'Asistencia (9°)'!BJ79</f>
        <v>0</v>
      </c>
      <c r="N49" s="62">
        <f>'Asistencia (9°)'!BI124</f>
        <v>0</v>
      </c>
      <c r="O49" s="62">
        <f>'Asistencia (9°)'!BJ124</f>
        <v>0</v>
      </c>
      <c r="P49" s="63">
        <f t="shared" si="1"/>
        <v>0</v>
      </c>
      <c r="Q49" s="63">
        <f t="shared" si="2"/>
        <v>0</v>
      </c>
    </row>
    <row r="50" spans="2:17">
      <c r="B50" s="10">
        <v>35</v>
      </c>
      <c r="C50" s="12">
        <f>MAESTRO!F39</f>
        <v>0</v>
      </c>
      <c r="D50" s="17"/>
      <c r="E50" s="17"/>
      <c r="F50" s="52" t="e">
        <f>'PROM (Ingles 9°)'!AE39</f>
        <v>#DIV/0!</v>
      </c>
      <c r="G50" s="73" t="e">
        <f>'PROM (Ingles 9°)'!BM39</f>
        <v>#DIV/0!</v>
      </c>
      <c r="H50" s="52" t="e">
        <f>'PROM (Ingles 9°)'!CU39</f>
        <v>#DIV/0!</v>
      </c>
      <c r="I50" s="52" t="e">
        <f t="shared" si="0"/>
        <v>#DIV/0!</v>
      </c>
      <c r="J50" s="62">
        <f>'Asistencia (9°)'!BI37</f>
        <v>0</v>
      </c>
      <c r="K50" s="62">
        <f>'Asistencia (9°)'!BJ37</f>
        <v>0</v>
      </c>
      <c r="L50" s="62">
        <f>'Asistencia (9°)'!BJ37</f>
        <v>0</v>
      </c>
      <c r="M50" s="62">
        <f>'Asistencia (9°)'!BJ80</f>
        <v>0</v>
      </c>
      <c r="N50" s="62">
        <f>'Asistencia (9°)'!BI125</f>
        <v>0</v>
      </c>
      <c r="O50" s="62">
        <f>'Asistencia (9°)'!BJ125</f>
        <v>0</v>
      </c>
      <c r="P50" s="63">
        <f t="shared" si="1"/>
        <v>0</v>
      </c>
      <c r="Q50" s="63">
        <f t="shared" si="2"/>
        <v>0</v>
      </c>
    </row>
    <row r="51" spans="2:17">
      <c r="B51" s="10">
        <v>36</v>
      </c>
      <c r="C51" s="12">
        <f>MAESTRO!F40</f>
        <v>0</v>
      </c>
      <c r="D51" s="17"/>
      <c r="E51" s="17"/>
      <c r="F51" s="52" t="e">
        <f>'PROM (Ingles 9°)'!AE40</f>
        <v>#DIV/0!</v>
      </c>
      <c r="G51" s="73" t="e">
        <f>'PROM (Ingles 9°)'!BM40</f>
        <v>#DIV/0!</v>
      </c>
      <c r="H51" s="52" t="e">
        <f>'PROM (Ingles 9°)'!CU40</f>
        <v>#DIV/0!</v>
      </c>
      <c r="I51" s="52" t="e">
        <f t="shared" si="0"/>
        <v>#DIV/0!</v>
      </c>
      <c r="J51" s="62">
        <f>'Asistencia (9°)'!BI38</f>
        <v>0</v>
      </c>
      <c r="K51" s="62">
        <f>'Asistencia (9°)'!BJ38</f>
        <v>0</v>
      </c>
      <c r="L51" s="62">
        <f>'Asistencia (9°)'!BJ38</f>
        <v>0</v>
      </c>
      <c r="M51" s="62">
        <f>'Asistencia (9°)'!BJ81</f>
        <v>0</v>
      </c>
      <c r="N51" s="62">
        <f>'Asistencia (9°)'!BI126</f>
        <v>0</v>
      </c>
      <c r="O51" s="62">
        <f>'Asistencia (9°)'!BJ126</f>
        <v>0</v>
      </c>
      <c r="P51" s="63">
        <f t="shared" si="1"/>
        <v>0</v>
      </c>
      <c r="Q51" s="63">
        <f t="shared" si="2"/>
        <v>0</v>
      </c>
    </row>
    <row r="52" spans="2:17">
      <c r="B52" s="10">
        <v>37</v>
      </c>
      <c r="C52" s="12">
        <f>MAESTRO!F41</f>
        <v>0</v>
      </c>
      <c r="D52" s="17"/>
      <c r="E52" s="17"/>
      <c r="F52" s="52" t="e">
        <f>'PROM (Ingles 9°)'!AE41</f>
        <v>#DIV/0!</v>
      </c>
      <c r="G52" s="73" t="e">
        <f>'PROM (Ingles 9°)'!BM41</f>
        <v>#DIV/0!</v>
      </c>
      <c r="H52" s="52" t="e">
        <f>'PROM (Ingles 9°)'!CU41</f>
        <v>#DIV/0!</v>
      </c>
      <c r="I52" s="52" t="e">
        <f t="shared" si="0"/>
        <v>#DIV/0!</v>
      </c>
      <c r="J52" s="62">
        <f>'Asistencia (9°)'!BI39</f>
        <v>0</v>
      </c>
      <c r="K52" s="62">
        <f>'Asistencia (9°)'!BJ39</f>
        <v>0</v>
      </c>
      <c r="L52" s="62">
        <f>'Asistencia (9°)'!BJ39</f>
        <v>0</v>
      </c>
      <c r="M52" s="62">
        <f>'Asistencia (9°)'!BJ82</f>
        <v>0</v>
      </c>
      <c r="N52" s="62">
        <f>'Asistencia (9°)'!BI127</f>
        <v>0</v>
      </c>
      <c r="O52" s="62">
        <f>'Asistencia (9°)'!BJ127</f>
        <v>0</v>
      </c>
      <c r="P52" s="63">
        <f t="shared" si="1"/>
        <v>0</v>
      </c>
      <c r="Q52" s="63">
        <f t="shared" si="2"/>
        <v>0</v>
      </c>
    </row>
    <row r="53" spans="2:17">
      <c r="B53" s="10">
        <v>38</v>
      </c>
      <c r="C53" s="12">
        <f>MAESTRO!F42</f>
        <v>0</v>
      </c>
      <c r="D53" s="17"/>
      <c r="E53" s="17"/>
      <c r="F53" s="52"/>
      <c r="G53" s="52"/>
      <c r="H53" s="52"/>
      <c r="I53" s="52"/>
      <c r="J53" s="62">
        <f>'Asistencia (9°)'!BI40</f>
        <v>0</v>
      </c>
      <c r="K53" s="62"/>
      <c r="L53" s="62">
        <f>'Asistencia (9°)'!BJ40</f>
        <v>0</v>
      </c>
      <c r="M53" s="62"/>
      <c r="N53" s="62"/>
      <c r="O53" s="62"/>
      <c r="P53" s="63"/>
      <c r="Q53" s="63"/>
    </row>
    <row r="54" spans="2:17">
      <c r="B54" s="10">
        <v>39</v>
      </c>
      <c r="C54" s="12">
        <f>MAESTRO!F43</f>
        <v>0</v>
      </c>
      <c r="D54" s="17"/>
      <c r="E54" s="18"/>
      <c r="F54" s="52"/>
      <c r="G54" s="52"/>
      <c r="H54" s="52"/>
      <c r="I54" s="52"/>
      <c r="J54" s="62">
        <f>'Asistencia (9°)'!BI41</f>
        <v>0</v>
      </c>
      <c r="K54" s="62"/>
      <c r="L54" s="62">
        <f>'Asistencia (9°)'!BJ41</f>
        <v>0</v>
      </c>
      <c r="M54" s="62"/>
      <c r="N54" s="62"/>
      <c r="O54" s="62"/>
      <c r="P54" s="63"/>
      <c r="Q54" s="63"/>
    </row>
    <row r="55" spans="2:17">
      <c r="B55" s="10"/>
      <c r="C55" s="12">
        <f>MAESTRO!F44</f>
        <v>0</v>
      </c>
      <c r="D55" s="17"/>
      <c r="E55" s="18"/>
      <c r="F55" s="52"/>
      <c r="G55" s="52"/>
      <c r="H55" s="52"/>
      <c r="I55" s="52"/>
      <c r="J55" s="62">
        <f>'Asistencia (9°)'!BI42</f>
        <v>0</v>
      </c>
      <c r="K55" s="62"/>
      <c r="L55" s="62">
        <f>'Asistencia (9°)'!BJ42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6" priority="1" operator="lessThan">
      <formula>3</formula>
    </cfRule>
  </conditionalFormatting>
  <pageMargins left="0.25" right="4.9479166666666657E-2" top="0.75" bottom="0.75" header="0.3" footer="0.3"/>
  <pageSetup orientation="portrait" horizontalDpi="4294967293"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17">
    <tabColor rgb="FFE07020"/>
  </sheetPr>
  <dimension ref="A1:EE49"/>
  <sheetViews>
    <sheetView view="pageLayout" zoomScale="70" zoomScaleNormal="100" zoomScalePageLayoutView="70" workbookViewId="0">
      <selection activeCell="X18" sqref="X1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90</v>
      </c>
      <c r="BQ1" s="251"/>
      <c r="BR1" s="251"/>
      <c r="BS1" s="251"/>
      <c r="BT1" s="251"/>
      <c r="BU1" s="251"/>
      <c r="BV1" s="251"/>
      <c r="BW1" s="251"/>
      <c r="BX1" s="251"/>
      <c r="BY1" s="251"/>
      <c r="BZ1" s="251"/>
      <c r="CA1" s="251"/>
      <c r="CB1" s="251"/>
      <c r="CC1" s="251"/>
      <c r="CD1" s="251"/>
      <c r="CE1" s="251"/>
      <c r="CF1" s="241"/>
      <c r="CG1" s="263" t="s">
        <v>90</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25"/>
      <c r="H4" s="25"/>
      <c r="I4" s="25"/>
      <c r="J4" s="25"/>
      <c r="K4" s="25"/>
      <c r="L4" s="25"/>
      <c r="M4" s="25"/>
      <c r="N4" s="25"/>
      <c r="O4" s="25"/>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2"/>
      <c r="AW4" s="22"/>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MAESTRO!F5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TRUNC(AVERAGE(AX5,BI5,BL5),1)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MAESTRO!F6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MAESTRO!F7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MAESTRO!F8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MAESTRO!F9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MAESTRO!F10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MAESTRO!F11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MAESTRO!F12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MAESTRO!F13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MAESTRO!F14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MAESTRO!F15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MAESTRO!F16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MAESTRO!F17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MAESTRO!F18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MAESTRO!F19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MAESTRO!F20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MAESTRO!F21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MAESTRO!F22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MAESTRO!F23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MAESTRO!F24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MAESTRO!F25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103"/>
      <c r="BT25" s="103"/>
      <c r="BU25" s="103"/>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MAESTRO!F26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103"/>
      <c r="BT26" s="103"/>
      <c r="BU26" s="103"/>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MAESTRO!F27</f>
        <v>0</v>
      </c>
      <c r="C27" s="103"/>
      <c r="D27" s="104"/>
      <c r="E27" s="104"/>
      <c r="F27" s="104"/>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6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103"/>
      <c r="BT27" s="103"/>
      <c r="BU27" s="103"/>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MAESTRO!F28</f>
        <v>0</v>
      </c>
      <c r="C28" s="103"/>
      <c r="D28" s="104"/>
      <c r="E28" s="104"/>
      <c r="F28" s="104"/>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65"/>
      <c r="AM28" s="65"/>
      <c r="AN28" s="65"/>
      <c r="AO28" s="6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103"/>
      <c r="BT28" s="103"/>
      <c r="BU28" s="103"/>
      <c r="BV28" s="5"/>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MAESTRO!F29</f>
        <v>0</v>
      </c>
      <c r="C29" s="103"/>
      <c r="D29" s="104"/>
      <c r="E29" s="104"/>
      <c r="F29" s="104"/>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105"/>
      <c r="AL29" s="105"/>
      <c r="AM29" s="105"/>
      <c r="AN29" s="105"/>
      <c r="AO29" s="105"/>
      <c r="AP29" s="10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103"/>
      <c r="BT29" s="103"/>
      <c r="BU29" s="103"/>
      <c r="BV29" s="5"/>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MAESTRO!F30</f>
        <v>0</v>
      </c>
      <c r="C30" s="103"/>
      <c r="D30" s="104"/>
      <c r="E30" s="104"/>
      <c r="F30" s="104"/>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105"/>
      <c r="AL30" s="105"/>
      <c r="AM30" s="105"/>
      <c r="AN30" s="105"/>
      <c r="AO30" s="105"/>
      <c r="AP30" s="10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103"/>
      <c r="BT30" s="103"/>
      <c r="BU30" s="103"/>
      <c r="BV30" s="5"/>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MAESTRO!F31</f>
        <v>0</v>
      </c>
      <c r="C31" s="103"/>
      <c r="D31" s="104"/>
      <c r="E31" s="104"/>
      <c r="F31" s="104"/>
      <c r="G31" s="5"/>
      <c r="H31" s="5"/>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5"/>
      <c r="AL31" s="105"/>
      <c r="AM31" s="105"/>
      <c r="AN31" s="105"/>
      <c r="AO31" s="105"/>
      <c r="AP31" s="105"/>
      <c r="AQ31" s="65"/>
      <c r="AR31" s="65"/>
      <c r="AS31" s="65"/>
      <c r="AT31" s="65"/>
      <c r="AU31" s="65"/>
      <c r="AV31" s="65"/>
      <c r="AW31" s="22"/>
      <c r="AX31" s="5" t="e">
        <f t="shared" si="5"/>
        <v>#DIV/0!</v>
      </c>
      <c r="AY31" s="106"/>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5"/>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MAESTRO!F32</f>
        <v>0</v>
      </c>
      <c r="C32" s="103"/>
      <c r="D32" s="104"/>
      <c r="E32" s="104"/>
      <c r="F32" s="104"/>
      <c r="G32" s="5"/>
      <c r="H32" s="5"/>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105"/>
      <c r="AP32" s="10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5"/>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MAESTRO!F33</f>
        <v>0</v>
      </c>
      <c r="C33" s="103"/>
      <c r="D33" s="104"/>
      <c r="E33" s="104"/>
      <c r="F33" s="104"/>
      <c r="G33" s="5"/>
      <c r="H33" s="5"/>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105"/>
      <c r="AP33" s="10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5"/>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MAESTRO!F34</f>
        <v>0</v>
      </c>
      <c r="C34" s="103"/>
      <c r="D34" s="104"/>
      <c r="E34" s="104"/>
      <c r="F34" s="104"/>
      <c r="G34" s="5"/>
      <c r="H34" s="5"/>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105"/>
      <c r="AP34" s="10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5"/>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MAESTRO!F35</f>
        <v>0</v>
      </c>
      <c r="C35" s="103"/>
      <c r="D35" s="104"/>
      <c r="E35" s="104"/>
      <c r="F35" s="104"/>
      <c r="G35" s="5"/>
      <c r="H35" s="5"/>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105"/>
      <c r="AP35" s="10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5"/>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MAESTRO!F36</f>
        <v>0</v>
      </c>
      <c r="C36" s="103"/>
      <c r="D36" s="104"/>
      <c r="E36" s="104"/>
      <c r="F36" s="104"/>
      <c r="G36" s="5"/>
      <c r="H36" s="5"/>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105"/>
      <c r="AP36" s="10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5"/>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MAESTRO!F37</f>
        <v>0</v>
      </c>
      <c r="C37" s="103"/>
      <c r="D37" s="104"/>
      <c r="E37" s="104"/>
      <c r="F37" s="104"/>
      <c r="G37" s="5"/>
      <c r="H37" s="5"/>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105"/>
      <c r="AP37" s="10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5"/>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MAESTRO!F38</f>
        <v>0</v>
      </c>
      <c r="C38" s="103"/>
      <c r="D38" s="104"/>
      <c r="E38" s="104"/>
      <c r="F38" s="104"/>
      <c r="G38" s="5"/>
      <c r="H38" s="5"/>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105"/>
      <c r="AP38" s="10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5"/>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MAESTRO!F39</f>
        <v>0</v>
      </c>
      <c r="C39" s="103"/>
      <c r="D39" s="104"/>
      <c r="E39" s="104"/>
      <c r="F39" s="104"/>
      <c r="G39" s="5"/>
      <c r="H39" s="5"/>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105"/>
      <c r="AP39" s="10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5"/>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MAESTRO!F40</f>
        <v>0</v>
      </c>
      <c r="C40" s="103"/>
      <c r="D40" s="104"/>
      <c r="E40" s="104"/>
      <c r="F40" s="104"/>
      <c r="G40" s="5"/>
      <c r="H40" s="5"/>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105"/>
      <c r="AP40" s="10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5"/>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MAESTRO!F41</f>
        <v>0</v>
      </c>
      <c r="C41" s="103"/>
      <c r="D41" s="104"/>
      <c r="E41" s="104"/>
      <c r="F41" s="104"/>
      <c r="G41" s="5"/>
      <c r="H41" s="5"/>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105"/>
      <c r="AP41" s="10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5"/>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MAESTRO!F42</f>
        <v>0</v>
      </c>
      <c r="C42" s="103"/>
      <c r="D42" s="104"/>
      <c r="E42" s="104"/>
      <c r="F42" s="104"/>
      <c r="G42" s="5"/>
      <c r="H42" s="5"/>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105"/>
      <c r="AP42" s="10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5"/>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MAESTRO!F43</f>
        <v>0</v>
      </c>
      <c r="C43" s="103"/>
      <c r="D43" s="104"/>
      <c r="E43" s="104"/>
      <c r="F43" s="104"/>
      <c r="G43" s="5"/>
      <c r="H43" s="5"/>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105"/>
      <c r="AP43" s="10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5"/>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MAESTRO!F44</f>
        <v>0</v>
      </c>
      <c r="C44" s="103"/>
      <c r="D44" s="104"/>
      <c r="E44" s="104"/>
      <c r="F44" s="104"/>
      <c r="G44" s="93"/>
      <c r="H44" s="93"/>
      <c r="I44" s="9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105"/>
      <c r="AP44" s="105"/>
      <c r="AQ44" s="4"/>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5"/>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4"/>
      <c r="E45" s="104"/>
      <c r="F45" s="104"/>
      <c r="G45" s="93"/>
      <c r="H45" s="93"/>
      <c r="I45" s="9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105"/>
      <c r="AP45" s="105"/>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5"/>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4"/>
      <c r="E46" s="104"/>
      <c r="F46" s="104"/>
      <c r="G46" s="93"/>
      <c r="H46" s="93"/>
      <c r="I46" s="9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105"/>
      <c r="AP46" s="105"/>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5"/>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4"/>
      <c r="E47" s="104"/>
      <c r="F47" s="104"/>
      <c r="G47" s="93"/>
      <c r="H47" s="93"/>
      <c r="I47" s="9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105"/>
      <c r="AP47" s="105"/>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5"/>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4"/>
      <c r="E48" s="104"/>
      <c r="F48" s="104"/>
      <c r="G48" s="93"/>
      <c r="H48" s="93"/>
      <c r="I48" s="9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105"/>
      <c r="AP48" s="105"/>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5"/>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4"/>
      <c r="E49" s="93"/>
      <c r="F49" s="93"/>
      <c r="G49" s="93"/>
      <c r="H49" s="93"/>
      <c r="I49" s="93"/>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98"/>
      <c r="AM49" s="98"/>
      <c r="AN49" s="98"/>
      <c r="AO49" s="98"/>
      <c r="AP49" s="98"/>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5"/>
      <c r="BU49" s="5"/>
      <c r="BV49" s="5"/>
      <c r="BW49" s="5"/>
      <c r="BX49" s="5"/>
      <c r="BY49" s="5"/>
      <c r="BZ49" s="5"/>
      <c r="CA49" s="5"/>
      <c r="CB49" s="5"/>
      <c r="CC49" s="5"/>
      <c r="CD49" s="5"/>
      <c r="CE49" s="5"/>
      <c r="CF49" s="5"/>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2">
    <mergeCell ref="A2:P2"/>
    <mergeCell ref="R2:AG2"/>
    <mergeCell ref="CY10:CZ10"/>
    <mergeCell ref="AI9:AJ9"/>
    <mergeCell ref="DO2:EE2"/>
    <mergeCell ref="AI3:AJ4"/>
    <mergeCell ref="BQ26:BR26"/>
    <mergeCell ref="A3:A4"/>
    <mergeCell ref="CY29:CZ29"/>
    <mergeCell ref="R3:Z3"/>
    <mergeCell ref="BQ16:BR16"/>
    <mergeCell ref="CY16:CZ16"/>
    <mergeCell ref="BQ25:BR25"/>
    <mergeCell ref="BP2:CF2"/>
    <mergeCell ref="CX2:DN2"/>
    <mergeCell ref="AI20:AJ20"/>
    <mergeCell ref="CY9:CZ9"/>
    <mergeCell ref="AA3:AA4"/>
    <mergeCell ref="CY20:CZ20"/>
    <mergeCell ref="AK3:AW3"/>
    <mergeCell ref="AI22:AJ22"/>
    <mergeCell ref="BQ11:BR11"/>
    <mergeCell ref="AI12:AJ12"/>
    <mergeCell ref="AI21:AJ21"/>
    <mergeCell ref="CY22:CZ22"/>
    <mergeCell ref="ED3:EE4"/>
    <mergeCell ref="AI8:AJ8"/>
    <mergeCell ref="CX3:CX4"/>
    <mergeCell ref="AI17:AJ17"/>
    <mergeCell ref="BQ40:BR40"/>
    <mergeCell ref="CY28:CZ28"/>
    <mergeCell ref="BQ37:BR37"/>
    <mergeCell ref="CY37:CZ37"/>
    <mergeCell ref="AI10:AJ10"/>
    <mergeCell ref="BQ24:BR24"/>
    <mergeCell ref="CR3:CS4"/>
    <mergeCell ref="AI19:AJ19"/>
    <mergeCell ref="CY24:CZ24"/>
    <mergeCell ref="AI36:AJ36"/>
    <mergeCell ref="AI31:AJ31"/>
    <mergeCell ref="AI37:AJ37"/>
    <mergeCell ref="CY35:CZ35"/>
    <mergeCell ref="CY31:CZ31"/>
    <mergeCell ref="CY34:CZ34"/>
    <mergeCell ref="AI23:AJ23"/>
    <mergeCell ref="DZ3:EA4"/>
    <mergeCell ref="BQ17:BR17"/>
    <mergeCell ref="CY17:CZ17"/>
    <mergeCell ref="CG1:CW1"/>
    <mergeCell ref="DN3:DN4"/>
    <mergeCell ref="AI47:AJ47"/>
    <mergeCell ref="BQ14:BR14"/>
    <mergeCell ref="BQ39:BR39"/>
    <mergeCell ref="CY32:CZ32"/>
    <mergeCell ref="BN3:BO4"/>
    <mergeCell ref="CY42:CZ42"/>
    <mergeCell ref="AH3:AH4"/>
    <mergeCell ref="CY47:CZ47"/>
    <mergeCell ref="BQ38:BR38"/>
    <mergeCell ref="AH1:AX1"/>
    <mergeCell ref="AI45:AJ45"/>
    <mergeCell ref="CY45:CZ45"/>
    <mergeCell ref="BQ42:BR42"/>
    <mergeCell ref="BQ43:BR43"/>
    <mergeCell ref="AY1:BO1"/>
    <mergeCell ref="CY46:CZ46"/>
    <mergeCell ref="AI29:AJ29"/>
    <mergeCell ref="CG3:CP3"/>
    <mergeCell ref="BQ18:BR18"/>
    <mergeCell ref="BQ27:BR27"/>
    <mergeCell ref="BQ8:BR8"/>
    <mergeCell ref="CY8:CZ8"/>
    <mergeCell ref="A1:P1"/>
    <mergeCell ref="CY3:CZ4"/>
    <mergeCell ref="AI7:AJ7"/>
    <mergeCell ref="CY12:CZ12"/>
    <mergeCell ref="BQ21:BR21"/>
    <mergeCell ref="AI16:AJ16"/>
    <mergeCell ref="CY21:CZ21"/>
    <mergeCell ref="CV3:CW4"/>
    <mergeCell ref="CY41:CZ41"/>
    <mergeCell ref="BQ23:BR23"/>
    <mergeCell ref="AI18:AJ18"/>
    <mergeCell ref="CY23:CZ23"/>
    <mergeCell ref="CY13:CZ13"/>
    <mergeCell ref="BQ7:BR7"/>
    <mergeCell ref="CY7:CZ7"/>
    <mergeCell ref="AI33:AJ33"/>
    <mergeCell ref="CY40:CZ40"/>
    <mergeCell ref="CY27:CZ27"/>
    <mergeCell ref="AE3:AE4"/>
    <mergeCell ref="AI34:AJ34"/>
    <mergeCell ref="BQ34:BR34"/>
    <mergeCell ref="AI28:AJ28"/>
    <mergeCell ref="CQ3:CQ4"/>
    <mergeCell ref="BI3:BI4"/>
    <mergeCell ref="R1:AG1"/>
    <mergeCell ref="CY6:CZ6"/>
    <mergeCell ref="AX3:AX4"/>
    <mergeCell ref="DA3:DM3"/>
    <mergeCell ref="BS3:CE3"/>
    <mergeCell ref="CY15:CZ15"/>
    <mergeCell ref="CY44:CZ44"/>
    <mergeCell ref="CG2:CW2"/>
    <mergeCell ref="BQ31:BR31"/>
    <mergeCell ref="AI26:AJ26"/>
    <mergeCell ref="AF3:AG4"/>
    <mergeCell ref="AI43:AJ43"/>
    <mergeCell ref="AI42:AJ42"/>
    <mergeCell ref="CY43:CZ43"/>
    <mergeCell ref="AI44:AJ44"/>
    <mergeCell ref="BQ36:BR36"/>
    <mergeCell ref="AI30:AJ30"/>
    <mergeCell ref="BQ33:BR33"/>
    <mergeCell ref="AI6:AJ6"/>
    <mergeCell ref="AI11:AJ11"/>
    <mergeCell ref="AY3:BH3"/>
    <mergeCell ref="BQ20:BR20"/>
    <mergeCell ref="CY25:CZ25"/>
    <mergeCell ref="CY30:CZ30"/>
    <mergeCell ref="CY49:CZ49"/>
    <mergeCell ref="BP3:BP4"/>
    <mergeCell ref="BQ5:BR5"/>
    <mergeCell ref="AU44:AV44"/>
    <mergeCell ref="AI40:AJ40"/>
    <mergeCell ref="AI15:AJ15"/>
    <mergeCell ref="BQ29:BR29"/>
    <mergeCell ref="AI24:AJ24"/>
    <mergeCell ref="AB3:AC4"/>
    <mergeCell ref="BQ46:BR46"/>
    <mergeCell ref="BQ48:BR48"/>
    <mergeCell ref="BQ49:BR49"/>
    <mergeCell ref="BQ35:BR35"/>
    <mergeCell ref="CY5:CZ5"/>
    <mergeCell ref="BQ22:BR22"/>
    <mergeCell ref="BQ12:BR12"/>
    <mergeCell ref="AI32:AJ32"/>
    <mergeCell ref="CY11:CZ11"/>
    <mergeCell ref="AI46:AJ46"/>
    <mergeCell ref="AD3:AD4"/>
    <mergeCell ref="BL3:BL4"/>
    <mergeCell ref="AI49:AJ49"/>
    <mergeCell ref="AI48:AJ48"/>
    <mergeCell ref="BQ9:BR9"/>
    <mergeCell ref="B3:B4"/>
    <mergeCell ref="AI38:AJ38"/>
    <mergeCell ref="CY39:CZ39"/>
    <mergeCell ref="BQ3:BR4"/>
    <mergeCell ref="CY36:CZ36"/>
    <mergeCell ref="CY18:CZ18"/>
    <mergeCell ref="C3:O3"/>
    <mergeCell ref="P3:P4"/>
    <mergeCell ref="CY48:CZ48"/>
    <mergeCell ref="BQ30:BR30"/>
    <mergeCell ref="BJ3:BK4"/>
    <mergeCell ref="BQ45:BR45"/>
    <mergeCell ref="AI14:AJ14"/>
    <mergeCell ref="CF3:CF4"/>
    <mergeCell ref="BQ32:BR32"/>
    <mergeCell ref="AI27:AJ27"/>
    <mergeCell ref="AI41:AJ41"/>
    <mergeCell ref="BQ41:BR41"/>
    <mergeCell ref="AI35:AJ35"/>
    <mergeCell ref="CT3:CT4"/>
    <mergeCell ref="BQ47:BR47"/>
    <mergeCell ref="AI25:AJ25"/>
    <mergeCell ref="CY26:CZ26"/>
    <mergeCell ref="CU3:CU4"/>
    <mergeCell ref="AI13:AJ13"/>
    <mergeCell ref="BQ13:BR13"/>
    <mergeCell ref="BQ44:BR44"/>
    <mergeCell ref="DO1:EE1"/>
    <mergeCell ref="CY33:CZ33"/>
    <mergeCell ref="BQ6:BR6"/>
    <mergeCell ref="BQ15:BR15"/>
    <mergeCell ref="DY3:DY4"/>
    <mergeCell ref="CY14:CZ14"/>
    <mergeCell ref="EB3:EB4"/>
    <mergeCell ref="AY2:BO2"/>
    <mergeCell ref="BP1:CF1"/>
    <mergeCell ref="CX1:DN1"/>
    <mergeCell ref="AH2:AX2"/>
    <mergeCell ref="CY38:CZ38"/>
    <mergeCell ref="BQ10:BR10"/>
    <mergeCell ref="AI5:AJ5"/>
    <mergeCell ref="BM3:BM4"/>
    <mergeCell ref="AI39:AJ39"/>
    <mergeCell ref="CY19:CZ19"/>
    <mergeCell ref="BQ19:BR19"/>
    <mergeCell ref="BQ28:BR28"/>
    <mergeCell ref="DO3:DX3"/>
    <mergeCell ref="EC3:EC4"/>
  </mergeCells>
  <conditionalFormatting sqref="AE1:AE41 AE50:AE1048576">
    <cfRule type="cellIs" dxfId="5" priority="1" operator="lessThan">
      <formula>3</formula>
    </cfRule>
  </conditionalFormatting>
  <pageMargins left="0.7" right="0.7" top="0.75" bottom="0.75" header="0.3" footer="0.3"/>
  <pageSetup orientation="portrait" horizontalDpi="4294967293" r:id="rId1"/>
  <headerFooter>
    <oddHeader>&amp;LCOMERCIO&amp;CGRUPO 9°</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18">
    <tabColor rgb="FFF0A060"/>
  </sheetPr>
  <dimension ref="B3:Q58"/>
  <sheetViews>
    <sheetView showWhiteSpace="0" view="pageLayout" zoomScale="70" zoomScaleNormal="100" zoomScalePageLayoutView="70" workbookViewId="0">
      <selection activeCell="C16" sqref="C16:E52"/>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v>9</v>
      </c>
      <c r="M9" s="251"/>
      <c r="N9" s="251"/>
      <c r="O9" s="251"/>
      <c r="P9" s="251"/>
      <c r="Q9" s="241"/>
    </row>
    <row r="10" spans="2:17">
      <c r="B10" s="291" t="s">
        <v>104</v>
      </c>
      <c r="C10" s="241"/>
      <c r="D10" s="286" t="s">
        <v>124</v>
      </c>
      <c r="E10" s="251"/>
      <c r="F10" s="251"/>
      <c r="G10" s="241"/>
      <c r="H10" s="13"/>
      <c r="I10" s="49"/>
      <c r="J10" s="13"/>
      <c r="K10" s="13"/>
      <c r="L10" s="13"/>
      <c r="M10" s="13"/>
      <c r="N10" s="13"/>
      <c r="O10" s="13"/>
      <c r="P10" s="13"/>
      <c r="Q10" s="13"/>
    </row>
    <row r="11" spans="2:17">
      <c r="B11" s="282" t="s">
        <v>106</v>
      </c>
      <c r="C11" s="241"/>
      <c r="D11" s="284" t="s">
        <v>6</v>
      </c>
      <c r="E11" s="248"/>
      <c r="F11" s="15"/>
      <c r="G11" s="13"/>
      <c r="H11" s="13"/>
      <c r="I11" s="282" t="s">
        <v>108</v>
      </c>
      <c r="J11" s="251"/>
      <c r="K11" s="241"/>
      <c r="L11" s="290" t="s">
        <v>123</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MAESTRO!F5</f>
        <v>0</v>
      </c>
      <c r="D16" s="17"/>
      <c r="E16" s="17"/>
      <c r="F16" s="52" t="e">
        <f>'PROM (Comercio 9°)'!AE5</f>
        <v>#DIV/0!</v>
      </c>
      <c r="G16" s="52" t="e">
        <f>'PROM (Comercio 9°)'!BM5</f>
        <v>#DIV/0!</v>
      </c>
      <c r="H16" s="52" t="e">
        <f>'PROM (Comercio 9°)'!CU5</f>
        <v>#DIV/0!</v>
      </c>
      <c r="I16" s="52" t="e">
        <f t="shared" ref="I16:I52" si="0">TRUNC(AVERAGE(F16:H16),1)</f>
        <v>#DIV/0!</v>
      </c>
      <c r="J16" s="62">
        <f>'Asistencia (9°)'!BI3</f>
        <v>0</v>
      </c>
      <c r="K16" s="62">
        <f>'Asistencia (9°)'!BJ3</f>
        <v>0</v>
      </c>
      <c r="L16" s="62">
        <f>'Asistencia (9°)'!BJ3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MAESTRO!F6</f>
        <v>0</v>
      </c>
      <c r="D17" s="17"/>
      <c r="E17" s="17"/>
      <c r="F17" s="52" t="e">
        <f>'PROM (Comercio 9°)'!AE6</f>
        <v>#DIV/0!</v>
      </c>
      <c r="G17" s="52" t="e">
        <f>'PROM (Comercio 9°)'!BM6</f>
        <v>#DIV/0!</v>
      </c>
      <c r="H17" s="52" t="e">
        <f>'PROM (Comercio 9°)'!CU6</f>
        <v>#DIV/0!</v>
      </c>
      <c r="I17" s="52" t="e">
        <f t="shared" si="0"/>
        <v>#DIV/0!</v>
      </c>
      <c r="J17" s="62">
        <f>'Asistencia (9°)'!BI4</f>
        <v>0</v>
      </c>
      <c r="K17" s="62">
        <f>'Asistencia (9°)'!BJ4</f>
        <v>0</v>
      </c>
      <c r="L17" s="62">
        <f>'Asistencia (9°)'!BJ4</f>
        <v>0</v>
      </c>
      <c r="M17" s="62">
        <f>'Asistencia (9°)'!BJ47</f>
        <v>0</v>
      </c>
      <c r="N17" s="62">
        <f>'Asistencia (9°)'!BI92</f>
        <v>0</v>
      </c>
      <c r="O17" s="62">
        <f>'Asistencia (9°)'!BJ92</f>
        <v>0</v>
      </c>
      <c r="P17" s="63">
        <f t="shared" si="1"/>
        <v>0</v>
      </c>
      <c r="Q17" s="63">
        <f t="shared" si="2"/>
        <v>0</v>
      </c>
    </row>
    <row r="18" spans="2:17">
      <c r="B18" s="10">
        <v>3</v>
      </c>
      <c r="C18" s="12">
        <f>MAESTRO!F7</f>
        <v>0</v>
      </c>
      <c r="D18" s="17"/>
      <c r="E18" s="17"/>
      <c r="F18" s="52" t="e">
        <f>'PROM (Comercio 9°)'!AE7</f>
        <v>#DIV/0!</v>
      </c>
      <c r="G18" s="52" t="e">
        <f>'PROM (Comercio 9°)'!BM7</f>
        <v>#DIV/0!</v>
      </c>
      <c r="H18" s="52" t="e">
        <f>'PROM (Comercio 9°)'!CU7</f>
        <v>#DIV/0!</v>
      </c>
      <c r="I18" s="52" t="e">
        <f t="shared" si="0"/>
        <v>#DIV/0!</v>
      </c>
      <c r="J18" s="62">
        <f>'Asistencia (9°)'!BI5</f>
        <v>0</v>
      </c>
      <c r="K18" s="62">
        <f>'Asistencia (9°)'!BJ5</f>
        <v>0</v>
      </c>
      <c r="L18" s="62">
        <f>'Asistencia (9°)'!BJ5</f>
        <v>0</v>
      </c>
      <c r="M18" s="62">
        <f>'Asistencia (9°)'!BJ48</f>
        <v>0</v>
      </c>
      <c r="N18" s="62">
        <f>'Asistencia (9°)'!BI93</f>
        <v>0</v>
      </c>
      <c r="O18" s="62">
        <f>'Asistencia (9°)'!BJ93</f>
        <v>0</v>
      </c>
      <c r="P18" s="63">
        <f t="shared" si="1"/>
        <v>0</v>
      </c>
      <c r="Q18" s="63">
        <f t="shared" si="2"/>
        <v>0</v>
      </c>
    </row>
    <row r="19" spans="2:17">
      <c r="B19" s="10">
        <v>4</v>
      </c>
      <c r="C19" s="12">
        <f>MAESTRO!F8</f>
        <v>0</v>
      </c>
      <c r="D19" s="17"/>
      <c r="E19" s="17"/>
      <c r="F19" s="52" t="e">
        <f>'PROM (Comercio 9°)'!AE8</f>
        <v>#DIV/0!</v>
      </c>
      <c r="G19" s="52" t="e">
        <f>'PROM (Comercio 9°)'!BM8</f>
        <v>#DIV/0!</v>
      </c>
      <c r="H19" s="52" t="e">
        <f>'PROM (Comercio 9°)'!CU8</f>
        <v>#DIV/0!</v>
      </c>
      <c r="I19" s="52" t="e">
        <f t="shared" si="0"/>
        <v>#DIV/0!</v>
      </c>
      <c r="J19" s="62">
        <f>'Asistencia (9°)'!BI6</f>
        <v>0</v>
      </c>
      <c r="K19" s="62">
        <f>'Asistencia (9°)'!BJ6</f>
        <v>0</v>
      </c>
      <c r="L19" s="62">
        <f>'Asistencia (9°)'!BJ6</f>
        <v>0</v>
      </c>
      <c r="M19" s="62">
        <f>'Asistencia (9°)'!BJ49</f>
        <v>0</v>
      </c>
      <c r="N19" s="62">
        <f>'Asistencia (9°)'!BI94</f>
        <v>0</v>
      </c>
      <c r="O19" s="62">
        <f>'Asistencia (9°)'!BJ94</f>
        <v>0</v>
      </c>
      <c r="P19" s="63">
        <f t="shared" si="1"/>
        <v>0</v>
      </c>
      <c r="Q19" s="63">
        <f t="shared" si="2"/>
        <v>0</v>
      </c>
    </row>
    <row r="20" spans="2:17">
      <c r="B20" s="10">
        <v>5</v>
      </c>
      <c r="C20" s="12">
        <f>MAESTRO!F9</f>
        <v>0</v>
      </c>
      <c r="D20" s="17"/>
      <c r="E20" s="17"/>
      <c r="F20" s="52" t="e">
        <f>'PROM (Comercio 9°)'!AE9</f>
        <v>#DIV/0!</v>
      </c>
      <c r="G20" s="52" t="e">
        <f>'PROM (Comercio 9°)'!BM9</f>
        <v>#DIV/0!</v>
      </c>
      <c r="H20" s="52" t="e">
        <f>'PROM (Comercio 9°)'!CU9</f>
        <v>#DIV/0!</v>
      </c>
      <c r="I20" s="52" t="e">
        <f t="shared" si="0"/>
        <v>#DIV/0!</v>
      </c>
      <c r="J20" s="62">
        <f>'Asistencia (9°)'!BI7</f>
        <v>0</v>
      </c>
      <c r="K20" s="62">
        <f>'Asistencia (9°)'!BJ7</f>
        <v>0</v>
      </c>
      <c r="L20" s="62">
        <f>'Asistencia (9°)'!BJ7</f>
        <v>0</v>
      </c>
      <c r="M20" s="62">
        <f>'Asistencia (9°)'!BJ50</f>
        <v>0</v>
      </c>
      <c r="N20" s="62">
        <f>'Asistencia (9°)'!BI95</f>
        <v>0</v>
      </c>
      <c r="O20" s="62">
        <f>'Asistencia (9°)'!BJ95</f>
        <v>0</v>
      </c>
      <c r="P20" s="63">
        <f t="shared" si="1"/>
        <v>0</v>
      </c>
      <c r="Q20" s="63">
        <f t="shared" si="2"/>
        <v>0</v>
      </c>
    </row>
    <row r="21" spans="2:17">
      <c r="B21" s="10">
        <v>6</v>
      </c>
      <c r="C21" s="12">
        <f>MAESTRO!F10</f>
        <v>0</v>
      </c>
      <c r="D21" s="17"/>
      <c r="E21" s="17"/>
      <c r="F21" s="52" t="e">
        <f>'PROM (Comercio 9°)'!AE10</f>
        <v>#DIV/0!</v>
      </c>
      <c r="G21" s="52" t="e">
        <f>'PROM (Comercio 9°)'!BM10</f>
        <v>#DIV/0!</v>
      </c>
      <c r="H21" s="52" t="e">
        <f>'PROM (Comercio 9°)'!CU10</f>
        <v>#DIV/0!</v>
      </c>
      <c r="I21" s="52" t="e">
        <f t="shared" si="0"/>
        <v>#DIV/0!</v>
      </c>
      <c r="J21" s="62">
        <f>'Asistencia (9°)'!BI8</f>
        <v>0</v>
      </c>
      <c r="K21" s="62">
        <f>'Asistencia (9°)'!BJ8</f>
        <v>0</v>
      </c>
      <c r="L21" s="62">
        <f>'Asistencia (9°)'!BJ8</f>
        <v>0</v>
      </c>
      <c r="M21" s="62">
        <f>'Asistencia (9°)'!BJ51</f>
        <v>0</v>
      </c>
      <c r="N21" s="62">
        <f>'Asistencia (9°)'!BI96</f>
        <v>0</v>
      </c>
      <c r="O21" s="62">
        <f>'Asistencia (9°)'!BJ96</f>
        <v>0</v>
      </c>
      <c r="P21" s="63">
        <f t="shared" si="1"/>
        <v>0</v>
      </c>
      <c r="Q21" s="63">
        <f t="shared" si="2"/>
        <v>0</v>
      </c>
    </row>
    <row r="22" spans="2:17">
      <c r="B22" s="10">
        <v>7</v>
      </c>
      <c r="C22" s="12">
        <f>MAESTRO!F11</f>
        <v>0</v>
      </c>
      <c r="D22" s="17"/>
      <c r="E22" s="17"/>
      <c r="F22" s="52" t="e">
        <f>'PROM (Comercio 9°)'!AE11</f>
        <v>#DIV/0!</v>
      </c>
      <c r="G22" s="52" t="e">
        <f>'PROM (Comercio 9°)'!BM11</f>
        <v>#DIV/0!</v>
      </c>
      <c r="H22" s="52" t="e">
        <f>'PROM (Comercio 9°)'!CU11</f>
        <v>#DIV/0!</v>
      </c>
      <c r="I22" s="52" t="e">
        <f t="shared" si="0"/>
        <v>#DIV/0!</v>
      </c>
      <c r="J22" s="62">
        <f>'Asistencia (9°)'!BI9</f>
        <v>0</v>
      </c>
      <c r="K22" s="62">
        <f>'Asistencia (9°)'!BJ9</f>
        <v>0</v>
      </c>
      <c r="L22" s="62">
        <f>'Asistencia (9°)'!BJ9</f>
        <v>0</v>
      </c>
      <c r="M22" s="62">
        <f>'Asistencia (9°)'!BJ52</f>
        <v>0</v>
      </c>
      <c r="N22" s="62">
        <f>'Asistencia (9°)'!BI97</f>
        <v>0</v>
      </c>
      <c r="O22" s="62">
        <f>'Asistencia (9°)'!BJ97</f>
        <v>0</v>
      </c>
      <c r="P22" s="63">
        <f t="shared" si="1"/>
        <v>0</v>
      </c>
      <c r="Q22" s="63">
        <f t="shared" si="2"/>
        <v>0</v>
      </c>
    </row>
    <row r="23" spans="2:17">
      <c r="B23" s="10">
        <v>8</v>
      </c>
      <c r="C23" s="12">
        <f>MAESTRO!F12</f>
        <v>0</v>
      </c>
      <c r="D23" s="17"/>
      <c r="E23" s="17"/>
      <c r="F23" s="52" t="e">
        <f>'PROM (Comercio 9°)'!AE12</f>
        <v>#DIV/0!</v>
      </c>
      <c r="G23" s="52" t="e">
        <f>'PROM (Comercio 9°)'!BM12</f>
        <v>#DIV/0!</v>
      </c>
      <c r="H23" s="52" t="e">
        <f>'PROM (Comercio 9°)'!CU12</f>
        <v>#DIV/0!</v>
      </c>
      <c r="I23" s="52" t="e">
        <f t="shared" si="0"/>
        <v>#DIV/0!</v>
      </c>
      <c r="J23" s="62">
        <f>'Asistencia (9°)'!BI10</f>
        <v>0</v>
      </c>
      <c r="K23" s="62">
        <f>'Asistencia (9°)'!BJ10</f>
        <v>0</v>
      </c>
      <c r="L23" s="62">
        <f>'Asistencia (9°)'!BJ10</f>
        <v>0</v>
      </c>
      <c r="M23" s="62">
        <f>'Asistencia (9°)'!BJ53</f>
        <v>0</v>
      </c>
      <c r="N23" s="62">
        <f>'Asistencia (9°)'!BI98</f>
        <v>0</v>
      </c>
      <c r="O23" s="62">
        <f>'Asistencia (9°)'!BJ98</f>
        <v>0</v>
      </c>
      <c r="P23" s="63">
        <f t="shared" si="1"/>
        <v>0</v>
      </c>
      <c r="Q23" s="63">
        <f t="shared" si="2"/>
        <v>0</v>
      </c>
    </row>
    <row r="24" spans="2:17">
      <c r="B24" s="10">
        <v>9</v>
      </c>
      <c r="C24" s="12">
        <f>MAESTRO!F13</f>
        <v>0</v>
      </c>
      <c r="D24" s="17"/>
      <c r="E24" s="17"/>
      <c r="F24" s="52" t="e">
        <f>'PROM (Comercio 9°)'!AE13</f>
        <v>#DIV/0!</v>
      </c>
      <c r="G24" s="52" t="e">
        <f>'PROM (Comercio 9°)'!BM13</f>
        <v>#DIV/0!</v>
      </c>
      <c r="H24" s="52" t="e">
        <f>'PROM (Comercio 9°)'!CU13</f>
        <v>#DIV/0!</v>
      </c>
      <c r="I24" s="52" t="e">
        <f t="shared" si="0"/>
        <v>#DIV/0!</v>
      </c>
      <c r="J24" s="62">
        <f>'Asistencia (9°)'!BI11</f>
        <v>0</v>
      </c>
      <c r="K24" s="62">
        <f>'Asistencia (9°)'!BJ11</f>
        <v>0</v>
      </c>
      <c r="L24" s="62">
        <f>'Asistencia (9°)'!BJ11</f>
        <v>0</v>
      </c>
      <c r="M24" s="62">
        <f>'Asistencia (9°)'!BJ54</f>
        <v>0</v>
      </c>
      <c r="N24" s="62">
        <f>'Asistencia (9°)'!BI99</f>
        <v>0</v>
      </c>
      <c r="O24" s="62">
        <f>'Asistencia (9°)'!BJ99</f>
        <v>0</v>
      </c>
      <c r="P24" s="63">
        <f t="shared" si="1"/>
        <v>0</v>
      </c>
      <c r="Q24" s="63">
        <f t="shared" si="2"/>
        <v>0</v>
      </c>
    </row>
    <row r="25" spans="2:17">
      <c r="B25" s="10">
        <v>10</v>
      </c>
      <c r="C25" s="12">
        <f>MAESTRO!F14</f>
        <v>0</v>
      </c>
      <c r="D25" s="17"/>
      <c r="E25" s="17"/>
      <c r="F25" s="52" t="e">
        <f>'PROM (Comercio 9°)'!AE14</f>
        <v>#DIV/0!</v>
      </c>
      <c r="G25" s="52" t="e">
        <f>'PROM (Comercio 9°)'!BM14</f>
        <v>#DIV/0!</v>
      </c>
      <c r="H25" s="52" t="e">
        <f>'PROM (Comercio 9°)'!CU14</f>
        <v>#DIV/0!</v>
      </c>
      <c r="I25" s="52" t="e">
        <f t="shared" si="0"/>
        <v>#DIV/0!</v>
      </c>
      <c r="J25" s="62">
        <f>'Asistencia (9°)'!BI12</f>
        <v>0</v>
      </c>
      <c r="K25" s="62">
        <f>'Asistencia (9°)'!BJ12</f>
        <v>0</v>
      </c>
      <c r="L25" s="62">
        <f>'Asistencia (9°)'!BJ12</f>
        <v>0</v>
      </c>
      <c r="M25" s="62">
        <f>'Asistencia (9°)'!BJ55</f>
        <v>0</v>
      </c>
      <c r="N25" s="62">
        <f>'Asistencia (9°)'!BI100</f>
        <v>0</v>
      </c>
      <c r="O25" s="62">
        <f>'Asistencia (9°)'!BJ100</f>
        <v>0</v>
      </c>
      <c r="P25" s="63">
        <f t="shared" si="1"/>
        <v>0</v>
      </c>
      <c r="Q25" s="63">
        <f t="shared" si="2"/>
        <v>0</v>
      </c>
    </row>
    <row r="26" spans="2:17">
      <c r="B26" s="10">
        <v>11</v>
      </c>
      <c r="C26" s="12">
        <f>MAESTRO!F15</f>
        <v>0</v>
      </c>
      <c r="D26" s="17"/>
      <c r="E26" s="17"/>
      <c r="F26" s="52" t="e">
        <f>'PROM (Comercio 9°)'!AE15</f>
        <v>#DIV/0!</v>
      </c>
      <c r="G26" s="52" t="e">
        <f>'PROM (Comercio 9°)'!BM15</f>
        <v>#DIV/0!</v>
      </c>
      <c r="H26" s="52" t="e">
        <f>'PROM (Comercio 9°)'!CU15</f>
        <v>#DIV/0!</v>
      </c>
      <c r="I26" s="52" t="e">
        <f t="shared" si="0"/>
        <v>#DIV/0!</v>
      </c>
      <c r="J26" s="62">
        <f>'Asistencia (9°)'!BI13</f>
        <v>0</v>
      </c>
      <c r="K26" s="62">
        <f>'Asistencia (9°)'!BJ13</f>
        <v>0</v>
      </c>
      <c r="L26" s="62">
        <f>'Asistencia (9°)'!BJ13</f>
        <v>0</v>
      </c>
      <c r="M26" s="62">
        <f>'Asistencia (9°)'!BJ56</f>
        <v>0</v>
      </c>
      <c r="N26" s="62">
        <f>'Asistencia (9°)'!BI101</f>
        <v>0</v>
      </c>
      <c r="O26" s="62">
        <f>'Asistencia (9°)'!BJ101</f>
        <v>0</v>
      </c>
      <c r="P26" s="63">
        <f t="shared" si="1"/>
        <v>0</v>
      </c>
      <c r="Q26" s="63">
        <f t="shared" si="2"/>
        <v>0</v>
      </c>
    </row>
    <row r="27" spans="2:17">
      <c r="B27" s="10">
        <v>12</v>
      </c>
      <c r="C27" s="12">
        <f>MAESTRO!F16</f>
        <v>0</v>
      </c>
      <c r="D27" s="17"/>
      <c r="E27" s="17"/>
      <c r="F27" s="52" t="e">
        <f>'PROM (Comercio 9°)'!AE16</f>
        <v>#DIV/0!</v>
      </c>
      <c r="G27" s="52" t="e">
        <f>'PROM (Comercio 9°)'!BM16</f>
        <v>#DIV/0!</v>
      </c>
      <c r="H27" s="52" t="e">
        <f>'PROM (Comercio 9°)'!CU16</f>
        <v>#DIV/0!</v>
      </c>
      <c r="I27" s="52" t="e">
        <f t="shared" si="0"/>
        <v>#DIV/0!</v>
      </c>
      <c r="J27" s="62">
        <f>'Asistencia (9°)'!BI14</f>
        <v>0</v>
      </c>
      <c r="K27" s="62">
        <f>'Asistencia (9°)'!BJ14</f>
        <v>0</v>
      </c>
      <c r="L27" s="62">
        <f>'Asistencia (9°)'!BJ14</f>
        <v>0</v>
      </c>
      <c r="M27" s="62">
        <f>'Asistencia (9°)'!BJ57</f>
        <v>0</v>
      </c>
      <c r="N27" s="62">
        <f>'Asistencia (9°)'!BI102</f>
        <v>0</v>
      </c>
      <c r="O27" s="62">
        <f>'Asistencia (9°)'!BJ102</f>
        <v>0</v>
      </c>
      <c r="P27" s="63">
        <f t="shared" si="1"/>
        <v>0</v>
      </c>
      <c r="Q27" s="63">
        <f t="shared" si="2"/>
        <v>0</v>
      </c>
    </row>
    <row r="28" spans="2:17">
      <c r="B28" s="10">
        <v>13</v>
      </c>
      <c r="C28" s="12">
        <f>MAESTRO!F17</f>
        <v>0</v>
      </c>
      <c r="D28" s="17"/>
      <c r="E28" s="17"/>
      <c r="F28" s="52" t="e">
        <f>'PROM (Comercio 9°)'!AE17</f>
        <v>#DIV/0!</v>
      </c>
      <c r="G28" s="52" t="e">
        <f>'PROM (Comercio 9°)'!BM17</f>
        <v>#DIV/0!</v>
      </c>
      <c r="H28" s="52" t="e">
        <f>'PROM (Comercio 9°)'!CU17</f>
        <v>#DIV/0!</v>
      </c>
      <c r="I28" s="52" t="e">
        <f t="shared" si="0"/>
        <v>#DIV/0!</v>
      </c>
      <c r="J28" s="62">
        <f>'Asistencia (9°)'!BI15</f>
        <v>0</v>
      </c>
      <c r="K28" s="62">
        <f>'Asistencia (9°)'!BJ15</f>
        <v>0</v>
      </c>
      <c r="L28" s="62">
        <f>'Asistencia (9°)'!BJ15</f>
        <v>0</v>
      </c>
      <c r="M28" s="62">
        <f>'Asistencia (9°)'!BJ58</f>
        <v>0</v>
      </c>
      <c r="N28" s="62">
        <f>'Asistencia (9°)'!BI103</f>
        <v>0</v>
      </c>
      <c r="O28" s="62">
        <f>'Asistencia (9°)'!BJ103</f>
        <v>0</v>
      </c>
      <c r="P28" s="63">
        <f t="shared" si="1"/>
        <v>0</v>
      </c>
      <c r="Q28" s="63">
        <f t="shared" si="2"/>
        <v>0</v>
      </c>
    </row>
    <row r="29" spans="2:17">
      <c r="B29" s="10">
        <v>14</v>
      </c>
      <c r="C29" s="12">
        <f>MAESTRO!F18</f>
        <v>0</v>
      </c>
      <c r="D29" s="17"/>
      <c r="E29" s="17"/>
      <c r="F29" s="52" t="e">
        <f>'PROM (Comercio 9°)'!AE18</f>
        <v>#DIV/0!</v>
      </c>
      <c r="G29" s="52" t="e">
        <f>'PROM (Comercio 9°)'!BM18</f>
        <v>#DIV/0!</v>
      </c>
      <c r="H29" s="52" t="e">
        <f>'PROM (Comercio 9°)'!CU18</f>
        <v>#DIV/0!</v>
      </c>
      <c r="I29" s="52" t="e">
        <f t="shared" si="0"/>
        <v>#DIV/0!</v>
      </c>
      <c r="J29" s="62">
        <f>'Asistencia (9°)'!BI16</f>
        <v>0</v>
      </c>
      <c r="K29" s="62">
        <f>'Asistencia (9°)'!BJ16</f>
        <v>0</v>
      </c>
      <c r="L29" s="62">
        <f>'Asistencia (9°)'!BJ16</f>
        <v>0</v>
      </c>
      <c r="M29" s="62">
        <f>'Asistencia (9°)'!BJ59</f>
        <v>0</v>
      </c>
      <c r="N29" s="62">
        <f>'Asistencia (9°)'!BI104</f>
        <v>0</v>
      </c>
      <c r="O29" s="62">
        <f>'Asistencia (9°)'!BJ104</f>
        <v>0</v>
      </c>
      <c r="P29" s="63">
        <f t="shared" si="1"/>
        <v>0</v>
      </c>
      <c r="Q29" s="63">
        <f t="shared" si="2"/>
        <v>0</v>
      </c>
    </row>
    <row r="30" spans="2:17">
      <c r="B30" s="10">
        <v>15</v>
      </c>
      <c r="C30" s="12">
        <f>MAESTRO!F19</f>
        <v>0</v>
      </c>
      <c r="D30" s="17"/>
      <c r="E30" s="17"/>
      <c r="F30" s="52" t="e">
        <f>'PROM (Comercio 9°)'!AE19</f>
        <v>#DIV/0!</v>
      </c>
      <c r="G30" s="52" t="e">
        <f>'PROM (Comercio 9°)'!BM19</f>
        <v>#DIV/0!</v>
      </c>
      <c r="H30" s="52" t="e">
        <f>'PROM (Comercio 9°)'!CU19</f>
        <v>#DIV/0!</v>
      </c>
      <c r="I30" s="52" t="e">
        <f t="shared" si="0"/>
        <v>#DIV/0!</v>
      </c>
      <c r="J30" s="62">
        <f>'Asistencia (9°)'!BI17</f>
        <v>0</v>
      </c>
      <c r="K30" s="62">
        <f>'Asistencia (9°)'!BJ17</f>
        <v>0</v>
      </c>
      <c r="L30" s="62">
        <f>'Asistencia (9°)'!BJ17</f>
        <v>0</v>
      </c>
      <c r="M30" s="62">
        <f>'Asistencia (9°)'!BJ60</f>
        <v>0</v>
      </c>
      <c r="N30" s="62">
        <f>'Asistencia (9°)'!BI105</f>
        <v>0</v>
      </c>
      <c r="O30" s="62">
        <f>'Asistencia (9°)'!BJ105</f>
        <v>0</v>
      </c>
      <c r="P30" s="63">
        <f t="shared" si="1"/>
        <v>0</v>
      </c>
      <c r="Q30" s="63">
        <f t="shared" si="2"/>
        <v>0</v>
      </c>
    </row>
    <row r="31" spans="2:17">
      <c r="B31" s="10">
        <v>16</v>
      </c>
      <c r="C31" s="12">
        <f>MAESTRO!F20</f>
        <v>0</v>
      </c>
      <c r="D31" s="17"/>
      <c r="E31" s="17"/>
      <c r="F31" s="52" t="e">
        <f>'PROM (Comercio 9°)'!AE20</f>
        <v>#DIV/0!</v>
      </c>
      <c r="G31" s="52" t="e">
        <f>'PROM (Comercio 9°)'!BM20</f>
        <v>#DIV/0!</v>
      </c>
      <c r="H31" s="52" t="e">
        <f>'PROM (Comercio 9°)'!CU20</f>
        <v>#DIV/0!</v>
      </c>
      <c r="I31" s="52" t="e">
        <f t="shared" si="0"/>
        <v>#DIV/0!</v>
      </c>
      <c r="J31" s="62">
        <f>'Asistencia (9°)'!BI18</f>
        <v>0</v>
      </c>
      <c r="K31" s="62">
        <f>'Asistencia (9°)'!BJ18</f>
        <v>0</v>
      </c>
      <c r="L31" s="62">
        <f>'Asistencia (9°)'!BJ18</f>
        <v>0</v>
      </c>
      <c r="M31" s="62">
        <f>'Asistencia (9°)'!BJ61</f>
        <v>0</v>
      </c>
      <c r="N31" s="62">
        <f>'Asistencia (9°)'!BI106</f>
        <v>0</v>
      </c>
      <c r="O31" s="62">
        <f>'Asistencia (9°)'!BJ106</f>
        <v>0</v>
      </c>
      <c r="P31" s="63">
        <f t="shared" si="1"/>
        <v>0</v>
      </c>
      <c r="Q31" s="63">
        <f t="shared" si="2"/>
        <v>0</v>
      </c>
    </row>
    <row r="32" spans="2:17">
      <c r="B32" s="10">
        <v>17</v>
      </c>
      <c r="C32" s="12">
        <f>MAESTRO!F21</f>
        <v>0</v>
      </c>
      <c r="D32" s="17"/>
      <c r="E32" s="17"/>
      <c r="F32" s="52" t="e">
        <f>'PROM (Comercio 9°)'!AE21</f>
        <v>#DIV/0!</v>
      </c>
      <c r="G32" s="72" t="e">
        <f>'PROM (Comercio 9°)'!BM21</f>
        <v>#DIV/0!</v>
      </c>
      <c r="H32" s="52" t="e">
        <f>'PROM (Comercio 9°)'!CU21</f>
        <v>#DIV/0!</v>
      </c>
      <c r="I32" s="52" t="e">
        <f t="shared" si="0"/>
        <v>#DIV/0!</v>
      </c>
      <c r="J32" s="62">
        <f>'Asistencia (9°)'!BI19</f>
        <v>0</v>
      </c>
      <c r="K32" s="62">
        <f>'Asistencia (9°)'!BJ19</f>
        <v>0</v>
      </c>
      <c r="L32" s="62">
        <f>'Asistencia (9°)'!BJ19</f>
        <v>0</v>
      </c>
      <c r="M32" s="62">
        <f>'Asistencia (9°)'!BJ62</f>
        <v>0</v>
      </c>
      <c r="N32" s="62">
        <f>'Asistencia (9°)'!BI107</f>
        <v>0</v>
      </c>
      <c r="O32" s="62">
        <f>'Asistencia (9°)'!BJ107</f>
        <v>0</v>
      </c>
      <c r="P32" s="63">
        <f t="shared" si="1"/>
        <v>0</v>
      </c>
      <c r="Q32" s="63">
        <f t="shared" si="2"/>
        <v>0</v>
      </c>
    </row>
    <row r="33" spans="2:17">
      <c r="B33" s="10">
        <v>18</v>
      </c>
      <c r="C33" s="12">
        <f>MAESTRO!F22</f>
        <v>0</v>
      </c>
      <c r="D33" s="17"/>
      <c r="E33" s="17"/>
      <c r="F33" s="52" t="e">
        <f>'PROM (Comercio 9°)'!AE22</f>
        <v>#DIV/0!</v>
      </c>
      <c r="G33" s="72" t="e">
        <f>'PROM (Comercio 9°)'!BM22</f>
        <v>#DIV/0!</v>
      </c>
      <c r="H33" s="52" t="e">
        <f>'PROM (Comercio 9°)'!CU22</f>
        <v>#DIV/0!</v>
      </c>
      <c r="I33" s="52" t="e">
        <f t="shared" si="0"/>
        <v>#DIV/0!</v>
      </c>
      <c r="J33" s="62">
        <f>'Asistencia (9°)'!BI20</f>
        <v>0</v>
      </c>
      <c r="K33" s="62">
        <f>'Asistencia (9°)'!BJ20</f>
        <v>0</v>
      </c>
      <c r="L33" s="62">
        <f>'Asistencia (9°)'!BJ20</f>
        <v>0</v>
      </c>
      <c r="M33" s="62">
        <f>'Asistencia (9°)'!BJ63</f>
        <v>0</v>
      </c>
      <c r="N33" s="62">
        <f>'Asistencia (9°)'!BI108</f>
        <v>0</v>
      </c>
      <c r="O33" s="62">
        <f>'Asistencia (9°)'!BJ108</f>
        <v>0</v>
      </c>
      <c r="P33" s="63">
        <f t="shared" si="1"/>
        <v>0</v>
      </c>
      <c r="Q33" s="63">
        <f t="shared" si="2"/>
        <v>0</v>
      </c>
    </row>
    <row r="34" spans="2:17">
      <c r="B34" s="10">
        <v>19</v>
      </c>
      <c r="C34" s="12">
        <f>MAESTRO!F23</f>
        <v>0</v>
      </c>
      <c r="D34" s="17"/>
      <c r="E34" s="17"/>
      <c r="F34" s="52" t="e">
        <f>'PROM (Comercio 9°)'!AE23</f>
        <v>#DIV/0!</v>
      </c>
      <c r="G34" s="72" t="e">
        <f>'PROM (Comercio 9°)'!BM23</f>
        <v>#DIV/0!</v>
      </c>
      <c r="H34" s="52" t="e">
        <f>'PROM (Comercio 9°)'!CU23</f>
        <v>#DIV/0!</v>
      </c>
      <c r="I34" s="52" t="e">
        <f t="shared" si="0"/>
        <v>#DIV/0!</v>
      </c>
      <c r="J34" s="62">
        <f>'Asistencia (9°)'!BI21</f>
        <v>0</v>
      </c>
      <c r="K34" s="62">
        <f>'Asistencia (9°)'!BJ21</f>
        <v>0</v>
      </c>
      <c r="L34" s="62">
        <f>'Asistencia (9°)'!BJ21</f>
        <v>0</v>
      </c>
      <c r="M34" s="62">
        <f>'Asistencia (9°)'!BJ64</f>
        <v>0</v>
      </c>
      <c r="N34" s="62">
        <f>'Asistencia (9°)'!BI109</f>
        <v>0</v>
      </c>
      <c r="O34" s="62">
        <f>'Asistencia (9°)'!BJ109</f>
        <v>0</v>
      </c>
      <c r="P34" s="63">
        <f t="shared" si="1"/>
        <v>0</v>
      </c>
      <c r="Q34" s="63">
        <f t="shared" si="2"/>
        <v>0</v>
      </c>
    </row>
    <row r="35" spans="2:17">
      <c r="B35" s="10">
        <v>20</v>
      </c>
      <c r="C35" s="12">
        <f>MAESTRO!F24</f>
        <v>0</v>
      </c>
      <c r="D35" s="17"/>
      <c r="E35" s="17"/>
      <c r="F35" s="52" t="e">
        <f>'PROM (Comercio 9°)'!AE24</f>
        <v>#DIV/0!</v>
      </c>
      <c r="G35" s="72" t="e">
        <f>'PROM (Comercio 9°)'!BM24</f>
        <v>#DIV/0!</v>
      </c>
      <c r="H35" s="52" t="e">
        <f>'PROM (Comercio 9°)'!CU24</f>
        <v>#DIV/0!</v>
      </c>
      <c r="I35" s="52" t="e">
        <f t="shared" si="0"/>
        <v>#DIV/0!</v>
      </c>
      <c r="J35" s="62">
        <f>'Asistencia (9°)'!BI22</f>
        <v>0</v>
      </c>
      <c r="K35" s="62">
        <f>'Asistencia (9°)'!BJ22</f>
        <v>0</v>
      </c>
      <c r="L35" s="62">
        <f>'Asistencia (9°)'!BJ22</f>
        <v>0</v>
      </c>
      <c r="M35" s="62">
        <f>'Asistencia (9°)'!BJ65</f>
        <v>0</v>
      </c>
      <c r="N35" s="62">
        <f>'Asistencia (9°)'!BI110</f>
        <v>0</v>
      </c>
      <c r="O35" s="62">
        <f>'Asistencia (9°)'!BJ110</f>
        <v>0</v>
      </c>
      <c r="P35" s="63">
        <f t="shared" si="1"/>
        <v>0</v>
      </c>
      <c r="Q35" s="63">
        <f t="shared" si="2"/>
        <v>0</v>
      </c>
    </row>
    <row r="36" spans="2:17">
      <c r="B36" s="10">
        <v>21</v>
      </c>
      <c r="C36" s="12">
        <f>MAESTRO!F25</f>
        <v>0</v>
      </c>
      <c r="D36" s="17"/>
      <c r="E36" s="17"/>
      <c r="F36" s="52" t="e">
        <f>'PROM (Comercio 9°)'!AE25</f>
        <v>#DIV/0!</v>
      </c>
      <c r="G36" s="72" t="e">
        <f>'PROM (Comercio 9°)'!BM25</f>
        <v>#DIV/0!</v>
      </c>
      <c r="H36" s="52" t="e">
        <f>'PROM (Comercio 9°)'!CU25</f>
        <v>#DIV/0!</v>
      </c>
      <c r="I36" s="52" t="e">
        <f t="shared" si="0"/>
        <v>#DIV/0!</v>
      </c>
      <c r="J36" s="62">
        <f>'Asistencia (9°)'!BI23</f>
        <v>0</v>
      </c>
      <c r="K36" s="62">
        <f>'Asistencia (9°)'!BJ23</f>
        <v>0</v>
      </c>
      <c r="L36" s="62">
        <f>'Asistencia (9°)'!BJ23</f>
        <v>0</v>
      </c>
      <c r="M36" s="62">
        <f>'Asistencia (9°)'!BJ66</f>
        <v>0</v>
      </c>
      <c r="N36" s="62">
        <f>'Asistencia (9°)'!BI111</f>
        <v>0</v>
      </c>
      <c r="O36" s="62">
        <f>'Asistencia (9°)'!BJ111</f>
        <v>0</v>
      </c>
      <c r="P36" s="63">
        <f t="shared" si="1"/>
        <v>0</v>
      </c>
      <c r="Q36" s="63">
        <f t="shared" si="2"/>
        <v>0</v>
      </c>
    </row>
    <row r="37" spans="2:17">
      <c r="B37" s="10">
        <v>22</v>
      </c>
      <c r="C37" s="12">
        <f>MAESTRO!F26</f>
        <v>0</v>
      </c>
      <c r="D37" s="17"/>
      <c r="E37" s="17"/>
      <c r="F37" s="52" t="e">
        <f>'PROM (Comercio 9°)'!AE26</f>
        <v>#DIV/0!</v>
      </c>
      <c r="G37" s="72" t="e">
        <f>'PROM (Comercio 9°)'!BM26</f>
        <v>#DIV/0!</v>
      </c>
      <c r="H37" s="52" t="e">
        <f>'PROM (Comercio 9°)'!CU26</f>
        <v>#DIV/0!</v>
      </c>
      <c r="I37" s="52" t="e">
        <f t="shared" si="0"/>
        <v>#DIV/0!</v>
      </c>
      <c r="J37" s="62">
        <f>'Asistencia (9°)'!BI24</f>
        <v>0</v>
      </c>
      <c r="K37" s="62">
        <f>'Asistencia (9°)'!BJ24</f>
        <v>0</v>
      </c>
      <c r="L37" s="62">
        <f>'Asistencia (9°)'!BJ24</f>
        <v>0</v>
      </c>
      <c r="M37" s="62">
        <f>'Asistencia (9°)'!BJ67</f>
        <v>0</v>
      </c>
      <c r="N37" s="62">
        <f>'Asistencia (9°)'!BI112</f>
        <v>0</v>
      </c>
      <c r="O37" s="62">
        <f>'Asistencia (9°)'!BJ112</f>
        <v>0</v>
      </c>
      <c r="P37" s="63">
        <f t="shared" si="1"/>
        <v>0</v>
      </c>
      <c r="Q37" s="63">
        <f t="shared" si="2"/>
        <v>0</v>
      </c>
    </row>
    <row r="38" spans="2:17">
      <c r="B38" s="10">
        <v>23</v>
      </c>
      <c r="C38" s="12">
        <f>MAESTRO!F27</f>
        <v>0</v>
      </c>
      <c r="D38" s="17"/>
      <c r="E38" s="17"/>
      <c r="F38" s="52" t="e">
        <f>'PROM (Comercio 9°)'!AE27</f>
        <v>#DIV/0!</v>
      </c>
      <c r="G38" s="72" t="e">
        <f>'PROM (Comercio 9°)'!BM27</f>
        <v>#DIV/0!</v>
      </c>
      <c r="H38" s="52" t="e">
        <f>'PROM (Comercio 9°)'!CU27</f>
        <v>#DIV/0!</v>
      </c>
      <c r="I38" s="52" t="e">
        <f t="shared" si="0"/>
        <v>#DIV/0!</v>
      </c>
      <c r="J38" s="62">
        <f>'Asistencia (9°)'!BI25</f>
        <v>0</v>
      </c>
      <c r="K38" s="62">
        <f>'Asistencia (9°)'!BJ25</f>
        <v>0</v>
      </c>
      <c r="L38" s="62">
        <f>'Asistencia (9°)'!BJ25</f>
        <v>0</v>
      </c>
      <c r="M38" s="62">
        <f>'Asistencia (9°)'!BJ68</f>
        <v>0</v>
      </c>
      <c r="N38" s="62">
        <f>'Asistencia (9°)'!BI113</f>
        <v>0</v>
      </c>
      <c r="O38" s="62">
        <f>'Asistencia (9°)'!BJ113</f>
        <v>0</v>
      </c>
      <c r="P38" s="63">
        <f t="shared" si="1"/>
        <v>0</v>
      </c>
      <c r="Q38" s="63">
        <f t="shared" si="2"/>
        <v>0</v>
      </c>
    </row>
    <row r="39" spans="2:17">
      <c r="B39" s="10">
        <v>24</v>
      </c>
      <c r="C39" s="12">
        <f>MAESTRO!F28</f>
        <v>0</v>
      </c>
      <c r="D39" s="17"/>
      <c r="E39" s="17"/>
      <c r="F39" s="52" t="e">
        <f>'PROM (Comercio 9°)'!AE28</f>
        <v>#DIV/0!</v>
      </c>
      <c r="G39" s="72" t="e">
        <f>'PROM (Comercio 9°)'!BM28</f>
        <v>#DIV/0!</v>
      </c>
      <c r="H39" s="52" t="e">
        <f>'PROM (Comercio 9°)'!CU28</f>
        <v>#DIV/0!</v>
      </c>
      <c r="I39" s="52" t="e">
        <f t="shared" si="0"/>
        <v>#DIV/0!</v>
      </c>
      <c r="J39" s="62">
        <f>'Asistencia (9°)'!BI26</f>
        <v>0</v>
      </c>
      <c r="K39" s="62">
        <f>'Asistencia (9°)'!BJ26</f>
        <v>0</v>
      </c>
      <c r="L39" s="62">
        <f>'Asistencia (9°)'!BJ26</f>
        <v>0</v>
      </c>
      <c r="M39" s="62">
        <f>'Asistencia (9°)'!BJ69</f>
        <v>0</v>
      </c>
      <c r="N39" s="62">
        <f>'Asistencia (9°)'!BI114</f>
        <v>0</v>
      </c>
      <c r="O39" s="62">
        <f>'Asistencia (9°)'!BJ114</f>
        <v>0</v>
      </c>
      <c r="P39" s="63">
        <f t="shared" si="1"/>
        <v>0</v>
      </c>
      <c r="Q39" s="63">
        <f t="shared" si="2"/>
        <v>0</v>
      </c>
    </row>
    <row r="40" spans="2:17">
      <c r="B40" s="10">
        <v>25</v>
      </c>
      <c r="C40" s="12">
        <f>MAESTRO!F29</f>
        <v>0</v>
      </c>
      <c r="D40" s="17"/>
      <c r="E40" s="17"/>
      <c r="F40" s="52" t="e">
        <f>'PROM (Comercio 9°)'!AE29</f>
        <v>#DIV/0!</v>
      </c>
      <c r="G40" s="72" t="e">
        <f>'PROM (Comercio 9°)'!BM29</f>
        <v>#DIV/0!</v>
      </c>
      <c r="H40" s="52" t="e">
        <f>'PROM (Comercio 9°)'!CU29</f>
        <v>#DIV/0!</v>
      </c>
      <c r="I40" s="52" t="e">
        <f t="shared" si="0"/>
        <v>#DIV/0!</v>
      </c>
      <c r="J40" s="62">
        <f>'Asistencia (9°)'!BI27</f>
        <v>0</v>
      </c>
      <c r="K40" s="62">
        <f>'Asistencia (9°)'!BJ27</f>
        <v>0</v>
      </c>
      <c r="L40" s="62">
        <f>'Asistencia (9°)'!BJ27</f>
        <v>0</v>
      </c>
      <c r="M40" s="62">
        <f>'Asistencia (9°)'!BJ70</f>
        <v>0</v>
      </c>
      <c r="N40" s="62">
        <f>'Asistencia (9°)'!BI115</f>
        <v>0</v>
      </c>
      <c r="O40" s="62">
        <f>'Asistencia (9°)'!BJ115</f>
        <v>0</v>
      </c>
      <c r="P40" s="63">
        <f t="shared" si="1"/>
        <v>0</v>
      </c>
      <c r="Q40" s="63">
        <f t="shared" si="2"/>
        <v>0</v>
      </c>
    </row>
    <row r="41" spans="2:17">
      <c r="B41" s="10">
        <v>26</v>
      </c>
      <c r="C41" s="12">
        <f>MAESTRO!F30</f>
        <v>0</v>
      </c>
      <c r="D41" s="17"/>
      <c r="E41" s="17"/>
      <c r="F41" s="52" t="e">
        <f>'PROM (Comercio 9°)'!AE30</f>
        <v>#DIV/0!</v>
      </c>
      <c r="G41" s="72" t="e">
        <f>'PROM (Comercio 9°)'!BM30</f>
        <v>#DIV/0!</v>
      </c>
      <c r="H41" s="52" t="e">
        <f>'PROM (Comercio 9°)'!CU30</f>
        <v>#DIV/0!</v>
      </c>
      <c r="I41" s="52" t="e">
        <f t="shared" si="0"/>
        <v>#DIV/0!</v>
      </c>
      <c r="J41" s="62">
        <f>'Asistencia (9°)'!BI28</f>
        <v>0</v>
      </c>
      <c r="K41" s="62">
        <f>'Asistencia (9°)'!BJ28</f>
        <v>0</v>
      </c>
      <c r="L41" s="62">
        <f>'Asistencia (9°)'!BJ28</f>
        <v>0</v>
      </c>
      <c r="M41" s="62">
        <f>'Asistencia (9°)'!BJ71</f>
        <v>0</v>
      </c>
      <c r="N41" s="62">
        <f>'Asistencia (9°)'!BI116</f>
        <v>0</v>
      </c>
      <c r="O41" s="62">
        <f>'Asistencia (9°)'!BJ116</f>
        <v>0</v>
      </c>
      <c r="P41" s="63">
        <f t="shared" si="1"/>
        <v>0</v>
      </c>
      <c r="Q41" s="63">
        <f t="shared" si="2"/>
        <v>0</v>
      </c>
    </row>
    <row r="42" spans="2:17">
      <c r="B42" s="10">
        <v>27</v>
      </c>
      <c r="C42" s="12">
        <f>MAESTRO!F31</f>
        <v>0</v>
      </c>
      <c r="D42" s="17"/>
      <c r="E42" s="17"/>
      <c r="F42" s="52" t="e">
        <f>'PROM (Comercio 9°)'!AE31</f>
        <v>#DIV/0!</v>
      </c>
      <c r="G42" s="72" t="e">
        <f>'PROM (Comercio 9°)'!BM31</f>
        <v>#DIV/0!</v>
      </c>
      <c r="H42" s="52" t="e">
        <f>'PROM (Comercio 9°)'!CU31</f>
        <v>#DIV/0!</v>
      </c>
      <c r="I42" s="52" t="e">
        <f t="shared" si="0"/>
        <v>#DIV/0!</v>
      </c>
      <c r="J42" s="62">
        <f>'Asistencia (9°)'!BI29</f>
        <v>0</v>
      </c>
      <c r="K42" s="62">
        <f>'Asistencia (9°)'!BJ29</f>
        <v>0</v>
      </c>
      <c r="L42" s="62">
        <f>'Asistencia (9°)'!BJ29</f>
        <v>0</v>
      </c>
      <c r="M42" s="62">
        <f>'Asistencia (9°)'!BJ72</f>
        <v>0</v>
      </c>
      <c r="N42" s="62">
        <f>'Asistencia (9°)'!BI117</f>
        <v>0</v>
      </c>
      <c r="O42" s="62">
        <f>'Asistencia (9°)'!BJ117</f>
        <v>0</v>
      </c>
      <c r="P42" s="63">
        <f t="shared" si="1"/>
        <v>0</v>
      </c>
      <c r="Q42" s="63">
        <f t="shared" si="2"/>
        <v>0</v>
      </c>
    </row>
    <row r="43" spans="2:17">
      <c r="B43" s="10">
        <v>28</v>
      </c>
      <c r="C43" s="12">
        <f>MAESTRO!F32</f>
        <v>0</v>
      </c>
      <c r="D43" s="17"/>
      <c r="E43" s="17"/>
      <c r="F43" s="52" t="e">
        <f>'PROM (Comercio 9°)'!AE32</f>
        <v>#DIV/0!</v>
      </c>
      <c r="G43" s="72" t="e">
        <f>'PROM (Comercio 9°)'!BM32</f>
        <v>#DIV/0!</v>
      </c>
      <c r="H43" s="52" t="e">
        <f>'PROM (Comercio 9°)'!CU32</f>
        <v>#DIV/0!</v>
      </c>
      <c r="I43" s="52" t="e">
        <f t="shared" si="0"/>
        <v>#DIV/0!</v>
      </c>
      <c r="J43" s="62">
        <f>'Asistencia (9°)'!BI30</f>
        <v>0</v>
      </c>
      <c r="K43" s="62">
        <f>'Asistencia (9°)'!BJ30</f>
        <v>0</v>
      </c>
      <c r="L43" s="62">
        <f>'Asistencia (9°)'!BJ30</f>
        <v>0</v>
      </c>
      <c r="M43" s="62">
        <f>'Asistencia (9°)'!BJ73</f>
        <v>0</v>
      </c>
      <c r="N43" s="62">
        <f>'Asistencia (9°)'!BI118</f>
        <v>0</v>
      </c>
      <c r="O43" s="62">
        <f>'Asistencia (9°)'!BJ118</f>
        <v>0</v>
      </c>
      <c r="P43" s="63">
        <f t="shared" si="1"/>
        <v>0</v>
      </c>
      <c r="Q43" s="63">
        <f t="shared" si="2"/>
        <v>0</v>
      </c>
    </row>
    <row r="44" spans="2:17">
      <c r="B44" s="10">
        <v>29</v>
      </c>
      <c r="C44" s="12">
        <f>MAESTRO!F33</f>
        <v>0</v>
      </c>
      <c r="D44" s="17"/>
      <c r="E44" s="17"/>
      <c r="F44" s="52" t="e">
        <f>'PROM (Comercio 9°)'!AE33</f>
        <v>#DIV/0!</v>
      </c>
      <c r="G44" s="72" t="e">
        <f>'PROM (Comercio 9°)'!BM33</f>
        <v>#DIV/0!</v>
      </c>
      <c r="H44" s="52" t="e">
        <f>'PROM (Comercio 9°)'!CU33</f>
        <v>#DIV/0!</v>
      </c>
      <c r="I44" s="52" t="e">
        <f t="shared" si="0"/>
        <v>#DIV/0!</v>
      </c>
      <c r="J44" s="62">
        <f>'Asistencia (9°)'!BI31</f>
        <v>0</v>
      </c>
      <c r="K44" s="62">
        <f>'Asistencia (9°)'!BJ31</f>
        <v>0</v>
      </c>
      <c r="L44" s="62">
        <f>'Asistencia (9°)'!BJ31</f>
        <v>0</v>
      </c>
      <c r="M44" s="62">
        <f>'Asistencia (9°)'!BJ74</f>
        <v>0</v>
      </c>
      <c r="N44" s="62">
        <f>'Asistencia (9°)'!BI119</f>
        <v>0</v>
      </c>
      <c r="O44" s="62">
        <f>'Asistencia (9°)'!BJ119</f>
        <v>0</v>
      </c>
      <c r="P44" s="63">
        <f t="shared" si="1"/>
        <v>0</v>
      </c>
      <c r="Q44" s="63">
        <f t="shared" si="2"/>
        <v>0</v>
      </c>
    </row>
    <row r="45" spans="2:17">
      <c r="B45" s="10">
        <v>30</v>
      </c>
      <c r="C45" s="12">
        <f>MAESTRO!F34</f>
        <v>0</v>
      </c>
      <c r="D45" s="17"/>
      <c r="E45" s="17"/>
      <c r="F45" s="52" t="e">
        <f>'PROM (Comercio 9°)'!AE34</f>
        <v>#DIV/0!</v>
      </c>
      <c r="G45" s="72" t="e">
        <f>'PROM (Comercio 9°)'!BM34</f>
        <v>#DIV/0!</v>
      </c>
      <c r="H45" s="52" t="e">
        <f>'PROM (Comercio 9°)'!CU34</f>
        <v>#DIV/0!</v>
      </c>
      <c r="I45" s="52" t="e">
        <f t="shared" si="0"/>
        <v>#DIV/0!</v>
      </c>
      <c r="J45" s="62">
        <f>'Asistencia (9°)'!BI32</f>
        <v>0</v>
      </c>
      <c r="K45" s="62">
        <f>'Asistencia (9°)'!BJ32</f>
        <v>0</v>
      </c>
      <c r="L45" s="62">
        <f>'Asistencia (9°)'!BJ32</f>
        <v>0</v>
      </c>
      <c r="M45" s="62">
        <f>'Asistencia (9°)'!BJ75</f>
        <v>0</v>
      </c>
      <c r="N45" s="62">
        <f>'Asistencia (9°)'!BI120</f>
        <v>0</v>
      </c>
      <c r="O45" s="62">
        <f>'Asistencia (9°)'!BJ120</f>
        <v>0</v>
      </c>
      <c r="P45" s="63">
        <f t="shared" si="1"/>
        <v>0</v>
      </c>
      <c r="Q45" s="63">
        <f t="shared" si="2"/>
        <v>0</v>
      </c>
    </row>
    <row r="46" spans="2:17">
      <c r="B46" s="10">
        <v>31</v>
      </c>
      <c r="C46" s="12">
        <f>MAESTRO!F35</f>
        <v>0</v>
      </c>
      <c r="D46" s="17"/>
      <c r="E46" s="17"/>
      <c r="F46" s="52" t="e">
        <f>'PROM (Comercio 9°)'!AE35</f>
        <v>#DIV/0!</v>
      </c>
      <c r="G46" s="72" t="e">
        <f>'PROM (Comercio 9°)'!BM35</f>
        <v>#DIV/0!</v>
      </c>
      <c r="H46" s="52" t="e">
        <f>'PROM (Comercio 9°)'!CU35</f>
        <v>#DIV/0!</v>
      </c>
      <c r="I46" s="52" t="e">
        <f t="shared" si="0"/>
        <v>#DIV/0!</v>
      </c>
      <c r="J46" s="62">
        <f>'Asistencia (9°)'!BI33</f>
        <v>0</v>
      </c>
      <c r="K46" s="62">
        <f>'Asistencia (9°)'!BJ33</f>
        <v>0</v>
      </c>
      <c r="L46" s="62">
        <f>'Asistencia (9°)'!BJ33</f>
        <v>0</v>
      </c>
      <c r="M46" s="62">
        <f>'Asistencia (9°)'!BJ76</f>
        <v>0</v>
      </c>
      <c r="N46" s="62">
        <f>'Asistencia (9°)'!BI121</f>
        <v>0</v>
      </c>
      <c r="O46" s="62">
        <f>'Asistencia (9°)'!BJ121</f>
        <v>0</v>
      </c>
      <c r="P46" s="63">
        <f t="shared" si="1"/>
        <v>0</v>
      </c>
      <c r="Q46" s="63">
        <f t="shared" si="2"/>
        <v>0</v>
      </c>
    </row>
    <row r="47" spans="2:17">
      <c r="B47" s="10">
        <v>32</v>
      </c>
      <c r="C47" s="12">
        <f>MAESTRO!F36</f>
        <v>0</v>
      </c>
      <c r="D47" s="17"/>
      <c r="E47" s="17"/>
      <c r="F47" s="52" t="e">
        <f>'PROM (Comercio 9°)'!AE36</f>
        <v>#DIV/0!</v>
      </c>
      <c r="G47" s="72" t="e">
        <f>'PROM (Comercio 9°)'!BM36</f>
        <v>#DIV/0!</v>
      </c>
      <c r="H47" s="52" t="e">
        <f>'PROM (Comercio 9°)'!CU36</f>
        <v>#DIV/0!</v>
      </c>
      <c r="I47" s="52" t="e">
        <f t="shared" si="0"/>
        <v>#DIV/0!</v>
      </c>
      <c r="J47" s="62">
        <f>'Asistencia (9°)'!BI34</f>
        <v>0</v>
      </c>
      <c r="K47" s="62">
        <f>'Asistencia (9°)'!BJ34</f>
        <v>0</v>
      </c>
      <c r="L47" s="62">
        <f>'Asistencia (9°)'!BJ34</f>
        <v>0</v>
      </c>
      <c r="M47" s="62">
        <f>'Asistencia (9°)'!BJ77</f>
        <v>0</v>
      </c>
      <c r="N47" s="62">
        <f>'Asistencia (9°)'!BI122</f>
        <v>0</v>
      </c>
      <c r="O47" s="62">
        <f>'Asistencia (9°)'!BJ122</f>
        <v>0</v>
      </c>
      <c r="P47" s="63">
        <f t="shared" si="1"/>
        <v>0</v>
      </c>
      <c r="Q47" s="63">
        <f t="shared" si="2"/>
        <v>0</v>
      </c>
    </row>
    <row r="48" spans="2:17">
      <c r="B48" s="10">
        <v>33</v>
      </c>
      <c r="C48" s="12">
        <f>MAESTRO!F37</f>
        <v>0</v>
      </c>
      <c r="D48" s="17"/>
      <c r="E48" s="17"/>
      <c r="F48" s="52" t="e">
        <f>'PROM (Comercio 9°)'!AE37</f>
        <v>#DIV/0!</v>
      </c>
      <c r="G48" s="72" t="e">
        <f>'PROM (Comercio 9°)'!BM37</f>
        <v>#DIV/0!</v>
      </c>
      <c r="H48" s="52" t="e">
        <f>'PROM (Comercio 9°)'!CU37</f>
        <v>#DIV/0!</v>
      </c>
      <c r="I48" s="52" t="e">
        <f t="shared" si="0"/>
        <v>#DIV/0!</v>
      </c>
      <c r="J48" s="62">
        <f>'Asistencia (9°)'!BI35</f>
        <v>0</v>
      </c>
      <c r="K48" s="62">
        <f>'Asistencia (9°)'!BJ35</f>
        <v>0</v>
      </c>
      <c r="L48" s="62">
        <f>'Asistencia (9°)'!BJ35</f>
        <v>0</v>
      </c>
      <c r="M48" s="62">
        <f>'Asistencia (9°)'!BJ78</f>
        <v>0</v>
      </c>
      <c r="N48" s="62">
        <f>'Asistencia (9°)'!BI123</f>
        <v>0</v>
      </c>
      <c r="O48" s="62">
        <f>'Asistencia (9°)'!BJ123</f>
        <v>0</v>
      </c>
      <c r="P48" s="63">
        <f t="shared" si="1"/>
        <v>0</v>
      </c>
      <c r="Q48" s="63">
        <f t="shared" si="2"/>
        <v>0</v>
      </c>
    </row>
    <row r="49" spans="2:17">
      <c r="B49" s="10">
        <v>34</v>
      </c>
      <c r="C49" s="12">
        <f>MAESTRO!F38</f>
        <v>0</v>
      </c>
      <c r="D49" s="17"/>
      <c r="E49" s="17"/>
      <c r="F49" s="52" t="e">
        <f>'PROM (Comercio 9°)'!AE38</f>
        <v>#DIV/0!</v>
      </c>
      <c r="G49" s="72" t="e">
        <f>'PROM (Comercio 9°)'!BM38</f>
        <v>#DIV/0!</v>
      </c>
      <c r="H49" s="52" t="e">
        <f>'PROM (Comercio 9°)'!CU38</f>
        <v>#DIV/0!</v>
      </c>
      <c r="I49" s="52" t="e">
        <f t="shared" si="0"/>
        <v>#DIV/0!</v>
      </c>
      <c r="J49" s="62">
        <f>'Asistencia (9°)'!BI36</f>
        <v>0</v>
      </c>
      <c r="K49" s="62">
        <f>'Asistencia (9°)'!BJ36</f>
        <v>0</v>
      </c>
      <c r="L49" s="62">
        <f>'Asistencia (9°)'!BJ36</f>
        <v>0</v>
      </c>
      <c r="M49" s="62">
        <f>'Asistencia (9°)'!BJ79</f>
        <v>0</v>
      </c>
      <c r="N49" s="62">
        <f>'Asistencia (9°)'!BI124</f>
        <v>0</v>
      </c>
      <c r="O49" s="62">
        <f>'Asistencia (9°)'!BJ124</f>
        <v>0</v>
      </c>
      <c r="P49" s="63">
        <f t="shared" si="1"/>
        <v>0</v>
      </c>
      <c r="Q49" s="63">
        <f t="shared" si="2"/>
        <v>0</v>
      </c>
    </row>
    <row r="50" spans="2:17">
      <c r="B50" s="10">
        <v>35</v>
      </c>
      <c r="C50" s="12">
        <f>MAESTRO!F39</f>
        <v>0</v>
      </c>
      <c r="D50" s="17"/>
      <c r="E50" s="17"/>
      <c r="F50" s="52" t="e">
        <f>'PROM (Comercio 9°)'!AE39</f>
        <v>#DIV/0!</v>
      </c>
      <c r="G50" s="72" t="e">
        <f>'PROM (Comercio 9°)'!BM39</f>
        <v>#DIV/0!</v>
      </c>
      <c r="H50" s="52" t="e">
        <f>'PROM (Comercio 9°)'!CU39</f>
        <v>#DIV/0!</v>
      </c>
      <c r="I50" s="52" t="e">
        <f t="shared" si="0"/>
        <v>#DIV/0!</v>
      </c>
      <c r="J50" s="62">
        <f>'Asistencia (9°)'!BI37</f>
        <v>0</v>
      </c>
      <c r="K50" s="62">
        <f>'Asistencia (9°)'!BJ37</f>
        <v>0</v>
      </c>
      <c r="L50" s="62">
        <f>'Asistencia (9°)'!BJ37</f>
        <v>0</v>
      </c>
      <c r="M50" s="62">
        <f>'Asistencia (9°)'!BJ80</f>
        <v>0</v>
      </c>
      <c r="N50" s="62">
        <f>'Asistencia (9°)'!BI125</f>
        <v>0</v>
      </c>
      <c r="O50" s="62">
        <f>'Asistencia (9°)'!BJ125</f>
        <v>0</v>
      </c>
      <c r="P50" s="63">
        <f t="shared" si="1"/>
        <v>0</v>
      </c>
      <c r="Q50" s="63">
        <f t="shared" si="2"/>
        <v>0</v>
      </c>
    </row>
    <row r="51" spans="2:17">
      <c r="B51" s="10">
        <v>36</v>
      </c>
      <c r="C51" s="12">
        <f>MAESTRO!F40</f>
        <v>0</v>
      </c>
      <c r="D51" s="17"/>
      <c r="E51" s="17"/>
      <c r="F51" s="52" t="e">
        <f>'PROM (Comercio 9°)'!AE40</f>
        <v>#DIV/0!</v>
      </c>
      <c r="G51" s="72" t="e">
        <f>'PROM (Comercio 9°)'!BM40</f>
        <v>#DIV/0!</v>
      </c>
      <c r="H51" s="52" t="e">
        <f>'PROM (Comercio 9°)'!CU40</f>
        <v>#DIV/0!</v>
      </c>
      <c r="I51" s="52" t="e">
        <f t="shared" si="0"/>
        <v>#DIV/0!</v>
      </c>
      <c r="J51" s="62">
        <f>'Asistencia (9°)'!BI38</f>
        <v>0</v>
      </c>
      <c r="K51" s="62">
        <f>'Asistencia (9°)'!BJ38</f>
        <v>0</v>
      </c>
      <c r="L51" s="62">
        <f>'Asistencia (9°)'!BJ38</f>
        <v>0</v>
      </c>
      <c r="M51" s="62">
        <f>'Asistencia (9°)'!BJ81</f>
        <v>0</v>
      </c>
      <c r="N51" s="62">
        <f>'Asistencia (9°)'!BI126</f>
        <v>0</v>
      </c>
      <c r="O51" s="62">
        <f>'Asistencia (9°)'!BJ126</f>
        <v>0</v>
      </c>
      <c r="P51" s="63">
        <f t="shared" si="1"/>
        <v>0</v>
      </c>
      <c r="Q51" s="63">
        <f t="shared" si="2"/>
        <v>0</v>
      </c>
    </row>
    <row r="52" spans="2:17">
      <c r="B52" s="10">
        <v>37</v>
      </c>
      <c r="C52" s="12">
        <f>MAESTRO!F41</f>
        <v>0</v>
      </c>
      <c r="D52" s="17"/>
      <c r="E52" s="17"/>
      <c r="F52" s="52" t="e">
        <f>'PROM (Comercio 9°)'!AE41</f>
        <v>#DIV/0!</v>
      </c>
      <c r="G52" s="72" t="e">
        <f>'PROM (Comercio 9°)'!BM41</f>
        <v>#DIV/0!</v>
      </c>
      <c r="H52" s="52" t="e">
        <f>'PROM (Comercio 9°)'!CU41</f>
        <v>#DIV/0!</v>
      </c>
      <c r="I52" s="52" t="e">
        <f t="shared" si="0"/>
        <v>#DIV/0!</v>
      </c>
      <c r="J52" s="62">
        <f>'Asistencia (9°)'!BI39</f>
        <v>0</v>
      </c>
      <c r="K52" s="62">
        <f>'Asistencia (9°)'!BJ39</f>
        <v>0</v>
      </c>
      <c r="L52" s="62">
        <f>'Asistencia (9°)'!BJ39</f>
        <v>0</v>
      </c>
      <c r="M52" s="62">
        <f>'Asistencia (9°)'!BJ82</f>
        <v>0</v>
      </c>
      <c r="N52" s="62">
        <f>'Asistencia (9°)'!BI127</f>
        <v>0</v>
      </c>
      <c r="O52" s="62">
        <f>'Asistencia (9°)'!BJ127</f>
        <v>0</v>
      </c>
      <c r="P52" s="63">
        <f t="shared" si="1"/>
        <v>0</v>
      </c>
      <c r="Q52" s="63">
        <f t="shared" si="2"/>
        <v>0</v>
      </c>
    </row>
    <row r="53" spans="2:17">
      <c r="B53" s="10">
        <v>38</v>
      </c>
      <c r="C53" s="12">
        <f>MAESTRO!F42</f>
        <v>0</v>
      </c>
      <c r="D53" s="17"/>
      <c r="E53" s="17"/>
      <c r="F53" s="52"/>
      <c r="G53" s="52"/>
      <c r="H53" s="52"/>
      <c r="I53" s="52"/>
      <c r="J53" s="62">
        <f>'Asistencia (9°)'!BI40</f>
        <v>0</v>
      </c>
      <c r="K53" s="62"/>
      <c r="L53" s="62">
        <f>'Asistencia (9°)'!BJ40</f>
        <v>0</v>
      </c>
      <c r="M53" s="62"/>
      <c r="N53" s="62"/>
      <c r="O53" s="62"/>
      <c r="P53" s="63"/>
      <c r="Q53" s="63"/>
    </row>
    <row r="54" spans="2:17">
      <c r="B54" s="10">
        <v>39</v>
      </c>
      <c r="C54" s="12">
        <f>MAESTRO!F43</f>
        <v>0</v>
      </c>
      <c r="D54" s="17"/>
      <c r="E54" s="18"/>
      <c r="F54" s="52"/>
      <c r="G54" s="52"/>
      <c r="H54" s="52"/>
      <c r="I54" s="52"/>
      <c r="J54" s="62">
        <f>'Asistencia (9°)'!BI41</f>
        <v>0</v>
      </c>
      <c r="K54" s="62"/>
      <c r="L54" s="62">
        <f>'Asistencia (9°)'!BJ41</f>
        <v>0</v>
      </c>
      <c r="M54" s="62"/>
      <c r="N54" s="62"/>
      <c r="O54" s="62"/>
      <c r="P54" s="63"/>
      <c r="Q54" s="63"/>
    </row>
    <row r="55" spans="2:17">
      <c r="B55" s="10"/>
      <c r="C55" s="12">
        <f>MAESTRO!F44</f>
        <v>0</v>
      </c>
      <c r="D55" s="17"/>
      <c r="E55" s="18"/>
      <c r="F55" s="52"/>
      <c r="G55" s="52"/>
      <c r="H55" s="52"/>
      <c r="I55" s="52"/>
      <c r="J55" s="62">
        <f>'Asistencia (9°)'!BI42</f>
        <v>0</v>
      </c>
      <c r="K55" s="62"/>
      <c r="L55" s="62">
        <f>'Asistencia (9°)'!BJ42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4" priority="1" operator="lessThan">
      <formula>3</formula>
    </cfRule>
  </conditionalFormatting>
  <pageMargins left="0.25" right="4.9479166666666657E-2" top="0.75" bottom="0.75" header="0.3" footer="0.3"/>
  <pageSetup orientation="portrait" horizontalDpi="4294967293"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19">
    <tabColor rgb="FFE07020"/>
  </sheetPr>
  <dimension ref="A1:EE49"/>
  <sheetViews>
    <sheetView view="pageLayout" zoomScale="80" zoomScaleNormal="100" zoomScalePageLayoutView="80" workbookViewId="0">
      <selection activeCell="K6" sqref="K6"/>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119</v>
      </c>
      <c r="BQ1" s="251"/>
      <c r="BR1" s="251"/>
      <c r="BS1" s="251"/>
      <c r="BT1" s="251"/>
      <c r="BU1" s="251"/>
      <c r="BV1" s="251"/>
      <c r="BW1" s="251"/>
      <c r="BX1" s="251"/>
      <c r="BY1" s="251"/>
      <c r="BZ1" s="251"/>
      <c r="CA1" s="251"/>
      <c r="CB1" s="251"/>
      <c r="CC1" s="251"/>
      <c r="CD1" s="251"/>
      <c r="CE1" s="251"/>
      <c r="CF1" s="241"/>
      <c r="CG1" s="263" t="s">
        <v>119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4"/>
      <c r="H4" s="4"/>
      <c r="I4" s="4"/>
      <c r="J4" s="4"/>
      <c r="K4" s="4"/>
      <c r="L4" s="4"/>
      <c r="M4" s="4"/>
      <c r="N4" s="4"/>
      <c r="O4" s="4"/>
      <c r="P4" s="243"/>
      <c r="Q4" s="61"/>
      <c r="R4" s="25"/>
      <c r="S4" s="25"/>
      <c r="T4" s="61"/>
      <c r="U4" s="61"/>
      <c r="V4" s="61"/>
      <c r="W4" s="4"/>
      <c r="X4" s="4"/>
      <c r="Y4" s="4"/>
      <c r="Z4" s="4"/>
      <c r="AA4" s="243"/>
      <c r="AB4" s="247"/>
      <c r="AC4" s="248"/>
      <c r="AD4" s="243"/>
      <c r="AE4" s="243"/>
      <c r="AF4" s="247"/>
      <c r="AG4" s="248"/>
      <c r="AH4" s="243"/>
      <c r="AI4" s="247"/>
      <c r="AJ4" s="248"/>
      <c r="AK4" s="25"/>
      <c r="AL4" s="25"/>
      <c r="AM4" s="25"/>
      <c r="AN4" s="25"/>
      <c r="AO4" s="25"/>
      <c r="AP4" s="25"/>
      <c r="AQ4" s="25"/>
      <c r="AR4" s="25"/>
      <c r="AS4" s="25"/>
      <c r="AT4" s="25"/>
      <c r="AU4" s="25"/>
      <c r="AV4" s="25"/>
      <c r="AW4" s="25"/>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MAESTRO!F5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MAESTRO!F6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MAESTRO!F7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MAESTRO!F8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MAESTRO!F9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MAESTRO!F10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MAESTRO!F11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MAESTRO!F12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MAESTRO!F13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MAESTRO!F14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65"/>
      <c r="AL14" s="6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MAESTRO!F15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65"/>
      <c r="AL15" s="6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MAESTRO!F16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65"/>
      <c r="AL16" s="6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MAESTRO!F17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65"/>
      <c r="AL17" s="6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MAESTRO!F18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65"/>
      <c r="AL18" s="6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MAESTRO!F19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65"/>
      <c r="AL19" s="6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MAESTRO!F20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65"/>
      <c r="AL20" s="6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97">
        <f>MAESTRO!F21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65"/>
      <c r="AL21" s="6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97">
        <f>MAESTRO!F22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97">
        <f>MAESTRO!F23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97">
        <f>MAESTRO!F24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97">
        <f>MAESTRO!F25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97">
        <f>MAESTRO!F26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5"/>
      <c r="BT26" s="5"/>
      <c r="BU26" s="5"/>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97">
        <f>MAESTRO!F27</f>
        <v>0</v>
      </c>
      <c r="C27" s="5"/>
      <c r="D27" s="5"/>
      <c r="E27" s="5"/>
      <c r="F27" s="5"/>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6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5"/>
      <c r="BT27" s="5"/>
      <c r="BU27" s="5"/>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97">
        <f>MAESTRO!F28</f>
        <v>0</v>
      </c>
      <c r="C28" s="5"/>
      <c r="D28" s="5"/>
      <c r="E28" s="5"/>
      <c r="F28" s="5"/>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65"/>
      <c r="AM28" s="65"/>
      <c r="AN28" s="65"/>
      <c r="AO28" s="6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5"/>
      <c r="BT28" s="5"/>
      <c r="BU28" s="5"/>
      <c r="BV28" s="5"/>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97">
        <f>MAESTRO!F29</f>
        <v>0</v>
      </c>
      <c r="C29" s="103"/>
      <c r="D29" s="103"/>
      <c r="E29" s="103"/>
      <c r="F29" s="5"/>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65"/>
      <c r="AL29" s="65"/>
      <c r="AM29" s="65"/>
      <c r="AN29" s="105"/>
      <c r="AO29" s="65"/>
      <c r="AP29" s="6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5"/>
      <c r="BT29" s="5"/>
      <c r="BU29" s="5"/>
      <c r="BV29" s="5"/>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97">
        <f>MAESTRO!F30</f>
        <v>0</v>
      </c>
      <c r="C30" s="103"/>
      <c r="D30" s="103"/>
      <c r="E30" s="103"/>
      <c r="F30" s="5"/>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65"/>
      <c r="AL30" s="65"/>
      <c r="AM30" s="105"/>
      <c r="AN30" s="105"/>
      <c r="AO30" s="65"/>
      <c r="AP30" s="6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103"/>
      <c r="BT30" s="103"/>
      <c r="BU30" s="103"/>
      <c r="BV30" s="5"/>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97">
        <f>MAESTRO!F31</f>
        <v>0</v>
      </c>
      <c r="C31" s="103"/>
      <c r="D31" s="103"/>
      <c r="E31" s="103"/>
      <c r="F31" s="5"/>
      <c r="G31" s="5"/>
      <c r="H31" s="5"/>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65"/>
      <c r="AL31" s="65"/>
      <c r="AM31" s="105"/>
      <c r="AN31" s="105"/>
      <c r="AO31" s="65"/>
      <c r="AP31" s="6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103"/>
      <c r="BT31" s="103"/>
      <c r="BU31" s="103"/>
      <c r="BV31" s="5"/>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97">
        <f>MAESTRO!F32</f>
        <v>0</v>
      </c>
      <c r="C32" s="103"/>
      <c r="D32" s="103"/>
      <c r="E32" s="103"/>
      <c r="F32" s="5"/>
      <c r="G32" s="5"/>
      <c r="H32" s="5"/>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5"/>
      <c r="AL32" s="105"/>
      <c r="AM32" s="105"/>
      <c r="AN32" s="105"/>
      <c r="AO32" s="65"/>
      <c r="AP32" s="6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103"/>
      <c r="BT32" s="103"/>
      <c r="BU32" s="103"/>
      <c r="BV32" s="5"/>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97">
        <f>MAESTRO!F33</f>
        <v>0</v>
      </c>
      <c r="C33" s="103"/>
      <c r="D33" s="103"/>
      <c r="E33" s="103"/>
      <c r="F33" s="5"/>
      <c r="G33" s="5"/>
      <c r="H33" s="5"/>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5"/>
      <c r="AL33" s="105"/>
      <c r="AM33" s="105"/>
      <c r="AN33" s="105"/>
      <c r="AO33" s="65"/>
      <c r="AP33" s="6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103"/>
      <c r="BT33" s="103"/>
      <c r="BU33" s="103"/>
      <c r="BV33" s="5"/>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97">
        <f>MAESTRO!F34</f>
        <v>0</v>
      </c>
      <c r="C34" s="103"/>
      <c r="D34" s="103"/>
      <c r="E34" s="103"/>
      <c r="F34" s="5"/>
      <c r="G34" s="5"/>
      <c r="H34" s="5"/>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5"/>
      <c r="AL34" s="105"/>
      <c r="AM34" s="105"/>
      <c r="AN34" s="105"/>
      <c r="AO34" s="65"/>
      <c r="AP34" s="6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103"/>
      <c r="BT34" s="103"/>
      <c r="BU34" s="103"/>
      <c r="BV34" s="5"/>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97">
        <f>MAESTRO!F35</f>
        <v>0</v>
      </c>
      <c r="C35" s="103"/>
      <c r="D35" s="103"/>
      <c r="E35" s="103"/>
      <c r="F35" s="5"/>
      <c r="G35" s="5"/>
      <c r="H35" s="5"/>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5"/>
      <c r="AL35" s="105"/>
      <c r="AM35" s="105"/>
      <c r="AN35" s="105"/>
      <c r="AO35" s="65"/>
      <c r="AP35" s="6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103"/>
      <c r="BT35" s="103"/>
      <c r="BU35" s="103"/>
      <c r="BV35" s="5"/>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97">
        <f>MAESTRO!F36</f>
        <v>0</v>
      </c>
      <c r="C36" s="103"/>
      <c r="D36" s="103"/>
      <c r="E36" s="103"/>
      <c r="F36" s="5"/>
      <c r="G36" s="5"/>
      <c r="H36" s="5"/>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5"/>
      <c r="AL36" s="105"/>
      <c r="AM36" s="105"/>
      <c r="AN36" s="105"/>
      <c r="AO36" s="65"/>
      <c r="AP36" s="6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103"/>
      <c r="BT36" s="103"/>
      <c r="BU36" s="103"/>
      <c r="BV36" s="5"/>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97">
        <f>MAESTRO!F37</f>
        <v>0</v>
      </c>
      <c r="C37" s="103"/>
      <c r="D37" s="103"/>
      <c r="E37" s="103"/>
      <c r="F37" s="5"/>
      <c r="G37" s="5"/>
      <c r="H37" s="5"/>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5"/>
      <c r="AL37" s="105"/>
      <c r="AM37" s="105"/>
      <c r="AN37" s="105"/>
      <c r="AO37" s="65"/>
      <c r="AP37" s="6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103"/>
      <c r="BT37" s="103"/>
      <c r="BU37" s="103"/>
      <c r="BV37" s="5"/>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97">
        <f>MAESTRO!F38</f>
        <v>0</v>
      </c>
      <c r="C38" s="103"/>
      <c r="D38" s="103"/>
      <c r="E38" s="103"/>
      <c r="F38" s="5"/>
      <c r="G38" s="5"/>
      <c r="H38" s="5"/>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5"/>
      <c r="AL38" s="105"/>
      <c r="AM38" s="105"/>
      <c r="AN38" s="105"/>
      <c r="AO38" s="65"/>
      <c r="AP38" s="6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103"/>
      <c r="BT38" s="103"/>
      <c r="BU38" s="103"/>
      <c r="BV38" s="5"/>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97">
        <f>MAESTRO!F39</f>
        <v>0</v>
      </c>
      <c r="C39" s="103"/>
      <c r="D39" s="103"/>
      <c r="E39" s="103"/>
      <c r="F39" s="5"/>
      <c r="G39" s="5"/>
      <c r="H39" s="5"/>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5"/>
      <c r="AL39" s="105"/>
      <c r="AM39" s="105"/>
      <c r="AN39" s="105"/>
      <c r="AO39" s="65"/>
      <c r="AP39" s="6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103"/>
      <c r="BT39" s="103"/>
      <c r="BU39" s="103"/>
      <c r="BV39" s="5"/>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97">
        <f>MAESTRO!F40</f>
        <v>0</v>
      </c>
      <c r="C40" s="103"/>
      <c r="D40" s="103"/>
      <c r="E40" s="103"/>
      <c r="F40" s="5"/>
      <c r="G40" s="5"/>
      <c r="H40" s="5"/>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5"/>
      <c r="AL40" s="105"/>
      <c r="AM40" s="105"/>
      <c r="AN40" s="105"/>
      <c r="AO40" s="65"/>
      <c r="AP40" s="6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103"/>
      <c r="BT40" s="103"/>
      <c r="BU40" s="103"/>
      <c r="BV40" s="5"/>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97">
        <f>MAESTRO!F41</f>
        <v>0</v>
      </c>
      <c r="C41" s="103"/>
      <c r="D41" s="103"/>
      <c r="E41" s="103"/>
      <c r="F41" s="5"/>
      <c r="G41" s="5"/>
      <c r="H41" s="5"/>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5"/>
      <c r="AL41" s="105"/>
      <c r="AM41" s="105"/>
      <c r="AN41" s="105"/>
      <c r="AO41" s="65"/>
      <c r="AP41" s="6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103"/>
      <c r="BT41" s="103"/>
      <c r="BU41" s="103"/>
      <c r="BV41" s="5"/>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MAESTRO!F42</f>
        <v>0</v>
      </c>
      <c r="C42" s="103"/>
      <c r="D42" s="103"/>
      <c r="E42" s="103"/>
      <c r="F42" s="5"/>
      <c r="G42" s="5"/>
      <c r="H42" s="5"/>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5"/>
      <c r="AL42" s="105"/>
      <c r="AM42" s="105"/>
      <c r="AN42" s="105"/>
      <c r="AO42" s="65"/>
      <c r="AP42" s="6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103"/>
      <c r="BT42" s="103"/>
      <c r="BU42" s="103"/>
      <c r="BV42" s="5"/>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MAESTRO!F43</f>
        <v>0</v>
      </c>
      <c r="C43" s="103"/>
      <c r="D43" s="103"/>
      <c r="E43" s="103"/>
      <c r="F43" s="5"/>
      <c r="G43" s="5"/>
      <c r="H43" s="5"/>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5"/>
      <c r="AL43" s="105"/>
      <c r="AM43" s="105"/>
      <c r="AN43" s="105"/>
      <c r="AO43" s="65"/>
      <c r="AP43" s="6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103"/>
      <c r="BT43" s="103"/>
      <c r="BU43" s="103"/>
      <c r="BV43" s="5"/>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MAESTRO!F44</f>
        <v>0</v>
      </c>
      <c r="C44" s="103"/>
      <c r="D44" s="103"/>
      <c r="E44" s="103"/>
      <c r="F44" s="93"/>
      <c r="G44" s="93"/>
      <c r="H44" s="93"/>
      <c r="I44" s="9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5"/>
      <c r="AL44" s="105"/>
      <c r="AM44" s="105"/>
      <c r="AN44" s="105"/>
      <c r="AO44" s="4"/>
      <c r="AP44" s="4"/>
      <c r="AQ44" s="4"/>
      <c r="AR44" s="4"/>
      <c r="AS44" s="4"/>
      <c r="AT44" s="4"/>
      <c r="AU44" s="255"/>
      <c r="AV44" s="241"/>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103"/>
      <c r="BT44" s="103"/>
      <c r="BU44" s="103"/>
      <c r="BV44" s="5"/>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93"/>
      <c r="G45" s="93"/>
      <c r="H45" s="93"/>
      <c r="I45" s="9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5"/>
      <c r="AL45" s="105"/>
      <c r="AM45" s="105"/>
      <c r="AN45" s="105"/>
      <c r="AO45" s="53"/>
      <c r="AP45" s="53"/>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103"/>
      <c r="BT45" s="103"/>
      <c r="BU45" s="103"/>
      <c r="BV45" s="5"/>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93"/>
      <c r="G46" s="93"/>
      <c r="H46" s="93"/>
      <c r="I46" s="9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5"/>
      <c r="AL46" s="105"/>
      <c r="AM46" s="105"/>
      <c r="AN46" s="105"/>
      <c r="AO46" s="53"/>
      <c r="AP46" s="53"/>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103"/>
      <c r="BT46" s="103"/>
      <c r="BU46" s="103"/>
      <c r="BV46" s="5"/>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93"/>
      <c r="G47" s="93"/>
      <c r="H47" s="93"/>
      <c r="I47" s="9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5"/>
      <c r="AL47" s="105"/>
      <c r="AM47" s="105"/>
      <c r="AN47" s="105"/>
      <c r="AO47" s="53"/>
      <c r="AP47" s="53"/>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103"/>
      <c r="BT47" s="103"/>
      <c r="BU47" s="103"/>
      <c r="BV47" s="5"/>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93"/>
      <c r="G48" s="93"/>
      <c r="H48" s="93"/>
      <c r="I48" s="9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5"/>
      <c r="AL48" s="105"/>
      <c r="AM48" s="105"/>
      <c r="AN48" s="105"/>
      <c r="AO48" s="53"/>
      <c r="AP48" s="53"/>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103"/>
      <c r="BT48" s="103"/>
      <c r="BU48" s="103"/>
      <c r="BV48" s="5"/>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4"/>
      <c r="E49" s="93"/>
      <c r="F49" s="93"/>
      <c r="G49" s="93"/>
      <c r="H49" s="93"/>
      <c r="I49" s="93"/>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53"/>
      <c r="AN49" s="53"/>
      <c r="AO49" s="53"/>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5"/>
      <c r="BU49" s="5"/>
      <c r="BV49" s="5"/>
      <c r="BW49" s="5"/>
      <c r="BX49" s="5"/>
      <c r="BY49" s="5"/>
      <c r="BZ49" s="5"/>
      <c r="CA49" s="5"/>
      <c r="CB49" s="5"/>
      <c r="CC49" s="5"/>
      <c r="CD49" s="5"/>
      <c r="CE49" s="5"/>
      <c r="CF49" s="5" t="e">
        <f>TRUNC(AVERAGE(BS49:CE49),1)</f>
        <v>#DIV/0!</v>
      </c>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2">
    <mergeCell ref="A2:P2"/>
    <mergeCell ref="R2:AG2"/>
    <mergeCell ref="CY10:CZ10"/>
    <mergeCell ref="AI9:AJ9"/>
    <mergeCell ref="DO2:EE2"/>
    <mergeCell ref="AI3:AJ4"/>
    <mergeCell ref="BQ26:BR26"/>
    <mergeCell ref="A3:A4"/>
    <mergeCell ref="CY29:CZ29"/>
    <mergeCell ref="R3:Z3"/>
    <mergeCell ref="BQ16:BR16"/>
    <mergeCell ref="CY16:CZ16"/>
    <mergeCell ref="BQ25:BR25"/>
    <mergeCell ref="BP2:CF2"/>
    <mergeCell ref="CX2:DN2"/>
    <mergeCell ref="AI20:AJ20"/>
    <mergeCell ref="CY9:CZ9"/>
    <mergeCell ref="AA3:AA4"/>
    <mergeCell ref="CY20:CZ20"/>
    <mergeCell ref="AK3:AW3"/>
    <mergeCell ref="AI22:AJ22"/>
    <mergeCell ref="BQ11:BR11"/>
    <mergeCell ref="AI12:AJ12"/>
    <mergeCell ref="AI21:AJ21"/>
    <mergeCell ref="CY22:CZ22"/>
    <mergeCell ref="ED3:EE4"/>
    <mergeCell ref="AI8:AJ8"/>
    <mergeCell ref="CX3:CX4"/>
    <mergeCell ref="AI17:AJ17"/>
    <mergeCell ref="BQ40:BR40"/>
    <mergeCell ref="CY28:CZ28"/>
    <mergeCell ref="CY37:CZ37"/>
    <mergeCell ref="BQ37:BR37"/>
    <mergeCell ref="AI10:AJ10"/>
    <mergeCell ref="BQ24:BR24"/>
    <mergeCell ref="CR3:CS4"/>
    <mergeCell ref="AI19:AJ19"/>
    <mergeCell ref="CY24:CZ24"/>
    <mergeCell ref="AI36:AJ36"/>
    <mergeCell ref="AI31:AJ31"/>
    <mergeCell ref="AI37:AJ37"/>
    <mergeCell ref="CY35:CZ35"/>
    <mergeCell ref="CY31:CZ31"/>
    <mergeCell ref="CY34:CZ34"/>
    <mergeCell ref="AI23:AJ23"/>
    <mergeCell ref="DZ3:EA4"/>
    <mergeCell ref="BQ17:BR17"/>
    <mergeCell ref="CY17:CZ17"/>
    <mergeCell ref="CG1:CW1"/>
    <mergeCell ref="DN3:DN4"/>
    <mergeCell ref="AI47:AJ47"/>
    <mergeCell ref="BQ14:BR14"/>
    <mergeCell ref="CY32:CZ32"/>
    <mergeCell ref="BQ39:BR39"/>
    <mergeCell ref="BN3:BO4"/>
    <mergeCell ref="CY42:CZ42"/>
    <mergeCell ref="AH3:AH4"/>
    <mergeCell ref="CY47:CZ47"/>
    <mergeCell ref="BQ38:BR38"/>
    <mergeCell ref="AH1:AX1"/>
    <mergeCell ref="AI45:AJ45"/>
    <mergeCell ref="CY45:CZ45"/>
    <mergeCell ref="BQ42:BR42"/>
    <mergeCell ref="BQ43:BR43"/>
    <mergeCell ref="AY1:BO1"/>
    <mergeCell ref="CY46:CZ46"/>
    <mergeCell ref="AI29:AJ29"/>
    <mergeCell ref="CG3:CP3"/>
    <mergeCell ref="BQ18:BR18"/>
    <mergeCell ref="BQ27:BR27"/>
    <mergeCell ref="BQ8:BR8"/>
    <mergeCell ref="CY8:CZ8"/>
    <mergeCell ref="A1:P1"/>
    <mergeCell ref="CY3:CZ4"/>
    <mergeCell ref="AI7:AJ7"/>
    <mergeCell ref="CY12:CZ12"/>
    <mergeCell ref="BQ21:BR21"/>
    <mergeCell ref="AI16:AJ16"/>
    <mergeCell ref="CY21:CZ21"/>
    <mergeCell ref="CV3:CW4"/>
    <mergeCell ref="CY41:CZ41"/>
    <mergeCell ref="BQ23:BR23"/>
    <mergeCell ref="AI18:AJ18"/>
    <mergeCell ref="CY23:CZ23"/>
    <mergeCell ref="CY13:CZ13"/>
    <mergeCell ref="BQ7:BR7"/>
    <mergeCell ref="CY7:CZ7"/>
    <mergeCell ref="AI33:AJ33"/>
    <mergeCell ref="CY40:CZ40"/>
    <mergeCell ref="CY27:CZ27"/>
    <mergeCell ref="AE3:AE4"/>
    <mergeCell ref="AI34:AJ34"/>
    <mergeCell ref="BQ34:BR34"/>
    <mergeCell ref="AI28:AJ28"/>
    <mergeCell ref="CQ3:CQ4"/>
    <mergeCell ref="BI3:BI4"/>
    <mergeCell ref="R1:AG1"/>
    <mergeCell ref="CY6:CZ6"/>
    <mergeCell ref="AX3:AX4"/>
    <mergeCell ref="DA3:DM3"/>
    <mergeCell ref="BS3:CE3"/>
    <mergeCell ref="CY15:CZ15"/>
    <mergeCell ref="CY44:CZ44"/>
    <mergeCell ref="CG2:CW2"/>
    <mergeCell ref="BQ31:BR31"/>
    <mergeCell ref="AI26:AJ26"/>
    <mergeCell ref="AF3:AG4"/>
    <mergeCell ref="AI43:AJ43"/>
    <mergeCell ref="AI42:AJ42"/>
    <mergeCell ref="CY43:CZ43"/>
    <mergeCell ref="AI44:AJ44"/>
    <mergeCell ref="BQ36:BR36"/>
    <mergeCell ref="AI30:AJ30"/>
    <mergeCell ref="BQ33:BR33"/>
    <mergeCell ref="AI6:AJ6"/>
    <mergeCell ref="AI11:AJ11"/>
    <mergeCell ref="AY3:BH3"/>
    <mergeCell ref="BQ20:BR20"/>
    <mergeCell ref="CY25:CZ25"/>
    <mergeCell ref="CY30:CZ30"/>
    <mergeCell ref="CY49:CZ49"/>
    <mergeCell ref="BP3:BP4"/>
    <mergeCell ref="BQ5:BR5"/>
    <mergeCell ref="AU44:AV44"/>
    <mergeCell ref="AI40:AJ40"/>
    <mergeCell ref="AI15:AJ15"/>
    <mergeCell ref="BQ29:BR29"/>
    <mergeCell ref="AI24:AJ24"/>
    <mergeCell ref="AB3:AC4"/>
    <mergeCell ref="BQ46:BR46"/>
    <mergeCell ref="BQ48:BR48"/>
    <mergeCell ref="BQ49:BR49"/>
    <mergeCell ref="BQ35:BR35"/>
    <mergeCell ref="CY5:CZ5"/>
    <mergeCell ref="BQ22:BR22"/>
    <mergeCell ref="BQ12:BR12"/>
    <mergeCell ref="AI32:AJ32"/>
    <mergeCell ref="CY11:CZ11"/>
    <mergeCell ref="AI46:AJ46"/>
    <mergeCell ref="AD3:AD4"/>
    <mergeCell ref="BL3:BL4"/>
    <mergeCell ref="AI49:AJ49"/>
    <mergeCell ref="AI48:AJ48"/>
    <mergeCell ref="BQ9:BR9"/>
    <mergeCell ref="B3:B4"/>
    <mergeCell ref="AI38:AJ38"/>
    <mergeCell ref="CY39:CZ39"/>
    <mergeCell ref="BQ3:BR4"/>
    <mergeCell ref="CY36:CZ36"/>
    <mergeCell ref="CY18:CZ18"/>
    <mergeCell ref="C3:O3"/>
    <mergeCell ref="P3:P4"/>
    <mergeCell ref="CY48:CZ48"/>
    <mergeCell ref="BQ30:BR30"/>
    <mergeCell ref="BJ3:BK4"/>
    <mergeCell ref="BQ45:BR45"/>
    <mergeCell ref="AI14:AJ14"/>
    <mergeCell ref="CF3:CF4"/>
    <mergeCell ref="BQ32:BR32"/>
    <mergeCell ref="AI27:AJ27"/>
    <mergeCell ref="AI41:AJ41"/>
    <mergeCell ref="BQ41:BR41"/>
    <mergeCell ref="AI35:AJ35"/>
    <mergeCell ref="CT3:CT4"/>
    <mergeCell ref="BQ47:BR47"/>
    <mergeCell ref="AI25:AJ25"/>
    <mergeCell ref="CY26:CZ26"/>
    <mergeCell ref="CU3:CU4"/>
    <mergeCell ref="AI13:AJ13"/>
    <mergeCell ref="BQ13:BR13"/>
    <mergeCell ref="BQ44:BR44"/>
    <mergeCell ref="DO1:EE1"/>
    <mergeCell ref="CY33:CZ33"/>
    <mergeCell ref="BQ6:BR6"/>
    <mergeCell ref="BQ15:BR15"/>
    <mergeCell ref="DY3:DY4"/>
    <mergeCell ref="CY14:CZ14"/>
    <mergeCell ref="EB3:EB4"/>
    <mergeCell ref="AY2:BO2"/>
    <mergeCell ref="BP1:CF1"/>
    <mergeCell ref="CX1:DN1"/>
    <mergeCell ref="AH2:AX2"/>
    <mergeCell ref="CY38:CZ38"/>
    <mergeCell ref="BQ10:BR10"/>
    <mergeCell ref="AI5:AJ5"/>
    <mergeCell ref="BM3:BM4"/>
    <mergeCell ref="AI39:AJ39"/>
    <mergeCell ref="CY19:CZ19"/>
    <mergeCell ref="BQ19:BR19"/>
    <mergeCell ref="BQ28:BR28"/>
    <mergeCell ref="DO3:DX3"/>
    <mergeCell ref="EC3:EC4"/>
  </mergeCells>
  <conditionalFormatting sqref="AE1:AE41 AE50:AE1048576">
    <cfRule type="cellIs" dxfId="3" priority="1" operator="lessThan">
      <formula>3</formula>
    </cfRule>
  </conditionalFormatting>
  <pageMargins left="0.7" right="0.7" top="0.75" bottom="0.75" header="0.3" footer="0.3"/>
  <pageSetup orientation="portrait" horizontalDpi="4294967293" r:id="rId1"/>
  <headerFooter>
    <oddHeader>&amp;LEXPRECIONES ARTISTICAS&amp;CGRUPO 9°</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20">
    <tabColor rgb="FFF0A060"/>
  </sheetPr>
  <dimension ref="B3:Q58"/>
  <sheetViews>
    <sheetView view="pageLayout" zoomScale="70" zoomScaleNormal="100" zoomScalePageLayoutView="70" workbookViewId="0">
      <selection activeCell="R16" sqref="R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21</v>
      </c>
      <c r="M9" s="251"/>
      <c r="N9" s="251"/>
      <c r="O9" s="251"/>
      <c r="P9" s="251"/>
      <c r="Q9" s="241"/>
    </row>
    <row r="10" spans="2:17">
      <c r="B10" s="291" t="s">
        <v>104</v>
      </c>
      <c r="C10" s="241"/>
      <c r="D10" s="286" t="s">
        <v>124</v>
      </c>
      <c r="E10" s="251"/>
      <c r="F10" s="251"/>
      <c r="G10" s="241"/>
      <c r="H10" s="13"/>
      <c r="I10" s="49"/>
      <c r="J10" s="13"/>
      <c r="K10" s="13"/>
      <c r="L10" s="13"/>
      <c r="M10" s="13"/>
      <c r="N10" s="13"/>
      <c r="O10" s="13"/>
      <c r="P10" s="13"/>
      <c r="Q10" s="13"/>
    </row>
    <row r="11" spans="2:17">
      <c r="B11" s="282" t="s">
        <v>106</v>
      </c>
      <c r="C11" s="241"/>
      <c r="D11" s="284" t="s">
        <v>125</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MAESTRO!F5</f>
        <v>0</v>
      </c>
      <c r="D16" s="17"/>
      <c r="E16" s="17"/>
      <c r="F16" s="52" t="e">
        <f>'PROM (Artistica 9°)'!AE5</f>
        <v>#DIV/0!</v>
      </c>
      <c r="G16" s="52" t="e">
        <f>'PROM (Artistica 9°)'!BM5</f>
        <v>#DIV/0!</v>
      </c>
      <c r="H16" s="52" t="e">
        <f>'PROM (Artistica 9°)'!CU5</f>
        <v>#DIV/0!</v>
      </c>
      <c r="I16" s="52" t="e">
        <f t="shared" ref="I16:I52" si="0">TRUNC(AVERAGE(F16:H16),1)</f>
        <v>#DIV/0!</v>
      </c>
      <c r="J16" s="62">
        <f>'Asistencia (9°)'!BI3</f>
        <v>0</v>
      </c>
      <c r="K16" s="62">
        <f>'Asistencia (9°)'!BJ3</f>
        <v>0</v>
      </c>
      <c r="L16" s="62">
        <f>'Asistencia (9°)'!BJ3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MAESTRO!F6</f>
        <v>0</v>
      </c>
      <c r="D17" s="17"/>
      <c r="E17" s="17"/>
      <c r="F17" s="52" t="e">
        <f>'PROM (Artistica 9°)'!AE6</f>
        <v>#DIV/0!</v>
      </c>
      <c r="G17" s="52" t="e">
        <f>'PROM (Artistica 9°)'!BM6</f>
        <v>#DIV/0!</v>
      </c>
      <c r="H17" s="52" t="e">
        <f>'PROM (Artistica 9°)'!CU6</f>
        <v>#DIV/0!</v>
      </c>
      <c r="I17" s="52" t="e">
        <f t="shared" si="0"/>
        <v>#DIV/0!</v>
      </c>
      <c r="J17" s="62">
        <f>'Asistencia (9°)'!BI4</f>
        <v>0</v>
      </c>
      <c r="K17" s="62">
        <f>'Asistencia (9°)'!BJ4</f>
        <v>0</v>
      </c>
      <c r="L17" s="62">
        <f>'Asistencia (9°)'!BJ4</f>
        <v>0</v>
      </c>
      <c r="M17" s="62">
        <f>'Asistencia (9°)'!BJ47</f>
        <v>0</v>
      </c>
      <c r="N17" s="62">
        <f>'Asistencia (9°)'!BI92</f>
        <v>0</v>
      </c>
      <c r="O17" s="62">
        <f>'Asistencia (9°)'!BJ92</f>
        <v>0</v>
      </c>
      <c r="P17" s="63">
        <f t="shared" si="1"/>
        <v>0</v>
      </c>
      <c r="Q17" s="63">
        <f t="shared" si="2"/>
        <v>0</v>
      </c>
    </row>
    <row r="18" spans="2:17">
      <c r="B18" s="10">
        <v>3</v>
      </c>
      <c r="C18" s="12">
        <f>MAESTRO!F7</f>
        <v>0</v>
      </c>
      <c r="D18" s="17"/>
      <c r="E18" s="17"/>
      <c r="F18" s="52" t="e">
        <f>'PROM (Artistica 9°)'!AE7</f>
        <v>#DIV/0!</v>
      </c>
      <c r="G18" s="52" t="e">
        <f>'PROM (Artistica 9°)'!BM7</f>
        <v>#DIV/0!</v>
      </c>
      <c r="H18" s="52" t="e">
        <f>'PROM (Artistica 9°)'!CU7</f>
        <v>#DIV/0!</v>
      </c>
      <c r="I18" s="52" t="e">
        <f t="shared" si="0"/>
        <v>#DIV/0!</v>
      </c>
      <c r="J18" s="62">
        <f>'Asistencia (9°)'!BI5</f>
        <v>0</v>
      </c>
      <c r="K18" s="62">
        <f>'Asistencia (9°)'!BJ5</f>
        <v>0</v>
      </c>
      <c r="L18" s="62">
        <f>'Asistencia (9°)'!BJ5</f>
        <v>0</v>
      </c>
      <c r="M18" s="62">
        <f>'Asistencia (9°)'!BJ48</f>
        <v>0</v>
      </c>
      <c r="N18" s="62">
        <f>'Asistencia (9°)'!BI93</f>
        <v>0</v>
      </c>
      <c r="O18" s="62">
        <f>'Asistencia (9°)'!BJ93</f>
        <v>0</v>
      </c>
      <c r="P18" s="63">
        <f t="shared" si="1"/>
        <v>0</v>
      </c>
      <c r="Q18" s="63">
        <f t="shared" si="2"/>
        <v>0</v>
      </c>
    </row>
    <row r="19" spans="2:17">
      <c r="B19" s="10">
        <v>4</v>
      </c>
      <c r="C19" s="12">
        <f>MAESTRO!F8</f>
        <v>0</v>
      </c>
      <c r="D19" s="17"/>
      <c r="E19" s="17"/>
      <c r="F19" s="52" t="e">
        <f>'PROM (Artistica 9°)'!AE8</f>
        <v>#DIV/0!</v>
      </c>
      <c r="G19" s="52" t="e">
        <f>'PROM (Artistica 9°)'!BM8</f>
        <v>#DIV/0!</v>
      </c>
      <c r="H19" s="52" t="e">
        <f>'PROM (Artistica 9°)'!CU8</f>
        <v>#DIV/0!</v>
      </c>
      <c r="I19" s="52" t="e">
        <f t="shared" si="0"/>
        <v>#DIV/0!</v>
      </c>
      <c r="J19" s="62">
        <f>'Asistencia (9°)'!BI6</f>
        <v>0</v>
      </c>
      <c r="K19" s="62">
        <f>'Asistencia (9°)'!BJ6</f>
        <v>0</v>
      </c>
      <c r="L19" s="62">
        <f>'Asistencia (9°)'!BJ6</f>
        <v>0</v>
      </c>
      <c r="M19" s="62">
        <f>'Asistencia (9°)'!BJ49</f>
        <v>0</v>
      </c>
      <c r="N19" s="62">
        <f>'Asistencia (9°)'!BI94</f>
        <v>0</v>
      </c>
      <c r="O19" s="62">
        <f>'Asistencia (9°)'!BJ94</f>
        <v>0</v>
      </c>
      <c r="P19" s="63">
        <f t="shared" si="1"/>
        <v>0</v>
      </c>
      <c r="Q19" s="63">
        <f t="shared" si="2"/>
        <v>0</v>
      </c>
    </row>
    <row r="20" spans="2:17">
      <c r="B20" s="10">
        <v>5</v>
      </c>
      <c r="C20" s="12">
        <f>MAESTRO!F9</f>
        <v>0</v>
      </c>
      <c r="D20" s="17"/>
      <c r="E20" s="17"/>
      <c r="F20" s="52" t="e">
        <f>'PROM (Artistica 9°)'!AE9</f>
        <v>#DIV/0!</v>
      </c>
      <c r="G20" s="52" t="e">
        <f>'PROM (Artistica 9°)'!BM9</f>
        <v>#DIV/0!</v>
      </c>
      <c r="H20" s="52" t="e">
        <f>'PROM (Artistica 9°)'!CU9</f>
        <v>#DIV/0!</v>
      </c>
      <c r="I20" s="52" t="e">
        <f t="shared" si="0"/>
        <v>#DIV/0!</v>
      </c>
      <c r="J20" s="62">
        <f>'Asistencia (9°)'!BI7</f>
        <v>0</v>
      </c>
      <c r="K20" s="62">
        <f>'Asistencia (9°)'!BJ7</f>
        <v>0</v>
      </c>
      <c r="L20" s="62">
        <f>'Asistencia (9°)'!BJ7</f>
        <v>0</v>
      </c>
      <c r="M20" s="62">
        <f>'Asistencia (9°)'!BJ50</f>
        <v>0</v>
      </c>
      <c r="N20" s="62">
        <f>'Asistencia (9°)'!BI95</f>
        <v>0</v>
      </c>
      <c r="O20" s="62">
        <f>'Asistencia (9°)'!BJ95</f>
        <v>0</v>
      </c>
      <c r="P20" s="63">
        <f t="shared" si="1"/>
        <v>0</v>
      </c>
      <c r="Q20" s="63">
        <f t="shared" si="2"/>
        <v>0</v>
      </c>
    </row>
    <row r="21" spans="2:17">
      <c r="B21" s="10">
        <v>6</v>
      </c>
      <c r="C21" s="12">
        <f>MAESTRO!F10</f>
        <v>0</v>
      </c>
      <c r="D21" s="17"/>
      <c r="E21" s="17"/>
      <c r="F21" s="52" t="e">
        <f>'PROM (Artistica 9°)'!AE10</f>
        <v>#DIV/0!</v>
      </c>
      <c r="G21" s="52" t="e">
        <f>'PROM (Artistica 9°)'!BM10</f>
        <v>#DIV/0!</v>
      </c>
      <c r="H21" s="52" t="e">
        <f>'PROM (Artistica 9°)'!CU10</f>
        <v>#DIV/0!</v>
      </c>
      <c r="I21" s="52" t="e">
        <f t="shared" si="0"/>
        <v>#DIV/0!</v>
      </c>
      <c r="J21" s="62">
        <f>'Asistencia (9°)'!BI8</f>
        <v>0</v>
      </c>
      <c r="K21" s="62">
        <f>'Asistencia (9°)'!BJ8</f>
        <v>0</v>
      </c>
      <c r="L21" s="62">
        <f>'Asistencia (9°)'!BJ8</f>
        <v>0</v>
      </c>
      <c r="M21" s="62">
        <f>'Asistencia (9°)'!BJ51</f>
        <v>0</v>
      </c>
      <c r="N21" s="62">
        <f>'Asistencia (9°)'!BI96</f>
        <v>0</v>
      </c>
      <c r="O21" s="62">
        <f>'Asistencia (9°)'!BJ96</f>
        <v>0</v>
      </c>
      <c r="P21" s="63">
        <f t="shared" si="1"/>
        <v>0</v>
      </c>
      <c r="Q21" s="63">
        <f t="shared" si="2"/>
        <v>0</v>
      </c>
    </row>
    <row r="22" spans="2:17">
      <c r="B22" s="10">
        <v>7</v>
      </c>
      <c r="C22" s="12">
        <f>MAESTRO!F11</f>
        <v>0</v>
      </c>
      <c r="D22" s="17"/>
      <c r="E22" s="17"/>
      <c r="F22" s="52" t="e">
        <f>'PROM (Artistica 9°)'!AE11</f>
        <v>#DIV/0!</v>
      </c>
      <c r="G22" s="52" t="e">
        <f>'PROM (Artistica 9°)'!BM11</f>
        <v>#DIV/0!</v>
      </c>
      <c r="H22" s="52" t="e">
        <f>'PROM (Artistica 9°)'!CU11</f>
        <v>#DIV/0!</v>
      </c>
      <c r="I22" s="52" t="e">
        <f t="shared" si="0"/>
        <v>#DIV/0!</v>
      </c>
      <c r="J22" s="62">
        <f>'Asistencia (9°)'!BI9</f>
        <v>0</v>
      </c>
      <c r="K22" s="62">
        <f>'Asistencia (9°)'!BJ9</f>
        <v>0</v>
      </c>
      <c r="L22" s="62">
        <f>'Asistencia (9°)'!BJ9</f>
        <v>0</v>
      </c>
      <c r="M22" s="62">
        <f>'Asistencia (9°)'!BJ52</f>
        <v>0</v>
      </c>
      <c r="N22" s="62">
        <f>'Asistencia (9°)'!BI97</f>
        <v>0</v>
      </c>
      <c r="O22" s="62">
        <f>'Asistencia (9°)'!BJ97</f>
        <v>0</v>
      </c>
      <c r="P22" s="63">
        <f t="shared" si="1"/>
        <v>0</v>
      </c>
      <c r="Q22" s="63">
        <f t="shared" si="2"/>
        <v>0</v>
      </c>
    </row>
    <row r="23" spans="2:17">
      <c r="B23" s="10">
        <v>8</v>
      </c>
      <c r="C23" s="12">
        <f>MAESTRO!F12</f>
        <v>0</v>
      </c>
      <c r="D23" s="17"/>
      <c r="E23" s="17"/>
      <c r="F23" s="52" t="e">
        <f>'PROM (Artistica 9°)'!AE12</f>
        <v>#DIV/0!</v>
      </c>
      <c r="G23" s="52" t="e">
        <f>'PROM (Artistica 9°)'!BM12</f>
        <v>#DIV/0!</v>
      </c>
      <c r="H23" s="52" t="e">
        <f>'PROM (Artistica 9°)'!CU12</f>
        <v>#DIV/0!</v>
      </c>
      <c r="I23" s="52" t="e">
        <f t="shared" si="0"/>
        <v>#DIV/0!</v>
      </c>
      <c r="J23" s="62">
        <f>'Asistencia (9°)'!BI10</f>
        <v>0</v>
      </c>
      <c r="K23" s="62">
        <f>'Asistencia (9°)'!BJ10</f>
        <v>0</v>
      </c>
      <c r="L23" s="62">
        <f>'Asistencia (9°)'!BJ10</f>
        <v>0</v>
      </c>
      <c r="M23" s="62">
        <f>'Asistencia (9°)'!BJ53</f>
        <v>0</v>
      </c>
      <c r="N23" s="62">
        <f>'Asistencia (9°)'!BI98</f>
        <v>0</v>
      </c>
      <c r="O23" s="62">
        <f>'Asistencia (9°)'!BJ98</f>
        <v>0</v>
      </c>
      <c r="P23" s="63">
        <f t="shared" si="1"/>
        <v>0</v>
      </c>
      <c r="Q23" s="63">
        <f t="shared" si="2"/>
        <v>0</v>
      </c>
    </row>
    <row r="24" spans="2:17">
      <c r="B24" s="10">
        <v>9</v>
      </c>
      <c r="C24" s="12">
        <f>MAESTRO!F13</f>
        <v>0</v>
      </c>
      <c r="D24" s="17"/>
      <c r="E24" s="17"/>
      <c r="F24" s="52" t="e">
        <f>'PROM (Artistica 9°)'!AE13</f>
        <v>#DIV/0!</v>
      </c>
      <c r="G24" s="52" t="e">
        <f>'PROM (Artistica 9°)'!BM13</f>
        <v>#DIV/0!</v>
      </c>
      <c r="H24" s="52" t="e">
        <f>'PROM (Artistica 9°)'!CU13</f>
        <v>#DIV/0!</v>
      </c>
      <c r="I24" s="52" t="e">
        <f t="shared" si="0"/>
        <v>#DIV/0!</v>
      </c>
      <c r="J24" s="62">
        <f>'Asistencia (9°)'!BI11</f>
        <v>0</v>
      </c>
      <c r="K24" s="62">
        <f>'Asistencia (9°)'!BJ11</f>
        <v>0</v>
      </c>
      <c r="L24" s="62">
        <f>'Asistencia (9°)'!BJ11</f>
        <v>0</v>
      </c>
      <c r="M24" s="62">
        <f>'Asistencia (9°)'!BJ54</f>
        <v>0</v>
      </c>
      <c r="N24" s="62">
        <f>'Asistencia (9°)'!BI99</f>
        <v>0</v>
      </c>
      <c r="O24" s="62">
        <f>'Asistencia (9°)'!BJ99</f>
        <v>0</v>
      </c>
      <c r="P24" s="63">
        <f t="shared" si="1"/>
        <v>0</v>
      </c>
      <c r="Q24" s="63">
        <f t="shared" si="2"/>
        <v>0</v>
      </c>
    </row>
    <row r="25" spans="2:17">
      <c r="B25" s="10">
        <v>10</v>
      </c>
      <c r="C25" s="12">
        <f>MAESTRO!F14</f>
        <v>0</v>
      </c>
      <c r="D25" s="17"/>
      <c r="E25" s="17"/>
      <c r="F25" s="52" t="e">
        <f>'PROM (Artistica 9°)'!AE14</f>
        <v>#DIV/0!</v>
      </c>
      <c r="G25" s="52" t="e">
        <f>'PROM (Artistica 9°)'!BM14</f>
        <v>#DIV/0!</v>
      </c>
      <c r="H25" s="52" t="e">
        <f>'PROM (Artistica 9°)'!CU14</f>
        <v>#DIV/0!</v>
      </c>
      <c r="I25" s="52" t="e">
        <f t="shared" si="0"/>
        <v>#DIV/0!</v>
      </c>
      <c r="J25" s="62">
        <f>'Asistencia (9°)'!BI12</f>
        <v>0</v>
      </c>
      <c r="K25" s="62">
        <f>'Asistencia (9°)'!BJ12</f>
        <v>0</v>
      </c>
      <c r="L25" s="62">
        <f>'Asistencia (9°)'!BJ12</f>
        <v>0</v>
      </c>
      <c r="M25" s="62">
        <f>'Asistencia (9°)'!BJ55</f>
        <v>0</v>
      </c>
      <c r="N25" s="62">
        <f>'Asistencia (9°)'!BI100</f>
        <v>0</v>
      </c>
      <c r="O25" s="62">
        <f>'Asistencia (9°)'!BJ100</f>
        <v>0</v>
      </c>
      <c r="P25" s="63">
        <f t="shared" si="1"/>
        <v>0</v>
      </c>
      <c r="Q25" s="63">
        <f t="shared" si="2"/>
        <v>0</v>
      </c>
    </row>
    <row r="26" spans="2:17">
      <c r="B26" s="10">
        <v>11</v>
      </c>
      <c r="C26" s="12">
        <f>MAESTRO!F15</f>
        <v>0</v>
      </c>
      <c r="D26" s="17"/>
      <c r="E26" s="17"/>
      <c r="F26" s="52" t="e">
        <f>'PROM (Artistica 9°)'!AE15</f>
        <v>#DIV/0!</v>
      </c>
      <c r="G26" s="52" t="e">
        <f>'PROM (Artistica 9°)'!BM15</f>
        <v>#DIV/0!</v>
      </c>
      <c r="H26" s="52" t="e">
        <f>'PROM (Artistica 9°)'!CU15</f>
        <v>#DIV/0!</v>
      </c>
      <c r="I26" s="52" t="e">
        <f t="shared" si="0"/>
        <v>#DIV/0!</v>
      </c>
      <c r="J26" s="62">
        <f>'Asistencia (9°)'!BI13</f>
        <v>0</v>
      </c>
      <c r="K26" s="62">
        <f>'Asistencia (9°)'!BJ13</f>
        <v>0</v>
      </c>
      <c r="L26" s="62">
        <f>'Asistencia (9°)'!BJ13</f>
        <v>0</v>
      </c>
      <c r="M26" s="62">
        <f>'Asistencia (9°)'!BJ56</f>
        <v>0</v>
      </c>
      <c r="N26" s="62">
        <f>'Asistencia (9°)'!BI101</f>
        <v>0</v>
      </c>
      <c r="O26" s="62">
        <f>'Asistencia (9°)'!BJ101</f>
        <v>0</v>
      </c>
      <c r="P26" s="63">
        <f t="shared" si="1"/>
        <v>0</v>
      </c>
      <c r="Q26" s="63">
        <f t="shared" si="2"/>
        <v>0</v>
      </c>
    </row>
    <row r="27" spans="2:17">
      <c r="B27" s="10">
        <v>12</v>
      </c>
      <c r="C27" s="12">
        <f>MAESTRO!F16</f>
        <v>0</v>
      </c>
      <c r="D27" s="17"/>
      <c r="E27" s="17"/>
      <c r="F27" s="52" t="e">
        <f>'PROM (Artistica 9°)'!AE16</f>
        <v>#DIV/0!</v>
      </c>
      <c r="G27" s="52" t="e">
        <f>'PROM (Artistica 9°)'!BM16</f>
        <v>#DIV/0!</v>
      </c>
      <c r="H27" s="52" t="e">
        <f>'PROM (Artistica 9°)'!CU16</f>
        <v>#DIV/0!</v>
      </c>
      <c r="I27" s="52" t="e">
        <f t="shared" si="0"/>
        <v>#DIV/0!</v>
      </c>
      <c r="J27" s="62">
        <f>'Asistencia (9°)'!BI14</f>
        <v>0</v>
      </c>
      <c r="K27" s="62">
        <f>'Asistencia (9°)'!BJ14</f>
        <v>0</v>
      </c>
      <c r="L27" s="62">
        <f>'Asistencia (9°)'!BJ14</f>
        <v>0</v>
      </c>
      <c r="M27" s="62">
        <f>'Asistencia (9°)'!BJ57</f>
        <v>0</v>
      </c>
      <c r="N27" s="62">
        <f>'Asistencia (9°)'!BI102</f>
        <v>0</v>
      </c>
      <c r="O27" s="62">
        <f>'Asistencia (9°)'!BJ102</f>
        <v>0</v>
      </c>
      <c r="P27" s="63">
        <f t="shared" si="1"/>
        <v>0</v>
      </c>
      <c r="Q27" s="63">
        <f t="shared" si="2"/>
        <v>0</v>
      </c>
    </row>
    <row r="28" spans="2:17">
      <c r="B28" s="10">
        <v>13</v>
      </c>
      <c r="C28" s="12">
        <f>MAESTRO!F17</f>
        <v>0</v>
      </c>
      <c r="D28" s="17"/>
      <c r="E28" s="17"/>
      <c r="F28" s="52" t="e">
        <f>'PROM (Artistica 9°)'!AE17</f>
        <v>#DIV/0!</v>
      </c>
      <c r="G28" s="52" t="e">
        <f>'PROM (Artistica 9°)'!BM17</f>
        <v>#DIV/0!</v>
      </c>
      <c r="H28" s="52" t="e">
        <f>'PROM (Artistica 9°)'!CU17</f>
        <v>#DIV/0!</v>
      </c>
      <c r="I28" s="52" t="e">
        <f t="shared" si="0"/>
        <v>#DIV/0!</v>
      </c>
      <c r="J28" s="62">
        <f>'Asistencia (9°)'!BI15</f>
        <v>0</v>
      </c>
      <c r="K28" s="62">
        <f>'Asistencia (9°)'!BJ15</f>
        <v>0</v>
      </c>
      <c r="L28" s="62">
        <f>'Asistencia (9°)'!BJ15</f>
        <v>0</v>
      </c>
      <c r="M28" s="62">
        <f>'Asistencia (9°)'!BJ58</f>
        <v>0</v>
      </c>
      <c r="N28" s="62">
        <f>'Asistencia (9°)'!BI103</f>
        <v>0</v>
      </c>
      <c r="O28" s="62">
        <f>'Asistencia (9°)'!BJ103</f>
        <v>0</v>
      </c>
      <c r="P28" s="63">
        <f t="shared" si="1"/>
        <v>0</v>
      </c>
      <c r="Q28" s="63">
        <f t="shared" si="2"/>
        <v>0</v>
      </c>
    </row>
    <row r="29" spans="2:17">
      <c r="B29" s="10">
        <v>14</v>
      </c>
      <c r="C29" s="12">
        <f>MAESTRO!F18</f>
        <v>0</v>
      </c>
      <c r="D29" s="17"/>
      <c r="E29" s="17"/>
      <c r="F29" s="52" t="e">
        <f>'PROM (Artistica 9°)'!AE18</f>
        <v>#DIV/0!</v>
      </c>
      <c r="G29" s="52" t="e">
        <f>'PROM (Artistica 9°)'!BM18</f>
        <v>#DIV/0!</v>
      </c>
      <c r="H29" s="52" t="e">
        <f>'PROM (Artistica 9°)'!CU18</f>
        <v>#DIV/0!</v>
      </c>
      <c r="I29" s="52" t="e">
        <f t="shared" si="0"/>
        <v>#DIV/0!</v>
      </c>
      <c r="J29" s="62">
        <f>'Asistencia (9°)'!BI16</f>
        <v>0</v>
      </c>
      <c r="K29" s="62">
        <f>'Asistencia (9°)'!BJ16</f>
        <v>0</v>
      </c>
      <c r="L29" s="62">
        <f>'Asistencia (9°)'!BJ16</f>
        <v>0</v>
      </c>
      <c r="M29" s="62">
        <f>'Asistencia (9°)'!BJ59</f>
        <v>0</v>
      </c>
      <c r="N29" s="62">
        <f>'Asistencia (9°)'!BI104</f>
        <v>0</v>
      </c>
      <c r="O29" s="62">
        <f>'Asistencia (9°)'!BJ104</f>
        <v>0</v>
      </c>
      <c r="P29" s="63">
        <f t="shared" si="1"/>
        <v>0</v>
      </c>
      <c r="Q29" s="63">
        <f t="shared" si="2"/>
        <v>0</v>
      </c>
    </row>
    <row r="30" spans="2:17">
      <c r="B30" s="10">
        <v>15</v>
      </c>
      <c r="C30" s="12">
        <f>MAESTRO!F19</f>
        <v>0</v>
      </c>
      <c r="D30" s="17"/>
      <c r="E30" s="17"/>
      <c r="F30" s="52" t="e">
        <f>'PROM (Artistica 9°)'!AE19</f>
        <v>#DIV/0!</v>
      </c>
      <c r="G30" s="52" t="e">
        <f>'PROM (Artistica 9°)'!BM19</f>
        <v>#DIV/0!</v>
      </c>
      <c r="H30" s="52" t="e">
        <f>'PROM (Artistica 9°)'!CU19</f>
        <v>#DIV/0!</v>
      </c>
      <c r="I30" s="52" t="e">
        <f t="shared" si="0"/>
        <v>#DIV/0!</v>
      </c>
      <c r="J30" s="62">
        <f>'Asistencia (9°)'!BI17</f>
        <v>0</v>
      </c>
      <c r="K30" s="62">
        <f>'Asistencia (9°)'!BJ17</f>
        <v>0</v>
      </c>
      <c r="L30" s="62">
        <f>'Asistencia (9°)'!BJ17</f>
        <v>0</v>
      </c>
      <c r="M30" s="62">
        <f>'Asistencia (9°)'!BJ60</f>
        <v>0</v>
      </c>
      <c r="N30" s="62">
        <f>'Asistencia (9°)'!BI105</f>
        <v>0</v>
      </c>
      <c r="O30" s="62">
        <f>'Asistencia (9°)'!BJ105</f>
        <v>0</v>
      </c>
      <c r="P30" s="63">
        <f t="shared" si="1"/>
        <v>0</v>
      </c>
      <c r="Q30" s="63">
        <f t="shared" si="2"/>
        <v>0</v>
      </c>
    </row>
    <row r="31" spans="2:17">
      <c r="B31" s="10">
        <v>16</v>
      </c>
      <c r="C31" s="12">
        <f>MAESTRO!F20</f>
        <v>0</v>
      </c>
      <c r="D31" s="17"/>
      <c r="E31" s="17"/>
      <c r="F31" s="52" t="e">
        <f>'PROM (Artistica 9°)'!AE20</f>
        <v>#DIV/0!</v>
      </c>
      <c r="G31" s="52" t="e">
        <f>'PROM (Artistica 9°)'!BM20</f>
        <v>#DIV/0!</v>
      </c>
      <c r="H31" s="52" t="e">
        <f>'PROM (Artistica 9°)'!CU20</f>
        <v>#DIV/0!</v>
      </c>
      <c r="I31" s="52" t="e">
        <f t="shared" si="0"/>
        <v>#DIV/0!</v>
      </c>
      <c r="J31" s="62">
        <f>'Asistencia (9°)'!BI18</f>
        <v>0</v>
      </c>
      <c r="K31" s="62">
        <f>'Asistencia (9°)'!BJ18</f>
        <v>0</v>
      </c>
      <c r="L31" s="62">
        <f>'Asistencia (9°)'!BJ18</f>
        <v>0</v>
      </c>
      <c r="M31" s="62">
        <f>'Asistencia (9°)'!BJ61</f>
        <v>0</v>
      </c>
      <c r="N31" s="62">
        <f>'Asistencia (9°)'!BI106</f>
        <v>0</v>
      </c>
      <c r="O31" s="62">
        <f>'Asistencia (9°)'!BJ106</f>
        <v>0</v>
      </c>
      <c r="P31" s="63">
        <f t="shared" si="1"/>
        <v>0</v>
      </c>
      <c r="Q31" s="63">
        <f t="shared" si="2"/>
        <v>0</v>
      </c>
    </row>
    <row r="32" spans="2:17">
      <c r="B32" s="10">
        <v>17</v>
      </c>
      <c r="C32" s="12">
        <f>MAESTRO!F21</f>
        <v>0</v>
      </c>
      <c r="D32" s="17"/>
      <c r="E32" s="17"/>
      <c r="F32" s="52" t="e">
        <f>'PROM (Artistica 9°)'!AE21</f>
        <v>#DIV/0!</v>
      </c>
      <c r="G32" s="52" t="e">
        <f>'PROM (Artistica 9°)'!BM21</f>
        <v>#DIV/0!</v>
      </c>
      <c r="H32" s="52" t="e">
        <f>'PROM (Artistica 9°)'!CU21</f>
        <v>#DIV/0!</v>
      </c>
      <c r="I32" s="52" t="e">
        <f t="shared" si="0"/>
        <v>#DIV/0!</v>
      </c>
      <c r="J32" s="62">
        <f>'Asistencia (9°)'!BI19</f>
        <v>0</v>
      </c>
      <c r="K32" s="62">
        <f>'Asistencia (9°)'!BJ19</f>
        <v>0</v>
      </c>
      <c r="L32" s="62">
        <f>'Asistencia (9°)'!BJ19</f>
        <v>0</v>
      </c>
      <c r="M32" s="62">
        <f>'Asistencia (9°)'!BJ62</f>
        <v>0</v>
      </c>
      <c r="N32" s="62">
        <f>'Asistencia (9°)'!BI107</f>
        <v>0</v>
      </c>
      <c r="O32" s="62">
        <f>'Asistencia (9°)'!BJ107</f>
        <v>0</v>
      </c>
      <c r="P32" s="63">
        <f t="shared" si="1"/>
        <v>0</v>
      </c>
      <c r="Q32" s="63">
        <f t="shared" si="2"/>
        <v>0</v>
      </c>
    </row>
    <row r="33" spans="2:17">
      <c r="B33" s="10">
        <v>18</v>
      </c>
      <c r="C33" s="12">
        <f>MAESTRO!F22</f>
        <v>0</v>
      </c>
      <c r="D33" s="17"/>
      <c r="E33" s="17"/>
      <c r="F33" s="52" t="e">
        <f>'PROM (Artistica 9°)'!AE22</f>
        <v>#DIV/0!</v>
      </c>
      <c r="G33" s="52" t="e">
        <f>'PROM (Artistica 9°)'!BM22</f>
        <v>#DIV/0!</v>
      </c>
      <c r="H33" s="52" t="e">
        <f>'PROM (Artistica 9°)'!CU22</f>
        <v>#DIV/0!</v>
      </c>
      <c r="I33" s="52" t="e">
        <f t="shared" si="0"/>
        <v>#DIV/0!</v>
      </c>
      <c r="J33" s="62">
        <f>'Asistencia (9°)'!BI20</f>
        <v>0</v>
      </c>
      <c r="K33" s="62">
        <f>'Asistencia (9°)'!BJ20</f>
        <v>0</v>
      </c>
      <c r="L33" s="62">
        <f>'Asistencia (9°)'!BJ20</f>
        <v>0</v>
      </c>
      <c r="M33" s="62">
        <f>'Asistencia (9°)'!BJ63</f>
        <v>0</v>
      </c>
      <c r="N33" s="62">
        <f>'Asistencia (9°)'!BI108</f>
        <v>0</v>
      </c>
      <c r="O33" s="62">
        <f>'Asistencia (9°)'!BJ108</f>
        <v>0</v>
      </c>
      <c r="P33" s="63">
        <f t="shared" si="1"/>
        <v>0</v>
      </c>
      <c r="Q33" s="63">
        <f t="shared" si="2"/>
        <v>0</v>
      </c>
    </row>
    <row r="34" spans="2:17">
      <c r="B34" s="10">
        <v>19</v>
      </c>
      <c r="C34" s="12">
        <f>MAESTRO!F23</f>
        <v>0</v>
      </c>
      <c r="D34" s="17"/>
      <c r="E34" s="17"/>
      <c r="F34" s="52" t="e">
        <f>'PROM (Artistica 9°)'!AE23</f>
        <v>#DIV/0!</v>
      </c>
      <c r="G34" s="52" t="e">
        <f>'PROM (Artistica 9°)'!BM23</f>
        <v>#DIV/0!</v>
      </c>
      <c r="H34" s="52" t="e">
        <f>'PROM (Artistica 9°)'!CU23</f>
        <v>#DIV/0!</v>
      </c>
      <c r="I34" s="52" t="e">
        <f t="shared" si="0"/>
        <v>#DIV/0!</v>
      </c>
      <c r="J34" s="62">
        <f>'Asistencia (9°)'!BI21</f>
        <v>0</v>
      </c>
      <c r="K34" s="62">
        <f>'Asistencia (9°)'!BJ21</f>
        <v>0</v>
      </c>
      <c r="L34" s="62">
        <f>'Asistencia (9°)'!BJ21</f>
        <v>0</v>
      </c>
      <c r="M34" s="62">
        <f>'Asistencia (9°)'!BJ64</f>
        <v>0</v>
      </c>
      <c r="N34" s="62">
        <f>'Asistencia (9°)'!BI109</f>
        <v>0</v>
      </c>
      <c r="O34" s="62">
        <f>'Asistencia (9°)'!BJ109</f>
        <v>0</v>
      </c>
      <c r="P34" s="63">
        <f t="shared" si="1"/>
        <v>0</v>
      </c>
      <c r="Q34" s="63">
        <f t="shared" si="2"/>
        <v>0</v>
      </c>
    </row>
    <row r="35" spans="2:17">
      <c r="B35" s="10">
        <v>20</v>
      </c>
      <c r="C35" s="12">
        <f>MAESTRO!F24</f>
        <v>0</v>
      </c>
      <c r="D35" s="17"/>
      <c r="E35" s="17"/>
      <c r="F35" s="52" t="e">
        <f>'PROM (Artistica 9°)'!AE24</f>
        <v>#DIV/0!</v>
      </c>
      <c r="G35" s="52" t="e">
        <f>'PROM (Artistica 9°)'!BM24</f>
        <v>#DIV/0!</v>
      </c>
      <c r="H35" s="52" t="e">
        <f>'PROM (Artistica 9°)'!CU24</f>
        <v>#DIV/0!</v>
      </c>
      <c r="I35" s="52" t="e">
        <f t="shared" si="0"/>
        <v>#DIV/0!</v>
      </c>
      <c r="J35" s="62">
        <f>'Asistencia (9°)'!BI22</f>
        <v>0</v>
      </c>
      <c r="K35" s="62">
        <f>'Asistencia (9°)'!BJ22</f>
        <v>0</v>
      </c>
      <c r="L35" s="62">
        <f>'Asistencia (9°)'!BJ22</f>
        <v>0</v>
      </c>
      <c r="M35" s="62">
        <f>'Asistencia (9°)'!BJ65</f>
        <v>0</v>
      </c>
      <c r="N35" s="62">
        <f>'Asistencia (9°)'!BI110</f>
        <v>0</v>
      </c>
      <c r="O35" s="62">
        <f>'Asistencia (9°)'!BJ110</f>
        <v>0</v>
      </c>
      <c r="P35" s="63">
        <f t="shared" si="1"/>
        <v>0</v>
      </c>
      <c r="Q35" s="63">
        <f t="shared" si="2"/>
        <v>0</v>
      </c>
    </row>
    <row r="36" spans="2:17">
      <c r="B36" s="10">
        <v>21</v>
      </c>
      <c r="C36" s="12">
        <f>MAESTRO!F25</f>
        <v>0</v>
      </c>
      <c r="D36" s="17"/>
      <c r="E36" s="17"/>
      <c r="F36" s="52" t="e">
        <f>'PROM (Artistica 9°)'!AE25</f>
        <v>#DIV/0!</v>
      </c>
      <c r="G36" s="52" t="e">
        <f>'PROM (Artistica 9°)'!BM25</f>
        <v>#DIV/0!</v>
      </c>
      <c r="H36" s="52" t="e">
        <f>'PROM (Artistica 9°)'!CU25</f>
        <v>#DIV/0!</v>
      </c>
      <c r="I36" s="52" t="e">
        <f t="shared" si="0"/>
        <v>#DIV/0!</v>
      </c>
      <c r="J36" s="62">
        <f>'Asistencia (9°)'!BI23</f>
        <v>0</v>
      </c>
      <c r="K36" s="62">
        <f>'Asistencia (9°)'!BJ23</f>
        <v>0</v>
      </c>
      <c r="L36" s="62">
        <f>'Asistencia (9°)'!BJ23</f>
        <v>0</v>
      </c>
      <c r="M36" s="62">
        <f>'Asistencia (9°)'!BJ66</f>
        <v>0</v>
      </c>
      <c r="N36" s="62">
        <f>'Asistencia (9°)'!BI111</f>
        <v>0</v>
      </c>
      <c r="O36" s="62">
        <f>'Asistencia (9°)'!BJ111</f>
        <v>0</v>
      </c>
      <c r="P36" s="63">
        <f t="shared" si="1"/>
        <v>0</v>
      </c>
      <c r="Q36" s="63">
        <f t="shared" si="2"/>
        <v>0</v>
      </c>
    </row>
    <row r="37" spans="2:17">
      <c r="B37" s="10">
        <v>22</v>
      </c>
      <c r="C37" s="12">
        <f>MAESTRO!F26</f>
        <v>0</v>
      </c>
      <c r="D37" s="17"/>
      <c r="E37" s="17"/>
      <c r="F37" s="52" t="e">
        <f>'PROM (Artistica 9°)'!AE26</f>
        <v>#DIV/0!</v>
      </c>
      <c r="G37" s="52" t="e">
        <f>'PROM (Artistica 9°)'!BM26</f>
        <v>#DIV/0!</v>
      </c>
      <c r="H37" s="52" t="e">
        <f>'PROM (Artistica 9°)'!CU26</f>
        <v>#DIV/0!</v>
      </c>
      <c r="I37" s="52" t="e">
        <f t="shared" si="0"/>
        <v>#DIV/0!</v>
      </c>
      <c r="J37" s="62">
        <f>'Asistencia (9°)'!BI24</f>
        <v>0</v>
      </c>
      <c r="K37" s="62">
        <f>'Asistencia (9°)'!BJ24</f>
        <v>0</v>
      </c>
      <c r="L37" s="62">
        <f>'Asistencia (9°)'!BJ24</f>
        <v>0</v>
      </c>
      <c r="M37" s="62">
        <f>'Asistencia (9°)'!BJ67</f>
        <v>0</v>
      </c>
      <c r="N37" s="62">
        <f>'Asistencia (9°)'!BI112</f>
        <v>0</v>
      </c>
      <c r="O37" s="62">
        <f>'Asistencia (9°)'!BJ112</f>
        <v>0</v>
      </c>
      <c r="P37" s="63">
        <f t="shared" si="1"/>
        <v>0</v>
      </c>
      <c r="Q37" s="63">
        <f t="shared" si="2"/>
        <v>0</v>
      </c>
    </row>
    <row r="38" spans="2:17">
      <c r="B38" s="10">
        <v>23</v>
      </c>
      <c r="C38" s="12">
        <f>MAESTRO!F27</f>
        <v>0</v>
      </c>
      <c r="D38" s="17"/>
      <c r="E38" s="17"/>
      <c r="F38" s="52" t="e">
        <f>'PROM (Artistica 9°)'!AE27</f>
        <v>#DIV/0!</v>
      </c>
      <c r="G38" s="52" t="e">
        <f>'PROM (Artistica 9°)'!BM27</f>
        <v>#DIV/0!</v>
      </c>
      <c r="H38" s="52" t="e">
        <f>'PROM (Artistica 9°)'!CU27</f>
        <v>#DIV/0!</v>
      </c>
      <c r="I38" s="52" t="e">
        <f t="shared" si="0"/>
        <v>#DIV/0!</v>
      </c>
      <c r="J38" s="62">
        <f>'Asistencia (9°)'!BI25</f>
        <v>0</v>
      </c>
      <c r="K38" s="62">
        <f>'Asistencia (9°)'!BJ25</f>
        <v>0</v>
      </c>
      <c r="L38" s="62">
        <f>'Asistencia (9°)'!BJ25</f>
        <v>0</v>
      </c>
      <c r="M38" s="62">
        <f>'Asistencia (9°)'!BJ68</f>
        <v>0</v>
      </c>
      <c r="N38" s="62">
        <f>'Asistencia (9°)'!BI113</f>
        <v>0</v>
      </c>
      <c r="O38" s="62">
        <f>'Asistencia (9°)'!BJ113</f>
        <v>0</v>
      </c>
      <c r="P38" s="63">
        <f t="shared" si="1"/>
        <v>0</v>
      </c>
      <c r="Q38" s="63">
        <f t="shared" si="2"/>
        <v>0</v>
      </c>
    </row>
    <row r="39" spans="2:17">
      <c r="B39" s="10">
        <v>24</v>
      </c>
      <c r="C39" s="12">
        <f>MAESTRO!F28</f>
        <v>0</v>
      </c>
      <c r="D39" s="17"/>
      <c r="E39" s="17"/>
      <c r="F39" s="52" t="e">
        <f>'PROM (Artistica 9°)'!AE28</f>
        <v>#DIV/0!</v>
      </c>
      <c r="G39" s="52" t="e">
        <f>'PROM (Artistica 9°)'!BM28</f>
        <v>#DIV/0!</v>
      </c>
      <c r="H39" s="52" t="e">
        <f>'PROM (Artistica 9°)'!CU28</f>
        <v>#DIV/0!</v>
      </c>
      <c r="I39" s="52" t="e">
        <f t="shared" si="0"/>
        <v>#DIV/0!</v>
      </c>
      <c r="J39" s="62">
        <f>'Asistencia (9°)'!BI26</f>
        <v>0</v>
      </c>
      <c r="K39" s="62">
        <f>'Asistencia (9°)'!BJ26</f>
        <v>0</v>
      </c>
      <c r="L39" s="62">
        <f>'Asistencia (9°)'!BJ26</f>
        <v>0</v>
      </c>
      <c r="M39" s="62">
        <f>'Asistencia (9°)'!BJ69</f>
        <v>0</v>
      </c>
      <c r="N39" s="62">
        <f>'Asistencia (9°)'!BI114</f>
        <v>0</v>
      </c>
      <c r="O39" s="62">
        <f>'Asistencia (9°)'!BJ114</f>
        <v>0</v>
      </c>
      <c r="P39" s="63">
        <f t="shared" si="1"/>
        <v>0</v>
      </c>
      <c r="Q39" s="63">
        <f t="shared" si="2"/>
        <v>0</v>
      </c>
    </row>
    <row r="40" spans="2:17">
      <c r="B40" s="10">
        <v>25</v>
      </c>
      <c r="C40" s="12">
        <f>MAESTRO!F29</f>
        <v>0</v>
      </c>
      <c r="D40" s="17"/>
      <c r="E40" s="17"/>
      <c r="F40" s="52" t="e">
        <f>'PROM (Artistica 9°)'!AE29</f>
        <v>#DIV/0!</v>
      </c>
      <c r="G40" s="52" t="e">
        <f>'PROM (Artistica 9°)'!BM29</f>
        <v>#DIV/0!</v>
      </c>
      <c r="H40" s="52" t="e">
        <f>'PROM (Artistica 9°)'!CU29</f>
        <v>#DIV/0!</v>
      </c>
      <c r="I40" s="52" t="e">
        <f t="shared" si="0"/>
        <v>#DIV/0!</v>
      </c>
      <c r="J40" s="62">
        <f>'Asistencia (9°)'!BI27</f>
        <v>0</v>
      </c>
      <c r="K40" s="62">
        <f>'Asistencia (9°)'!BJ27</f>
        <v>0</v>
      </c>
      <c r="L40" s="62">
        <f>'Asistencia (9°)'!BJ27</f>
        <v>0</v>
      </c>
      <c r="M40" s="62">
        <f>'Asistencia (9°)'!BJ70</f>
        <v>0</v>
      </c>
      <c r="N40" s="62">
        <f>'Asistencia (9°)'!BI115</f>
        <v>0</v>
      </c>
      <c r="O40" s="62">
        <f>'Asistencia (9°)'!BJ115</f>
        <v>0</v>
      </c>
      <c r="P40" s="63">
        <f t="shared" si="1"/>
        <v>0</v>
      </c>
      <c r="Q40" s="63">
        <f t="shared" si="2"/>
        <v>0</v>
      </c>
    </row>
    <row r="41" spans="2:17">
      <c r="B41" s="10">
        <v>26</v>
      </c>
      <c r="C41" s="12">
        <f>MAESTRO!F30</f>
        <v>0</v>
      </c>
      <c r="D41" s="17"/>
      <c r="E41" s="17"/>
      <c r="F41" s="52" t="e">
        <f>'PROM (Artistica 9°)'!AE30</f>
        <v>#DIV/0!</v>
      </c>
      <c r="G41" s="52" t="e">
        <f>'PROM (Artistica 9°)'!BM30</f>
        <v>#DIV/0!</v>
      </c>
      <c r="H41" s="52" t="e">
        <f>'PROM (Artistica 9°)'!CU30</f>
        <v>#DIV/0!</v>
      </c>
      <c r="I41" s="52" t="e">
        <f t="shared" si="0"/>
        <v>#DIV/0!</v>
      </c>
      <c r="J41" s="62">
        <f>'Asistencia (9°)'!BI28</f>
        <v>0</v>
      </c>
      <c r="K41" s="62">
        <f>'Asistencia (9°)'!BJ28</f>
        <v>0</v>
      </c>
      <c r="L41" s="62">
        <f>'Asistencia (9°)'!BJ28</f>
        <v>0</v>
      </c>
      <c r="M41" s="62">
        <f>'Asistencia (9°)'!BJ71</f>
        <v>0</v>
      </c>
      <c r="N41" s="62">
        <f>'Asistencia (9°)'!BI116</f>
        <v>0</v>
      </c>
      <c r="O41" s="62">
        <f>'Asistencia (9°)'!BJ116</f>
        <v>0</v>
      </c>
      <c r="P41" s="63">
        <f t="shared" si="1"/>
        <v>0</v>
      </c>
      <c r="Q41" s="63">
        <f t="shared" si="2"/>
        <v>0</v>
      </c>
    </row>
    <row r="42" spans="2:17">
      <c r="B42" s="10">
        <v>27</v>
      </c>
      <c r="C42" s="12">
        <f>MAESTRO!F31</f>
        <v>0</v>
      </c>
      <c r="D42" s="17"/>
      <c r="E42" s="17"/>
      <c r="F42" s="52" t="e">
        <f>'PROM (Artistica 9°)'!AE31</f>
        <v>#DIV/0!</v>
      </c>
      <c r="G42" s="52" t="e">
        <f>'PROM (Artistica 9°)'!BM31</f>
        <v>#DIV/0!</v>
      </c>
      <c r="H42" s="52" t="e">
        <f>'PROM (Artistica 9°)'!CU31</f>
        <v>#DIV/0!</v>
      </c>
      <c r="I42" s="52" t="e">
        <f t="shared" si="0"/>
        <v>#DIV/0!</v>
      </c>
      <c r="J42" s="62">
        <f>'Asistencia (9°)'!BI29</f>
        <v>0</v>
      </c>
      <c r="K42" s="62">
        <f>'Asistencia (9°)'!BJ29</f>
        <v>0</v>
      </c>
      <c r="L42" s="62">
        <f>'Asistencia (9°)'!BJ29</f>
        <v>0</v>
      </c>
      <c r="M42" s="62">
        <f>'Asistencia (9°)'!BJ72</f>
        <v>0</v>
      </c>
      <c r="N42" s="62">
        <f>'Asistencia (9°)'!BI117</f>
        <v>0</v>
      </c>
      <c r="O42" s="62">
        <f>'Asistencia (9°)'!BJ117</f>
        <v>0</v>
      </c>
      <c r="P42" s="63">
        <f t="shared" si="1"/>
        <v>0</v>
      </c>
      <c r="Q42" s="63">
        <f t="shared" si="2"/>
        <v>0</v>
      </c>
    </row>
    <row r="43" spans="2:17">
      <c r="B43" s="10">
        <v>28</v>
      </c>
      <c r="C43" s="12">
        <f>MAESTRO!F32</f>
        <v>0</v>
      </c>
      <c r="D43" s="17"/>
      <c r="E43" s="17"/>
      <c r="F43" s="52" t="e">
        <f>'PROM (Artistica 9°)'!AE32</f>
        <v>#DIV/0!</v>
      </c>
      <c r="G43" s="52" t="e">
        <f>'PROM (Artistica 9°)'!BM32</f>
        <v>#DIV/0!</v>
      </c>
      <c r="H43" s="52" t="e">
        <f>'PROM (Artistica 9°)'!CU32</f>
        <v>#DIV/0!</v>
      </c>
      <c r="I43" s="52" t="e">
        <f t="shared" si="0"/>
        <v>#DIV/0!</v>
      </c>
      <c r="J43" s="62">
        <f>'Asistencia (9°)'!BI30</f>
        <v>0</v>
      </c>
      <c r="K43" s="62">
        <f>'Asistencia (9°)'!BJ30</f>
        <v>0</v>
      </c>
      <c r="L43" s="62">
        <f>'Asistencia (9°)'!BJ30</f>
        <v>0</v>
      </c>
      <c r="M43" s="62">
        <f>'Asistencia (9°)'!BJ73</f>
        <v>0</v>
      </c>
      <c r="N43" s="62">
        <f>'Asistencia (9°)'!BI118</f>
        <v>0</v>
      </c>
      <c r="O43" s="62">
        <f>'Asistencia (9°)'!BJ118</f>
        <v>0</v>
      </c>
      <c r="P43" s="63">
        <f t="shared" si="1"/>
        <v>0</v>
      </c>
      <c r="Q43" s="63">
        <f t="shared" si="2"/>
        <v>0</v>
      </c>
    </row>
    <row r="44" spans="2:17">
      <c r="B44" s="10">
        <v>29</v>
      </c>
      <c r="C44" s="12">
        <f>MAESTRO!F33</f>
        <v>0</v>
      </c>
      <c r="D44" s="17"/>
      <c r="E44" s="17"/>
      <c r="F44" s="52" t="e">
        <f>'PROM (Artistica 9°)'!AE33</f>
        <v>#DIV/0!</v>
      </c>
      <c r="G44" s="52" t="e">
        <f>'PROM (Artistica 9°)'!BM33</f>
        <v>#DIV/0!</v>
      </c>
      <c r="H44" s="52" t="e">
        <f>'PROM (Artistica 9°)'!CU33</f>
        <v>#DIV/0!</v>
      </c>
      <c r="I44" s="52" t="e">
        <f t="shared" si="0"/>
        <v>#DIV/0!</v>
      </c>
      <c r="J44" s="62">
        <f>'Asistencia (9°)'!BI31</f>
        <v>0</v>
      </c>
      <c r="K44" s="62">
        <f>'Asistencia (9°)'!BJ31</f>
        <v>0</v>
      </c>
      <c r="L44" s="62">
        <f>'Asistencia (9°)'!BJ31</f>
        <v>0</v>
      </c>
      <c r="M44" s="62">
        <f>'Asistencia (9°)'!BJ74</f>
        <v>0</v>
      </c>
      <c r="N44" s="62">
        <f>'Asistencia (9°)'!BI119</f>
        <v>0</v>
      </c>
      <c r="O44" s="62">
        <f>'Asistencia (9°)'!BJ119</f>
        <v>0</v>
      </c>
      <c r="P44" s="63">
        <f t="shared" si="1"/>
        <v>0</v>
      </c>
      <c r="Q44" s="63">
        <f t="shared" si="2"/>
        <v>0</v>
      </c>
    </row>
    <row r="45" spans="2:17">
      <c r="B45" s="10">
        <v>30</v>
      </c>
      <c r="C45" s="12">
        <f>MAESTRO!F34</f>
        <v>0</v>
      </c>
      <c r="D45" s="17"/>
      <c r="E45" s="17"/>
      <c r="F45" s="52" t="e">
        <f>'PROM (Artistica 9°)'!AE34</f>
        <v>#DIV/0!</v>
      </c>
      <c r="G45" s="52" t="e">
        <f>'PROM (Artistica 9°)'!BM34</f>
        <v>#DIV/0!</v>
      </c>
      <c r="H45" s="52" t="e">
        <f>'PROM (Artistica 9°)'!CU34</f>
        <v>#DIV/0!</v>
      </c>
      <c r="I45" s="52" t="e">
        <f t="shared" si="0"/>
        <v>#DIV/0!</v>
      </c>
      <c r="J45" s="62">
        <f>'Asistencia (9°)'!BI32</f>
        <v>0</v>
      </c>
      <c r="K45" s="62">
        <f>'Asistencia (9°)'!BJ32</f>
        <v>0</v>
      </c>
      <c r="L45" s="62">
        <f>'Asistencia (9°)'!BJ32</f>
        <v>0</v>
      </c>
      <c r="M45" s="62">
        <f>'Asistencia (9°)'!BJ75</f>
        <v>0</v>
      </c>
      <c r="N45" s="62">
        <f>'Asistencia (9°)'!BI120</f>
        <v>0</v>
      </c>
      <c r="O45" s="62">
        <f>'Asistencia (9°)'!BJ120</f>
        <v>0</v>
      </c>
      <c r="P45" s="63">
        <f t="shared" si="1"/>
        <v>0</v>
      </c>
      <c r="Q45" s="63">
        <f t="shared" si="2"/>
        <v>0</v>
      </c>
    </row>
    <row r="46" spans="2:17">
      <c r="B46" s="10">
        <v>31</v>
      </c>
      <c r="C46" s="12">
        <f>MAESTRO!F35</f>
        <v>0</v>
      </c>
      <c r="D46" s="17"/>
      <c r="E46" s="17"/>
      <c r="F46" s="52" t="e">
        <f>'PROM (Artistica 9°)'!AE35</f>
        <v>#DIV/0!</v>
      </c>
      <c r="G46" s="52" t="e">
        <f>'PROM (Artistica 9°)'!BM35</f>
        <v>#DIV/0!</v>
      </c>
      <c r="H46" s="52" t="e">
        <f>'PROM (Artistica 9°)'!CU35</f>
        <v>#DIV/0!</v>
      </c>
      <c r="I46" s="52" t="e">
        <f t="shared" si="0"/>
        <v>#DIV/0!</v>
      </c>
      <c r="J46" s="62">
        <f>'Asistencia (9°)'!BI33</f>
        <v>0</v>
      </c>
      <c r="K46" s="62">
        <f>'Asistencia (9°)'!BJ33</f>
        <v>0</v>
      </c>
      <c r="L46" s="62">
        <f>'Asistencia (9°)'!BJ33</f>
        <v>0</v>
      </c>
      <c r="M46" s="62">
        <f>'Asistencia (9°)'!BJ76</f>
        <v>0</v>
      </c>
      <c r="N46" s="62">
        <f>'Asistencia (9°)'!BI121</f>
        <v>0</v>
      </c>
      <c r="O46" s="62">
        <f>'Asistencia (9°)'!BJ121</f>
        <v>0</v>
      </c>
      <c r="P46" s="63">
        <f t="shared" si="1"/>
        <v>0</v>
      </c>
      <c r="Q46" s="63">
        <f t="shared" si="2"/>
        <v>0</v>
      </c>
    </row>
    <row r="47" spans="2:17">
      <c r="B47" s="10">
        <v>32</v>
      </c>
      <c r="C47" s="12">
        <f>MAESTRO!F36</f>
        <v>0</v>
      </c>
      <c r="D47" s="17"/>
      <c r="E47" s="17"/>
      <c r="F47" s="52" t="e">
        <f>'PROM (Artistica 9°)'!AE36</f>
        <v>#DIV/0!</v>
      </c>
      <c r="G47" s="52" t="e">
        <f>'PROM (Artistica 9°)'!BM36</f>
        <v>#DIV/0!</v>
      </c>
      <c r="H47" s="52" t="e">
        <f>'PROM (Artistica 9°)'!CU36</f>
        <v>#DIV/0!</v>
      </c>
      <c r="I47" s="52" t="e">
        <f t="shared" si="0"/>
        <v>#DIV/0!</v>
      </c>
      <c r="J47" s="62">
        <f>'Asistencia (9°)'!BI34</f>
        <v>0</v>
      </c>
      <c r="K47" s="62">
        <f>'Asistencia (9°)'!BJ34</f>
        <v>0</v>
      </c>
      <c r="L47" s="62">
        <f>'Asistencia (9°)'!BJ34</f>
        <v>0</v>
      </c>
      <c r="M47" s="62">
        <f>'Asistencia (9°)'!BJ77</f>
        <v>0</v>
      </c>
      <c r="N47" s="62">
        <f>'Asistencia (9°)'!BI122</f>
        <v>0</v>
      </c>
      <c r="O47" s="62">
        <f>'Asistencia (9°)'!BJ122</f>
        <v>0</v>
      </c>
      <c r="P47" s="63">
        <f t="shared" si="1"/>
        <v>0</v>
      </c>
      <c r="Q47" s="63">
        <f t="shared" si="2"/>
        <v>0</v>
      </c>
    </row>
    <row r="48" spans="2:17">
      <c r="B48" s="10">
        <v>33</v>
      </c>
      <c r="C48" s="12">
        <f>MAESTRO!F37</f>
        <v>0</v>
      </c>
      <c r="D48" s="17"/>
      <c r="E48" s="17"/>
      <c r="F48" s="52" t="e">
        <f>'PROM (Artistica 9°)'!AE37</f>
        <v>#DIV/0!</v>
      </c>
      <c r="G48" s="52" t="e">
        <f>'PROM (Artistica 9°)'!BM37</f>
        <v>#DIV/0!</v>
      </c>
      <c r="H48" s="52" t="e">
        <f>'PROM (Artistica 9°)'!CU37</f>
        <v>#DIV/0!</v>
      </c>
      <c r="I48" s="52" t="e">
        <f t="shared" si="0"/>
        <v>#DIV/0!</v>
      </c>
      <c r="J48" s="62">
        <f>'Asistencia (9°)'!BI35</f>
        <v>0</v>
      </c>
      <c r="K48" s="62">
        <f>'Asistencia (9°)'!BJ35</f>
        <v>0</v>
      </c>
      <c r="L48" s="62">
        <f>'Asistencia (9°)'!BJ35</f>
        <v>0</v>
      </c>
      <c r="M48" s="62">
        <f>'Asistencia (9°)'!BJ78</f>
        <v>0</v>
      </c>
      <c r="N48" s="62">
        <f>'Asistencia (9°)'!BI123</f>
        <v>0</v>
      </c>
      <c r="O48" s="62">
        <f>'Asistencia (9°)'!BJ123</f>
        <v>0</v>
      </c>
      <c r="P48" s="63">
        <f t="shared" si="1"/>
        <v>0</v>
      </c>
      <c r="Q48" s="63">
        <f t="shared" si="2"/>
        <v>0</v>
      </c>
    </row>
    <row r="49" spans="2:17">
      <c r="B49" s="10">
        <v>34</v>
      </c>
      <c r="C49" s="12">
        <f>MAESTRO!F38</f>
        <v>0</v>
      </c>
      <c r="D49" s="17"/>
      <c r="E49" s="17"/>
      <c r="F49" s="52" t="e">
        <f>'PROM (Artistica 9°)'!AE38</f>
        <v>#DIV/0!</v>
      </c>
      <c r="G49" s="52" t="e">
        <f>'PROM (Artistica 9°)'!BM38</f>
        <v>#DIV/0!</v>
      </c>
      <c r="H49" s="52" t="e">
        <f>'PROM (Artistica 9°)'!CU38</f>
        <v>#DIV/0!</v>
      </c>
      <c r="I49" s="52" t="e">
        <f t="shared" si="0"/>
        <v>#DIV/0!</v>
      </c>
      <c r="J49" s="62">
        <f>'Asistencia (9°)'!BI36</f>
        <v>0</v>
      </c>
      <c r="K49" s="62">
        <f>'Asistencia (9°)'!BJ36</f>
        <v>0</v>
      </c>
      <c r="L49" s="62">
        <f>'Asistencia (9°)'!BJ36</f>
        <v>0</v>
      </c>
      <c r="M49" s="62">
        <f>'Asistencia (9°)'!BJ79</f>
        <v>0</v>
      </c>
      <c r="N49" s="62">
        <f>'Asistencia (9°)'!BI124</f>
        <v>0</v>
      </c>
      <c r="O49" s="62">
        <f>'Asistencia (9°)'!BJ124</f>
        <v>0</v>
      </c>
      <c r="P49" s="63">
        <f t="shared" si="1"/>
        <v>0</v>
      </c>
      <c r="Q49" s="63">
        <f t="shared" si="2"/>
        <v>0</v>
      </c>
    </row>
    <row r="50" spans="2:17">
      <c r="B50" s="10">
        <v>35</v>
      </c>
      <c r="C50" s="12">
        <f>MAESTRO!F39</f>
        <v>0</v>
      </c>
      <c r="D50" s="17"/>
      <c r="E50" s="17"/>
      <c r="F50" s="52" t="e">
        <f>'PROM (Artistica 9°)'!AE39</f>
        <v>#DIV/0!</v>
      </c>
      <c r="G50" s="52" t="e">
        <f>'PROM (Artistica 9°)'!BM39</f>
        <v>#DIV/0!</v>
      </c>
      <c r="H50" s="52" t="e">
        <f>'PROM (Artistica 9°)'!CU39</f>
        <v>#DIV/0!</v>
      </c>
      <c r="I50" s="52" t="e">
        <f t="shared" si="0"/>
        <v>#DIV/0!</v>
      </c>
      <c r="J50" s="62">
        <f>'Asistencia (9°)'!BI37</f>
        <v>0</v>
      </c>
      <c r="K50" s="62">
        <f>'Asistencia (9°)'!BJ37</f>
        <v>0</v>
      </c>
      <c r="L50" s="62">
        <f>'Asistencia (9°)'!BJ37</f>
        <v>0</v>
      </c>
      <c r="M50" s="62">
        <f>'Asistencia (9°)'!BJ80</f>
        <v>0</v>
      </c>
      <c r="N50" s="62">
        <f>'Asistencia (9°)'!BI125</f>
        <v>0</v>
      </c>
      <c r="O50" s="62">
        <f>'Asistencia (9°)'!BJ125</f>
        <v>0</v>
      </c>
      <c r="P50" s="63">
        <f t="shared" si="1"/>
        <v>0</v>
      </c>
      <c r="Q50" s="63">
        <f t="shared" si="2"/>
        <v>0</v>
      </c>
    </row>
    <row r="51" spans="2:17">
      <c r="B51" s="10">
        <v>36</v>
      </c>
      <c r="C51" s="12">
        <f>MAESTRO!F40</f>
        <v>0</v>
      </c>
      <c r="D51" s="17"/>
      <c r="E51" s="17"/>
      <c r="F51" s="52" t="e">
        <f>'PROM (Artistica 9°)'!AE40</f>
        <v>#DIV/0!</v>
      </c>
      <c r="G51" s="52" t="e">
        <f>'PROM (Artistica 9°)'!BM40</f>
        <v>#DIV/0!</v>
      </c>
      <c r="H51" s="52" t="e">
        <f>'PROM (Artistica 9°)'!CU40</f>
        <v>#DIV/0!</v>
      </c>
      <c r="I51" s="52" t="e">
        <f t="shared" si="0"/>
        <v>#DIV/0!</v>
      </c>
      <c r="J51" s="62">
        <f>'Asistencia (9°)'!BI38</f>
        <v>0</v>
      </c>
      <c r="K51" s="62">
        <f>'Asistencia (9°)'!BJ38</f>
        <v>0</v>
      </c>
      <c r="L51" s="62">
        <f>'Asistencia (9°)'!BJ38</f>
        <v>0</v>
      </c>
      <c r="M51" s="62">
        <f>'Asistencia (9°)'!BJ81</f>
        <v>0</v>
      </c>
      <c r="N51" s="62">
        <f>'Asistencia (9°)'!BI126</f>
        <v>0</v>
      </c>
      <c r="O51" s="62">
        <f>'Asistencia (9°)'!BJ126</f>
        <v>0</v>
      </c>
      <c r="P51" s="63">
        <f t="shared" si="1"/>
        <v>0</v>
      </c>
      <c r="Q51" s="63">
        <f t="shared" si="2"/>
        <v>0</v>
      </c>
    </row>
    <row r="52" spans="2:17">
      <c r="B52" s="10">
        <v>37</v>
      </c>
      <c r="C52" s="12">
        <f>MAESTRO!F41</f>
        <v>0</v>
      </c>
      <c r="D52" s="17"/>
      <c r="E52" s="17"/>
      <c r="F52" s="52" t="e">
        <f>'PROM (Artistica 9°)'!AE41</f>
        <v>#DIV/0!</v>
      </c>
      <c r="G52" s="52" t="e">
        <f>'PROM (Artistica 9°)'!BM41</f>
        <v>#DIV/0!</v>
      </c>
      <c r="H52" s="52" t="e">
        <f>'PROM (Artistica 9°)'!CU41</f>
        <v>#DIV/0!</v>
      </c>
      <c r="I52" s="52" t="e">
        <f t="shared" si="0"/>
        <v>#DIV/0!</v>
      </c>
      <c r="J52" s="62">
        <f>'Asistencia (9°)'!BI39</f>
        <v>0</v>
      </c>
      <c r="K52" s="62">
        <f>'Asistencia (9°)'!BJ39</f>
        <v>0</v>
      </c>
      <c r="L52" s="62">
        <f>'Asistencia (9°)'!BJ39</f>
        <v>0</v>
      </c>
      <c r="M52" s="62">
        <f>'Asistencia (9°)'!BJ82</f>
        <v>0</v>
      </c>
      <c r="N52" s="62">
        <f>'Asistencia (9°)'!BI127</f>
        <v>0</v>
      </c>
      <c r="O52" s="62">
        <f>'Asistencia (9°)'!BJ127</f>
        <v>0</v>
      </c>
      <c r="P52" s="63">
        <f t="shared" si="1"/>
        <v>0</v>
      </c>
      <c r="Q52" s="63">
        <f t="shared" si="2"/>
        <v>0</v>
      </c>
    </row>
    <row r="53" spans="2:17">
      <c r="B53" s="10">
        <v>38</v>
      </c>
      <c r="C53" s="12">
        <f>MAESTRO!F42</f>
        <v>0</v>
      </c>
      <c r="D53" s="17"/>
      <c r="E53" s="17"/>
      <c r="F53" s="52"/>
      <c r="G53" s="52"/>
      <c r="H53" s="52"/>
      <c r="I53" s="52"/>
      <c r="J53" s="62">
        <f>'Asistencia (9°)'!BI40</f>
        <v>0</v>
      </c>
      <c r="K53" s="62"/>
      <c r="L53" s="62">
        <f>'Asistencia (9°)'!BJ40</f>
        <v>0</v>
      </c>
      <c r="M53" s="62"/>
      <c r="N53" s="62"/>
      <c r="O53" s="62"/>
      <c r="P53" s="63"/>
      <c r="Q53" s="63"/>
    </row>
    <row r="54" spans="2:17">
      <c r="B54" s="10">
        <v>39</v>
      </c>
      <c r="C54" s="12">
        <f>MAESTRO!F43</f>
        <v>0</v>
      </c>
      <c r="D54" s="17"/>
      <c r="E54" s="18"/>
      <c r="F54" s="52"/>
      <c r="G54" s="52"/>
      <c r="H54" s="52"/>
      <c r="I54" s="52"/>
      <c r="J54" s="62">
        <f>'Asistencia (9°)'!BI41</f>
        <v>0</v>
      </c>
      <c r="K54" s="62"/>
      <c r="L54" s="62">
        <f>'Asistencia (9°)'!BJ41</f>
        <v>0</v>
      </c>
      <c r="M54" s="62"/>
      <c r="N54" s="62"/>
      <c r="O54" s="62"/>
      <c r="P54" s="63"/>
      <c r="Q54" s="63"/>
    </row>
    <row r="55" spans="2:17">
      <c r="B55" s="10"/>
      <c r="C55" s="12">
        <f>MAESTRO!F44</f>
        <v>0</v>
      </c>
      <c r="D55" s="17"/>
      <c r="E55" s="18"/>
      <c r="F55" s="52"/>
      <c r="G55" s="52"/>
      <c r="H55" s="52"/>
      <c r="I55" s="52"/>
      <c r="J55" s="62">
        <f>'Asistencia (9°)'!BI42</f>
        <v>0</v>
      </c>
      <c r="K55" s="62"/>
      <c r="L55" s="62">
        <f>'Asistencia (9°)'!BJ42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2" priority="1" operator="lessThan">
      <formula>3</formula>
    </cfRule>
  </conditionalFormatting>
  <pageMargins left="0.25" right="4.9479166666666657E-2" top="0.75" bottom="0.75" header="0.3" footer="0.3"/>
  <pageSetup orientation="portrait" horizontalDpi="4294967293"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25">
    <tabColor rgb="FFE07020"/>
  </sheetPr>
  <dimension ref="A1:EE49"/>
  <sheetViews>
    <sheetView view="pageLayout" zoomScale="80" zoomScaleNormal="100" zoomScalePageLayoutView="80" workbookViewId="0">
      <selection activeCell="L10" sqref="L10"/>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3" customWidth="1"/>
    <col min="19" max="28" width="4.44140625" customWidth="1"/>
    <col min="29" max="29" width="5.33203125" style="46"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4" customWidth="1"/>
    <col min="38" max="44" width="4.44140625" style="54" customWidth="1"/>
    <col min="45" max="48" width="4.44140625" style="55" customWidth="1"/>
    <col min="49" max="49" width="2.44140625" style="55" customWidth="1"/>
    <col min="50" max="50" width="4.44140625" customWidth="1"/>
    <col min="51" max="60" width="4.44140625" style="57" customWidth="1"/>
    <col min="61" max="62" width="4.44140625" customWidth="1"/>
    <col min="63" max="63" width="4.44140625" style="44" customWidth="1"/>
    <col min="64" max="65" width="4.44140625" customWidth="1"/>
    <col min="66" max="66" width="20.44140625" customWidth="1"/>
    <col min="67" max="68" width="2.77734375" customWidth="1"/>
    <col min="70" max="70" width="14.33203125" customWidth="1"/>
    <col min="71" max="83" width="4.44140625" style="51" customWidth="1"/>
    <col min="84" max="84" width="4.44140625" customWidth="1"/>
    <col min="85" max="99" width="4.44140625" style="51"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49" t="s">
        <v>87</v>
      </c>
      <c r="B1" s="251"/>
      <c r="C1" s="251"/>
      <c r="D1" s="251"/>
      <c r="E1" s="251"/>
      <c r="F1" s="251"/>
      <c r="G1" s="251"/>
      <c r="H1" s="251"/>
      <c r="I1" s="251"/>
      <c r="J1" s="251"/>
      <c r="K1" s="251"/>
      <c r="L1" s="251"/>
      <c r="M1" s="251"/>
      <c r="N1" s="251"/>
      <c r="O1" s="251"/>
      <c r="P1" s="241"/>
      <c r="Q1" s="41"/>
      <c r="R1" s="263" t="s">
        <v>87</v>
      </c>
      <c r="S1" s="251"/>
      <c r="T1" s="251"/>
      <c r="U1" s="251"/>
      <c r="V1" s="251"/>
      <c r="W1" s="251"/>
      <c r="X1" s="251"/>
      <c r="Y1" s="251"/>
      <c r="Z1" s="251"/>
      <c r="AA1" s="251"/>
      <c r="AB1" s="251"/>
      <c r="AC1" s="251"/>
      <c r="AD1" s="251"/>
      <c r="AE1" s="251"/>
      <c r="AF1" s="251"/>
      <c r="AG1" s="241"/>
      <c r="AH1" s="249" t="s">
        <v>88</v>
      </c>
      <c r="AI1" s="251"/>
      <c r="AJ1" s="251"/>
      <c r="AK1" s="251"/>
      <c r="AL1" s="251"/>
      <c r="AM1" s="251"/>
      <c r="AN1" s="251"/>
      <c r="AO1" s="251"/>
      <c r="AP1" s="251"/>
      <c r="AQ1" s="251"/>
      <c r="AR1" s="251"/>
      <c r="AS1" s="251"/>
      <c r="AT1" s="251"/>
      <c r="AU1" s="251"/>
      <c r="AV1" s="251"/>
      <c r="AW1" s="251"/>
      <c r="AX1" s="241"/>
      <c r="AY1" s="263" t="s">
        <v>88</v>
      </c>
      <c r="AZ1" s="251"/>
      <c r="BA1" s="251"/>
      <c r="BB1" s="251"/>
      <c r="BC1" s="251"/>
      <c r="BD1" s="251"/>
      <c r="BE1" s="251"/>
      <c r="BF1" s="251"/>
      <c r="BG1" s="251"/>
      <c r="BH1" s="251"/>
      <c r="BI1" s="251"/>
      <c r="BJ1" s="251"/>
      <c r="BK1" s="251"/>
      <c r="BL1" s="251"/>
      <c r="BM1" s="251"/>
      <c r="BN1" s="251"/>
      <c r="BO1" s="241"/>
      <c r="BP1" s="249" t="s">
        <v>119</v>
      </c>
      <c r="BQ1" s="251"/>
      <c r="BR1" s="251"/>
      <c r="BS1" s="251"/>
      <c r="BT1" s="251"/>
      <c r="BU1" s="251"/>
      <c r="BV1" s="251"/>
      <c r="BW1" s="251"/>
      <c r="BX1" s="251"/>
      <c r="BY1" s="251"/>
      <c r="BZ1" s="251"/>
      <c r="CA1" s="251"/>
      <c r="CB1" s="251"/>
      <c r="CC1" s="251"/>
      <c r="CD1" s="251"/>
      <c r="CE1" s="251"/>
      <c r="CF1" s="241"/>
      <c r="CG1" s="263" t="s">
        <v>119</v>
      </c>
      <c r="CH1" s="251"/>
      <c r="CI1" s="251"/>
      <c r="CJ1" s="251"/>
      <c r="CK1" s="251"/>
      <c r="CL1" s="251"/>
      <c r="CM1" s="251"/>
      <c r="CN1" s="251"/>
      <c r="CO1" s="251"/>
      <c r="CP1" s="251"/>
      <c r="CQ1" s="251"/>
      <c r="CR1" s="251"/>
      <c r="CS1" s="251"/>
      <c r="CT1" s="251"/>
      <c r="CU1" s="251"/>
      <c r="CV1" s="251"/>
      <c r="CW1" s="241"/>
      <c r="CX1" s="259"/>
      <c r="CY1" s="186"/>
      <c r="CZ1" s="186"/>
      <c r="DA1" s="186"/>
      <c r="DB1" s="186"/>
      <c r="DC1" s="186"/>
      <c r="DD1" s="186"/>
      <c r="DE1" s="186"/>
      <c r="DF1" s="186"/>
      <c r="DG1" s="186"/>
      <c r="DH1" s="186"/>
      <c r="DI1" s="186"/>
      <c r="DJ1" s="186"/>
      <c r="DK1" s="186"/>
      <c r="DL1" s="186"/>
      <c r="DM1" s="186"/>
      <c r="DN1" s="186"/>
      <c r="DO1" s="254"/>
      <c r="DP1" s="186"/>
      <c r="DQ1" s="186"/>
      <c r="DR1" s="186"/>
      <c r="DS1" s="186"/>
      <c r="DT1" s="186"/>
      <c r="DU1" s="186"/>
      <c r="DV1" s="186"/>
      <c r="DW1" s="186"/>
      <c r="DX1" s="186"/>
      <c r="DY1" s="186"/>
      <c r="DZ1" s="186"/>
      <c r="EA1" s="186"/>
      <c r="EB1" s="186"/>
      <c r="EC1" s="186"/>
      <c r="ED1" s="186"/>
      <c r="EE1" s="186"/>
    </row>
    <row r="2" spans="1:135" ht="6" customHeight="1">
      <c r="A2" s="274"/>
      <c r="B2" s="186"/>
      <c r="C2" s="186"/>
      <c r="D2" s="186"/>
      <c r="E2" s="186"/>
      <c r="F2" s="186"/>
      <c r="G2" s="186"/>
      <c r="H2" s="186"/>
      <c r="I2" s="186"/>
      <c r="J2" s="186"/>
      <c r="K2" s="186"/>
      <c r="L2" s="186"/>
      <c r="M2" s="186"/>
      <c r="N2" s="186"/>
      <c r="O2" s="186"/>
      <c r="P2" s="186"/>
      <c r="Q2" s="29"/>
      <c r="R2" s="239"/>
      <c r="S2" s="186"/>
      <c r="T2" s="186"/>
      <c r="U2" s="186"/>
      <c r="V2" s="186"/>
      <c r="W2" s="186"/>
      <c r="X2" s="186"/>
      <c r="Y2" s="186"/>
      <c r="Z2" s="186"/>
      <c r="AA2" s="186"/>
      <c r="AB2" s="186"/>
      <c r="AC2" s="278"/>
      <c r="AD2" s="186"/>
      <c r="AE2" s="186"/>
      <c r="AF2" s="186"/>
      <c r="AG2" s="186"/>
      <c r="AH2" s="274"/>
      <c r="AI2" s="186"/>
      <c r="AJ2" s="186"/>
      <c r="AK2" s="275"/>
      <c r="AL2" s="275"/>
      <c r="AM2" s="275"/>
      <c r="AN2" s="275"/>
      <c r="AO2" s="275"/>
      <c r="AP2" s="275"/>
      <c r="AQ2" s="275"/>
      <c r="AR2" s="275"/>
      <c r="AS2" s="276"/>
      <c r="AT2" s="276"/>
      <c r="AU2" s="276"/>
      <c r="AV2" s="276"/>
      <c r="AW2" s="276"/>
      <c r="AX2" s="186"/>
      <c r="AY2" s="239"/>
      <c r="AZ2" s="257"/>
      <c r="BA2" s="257"/>
      <c r="BB2" s="257"/>
      <c r="BC2" s="257"/>
      <c r="BD2" s="257"/>
      <c r="BE2" s="257"/>
      <c r="BF2" s="257"/>
      <c r="BG2" s="257"/>
      <c r="BH2" s="257"/>
      <c r="BI2" s="186"/>
      <c r="BJ2" s="186"/>
      <c r="BK2" s="258"/>
      <c r="BL2" s="186"/>
      <c r="BM2" s="186"/>
      <c r="BN2" s="186"/>
      <c r="BO2" s="186"/>
      <c r="BP2" s="274"/>
      <c r="BQ2" s="186"/>
      <c r="BR2" s="186"/>
      <c r="BS2" s="271"/>
      <c r="BT2" s="271"/>
      <c r="BU2" s="271"/>
      <c r="BV2" s="271"/>
      <c r="BW2" s="271"/>
      <c r="BX2" s="271"/>
      <c r="BY2" s="271"/>
      <c r="BZ2" s="271"/>
      <c r="CA2" s="271"/>
      <c r="CB2" s="271"/>
      <c r="CC2" s="271"/>
      <c r="CD2" s="271"/>
      <c r="CE2" s="271"/>
      <c r="CF2" s="186"/>
      <c r="CG2" s="239"/>
      <c r="CH2" s="271"/>
      <c r="CI2" s="271"/>
      <c r="CJ2" s="271"/>
      <c r="CK2" s="271"/>
      <c r="CL2" s="271"/>
      <c r="CM2" s="271"/>
      <c r="CN2" s="271"/>
      <c r="CO2" s="271"/>
      <c r="CP2" s="271"/>
      <c r="CQ2" s="271"/>
      <c r="CR2" s="271"/>
      <c r="CS2" s="271"/>
      <c r="CT2" s="271"/>
      <c r="CU2" s="271"/>
      <c r="CV2" s="186"/>
      <c r="CW2" s="186"/>
      <c r="CX2" s="274"/>
      <c r="CY2" s="186"/>
      <c r="CZ2" s="186"/>
      <c r="DA2" s="186"/>
      <c r="DB2" s="186"/>
      <c r="DC2" s="186"/>
      <c r="DD2" s="186"/>
      <c r="DE2" s="186"/>
      <c r="DF2" s="186"/>
      <c r="DG2" s="186"/>
      <c r="DH2" s="186"/>
      <c r="DI2" s="186"/>
      <c r="DJ2" s="186"/>
      <c r="DK2" s="186"/>
      <c r="DL2" s="186"/>
      <c r="DM2" s="186"/>
      <c r="DN2" s="186"/>
      <c r="DO2" s="239"/>
      <c r="DP2" s="186"/>
      <c r="DQ2" s="186"/>
      <c r="DR2" s="186"/>
      <c r="DS2" s="186"/>
      <c r="DT2" s="186"/>
      <c r="DU2" s="186"/>
      <c r="DV2" s="186"/>
      <c r="DW2" s="186"/>
      <c r="DX2" s="186"/>
      <c r="DY2" s="186"/>
      <c r="DZ2" s="186"/>
      <c r="EA2" s="186"/>
      <c r="EB2" s="186"/>
      <c r="EC2" s="186"/>
      <c r="ED2" s="186"/>
      <c r="EE2" s="186"/>
    </row>
    <row r="3" spans="1:135" ht="15" customHeight="1">
      <c r="A3" s="240"/>
      <c r="B3" s="249" t="s">
        <v>77</v>
      </c>
      <c r="C3" s="250" t="s">
        <v>91</v>
      </c>
      <c r="D3" s="251"/>
      <c r="E3" s="251"/>
      <c r="F3" s="251"/>
      <c r="G3" s="251"/>
      <c r="H3" s="251"/>
      <c r="I3" s="251"/>
      <c r="J3" s="251"/>
      <c r="K3" s="251"/>
      <c r="L3" s="251"/>
      <c r="M3" s="251"/>
      <c r="N3" s="251"/>
      <c r="O3" s="241"/>
      <c r="P3" s="269" t="s">
        <v>92</v>
      </c>
      <c r="Q3" s="60"/>
      <c r="R3" s="250" t="s">
        <v>93</v>
      </c>
      <c r="S3" s="251"/>
      <c r="T3" s="251"/>
      <c r="U3" s="251"/>
      <c r="V3" s="251"/>
      <c r="W3" s="251"/>
      <c r="X3" s="251"/>
      <c r="Y3" s="251"/>
      <c r="Z3" s="241"/>
      <c r="AA3" s="269" t="s">
        <v>92</v>
      </c>
      <c r="AB3" s="268" t="s">
        <v>94</v>
      </c>
      <c r="AC3" s="246"/>
      <c r="AD3" s="269" t="s">
        <v>92</v>
      </c>
      <c r="AE3" s="260" t="s">
        <v>95</v>
      </c>
      <c r="AF3" s="270" t="s">
        <v>18</v>
      </c>
      <c r="AG3" s="246"/>
      <c r="AH3" s="240"/>
      <c r="AI3" s="249" t="s">
        <v>77</v>
      </c>
      <c r="AJ3" s="246"/>
      <c r="AK3" s="250" t="s">
        <v>91</v>
      </c>
      <c r="AL3" s="251"/>
      <c r="AM3" s="251"/>
      <c r="AN3" s="251"/>
      <c r="AO3" s="251"/>
      <c r="AP3" s="251"/>
      <c r="AQ3" s="251"/>
      <c r="AR3" s="251"/>
      <c r="AS3" s="251"/>
      <c r="AT3" s="251"/>
      <c r="AU3" s="251"/>
      <c r="AV3" s="251"/>
      <c r="AW3" s="241"/>
      <c r="AX3" s="269" t="s">
        <v>92</v>
      </c>
      <c r="AY3" s="272" t="s">
        <v>93</v>
      </c>
      <c r="AZ3" s="251"/>
      <c r="BA3" s="251"/>
      <c r="BB3" s="251"/>
      <c r="BC3" s="251"/>
      <c r="BD3" s="251"/>
      <c r="BE3" s="251"/>
      <c r="BF3" s="251"/>
      <c r="BG3" s="251"/>
      <c r="BH3" s="241"/>
      <c r="BI3" s="269" t="s">
        <v>92</v>
      </c>
      <c r="BJ3" s="268" t="s">
        <v>96</v>
      </c>
      <c r="BK3" s="246"/>
      <c r="BL3" s="269" t="s">
        <v>92</v>
      </c>
      <c r="BM3" s="260" t="s">
        <v>97</v>
      </c>
      <c r="BN3" s="270" t="s">
        <v>18</v>
      </c>
      <c r="BO3" s="246"/>
      <c r="BP3" s="240"/>
      <c r="BQ3" s="249" t="s">
        <v>77</v>
      </c>
      <c r="BR3" s="246"/>
      <c r="BS3" s="266" t="s">
        <v>91</v>
      </c>
      <c r="BT3" s="251"/>
      <c r="BU3" s="251"/>
      <c r="BV3" s="251"/>
      <c r="BW3" s="251"/>
      <c r="BX3" s="251"/>
      <c r="BY3" s="251"/>
      <c r="BZ3" s="251"/>
      <c r="CA3" s="251"/>
      <c r="CB3" s="251"/>
      <c r="CC3" s="251"/>
      <c r="CD3" s="251"/>
      <c r="CE3" s="241"/>
      <c r="CF3" s="269" t="s">
        <v>92</v>
      </c>
      <c r="CG3" s="266" t="s">
        <v>93</v>
      </c>
      <c r="CH3" s="251"/>
      <c r="CI3" s="251"/>
      <c r="CJ3" s="251"/>
      <c r="CK3" s="251"/>
      <c r="CL3" s="251"/>
      <c r="CM3" s="251"/>
      <c r="CN3" s="251"/>
      <c r="CO3" s="251"/>
      <c r="CP3" s="241"/>
      <c r="CQ3" s="265" t="s">
        <v>92</v>
      </c>
      <c r="CR3" s="273" t="s">
        <v>96</v>
      </c>
      <c r="CS3" s="246"/>
      <c r="CT3" s="265" t="s">
        <v>92</v>
      </c>
      <c r="CU3" s="267" t="s">
        <v>97</v>
      </c>
      <c r="CV3" s="270" t="s">
        <v>18</v>
      </c>
      <c r="CW3" s="246"/>
      <c r="CX3" s="239"/>
      <c r="CY3" s="259"/>
      <c r="CZ3" s="186"/>
      <c r="DA3" s="261"/>
      <c r="DB3" s="186"/>
      <c r="DC3" s="186"/>
      <c r="DD3" s="186"/>
      <c r="DE3" s="186"/>
      <c r="DF3" s="186"/>
      <c r="DG3" s="186"/>
      <c r="DH3" s="186"/>
      <c r="DI3" s="186"/>
      <c r="DJ3" s="186"/>
      <c r="DK3" s="186"/>
      <c r="DL3" s="186"/>
      <c r="DM3" s="186"/>
      <c r="DN3" s="256"/>
      <c r="DO3" s="261"/>
      <c r="DP3" s="186"/>
      <c r="DQ3" s="186"/>
      <c r="DR3" s="186"/>
      <c r="DS3" s="186"/>
      <c r="DT3" s="186"/>
      <c r="DU3" s="186"/>
      <c r="DV3" s="186"/>
      <c r="DW3" s="186"/>
      <c r="DX3" s="186"/>
      <c r="DY3" s="256"/>
      <c r="DZ3" s="264"/>
      <c r="EA3" s="186"/>
      <c r="EB3" s="256"/>
      <c r="EC3" s="262"/>
      <c r="ED3" s="277"/>
      <c r="EE3" s="186"/>
    </row>
    <row r="4" spans="1:135" ht="44.25" customHeight="1">
      <c r="A4" s="243"/>
      <c r="B4" s="243"/>
      <c r="C4" s="25"/>
      <c r="D4" s="25"/>
      <c r="E4" s="25"/>
      <c r="F4" s="25"/>
      <c r="G4" s="25"/>
      <c r="H4" s="25"/>
      <c r="I4" s="25"/>
      <c r="J4" s="25"/>
      <c r="K4" s="25"/>
      <c r="L4" s="25"/>
      <c r="M4" s="25"/>
      <c r="N4" s="25"/>
      <c r="O4" s="25"/>
      <c r="P4" s="243"/>
      <c r="Q4" s="61"/>
      <c r="R4" s="25"/>
      <c r="S4" s="25"/>
      <c r="T4" s="25"/>
      <c r="U4" s="25"/>
      <c r="V4" s="25"/>
      <c r="W4" s="25"/>
      <c r="X4" s="25"/>
      <c r="Y4" s="25"/>
      <c r="Z4" s="25"/>
      <c r="AA4" s="243"/>
      <c r="AB4" s="247"/>
      <c r="AC4" s="248"/>
      <c r="AD4" s="243"/>
      <c r="AE4" s="243"/>
      <c r="AF4" s="247"/>
      <c r="AG4" s="248"/>
      <c r="AH4" s="243"/>
      <c r="AI4" s="247"/>
      <c r="AJ4" s="248"/>
      <c r="AK4" s="25"/>
      <c r="AL4" s="25"/>
      <c r="AM4" s="25"/>
      <c r="AN4" s="25"/>
      <c r="AO4" s="25"/>
      <c r="AP4" s="25"/>
      <c r="AQ4" s="25"/>
      <c r="AR4" s="25"/>
      <c r="AS4" s="25"/>
      <c r="AT4" s="25"/>
      <c r="AU4" s="25"/>
      <c r="AV4" s="25"/>
      <c r="AW4" s="25"/>
      <c r="AX4" s="243"/>
      <c r="AY4" s="25"/>
      <c r="AZ4" s="25"/>
      <c r="BA4" s="25"/>
      <c r="BB4" s="25"/>
      <c r="BC4" s="25"/>
      <c r="BD4" s="56"/>
      <c r="BE4" s="56"/>
      <c r="BF4" s="56"/>
      <c r="BG4" s="56"/>
      <c r="BH4" s="56"/>
      <c r="BI4" s="243"/>
      <c r="BJ4" s="247"/>
      <c r="BK4" s="248"/>
      <c r="BL4" s="243"/>
      <c r="BM4" s="243"/>
      <c r="BN4" s="247"/>
      <c r="BO4" s="248"/>
      <c r="BP4" s="243"/>
      <c r="BQ4" s="247"/>
      <c r="BR4" s="248"/>
      <c r="BS4" s="25"/>
      <c r="BT4" s="25"/>
      <c r="BU4" s="25"/>
      <c r="BV4" s="25"/>
      <c r="BW4" s="25"/>
      <c r="BX4" s="25"/>
      <c r="BY4" s="25"/>
      <c r="BZ4" s="25"/>
      <c r="CA4" s="25"/>
      <c r="CB4" s="25"/>
      <c r="CC4" s="25"/>
      <c r="CD4" s="25"/>
      <c r="CE4" s="25"/>
      <c r="CF4" s="243"/>
      <c r="CG4" s="25"/>
      <c r="CH4" s="25"/>
      <c r="CI4" s="25"/>
      <c r="CJ4" s="25"/>
      <c r="CK4" s="5"/>
      <c r="CL4" s="5"/>
      <c r="CM4" s="5"/>
      <c r="CN4" s="5"/>
      <c r="CO4" s="5"/>
      <c r="CP4" s="5"/>
      <c r="CQ4" s="243"/>
      <c r="CR4" s="247"/>
      <c r="CS4" s="248"/>
      <c r="CT4" s="243"/>
      <c r="CU4" s="243"/>
      <c r="CV4" s="247"/>
      <c r="CW4" s="248"/>
      <c r="CX4" s="186"/>
      <c r="CY4" s="186"/>
      <c r="CZ4" s="186"/>
      <c r="DN4" s="186"/>
      <c r="DY4" s="186"/>
      <c r="DZ4" s="186"/>
      <c r="EA4" s="186"/>
      <c r="EB4" s="186"/>
      <c r="EC4" s="186"/>
      <c r="ED4" s="186"/>
      <c r="EE4" s="186"/>
    </row>
    <row r="5" spans="1:135" ht="13.5" customHeight="1">
      <c r="A5" s="4">
        <v>1</v>
      </c>
      <c r="B5" s="10">
        <f>MAESTRO!F5</f>
        <v>0</v>
      </c>
      <c r="C5" s="5"/>
      <c r="D5" s="5"/>
      <c r="E5" s="5"/>
      <c r="F5" s="5"/>
      <c r="G5" s="5"/>
      <c r="H5" s="5"/>
      <c r="I5" s="5"/>
      <c r="J5" s="5"/>
      <c r="K5" s="5"/>
      <c r="L5" s="5"/>
      <c r="M5" s="5"/>
      <c r="N5" s="5"/>
      <c r="O5" s="5"/>
      <c r="P5" s="5" t="e">
        <f t="shared" ref="P5:P41" si="0">TRUNC(AVERAGE(C5:O5),1)</f>
        <v>#DIV/0!</v>
      </c>
      <c r="Q5" s="43">
        <v>1</v>
      </c>
      <c r="R5" s="24"/>
      <c r="S5" s="24"/>
      <c r="T5" s="24"/>
      <c r="U5" s="24"/>
      <c r="V5" s="24"/>
      <c r="W5" s="24"/>
      <c r="X5" s="24"/>
      <c r="Y5" s="24"/>
      <c r="Z5" s="24"/>
      <c r="AA5" s="48" t="e">
        <f t="shared" ref="AA5:AA41" si="1">TRUNC(AVERAGE(R5:Z5),1)</f>
        <v>#DIV/0!</v>
      </c>
      <c r="AB5" s="5"/>
      <c r="AC5" s="45"/>
      <c r="AD5" s="5" t="e">
        <f t="shared" ref="AD5:AD41" si="2">AVERAGE(AB5:AC5)</f>
        <v>#DIV/0!</v>
      </c>
      <c r="AE5" s="47" t="e">
        <f t="shared" ref="AE5:AE41" si="3">TRUNC(AVERAGE(P5,AA5,AD5),1)</f>
        <v>#DIV/0!</v>
      </c>
      <c r="AF5" s="4"/>
      <c r="AG5" s="4">
        <v>1</v>
      </c>
      <c r="AH5" s="4">
        <v>1</v>
      </c>
      <c r="AI5" s="255">
        <f t="shared" ref="AI5:AI41" si="4">B5</f>
        <v>0</v>
      </c>
      <c r="AJ5" s="241"/>
      <c r="AK5" s="65"/>
      <c r="AL5" s="65"/>
      <c r="AM5" s="65"/>
      <c r="AN5" s="65"/>
      <c r="AO5" s="65"/>
      <c r="AP5" s="65"/>
      <c r="AQ5" s="65"/>
      <c r="AR5" s="65"/>
      <c r="AS5" s="65"/>
      <c r="AT5" s="65"/>
      <c r="AU5" s="65"/>
      <c r="AV5" s="65"/>
      <c r="AW5" s="68"/>
      <c r="AX5" s="5" t="e">
        <f t="shared" ref="AX5:AX41" si="5">TRUNC(AVERAGE(AK5:AW5),1)</f>
        <v>#DIV/0!</v>
      </c>
      <c r="AY5" s="24"/>
      <c r="AZ5" s="24"/>
      <c r="BA5" s="24"/>
      <c r="BB5" s="24"/>
      <c r="BC5" s="24"/>
      <c r="BD5" s="24"/>
      <c r="BE5" s="24"/>
      <c r="BF5" s="24"/>
      <c r="BG5" s="24"/>
      <c r="BH5" s="56"/>
      <c r="BI5" s="5" t="e">
        <f t="shared" ref="BI5:BI41" si="6">TRUNC(AVERAGE(AY5:BH5),1)</f>
        <v>#DIV/0!</v>
      </c>
      <c r="BJ5" s="24"/>
      <c r="BK5" s="24"/>
      <c r="BL5" s="24" t="e">
        <f t="shared" ref="BL5:BL41" si="7">AVERAGE(BJ5,BK5)</f>
        <v>#DIV/0!</v>
      </c>
      <c r="BM5" s="5" t="e">
        <f t="shared" ref="BM5:BM41" si="8">TRUNC(AVERAGE(AX5,BI5,BL5),1)</f>
        <v>#DIV/0!</v>
      </c>
      <c r="BN5" s="4"/>
      <c r="BO5" s="4">
        <v>1</v>
      </c>
      <c r="BP5" s="4">
        <v>1</v>
      </c>
      <c r="BQ5" s="255">
        <f t="shared" ref="BQ5:BQ41" si="9">AI5</f>
        <v>0</v>
      </c>
      <c r="BR5" s="241"/>
      <c r="BS5" s="5"/>
      <c r="BT5" s="5"/>
      <c r="BU5" s="5"/>
      <c r="BV5" s="5"/>
      <c r="BW5" s="5"/>
      <c r="BX5" s="5"/>
      <c r="BY5" s="5"/>
      <c r="BZ5" s="5"/>
      <c r="CA5" s="5"/>
      <c r="CB5" s="5"/>
      <c r="CC5" s="5"/>
      <c r="CD5" s="5"/>
      <c r="CE5" s="5"/>
      <c r="CF5" s="5" t="e">
        <f t="shared" ref="CF5:CF41" si="10">TRUNC(AVERAGE(BS5:CE5),1)</f>
        <v>#DIV/0!</v>
      </c>
      <c r="CG5" s="5"/>
      <c r="CH5" s="5"/>
      <c r="CI5" s="5"/>
      <c r="CJ5" s="5"/>
      <c r="CK5" s="5"/>
      <c r="CL5" s="5"/>
      <c r="CM5" s="5"/>
      <c r="CN5" s="5"/>
      <c r="CO5" s="5"/>
      <c r="CP5" s="5"/>
      <c r="CQ5" s="5" t="e">
        <f t="shared" ref="CQ5:CQ41" si="11">TRUNC(AVERAGE(CG5:CP5),1)</f>
        <v>#DIV/0!</v>
      </c>
      <c r="CR5" s="5"/>
      <c r="CS5" s="5"/>
      <c r="CT5" s="5" t="e">
        <f t="shared" ref="CT5:CT41" si="12">AVERAGE(CR5:CS5)</f>
        <v>#DIV/0!</v>
      </c>
      <c r="CU5" s="5" t="e">
        <f t="shared" ref="CU5:CU41" si="13">TRUNC(AVERAGE(CF5,CQ5,CT5),1)</f>
        <v>#DIV/0!</v>
      </c>
      <c r="CV5" s="4"/>
      <c r="CW5" s="59">
        <v>1</v>
      </c>
      <c r="CY5" s="186"/>
      <c r="CZ5" s="186"/>
      <c r="DA5" s="51"/>
      <c r="DB5" s="51"/>
      <c r="DC5" s="51"/>
      <c r="DD5" s="51"/>
      <c r="DE5" s="51"/>
      <c r="DF5" s="51"/>
      <c r="DG5" s="51"/>
      <c r="DH5" s="51"/>
      <c r="DI5" s="51"/>
      <c r="DJ5" s="51"/>
      <c r="DK5" s="51"/>
      <c r="DL5" s="51"/>
      <c r="DM5" s="51"/>
      <c r="DN5" s="51"/>
      <c r="EB5" s="51"/>
      <c r="EC5" s="51"/>
    </row>
    <row r="6" spans="1:135" ht="13.5" customHeight="1">
      <c r="A6" s="4">
        <v>2</v>
      </c>
      <c r="B6" s="10">
        <f>MAESTRO!F6</f>
        <v>0</v>
      </c>
      <c r="C6" s="5"/>
      <c r="D6" s="5"/>
      <c r="E6" s="5"/>
      <c r="F6" s="5"/>
      <c r="G6" s="5"/>
      <c r="H6" s="5"/>
      <c r="I6" s="5"/>
      <c r="J6" s="5"/>
      <c r="K6" s="5"/>
      <c r="L6" s="5"/>
      <c r="M6" s="5"/>
      <c r="N6" s="5"/>
      <c r="O6" s="5"/>
      <c r="P6" s="5" t="e">
        <f t="shared" si="0"/>
        <v>#DIV/0!</v>
      </c>
      <c r="Q6" s="43">
        <v>2</v>
      </c>
      <c r="R6" s="24"/>
      <c r="S6" s="24"/>
      <c r="T6" s="24"/>
      <c r="U6" s="24"/>
      <c r="V6" s="24"/>
      <c r="W6" s="24"/>
      <c r="X6" s="24"/>
      <c r="Y6" s="24"/>
      <c r="Z6" s="24"/>
      <c r="AA6" s="48" t="e">
        <f t="shared" si="1"/>
        <v>#DIV/0!</v>
      </c>
      <c r="AB6" s="5"/>
      <c r="AC6" s="45"/>
      <c r="AD6" s="5" t="e">
        <f t="shared" si="2"/>
        <v>#DIV/0!</v>
      </c>
      <c r="AE6" s="47" t="e">
        <f t="shared" si="3"/>
        <v>#DIV/0!</v>
      </c>
      <c r="AF6" s="4"/>
      <c r="AG6" s="4">
        <v>2</v>
      </c>
      <c r="AH6" s="4">
        <v>2</v>
      </c>
      <c r="AI6" s="255">
        <f t="shared" si="4"/>
        <v>0</v>
      </c>
      <c r="AJ6" s="241"/>
      <c r="AK6" s="65"/>
      <c r="AL6" s="65"/>
      <c r="AM6" s="65"/>
      <c r="AN6" s="65"/>
      <c r="AO6" s="65"/>
      <c r="AP6" s="65"/>
      <c r="AQ6" s="65"/>
      <c r="AR6" s="65"/>
      <c r="AS6" s="65"/>
      <c r="AT6" s="65"/>
      <c r="AU6" s="65"/>
      <c r="AV6" s="65"/>
      <c r="AW6" s="22"/>
      <c r="AX6" s="5" t="e">
        <f t="shared" si="5"/>
        <v>#DIV/0!</v>
      </c>
      <c r="AY6" s="24"/>
      <c r="AZ6" s="24"/>
      <c r="BA6" s="24"/>
      <c r="BB6" s="24"/>
      <c r="BC6" s="24"/>
      <c r="BD6" s="24"/>
      <c r="BE6" s="24"/>
      <c r="BF6" s="24"/>
      <c r="BG6" s="24"/>
      <c r="BH6" s="56"/>
      <c r="BI6" s="5" t="e">
        <f t="shared" si="6"/>
        <v>#DIV/0!</v>
      </c>
      <c r="BJ6" s="24"/>
      <c r="BK6" s="24"/>
      <c r="BL6" s="24" t="e">
        <f t="shared" si="7"/>
        <v>#DIV/0!</v>
      </c>
      <c r="BM6" s="5" t="e">
        <f t="shared" si="8"/>
        <v>#DIV/0!</v>
      </c>
      <c r="BN6" s="4"/>
      <c r="BO6" s="4">
        <v>2</v>
      </c>
      <c r="BP6" s="4">
        <v>2</v>
      </c>
      <c r="BQ6" s="255">
        <f t="shared" si="9"/>
        <v>0</v>
      </c>
      <c r="BR6" s="241"/>
      <c r="BS6" s="5"/>
      <c r="BT6" s="5"/>
      <c r="BU6" s="5"/>
      <c r="BV6" s="5"/>
      <c r="BW6" s="5"/>
      <c r="BX6" s="5"/>
      <c r="BY6" s="5"/>
      <c r="BZ6" s="5"/>
      <c r="CA6" s="5"/>
      <c r="CB6" s="5"/>
      <c r="CC6" s="5"/>
      <c r="CD6" s="5"/>
      <c r="CE6" s="5"/>
      <c r="CF6" s="5" t="e">
        <f t="shared" si="10"/>
        <v>#DIV/0!</v>
      </c>
      <c r="CG6" s="5"/>
      <c r="CH6" s="5"/>
      <c r="CI6" s="5"/>
      <c r="CJ6" s="5"/>
      <c r="CK6" s="5"/>
      <c r="CL6" s="5"/>
      <c r="CM6" s="5"/>
      <c r="CN6" s="5"/>
      <c r="CO6" s="5"/>
      <c r="CP6" s="5"/>
      <c r="CQ6" s="5" t="e">
        <f t="shared" si="11"/>
        <v>#DIV/0!</v>
      </c>
      <c r="CR6" s="5"/>
      <c r="CS6" s="5"/>
      <c r="CT6" s="5" t="e">
        <f t="shared" si="12"/>
        <v>#DIV/0!</v>
      </c>
      <c r="CU6" s="5" t="e">
        <f t="shared" si="13"/>
        <v>#DIV/0!</v>
      </c>
      <c r="CV6" s="4"/>
      <c r="CW6" s="59">
        <v>2</v>
      </c>
      <c r="CY6" s="186"/>
      <c r="CZ6" s="186"/>
      <c r="DA6" s="51"/>
      <c r="DB6" s="51"/>
      <c r="DC6" s="51"/>
      <c r="DD6" s="51"/>
      <c r="DE6" s="51"/>
      <c r="DF6" s="51"/>
      <c r="DG6" s="51"/>
      <c r="DH6" s="51"/>
      <c r="DI6" s="51"/>
      <c r="DJ6" s="51"/>
      <c r="DK6" s="51"/>
      <c r="DL6" s="51"/>
      <c r="DM6" s="51"/>
      <c r="DN6" s="51"/>
      <c r="EB6" s="51"/>
      <c r="EC6" s="51"/>
    </row>
    <row r="7" spans="1:135" ht="13.5" customHeight="1">
      <c r="A7" s="4">
        <v>3</v>
      </c>
      <c r="B7" s="10">
        <f>MAESTRO!F7</f>
        <v>0</v>
      </c>
      <c r="C7" s="5"/>
      <c r="D7" s="5"/>
      <c r="E7" s="5"/>
      <c r="F7" s="5"/>
      <c r="G7" s="5"/>
      <c r="H7" s="5"/>
      <c r="I7" s="5"/>
      <c r="J7" s="5"/>
      <c r="K7" s="5"/>
      <c r="L7" s="5"/>
      <c r="M7" s="5"/>
      <c r="N7" s="5"/>
      <c r="O7" s="5"/>
      <c r="P7" s="5" t="e">
        <f t="shared" si="0"/>
        <v>#DIV/0!</v>
      </c>
      <c r="Q7" s="43">
        <v>3</v>
      </c>
      <c r="R7" s="24"/>
      <c r="S7" s="24"/>
      <c r="T7" s="24"/>
      <c r="U7" s="24"/>
      <c r="V7" s="24"/>
      <c r="W7" s="24"/>
      <c r="X7" s="24"/>
      <c r="Y7" s="24"/>
      <c r="Z7" s="24"/>
      <c r="AA7" s="48" t="e">
        <f t="shared" si="1"/>
        <v>#DIV/0!</v>
      </c>
      <c r="AB7" s="4"/>
      <c r="AC7" s="45"/>
      <c r="AD7" s="5" t="e">
        <f t="shared" si="2"/>
        <v>#DIV/0!</v>
      </c>
      <c r="AE7" s="47" t="e">
        <f t="shared" si="3"/>
        <v>#DIV/0!</v>
      </c>
      <c r="AF7" s="4"/>
      <c r="AG7" s="4">
        <v>3</v>
      </c>
      <c r="AH7" s="4">
        <v>3</v>
      </c>
      <c r="AI7" s="255">
        <f t="shared" si="4"/>
        <v>0</v>
      </c>
      <c r="AJ7" s="241"/>
      <c r="AK7" s="65"/>
      <c r="AL7" s="65"/>
      <c r="AM7" s="65"/>
      <c r="AN7" s="65"/>
      <c r="AO7" s="65"/>
      <c r="AP7" s="65"/>
      <c r="AQ7" s="65"/>
      <c r="AR7" s="65"/>
      <c r="AS7" s="65"/>
      <c r="AT7" s="65"/>
      <c r="AU7" s="65"/>
      <c r="AV7" s="65"/>
      <c r="AW7" s="22"/>
      <c r="AX7" s="5" t="e">
        <f t="shared" si="5"/>
        <v>#DIV/0!</v>
      </c>
      <c r="AY7" s="24"/>
      <c r="AZ7" s="24"/>
      <c r="BA7" s="24"/>
      <c r="BB7" s="24"/>
      <c r="BC7" s="24"/>
      <c r="BD7" s="24"/>
      <c r="BE7" s="24"/>
      <c r="BF7" s="24"/>
      <c r="BG7" s="24"/>
      <c r="BH7" s="56"/>
      <c r="BI7" s="5" t="e">
        <f t="shared" si="6"/>
        <v>#DIV/0!</v>
      </c>
      <c r="BJ7" s="24"/>
      <c r="BK7" s="24"/>
      <c r="BL7" s="24" t="e">
        <f t="shared" si="7"/>
        <v>#DIV/0!</v>
      </c>
      <c r="BM7" s="5" t="e">
        <f t="shared" si="8"/>
        <v>#DIV/0!</v>
      </c>
      <c r="BN7" s="4"/>
      <c r="BO7" s="4">
        <v>3</v>
      </c>
      <c r="BP7" s="4">
        <v>3</v>
      </c>
      <c r="BQ7" s="255">
        <f t="shared" si="9"/>
        <v>0</v>
      </c>
      <c r="BR7" s="241"/>
      <c r="BS7" s="5"/>
      <c r="BT7" s="5"/>
      <c r="BU7" s="5"/>
      <c r="BV7" s="5"/>
      <c r="BW7" s="5"/>
      <c r="BX7" s="5"/>
      <c r="BY7" s="5"/>
      <c r="BZ7" s="5"/>
      <c r="CA7" s="5"/>
      <c r="CB7" s="5"/>
      <c r="CC7" s="5"/>
      <c r="CD7" s="5"/>
      <c r="CE7" s="5"/>
      <c r="CF7" s="5" t="e">
        <f t="shared" si="10"/>
        <v>#DIV/0!</v>
      </c>
      <c r="CG7" s="5"/>
      <c r="CH7" s="5"/>
      <c r="CI7" s="5"/>
      <c r="CJ7" s="5"/>
      <c r="CK7" s="5"/>
      <c r="CL7" s="5"/>
      <c r="CM7" s="5"/>
      <c r="CN7" s="5"/>
      <c r="CO7" s="5"/>
      <c r="CP7" s="5"/>
      <c r="CQ7" s="5" t="e">
        <f t="shared" si="11"/>
        <v>#DIV/0!</v>
      </c>
      <c r="CR7" s="5"/>
      <c r="CS7" s="5"/>
      <c r="CT7" s="5" t="e">
        <f t="shared" si="12"/>
        <v>#DIV/0!</v>
      </c>
      <c r="CU7" s="5" t="e">
        <f t="shared" si="13"/>
        <v>#DIV/0!</v>
      </c>
      <c r="CV7" s="4"/>
      <c r="CW7" s="59">
        <v>3</v>
      </c>
      <c r="CY7" s="186"/>
      <c r="CZ7" s="186"/>
      <c r="DA7" s="51"/>
      <c r="DB7" s="51"/>
      <c r="DC7" s="51"/>
      <c r="DD7" s="51"/>
      <c r="DE7" s="51"/>
      <c r="DF7" s="51"/>
      <c r="DG7" s="51"/>
      <c r="DH7" s="51"/>
      <c r="DI7" s="51"/>
      <c r="DJ7" s="51"/>
      <c r="DK7" s="51"/>
      <c r="DL7" s="51"/>
      <c r="DM7" s="51"/>
      <c r="DN7" s="51"/>
      <c r="EB7" s="51"/>
      <c r="EC7" s="51"/>
    </row>
    <row r="8" spans="1:135" ht="13.5" customHeight="1">
      <c r="A8" s="4">
        <v>4</v>
      </c>
      <c r="B8" s="10">
        <f>MAESTRO!F8</f>
        <v>0</v>
      </c>
      <c r="C8" s="5"/>
      <c r="D8" s="5"/>
      <c r="E8" s="5"/>
      <c r="F8" s="5"/>
      <c r="G8" s="5"/>
      <c r="H8" s="5"/>
      <c r="I8" s="5"/>
      <c r="J8" s="5"/>
      <c r="K8" s="5"/>
      <c r="L8" s="5"/>
      <c r="M8" s="5"/>
      <c r="N8" s="5"/>
      <c r="O8" s="5"/>
      <c r="P8" s="5" t="e">
        <f t="shared" si="0"/>
        <v>#DIV/0!</v>
      </c>
      <c r="Q8" s="43">
        <v>4</v>
      </c>
      <c r="R8" s="24"/>
      <c r="S8" s="24"/>
      <c r="T8" s="24"/>
      <c r="U8" s="24"/>
      <c r="V8" s="24"/>
      <c r="W8" s="24"/>
      <c r="X8" s="24"/>
      <c r="Y8" s="24"/>
      <c r="Z8" s="24"/>
      <c r="AA8" s="48" t="e">
        <f t="shared" si="1"/>
        <v>#DIV/0!</v>
      </c>
      <c r="AB8" s="4"/>
      <c r="AC8" s="45"/>
      <c r="AD8" s="5" t="e">
        <f t="shared" si="2"/>
        <v>#DIV/0!</v>
      </c>
      <c r="AE8" s="47" t="e">
        <f t="shared" si="3"/>
        <v>#DIV/0!</v>
      </c>
      <c r="AF8" s="4"/>
      <c r="AG8" s="4">
        <v>4</v>
      </c>
      <c r="AH8" s="4">
        <v>4</v>
      </c>
      <c r="AI8" s="255">
        <f t="shared" si="4"/>
        <v>0</v>
      </c>
      <c r="AJ8" s="241"/>
      <c r="AK8" s="65"/>
      <c r="AL8" s="65"/>
      <c r="AM8" s="65"/>
      <c r="AN8" s="65"/>
      <c r="AO8" s="65"/>
      <c r="AP8" s="65"/>
      <c r="AQ8" s="65"/>
      <c r="AR8" s="65"/>
      <c r="AS8" s="65"/>
      <c r="AT8" s="65"/>
      <c r="AU8" s="65"/>
      <c r="AV8" s="65"/>
      <c r="AW8" s="22"/>
      <c r="AX8" s="5" t="e">
        <f t="shared" si="5"/>
        <v>#DIV/0!</v>
      </c>
      <c r="AY8" s="24"/>
      <c r="AZ8" s="24"/>
      <c r="BA8" s="24"/>
      <c r="BB8" s="24"/>
      <c r="BC8" s="24"/>
      <c r="BD8" s="24"/>
      <c r="BE8" s="24"/>
      <c r="BF8" s="24"/>
      <c r="BG8" s="24"/>
      <c r="BH8" s="56"/>
      <c r="BI8" s="5" t="e">
        <f t="shared" si="6"/>
        <v>#DIV/0!</v>
      </c>
      <c r="BJ8" s="24"/>
      <c r="BK8" s="24"/>
      <c r="BL8" s="24" t="e">
        <f t="shared" si="7"/>
        <v>#DIV/0!</v>
      </c>
      <c r="BM8" s="5" t="e">
        <f t="shared" si="8"/>
        <v>#DIV/0!</v>
      </c>
      <c r="BN8" s="4"/>
      <c r="BO8" s="4">
        <v>4</v>
      </c>
      <c r="BP8" s="4">
        <v>4</v>
      </c>
      <c r="BQ8" s="255">
        <f t="shared" si="9"/>
        <v>0</v>
      </c>
      <c r="BR8" s="241"/>
      <c r="BS8" s="5"/>
      <c r="BT8" s="5"/>
      <c r="BU8" s="5"/>
      <c r="BV8" s="5"/>
      <c r="BW8" s="5"/>
      <c r="BX8" s="5"/>
      <c r="BY8" s="5"/>
      <c r="BZ8" s="5"/>
      <c r="CA8" s="5"/>
      <c r="CB8" s="5"/>
      <c r="CC8" s="5"/>
      <c r="CD8" s="5"/>
      <c r="CE8" s="5"/>
      <c r="CF8" s="5" t="e">
        <f t="shared" si="10"/>
        <v>#DIV/0!</v>
      </c>
      <c r="CG8" s="5"/>
      <c r="CH8" s="5"/>
      <c r="CI8" s="5"/>
      <c r="CJ8" s="5"/>
      <c r="CK8" s="5"/>
      <c r="CL8" s="5"/>
      <c r="CM8" s="5"/>
      <c r="CN8" s="5"/>
      <c r="CO8" s="5"/>
      <c r="CP8" s="5"/>
      <c r="CQ8" s="5" t="e">
        <f t="shared" si="11"/>
        <v>#DIV/0!</v>
      </c>
      <c r="CR8" s="5"/>
      <c r="CS8" s="5"/>
      <c r="CT8" s="5" t="e">
        <f t="shared" si="12"/>
        <v>#DIV/0!</v>
      </c>
      <c r="CU8" s="5" t="e">
        <f t="shared" si="13"/>
        <v>#DIV/0!</v>
      </c>
      <c r="CV8" s="4"/>
      <c r="CW8" s="59">
        <v>4</v>
      </c>
      <c r="CY8" s="186"/>
      <c r="CZ8" s="186"/>
      <c r="DA8" s="51"/>
      <c r="DB8" s="51"/>
      <c r="DC8" s="51"/>
      <c r="DD8" s="51"/>
      <c r="DE8" s="51"/>
      <c r="DF8" s="51"/>
      <c r="DG8" s="51"/>
      <c r="DH8" s="51"/>
      <c r="DI8" s="51"/>
      <c r="DJ8" s="51"/>
      <c r="DK8" s="51"/>
      <c r="DL8" s="51"/>
      <c r="DM8" s="51"/>
      <c r="DN8" s="51"/>
      <c r="EB8" s="51"/>
      <c r="EC8" s="51"/>
    </row>
    <row r="9" spans="1:135" ht="13.5" customHeight="1">
      <c r="A9" s="4">
        <v>5</v>
      </c>
      <c r="B9" s="10">
        <f>MAESTRO!F9</f>
        <v>0</v>
      </c>
      <c r="C9" s="5"/>
      <c r="D9" s="5"/>
      <c r="E9" s="5"/>
      <c r="F9" s="5"/>
      <c r="G9" s="5"/>
      <c r="H9" s="5"/>
      <c r="I9" s="5"/>
      <c r="J9" s="5"/>
      <c r="K9" s="5"/>
      <c r="L9" s="5"/>
      <c r="M9" s="5"/>
      <c r="N9" s="5"/>
      <c r="O9" s="5"/>
      <c r="P9" s="5" t="e">
        <f t="shared" si="0"/>
        <v>#DIV/0!</v>
      </c>
      <c r="Q9" s="43">
        <v>5</v>
      </c>
      <c r="R9" s="24"/>
      <c r="S9" s="24"/>
      <c r="T9" s="24"/>
      <c r="U9" s="24"/>
      <c r="V9" s="24"/>
      <c r="W9" s="24"/>
      <c r="X9" s="24"/>
      <c r="Y9" s="24"/>
      <c r="Z9" s="24"/>
      <c r="AA9" s="48" t="e">
        <f t="shared" si="1"/>
        <v>#DIV/0!</v>
      </c>
      <c r="AB9" s="4"/>
      <c r="AC9" s="45"/>
      <c r="AD9" s="5" t="e">
        <f t="shared" si="2"/>
        <v>#DIV/0!</v>
      </c>
      <c r="AE9" s="47" t="e">
        <f t="shared" si="3"/>
        <v>#DIV/0!</v>
      </c>
      <c r="AF9" s="4"/>
      <c r="AG9" s="4">
        <v>5</v>
      </c>
      <c r="AH9" s="4">
        <v>5</v>
      </c>
      <c r="AI9" s="255">
        <f t="shared" si="4"/>
        <v>0</v>
      </c>
      <c r="AJ9" s="241"/>
      <c r="AK9" s="65"/>
      <c r="AL9" s="65"/>
      <c r="AM9" s="65"/>
      <c r="AN9" s="65"/>
      <c r="AO9" s="65"/>
      <c r="AP9" s="65"/>
      <c r="AQ9" s="65"/>
      <c r="AR9" s="65"/>
      <c r="AS9" s="65"/>
      <c r="AT9" s="65"/>
      <c r="AU9" s="65"/>
      <c r="AV9" s="65"/>
      <c r="AW9" s="22"/>
      <c r="AX9" s="5" t="e">
        <f t="shared" si="5"/>
        <v>#DIV/0!</v>
      </c>
      <c r="AY9" s="24"/>
      <c r="AZ9" s="24"/>
      <c r="BA9" s="24"/>
      <c r="BB9" s="24"/>
      <c r="BC9" s="24"/>
      <c r="BD9" s="24"/>
      <c r="BE9" s="24"/>
      <c r="BF9" s="24"/>
      <c r="BG9" s="24"/>
      <c r="BH9" s="56"/>
      <c r="BI9" s="5" t="e">
        <f t="shared" si="6"/>
        <v>#DIV/0!</v>
      </c>
      <c r="BJ9" s="24"/>
      <c r="BK9" s="24"/>
      <c r="BL9" s="24" t="e">
        <f t="shared" si="7"/>
        <v>#DIV/0!</v>
      </c>
      <c r="BM9" s="5" t="e">
        <f t="shared" si="8"/>
        <v>#DIV/0!</v>
      </c>
      <c r="BN9" s="4"/>
      <c r="BO9" s="4">
        <v>5</v>
      </c>
      <c r="BP9" s="4">
        <v>5</v>
      </c>
      <c r="BQ9" s="255">
        <f t="shared" si="9"/>
        <v>0</v>
      </c>
      <c r="BR9" s="241"/>
      <c r="BS9" s="5"/>
      <c r="BT9" s="5"/>
      <c r="BU9" s="5"/>
      <c r="BV9" s="5"/>
      <c r="BW9" s="5"/>
      <c r="BX9" s="5"/>
      <c r="BY9" s="5"/>
      <c r="BZ9" s="5"/>
      <c r="CA9" s="5"/>
      <c r="CB9" s="5"/>
      <c r="CC9" s="5"/>
      <c r="CD9" s="5"/>
      <c r="CE9" s="5"/>
      <c r="CF9" s="5" t="e">
        <f t="shared" si="10"/>
        <v>#DIV/0!</v>
      </c>
      <c r="CG9" s="5"/>
      <c r="CH9" s="5"/>
      <c r="CI9" s="5"/>
      <c r="CJ9" s="5"/>
      <c r="CK9" s="5"/>
      <c r="CL9" s="5"/>
      <c r="CM9" s="5"/>
      <c r="CN9" s="5"/>
      <c r="CO9" s="5"/>
      <c r="CP9" s="5"/>
      <c r="CQ9" s="5" t="e">
        <f t="shared" si="11"/>
        <v>#DIV/0!</v>
      </c>
      <c r="CR9" s="5"/>
      <c r="CS9" s="5"/>
      <c r="CT9" s="5" t="e">
        <f t="shared" si="12"/>
        <v>#DIV/0!</v>
      </c>
      <c r="CU9" s="5" t="e">
        <f t="shared" si="13"/>
        <v>#DIV/0!</v>
      </c>
      <c r="CV9" s="4"/>
      <c r="CW9" s="59">
        <v>5</v>
      </c>
      <c r="CY9" s="186"/>
      <c r="CZ9" s="186"/>
      <c r="DA9" s="51"/>
      <c r="DB9" s="51"/>
      <c r="DC9" s="51"/>
      <c r="DD9" s="51"/>
      <c r="DE9" s="51"/>
      <c r="DF9" s="51"/>
      <c r="DG9" s="51"/>
      <c r="DH9" s="51"/>
      <c r="DI9" s="51"/>
      <c r="DJ9" s="51"/>
      <c r="DK9" s="51"/>
      <c r="DL9" s="51"/>
      <c r="DM9" s="51"/>
      <c r="DN9" s="51"/>
      <c r="EB9" s="51"/>
      <c r="EC9" s="51"/>
    </row>
    <row r="10" spans="1:135" ht="13.5" customHeight="1">
      <c r="A10" s="4">
        <v>6</v>
      </c>
      <c r="B10" s="10">
        <f>MAESTRO!F10</f>
        <v>0</v>
      </c>
      <c r="C10" s="5"/>
      <c r="D10" s="5"/>
      <c r="E10" s="5"/>
      <c r="F10" s="5"/>
      <c r="G10" s="5"/>
      <c r="H10" s="5"/>
      <c r="I10" s="5"/>
      <c r="J10" s="5"/>
      <c r="K10" s="5"/>
      <c r="L10" s="5"/>
      <c r="M10" s="5"/>
      <c r="N10" s="5"/>
      <c r="O10" s="5"/>
      <c r="P10" s="5" t="e">
        <f t="shared" si="0"/>
        <v>#DIV/0!</v>
      </c>
      <c r="Q10" s="43">
        <v>6</v>
      </c>
      <c r="R10" s="24"/>
      <c r="S10" s="24"/>
      <c r="T10" s="24"/>
      <c r="U10" s="24"/>
      <c r="V10" s="24"/>
      <c r="W10" s="24"/>
      <c r="X10" s="24"/>
      <c r="Y10" s="24"/>
      <c r="Z10" s="24"/>
      <c r="AA10" s="48" t="e">
        <f t="shared" si="1"/>
        <v>#DIV/0!</v>
      </c>
      <c r="AB10" s="4"/>
      <c r="AC10" s="45"/>
      <c r="AD10" s="5" t="e">
        <f t="shared" si="2"/>
        <v>#DIV/0!</v>
      </c>
      <c r="AE10" s="47" t="e">
        <f t="shared" si="3"/>
        <v>#DIV/0!</v>
      </c>
      <c r="AF10" s="4"/>
      <c r="AG10" s="4">
        <v>6</v>
      </c>
      <c r="AH10" s="4">
        <v>6</v>
      </c>
      <c r="AI10" s="255">
        <f t="shared" si="4"/>
        <v>0</v>
      </c>
      <c r="AJ10" s="241"/>
      <c r="AK10" s="65"/>
      <c r="AL10" s="65"/>
      <c r="AM10" s="65"/>
      <c r="AN10" s="65"/>
      <c r="AO10" s="65"/>
      <c r="AP10" s="65"/>
      <c r="AQ10" s="65"/>
      <c r="AR10" s="65"/>
      <c r="AS10" s="65"/>
      <c r="AT10" s="65"/>
      <c r="AU10" s="65"/>
      <c r="AV10" s="65"/>
      <c r="AW10" s="65"/>
      <c r="AX10" s="5" t="e">
        <f t="shared" si="5"/>
        <v>#DIV/0!</v>
      </c>
      <c r="AY10" s="24"/>
      <c r="AZ10" s="24"/>
      <c r="BA10" s="24"/>
      <c r="BB10" s="24"/>
      <c r="BC10" s="24"/>
      <c r="BD10" s="24"/>
      <c r="BE10" s="24"/>
      <c r="BF10" s="24"/>
      <c r="BG10" s="24"/>
      <c r="BH10" s="56"/>
      <c r="BI10" s="5" t="e">
        <f t="shared" si="6"/>
        <v>#DIV/0!</v>
      </c>
      <c r="BJ10" s="24"/>
      <c r="BK10" s="24"/>
      <c r="BL10" s="24" t="e">
        <f t="shared" si="7"/>
        <v>#DIV/0!</v>
      </c>
      <c r="BM10" s="5" t="e">
        <f t="shared" si="8"/>
        <v>#DIV/0!</v>
      </c>
      <c r="BN10" s="4"/>
      <c r="BO10" s="4">
        <v>6</v>
      </c>
      <c r="BP10" s="4">
        <v>6</v>
      </c>
      <c r="BQ10" s="255">
        <f t="shared" si="9"/>
        <v>0</v>
      </c>
      <c r="BR10" s="241"/>
      <c r="BS10" s="5"/>
      <c r="BT10" s="5"/>
      <c r="BU10" s="5"/>
      <c r="BV10" s="5"/>
      <c r="BW10" s="5"/>
      <c r="BX10" s="5"/>
      <c r="BY10" s="5"/>
      <c r="BZ10" s="5"/>
      <c r="CA10" s="5"/>
      <c r="CB10" s="5"/>
      <c r="CC10" s="5"/>
      <c r="CD10" s="5"/>
      <c r="CE10" s="5"/>
      <c r="CF10" s="5" t="e">
        <f t="shared" si="10"/>
        <v>#DIV/0!</v>
      </c>
      <c r="CG10" s="5"/>
      <c r="CH10" s="5"/>
      <c r="CI10" s="5"/>
      <c r="CJ10" s="5"/>
      <c r="CK10" s="5"/>
      <c r="CL10" s="5"/>
      <c r="CM10" s="5"/>
      <c r="CN10" s="5"/>
      <c r="CO10" s="5"/>
      <c r="CP10" s="5"/>
      <c r="CQ10" s="5" t="e">
        <f t="shared" si="11"/>
        <v>#DIV/0!</v>
      </c>
      <c r="CR10" s="5"/>
      <c r="CS10" s="5"/>
      <c r="CT10" s="5" t="e">
        <f t="shared" si="12"/>
        <v>#DIV/0!</v>
      </c>
      <c r="CU10" s="5" t="e">
        <f t="shared" si="13"/>
        <v>#DIV/0!</v>
      </c>
      <c r="CV10" s="4"/>
      <c r="CW10" s="59">
        <v>6</v>
      </c>
      <c r="CY10" s="186"/>
      <c r="CZ10" s="186"/>
      <c r="DA10" s="51"/>
      <c r="DB10" s="51"/>
      <c r="DC10" s="51"/>
      <c r="DD10" s="51"/>
      <c r="DE10" s="51"/>
      <c r="DF10" s="51"/>
      <c r="DG10" s="51"/>
      <c r="DH10" s="51"/>
      <c r="DI10" s="51"/>
      <c r="DJ10" s="51"/>
      <c r="DK10" s="51"/>
      <c r="DL10" s="51"/>
      <c r="DM10" s="51"/>
      <c r="DN10" s="51"/>
      <c r="EB10" s="51"/>
      <c r="EC10" s="51"/>
    </row>
    <row r="11" spans="1:135" ht="13.5" customHeight="1">
      <c r="A11" s="4">
        <v>7</v>
      </c>
      <c r="B11" s="10">
        <f>MAESTRO!F11</f>
        <v>0</v>
      </c>
      <c r="C11" s="5"/>
      <c r="D11" s="5"/>
      <c r="E11" s="5"/>
      <c r="F11" s="5"/>
      <c r="G11" s="5"/>
      <c r="H11" s="5"/>
      <c r="I11" s="5"/>
      <c r="J11" s="5"/>
      <c r="K11" s="5"/>
      <c r="L11" s="5"/>
      <c r="M11" s="5"/>
      <c r="N11" s="5"/>
      <c r="O11" s="5"/>
      <c r="P11" s="5" t="e">
        <f t="shared" si="0"/>
        <v>#DIV/0!</v>
      </c>
      <c r="Q11" s="43">
        <v>7</v>
      </c>
      <c r="R11" s="24"/>
      <c r="S11" s="24"/>
      <c r="T11" s="24"/>
      <c r="U11" s="24"/>
      <c r="V11" s="24"/>
      <c r="W11" s="24"/>
      <c r="X11" s="24"/>
      <c r="Y11" s="24"/>
      <c r="Z11" s="24"/>
      <c r="AA11" s="48" t="e">
        <f t="shared" si="1"/>
        <v>#DIV/0!</v>
      </c>
      <c r="AB11" s="4"/>
      <c r="AC11" s="45"/>
      <c r="AD11" s="5" t="e">
        <f t="shared" si="2"/>
        <v>#DIV/0!</v>
      </c>
      <c r="AE11" s="47" t="e">
        <f t="shared" si="3"/>
        <v>#DIV/0!</v>
      </c>
      <c r="AF11" s="4"/>
      <c r="AG11" s="4">
        <v>7</v>
      </c>
      <c r="AH11" s="4">
        <v>7</v>
      </c>
      <c r="AI11" s="255">
        <f t="shared" si="4"/>
        <v>0</v>
      </c>
      <c r="AJ11" s="241"/>
      <c r="AK11" s="65"/>
      <c r="AL11" s="65"/>
      <c r="AM11" s="65"/>
      <c r="AN11" s="65"/>
      <c r="AO11" s="65"/>
      <c r="AP11" s="65"/>
      <c r="AQ11" s="65"/>
      <c r="AR11" s="65"/>
      <c r="AS11" s="65"/>
      <c r="AT11" s="65"/>
      <c r="AU11" s="65"/>
      <c r="AV11" s="65"/>
      <c r="AW11" s="65"/>
      <c r="AX11" s="5" t="e">
        <f t="shared" si="5"/>
        <v>#DIV/0!</v>
      </c>
      <c r="AY11" s="24"/>
      <c r="AZ11" s="24"/>
      <c r="BA11" s="24"/>
      <c r="BB11" s="24"/>
      <c r="BC11" s="24"/>
      <c r="BD11" s="24"/>
      <c r="BE11" s="24"/>
      <c r="BF11" s="24"/>
      <c r="BG11" s="24"/>
      <c r="BH11" s="56"/>
      <c r="BI11" s="5" t="e">
        <f t="shared" si="6"/>
        <v>#DIV/0!</v>
      </c>
      <c r="BJ11" s="24"/>
      <c r="BK11" s="24"/>
      <c r="BL11" s="24" t="e">
        <f t="shared" si="7"/>
        <v>#DIV/0!</v>
      </c>
      <c r="BM11" s="5" t="e">
        <f t="shared" si="8"/>
        <v>#DIV/0!</v>
      </c>
      <c r="BN11" s="4"/>
      <c r="BO11" s="4">
        <v>7</v>
      </c>
      <c r="BP11" s="4">
        <v>7</v>
      </c>
      <c r="BQ11" s="255">
        <f t="shared" si="9"/>
        <v>0</v>
      </c>
      <c r="BR11" s="241"/>
      <c r="BS11" s="5"/>
      <c r="BT11" s="5"/>
      <c r="BU11" s="5"/>
      <c r="BV11" s="5"/>
      <c r="BW11" s="5"/>
      <c r="BX11" s="5"/>
      <c r="BY11" s="5"/>
      <c r="BZ11" s="5"/>
      <c r="CA11" s="5"/>
      <c r="CB11" s="5"/>
      <c r="CC11" s="5"/>
      <c r="CD11" s="5"/>
      <c r="CE11" s="5"/>
      <c r="CF11" s="5" t="e">
        <f t="shared" si="10"/>
        <v>#DIV/0!</v>
      </c>
      <c r="CG11" s="5"/>
      <c r="CH11" s="5"/>
      <c r="CI11" s="5"/>
      <c r="CJ11" s="5"/>
      <c r="CK11" s="5"/>
      <c r="CL11" s="5"/>
      <c r="CM11" s="5"/>
      <c r="CN11" s="5"/>
      <c r="CO11" s="5"/>
      <c r="CP11" s="5"/>
      <c r="CQ11" s="5" t="e">
        <f t="shared" si="11"/>
        <v>#DIV/0!</v>
      </c>
      <c r="CR11" s="5"/>
      <c r="CS11" s="5"/>
      <c r="CT11" s="5" t="e">
        <f t="shared" si="12"/>
        <v>#DIV/0!</v>
      </c>
      <c r="CU11" s="5" t="e">
        <f t="shared" si="13"/>
        <v>#DIV/0!</v>
      </c>
      <c r="CV11" s="4"/>
      <c r="CW11" s="59">
        <v>7</v>
      </c>
      <c r="CY11" s="186"/>
      <c r="CZ11" s="186"/>
      <c r="DA11" s="51"/>
      <c r="DB11" s="51"/>
      <c r="DC11" s="51"/>
      <c r="DD11" s="51"/>
      <c r="DE11" s="51"/>
      <c r="DF11" s="51"/>
      <c r="DG11" s="51"/>
      <c r="DH11" s="51"/>
      <c r="DI11" s="51"/>
      <c r="DJ11" s="51"/>
      <c r="DK11" s="51"/>
      <c r="DL11" s="51"/>
      <c r="DM11" s="51"/>
      <c r="DN11" s="51"/>
      <c r="EB11" s="51"/>
      <c r="EC11" s="51"/>
    </row>
    <row r="12" spans="1:135" ht="13.5" customHeight="1">
      <c r="A12" s="4">
        <v>8</v>
      </c>
      <c r="B12" s="10">
        <f>MAESTRO!F12</f>
        <v>0</v>
      </c>
      <c r="C12" s="5"/>
      <c r="D12" s="5"/>
      <c r="E12" s="5"/>
      <c r="F12" s="5"/>
      <c r="G12" s="5"/>
      <c r="H12" s="5"/>
      <c r="I12" s="5"/>
      <c r="J12" s="5"/>
      <c r="K12" s="5"/>
      <c r="L12" s="5"/>
      <c r="M12" s="5"/>
      <c r="N12" s="5"/>
      <c r="O12" s="5"/>
      <c r="P12" s="5" t="e">
        <f t="shared" si="0"/>
        <v>#DIV/0!</v>
      </c>
      <c r="Q12" s="43">
        <v>8</v>
      </c>
      <c r="R12" s="24"/>
      <c r="S12" s="24"/>
      <c r="T12" s="24"/>
      <c r="U12" s="24"/>
      <c r="V12" s="24"/>
      <c r="W12" s="24"/>
      <c r="X12" s="24"/>
      <c r="Y12" s="24"/>
      <c r="Z12" s="24"/>
      <c r="AA12" s="48" t="e">
        <f t="shared" si="1"/>
        <v>#DIV/0!</v>
      </c>
      <c r="AB12" s="4"/>
      <c r="AC12" s="45"/>
      <c r="AD12" s="5" t="e">
        <f t="shared" si="2"/>
        <v>#DIV/0!</v>
      </c>
      <c r="AE12" s="47" t="e">
        <f t="shared" si="3"/>
        <v>#DIV/0!</v>
      </c>
      <c r="AF12" s="4"/>
      <c r="AG12" s="4">
        <v>8</v>
      </c>
      <c r="AH12" s="4">
        <v>8</v>
      </c>
      <c r="AI12" s="255">
        <f t="shared" si="4"/>
        <v>0</v>
      </c>
      <c r="AJ12" s="241"/>
      <c r="AK12" s="65"/>
      <c r="AL12" s="65"/>
      <c r="AM12" s="65"/>
      <c r="AN12" s="65"/>
      <c r="AO12" s="65"/>
      <c r="AP12" s="65"/>
      <c r="AQ12" s="65"/>
      <c r="AR12" s="65"/>
      <c r="AS12" s="65"/>
      <c r="AT12" s="65"/>
      <c r="AU12" s="65"/>
      <c r="AV12" s="65"/>
      <c r="AW12" s="65"/>
      <c r="AX12" s="5" t="e">
        <f t="shared" si="5"/>
        <v>#DIV/0!</v>
      </c>
      <c r="AY12" s="24"/>
      <c r="AZ12" s="24"/>
      <c r="BA12" s="24"/>
      <c r="BB12" s="24"/>
      <c r="BC12" s="24"/>
      <c r="BD12" s="24"/>
      <c r="BE12" s="24"/>
      <c r="BF12" s="24"/>
      <c r="BG12" s="24"/>
      <c r="BH12" s="56"/>
      <c r="BI12" s="5" t="e">
        <f t="shared" si="6"/>
        <v>#DIV/0!</v>
      </c>
      <c r="BJ12" s="24"/>
      <c r="BK12" s="24"/>
      <c r="BL12" s="24" t="e">
        <f t="shared" si="7"/>
        <v>#DIV/0!</v>
      </c>
      <c r="BM12" s="5" t="e">
        <f t="shared" si="8"/>
        <v>#DIV/0!</v>
      </c>
      <c r="BN12" s="4"/>
      <c r="BO12" s="4">
        <v>8</v>
      </c>
      <c r="BP12" s="4">
        <v>8</v>
      </c>
      <c r="BQ12" s="255">
        <f t="shared" si="9"/>
        <v>0</v>
      </c>
      <c r="BR12" s="241"/>
      <c r="BS12" s="5"/>
      <c r="BT12" s="5"/>
      <c r="BU12" s="5"/>
      <c r="BV12" s="5"/>
      <c r="BW12" s="5"/>
      <c r="BX12" s="5"/>
      <c r="BY12" s="5"/>
      <c r="BZ12" s="5"/>
      <c r="CA12" s="5"/>
      <c r="CB12" s="5"/>
      <c r="CC12" s="5"/>
      <c r="CD12" s="5"/>
      <c r="CE12" s="5"/>
      <c r="CF12" s="5" t="e">
        <f t="shared" si="10"/>
        <v>#DIV/0!</v>
      </c>
      <c r="CG12" s="5"/>
      <c r="CH12" s="5"/>
      <c r="CI12" s="5"/>
      <c r="CJ12" s="5"/>
      <c r="CK12" s="5"/>
      <c r="CL12" s="5"/>
      <c r="CM12" s="5"/>
      <c r="CN12" s="5"/>
      <c r="CO12" s="5"/>
      <c r="CP12" s="5"/>
      <c r="CQ12" s="5" t="e">
        <f t="shared" si="11"/>
        <v>#DIV/0!</v>
      </c>
      <c r="CR12" s="5"/>
      <c r="CS12" s="5"/>
      <c r="CT12" s="5" t="e">
        <f t="shared" si="12"/>
        <v>#DIV/0!</v>
      </c>
      <c r="CU12" s="5" t="e">
        <f t="shared" si="13"/>
        <v>#DIV/0!</v>
      </c>
      <c r="CV12" s="4"/>
      <c r="CW12" s="59">
        <v>8</v>
      </c>
      <c r="CY12" s="186"/>
      <c r="CZ12" s="186"/>
      <c r="DA12" s="51"/>
      <c r="DB12" s="51"/>
      <c r="DC12" s="51"/>
      <c r="DD12" s="51"/>
      <c r="DE12" s="51"/>
      <c r="DF12" s="51"/>
      <c r="DG12" s="51"/>
      <c r="DH12" s="51"/>
      <c r="DI12" s="51"/>
      <c r="DJ12" s="51"/>
      <c r="DK12" s="51"/>
      <c r="DL12" s="51"/>
      <c r="DM12" s="51"/>
      <c r="DN12" s="51"/>
      <c r="EB12" s="51"/>
      <c r="EC12" s="51"/>
    </row>
    <row r="13" spans="1:135" ht="13.5" customHeight="1">
      <c r="A13" s="4">
        <v>9</v>
      </c>
      <c r="B13" s="10">
        <f>MAESTRO!F13</f>
        <v>0</v>
      </c>
      <c r="C13" s="5"/>
      <c r="D13" s="5"/>
      <c r="E13" s="5"/>
      <c r="F13" s="5"/>
      <c r="G13" s="5"/>
      <c r="H13" s="5"/>
      <c r="I13" s="5"/>
      <c r="J13" s="5"/>
      <c r="K13" s="5"/>
      <c r="L13" s="5"/>
      <c r="M13" s="5"/>
      <c r="N13" s="5"/>
      <c r="O13" s="5"/>
      <c r="P13" s="5" t="e">
        <f t="shared" si="0"/>
        <v>#DIV/0!</v>
      </c>
      <c r="Q13" s="43">
        <v>9</v>
      </c>
      <c r="R13" s="24"/>
      <c r="S13" s="5"/>
      <c r="T13" s="5"/>
      <c r="U13" s="5"/>
      <c r="V13" s="5"/>
      <c r="W13" s="5"/>
      <c r="X13" s="5"/>
      <c r="Y13" s="5"/>
      <c r="Z13" s="5"/>
      <c r="AA13" s="48" t="e">
        <f t="shared" si="1"/>
        <v>#DIV/0!</v>
      </c>
      <c r="AB13" s="5"/>
      <c r="AC13" s="5"/>
      <c r="AD13" s="5" t="e">
        <f t="shared" si="2"/>
        <v>#DIV/0!</v>
      </c>
      <c r="AE13" s="47" t="e">
        <f t="shared" si="3"/>
        <v>#DIV/0!</v>
      </c>
      <c r="AF13" s="4"/>
      <c r="AG13" s="4">
        <v>9</v>
      </c>
      <c r="AH13" s="4">
        <v>9</v>
      </c>
      <c r="AI13" s="255">
        <f t="shared" si="4"/>
        <v>0</v>
      </c>
      <c r="AJ13" s="241"/>
      <c r="AK13" s="45"/>
      <c r="AL13" s="45"/>
      <c r="AM13" s="45"/>
      <c r="AN13" s="45"/>
      <c r="AO13" s="45"/>
      <c r="AP13" s="45"/>
      <c r="AQ13" s="45"/>
      <c r="AR13" s="65"/>
      <c r="AS13" s="65"/>
      <c r="AT13" s="65"/>
      <c r="AU13" s="65"/>
      <c r="AV13" s="65"/>
      <c r="AW13" s="65"/>
      <c r="AX13" s="5" t="e">
        <f t="shared" si="5"/>
        <v>#DIV/0!</v>
      </c>
      <c r="AY13" s="67"/>
      <c r="AZ13" s="24"/>
      <c r="BA13" s="67"/>
      <c r="BB13" s="67"/>
      <c r="BC13" s="24"/>
      <c r="BD13" s="67"/>
      <c r="BE13" s="67"/>
      <c r="BF13" s="67"/>
      <c r="BG13" s="67"/>
      <c r="BH13" s="56"/>
      <c r="BI13" s="5" t="e">
        <f t="shared" si="6"/>
        <v>#DIV/0!</v>
      </c>
      <c r="BJ13" s="24"/>
      <c r="BK13" s="24"/>
      <c r="BL13" s="24" t="e">
        <f t="shared" si="7"/>
        <v>#DIV/0!</v>
      </c>
      <c r="BM13" s="5" t="e">
        <f t="shared" si="8"/>
        <v>#DIV/0!</v>
      </c>
      <c r="BN13" s="4"/>
      <c r="BO13" s="4">
        <v>9</v>
      </c>
      <c r="BP13" s="4">
        <v>9</v>
      </c>
      <c r="BQ13" s="255">
        <f t="shared" si="9"/>
        <v>0</v>
      </c>
      <c r="BR13" s="241"/>
      <c r="BS13" s="5"/>
      <c r="BT13" s="5"/>
      <c r="BU13" s="5"/>
      <c r="BV13" s="5"/>
      <c r="BW13" s="5"/>
      <c r="BX13" s="5"/>
      <c r="BY13" s="5"/>
      <c r="BZ13" s="5"/>
      <c r="CA13" s="5"/>
      <c r="CB13" s="5"/>
      <c r="CC13" s="5"/>
      <c r="CD13" s="5"/>
      <c r="CE13" s="5"/>
      <c r="CF13" s="5" t="e">
        <f t="shared" si="10"/>
        <v>#DIV/0!</v>
      </c>
      <c r="CG13" s="5"/>
      <c r="CH13" s="5"/>
      <c r="CI13" s="5"/>
      <c r="CJ13" s="5"/>
      <c r="CK13" s="5"/>
      <c r="CL13" s="5"/>
      <c r="CM13" s="5"/>
      <c r="CN13" s="5"/>
      <c r="CO13" s="5"/>
      <c r="CP13" s="5"/>
      <c r="CQ13" s="5" t="e">
        <f t="shared" si="11"/>
        <v>#DIV/0!</v>
      </c>
      <c r="CR13" s="5"/>
      <c r="CS13" s="5"/>
      <c r="CT13" s="5" t="e">
        <f t="shared" si="12"/>
        <v>#DIV/0!</v>
      </c>
      <c r="CU13" s="5" t="e">
        <f t="shared" si="13"/>
        <v>#DIV/0!</v>
      </c>
      <c r="CV13" s="4"/>
      <c r="CW13" s="59">
        <v>9</v>
      </c>
      <c r="CY13" s="186"/>
      <c r="CZ13" s="186"/>
      <c r="DA13" s="51"/>
      <c r="DB13" s="51"/>
      <c r="DC13" s="51"/>
      <c r="DD13" s="51"/>
      <c r="DE13" s="51"/>
      <c r="DF13" s="51"/>
      <c r="DG13" s="51"/>
      <c r="DH13" s="51"/>
      <c r="DI13" s="51"/>
      <c r="DJ13" s="51"/>
      <c r="DK13" s="51"/>
      <c r="DL13" s="51"/>
      <c r="DM13" s="51"/>
      <c r="DN13" s="51"/>
      <c r="EB13" s="51"/>
      <c r="EC13" s="51"/>
    </row>
    <row r="14" spans="1:135" ht="13.5" customHeight="1">
      <c r="A14" s="4">
        <v>10</v>
      </c>
      <c r="B14" s="10">
        <f>MAESTRO!F14</f>
        <v>0</v>
      </c>
      <c r="C14" s="5"/>
      <c r="D14" s="5"/>
      <c r="E14" s="5"/>
      <c r="F14" s="5"/>
      <c r="G14" s="5"/>
      <c r="H14" s="5"/>
      <c r="I14" s="5"/>
      <c r="J14" s="5"/>
      <c r="K14" s="5"/>
      <c r="L14" s="5"/>
      <c r="M14" s="5"/>
      <c r="N14" s="5"/>
      <c r="O14" s="5"/>
      <c r="P14" s="5" t="e">
        <f t="shared" si="0"/>
        <v>#DIV/0!</v>
      </c>
      <c r="Q14" s="43">
        <v>10</v>
      </c>
      <c r="R14" s="24"/>
      <c r="S14" s="24"/>
      <c r="T14" s="24"/>
      <c r="U14" s="24"/>
      <c r="V14" s="24"/>
      <c r="W14" s="24"/>
      <c r="X14" s="24"/>
      <c r="Y14" s="24"/>
      <c r="Z14" s="24"/>
      <c r="AA14" s="48" t="e">
        <f t="shared" si="1"/>
        <v>#DIV/0!</v>
      </c>
      <c r="AB14" s="4"/>
      <c r="AC14" s="45"/>
      <c r="AD14" s="5" t="e">
        <f t="shared" si="2"/>
        <v>#DIV/0!</v>
      </c>
      <c r="AE14" s="47" t="e">
        <f t="shared" si="3"/>
        <v>#DIV/0!</v>
      </c>
      <c r="AF14" s="4"/>
      <c r="AG14" s="4">
        <v>10</v>
      </c>
      <c r="AH14" s="4">
        <v>10</v>
      </c>
      <c r="AI14" s="255">
        <f t="shared" si="4"/>
        <v>0</v>
      </c>
      <c r="AJ14" s="241"/>
      <c r="AK14" s="45"/>
      <c r="AL14" s="45"/>
      <c r="AM14" s="65"/>
      <c r="AN14" s="65"/>
      <c r="AO14" s="65"/>
      <c r="AP14" s="65"/>
      <c r="AQ14" s="65"/>
      <c r="AR14" s="65"/>
      <c r="AS14" s="65"/>
      <c r="AT14" s="65"/>
      <c r="AU14" s="65"/>
      <c r="AV14" s="65"/>
      <c r="AW14" s="22"/>
      <c r="AX14" s="5" t="e">
        <f t="shared" si="5"/>
        <v>#DIV/0!</v>
      </c>
      <c r="AY14" s="24"/>
      <c r="AZ14" s="24"/>
      <c r="BA14" s="24"/>
      <c r="BB14" s="24"/>
      <c r="BC14" s="24"/>
      <c r="BD14" s="24"/>
      <c r="BE14" s="24"/>
      <c r="BF14" s="24"/>
      <c r="BG14" s="24"/>
      <c r="BH14" s="56"/>
      <c r="BI14" s="5" t="e">
        <f t="shared" si="6"/>
        <v>#DIV/0!</v>
      </c>
      <c r="BJ14" s="24"/>
      <c r="BK14" s="24"/>
      <c r="BL14" s="24" t="e">
        <f t="shared" si="7"/>
        <v>#DIV/0!</v>
      </c>
      <c r="BM14" s="5" t="e">
        <f t="shared" si="8"/>
        <v>#DIV/0!</v>
      </c>
      <c r="BN14" s="4"/>
      <c r="BO14" s="4">
        <v>10</v>
      </c>
      <c r="BP14" s="4">
        <v>10</v>
      </c>
      <c r="BQ14" s="255">
        <f t="shared" si="9"/>
        <v>0</v>
      </c>
      <c r="BR14" s="241"/>
      <c r="BS14" s="5"/>
      <c r="BT14" s="5"/>
      <c r="BU14" s="5"/>
      <c r="BV14" s="5"/>
      <c r="BW14" s="5"/>
      <c r="BX14" s="5"/>
      <c r="BY14" s="5"/>
      <c r="BZ14" s="5"/>
      <c r="CA14" s="5"/>
      <c r="CB14" s="5"/>
      <c r="CC14" s="5"/>
      <c r="CD14" s="5"/>
      <c r="CE14" s="5"/>
      <c r="CF14" s="5" t="e">
        <f t="shared" si="10"/>
        <v>#DIV/0!</v>
      </c>
      <c r="CG14" s="5"/>
      <c r="CH14" s="5"/>
      <c r="CI14" s="5"/>
      <c r="CJ14" s="5"/>
      <c r="CK14" s="5"/>
      <c r="CL14" s="5"/>
      <c r="CM14" s="5"/>
      <c r="CN14" s="5"/>
      <c r="CO14" s="5"/>
      <c r="CP14" s="5"/>
      <c r="CQ14" s="5" t="e">
        <f t="shared" si="11"/>
        <v>#DIV/0!</v>
      </c>
      <c r="CR14" s="5"/>
      <c r="CS14" s="5"/>
      <c r="CT14" s="5" t="e">
        <f t="shared" si="12"/>
        <v>#DIV/0!</v>
      </c>
      <c r="CU14" s="5" t="e">
        <f t="shared" si="13"/>
        <v>#DIV/0!</v>
      </c>
      <c r="CV14" s="4"/>
      <c r="CW14" s="59">
        <v>10</v>
      </c>
      <c r="CY14" s="186"/>
      <c r="CZ14" s="186"/>
      <c r="DA14" s="51"/>
      <c r="DB14" s="51"/>
      <c r="DC14" s="51"/>
      <c r="DD14" s="51"/>
      <c r="DE14" s="51"/>
      <c r="DF14" s="51"/>
      <c r="DG14" s="51"/>
      <c r="DH14" s="51"/>
      <c r="DI14" s="51"/>
      <c r="DJ14" s="51"/>
      <c r="DK14" s="51"/>
      <c r="DL14" s="51"/>
      <c r="DM14" s="51"/>
      <c r="DN14" s="51"/>
      <c r="EB14" s="51"/>
      <c r="EC14" s="51"/>
    </row>
    <row r="15" spans="1:135" ht="13.5" customHeight="1">
      <c r="A15" s="4">
        <v>11</v>
      </c>
      <c r="B15" s="10">
        <f>MAESTRO!F15</f>
        <v>0</v>
      </c>
      <c r="C15" s="5"/>
      <c r="D15" s="5"/>
      <c r="E15" s="5"/>
      <c r="F15" s="5"/>
      <c r="G15" s="5"/>
      <c r="H15" s="5"/>
      <c r="I15" s="5"/>
      <c r="J15" s="5"/>
      <c r="K15" s="5"/>
      <c r="L15" s="5"/>
      <c r="M15" s="5"/>
      <c r="N15" s="5"/>
      <c r="O15" s="5"/>
      <c r="P15" s="5" t="e">
        <f t="shared" si="0"/>
        <v>#DIV/0!</v>
      </c>
      <c r="Q15" s="43">
        <v>11</v>
      </c>
      <c r="R15" s="24"/>
      <c r="S15" s="24"/>
      <c r="T15" s="24"/>
      <c r="U15" s="24"/>
      <c r="V15" s="24"/>
      <c r="W15" s="24"/>
      <c r="X15" s="24"/>
      <c r="Y15" s="24"/>
      <c r="Z15" s="24"/>
      <c r="AA15" s="48" t="e">
        <f t="shared" si="1"/>
        <v>#DIV/0!</v>
      </c>
      <c r="AB15" s="4"/>
      <c r="AC15" s="45"/>
      <c r="AD15" s="5" t="e">
        <f t="shared" si="2"/>
        <v>#DIV/0!</v>
      </c>
      <c r="AE15" s="47" t="e">
        <f t="shared" si="3"/>
        <v>#DIV/0!</v>
      </c>
      <c r="AF15" s="4"/>
      <c r="AG15" s="4">
        <v>11</v>
      </c>
      <c r="AH15" s="4">
        <v>11</v>
      </c>
      <c r="AI15" s="255">
        <f t="shared" si="4"/>
        <v>0</v>
      </c>
      <c r="AJ15" s="241"/>
      <c r="AK15" s="45"/>
      <c r="AL15" s="45"/>
      <c r="AM15" s="65"/>
      <c r="AN15" s="65"/>
      <c r="AO15" s="65"/>
      <c r="AP15" s="65"/>
      <c r="AQ15" s="65"/>
      <c r="AR15" s="65"/>
      <c r="AS15" s="65"/>
      <c r="AT15" s="65"/>
      <c r="AU15" s="65"/>
      <c r="AV15" s="65"/>
      <c r="AW15" s="22"/>
      <c r="AX15" s="5" t="e">
        <f t="shared" si="5"/>
        <v>#DIV/0!</v>
      </c>
      <c r="AY15" s="24"/>
      <c r="AZ15" s="24"/>
      <c r="BA15" s="24"/>
      <c r="BB15" s="24"/>
      <c r="BC15" s="24"/>
      <c r="BD15" s="24"/>
      <c r="BE15" s="24"/>
      <c r="BF15" s="24"/>
      <c r="BG15" s="24"/>
      <c r="BH15" s="56"/>
      <c r="BI15" s="5" t="e">
        <f t="shared" si="6"/>
        <v>#DIV/0!</v>
      </c>
      <c r="BJ15" s="24"/>
      <c r="BK15" s="24"/>
      <c r="BL15" s="24" t="e">
        <f t="shared" si="7"/>
        <v>#DIV/0!</v>
      </c>
      <c r="BM15" s="5" t="e">
        <f t="shared" si="8"/>
        <v>#DIV/0!</v>
      </c>
      <c r="BN15" s="4"/>
      <c r="BO15" s="4">
        <v>11</v>
      </c>
      <c r="BP15" s="4">
        <v>11</v>
      </c>
      <c r="BQ15" s="255">
        <f t="shared" si="9"/>
        <v>0</v>
      </c>
      <c r="BR15" s="241"/>
      <c r="BS15" s="5"/>
      <c r="BT15" s="5"/>
      <c r="BU15" s="5"/>
      <c r="BV15" s="5"/>
      <c r="BW15" s="5"/>
      <c r="BX15" s="5"/>
      <c r="BY15" s="5"/>
      <c r="BZ15" s="5"/>
      <c r="CA15" s="5"/>
      <c r="CB15" s="5"/>
      <c r="CC15" s="5"/>
      <c r="CD15" s="5"/>
      <c r="CE15" s="5"/>
      <c r="CF15" s="5" t="e">
        <f t="shared" si="10"/>
        <v>#DIV/0!</v>
      </c>
      <c r="CG15" s="5"/>
      <c r="CH15" s="5"/>
      <c r="CI15" s="5"/>
      <c r="CJ15" s="5"/>
      <c r="CK15" s="5"/>
      <c r="CL15" s="5"/>
      <c r="CM15" s="5"/>
      <c r="CN15" s="5"/>
      <c r="CO15" s="5"/>
      <c r="CP15" s="5"/>
      <c r="CQ15" s="5" t="e">
        <f t="shared" si="11"/>
        <v>#DIV/0!</v>
      </c>
      <c r="CR15" s="5"/>
      <c r="CS15" s="5"/>
      <c r="CT15" s="5" t="e">
        <f t="shared" si="12"/>
        <v>#DIV/0!</v>
      </c>
      <c r="CU15" s="5" t="e">
        <f t="shared" si="13"/>
        <v>#DIV/0!</v>
      </c>
      <c r="CV15" s="4"/>
      <c r="CW15" s="59">
        <v>11</v>
      </c>
      <c r="CY15" s="186"/>
      <c r="CZ15" s="186"/>
      <c r="DA15" s="51"/>
      <c r="DB15" s="51"/>
      <c r="DC15" s="51"/>
      <c r="DD15" s="51"/>
      <c r="DE15" s="51"/>
      <c r="DF15" s="51"/>
      <c r="DG15" s="51"/>
      <c r="DH15" s="51"/>
      <c r="DI15" s="51"/>
      <c r="DJ15" s="51"/>
      <c r="DK15" s="51"/>
      <c r="DL15" s="51"/>
      <c r="DM15" s="51"/>
      <c r="DN15" s="51"/>
      <c r="EB15" s="51"/>
      <c r="EC15" s="51"/>
    </row>
    <row r="16" spans="1:135" ht="13.5" customHeight="1">
      <c r="A16" s="4">
        <v>12</v>
      </c>
      <c r="B16" s="10">
        <f>MAESTRO!F16</f>
        <v>0</v>
      </c>
      <c r="C16" s="5"/>
      <c r="D16" s="5"/>
      <c r="E16" s="5"/>
      <c r="F16" s="5"/>
      <c r="G16" s="5"/>
      <c r="H16" s="5"/>
      <c r="I16" s="5"/>
      <c r="J16" s="5"/>
      <c r="K16" s="5"/>
      <c r="L16" s="5"/>
      <c r="M16" s="5"/>
      <c r="N16" s="5"/>
      <c r="O16" s="5"/>
      <c r="P16" s="5" t="e">
        <f t="shared" si="0"/>
        <v>#DIV/0!</v>
      </c>
      <c r="Q16" s="43">
        <v>12</v>
      </c>
      <c r="R16" s="24"/>
      <c r="S16" s="24"/>
      <c r="T16" s="24"/>
      <c r="U16" s="24"/>
      <c r="V16" s="24"/>
      <c r="W16" s="24"/>
      <c r="X16" s="24"/>
      <c r="Y16" s="24"/>
      <c r="Z16" s="24"/>
      <c r="AA16" s="48" t="e">
        <f t="shared" si="1"/>
        <v>#DIV/0!</v>
      </c>
      <c r="AB16" s="4"/>
      <c r="AC16" s="45"/>
      <c r="AD16" s="5" t="e">
        <f t="shared" si="2"/>
        <v>#DIV/0!</v>
      </c>
      <c r="AE16" s="47" t="e">
        <f t="shared" si="3"/>
        <v>#DIV/0!</v>
      </c>
      <c r="AF16" s="4"/>
      <c r="AG16" s="4">
        <v>12</v>
      </c>
      <c r="AH16" s="4">
        <v>12</v>
      </c>
      <c r="AI16" s="255">
        <f t="shared" si="4"/>
        <v>0</v>
      </c>
      <c r="AJ16" s="241"/>
      <c r="AK16" s="45"/>
      <c r="AL16" s="45"/>
      <c r="AM16" s="65"/>
      <c r="AN16" s="65"/>
      <c r="AO16" s="65"/>
      <c r="AP16" s="65"/>
      <c r="AQ16" s="65"/>
      <c r="AR16" s="65"/>
      <c r="AS16" s="65"/>
      <c r="AT16" s="65"/>
      <c r="AU16" s="65"/>
      <c r="AV16" s="65"/>
      <c r="AW16" s="22"/>
      <c r="AX16" s="5" t="e">
        <f t="shared" si="5"/>
        <v>#DIV/0!</v>
      </c>
      <c r="AY16" s="24"/>
      <c r="AZ16" s="24"/>
      <c r="BA16" s="24"/>
      <c r="BB16" s="24"/>
      <c r="BC16" s="24"/>
      <c r="BD16" s="24"/>
      <c r="BE16" s="24"/>
      <c r="BF16" s="24"/>
      <c r="BG16" s="24"/>
      <c r="BH16" s="56"/>
      <c r="BI16" s="5" t="e">
        <f t="shared" si="6"/>
        <v>#DIV/0!</v>
      </c>
      <c r="BJ16" s="24"/>
      <c r="BK16" s="24"/>
      <c r="BL16" s="24" t="e">
        <f t="shared" si="7"/>
        <v>#DIV/0!</v>
      </c>
      <c r="BM16" s="5" t="e">
        <f t="shared" si="8"/>
        <v>#DIV/0!</v>
      </c>
      <c r="BN16" s="4"/>
      <c r="BO16" s="4">
        <v>12</v>
      </c>
      <c r="BP16" s="4">
        <v>12</v>
      </c>
      <c r="BQ16" s="255">
        <f t="shared" si="9"/>
        <v>0</v>
      </c>
      <c r="BR16" s="241"/>
      <c r="BS16" s="5"/>
      <c r="BT16" s="5"/>
      <c r="BU16" s="5"/>
      <c r="BV16" s="5"/>
      <c r="BW16" s="5"/>
      <c r="BX16" s="5"/>
      <c r="BY16" s="5"/>
      <c r="BZ16" s="5"/>
      <c r="CA16" s="5"/>
      <c r="CB16" s="5"/>
      <c r="CC16" s="5"/>
      <c r="CD16" s="5"/>
      <c r="CE16" s="5"/>
      <c r="CF16" s="5" t="e">
        <f t="shared" si="10"/>
        <v>#DIV/0!</v>
      </c>
      <c r="CG16" s="5"/>
      <c r="CH16" s="5"/>
      <c r="CI16" s="5"/>
      <c r="CJ16" s="5"/>
      <c r="CK16" s="5"/>
      <c r="CL16" s="5"/>
      <c r="CM16" s="5"/>
      <c r="CN16" s="5"/>
      <c r="CO16" s="5"/>
      <c r="CP16" s="5"/>
      <c r="CQ16" s="5" t="e">
        <f t="shared" si="11"/>
        <v>#DIV/0!</v>
      </c>
      <c r="CR16" s="5"/>
      <c r="CS16" s="5"/>
      <c r="CT16" s="5" t="e">
        <f t="shared" si="12"/>
        <v>#DIV/0!</v>
      </c>
      <c r="CU16" s="5" t="e">
        <f t="shared" si="13"/>
        <v>#DIV/0!</v>
      </c>
      <c r="CV16" s="4"/>
      <c r="CW16" s="59">
        <v>12</v>
      </c>
      <c r="CY16" s="186"/>
      <c r="CZ16" s="186"/>
      <c r="DA16" s="51"/>
      <c r="DB16" s="51"/>
      <c r="DC16" s="51"/>
      <c r="DD16" s="51"/>
      <c r="DE16" s="51"/>
      <c r="DF16" s="51"/>
      <c r="DG16" s="51"/>
      <c r="DH16" s="51"/>
      <c r="DI16" s="51"/>
      <c r="DJ16" s="51"/>
      <c r="DK16" s="51"/>
      <c r="DL16" s="51"/>
      <c r="DM16" s="51"/>
      <c r="DN16" s="51"/>
      <c r="EB16" s="51"/>
      <c r="EC16" s="51"/>
    </row>
    <row r="17" spans="1:133" ht="13.5" customHeight="1">
      <c r="A17" s="4">
        <v>13</v>
      </c>
      <c r="B17" s="10">
        <f>MAESTRO!F17</f>
        <v>0</v>
      </c>
      <c r="C17" s="5"/>
      <c r="D17" s="5"/>
      <c r="E17" s="5"/>
      <c r="F17" s="5"/>
      <c r="G17" s="5"/>
      <c r="H17" s="5"/>
      <c r="I17" s="5"/>
      <c r="J17" s="5"/>
      <c r="K17" s="5"/>
      <c r="L17" s="5"/>
      <c r="M17" s="5"/>
      <c r="N17" s="5"/>
      <c r="O17" s="5"/>
      <c r="P17" s="5" t="e">
        <f t="shared" si="0"/>
        <v>#DIV/0!</v>
      </c>
      <c r="Q17" s="43">
        <v>13</v>
      </c>
      <c r="R17" s="24"/>
      <c r="S17" s="24"/>
      <c r="T17" s="24"/>
      <c r="U17" s="24"/>
      <c r="V17" s="24"/>
      <c r="W17" s="24"/>
      <c r="X17" s="24"/>
      <c r="Y17" s="24"/>
      <c r="Z17" s="24"/>
      <c r="AA17" s="48" t="e">
        <f t="shared" si="1"/>
        <v>#DIV/0!</v>
      </c>
      <c r="AB17" s="4"/>
      <c r="AC17" s="45"/>
      <c r="AD17" s="5" t="e">
        <f t="shared" si="2"/>
        <v>#DIV/0!</v>
      </c>
      <c r="AE17" s="47" t="e">
        <f t="shared" si="3"/>
        <v>#DIV/0!</v>
      </c>
      <c r="AF17" s="4"/>
      <c r="AG17" s="4">
        <v>13</v>
      </c>
      <c r="AH17" s="4">
        <v>13</v>
      </c>
      <c r="AI17" s="255">
        <f t="shared" si="4"/>
        <v>0</v>
      </c>
      <c r="AJ17" s="241"/>
      <c r="AK17" s="45"/>
      <c r="AL17" s="45"/>
      <c r="AM17" s="65"/>
      <c r="AN17" s="65"/>
      <c r="AO17" s="65"/>
      <c r="AP17" s="65"/>
      <c r="AQ17" s="65"/>
      <c r="AR17" s="65"/>
      <c r="AS17" s="65"/>
      <c r="AT17" s="65"/>
      <c r="AU17" s="65"/>
      <c r="AV17" s="65"/>
      <c r="AW17" s="22"/>
      <c r="AX17" s="5" t="e">
        <f t="shared" si="5"/>
        <v>#DIV/0!</v>
      </c>
      <c r="AY17" s="24"/>
      <c r="AZ17" s="24"/>
      <c r="BA17" s="24"/>
      <c r="BB17" s="24"/>
      <c r="BC17" s="24"/>
      <c r="BD17" s="24"/>
      <c r="BE17" s="24"/>
      <c r="BF17" s="24"/>
      <c r="BG17" s="24"/>
      <c r="BH17" s="56"/>
      <c r="BI17" s="5" t="e">
        <f t="shared" si="6"/>
        <v>#DIV/0!</v>
      </c>
      <c r="BJ17" s="24"/>
      <c r="BK17" s="24"/>
      <c r="BL17" s="24" t="e">
        <f t="shared" si="7"/>
        <v>#DIV/0!</v>
      </c>
      <c r="BM17" s="5" t="e">
        <f t="shared" si="8"/>
        <v>#DIV/0!</v>
      </c>
      <c r="BN17" s="4"/>
      <c r="BO17" s="4">
        <v>13</v>
      </c>
      <c r="BP17" s="4">
        <v>13</v>
      </c>
      <c r="BQ17" s="255">
        <f t="shared" si="9"/>
        <v>0</v>
      </c>
      <c r="BR17" s="241"/>
      <c r="BS17" s="5"/>
      <c r="BT17" s="5"/>
      <c r="BU17" s="5"/>
      <c r="BV17" s="5"/>
      <c r="BW17" s="5"/>
      <c r="BX17" s="5"/>
      <c r="BY17" s="5"/>
      <c r="BZ17" s="5"/>
      <c r="CA17" s="5"/>
      <c r="CB17" s="5"/>
      <c r="CC17" s="5"/>
      <c r="CD17" s="5"/>
      <c r="CE17" s="5"/>
      <c r="CF17" s="5" t="e">
        <f t="shared" si="10"/>
        <v>#DIV/0!</v>
      </c>
      <c r="CG17" s="5"/>
      <c r="CH17" s="5"/>
      <c r="CI17" s="5"/>
      <c r="CJ17" s="5"/>
      <c r="CK17" s="5"/>
      <c r="CL17" s="5"/>
      <c r="CM17" s="5"/>
      <c r="CN17" s="5"/>
      <c r="CO17" s="5"/>
      <c r="CP17" s="5"/>
      <c r="CQ17" s="5" t="e">
        <f t="shared" si="11"/>
        <v>#DIV/0!</v>
      </c>
      <c r="CR17" s="5"/>
      <c r="CS17" s="5"/>
      <c r="CT17" s="5" t="e">
        <f t="shared" si="12"/>
        <v>#DIV/0!</v>
      </c>
      <c r="CU17" s="5" t="e">
        <f t="shared" si="13"/>
        <v>#DIV/0!</v>
      </c>
      <c r="CV17" s="4"/>
      <c r="CW17" s="59">
        <v>13</v>
      </c>
      <c r="CY17" s="186"/>
      <c r="CZ17" s="186"/>
      <c r="DA17" s="51"/>
      <c r="DB17" s="51"/>
      <c r="DC17" s="51"/>
      <c r="DD17" s="51"/>
      <c r="DE17" s="51"/>
      <c r="DF17" s="51"/>
      <c r="DG17" s="51"/>
      <c r="DH17" s="51"/>
      <c r="DI17" s="51"/>
      <c r="DJ17" s="51"/>
      <c r="DK17" s="51"/>
      <c r="DL17" s="51"/>
      <c r="DM17" s="51"/>
      <c r="DN17" s="51"/>
      <c r="EB17" s="51"/>
      <c r="EC17" s="51"/>
    </row>
    <row r="18" spans="1:133" ht="13.5" customHeight="1">
      <c r="A18" s="4">
        <v>14</v>
      </c>
      <c r="B18" s="10">
        <f>MAESTRO!F18</f>
        <v>0</v>
      </c>
      <c r="C18" s="5"/>
      <c r="D18" s="5"/>
      <c r="E18" s="5"/>
      <c r="F18" s="5"/>
      <c r="G18" s="5"/>
      <c r="H18" s="5"/>
      <c r="I18" s="5"/>
      <c r="J18" s="5"/>
      <c r="K18" s="5"/>
      <c r="L18" s="5"/>
      <c r="M18" s="5"/>
      <c r="N18" s="5"/>
      <c r="O18" s="5"/>
      <c r="P18" s="5" t="e">
        <f t="shared" si="0"/>
        <v>#DIV/0!</v>
      </c>
      <c r="Q18" s="43">
        <v>14</v>
      </c>
      <c r="R18" s="24"/>
      <c r="S18" s="24"/>
      <c r="T18" s="24"/>
      <c r="U18" s="24"/>
      <c r="V18" s="24"/>
      <c r="W18" s="24"/>
      <c r="X18" s="24"/>
      <c r="Y18" s="24"/>
      <c r="Z18" s="24"/>
      <c r="AA18" s="48" t="e">
        <f t="shared" si="1"/>
        <v>#DIV/0!</v>
      </c>
      <c r="AB18" s="4"/>
      <c r="AC18" s="45"/>
      <c r="AD18" s="5" t="e">
        <f t="shared" si="2"/>
        <v>#DIV/0!</v>
      </c>
      <c r="AE18" s="47" t="e">
        <f t="shared" si="3"/>
        <v>#DIV/0!</v>
      </c>
      <c r="AF18" s="4"/>
      <c r="AG18" s="4">
        <v>14</v>
      </c>
      <c r="AH18" s="4">
        <v>14</v>
      </c>
      <c r="AI18" s="255">
        <f t="shared" si="4"/>
        <v>0</v>
      </c>
      <c r="AJ18" s="241"/>
      <c r="AK18" s="45"/>
      <c r="AL18" s="45"/>
      <c r="AM18" s="65"/>
      <c r="AN18" s="65"/>
      <c r="AO18" s="65"/>
      <c r="AP18" s="65"/>
      <c r="AQ18" s="65"/>
      <c r="AR18" s="65"/>
      <c r="AS18" s="65"/>
      <c r="AT18" s="65"/>
      <c r="AU18" s="65"/>
      <c r="AV18" s="65"/>
      <c r="AW18" s="22"/>
      <c r="AX18" s="5" t="e">
        <f t="shared" si="5"/>
        <v>#DIV/0!</v>
      </c>
      <c r="AY18" s="24"/>
      <c r="AZ18" s="24"/>
      <c r="BA18" s="24"/>
      <c r="BB18" s="24"/>
      <c r="BC18" s="24"/>
      <c r="BD18" s="24"/>
      <c r="BE18" s="24"/>
      <c r="BF18" s="24"/>
      <c r="BG18" s="24"/>
      <c r="BH18" s="56"/>
      <c r="BI18" s="5" t="e">
        <f t="shared" si="6"/>
        <v>#DIV/0!</v>
      </c>
      <c r="BJ18" s="24"/>
      <c r="BK18" s="24"/>
      <c r="BL18" s="24" t="e">
        <f t="shared" si="7"/>
        <v>#DIV/0!</v>
      </c>
      <c r="BM18" s="5" t="e">
        <f t="shared" si="8"/>
        <v>#DIV/0!</v>
      </c>
      <c r="BN18" s="4"/>
      <c r="BO18" s="4">
        <v>14</v>
      </c>
      <c r="BP18" s="4">
        <v>14</v>
      </c>
      <c r="BQ18" s="255">
        <f t="shared" si="9"/>
        <v>0</v>
      </c>
      <c r="BR18" s="241"/>
      <c r="BS18" s="5"/>
      <c r="BT18" s="5"/>
      <c r="BU18" s="5"/>
      <c r="BV18" s="5"/>
      <c r="BW18" s="5"/>
      <c r="BX18" s="5"/>
      <c r="BY18" s="5"/>
      <c r="BZ18" s="5"/>
      <c r="CA18" s="5"/>
      <c r="CB18" s="5"/>
      <c r="CC18" s="5"/>
      <c r="CD18" s="5"/>
      <c r="CE18" s="5"/>
      <c r="CF18" s="5" t="e">
        <f t="shared" si="10"/>
        <v>#DIV/0!</v>
      </c>
      <c r="CG18" s="5"/>
      <c r="CH18" s="5"/>
      <c r="CI18" s="5"/>
      <c r="CJ18" s="5"/>
      <c r="CK18" s="5"/>
      <c r="CL18" s="5"/>
      <c r="CM18" s="5"/>
      <c r="CN18" s="5"/>
      <c r="CO18" s="5"/>
      <c r="CP18" s="5"/>
      <c r="CQ18" s="5" t="e">
        <f t="shared" si="11"/>
        <v>#DIV/0!</v>
      </c>
      <c r="CR18" s="5"/>
      <c r="CS18" s="5"/>
      <c r="CT18" s="5" t="e">
        <f t="shared" si="12"/>
        <v>#DIV/0!</v>
      </c>
      <c r="CU18" s="5" t="e">
        <f t="shared" si="13"/>
        <v>#DIV/0!</v>
      </c>
      <c r="CV18" s="4"/>
      <c r="CW18" s="59">
        <v>14</v>
      </c>
      <c r="CY18" s="186"/>
      <c r="CZ18" s="186"/>
      <c r="DA18" s="51"/>
      <c r="DB18" s="51"/>
      <c r="DC18" s="51"/>
      <c r="DD18" s="51"/>
      <c r="DE18" s="51"/>
      <c r="DF18" s="51"/>
      <c r="DG18" s="51"/>
      <c r="DH18" s="51"/>
      <c r="DI18" s="51"/>
      <c r="DJ18" s="51"/>
      <c r="DK18" s="51"/>
      <c r="DL18" s="51"/>
      <c r="DM18" s="51"/>
      <c r="DN18" s="51"/>
      <c r="EB18" s="51"/>
      <c r="EC18" s="51"/>
    </row>
    <row r="19" spans="1:133" ht="13.5" customHeight="1">
      <c r="A19" s="4">
        <v>15</v>
      </c>
      <c r="B19" s="10">
        <f>MAESTRO!F19</f>
        <v>0</v>
      </c>
      <c r="C19" s="5"/>
      <c r="D19" s="5"/>
      <c r="E19" s="5"/>
      <c r="F19" s="5"/>
      <c r="G19" s="5"/>
      <c r="H19" s="5"/>
      <c r="I19" s="5"/>
      <c r="J19" s="5"/>
      <c r="K19" s="5"/>
      <c r="L19" s="5"/>
      <c r="M19" s="5"/>
      <c r="N19" s="5"/>
      <c r="O19" s="5"/>
      <c r="P19" s="5" t="e">
        <f t="shared" si="0"/>
        <v>#DIV/0!</v>
      </c>
      <c r="Q19" s="43">
        <v>15</v>
      </c>
      <c r="R19" s="24"/>
      <c r="S19" s="24"/>
      <c r="T19" s="24"/>
      <c r="U19" s="24"/>
      <c r="V19" s="24"/>
      <c r="W19" s="24"/>
      <c r="X19" s="24"/>
      <c r="Y19" s="24"/>
      <c r="Z19" s="24"/>
      <c r="AA19" s="48" t="e">
        <f t="shared" si="1"/>
        <v>#DIV/0!</v>
      </c>
      <c r="AB19" s="4"/>
      <c r="AC19" s="45"/>
      <c r="AD19" s="5" t="e">
        <f t="shared" si="2"/>
        <v>#DIV/0!</v>
      </c>
      <c r="AE19" s="47" t="e">
        <f t="shared" si="3"/>
        <v>#DIV/0!</v>
      </c>
      <c r="AF19" s="4"/>
      <c r="AG19" s="4">
        <v>15</v>
      </c>
      <c r="AH19" s="4">
        <v>15</v>
      </c>
      <c r="AI19" s="255">
        <f t="shared" si="4"/>
        <v>0</v>
      </c>
      <c r="AJ19" s="241"/>
      <c r="AK19" s="45"/>
      <c r="AL19" s="45"/>
      <c r="AM19" s="65"/>
      <c r="AN19" s="65"/>
      <c r="AO19" s="65"/>
      <c r="AP19" s="65"/>
      <c r="AQ19" s="65"/>
      <c r="AR19" s="65"/>
      <c r="AS19" s="65"/>
      <c r="AT19" s="65"/>
      <c r="AU19" s="65"/>
      <c r="AV19" s="65"/>
      <c r="AW19" s="22"/>
      <c r="AX19" s="5" t="e">
        <f t="shared" si="5"/>
        <v>#DIV/0!</v>
      </c>
      <c r="AY19" s="24"/>
      <c r="AZ19" s="24"/>
      <c r="BA19" s="24"/>
      <c r="BB19" s="24"/>
      <c r="BC19" s="24"/>
      <c r="BD19" s="24"/>
      <c r="BE19" s="24"/>
      <c r="BF19" s="24"/>
      <c r="BG19" s="24"/>
      <c r="BH19" s="56"/>
      <c r="BI19" s="5" t="e">
        <f t="shared" si="6"/>
        <v>#DIV/0!</v>
      </c>
      <c r="BJ19" s="24"/>
      <c r="BK19" s="24"/>
      <c r="BL19" s="24" t="e">
        <f t="shared" si="7"/>
        <v>#DIV/0!</v>
      </c>
      <c r="BM19" s="5" t="e">
        <f t="shared" si="8"/>
        <v>#DIV/0!</v>
      </c>
      <c r="BN19" s="4"/>
      <c r="BO19" s="4">
        <v>15</v>
      </c>
      <c r="BP19" s="4">
        <v>15</v>
      </c>
      <c r="BQ19" s="255">
        <f t="shared" si="9"/>
        <v>0</v>
      </c>
      <c r="BR19" s="241"/>
      <c r="BS19" s="5"/>
      <c r="BT19" s="5"/>
      <c r="BU19" s="5"/>
      <c r="BV19" s="5"/>
      <c r="BW19" s="5"/>
      <c r="BX19" s="5"/>
      <c r="BY19" s="5"/>
      <c r="BZ19" s="5"/>
      <c r="CA19" s="5"/>
      <c r="CB19" s="5"/>
      <c r="CC19" s="5"/>
      <c r="CD19" s="5"/>
      <c r="CE19" s="5"/>
      <c r="CF19" s="5" t="e">
        <f t="shared" si="10"/>
        <v>#DIV/0!</v>
      </c>
      <c r="CG19" s="5"/>
      <c r="CH19" s="5"/>
      <c r="CI19" s="5"/>
      <c r="CJ19" s="5"/>
      <c r="CK19" s="5"/>
      <c r="CL19" s="5"/>
      <c r="CM19" s="5"/>
      <c r="CN19" s="5"/>
      <c r="CO19" s="5"/>
      <c r="CP19" s="5"/>
      <c r="CQ19" s="5" t="e">
        <f t="shared" si="11"/>
        <v>#DIV/0!</v>
      </c>
      <c r="CR19" s="5"/>
      <c r="CS19" s="5"/>
      <c r="CT19" s="5" t="e">
        <f t="shared" si="12"/>
        <v>#DIV/0!</v>
      </c>
      <c r="CU19" s="5" t="e">
        <f t="shared" si="13"/>
        <v>#DIV/0!</v>
      </c>
      <c r="CV19" s="4"/>
      <c r="CW19" s="59">
        <v>15</v>
      </c>
      <c r="CY19" s="186"/>
      <c r="CZ19" s="186"/>
      <c r="DA19" s="51"/>
      <c r="DB19" s="51"/>
      <c r="DC19" s="51"/>
      <c r="DD19" s="51"/>
      <c r="DE19" s="51"/>
      <c r="DF19" s="51"/>
      <c r="DG19" s="51"/>
      <c r="DH19" s="51"/>
      <c r="DI19" s="51"/>
      <c r="DJ19" s="51"/>
      <c r="DK19" s="51"/>
      <c r="DL19" s="51"/>
      <c r="DM19" s="51"/>
      <c r="DN19" s="51"/>
      <c r="EB19" s="51"/>
      <c r="EC19" s="51"/>
    </row>
    <row r="20" spans="1:133" ht="13.5" customHeight="1">
      <c r="A20" s="4">
        <v>16</v>
      </c>
      <c r="B20" s="10">
        <f>MAESTRO!F20</f>
        <v>0</v>
      </c>
      <c r="C20" s="5"/>
      <c r="D20" s="5"/>
      <c r="E20" s="5"/>
      <c r="F20" s="5"/>
      <c r="G20" s="5"/>
      <c r="H20" s="5"/>
      <c r="I20" s="5"/>
      <c r="J20" s="5"/>
      <c r="K20" s="5"/>
      <c r="L20" s="5"/>
      <c r="M20" s="5"/>
      <c r="N20" s="5"/>
      <c r="O20" s="5"/>
      <c r="P20" s="5" t="e">
        <f t="shared" si="0"/>
        <v>#DIV/0!</v>
      </c>
      <c r="Q20" s="43">
        <v>16</v>
      </c>
      <c r="R20" s="24"/>
      <c r="S20" s="24"/>
      <c r="T20" s="24"/>
      <c r="U20" s="24"/>
      <c r="V20" s="24"/>
      <c r="W20" s="24"/>
      <c r="X20" s="24"/>
      <c r="Y20" s="24"/>
      <c r="Z20" s="24"/>
      <c r="AA20" s="48" t="e">
        <f t="shared" si="1"/>
        <v>#DIV/0!</v>
      </c>
      <c r="AB20" s="4"/>
      <c r="AC20" s="45"/>
      <c r="AD20" s="5" t="e">
        <f t="shared" si="2"/>
        <v>#DIV/0!</v>
      </c>
      <c r="AE20" s="47" t="e">
        <f t="shared" si="3"/>
        <v>#DIV/0!</v>
      </c>
      <c r="AF20" s="4"/>
      <c r="AG20" s="4">
        <v>16</v>
      </c>
      <c r="AH20" s="4">
        <v>16</v>
      </c>
      <c r="AI20" s="255">
        <f t="shared" si="4"/>
        <v>0</v>
      </c>
      <c r="AJ20" s="241"/>
      <c r="AK20" s="45"/>
      <c r="AL20" s="45"/>
      <c r="AM20" s="65"/>
      <c r="AN20" s="65"/>
      <c r="AO20" s="65"/>
      <c r="AP20" s="65"/>
      <c r="AQ20" s="65"/>
      <c r="AR20" s="65"/>
      <c r="AS20" s="65"/>
      <c r="AT20" s="65"/>
      <c r="AU20" s="65"/>
      <c r="AV20" s="65"/>
      <c r="AW20" s="22"/>
      <c r="AX20" s="5" t="e">
        <f t="shared" si="5"/>
        <v>#DIV/0!</v>
      </c>
      <c r="AY20" s="24"/>
      <c r="AZ20" s="24"/>
      <c r="BA20" s="24"/>
      <c r="BB20" s="24"/>
      <c r="BC20" s="24"/>
      <c r="BD20" s="24"/>
      <c r="BE20" s="24"/>
      <c r="BF20" s="24"/>
      <c r="BG20" s="24"/>
      <c r="BH20" s="56"/>
      <c r="BI20" s="5" t="e">
        <f t="shared" si="6"/>
        <v>#DIV/0!</v>
      </c>
      <c r="BJ20" s="24"/>
      <c r="BK20" s="24"/>
      <c r="BL20" s="24" t="e">
        <f t="shared" si="7"/>
        <v>#DIV/0!</v>
      </c>
      <c r="BM20" s="5" t="e">
        <f t="shared" si="8"/>
        <v>#DIV/0!</v>
      </c>
      <c r="BN20" s="4"/>
      <c r="BO20" s="4">
        <v>16</v>
      </c>
      <c r="BP20" s="4">
        <v>16</v>
      </c>
      <c r="BQ20" s="255">
        <f t="shared" si="9"/>
        <v>0</v>
      </c>
      <c r="BR20" s="241"/>
      <c r="BS20" s="5"/>
      <c r="BT20" s="5"/>
      <c r="BU20" s="5"/>
      <c r="BV20" s="5"/>
      <c r="BW20" s="5"/>
      <c r="BX20" s="5"/>
      <c r="BY20" s="5"/>
      <c r="BZ20" s="5"/>
      <c r="CA20" s="5"/>
      <c r="CB20" s="5"/>
      <c r="CC20" s="5"/>
      <c r="CD20" s="5"/>
      <c r="CE20" s="5"/>
      <c r="CF20" s="5" t="e">
        <f t="shared" si="10"/>
        <v>#DIV/0!</v>
      </c>
      <c r="CG20" s="5"/>
      <c r="CH20" s="5"/>
      <c r="CI20" s="5"/>
      <c r="CJ20" s="5"/>
      <c r="CK20" s="5"/>
      <c r="CL20" s="5"/>
      <c r="CM20" s="5"/>
      <c r="CN20" s="5"/>
      <c r="CO20" s="5"/>
      <c r="CP20" s="5"/>
      <c r="CQ20" s="5" t="e">
        <f t="shared" si="11"/>
        <v>#DIV/0!</v>
      </c>
      <c r="CR20" s="5"/>
      <c r="CS20" s="5"/>
      <c r="CT20" s="5" t="e">
        <f t="shared" si="12"/>
        <v>#DIV/0!</v>
      </c>
      <c r="CU20" s="5" t="e">
        <f t="shared" si="13"/>
        <v>#DIV/0!</v>
      </c>
      <c r="CV20" s="4"/>
      <c r="CW20" s="59">
        <v>16</v>
      </c>
      <c r="CY20" s="186"/>
      <c r="CZ20" s="186"/>
      <c r="DA20" s="51"/>
      <c r="DB20" s="51"/>
      <c r="DC20" s="51"/>
      <c r="DD20" s="51"/>
      <c r="DE20" s="51"/>
      <c r="DF20" s="51"/>
      <c r="DG20" s="51"/>
      <c r="DH20" s="51"/>
      <c r="DI20" s="51"/>
      <c r="DJ20" s="51"/>
      <c r="DK20" s="51"/>
      <c r="DL20" s="51"/>
      <c r="DM20" s="51"/>
      <c r="DN20" s="51"/>
      <c r="EB20" s="51"/>
      <c r="EC20" s="51"/>
    </row>
    <row r="21" spans="1:133" ht="13.5" customHeight="1">
      <c r="A21" s="4">
        <v>17</v>
      </c>
      <c r="B21" s="10">
        <f>MAESTRO!F21</f>
        <v>0</v>
      </c>
      <c r="C21" s="5"/>
      <c r="D21" s="5"/>
      <c r="E21" s="5"/>
      <c r="F21" s="5"/>
      <c r="G21" s="5"/>
      <c r="H21" s="5"/>
      <c r="I21" s="5"/>
      <c r="J21" s="5"/>
      <c r="K21" s="5"/>
      <c r="L21" s="5"/>
      <c r="M21" s="5"/>
      <c r="N21" s="5"/>
      <c r="O21" s="5"/>
      <c r="P21" s="5" t="e">
        <f t="shared" si="0"/>
        <v>#DIV/0!</v>
      </c>
      <c r="Q21" s="43">
        <v>17</v>
      </c>
      <c r="R21" s="24"/>
      <c r="S21" s="24"/>
      <c r="T21" s="24"/>
      <c r="U21" s="24"/>
      <c r="V21" s="24"/>
      <c r="W21" s="24"/>
      <c r="X21" s="24"/>
      <c r="Y21" s="24"/>
      <c r="Z21" s="24"/>
      <c r="AA21" s="48" t="e">
        <f t="shared" si="1"/>
        <v>#DIV/0!</v>
      </c>
      <c r="AB21" s="4"/>
      <c r="AC21" s="45"/>
      <c r="AD21" s="5" t="e">
        <f t="shared" si="2"/>
        <v>#DIV/0!</v>
      </c>
      <c r="AE21" s="47" t="e">
        <f t="shared" si="3"/>
        <v>#DIV/0!</v>
      </c>
      <c r="AF21" s="4"/>
      <c r="AG21" s="4">
        <v>17</v>
      </c>
      <c r="AH21" s="4">
        <v>17</v>
      </c>
      <c r="AI21" s="255">
        <f t="shared" si="4"/>
        <v>0</v>
      </c>
      <c r="AJ21" s="241"/>
      <c r="AK21" s="45"/>
      <c r="AL21" s="45"/>
      <c r="AM21" s="65"/>
      <c r="AN21" s="65"/>
      <c r="AO21" s="65"/>
      <c r="AP21" s="65"/>
      <c r="AQ21" s="65"/>
      <c r="AR21" s="65"/>
      <c r="AS21" s="65"/>
      <c r="AT21" s="65"/>
      <c r="AU21" s="65"/>
      <c r="AV21" s="65"/>
      <c r="AW21" s="22"/>
      <c r="AX21" s="5" t="e">
        <f t="shared" si="5"/>
        <v>#DIV/0!</v>
      </c>
      <c r="AY21" s="24"/>
      <c r="AZ21" s="24"/>
      <c r="BA21" s="24"/>
      <c r="BB21" s="24"/>
      <c r="BC21" s="24"/>
      <c r="BD21" s="24"/>
      <c r="BE21" s="24"/>
      <c r="BF21" s="24"/>
      <c r="BG21" s="24"/>
      <c r="BH21" s="56"/>
      <c r="BI21" s="5" t="e">
        <f t="shared" si="6"/>
        <v>#DIV/0!</v>
      </c>
      <c r="BJ21" s="24"/>
      <c r="BK21" s="24"/>
      <c r="BL21" s="24" t="e">
        <f t="shared" si="7"/>
        <v>#DIV/0!</v>
      </c>
      <c r="BM21" s="5" t="e">
        <f t="shared" si="8"/>
        <v>#DIV/0!</v>
      </c>
      <c r="BN21" s="4"/>
      <c r="BO21" s="4">
        <v>17</v>
      </c>
      <c r="BP21" s="4">
        <v>17</v>
      </c>
      <c r="BQ21" s="255">
        <f t="shared" si="9"/>
        <v>0</v>
      </c>
      <c r="BR21" s="241"/>
      <c r="BS21" s="5"/>
      <c r="BT21" s="5"/>
      <c r="BU21" s="5"/>
      <c r="BV21" s="5"/>
      <c r="BW21" s="5"/>
      <c r="BX21" s="5"/>
      <c r="BY21" s="5"/>
      <c r="BZ21" s="5"/>
      <c r="CA21" s="5"/>
      <c r="CB21" s="5"/>
      <c r="CC21" s="5"/>
      <c r="CD21" s="5"/>
      <c r="CE21" s="5"/>
      <c r="CF21" s="5" t="e">
        <f t="shared" si="10"/>
        <v>#DIV/0!</v>
      </c>
      <c r="CG21" s="5"/>
      <c r="CH21" s="5"/>
      <c r="CI21" s="5"/>
      <c r="CJ21" s="5"/>
      <c r="CK21" s="5"/>
      <c r="CL21" s="5"/>
      <c r="CM21" s="5"/>
      <c r="CN21" s="5"/>
      <c r="CO21" s="5"/>
      <c r="CP21" s="5"/>
      <c r="CQ21" s="5" t="e">
        <f t="shared" si="11"/>
        <v>#DIV/0!</v>
      </c>
      <c r="CR21" s="5"/>
      <c r="CS21" s="5"/>
      <c r="CT21" s="5" t="e">
        <f t="shared" si="12"/>
        <v>#DIV/0!</v>
      </c>
      <c r="CU21" s="5" t="e">
        <f t="shared" si="13"/>
        <v>#DIV/0!</v>
      </c>
      <c r="CV21" s="4"/>
      <c r="CW21" s="59">
        <v>17</v>
      </c>
      <c r="CY21" s="186"/>
      <c r="CZ21" s="186"/>
      <c r="DA21" s="51"/>
      <c r="DB21" s="51"/>
      <c r="DC21" s="51"/>
      <c r="DD21" s="51"/>
      <c r="DE21" s="51"/>
      <c r="DF21" s="51"/>
      <c r="DG21" s="51"/>
      <c r="DH21" s="51"/>
      <c r="DI21" s="51"/>
      <c r="DJ21" s="51"/>
      <c r="DK21" s="51"/>
      <c r="DL21" s="51"/>
      <c r="DM21" s="51"/>
      <c r="DN21" s="51"/>
      <c r="EB21" s="51"/>
      <c r="EC21" s="51"/>
    </row>
    <row r="22" spans="1:133" ht="13.5" customHeight="1">
      <c r="A22" s="4">
        <v>18</v>
      </c>
      <c r="B22" s="10">
        <f>MAESTRO!F22</f>
        <v>0</v>
      </c>
      <c r="C22" s="5"/>
      <c r="D22" s="5"/>
      <c r="E22" s="5"/>
      <c r="F22" s="5"/>
      <c r="G22" s="5"/>
      <c r="H22" s="5"/>
      <c r="I22" s="5"/>
      <c r="J22" s="5"/>
      <c r="K22" s="5"/>
      <c r="L22" s="5"/>
      <c r="M22" s="5"/>
      <c r="N22" s="5"/>
      <c r="O22" s="5"/>
      <c r="P22" s="5" t="e">
        <f t="shared" si="0"/>
        <v>#DIV/0!</v>
      </c>
      <c r="Q22" s="43">
        <v>18</v>
      </c>
      <c r="R22" s="24"/>
      <c r="S22" s="24"/>
      <c r="T22" s="24"/>
      <c r="U22" s="24"/>
      <c r="V22" s="24"/>
      <c r="W22" s="24"/>
      <c r="X22" s="24"/>
      <c r="Y22" s="24"/>
      <c r="Z22" s="24"/>
      <c r="AA22" s="48" t="e">
        <f t="shared" si="1"/>
        <v>#DIV/0!</v>
      </c>
      <c r="AB22" s="4"/>
      <c r="AC22" s="45"/>
      <c r="AD22" s="5" t="e">
        <f t="shared" si="2"/>
        <v>#DIV/0!</v>
      </c>
      <c r="AE22" s="47" t="e">
        <f t="shared" si="3"/>
        <v>#DIV/0!</v>
      </c>
      <c r="AF22" s="4"/>
      <c r="AG22" s="4">
        <v>18</v>
      </c>
      <c r="AH22" s="4">
        <v>18</v>
      </c>
      <c r="AI22" s="255">
        <f t="shared" si="4"/>
        <v>0</v>
      </c>
      <c r="AJ22" s="241"/>
      <c r="AK22" s="65"/>
      <c r="AL22" s="66"/>
      <c r="AM22" s="65"/>
      <c r="AN22" s="65"/>
      <c r="AO22" s="65"/>
      <c r="AP22" s="65"/>
      <c r="AQ22" s="65"/>
      <c r="AR22" s="65"/>
      <c r="AS22" s="65"/>
      <c r="AT22" s="65"/>
      <c r="AU22" s="65"/>
      <c r="AV22" s="65"/>
      <c r="AW22" s="22"/>
      <c r="AX22" s="5" t="e">
        <f t="shared" si="5"/>
        <v>#DIV/0!</v>
      </c>
      <c r="AY22" s="24"/>
      <c r="AZ22" s="24"/>
      <c r="BA22" s="24"/>
      <c r="BB22" s="24"/>
      <c r="BC22" s="24"/>
      <c r="BD22" s="24"/>
      <c r="BE22" s="24"/>
      <c r="BF22" s="24"/>
      <c r="BG22" s="24"/>
      <c r="BH22" s="56"/>
      <c r="BI22" s="5" t="e">
        <f t="shared" si="6"/>
        <v>#DIV/0!</v>
      </c>
      <c r="BJ22" s="24"/>
      <c r="BK22" s="24"/>
      <c r="BL22" s="24" t="e">
        <f t="shared" si="7"/>
        <v>#DIV/0!</v>
      </c>
      <c r="BM22" s="5" t="e">
        <f t="shared" si="8"/>
        <v>#DIV/0!</v>
      </c>
      <c r="BN22" s="4"/>
      <c r="BO22" s="4">
        <v>18</v>
      </c>
      <c r="BP22" s="4">
        <v>18</v>
      </c>
      <c r="BQ22" s="255">
        <f t="shared" si="9"/>
        <v>0</v>
      </c>
      <c r="BR22" s="241"/>
      <c r="BS22" s="5"/>
      <c r="BT22" s="5"/>
      <c r="BU22" s="5"/>
      <c r="BV22" s="5"/>
      <c r="BW22" s="5"/>
      <c r="BX22" s="5"/>
      <c r="BY22" s="5"/>
      <c r="BZ22" s="5"/>
      <c r="CA22" s="5"/>
      <c r="CB22" s="5"/>
      <c r="CC22" s="5"/>
      <c r="CD22" s="5"/>
      <c r="CE22" s="5"/>
      <c r="CF22" s="5" t="e">
        <f t="shared" si="10"/>
        <v>#DIV/0!</v>
      </c>
      <c r="CG22" s="5"/>
      <c r="CH22" s="5"/>
      <c r="CI22" s="5"/>
      <c r="CJ22" s="5"/>
      <c r="CK22" s="5"/>
      <c r="CL22" s="5"/>
      <c r="CM22" s="5"/>
      <c r="CN22" s="5"/>
      <c r="CO22" s="5"/>
      <c r="CP22" s="5"/>
      <c r="CQ22" s="5" t="e">
        <f t="shared" si="11"/>
        <v>#DIV/0!</v>
      </c>
      <c r="CR22" s="5"/>
      <c r="CS22" s="5"/>
      <c r="CT22" s="5" t="e">
        <f t="shared" si="12"/>
        <v>#DIV/0!</v>
      </c>
      <c r="CU22" s="5" t="e">
        <f t="shared" si="13"/>
        <v>#DIV/0!</v>
      </c>
      <c r="CV22" s="4"/>
      <c r="CW22" s="59">
        <v>18</v>
      </c>
      <c r="CY22" s="186"/>
      <c r="CZ22" s="186"/>
      <c r="DA22" s="51"/>
      <c r="DB22" s="51"/>
      <c r="DC22" s="51"/>
      <c r="DD22" s="51"/>
      <c r="DE22" s="51"/>
      <c r="DF22" s="51"/>
      <c r="DG22" s="51"/>
      <c r="DH22" s="51"/>
      <c r="DI22" s="51"/>
      <c r="DJ22" s="51"/>
      <c r="DK22" s="51"/>
      <c r="DL22" s="51"/>
      <c r="DM22" s="51"/>
      <c r="DN22" s="51"/>
      <c r="EB22" s="51"/>
      <c r="EC22" s="51"/>
    </row>
    <row r="23" spans="1:133" ht="13.5" customHeight="1">
      <c r="A23" s="4">
        <v>19</v>
      </c>
      <c r="B23" s="10">
        <f>MAESTRO!F23</f>
        <v>0</v>
      </c>
      <c r="C23" s="5"/>
      <c r="D23" s="5"/>
      <c r="E23" s="5"/>
      <c r="F23" s="5"/>
      <c r="G23" s="5"/>
      <c r="H23" s="5"/>
      <c r="I23" s="5"/>
      <c r="J23" s="5"/>
      <c r="K23" s="5"/>
      <c r="L23" s="5"/>
      <c r="M23" s="5"/>
      <c r="N23" s="5"/>
      <c r="O23" s="5"/>
      <c r="P23" s="5" t="e">
        <f t="shared" si="0"/>
        <v>#DIV/0!</v>
      </c>
      <c r="Q23" s="43">
        <v>19</v>
      </c>
      <c r="R23" s="24"/>
      <c r="S23" s="24"/>
      <c r="T23" s="24"/>
      <c r="U23" s="24"/>
      <c r="V23" s="24"/>
      <c r="W23" s="24"/>
      <c r="X23" s="24"/>
      <c r="Y23" s="24"/>
      <c r="Z23" s="24"/>
      <c r="AA23" s="48" t="e">
        <f t="shared" si="1"/>
        <v>#DIV/0!</v>
      </c>
      <c r="AB23" s="4"/>
      <c r="AC23" s="45"/>
      <c r="AD23" s="5" t="e">
        <f t="shared" si="2"/>
        <v>#DIV/0!</v>
      </c>
      <c r="AE23" s="47" t="e">
        <f t="shared" si="3"/>
        <v>#DIV/0!</v>
      </c>
      <c r="AF23" s="4"/>
      <c r="AG23" s="4">
        <v>19</v>
      </c>
      <c r="AH23" s="4">
        <v>19</v>
      </c>
      <c r="AI23" s="255">
        <f t="shared" si="4"/>
        <v>0</v>
      </c>
      <c r="AJ23" s="241"/>
      <c r="AK23" s="66"/>
      <c r="AL23" s="65"/>
      <c r="AM23" s="65"/>
      <c r="AN23" s="65"/>
      <c r="AO23" s="65"/>
      <c r="AP23" s="65"/>
      <c r="AQ23" s="65"/>
      <c r="AR23" s="65"/>
      <c r="AS23" s="65"/>
      <c r="AT23" s="65"/>
      <c r="AU23" s="65"/>
      <c r="AV23" s="65"/>
      <c r="AW23" s="22"/>
      <c r="AX23" s="5" t="e">
        <f t="shared" si="5"/>
        <v>#DIV/0!</v>
      </c>
      <c r="AY23" s="24"/>
      <c r="AZ23" s="24"/>
      <c r="BA23" s="24"/>
      <c r="BB23" s="24"/>
      <c r="BC23" s="24"/>
      <c r="BD23" s="24"/>
      <c r="BE23" s="24"/>
      <c r="BF23" s="24"/>
      <c r="BG23" s="24"/>
      <c r="BH23" s="56"/>
      <c r="BI23" s="5" t="e">
        <f t="shared" si="6"/>
        <v>#DIV/0!</v>
      </c>
      <c r="BJ23" s="24"/>
      <c r="BK23" s="24"/>
      <c r="BL23" s="24" t="e">
        <f t="shared" si="7"/>
        <v>#DIV/0!</v>
      </c>
      <c r="BM23" s="5" t="e">
        <f t="shared" si="8"/>
        <v>#DIV/0!</v>
      </c>
      <c r="BN23" s="4"/>
      <c r="BO23" s="4">
        <v>19</v>
      </c>
      <c r="BP23" s="4">
        <v>19</v>
      </c>
      <c r="BQ23" s="255">
        <f t="shared" si="9"/>
        <v>0</v>
      </c>
      <c r="BR23" s="241"/>
      <c r="BS23" s="5"/>
      <c r="BT23" s="5"/>
      <c r="BU23" s="5"/>
      <c r="BV23" s="5"/>
      <c r="BW23" s="5"/>
      <c r="BX23" s="5"/>
      <c r="BY23" s="5"/>
      <c r="BZ23" s="5"/>
      <c r="CA23" s="5"/>
      <c r="CB23" s="5"/>
      <c r="CC23" s="5"/>
      <c r="CD23" s="5"/>
      <c r="CE23" s="5"/>
      <c r="CF23" s="5" t="e">
        <f t="shared" si="10"/>
        <v>#DIV/0!</v>
      </c>
      <c r="CG23" s="5"/>
      <c r="CH23" s="5"/>
      <c r="CI23" s="5"/>
      <c r="CJ23" s="5"/>
      <c r="CK23" s="5"/>
      <c r="CL23" s="5"/>
      <c r="CM23" s="5"/>
      <c r="CN23" s="5"/>
      <c r="CO23" s="5"/>
      <c r="CP23" s="5"/>
      <c r="CQ23" s="5" t="e">
        <f t="shared" si="11"/>
        <v>#DIV/0!</v>
      </c>
      <c r="CR23" s="5"/>
      <c r="CS23" s="5"/>
      <c r="CT23" s="5" t="e">
        <f t="shared" si="12"/>
        <v>#DIV/0!</v>
      </c>
      <c r="CU23" s="5" t="e">
        <f t="shared" si="13"/>
        <v>#DIV/0!</v>
      </c>
      <c r="CV23" s="4"/>
      <c r="CW23" s="59">
        <v>19</v>
      </c>
      <c r="CY23" s="186"/>
      <c r="CZ23" s="186"/>
      <c r="DA23" s="51"/>
      <c r="DB23" s="51"/>
      <c r="DC23" s="51"/>
      <c r="DD23" s="51"/>
      <c r="DE23" s="51"/>
      <c r="DF23" s="51"/>
      <c r="DG23" s="51"/>
      <c r="DH23" s="51"/>
      <c r="DI23" s="51"/>
      <c r="DJ23" s="51"/>
      <c r="DK23" s="51"/>
      <c r="DL23" s="51"/>
      <c r="DM23" s="51"/>
      <c r="DN23" s="51"/>
      <c r="EB23" s="51"/>
      <c r="EC23" s="51"/>
    </row>
    <row r="24" spans="1:133" ht="13.5" customHeight="1">
      <c r="A24" s="4">
        <v>20</v>
      </c>
      <c r="B24" s="10">
        <f>MAESTRO!F24</f>
        <v>0</v>
      </c>
      <c r="C24" s="5"/>
      <c r="D24" s="5"/>
      <c r="E24" s="5"/>
      <c r="F24" s="5"/>
      <c r="G24" s="5"/>
      <c r="H24" s="5"/>
      <c r="I24" s="5"/>
      <c r="J24" s="5"/>
      <c r="K24" s="5"/>
      <c r="L24" s="5"/>
      <c r="M24" s="5"/>
      <c r="N24" s="5"/>
      <c r="O24" s="5"/>
      <c r="P24" s="5" t="e">
        <f t="shared" si="0"/>
        <v>#DIV/0!</v>
      </c>
      <c r="Q24" s="43">
        <v>20</v>
      </c>
      <c r="R24" s="24"/>
      <c r="S24" s="24"/>
      <c r="T24" s="24"/>
      <c r="U24" s="24"/>
      <c r="V24" s="24"/>
      <c r="W24" s="24"/>
      <c r="X24" s="24"/>
      <c r="Y24" s="24"/>
      <c r="Z24" s="24"/>
      <c r="AA24" s="48" t="e">
        <f t="shared" si="1"/>
        <v>#DIV/0!</v>
      </c>
      <c r="AB24" s="4"/>
      <c r="AC24" s="45"/>
      <c r="AD24" s="5" t="e">
        <f t="shared" si="2"/>
        <v>#DIV/0!</v>
      </c>
      <c r="AE24" s="47" t="e">
        <f t="shared" si="3"/>
        <v>#DIV/0!</v>
      </c>
      <c r="AF24" s="4"/>
      <c r="AG24" s="4">
        <v>20</v>
      </c>
      <c r="AH24" s="4">
        <v>20</v>
      </c>
      <c r="AI24" s="255">
        <f t="shared" si="4"/>
        <v>0</v>
      </c>
      <c r="AJ24" s="241"/>
      <c r="AK24" s="65"/>
      <c r="AL24" s="65"/>
      <c r="AM24" s="65"/>
      <c r="AN24" s="65"/>
      <c r="AO24" s="65"/>
      <c r="AP24" s="65"/>
      <c r="AQ24" s="65"/>
      <c r="AR24" s="65"/>
      <c r="AS24" s="65"/>
      <c r="AT24" s="65"/>
      <c r="AU24" s="65"/>
      <c r="AV24" s="65"/>
      <c r="AW24" s="22"/>
      <c r="AX24" s="5" t="e">
        <f t="shared" si="5"/>
        <v>#DIV/0!</v>
      </c>
      <c r="AY24" s="24"/>
      <c r="AZ24" s="24"/>
      <c r="BA24" s="24"/>
      <c r="BB24" s="24"/>
      <c r="BC24" s="24"/>
      <c r="BD24" s="24"/>
      <c r="BE24" s="24"/>
      <c r="BF24" s="24"/>
      <c r="BG24" s="24"/>
      <c r="BH24" s="56"/>
      <c r="BI24" s="5" t="e">
        <f t="shared" si="6"/>
        <v>#DIV/0!</v>
      </c>
      <c r="BJ24" s="24"/>
      <c r="BK24" s="24"/>
      <c r="BL24" s="24" t="e">
        <f t="shared" si="7"/>
        <v>#DIV/0!</v>
      </c>
      <c r="BM24" s="5" t="e">
        <f t="shared" si="8"/>
        <v>#DIV/0!</v>
      </c>
      <c r="BN24" s="4"/>
      <c r="BO24" s="4">
        <v>20</v>
      </c>
      <c r="BP24" s="4">
        <v>20</v>
      </c>
      <c r="BQ24" s="255">
        <f t="shared" si="9"/>
        <v>0</v>
      </c>
      <c r="BR24" s="241"/>
      <c r="BS24" s="5"/>
      <c r="BT24" s="5"/>
      <c r="BU24" s="5"/>
      <c r="BV24" s="5"/>
      <c r="BW24" s="5"/>
      <c r="BX24" s="5"/>
      <c r="BY24" s="5"/>
      <c r="BZ24" s="5"/>
      <c r="CA24" s="5"/>
      <c r="CB24" s="5"/>
      <c r="CC24" s="5"/>
      <c r="CD24" s="5"/>
      <c r="CE24" s="5"/>
      <c r="CF24" s="5" t="e">
        <f t="shared" si="10"/>
        <v>#DIV/0!</v>
      </c>
      <c r="CG24" s="5"/>
      <c r="CH24" s="5"/>
      <c r="CI24" s="5"/>
      <c r="CJ24" s="5"/>
      <c r="CK24" s="5"/>
      <c r="CL24" s="5"/>
      <c r="CM24" s="5"/>
      <c r="CN24" s="5"/>
      <c r="CO24" s="5"/>
      <c r="CP24" s="5"/>
      <c r="CQ24" s="5" t="e">
        <f t="shared" si="11"/>
        <v>#DIV/0!</v>
      </c>
      <c r="CR24" s="5"/>
      <c r="CS24" s="5"/>
      <c r="CT24" s="5" t="e">
        <f t="shared" si="12"/>
        <v>#DIV/0!</v>
      </c>
      <c r="CU24" s="5" t="e">
        <f t="shared" si="13"/>
        <v>#DIV/0!</v>
      </c>
      <c r="CV24" s="4"/>
      <c r="CW24" s="59">
        <v>20</v>
      </c>
      <c r="CY24" s="186"/>
      <c r="CZ24" s="186"/>
      <c r="DA24" s="51"/>
      <c r="DB24" s="51"/>
      <c r="DC24" s="51"/>
      <c r="DD24" s="51"/>
      <c r="DE24" s="51"/>
      <c r="DF24" s="51"/>
      <c r="DG24" s="51"/>
      <c r="DH24" s="51"/>
      <c r="DI24" s="51"/>
      <c r="DJ24" s="51"/>
      <c r="DK24" s="51"/>
      <c r="DL24" s="51"/>
      <c r="DM24" s="51"/>
      <c r="DN24" s="51"/>
      <c r="EB24" s="51"/>
      <c r="EC24" s="51"/>
    </row>
    <row r="25" spans="1:133" ht="13.5" customHeight="1">
      <c r="A25" s="4">
        <v>21</v>
      </c>
      <c r="B25" s="10">
        <f>MAESTRO!F25</f>
        <v>0</v>
      </c>
      <c r="C25" s="5"/>
      <c r="D25" s="5"/>
      <c r="E25" s="5"/>
      <c r="F25" s="5"/>
      <c r="G25" s="5"/>
      <c r="H25" s="5"/>
      <c r="I25" s="5"/>
      <c r="J25" s="5"/>
      <c r="K25" s="5"/>
      <c r="L25" s="5"/>
      <c r="M25" s="5"/>
      <c r="N25" s="5"/>
      <c r="O25" s="5"/>
      <c r="P25" s="5" t="e">
        <f t="shared" si="0"/>
        <v>#DIV/0!</v>
      </c>
      <c r="Q25" s="43">
        <v>21</v>
      </c>
      <c r="R25" s="24"/>
      <c r="S25" s="24"/>
      <c r="T25" s="24"/>
      <c r="U25" s="24"/>
      <c r="V25" s="24"/>
      <c r="W25" s="24"/>
      <c r="X25" s="24"/>
      <c r="Y25" s="24"/>
      <c r="Z25" s="24"/>
      <c r="AA25" s="48" t="e">
        <f t="shared" si="1"/>
        <v>#DIV/0!</v>
      </c>
      <c r="AB25" s="4"/>
      <c r="AC25" s="45"/>
      <c r="AD25" s="5" t="e">
        <f t="shared" si="2"/>
        <v>#DIV/0!</v>
      </c>
      <c r="AE25" s="47" t="e">
        <f t="shared" si="3"/>
        <v>#DIV/0!</v>
      </c>
      <c r="AF25" s="4"/>
      <c r="AG25" s="4">
        <v>21</v>
      </c>
      <c r="AH25" s="4">
        <v>21</v>
      </c>
      <c r="AI25" s="255">
        <f t="shared" si="4"/>
        <v>0</v>
      </c>
      <c r="AJ25" s="241"/>
      <c r="AK25" s="65"/>
      <c r="AL25" s="65"/>
      <c r="AM25" s="65"/>
      <c r="AN25" s="65"/>
      <c r="AO25" s="65"/>
      <c r="AP25" s="65"/>
      <c r="AQ25" s="65"/>
      <c r="AR25" s="65"/>
      <c r="AS25" s="65"/>
      <c r="AT25" s="65"/>
      <c r="AU25" s="65"/>
      <c r="AV25" s="65"/>
      <c r="AW25" s="22"/>
      <c r="AX25" s="5" t="e">
        <f t="shared" si="5"/>
        <v>#DIV/0!</v>
      </c>
      <c r="AY25" s="24"/>
      <c r="AZ25" s="106"/>
      <c r="BA25" s="24"/>
      <c r="BB25" s="24"/>
      <c r="BC25" s="24"/>
      <c r="BD25" s="24"/>
      <c r="BE25" s="24"/>
      <c r="BF25" s="24"/>
      <c r="BG25" s="24"/>
      <c r="BH25" s="56"/>
      <c r="BI25" s="5" t="e">
        <f t="shared" si="6"/>
        <v>#DIV/0!</v>
      </c>
      <c r="BJ25" s="24"/>
      <c r="BK25" s="24"/>
      <c r="BL25" s="24" t="e">
        <f t="shared" si="7"/>
        <v>#DIV/0!</v>
      </c>
      <c r="BM25" s="5" t="e">
        <f t="shared" si="8"/>
        <v>#DIV/0!</v>
      </c>
      <c r="BN25" s="4"/>
      <c r="BO25" s="4">
        <v>21</v>
      </c>
      <c r="BP25" s="4">
        <v>21</v>
      </c>
      <c r="BQ25" s="255">
        <f t="shared" si="9"/>
        <v>0</v>
      </c>
      <c r="BR25" s="241"/>
      <c r="BS25" s="5"/>
      <c r="BT25" s="5"/>
      <c r="BU25" s="5"/>
      <c r="BV25" s="5"/>
      <c r="BW25" s="5"/>
      <c r="BX25" s="5"/>
      <c r="BY25" s="5"/>
      <c r="BZ25" s="5"/>
      <c r="CA25" s="5"/>
      <c r="CB25" s="5"/>
      <c r="CC25" s="5"/>
      <c r="CD25" s="5"/>
      <c r="CE25" s="5"/>
      <c r="CF25" s="5" t="e">
        <f t="shared" si="10"/>
        <v>#DIV/0!</v>
      </c>
      <c r="CG25" s="5"/>
      <c r="CH25" s="5"/>
      <c r="CI25" s="5"/>
      <c r="CJ25" s="5"/>
      <c r="CK25" s="5"/>
      <c r="CL25" s="5"/>
      <c r="CM25" s="5"/>
      <c r="CN25" s="5"/>
      <c r="CO25" s="5"/>
      <c r="CP25" s="5"/>
      <c r="CQ25" s="5" t="e">
        <f t="shared" si="11"/>
        <v>#DIV/0!</v>
      </c>
      <c r="CR25" s="5"/>
      <c r="CS25" s="5"/>
      <c r="CT25" s="5" t="e">
        <f t="shared" si="12"/>
        <v>#DIV/0!</v>
      </c>
      <c r="CU25" s="5" t="e">
        <f t="shared" si="13"/>
        <v>#DIV/0!</v>
      </c>
      <c r="CV25" s="4"/>
      <c r="CW25" s="59">
        <v>21</v>
      </c>
      <c r="CY25" s="186"/>
      <c r="CZ25" s="186"/>
      <c r="DA25" s="51"/>
      <c r="DB25" s="51"/>
      <c r="DC25" s="51"/>
      <c r="DD25" s="51"/>
      <c r="DE25" s="51"/>
      <c r="DF25" s="51"/>
      <c r="DG25" s="51"/>
      <c r="DH25" s="51"/>
      <c r="DI25" s="51"/>
      <c r="DJ25" s="51"/>
      <c r="DK25" s="51"/>
      <c r="DL25" s="51"/>
      <c r="DM25" s="51"/>
      <c r="DN25" s="51"/>
      <c r="EB25" s="51"/>
      <c r="EC25" s="51"/>
    </row>
    <row r="26" spans="1:133" ht="13.5" customHeight="1">
      <c r="A26" s="4">
        <v>22</v>
      </c>
      <c r="B26" s="10">
        <f>MAESTRO!F26</f>
        <v>0</v>
      </c>
      <c r="C26" s="5"/>
      <c r="D26" s="5"/>
      <c r="E26" s="5"/>
      <c r="F26" s="5"/>
      <c r="G26" s="5"/>
      <c r="H26" s="5"/>
      <c r="I26" s="5"/>
      <c r="J26" s="5"/>
      <c r="K26" s="5"/>
      <c r="L26" s="5"/>
      <c r="M26" s="5"/>
      <c r="N26" s="5"/>
      <c r="O26" s="5"/>
      <c r="P26" s="5" t="e">
        <f t="shared" si="0"/>
        <v>#DIV/0!</v>
      </c>
      <c r="Q26" s="43">
        <v>22</v>
      </c>
      <c r="R26" s="24"/>
      <c r="S26" s="24"/>
      <c r="T26" s="24"/>
      <c r="U26" s="24"/>
      <c r="V26" s="24"/>
      <c r="W26" s="24"/>
      <c r="X26" s="24"/>
      <c r="Y26" s="24"/>
      <c r="Z26" s="24"/>
      <c r="AA26" s="48" t="e">
        <f t="shared" si="1"/>
        <v>#DIV/0!</v>
      </c>
      <c r="AB26" s="4"/>
      <c r="AC26" s="45"/>
      <c r="AD26" s="5" t="e">
        <f t="shared" si="2"/>
        <v>#DIV/0!</v>
      </c>
      <c r="AE26" s="47" t="e">
        <f t="shared" si="3"/>
        <v>#DIV/0!</v>
      </c>
      <c r="AF26" s="4"/>
      <c r="AG26" s="4">
        <v>22</v>
      </c>
      <c r="AH26" s="4">
        <v>22</v>
      </c>
      <c r="AI26" s="255">
        <f t="shared" si="4"/>
        <v>0</v>
      </c>
      <c r="AJ26" s="241"/>
      <c r="AK26" s="65"/>
      <c r="AL26" s="65"/>
      <c r="AM26" s="65"/>
      <c r="AN26" s="65"/>
      <c r="AO26" s="65"/>
      <c r="AP26" s="65"/>
      <c r="AQ26" s="65"/>
      <c r="AR26" s="65"/>
      <c r="AS26" s="65"/>
      <c r="AT26" s="65"/>
      <c r="AU26" s="65"/>
      <c r="AV26" s="65"/>
      <c r="AW26" s="22"/>
      <c r="AX26" s="5" t="e">
        <f t="shared" si="5"/>
        <v>#DIV/0!</v>
      </c>
      <c r="AY26" s="24"/>
      <c r="AZ26" s="106"/>
      <c r="BA26" s="24"/>
      <c r="BB26" s="24"/>
      <c r="BC26" s="24"/>
      <c r="BD26" s="24"/>
      <c r="BE26" s="24"/>
      <c r="BF26" s="24"/>
      <c r="BG26" s="24"/>
      <c r="BH26" s="56"/>
      <c r="BI26" s="5" t="e">
        <f t="shared" si="6"/>
        <v>#DIV/0!</v>
      </c>
      <c r="BJ26" s="24"/>
      <c r="BK26" s="24"/>
      <c r="BL26" s="24" t="e">
        <f t="shared" si="7"/>
        <v>#DIV/0!</v>
      </c>
      <c r="BM26" s="5" t="e">
        <f t="shared" si="8"/>
        <v>#DIV/0!</v>
      </c>
      <c r="BN26" s="4"/>
      <c r="BO26" s="4">
        <v>22</v>
      </c>
      <c r="BP26" s="4">
        <v>22</v>
      </c>
      <c r="BQ26" s="255">
        <f t="shared" si="9"/>
        <v>0</v>
      </c>
      <c r="BR26" s="241"/>
      <c r="BS26" s="5"/>
      <c r="BT26" s="5"/>
      <c r="BU26" s="5"/>
      <c r="BV26" s="5"/>
      <c r="BW26" s="5"/>
      <c r="BX26" s="5"/>
      <c r="BY26" s="5"/>
      <c r="BZ26" s="5"/>
      <c r="CA26" s="5"/>
      <c r="CB26" s="5"/>
      <c r="CC26" s="5"/>
      <c r="CD26" s="5"/>
      <c r="CE26" s="5"/>
      <c r="CF26" s="5" t="e">
        <f t="shared" si="10"/>
        <v>#DIV/0!</v>
      </c>
      <c r="CG26" s="5"/>
      <c r="CH26" s="5"/>
      <c r="CI26" s="5"/>
      <c r="CJ26" s="5"/>
      <c r="CK26" s="5"/>
      <c r="CL26" s="5"/>
      <c r="CM26" s="5"/>
      <c r="CN26" s="5"/>
      <c r="CO26" s="5"/>
      <c r="CP26" s="5"/>
      <c r="CQ26" s="5" t="e">
        <f t="shared" si="11"/>
        <v>#DIV/0!</v>
      </c>
      <c r="CR26" s="5"/>
      <c r="CS26" s="5"/>
      <c r="CT26" s="5" t="e">
        <f t="shared" si="12"/>
        <v>#DIV/0!</v>
      </c>
      <c r="CU26" s="5" t="e">
        <f t="shared" si="13"/>
        <v>#DIV/0!</v>
      </c>
      <c r="CV26" s="4"/>
      <c r="CW26" s="59">
        <v>22</v>
      </c>
      <c r="CY26" s="186"/>
      <c r="CZ26" s="186"/>
      <c r="DA26" s="51"/>
      <c r="DB26" s="51"/>
      <c r="DC26" s="51"/>
      <c r="DD26" s="51"/>
      <c r="DE26" s="51"/>
      <c r="DF26" s="51"/>
      <c r="DG26" s="51"/>
      <c r="DH26" s="51"/>
      <c r="DI26" s="51"/>
      <c r="DJ26" s="51"/>
      <c r="DK26" s="51"/>
      <c r="DL26" s="51"/>
      <c r="DM26" s="51"/>
      <c r="DN26" s="51"/>
      <c r="EB26" s="51"/>
      <c r="EC26" s="51"/>
    </row>
    <row r="27" spans="1:133" ht="13.5" customHeight="1">
      <c r="A27" s="4">
        <v>23</v>
      </c>
      <c r="B27" s="10">
        <f>MAESTRO!F27</f>
        <v>0</v>
      </c>
      <c r="C27" s="5"/>
      <c r="D27" s="5"/>
      <c r="E27" s="5"/>
      <c r="F27" s="5"/>
      <c r="G27" s="5"/>
      <c r="H27" s="5"/>
      <c r="I27" s="5"/>
      <c r="J27" s="5"/>
      <c r="K27" s="5"/>
      <c r="L27" s="5"/>
      <c r="M27" s="5"/>
      <c r="N27" s="5"/>
      <c r="O27" s="5"/>
      <c r="P27" s="5" t="e">
        <f t="shared" si="0"/>
        <v>#DIV/0!</v>
      </c>
      <c r="Q27" s="43">
        <v>23</v>
      </c>
      <c r="R27" s="24"/>
      <c r="S27" s="24"/>
      <c r="T27" s="24"/>
      <c r="U27" s="24"/>
      <c r="V27" s="24"/>
      <c r="W27" s="24"/>
      <c r="X27" s="24"/>
      <c r="Y27" s="24"/>
      <c r="Z27" s="24"/>
      <c r="AA27" s="48" t="e">
        <f t="shared" si="1"/>
        <v>#DIV/0!</v>
      </c>
      <c r="AB27" s="4"/>
      <c r="AC27" s="45"/>
      <c r="AD27" s="5" t="e">
        <f t="shared" si="2"/>
        <v>#DIV/0!</v>
      </c>
      <c r="AE27" s="47" t="e">
        <f t="shared" si="3"/>
        <v>#DIV/0!</v>
      </c>
      <c r="AF27" s="4"/>
      <c r="AG27" s="4">
        <v>23</v>
      </c>
      <c r="AH27" s="4">
        <v>23</v>
      </c>
      <c r="AI27" s="255">
        <f t="shared" si="4"/>
        <v>0</v>
      </c>
      <c r="AJ27" s="241"/>
      <c r="AK27" s="65"/>
      <c r="AL27" s="65"/>
      <c r="AM27" s="65"/>
      <c r="AN27" s="65"/>
      <c r="AO27" s="65"/>
      <c r="AP27" s="65"/>
      <c r="AQ27" s="65"/>
      <c r="AR27" s="65"/>
      <c r="AS27" s="65"/>
      <c r="AT27" s="65"/>
      <c r="AU27" s="65"/>
      <c r="AV27" s="65"/>
      <c r="AW27" s="22"/>
      <c r="AX27" s="5" t="e">
        <f t="shared" si="5"/>
        <v>#DIV/0!</v>
      </c>
      <c r="AY27" s="24"/>
      <c r="AZ27" s="106"/>
      <c r="BA27" s="24"/>
      <c r="BB27" s="24"/>
      <c r="BC27" s="24"/>
      <c r="BD27" s="24"/>
      <c r="BE27" s="24"/>
      <c r="BF27" s="24"/>
      <c r="BG27" s="24"/>
      <c r="BH27" s="56"/>
      <c r="BI27" s="5" t="e">
        <f t="shared" si="6"/>
        <v>#DIV/0!</v>
      </c>
      <c r="BJ27" s="24"/>
      <c r="BK27" s="24"/>
      <c r="BL27" s="24" t="e">
        <f t="shared" si="7"/>
        <v>#DIV/0!</v>
      </c>
      <c r="BM27" s="5" t="e">
        <f t="shared" si="8"/>
        <v>#DIV/0!</v>
      </c>
      <c r="BN27" s="4"/>
      <c r="BO27" s="4">
        <v>23</v>
      </c>
      <c r="BP27" s="4">
        <v>23</v>
      </c>
      <c r="BQ27" s="255">
        <f t="shared" si="9"/>
        <v>0</v>
      </c>
      <c r="BR27" s="241"/>
      <c r="BS27" s="5"/>
      <c r="BT27" s="5"/>
      <c r="BU27" s="5"/>
      <c r="BV27" s="5"/>
      <c r="BW27" s="5"/>
      <c r="BX27" s="5"/>
      <c r="BY27" s="5"/>
      <c r="BZ27" s="5"/>
      <c r="CA27" s="5"/>
      <c r="CB27" s="5"/>
      <c r="CC27" s="5"/>
      <c r="CD27" s="5"/>
      <c r="CE27" s="5"/>
      <c r="CF27" s="5" t="e">
        <f t="shared" si="10"/>
        <v>#DIV/0!</v>
      </c>
      <c r="CG27" s="5"/>
      <c r="CH27" s="5"/>
      <c r="CI27" s="5"/>
      <c r="CJ27" s="5"/>
      <c r="CK27" s="5"/>
      <c r="CL27" s="5"/>
      <c r="CM27" s="5"/>
      <c r="CN27" s="5"/>
      <c r="CO27" s="5"/>
      <c r="CP27" s="5"/>
      <c r="CQ27" s="5" t="e">
        <f t="shared" si="11"/>
        <v>#DIV/0!</v>
      </c>
      <c r="CR27" s="5"/>
      <c r="CS27" s="5"/>
      <c r="CT27" s="5" t="e">
        <f t="shared" si="12"/>
        <v>#DIV/0!</v>
      </c>
      <c r="CU27" s="5" t="e">
        <f t="shared" si="13"/>
        <v>#DIV/0!</v>
      </c>
      <c r="CV27" s="4"/>
      <c r="CW27" s="59">
        <v>23</v>
      </c>
      <c r="CY27" s="186"/>
      <c r="CZ27" s="186"/>
      <c r="DA27" s="51"/>
      <c r="DB27" s="51"/>
      <c r="DC27" s="51"/>
      <c r="DD27" s="51"/>
      <c r="DE27" s="51"/>
      <c r="DF27" s="51"/>
      <c r="DG27" s="51"/>
      <c r="DH27" s="51"/>
      <c r="DI27" s="51"/>
      <c r="DJ27" s="51"/>
      <c r="DK27" s="51"/>
      <c r="DL27" s="51"/>
      <c r="DM27" s="51"/>
      <c r="DN27" s="51"/>
      <c r="EB27" s="51"/>
      <c r="EC27" s="51"/>
    </row>
    <row r="28" spans="1:133" ht="13.5" customHeight="1">
      <c r="A28" s="4">
        <v>24</v>
      </c>
      <c r="B28" s="10">
        <f>MAESTRO!F28</f>
        <v>0</v>
      </c>
      <c r="C28" s="103"/>
      <c r="D28" s="103"/>
      <c r="E28" s="103"/>
      <c r="F28" s="5"/>
      <c r="G28" s="5"/>
      <c r="H28" s="5"/>
      <c r="I28" s="5"/>
      <c r="J28" s="5"/>
      <c r="K28" s="5"/>
      <c r="L28" s="5"/>
      <c r="M28" s="5"/>
      <c r="N28" s="5"/>
      <c r="O28" s="5"/>
      <c r="P28" s="5" t="e">
        <f t="shared" si="0"/>
        <v>#DIV/0!</v>
      </c>
      <c r="Q28" s="43">
        <v>24</v>
      </c>
      <c r="R28" s="24"/>
      <c r="S28" s="24"/>
      <c r="T28" s="24"/>
      <c r="U28" s="24"/>
      <c r="V28" s="24"/>
      <c r="W28" s="24"/>
      <c r="X28" s="24"/>
      <c r="Y28" s="24"/>
      <c r="Z28" s="24"/>
      <c r="AA28" s="48" t="e">
        <f t="shared" si="1"/>
        <v>#DIV/0!</v>
      </c>
      <c r="AB28" s="4"/>
      <c r="AC28" s="45"/>
      <c r="AD28" s="5" t="e">
        <f t="shared" si="2"/>
        <v>#DIV/0!</v>
      </c>
      <c r="AE28" s="47" t="e">
        <f t="shared" si="3"/>
        <v>#DIV/0!</v>
      </c>
      <c r="AF28" s="4"/>
      <c r="AG28" s="4">
        <v>24</v>
      </c>
      <c r="AH28" s="4">
        <v>24</v>
      </c>
      <c r="AI28" s="255">
        <f t="shared" si="4"/>
        <v>0</v>
      </c>
      <c r="AJ28" s="241"/>
      <c r="AK28" s="65"/>
      <c r="AL28" s="65"/>
      <c r="AM28" s="65"/>
      <c r="AN28" s="65"/>
      <c r="AO28" s="65"/>
      <c r="AP28" s="65"/>
      <c r="AQ28" s="65"/>
      <c r="AR28" s="65"/>
      <c r="AS28" s="65"/>
      <c r="AT28" s="65"/>
      <c r="AU28" s="65"/>
      <c r="AV28" s="65"/>
      <c r="AW28" s="22"/>
      <c r="AX28" s="5" t="e">
        <f t="shared" si="5"/>
        <v>#DIV/0!</v>
      </c>
      <c r="AY28" s="24"/>
      <c r="AZ28" s="106"/>
      <c r="BA28" s="24"/>
      <c r="BB28" s="24"/>
      <c r="BC28" s="24"/>
      <c r="BD28" s="24"/>
      <c r="BE28" s="24"/>
      <c r="BF28" s="24"/>
      <c r="BG28" s="24"/>
      <c r="BH28" s="56"/>
      <c r="BI28" s="5" t="e">
        <f t="shared" si="6"/>
        <v>#DIV/0!</v>
      </c>
      <c r="BJ28" s="24"/>
      <c r="BK28" s="24"/>
      <c r="BL28" s="24" t="e">
        <f t="shared" si="7"/>
        <v>#DIV/0!</v>
      </c>
      <c r="BM28" s="5" t="e">
        <f t="shared" si="8"/>
        <v>#DIV/0!</v>
      </c>
      <c r="BN28" s="4"/>
      <c r="BO28" s="4">
        <v>24</v>
      </c>
      <c r="BP28" s="4">
        <v>24</v>
      </c>
      <c r="BQ28" s="255">
        <f t="shared" si="9"/>
        <v>0</v>
      </c>
      <c r="BR28" s="241"/>
      <c r="BS28" s="5"/>
      <c r="BT28" s="5"/>
      <c r="BU28" s="5"/>
      <c r="BV28" s="5"/>
      <c r="BW28" s="5"/>
      <c r="BX28" s="5"/>
      <c r="BY28" s="5"/>
      <c r="BZ28" s="5"/>
      <c r="CA28" s="5"/>
      <c r="CB28" s="5"/>
      <c r="CC28" s="5"/>
      <c r="CD28" s="5"/>
      <c r="CE28" s="5"/>
      <c r="CF28" s="5" t="e">
        <f t="shared" si="10"/>
        <v>#DIV/0!</v>
      </c>
      <c r="CG28" s="5"/>
      <c r="CH28" s="5"/>
      <c r="CI28" s="5"/>
      <c r="CJ28" s="103"/>
      <c r="CK28" s="5"/>
      <c r="CL28" s="5"/>
      <c r="CM28" s="5"/>
      <c r="CN28" s="5"/>
      <c r="CO28" s="5"/>
      <c r="CP28" s="5"/>
      <c r="CQ28" s="5" t="e">
        <f t="shared" si="11"/>
        <v>#DIV/0!</v>
      </c>
      <c r="CR28" s="5"/>
      <c r="CS28" s="5"/>
      <c r="CT28" s="5" t="e">
        <f t="shared" si="12"/>
        <v>#DIV/0!</v>
      </c>
      <c r="CU28" s="5" t="e">
        <f t="shared" si="13"/>
        <v>#DIV/0!</v>
      </c>
      <c r="CV28" s="4"/>
      <c r="CW28" s="59">
        <v>24</v>
      </c>
      <c r="CY28" s="186"/>
      <c r="CZ28" s="186"/>
      <c r="DA28" s="51"/>
      <c r="DB28" s="51"/>
      <c r="DC28" s="51"/>
      <c r="DD28" s="51"/>
      <c r="DE28" s="51"/>
      <c r="DF28" s="51"/>
      <c r="DG28" s="51"/>
      <c r="DH28" s="51"/>
      <c r="DI28" s="51"/>
      <c r="DJ28" s="51"/>
      <c r="DK28" s="51"/>
      <c r="DL28" s="51"/>
      <c r="DM28" s="51"/>
      <c r="DN28" s="51"/>
      <c r="EB28" s="51"/>
      <c r="EC28" s="51"/>
    </row>
    <row r="29" spans="1:133" ht="13.5" customHeight="1">
      <c r="A29" s="4">
        <v>25</v>
      </c>
      <c r="B29" s="10">
        <f>MAESTRO!F29</f>
        <v>0</v>
      </c>
      <c r="C29" s="103"/>
      <c r="D29" s="103"/>
      <c r="E29" s="103"/>
      <c r="F29" s="5"/>
      <c r="G29" s="5"/>
      <c r="H29" s="5"/>
      <c r="I29" s="5"/>
      <c r="J29" s="5"/>
      <c r="K29" s="5"/>
      <c r="L29" s="5"/>
      <c r="M29" s="5"/>
      <c r="N29" s="5"/>
      <c r="O29" s="5"/>
      <c r="P29" s="5" t="e">
        <f t="shared" si="0"/>
        <v>#DIV/0!</v>
      </c>
      <c r="Q29" s="43">
        <v>25</v>
      </c>
      <c r="R29" s="24"/>
      <c r="S29" s="24"/>
      <c r="T29" s="24"/>
      <c r="U29" s="24"/>
      <c r="V29" s="24"/>
      <c r="W29" s="24"/>
      <c r="X29" s="24"/>
      <c r="Y29" s="24"/>
      <c r="Z29" s="24"/>
      <c r="AA29" s="48" t="e">
        <f t="shared" si="1"/>
        <v>#DIV/0!</v>
      </c>
      <c r="AB29" s="4"/>
      <c r="AC29" s="45"/>
      <c r="AD29" s="5" t="e">
        <f t="shared" si="2"/>
        <v>#DIV/0!</v>
      </c>
      <c r="AE29" s="47" t="e">
        <f t="shared" si="3"/>
        <v>#DIV/0!</v>
      </c>
      <c r="AF29" s="4"/>
      <c r="AG29" s="4">
        <v>25</v>
      </c>
      <c r="AH29" s="4">
        <v>25</v>
      </c>
      <c r="AI29" s="255">
        <f t="shared" si="4"/>
        <v>0</v>
      </c>
      <c r="AJ29" s="241"/>
      <c r="AK29" s="65"/>
      <c r="AL29" s="65"/>
      <c r="AM29" s="65"/>
      <c r="AN29" s="65"/>
      <c r="AO29" s="65"/>
      <c r="AP29" s="65"/>
      <c r="AQ29" s="65"/>
      <c r="AR29" s="65"/>
      <c r="AS29" s="65"/>
      <c r="AT29" s="65"/>
      <c r="AU29" s="65"/>
      <c r="AV29" s="65"/>
      <c r="AW29" s="22"/>
      <c r="AX29" s="5" t="e">
        <f t="shared" si="5"/>
        <v>#DIV/0!</v>
      </c>
      <c r="AY29" s="67"/>
      <c r="AZ29" s="106"/>
      <c r="BA29" s="106"/>
      <c r="BB29" s="106"/>
      <c r="BC29" s="106"/>
      <c r="BD29" s="67"/>
      <c r="BE29" s="67"/>
      <c r="BF29" s="67"/>
      <c r="BG29" s="67"/>
      <c r="BH29" s="56"/>
      <c r="BI29" s="5" t="e">
        <f t="shared" si="6"/>
        <v>#DIV/0!</v>
      </c>
      <c r="BJ29" s="24"/>
      <c r="BK29" s="24"/>
      <c r="BL29" s="24" t="e">
        <f t="shared" si="7"/>
        <v>#DIV/0!</v>
      </c>
      <c r="BM29" s="5" t="e">
        <f t="shared" si="8"/>
        <v>#DIV/0!</v>
      </c>
      <c r="BN29" s="4"/>
      <c r="BO29" s="4">
        <v>25</v>
      </c>
      <c r="BP29" s="4">
        <v>25</v>
      </c>
      <c r="BQ29" s="255">
        <f t="shared" si="9"/>
        <v>0</v>
      </c>
      <c r="BR29" s="241"/>
      <c r="BS29" s="93"/>
      <c r="BT29" s="93"/>
      <c r="BU29" s="5"/>
      <c r="BV29" s="5"/>
      <c r="BW29" s="5"/>
      <c r="BX29" s="5"/>
      <c r="BY29" s="5"/>
      <c r="BZ29" s="5"/>
      <c r="CA29" s="5"/>
      <c r="CB29" s="5"/>
      <c r="CC29" s="5"/>
      <c r="CD29" s="5"/>
      <c r="CE29" s="5"/>
      <c r="CF29" s="5" t="e">
        <f t="shared" si="10"/>
        <v>#DIV/0!</v>
      </c>
      <c r="CG29" s="5"/>
      <c r="CH29" s="5"/>
      <c r="CI29" s="5"/>
      <c r="CJ29" s="103"/>
      <c r="CK29" s="5"/>
      <c r="CL29" s="5"/>
      <c r="CM29" s="5"/>
      <c r="CN29" s="5"/>
      <c r="CO29" s="5"/>
      <c r="CP29" s="5"/>
      <c r="CQ29" s="5" t="e">
        <f t="shared" si="11"/>
        <v>#DIV/0!</v>
      </c>
      <c r="CR29" s="5"/>
      <c r="CS29" s="5"/>
      <c r="CT29" s="5" t="e">
        <f t="shared" si="12"/>
        <v>#DIV/0!</v>
      </c>
      <c r="CU29" s="5" t="e">
        <f t="shared" si="13"/>
        <v>#DIV/0!</v>
      </c>
      <c r="CV29" s="4"/>
      <c r="CW29" s="59">
        <v>25</v>
      </c>
      <c r="CY29" s="186"/>
      <c r="CZ29" s="186"/>
      <c r="DA29" s="51"/>
      <c r="DB29" s="51"/>
      <c r="DC29" s="51"/>
      <c r="DD29" s="51"/>
      <c r="DE29" s="51"/>
      <c r="DF29" s="51"/>
      <c r="DG29" s="51"/>
      <c r="DH29" s="51"/>
      <c r="DI29" s="51"/>
      <c r="DJ29" s="51"/>
      <c r="DK29" s="51"/>
      <c r="DL29" s="51"/>
      <c r="DM29" s="51"/>
      <c r="DN29" s="51"/>
      <c r="EB29" s="51"/>
      <c r="EC29" s="51"/>
    </row>
    <row r="30" spans="1:133" ht="13.5" customHeight="1">
      <c r="A30" s="4">
        <v>26</v>
      </c>
      <c r="B30" s="10">
        <f>MAESTRO!F30</f>
        <v>0</v>
      </c>
      <c r="C30" s="103"/>
      <c r="D30" s="103"/>
      <c r="E30" s="103"/>
      <c r="F30" s="5"/>
      <c r="G30" s="5"/>
      <c r="H30" s="5"/>
      <c r="I30" s="5"/>
      <c r="J30" s="5"/>
      <c r="K30" s="5"/>
      <c r="L30" s="5"/>
      <c r="M30" s="5"/>
      <c r="N30" s="5"/>
      <c r="O30" s="5"/>
      <c r="P30" s="5" t="e">
        <f t="shared" si="0"/>
        <v>#DIV/0!</v>
      </c>
      <c r="Q30" s="43">
        <v>26</v>
      </c>
      <c r="R30" s="24"/>
      <c r="S30" s="24"/>
      <c r="T30" s="24"/>
      <c r="U30" s="24"/>
      <c r="V30" s="24"/>
      <c r="W30" s="24"/>
      <c r="X30" s="24"/>
      <c r="Y30" s="24"/>
      <c r="Z30" s="24"/>
      <c r="AA30" s="48" t="e">
        <f t="shared" si="1"/>
        <v>#DIV/0!</v>
      </c>
      <c r="AB30" s="4"/>
      <c r="AC30" s="45"/>
      <c r="AD30" s="5" t="e">
        <f t="shared" si="2"/>
        <v>#DIV/0!</v>
      </c>
      <c r="AE30" s="47" t="e">
        <f t="shared" si="3"/>
        <v>#DIV/0!</v>
      </c>
      <c r="AF30" s="4"/>
      <c r="AG30" s="4">
        <v>26</v>
      </c>
      <c r="AH30" s="4">
        <v>26</v>
      </c>
      <c r="AI30" s="255">
        <f t="shared" si="4"/>
        <v>0</v>
      </c>
      <c r="AJ30" s="241"/>
      <c r="AK30" s="65"/>
      <c r="AL30" s="65"/>
      <c r="AM30" s="65"/>
      <c r="AN30" s="65"/>
      <c r="AO30" s="65"/>
      <c r="AP30" s="65"/>
      <c r="AQ30" s="65"/>
      <c r="AR30" s="65"/>
      <c r="AS30" s="65"/>
      <c r="AT30" s="65"/>
      <c r="AU30" s="65"/>
      <c r="AV30" s="65"/>
      <c r="AW30" s="22"/>
      <c r="AX30" s="5" t="e">
        <f t="shared" si="5"/>
        <v>#DIV/0!</v>
      </c>
      <c r="AY30" s="24"/>
      <c r="AZ30" s="106"/>
      <c r="BA30" s="106"/>
      <c r="BB30" s="106"/>
      <c r="BC30" s="106"/>
      <c r="BD30" s="24"/>
      <c r="BE30" s="24"/>
      <c r="BF30" s="24"/>
      <c r="BG30" s="24"/>
      <c r="BH30" s="56"/>
      <c r="BI30" s="5" t="e">
        <f t="shared" si="6"/>
        <v>#DIV/0!</v>
      </c>
      <c r="BJ30" s="24"/>
      <c r="BK30" s="24"/>
      <c r="BL30" s="24" t="e">
        <f t="shared" si="7"/>
        <v>#DIV/0!</v>
      </c>
      <c r="BM30" s="5" t="e">
        <f t="shared" si="8"/>
        <v>#DIV/0!</v>
      </c>
      <c r="BN30" s="4"/>
      <c r="BO30" s="4">
        <v>26</v>
      </c>
      <c r="BP30" s="4">
        <v>26</v>
      </c>
      <c r="BQ30" s="255">
        <f t="shared" si="9"/>
        <v>0</v>
      </c>
      <c r="BR30" s="241"/>
      <c r="BS30" s="93"/>
      <c r="BT30" s="93"/>
      <c r="BU30" s="5"/>
      <c r="BV30" s="5"/>
      <c r="BW30" s="5"/>
      <c r="BX30" s="5"/>
      <c r="BY30" s="5"/>
      <c r="BZ30" s="5"/>
      <c r="CA30" s="5"/>
      <c r="CB30" s="5"/>
      <c r="CC30" s="5"/>
      <c r="CD30" s="5"/>
      <c r="CE30" s="5"/>
      <c r="CF30" s="5" t="e">
        <f t="shared" si="10"/>
        <v>#DIV/0!</v>
      </c>
      <c r="CG30" s="5"/>
      <c r="CH30" s="5"/>
      <c r="CI30" s="5"/>
      <c r="CJ30" s="103"/>
      <c r="CK30" s="5"/>
      <c r="CL30" s="5"/>
      <c r="CM30" s="5"/>
      <c r="CN30" s="5"/>
      <c r="CO30" s="5"/>
      <c r="CP30" s="5"/>
      <c r="CQ30" s="5" t="e">
        <f t="shared" si="11"/>
        <v>#DIV/0!</v>
      </c>
      <c r="CR30" s="5"/>
      <c r="CS30" s="5"/>
      <c r="CT30" s="5" t="e">
        <f t="shared" si="12"/>
        <v>#DIV/0!</v>
      </c>
      <c r="CU30" s="5" t="e">
        <f t="shared" si="13"/>
        <v>#DIV/0!</v>
      </c>
      <c r="CV30" s="4"/>
      <c r="CW30" s="59">
        <v>26</v>
      </c>
      <c r="CY30" s="186"/>
      <c r="CZ30" s="186"/>
      <c r="DA30" s="51"/>
      <c r="DB30" s="51"/>
      <c r="DC30" s="51"/>
      <c r="DD30" s="51"/>
      <c r="DE30" s="51"/>
      <c r="DF30" s="51"/>
      <c r="DG30" s="51"/>
      <c r="DH30" s="51"/>
      <c r="DI30" s="51"/>
      <c r="DJ30" s="51"/>
      <c r="DK30" s="51"/>
      <c r="DL30" s="51"/>
      <c r="DM30" s="51"/>
      <c r="DN30" s="51"/>
      <c r="EB30" s="51"/>
      <c r="EC30" s="51"/>
    </row>
    <row r="31" spans="1:133" ht="13.5" customHeight="1">
      <c r="A31" s="4">
        <v>27</v>
      </c>
      <c r="B31" s="10">
        <f>MAESTRO!F31</f>
        <v>0</v>
      </c>
      <c r="C31" s="103"/>
      <c r="D31" s="103"/>
      <c r="E31" s="103"/>
      <c r="F31" s="5"/>
      <c r="G31" s="5"/>
      <c r="H31" s="5"/>
      <c r="I31" s="5"/>
      <c r="J31" s="5"/>
      <c r="K31" s="5"/>
      <c r="L31" s="5"/>
      <c r="M31" s="5"/>
      <c r="N31" s="5"/>
      <c r="O31" s="5"/>
      <c r="P31" s="5" t="e">
        <f t="shared" si="0"/>
        <v>#DIV/0!</v>
      </c>
      <c r="Q31" s="43">
        <v>27</v>
      </c>
      <c r="R31" s="104"/>
      <c r="S31" s="104"/>
      <c r="T31" s="24"/>
      <c r="U31" s="24"/>
      <c r="V31" s="24"/>
      <c r="W31" s="24"/>
      <c r="X31" s="24"/>
      <c r="Y31" s="24"/>
      <c r="Z31" s="24"/>
      <c r="AA31" s="48" t="e">
        <f t="shared" si="1"/>
        <v>#DIV/0!</v>
      </c>
      <c r="AB31" s="4"/>
      <c r="AC31" s="45"/>
      <c r="AD31" s="5" t="e">
        <f t="shared" si="2"/>
        <v>#DIV/0!</v>
      </c>
      <c r="AE31" s="47" t="e">
        <f t="shared" si="3"/>
        <v>#DIV/0!</v>
      </c>
      <c r="AF31" s="4"/>
      <c r="AG31" s="4">
        <v>27</v>
      </c>
      <c r="AH31" s="4">
        <v>27</v>
      </c>
      <c r="AI31" s="255">
        <f t="shared" si="4"/>
        <v>0</v>
      </c>
      <c r="AJ31" s="241"/>
      <c r="AK31" s="108"/>
      <c r="AL31" s="108"/>
      <c r="AM31" s="65"/>
      <c r="AN31" s="65"/>
      <c r="AO31" s="65"/>
      <c r="AP31" s="65"/>
      <c r="AQ31" s="65"/>
      <c r="AR31" s="65"/>
      <c r="AS31" s="65"/>
      <c r="AT31" s="65"/>
      <c r="AU31" s="65"/>
      <c r="AV31" s="65"/>
      <c r="AW31" s="22"/>
      <c r="AX31" s="5" t="e">
        <f t="shared" si="5"/>
        <v>#DIV/0!</v>
      </c>
      <c r="AY31" s="24"/>
      <c r="AZ31" s="106"/>
      <c r="BA31" s="106"/>
      <c r="BB31" s="106"/>
      <c r="BC31" s="106"/>
      <c r="BD31" s="24"/>
      <c r="BE31" s="24"/>
      <c r="BF31" s="24"/>
      <c r="BG31" s="24"/>
      <c r="BH31" s="56"/>
      <c r="BI31" s="5" t="e">
        <f t="shared" si="6"/>
        <v>#DIV/0!</v>
      </c>
      <c r="BJ31" s="24"/>
      <c r="BK31" s="24"/>
      <c r="BL31" s="24" t="e">
        <f t="shared" si="7"/>
        <v>#DIV/0!</v>
      </c>
      <c r="BM31" s="5" t="e">
        <f t="shared" si="8"/>
        <v>#DIV/0!</v>
      </c>
      <c r="BN31" s="4"/>
      <c r="BO31" s="4">
        <v>27</v>
      </c>
      <c r="BP31" s="4">
        <v>27</v>
      </c>
      <c r="BQ31" s="255">
        <f t="shared" si="9"/>
        <v>0</v>
      </c>
      <c r="BR31" s="241"/>
      <c r="BS31" s="93"/>
      <c r="BT31" s="93"/>
      <c r="BU31" s="5"/>
      <c r="BV31" s="5"/>
      <c r="BW31" s="5"/>
      <c r="BX31" s="5"/>
      <c r="BY31" s="5"/>
      <c r="BZ31" s="5"/>
      <c r="CA31" s="5"/>
      <c r="CB31" s="5"/>
      <c r="CC31" s="5"/>
      <c r="CD31" s="5"/>
      <c r="CE31" s="5"/>
      <c r="CF31" s="5" t="e">
        <f t="shared" si="10"/>
        <v>#DIV/0!</v>
      </c>
      <c r="CG31" s="5"/>
      <c r="CH31" s="5"/>
      <c r="CI31" s="5"/>
      <c r="CJ31" s="103"/>
      <c r="CK31" s="5"/>
      <c r="CL31" s="5"/>
      <c r="CM31" s="5"/>
      <c r="CN31" s="5"/>
      <c r="CO31" s="5"/>
      <c r="CP31" s="5"/>
      <c r="CQ31" s="5" t="e">
        <f t="shared" si="11"/>
        <v>#DIV/0!</v>
      </c>
      <c r="CR31" s="5"/>
      <c r="CS31" s="5"/>
      <c r="CT31" s="5" t="e">
        <f t="shared" si="12"/>
        <v>#DIV/0!</v>
      </c>
      <c r="CU31" s="5" t="e">
        <f t="shared" si="13"/>
        <v>#DIV/0!</v>
      </c>
      <c r="CV31" s="4"/>
      <c r="CW31" s="59">
        <v>27</v>
      </c>
      <c r="CY31" s="186"/>
      <c r="CZ31" s="186"/>
      <c r="DA31" s="51"/>
      <c r="DB31" s="51"/>
      <c r="DC31" s="51"/>
      <c r="DD31" s="51"/>
      <c r="DE31" s="51"/>
      <c r="DF31" s="51"/>
      <c r="DG31" s="51"/>
      <c r="DH31" s="51"/>
      <c r="DI31" s="51"/>
      <c r="DJ31" s="51"/>
      <c r="DK31" s="51"/>
      <c r="DL31" s="51"/>
      <c r="DM31" s="51"/>
      <c r="DN31" s="51"/>
      <c r="EB31" s="51"/>
      <c r="EC31" s="51"/>
    </row>
    <row r="32" spans="1:133" ht="13.5" customHeight="1">
      <c r="A32" s="4">
        <v>28</v>
      </c>
      <c r="B32" s="10">
        <f>MAESTRO!F32</f>
        <v>0</v>
      </c>
      <c r="C32" s="103"/>
      <c r="D32" s="103"/>
      <c r="E32" s="103"/>
      <c r="F32" s="5"/>
      <c r="G32" s="5"/>
      <c r="H32" s="5"/>
      <c r="I32" s="5"/>
      <c r="J32" s="5"/>
      <c r="K32" s="5"/>
      <c r="L32" s="5"/>
      <c r="M32" s="5"/>
      <c r="N32" s="5"/>
      <c r="O32" s="5"/>
      <c r="P32" s="5" t="e">
        <f t="shared" si="0"/>
        <v>#DIV/0!</v>
      </c>
      <c r="Q32" s="43">
        <v>28</v>
      </c>
      <c r="R32" s="104"/>
      <c r="S32" s="104"/>
      <c r="T32" s="24"/>
      <c r="U32" s="24"/>
      <c r="V32" s="24"/>
      <c r="W32" s="24"/>
      <c r="X32" s="24"/>
      <c r="Y32" s="24"/>
      <c r="Z32" s="24"/>
      <c r="AA32" s="48" t="e">
        <f t="shared" si="1"/>
        <v>#DIV/0!</v>
      </c>
      <c r="AB32" s="4"/>
      <c r="AC32" s="45"/>
      <c r="AD32" s="5" t="e">
        <f t="shared" si="2"/>
        <v>#DIV/0!</v>
      </c>
      <c r="AE32" s="47" t="e">
        <f t="shared" si="3"/>
        <v>#DIV/0!</v>
      </c>
      <c r="AF32" s="4"/>
      <c r="AG32" s="4">
        <v>28</v>
      </c>
      <c r="AH32" s="4">
        <v>28</v>
      </c>
      <c r="AI32" s="255">
        <f t="shared" si="4"/>
        <v>0</v>
      </c>
      <c r="AJ32" s="241"/>
      <c r="AK32" s="108"/>
      <c r="AL32" s="108"/>
      <c r="AM32" s="65"/>
      <c r="AN32" s="65"/>
      <c r="AO32" s="65"/>
      <c r="AP32" s="65"/>
      <c r="AQ32" s="65"/>
      <c r="AR32" s="65"/>
      <c r="AS32" s="65"/>
      <c r="AT32" s="65"/>
      <c r="AU32" s="65"/>
      <c r="AV32" s="65"/>
      <c r="AW32" s="22"/>
      <c r="AX32" s="5" t="e">
        <f t="shared" si="5"/>
        <v>#DIV/0!</v>
      </c>
      <c r="AY32" s="106"/>
      <c r="AZ32" s="106"/>
      <c r="BA32" s="106"/>
      <c r="BB32" s="106"/>
      <c r="BC32" s="106"/>
      <c r="BD32" s="24"/>
      <c r="BE32" s="24"/>
      <c r="BF32" s="24"/>
      <c r="BG32" s="24"/>
      <c r="BH32" s="56"/>
      <c r="BI32" s="5" t="e">
        <f t="shared" si="6"/>
        <v>#DIV/0!</v>
      </c>
      <c r="BJ32" s="24"/>
      <c r="BK32" s="24"/>
      <c r="BL32" s="24" t="e">
        <f t="shared" si="7"/>
        <v>#DIV/0!</v>
      </c>
      <c r="BM32" s="5" t="e">
        <f t="shared" si="8"/>
        <v>#DIV/0!</v>
      </c>
      <c r="BN32" s="4"/>
      <c r="BO32" s="4">
        <v>28</v>
      </c>
      <c r="BP32" s="4">
        <v>28</v>
      </c>
      <c r="BQ32" s="255">
        <f t="shared" si="9"/>
        <v>0</v>
      </c>
      <c r="BR32" s="241"/>
      <c r="BS32" s="93"/>
      <c r="BT32" s="93"/>
      <c r="BU32" s="5"/>
      <c r="BV32" s="5"/>
      <c r="BW32" s="5"/>
      <c r="BX32" s="5"/>
      <c r="BY32" s="5"/>
      <c r="BZ32" s="5"/>
      <c r="CA32" s="5"/>
      <c r="CB32" s="5"/>
      <c r="CC32" s="5"/>
      <c r="CD32" s="5"/>
      <c r="CE32" s="5"/>
      <c r="CF32" s="5" t="e">
        <f t="shared" si="10"/>
        <v>#DIV/0!</v>
      </c>
      <c r="CG32" s="5"/>
      <c r="CH32" s="5"/>
      <c r="CI32" s="5"/>
      <c r="CJ32" s="103"/>
      <c r="CK32" s="5"/>
      <c r="CL32" s="5"/>
      <c r="CM32" s="5"/>
      <c r="CN32" s="5"/>
      <c r="CO32" s="5"/>
      <c r="CP32" s="5"/>
      <c r="CQ32" s="5" t="e">
        <f t="shared" si="11"/>
        <v>#DIV/0!</v>
      </c>
      <c r="CR32" s="5"/>
      <c r="CS32" s="5"/>
      <c r="CT32" s="5" t="e">
        <f t="shared" si="12"/>
        <v>#DIV/0!</v>
      </c>
      <c r="CU32" s="5" t="e">
        <f t="shared" si="13"/>
        <v>#DIV/0!</v>
      </c>
      <c r="CV32" s="4"/>
      <c r="CW32" s="59">
        <v>28</v>
      </c>
      <c r="CY32" s="186"/>
      <c r="CZ32" s="186"/>
      <c r="DA32" s="51"/>
      <c r="DB32" s="51"/>
      <c r="DC32" s="51"/>
      <c r="DD32" s="51"/>
      <c r="DE32" s="51"/>
      <c r="DF32" s="51"/>
      <c r="DG32" s="51"/>
      <c r="DH32" s="51"/>
      <c r="DI32" s="51"/>
      <c r="DJ32" s="51"/>
      <c r="DK32" s="51"/>
      <c r="DL32" s="51"/>
      <c r="DM32" s="51"/>
      <c r="DN32" s="51"/>
      <c r="EB32" s="51"/>
      <c r="EC32" s="51"/>
    </row>
    <row r="33" spans="1:133" ht="13.5" customHeight="1">
      <c r="A33" s="4">
        <v>29</v>
      </c>
      <c r="B33" s="10">
        <f>MAESTRO!F33</f>
        <v>0</v>
      </c>
      <c r="C33" s="103"/>
      <c r="D33" s="103"/>
      <c r="E33" s="103"/>
      <c r="F33" s="5"/>
      <c r="G33" s="5"/>
      <c r="H33" s="5"/>
      <c r="I33" s="5"/>
      <c r="J33" s="5"/>
      <c r="K33" s="5"/>
      <c r="L33" s="5"/>
      <c r="M33" s="5"/>
      <c r="N33" s="5"/>
      <c r="O33" s="5"/>
      <c r="P33" s="5" t="e">
        <f t="shared" si="0"/>
        <v>#DIV/0!</v>
      </c>
      <c r="Q33" s="43">
        <v>29</v>
      </c>
      <c r="R33" s="104"/>
      <c r="S33" s="104"/>
      <c r="T33" s="24"/>
      <c r="U33" s="24"/>
      <c r="V33" s="24"/>
      <c r="W33" s="24"/>
      <c r="X33" s="24"/>
      <c r="Y33" s="24"/>
      <c r="Z33" s="24"/>
      <c r="AA33" s="48" t="e">
        <f t="shared" si="1"/>
        <v>#DIV/0!</v>
      </c>
      <c r="AB33" s="4"/>
      <c r="AC33" s="45"/>
      <c r="AD33" s="5" t="e">
        <f t="shared" si="2"/>
        <v>#DIV/0!</v>
      </c>
      <c r="AE33" s="47" t="e">
        <f t="shared" si="3"/>
        <v>#DIV/0!</v>
      </c>
      <c r="AF33" s="4"/>
      <c r="AG33" s="4">
        <v>29</v>
      </c>
      <c r="AH33" s="4">
        <v>29</v>
      </c>
      <c r="AI33" s="255">
        <f t="shared" si="4"/>
        <v>0</v>
      </c>
      <c r="AJ33" s="241"/>
      <c r="AK33" s="108"/>
      <c r="AL33" s="108"/>
      <c r="AM33" s="65"/>
      <c r="AN33" s="65"/>
      <c r="AO33" s="65"/>
      <c r="AP33" s="65"/>
      <c r="AQ33" s="65"/>
      <c r="AR33" s="65"/>
      <c r="AS33" s="65"/>
      <c r="AT33" s="65"/>
      <c r="AU33" s="65"/>
      <c r="AV33" s="65"/>
      <c r="AW33" s="22"/>
      <c r="AX33" s="5" t="e">
        <f t="shared" si="5"/>
        <v>#DIV/0!</v>
      </c>
      <c r="AY33" s="106"/>
      <c r="AZ33" s="106"/>
      <c r="BA33" s="106"/>
      <c r="BB33" s="106"/>
      <c r="BC33" s="106"/>
      <c r="BD33" s="24"/>
      <c r="BE33" s="24"/>
      <c r="BF33" s="24"/>
      <c r="BG33" s="24"/>
      <c r="BH33" s="56"/>
      <c r="BI33" s="5" t="e">
        <f t="shared" si="6"/>
        <v>#DIV/0!</v>
      </c>
      <c r="BJ33" s="24"/>
      <c r="BK33" s="24"/>
      <c r="BL33" s="24" t="e">
        <f t="shared" si="7"/>
        <v>#DIV/0!</v>
      </c>
      <c r="BM33" s="5" t="e">
        <f t="shared" si="8"/>
        <v>#DIV/0!</v>
      </c>
      <c r="BN33" s="4"/>
      <c r="BO33" s="4">
        <v>29</v>
      </c>
      <c r="BP33" s="4">
        <v>29</v>
      </c>
      <c r="BQ33" s="255">
        <f t="shared" si="9"/>
        <v>0</v>
      </c>
      <c r="BR33" s="241"/>
      <c r="BS33" s="93"/>
      <c r="BT33" s="93"/>
      <c r="BU33" s="5"/>
      <c r="BV33" s="5"/>
      <c r="BW33" s="5"/>
      <c r="BX33" s="5"/>
      <c r="BY33" s="5"/>
      <c r="BZ33" s="5"/>
      <c r="CA33" s="5"/>
      <c r="CB33" s="5"/>
      <c r="CC33" s="5"/>
      <c r="CD33" s="5"/>
      <c r="CE33" s="5"/>
      <c r="CF33" s="5" t="e">
        <f t="shared" si="10"/>
        <v>#DIV/0!</v>
      </c>
      <c r="CG33" s="5"/>
      <c r="CH33" s="5"/>
      <c r="CI33" s="5"/>
      <c r="CJ33" s="103"/>
      <c r="CK33" s="5"/>
      <c r="CL33" s="5"/>
      <c r="CM33" s="5"/>
      <c r="CN33" s="5"/>
      <c r="CO33" s="5"/>
      <c r="CP33" s="5"/>
      <c r="CQ33" s="5" t="e">
        <f t="shared" si="11"/>
        <v>#DIV/0!</v>
      </c>
      <c r="CR33" s="5"/>
      <c r="CS33" s="5"/>
      <c r="CT33" s="5" t="e">
        <f t="shared" si="12"/>
        <v>#DIV/0!</v>
      </c>
      <c r="CU33" s="5" t="e">
        <f t="shared" si="13"/>
        <v>#DIV/0!</v>
      </c>
      <c r="CV33" s="4"/>
      <c r="CW33" s="59">
        <v>29</v>
      </c>
      <c r="CY33" s="186"/>
      <c r="CZ33" s="186"/>
      <c r="DA33" s="51"/>
      <c r="DB33" s="51"/>
      <c r="DC33" s="51"/>
      <c r="DD33" s="51"/>
      <c r="DE33" s="51"/>
      <c r="DF33" s="51"/>
      <c r="DG33" s="51"/>
      <c r="DH33" s="51"/>
      <c r="DI33" s="51"/>
      <c r="DJ33" s="51"/>
      <c r="DK33" s="51"/>
      <c r="DL33" s="51"/>
      <c r="DM33" s="51"/>
      <c r="DN33" s="51"/>
      <c r="EB33" s="51"/>
      <c r="EC33" s="51"/>
    </row>
    <row r="34" spans="1:133" ht="13.5" customHeight="1">
      <c r="A34" s="4">
        <v>30</v>
      </c>
      <c r="B34" s="10">
        <f>MAESTRO!F34</f>
        <v>0</v>
      </c>
      <c r="C34" s="103"/>
      <c r="D34" s="103"/>
      <c r="E34" s="103"/>
      <c r="F34" s="5"/>
      <c r="G34" s="5"/>
      <c r="H34" s="5"/>
      <c r="I34" s="5"/>
      <c r="J34" s="5"/>
      <c r="K34" s="5"/>
      <c r="L34" s="5"/>
      <c r="M34" s="5"/>
      <c r="N34" s="5"/>
      <c r="O34" s="5"/>
      <c r="P34" s="5" t="e">
        <f t="shared" si="0"/>
        <v>#DIV/0!</v>
      </c>
      <c r="Q34" s="43">
        <v>30</v>
      </c>
      <c r="R34" s="104"/>
      <c r="S34" s="104"/>
      <c r="T34" s="24"/>
      <c r="U34" s="24"/>
      <c r="V34" s="24"/>
      <c r="W34" s="24"/>
      <c r="X34" s="24"/>
      <c r="Y34" s="24"/>
      <c r="Z34" s="24"/>
      <c r="AA34" s="48" t="e">
        <f t="shared" si="1"/>
        <v>#DIV/0!</v>
      </c>
      <c r="AB34" s="4"/>
      <c r="AC34" s="45"/>
      <c r="AD34" s="5" t="e">
        <f t="shared" si="2"/>
        <v>#DIV/0!</v>
      </c>
      <c r="AE34" s="47" t="e">
        <f t="shared" si="3"/>
        <v>#DIV/0!</v>
      </c>
      <c r="AF34" s="4"/>
      <c r="AG34" s="4">
        <v>30</v>
      </c>
      <c r="AH34" s="4">
        <v>30</v>
      </c>
      <c r="AI34" s="255">
        <f t="shared" si="4"/>
        <v>0</v>
      </c>
      <c r="AJ34" s="241"/>
      <c r="AK34" s="108"/>
      <c r="AL34" s="108"/>
      <c r="AM34" s="65"/>
      <c r="AN34" s="65"/>
      <c r="AO34" s="65"/>
      <c r="AP34" s="65"/>
      <c r="AQ34" s="65"/>
      <c r="AR34" s="65"/>
      <c r="AS34" s="65"/>
      <c r="AT34" s="65"/>
      <c r="AU34" s="65"/>
      <c r="AV34" s="65"/>
      <c r="AW34" s="22"/>
      <c r="AX34" s="5" t="e">
        <f t="shared" si="5"/>
        <v>#DIV/0!</v>
      </c>
      <c r="AY34" s="106"/>
      <c r="AZ34" s="106"/>
      <c r="BA34" s="106"/>
      <c r="BB34" s="106"/>
      <c r="BC34" s="106"/>
      <c r="BD34" s="24"/>
      <c r="BE34" s="24"/>
      <c r="BF34" s="24"/>
      <c r="BG34" s="24"/>
      <c r="BH34" s="56"/>
      <c r="BI34" s="5" t="e">
        <f t="shared" si="6"/>
        <v>#DIV/0!</v>
      </c>
      <c r="BJ34" s="24"/>
      <c r="BK34" s="24"/>
      <c r="BL34" s="24" t="e">
        <f t="shared" si="7"/>
        <v>#DIV/0!</v>
      </c>
      <c r="BM34" s="5" t="e">
        <f t="shared" si="8"/>
        <v>#DIV/0!</v>
      </c>
      <c r="BN34" s="4"/>
      <c r="BO34" s="4">
        <v>30</v>
      </c>
      <c r="BP34" s="4">
        <v>30</v>
      </c>
      <c r="BQ34" s="255">
        <f t="shared" si="9"/>
        <v>0</v>
      </c>
      <c r="BR34" s="241"/>
      <c r="BS34" s="93"/>
      <c r="BT34" s="93"/>
      <c r="BU34" s="5"/>
      <c r="BV34" s="5"/>
      <c r="BW34" s="5"/>
      <c r="BX34" s="5"/>
      <c r="BY34" s="5"/>
      <c r="BZ34" s="5"/>
      <c r="CA34" s="5"/>
      <c r="CB34" s="5"/>
      <c r="CC34" s="5"/>
      <c r="CD34" s="5"/>
      <c r="CE34" s="5"/>
      <c r="CF34" s="5" t="e">
        <f t="shared" si="10"/>
        <v>#DIV/0!</v>
      </c>
      <c r="CG34" s="103"/>
      <c r="CH34" s="103"/>
      <c r="CI34" s="103"/>
      <c r="CJ34" s="103"/>
      <c r="CK34" s="5"/>
      <c r="CL34" s="5"/>
      <c r="CM34" s="5"/>
      <c r="CN34" s="5"/>
      <c r="CO34" s="5"/>
      <c r="CP34" s="5"/>
      <c r="CQ34" s="5" t="e">
        <f t="shared" si="11"/>
        <v>#DIV/0!</v>
      </c>
      <c r="CR34" s="5"/>
      <c r="CS34" s="5"/>
      <c r="CT34" s="5" t="e">
        <f t="shared" si="12"/>
        <v>#DIV/0!</v>
      </c>
      <c r="CU34" s="5" t="e">
        <f t="shared" si="13"/>
        <v>#DIV/0!</v>
      </c>
      <c r="CV34" s="4"/>
      <c r="CW34" s="59">
        <v>30</v>
      </c>
      <c r="CY34" s="186"/>
      <c r="CZ34" s="186"/>
      <c r="DA34" s="51"/>
      <c r="DB34" s="51"/>
      <c r="DC34" s="51"/>
      <c r="DD34" s="51"/>
      <c r="DE34" s="51"/>
      <c r="DF34" s="51"/>
      <c r="DG34" s="51"/>
      <c r="DH34" s="51"/>
      <c r="DI34" s="51"/>
      <c r="DJ34" s="51"/>
      <c r="DK34" s="51"/>
      <c r="DL34" s="51"/>
      <c r="DM34" s="51"/>
      <c r="DN34" s="51"/>
      <c r="EB34" s="51"/>
      <c r="EC34" s="51"/>
    </row>
    <row r="35" spans="1:133" ht="13.5" customHeight="1">
      <c r="A35" s="4">
        <v>31</v>
      </c>
      <c r="B35" s="10">
        <f>MAESTRO!F35</f>
        <v>0</v>
      </c>
      <c r="C35" s="103"/>
      <c r="D35" s="103"/>
      <c r="E35" s="103"/>
      <c r="F35" s="5"/>
      <c r="G35" s="5"/>
      <c r="H35" s="5"/>
      <c r="I35" s="5"/>
      <c r="J35" s="5"/>
      <c r="K35" s="5"/>
      <c r="L35" s="5"/>
      <c r="M35" s="5"/>
      <c r="N35" s="5"/>
      <c r="O35" s="5"/>
      <c r="P35" s="5" t="e">
        <f t="shared" si="0"/>
        <v>#DIV/0!</v>
      </c>
      <c r="Q35" s="43">
        <v>31</v>
      </c>
      <c r="R35" s="104"/>
      <c r="S35" s="104"/>
      <c r="T35" s="24"/>
      <c r="U35" s="24"/>
      <c r="V35" s="24"/>
      <c r="W35" s="24"/>
      <c r="X35" s="24"/>
      <c r="Y35" s="24"/>
      <c r="Z35" s="24"/>
      <c r="AA35" s="48" t="e">
        <f t="shared" si="1"/>
        <v>#DIV/0!</v>
      </c>
      <c r="AB35" s="4"/>
      <c r="AC35" s="45"/>
      <c r="AD35" s="5" t="e">
        <f t="shared" si="2"/>
        <v>#DIV/0!</v>
      </c>
      <c r="AE35" s="47" t="e">
        <f t="shared" si="3"/>
        <v>#DIV/0!</v>
      </c>
      <c r="AF35" s="4"/>
      <c r="AG35" s="4">
        <v>31</v>
      </c>
      <c r="AH35" s="4">
        <v>31</v>
      </c>
      <c r="AI35" s="255">
        <f t="shared" si="4"/>
        <v>0</v>
      </c>
      <c r="AJ35" s="241"/>
      <c r="AK35" s="108"/>
      <c r="AL35" s="108"/>
      <c r="AM35" s="65"/>
      <c r="AN35" s="65"/>
      <c r="AO35" s="65"/>
      <c r="AP35" s="65"/>
      <c r="AQ35" s="65"/>
      <c r="AR35" s="65"/>
      <c r="AS35" s="65"/>
      <c r="AT35" s="65"/>
      <c r="AU35" s="65"/>
      <c r="AV35" s="65"/>
      <c r="AW35" s="22"/>
      <c r="AX35" s="5" t="e">
        <f t="shared" si="5"/>
        <v>#DIV/0!</v>
      </c>
      <c r="AY35" s="106"/>
      <c r="AZ35" s="106"/>
      <c r="BA35" s="106"/>
      <c r="BB35" s="106"/>
      <c r="BC35" s="106"/>
      <c r="BD35" s="24"/>
      <c r="BE35" s="24"/>
      <c r="BF35" s="24"/>
      <c r="BG35" s="24"/>
      <c r="BH35" s="56"/>
      <c r="BI35" s="5" t="e">
        <f t="shared" si="6"/>
        <v>#DIV/0!</v>
      </c>
      <c r="BJ35" s="24"/>
      <c r="BK35" s="24"/>
      <c r="BL35" s="24" t="e">
        <f t="shared" si="7"/>
        <v>#DIV/0!</v>
      </c>
      <c r="BM35" s="5" t="e">
        <f t="shared" si="8"/>
        <v>#DIV/0!</v>
      </c>
      <c r="BN35" s="4"/>
      <c r="BO35" s="4">
        <v>31</v>
      </c>
      <c r="BP35" s="4">
        <v>31</v>
      </c>
      <c r="BQ35" s="255">
        <f t="shared" si="9"/>
        <v>0</v>
      </c>
      <c r="BR35" s="241"/>
      <c r="BS35" s="93"/>
      <c r="BT35" s="93"/>
      <c r="BU35" s="5"/>
      <c r="BV35" s="5"/>
      <c r="BW35" s="5"/>
      <c r="BX35" s="5"/>
      <c r="BY35" s="5"/>
      <c r="BZ35" s="5"/>
      <c r="CA35" s="5"/>
      <c r="CB35" s="5"/>
      <c r="CC35" s="5"/>
      <c r="CD35" s="5"/>
      <c r="CE35" s="5"/>
      <c r="CF35" s="5" t="e">
        <f t="shared" si="10"/>
        <v>#DIV/0!</v>
      </c>
      <c r="CG35" s="103"/>
      <c r="CH35" s="103"/>
      <c r="CI35" s="103"/>
      <c r="CJ35" s="103"/>
      <c r="CK35" s="5"/>
      <c r="CL35" s="5"/>
      <c r="CM35" s="5"/>
      <c r="CN35" s="5"/>
      <c r="CO35" s="5"/>
      <c r="CP35" s="5"/>
      <c r="CQ35" s="5" t="e">
        <f t="shared" si="11"/>
        <v>#DIV/0!</v>
      </c>
      <c r="CR35" s="5"/>
      <c r="CS35" s="5"/>
      <c r="CT35" s="5" t="e">
        <f t="shared" si="12"/>
        <v>#DIV/0!</v>
      </c>
      <c r="CU35" s="5" t="e">
        <f t="shared" si="13"/>
        <v>#DIV/0!</v>
      </c>
      <c r="CV35" s="4"/>
      <c r="CW35" s="59">
        <v>31</v>
      </c>
      <c r="CY35" s="186"/>
      <c r="CZ35" s="186"/>
      <c r="DA35" s="51"/>
      <c r="DB35" s="51"/>
      <c r="DC35" s="51"/>
      <c r="DD35" s="51"/>
      <c r="DE35" s="51"/>
      <c r="DF35" s="51"/>
      <c r="DG35" s="51"/>
      <c r="DH35" s="51"/>
      <c r="DI35" s="51"/>
      <c r="DJ35" s="51"/>
      <c r="DK35" s="51"/>
      <c r="DL35" s="51"/>
      <c r="DM35" s="51"/>
      <c r="DN35" s="51"/>
      <c r="EB35" s="51"/>
      <c r="EC35" s="51"/>
    </row>
    <row r="36" spans="1:133" ht="13.5" customHeight="1">
      <c r="A36" s="4">
        <v>32</v>
      </c>
      <c r="B36" s="10">
        <f>MAESTRO!F36</f>
        <v>0</v>
      </c>
      <c r="C36" s="103"/>
      <c r="D36" s="103"/>
      <c r="E36" s="103"/>
      <c r="F36" s="5"/>
      <c r="G36" s="5"/>
      <c r="H36" s="5"/>
      <c r="I36" s="5"/>
      <c r="J36" s="5"/>
      <c r="K36" s="5"/>
      <c r="L36" s="5"/>
      <c r="M36" s="5"/>
      <c r="N36" s="5"/>
      <c r="O36" s="5"/>
      <c r="P36" s="5" t="e">
        <f t="shared" si="0"/>
        <v>#DIV/0!</v>
      </c>
      <c r="Q36" s="43">
        <v>32</v>
      </c>
      <c r="R36" s="104"/>
      <c r="S36" s="104"/>
      <c r="T36" s="24"/>
      <c r="U36" s="24"/>
      <c r="V36" s="24"/>
      <c r="W36" s="24"/>
      <c r="X36" s="24"/>
      <c r="Y36" s="24"/>
      <c r="Z36" s="24"/>
      <c r="AA36" s="48" t="e">
        <f t="shared" si="1"/>
        <v>#DIV/0!</v>
      </c>
      <c r="AB36" s="4"/>
      <c r="AC36" s="45"/>
      <c r="AD36" s="5" t="e">
        <f t="shared" si="2"/>
        <v>#DIV/0!</v>
      </c>
      <c r="AE36" s="47" t="e">
        <f t="shared" si="3"/>
        <v>#DIV/0!</v>
      </c>
      <c r="AF36" s="4"/>
      <c r="AG36" s="4">
        <v>32</v>
      </c>
      <c r="AH36" s="4">
        <v>32</v>
      </c>
      <c r="AI36" s="255">
        <f t="shared" si="4"/>
        <v>0</v>
      </c>
      <c r="AJ36" s="241"/>
      <c r="AK36" s="108"/>
      <c r="AL36" s="108"/>
      <c r="AM36" s="65"/>
      <c r="AN36" s="65"/>
      <c r="AO36" s="65"/>
      <c r="AP36" s="65"/>
      <c r="AQ36" s="65"/>
      <c r="AR36" s="65"/>
      <c r="AS36" s="65"/>
      <c r="AT36" s="65"/>
      <c r="AU36" s="65"/>
      <c r="AV36" s="65"/>
      <c r="AW36" s="22"/>
      <c r="AX36" s="5" t="e">
        <f t="shared" si="5"/>
        <v>#DIV/0!</v>
      </c>
      <c r="AY36" s="106"/>
      <c r="AZ36" s="106"/>
      <c r="BA36" s="106"/>
      <c r="BB36" s="106"/>
      <c r="BC36" s="106"/>
      <c r="BD36" s="24"/>
      <c r="BE36" s="24"/>
      <c r="BF36" s="24"/>
      <c r="BG36" s="24"/>
      <c r="BH36" s="56"/>
      <c r="BI36" s="5" t="e">
        <f t="shared" si="6"/>
        <v>#DIV/0!</v>
      </c>
      <c r="BJ36" s="24"/>
      <c r="BK36" s="24"/>
      <c r="BL36" s="24" t="e">
        <f t="shared" si="7"/>
        <v>#DIV/0!</v>
      </c>
      <c r="BM36" s="5" t="e">
        <f t="shared" si="8"/>
        <v>#DIV/0!</v>
      </c>
      <c r="BN36" s="4"/>
      <c r="BO36" s="4">
        <v>32</v>
      </c>
      <c r="BP36" s="4">
        <v>32</v>
      </c>
      <c r="BQ36" s="255">
        <f t="shared" si="9"/>
        <v>0</v>
      </c>
      <c r="BR36" s="241"/>
      <c r="BS36" s="93"/>
      <c r="BT36" s="93"/>
      <c r="BU36" s="5"/>
      <c r="BV36" s="5"/>
      <c r="BW36" s="5"/>
      <c r="BX36" s="5"/>
      <c r="BY36" s="5"/>
      <c r="BZ36" s="5"/>
      <c r="CA36" s="5"/>
      <c r="CB36" s="5"/>
      <c r="CC36" s="5"/>
      <c r="CD36" s="5"/>
      <c r="CE36" s="5"/>
      <c r="CF36" s="5" t="e">
        <f t="shared" si="10"/>
        <v>#DIV/0!</v>
      </c>
      <c r="CG36" s="103"/>
      <c r="CH36" s="103"/>
      <c r="CI36" s="103"/>
      <c r="CJ36" s="103"/>
      <c r="CK36" s="5"/>
      <c r="CL36" s="5"/>
      <c r="CM36" s="5"/>
      <c r="CN36" s="5"/>
      <c r="CO36" s="5"/>
      <c r="CP36" s="5"/>
      <c r="CQ36" s="5" t="e">
        <f t="shared" si="11"/>
        <v>#DIV/0!</v>
      </c>
      <c r="CR36" s="5"/>
      <c r="CS36" s="5"/>
      <c r="CT36" s="5" t="e">
        <f t="shared" si="12"/>
        <v>#DIV/0!</v>
      </c>
      <c r="CU36" s="5" t="e">
        <f t="shared" si="13"/>
        <v>#DIV/0!</v>
      </c>
      <c r="CV36" s="4"/>
      <c r="CW36" s="59">
        <v>32</v>
      </c>
      <c r="CY36" s="186"/>
      <c r="CZ36" s="186"/>
      <c r="DA36" s="51"/>
      <c r="DB36" s="51"/>
      <c r="DC36" s="51"/>
      <c r="DD36" s="51"/>
      <c r="DE36" s="51"/>
      <c r="DF36" s="51"/>
      <c r="DG36" s="51"/>
      <c r="DH36" s="51"/>
      <c r="DI36" s="51"/>
      <c r="DJ36" s="51"/>
      <c r="DK36" s="51"/>
      <c r="DL36" s="51"/>
      <c r="DM36" s="51"/>
      <c r="DN36" s="51"/>
      <c r="EB36" s="51"/>
      <c r="EC36" s="51"/>
    </row>
    <row r="37" spans="1:133" ht="13.5" customHeight="1">
      <c r="A37" s="4">
        <v>33</v>
      </c>
      <c r="B37" s="10">
        <f>MAESTRO!F37</f>
        <v>0</v>
      </c>
      <c r="C37" s="103"/>
      <c r="D37" s="103"/>
      <c r="E37" s="103"/>
      <c r="F37" s="5"/>
      <c r="G37" s="5"/>
      <c r="H37" s="5"/>
      <c r="I37" s="5"/>
      <c r="J37" s="5"/>
      <c r="K37" s="5"/>
      <c r="L37" s="5"/>
      <c r="M37" s="5"/>
      <c r="N37" s="5"/>
      <c r="O37" s="5"/>
      <c r="P37" s="5" t="e">
        <f t="shared" si="0"/>
        <v>#DIV/0!</v>
      </c>
      <c r="Q37" s="43">
        <v>33</v>
      </c>
      <c r="R37" s="104"/>
      <c r="S37" s="104"/>
      <c r="T37" s="24"/>
      <c r="U37" s="24"/>
      <c r="V37" s="24"/>
      <c r="W37" s="24"/>
      <c r="X37" s="24"/>
      <c r="Y37" s="24"/>
      <c r="Z37" s="24"/>
      <c r="AA37" s="48" t="e">
        <f t="shared" si="1"/>
        <v>#DIV/0!</v>
      </c>
      <c r="AB37" s="4"/>
      <c r="AC37" s="45"/>
      <c r="AD37" s="5" t="e">
        <f t="shared" si="2"/>
        <v>#DIV/0!</v>
      </c>
      <c r="AE37" s="47" t="e">
        <f t="shared" si="3"/>
        <v>#DIV/0!</v>
      </c>
      <c r="AF37" s="4"/>
      <c r="AG37" s="4">
        <v>33</v>
      </c>
      <c r="AH37" s="4">
        <v>33</v>
      </c>
      <c r="AI37" s="255">
        <f t="shared" si="4"/>
        <v>0</v>
      </c>
      <c r="AJ37" s="241"/>
      <c r="AK37" s="108"/>
      <c r="AL37" s="108"/>
      <c r="AM37" s="65"/>
      <c r="AN37" s="65"/>
      <c r="AO37" s="65"/>
      <c r="AP37" s="65"/>
      <c r="AQ37" s="65"/>
      <c r="AR37" s="65"/>
      <c r="AS37" s="65"/>
      <c r="AT37" s="65"/>
      <c r="AU37" s="65"/>
      <c r="AV37" s="65"/>
      <c r="AW37" s="22"/>
      <c r="AX37" s="5" t="e">
        <f t="shared" si="5"/>
        <v>#DIV/0!</v>
      </c>
      <c r="AY37" s="106"/>
      <c r="AZ37" s="106"/>
      <c r="BA37" s="106"/>
      <c r="BB37" s="106"/>
      <c r="BC37" s="106"/>
      <c r="BD37" s="24"/>
      <c r="BE37" s="24"/>
      <c r="BF37" s="24"/>
      <c r="BG37" s="24"/>
      <c r="BH37" s="56"/>
      <c r="BI37" s="5" t="e">
        <f t="shared" si="6"/>
        <v>#DIV/0!</v>
      </c>
      <c r="BJ37" s="24"/>
      <c r="BK37" s="24"/>
      <c r="BL37" s="24" t="e">
        <f t="shared" si="7"/>
        <v>#DIV/0!</v>
      </c>
      <c r="BM37" s="5" t="e">
        <f t="shared" si="8"/>
        <v>#DIV/0!</v>
      </c>
      <c r="BN37" s="4"/>
      <c r="BO37" s="4">
        <v>33</v>
      </c>
      <c r="BP37" s="4">
        <v>33</v>
      </c>
      <c r="BQ37" s="255">
        <f t="shared" si="9"/>
        <v>0</v>
      </c>
      <c r="BR37" s="241"/>
      <c r="BS37" s="93"/>
      <c r="BT37" s="93"/>
      <c r="BU37" s="5"/>
      <c r="BV37" s="5"/>
      <c r="BW37" s="5"/>
      <c r="BX37" s="5"/>
      <c r="BY37" s="5"/>
      <c r="BZ37" s="5"/>
      <c r="CA37" s="5"/>
      <c r="CB37" s="5"/>
      <c r="CC37" s="5"/>
      <c r="CD37" s="5"/>
      <c r="CE37" s="5"/>
      <c r="CF37" s="5" t="e">
        <f t="shared" si="10"/>
        <v>#DIV/0!</v>
      </c>
      <c r="CG37" s="103"/>
      <c r="CH37" s="103"/>
      <c r="CI37" s="103"/>
      <c r="CJ37" s="103"/>
      <c r="CK37" s="5"/>
      <c r="CL37" s="5"/>
      <c r="CM37" s="5"/>
      <c r="CN37" s="5"/>
      <c r="CO37" s="5"/>
      <c r="CP37" s="5"/>
      <c r="CQ37" s="5" t="e">
        <f t="shared" si="11"/>
        <v>#DIV/0!</v>
      </c>
      <c r="CR37" s="5"/>
      <c r="CS37" s="5"/>
      <c r="CT37" s="5" t="e">
        <f t="shared" si="12"/>
        <v>#DIV/0!</v>
      </c>
      <c r="CU37" s="5" t="e">
        <f t="shared" si="13"/>
        <v>#DIV/0!</v>
      </c>
      <c r="CV37" s="4"/>
      <c r="CW37" s="59">
        <v>33</v>
      </c>
      <c r="CY37" s="186"/>
      <c r="CZ37" s="186"/>
      <c r="DA37" s="51"/>
      <c r="DB37" s="51"/>
      <c r="DC37" s="51"/>
      <c r="DD37" s="51"/>
      <c r="DE37" s="51"/>
      <c r="DF37" s="51"/>
      <c r="DG37" s="51"/>
      <c r="DH37" s="51"/>
      <c r="DI37" s="51"/>
      <c r="DJ37" s="51"/>
      <c r="DK37" s="51"/>
      <c r="DL37" s="51"/>
      <c r="DM37" s="51"/>
      <c r="DN37" s="51"/>
      <c r="EB37" s="51"/>
      <c r="EC37" s="51"/>
    </row>
    <row r="38" spans="1:133" ht="13.5" customHeight="1">
      <c r="A38" s="4">
        <v>34</v>
      </c>
      <c r="B38" s="10">
        <f>MAESTRO!F38</f>
        <v>0</v>
      </c>
      <c r="C38" s="103"/>
      <c r="D38" s="103"/>
      <c r="E38" s="103"/>
      <c r="F38" s="5"/>
      <c r="G38" s="5"/>
      <c r="H38" s="5"/>
      <c r="I38" s="5"/>
      <c r="J38" s="5"/>
      <c r="K38" s="5"/>
      <c r="L38" s="5"/>
      <c r="M38" s="5"/>
      <c r="N38" s="5"/>
      <c r="O38" s="5"/>
      <c r="P38" s="5" t="e">
        <f t="shared" si="0"/>
        <v>#DIV/0!</v>
      </c>
      <c r="Q38" s="43">
        <v>34</v>
      </c>
      <c r="R38" s="104"/>
      <c r="S38" s="104"/>
      <c r="T38" s="24"/>
      <c r="U38" s="24"/>
      <c r="V38" s="24"/>
      <c r="W38" s="24"/>
      <c r="X38" s="24"/>
      <c r="Y38" s="24"/>
      <c r="Z38" s="24"/>
      <c r="AA38" s="48" t="e">
        <f t="shared" si="1"/>
        <v>#DIV/0!</v>
      </c>
      <c r="AB38" s="4"/>
      <c r="AC38" s="45"/>
      <c r="AD38" s="5" t="e">
        <f t="shared" si="2"/>
        <v>#DIV/0!</v>
      </c>
      <c r="AE38" s="47" t="e">
        <f t="shared" si="3"/>
        <v>#DIV/0!</v>
      </c>
      <c r="AF38" s="4"/>
      <c r="AG38" s="4">
        <v>34</v>
      </c>
      <c r="AH38" s="4">
        <v>34</v>
      </c>
      <c r="AI38" s="255">
        <f t="shared" si="4"/>
        <v>0</v>
      </c>
      <c r="AJ38" s="241"/>
      <c r="AK38" s="108"/>
      <c r="AL38" s="108"/>
      <c r="AM38" s="65"/>
      <c r="AN38" s="65"/>
      <c r="AO38" s="65"/>
      <c r="AP38" s="65"/>
      <c r="AQ38" s="65"/>
      <c r="AR38" s="65"/>
      <c r="AS38" s="65"/>
      <c r="AT38" s="65"/>
      <c r="AU38" s="65"/>
      <c r="AV38" s="65"/>
      <c r="AW38" s="22"/>
      <c r="AX38" s="5" t="e">
        <f t="shared" si="5"/>
        <v>#DIV/0!</v>
      </c>
      <c r="AY38" s="106"/>
      <c r="AZ38" s="106"/>
      <c r="BA38" s="106"/>
      <c r="BB38" s="106"/>
      <c r="BC38" s="106"/>
      <c r="BD38" s="24"/>
      <c r="BE38" s="24"/>
      <c r="BF38" s="24"/>
      <c r="BG38" s="24"/>
      <c r="BH38" s="56"/>
      <c r="BI38" s="5" t="e">
        <f t="shared" si="6"/>
        <v>#DIV/0!</v>
      </c>
      <c r="BJ38" s="24"/>
      <c r="BK38" s="24"/>
      <c r="BL38" s="24" t="e">
        <f t="shared" si="7"/>
        <v>#DIV/0!</v>
      </c>
      <c r="BM38" s="5" t="e">
        <f t="shared" si="8"/>
        <v>#DIV/0!</v>
      </c>
      <c r="BN38" s="4"/>
      <c r="BO38" s="4">
        <v>34</v>
      </c>
      <c r="BP38" s="4">
        <v>34</v>
      </c>
      <c r="BQ38" s="255">
        <f t="shared" si="9"/>
        <v>0</v>
      </c>
      <c r="BR38" s="241"/>
      <c r="BS38" s="93"/>
      <c r="BT38" s="93"/>
      <c r="BU38" s="5"/>
      <c r="BV38" s="5"/>
      <c r="BW38" s="5"/>
      <c r="BX38" s="5"/>
      <c r="BY38" s="5"/>
      <c r="BZ38" s="5"/>
      <c r="CA38" s="5"/>
      <c r="CB38" s="5"/>
      <c r="CC38" s="5"/>
      <c r="CD38" s="5"/>
      <c r="CE38" s="5"/>
      <c r="CF38" s="5" t="e">
        <f t="shared" si="10"/>
        <v>#DIV/0!</v>
      </c>
      <c r="CG38" s="103"/>
      <c r="CH38" s="103"/>
      <c r="CI38" s="103"/>
      <c r="CJ38" s="103"/>
      <c r="CK38" s="5"/>
      <c r="CL38" s="5"/>
      <c r="CM38" s="5"/>
      <c r="CN38" s="5"/>
      <c r="CO38" s="5"/>
      <c r="CP38" s="5"/>
      <c r="CQ38" s="5" t="e">
        <f t="shared" si="11"/>
        <v>#DIV/0!</v>
      </c>
      <c r="CR38" s="5"/>
      <c r="CS38" s="5"/>
      <c r="CT38" s="5" t="e">
        <f t="shared" si="12"/>
        <v>#DIV/0!</v>
      </c>
      <c r="CU38" s="5" t="e">
        <f t="shared" si="13"/>
        <v>#DIV/0!</v>
      </c>
      <c r="CV38" s="4"/>
      <c r="CW38" s="59">
        <v>34</v>
      </c>
      <c r="CY38" s="186"/>
      <c r="CZ38" s="186"/>
      <c r="DA38" s="51"/>
      <c r="DB38" s="51"/>
      <c r="DC38" s="51"/>
      <c r="DD38" s="51"/>
      <c r="DE38" s="51"/>
      <c r="DF38" s="51"/>
      <c r="DG38" s="51"/>
      <c r="DH38" s="51"/>
      <c r="DI38" s="51"/>
      <c r="DJ38" s="51"/>
      <c r="DK38" s="51"/>
      <c r="DL38" s="51"/>
      <c r="DM38" s="51"/>
      <c r="DN38" s="51"/>
      <c r="EB38" s="51"/>
      <c r="EC38" s="51"/>
    </row>
    <row r="39" spans="1:133" ht="13.5" customHeight="1">
      <c r="A39" s="4">
        <v>35</v>
      </c>
      <c r="B39" s="10">
        <f>MAESTRO!F39</f>
        <v>0</v>
      </c>
      <c r="C39" s="103"/>
      <c r="D39" s="103"/>
      <c r="E39" s="103"/>
      <c r="F39" s="5"/>
      <c r="G39" s="5"/>
      <c r="H39" s="5"/>
      <c r="I39" s="5"/>
      <c r="J39" s="5"/>
      <c r="K39" s="5"/>
      <c r="L39" s="5"/>
      <c r="M39" s="5"/>
      <c r="N39" s="5"/>
      <c r="O39" s="5"/>
      <c r="P39" s="5" t="e">
        <f t="shared" si="0"/>
        <v>#DIV/0!</v>
      </c>
      <c r="Q39" s="43">
        <v>35</v>
      </c>
      <c r="R39" s="104"/>
      <c r="S39" s="104"/>
      <c r="T39" s="24"/>
      <c r="U39" s="24"/>
      <c r="V39" s="24"/>
      <c r="W39" s="24"/>
      <c r="X39" s="24"/>
      <c r="Y39" s="24"/>
      <c r="Z39" s="24"/>
      <c r="AA39" s="48" t="e">
        <f t="shared" si="1"/>
        <v>#DIV/0!</v>
      </c>
      <c r="AB39" s="4"/>
      <c r="AC39" s="45"/>
      <c r="AD39" s="5" t="e">
        <f t="shared" si="2"/>
        <v>#DIV/0!</v>
      </c>
      <c r="AE39" s="47" t="e">
        <f t="shared" si="3"/>
        <v>#DIV/0!</v>
      </c>
      <c r="AF39" s="4"/>
      <c r="AG39" s="4">
        <v>35</v>
      </c>
      <c r="AH39" s="4">
        <v>35</v>
      </c>
      <c r="AI39" s="255">
        <f t="shared" si="4"/>
        <v>0</v>
      </c>
      <c r="AJ39" s="241"/>
      <c r="AK39" s="108"/>
      <c r="AL39" s="108"/>
      <c r="AM39" s="65"/>
      <c r="AN39" s="65"/>
      <c r="AO39" s="65"/>
      <c r="AP39" s="65"/>
      <c r="AQ39" s="65"/>
      <c r="AR39" s="65"/>
      <c r="AS39" s="65"/>
      <c r="AT39" s="65"/>
      <c r="AU39" s="65"/>
      <c r="AV39" s="65"/>
      <c r="AW39" s="22"/>
      <c r="AX39" s="5" t="e">
        <f t="shared" si="5"/>
        <v>#DIV/0!</v>
      </c>
      <c r="AY39" s="106"/>
      <c r="AZ39" s="106"/>
      <c r="BA39" s="106"/>
      <c r="BB39" s="106"/>
      <c r="BC39" s="106"/>
      <c r="BD39" s="24"/>
      <c r="BE39" s="24"/>
      <c r="BF39" s="24"/>
      <c r="BG39" s="24"/>
      <c r="BH39" s="56"/>
      <c r="BI39" s="5" t="e">
        <f t="shared" si="6"/>
        <v>#DIV/0!</v>
      </c>
      <c r="BJ39" s="24"/>
      <c r="BK39" s="24"/>
      <c r="BL39" s="24" t="e">
        <f t="shared" si="7"/>
        <v>#DIV/0!</v>
      </c>
      <c r="BM39" s="5" t="e">
        <f t="shared" si="8"/>
        <v>#DIV/0!</v>
      </c>
      <c r="BN39" s="4"/>
      <c r="BO39" s="4">
        <v>35</v>
      </c>
      <c r="BP39" s="4">
        <v>35</v>
      </c>
      <c r="BQ39" s="255">
        <f t="shared" si="9"/>
        <v>0</v>
      </c>
      <c r="BR39" s="241"/>
      <c r="BS39" s="93"/>
      <c r="BT39" s="93"/>
      <c r="BU39" s="5"/>
      <c r="BV39" s="5"/>
      <c r="BW39" s="5"/>
      <c r="BX39" s="5"/>
      <c r="BY39" s="5"/>
      <c r="BZ39" s="5"/>
      <c r="CA39" s="5"/>
      <c r="CB39" s="5"/>
      <c r="CC39" s="5"/>
      <c r="CD39" s="5"/>
      <c r="CE39" s="5"/>
      <c r="CF39" s="5" t="e">
        <f t="shared" si="10"/>
        <v>#DIV/0!</v>
      </c>
      <c r="CG39" s="103"/>
      <c r="CH39" s="103"/>
      <c r="CI39" s="103"/>
      <c r="CJ39" s="103"/>
      <c r="CK39" s="5"/>
      <c r="CL39" s="5"/>
      <c r="CM39" s="5"/>
      <c r="CN39" s="5"/>
      <c r="CO39" s="5"/>
      <c r="CP39" s="5"/>
      <c r="CQ39" s="5" t="e">
        <f t="shared" si="11"/>
        <v>#DIV/0!</v>
      </c>
      <c r="CR39" s="5"/>
      <c r="CS39" s="5"/>
      <c r="CT39" s="5" t="e">
        <f t="shared" si="12"/>
        <v>#DIV/0!</v>
      </c>
      <c r="CU39" s="5" t="e">
        <f t="shared" si="13"/>
        <v>#DIV/0!</v>
      </c>
      <c r="CV39" s="4"/>
      <c r="CW39" s="59">
        <v>35</v>
      </c>
      <c r="CY39" s="186"/>
      <c r="CZ39" s="186"/>
      <c r="DA39" s="51"/>
      <c r="DB39" s="51"/>
      <c r="DC39" s="51"/>
      <c r="DD39" s="51"/>
      <c r="DE39" s="51"/>
      <c r="DF39" s="51"/>
      <c r="DG39" s="51"/>
      <c r="DH39" s="51"/>
      <c r="DI39" s="51"/>
      <c r="DJ39" s="51"/>
      <c r="DK39" s="51"/>
      <c r="DL39" s="51"/>
      <c r="DM39" s="51"/>
      <c r="DN39" s="51"/>
      <c r="EB39" s="51"/>
      <c r="EC39" s="51"/>
    </row>
    <row r="40" spans="1:133" ht="13.5" customHeight="1">
      <c r="A40" s="4">
        <v>36</v>
      </c>
      <c r="B40" s="10">
        <f>MAESTRO!F40</f>
        <v>0</v>
      </c>
      <c r="C40" s="103"/>
      <c r="D40" s="103"/>
      <c r="E40" s="103"/>
      <c r="F40" s="5"/>
      <c r="G40" s="5"/>
      <c r="H40" s="5"/>
      <c r="I40" s="5"/>
      <c r="J40" s="5"/>
      <c r="K40" s="5"/>
      <c r="L40" s="5"/>
      <c r="M40" s="5"/>
      <c r="N40" s="5"/>
      <c r="O40" s="5"/>
      <c r="P40" s="5" t="e">
        <f t="shared" si="0"/>
        <v>#DIV/0!</v>
      </c>
      <c r="Q40" s="43">
        <v>36</v>
      </c>
      <c r="R40" s="104"/>
      <c r="S40" s="104"/>
      <c r="T40" s="24"/>
      <c r="U40" s="24"/>
      <c r="V40" s="24"/>
      <c r="W40" s="24"/>
      <c r="X40" s="24"/>
      <c r="Y40" s="24"/>
      <c r="Z40" s="24"/>
      <c r="AA40" s="48" t="e">
        <f t="shared" si="1"/>
        <v>#DIV/0!</v>
      </c>
      <c r="AB40" s="4"/>
      <c r="AC40" s="45"/>
      <c r="AD40" s="5" t="e">
        <f t="shared" si="2"/>
        <v>#DIV/0!</v>
      </c>
      <c r="AE40" s="47" t="e">
        <f t="shared" si="3"/>
        <v>#DIV/0!</v>
      </c>
      <c r="AF40" s="4"/>
      <c r="AG40" s="4">
        <v>36</v>
      </c>
      <c r="AH40" s="4">
        <v>36</v>
      </c>
      <c r="AI40" s="255">
        <f t="shared" si="4"/>
        <v>0</v>
      </c>
      <c r="AJ40" s="241"/>
      <c r="AK40" s="108"/>
      <c r="AL40" s="108"/>
      <c r="AM40" s="65"/>
      <c r="AN40" s="65"/>
      <c r="AO40" s="65"/>
      <c r="AP40" s="65"/>
      <c r="AQ40" s="65"/>
      <c r="AR40" s="65"/>
      <c r="AS40" s="65"/>
      <c r="AT40" s="65"/>
      <c r="AU40" s="65"/>
      <c r="AV40" s="65"/>
      <c r="AW40" s="22"/>
      <c r="AX40" s="5" t="e">
        <f t="shared" si="5"/>
        <v>#DIV/0!</v>
      </c>
      <c r="AY40" s="106"/>
      <c r="AZ40" s="106"/>
      <c r="BA40" s="106"/>
      <c r="BB40" s="106"/>
      <c r="BC40" s="106"/>
      <c r="BD40" s="24"/>
      <c r="BE40" s="24"/>
      <c r="BF40" s="24"/>
      <c r="BG40" s="24"/>
      <c r="BH40" s="56"/>
      <c r="BI40" s="5" t="e">
        <f t="shared" si="6"/>
        <v>#DIV/0!</v>
      </c>
      <c r="BJ40" s="24"/>
      <c r="BK40" s="24"/>
      <c r="BL40" s="24" t="e">
        <f t="shared" si="7"/>
        <v>#DIV/0!</v>
      </c>
      <c r="BM40" s="5" t="e">
        <f t="shared" si="8"/>
        <v>#DIV/0!</v>
      </c>
      <c r="BN40" s="4"/>
      <c r="BO40" s="4">
        <v>36</v>
      </c>
      <c r="BP40" s="4">
        <v>36</v>
      </c>
      <c r="BQ40" s="255">
        <f t="shared" si="9"/>
        <v>0</v>
      </c>
      <c r="BR40" s="241"/>
      <c r="BS40" s="93"/>
      <c r="BT40" s="93"/>
      <c r="BU40" s="5"/>
      <c r="BV40" s="5"/>
      <c r="BW40" s="5"/>
      <c r="BX40" s="5"/>
      <c r="BY40" s="5"/>
      <c r="BZ40" s="5"/>
      <c r="CA40" s="5"/>
      <c r="CB40" s="5"/>
      <c r="CC40" s="5"/>
      <c r="CD40" s="5"/>
      <c r="CE40" s="5"/>
      <c r="CF40" s="5" t="e">
        <f t="shared" si="10"/>
        <v>#DIV/0!</v>
      </c>
      <c r="CG40" s="103"/>
      <c r="CH40" s="103"/>
      <c r="CI40" s="103"/>
      <c r="CJ40" s="103"/>
      <c r="CK40" s="5"/>
      <c r="CL40" s="5"/>
      <c r="CM40" s="5"/>
      <c r="CN40" s="5"/>
      <c r="CO40" s="5"/>
      <c r="CP40" s="5"/>
      <c r="CQ40" s="5" t="e">
        <f t="shared" si="11"/>
        <v>#DIV/0!</v>
      </c>
      <c r="CR40" s="5"/>
      <c r="CS40" s="5"/>
      <c r="CT40" s="5" t="e">
        <f t="shared" si="12"/>
        <v>#DIV/0!</v>
      </c>
      <c r="CU40" s="5" t="e">
        <f t="shared" si="13"/>
        <v>#DIV/0!</v>
      </c>
      <c r="CV40" s="4"/>
      <c r="CW40" s="59">
        <v>36</v>
      </c>
      <c r="CY40" s="186"/>
      <c r="CZ40" s="186"/>
      <c r="DA40" s="51"/>
      <c r="DB40" s="51"/>
      <c r="DC40" s="51"/>
      <c r="DD40" s="51"/>
      <c r="DE40" s="51"/>
      <c r="DF40" s="51"/>
      <c r="DG40" s="51"/>
      <c r="DH40" s="51"/>
      <c r="DI40" s="51"/>
      <c r="DJ40" s="51"/>
      <c r="DK40" s="51"/>
      <c r="DL40" s="51"/>
      <c r="DM40" s="51"/>
      <c r="DN40" s="51"/>
      <c r="EB40" s="51"/>
      <c r="EC40" s="51"/>
    </row>
    <row r="41" spans="1:133" ht="13.5" customHeight="1">
      <c r="A41" s="4">
        <v>37</v>
      </c>
      <c r="B41" s="10">
        <f>MAESTRO!F41</f>
        <v>0</v>
      </c>
      <c r="C41" s="103"/>
      <c r="D41" s="103"/>
      <c r="E41" s="103"/>
      <c r="F41" s="5"/>
      <c r="G41" s="5"/>
      <c r="H41" s="5"/>
      <c r="I41" s="5"/>
      <c r="J41" s="5"/>
      <c r="K41" s="5"/>
      <c r="L41" s="5"/>
      <c r="M41" s="5"/>
      <c r="N41" s="5"/>
      <c r="O41" s="5"/>
      <c r="P41" s="5" t="e">
        <f t="shared" si="0"/>
        <v>#DIV/0!</v>
      </c>
      <c r="Q41" s="43">
        <v>37</v>
      </c>
      <c r="R41" s="104"/>
      <c r="S41" s="104"/>
      <c r="T41" s="24"/>
      <c r="U41" s="24"/>
      <c r="V41" s="24"/>
      <c r="W41" s="24"/>
      <c r="X41" s="24"/>
      <c r="Y41" s="24"/>
      <c r="Z41" s="24"/>
      <c r="AA41" s="48" t="e">
        <f t="shared" si="1"/>
        <v>#DIV/0!</v>
      </c>
      <c r="AB41" s="4"/>
      <c r="AC41" s="45"/>
      <c r="AD41" s="5" t="e">
        <f t="shared" si="2"/>
        <v>#DIV/0!</v>
      </c>
      <c r="AE41" s="47" t="e">
        <f t="shared" si="3"/>
        <v>#DIV/0!</v>
      </c>
      <c r="AF41" s="4"/>
      <c r="AG41" s="4">
        <v>37</v>
      </c>
      <c r="AH41" s="4">
        <v>37</v>
      </c>
      <c r="AI41" s="255">
        <f t="shared" si="4"/>
        <v>0</v>
      </c>
      <c r="AJ41" s="241"/>
      <c r="AK41" s="108"/>
      <c r="AL41" s="108"/>
      <c r="AM41" s="65"/>
      <c r="AN41" s="65"/>
      <c r="AO41" s="65"/>
      <c r="AP41" s="65"/>
      <c r="AQ41" s="65"/>
      <c r="AR41" s="65"/>
      <c r="AS41" s="65"/>
      <c r="AT41" s="65"/>
      <c r="AU41" s="65"/>
      <c r="AV41" s="65"/>
      <c r="AW41" s="22"/>
      <c r="AX41" s="5" t="e">
        <f t="shared" si="5"/>
        <v>#DIV/0!</v>
      </c>
      <c r="AY41" s="106"/>
      <c r="AZ41" s="106"/>
      <c r="BA41" s="106"/>
      <c r="BB41" s="106"/>
      <c r="BC41" s="106"/>
      <c r="BD41" s="24"/>
      <c r="BE41" s="24"/>
      <c r="BF41" s="24"/>
      <c r="BG41" s="24"/>
      <c r="BH41" s="56"/>
      <c r="BI41" s="5" t="e">
        <f t="shared" si="6"/>
        <v>#DIV/0!</v>
      </c>
      <c r="BJ41" s="24"/>
      <c r="BK41" s="24"/>
      <c r="BL41" s="24" t="e">
        <f t="shared" si="7"/>
        <v>#DIV/0!</v>
      </c>
      <c r="BM41" s="5" t="e">
        <f t="shared" si="8"/>
        <v>#DIV/0!</v>
      </c>
      <c r="BN41" s="4"/>
      <c r="BO41" s="4">
        <v>37</v>
      </c>
      <c r="BP41" s="4">
        <v>37</v>
      </c>
      <c r="BQ41" s="255">
        <f t="shared" si="9"/>
        <v>0</v>
      </c>
      <c r="BR41" s="241"/>
      <c r="BS41" s="93"/>
      <c r="BT41" s="93"/>
      <c r="BU41" s="5"/>
      <c r="BV41" s="5"/>
      <c r="BW41" s="5"/>
      <c r="BX41" s="5"/>
      <c r="BY41" s="5"/>
      <c r="BZ41" s="5"/>
      <c r="CA41" s="5"/>
      <c r="CB41" s="5"/>
      <c r="CC41" s="5"/>
      <c r="CD41" s="5"/>
      <c r="CE41" s="5"/>
      <c r="CF41" s="5" t="e">
        <f t="shared" si="10"/>
        <v>#DIV/0!</v>
      </c>
      <c r="CG41" s="103"/>
      <c r="CH41" s="103"/>
      <c r="CI41" s="103"/>
      <c r="CJ41" s="103"/>
      <c r="CK41" s="5"/>
      <c r="CL41" s="5"/>
      <c r="CM41" s="5"/>
      <c r="CN41" s="5"/>
      <c r="CO41" s="5"/>
      <c r="CP41" s="5"/>
      <c r="CQ41" s="5" t="e">
        <f t="shared" si="11"/>
        <v>#DIV/0!</v>
      </c>
      <c r="CR41" s="5"/>
      <c r="CS41" s="5"/>
      <c r="CT41" s="5" t="e">
        <f t="shared" si="12"/>
        <v>#DIV/0!</v>
      </c>
      <c r="CU41" s="5" t="e">
        <f t="shared" si="13"/>
        <v>#DIV/0!</v>
      </c>
      <c r="CV41" s="4"/>
      <c r="CW41" s="59">
        <v>37</v>
      </c>
      <c r="CY41" s="186"/>
      <c r="CZ41" s="186"/>
      <c r="DA41" s="51"/>
      <c r="DB41" s="51"/>
      <c r="DC41" s="51"/>
      <c r="DD41" s="51"/>
      <c r="DE41" s="51"/>
      <c r="DF41" s="51"/>
      <c r="DG41" s="51"/>
      <c r="DH41" s="51"/>
      <c r="DI41" s="51"/>
      <c r="DJ41" s="51"/>
      <c r="DK41" s="51"/>
      <c r="DL41" s="51"/>
      <c r="DM41" s="51"/>
      <c r="DN41" s="51"/>
      <c r="EB41" s="51"/>
      <c r="EC41" s="51"/>
    </row>
    <row r="42" spans="1:133" ht="13.5" customHeight="1">
      <c r="A42" s="4">
        <v>38</v>
      </c>
      <c r="B42" s="10">
        <f>MAESTRO!F42</f>
        <v>0</v>
      </c>
      <c r="C42" s="103"/>
      <c r="D42" s="103"/>
      <c r="E42" s="103"/>
      <c r="F42" s="5"/>
      <c r="G42" s="5"/>
      <c r="H42" s="5"/>
      <c r="I42" s="5"/>
      <c r="J42" s="5"/>
      <c r="K42" s="5"/>
      <c r="L42" s="5"/>
      <c r="M42" s="5"/>
      <c r="N42" s="5"/>
      <c r="O42" s="5"/>
      <c r="P42" s="5"/>
      <c r="Q42" s="43">
        <v>38</v>
      </c>
      <c r="R42" s="104"/>
      <c r="S42" s="104"/>
      <c r="T42" s="24"/>
      <c r="U42" s="24"/>
      <c r="V42" s="24"/>
      <c r="W42" s="24"/>
      <c r="X42" s="24"/>
      <c r="Y42" s="24"/>
      <c r="Z42" s="24"/>
      <c r="AA42" s="48"/>
      <c r="AB42" s="4"/>
      <c r="AC42" s="45"/>
      <c r="AD42" s="5"/>
      <c r="AE42" s="47"/>
      <c r="AF42" s="4"/>
      <c r="AG42" s="4">
        <v>38</v>
      </c>
      <c r="AH42" s="4">
        <v>38</v>
      </c>
      <c r="AI42" s="255"/>
      <c r="AJ42" s="241"/>
      <c r="AK42" s="108"/>
      <c r="AL42" s="108"/>
      <c r="AM42" s="65"/>
      <c r="AN42" s="65"/>
      <c r="AO42" s="65"/>
      <c r="AP42" s="65"/>
      <c r="AQ42" s="65"/>
      <c r="AR42" s="65"/>
      <c r="AS42" s="65"/>
      <c r="AT42" s="65"/>
      <c r="AU42" s="65"/>
      <c r="AV42" s="65"/>
      <c r="AW42" s="22"/>
      <c r="AX42" s="5"/>
      <c r="AY42" s="106"/>
      <c r="AZ42" s="106"/>
      <c r="BA42" s="106"/>
      <c r="BB42" s="106"/>
      <c r="BC42" s="106"/>
      <c r="BD42" s="24"/>
      <c r="BE42" s="24"/>
      <c r="BF42" s="24"/>
      <c r="BG42" s="24"/>
      <c r="BH42" s="56"/>
      <c r="BI42" s="5"/>
      <c r="BJ42" s="24"/>
      <c r="BK42" s="24"/>
      <c r="BL42" s="24"/>
      <c r="BM42" s="5"/>
      <c r="BN42" s="4"/>
      <c r="BO42" s="4">
        <v>38</v>
      </c>
      <c r="BP42" s="4">
        <v>38</v>
      </c>
      <c r="BQ42" s="255"/>
      <c r="BR42" s="241"/>
      <c r="BS42" s="93"/>
      <c r="BT42" s="93"/>
      <c r="BU42" s="5"/>
      <c r="BV42" s="5"/>
      <c r="BW42" s="5"/>
      <c r="BX42" s="5"/>
      <c r="BY42" s="5"/>
      <c r="BZ42" s="5"/>
      <c r="CA42" s="5"/>
      <c r="CB42" s="5"/>
      <c r="CC42" s="5"/>
      <c r="CD42" s="5"/>
      <c r="CE42" s="5"/>
      <c r="CF42" s="5"/>
      <c r="CG42" s="103"/>
      <c r="CH42" s="103"/>
      <c r="CI42" s="103"/>
      <c r="CJ42" s="103"/>
      <c r="CK42" s="5"/>
      <c r="CL42" s="5"/>
      <c r="CM42" s="5"/>
      <c r="CN42" s="5"/>
      <c r="CO42" s="5"/>
      <c r="CP42" s="5"/>
      <c r="CQ42" s="5"/>
      <c r="CR42" s="5"/>
      <c r="CS42" s="5"/>
      <c r="CT42" s="5"/>
      <c r="CU42" s="5"/>
      <c r="CV42" s="4"/>
      <c r="CW42" s="59">
        <v>38</v>
      </c>
      <c r="CY42" s="186"/>
      <c r="CZ42" s="186"/>
      <c r="DA42" s="51"/>
      <c r="DB42" s="51"/>
      <c r="DC42" s="51"/>
      <c r="DD42" s="51"/>
      <c r="DE42" s="51"/>
      <c r="DF42" s="51"/>
      <c r="DG42" s="51"/>
      <c r="DH42" s="51"/>
      <c r="DI42" s="51"/>
      <c r="DJ42" s="51"/>
      <c r="DK42" s="51"/>
      <c r="DL42" s="51"/>
      <c r="DM42" s="51"/>
      <c r="DN42" s="51"/>
      <c r="EB42" s="51"/>
      <c r="EC42" s="51"/>
    </row>
    <row r="43" spans="1:133" ht="13.5" customHeight="1">
      <c r="A43" s="4">
        <v>39</v>
      </c>
      <c r="B43" s="10">
        <f>MAESTRO!F43</f>
        <v>0</v>
      </c>
      <c r="C43" s="103"/>
      <c r="D43" s="103"/>
      <c r="E43" s="103"/>
      <c r="F43" s="5"/>
      <c r="G43" s="5"/>
      <c r="H43" s="5"/>
      <c r="I43" s="5"/>
      <c r="J43" s="5"/>
      <c r="K43" s="5"/>
      <c r="L43" s="5"/>
      <c r="M43" s="5"/>
      <c r="N43" s="5"/>
      <c r="O43" s="5"/>
      <c r="P43" s="5"/>
      <c r="Q43" s="43">
        <v>39</v>
      </c>
      <c r="R43" s="104"/>
      <c r="S43" s="104"/>
      <c r="T43" s="24"/>
      <c r="U43" s="24"/>
      <c r="V43" s="24"/>
      <c r="W43" s="24"/>
      <c r="X43" s="24"/>
      <c r="Y43" s="24"/>
      <c r="Z43" s="24"/>
      <c r="AA43" s="48"/>
      <c r="AB43" s="4"/>
      <c r="AC43" s="45"/>
      <c r="AD43" s="5"/>
      <c r="AE43" s="47"/>
      <c r="AF43" s="4"/>
      <c r="AG43" s="4">
        <v>39</v>
      </c>
      <c r="AH43" s="4">
        <v>39</v>
      </c>
      <c r="AI43" s="255"/>
      <c r="AJ43" s="241"/>
      <c r="AK43" s="108"/>
      <c r="AL43" s="108"/>
      <c r="AM43" s="65"/>
      <c r="AN43" s="65"/>
      <c r="AO43" s="65"/>
      <c r="AP43" s="65"/>
      <c r="AQ43" s="65"/>
      <c r="AR43" s="65"/>
      <c r="AS43" s="65"/>
      <c r="AT43" s="65"/>
      <c r="AU43" s="65"/>
      <c r="AV43" s="65"/>
      <c r="AW43" s="22"/>
      <c r="AX43" s="5"/>
      <c r="AY43" s="106"/>
      <c r="AZ43" s="106"/>
      <c r="BA43" s="106"/>
      <c r="BB43" s="106"/>
      <c r="BC43" s="106"/>
      <c r="BD43" s="24"/>
      <c r="BE43" s="24"/>
      <c r="BF43" s="24"/>
      <c r="BG43" s="24"/>
      <c r="BH43" s="56"/>
      <c r="BI43" s="5"/>
      <c r="BJ43" s="24"/>
      <c r="BK43" s="24"/>
      <c r="BL43" s="24"/>
      <c r="BM43" s="5"/>
      <c r="BN43" s="4"/>
      <c r="BO43" s="4">
        <v>39</v>
      </c>
      <c r="BP43" s="4">
        <v>39</v>
      </c>
      <c r="BQ43" s="255"/>
      <c r="BR43" s="241"/>
      <c r="BS43" s="93"/>
      <c r="BT43" s="93"/>
      <c r="BU43" s="5"/>
      <c r="BV43" s="5"/>
      <c r="BW43" s="5"/>
      <c r="BX43" s="5"/>
      <c r="BY43" s="5"/>
      <c r="BZ43" s="5"/>
      <c r="CA43" s="5"/>
      <c r="CB43" s="5"/>
      <c r="CC43" s="5"/>
      <c r="CD43" s="5"/>
      <c r="CE43" s="5"/>
      <c r="CF43" s="5"/>
      <c r="CG43" s="103"/>
      <c r="CH43" s="103"/>
      <c r="CI43" s="103"/>
      <c r="CJ43" s="103"/>
      <c r="CK43" s="5"/>
      <c r="CL43" s="5"/>
      <c r="CM43" s="5"/>
      <c r="CN43" s="5"/>
      <c r="CO43" s="5"/>
      <c r="CP43" s="5"/>
      <c r="CQ43" s="5"/>
      <c r="CR43" s="5"/>
      <c r="CS43" s="5"/>
      <c r="CT43" s="5"/>
      <c r="CU43" s="5"/>
      <c r="CV43" s="4"/>
      <c r="CW43" s="59">
        <v>39</v>
      </c>
      <c r="CY43" s="186"/>
      <c r="CZ43" s="186"/>
      <c r="DA43" s="51"/>
      <c r="DB43" s="51"/>
      <c r="DC43" s="51"/>
      <c r="DD43" s="51"/>
      <c r="DE43" s="51"/>
      <c r="DF43" s="51"/>
      <c r="DG43" s="51"/>
      <c r="DH43" s="51"/>
      <c r="DI43" s="51"/>
      <c r="DJ43" s="51"/>
      <c r="DK43" s="51"/>
      <c r="DL43" s="51"/>
      <c r="DM43" s="51"/>
      <c r="DN43" s="51"/>
      <c r="EB43" s="51"/>
      <c r="EC43" s="51"/>
    </row>
    <row r="44" spans="1:133" ht="13.5" customHeight="1">
      <c r="A44" s="4">
        <v>40</v>
      </c>
      <c r="B44" s="10">
        <f>MAESTRO!F44</f>
        <v>0</v>
      </c>
      <c r="C44" s="103"/>
      <c r="D44" s="103"/>
      <c r="E44" s="103"/>
      <c r="F44" s="93"/>
      <c r="G44" s="93"/>
      <c r="H44" s="93"/>
      <c r="I44" s="93"/>
      <c r="J44" s="93"/>
      <c r="K44" s="5"/>
      <c r="L44" s="5"/>
      <c r="M44" s="5"/>
      <c r="N44" s="5"/>
      <c r="O44" s="5"/>
      <c r="P44" s="5"/>
      <c r="Q44" s="43">
        <v>40</v>
      </c>
      <c r="R44" s="104"/>
      <c r="S44" s="104"/>
      <c r="T44" s="93"/>
      <c r="U44" s="93"/>
      <c r="V44" s="93"/>
      <c r="W44" s="93"/>
      <c r="X44" s="93"/>
      <c r="Y44" s="93"/>
      <c r="Z44" s="93"/>
      <c r="AA44" s="24"/>
      <c r="AB44" s="24"/>
      <c r="AC44" s="24"/>
      <c r="AD44" s="24"/>
      <c r="AE44" s="24"/>
      <c r="AF44" s="4"/>
      <c r="AG44" s="4">
        <v>40</v>
      </c>
      <c r="AH44" s="4">
        <v>40</v>
      </c>
      <c r="AI44" s="255"/>
      <c r="AJ44" s="241"/>
      <c r="AK44" s="108"/>
      <c r="AL44" s="108"/>
      <c r="AM44" s="4"/>
      <c r="AN44" s="4"/>
      <c r="AO44" s="4"/>
      <c r="AP44" s="4"/>
      <c r="AQ44" s="4"/>
      <c r="AR44" s="4"/>
      <c r="AS44" s="4"/>
      <c r="AT44" s="4"/>
      <c r="AU44" s="4"/>
      <c r="AV44" s="4"/>
      <c r="AW44" s="22"/>
      <c r="AX44" s="5"/>
      <c r="AY44" s="106"/>
      <c r="AZ44" s="106"/>
      <c r="BA44" s="106"/>
      <c r="BB44" s="106"/>
      <c r="BC44" s="106"/>
      <c r="BD44" s="24"/>
      <c r="BE44" s="24"/>
      <c r="BF44" s="24"/>
      <c r="BG44" s="24"/>
      <c r="BH44" s="24"/>
      <c r="BI44" s="24"/>
      <c r="BJ44" s="24"/>
      <c r="BK44" s="24"/>
      <c r="BL44" s="24"/>
      <c r="BM44" s="24"/>
      <c r="BN44" s="4"/>
      <c r="BO44" s="4">
        <v>40</v>
      </c>
      <c r="BP44" s="4">
        <v>40</v>
      </c>
      <c r="BQ44" s="255"/>
      <c r="BR44" s="241"/>
      <c r="BS44" s="93"/>
      <c r="BT44" s="93"/>
      <c r="BU44" s="5"/>
      <c r="BV44" s="5"/>
      <c r="BW44" s="5"/>
      <c r="BX44" s="5"/>
      <c r="BY44" s="5"/>
      <c r="BZ44" s="5"/>
      <c r="CA44" s="5"/>
      <c r="CB44" s="5"/>
      <c r="CC44" s="5"/>
      <c r="CD44" s="5"/>
      <c r="CE44" s="5"/>
      <c r="CF44" s="5"/>
      <c r="CG44" s="103"/>
      <c r="CH44" s="103"/>
      <c r="CI44" s="103"/>
      <c r="CJ44" s="103"/>
      <c r="CK44" s="5"/>
      <c r="CL44" s="5"/>
      <c r="CM44" s="5"/>
      <c r="CN44" s="5"/>
      <c r="CO44" s="5"/>
      <c r="CP44" s="5"/>
      <c r="CQ44" s="5"/>
      <c r="CR44" s="5"/>
      <c r="CS44" s="5"/>
      <c r="CT44" s="5"/>
      <c r="CU44" s="5"/>
      <c r="CV44" s="4"/>
      <c r="CW44" s="59">
        <v>40</v>
      </c>
      <c r="CY44" s="186"/>
      <c r="CZ44" s="186"/>
      <c r="DA44" s="51"/>
      <c r="DB44" s="51"/>
      <c r="DC44" s="51"/>
      <c r="DD44" s="51"/>
      <c r="DE44" s="51"/>
      <c r="DF44" s="51"/>
      <c r="DG44" s="51"/>
      <c r="DH44" s="51"/>
      <c r="DI44" s="51"/>
      <c r="DJ44" s="51"/>
      <c r="DK44" s="51"/>
      <c r="DL44" s="51"/>
      <c r="DM44" s="51"/>
      <c r="DN44" s="51"/>
      <c r="EB44" s="51"/>
      <c r="EC44" s="51"/>
    </row>
    <row r="45" spans="1:133" ht="13.5" customHeight="1">
      <c r="A45" s="4">
        <v>41</v>
      </c>
      <c r="B45" s="10"/>
      <c r="C45" s="103"/>
      <c r="D45" s="103"/>
      <c r="E45" s="103"/>
      <c r="F45" s="93"/>
      <c r="G45" s="93"/>
      <c r="H45" s="93"/>
      <c r="I45" s="93"/>
      <c r="J45" s="93"/>
      <c r="K45" s="5"/>
      <c r="L45" s="5"/>
      <c r="M45" s="5"/>
      <c r="N45" s="5"/>
      <c r="O45" s="5"/>
      <c r="P45" s="5"/>
      <c r="Q45" s="43">
        <v>41</v>
      </c>
      <c r="R45" s="104"/>
      <c r="S45" s="104"/>
      <c r="T45" s="93"/>
      <c r="U45" s="93"/>
      <c r="V45" s="93"/>
      <c r="W45" s="93"/>
      <c r="X45" s="93"/>
      <c r="Y45" s="93"/>
      <c r="Z45" s="93"/>
      <c r="AA45" s="24"/>
      <c r="AB45" s="24"/>
      <c r="AC45" s="24"/>
      <c r="AD45" s="24"/>
      <c r="AE45" s="24"/>
      <c r="AF45" s="4"/>
      <c r="AG45" s="4">
        <v>41</v>
      </c>
      <c r="AH45" s="4">
        <v>41</v>
      </c>
      <c r="AI45" s="255"/>
      <c r="AJ45" s="241"/>
      <c r="AK45" s="108"/>
      <c r="AL45" s="108"/>
      <c r="AM45" s="53"/>
      <c r="AN45" s="53"/>
      <c r="AO45" s="53"/>
      <c r="AP45" s="53"/>
      <c r="AQ45" s="53"/>
      <c r="AR45" s="53"/>
      <c r="AS45" s="22"/>
      <c r="AT45" s="22"/>
      <c r="AU45" s="22"/>
      <c r="AV45" s="22"/>
      <c r="AW45" s="22"/>
      <c r="AX45" s="5"/>
      <c r="AY45" s="106"/>
      <c r="AZ45" s="106"/>
      <c r="BA45" s="106"/>
      <c r="BB45" s="106"/>
      <c r="BC45" s="106"/>
      <c r="BD45" s="24"/>
      <c r="BE45" s="24"/>
      <c r="BF45" s="24"/>
      <c r="BG45" s="24"/>
      <c r="BH45" s="24"/>
      <c r="BI45" s="24"/>
      <c r="BJ45" s="24"/>
      <c r="BK45" s="24"/>
      <c r="BL45" s="24"/>
      <c r="BM45" s="24"/>
      <c r="BN45" s="4"/>
      <c r="BO45" s="4">
        <v>41</v>
      </c>
      <c r="BP45" s="4">
        <v>41</v>
      </c>
      <c r="BQ45" s="255"/>
      <c r="BR45" s="241"/>
      <c r="BS45" s="93"/>
      <c r="BT45" s="93"/>
      <c r="BU45" s="5"/>
      <c r="BV45" s="5"/>
      <c r="BW45" s="5"/>
      <c r="BX45" s="5"/>
      <c r="BY45" s="5"/>
      <c r="BZ45" s="5"/>
      <c r="CA45" s="5"/>
      <c r="CB45" s="5"/>
      <c r="CC45" s="5"/>
      <c r="CD45" s="5"/>
      <c r="CE45" s="5"/>
      <c r="CF45" s="5"/>
      <c r="CG45" s="103"/>
      <c r="CH45" s="103"/>
      <c r="CI45" s="103"/>
      <c r="CJ45" s="103"/>
      <c r="CK45" s="5"/>
      <c r="CL45" s="5"/>
      <c r="CM45" s="5"/>
      <c r="CN45" s="5"/>
      <c r="CO45" s="5"/>
      <c r="CP45" s="5"/>
      <c r="CQ45" s="5"/>
      <c r="CR45" s="5"/>
      <c r="CS45" s="5"/>
      <c r="CT45" s="5"/>
      <c r="CU45" s="5"/>
      <c r="CV45" s="4"/>
      <c r="CW45" s="59">
        <v>41</v>
      </c>
      <c r="CY45" s="186"/>
      <c r="CZ45" s="186"/>
      <c r="DA45" s="51"/>
      <c r="DB45" s="51"/>
      <c r="DC45" s="51"/>
      <c r="DD45" s="51"/>
      <c r="DE45" s="51"/>
      <c r="DF45" s="51"/>
      <c r="DG45" s="51"/>
      <c r="DH45" s="51"/>
      <c r="DI45" s="51"/>
      <c r="DJ45" s="51"/>
      <c r="DK45" s="51"/>
      <c r="DL45" s="51"/>
      <c r="DM45" s="51"/>
      <c r="DN45" s="51"/>
      <c r="EB45" s="51"/>
      <c r="EC45" s="51"/>
    </row>
    <row r="46" spans="1:133" ht="13.5" customHeight="1">
      <c r="A46" s="4">
        <v>42</v>
      </c>
      <c r="B46" s="10"/>
      <c r="C46" s="103"/>
      <c r="D46" s="103"/>
      <c r="E46" s="103"/>
      <c r="F46" s="93"/>
      <c r="G46" s="93"/>
      <c r="H46" s="93"/>
      <c r="I46" s="93"/>
      <c r="J46" s="93"/>
      <c r="K46" s="5"/>
      <c r="L46" s="5"/>
      <c r="M46" s="5"/>
      <c r="N46" s="5"/>
      <c r="O46" s="5"/>
      <c r="P46" s="5"/>
      <c r="Q46" s="43">
        <v>42</v>
      </c>
      <c r="R46" s="104"/>
      <c r="S46" s="104"/>
      <c r="T46" s="93"/>
      <c r="U46" s="93"/>
      <c r="V46" s="93"/>
      <c r="W46" s="93"/>
      <c r="X46" s="93"/>
      <c r="Y46" s="93"/>
      <c r="Z46" s="93"/>
      <c r="AA46" s="24"/>
      <c r="AB46" s="24"/>
      <c r="AC46" s="24"/>
      <c r="AD46" s="24"/>
      <c r="AE46" s="24"/>
      <c r="AF46" s="4"/>
      <c r="AG46" s="4">
        <v>42</v>
      </c>
      <c r="AH46" s="4">
        <v>42</v>
      </c>
      <c r="AI46" s="255"/>
      <c r="AJ46" s="241"/>
      <c r="AK46" s="108"/>
      <c r="AL46" s="108"/>
      <c r="AM46" s="53"/>
      <c r="AN46" s="53"/>
      <c r="AO46" s="53"/>
      <c r="AP46" s="53"/>
      <c r="AQ46" s="53"/>
      <c r="AR46" s="53"/>
      <c r="AS46" s="22"/>
      <c r="AT46" s="22"/>
      <c r="AU46" s="22"/>
      <c r="AV46" s="22"/>
      <c r="AW46" s="22"/>
      <c r="AX46" s="5"/>
      <c r="AY46" s="106"/>
      <c r="AZ46" s="106"/>
      <c r="BA46" s="106"/>
      <c r="BB46" s="106"/>
      <c r="BC46" s="106"/>
      <c r="BD46" s="24"/>
      <c r="BE46" s="24"/>
      <c r="BF46" s="24"/>
      <c r="BG46" s="24"/>
      <c r="BH46" s="24"/>
      <c r="BI46" s="24"/>
      <c r="BJ46" s="24"/>
      <c r="BK46" s="24"/>
      <c r="BL46" s="24"/>
      <c r="BM46" s="24"/>
      <c r="BN46" s="4"/>
      <c r="BO46" s="4">
        <v>42</v>
      </c>
      <c r="BP46" s="4">
        <v>42</v>
      </c>
      <c r="BQ46" s="255"/>
      <c r="BR46" s="241"/>
      <c r="BS46" s="93"/>
      <c r="BT46" s="93"/>
      <c r="BU46" s="5"/>
      <c r="BV46" s="5"/>
      <c r="BW46" s="5"/>
      <c r="BX46" s="5"/>
      <c r="BY46" s="5"/>
      <c r="BZ46" s="5"/>
      <c r="CA46" s="5"/>
      <c r="CB46" s="5"/>
      <c r="CC46" s="5"/>
      <c r="CD46" s="5"/>
      <c r="CE46" s="5"/>
      <c r="CF46" s="5"/>
      <c r="CG46" s="103"/>
      <c r="CH46" s="103"/>
      <c r="CI46" s="103"/>
      <c r="CJ46" s="103"/>
      <c r="CK46" s="5"/>
      <c r="CL46" s="5"/>
      <c r="CM46" s="5"/>
      <c r="CN46" s="5"/>
      <c r="CO46" s="5"/>
      <c r="CP46" s="5"/>
      <c r="CQ46" s="5"/>
      <c r="CR46" s="5"/>
      <c r="CS46" s="5"/>
      <c r="CT46" s="5"/>
      <c r="CU46" s="5"/>
      <c r="CV46" s="4"/>
      <c r="CW46" s="59">
        <v>42</v>
      </c>
      <c r="CY46" s="186"/>
      <c r="CZ46" s="186"/>
      <c r="DA46" s="51"/>
      <c r="DB46" s="51"/>
      <c r="DC46" s="51"/>
      <c r="DD46" s="51"/>
      <c r="DE46" s="51"/>
      <c r="DF46" s="51"/>
      <c r="DG46" s="51"/>
      <c r="DH46" s="51"/>
      <c r="DI46" s="51"/>
      <c r="DJ46" s="51"/>
      <c r="DK46" s="51"/>
      <c r="DL46" s="51"/>
      <c r="DM46" s="51"/>
      <c r="DN46" s="51"/>
      <c r="EB46" s="51"/>
      <c r="EC46" s="51"/>
    </row>
    <row r="47" spans="1:133" ht="13.5" customHeight="1">
      <c r="A47" s="4">
        <v>43</v>
      </c>
      <c r="B47" s="10"/>
      <c r="C47" s="103"/>
      <c r="D47" s="103"/>
      <c r="E47" s="103"/>
      <c r="F47" s="93"/>
      <c r="G47" s="93"/>
      <c r="H47" s="93"/>
      <c r="I47" s="93"/>
      <c r="J47" s="93"/>
      <c r="K47" s="5"/>
      <c r="L47" s="5"/>
      <c r="M47" s="5"/>
      <c r="N47" s="5"/>
      <c r="O47" s="5"/>
      <c r="P47" s="5"/>
      <c r="Q47" s="43">
        <v>43</v>
      </c>
      <c r="R47" s="104"/>
      <c r="S47" s="104"/>
      <c r="T47" s="93"/>
      <c r="U47" s="93"/>
      <c r="V47" s="93"/>
      <c r="W47" s="93"/>
      <c r="X47" s="93"/>
      <c r="Y47" s="93"/>
      <c r="Z47" s="93"/>
      <c r="AA47" s="24"/>
      <c r="AB47" s="24"/>
      <c r="AC47" s="24"/>
      <c r="AD47" s="24"/>
      <c r="AE47" s="24"/>
      <c r="AF47" s="4"/>
      <c r="AG47" s="4">
        <v>43</v>
      </c>
      <c r="AH47" s="4">
        <v>43</v>
      </c>
      <c r="AI47" s="255"/>
      <c r="AJ47" s="241"/>
      <c r="AK47" s="108"/>
      <c r="AL47" s="108"/>
      <c r="AM47" s="53"/>
      <c r="AN47" s="53"/>
      <c r="AO47" s="53"/>
      <c r="AP47" s="53"/>
      <c r="AQ47" s="53"/>
      <c r="AR47" s="53"/>
      <c r="AS47" s="22"/>
      <c r="AT47" s="22"/>
      <c r="AU47" s="22"/>
      <c r="AV47" s="22"/>
      <c r="AW47" s="22"/>
      <c r="AX47" s="5"/>
      <c r="AY47" s="106"/>
      <c r="AZ47" s="106"/>
      <c r="BA47" s="106"/>
      <c r="BB47" s="106"/>
      <c r="BC47" s="106"/>
      <c r="BD47" s="24"/>
      <c r="BE47" s="24"/>
      <c r="BF47" s="24"/>
      <c r="BG47" s="24"/>
      <c r="BH47" s="24"/>
      <c r="BI47" s="24"/>
      <c r="BJ47" s="24"/>
      <c r="BK47" s="24"/>
      <c r="BL47" s="24"/>
      <c r="BM47" s="24"/>
      <c r="BN47" s="4"/>
      <c r="BO47" s="4">
        <v>43</v>
      </c>
      <c r="BP47" s="4">
        <v>43</v>
      </c>
      <c r="BQ47" s="255"/>
      <c r="BR47" s="241"/>
      <c r="BS47" s="93"/>
      <c r="BT47" s="93"/>
      <c r="BU47" s="5"/>
      <c r="BV47" s="5"/>
      <c r="BW47" s="5"/>
      <c r="BX47" s="5"/>
      <c r="BY47" s="5"/>
      <c r="BZ47" s="5"/>
      <c r="CA47" s="5"/>
      <c r="CB47" s="5"/>
      <c r="CC47" s="5"/>
      <c r="CD47" s="5"/>
      <c r="CE47" s="5"/>
      <c r="CF47" s="5"/>
      <c r="CG47" s="103"/>
      <c r="CH47" s="103"/>
      <c r="CI47" s="103"/>
      <c r="CJ47" s="103"/>
      <c r="CK47" s="5"/>
      <c r="CL47" s="5"/>
      <c r="CM47" s="5"/>
      <c r="CN47" s="5"/>
      <c r="CO47" s="5"/>
      <c r="CP47" s="5"/>
      <c r="CQ47" s="5"/>
      <c r="CR47" s="5"/>
      <c r="CS47" s="5"/>
      <c r="CT47" s="5"/>
      <c r="CU47" s="5"/>
      <c r="CV47" s="4"/>
      <c r="CW47" s="59">
        <v>43</v>
      </c>
      <c r="CY47" s="186"/>
      <c r="CZ47" s="186"/>
      <c r="DA47" s="51"/>
      <c r="DB47" s="51"/>
      <c r="DC47" s="51"/>
      <c r="DD47" s="51"/>
      <c r="DE47" s="51"/>
      <c r="DF47" s="51"/>
      <c r="DG47" s="51"/>
      <c r="DH47" s="51"/>
      <c r="DI47" s="51"/>
      <c r="DJ47" s="51"/>
      <c r="DK47" s="51"/>
      <c r="DL47" s="51"/>
      <c r="DM47" s="51"/>
      <c r="DN47" s="51"/>
      <c r="EB47" s="51"/>
      <c r="EC47" s="51"/>
    </row>
    <row r="48" spans="1:133" ht="13.5" customHeight="1">
      <c r="A48" s="4">
        <v>44</v>
      </c>
      <c r="B48" s="10"/>
      <c r="C48" s="103"/>
      <c r="D48" s="103"/>
      <c r="E48" s="103"/>
      <c r="F48" s="93"/>
      <c r="G48" s="93"/>
      <c r="H48" s="93"/>
      <c r="I48" s="93"/>
      <c r="J48" s="93"/>
      <c r="K48" s="5"/>
      <c r="L48" s="5"/>
      <c r="M48" s="5"/>
      <c r="N48" s="5"/>
      <c r="O48" s="5"/>
      <c r="P48" s="5"/>
      <c r="Q48" s="43">
        <v>44</v>
      </c>
      <c r="R48" s="104"/>
      <c r="S48" s="104"/>
      <c r="T48" s="93"/>
      <c r="U48" s="93"/>
      <c r="V48" s="93"/>
      <c r="W48" s="93"/>
      <c r="X48" s="93"/>
      <c r="Y48" s="93"/>
      <c r="Z48" s="93"/>
      <c r="AA48" s="24"/>
      <c r="AB48" s="24"/>
      <c r="AC48" s="24"/>
      <c r="AD48" s="24"/>
      <c r="AE48" s="24"/>
      <c r="AF48" s="4"/>
      <c r="AG48" s="4">
        <v>44</v>
      </c>
      <c r="AH48" s="4">
        <v>44</v>
      </c>
      <c r="AI48" s="255"/>
      <c r="AJ48" s="241"/>
      <c r="AK48" s="108"/>
      <c r="AL48" s="108"/>
      <c r="AM48" s="53"/>
      <c r="AN48" s="53"/>
      <c r="AO48" s="53"/>
      <c r="AP48" s="53"/>
      <c r="AQ48" s="53"/>
      <c r="AR48" s="53"/>
      <c r="AS48" s="22"/>
      <c r="AT48" s="22"/>
      <c r="AU48" s="22"/>
      <c r="AV48" s="22"/>
      <c r="AW48" s="22"/>
      <c r="AX48" s="5"/>
      <c r="AY48" s="106"/>
      <c r="AZ48" s="106"/>
      <c r="BA48" s="106"/>
      <c r="BB48" s="106"/>
      <c r="BC48" s="106"/>
      <c r="BD48" s="56"/>
      <c r="BE48" s="56"/>
      <c r="BF48" s="56"/>
      <c r="BG48" s="24"/>
      <c r="BH48" s="24"/>
      <c r="BI48" s="24"/>
      <c r="BJ48" s="24"/>
      <c r="BK48" s="24"/>
      <c r="BL48" s="24"/>
      <c r="BM48" s="24"/>
      <c r="BN48" s="4"/>
      <c r="BO48" s="4">
        <v>44</v>
      </c>
      <c r="BP48" s="4">
        <v>44</v>
      </c>
      <c r="BQ48" s="255"/>
      <c r="BR48" s="241"/>
      <c r="BS48" s="93"/>
      <c r="BT48" s="93"/>
      <c r="BU48" s="5"/>
      <c r="BV48" s="5"/>
      <c r="BW48" s="5"/>
      <c r="BX48" s="5"/>
      <c r="BY48" s="5"/>
      <c r="BZ48" s="5"/>
      <c r="CA48" s="5"/>
      <c r="CB48" s="5"/>
      <c r="CC48" s="5"/>
      <c r="CD48" s="5"/>
      <c r="CE48" s="5"/>
      <c r="CF48" s="5"/>
      <c r="CG48" s="103"/>
      <c r="CH48" s="103"/>
      <c r="CI48" s="103"/>
      <c r="CJ48" s="103"/>
      <c r="CK48" s="5"/>
      <c r="CL48" s="5"/>
      <c r="CM48" s="5"/>
      <c r="CN48" s="5"/>
      <c r="CO48" s="5"/>
      <c r="CP48" s="5"/>
      <c r="CQ48" s="5"/>
      <c r="CR48" s="5"/>
      <c r="CS48" s="5"/>
      <c r="CT48" s="5"/>
      <c r="CU48" s="5"/>
      <c r="CV48" s="4"/>
      <c r="CW48" s="59">
        <v>44</v>
      </c>
      <c r="CY48" s="186"/>
      <c r="CZ48" s="186"/>
      <c r="DA48" s="51"/>
      <c r="DB48" s="51"/>
      <c r="DC48" s="51"/>
      <c r="DD48" s="51"/>
      <c r="DE48" s="51"/>
      <c r="DF48" s="51"/>
      <c r="DG48" s="51"/>
      <c r="DH48" s="51"/>
      <c r="DI48" s="51"/>
      <c r="DJ48" s="51"/>
      <c r="DK48" s="51"/>
      <c r="DL48" s="51"/>
      <c r="DM48" s="51"/>
      <c r="DN48" s="51"/>
      <c r="EB48" s="51"/>
      <c r="EC48" s="51"/>
    </row>
    <row r="49" spans="1:133" ht="15" customHeight="1">
      <c r="A49" s="4">
        <v>45</v>
      </c>
      <c r="B49" s="10"/>
      <c r="C49" s="93"/>
      <c r="D49" s="94"/>
      <c r="E49" s="93"/>
      <c r="F49" s="93"/>
      <c r="G49" s="93"/>
      <c r="H49" s="93"/>
      <c r="I49" s="93"/>
      <c r="J49" s="93"/>
      <c r="K49" s="5"/>
      <c r="L49" s="5"/>
      <c r="M49" s="5"/>
      <c r="N49" s="5"/>
      <c r="O49" s="5"/>
      <c r="P49" s="5"/>
      <c r="Q49" s="42"/>
      <c r="R49" s="94"/>
      <c r="S49" s="94"/>
      <c r="T49" s="93"/>
      <c r="U49" s="93"/>
      <c r="V49" s="93"/>
      <c r="W49" s="93"/>
      <c r="X49" s="93"/>
      <c r="Y49" s="93"/>
      <c r="Z49" s="93"/>
      <c r="AA49" s="24"/>
      <c r="AB49" s="24"/>
      <c r="AC49" s="24"/>
      <c r="AD49" s="24"/>
      <c r="AE49" s="24"/>
      <c r="AF49" s="4"/>
      <c r="AG49" s="4">
        <v>45</v>
      </c>
      <c r="AH49" s="4">
        <v>45</v>
      </c>
      <c r="AI49" s="255"/>
      <c r="AJ49" s="241"/>
      <c r="AK49" s="53"/>
      <c r="AL49" s="53"/>
      <c r="AM49" s="53"/>
      <c r="AN49" s="53"/>
      <c r="AO49" s="53"/>
      <c r="AP49" s="53"/>
      <c r="AQ49" s="53"/>
      <c r="AR49" s="53"/>
      <c r="AS49" s="22"/>
      <c r="AT49" s="22"/>
      <c r="AU49" s="22"/>
      <c r="AV49" s="22"/>
      <c r="AW49" s="22"/>
      <c r="AX49" s="5"/>
      <c r="AY49" s="56"/>
      <c r="AZ49" s="56"/>
      <c r="BA49" s="56"/>
      <c r="BB49" s="56"/>
      <c r="BC49" s="56"/>
      <c r="BD49" s="56"/>
      <c r="BE49" s="56"/>
      <c r="BF49" s="56"/>
      <c r="BG49" s="24"/>
      <c r="BH49" s="24"/>
      <c r="BI49" s="24"/>
      <c r="BJ49" s="24"/>
      <c r="BK49" s="24"/>
      <c r="BL49" s="24"/>
      <c r="BM49" s="24"/>
      <c r="BN49" s="4"/>
      <c r="BO49" s="4">
        <v>45</v>
      </c>
      <c r="BP49" s="4">
        <v>45</v>
      </c>
      <c r="BQ49" s="255"/>
      <c r="BR49" s="241"/>
      <c r="BS49" s="5"/>
      <c r="BT49" s="5"/>
      <c r="BU49" s="5"/>
      <c r="BV49" s="5"/>
      <c r="BW49" s="5"/>
      <c r="BX49" s="5"/>
      <c r="BY49" s="5"/>
      <c r="BZ49" s="5"/>
      <c r="CA49" s="5"/>
      <c r="CB49" s="5"/>
      <c r="CC49" s="5"/>
      <c r="CD49" s="5"/>
      <c r="CE49" s="5"/>
      <c r="CF49" s="5" t="e">
        <f>TRUNC(AVERAGE(BS49:CE49),1)</f>
        <v>#DIV/0!</v>
      </c>
      <c r="CG49" s="5"/>
      <c r="CH49" s="5"/>
      <c r="CI49" s="5"/>
      <c r="CJ49" s="5"/>
      <c r="CK49" s="5"/>
      <c r="CL49" s="5"/>
      <c r="CM49" s="5"/>
      <c r="CN49" s="5"/>
      <c r="CO49" s="5"/>
      <c r="CP49" s="5"/>
      <c r="CQ49" s="5" t="e">
        <f>TRUNC(AVERAGE(CG49:CP49),1)</f>
        <v>#DIV/0!</v>
      </c>
      <c r="CR49" s="5"/>
      <c r="CS49" s="5"/>
      <c r="CT49" s="5" t="e">
        <f>TRUNC(AVERAGE(CR49:CS49),1)</f>
        <v>#DIV/0!</v>
      </c>
      <c r="CU49" s="5" t="e">
        <f>TRUNC(AVERAGE(CF49,CQ49,CT49),1)</f>
        <v>#DIV/0!</v>
      </c>
      <c r="CV49" s="4"/>
      <c r="CW49" s="59">
        <v>45</v>
      </c>
      <c r="CY49" s="186"/>
      <c r="CZ49" s="186"/>
      <c r="DA49" s="51"/>
      <c r="DB49" s="51"/>
      <c r="DC49" s="51"/>
      <c r="DD49" s="51"/>
      <c r="DE49" s="51"/>
      <c r="DF49" s="51"/>
      <c r="DG49" s="51"/>
      <c r="DH49" s="51"/>
      <c r="DI49" s="51"/>
      <c r="DJ49" s="51"/>
      <c r="DK49" s="51"/>
      <c r="DL49" s="51"/>
      <c r="DM49" s="51"/>
      <c r="DN49" s="51"/>
      <c r="EB49" s="51"/>
      <c r="EC49" s="51"/>
    </row>
  </sheetData>
  <mergeCells count="191">
    <mergeCell ref="AI23:AJ23"/>
    <mergeCell ref="R2:AG2"/>
    <mergeCell ref="AI49:AJ49"/>
    <mergeCell ref="AI36:AJ36"/>
    <mergeCell ref="BQ16:BR16"/>
    <mergeCell ref="CY16:CZ16"/>
    <mergeCell ref="AI45:AJ45"/>
    <mergeCell ref="BQ25:BR25"/>
    <mergeCell ref="CY46:CZ46"/>
    <mergeCell ref="A2:P2"/>
    <mergeCell ref="ED3:EE4"/>
    <mergeCell ref="AI8:AJ8"/>
    <mergeCell ref="AI17:AJ17"/>
    <mergeCell ref="CX3:CX4"/>
    <mergeCell ref="BQ40:BR40"/>
    <mergeCell ref="CY28:CZ28"/>
    <mergeCell ref="BQ37:BR37"/>
    <mergeCell ref="CY37:CZ37"/>
    <mergeCell ref="AI10:AJ10"/>
    <mergeCell ref="BQ24:BR24"/>
    <mergeCell ref="BP2:CF2"/>
    <mergeCell ref="CX2:DN2"/>
    <mergeCell ref="AI20:AJ20"/>
    <mergeCell ref="CY9:CZ9"/>
    <mergeCell ref="CY45:CZ45"/>
    <mergeCell ref="AA3:AA4"/>
    <mergeCell ref="A1:P1"/>
    <mergeCell ref="BQ21:BR21"/>
    <mergeCell ref="CY21:CZ21"/>
    <mergeCell ref="AI16:AJ16"/>
    <mergeCell ref="CV3:CW4"/>
    <mergeCell ref="AE3:AE4"/>
    <mergeCell ref="BI3:BI4"/>
    <mergeCell ref="CQ3:CQ4"/>
    <mergeCell ref="R1:AG1"/>
    <mergeCell ref="CY6:CZ6"/>
    <mergeCell ref="AI3:AJ4"/>
    <mergeCell ref="A3:A4"/>
    <mergeCell ref="R3:Z3"/>
    <mergeCell ref="AH1:AX1"/>
    <mergeCell ref="CY20:CZ20"/>
    <mergeCell ref="AK3:AW3"/>
    <mergeCell ref="BQ11:BR11"/>
    <mergeCell ref="AI12:AJ12"/>
    <mergeCell ref="AY1:BO1"/>
    <mergeCell ref="AI21:AJ21"/>
    <mergeCell ref="AI14:AJ14"/>
    <mergeCell ref="AI18:AJ18"/>
    <mergeCell ref="CY13:CZ13"/>
    <mergeCell ref="BQ7:BR7"/>
    <mergeCell ref="AI33:AJ33"/>
    <mergeCell ref="CY7:CZ7"/>
    <mergeCell ref="AI42:AJ42"/>
    <mergeCell ref="CY43:CZ43"/>
    <mergeCell ref="CY40:CZ40"/>
    <mergeCell ref="CY27:CZ27"/>
    <mergeCell ref="AI34:AJ34"/>
    <mergeCell ref="BQ34:BR34"/>
    <mergeCell ref="AI28:AJ28"/>
    <mergeCell ref="CY24:CZ24"/>
    <mergeCell ref="AI19:AJ19"/>
    <mergeCell ref="AI9:AJ9"/>
    <mergeCell ref="CY10:CZ10"/>
    <mergeCell ref="BQ26:BR26"/>
    <mergeCell ref="CY29:CZ29"/>
    <mergeCell ref="AI22:AJ22"/>
    <mergeCell ref="BQ42:BR42"/>
    <mergeCell ref="AI37:AJ37"/>
    <mergeCell ref="AI31:AJ31"/>
    <mergeCell ref="BQ43:BR43"/>
    <mergeCell ref="CY35:CZ35"/>
    <mergeCell ref="AX3:AX4"/>
    <mergeCell ref="CG2:CW2"/>
    <mergeCell ref="BQ31:BR31"/>
    <mergeCell ref="AI26:AJ26"/>
    <mergeCell ref="AF3:AG4"/>
    <mergeCell ref="CY12:CZ12"/>
    <mergeCell ref="AI7:AJ7"/>
    <mergeCell ref="CY3:CZ4"/>
    <mergeCell ref="AI44:AJ44"/>
    <mergeCell ref="BQ36:BR36"/>
    <mergeCell ref="AI30:AJ30"/>
    <mergeCell ref="BQ33:BR33"/>
    <mergeCell ref="AI6:AJ6"/>
    <mergeCell ref="BQ20:BR20"/>
    <mergeCell ref="AI11:AJ11"/>
    <mergeCell ref="AY3:BH3"/>
    <mergeCell ref="CY25:CZ25"/>
    <mergeCell ref="CY30:CZ30"/>
    <mergeCell ref="AI27:AJ27"/>
    <mergeCell ref="AH2:AX2"/>
    <mergeCell ref="CY41:CZ41"/>
    <mergeCell ref="AI43:AJ43"/>
    <mergeCell ref="BQ23:BR23"/>
    <mergeCell ref="CY23:CZ23"/>
    <mergeCell ref="CY49:CZ49"/>
    <mergeCell ref="CY18:CZ18"/>
    <mergeCell ref="BP3:BP4"/>
    <mergeCell ref="BQ5:BR5"/>
    <mergeCell ref="AI40:AJ40"/>
    <mergeCell ref="AI15:AJ15"/>
    <mergeCell ref="BQ29:BR29"/>
    <mergeCell ref="AI24:AJ24"/>
    <mergeCell ref="AB3:AC4"/>
    <mergeCell ref="BQ46:BR46"/>
    <mergeCell ref="BQ48:BR48"/>
    <mergeCell ref="BQ49:BR49"/>
    <mergeCell ref="BQ35:BR35"/>
    <mergeCell ref="CY5:CZ5"/>
    <mergeCell ref="CY34:CZ34"/>
    <mergeCell ref="BQ22:BR22"/>
    <mergeCell ref="AI32:AJ32"/>
    <mergeCell ref="BQ12:BR12"/>
    <mergeCell ref="CY11:CZ11"/>
    <mergeCell ref="AI46:AJ46"/>
    <mergeCell ref="BL3:BL4"/>
    <mergeCell ref="AD3:AD4"/>
    <mergeCell ref="AI47:AJ47"/>
    <mergeCell ref="CY32:CZ32"/>
    <mergeCell ref="AI48:AJ48"/>
    <mergeCell ref="BQ28:BR28"/>
    <mergeCell ref="AI29:AJ29"/>
    <mergeCell ref="BQ9:BR9"/>
    <mergeCell ref="B3:B4"/>
    <mergeCell ref="AI38:AJ38"/>
    <mergeCell ref="CY39:CZ39"/>
    <mergeCell ref="BQ3:BR4"/>
    <mergeCell ref="CY36:CZ36"/>
    <mergeCell ref="C3:O3"/>
    <mergeCell ref="P3:P4"/>
    <mergeCell ref="BQ39:BR39"/>
    <mergeCell ref="BQ14:BR14"/>
    <mergeCell ref="BN3:BO4"/>
    <mergeCell ref="CY42:CZ42"/>
    <mergeCell ref="AH3:AH4"/>
    <mergeCell ref="CY47:CZ47"/>
    <mergeCell ref="BQ38:BR38"/>
    <mergeCell ref="CY48:CZ48"/>
    <mergeCell ref="BQ30:BR30"/>
    <mergeCell ref="BJ3:BK4"/>
    <mergeCell ref="BQ45:BR45"/>
    <mergeCell ref="CF3:CF4"/>
    <mergeCell ref="BQ32:BR32"/>
    <mergeCell ref="AI41:AJ41"/>
    <mergeCell ref="BQ41:BR41"/>
    <mergeCell ref="AI35:AJ35"/>
    <mergeCell ref="CT3:CT4"/>
    <mergeCell ref="BQ47:BR47"/>
    <mergeCell ref="AI25:AJ25"/>
    <mergeCell ref="CY26:CZ26"/>
    <mergeCell ref="BQ27:BR27"/>
    <mergeCell ref="BQ18:BR18"/>
    <mergeCell ref="CG3:CP3"/>
    <mergeCell ref="CU3:CU4"/>
    <mergeCell ref="BQ8:BR8"/>
    <mergeCell ref="CY8:CZ8"/>
    <mergeCell ref="BQ17:BR17"/>
    <mergeCell ref="CY17:CZ17"/>
    <mergeCell ref="CY38:CZ38"/>
    <mergeCell ref="AI13:AJ13"/>
    <mergeCell ref="BQ13:BR13"/>
    <mergeCell ref="BQ44:BR44"/>
    <mergeCell ref="AI5:AJ5"/>
    <mergeCell ref="AI39:AJ39"/>
    <mergeCell ref="CY44:CZ44"/>
    <mergeCell ref="CY15:CZ15"/>
    <mergeCell ref="BS3:CE3"/>
    <mergeCell ref="DO1:EE1"/>
    <mergeCell ref="CY33:CZ33"/>
    <mergeCell ref="BQ6:BR6"/>
    <mergeCell ref="BQ15:BR15"/>
    <mergeCell ref="DY3:DY4"/>
    <mergeCell ref="CY14:CZ14"/>
    <mergeCell ref="EB3:EB4"/>
    <mergeCell ref="AY2:BO2"/>
    <mergeCell ref="CX1:DN1"/>
    <mergeCell ref="BP1:CF1"/>
    <mergeCell ref="BQ10:BR10"/>
    <mergeCell ref="BM3:BM4"/>
    <mergeCell ref="BQ19:BR19"/>
    <mergeCell ref="CY19:CZ19"/>
    <mergeCell ref="DO3:DX3"/>
    <mergeCell ref="EC3:EC4"/>
    <mergeCell ref="DN3:DN4"/>
    <mergeCell ref="CG1:CW1"/>
    <mergeCell ref="DZ3:EA4"/>
    <mergeCell ref="DA3:DM3"/>
    <mergeCell ref="CR3:CS4"/>
    <mergeCell ref="DO2:EE2"/>
    <mergeCell ref="CY22:CZ22"/>
    <mergeCell ref="CY31:CZ31"/>
  </mergeCells>
  <conditionalFormatting sqref="AE1:AE41 AE50:AE1048576">
    <cfRule type="cellIs" dxfId="1" priority="1" operator="lessThan">
      <formula>3</formula>
    </cfRule>
  </conditionalFormatting>
  <pageMargins left="0.7" right="0.7" top="0.75" bottom="0.75" header="0.3" footer="0.3"/>
  <pageSetup orientation="portrait" horizontalDpi="4294967293" r:id="rId1"/>
  <headerFooter>
    <oddHeader>&amp;LAGROPECUARIA &amp;CGRUPO 9°</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Hoja26">
    <tabColor rgb="FFF0A060"/>
  </sheetPr>
  <dimension ref="B3:Q58"/>
  <sheetViews>
    <sheetView view="pageLayout" zoomScale="70" zoomScaleNormal="100" zoomScalePageLayoutView="70" workbookViewId="0">
      <selection activeCell="I21" sqref="I2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51"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87" t="s">
        <v>98</v>
      </c>
      <c r="C3" s="186"/>
      <c r="D3" s="186"/>
      <c r="E3" s="186"/>
      <c r="F3" s="186"/>
      <c r="G3" s="186"/>
      <c r="H3" s="186"/>
      <c r="I3" s="271"/>
      <c r="J3" s="186"/>
      <c r="K3" s="186"/>
      <c r="L3" s="186"/>
      <c r="M3" s="186"/>
      <c r="N3" s="186"/>
      <c r="O3" s="186"/>
      <c r="P3" s="186"/>
      <c r="Q3" s="186"/>
    </row>
    <row r="4" spans="2:17">
      <c r="B4" s="13"/>
      <c r="C4" s="13"/>
      <c r="D4" s="13"/>
      <c r="E4" s="13"/>
      <c r="F4" s="13"/>
      <c r="G4" s="13"/>
      <c r="H4" s="13"/>
      <c r="I4" s="49"/>
      <c r="J4" s="13"/>
      <c r="K4" s="13"/>
      <c r="L4" s="13"/>
      <c r="M4" s="13"/>
      <c r="N4" s="13"/>
      <c r="O4" s="13"/>
      <c r="P4" s="13"/>
      <c r="Q4" s="13"/>
    </row>
    <row r="5" spans="2:17">
      <c r="B5" s="281" t="s">
        <v>99</v>
      </c>
      <c r="C5" s="186"/>
      <c r="D5" s="186"/>
      <c r="E5" s="186"/>
      <c r="F5" s="186"/>
      <c r="G5" s="186"/>
      <c r="H5" s="186"/>
      <c r="I5" s="271"/>
      <c r="J5" s="186"/>
      <c r="K5" s="186"/>
      <c r="L5" s="186"/>
      <c r="M5" s="186"/>
      <c r="N5" s="186"/>
      <c r="O5" s="186"/>
      <c r="P5" s="186"/>
      <c r="Q5" s="186"/>
    </row>
    <row r="6" spans="2:17">
      <c r="B6" s="281" t="s">
        <v>100</v>
      </c>
      <c r="C6" s="186"/>
      <c r="D6" s="186"/>
      <c r="E6" s="186"/>
      <c r="F6" s="186"/>
      <c r="G6" s="186"/>
      <c r="H6" s="186"/>
      <c r="I6" s="271"/>
      <c r="J6" s="186"/>
      <c r="K6" s="186"/>
      <c r="L6" s="186"/>
      <c r="M6" s="186"/>
      <c r="N6" s="186"/>
      <c r="O6" s="186"/>
      <c r="P6" s="186"/>
      <c r="Q6" s="186"/>
    </row>
    <row r="7" spans="2:17">
      <c r="B7" s="281" t="s">
        <v>101</v>
      </c>
      <c r="C7" s="186"/>
      <c r="D7" s="186"/>
      <c r="E7" s="186"/>
      <c r="F7" s="186"/>
      <c r="G7" s="186"/>
      <c r="H7" s="186"/>
      <c r="I7" s="271"/>
      <c r="J7" s="186"/>
      <c r="K7" s="186"/>
      <c r="L7" s="186"/>
      <c r="M7" s="186"/>
      <c r="N7" s="186"/>
      <c r="O7" s="186"/>
      <c r="P7" s="186"/>
      <c r="Q7" s="186"/>
    </row>
    <row r="8" spans="2:17">
      <c r="B8" s="13"/>
      <c r="C8" s="14"/>
      <c r="D8" s="14"/>
      <c r="E8" s="14"/>
      <c r="F8" s="13"/>
      <c r="G8" s="13"/>
      <c r="H8" s="13"/>
      <c r="I8" s="49"/>
      <c r="J8" s="13"/>
      <c r="K8" s="13"/>
      <c r="L8" s="13"/>
      <c r="M8" s="13"/>
      <c r="N8" s="13"/>
      <c r="O8" s="13"/>
      <c r="P8" s="13"/>
      <c r="Q8" s="13"/>
    </row>
    <row r="9" spans="2:17">
      <c r="B9" s="293" t="s">
        <v>102</v>
      </c>
      <c r="C9" s="246"/>
      <c r="D9" s="294">
        <v>2026</v>
      </c>
      <c r="E9" s="246"/>
      <c r="F9" s="15"/>
      <c r="G9" s="13"/>
      <c r="H9" s="13"/>
      <c r="I9" s="282" t="s">
        <v>103</v>
      </c>
      <c r="J9" s="251"/>
      <c r="K9" s="241"/>
      <c r="L9" s="285" t="s">
        <v>21</v>
      </c>
      <c r="M9" s="251"/>
      <c r="N9" s="251"/>
      <c r="O9" s="251"/>
      <c r="P9" s="251"/>
      <c r="Q9" s="241"/>
    </row>
    <row r="10" spans="2:17">
      <c r="B10" s="291" t="s">
        <v>104</v>
      </c>
      <c r="C10" s="241"/>
      <c r="D10" s="286" t="s">
        <v>124</v>
      </c>
      <c r="E10" s="251"/>
      <c r="F10" s="251"/>
      <c r="G10" s="241"/>
      <c r="H10" s="13"/>
      <c r="I10" s="49"/>
      <c r="J10" s="13"/>
      <c r="K10" s="13"/>
      <c r="L10" s="13"/>
      <c r="M10" s="13"/>
      <c r="N10" s="13"/>
      <c r="O10" s="13"/>
      <c r="P10" s="13"/>
      <c r="Q10" s="13"/>
    </row>
    <row r="11" spans="2:17">
      <c r="B11" s="282" t="s">
        <v>106</v>
      </c>
      <c r="C11" s="241"/>
      <c r="D11" s="284" t="s">
        <v>5</v>
      </c>
      <c r="E11" s="248"/>
      <c r="F11" s="15"/>
      <c r="G11" s="13"/>
      <c r="H11" s="13"/>
      <c r="I11" s="282" t="s">
        <v>108</v>
      </c>
      <c r="J11" s="251"/>
      <c r="K11" s="241"/>
      <c r="L11" s="290" t="s">
        <v>109</v>
      </c>
      <c r="M11" s="251"/>
      <c r="N11" s="251"/>
      <c r="O11" s="251"/>
      <c r="P11" s="251"/>
      <c r="Q11" s="241"/>
    </row>
    <row r="12" spans="2:17">
      <c r="B12" s="13"/>
      <c r="C12" s="13"/>
      <c r="D12" s="13"/>
      <c r="E12" s="13"/>
      <c r="F12" s="13"/>
      <c r="G12" s="13"/>
      <c r="H12" s="13"/>
      <c r="I12" s="49"/>
      <c r="J12" s="13"/>
      <c r="K12" s="13"/>
      <c r="L12" s="13"/>
      <c r="M12" s="13"/>
      <c r="N12" s="13"/>
      <c r="O12" s="13"/>
      <c r="P12" s="13"/>
      <c r="Q12" s="13"/>
    </row>
    <row r="13" spans="2:17" ht="15" customHeight="1">
      <c r="B13" s="13"/>
      <c r="C13" s="13"/>
      <c r="D13" s="13"/>
      <c r="E13" s="13"/>
      <c r="F13" s="283" t="s">
        <v>22</v>
      </c>
      <c r="G13" s="251"/>
      <c r="H13" s="241"/>
      <c r="I13" s="49"/>
      <c r="J13" s="283" t="s">
        <v>110</v>
      </c>
      <c r="K13" s="251"/>
      <c r="L13" s="251"/>
      <c r="M13" s="251"/>
      <c r="N13" s="251"/>
      <c r="O13" s="241"/>
      <c r="P13" s="279" t="s">
        <v>111</v>
      </c>
      <c r="Q13" s="246"/>
    </row>
    <row r="14" spans="2:17" ht="15" customHeight="1">
      <c r="B14" s="280" t="s">
        <v>23</v>
      </c>
      <c r="C14" s="292" t="s">
        <v>3</v>
      </c>
      <c r="D14" s="246"/>
      <c r="E14" s="295" t="s">
        <v>112</v>
      </c>
      <c r="F14" s="280" t="s">
        <v>113</v>
      </c>
      <c r="G14" s="280" t="s">
        <v>114</v>
      </c>
      <c r="H14" s="280" t="s">
        <v>115</v>
      </c>
      <c r="I14" s="288" t="s">
        <v>116</v>
      </c>
      <c r="J14" s="283" t="s">
        <v>113</v>
      </c>
      <c r="K14" s="241"/>
      <c r="L14" s="283" t="s">
        <v>114</v>
      </c>
      <c r="M14" s="241"/>
      <c r="N14" s="283" t="s">
        <v>115</v>
      </c>
      <c r="O14" s="241"/>
      <c r="P14" s="247"/>
      <c r="Q14" s="248"/>
    </row>
    <row r="15" spans="2:17">
      <c r="B15" s="243"/>
      <c r="C15" s="247"/>
      <c r="D15" s="248"/>
      <c r="E15" s="243"/>
      <c r="F15" s="243"/>
      <c r="G15" s="243"/>
      <c r="H15" s="243"/>
      <c r="I15" s="289"/>
      <c r="J15" s="16" t="s">
        <v>117</v>
      </c>
      <c r="K15" s="16" t="s">
        <v>118</v>
      </c>
      <c r="L15" s="16" t="s">
        <v>117</v>
      </c>
      <c r="M15" s="16" t="s">
        <v>118</v>
      </c>
      <c r="N15" s="16" t="s">
        <v>117</v>
      </c>
      <c r="O15" s="16" t="s">
        <v>118</v>
      </c>
      <c r="P15" s="16" t="s">
        <v>117</v>
      </c>
      <c r="Q15" s="16" t="s">
        <v>118</v>
      </c>
    </row>
    <row r="16" spans="2:17">
      <c r="B16" s="10">
        <v>1</v>
      </c>
      <c r="C16" s="12">
        <f>MAESTRO!F5</f>
        <v>0</v>
      </c>
      <c r="D16" s="17"/>
      <c r="E16" s="17"/>
      <c r="F16" s="52" t="e">
        <f>'PROM (Agropecuaria 9°)'!AE5</f>
        <v>#DIV/0!</v>
      </c>
      <c r="G16" s="52" t="e">
        <f>'PROM (Agropecuaria 9°)'!BM5</f>
        <v>#DIV/0!</v>
      </c>
      <c r="H16" s="52" t="e">
        <f>'PROM (Agropecuaria 9°)'!CU5</f>
        <v>#DIV/0!</v>
      </c>
      <c r="I16" s="52" t="e">
        <f t="shared" ref="I16:I52" si="0">TRUNC(AVERAGE(F16:H16),1)</f>
        <v>#DIV/0!</v>
      </c>
      <c r="J16" s="62">
        <f>'Asistencia (9°)'!BI3</f>
        <v>0</v>
      </c>
      <c r="K16" s="62">
        <f>'Asistencia (9°)'!BJ3</f>
        <v>0</v>
      </c>
      <c r="L16" s="62">
        <f>'Asistencia (9°)'!BJ3</f>
        <v>0</v>
      </c>
      <c r="M16" s="62">
        <f>'Asistencia (9°)'!BJ46</f>
        <v>0</v>
      </c>
      <c r="N16" s="62">
        <f>'Asistencia (9°)'!BI91</f>
        <v>0</v>
      </c>
      <c r="O16" s="62">
        <f>'Asistencia (9°)'!BJ91</f>
        <v>0</v>
      </c>
      <c r="P16" s="63">
        <f t="shared" ref="P16:P52" si="1">SUM(J16,L16,N16)</f>
        <v>0</v>
      </c>
      <c r="Q16" s="63">
        <f t="shared" ref="Q16:Q52" si="2">SUM(K16,M16,O16)</f>
        <v>0</v>
      </c>
    </row>
    <row r="17" spans="2:17">
      <c r="B17" s="10">
        <v>2</v>
      </c>
      <c r="C17" s="12">
        <f>MAESTRO!F6</f>
        <v>0</v>
      </c>
      <c r="D17" s="17"/>
      <c r="E17" s="17"/>
      <c r="F17" s="52" t="e">
        <f>'PROM (Agropecuaria 9°)'!AE6</f>
        <v>#DIV/0!</v>
      </c>
      <c r="G17" s="52" t="e">
        <f>'PROM (Agropecuaria 9°)'!BM6</f>
        <v>#DIV/0!</v>
      </c>
      <c r="H17" s="52" t="e">
        <f>'PROM (Agropecuaria 9°)'!CU6</f>
        <v>#DIV/0!</v>
      </c>
      <c r="I17" s="52" t="e">
        <f t="shared" si="0"/>
        <v>#DIV/0!</v>
      </c>
      <c r="J17" s="62">
        <f>'Asistencia (9°)'!BI4</f>
        <v>0</v>
      </c>
      <c r="K17" s="62">
        <f>'Asistencia (9°)'!BJ4</f>
        <v>0</v>
      </c>
      <c r="L17" s="62">
        <f>'Asistencia (9°)'!BJ4</f>
        <v>0</v>
      </c>
      <c r="M17" s="62">
        <f>'Asistencia (9°)'!BJ47</f>
        <v>0</v>
      </c>
      <c r="N17" s="62">
        <f>'Asistencia (9°)'!BI92</f>
        <v>0</v>
      </c>
      <c r="O17" s="62">
        <f>'Asistencia (9°)'!BJ92</f>
        <v>0</v>
      </c>
      <c r="P17" s="63">
        <f t="shared" si="1"/>
        <v>0</v>
      </c>
      <c r="Q17" s="63">
        <f t="shared" si="2"/>
        <v>0</v>
      </c>
    </row>
    <row r="18" spans="2:17">
      <c r="B18" s="10">
        <v>3</v>
      </c>
      <c r="C18" s="12">
        <f>MAESTRO!F7</f>
        <v>0</v>
      </c>
      <c r="D18" s="17"/>
      <c r="E18" s="17"/>
      <c r="F18" s="52" t="e">
        <f>'PROM (Agropecuaria 9°)'!AE7</f>
        <v>#DIV/0!</v>
      </c>
      <c r="G18" s="52" t="e">
        <f>'PROM (Agropecuaria 9°)'!BM7</f>
        <v>#DIV/0!</v>
      </c>
      <c r="H18" s="52" t="e">
        <f>'PROM (Agropecuaria 9°)'!CU7</f>
        <v>#DIV/0!</v>
      </c>
      <c r="I18" s="52" t="e">
        <f t="shared" si="0"/>
        <v>#DIV/0!</v>
      </c>
      <c r="J18" s="62">
        <f>'Asistencia (9°)'!BI5</f>
        <v>0</v>
      </c>
      <c r="K18" s="62">
        <f>'Asistencia (9°)'!BJ5</f>
        <v>0</v>
      </c>
      <c r="L18" s="62">
        <f>'Asistencia (9°)'!BJ5</f>
        <v>0</v>
      </c>
      <c r="M18" s="62">
        <f>'Asistencia (9°)'!BJ48</f>
        <v>0</v>
      </c>
      <c r="N18" s="62">
        <f>'Asistencia (9°)'!BI93</f>
        <v>0</v>
      </c>
      <c r="O18" s="62">
        <f>'Asistencia (9°)'!BJ93</f>
        <v>0</v>
      </c>
      <c r="P18" s="63">
        <f t="shared" si="1"/>
        <v>0</v>
      </c>
      <c r="Q18" s="63">
        <f t="shared" si="2"/>
        <v>0</v>
      </c>
    </row>
    <row r="19" spans="2:17">
      <c r="B19" s="10">
        <v>4</v>
      </c>
      <c r="C19" s="12">
        <f>MAESTRO!F8</f>
        <v>0</v>
      </c>
      <c r="D19" s="17"/>
      <c r="E19" s="17"/>
      <c r="F19" s="52" t="e">
        <f>'PROM (Agropecuaria 9°)'!AE8</f>
        <v>#DIV/0!</v>
      </c>
      <c r="G19" s="52" t="e">
        <f>'PROM (Agropecuaria 9°)'!BM8</f>
        <v>#DIV/0!</v>
      </c>
      <c r="H19" s="52" t="e">
        <f>'PROM (Agropecuaria 9°)'!CU8</f>
        <v>#DIV/0!</v>
      </c>
      <c r="I19" s="52" t="e">
        <f t="shared" si="0"/>
        <v>#DIV/0!</v>
      </c>
      <c r="J19" s="62">
        <f>'Asistencia (9°)'!BI6</f>
        <v>0</v>
      </c>
      <c r="K19" s="62">
        <f>'Asistencia (9°)'!BJ6</f>
        <v>0</v>
      </c>
      <c r="L19" s="62">
        <f>'Asistencia (9°)'!BJ6</f>
        <v>0</v>
      </c>
      <c r="M19" s="62">
        <f>'Asistencia (9°)'!BJ49</f>
        <v>0</v>
      </c>
      <c r="N19" s="62">
        <f>'Asistencia (9°)'!BI94</f>
        <v>0</v>
      </c>
      <c r="O19" s="62">
        <f>'Asistencia (9°)'!BJ94</f>
        <v>0</v>
      </c>
      <c r="P19" s="63">
        <f t="shared" si="1"/>
        <v>0</v>
      </c>
      <c r="Q19" s="63">
        <f t="shared" si="2"/>
        <v>0</v>
      </c>
    </row>
    <row r="20" spans="2:17">
      <c r="B20" s="10">
        <v>5</v>
      </c>
      <c r="C20" s="12">
        <f>MAESTRO!F9</f>
        <v>0</v>
      </c>
      <c r="D20" s="17"/>
      <c r="E20" s="17"/>
      <c r="F20" s="52" t="e">
        <f>'PROM (Agropecuaria 9°)'!AE9</f>
        <v>#DIV/0!</v>
      </c>
      <c r="G20" s="52" t="e">
        <f>'PROM (Agropecuaria 9°)'!BM9</f>
        <v>#DIV/0!</v>
      </c>
      <c r="H20" s="52" t="e">
        <f>'PROM (Agropecuaria 9°)'!CU9</f>
        <v>#DIV/0!</v>
      </c>
      <c r="I20" s="52" t="e">
        <f t="shared" si="0"/>
        <v>#DIV/0!</v>
      </c>
      <c r="J20" s="62">
        <f>'Asistencia (9°)'!BI7</f>
        <v>0</v>
      </c>
      <c r="K20" s="62">
        <f>'Asistencia (9°)'!BJ7</f>
        <v>0</v>
      </c>
      <c r="L20" s="62">
        <f>'Asistencia (9°)'!BJ7</f>
        <v>0</v>
      </c>
      <c r="M20" s="62">
        <f>'Asistencia (9°)'!BJ50</f>
        <v>0</v>
      </c>
      <c r="N20" s="62">
        <f>'Asistencia (9°)'!BI95</f>
        <v>0</v>
      </c>
      <c r="O20" s="62">
        <f>'Asistencia (9°)'!BJ95</f>
        <v>0</v>
      </c>
      <c r="P20" s="63">
        <f t="shared" si="1"/>
        <v>0</v>
      </c>
      <c r="Q20" s="63">
        <f t="shared" si="2"/>
        <v>0</v>
      </c>
    </row>
    <row r="21" spans="2:17">
      <c r="B21" s="10">
        <v>6</v>
      </c>
      <c r="C21" s="12">
        <f>MAESTRO!F10</f>
        <v>0</v>
      </c>
      <c r="D21" s="17"/>
      <c r="E21" s="17"/>
      <c r="F21" s="52" t="e">
        <f>'PROM (Agropecuaria 9°)'!AE10</f>
        <v>#DIV/0!</v>
      </c>
      <c r="G21" s="52" t="e">
        <f>'PROM (Agropecuaria 9°)'!BM10</f>
        <v>#DIV/0!</v>
      </c>
      <c r="H21" s="52" t="e">
        <f>'PROM (Agropecuaria 9°)'!CU10</f>
        <v>#DIV/0!</v>
      </c>
      <c r="I21" s="52" t="e">
        <f t="shared" si="0"/>
        <v>#DIV/0!</v>
      </c>
      <c r="J21" s="62">
        <f>'Asistencia (9°)'!BI8</f>
        <v>0</v>
      </c>
      <c r="K21" s="62">
        <f>'Asistencia (9°)'!BJ8</f>
        <v>0</v>
      </c>
      <c r="L21" s="62">
        <f>'Asistencia (9°)'!BJ8</f>
        <v>0</v>
      </c>
      <c r="M21" s="62">
        <f>'Asistencia (9°)'!BJ51</f>
        <v>0</v>
      </c>
      <c r="N21" s="62">
        <f>'Asistencia (9°)'!BI96</f>
        <v>0</v>
      </c>
      <c r="O21" s="62">
        <f>'Asistencia (9°)'!BJ96</f>
        <v>0</v>
      </c>
      <c r="P21" s="63">
        <f t="shared" si="1"/>
        <v>0</v>
      </c>
      <c r="Q21" s="63">
        <f t="shared" si="2"/>
        <v>0</v>
      </c>
    </row>
    <row r="22" spans="2:17">
      <c r="B22" s="10">
        <v>7</v>
      </c>
      <c r="C22" s="12">
        <f>MAESTRO!F11</f>
        <v>0</v>
      </c>
      <c r="D22" s="17"/>
      <c r="E22" s="17"/>
      <c r="F22" s="52" t="e">
        <f>'PROM (Agropecuaria 9°)'!AE11</f>
        <v>#DIV/0!</v>
      </c>
      <c r="G22" s="52" t="e">
        <f>'PROM (Agropecuaria 9°)'!BM11</f>
        <v>#DIV/0!</v>
      </c>
      <c r="H22" s="52" t="e">
        <f>'PROM (Agropecuaria 9°)'!CU11</f>
        <v>#DIV/0!</v>
      </c>
      <c r="I22" s="52" t="e">
        <f t="shared" si="0"/>
        <v>#DIV/0!</v>
      </c>
      <c r="J22" s="62">
        <f>'Asistencia (9°)'!BI9</f>
        <v>0</v>
      </c>
      <c r="K22" s="62">
        <f>'Asistencia (9°)'!BJ9</f>
        <v>0</v>
      </c>
      <c r="L22" s="62">
        <f>'Asistencia (9°)'!BJ9</f>
        <v>0</v>
      </c>
      <c r="M22" s="62">
        <f>'Asistencia (9°)'!BJ52</f>
        <v>0</v>
      </c>
      <c r="N22" s="62">
        <f>'Asistencia (9°)'!BI97</f>
        <v>0</v>
      </c>
      <c r="O22" s="62">
        <f>'Asistencia (9°)'!BJ97</f>
        <v>0</v>
      </c>
      <c r="P22" s="63">
        <f t="shared" si="1"/>
        <v>0</v>
      </c>
      <c r="Q22" s="63">
        <f t="shared" si="2"/>
        <v>0</v>
      </c>
    </row>
    <row r="23" spans="2:17">
      <c r="B23" s="10">
        <v>8</v>
      </c>
      <c r="C23" s="12">
        <f>MAESTRO!F12</f>
        <v>0</v>
      </c>
      <c r="D23" s="17"/>
      <c r="E23" s="17"/>
      <c r="F23" s="52" t="e">
        <f>'PROM (Agropecuaria 9°)'!AE12</f>
        <v>#DIV/0!</v>
      </c>
      <c r="G23" s="52" t="e">
        <f>'PROM (Agropecuaria 9°)'!BM12</f>
        <v>#DIV/0!</v>
      </c>
      <c r="H23" s="52" t="e">
        <f>'PROM (Agropecuaria 9°)'!CU12</f>
        <v>#DIV/0!</v>
      </c>
      <c r="I23" s="52" t="e">
        <f t="shared" si="0"/>
        <v>#DIV/0!</v>
      </c>
      <c r="J23" s="62">
        <f>'Asistencia (9°)'!BI10</f>
        <v>0</v>
      </c>
      <c r="K23" s="62">
        <f>'Asistencia (9°)'!BJ10</f>
        <v>0</v>
      </c>
      <c r="L23" s="62">
        <f>'Asistencia (9°)'!BJ10</f>
        <v>0</v>
      </c>
      <c r="M23" s="62">
        <f>'Asistencia (9°)'!BJ53</f>
        <v>0</v>
      </c>
      <c r="N23" s="62">
        <f>'Asistencia (9°)'!BI98</f>
        <v>0</v>
      </c>
      <c r="O23" s="62">
        <f>'Asistencia (9°)'!BJ98</f>
        <v>0</v>
      </c>
      <c r="P23" s="63">
        <f t="shared" si="1"/>
        <v>0</v>
      </c>
      <c r="Q23" s="63">
        <f t="shared" si="2"/>
        <v>0</v>
      </c>
    </row>
    <row r="24" spans="2:17">
      <c r="B24" s="10">
        <v>9</v>
      </c>
      <c r="C24" s="12">
        <f>MAESTRO!F13</f>
        <v>0</v>
      </c>
      <c r="D24" s="17"/>
      <c r="E24" s="17"/>
      <c r="F24" s="52" t="e">
        <f>'PROM (Agropecuaria 9°)'!AE13</f>
        <v>#DIV/0!</v>
      </c>
      <c r="G24" s="52" t="e">
        <f>'PROM (Agropecuaria 9°)'!BM13</f>
        <v>#DIV/0!</v>
      </c>
      <c r="H24" s="52" t="e">
        <f>'PROM (Agropecuaria 9°)'!CU13</f>
        <v>#DIV/0!</v>
      </c>
      <c r="I24" s="52" t="e">
        <f t="shared" si="0"/>
        <v>#DIV/0!</v>
      </c>
      <c r="J24" s="62">
        <f>'Asistencia (9°)'!BI11</f>
        <v>0</v>
      </c>
      <c r="K24" s="62">
        <f>'Asistencia (9°)'!BJ11</f>
        <v>0</v>
      </c>
      <c r="L24" s="62">
        <f>'Asistencia (9°)'!BJ11</f>
        <v>0</v>
      </c>
      <c r="M24" s="62">
        <f>'Asistencia (9°)'!BJ54</f>
        <v>0</v>
      </c>
      <c r="N24" s="62">
        <f>'Asistencia (9°)'!BI99</f>
        <v>0</v>
      </c>
      <c r="O24" s="62">
        <f>'Asistencia (9°)'!BJ99</f>
        <v>0</v>
      </c>
      <c r="P24" s="63">
        <f t="shared" si="1"/>
        <v>0</v>
      </c>
      <c r="Q24" s="63">
        <f t="shared" si="2"/>
        <v>0</v>
      </c>
    </row>
    <row r="25" spans="2:17">
      <c r="B25" s="10">
        <v>10</v>
      </c>
      <c r="C25" s="12">
        <f>MAESTRO!F14</f>
        <v>0</v>
      </c>
      <c r="D25" s="17"/>
      <c r="E25" s="17"/>
      <c r="F25" s="52" t="e">
        <f>'PROM (Agropecuaria 9°)'!AE14</f>
        <v>#DIV/0!</v>
      </c>
      <c r="G25" s="52" t="e">
        <f>'PROM (Agropecuaria 9°)'!BM14</f>
        <v>#DIV/0!</v>
      </c>
      <c r="H25" s="52" t="e">
        <f>'PROM (Agropecuaria 9°)'!CU14</f>
        <v>#DIV/0!</v>
      </c>
      <c r="I25" s="52" t="e">
        <f t="shared" si="0"/>
        <v>#DIV/0!</v>
      </c>
      <c r="J25" s="62">
        <f>'Asistencia (9°)'!BI12</f>
        <v>0</v>
      </c>
      <c r="K25" s="62">
        <f>'Asistencia (9°)'!BJ12</f>
        <v>0</v>
      </c>
      <c r="L25" s="62">
        <f>'Asistencia (9°)'!BJ12</f>
        <v>0</v>
      </c>
      <c r="M25" s="62">
        <f>'Asistencia (9°)'!BJ55</f>
        <v>0</v>
      </c>
      <c r="N25" s="62">
        <f>'Asistencia (9°)'!BI100</f>
        <v>0</v>
      </c>
      <c r="O25" s="62">
        <f>'Asistencia (9°)'!BJ100</f>
        <v>0</v>
      </c>
      <c r="P25" s="63">
        <f t="shared" si="1"/>
        <v>0</v>
      </c>
      <c r="Q25" s="63">
        <f t="shared" si="2"/>
        <v>0</v>
      </c>
    </row>
    <row r="26" spans="2:17">
      <c r="B26" s="10">
        <v>11</v>
      </c>
      <c r="C26" s="12">
        <f>MAESTRO!F15</f>
        <v>0</v>
      </c>
      <c r="D26" s="17"/>
      <c r="E26" s="17"/>
      <c r="F26" s="52" t="e">
        <f>'PROM (Agropecuaria 9°)'!AE15</f>
        <v>#DIV/0!</v>
      </c>
      <c r="G26" s="52" t="e">
        <f>'PROM (Agropecuaria 9°)'!BM15</f>
        <v>#DIV/0!</v>
      </c>
      <c r="H26" s="52" t="e">
        <f>'PROM (Agropecuaria 9°)'!CU15</f>
        <v>#DIV/0!</v>
      </c>
      <c r="I26" s="52" t="e">
        <f t="shared" si="0"/>
        <v>#DIV/0!</v>
      </c>
      <c r="J26" s="62">
        <f>'Asistencia (9°)'!BI13</f>
        <v>0</v>
      </c>
      <c r="K26" s="62">
        <f>'Asistencia (9°)'!BJ13</f>
        <v>0</v>
      </c>
      <c r="L26" s="62">
        <f>'Asistencia (9°)'!BJ13</f>
        <v>0</v>
      </c>
      <c r="M26" s="62">
        <f>'Asistencia (9°)'!BJ56</f>
        <v>0</v>
      </c>
      <c r="N26" s="62">
        <f>'Asistencia (9°)'!BI101</f>
        <v>0</v>
      </c>
      <c r="O26" s="62">
        <f>'Asistencia (9°)'!BJ101</f>
        <v>0</v>
      </c>
      <c r="P26" s="63">
        <f t="shared" si="1"/>
        <v>0</v>
      </c>
      <c r="Q26" s="63">
        <f t="shared" si="2"/>
        <v>0</v>
      </c>
    </row>
    <row r="27" spans="2:17">
      <c r="B27" s="10">
        <v>12</v>
      </c>
      <c r="C27" s="12">
        <f>MAESTRO!F16</f>
        <v>0</v>
      </c>
      <c r="D27" s="17"/>
      <c r="E27" s="17"/>
      <c r="F27" s="52" t="e">
        <f>'PROM (Agropecuaria 9°)'!AE16</f>
        <v>#DIV/0!</v>
      </c>
      <c r="G27" s="52" t="e">
        <f>'PROM (Agropecuaria 9°)'!BM16</f>
        <v>#DIV/0!</v>
      </c>
      <c r="H27" s="52" t="e">
        <f>'PROM (Agropecuaria 9°)'!CU16</f>
        <v>#DIV/0!</v>
      </c>
      <c r="I27" s="52" t="e">
        <f t="shared" si="0"/>
        <v>#DIV/0!</v>
      </c>
      <c r="J27" s="62">
        <f>'Asistencia (9°)'!BI14</f>
        <v>0</v>
      </c>
      <c r="K27" s="62">
        <f>'Asistencia (9°)'!BJ14</f>
        <v>0</v>
      </c>
      <c r="L27" s="62">
        <f>'Asistencia (9°)'!BJ14</f>
        <v>0</v>
      </c>
      <c r="M27" s="62">
        <f>'Asistencia (9°)'!BJ57</f>
        <v>0</v>
      </c>
      <c r="N27" s="62">
        <f>'Asistencia (9°)'!BI102</f>
        <v>0</v>
      </c>
      <c r="O27" s="62">
        <f>'Asistencia (9°)'!BJ102</f>
        <v>0</v>
      </c>
      <c r="P27" s="63">
        <f t="shared" si="1"/>
        <v>0</v>
      </c>
      <c r="Q27" s="63">
        <f t="shared" si="2"/>
        <v>0</v>
      </c>
    </row>
    <row r="28" spans="2:17">
      <c r="B28" s="10">
        <v>13</v>
      </c>
      <c r="C28" s="12">
        <f>MAESTRO!F17</f>
        <v>0</v>
      </c>
      <c r="D28" s="17"/>
      <c r="E28" s="17"/>
      <c r="F28" s="52" t="e">
        <f>'PROM (Agropecuaria 9°)'!AE17</f>
        <v>#DIV/0!</v>
      </c>
      <c r="G28" s="52" t="e">
        <f>'PROM (Agropecuaria 9°)'!BM17</f>
        <v>#DIV/0!</v>
      </c>
      <c r="H28" s="52" t="e">
        <f>'PROM (Agropecuaria 9°)'!CU17</f>
        <v>#DIV/0!</v>
      </c>
      <c r="I28" s="52" t="e">
        <f t="shared" si="0"/>
        <v>#DIV/0!</v>
      </c>
      <c r="J28" s="62">
        <f>'Asistencia (9°)'!BI15</f>
        <v>0</v>
      </c>
      <c r="K28" s="62">
        <f>'Asistencia (9°)'!BJ15</f>
        <v>0</v>
      </c>
      <c r="L28" s="62">
        <f>'Asistencia (9°)'!BJ15</f>
        <v>0</v>
      </c>
      <c r="M28" s="62">
        <f>'Asistencia (9°)'!BJ58</f>
        <v>0</v>
      </c>
      <c r="N28" s="62">
        <f>'Asistencia (9°)'!BI103</f>
        <v>0</v>
      </c>
      <c r="O28" s="62">
        <f>'Asistencia (9°)'!BJ103</f>
        <v>0</v>
      </c>
      <c r="P28" s="63">
        <f t="shared" si="1"/>
        <v>0</v>
      </c>
      <c r="Q28" s="63">
        <f t="shared" si="2"/>
        <v>0</v>
      </c>
    </row>
    <row r="29" spans="2:17">
      <c r="B29" s="10">
        <v>14</v>
      </c>
      <c r="C29" s="12">
        <f>MAESTRO!F18</f>
        <v>0</v>
      </c>
      <c r="D29" s="17"/>
      <c r="E29" s="17"/>
      <c r="F29" s="52" t="e">
        <f>'PROM (Agropecuaria 9°)'!AE18</f>
        <v>#DIV/0!</v>
      </c>
      <c r="G29" s="52" t="e">
        <f>'PROM (Agropecuaria 9°)'!BM18</f>
        <v>#DIV/0!</v>
      </c>
      <c r="H29" s="52" t="e">
        <f>'PROM (Agropecuaria 9°)'!CU18</f>
        <v>#DIV/0!</v>
      </c>
      <c r="I29" s="52" t="e">
        <f t="shared" si="0"/>
        <v>#DIV/0!</v>
      </c>
      <c r="J29" s="62">
        <f>'Asistencia (9°)'!BI16</f>
        <v>0</v>
      </c>
      <c r="K29" s="62">
        <f>'Asistencia (9°)'!BJ16</f>
        <v>0</v>
      </c>
      <c r="L29" s="62">
        <f>'Asistencia (9°)'!BJ16</f>
        <v>0</v>
      </c>
      <c r="M29" s="62">
        <f>'Asistencia (9°)'!BJ59</f>
        <v>0</v>
      </c>
      <c r="N29" s="62">
        <f>'Asistencia (9°)'!BI104</f>
        <v>0</v>
      </c>
      <c r="O29" s="62">
        <f>'Asistencia (9°)'!BJ104</f>
        <v>0</v>
      </c>
      <c r="P29" s="63">
        <f t="shared" si="1"/>
        <v>0</v>
      </c>
      <c r="Q29" s="63">
        <f t="shared" si="2"/>
        <v>0</v>
      </c>
    </row>
    <row r="30" spans="2:17">
      <c r="B30" s="10">
        <v>15</v>
      </c>
      <c r="C30" s="12">
        <f>MAESTRO!F19</f>
        <v>0</v>
      </c>
      <c r="D30" s="17"/>
      <c r="E30" s="17"/>
      <c r="F30" s="52" t="e">
        <f>'PROM (Agropecuaria 9°)'!AE19</f>
        <v>#DIV/0!</v>
      </c>
      <c r="G30" s="52" t="e">
        <f>'PROM (Agropecuaria 9°)'!BM19</f>
        <v>#DIV/0!</v>
      </c>
      <c r="H30" s="52" t="e">
        <f>'PROM (Agropecuaria 9°)'!CU19</f>
        <v>#DIV/0!</v>
      </c>
      <c r="I30" s="52" t="e">
        <f t="shared" si="0"/>
        <v>#DIV/0!</v>
      </c>
      <c r="J30" s="62">
        <f>'Asistencia (9°)'!BI17</f>
        <v>0</v>
      </c>
      <c r="K30" s="62">
        <f>'Asistencia (9°)'!BJ17</f>
        <v>0</v>
      </c>
      <c r="L30" s="62">
        <f>'Asistencia (9°)'!BJ17</f>
        <v>0</v>
      </c>
      <c r="M30" s="62">
        <f>'Asistencia (9°)'!BJ60</f>
        <v>0</v>
      </c>
      <c r="N30" s="62">
        <f>'Asistencia (9°)'!BI105</f>
        <v>0</v>
      </c>
      <c r="O30" s="62">
        <f>'Asistencia (9°)'!BJ105</f>
        <v>0</v>
      </c>
      <c r="P30" s="63">
        <f t="shared" si="1"/>
        <v>0</v>
      </c>
      <c r="Q30" s="63">
        <f t="shared" si="2"/>
        <v>0</v>
      </c>
    </row>
    <row r="31" spans="2:17">
      <c r="B31" s="10">
        <v>16</v>
      </c>
      <c r="C31" s="12">
        <f>MAESTRO!F20</f>
        <v>0</v>
      </c>
      <c r="D31" s="17"/>
      <c r="E31" s="17"/>
      <c r="F31" s="52" t="e">
        <f>'PROM (Agropecuaria 9°)'!AE20</f>
        <v>#DIV/0!</v>
      </c>
      <c r="G31" s="52" t="e">
        <f>'PROM (Agropecuaria 9°)'!BM20</f>
        <v>#DIV/0!</v>
      </c>
      <c r="H31" s="52" t="e">
        <f>'PROM (Agropecuaria 9°)'!CU20</f>
        <v>#DIV/0!</v>
      </c>
      <c r="I31" s="52" t="e">
        <f t="shared" si="0"/>
        <v>#DIV/0!</v>
      </c>
      <c r="J31" s="62">
        <f>'Asistencia (9°)'!BI18</f>
        <v>0</v>
      </c>
      <c r="K31" s="62">
        <f>'Asistencia (9°)'!BJ18</f>
        <v>0</v>
      </c>
      <c r="L31" s="62">
        <f>'Asistencia (9°)'!BJ18</f>
        <v>0</v>
      </c>
      <c r="M31" s="62">
        <f>'Asistencia (9°)'!BJ61</f>
        <v>0</v>
      </c>
      <c r="N31" s="62">
        <f>'Asistencia (9°)'!BI106</f>
        <v>0</v>
      </c>
      <c r="O31" s="62">
        <f>'Asistencia (9°)'!BJ106</f>
        <v>0</v>
      </c>
      <c r="P31" s="63">
        <f t="shared" si="1"/>
        <v>0</v>
      </c>
      <c r="Q31" s="63">
        <f t="shared" si="2"/>
        <v>0</v>
      </c>
    </row>
    <row r="32" spans="2:17">
      <c r="B32" s="10">
        <v>17</v>
      </c>
      <c r="C32" s="12">
        <f>MAESTRO!F21</f>
        <v>0</v>
      </c>
      <c r="D32" s="17"/>
      <c r="E32" s="17"/>
      <c r="F32" s="52" t="e">
        <f>'PROM (Agropecuaria 9°)'!AE21</f>
        <v>#DIV/0!</v>
      </c>
      <c r="G32" s="52" t="e">
        <f>'PROM (Agropecuaria 9°)'!BM21</f>
        <v>#DIV/0!</v>
      </c>
      <c r="H32" s="52" t="e">
        <f>'PROM (Agropecuaria 9°)'!CU21</f>
        <v>#DIV/0!</v>
      </c>
      <c r="I32" s="52" t="e">
        <f t="shared" si="0"/>
        <v>#DIV/0!</v>
      </c>
      <c r="J32" s="62">
        <f>'Asistencia (9°)'!BI19</f>
        <v>0</v>
      </c>
      <c r="K32" s="62">
        <f>'Asistencia (9°)'!BJ19</f>
        <v>0</v>
      </c>
      <c r="L32" s="62">
        <f>'Asistencia (9°)'!BJ19</f>
        <v>0</v>
      </c>
      <c r="M32" s="62">
        <f>'Asistencia (9°)'!BJ62</f>
        <v>0</v>
      </c>
      <c r="N32" s="62">
        <f>'Asistencia (9°)'!BI107</f>
        <v>0</v>
      </c>
      <c r="O32" s="62">
        <f>'Asistencia (9°)'!BJ107</f>
        <v>0</v>
      </c>
      <c r="P32" s="63">
        <f t="shared" si="1"/>
        <v>0</v>
      </c>
      <c r="Q32" s="63">
        <f t="shared" si="2"/>
        <v>0</v>
      </c>
    </row>
    <row r="33" spans="2:17">
      <c r="B33" s="10">
        <v>18</v>
      </c>
      <c r="C33" s="12">
        <f>MAESTRO!F22</f>
        <v>0</v>
      </c>
      <c r="D33" s="17"/>
      <c r="E33" s="17"/>
      <c r="F33" s="52" t="e">
        <f>'PROM (Agropecuaria 9°)'!AE22</f>
        <v>#DIV/0!</v>
      </c>
      <c r="G33" s="52" t="e">
        <f>'PROM (Agropecuaria 9°)'!BM22</f>
        <v>#DIV/0!</v>
      </c>
      <c r="H33" s="52" t="e">
        <f>'PROM (Agropecuaria 9°)'!CU22</f>
        <v>#DIV/0!</v>
      </c>
      <c r="I33" s="52" t="e">
        <f t="shared" si="0"/>
        <v>#DIV/0!</v>
      </c>
      <c r="J33" s="62">
        <f>'Asistencia (9°)'!BI20</f>
        <v>0</v>
      </c>
      <c r="K33" s="62">
        <f>'Asistencia (9°)'!BJ20</f>
        <v>0</v>
      </c>
      <c r="L33" s="62">
        <f>'Asistencia (9°)'!BJ20</f>
        <v>0</v>
      </c>
      <c r="M33" s="62">
        <f>'Asistencia (9°)'!BJ63</f>
        <v>0</v>
      </c>
      <c r="N33" s="62">
        <f>'Asistencia (9°)'!BI108</f>
        <v>0</v>
      </c>
      <c r="O33" s="62">
        <f>'Asistencia (9°)'!BJ108</f>
        <v>0</v>
      </c>
      <c r="P33" s="63">
        <f t="shared" si="1"/>
        <v>0</v>
      </c>
      <c r="Q33" s="63">
        <f t="shared" si="2"/>
        <v>0</v>
      </c>
    </row>
    <row r="34" spans="2:17">
      <c r="B34" s="10">
        <v>19</v>
      </c>
      <c r="C34" s="12">
        <f>MAESTRO!F23</f>
        <v>0</v>
      </c>
      <c r="D34" s="17"/>
      <c r="E34" s="17"/>
      <c r="F34" s="52" t="e">
        <f>'PROM (Agropecuaria 9°)'!AE23</f>
        <v>#DIV/0!</v>
      </c>
      <c r="G34" s="52" t="e">
        <f>'PROM (Agropecuaria 9°)'!BM23</f>
        <v>#DIV/0!</v>
      </c>
      <c r="H34" s="52" t="e">
        <f>'PROM (Agropecuaria 9°)'!CU23</f>
        <v>#DIV/0!</v>
      </c>
      <c r="I34" s="52" t="e">
        <f t="shared" si="0"/>
        <v>#DIV/0!</v>
      </c>
      <c r="J34" s="62">
        <f>'Asistencia (9°)'!BI21</f>
        <v>0</v>
      </c>
      <c r="K34" s="62">
        <f>'Asistencia (9°)'!BJ21</f>
        <v>0</v>
      </c>
      <c r="L34" s="62">
        <f>'Asistencia (9°)'!BJ21</f>
        <v>0</v>
      </c>
      <c r="M34" s="62">
        <f>'Asistencia (9°)'!BJ64</f>
        <v>0</v>
      </c>
      <c r="N34" s="62">
        <f>'Asistencia (9°)'!BI109</f>
        <v>0</v>
      </c>
      <c r="O34" s="62">
        <f>'Asistencia (9°)'!BJ109</f>
        <v>0</v>
      </c>
      <c r="P34" s="63">
        <f t="shared" si="1"/>
        <v>0</v>
      </c>
      <c r="Q34" s="63">
        <f t="shared" si="2"/>
        <v>0</v>
      </c>
    </row>
    <row r="35" spans="2:17">
      <c r="B35" s="10">
        <v>20</v>
      </c>
      <c r="C35" s="12">
        <f>MAESTRO!F24</f>
        <v>0</v>
      </c>
      <c r="D35" s="17"/>
      <c r="E35" s="17"/>
      <c r="F35" s="52" t="e">
        <f>'PROM (Agropecuaria 9°)'!AE24</f>
        <v>#DIV/0!</v>
      </c>
      <c r="G35" s="52" t="e">
        <f>'PROM (Agropecuaria 9°)'!BM24</f>
        <v>#DIV/0!</v>
      </c>
      <c r="H35" s="52" t="e">
        <f>'PROM (Agropecuaria 9°)'!CU24</f>
        <v>#DIV/0!</v>
      </c>
      <c r="I35" s="52" t="e">
        <f t="shared" si="0"/>
        <v>#DIV/0!</v>
      </c>
      <c r="J35" s="62">
        <f>'Asistencia (9°)'!BI22</f>
        <v>0</v>
      </c>
      <c r="K35" s="62">
        <f>'Asistencia (9°)'!BJ22</f>
        <v>0</v>
      </c>
      <c r="L35" s="62">
        <f>'Asistencia (9°)'!BJ22</f>
        <v>0</v>
      </c>
      <c r="M35" s="62">
        <f>'Asistencia (9°)'!BJ65</f>
        <v>0</v>
      </c>
      <c r="N35" s="62">
        <f>'Asistencia (9°)'!BI110</f>
        <v>0</v>
      </c>
      <c r="O35" s="62">
        <f>'Asistencia (9°)'!BJ110</f>
        <v>0</v>
      </c>
      <c r="P35" s="63">
        <f t="shared" si="1"/>
        <v>0</v>
      </c>
      <c r="Q35" s="63">
        <f t="shared" si="2"/>
        <v>0</v>
      </c>
    </row>
    <row r="36" spans="2:17">
      <c r="B36" s="10">
        <v>21</v>
      </c>
      <c r="C36" s="12">
        <f>MAESTRO!F25</f>
        <v>0</v>
      </c>
      <c r="D36" s="17"/>
      <c r="E36" s="17"/>
      <c r="F36" s="52" t="e">
        <f>'PROM (Agropecuaria 9°)'!AE25</f>
        <v>#DIV/0!</v>
      </c>
      <c r="G36" s="52" t="e">
        <f>'PROM (Agropecuaria 9°)'!BM25</f>
        <v>#DIV/0!</v>
      </c>
      <c r="H36" s="52" t="e">
        <f>'PROM (Agropecuaria 9°)'!CU25</f>
        <v>#DIV/0!</v>
      </c>
      <c r="I36" s="52" t="e">
        <f t="shared" si="0"/>
        <v>#DIV/0!</v>
      </c>
      <c r="J36" s="62">
        <f>'Asistencia (9°)'!BI23</f>
        <v>0</v>
      </c>
      <c r="K36" s="62">
        <f>'Asistencia (9°)'!BJ23</f>
        <v>0</v>
      </c>
      <c r="L36" s="62">
        <f>'Asistencia (9°)'!BJ23</f>
        <v>0</v>
      </c>
      <c r="M36" s="62">
        <f>'Asistencia (9°)'!BJ66</f>
        <v>0</v>
      </c>
      <c r="N36" s="62">
        <f>'Asistencia (9°)'!BI111</f>
        <v>0</v>
      </c>
      <c r="O36" s="62">
        <f>'Asistencia (9°)'!BJ111</f>
        <v>0</v>
      </c>
      <c r="P36" s="63">
        <f t="shared" si="1"/>
        <v>0</v>
      </c>
      <c r="Q36" s="63">
        <f t="shared" si="2"/>
        <v>0</v>
      </c>
    </row>
    <row r="37" spans="2:17">
      <c r="B37" s="10">
        <v>22</v>
      </c>
      <c r="C37" s="12">
        <f>MAESTRO!F26</f>
        <v>0</v>
      </c>
      <c r="D37" s="17"/>
      <c r="E37" s="17"/>
      <c r="F37" s="52" t="e">
        <f>'PROM (Agropecuaria 9°)'!AE26</f>
        <v>#DIV/0!</v>
      </c>
      <c r="G37" s="52" t="e">
        <f>'PROM (Agropecuaria 9°)'!BM26</f>
        <v>#DIV/0!</v>
      </c>
      <c r="H37" s="52" t="e">
        <f>'PROM (Agropecuaria 9°)'!CU26</f>
        <v>#DIV/0!</v>
      </c>
      <c r="I37" s="52" t="e">
        <f t="shared" si="0"/>
        <v>#DIV/0!</v>
      </c>
      <c r="J37" s="62">
        <f>'Asistencia (9°)'!BI24</f>
        <v>0</v>
      </c>
      <c r="K37" s="62">
        <f>'Asistencia (9°)'!BJ24</f>
        <v>0</v>
      </c>
      <c r="L37" s="62">
        <f>'Asistencia (9°)'!BJ24</f>
        <v>0</v>
      </c>
      <c r="M37" s="62">
        <f>'Asistencia (9°)'!BJ67</f>
        <v>0</v>
      </c>
      <c r="N37" s="62">
        <f>'Asistencia (9°)'!BI112</f>
        <v>0</v>
      </c>
      <c r="O37" s="62">
        <f>'Asistencia (9°)'!BJ112</f>
        <v>0</v>
      </c>
      <c r="P37" s="63">
        <f t="shared" si="1"/>
        <v>0</v>
      </c>
      <c r="Q37" s="63">
        <f t="shared" si="2"/>
        <v>0</v>
      </c>
    </row>
    <row r="38" spans="2:17">
      <c r="B38" s="10">
        <v>23</v>
      </c>
      <c r="C38" s="12">
        <f>MAESTRO!F27</f>
        <v>0</v>
      </c>
      <c r="D38" s="17"/>
      <c r="E38" s="17"/>
      <c r="F38" s="52" t="e">
        <f>'PROM (Agropecuaria 9°)'!AE27</f>
        <v>#DIV/0!</v>
      </c>
      <c r="G38" s="52" t="e">
        <f>'PROM (Agropecuaria 9°)'!BM27</f>
        <v>#DIV/0!</v>
      </c>
      <c r="H38" s="52" t="e">
        <f>'PROM (Agropecuaria 9°)'!CU27</f>
        <v>#DIV/0!</v>
      </c>
      <c r="I38" s="52" t="e">
        <f t="shared" si="0"/>
        <v>#DIV/0!</v>
      </c>
      <c r="J38" s="62">
        <f>'Asistencia (9°)'!BI25</f>
        <v>0</v>
      </c>
      <c r="K38" s="62">
        <f>'Asistencia (9°)'!BJ25</f>
        <v>0</v>
      </c>
      <c r="L38" s="62">
        <f>'Asistencia (9°)'!BJ25</f>
        <v>0</v>
      </c>
      <c r="M38" s="62">
        <f>'Asistencia (9°)'!BJ68</f>
        <v>0</v>
      </c>
      <c r="N38" s="62">
        <f>'Asistencia (9°)'!BI113</f>
        <v>0</v>
      </c>
      <c r="O38" s="62">
        <f>'Asistencia (9°)'!BJ113</f>
        <v>0</v>
      </c>
      <c r="P38" s="63">
        <f t="shared" si="1"/>
        <v>0</v>
      </c>
      <c r="Q38" s="63">
        <f t="shared" si="2"/>
        <v>0</v>
      </c>
    </row>
    <row r="39" spans="2:17">
      <c r="B39" s="10">
        <v>24</v>
      </c>
      <c r="C39" s="12">
        <f>MAESTRO!F28</f>
        <v>0</v>
      </c>
      <c r="D39" s="17"/>
      <c r="E39" s="17"/>
      <c r="F39" s="52" t="e">
        <f>'PROM (Agropecuaria 9°)'!AE28</f>
        <v>#DIV/0!</v>
      </c>
      <c r="G39" s="52" t="e">
        <f>'PROM (Agropecuaria 9°)'!BM28</f>
        <v>#DIV/0!</v>
      </c>
      <c r="H39" s="52" t="e">
        <f>'PROM (Agropecuaria 9°)'!CU28</f>
        <v>#DIV/0!</v>
      </c>
      <c r="I39" s="52" t="e">
        <f t="shared" si="0"/>
        <v>#DIV/0!</v>
      </c>
      <c r="J39" s="62">
        <f>'Asistencia (9°)'!BI26</f>
        <v>0</v>
      </c>
      <c r="K39" s="62">
        <f>'Asistencia (9°)'!BJ26</f>
        <v>0</v>
      </c>
      <c r="L39" s="62">
        <f>'Asistencia (9°)'!BJ26</f>
        <v>0</v>
      </c>
      <c r="M39" s="62">
        <f>'Asistencia (9°)'!BJ69</f>
        <v>0</v>
      </c>
      <c r="N39" s="62">
        <f>'Asistencia (9°)'!BI114</f>
        <v>0</v>
      </c>
      <c r="O39" s="62">
        <f>'Asistencia (9°)'!BJ114</f>
        <v>0</v>
      </c>
      <c r="P39" s="63">
        <f t="shared" si="1"/>
        <v>0</v>
      </c>
      <c r="Q39" s="63">
        <f t="shared" si="2"/>
        <v>0</v>
      </c>
    </row>
    <row r="40" spans="2:17">
      <c r="B40" s="10">
        <v>25</v>
      </c>
      <c r="C40" s="12">
        <f>MAESTRO!F29</f>
        <v>0</v>
      </c>
      <c r="D40" s="17"/>
      <c r="E40" s="17"/>
      <c r="F40" s="52" t="e">
        <f>'PROM (Agropecuaria 9°)'!AE29</f>
        <v>#DIV/0!</v>
      </c>
      <c r="G40" s="52" t="e">
        <f>'PROM (Agropecuaria 9°)'!BM29</f>
        <v>#DIV/0!</v>
      </c>
      <c r="H40" s="52" t="e">
        <f>'PROM (Agropecuaria 9°)'!CU29</f>
        <v>#DIV/0!</v>
      </c>
      <c r="I40" s="52" t="e">
        <f t="shared" si="0"/>
        <v>#DIV/0!</v>
      </c>
      <c r="J40" s="62">
        <f>'Asistencia (9°)'!BI27</f>
        <v>0</v>
      </c>
      <c r="K40" s="62">
        <f>'Asistencia (9°)'!BJ27</f>
        <v>0</v>
      </c>
      <c r="L40" s="62">
        <f>'Asistencia (9°)'!BJ27</f>
        <v>0</v>
      </c>
      <c r="M40" s="62">
        <f>'Asistencia (9°)'!BJ70</f>
        <v>0</v>
      </c>
      <c r="N40" s="62">
        <f>'Asistencia (9°)'!BI115</f>
        <v>0</v>
      </c>
      <c r="O40" s="62">
        <f>'Asistencia (9°)'!BJ115</f>
        <v>0</v>
      </c>
      <c r="P40" s="63">
        <f t="shared" si="1"/>
        <v>0</v>
      </c>
      <c r="Q40" s="63">
        <f t="shared" si="2"/>
        <v>0</v>
      </c>
    </row>
    <row r="41" spans="2:17">
      <c r="B41" s="10">
        <v>26</v>
      </c>
      <c r="C41" s="12">
        <f>MAESTRO!F30</f>
        <v>0</v>
      </c>
      <c r="D41" s="17"/>
      <c r="E41" s="17"/>
      <c r="F41" s="52" t="e">
        <f>'PROM (Agropecuaria 9°)'!AE30</f>
        <v>#DIV/0!</v>
      </c>
      <c r="G41" s="52" t="e">
        <f>'PROM (Agropecuaria 9°)'!BM30</f>
        <v>#DIV/0!</v>
      </c>
      <c r="H41" s="52" t="e">
        <f>'PROM (Agropecuaria 9°)'!CU30</f>
        <v>#DIV/0!</v>
      </c>
      <c r="I41" s="52" t="e">
        <f t="shared" si="0"/>
        <v>#DIV/0!</v>
      </c>
      <c r="J41" s="62">
        <f>'Asistencia (9°)'!BI28</f>
        <v>0</v>
      </c>
      <c r="K41" s="62">
        <f>'Asistencia (9°)'!BJ28</f>
        <v>0</v>
      </c>
      <c r="L41" s="62">
        <f>'Asistencia (9°)'!BJ28</f>
        <v>0</v>
      </c>
      <c r="M41" s="62">
        <f>'Asistencia (9°)'!BJ71</f>
        <v>0</v>
      </c>
      <c r="N41" s="62">
        <f>'Asistencia (9°)'!BI116</f>
        <v>0</v>
      </c>
      <c r="O41" s="62">
        <f>'Asistencia (9°)'!BJ116</f>
        <v>0</v>
      </c>
      <c r="P41" s="63">
        <f t="shared" si="1"/>
        <v>0</v>
      </c>
      <c r="Q41" s="63">
        <f t="shared" si="2"/>
        <v>0</v>
      </c>
    </row>
    <row r="42" spans="2:17">
      <c r="B42" s="10">
        <v>27</v>
      </c>
      <c r="C42" s="12">
        <f>MAESTRO!F31</f>
        <v>0</v>
      </c>
      <c r="D42" s="17"/>
      <c r="E42" s="17"/>
      <c r="F42" s="52" t="e">
        <f>'PROM (Agropecuaria 9°)'!AE31</f>
        <v>#DIV/0!</v>
      </c>
      <c r="G42" s="52" t="e">
        <f>'PROM (Agropecuaria 9°)'!BM31</f>
        <v>#DIV/0!</v>
      </c>
      <c r="H42" s="52" t="e">
        <f>'PROM (Agropecuaria 9°)'!CU31</f>
        <v>#DIV/0!</v>
      </c>
      <c r="I42" s="52" t="e">
        <f t="shared" si="0"/>
        <v>#DIV/0!</v>
      </c>
      <c r="J42" s="62">
        <f>'Asistencia (9°)'!BI29</f>
        <v>0</v>
      </c>
      <c r="K42" s="62">
        <f>'Asistencia (9°)'!BJ29</f>
        <v>0</v>
      </c>
      <c r="L42" s="62">
        <f>'Asistencia (9°)'!BJ29</f>
        <v>0</v>
      </c>
      <c r="M42" s="62">
        <f>'Asistencia (9°)'!BJ72</f>
        <v>0</v>
      </c>
      <c r="N42" s="62">
        <f>'Asistencia (9°)'!BI117</f>
        <v>0</v>
      </c>
      <c r="O42" s="62">
        <f>'Asistencia (9°)'!BJ117</f>
        <v>0</v>
      </c>
      <c r="P42" s="63">
        <f t="shared" si="1"/>
        <v>0</v>
      </c>
      <c r="Q42" s="63">
        <f t="shared" si="2"/>
        <v>0</v>
      </c>
    </row>
    <row r="43" spans="2:17">
      <c r="B43" s="10">
        <v>28</v>
      </c>
      <c r="C43" s="12">
        <f>MAESTRO!F32</f>
        <v>0</v>
      </c>
      <c r="D43" s="17"/>
      <c r="E43" s="17"/>
      <c r="F43" s="52" t="e">
        <f>'PROM (Agropecuaria 9°)'!AE32</f>
        <v>#DIV/0!</v>
      </c>
      <c r="G43" s="52" t="e">
        <f>'PROM (Agropecuaria 9°)'!BM32</f>
        <v>#DIV/0!</v>
      </c>
      <c r="H43" s="52" t="e">
        <f>'PROM (Agropecuaria 9°)'!CU32</f>
        <v>#DIV/0!</v>
      </c>
      <c r="I43" s="52" t="e">
        <f t="shared" si="0"/>
        <v>#DIV/0!</v>
      </c>
      <c r="J43" s="62">
        <f>'Asistencia (9°)'!BI30</f>
        <v>0</v>
      </c>
      <c r="K43" s="62">
        <f>'Asistencia (9°)'!BJ30</f>
        <v>0</v>
      </c>
      <c r="L43" s="62">
        <f>'Asistencia (9°)'!BJ30</f>
        <v>0</v>
      </c>
      <c r="M43" s="62">
        <f>'Asistencia (9°)'!BJ73</f>
        <v>0</v>
      </c>
      <c r="N43" s="62">
        <f>'Asistencia (9°)'!BI118</f>
        <v>0</v>
      </c>
      <c r="O43" s="62">
        <f>'Asistencia (9°)'!BJ118</f>
        <v>0</v>
      </c>
      <c r="P43" s="63">
        <f t="shared" si="1"/>
        <v>0</v>
      </c>
      <c r="Q43" s="63">
        <f t="shared" si="2"/>
        <v>0</v>
      </c>
    </row>
    <row r="44" spans="2:17">
      <c r="B44" s="10">
        <v>29</v>
      </c>
      <c r="C44" s="12">
        <f>MAESTRO!F33</f>
        <v>0</v>
      </c>
      <c r="D44" s="17"/>
      <c r="E44" s="17"/>
      <c r="F44" s="52" t="e">
        <f>'PROM (Agropecuaria 9°)'!AE33</f>
        <v>#DIV/0!</v>
      </c>
      <c r="G44" s="52" t="e">
        <f>'PROM (Agropecuaria 9°)'!BM33</f>
        <v>#DIV/0!</v>
      </c>
      <c r="H44" s="52" t="e">
        <f>'PROM (Agropecuaria 9°)'!CU33</f>
        <v>#DIV/0!</v>
      </c>
      <c r="I44" s="52" t="e">
        <f t="shared" si="0"/>
        <v>#DIV/0!</v>
      </c>
      <c r="J44" s="62">
        <f>'Asistencia (9°)'!BI31</f>
        <v>0</v>
      </c>
      <c r="K44" s="62">
        <f>'Asistencia (9°)'!BJ31</f>
        <v>0</v>
      </c>
      <c r="L44" s="62">
        <f>'Asistencia (9°)'!BJ31</f>
        <v>0</v>
      </c>
      <c r="M44" s="62">
        <f>'Asistencia (9°)'!BJ74</f>
        <v>0</v>
      </c>
      <c r="N44" s="62">
        <f>'Asistencia (9°)'!BI119</f>
        <v>0</v>
      </c>
      <c r="O44" s="62">
        <f>'Asistencia (9°)'!BJ119</f>
        <v>0</v>
      </c>
      <c r="P44" s="63">
        <f t="shared" si="1"/>
        <v>0</v>
      </c>
      <c r="Q44" s="63">
        <f t="shared" si="2"/>
        <v>0</v>
      </c>
    </row>
    <row r="45" spans="2:17">
      <c r="B45" s="10">
        <v>30</v>
      </c>
      <c r="C45" s="12">
        <f>MAESTRO!F34</f>
        <v>0</v>
      </c>
      <c r="D45" s="17"/>
      <c r="E45" s="17"/>
      <c r="F45" s="52" t="e">
        <f>'PROM (Agropecuaria 9°)'!AE34</f>
        <v>#DIV/0!</v>
      </c>
      <c r="G45" s="52" t="e">
        <f>'PROM (Agropecuaria 9°)'!BM34</f>
        <v>#DIV/0!</v>
      </c>
      <c r="H45" s="52" t="e">
        <f>'PROM (Agropecuaria 9°)'!CU34</f>
        <v>#DIV/0!</v>
      </c>
      <c r="I45" s="52" t="e">
        <f t="shared" si="0"/>
        <v>#DIV/0!</v>
      </c>
      <c r="J45" s="62">
        <f>'Asistencia (9°)'!BI32</f>
        <v>0</v>
      </c>
      <c r="K45" s="62">
        <f>'Asistencia (9°)'!BJ32</f>
        <v>0</v>
      </c>
      <c r="L45" s="62">
        <f>'Asistencia (9°)'!BJ32</f>
        <v>0</v>
      </c>
      <c r="M45" s="62">
        <f>'Asistencia (9°)'!BJ75</f>
        <v>0</v>
      </c>
      <c r="N45" s="62">
        <f>'Asistencia (9°)'!BI120</f>
        <v>0</v>
      </c>
      <c r="O45" s="62">
        <f>'Asistencia (9°)'!BJ120</f>
        <v>0</v>
      </c>
      <c r="P45" s="63">
        <f t="shared" si="1"/>
        <v>0</v>
      </c>
      <c r="Q45" s="63">
        <f t="shared" si="2"/>
        <v>0</v>
      </c>
    </row>
    <row r="46" spans="2:17">
      <c r="B46" s="10">
        <v>31</v>
      </c>
      <c r="C46" s="12">
        <f>MAESTRO!F35</f>
        <v>0</v>
      </c>
      <c r="D46" s="17"/>
      <c r="E46" s="17"/>
      <c r="F46" s="52" t="e">
        <f>'PROM (Agropecuaria 9°)'!AE35</f>
        <v>#DIV/0!</v>
      </c>
      <c r="G46" s="52" t="e">
        <f>'PROM (Agropecuaria 9°)'!BM35</f>
        <v>#DIV/0!</v>
      </c>
      <c r="H46" s="52" t="e">
        <f>'PROM (Agropecuaria 9°)'!CU35</f>
        <v>#DIV/0!</v>
      </c>
      <c r="I46" s="52" t="e">
        <f t="shared" si="0"/>
        <v>#DIV/0!</v>
      </c>
      <c r="J46" s="62">
        <f>'Asistencia (9°)'!BI33</f>
        <v>0</v>
      </c>
      <c r="K46" s="62">
        <f>'Asistencia (9°)'!BJ33</f>
        <v>0</v>
      </c>
      <c r="L46" s="62">
        <f>'Asistencia (9°)'!BJ33</f>
        <v>0</v>
      </c>
      <c r="M46" s="62">
        <f>'Asistencia (9°)'!BJ76</f>
        <v>0</v>
      </c>
      <c r="N46" s="62">
        <f>'Asistencia (9°)'!BI121</f>
        <v>0</v>
      </c>
      <c r="O46" s="62">
        <f>'Asistencia (9°)'!BJ121</f>
        <v>0</v>
      </c>
      <c r="P46" s="63">
        <f t="shared" si="1"/>
        <v>0</v>
      </c>
      <c r="Q46" s="63">
        <f t="shared" si="2"/>
        <v>0</v>
      </c>
    </row>
    <row r="47" spans="2:17">
      <c r="B47" s="10">
        <v>32</v>
      </c>
      <c r="C47" s="12">
        <f>MAESTRO!F36</f>
        <v>0</v>
      </c>
      <c r="D47" s="17"/>
      <c r="E47" s="17"/>
      <c r="F47" s="52" t="e">
        <f>'PROM (Agropecuaria 9°)'!AE36</f>
        <v>#DIV/0!</v>
      </c>
      <c r="G47" s="52" t="e">
        <f>'PROM (Agropecuaria 9°)'!BM36</f>
        <v>#DIV/0!</v>
      </c>
      <c r="H47" s="52" t="e">
        <f>'PROM (Agropecuaria 9°)'!CU36</f>
        <v>#DIV/0!</v>
      </c>
      <c r="I47" s="52" t="e">
        <f t="shared" si="0"/>
        <v>#DIV/0!</v>
      </c>
      <c r="J47" s="62">
        <f>'Asistencia (9°)'!BI34</f>
        <v>0</v>
      </c>
      <c r="K47" s="62">
        <f>'Asistencia (9°)'!BJ34</f>
        <v>0</v>
      </c>
      <c r="L47" s="62">
        <f>'Asistencia (9°)'!BJ34</f>
        <v>0</v>
      </c>
      <c r="M47" s="62">
        <f>'Asistencia (9°)'!BJ77</f>
        <v>0</v>
      </c>
      <c r="N47" s="62">
        <f>'Asistencia (9°)'!BI122</f>
        <v>0</v>
      </c>
      <c r="O47" s="62">
        <f>'Asistencia (9°)'!BJ122</f>
        <v>0</v>
      </c>
      <c r="P47" s="63">
        <f t="shared" si="1"/>
        <v>0</v>
      </c>
      <c r="Q47" s="63">
        <f t="shared" si="2"/>
        <v>0</v>
      </c>
    </row>
    <row r="48" spans="2:17">
      <c r="B48" s="10">
        <v>33</v>
      </c>
      <c r="C48" s="12">
        <f>MAESTRO!F37</f>
        <v>0</v>
      </c>
      <c r="D48" s="17"/>
      <c r="E48" s="17"/>
      <c r="F48" s="52" t="e">
        <f>'PROM (Agropecuaria 9°)'!AE37</f>
        <v>#DIV/0!</v>
      </c>
      <c r="G48" s="52" t="e">
        <f>'PROM (Agropecuaria 9°)'!BM37</f>
        <v>#DIV/0!</v>
      </c>
      <c r="H48" s="52" t="e">
        <f>'PROM (Agropecuaria 9°)'!CU37</f>
        <v>#DIV/0!</v>
      </c>
      <c r="I48" s="52" t="e">
        <f t="shared" si="0"/>
        <v>#DIV/0!</v>
      </c>
      <c r="J48" s="62">
        <f>'Asistencia (9°)'!BI35</f>
        <v>0</v>
      </c>
      <c r="K48" s="62">
        <f>'Asistencia (9°)'!BJ35</f>
        <v>0</v>
      </c>
      <c r="L48" s="62">
        <f>'Asistencia (9°)'!BJ35</f>
        <v>0</v>
      </c>
      <c r="M48" s="62">
        <f>'Asistencia (9°)'!BJ78</f>
        <v>0</v>
      </c>
      <c r="N48" s="62">
        <f>'Asistencia (9°)'!BI123</f>
        <v>0</v>
      </c>
      <c r="O48" s="62">
        <f>'Asistencia (9°)'!BJ123</f>
        <v>0</v>
      </c>
      <c r="P48" s="63">
        <f t="shared" si="1"/>
        <v>0</v>
      </c>
      <c r="Q48" s="63">
        <f t="shared" si="2"/>
        <v>0</v>
      </c>
    </row>
    <row r="49" spans="2:17">
      <c r="B49" s="10">
        <v>34</v>
      </c>
      <c r="C49" s="12">
        <f>MAESTRO!F38</f>
        <v>0</v>
      </c>
      <c r="D49" s="17"/>
      <c r="E49" s="17"/>
      <c r="F49" s="52" t="e">
        <f>'PROM (Agropecuaria 9°)'!AE38</f>
        <v>#DIV/0!</v>
      </c>
      <c r="G49" s="52" t="e">
        <f>'PROM (Agropecuaria 9°)'!BM38</f>
        <v>#DIV/0!</v>
      </c>
      <c r="H49" s="52" t="e">
        <f>'PROM (Agropecuaria 9°)'!CU38</f>
        <v>#DIV/0!</v>
      </c>
      <c r="I49" s="52" t="e">
        <f t="shared" si="0"/>
        <v>#DIV/0!</v>
      </c>
      <c r="J49" s="62">
        <f>'Asistencia (9°)'!BI36</f>
        <v>0</v>
      </c>
      <c r="K49" s="62">
        <f>'Asistencia (9°)'!BJ36</f>
        <v>0</v>
      </c>
      <c r="L49" s="62">
        <f>'Asistencia (9°)'!BJ36</f>
        <v>0</v>
      </c>
      <c r="M49" s="62">
        <f>'Asistencia (9°)'!BJ79</f>
        <v>0</v>
      </c>
      <c r="N49" s="62">
        <f>'Asistencia (9°)'!BI124</f>
        <v>0</v>
      </c>
      <c r="O49" s="62">
        <f>'Asistencia (9°)'!BJ124</f>
        <v>0</v>
      </c>
      <c r="P49" s="63">
        <f t="shared" si="1"/>
        <v>0</v>
      </c>
      <c r="Q49" s="63">
        <f t="shared" si="2"/>
        <v>0</v>
      </c>
    </row>
    <row r="50" spans="2:17">
      <c r="B50" s="10">
        <v>35</v>
      </c>
      <c r="C50" s="12">
        <f>MAESTRO!F39</f>
        <v>0</v>
      </c>
      <c r="D50" s="17"/>
      <c r="E50" s="17"/>
      <c r="F50" s="52" t="e">
        <f>'PROM (Agropecuaria 9°)'!AE39</f>
        <v>#DIV/0!</v>
      </c>
      <c r="G50" s="52" t="e">
        <f>'PROM (Agropecuaria 9°)'!BM39</f>
        <v>#DIV/0!</v>
      </c>
      <c r="H50" s="52" t="e">
        <f>'PROM (Agropecuaria 9°)'!CU39</f>
        <v>#DIV/0!</v>
      </c>
      <c r="I50" s="52" t="e">
        <f t="shared" si="0"/>
        <v>#DIV/0!</v>
      </c>
      <c r="J50" s="62">
        <f>'Asistencia (9°)'!BI37</f>
        <v>0</v>
      </c>
      <c r="K50" s="62">
        <f>'Asistencia (9°)'!BJ37</f>
        <v>0</v>
      </c>
      <c r="L50" s="62">
        <f>'Asistencia (9°)'!BJ37</f>
        <v>0</v>
      </c>
      <c r="M50" s="62">
        <f>'Asistencia (9°)'!BJ80</f>
        <v>0</v>
      </c>
      <c r="N50" s="62">
        <f>'Asistencia (9°)'!BI125</f>
        <v>0</v>
      </c>
      <c r="O50" s="62">
        <f>'Asistencia (9°)'!BJ125</f>
        <v>0</v>
      </c>
      <c r="P50" s="63">
        <f t="shared" si="1"/>
        <v>0</v>
      </c>
      <c r="Q50" s="63">
        <f t="shared" si="2"/>
        <v>0</v>
      </c>
    </row>
    <row r="51" spans="2:17">
      <c r="B51" s="10">
        <v>36</v>
      </c>
      <c r="C51" s="12">
        <f>MAESTRO!F40</f>
        <v>0</v>
      </c>
      <c r="D51" s="17"/>
      <c r="E51" s="17"/>
      <c r="F51" s="52" t="e">
        <f>'PROM (Agropecuaria 9°)'!AE40</f>
        <v>#DIV/0!</v>
      </c>
      <c r="G51" s="52" t="e">
        <f>'PROM (Agropecuaria 9°)'!BM40</f>
        <v>#DIV/0!</v>
      </c>
      <c r="H51" s="52" t="e">
        <f>'PROM (Agropecuaria 9°)'!CU40</f>
        <v>#DIV/0!</v>
      </c>
      <c r="I51" s="52" t="e">
        <f t="shared" si="0"/>
        <v>#DIV/0!</v>
      </c>
      <c r="J51" s="62">
        <f>'Asistencia (9°)'!BI38</f>
        <v>0</v>
      </c>
      <c r="K51" s="62">
        <f>'Asistencia (9°)'!BJ38</f>
        <v>0</v>
      </c>
      <c r="L51" s="62">
        <f>'Asistencia (9°)'!BJ38</f>
        <v>0</v>
      </c>
      <c r="M51" s="62">
        <f>'Asistencia (9°)'!BJ81</f>
        <v>0</v>
      </c>
      <c r="N51" s="62">
        <f>'Asistencia (9°)'!BI126</f>
        <v>0</v>
      </c>
      <c r="O51" s="62">
        <f>'Asistencia (9°)'!BJ126</f>
        <v>0</v>
      </c>
      <c r="P51" s="63">
        <f t="shared" si="1"/>
        <v>0</v>
      </c>
      <c r="Q51" s="63">
        <f t="shared" si="2"/>
        <v>0</v>
      </c>
    </row>
    <row r="52" spans="2:17">
      <c r="B52" s="10">
        <v>37</v>
      </c>
      <c r="C52" s="12">
        <f>MAESTRO!F41</f>
        <v>0</v>
      </c>
      <c r="D52" s="17"/>
      <c r="E52" s="17"/>
      <c r="F52" s="52" t="e">
        <f>'PROM (Agropecuaria 9°)'!AE41</f>
        <v>#DIV/0!</v>
      </c>
      <c r="G52" s="52" t="e">
        <f>'PROM (Agropecuaria 9°)'!BM41</f>
        <v>#DIV/0!</v>
      </c>
      <c r="H52" s="52" t="e">
        <f>'PROM (Agropecuaria 9°)'!CU41</f>
        <v>#DIV/0!</v>
      </c>
      <c r="I52" s="52" t="e">
        <f t="shared" si="0"/>
        <v>#DIV/0!</v>
      </c>
      <c r="J52" s="62">
        <f>'Asistencia (9°)'!BI39</f>
        <v>0</v>
      </c>
      <c r="K52" s="62">
        <f>'Asistencia (9°)'!BJ39</f>
        <v>0</v>
      </c>
      <c r="L52" s="62">
        <f>'Asistencia (9°)'!BJ39</f>
        <v>0</v>
      </c>
      <c r="M52" s="62">
        <f>'Asistencia (9°)'!BJ82</f>
        <v>0</v>
      </c>
      <c r="N52" s="62">
        <f>'Asistencia (9°)'!BI127</f>
        <v>0</v>
      </c>
      <c r="O52" s="62">
        <f>'Asistencia (9°)'!BJ127</f>
        <v>0</v>
      </c>
      <c r="P52" s="63">
        <f t="shared" si="1"/>
        <v>0</v>
      </c>
      <c r="Q52" s="63">
        <f t="shared" si="2"/>
        <v>0</v>
      </c>
    </row>
    <row r="53" spans="2:17">
      <c r="B53" s="10">
        <v>38</v>
      </c>
      <c r="C53" s="12">
        <f>MAESTRO!F42</f>
        <v>0</v>
      </c>
      <c r="D53" s="17"/>
      <c r="E53" s="17"/>
      <c r="F53" s="52"/>
      <c r="G53" s="52"/>
      <c r="H53" s="52"/>
      <c r="I53" s="52"/>
      <c r="J53" s="62">
        <f>'Asistencia (9°)'!BI40</f>
        <v>0</v>
      </c>
      <c r="K53" s="62"/>
      <c r="L53" s="62">
        <f>'Asistencia (9°)'!BJ40</f>
        <v>0</v>
      </c>
      <c r="M53" s="62"/>
      <c r="N53" s="62"/>
      <c r="O53" s="62"/>
      <c r="P53" s="63"/>
      <c r="Q53" s="63"/>
    </row>
    <row r="54" spans="2:17">
      <c r="B54" s="10">
        <v>39</v>
      </c>
      <c r="C54" s="12">
        <f>MAESTRO!F43</f>
        <v>0</v>
      </c>
      <c r="D54" s="17"/>
      <c r="E54" s="18"/>
      <c r="F54" s="52"/>
      <c r="G54" s="52"/>
      <c r="H54" s="52"/>
      <c r="I54" s="52"/>
      <c r="J54" s="62">
        <f>'Asistencia (9°)'!BI41</f>
        <v>0</v>
      </c>
      <c r="K54" s="62"/>
      <c r="L54" s="62">
        <f>'Asistencia (9°)'!BJ41</f>
        <v>0</v>
      </c>
      <c r="M54" s="62"/>
      <c r="N54" s="62"/>
      <c r="O54" s="62"/>
      <c r="P54" s="63"/>
      <c r="Q54" s="63"/>
    </row>
    <row r="55" spans="2:17">
      <c r="B55" s="10"/>
      <c r="C55" s="12">
        <f>MAESTRO!F44</f>
        <v>0</v>
      </c>
      <c r="D55" s="17"/>
      <c r="E55" s="18"/>
      <c r="F55" s="52"/>
      <c r="G55" s="52"/>
      <c r="H55" s="52"/>
      <c r="I55" s="52"/>
      <c r="J55" s="62">
        <f>'Asistencia (9°)'!BI42</f>
        <v>0</v>
      </c>
      <c r="K55" s="62"/>
      <c r="L55" s="62">
        <f>'Asistencia (9°)'!BJ42</f>
        <v>0</v>
      </c>
      <c r="M55" s="62"/>
      <c r="N55" s="62"/>
      <c r="O55" s="62"/>
      <c r="P55" s="63"/>
      <c r="Q55" s="63"/>
    </row>
    <row r="56" spans="2:17">
      <c r="B56" s="10"/>
      <c r="C56" s="12"/>
      <c r="D56" s="17"/>
      <c r="E56" s="18"/>
      <c r="F56" s="52"/>
      <c r="G56" s="52"/>
      <c r="H56" s="52"/>
      <c r="I56" s="52"/>
      <c r="J56" s="62"/>
      <c r="K56" s="62"/>
      <c r="L56" s="62"/>
      <c r="M56" s="62"/>
      <c r="N56" s="62"/>
      <c r="O56" s="62"/>
      <c r="P56" s="63"/>
      <c r="Q56" s="63"/>
    </row>
    <row r="57" spans="2:17">
      <c r="B57" s="10"/>
      <c r="C57" s="12"/>
      <c r="D57" s="17"/>
      <c r="E57" s="18"/>
      <c r="F57" s="52"/>
      <c r="G57" s="52"/>
      <c r="H57" s="52"/>
      <c r="I57" s="52"/>
      <c r="J57" s="62"/>
      <c r="K57" s="62"/>
      <c r="L57" s="62"/>
      <c r="M57" s="62"/>
      <c r="N57" s="62"/>
      <c r="O57" s="62"/>
      <c r="P57" s="63"/>
      <c r="Q57" s="63"/>
    </row>
    <row r="58" spans="2:17">
      <c r="B58" s="13"/>
      <c r="C58" s="13"/>
      <c r="D58" s="13"/>
      <c r="E58" s="13"/>
      <c r="F58" s="58"/>
      <c r="G58" s="58"/>
      <c r="H58" s="58"/>
      <c r="I58" s="50"/>
      <c r="J58" s="58"/>
      <c r="K58" s="58"/>
      <c r="L58" s="58"/>
      <c r="M58" s="58"/>
      <c r="N58" s="58"/>
      <c r="O58" s="58"/>
      <c r="P58" s="58"/>
      <c r="Q58" s="58"/>
    </row>
  </sheetData>
  <mergeCells count="27">
    <mergeCell ref="B3:Q3"/>
    <mergeCell ref="I14:I15"/>
    <mergeCell ref="L11:Q11"/>
    <mergeCell ref="I9:K9"/>
    <mergeCell ref="B10:C10"/>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0"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38</vt:i4>
      </vt:variant>
    </vt:vector>
  </HeadingPairs>
  <TitlesOfParts>
    <vt:vector size="38" baseType="lpstr">
      <vt:lpstr>PORTADA_VISTOSA</vt:lpstr>
      <vt:lpstr>Caratula</vt:lpstr>
      <vt:lpstr>Portada</vt:lpstr>
      <vt:lpstr>Horarios</vt:lpstr>
      <vt:lpstr>Guía del Registro</vt:lpstr>
      <vt:lpstr>Observaciones</vt:lpstr>
      <vt:lpstr>MAESTRO</vt:lpstr>
      <vt:lpstr>DASHBOARD</vt:lpstr>
      <vt:lpstr>GRAFICOS</vt:lpstr>
      <vt:lpstr>RESUMEN_7°</vt:lpstr>
      <vt:lpstr>RESUMEN_8°</vt:lpstr>
      <vt:lpstr>RESUMEN_9°</vt:lpstr>
      <vt:lpstr>REPORTE_DIRECCIÓN</vt:lpstr>
      <vt:lpstr>REPORTE_APROBADOS</vt:lpstr>
      <vt:lpstr>REPORTE_DOCENTE</vt:lpstr>
      <vt:lpstr>Asistencia (7°)</vt:lpstr>
      <vt:lpstr>Asistencia (8°)</vt:lpstr>
      <vt:lpstr>Asistencia (9°)</vt:lpstr>
      <vt:lpstr>PROM (Ingles 7°)</vt:lpstr>
      <vt:lpstr>Planilla (Ingles 7°) </vt:lpstr>
      <vt:lpstr>PROM (Hogar y Desarrollo 7°)</vt:lpstr>
      <vt:lpstr>Planilla (Hogar y Desarrollo 7)</vt:lpstr>
      <vt:lpstr>PROM (Agropecuaria 7°)</vt:lpstr>
      <vt:lpstr>Planilla (Agropecuaria 7°)</vt:lpstr>
      <vt:lpstr>PROM (Ingles 8°)</vt:lpstr>
      <vt:lpstr>Planilla (Ingles 8°)</vt:lpstr>
      <vt:lpstr>PROM (Comercio 8°)</vt:lpstr>
      <vt:lpstr>Planilla (Comercio 8°)</vt:lpstr>
      <vt:lpstr>PROM (Agropecuaria 8°)</vt:lpstr>
      <vt:lpstr>Planilla (Agropecuaria 8°) </vt:lpstr>
      <vt:lpstr>PROM (Ingles 9°)</vt:lpstr>
      <vt:lpstr>Planilla (Ingles 9°) </vt:lpstr>
      <vt:lpstr>PROM (Comercio 9°)</vt:lpstr>
      <vt:lpstr>Planilla (Comercio 9°)</vt:lpstr>
      <vt:lpstr>PROM (Artistica 9°)</vt:lpstr>
      <vt:lpstr>Planilla (Artistica 9°)</vt:lpstr>
      <vt:lpstr>PROM (Agropecuaria 9°)</vt:lpstr>
      <vt:lpstr>Planilla (Agropecuaria 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2026-03-15T17:27:55Z</cp:lastPrinted>
  <dcterms:created xsi:type="dcterms:W3CDTF">2008-12-01T04:09:55Z</dcterms:created>
  <dcterms:modified xsi:type="dcterms:W3CDTF">2026-03-16T04:50:46Z</dcterms:modified>
</cp:coreProperties>
</file>