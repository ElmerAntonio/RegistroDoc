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2" activeTab="15"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2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0" applyAlignment="1" pivotButton="0" quotePrefix="0" xfId="0">
      <alignment horizontal="center"/>
    </xf>
    <xf numFmtId="0" fontId="0" fillId="0" borderId="0"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0">
      <alignment horizontal="left" vertical="top" wrapText="1"/>
    </xf>
    <xf numFmtId="164" fontId="0" fillId="3" borderId="25" applyAlignment="1" pivotButton="0" quotePrefix="0" xfId="1">
      <alignment horizontal="left" vertical="top"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4" fillId="3" borderId="25" applyAlignment="1" pivotButton="0" quotePrefix="0" xfId="0">
      <alignment horizontal="center" vertical="center" textRotation="90" wrapText="1"/>
    </xf>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0" fontId="4" fillId="3" borderId="25" applyAlignment="1" pivotButton="0" quotePrefix="0" xfId="0">
      <alignment horizontal="left" textRotation="90" wrapText="1"/>
    </xf>
    <xf numFmtId="164"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5</v>
                </pt>
                <pt idx="1">
                  <v>6</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5</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5" min="1" max="11"/>
  </cols>
  <sheetData>
    <row r="1" ht="37.95" customHeight="1" s="195">
      <c r="A1" s="202" t="inlineStr">
        <is>
          <t>REGISTRODOC MULTIGRADO</t>
        </is>
      </c>
    </row>
    <row r="2" ht="21" customHeight="1" s="195">
      <c r="A2" s="201" t="inlineStr">
        <is>
          <t>PORTADA ACADEMICA</t>
        </is>
      </c>
    </row>
    <row r="3" ht="15.6" customHeight="1" s="195">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5">
      <c r="A7" s="153" t="n"/>
      <c r="B7" s="198" t="inlineStr">
        <is>
          <t>INFORMACION INSTITUCIONAL</t>
        </is>
      </c>
      <c r="C7" s="199" t="n"/>
      <c r="D7" s="199" t="n"/>
      <c r="E7" s="199" t="n"/>
      <c r="F7" s="199" t="n"/>
      <c r="G7" s="199" t="n"/>
      <c r="H7" s="199" t="n"/>
      <c r="I7" s="199" t="n"/>
      <c r="J7" s="191"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5">
      <c r="A18" s="153" t="n"/>
      <c r="B18" s="198" t="inlineStr">
        <is>
          <t>HOJAS CLAVE DEL LIBRO</t>
        </is>
      </c>
      <c r="C18" s="199" t="n"/>
      <c r="D18" s="199" t="n"/>
      <c r="E18" s="199" t="n"/>
      <c r="F18" s="199" t="n"/>
      <c r="G18" s="199" t="n"/>
      <c r="H18" s="199" t="n"/>
      <c r="I18" s="199" t="n"/>
      <c r="J18" s="191"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5" min="1" max="39"/>
  </cols>
  <sheetData>
    <row r="7">
      <c r="L7" s="203" t="n"/>
    </row>
    <row r="15" ht="31.8" customHeight="1" s="195">
      <c r="A15" s="204" t="inlineStr">
        <is>
          <t>Registro de Asistencia</t>
        </is>
      </c>
    </row>
    <row r="16" ht="31.8" customHeight="1" s="195">
      <c r="A16" s="204" t="inlineStr">
        <is>
          <t>y Evaluación</t>
        </is>
      </c>
    </row>
    <row r="17" ht="31.8" customHeight="1" s="195">
      <c r="A17" s="204" t="inlineStr">
        <is>
          <t>para Docentes de Centros</t>
        </is>
      </c>
    </row>
    <row r="18" ht="31.8" customHeight="1" s="195">
      <c r="A18" s="204" t="inlineStr">
        <is>
          <t>Educativos Oficiales</t>
        </is>
      </c>
    </row>
    <row r="23" ht="17.4" customHeight="1" s="195">
      <c r="Q23" s="205" t="inlineStr">
        <is>
          <t xml:space="preserve">Prof.  Elmer Tugri </t>
        </is>
      </c>
    </row>
    <row r="24" ht="17.4" customHeight="1" s="195">
      <c r="Q24" s="205" t="inlineStr">
        <is>
          <t xml:space="preserve"> Insturctor Vocacional Pre-Media</t>
        </is>
      </c>
    </row>
    <row r="25" ht="17.4" customHeight="1" s="195">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95" min="1" max="1"/>
    <col width="1.6640625" customWidth="1" style="195" min="2" max="63"/>
  </cols>
  <sheetData>
    <row r="4" ht="18" customHeight="1" s="195">
      <c r="A4" s="208" t="inlineStr">
        <is>
          <t>REGISTRO DE ASISTENCIA Y EVALUACIÓN</t>
        </is>
      </c>
    </row>
    <row r="5" ht="18" customHeight="1" s="195">
      <c r="A5" s="208" t="inlineStr">
        <is>
          <t xml:space="preserve">PARA PROFESORES DE LOS CENTROS </t>
        </is>
      </c>
    </row>
    <row r="6" ht="18" customHeight="1" s="195">
      <c r="A6" s="208" t="inlineStr">
        <is>
          <t>EDUCATIVOS OFICIALES</t>
        </is>
      </c>
    </row>
    <row r="7" ht="18" customHeight="1" s="195"/>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10" ht="19.5" customHeight="1" s="195">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5"/>
    <row r="12" ht="18" customHeight="1" s="195">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5"/>
    <row r="14" ht="18" customHeight="1" s="195">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5"/>
    <row r="16" ht="18" customHeight="1" s="195">
      <c r="A16" s="216" t="inlineStr">
        <is>
          <t>N° de Cédula:</t>
        </is>
      </c>
      <c r="F16" s="207" t="n"/>
      <c r="G16" s="206" t="n"/>
      <c r="H16" s="206" t="inlineStr">
        <is>
          <t>4-785-823</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5">
      <c r="A17" s="216" t="n"/>
    </row>
    <row r="18" ht="18" customHeight="1" s="195">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5">
      <c r="A19" s="216" t="n"/>
    </row>
    <row r="20" ht="18" customHeight="1" s="195">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5">
      <c r="A21" s="216" t="n"/>
    </row>
    <row r="22" ht="18" customHeight="1" s="195">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5">
      <c r="A23" s="216" t="n"/>
    </row>
    <row r="24" ht="18" customHeight="1" s="195">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5">
      <c r="A25" s="216" t="n"/>
    </row>
    <row r="26" ht="18" customHeight="1" s="195">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5">
      <c r="A27" s="216" t="n"/>
    </row>
    <row r="28" ht="18" customHeight="1" s="195">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5">
      <c r="A29" s="216" t="n"/>
    </row>
    <row r="30" ht="18" customHeight="1" s="195">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5">
      <c r="A31" s="216" t="n"/>
    </row>
    <row r="32" ht="18" customHeight="1" s="195">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5">
      <c r="A33" s="216" t="n"/>
    </row>
    <row r="34" ht="18" customHeight="1" s="195">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5">
      <c r="A35" s="216" t="n"/>
    </row>
    <row r="36" ht="18" customHeight="1" s="195">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5">
      <c r="A37" s="216" t="n"/>
    </row>
    <row r="38" ht="18" customHeight="1" s="195">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5"/>
    <row r="40" ht="18" customHeight="1" s="195"/>
    <row r="41" ht="18" customHeight="1" s="195"/>
    <row r="42" ht="15.6" customHeight="1" s="195">
      <c r="A42" s="216" t="n"/>
    </row>
    <row r="43" ht="15.6" customHeight="1" s="195">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95" min="1" max="14"/>
    <col width="13.6640625" customWidth="1" style="195" min="15" max="19"/>
    <col width="1.6640625" customWidth="1" style="195" min="20" max="67"/>
  </cols>
  <sheetData>
    <row r="1" ht="18" customHeight="1" s="195"/>
    <row r="2" ht="16.05" customHeight="1" s="195">
      <c r="I2" t="inlineStr">
        <is>
          <t>Profesor:</t>
        </is>
      </c>
      <c r="N2" s="207" t="n"/>
      <c r="O2" s="206" t="inlineStr">
        <is>
          <t>Elmer Tugri</t>
        </is>
      </c>
      <c r="P2" s="207" t="n"/>
      <c r="Q2" s="207" t="n"/>
      <c r="R2" s="207" t="n"/>
    </row>
    <row r="3" ht="16.05" customHeight="1" s="195"/>
    <row r="4" ht="16.05" customHeight="1" s="195">
      <c r="C4" t="inlineStr">
        <is>
          <t>Jornada:</t>
        </is>
      </c>
      <c r="H4" s="206" t="inlineStr">
        <is>
          <t>MATUTINA</t>
        </is>
      </c>
      <c r="I4" s="207" t="n"/>
      <c r="J4" s="207" t="n"/>
      <c r="K4" s="207" t="n"/>
      <c r="L4" s="207" t="n"/>
      <c r="M4" s="207" t="n"/>
      <c r="N4" s="207" t="n"/>
      <c r="O4" s="207" t="n"/>
      <c r="P4" s="207" t="n"/>
      <c r="Q4" s="207" t="n"/>
      <c r="R4" s="207" t="n"/>
    </row>
    <row r="5" ht="16.05" customHeight="1" s="195"/>
    <row r="6" ht="16.05" customHeight="1" s="195">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5"/>
    <row r="8" ht="16.05" customHeight="1" s="195">
      <c r="C8" t="inlineStr">
        <is>
          <t>Grados:</t>
        </is>
      </c>
      <c r="H8" s="207" t="n"/>
      <c r="I8" s="207" t="n"/>
      <c r="J8" s="207" t="n"/>
      <c r="K8" s="207" t="n"/>
      <c r="L8" s="207" t="n"/>
      <c r="M8" s="207" t="n"/>
      <c r="N8" s="207" t="n"/>
      <c r="O8" s="206" t="n"/>
      <c r="P8" s="207" t="n"/>
      <c r="Q8" s="207" t="n"/>
      <c r="R8" s="207" t="n"/>
    </row>
    <row r="9" ht="18" customHeight="1" s="195"/>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5">
      <c r="D11" s="188" t="inlineStr">
        <is>
          <t>I</t>
        </is>
      </c>
      <c r="E11" s="185" t="n"/>
      <c r="F11" s="185" t="n"/>
      <c r="G11" s="185" t="n"/>
      <c r="H11" s="185" t="n"/>
      <c r="I11" s="186" t="n"/>
      <c r="J11" s="211" t="inlineStr">
        <is>
          <t>8:00 -8:35</t>
        </is>
      </c>
      <c r="K11" s="185" t="n"/>
      <c r="L11" s="185" t="n"/>
      <c r="M11" s="185" t="n"/>
      <c r="N11" s="186" t="n"/>
      <c r="O11" s="188" t="inlineStr">
        <is>
          <t xml:space="preserve">ACTO CIVO </t>
        </is>
      </c>
      <c r="P11" s="214" t="inlineStr">
        <is>
          <t>TECNOLOGIA 9°</t>
        </is>
      </c>
      <c r="Q11" s="214" t="inlineStr">
        <is>
          <t>TECNOLOGIA 9°</t>
        </is>
      </c>
      <c r="R11" s="188" t="n"/>
      <c r="S11" s="80" t="n"/>
      <c r="T11" s="74" t="n"/>
      <c r="U11" s="75" t="n"/>
      <c r="V11" s="75" t="n"/>
      <c r="W11" s="75" t="n"/>
      <c r="X11" s="75" t="n"/>
    </row>
    <row r="12" ht="22.95" customHeight="1" s="195">
      <c r="D12" s="188" t="inlineStr">
        <is>
          <t>II</t>
        </is>
      </c>
      <c r="E12" s="185" t="n"/>
      <c r="F12" s="185" t="n"/>
      <c r="G12" s="185" t="n"/>
      <c r="H12" s="185" t="n"/>
      <c r="I12" s="186" t="n"/>
      <c r="J12" s="211" t="inlineStr">
        <is>
          <t>8:35 - 9:10</t>
        </is>
      </c>
      <c r="K12" s="185" t="n"/>
      <c r="L12" s="185" t="n"/>
      <c r="M12" s="185" t="n"/>
      <c r="N12" s="186" t="n"/>
      <c r="O12" s="188" t="inlineStr">
        <is>
          <t>TECNOLOGIA 7°</t>
        </is>
      </c>
      <c r="P12" s="188" t="inlineStr">
        <is>
          <t>INGLES 9°</t>
        </is>
      </c>
      <c r="Q12" s="188" t="inlineStr">
        <is>
          <t>INGLES 8°</t>
        </is>
      </c>
      <c r="R12" s="188" t="n"/>
      <c r="S12" s="80" t="n"/>
      <c r="T12" s="74" t="n"/>
      <c r="U12" s="75" t="n"/>
      <c r="V12" s="75" t="n"/>
      <c r="W12" s="75" t="n"/>
      <c r="X12" s="75" t="n"/>
    </row>
    <row r="13" ht="22.95" customHeight="1" s="195">
      <c r="D13" s="188" t="inlineStr">
        <is>
          <t>III</t>
        </is>
      </c>
      <c r="E13" s="185" t="n"/>
      <c r="F13" s="185" t="n"/>
      <c r="G13" s="185" t="n"/>
      <c r="H13" s="185" t="n"/>
      <c r="I13" s="186" t="n"/>
      <c r="J13" s="211" t="inlineStr">
        <is>
          <t>9:10 - 9:45</t>
        </is>
      </c>
      <c r="K13" s="185" t="n"/>
      <c r="L13" s="185" t="n"/>
      <c r="M13" s="185" t="n"/>
      <c r="N13" s="186" t="n"/>
      <c r="O13" s="183" t="n"/>
      <c r="P13" s="183" t="n"/>
      <c r="Q13" s="183" t="n"/>
      <c r="R13" s="188" t="inlineStr">
        <is>
          <t>INGLES 7°</t>
        </is>
      </c>
      <c r="S13" s="188" t="n"/>
      <c r="T13" s="74" t="n"/>
      <c r="U13" s="75" t="n"/>
      <c r="V13" s="75" t="n"/>
      <c r="W13" s="75" t="n"/>
      <c r="X13" s="75" t="n"/>
    </row>
    <row r="14" ht="22.95" customHeight="1" s="195">
      <c r="D14" s="214" t="inlineStr">
        <is>
          <t>IV</t>
        </is>
      </c>
      <c r="E14" s="199" t="n"/>
      <c r="F14" s="199" t="n"/>
      <c r="G14" s="199" t="n"/>
      <c r="H14" s="199" t="n"/>
      <c r="I14" s="191" t="n"/>
      <c r="J14" s="211" t="inlineStr">
        <is>
          <t>9:45 - 10:20</t>
        </is>
      </c>
      <c r="K14" s="185" t="n"/>
      <c r="L14" s="185" t="n"/>
      <c r="M14" s="185" t="n"/>
      <c r="N14" s="186" t="n"/>
      <c r="O14" s="214" t="inlineStr">
        <is>
          <t>TECNOLOGIA 8°</t>
        </is>
      </c>
      <c r="P14" s="214" t="n"/>
      <c r="Q14" s="214" t="inlineStr">
        <is>
          <t>INGLES 7°</t>
        </is>
      </c>
      <c r="R14" s="183" t="n"/>
      <c r="S14" s="80" t="inlineStr">
        <is>
          <t>Artística 9°</t>
        </is>
      </c>
      <c r="T14" s="74" t="n"/>
      <c r="U14" s="75" t="n"/>
      <c r="V14" s="75" t="n"/>
      <c r="W14" s="75" t="n"/>
      <c r="X14" s="75" t="n"/>
    </row>
    <row r="15" ht="22.95" customHeight="1" s="195">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5">
      <c r="B16" s="75" t="n"/>
      <c r="C16" s="75" t="n"/>
      <c r="D16" s="188" t="inlineStr">
        <is>
          <t>V</t>
        </is>
      </c>
      <c r="E16" s="185" t="n"/>
      <c r="F16" s="185" t="n"/>
      <c r="G16" s="185" t="n"/>
      <c r="H16" s="185" t="n"/>
      <c r="I16" s="186" t="n"/>
      <c r="J16" s="211" t="inlineStr">
        <is>
          <t>10:40 - 11:15</t>
        </is>
      </c>
      <c r="K16" s="185" t="n"/>
      <c r="L16" s="185" t="n"/>
      <c r="M16" s="185" t="n"/>
      <c r="N16" s="186" t="n"/>
      <c r="O16" s="214" t="inlineStr">
        <is>
          <t>TECNOLOGIA 8°</t>
        </is>
      </c>
      <c r="P16" s="80" t="n"/>
      <c r="Q16" s="80" t="inlineStr">
        <is>
          <t>INGLES 7°</t>
        </is>
      </c>
      <c r="R16" s="188" t="inlineStr">
        <is>
          <t>Artística 9°</t>
        </is>
      </c>
      <c r="S16" s="80" t="inlineStr">
        <is>
          <t>Artística 9°</t>
        </is>
      </c>
    </row>
    <row r="17" ht="22.95" customHeight="1" s="195">
      <c r="B17" s="75" t="n"/>
      <c r="C17" s="75" t="n"/>
      <c r="D17" s="188" t="inlineStr">
        <is>
          <t>VI</t>
        </is>
      </c>
      <c r="E17" s="185" t="n"/>
      <c r="F17" s="185" t="n"/>
      <c r="G17" s="185" t="n"/>
      <c r="H17" s="185" t="n"/>
      <c r="I17" s="186" t="n"/>
      <c r="J17" s="211" t="inlineStr">
        <is>
          <t>11:15 - 11:50</t>
        </is>
      </c>
      <c r="K17" s="185" t="n"/>
      <c r="L17" s="185" t="n"/>
      <c r="M17" s="185" t="n"/>
      <c r="N17" s="186" t="n"/>
      <c r="O17" s="188" t="inlineStr">
        <is>
          <t>INGLES 8°</t>
        </is>
      </c>
      <c r="P17" s="188" t="n"/>
      <c r="Q17" s="188" t="inlineStr">
        <is>
          <t>TECNOLOGIA 8°</t>
        </is>
      </c>
      <c r="R17" s="183" t="n"/>
      <c r="S17" s="214" t="inlineStr">
        <is>
          <t>TECNOLOGIA 9°</t>
        </is>
      </c>
    </row>
    <row r="18" ht="22.95" customHeight="1" s="195">
      <c r="B18" s="75" t="n"/>
      <c r="C18" s="75" t="n"/>
      <c r="D18" s="188" t="inlineStr">
        <is>
          <t>VII</t>
        </is>
      </c>
      <c r="E18" s="185" t="n"/>
      <c r="F18" s="185" t="n"/>
      <c r="G18" s="185" t="n"/>
      <c r="H18" s="185" t="n"/>
      <c r="I18" s="186" t="n"/>
      <c r="J18" s="211" t="inlineStr">
        <is>
          <t>11:50 - 12:25</t>
        </is>
      </c>
      <c r="K18" s="185" t="n"/>
      <c r="L18" s="185" t="n"/>
      <c r="M18" s="185" t="n"/>
      <c r="N18" s="186" t="n"/>
      <c r="O18" s="183" t="n"/>
      <c r="P18" s="188" t="inlineStr">
        <is>
          <t>TECNOLOGIA 7°</t>
        </is>
      </c>
      <c r="Q18" s="183" t="n"/>
      <c r="R18" s="188" t="inlineStr">
        <is>
          <t>INGLES 9°</t>
        </is>
      </c>
      <c r="S18" s="188" t="inlineStr">
        <is>
          <t>PROYECTOS</t>
        </is>
      </c>
    </row>
    <row r="19" ht="22.95" customHeight="1" s="195">
      <c r="B19" s="75" t="n"/>
      <c r="C19" s="75" t="n"/>
      <c r="D19" s="188" t="inlineStr">
        <is>
          <t>VIII</t>
        </is>
      </c>
      <c r="E19" s="185" t="n"/>
      <c r="F19" s="185" t="n"/>
      <c r="G19" s="185" t="n"/>
      <c r="H19" s="185" t="n"/>
      <c r="I19" s="186" t="n"/>
      <c r="J19" s="211" t="inlineStr">
        <is>
          <t>12:25 - 1:00</t>
        </is>
      </c>
      <c r="K19" s="185" t="n"/>
      <c r="L19" s="185" t="n"/>
      <c r="M19" s="185" t="n"/>
      <c r="N19" s="186" t="n"/>
      <c r="O19" s="85" t="n"/>
      <c r="P19" s="183" t="n"/>
      <c r="Q19" s="188" t="inlineStr">
        <is>
          <t>TECNOLOGIA 9°</t>
        </is>
      </c>
      <c r="R19" s="183" t="n"/>
      <c r="S19" s="183" t="n"/>
    </row>
    <row r="20" ht="18" customHeight="1" s="195">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5">
      <c r="A21" s="208" t="n"/>
    </row>
    <row r="22" ht="18" customHeight="1" s="195">
      <c r="A22" s="208" t="n"/>
    </row>
    <row r="23" ht="18" customHeight="1" s="195"/>
    <row r="24" ht="22.95" customFormat="1" customHeight="1" s="216">
      <c r="A24" s="215" t="n"/>
      <c r="G24" s="215" t="n"/>
      <c r="O24" s="215" t="n"/>
      <c r="P24" s="215" t="n"/>
      <c r="Q24" s="215" t="n"/>
      <c r="R24" s="215" t="n"/>
      <c r="S24" s="215" t="n"/>
    </row>
    <row r="25" ht="22.95" customHeight="1" s="195">
      <c r="A25" s="212" t="n"/>
      <c r="G25" s="212" t="n"/>
      <c r="O25" s="212" t="n"/>
      <c r="P25" s="212" t="n"/>
      <c r="Q25" s="212" t="n"/>
      <c r="R25" s="212" t="n"/>
      <c r="S25" s="212" t="n"/>
    </row>
    <row r="26" ht="22.95" customHeight="1" s="195">
      <c r="A26" s="212" t="n"/>
      <c r="G26" s="212" t="n"/>
      <c r="O26" s="212" t="n"/>
      <c r="P26" s="212" t="n"/>
      <c r="Q26" s="212" t="n"/>
      <c r="R26" s="212" t="n"/>
      <c r="S26" s="212" t="n"/>
    </row>
    <row r="27" ht="22.95" customHeight="1" s="195">
      <c r="A27" s="212" t="n"/>
      <c r="G27" s="212" t="n"/>
      <c r="O27" s="212" t="n"/>
      <c r="P27" s="212" t="n"/>
      <c r="Q27" s="212" t="n"/>
      <c r="R27" s="212" t="n"/>
      <c r="S27" s="212" t="n"/>
    </row>
    <row r="28" ht="22.95" customHeight="1" s="195">
      <c r="A28" s="212" t="n"/>
      <c r="G28" s="212" t="n"/>
      <c r="O28" s="212" t="n"/>
      <c r="P28" s="212" t="n"/>
      <c r="Q28" s="212" t="n"/>
      <c r="R28" s="212" t="n"/>
      <c r="S28" s="212" t="n"/>
    </row>
    <row r="29" ht="22.95" customHeight="1" s="195">
      <c r="A29" s="208" t="n"/>
    </row>
    <row r="30" ht="22.95" customHeight="1" s="195">
      <c r="A30" s="212" t="n"/>
      <c r="G30" s="212" t="n"/>
      <c r="O30" s="212" t="n"/>
      <c r="P30" s="212" t="n"/>
      <c r="Q30" s="212" t="n"/>
      <c r="R30" s="212" t="n"/>
      <c r="S30" s="212" t="n"/>
    </row>
    <row r="31" ht="22.95" customHeight="1" s="195">
      <c r="A31" s="212" t="n"/>
      <c r="G31" s="212" t="n"/>
      <c r="O31" s="212" t="n"/>
      <c r="P31" s="212" t="n"/>
      <c r="Q31" s="212" t="n"/>
      <c r="R31" s="212" t="n"/>
      <c r="S31" s="212" t="n"/>
    </row>
    <row r="32" ht="22.95" customHeight="1" s="195">
      <c r="A32" s="212" t="n"/>
      <c r="G32" s="212" t="n"/>
      <c r="O32" s="212" t="n"/>
      <c r="P32" s="212" t="n"/>
      <c r="Q32" s="212" t="n"/>
      <c r="R32" s="212" t="n"/>
      <c r="S32" s="212" t="n"/>
    </row>
    <row r="33" ht="22.95" customHeight="1" s="195">
      <c r="A33" s="212" t="n"/>
      <c r="G33" s="212" t="n"/>
      <c r="O33" s="212" t="n"/>
      <c r="P33" s="212" t="n"/>
      <c r="Q33" s="212" t="n"/>
      <c r="R33" s="212" t="n"/>
      <c r="S33" s="212" t="n"/>
    </row>
    <row r="34" ht="18" customHeight="1" s="195"/>
    <row r="35" ht="18" customHeight="1" s="195"/>
    <row r="36" ht="18" customHeight="1" s="195"/>
    <row r="37" ht="18" customHeight="1" s="195"/>
    <row r="38" ht="18" customHeight="1" s="195"/>
    <row r="39" ht="18" customHeight="1" s="195"/>
    <row r="40" ht="18" customHeight="1" s="195"/>
    <row r="41" ht="18" customHeight="1" s="195"/>
    <row r="42" ht="18" customHeight="1" s="195"/>
    <row r="43" ht="18" customHeight="1" s="195"/>
    <row r="44" ht="18" customHeight="1" s="195"/>
    <row r="45" ht="18" customHeight="1" s="195"/>
    <row r="46" ht="18" customHeight="1" s="195"/>
    <row r="47" ht="18" customHeight="1" s="195"/>
    <row r="48" ht="18" customHeight="1" s="195"/>
    <row r="49" ht="18" customHeight="1" s="195"/>
    <row r="50" ht="18" customHeight="1" s="195"/>
    <row r="51" ht="18" customHeight="1" s="195"/>
    <row r="52" ht="18" customHeight="1" s="195"/>
    <row r="53" ht="18" customHeight="1" s="195"/>
    <row r="54" ht="18" customHeight="1" s="195"/>
    <row r="55" ht="18" customHeight="1" s="195"/>
    <row r="56" ht="18" customHeight="1" s="195"/>
    <row r="57" ht="18" customHeight="1" s="195"/>
    <row r="58" ht="18" customHeight="1" s="195"/>
    <row r="59" ht="18" customHeight="1" s="195"/>
    <row r="60" ht="18" customHeight="1" s="195"/>
    <row r="61" ht="18" customHeight="1" s="195"/>
    <row r="62" ht="18" customHeight="1" s="195"/>
    <row r="63" ht="18" customHeight="1" s="195"/>
    <row r="64" ht="18" customHeight="1" s="195"/>
    <row r="65" ht="18" customHeight="1" s="195"/>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95" min="1" max="1"/>
    <col width="6.33203125" customWidth="1" style="195" min="2" max="2"/>
    <col width="46.109375" customWidth="1" style="195" min="3" max="3"/>
  </cols>
  <sheetData>
    <row r="1" ht="28.8" customHeight="1" s="195">
      <c r="A1" s="31" t="inlineStr">
        <is>
          <t>GUÍA PARA EL CORRECTO MANEJO DEL                     REGISTRO ESCOLAR</t>
        </is>
      </c>
      <c r="C1" s="218" t="inlineStr">
        <is>
          <t>.  Debe anotarse toda la información relacionada con el nombre y apellido.</t>
        </is>
      </c>
    </row>
    <row r="2" ht="13.05" customHeight="1" s="195">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5"/>
    <row r="5" ht="55.2" customHeight="1" s="195">
      <c r="C5" s="218" t="inlineStr">
        <is>
          <t>.  En la sección para observaciones, debe aparecer el nombre de la profesora o del profesor consejero así como el grupo de consejería a que pertenece la estudiante o el estudiante.</t>
        </is>
      </c>
    </row>
    <row r="6">
      <c r="C6" s="218" t="n"/>
    </row>
    <row r="7" ht="15.6" customHeight="1" s="195">
      <c r="A7" s="37" t="n"/>
      <c r="C7" s="34" t="inlineStr">
        <is>
          <t>SIMBOLOGÍA RECOMENDADA</t>
        </is>
      </c>
    </row>
    <row r="8">
      <c r="A8" s="37" t="n"/>
      <c r="C8" s="218" t="n"/>
    </row>
    <row r="9" ht="13.05" customHeight="1" s="195">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5">
      <c r="A10" s="218" t="inlineStr">
        <is>
          <t>Para asegurar el correcto reistro, tanto de la asistencia como las calificaciones, el docente debe guiarse por el nombre del estudiante como por el número de casilla que le corresponde.</t>
        </is>
      </c>
    </row>
    <row r="11"/>
    <row r="12"/>
    <row r="13" ht="8.25" customHeight="1" s="195"/>
    <row r="14" ht="13.05" customHeight="1" s="195">
      <c r="C14" s="218" t="n"/>
    </row>
    <row r="15" ht="14.4" customHeight="1" s="195">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5"/>
    <row r="18" ht="14.4" customHeight="1" s="195">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5">
      <c r="A22" s="218" t="n"/>
      <c r="C22" s="218" t="inlineStr">
        <is>
          <t>e. Fuga: la letra (F)</t>
        </is>
      </c>
    </row>
    <row r="23">
      <c r="A23" s="36" t="inlineStr">
        <is>
          <t>PRESENTACIÓN</t>
        </is>
      </c>
      <c r="C23" s="218" t="inlineStr">
        <is>
          <t>f. Sin nota: las letras (S/N)</t>
        </is>
      </c>
    </row>
    <row r="24" ht="13.05" customHeight="1" s="195">
      <c r="A24" s="36" t="n"/>
      <c r="C24" s="218" t="inlineStr">
        <is>
          <t>g. Sin profesor: las letras (S/P)</t>
        </is>
      </c>
    </row>
    <row r="25" ht="14.4" customHeight="1" s="195">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5">
      <c r="C27" s="220" t="inlineStr">
        <is>
          <t>CONSIDERACIONES FINALES</t>
        </is>
      </c>
    </row>
    <row r="28" ht="10.5" customHeight="1" s="195">
      <c r="A28" s="218" t="n"/>
    </row>
    <row r="29" ht="14.4" customHeight="1" s="195">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5">
      <c r="A31" s="37" t="n"/>
    </row>
    <row r="32" ht="14.4" customHeight="1" s="195">
      <c r="A32" s="218" t="inlineStr">
        <is>
          <t>1. Debe estar forrado con sobriedad; si es posible, encuadernado o empastado.</t>
        </is>
      </c>
    </row>
    <row r="33" ht="12" customHeight="1" s="195"/>
    <row r="34" ht="14.4" customHeight="1" s="195">
      <c r="A34" s="218" t="inlineStr">
        <is>
          <t>2. La información se anotará con tinta sin exagerar el uso de los colores.</t>
        </is>
      </c>
      <c r="C34" s="218" t="n"/>
    </row>
    <row r="35" ht="12" customHeight="1" s="195">
      <c r="C35" s="218" t="inlineStr">
        <is>
          <t>.    Utilizar la escala numérica de 1 a 5 (incluye decimales con números arábigos).</t>
        </is>
      </c>
    </row>
    <row r="36" ht="14.4" customHeight="1" s="195">
      <c r="A36" s="218" t="inlineStr">
        <is>
          <t>3. Al escribir en él puede usar la letra de imprenta o cursiva legible.</t>
        </is>
      </c>
    </row>
    <row r="37" ht="12" customHeight="1" s="195">
      <c r="C37" s="218" t="inlineStr">
        <is>
          <t>.    Recordar que el cero (0) no existe dentro de esta escala.</t>
        </is>
      </c>
    </row>
    <row r="38" ht="14.4" customHeight="1" s="195">
      <c r="A38" s="218" t="inlineStr">
        <is>
          <t>4. Debe conservarse en forma nítida, sin manchas, sin borrones y sin tachaduras.</t>
        </is>
      </c>
    </row>
    <row r="39" ht="12" customHeight="1" s="195">
      <c r="C39" s="218" t="inlineStr">
        <is>
          <t>.  No utilizar ganchos, equis ni otros símbolos.</t>
        </is>
      </c>
    </row>
    <row r="40" ht="14.4" customHeight="1" s="195">
      <c r="A40" s="218" t="inlineStr">
        <is>
          <t>5. La libreta no debe contener información ajena a sus propósitos.</t>
        </is>
      </c>
      <c r="C40" s="218" t="inlineStr">
        <is>
          <t>.  Registrar las notas con tinta, sin borrones ni tachaduras. Evitar escribir un número sobre otro.</t>
        </is>
      </c>
    </row>
    <row r="41"/>
    <row r="42" ht="13.05" customHeight="1" s="195">
      <c r="A42" s="218" t="n"/>
      <c r="C42" s="218" t="inlineStr">
        <is>
          <t>.  Se debe registrar según la carga horaria, un mínimo de pruebas y actividades.</t>
        </is>
      </c>
    </row>
    <row r="43" ht="14.4" customHeight="1" s="195">
      <c r="A43" s="221" t="inlineStr">
        <is>
          <t>CONFECCIÓN DEL LISTADO DE LAS ESTUDIANTES Y LOS ESTUDIANTES.</t>
        </is>
      </c>
    </row>
    <row r="44">
      <c r="C44" s="218" t="inlineStr">
        <is>
          <t>.  Debemos recordar que el trabajo en la libreta debe ser exacto, completo, claro y legible.</t>
        </is>
      </c>
    </row>
    <row r="45" ht="13.05" customHeight="1" s="195">
      <c r="A45" s="218" t="n"/>
    </row>
    <row r="46" ht="27.6" customHeight="1" s="195">
      <c r="A46" s="218" t="inlineStr">
        <is>
          <t>.  El listado debe hacerse por apellidos, en orden alfabético, sin distinción de género.</t>
        </is>
      </c>
      <c r="C46" s="218" t="n"/>
    </row>
    <row r="47" ht="27.6" customHeight="1" s="195">
      <c r="A47" s="38" t="inlineStr">
        <is>
          <t>Según el Resuelto No.1840 de 1 de noviembre de 2000.</t>
        </is>
      </c>
      <c r="C47" s="218" t="n"/>
    </row>
    <row r="48">
      <c r="A48" s="218" t="n"/>
      <c r="C48" s="218" t="n"/>
    </row>
    <row r="49">
      <c r="A49" s="218" t="n"/>
      <c r="C49" s="218" t="n"/>
    </row>
    <row r="50">
      <c r="A50" s="218" t="n"/>
      <c r="C50" s="218" t="n"/>
    </row>
    <row r="51" ht="12.75" customHeight="1" s="195">
      <c r="C51" s="218" t="n"/>
    </row>
    <row r="52" ht="30" customHeight="1" s="195">
      <c r="C52" s="218" t="n"/>
    </row>
    <row r="53" ht="11.25" customHeight="1" s="195">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95">
      <c r="A4" s="222" t="inlineStr">
        <is>
          <t>OBSERVACIONES</t>
        </is>
      </c>
    </row>
    <row r="7" ht="25.05" customHeight="1" s="195">
      <c r="A7" s="207" t="n"/>
      <c r="B7" s="207" t="n"/>
      <c r="C7" s="207" t="n"/>
      <c r="D7" s="207" t="n"/>
      <c r="E7" s="207" t="n"/>
      <c r="F7" s="207" t="n"/>
      <c r="G7" s="207" t="n"/>
    </row>
    <row r="8" ht="25.05" customHeight="1" s="195">
      <c r="A8" s="207" t="n"/>
      <c r="B8" s="207" t="n"/>
      <c r="C8" s="207" t="n"/>
      <c r="D8" s="207" t="n"/>
      <c r="E8" s="207" t="n"/>
      <c r="F8" s="207" t="n"/>
      <c r="G8" s="207" t="n"/>
    </row>
    <row r="9" ht="25.05" customHeight="1" s="195">
      <c r="A9" s="207" t="n"/>
      <c r="B9" s="207" t="n"/>
      <c r="C9" s="207" t="n"/>
      <c r="D9" s="207" t="n"/>
      <c r="E9" s="207" t="n"/>
      <c r="F9" s="207" t="n"/>
      <c r="G9" s="207" t="n"/>
    </row>
    <row r="10" ht="25.05" customHeight="1" s="195">
      <c r="A10" s="207" t="n"/>
      <c r="B10" s="207" t="n"/>
      <c r="C10" s="207" t="n"/>
      <c r="D10" s="207" t="n"/>
      <c r="E10" s="207" t="n"/>
      <c r="F10" s="207" t="n"/>
      <c r="G10" s="207" t="n"/>
    </row>
    <row r="11" ht="25.05" customHeight="1" s="195">
      <c r="A11" s="207" t="n"/>
      <c r="B11" s="207" t="n"/>
      <c r="C11" s="207" t="n"/>
      <c r="D11" s="207" t="n"/>
      <c r="E11" s="207" t="n"/>
      <c r="F11" s="207" t="n"/>
      <c r="G11" s="207" t="n"/>
    </row>
    <row r="12" ht="25.05" customHeight="1" s="195">
      <c r="A12" s="207" t="n"/>
      <c r="B12" s="207" t="n"/>
      <c r="C12" s="207" t="n"/>
      <c r="D12" s="207" t="n"/>
      <c r="E12" s="207" t="n"/>
      <c r="F12" s="207" t="n"/>
      <c r="G12" s="207" t="n"/>
    </row>
    <row r="13" ht="25.05" customHeight="1" s="195">
      <c r="A13" s="207" t="n"/>
      <c r="B13" s="207" t="n"/>
      <c r="C13" s="207" t="n"/>
      <c r="D13" s="207" t="n"/>
      <c r="E13" s="207" t="n"/>
      <c r="F13" s="207" t="n"/>
      <c r="G13" s="207" t="n"/>
    </row>
    <row r="14" ht="25.05" customHeight="1" s="195">
      <c r="A14" s="207" t="n"/>
      <c r="B14" s="207" t="n"/>
      <c r="C14" s="207" t="n"/>
      <c r="D14" s="207" t="n"/>
      <c r="E14" s="207" t="n"/>
      <c r="F14" s="207" t="n"/>
      <c r="G14" s="207" t="n"/>
    </row>
    <row r="15" ht="25.05" customHeight="1" s="195">
      <c r="A15" s="207" t="n"/>
      <c r="B15" s="207" t="n"/>
      <c r="C15" s="207" t="n"/>
      <c r="D15" s="207" t="n"/>
      <c r="E15" s="207" t="n"/>
      <c r="F15" s="207" t="n"/>
      <c r="G15" s="207" t="n"/>
    </row>
    <row r="16" ht="25.05" customHeight="1" s="195">
      <c r="A16" s="207" t="n"/>
      <c r="B16" s="207" t="n"/>
      <c r="C16" s="207" t="n"/>
      <c r="D16" s="207" t="n"/>
      <c r="E16" s="207" t="n"/>
      <c r="F16" s="207" t="n"/>
      <c r="G16" s="207" t="n"/>
    </row>
    <row r="17" ht="25.05" customHeight="1" s="195">
      <c r="A17" s="207" t="n"/>
      <c r="B17" s="207" t="n"/>
      <c r="C17" s="207" t="n"/>
      <c r="D17" s="207" t="n"/>
      <c r="E17" s="207" t="n"/>
      <c r="F17" s="207" t="n"/>
      <c r="G17" s="207" t="n"/>
    </row>
    <row r="18" ht="25.05" customHeight="1" s="195">
      <c r="A18" s="207" t="n"/>
      <c r="B18" s="207" t="n"/>
      <c r="C18" s="207" t="n"/>
      <c r="D18" s="207" t="n"/>
      <c r="E18" s="207" t="n"/>
      <c r="F18" s="207" t="n"/>
      <c r="G18" s="207" t="n"/>
    </row>
    <row r="19" ht="25.05" customHeight="1" s="195">
      <c r="A19" s="207" t="n"/>
      <c r="B19" s="207" t="n"/>
      <c r="C19" s="207" t="n"/>
      <c r="D19" s="207" t="n"/>
      <c r="E19" s="207" t="n"/>
      <c r="F19" s="207" t="n"/>
      <c r="G19" s="207" t="n"/>
    </row>
    <row r="20" ht="25.05" customHeight="1" s="195">
      <c r="A20" s="207" t="n"/>
      <c r="B20" s="207" t="n"/>
      <c r="C20" s="207" t="n"/>
      <c r="D20" s="207" t="n"/>
      <c r="E20" s="207" t="n"/>
      <c r="F20" s="207" t="n"/>
      <c r="G20" s="207" t="n"/>
    </row>
    <row r="21" ht="25.05" customHeight="1" s="195">
      <c r="A21" s="207" t="n"/>
      <c r="B21" s="207" t="n"/>
      <c r="C21" s="207" t="n"/>
      <c r="D21" s="207" t="n"/>
      <c r="E21" s="207" t="n"/>
      <c r="F21" s="207" t="n"/>
      <c r="G21" s="207" t="n"/>
    </row>
    <row r="22" ht="25.05" customHeight="1" s="195">
      <c r="A22" s="207" t="n"/>
      <c r="B22" s="207" t="n"/>
      <c r="C22" s="207" t="n"/>
      <c r="D22" s="207" t="n"/>
      <c r="E22" s="207" t="n"/>
      <c r="F22" s="207" t="n"/>
      <c r="G22" s="207" t="n"/>
    </row>
    <row r="23" ht="25.05" customHeight="1" s="195">
      <c r="A23" s="207" t="n"/>
      <c r="B23" s="207" t="n"/>
      <c r="C23" s="207" t="n"/>
      <c r="D23" s="207" t="n"/>
      <c r="E23" s="207" t="n"/>
      <c r="F23" s="207" t="n"/>
      <c r="G23" s="207" t="n"/>
    </row>
    <row r="24" ht="25.05" customHeight="1" s="195">
      <c r="A24" s="207" t="n"/>
      <c r="B24" s="207" t="n"/>
      <c r="C24" s="207" t="n"/>
      <c r="D24" s="207" t="n"/>
      <c r="E24" s="207" t="n"/>
      <c r="F24" s="207" t="n"/>
      <c r="G24" s="207" t="n"/>
    </row>
    <row r="25" ht="25.05" customHeight="1" s="195">
      <c r="A25" s="207" t="n"/>
      <c r="B25" s="207" t="n"/>
      <c r="C25" s="207" t="n"/>
      <c r="D25" s="207" t="n"/>
      <c r="E25" s="207" t="n"/>
      <c r="F25" s="207" t="n"/>
      <c r="G25" s="207" t="n"/>
    </row>
    <row r="26" ht="25.05" customHeight="1" s="195">
      <c r="A26" s="207" t="n"/>
      <c r="B26" s="207" t="n"/>
      <c r="C26" s="207" t="n"/>
      <c r="D26" s="207" t="n"/>
      <c r="E26" s="207" t="n"/>
      <c r="F26" s="207" t="n"/>
      <c r="G26" s="207" t="n"/>
    </row>
    <row r="27" ht="25.05" customHeight="1" s="195">
      <c r="A27" s="207" t="n"/>
      <c r="B27" s="207" t="n"/>
      <c r="C27" s="207" t="n"/>
      <c r="D27" s="207" t="n"/>
      <c r="E27" s="207" t="n"/>
      <c r="F27" s="207" t="n"/>
      <c r="G27" s="207" t="n"/>
    </row>
    <row r="28" ht="25.05" customHeight="1" s="195">
      <c r="A28" s="207" t="n"/>
      <c r="B28" s="207" t="n"/>
      <c r="C28" s="207" t="n"/>
      <c r="D28" s="207" t="n"/>
      <c r="E28" s="207" t="n"/>
      <c r="F28" s="207" t="n"/>
      <c r="G28" s="207" t="n"/>
    </row>
    <row r="29" ht="25.05" customHeight="1" s="195"/>
    <row r="30" ht="25.05" customHeight="1" s="195"/>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15" workbookViewId="0">
      <selection activeCell="I20" sqref="I20"/>
    </sheetView>
  </sheetViews>
  <sheetFormatPr baseColWidth="10" defaultColWidth="8.88671875" defaultRowHeight="14.4"/>
  <cols>
    <col width="5" customWidth="1" style="195" min="1" max="1"/>
    <col width="35" customWidth="1" style="195" min="2" max="2"/>
    <col width="5" customWidth="1" style="195" min="3" max="3"/>
    <col width="35" customWidth="1" style="195" min="4" max="4"/>
    <col width="5" customWidth="1" style="195" min="5" max="5"/>
    <col width="35" customWidth="1" style="195" min="6" max="6"/>
    <col width="3" customWidth="1" style="195" min="7" max="7"/>
  </cols>
  <sheetData>
    <row r="1" ht="30" customHeight="1" s="195">
      <c r="A1" s="223" t="inlineStr">
        <is>
          <t>HOJA MAESTRO — ESCUELA CERRO CACICÓN · AÑO LECTIVO 2026</t>
        </is>
      </c>
    </row>
    <row r="2" ht="18" customHeight="1" s="195">
      <c r="A2" s="225" t="inlineStr">
        <is>
          <t>Ingresa aquí los nombres de cada grado. Se copiarán automáticamente a TODAS las hojas.</t>
        </is>
      </c>
    </row>
    <row r="3" ht="22.05" customHeight="1" s="195">
      <c r="A3" s="228" t="inlineStr">
        <is>
          <t>7° GRADO</t>
        </is>
      </c>
      <c r="B3" s="227" t="n"/>
      <c r="C3" s="226" t="inlineStr">
        <is>
          <t>8° GRADO</t>
        </is>
      </c>
      <c r="D3" s="227" t="n"/>
      <c r="E3" s="229" t="inlineStr">
        <is>
          <t>9° GRADO</t>
        </is>
      </c>
      <c r="F3" s="227" t="n"/>
    </row>
    <row r="4" ht="18" customHeight="1" s="195">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5">
      <c r="A5" s="103" t="n">
        <v>1</v>
      </c>
      <c r="B5" s="104" t="inlineStr">
        <is>
          <t xml:space="preserve">Abrigo Yuleika </t>
        </is>
      </c>
      <c r="C5" s="103" t="n">
        <v>1</v>
      </c>
      <c r="D5" t="inlineStr">
        <is>
          <t>Bejerano Yeika</t>
        </is>
      </c>
      <c r="E5" s="103" t="n">
        <v>1</v>
      </c>
      <c r="F5" t="inlineStr">
        <is>
          <t xml:space="preserve">Abrego Yosselih </t>
        </is>
      </c>
    </row>
    <row r="6" ht="16.05" customHeight="1" s="195">
      <c r="A6" s="105" t="n">
        <v>2</v>
      </c>
      <c r="B6" s="106" t="inlineStr">
        <is>
          <t>Bejerano Yohana</t>
        </is>
      </c>
      <c r="C6" s="105" t="n">
        <v>2</v>
      </c>
      <c r="D6" s="106" t="inlineStr">
        <is>
          <t>Camarena Khathia</t>
        </is>
      </c>
      <c r="E6" s="105" t="n">
        <v>2</v>
      </c>
      <c r="F6" s="106" t="inlineStr">
        <is>
          <t>Abrigo Sheldry</t>
        </is>
      </c>
    </row>
    <row r="7" ht="16.05" customHeight="1" s="195">
      <c r="A7" s="103" t="n">
        <v>3</v>
      </c>
      <c r="B7" s="104" t="inlineStr">
        <is>
          <t>Cedeño Carol</t>
        </is>
      </c>
      <c r="C7" s="103" t="n">
        <v>3</v>
      </c>
      <c r="D7" s="104" t="inlineStr">
        <is>
          <t xml:space="preserve">Case Yarixell </t>
        </is>
      </c>
      <c r="E7" s="103" t="n">
        <v>3</v>
      </c>
      <c r="F7" s="104" t="inlineStr">
        <is>
          <t>Caballero Edimael</t>
        </is>
      </c>
    </row>
    <row r="8" ht="16.05" customHeight="1" s="195">
      <c r="A8" s="105" t="n">
        <v>4</v>
      </c>
      <c r="B8" s="106" t="inlineStr">
        <is>
          <t>Gallardo Ivan</t>
        </is>
      </c>
      <c r="C8" s="105" t="n">
        <v>4</v>
      </c>
      <c r="D8" s="106" t="inlineStr">
        <is>
          <t xml:space="preserve">Gallardo Alvaro </t>
        </is>
      </c>
      <c r="E8" s="105" t="n">
        <v>4</v>
      </c>
      <c r="F8" s="106" t="inlineStr">
        <is>
          <t>Carrera Meliza</t>
        </is>
      </c>
    </row>
    <row r="9" ht="16.05" customHeight="1" s="195">
      <c r="A9" s="103" t="n">
        <v>5</v>
      </c>
      <c r="B9" s="104" t="inlineStr">
        <is>
          <t xml:space="preserve">Gallardo Maritzenia </t>
        </is>
      </c>
      <c r="C9" s="103" t="n">
        <v>5</v>
      </c>
      <c r="D9" s="104" t="inlineStr">
        <is>
          <t>Gallardo Cornelio</t>
        </is>
      </c>
      <c r="E9" s="103" t="n">
        <v>5</v>
      </c>
      <c r="F9" s="104" t="inlineStr">
        <is>
          <t xml:space="preserve">Case Noriel </t>
        </is>
      </c>
    </row>
    <row r="10" ht="16.05" customHeight="1" s="195">
      <c r="A10" s="105" t="n">
        <v>6</v>
      </c>
      <c r="B10" s="106" t="inlineStr">
        <is>
          <t>Guerra Maria</t>
        </is>
      </c>
      <c r="C10" s="105" t="n">
        <v>6</v>
      </c>
      <c r="D10" s="106" t="inlineStr">
        <is>
          <t>Gallardo Doritza</t>
        </is>
      </c>
      <c r="E10" s="105" t="n">
        <v>6</v>
      </c>
      <c r="F10" s="106" t="inlineStr">
        <is>
          <t>Cire Marina</t>
        </is>
      </c>
    </row>
    <row r="11" ht="16.05" customHeight="1" s="195">
      <c r="A11" s="103" t="n">
        <v>7</v>
      </c>
      <c r="B11" s="104" t="inlineStr">
        <is>
          <t>Guerra Yanelis</t>
        </is>
      </c>
      <c r="C11" s="103" t="n">
        <v>7</v>
      </c>
      <c r="D11" s="104" t="inlineStr">
        <is>
          <t>Gallardo Henry</t>
        </is>
      </c>
      <c r="E11" s="103" t="n">
        <v>7</v>
      </c>
      <c r="F11" s="104" t="inlineStr">
        <is>
          <t xml:space="preserve">Cire Saul </t>
        </is>
      </c>
    </row>
    <row r="12" ht="16.05" customHeight="1" s="195">
      <c r="A12" s="105" t="n">
        <v>8</v>
      </c>
      <c r="B12" s="106" t="inlineStr">
        <is>
          <t>Javilla Manuel</t>
        </is>
      </c>
      <c r="C12" s="105" t="n">
        <v>8</v>
      </c>
      <c r="D12" s="106" t="inlineStr">
        <is>
          <t xml:space="preserve">Gallardo Yaquelin </t>
        </is>
      </c>
      <c r="E12" s="105" t="n">
        <v>8</v>
      </c>
      <c r="F12" s="106" t="inlineStr">
        <is>
          <t>Fuentes Isabela</t>
        </is>
      </c>
    </row>
    <row r="13" ht="16.05" customHeight="1" s="195">
      <c r="A13" s="103" t="n">
        <v>9</v>
      </c>
      <c r="B13" s="104" t="inlineStr">
        <is>
          <t>Jiménez Hernan</t>
        </is>
      </c>
      <c r="C13" s="103" t="n">
        <v>9</v>
      </c>
      <c r="D13" s="104" t="inlineStr">
        <is>
          <t>Jimenez Abner</t>
        </is>
      </c>
      <c r="E13" s="103" t="n">
        <v>9</v>
      </c>
      <c r="F13" s="104" t="inlineStr">
        <is>
          <t>Garcia Kimberly</t>
        </is>
      </c>
    </row>
    <row r="14" ht="16.05" customHeight="1" s="195">
      <c r="A14" s="105" t="n">
        <v>10</v>
      </c>
      <c r="B14" s="106" t="inlineStr">
        <is>
          <t xml:space="preserve">Montero Rebeca </t>
        </is>
      </c>
      <c r="C14" s="105" t="n">
        <v>10</v>
      </c>
      <c r="D14" s="106" t="inlineStr">
        <is>
          <t>Jimenez Jancarlo</t>
        </is>
      </c>
      <c r="E14" s="105" t="n">
        <v>10</v>
      </c>
      <c r="F14" s="106" t="inlineStr">
        <is>
          <t>Guerra Yeni</t>
        </is>
      </c>
    </row>
    <row r="15" ht="16.05" customHeight="1" s="195">
      <c r="A15" s="103" t="n">
        <v>11</v>
      </c>
      <c r="B15" s="104" t="inlineStr">
        <is>
          <t>Pinto Arasely</t>
        </is>
      </c>
      <c r="C15" s="103" t="n">
        <v>11</v>
      </c>
      <c r="D15" s="104" t="inlineStr">
        <is>
          <t>Mariano Herenia</t>
        </is>
      </c>
      <c r="E15" s="103" t="n">
        <v>11</v>
      </c>
      <c r="F15" s="104" t="inlineStr">
        <is>
          <t>Jimenez Orlando</t>
        </is>
      </c>
    </row>
    <row r="16" ht="16.05" customHeight="1" s="195">
      <c r="A16" s="105" t="n">
        <v>12</v>
      </c>
      <c r="B16" s="106" t="inlineStr">
        <is>
          <t>Pinto Elodia</t>
        </is>
      </c>
      <c r="C16" s="105" t="n">
        <v>12</v>
      </c>
      <c r="D16" s="106" t="inlineStr">
        <is>
          <t>Montezuma Edison</t>
        </is>
      </c>
      <c r="E16" s="105" t="n">
        <v>12</v>
      </c>
      <c r="F16" s="106" t="inlineStr">
        <is>
          <t>Jimenez YanCarlos</t>
        </is>
      </c>
    </row>
    <row r="17" ht="16.05" customHeight="1" s="195">
      <c r="A17" s="103" t="n">
        <v>13</v>
      </c>
      <c r="B17" s="104" t="inlineStr">
        <is>
          <t>Pinto Olmerys</t>
        </is>
      </c>
      <c r="C17" s="103" t="n">
        <v>13</v>
      </c>
      <c r="D17" s="104" t="inlineStr">
        <is>
          <t>Pinto Domilka</t>
        </is>
      </c>
      <c r="E17" s="103" t="n">
        <v>13</v>
      </c>
      <c r="F17" s="104" t="inlineStr">
        <is>
          <t>Montero César</t>
        </is>
      </c>
    </row>
    <row r="18" ht="16.05" customHeight="1" s="195">
      <c r="A18" s="105" t="n">
        <v>14</v>
      </c>
      <c r="B18" s="106" t="inlineStr">
        <is>
          <t xml:space="preserve">Pinto Yarelys </t>
        </is>
      </c>
      <c r="C18" s="105" t="n">
        <v>14</v>
      </c>
      <c r="D18" s="106" t="inlineStr">
        <is>
          <t xml:space="preserve">Pinto Miguel </t>
        </is>
      </c>
      <c r="E18" s="105" t="n">
        <v>14</v>
      </c>
      <c r="F18" s="106" t="inlineStr">
        <is>
          <t>Pinto Deiny</t>
        </is>
      </c>
    </row>
    <row r="19" ht="16.05" customHeight="1" s="195">
      <c r="A19" s="103" t="n">
        <v>15</v>
      </c>
      <c r="B19" s="104" t="inlineStr">
        <is>
          <t>Saldaña Leida</t>
        </is>
      </c>
      <c r="C19" s="103" t="n">
        <v>15</v>
      </c>
      <c r="D19" s="104" t="inlineStr">
        <is>
          <t>Pinto Mixila</t>
        </is>
      </c>
      <c r="E19" s="103" t="n">
        <v>15</v>
      </c>
      <c r="F19" s="104" t="inlineStr">
        <is>
          <t xml:space="preserve">Pinto Ezequiel </t>
        </is>
      </c>
    </row>
    <row r="20" ht="16.05" customHeight="1" s="195">
      <c r="A20" s="105" t="n">
        <v>16</v>
      </c>
      <c r="B20" s="106" t="inlineStr">
        <is>
          <t>Salina Evelin</t>
        </is>
      </c>
      <c r="C20" s="105" t="n">
        <v>16</v>
      </c>
      <c r="D20" s="106" t="inlineStr">
        <is>
          <t xml:space="preserve">Pinto Pedro </t>
        </is>
      </c>
      <c r="E20" s="105" t="n">
        <v>16</v>
      </c>
      <c r="F20" s="106" t="inlineStr">
        <is>
          <t>Pinto Neptali</t>
        </is>
      </c>
    </row>
    <row r="21" ht="16.05" customHeight="1" s="195">
      <c r="A21" s="103" t="n">
        <v>17</v>
      </c>
      <c r="B21" s="104" t="inlineStr">
        <is>
          <t>Santo Eligio</t>
        </is>
      </c>
      <c r="C21" s="103" t="n">
        <v>17</v>
      </c>
      <c r="D21" s="104" t="inlineStr">
        <is>
          <t>Pinto Rossibell</t>
        </is>
      </c>
      <c r="E21" s="103" t="n">
        <v>17</v>
      </c>
      <c r="F21" s="104" t="inlineStr">
        <is>
          <t>Pintos Minerva</t>
        </is>
      </c>
    </row>
    <row r="22" ht="16.05" customHeight="1" s="195">
      <c r="A22" s="105" t="n">
        <v>18</v>
      </c>
      <c r="B22" s="106" t="inlineStr">
        <is>
          <t xml:space="preserve">Santos Emilyz </t>
        </is>
      </c>
      <c r="C22" s="105" t="n">
        <v>18</v>
      </c>
      <c r="D22" s="106" t="inlineStr">
        <is>
          <t>Pionto Lideyka</t>
        </is>
      </c>
      <c r="E22" s="105" t="n">
        <v>18</v>
      </c>
      <c r="F22" s="106" t="inlineStr">
        <is>
          <t>Prado Aris</t>
        </is>
      </c>
    </row>
    <row r="23" ht="16.05" customHeight="1" s="195">
      <c r="A23" s="103" t="n">
        <v>19</v>
      </c>
      <c r="B23" s="104" t="inlineStr">
        <is>
          <t>Santos Madelen</t>
        </is>
      </c>
      <c r="C23" s="103" t="n">
        <v>19</v>
      </c>
      <c r="D23" s="104" t="inlineStr">
        <is>
          <t>Salina Ana Maria</t>
        </is>
      </c>
      <c r="E23" s="103" t="n">
        <v>19</v>
      </c>
      <c r="F23" s="104" t="inlineStr">
        <is>
          <t>Prado Noriel</t>
        </is>
      </c>
    </row>
    <row r="24" ht="16.05" customHeight="1" s="195">
      <c r="A24" s="105" t="n">
        <v>20</v>
      </c>
      <c r="B24" s="106" t="inlineStr">
        <is>
          <t>Santos Nataly</t>
        </is>
      </c>
      <c r="C24" s="105" t="n">
        <v>20</v>
      </c>
      <c r="D24" s="106" t="inlineStr">
        <is>
          <t>Salina Aureliano</t>
        </is>
      </c>
      <c r="E24" s="105" t="n">
        <v>20</v>
      </c>
      <c r="F24" s="106" t="inlineStr">
        <is>
          <t>Rodriguez Carmen</t>
        </is>
      </c>
    </row>
    <row r="25" ht="16.05" customHeight="1" s="195">
      <c r="A25" s="103" t="n">
        <v>21</v>
      </c>
      <c r="B25" s="104" t="inlineStr">
        <is>
          <t>Santos Yulisa</t>
        </is>
      </c>
      <c r="C25" s="103" t="n">
        <v>21</v>
      </c>
      <c r="D25" s="104" t="inlineStr">
        <is>
          <t>Santo David</t>
        </is>
      </c>
      <c r="E25" s="103" t="n">
        <v>21</v>
      </c>
      <c r="F25" s="104" t="inlineStr">
        <is>
          <t>Rodriguez Yeylin</t>
        </is>
      </c>
    </row>
    <row r="26" ht="16.05" customHeight="1" s="195">
      <c r="A26" s="105" t="n">
        <v>22</v>
      </c>
      <c r="B26" s="106" t="inlineStr">
        <is>
          <t>Tugri Clemente - Se lo llevaron</t>
        </is>
      </c>
      <c r="C26" s="105" t="n">
        <v>22</v>
      </c>
      <c r="D26" s="106" t="inlineStr">
        <is>
          <t>Santo Dionisia</t>
        </is>
      </c>
      <c r="E26" s="105" t="n">
        <v>22</v>
      </c>
      <c r="F26" s="106" t="inlineStr">
        <is>
          <t>Salina Herminio</t>
        </is>
      </c>
    </row>
    <row r="27" ht="16.05" customHeight="1" s="195">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95">
      <c r="A28" s="105" t="n">
        <v>24</v>
      </c>
      <c r="B28" s="106" t="inlineStr">
        <is>
          <t>Venado Viir Kenedy</t>
        </is>
      </c>
      <c r="C28" s="105" t="n">
        <v>24</v>
      </c>
      <c r="D28" s="106" t="inlineStr">
        <is>
          <t xml:space="preserve">Santo Ivandenfilio </t>
        </is>
      </c>
      <c r="E28" s="105" t="n">
        <v>24</v>
      </c>
      <c r="F28" s="106" t="inlineStr">
        <is>
          <t>Santo Edwin</t>
        </is>
      </c>
    </row>
    <row r="29" ht="16.05" customHeight="1" s="195">
      <c r="A29" s="103" t="n">
        <v>25</v>
      </c>
      <c r="B29" s="104" t="inlineStr">
        <is>
          <t>Zurdo Luz Dairis</t>
        </is>
      </c>
      <c r="C29" s="103" t="n">
        <v>25</v>
      </c>
      <c r="D29" s="104" t="inlineStr">
        <is>
          <t>Santo Roxana</t>
        </is>
      </c>
      <c r="E29" s="103" t="n">
        <v>25</v>
      </c>
      <c r="F29" s="104" t="inlineStr">
        <is>
          <t>Santo Yuliana</t>
        </is>
      </c>
    </row>
    <row r="30" ht="16.05" customHeight="1" s="195">
      <c r="A30" s="105" t="n">
        <v>26</v>
      </c>
      <c r="B30" s="106" t="n"/>
      <c r="C30" s="105" t="n">
        <v>26</v>
      </c>
      <c r="D30" s="106" t="inlineStr">
        <is>
          <t>Santo Yuliana</t>
        </is>
      </c>
      <c r="E30" s="105" t="n">
        <v>26</v>
      </c>
      <c r="F30" s="106" t="inlineStr">
        <is>
          <t>Santos Camila</t>
        </is>
      </c>
    </row>
    <row r="31" ht="16.05" customHeight="1" s="195">
      <c r="A31" s="103" t="n">
        <v>27</v>
      </c>
      <c r="B31" s="104" t="n"/>
      <c r="C31" s="103" t="n">
        <v>27</v>
      </c>
      <c r="D31" s="104" t="inlineStr">
        <is>
          <t>Santo Zaira</t>
        </is>
      </c>
      <c r="E31" s="103" t="n">
        <v>27</v>
      </c>
      <c r="F31" s="104" t="inlineStr">
        <is>
          <t>Santos Daylin</t>
        </is>
      </c>
    </row>
    <row r="32" ht="16.05" customHeight="1" s="195">
      <c r="A32" s="105" t="n">
        <v>28</v>
      </c>
      <c r="B32" s="106" t="n"/>
      <c r="C32" s="105" t="n">
        <v>28</v>
      </c>
      <c r="D32" s="106" t="inlineStr">
        <is>
          <t>Santos Dalila</t>
        </is>
      </c>
      <c r="E32" s="105" t="n">
        <v>28</v>
      </c>
      <c r="F32" s="106" t="inlineStr">
        <is>
          <t>Santos Diomedes</t>
        </is>
      </c>
    </row>
    <row r="33" ht="16.05" customHeight="1" s="195">
      <c r="A33" s="103" t="n">
        <v>29</v>
      </c>
      <c r="B33" s="104" t="n"/>
      <c r="C33" s="103" t="n">
        <v>29</v>
      </c>
      <c r="D33" s="104" t="inlineStr">
        <is>
          <t xml:space="preserve">Santos Ermenegildo </t>
        </is>
      </c>
      <c r="E33" s="103" t="n">
        <v>29</v>
      </c>
      <c r="F33" s="104" t="inlineStr">
        <is>
          <t>Santos Elvin</t>
        </is>
      </c>
    </row>
    <row r="34" ht="16.05" customHeight="1" s="195">
      <c r="A34" s="105" t="n">
        <v>30</v>
      </c>
      <c r="B34" s="106" t="n"/>
      <c r="C34" s="105" t="n">
        <v>30</v>
      </c>
      <c r="D34" s="106" t="inlineStr">
        <is>
          <t xml:space="preserve">Santos Kerlyn </t>
        </is>
      </c>
      <c r="E34" s="105" t="n">
        <v>30</v>
      </c>
      <c r="F34" s="106" t="inlineStr">
        <is>
          <t xml:space="preserve">Santos Evelyn </t>
        </is>
      </c>
    </row>
    <row r="35" ht="16.05" customHeight="1" s="195">
      <c r="A35" s="103" t="n">
        <v>31</v>
      </c>
      <c r="B35" s="104" t="n"/>
      <c r="C35" s="103" t="n">
        <v>31</v>
      </c>
      <c r="D35" s="104" t="inlineStr">
        <is>
          <t>Santos Yosenith</t>
        </is>
      </c>
      <c r="E35" s="103" t="n">
        <v>31</v>
      </c>
      <c r="F35" s="104" t="inlineStr">
        <is>
          <t>Santos Fidel</t>
        </is>
      </c>
    </row>
    <row r="36" ht="16.05" customHeight="1" s="195">
      <c r="A36" s="105" t="n">
        <v>32</v>
      </c>
      <c r="B36" s="106" t="n"/>
      <c r="C36" s="105" t="n">
        <v>32</v>
      </c>
      <c r="D36" s="106" t="n"/>
      <c r="E36" s="105" t="n">
        <v>32</v>
      </c>
      <c r="F36" s="106" t="inlineStr">
        <is>
          <t>Santos Henry</t>
        </is>
      </c>
    </row>
    <row r="37" ht="16.05" customHeight="1" s="195">
      <c r="A37" s="103" t="n">
        <v>33</v>
      </c>
      <c r="B37" s="104" t="n"/>
      <c r="C37" s="103" t="n">
        <v>33</v>
      </c>
      <c r="D37" s="104" t="n"/>
      <c r="E37" s="103" t="n">
        <v>33</v>
      </c>
      <c r="F37" s="104" t="inlineStr">
        <is>
          <t>Santos Metdy</t>
        </is>
      </c>
    </row>
    <row r="38" ht="16.05" customHeight="1" s="195">
      <c r="A38" s="105" t="n">
        <v>34</v>
      </c>
      <c r="B38" s="106" t="n"/>
      <c r="C38" s="105" t="n">
        <v>34</v>
      </c>
      <c r="D38" s="106" t="n"/>
      <c r="E38" s="105" t="n">
        <v>34</v>
      </c>
      <c r="F38" s="106" t="inlineStr">
        <is>
          <t>Santos Mitzila</t>
        </is>
      </c>
    </row>
    <row r="39" ht="16.05" customHeight="1" s="195">
      <c r="A39" s="103" t="n">
        <v>35</v>
      </c>
      <c r="B39" s="104" t="n"/>
      <c r="C39" s="103" t="n">
        <v>35</v>
      </c>
      <c r="D39" s="104" t="n"/>
      <c r="E39" s="103" t="n">
        <v>35</v>
      </c>
      <c r="F39" s="104" t="inlineStr">
        <is>
          <t>Santos Omar</t>
        </is>
      </c>
    </row>
    <row r="40" ht="16.05" customHeight="1" s="195">
      <c r="A40" s="105" t="n">
        <v>36</v>
      </c>
      <c r="B40" s="106" t="n"/>
      <c r="C40" s="105" t="n">
        <v>36</v>
      </c>
      <c r="D40" s="106" t="n"/>
      <c r="E40" s="105" t="n">
        <v>36</v>
      </c>
      <c r="F40" s="106" t="inlineStr">
        <is>
          <t>Watson Edgar</t>
        </is>
      </c>
    </row>
    <row r="41" ht="16.05" customHeight="1" s="195">
      <c r="A41" s="103" t="n">
        <v>37</v>
      </c>
      <c r="B41" s="104" t="n"/>
      <c r="C41" s="103" t="n">
        <v>37</v>
      </c>
      <c r="D41" s="104" t="n"/>
      <c r="E41" s="103" t="n">
        <v>37</v>
      </c>
      <c r="F41" s="104" t="n"/>
    </row>
    <row r="42" ht="16.05" customHeight="1" s="195">
      <c r="A42" s="105" t="n">
        <v>38</v>
      </c>
      <c r="B42" s="106" t="n"/>
      <c r="C42" s="105" t="n">
        <v>38</v>
      </c>
      <c r="D42" s="106" t="n"/>
      <c r="E42" s="105" t="n">
        <v>38</v>
      </c>
      <c r="F42" s="106" t="n"/>
    </row>
    <row r="43" ht="16.05" customHeight="1" s="195">
      <c r="A43" s="103" t="n">
        <v>39</v>
      </c>
      <c r="B43" s="104" t="n"/>
      <c r="C43" s="103" t="n">
        <v>39</v>
      </c>
      <c r="D43" s="104" t="n"/>
      <c r="E43" s="103" t="n">
        <v>39</v>
      </c>
      <c r="F43" s="104" t="n"/>
    </row>
    <row r="44" ht="16.05" customHeight="1" s="195">
      <c r="A44" s="105" t="n">
        <v>40</v>
      </c>
      <c r="B44" s="106" t="n"/>
      <c r="C44" s="105" t="n">
        <v>40</v>
      </c>
      <c r="D44" s="106" t="n"/>
      <c r="E44" s="105" t="n">
        <v>40</v>
      </c>
      <c r="F44" s="106" t="n"/>
    </row>
    <row r="46">
      <c r="A46" s="224"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95" min="1" max="1"/>
    <col width="45.77734375" customWidth="1" style="195" min="2" max="2"/>
    <col width="28" customWidth="1" style="195" min="3" max="3"/>
    <col width="18.77734375" customWidth="1" style="195" min="4" max="5"/>
    <col width="10" customWidth="1" style="195" min="6" max="6"/>
    <col width="20.77734375" customWidth="1" style="195" min="7" max="8"/>
  </cols>
  <sheetData>
    <row r="1" ht="30" customHeight="1" s="195">
      <c r="A1" s="231" t="inlineStr">
        <is>
          <t>DASHBOARD ACADEMICO</t>
        </is>
      </c>
    </row>
    <row r="2" ht="13.95" customHeight="1" s="195">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5">
      <c r="A4" s="163" t="n"/>
      <c r="B4" s="163" t="n"/>
      <c r="C4" s="163" t="n"/>
      <c r="D4" s="163" t="n"/>
      <c r="E4" s="163" t="n"/>
      <c r="F4" s="163" t="n"/>
      <c r="G4" s="163" t="n"/>
      <c r="H4" s="163" t="n"/>
      <c r="I4" s="163" t="n"/>
      <c r="J4" s="163" t="n"/>
      <c r="K4" s="163" t="n"/>
      <c r="L4" s="163" t="n"/>
      <c r="M4" s="163" t="n"/>
      <c r="N4" s="163" t="n"/>
      <c r="O4" s="235" t="n"/>
      <c r="Q4" s="227" t="n"/>
    </row>
    <row r="5" ht="18" customHeight="1" s="195">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5">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5">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5">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5">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5">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5">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5">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5">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5">
      <c r="A16" s="230" t="n"/>
      <c r="I16" s="163" t="n"/>
      <c r="J16" s="163" t="n"/>
      <c r="K16" s="163" t="n"/>
      <c r="L16" s="163" t="n"/>
      <c r="M16" s="163" t="n"/>
      <c r="N16" s="163" t="n"/>
      <c r="O16" s="235" t="n"/>
      <c r="P16" s="235" t="n"/>
      <c r="Q16" s="235" t="n"/>
      <c r="R16" s="227" t="n"/>
    </row>
    <row r="17" ht="18" customHeight="1" s="195">
      <c r="I17" s="163" t="n"/>
      <c r="J17" s="163" t="n"/>
      <c r="K17" s="163" t="n"/>
      <c r="L17" s="163" t="n"/>
      <c r="M17" s="163" t="n"/>
      <c r="N17" s="163" t="n"/>
    </row>
    <row r="18" ht="13.95" customHeight="1" s="195">
      <c r="I18" s="163" t="n"/>
      <c r="J18" s="163" t="n"/>
      <c r="K18" s="163" t="n"/>
      <c r="L18" s="163" t="n"/>
      <c r="M18" s="163" t="n"/>
      <c r="N18" s="163" t="n"/>
    </row>
    <row r="19" ht="13.95" customHeight="1" s="195">
      <c r="A19" s="163" t="n"/>
      <c r="B19" s="163" t="n"/>
      <c r="C19" s="163" t="n"/>
      <c r="D19" s="163" t="n"/>
      <c r="E19" s="163" t="n"/>
      <c r="F19" s="163" t="n"/>
      <c r="G19" s="163" t="n"/>
      <c r="H19" s="163" t="n"/>
      <c r="I19" s="163" t="n"/>
      <c r="J19" s="163" t="n"/>
      <c r="K19" s="163" t="n"/>
      <c r="L19" s="163" t="n"/>
      <c r="M19" s="163" t="n"/>
      <c r="N19" s="163" t="n"/>
    </row>
    <row r="20" ht="13.95" customHeight="1" s="195">
      <c r="A20" s="163" t="n"/>
      <c r="B20" s="163" t="n"/>
      <c r="C20" s="163" t="n"/>
      <c r="D20" s="163" t="n"/>
      <c r="E20" s="163" t="n"/>
      <c r="F20" s="163" t="n"/>
      <c r="G20" s="163" t="n"/>
      <c r="H20" s="163" t="n"/>
      <c r="I20" s="163" t="n"/>
      <c r="J20" s="163" t="n"/>
      <c r="K20" s="163" t="n"/>
      <c r="L20" s="163" t="n"/>
      <c r="M20" s="163" t="n"/>
      <c r="N20" s="163" t="n"/>
    </row>
    <row r="21" ht="13.95" customHeight="1" s="195">
      <c r="A21" s="163" t="n"/>
      <c r="B21" s="163" t="n"/>
      <c r="C21" s="163" t="n"/>
      <c r="D21" s="163" t="n"/>
      <c r="E21" s="163" t="n"/>
      <c r="F21" s="163" t="n"/>
      <c r="G21" s="163" t="n"/>
      <c r="H21" s="163" t="n"/>
      <c r="I21" s="163" t="n"/>
      <c r="J21" s="163" t="n"/>
      <c r="K21" s="163" t="n"/>
      <c r="L21" s="163" t="n"/>
      <c r="M21" s="163" t="n"/>
      <c r="N21" s="163" t="n"/>
    </row>
    <row r="22" ht="13.95" customHeight="1" s="195">
      <c r="A22" s="163" t="n"/>
      <c r="B22" s="163" t="n"/>
      <c r="C22" s="163" t="n"/>
      <c r="D22" s="163" t="n"/>
      <c r="E22" s="163" t="n"/>
      <c r="F22" s="163" t="n"/>
      <c r="G22" s="163" t="n"/>
      <c r="H22" s="163" t="n"/>
      <c r="I22" s="163" t="n"/>
      <c r="J22" s="163" t="n"/>
      <c r="K22" s="163" t="n"/>
      <c r="L22" s="163" t="n"/>
      <c r="M22" s="163" t="n"/>
      <c r="N22" s="163" t="n"/>
    </row>
    <row r="23" ht="13.95" customHeight="1" s="195">
      <c r="A23" s="163" t="n"/>
      <c r="B23" s="163" t="n"/>
      <c r="C23" s="163" t="n"/>
      <c r="D23" s="163" t="n"/>
      <c r="E23" s="163" t="n"/>
      <c r="F23" s="163" t="n"/>
      <c r="G23" s="163" t="n"/>
      <c r="H23" s="163" t="n"/>
      <c r="I23" s="163" t="n"/>
      <c r="J23" s="163" t="n"/>
      <c r="K23" s="163" t="n"/>
      <c r="L23" s="163" t="n"/>
      <c r="M23" s="163" t="n"/>
      <c r="N23" s="163" t="n"/>
    </row>
    <row r="24" ht="13.95" customHeight="1" s="195">
      <c r="A24" s="163" t="n"/>
      <c r="B24" s="163" t="n"/>
      <c r="C24" s="163" t="n"/>
      <c r="D24" s="163" t="n"/>
      <c r="E24" s="163" t="n"/>
      <c r="F24" s="163" t="n"/>
      <c r="G24" s="163" t="n"/>
      <c r="H24" s="163" t="n"/>
      <c r="I24" s="163" t="n"/>
      <c r="J24" s="163" t="n"/>
      <c r="K24" s="163" t="n"/>
      <c r="L24" s="163" t="n"/>
      <c r="M24" s="163" t="n"/>
      <c r="N24" s="163" t="n"/>
    </row>
    <row r="25" ht="13.95" customHeight="1" s="195">
      <c r="A25" s="163" t="n"/>
      <c r="B25" s="163" t="n"/>
      <c r="C25" s="163" t="n"/>
      <c r="D25" s="163" t="n"/>
      <c r="E25" s="163" t="n"/>
      <c r="F25" s="163" t="n"/>
      <c r="G25" s="163" t="n"/>
      <c r="H25" s="163" t="n"/>
      <c r="I25" s="163" t="n"/>
      <c r="J25" s="163" t="n"/>
      <c r="K25" s="163" t="n"/>
      <c r="L25" s="163" t="n"/>
      <c r="M25" s="163" t="n"/>
      <c r="N25" s="163" t="n"/>
    </row>
    <row r="26" ht="13.95" customHeight="1" s="195">
      <c r="A26" s="163" t="n"/>
      <c r="B26" s="163" t="n"/>
      <c r="C26" s="163" t="n"/>
      <c r="D26" s="163" t="n"/>
      <c r="E26" s="163" t="n"/>
      <c r="F26" s="163" t="n"/>
      <c r="G26" s="163" t="n"/>
      <c r="H26" s="163" t="n"/>
      <c r="I26" s="163" t="n"/>
      <c r="J26" s="163" t="n"/>
      <c r="K26" s="163" t="n"/>
      <c r="L26" s="163" t="n"/>
      <c r="M26" s="163" t="n"/>
      <c r="N26" s="163" t="n"/>
    </row>
    <row r="27" ht="13.95" customHeight="1" s="195">
      <c r="A27" s="163" t="n"/>
      <c r="B27" s="163" t="n"/>
      <c r="C27" s="163" t="n"/>
      <c r="D27" s="163" t="n"/>
      <c r="E27" s="163" t="n"/>
      <c r="F27" s="163" t="n"/>
      <c r="G27" s="163" t="n"/>
      <c r="H27" s="163" t="n"/>
      <c r="I27" s="163" t="n"/>
      <c r="J27" s="163" t="n"/>
      <c r="K27" s="163" t="n"/>
      <c r="L27" s="163" t="n"/>
      <c r="M27" s="163" t="n"/>
      <c r="N27" s="163" t="n"/>
    </row>
    <row r="28" ht="13.95" customHeight="1" s="195">
      <c r="A28" s="163" t="n"/>
      <c r="B28" s="163" t="n"/>
      <c r="C28" s="163" t="n"/>
      <c r="D28" s="163" t="n"/>
      <c r="E28" s="163" t="n"/>
      <c r="F28" s="163" t="n"/>
      <c r="G28" s="163" t="n"/>
      <c r="H28" s="163" t="n"/>
      <c r="I28" s="163" t="n"/>
      <c r="J28" s="163" t="n"/>
      <c r="K28" s="163" t="n"/>
      <c r="L28" s="163" t="n"/>
      <c r="M28" s="163" t="n"/>
      <c r="N28" s="163" t="n"/>
    </row>
    <row r="29" ht="13.95" customHeight="1" s="195">
      <c r="A29" s="163" t="n"/>
      <c r="B29" s="163" t="n"/>
      <c r="C29" s="163" t="n"/>
      <c r="D29" s="163" t="n"/>
      <c r="E29" s="163" t="n"/>
      <c r="F29" s="163" t="n"/>
      <c r="G29" s="163" t="n"/>
      <c r="H29" s="163" t="n"/>
      <c r="I29" s="163" t="n"/>
      <c r="J29" s="163" t="n"/>
      <c r="K29" s="163" t="n"/>
      <c r="L29" s="163" t="n"/>
      <c r="M29" s="163" t="n"/>
      <c r="N29" s="163" t="n"/>
    </row>
    <row r="30" ht="13.95" customHeight="1" s="195">
      <c r="A30" s="163" t="n"/>
      <c r="B30" s="163" t="n"/>
      <c r="C30" s="163" t="n"/>
      <c r="D30" s="163" t="n"/>
      <c r="E30" s="163" t="n"/>
      <c r="F30" s="163" t="n"/>
      <c r="G30" s="163" t="n"/>
      <c r="H30" s="163" t="n"/>
      <c r="I30" s="163" t="n"/>
      <c r="J30" s="163" t="n"/>
      <c r="K30" s="163" t="n"/>
      <c r="L30" s="163" t="n"/>
      <c r="M30" s="163" t="n"/>
      <c r="N30" s="163" t="n"/>
    </row>
    <row r="31" ht="13.95" customHeight="1" s="195">
      <c r="A31" s="163" t="n"/>
      <c r="B31" s="163" t="n"/>
      <c r="C31" s="163" t="n"/>
      <c r="D31" s="163" t="n"/>
      <c r="E31" s="163" t="n"/>
      <c r="F31" s="163" t="n"/>
      <c r="G31" s="163" t="n"/>
      <c r="H31" s="163" t="n"/>
      <c r="I31" s="163" t="n"/>
      <c r="J31" s="163" t="n"/>
      <c r="K31" s="163" t="n"/>
      <c r="L31" s="163" t="n"/>
      <c r="M31" s="163" t="n"/>
      <c r="N31" s="163" t="n"/>
    </row>
    <row r="32" ht="13.95" customHeight="1" s="195">
      <c r="A32" s="163" t="n"/>
      <c r="B32" s="163" t="n"/>
      <c r="C32" s="163" t="n"/>
      <c r="D32" s="163" t="n"/>
      <c r="E32" s="163" t="n"/>
      <c r="F32" s="163" t="n"/>
      <c r="G32" s="163" t="n"/>
      <c r="H32" s="163" t="n"/>
      <c r="I32" s="163" t="n"/>
      <c r="J32" s="163" t="n"/>
      <c r="K32" s="163" t="n"/>
      <c r="L32" s="163" t="n"/>
      <c r="M32" s="163" t="n"/>
      <c r="N32" s="163" t="n"/>
    </row>
    <row r="33" ht="13.95" customHeight="1" s="195">
      <c r="A33" s="163" t="n"/>
      <c r="B33" s="163" t="n"/>
      <c r="C33" s="163" t="n"/>
      <c r="D33" s="163" t="n"/>
      <c r="E33" s="163" t="n"/>
      <c r="F33" s="163" t="n"/>
      <c r="G33" s="163" t="n"/>
      <c r="H33" s="163" t="n"/>
      <c r="I33" s="163" t="n"/>
      <c r="J33" s="163" t="n"/>
      <c r="K33" s="163" t="n"/>
      <c r="L33" s="163" t="n"/>
      <c r="M33" s="163" t="n"/>
      <c r="N33" s="163" t="n"/>
    </row>
    <row r="34" ht="13.95" customHeight="1" s="195">
      <c r="A34" s="163" t="n"/>
      <c r="B34" s="163" t="n"/>
      <c r="C34" s="163" t="n"/>
      <c r="D34" s="163" t="n"/>
      <c r="E34" s="163" t="n"/>
      <c r="F34" s="163" t="n"/>
      <c r="G34" s="163" t="n"/>
      <c r="H34" s="163" t="n"/>
      <c r="I34" s="163" t="n"/>
      <c r="J34" s="163" t="n"/>
      <c r="K34" s="163" t="n"/>
      <c r="L34" s="163" t="n"/>
      <c r="M34" s="163" t="n"/>
      <c r="N34" s="163" t="n"/>
    </row>
    <row r="35" ht="13.95" customHeight="1" s="195">
      <c r="A35" s="163" t="n"/>
      <c r="B35" s="163" t="n"/>
      <c r="C35" s="163" t="n"/>
      <c r="D35" s="163" t="n"/>
      <c r="E35" s="163" t="n"/>
      <c r="F35" s="163" t="n"/>
      <c r="G35" s="163" t="n"/>
      <c r="H35" s="163" t="n"/>
      <c r="I35" s="163" t="n"/>
      <c r="J35" s="163" t="n"/>
      <c r="K35" s="163" t="n"/>
      <c r="L35" s="163" t="n"/>
      <c r="M35" s="163" t="n"/>
      <c r="N35" s="163" t="n"/>
    </row>
    <row r="36" ht="13.95" customHeight="1" s="195">
      <c r="A36" s="163" t="n"/>
      <c r="B36" s="163" t="n"/>
      <c r="C36" s="163" t="n"/>
      <c r="D36" s="163" t="n"/>
      <c r="E36" s="163" t="n"/>
      <c r="F36" s="163" t="n"/>
      <c r="G36" s="163" t="n"/>
      <c r="H36" s="163" t="n"/>
      <c r="I36" s="163" t="n"/>
      <c r="J36" s="163" t="n"/>
      <c r="K36" s="163" t="n"/>
      <c r="L36" s="163" t="n"/>
      <c r="M36" s="163" t="n"/>
      <c r="N36" s="163" t="n"/>
    </row>
    <row r="37" ht="13.95" customHeight="1" s="195">
      <c r="A37" s="163" t="n"/>
      <c r="B37" s="163" t="n"/>
      <c r="C37" s="163" t="n"/>
      <c r="D37" s="163" t="n"/>
      <c r="E37" s="163" t="n"/>
      <c r="F37" s="163" t="n"/>
      <c r="G37" s="163" t="n"/>
      <c r="H37" s="163" t="n"/>
      <c r="I37" s="163" t="n"/>
      <c r="J37" s="163" t="n"/>
      <c r="K37" s="163" t="n"/>
      <c r="L37" s="163" t="n"/>
      <c r="M37" s="163" t="n"/>
      <c r="N37" s="163" t="n"/>
    </row>
    <row r="38" ht="13.95" customHeight="1" s="195">
      <c r="A38" s="163" t="n"/>
      <c r="B38" s="163" t="n"/>
      <c r="C38" s="163" t="n"/>
      <c r="D38" s="163" t="n"/>
      <c r="E38" s="163" t="n"/>
      <c r="F38" s="163" t="n"/>
      <c r="G38" s="163" t="n"/>
      <c r="H38" s="163" t="n"/>
      <c r="I38" s="163" t="n"/>
      <c r="J38" s="163" t="n"/>
      <c r="K38" s="163" t="n"/>
      <c r="L38" s="163" t="n"/>
      <c r="M38" s="163" t="n"/>
      <c r="N38" s="163" t="n"/>
    </row>
    <row r="39" ht="13.95" customHeight="1" s="195">
      <c r="A39" s="163" t="n"/>
      <c r="B39" s="163" t="n"/>
      <c r="C39" s="163" t="n"/>
      <c r="D39" s="163" t="n"/>
      <c r="E39" s="163" t="n"/>
      <c r="F39" s="163" t="n"/>
      <c r="G39" s="163" t="n"/>
      <c r="H39" s="163" t="n"/>
      <c r="I39" s="163" t="n"/>
      <c r="J39" s="163" t="n"/>
      <c r="K39" s="163" t="n"/>
      <c r="L39" s="163" t="n"/>
      <c r="M39" s="163" t="n"/>
      <c r="N39" s="163" t="n"/>
    </row>
    <row r="40" ht="13.95" customHeight="1" s="195">
      <c r="A40" s="163" t="n"/>
      <c r="B40" s="163" t="n"/>
      <c r="C40" s="163" t="n"/>
      <c r="D40" s="163" t="n"/>
      <c r="E40" s="163" t="n"/>
      <c r="F40" s="163" t="n"/>
      <c r="G40" s="163" t="n"/>
      <c r="H40" s="163" t="n"/>
      <c r="I40" s="163" t="n"/>
      <c r="J40" s="163" t="n"/>
      <c r="K40" s="163" t="n"/>
      <c r="L40" s="163" t="n"/>
      <c r="M40" s="163" t="n"/>
      <c r="N40" s="163" t="n"/>
    </row>
    <row r="41" ht="13.95" customHeight="1" s="195">
      <c r="A41" s="163" t="n"/>
      <c r="B41" s="163" t="n"/>
      <c r="C41" s="163" t="n"/>
      <c r="D41" s="163" t="n"/>
      <c r="E41" s="163" t="n"/>
      <c r="F41" s="163" t="n"/>
      <c r="G41" s="163" t="n"/>
      <c r="H41" s="163" t="n"/>
      <c r="I41" s="163" t="n"/>
      <c r="J41" s="163" t="n"/>
      <c r="K41" s="163" t="n"/>
      <c r="L41" s="163" t="n"/>
      <c r="M41" s="163" t="n"/>
      <c r="N41" s="163" t="n"/>
    </row>
    <row r="42" ht="13.95" customHeight="1" s="195">
      <c r="A42" s="163" t="n"/>
      <c r="B42" s="163" t="n"/>
      <c r="C42" s="163" t="n"/>
      <c r="D42" s="163" t="n"/>
      <c r="E42" s="163" t="n"/>
      <c r="F42" s="163" t="n"/>
      <c r="G42" s="163" t="n"/>
      <c r="H42" s="163" t="n"/>
      <c r="I42" s="163" t="n"/>
      <c r="J42" s="163" t="n"/>
      <c r="K42" s="163" t="n"/>
      <c r="L42" s="163" t="n"/>
      <c r="M42" s="163" t="n"/>
      <c r="N42" s="163" t="n"/>
    </row>
    <row r="43" ht="13.95" customHeight="1" s="195">
      <c r="A43" s="163" t="n"/>
      <c r="B43" s="163" t="n"/>
      <c r="C43" s="163" t="n"/>
      <c r="D43" s="163" t="n"/>
      <c r="E43" s="163" t="n"/>
      <c r="F43" s="163" t="n"/>
      <c r="G43" s="163" t="n"/>
      <c r="H43" s="163" t="n"/>
      <c r="I43" s="163" t="n"/>
      <c r="J43" s="163" t="n"/>
      <c r="K43" s="163" t="n"/>
      <c r="L43" s="163" t="n"/>
      <c r="M43" s="163" t="n"/>
      <c r="N43" s="163" t="n"/>
    </row>
    <row r="44" ht="13.95" customHeight="1" s="195">
      <c r="A44" s="163" t="n"/>
      <c r="B44" s="163" t="n"/>
      <c r="C44" s="163" t="n"/>
      <c r="D44" s="163" t="n"/>
      <c r="E44" s="163" t="n"/>
      <c r="F44" s="163" t="n"/>
      <c r="G44" s="163" t="n"/>
      <c r="H44" s="163" t="n"/>
      <c r="I44" s="163" t="n"/>
      <c r="J44" s="163" t="n"/>
      <c r="K44" s="163" t="n"/>
      <c r="L44" s="163" t="n"/>
      <c r="M44" s="163" t="n"/>
      <c r="N44" s="163" t="n"/>
    </row>
    <row r="45" ht="13.95" customHeight="1" s="195">
      <c r="A45" s="163" t="n"/>
      <c r="B45" s="163" t="n"/>
      <c r="C45" s="163" t="n"/>
      <c r="D45" s="163" t="n"/>
      <c r="E45" s="163" t="n"/>
      <c r="F45" s="163" t="n"/>
      <c r="G45" s="163" t="n"/>
      <c r="H45" s="163" t="n"/>
      <c r="I45" s="163" t="n"/>
      <c r="J45" s="163" t="n"/>
      <c r="K45" s="163" t="n"/>
      <c r="L45" s="163" t="n"/>
      <c r="M45" s="163" t="n"/>
      <c r="N45" s="163" t="n"/>
    </row>
    <row r="46" ht="13.95" customHeight="1" s="195">
      <c r="A46" s="163" t="n"/>
      <c r="B46" s="163" t="n"/>
      <c r="C46" s="163" t="n"/>
      <c r="D46" s="163" t="n"/>
      <c r="E46" s="163" t="n"/>
      <c r="F46" s="163" t="n"/>
      <c r="G46" s="163" t="n"/>
      <c r="H46" s="163" t="n"/>
      <c r="I46" s="163" t="n"/>
      <c r="J46" s="163" t="n"/>
      <c r="K46" s="163" t="n"/>
      <c r="L46" s="163" t="n"/>
      <c r="M46" s="163" t="n"/>
      <c r="N46" s="163" t="n"/>
    </row>
    <row r="47" ht="13.95" customHeight="1" s="195">
      <c r="A47" s="163" t="n"/>
      <c r="B47" s="163" t="n"/>
      <c r="C47" s="163" t="n"/>
      <c r="D47" s="163" t="n"/>
      <c r="E47" s="163" t="n"/>
      <c r="F47" s="163" t="n"/>
      <c r="G47" s="163" t="n"/>
      <c r="H47" s="163" t="n"/>
      <c r="I47" s="163" t="n"/>
      <c r="J47" s="163" t="n"/>
      <c r="K47" s="163" t="n"/>
      <c r="L47" s="163" t="n"/>
      <c r="M47" s="163" t="n"/>
      <c r="N47" s="163" t="n"/>
    </row>
    <row r="48" ht="13.95" customHeight="1" s="195">
      <c r="A48" s="163" t="n"/>
      <c r="B48" s="163" t="n"/>
      <c r="C48" s="163" t="n"/>
      <c r="D48" s="163" t="n"/>
      <c r="E48" s="163" t="n"/>
      <c r="F48" s="163" t="n"/>
      <c r="G48" s="163" t="n"/>
      <c r="H48" s="163" t="n"/>
      <c r="I48" s="163" t="n"/>
      <c r="J48" s="163" t="n"/>
      <c r="K48" s="163" t="n"/>
      <c r="L48" s="163" t="n"/>
      <c r="M48" s="163" t="n"/>
      <c r="N48" s="163" t="n"/>
    </row>
    <row r="49" ht="13.95" customHeight="1" s="195">
      <c r="A49" s="163" t="n"/>
      <c r="B49" s="163" t="n"/>
      <c r="C49" s="163" t="n"/>
      <c r="D49" s="163" t="n"/>
      <c r="E49" s="163" t="n"/>
      <c r="F49" s="163" t="n"/>
      <c r="G49" s="163" t="n"/>
      <c r="H49" s="163" t="n"/>
      <c r="I49" s="163" t="n"/>
      <c r="J49" s="163" t="n"/>
      <c r="K49" s="163" t="n"/>
      <c r="L49" s="163" t="n"/>
      <c r="M49" s="163" t="n"/>
      <c r="N49" s="163" t="n"/>
    </row>
    <row r="50" ht="13.95" customHeight="1" s="195">
      <c r="A50" s="163" t="n"/>
      <c r="B50" s="163" t="n"/>
      <c r="C50" s="163" t="n"/>
      <c r="D50" s="163" t="n"/>
      <c r="E50" s="163" t="n"/>
      <c r="F50" s="163" t="n"/>
      <c r="G50" s="163" t="n"/>
      <c r="H50" s="163" t="n"/>
      <c r="I50" s="163" t="n"/>
      <c r="J50" s="163" t="n"/>
      <c r="K50" s="163" t="n"/>
      <c r="L50" s="163" t="n"/>
      <c r="M50" s="163" t="n"/>
      <c r="N50" s="163" t="n"/>
    </row>
    <row r="51" ht="13.95" customHeight="1" s="195">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5">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5">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5">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5">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5">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5">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5">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5">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5">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5">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5">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5">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5">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5">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5">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5">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5">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5">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5">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5">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5">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5">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5">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5">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5">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5">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5">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5">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5">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5">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5">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5">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5">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5">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5">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5">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5">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5">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5">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5">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5">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5">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5">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5">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5">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5">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5">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5">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5">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5">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5">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5">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5">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5">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5">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5">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5">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5">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5">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5">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5">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5">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5">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5">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5">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5">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5">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5">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5">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5">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5">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5">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5">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5">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5">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5">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5">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5">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5">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5">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5">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5">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5">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5">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5">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5">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95" min="1" max="1"/>
    <col width="6.77734375" customWidth="1" style="195" min="2" max="2"/>
    <col width="34.77734375" customWidth="1" style="195" min="3" max="3"/>
    <col width="14.77734375" customWidth="1" style="195" min="4" max="6"/>
    <col width="22.77734375" customWidth="1" style="195" min="8" max="8"/>
    <col width="32.77734375" customWidth="1" style="195" min="9" max="9"/>
    <col width="12.77734375" customWidth="1" style="195" min="10" max="10"/>
    <col width="15.77734375" customWidth="1" style="195" min="12" max="14"/>
  </cols>
  <sheetData>
    <row r="1" ht="28.8" customHeight="1" s="195">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36" t="inlineStr">
        <is>
          <t>CUADRO DE NOTAS FINALES — 7° GRADO · ESCUELA CERRO CACICÓN 2026</t>
        </is>
      </c>
    </row>
    <row r="2" ht="15" customHeight="1" s="195">
      <c r="A2" s="241" t="inlineStr">
        <is>
          <t>Nota: Las calificaciones se obtienen automáticamente de las hojas PROM de cada materia</t>
        </is>
      </c>
    </row>
    <row r="3" ht="22.05" customHeight="1" s="195">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5">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5">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5">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5">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5">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5">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5">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5">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5">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5">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5">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5">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5">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5">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5">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5">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5">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5">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5">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5">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5">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5">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5">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5">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5">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5">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5">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5">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5">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5">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5">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5">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5">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5">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5">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5">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5">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5">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5">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5">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T35" sqref="T35"/>
    </sheetView>
  </sheetViews>
  <sheetFormatPr baseColWidth="10" defaultColWidth="8.88671875" defaultRowHeight="14.4"/>
  <cols>
    <col width="5" customWidth="1" style="195" min="1" max="1"/>
    <col width="30" customWidth="1" style="195" min="2" max="2"/>
    <col width="7" customWidth="1" style="195" min="3" max="18"/>
    <col width="14" customWidth="1" style="195" min="19" max="19"/>
  </cols>
  <sheetData>
    <row r="1" ht="28.05" customHeight="1" s="195">
      <c r="A1" s="243" t="inlineStr">
        <is>
          <t>CUADRO DE NOTAS FINALES — 8° GRADO · ESCUELA CERRO CACICÓN 2026</t>
        </is>
      </c>
    </row>
    <row r="2" ht="15" customHeight="1" s="195">
      <c r="A2" s="244" t="inlineStr">
        <is>
          <t>Nota: Las calificaciones se obtienen automáticamente de las hojas PROM de cada materia</t>
        </is>
      </c>
    </row>
    <row r="3" ht="22.05" customHeight="1" s="195">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5">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5">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5">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5">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5">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5">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5">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5">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5">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5">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5">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5">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5">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5">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5">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5">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5">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5">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5">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5">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5">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5">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5">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5">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5">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5">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5">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5">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5">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5">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5">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5">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5">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5">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5">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5">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5">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5">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5">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5">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5">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5" min="1" max="1"/>
    <col width="30" customWidth="1" style="195" min="2" max="2"/>
    <col width="7" customWidth="1" style="195" min="3" max="22"/>
    <col width="14" customWidth="1" style="195" min="23" max="23"/>
  </cols>
  <sheetData>
    <row r="1" ht="28.05" customHeight="1" s="195">
      <c r="A1" s="245" t="inlineStr">
        <is>
          <t>CUADRO DE NOTAS FINALES — 9° GRADO · ESCUELA CERRO CACICÓN 2026</t>
        </is>
      </c>
    </row>
    <row r="2" ht="15" customHeight="1" s="195">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5">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5">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5">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5">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5">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5">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5">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5">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5">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5">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5">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5">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5">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5">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5">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5">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5">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5">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5">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5">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5">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5">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5">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5">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5">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5">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5">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5">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5">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5">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5">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5">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5">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5">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5">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5">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5">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5">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5">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5">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5">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5">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95">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5" min="1" max="1"/>
    <col width="8" customWidth="1" style="195" min="2" max="2"/>
    <col width="30" customWidth="1" style="195" min="3" max="3"/>
    <col width="10" customWidth="1" style="195" min="4" max="4"/>
    <col width="12" customWidth="1" style="195" min="5" max="5"/>
    <col width="25" customWidth="1" style="195" min="6" max="6"/>
  </cols>
  <sheetData>
    <row r="1" ht="24" customHeight="1" s="195">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5">
      <c r="A2" s="253"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5">
      <c r="A3" s="255"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5">
      <c r="A4" s="254"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5">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5">
      <c r="A7" s="117" t="inlineStr">
        <is>
          <t>GRADO</t>
        </is>
      </c>
      <c r="B7" s="117" t="inlineStr">
        <is>
          <t>TOTAL MATRICULADOS</t>
        </is>
      </c>
      <c r="C7" s="117" t="inlineStr">
        <is>
          <t>HOMBRES</t>
        </is>
      </c>
      <c r="D7" s="117" t="inlineStr">
        <is>
          <t>MUJERES</t>
        </is>
      </c>
    </row>
    <row r="8" ht="16.05" customHeight="1" s="195">
      <c r="A8" s="126" t="inlineStr">
        <is>
          <t>7°</t>
        </is>
      </c>
      <c r="B8" s="127">
        <f>IFERROR(COUNTA(MAESTRO!B5:'MAESTRO'!B44),"")</f>
        <v/>
      </c>
      <c r="C8" s="260" t="n"/>
      <c r="D8" s="260" t="n"/>
    </row>
    <row r="9" ht="16.05" customHeight="1" s="195">
      <c r="A9" s="129" t="inlineStr">
        <is>
          <t>8°</t>
        </is>
      </c>
      <c r="B9" s="130">
        <f>IFERROR(COUNTA(MAESTRO!D5:'MAESTRO'!D44),"")</f>
        <v/>
      </c>
      <c r="C9" s="261" t="n"/>
      <c r="D9" s="261" t="n"/>
    </row>
    <row r="10" ht="16.05" customHeight="1" s="195">
      <c r="A10" s="126" t="inlineStr">
        <is>
          <t>9°</t>
        </is>
      </c>
      <c r="B10" s="127">
        <f>IFERROR(COUNTA(MAESTRO!F5:'MAESTRO'!F44),"")</f>
        <v/>
      </c>
      <c r="C10" s="260" t="n"/>
      <c r="D10" s="260" t="n"/>
    </row>
    <row r="11" ht="33.6" customHeight="1" s="195">
      <c r="A11" s="179" t="inlineStr">
        <is>
          <t>TOTAL GENERAL</t>
        </is>
      </c>
      <c r="B11" s="132">
        <f>IFERROR(COUNTA(MAESTRO!B5:'MAESTRO'!B44)+COUNTA(MAESTRO!D5:'MAESTRO'!D44)+COUNTA(MAESTRO!F5:'MAESTRO'!F44),"")</f>
        <v/>
      </c>
      <c r="C11" s="115" t="n"/>
      <c r="D11" s="115" t="n"/>
    </row>
    <row r="13" ht="19.95" customHeight="1" s="195">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5">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5">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5">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5">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95">
      <c r="A19" s="255"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5">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95">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5">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5">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5">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5">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5">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5">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5">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5">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5">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5">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5">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5">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5">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5">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5">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5">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5">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5">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5">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5">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5">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5">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5">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5">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5">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5">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5">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5">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5">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5">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5">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5">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5">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5">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5">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5">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5">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5">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5">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5">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5">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5">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5">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5">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5">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5">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5">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5">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5">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5">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5">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5">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5">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5">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5">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5">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5">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5">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5">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5">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5">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5">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5">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5">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5">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5">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5">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5">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5">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5">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5">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5">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5">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5">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5">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5">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5">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5">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5">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5">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5">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5">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5">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5">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5">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5">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5">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5">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5">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5">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5">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5">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5">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5">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5">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5">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5">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5">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5">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5">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5">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5">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5">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5">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5">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5">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5">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5">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5">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5">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5">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5">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5">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5">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5">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5">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5">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5">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5">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5">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5" min="1" max="1"/>
    <col width="32" customWidth="1" style="195" min="2" max="2"/>
    <col width="14" customWidth="1" style="195" min="3" max="3"/>
    <col width="16" customWidth="1" style="195" min="4" max="4"/>
    <col width="14" customWidth="1" style="195" min="5" max="5"/>
  </cols>
  <sheetData>
    <row r="1" ht="24" customHeight="1" s="195">
      <c r="A1" s="258" t="inlineStr">
        <is>
          <t>LISTA DE ESTUDIANTES APROBADOS — AÑO LECTIVO 2026</t>
        </is>
      </c>
      <c r="B1" s="235" t="n"/>
      <c r="C1" s="235" t="n"/>
      <c r="D1" s="235" t="n"/>
      <c r="E1" s="235" t="n"/>
      <c r="F1" s="235" t="n"/>
      <c r="G1" s="235" t="n"/>
      <c r="H1" s="235" t="n"/>
      <c r="I1" s="235" t="n"/>
      <c r="J1" s="235" t="n"/>
      <c r="K1" s="235" t="n"/>
      <c r="L1" s="227" t="n"/>
    </row>
    <row r="2" ht="16.05" customHeight="1" s="195">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5">
      <c r="A4" s="250" t="inlineStr">
        <is>
          <t>ESTUDIANTES APROBADOS — 7° GRADO</t>
        </is>
      </c>
      <c r="B4" s="235" t="n"/>
      <c r="C4" s="235" t="n"/>
      <c r="D4" s="235" t="n"/>
      <c r="E4" s="235" t="n"/>
      <c r="F4" s="235" t="n"/>
      <c r="G4" s="235" t="n"/>
      <c r="H4" s="235" t="n"/>
      <c r="I4" s="235" t="n"/>
      <c r="J4" s="235" t="n"/>
      <c r="K4" s="235" t="n"/>
      <c r="L4" s="227" t="n"/>
    </row>
    <row r="5" ht="18" customHeight="1" s="195">
      <c r="A5" s="134" t="inlineStr">
        <is>
          <t>No.</t>
        </is>
      </c>
      <c r="B5" s="134" t="inlineStr">
        <is>
          <t>APELLIDO, NOMBRE</t>
        </is>
      </c>
      <c r="C5" s="134" t="inlineStr">
        <is>
          <t>INGLÉS FINAL</t>
        </is>
      </c>
      <c r="D5" s="134" t="inlineStr">
        <is>
          <t>TECNOLOGÍA FINAL</t>
        </is>
      </c>
      <c r="E5" s="134" t="inlineStr">
        <is>
          <t>NOTA PROMEDIO</t>
        </is>
      </c>
    </row>
    <row r="6" ht="13.95" customHeight="1" s="195">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5">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5">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5">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5">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5">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5">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5">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5">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5">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5">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5">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5">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5">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5">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5">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5">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5">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5">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5">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5">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5">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5">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5">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5">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5">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5">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5">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5">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5">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5">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5">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5">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5">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5">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5">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5">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5">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5">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5">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5">
      <c r="A46" s="257" t="inlineStr">
        <is>
          <t>Total aprobados 7°:</t>
        </is>
      </c>
      <c r="B46" s="227" t="n"/>
      <c r="C46" s="137">
        <f>COUNTIF(RESUMEN_7°!S5:'RESUMEN_7°'!S44,"✓ APROBADO")</f>
        <v/>
      </c>
      <c r="D46" s="116" t="n"/>
      <c r="E46" s="116" t="n"/>
    </row>
    <row r="48" ht="19.95" customHeight="1" s="195">
      <c r="A48" s="259" t="inlineStr">
        <is>
          <t>ESTUDIANTES APROBADOS — 8° GRADO</t>
        </is>
      </c>
      <c r="B48" s="235" t="n"/>
      <c r="C48" s="235" t="n"/>
      <c r="D48" s="235" t="n"/>
      <c r="E48" s="235" t="n"/>
      <c r="F48" s="235" t="n"/>
      <c r="G48" s="235" t="n"/>
      <c r="H48" s="235" t="n"/>
      <c r="I48" s="235" t="n"/>
      <c r="J48" s="235" t="n"/>
      <c r="K48" s="235" t="n"/>
      <c r="L48" s="227" t="n"/>
    </row>
    <row r="49" ht="18" customHeight="1" s="195">
      <c r="A49" s="138" t="inlineStr">
        <is>
          <t>No.</t>
        </is>
      </c>
      <c r="B49" s="138" t="inlineStr">
        <is>
          <t>APELLIDO, NOMBRE</t>
        </is>
      </c>
      <c r="C49" s="138" t="inlineStr">
        <is>
          <t>INGLÉS FINAL</t>
        </is>
      </c>
      <c r="D49" s="138" t="inlineStr">
        <is>
          <t>TECNOLOGÍA FINAL</t>
        </is>
      </c>
      <c r="E49" s="138" t="inlineStr">
        <is>
          <t>NOTA PROMEDIO</t>
        </is>
      </c>
    </row>
    <row r="50" ht="13.95" customHeight="1" s="195">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5">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5">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5">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5">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5">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5">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5">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5">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5">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5">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5">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5">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5">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5">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5">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5">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5">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5">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5">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5">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5">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5">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5">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5">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5">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5">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5">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5">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5">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5">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5">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5">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5">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5">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5">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5">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5">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5">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5">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5">
      <c r="A90" s="257" t="inlineStr">
        <is>
          <t>Total aprobados 8°:</t>
        </is>
      </c>
      <c r="B90" s="227" t="n"/>
      <c r="C90" s="137">
        <f>COUNTIF(RESUMEN_8°!S5:'RESUMEN_8°'!S44,"✓ APROBADO")</f>
        <v/>
      </c>
      <c r="D90" s="116" t="n"/>
      <c r="E90" s="116" t="n"/>
    </row>
    <row r="92" ht="19.95" customHeight="1" s="195">
      <c r="A92" s="255" t="inlineStr">
        <is>
          <t>ESTUDIANTES APROBADOS — 9° GRADO</t>
        </is>
      </c>
      <c r="B92" s="235" t="n"/>
      <c r="C92" s="235" t="n"/>
      <c r="D92" s="235" t="n"/>
      <c r="E92" s="235" t="n"/>
      <c r="F92" s="235" t="n"/>
      <c r="G92" s="235" t="n"/>
      <c r="H92" s="235" t="n"/>
      <c r="I92" s="235" t="n"/>
      <c r="J92" s="235" t="n"/>
      <c r="K92" s="235" t="n"/>
      <c r="L92" s="227" t="n"/>
    </row>
    <row r="93" ht="18" customHeight="1" s="195">
      <c r="A93" s="133" t="inlineStr">
        <is>
          <t>No.</t>
        </is>
      </c>
      <c r="B93" s="133" t="inlineStr">
        <is>
          <t>APELLIDO, NOMBRE</t>
        </is>
      </c>
      <c r="C93" s="133" t="inlineStr">
        <is>
          <t>INGLÉS FINAL</t>
        </is>
      </c>
      <c r="D93" s="133" t="inlineStr">
        <is>
          <t>TECNOLOGÍA FINAL</t>
        </is>
      </c>
      <c r="E93" s="133" t="inlineStr">
        <is>
          <t>NOTA PROMEDIO</t>
        </is>
      </c>
    </row>
    <row r="94" ht="13.95" customHeight="1" s="195">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5">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5">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5">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5">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5">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5">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5">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5">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5">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5">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5">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5">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5">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5">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5">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5">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5">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5">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5">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5">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5">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5">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5">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5">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5">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5">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5">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5">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5">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5">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5">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5">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5">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5">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5">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5">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5">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5">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5">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5">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95" min="1" max="1"/>
    <col width="14" customWidth="1" style="195" min="2" max="4"/>
    <col width="12" customWidth="1" style="195" min="5" max="5"/>
  </cols>
  <sheetData>
    <row r="1" ht="25.95" customHeight="1" s="195">
      <c r="A1" s="255"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5">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5">
      <c r="A4" s="250" t="inlineStr">
        <is>
          <t>RESUMEN RÁPIDO</t>
        </is>
      </c>
      <c r="B4" s="235" t="n"/>
      <c r="C4" s="235" t="n"/>
      <c r="D4" s="235" t="n"/>
      <c r="E4" s="235" t="n"/>
      <c r="F4" s="235" t="n"/>
      <c r="G4" s="235" t="n"/>
      <c r="H4" s="235" t="n"/>
      <c r="I4" s="235" t="n"/>
      <c r="J4" s="235" t="n"/>
      <c r="K4" s="235" t="n"/>
      <c r="L4" s="235" t="n"/>
      <c r="M4" s="235" t="n"/>
      <c r="N4" s="227" t="n"/>
    </row>
    <row r="5" ht="18" customHeight="1" s="195">
      <c r="A5" s="100" t="n"/>
      <c r="B5" s="100" t="inlineStr">
        <is>
          <t>7° GRADO</t>
        </is>
      </c>
      <c r="C5" s="100" t="inlineStr">
        <is>
          <t>8° GRADO</t>
        </is>
      </c>
      <c r="D5" s="100" t="inlineStr">
        <is>
          <t>9° GRADO</t>
        </is>
      </c>
      <c r="E5" s="100" t="inlineStr">
        <is>
          <t>TOTAL</t>
        </is>
      </c>
    </row>
    <row r="6" ht="18" customHeight="1" s="195">
      <c r="A6" s="139" t="inlineStr">
        <is>
          <t>Matriculados</t>
        </is>
      </c>
      <c r="B6" s="140">
        <f>IFERROR(COUNTA(MAESTRO!B5:'MAESTRO'!B44),"")</f>
        <v/>
      </c>
      <c r="C6" s="140">
        <f>IFERROR(COUNTA(MAESTRO!D5:'MAESTRO'!D44),"")</f>
        <v/>
      </c>
      <c r="D6" s="140">
        <f>IFERROR(COUNTA(MAESTRO!F5:'MAESTRO'!F44),"")</f>
        <v/>
      </c>
      <c r="E6" s="141">
        <f>IFERROR(B6+C6+D6,"")</f>
        <v/>
      </c>
    </row>
    <row r="7" ht="18" customHeight="1" s="195">
      <c r="A7" s="142" t="inlineStr">
        <is>
          <t>Aprobados</t>
        </is>
      </c>
      <c r="B7" s="143">
        <f>COUNTIF(RESUMEN_7°!S5:'RESUMEN_7°'!S44,"✓ APROBADO")</f>
        <v/>
      </c>
      <c r="C7" s="143">
        <f>COUNTIF(RESUMEN_8°!S5:'RESUMEN_8°'!S44,"✓ APROBADO")</f>
        <v/>
      </c>
      <c r="D7" s="143">
        <f>COUNTIF(RESUMEN_9°!W5:'RESUMEN_9°'!W44,"✓ APROBADO")</f>
        <v/>
      </c>
      <c r="E7" s="144">
        <f>IFERROR(B7+C7+D7,"")</f>
        <v/>
      </c>
    </row>
    <row r="8" ht="18" customHeight="1" s="195">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5">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5">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5">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5">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5">
      <c r="A15" s="261" t="n"/>
      <c r="B15" s="235" t="n"/>
      <c r="C15" s="235" t="n"/>
      <c r="D15" s="235" t="n"/>
      <c r="E15" s="235" t="n"/>
      <c r="F15" s="235" t="n"/>
      <c r="G15" s="235" t="n"/>
      <c r="H15" s="235" t="n"/>
      <c r="I15" s="235" t="n"/>
      <c r="J15" s="235" t="n"/>
      <c r="K15" s="235" t="n"/>
      <c r="L15" s="235" t="n"/>
      <c r="M15" s="235" t="n"/>
      <c r="N15" s="227" t="n"/>
    </row>
    <row r="16" ht="18" customHeight="1" s="195">
      <c r="A16" s="260" t="n"/>
      <c r="B16" s="235" t="n"/>
      <c r="C16" s="235" t="n"/>
      <c r="D16" s="235" t="n"/>
      <c r="E16" s="235" t="n"/>
      <c r="F16" s="235" t="n"/>
      <c r="G16" s="235" t="n"/>
      <c r="H16" s="235" t="n"/>
      <c r="I16" s="235" t="n"/>
      <c r="J16" s="235" t="n"/>
      <c r="K16" s="235" t="n"/>
      <c r="L16" s="235" t="n"/>
      <c r="M16" s="235" t="n"/>
      <c r="N16" s="227" t="n"/>
    </row>
    <row r="17" ht="18" customHeight="1" s="195">
      <c r="A17" s="261" t="n"/>
      <c r="B17" s="235" t="n"/>
      <c r="C17" s="235" t="n"/>
      <c r="D17" s="235" t="n"/>
      <c r="E17" s="235" t="n"/>
      <c r="F17" s="235" t="n"/>
      <c r="G17" s="235" t="n"/>
      <c r="H17" s="235" t="n"/>
      <c r="I17" s="235" t="n"/>
      <c r="J17" s="235" t="n"/>
      <c r="K17" s="235" t="n"/>
      <c r="L17" s="235" t="n"/>
      <c r="M17" s="235" t="n"/>
      <c r="N17" s="227" t="n"/>
    </row>
    <row r="18" ht="18" customHeight="1" s="195">
      <c r="A18" s="260" t="n"/>
      <c r="B18" s="235" t="n"/>
      <c r="C18" s="235" t="n"/>
      <c r="D18" s="235" t="n"/>
      <c r="E18" s="235" t="n"/>
      <c r="F18" s="235" t="n"/>
      <c r="G18" s="235" t="n"/>
      <c r="H18" s="235" t="n"/>
      <c r="I18" s="235" t="n"/>
      <c r="J18" s="235" t="n"/>
      <c r="K18" s="235" t="n"/>
      <c r="L18" s="235" t="n"/>
      <c r="M18" s="235" t="n"/>
      <c r="N18" s="227" t="n"/>
    </row>
    <row r="19" ht="18" customHeight="1" s="195">
      <c r="A19" s="261" t="n"/>
      <c r="B19" s="235" t="n"/>
      <c r="C19" s="235" t="n"/>
      <c r="D19" s="235" t="n"/>
      <c r="E19" s="235" t="n"/>
      <c r="F19" s="235" t="n"/>
      <c r="G19" s="235" t="n"/>
      <c r="H19" s="235" t="n"/>
      <c r="I19" s="235" t="n"/>
      <c r="J19" s="235" t="n"/>
      <c r="K19" s="235" t="n"/>
      <c r="L19" s="235" t="n"/>
      <c r="M19" s="235" t="n"/>
      <c r="N19" s="227" t="n"/>
    </row>
    <row r="20" ht="18" customHeight="1" s="195">
      <c r="A20" s="260" t="n"/>
      <c r="B20" s="235" t="n"/>
      <c r="C20" s="235" t="n"/>
      <c r="D20" s="235" t="n"/>
      <c r="E20" s="235" t="n"/>
      <c r="F20" s="235" t="n"/>
      <c r="G20" s="235" t="n"/>
      <c r="H20" s="235" t="n"/>
      <c r="I20" s="235" t="n"/>
      <c r="J20" s="235" t="n"/>
      <c r="K20" s="235" t="n"/>
      <c r="L20" s="235" t="n"/>
      <c r="M20" s="235" t="n"/>
      <c r="N20" s="227" t="n"/>
    </row>
    <row r="21" ht="18" customHeight="1" s="195">
      <c r="A21" s="261" t="n"/>
      <c r="B21" s="235" t="n"/>
      <c r="C21" s="235" t="n"/>
      <c r="D21" s="235" t="n"/>
      <c r="E21" s="235" t="n"/>
      <c r="F21" s="235" t="n"/>
      <c r="G21" s="235" t="n"/>
      <c r="H21" s="235" t="n"/>
      <c r="I21" s="235" t="n"/>
      <c r="J21" s="235" t="n"/>
      <c r="K21" s="235" t="n"/>
      <c r="L21" s="235" t="n"/>
      <c r="M21" s="235" t="n"/>
      <c r="N21" s="227" t="n"/>
    </row>
    <row r="22" ht="18" customHeight="1" s="195">
      <c r="A22" s="260" t="n"/>
      <c r="B22" s="235" t="n"/>
      <c r="C22" s="235" t="n"/>
      <c r="D22" s="235" t="n"/>
      <c r="E22" s="235" t="n"/>
      <c r="F22" s="235" t="n"/>
      <c r="G22" s="235" t="n"/>
      <c r="H22" s="235" t="n"/>
      <c r="I22" s="235" t="n"/>
      <c r="J22" s="235" t="n"/>
      <c r="K22" s="235" t="n"/>
      <c r="L22" s="235" t="n"/>
      <c r="M22" s="235" t="n"/>
      <c r="N22" s="227" t="n"/>
    </row>
    <row r="23" ht="18" customHeight="1" s="195">
      <c r="A23" s="261" t="n"/>
      <c r="B23" s="235" t="n"/>
      <c r="C23" s="235" t="n"/>
      <c r="D23" s="235" t="n"/>
      <c r="E23" s="235" t="n"/>
      <c r="F23" s="235" t="n"/>
      <c r="G23" s="235" t="n"/>
      <c r="H23" s="235" t="n"/>
      <c r="I23" s="235" t="n"/>
      <c r="J23" s="235" t="n"/>
      <c r="K23" s="235" t="n"/>
      <c r="L23" s="235" t="n"/>
      <c r="M23" s="235" t="n"/>
      <c r="N23" s="227" t="n"/>
    </row>
    <row r="24" ht="18" customHeight="1" s="195">
      <c r="A24" s="260" t="n"/>
      <c r="B24" s="235" t="n"/>
      <c r="C24" s="235" t="n"/>
      <c r="D24" s="235" t="n"/>
      <c r="E24" s="235" t="n"/>
      <c r="F24" s="235" t="n"/>
      <c r="G24" s="235" t="n"/>
      <c r="H24" s="235" t="n"/>
      <c r="I24" s="235" t="n"/>
      <c r="J24" s="235" t="n"/>
      <c r="K24" s="235" t="n"/>
      <c r="L24" s="235" t="n"/>
      <c r="M24" s="235" t="n"/>
      <c r="N24" s="227" t="n"/>
    </row>
    <row r="25" ht="18" customHeight="1" s="195">
      <c r="A25" s="261" t="n"/>
      <c r="B25" s="235" t="n"/>
      <c r="C25" s="235" t="n"/>
      <c r="D25" s="235" t="n"/>
      <c r="E25" s="235" t="n"/>
      <c r="F25" s="235" t="n"/>
      <c r="G25" s="235" t="n"/>
      <c r="H25" s="235" t="n"/>
      <c r="I25" s="235" t="n"/>
      <c r="J25" s="235" t="n"/>
      <c r="K25" s="235" t="n"/>
      <c r="L25" s="235" t="n"/>
      <c r="M25" s="235" t="n"/>
      <c r="N25" s="227" t="n"/>
    </row>
    <row r="26" ht="18" customHeight="1" s="195">
      <c r="A26" s="260" t="n"/>
      <c r="B26" s="235" t="n"/>
      <c r="C26" s="235" t="n"/>
      <c r="D26" s="235" t="n"/>
      <c r="E26" s="235" t="n"/>
      <c r="F26" s="235" t="n"/>
      <c r="G26" s="235" t="n"/>
      <c r="H26" s="235" t="n"/>
      <c r="I26" s="235" t="n"/>
      <c r="J26" s="235" t="n"/>
      <c r="K26" s="235" t="n"/>
      <c r="L26" s="235" t="n"/>
      <c r="M26" s="235" t="n"/>
      <c r="N26" s="227" t="n"/>
    </row>
    <row r="27" ht="18" customHeight="1" s="195">
      <c r="A27" s="261" t="n"/>
      <c r="B27" s="235" t="n"/>
      <c r="C27" s="235" t="n"/>
      <c r="D27" s="235" t="n"/>
      <c r="E27" s="235" t="n"/>
      <c r="F27" s="235" t="n"/>
      <c r="G27" s="235" t="n"/>
      <c r="H27" s="235" t="n"/>
      <c r="I27" s="235" t="n"/>
      <c r="J27" s="235" t="n"/>
      <c r="K27" s="235" t="n"/>
      <c r="L27" s="235" t="n"/>
      <c r="M27" s="235" t="n"/>
      <c r="N27" s="227" t="n"/>
    </row>
    <row r="28" ht="18" customHeight="1" s="195">
      <c r="A28" s="260" t="n"/>
      <c r="B28" s="235" t="n"/>
      <c r="C28" s="235" t="n"/>
      <c r="D28" s="235" t="n"/>
      <c r="E28" s="235" t="n"/>
      <c r="F28" s="235" t="n"/>
      <c r="G28" s="235" t="n"/>
      <c r="H28" s="235" t="n"/>
      <c r="I28" s="235" t="n"/>
      <c r="J28" s="235" t="n"/>
      <c r="K28" s="235" t="n"/>
      <c r="L28" s="235" t="n"/>
      <c r="M28" s="235" t="n"/>
      <c r="N28" s="227" t="n"/>
    </row>
    <row r="29" ht="18" customHeight="1" s="195">
      <c r="A29" s="261" t="n"/>
      <c r="B29" s="235" t="n"/>
      <c r="C29" s="235" t="n"/>
      <c r="D29" s="235" t="n"/>
      <c r="E29" s="235" t="n"/>
      <c r="F29" s="235" t="n"/>
      <c r="G29" s="235" t="n"/>
      <c r="H29" s="235" t="n"/>
      <c r="I29" s="235" t="n"/>
      <c r="J29" s="235" t="n"/>
      <c r="K29" s="235" t="n"/>
      <c r="L29" s="235" t="n"/>
      <c r="M29" s="235" t="n"/>
      <c r="N29" s="227"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tabSelected="1" view="pageLayout" topLeftCell="A44" zoomScale="70" zoomScaleNormal="100" zoomScalePageLayoutView="70" workbookViewId="0">
      <selection activeCell="C2" sqref="C2"/>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IF(MAESTRO!B5="","",MAESTRO!B5)</f>
        <v/>
      </c>
      <c r="C46" s="180" t="inlineStr">
        <is>
          <t>.</t>
        </is>
      </c>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IF(MAESTRO!B6="","",MAESTRO!B6)</f>
        <v/>
      </c>
      <c r="C47" s="180" t="inlineStr">
        <is>
          <t>-</t>
        </is>
      </c>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IF(MAESTRO!B7="","",MAESTRO!B7)</f>
        <v/>
      </c>
      <c r="C48" s="180" t="inlineStr">
        <is>
          <t>.</t>
        </is>
      </c>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IF(MAESTRO!B8="","",MAESTRO!B8)</f>
        <v/>
      </c>
      <c r="C49" s="180" t="inlineStr">
        <is>
          <t>.</t>
        </is>
      </c>
      <c r="D49" s="189" t="n"/>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IF(MAESTRO!B9="","",MAESTRO!B9)</f>
        <v/>
      </c>
      <c r="C50" s="180" t="inlineStr">
        <is>
          <t>.</t>
        </is>
      </c>
      <c r="D50" s="189" t="n"/>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IF(MAESTRO!B10="","",MAESTRO!B10)</f>
        <v/>
      </c>
      <c r="C51" s="181" t="inlineStr">
        <is>
          <t>.</t>
        </is>
      </c>
      <c r="D51" s="263" t="n"/>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IF(MAESTRO!B11="","",MAESTRO!B11)</f>
        <v/>
      </c>
      <c r="C52" s="181" t="inlineStr">
        <is>
          <t>.</t>
        </is>
      </c>
      <c r="D52" s="263" t="n"/>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IF(MAESTRO!B12="","",MAESTRO!B12)</f>
        <v/>
      </c>
      <c r="C53" s="181" t="inlineStr">
        <is>
          <t>.</t>
        </is>
      </c>
      <c r="D53" s="263" t="n"/>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IF(MAESTRO!B13="","",MAESTRO!B13)</f>
        <v/>
      </c>
      <c r="C54" s="181" t="inlineStr">
        <is>
          <t>.</t>
        </is>
      </c>
      <c r="D54" s="263" t="n"/>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IF(MAESTRO!B14="","",MAESTRO!B14)</f>
        <v/>
      </c>
      <c r="C55" s="181" t="inlineStr">
        <is>
          <t>.</t>
        </is>
      </c>
      <c r="D55" s="263" t="n"/>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263" t="n"/>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263" t="n"/>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263" t="n"/>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263" t="n"/>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263" t="n"/>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263" t="n"/>
      <c r="E61" s="263" t="n"/>
      <c r="F61" s="263" t="n"/>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263" t="n"/>
      <c r="E62" s="263" t="n"/>
      <c r="F62" s="263" t="n"/>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5"/>
    <row r="136" ht="14.4" customHeight="1" s="195">
      <c r="A136" s="83" t="n"/>
      <c r="B136" s="82" t="n"/>
      <c r="BI136" s="194" t="n"/>
      <c r="BK136" s="75" t="n"/>
      <c r="BL136" s="75" t="n"/>
    </row>
    <row r="137" ht="21.75" customHeight="1" s="195">
      <c r="A137" s="83" t="n"/>
      <c r="B137" s="82" t="n"/>
      <c r="BI137" s="81" t="n"/>
      <c r="BJ137" s="81" t="n"/>
      <c r="BK137" s="75" t="n"/>
      <c r="BL137" s="75" t="n"/>
    </row>
  </sheetData>
  <mergeCells count="16">
    <mergeCell ref="A87:A88"/>
    <mergeCell ref="C44:BH44"/>
    <mergeCell ref="B87:B88"/>
    <mergeCell ref="BI136:BJ136"/>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9" sqref="L49:M4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5">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5">
      <c r="A45" s="183" t="n"/>
      <c r="B45" s="183" t="n"/>
      <c r="C45" s="10" t="inlineStr">
        <is>
          <t>08-06</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5">
      <c r="A46" s="1" t="n">
        <v>1</v>
      </c>
      <c r="B46" s="263">
        <f>IF(MAESTRO!D5="","",MAESTRO!D5)</f>
        <v/>
      </c>
      <c r="C46" s="180" t="inlineStr">
        <is>
          <t>.</t>
        </is>
      </c>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5">
      <c r="A47" s="1" t="n">
        <v>2</v>
      </c>
      <c r="B47" s="263">
        <f>IF(MAESTRO!D6="","",MAESTRO!D6)</f>
        <v/>
      </c>
      <c r="C47" s="180" t="inlineStr">
        <is>
          <t>-</t>
        </is>
      </c>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IF(MAESTRO!D7="","",MAESTRO!D7)</f>
        <v/>
      </c>
      <c r="C48" s="180" t="inlineStr">
        <is>
          <t>.</t>
        </is>
      </c>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IF(MAESTRO!D8="","",MAESTRO!D8)</f>
        <v/>
      </c>
      <c r="C49" s="180" t="inlineStr">
        <is>
          <t>.</t>
        </is>
      </c>
      <c r="D49" s="189" t="n"/>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IF(MAESTRO!D9="","",MAESTRO!D9)</f>
        <v/>
      </c>
      <c r="C50" s="180" t="inlineStr">
        <is>
          <t>.</t>
        </is>
      </c>
      <c r="D50" s="189" t="n"/>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IF(MAESTRO!D10="","",MAESTRO!D10)</f>
        <v/>
      </c>
      <c r="C51" s="181" t="inlineStr">
        <is>
          <t>-</t>
        </is>
      </c>
      <c r="D51" s="263" t="n"/>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IF(MAESTRO!D11="","",MAESTRO!D11)</f>
        <v/>
      </c>
      <c r="C52" s="181" t="inlineStr">
        <is>
          <t>.</t>
        </is>
      </c>
      <c r="D52" s="263" t="n"/>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IF(MAESTRO!D12="","",MAESTRO!D12)</f>
        <v/>
      </c>
      <c r="C53" s="181" t="inlineStr">
        <is>
          <t>-</t>
        </is>
      </c>
      <c r="D53" s="263" t="n"/>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IF(MAESTRO!D13="","",MAESTRO!D13)</f>
        <v/>
      </c>
      <c r="C54" s="181" t="inlineStr">
        <is>
          <t>.</t>
        </is>
      </c>
      <c r="D54" s="263" t="n"/>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IF(MAESTRO!D14="","",MAESTRO!D14)</f>
        <v/>
      </c>
      <c r="C55" s="181" t="inlineStr">
        <is>
          <t>.</t>
        </is>
      </c>
      <c r="D55" s="263" t="n"/>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263" t="n"/>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263" t="n"/>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263" t="n"/>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263" t="n"/>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263" t="n"/>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263" t="n"/>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263" t="n"/>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5">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5">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5">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5">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5">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5"/>
    <row r="137" ht="14.4" customHeight="1" s="195">
      <c r="A137" s="83" t="n"/>
      <c r="B137" s="82" t="n"/>
      <c r="BI137" s="194" t="n"/>
      <c r="BK137" s="75" t="n"/>
      <c r="BL137" s="75" t="n"/>
    </row>
    <row r="138" ht="21.75" customHeight="1" s="195">
      <c r="A138" s="83" t="n"/>
      <c r="B138" s="82" t="n"/>
      <c r="BI138" s="81" t="n"/>
      <c r="BJ138" s="81" t="n"/>
      <c r="BK138" s="75" t="n"/>
      <c r="BL138" s="75"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30" zoomScale="80" zoomScaleNormal="100" zoomScalePageLayoutView="80" workbookViewId="0">
      <selection activeCell="J39" sqref="J39"/>
    </sheetView>
  </sheetViews>
  <sheetFormatPr baseColWidth="10" defaultRowHeight="14.4"/>
  <cols>
    <col width="3.44140625" customWidth="1" style="195" min="1" max="1"/>
    <col width="28.6640625" customWidth="1" style="195" min="2" max="2"/>
    <col width="2" customWidth="1" style="194" min="3" max="36"/>
    <col width="2.33203125" customWidth="1" style="194" min="37" max="37"/>
    <col width="2" customWidth="1" style="194" min="38" max="59"/>
    <col width="2" customWidth="1" style="195" min="60" max="60"/>
    <col width="9.44140625" customWidth="1" style="195" min="61" max="61"/>
    <col width="11" customWidth="1" style="195" min="62" max="62"/>
    <col width="18.109375" customWidth="1" style="195" min="63" max="63"/>
    <col width="3.44140625" customWidth="1" style="195" min="64" max="64"/>
    <col width="8.44140625" customWidth="1" style="195" min="65" max="65"/>
    <col width="11.44140625" customWidth="1" style="195" min="66" max="85"/>
  </cols>
  <sheetData>
    <row r="1" ht="15.75" customHeight="1" s="195">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1" t="n"/>
    </row>
    <row r="2" ht="46.5" customHeight="1" s="195">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2" t="n"/>
      <c r="BL2" s="193" t="n"/>
    </row>
    <row r="3" ht="15" customHeight="1" s="195">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5">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5">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5">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5">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5">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5">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5">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5">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5">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5">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5">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5">
      <c r="A15" s="1" t="n">
        <v>13</v>
      </c>
      <c r="B15" s="71">
        <f>IF(MAESTRO!F17="","",MAESTRO!F17)</f>
        <v/>
      </c>
      <c r="C15" s="61" t="inlineStr">
        <is>
          <t>.</t>
        </is>
      </c>
      <c r="D15" s="189" t="inlineStr">
        <is>
          <t>.</t>
        </is>
      </c>
      <c r="E15" s="189" t="inlineStr">
        <is>
          <t>.</t>
        </is>
      </c>
      <c r="F15" s="61" t="n"/>
      <c r="G15" s="189" t="inlineStr">
        <is>
          <t>.</t>
        </is>
      </c>
      <c r="H15" s="189" t="inlineStr">
        <is>
          <t>.</t>
        </is>
      </c>
      <c r="I15" s="189" t="inlineStr">
        <is>
          <t>.</t>
        </is>
      </c>
      <c r="J15" s="189" t="inlineStr">
        <is>
          <t>.</t>
        </is>
      </c>
      <c r="K15" s="180" t="inlineStr">
        <is>
          <t>.</t>
        </is>
      </c>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ht="15.6" customHeight="1" s="195">
      <c r="A16" s="1" t="n">
        <v>14</v>
      </c>
      <c r="B16" s="71">
        <f>IF(MAESTRO!F18="","",MAESTRO!F18)</f>
        <v/>
      </c>
      <c r="C16" s="61" t="inlineStr">
        <is>
          <t>.</t>
        </is>
      </c>
      <c r="D16" s="189" t="inlineStr">
        <is>
          <t>-</t>
        </is>
      </c>
      <c r="E16" s="189" t="inlineStr">
        <is>
          <t>.</t>
        </is>
      </c>
      <c r="F16" s="61" t="inlineStr">
        <is>
          <t>.</t>
        </is>
      </c>
      <c r="G16" s="189" t="inlineStr">
        <is>
          <t>.</t>
        </is>
      </c>
      <c r="H16" s="189" t="inlineStr">
        <is>
          <t>.</t>
        </is>
      </c>
      <c r="I16" s="189" t="inlineStr">
        <is>
          <t>.</t>
        </is>
      </c>
      <c r="J16" s="189" t="inlineStr">
        <is>
          <t>.</t>
        </is>
      </c>
      <c r="K16" s="180" t="inlineStr">
        <is>
          <t>.</t>
        </is>
      </c>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ht="15.6" customHeight="1" s="195">
      <c r="A17" s="1" t="n">
        <v>15</v>
      </c>
      <c r="B17" s="71">
        <f>IF(MAESTRO!F19="","",MAESTRO!F19)</f>
        <v/>
      </c>
      <c r="C17" s="61" t="inlineStr">
        <is>
          <t>.</t>
        </is>
      </c>
      <c r="D17" s="189" t="inlineStr">
        <is>
          <t>.</t>
        </is>
      </c>
      <c r="E17" s="189" t="inlineStr">
        <is>
          <t>.</t>
        </is>
      </c>
      <c r="F17" s="61" t="inlineStr">
        <is>
          <t>.</t>
        </is>
      </c>
      <c r="G17" s="189" t="inlineStr">
        <is>
          <t>.</t>
        </is>
      </c>
      <c r="H17" s="189" t="inlineStr">
        <is>
          <t>.</t>
        </is>
      </c>
      <c r="I17" s="189" t="inlineStr">
        <is>
          <t>.</t>
        </is>
      </c>
      <c r="J17" s="189" t="inlineStr">
        <is>
          <t>.</t>
        </is>
      </c>
      <c r="K17" s="180" t="inlineStr">
        <is>
          <t>.</t>
        </is>
      </c>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ht="15.6" customHeight="1" s="195">
      <c r="A18" s="1" t="n">
        <v>16</v>
      </c>
      <c r="B18" s="71">
        <f>IF(MAESTRO!F20="","",MAESTRO!F20)</f>
        <v/>
      </c>
      <c r="C18" s="61" t="inlineStr">
        <is>
          <t>.</t>
        </is>
      </c>
      <c r="D18" s="189" t="inlineStr">
        <is>
          <t>.</t>
        </is>
      </c>
      <c r="E18" s="189" t="inlineStr">
        <is>
          <t>-</t>
        </is>
      </c>
      <c r="F18" s="61" t="inlineStr">
        <is>
          <t>-</t>
        </is>
      </c>
      <c r="G18" s="189" t="inlineStr">
        <is>
          <t>-</t>
        </is>
      </c>
      <c r="H18" s="189" t="inlineStr">
        <is>
          <t>.</t>
        </is>
      </c>
      <c r="I18" s="189" t="inlineStr">
        <is>
          <t>.</t>
        </is>
      </c>
      <c r="J18" s="189" t="inlineStr">
        <is>
          <t>.</t>
        </is>
      </c>
      <c r="K18" s="180" t="inlineStr">
        <is>
          <t>-</t>
        </is>
      </c>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ht="15.6" customHeight="1" s="195">
      <c r="A19" s="1" t="n">
        <v>17</v>
      </c>
      <c r="B19" s="71">
        <f>IF(MAESTRO!F21="","",MAESTRO!F21)</f>
        <v/>
      </c>
      <c r="C19" s="61" t="inlineStr">
        <is>
          <t>.</t>
        </is>
      </c>
      <c r="D19" s="189" t="inlineStr">
        <is>
          <t>.</t>
        </is>
      </c>
      <c r="E19" s="189" t="inlineStr">
        <is>
          <t>.</t>
        </is>
      </c>
      <c r="F19" s="61" t="inlineStr">
        <is>
          <t>.</t>
        </is>
      </c>
      <c r="G19" s="189" t="inlineStr">
        <is>
          <t>.</t>
        </is>
      </c>
      <c r="H19" s="189" t="inlineStr">
        <is>
          <t>.</t>
        </is>
      </c>
      <c r="I19" s="189" t="inlineStr">
        <is>
          <t>.</t>
        </is>
      </c>
      <c r="J19" s="189" t="inlineStr">
        <is>
          <t>.</t>
        </is>
      </c>
      <c r="K19" s="180" t="inlineStr">
        <is>
          <t>.</t>
        </is>
      </c>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ht="15.6" customHeight="1" s="195">
      <c r="A20" s="1" t="n">
        <v>18</v>
      </c>
      <c r="B20" s="71">
        <f>IF(MAESTRO!F22="","",MAESTRO!F22)</f>
        <v/>
      </c>
      <c r="C20" s="61" t="inlineStr">
        <is>
          <t>.</t>
        </is>
      </c>
      <c r="D20" s="189" t="inlineStr">
        <is>
          <t>.</t>
        </is>
      </c>
      <c r="E20" s="189" t="inlineStr">
        <is>
          <t>.</t>
        </is>
      </c>
      <c r="F20" s="61" t="inlineStr">
        <is>
          <t>-</t>
        </is>
      </c>
      <c r="G20" s="189" t="inlineStr">
        <is>
          <t>.</t>
        </is>
      </c>
      <c r="H20" s="189" t="inlineStr">
        <is>
          <t>.</t>
        </is>
      </c>
      <c r="I20" s="189" t="inlineStr">
        <is>
          <t>-</t>
        </is>
      </c>
      <c r="J20" s="189" t="inlineStr">
        <is>
          <t>.</t>
        </is>
      </c>
      <c r="K20" s="180" t="inlineStr">
        <is>
          <t>.</t>
        </is>
      </c>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ht="15.6" customHeight="1" s="195">
      <c r="A21" s="1" t="n">
        <v>19</v>
      </c>
      <c r="B21" s="71">
        <f>IF(MAESTRO!F23="","",MAESTRO!F23)</f>
        <v/>
      </c>
      <c r="C21" s="61" t="inlineStr">
        <is>
          <t>-</t>
        </is>
      </c>
      <c r="D21" s="189" t="inlineStr">
        <is>
          <t>.</t>
        </is>
      </c>
      <c r="E21" s="189" t="inlineStr">
        <is>
          <t>.</t>
        </is>
      </c>
      <c r="F21" s="61" t="inlineStr">
        <is>
          <t>.</t>
        </is>
      </c>
      <c r="G21" s="189" t="inlineStr">
        <is>
          <t>.</t>
        </is>
      </c>
      <c r="H21" s="189" t="inlineStr">
        <is>
          <t>.</t>
        </is>
      </c>
      <c r="I21" s="189" t="inlineStr">
        <is>
          <t>.</t>
        </is>
      </c>
      <c r="J21" s="189" t="inlineStr">
        <is>
          <t>-</t>
        </is>
      </c>
      <c r="K21" s="180" t="inlineStr">
        <is>
          <t>.</t>
        </is>
      </c>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ht="15.6" customHeight="1" s="195">
      <c r="A22" s="1" t="n">
        <v>20</v>
      </c>
      <c r="B22" s="71">
        <f>IF(MAESTRO!F24="","",MAESTRO!F24)</f>
        <v/>
      </c>
      <c r="C22" s="61" t="inlineStr">
        <is>
          <t>-</t>
        </is>
      </c>
      <c r="D22" s="189" t="inlineStr">
        <is>
          <t>-</t>
        </is>
      </c>
      <c r="E22" s="189" t="inlineStr">
        <is>
          <t>.</t>
        </is>
      </c>
      <c r="F22" s="61" t="inlineStr">
        <is>
          <t>.</t>
        </is>
      </c>
      <c r="G22" s="189" t="inlineStr">
        <is>
          <t>.</t>
        </is>
      </c>
      <c r="H22" s="189" t="inlineStr">
        <is>
          <t>.</t>
        </is>
      </c>
      <c r="I22" s="189" t="inlineStr">
        <is>
          <t>.</t>
        </is>
      </c>
      <c r="J22" s="189" t="inlineStr">
        <is>
          <t>.</t>
        </is>
      </c>
      <c r="K22" s="180" t="inlineStr">
        <is>
          <t>.</t>
        </is>
      </c>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ht="15.6" customHeight="1" s="195">
      <c r="A23" s="1" t="n">
        <v>21</v>
      </c>
      <c r="B23" s="71">
        <f>IF(MAESTRO!F25="","",MAESTRO!F25)</f>
        <v/>
      </c>
      <c r="C23" s="61" t="inlineStr">
        <is>
          <t>.</t>
        </is>
      </c>
      <c r="D23" s="189" t="inlineStr">
        <is>
          <t>.</t>
        </is>
      </c>
      <c r="E23" s="189" t="inlineStr">
        <is>
          <t>.</t>
        </is>
      </c>
      <c r="F23" s="61" t="inlineStr">
        <is>
          <t>-</t>
        </is>
      </c>
      <c r="G23" s="189" t="inlineStr">
        <is>
          <t>.</t>
        </is>
      </c>
      <c r="H23" s="189" t="inlineStr">
        <is>
          <t>.</t>
        </is>
      </c>
      <c r="I23" s="189" t="inlineStr">
        <is>
          <t>.</t>
        </is>
      </c>
      <c r="J23" s="189" t="inlineStr">
        <is>
          <t>.</t>
        </is>
      </c>
      <c r="K23" s="180" t="inlineStr">
        <is>
          <t>.</t>
        </is>
      </c>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ht="15.6" customHeight="1" s="195">
      <c r="A24" s="1" t="n">
        <v>22</v>
      </c>
      <c r="B24" s="71">
        <f>IF(MAESTRO!F26="","",MAESTRO!F26)</f>
        <v/>
      </c>
      <c r="C24" s="61" t="inlineStr">
        <is>
          <t>.</t>
        </is>
      </c>
      <c r="D24" s="189" t="inlineStr">
        <is>
          <t>.</t>
        </is>
      </c>
      <c r="E24" s="189" t="inlineStr">
        <is>
          <t>.</t>
        </is>
      </c>
      <c r="F24" s="61" t="inlineStr">
        <is>
          <t>.</t>
        </is>
      </c>
      <c r="G24" s="189" t="inlineStr">
        <is>
          <t>.</t>
        </is>
      </c>
      <c r="H24" s="189" t="inlineStr">
        <is>
          <t>.</t>
        </is>
      </c>
      <c r="I24" s="189" t="inlineStr">
        <is>
          <t>.</t>
        </is>
      </c>
      <c r="J24" s="189" t="inlineStr">
        <is>
          <t>.</t>
        </is>
      </c>
      <c r="K24" s="180" t="inlineStr">
        <is>
          <t>.</t>
        </is>
      </c>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ht="15.6" customHeight="1" s="195">
      <c r="A25" s="1" t="n">
        <v>23</v>
      </c>
      <c r="B25" s="71">
        <f>IF(MAESTRO!F27="","",MAESTRO!F27)</f>
        <v/>
      </c>
      <c r="C25" s="61" t="inlineStr">
        <is>
          <t>.</t>
        </is>
      </c>
      <c r="D25" s="189" t="inlineStr">
        <is>
          <t>.</t>
        </is>
      </c>
      <c r="E25" s="189" t="inlineStr">
        <is>
          <t>.</t>
        </is>
      </c>
      <c r="F25" s="61" t="inlineStr">
        <is>
          <t>.</t>
        </is>
      </c>
      <c r="G25" s="189" t="inlineStr">
        <is>
          <t>.</t>
        </is>
      </c>
      <c r="H25" s="189" t="inlineStr">
        <is>
          <t>.</t>
        </is>
      </c>
      <c r="I25" s="189" t="inlineStr">
        <is>
          <t>.</t>
        </is>
      </c>
      <c r="J25" s="189" t="inlineStr">
        <is>
          <t>.</t>
        </is>
      </c>
      <c r="K25" s="180" t="inlineStr">
        <is>
          <t>.</t>
        </is>
      </c>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ht="15.6" customHeight="1" s="195">
      <c r="A26" s="1" t="n">
        <v>24</v>
      </c>
      <c r="B26" s="71">
        <f>IF(MAESTRO!F28="","",MAESTRO!F28)</f>
        <v/>
      </c>
      <c r="C26" s="61" t="inlineStr">
        <is>
          <t>.</t>
        </is>
      </c>
      <c r="D26" s="189" t="inlineStr">
        <is>
          <t>.</t>
        </is>
      </c>
      <c r="E26" s="189" t="inlineStr">
        <is>
          <t>.</t>
        </is>
      </c>
      <c r="F26" s="61" t="inlineStr">
        <is>
          <t>.</t>
        </is>
      </c>
      <c r="G26" s="189" t="inlineStr">
        <is>
          <t>.</t>
        </is>
      </c>
      <c r="H26" s="189" t="inlineStr">
        <is>
          <t>.</t>
        </is>
      </c>
      <c r="I26" s="189" t="inlineStr">
        <is>
          <t>.</t>
        </is>
      </c>
      <c r="J26" s="189" t="inlineStr">
        <is>
          <t>.</t>
        </is>
      </c>
      <c r="K26" s="180" t="inlineStr">
        <is>
          <t>.</t>
        </is>
      </c>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ht="15.6" customHeight="1" s="195">
      <c r="A27" s="1" t="n">
        <v>25</v>
      </c>
      <c r="B27" s="71">
        <f>IF(MAESTRO!F29="","",MAESTRO!F29)</f>
        <v/>
      </c>
      <c r="C27" s="61" t="inlineStr">
        <is>
          <t>.</t>
        </is>
      </c>
      <c r="D27" s="189" t="inlineStr">
        <is>
          <t>.</t>
        </is>
      </c>
      <c r="E27" s="189" t="inlineStr">
        <is>
          <t>.</t>
        </is>
      </c>
      <c r="F27" s="61" t="inlineStr">
        <is>
          <t>.</t>
        </is>
      </c>
      <c r="G27" s="189" t="inlineStr">
        <is>
          <t>.</t>
        </is>
      </c>
      <c r="H27" s="189" t="inlineStr">
        <is>
          <t>.</t>
        </is>
      </c>
      <c r="I27" s="189" t="inlineStr">
        <is>
          <t>.</t>
        </is>
      </c>
      <c r="J27" s="189" t="inlineStr">
        <is>
          <t>.</t>
        </is>
      </c>
      <c r="K27" s="180" t="inlineStr">
        <is>
          <t>.</t>
        </is>
      </c>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ht="15.6" customHeight="1" s="195">
      <c r="A28" s="1" t="n">
        <v>26</v>
      </c>
      <c r="B28" s="71">
        <f>IF(MAESTRO!F30="","",MAESTRO!F30)</f>
        <v/>
      </c>
      <c r="C28" s="61" t="inlineStr">
        <is>
          <t>.</t>
        </is>
      </c>
      <c r="D28" s="189" t="inlineStr">
        <is>
          <t>.</t>
        </is>
      </c>
      <c r="E28" s="189" t="inlineStr">
        <is>
          <t>.</t>
        </is>
      </c>
      <c r="F28" s="61" t="inlineStr">
        <is>
          <t>.</t>
        </is>
      </c>
      <c r="G28" s="189" t="inlineStr">
        <is>
          <t>.</t>
        </is>
      </c>
      <c r="H28" s="189" t="inlineStr">
        <is>
          <t>.</t>
        </is>
      </c>
      <c r="I28" s="189" t="inlineStr">
        <is>
          <t>.</t>
        </is>
      </c>
      <c r="J28" s="189" t="inlineStr">
        <is>
          <t>.</t>
        </is>
      </c>
      <c r="K28" s="180" t="inlineStr">
        <is>
          <t>.</t>
        </is>
      </c>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ht="15.6" customHeight="1" s="195">
      <c r="A29" s="1" t="n">
        <v>27</v>
      </c>
      <c r="B29" s="71">
        <f>IF(MAESTRO!F31="","",MAESTRO!F31)</f>
        <v/>
      </c>
      <c r="C29" s="61" t="inlineStr">
        <is>
          <t>.</t>
        </is>
      </c>
      <c r="D29" s="189" t="inlineStr">
        <is>
          <t>.</t>
        </is>
      </c>
      <c r="E29" s="189" t="inlineStr">
        <is>
          <t>.</t>
        </is>
      </c>
      <c r="F29" s="61" t="inlineStr">
        <is>
          <t>-</t>
        </is>
      </c>
      <c r="G29" s="189" t="inlineStr">
        <is>
          <t>.</t>
        </is>
      </c>
      <c r="H29" s="189" t="inlineStr">
        <is>
          <t>.</t>
        </is>
      </c>
      <c r="I29" s="189" t="inlineStr">
        <is>
          <t>.</t>
        </is>
      </c>
      <c r="J29" s="189" t="inlineStr">
        <is>
          <t>.</t>
        </is>
      </c>
      <c r="K29" s="180" t="inlineStr">
        <is>
          <t>.</t>
        </is>
      </c>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ht="15.6" customHeight="1" s="195">
      <c r="A30" s="1" t="n">
        <v>28</v>
      </c>
      <c r="B30" s="71">
        <f>IF(MAESTRO!F32="","",MAESTRO!F32)</f>
        <v/>
      </c>
      <c r="C30" s="61" t="inlineStr">
        <is>
          <t>.</t>
        </is>
      </c>
      <c r="D30" s="189" t="inlineStr">
        <is>
          <t>.</t>
        </is>
      </c>
      <c r="E30" s="189" t="inlineStr">
        <is>
          <t>.</t>
        </is>
      </c>
      <c r="F30" s="61" t="inlineStr">
        <is>
          <t>.</t>
        </is>
      </c>
      <c r="G30" s="189" t="inlineStr">
        <is>
          <t>.</t>
        </is>
      </c>
      <c r="H30" s="189" t="inlineStr">
        <is>
          <t>.</t>
        </is>
      </c>
      <c r="I30" s="189" t="inlineStr">
        <is>
          <t>.</t>
        </is>
      </c>
      <c r="J30" s="189" t="inlineStr">
        <is>
          <t>.</t>
        </is>
      </c>
      <c r="K30" s="180" t="inlineStr">
        <is>
          <t>.</t>
        </is>
      </c>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ht="15.6" customHeight="1" s="195">
      <c r="A31" s="1" t="n">
        <v>29</v>
      </c>
      <c r="B31" s="71">
        <f>IF(MAESTRO!F33="","",MAESTRO!F33)</f>
        <v/>
      </c>
      <c r="C31" s="61" t="inlineStr">
        <is>
          <t>-</t>
        </is>
      </c>
      <c r="D31" s="189" t="inlineStr">
        <is>
          <t>.</t>
        </is>
      </c>
      <c r="E31" s="189" t="inlineStr">
        <is>
          <t>.</t>
        </is>
      </c>
      <c r="F31" s="61" t="inlineStr">
        <is>
          <t>.</t>
        </is>
      </c>
      <c r="G31" s="189" t="inlineStr">
        <is>
          <t>.</t>
        </is>
      </c>
      <c r="H31" s="189" t="inlineStr">
        <is>
          <t>.</t>
        </is>
      </c>
      <c r="I31" s="189" t="inlineStr">
        <is>
          <t>.</t>
        </is>
      </c>
      <c r="J31" s="189" t="inlineStr">
        <is>
          <t>.</t>
        </is>
      </c>
      <c r="K31" s="180" t="inlineStr">
        <is>
          <t>-</t>
        </is>
      </c>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ht="15.6" customHeight="1" s="195">
      <c r="A32" s="1" t="n">
        <v>30</v>
      </c>
      <c r="B32" s="71">
        <f>IF(MAESTRO!F34="","",MAESTRO!F34)</f>
        <v/>
      </c>
      <c r="C32" s="61" t="inlineStr">
        <is>
          <t>.</t>
        </is>
      </c>
      <c r="D32" s="189" t="inlineStr">
        <is>
          <t>.</t>
        </is>
      </c>
      <c r="E32" s="189" t="inlineStr">
        <is>
          <t>.</t>
        </is>
      </c>
      <c r="F32" s="61" t="inlineStr">
        <is>
          <t>-</t>
        </is>
      </c>
      <c r="G32" s="189" t="inlineStr">
        <is>
          <t>.</t>
        </is>
      </c>
      <c r="H32" s="189" t="inlineStr">
        <is>
          <t>.</t>
        </is>
      </c>
      <c r="I32" s="189" t="inlineStr">
        <is>
          <t>.</t>
        </is>
      </c>
      <c r="J32" s="189" t="inlineStr">
        <is>
          <t>.</t>
        </is>
      </c>
      <c r="K32" s="180" t="inlineStr">
        <is>
          <t>.</t>
        </is>
      </c>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ht="15.6" customHeight="1" s="195">
      <c r="A33" s="1" t="n">
        <v>31</v>
      </c>
      <c r="B33" s="71">
        <f>IF(MAESTRO!F35="","",MAESTRO!F35)</f>
        <v/>
      </c>
      <c r="C33" s="61" t="inlineStr">
        <is>
          <t>-</t>
        </is>
      </c>
      <c r="D33" s="189" t="inlineStr">
        <is>
          <t>-</t>
        </is>
      </c>
      <c r="E33" s="189" t="inlineStr">
        <is>
          <t>.</t>
        </is>
      </c>
      <c r="F33" s="61" t="inlineStr">
        <is>
          <t>-</t>
        </is>
      </c>
      <c r="G33" s="189" t="inlineStr">
        <is>
          <t>.</t>
        </is>
      </c>
      <c r="H33" s="189" t="inlineStr">
        <is>
          <t>.</t>
        </is>
      </c>
      <c r="I33" s="189" t="inlineStr">
        <is>
          <t>.</t>
        </is>
      </c>
      <c r="J33" s="189" t="inlineStr">
        <is>
          <t>.</t>
        </is>
      </c>
      <c r="K33" s="180" t="inlineStr">
        <is>
          <t>-</t>
        </is>
      </c>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ht="15.6" customHeight="1" s="195">
      <c r="A34" s="1" t="n">
        <v>32</v>
      </c>
      <c r="B34" s="71">
        <f>IF(MAESTRO!F36="","",MAESTRO!F36)</f>
        <v/>
      </c>
      <c r="C34" s="61" t="inlineStr">
        <is>
          <t>.</t>
        </is>
      </c>
      <c r="D34" s="189" t="inlineStr">
        <is>
          <t>.</t>
        </is>
      </c>
      <c r="E34" s="189" t="inlineStr">
        <is>
          <t>.</t>
        </is>
      </c>
      <c r="F34" s="61" t="inlineStr">
        <is>
          <t>.</t>
        </is>
      </c>
      <c r="G34" s="189" t="inlineStr">
        <is>
          <t>.</t>
        </is>
      </c>
      <c r="H34" s="189" t="inlineStr">
        <is>
          <t>.</t>
        </is>
      </c>
      <c r="I34" s="189" t="inlineStr">
        <is>
          <t>.</t>
        </is>
      </c>
      <c r="J34" s="189" t="inlineStr">
        <is>
          <t>.</t>
        </is>
      </c>
      <c r="K34" s="180" t="inlineStr">
        <is>
          <t>.</t>
        </is>
      </c>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ht="15.6" customHeight="1" s="195">
      <c r="A35" s="1" t="n">
        <v>33</v>
      </c>
      <c r="B35" s="71">
        <f>IF(MAESTRO!F37="","",MAESTRO!F37)</f>
        <v/>
      </c>
      <c r="C35" s="61" t="inlineStr">
        <is>
          <t>.</t>
        </is>
      </c>
      <c r="D35" s="189" t="inlineStr">
        <is>
          <t>.</t>
        </is>
      </c>
      <c r="E35" s="189" t="inlineStr">
        <is>
          <t>.</t>
        </is>
      </c>
      <c r="F35" s="61" t="inlineStr">
        <is>
          <t>.</t>
        </is>
      </c>
      <c r="G35" s="189" t="inlineStr">
        <is>
          <t>-</t>
        </is>
      </c>
      <c r="H35" s="189" t="inlineStr">
        <is>
          <t>.</t>
        </is>
      </c>
      <c r="I35" s="189" t="inlineStr">
        <is>
          <t>.</t>
        </is>
      </c>
      <c r="J35" s="189" t="inlineStr">
        <is>
          <t>.</t>
        </is>
      </c>
      <c r="K35" s="180" t="inlineStr">
        <is>
          <t>.</t>
        </is>
      </c>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ht="15.6" customHeight="1" s="195">
      <c r="A36" s="1" t="n">
        <v>34</v>
      </c>
      <c r="B36" s="71">
        <f>IF(MAESTRO!F38="","",MAESTRO!F38)</f>
        <v/>
      </c>
      <c r="C36" s="61" t="inlineStr">
        <is>
          <t>.</t>
        </is>
      </c>
      <c r="D36" s="189" t="inlineStr">
        <is>
          <t>.</t>
        </is>
      </c>
      <c r="E36" s="189" t="inlineStr">
        <is>
          <t>.</t>
        </is>
      </c>
      <c r="F36" s="61" t="inlineStr">
        <is>
          <t>.</t>
        </is>
      </c>
      <c r="G36" s="189" t="inlineStr">
        <is>
          <t>.</t>
        </is>
      </c>
      <c r="H36" s="189" t="inlineStr">
        <is>
          <t>.</t>
        </is>
      </c>
      <c r="I36" s="189" t="inlineStr">
        <is>
          <t>.</t>
        </is>
      </c>
      <c r="J36" s="189" t="inlineStr">
        <is>
          <t>.</t>
        </is>
      </c>
      <c r="K36" s="180" t="inlineStr">
        <is>
          <t>.</t>
        </is>
      </c>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ht="15.6" customHeight="1" s="195">
      <c r="A37" s="1" t="n">
        <v>35</v>
      </c>
      <c r="B37" s="71">
        <f>IF(MAESTRO!F39="","",MAESTRO!F39)</f>
        <v/>
      </c>
      <c r="C37" s="61" t="inlineStr">
        <is>
          <t>.</t>
        </is>
      </c>
      <c r="D37" s="189" t="inlineStr">
        <is>
          <t>.</t>
        </is>
      </c>
      <c r="E37" s="189" t="inlineStr">
        <is>
          <t>.</t>
        </is>
      </c>
      <c r="F37" s="61" t="inlineStr">
        <is>
          <t>.</t>
        </is>
      </c>
      <c r="G37" s="189" t="inlineStr">
        <is>
          <t>.</t>
        </is>
      </c>
      <c r="H37" s="189" t="inlineStr">
        <is>
          <t>.</t>
        </is>
      </c>
      <c r="I37" s="189" t="inlineStr">
        <is>
          <t>.</t>
        </is>
      </c>
      <c r="J37" s="189" t="inlineStr">
        <is>
          <t>.</t>
        </is>
      </c>
      <c r="K37" s="180" t="inlineStr">
        <is>
          <t>.</t>
        </is>
      </c>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ht="15.6" customHeight="1" s="195">
      <c r="A38" s="1" t="n">
        <v>36</v>
      </c>
      <c r="B38" s="71">
        <f>IF(MAESTRO!F40="","",MAESTRO!F40)</f>
        <v/>
      </c>
      <c r="C38" s="61" t="inlineStr">
        <is>
          <t>-</t>
        </is>
      </c>
      <c r="D38" s="189" t="inlineStr">
        <is>
          <t>-</t>
        </is>
      </c>
      <c r="E38" s="189" t="inlineStr">
        <is>
          <t>.</t>
        </is>
      </c>
      <c r="F38" s="61" t="inlineStr">
        <is>
          <t>.</t>
        </is>
      </c>
      <c r="G38" s="189" t="inlineStr">
        <is>
          <t>.</t>
        </is>
      </c>
      <c r="H38" s="189" t="inlineStr">
        <is>
          <t>.</t>
        </is>
      </c>
      <c r="I38" s="189" t="inlineStr">
        <is>
          <t>.</t>
        </is>
      </c>
      <c r="J38" s="189" t="inlineStr">
        <is>
          <t>.</t>
        </is>
      </c>
      <c r="K38" s="180" t="inlineStr">
        <is>
          <t>.</t>
        </is>
      </c>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IF(MAESTRO!F42="","",MAESTRO!F42)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IF(MAESTRO!F43="","",MAESTRO!F43)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ht="31.2" customHeight="1" s="195">
      <c r="A42" s="182" t="n"/>
      <c r="B42" s="187">
        <f>IF(MAESTRO!F44="","",MAESTRO!F44)</f>
        <v/>
      </c>
      <c r="C42" s="184" t="inlineStr">
        <is>
          <t>ASISTENCIA DEL__23__DE____JUNIO____AL__12___DE___SEPTIEMBRE__</t>
        </is>
      </c>
      <c r="D42" s="185" t="n"/>
      <c r="E42" s="185" t="n"/>
      <c r="F42" s="185" t="n"/>
      <c r="G42" s="185" t="n"/>
      <c r="H42" s="185" t="n"/>
      <c r="I42" s="185" t="n"/>
      <c r="J42" s="185" t="n"/>
      <c r="K42" s="185" t="n"/>
      <c r="L42" s="185" t="n"/>
      <c r="M42" s="185" t="n"/>
      <c r="N42" s="185" t="n"/>
      <c r="O42" s="185" t="n"/>
      <c r="P42" s="185" t="n"/>
      <c r="Q42" s="185" t="n"/>
      <c r="R42" s="185" t="n"/>
      <c r="S42" s="185" t="n"/>
      <c r="T42" s="185" t="n"/>
      <c r="U42" s="185" t="n"/>
      <c r="V42" s="185" t="n"/>
      <c r="W42" s="185" t="n"/>
      <c r="X42" s="185" t="n"/>
      <c r="Y42" s="185" t="n"/>
      <c r="Z42" s="185" t="n"/>
      <c r="AA42" s="185" t="n"/>
      <c r="AB42" s="185" t="n"/>
      <c r="AC42" s="185" t="n"/>
      <c r="AD42" s="185" t="n"/>
      <c r="AE42" s="185" t="n"/>
      <c r="AF42" s="185" t="n"/>
      <c r="AG42" s="185" t="n"/>
      <c r="AH42" s="185" t="n"/>
      <c r="AI42" s="185" t="n"/>
      <c r="AJ42" s="185" t="n"/>
      <c r="AK42" s="185" t="n"/>
      <c r="AL42" s="185" t="n"/>
      <c r="AM42" s="185" t="n"/>
      <c r="AN42" s="185" t="n"/>
      <c r="AO42" s="185" t="n"/>
      <c r="AP42" s="185" t="n"/>
      <c r="AQ42" s="185" t="n"/>
      <c r="AR42" s="185" t="n"/>
      <c r="AS42" s="185" t="n"/>
      <c r="AT42" s="185" t="n"/>
      <c r="AU42" s="185" t="n"/>
      <c r="AV42" s="185" t="n"/>
      <c r="AW42" s="185" t="n"/>
      <c r="AX42" s="185" t="n"/>
      <c r="AY42" s="185" t="n"/>
      <c r="AZ42" s="185" t="n"/>
      <c r="BA42" s="185" t="n"/>
      <c r="BB42" s="185" t="n"/>
      <c r="BC42" s="185" t="n"/>
      <c r="BD42" s="185" t="n"/>
      <c r="BE42" s="185" t="n"/>
      <c r="BF42" s="185" t="n"/>
      <c r="BG42" s="185" t="n"/>
      <c r="BH42" s="186" t="n"/>
      <c r="BI42" s="189" t="inlineStr">
        <is>
          <t>SEGUNDO TRIMESTRE</t>
        </is>
      </c>
      <c r="BJ42" s="186" t="n"/>
      <c r="BK42" s="188" t="inlineStr">
        <is>
          <t>OBSERVACIONES</t>
        </is>
      </c>
      <c r="BL42" s="73" t="n"/>
    </row>
    <row r="43" ht="42.6" customHeight="1" s="195">
      <c r="A43" s="183" t="n"/>
      <c r="B43" s="183"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89" t="n"/>
      <c r="BA43" s="189" t="n"/>
      <c r="BB43" s="189" t="n"/>
      <c r="BC43" s="189" t="n"/>
      <c r="BD43" s="189" t="n"/>
      <c r="BE43" s="189" t="n"/>
      <c r="BF43" s="189" t="n"/>
      <c r="BG43" s="189" t="n"/>
      <c r="BH43" s="263" t="n"/>
      <c r="BI43" s="2" t="inlineStr">
        <is>
          <t>TOTAL AUSENCIAS</t>
        </is>
      </c>
      <c r="BJ43" s="2" t="inlineStr">
        <is>
          <t>TOTAL TARDANZAS</t>
        </is>
      </c>
      <c r="BK43" s="183" t="n"/>
      <c r="BL43" s="73" t="n"/>
    </row>
    <row r="44" ht="14.4" customHeight="1" s="195">
      <c r="A44" s="1" t="n">
        <v>1</v>
      </c>
      <c r="B44" s="263">
        <f>B3</f>
        <v/>
      </c>
      <c r="C44" s="189" t="n"/>
      <c r="D44" s="189" t="n"/>
      <c r="E44" s="189" t="n"/>
      <c r="F44" s="189" t="n"/>
      <c r="G44" s="189" t="n"/>
      <c r="H44" s="189" t="n"/>
      <c r="I44" s="189" t="n"/>
      <c r="J44" s="189" t="n"/>
      <c r="K44" s="189" t="n"/>
      <c r="L44" s="189" t="n"/>
      <c r="M44" s="189" t="n"/>
      <c r="N44" s="189" t="n"/>
      <c r="O44" s="189" t="n"/>
      <c r="P44" s="189" t="n"/>
      <c r="Q44" s="189" t="n"/>
      <c r="R44" s="189" t="n"/>
      <c r="S44" s="189" t="n"/>
      <c r="T44" s="189" t="n"/>
      <c r="U44" s="189" t="n"/>
      <c r="V44" s="189" t="n"/>
      <c r="W44" s="189" t="n"/>
      <c r="X44" s="189" t="n"/>
      <c r="Y44" s="189" t="n"/>
      <c r="Z44" s="189" t="n"/>
      <c r="AA44" s="189" t="n"/>
      <c r="AB44" s="189" t="n"/>
      <c r="AC44" s="189" t="n"/>
      <c r="AD44" s="189" t="n"/>
      <c r="AE44" s="189" t="n"/>
      <c r="AF44" s="189" t="n"/>
      <c r="AG44" s="189" t="n"/>
      <c r="AH44" s="189" t="n"/>
      <c r="AI44" s="189" t="n"/>
      <c r="AJ44" s="189" t="n"/>
      <c r="AK44" s="189" t="n"/>
      <c r="AL44" s="189" t="n"/>
      <c r="AM44" s="189" t="n"/>
      <c r="AN44" s="189" t="n"/>
      <c r="AO44" s="189" t="n"/>
      <c r="AP44" s="189" t="n"/>
      <c r="AQ44" s="189" t="n"/>
      <c r="AR44" s="189" t="n"/>
      <c r="AS44" s="189" t="n"/>
      <c r="AT44" s="189" t="n"/>
      <c r="AU44" s="189" t="n"/>
      <c r="AV44" s="189" t="n"/>
      <c r="AW44" s="189" t="n"/>
      <c r="AX44" s="189" t="n"/>
      <c r="AY44" s="189" t="n"/>
      <c r="AZ44" s="189" t="n"/>
      <c r="BA44" s="189" t="n"/>
      <c r="BB44" s="189" t="n"/>
      <c r="BC44" s="189" t="n"/>
      <c r="BD44" s="189" t="n"/>
      <c r="BE44" s="189" t="n"/>
      <c r="BF44" s="189" t="n"/>
      <c r="BG44" s="189" t="n"/>
      <c r="BH44" s="263" t="n"/>
      <c r="BI44" s="263">
        <f>IFERROR(COUNTIF(C44:BH44,"-"),"")</f>
        <v/>
      </c>
      <c r="BJ44" s="263">
        <f>IFERROR(COUNTIF(D44:BI44,"T"),"")</f>
        <v/>
      </c>
      <c r="BK44" s="263" t="n"/>
      <c r="BL44" s="3" t="n">
        <v>1</v>
      </c>
    </row>
    <row r="45" ht="18" customHeight="1" s="195">
      <c r="A45" s="1" t="n">
        <v>2</v>
      </c>
      <c r="B45" s="263">
        <f>B4</f>
        <v/>
      </c>
      <c r="C45" s="189" t="n"/>
      <c r="D45" s="189" t="n"/>
      <c r="E45" s="189" t="n"/>
      <c r="F45" s="189" t="n"/>
      <c r="G45" s="189" t="n"/>
      <c r="H45" s="189" t="n"/>
      <c r="I45" s="189" t="n"/>
      <c r="J45" s="189" t="n"/>
      <c r="K45" s="189" t="n"/>
      <c r="L45" s="189" t="n"/>
      <c r="M45" s="189" t="n"/>
      <c r="N45" s="189" t="n"/>
      <c r="O45" s="189" t="n"/>
      <c r="P45" s="189" t="n"/>
      <c r="Q45" s="189" t="n"/>
      <c r="R45" s="189" t="n"/>
      <c r="S45" s="189" t="n"/>
      <c r="T45" s="189" t="n"/>
      <c r="U45" s="189" t="n"/>
      <c r="V45" s="189" t="n"/>
      <c r="W45" s="189" t="n"/>
      <c r="X45" s="189" t="n"/>
      <c r="Y45" s="189" t="n"/>
      <c r="Z45" s="189" t="n"/>
      <c r="AA45" s="189" t="n"/>
      <c r="AB45" s="189" t="n"/>
      <c r="AC45" s="189" t="n"/>
      <c r="AD45" s="189" t="n"/>
      <c r="AE45" s="189" t="n"/>
      <c r="AF45" s="189" t="n"/>
      <c r="AG45" s="189" t="n"/>
      <c r="AH45" s="189" t="n"/>
      <c r="AI45" s="189" t="n"/>
      <c r="AJ45" s="189" t="n"/>
      <c r="AK45" s="189" t="n"/>
      <c r="AL45" s="189" t="n"/>
      <c r="AM45" s="189" t="n"/>
      <c r="AN45" s="189" t="n"/>
      <c r="AO45" s="189" t="n"/>
      <c r="AP45" s="189" t="n"/>
      <c r="AQ45" s="189" t="n"/>
      <c r="AR45" s="189" t="n"/>
      <c r="AS45" s="189" t="n"/>
      <c r="AT45" s="189" t="n"/>
      <c r="AU45" s="189" t="n"/>
      <c r="AV45" s="189" t="n"/>
      <c r="AW45" s="189" t="n"/>
      <c r="AX45" s="189" t="n"/>
      <c r="AY45" s="189" t="n"/>
      <c r="AZ45" s="189" t="n"/>
      <c r="BA45" s="189" t="n"/>
      <c r="BB45" s="189" t="n"/>
      <c r="BC45" s="189" t="n"/>
      <c r="BD45" s="189" t="n"/>
      <c r="BE45" s="189" t="n"/>
      <c r="BF45" s="189" t="n"/>
      <c r="BG45" s="189" t="n"/>
      <c r="BH45" s="263" t="n"/>
      <c r="BI45" s="263">
        <f>IFERROR(COUNTIF(C45:BH45,"-"),"")</f>
        <v/>
      </c>
      <c r="BJ45" s="263">
        <f>IFERROR(COUNTIF(D45:BI45,"T"),"")</f>
        <v/>
      </c>
      <c r="BK45" s="263" t="n"/>
      <c r="BL45" s="3" t="n">
        <v>2</v>
      </c>
    </row>
    <row r="46">
      <c r="A46" s="1" t="n">
        <v>3</v>
      </c>
      <c r="B46" s="263">
        <f>IF(MAESTRO!F5="","",MAESTRO!F5)</f>
        <v/>
      </c>
      <c r="C46" s="189" t="n"/>
      <c r="D46" s="189" t="n"/>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3</v>
      </c>
    </row>
    <row r="47">
      <c r="A47" s="1" t="n">
        <v>4</v>
      </c>
      <c r="B47" s="263">
        <f>IF(MAESTRO!F6="","",MAESTRO!F6)</f>
        <v/>
      </c>
      <c r="C47" s="189" t="n"/>
      <c r="D47" s="189" t="n"/>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4</v>
      </c>
    </row>
    <row r="48">
      <c r="A48" s="1" t="n">
        <v>5</v>
      </c>
      <c r="B48" s="263">
        <f>IF(MAESTRO!F7="","",MAESTRO!F7)</f>
        <v/>
      </c>
      <c r="C48" s="189" t="n"/>
      <c r="D48" s="189"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5</v>
      </c>
    </row>
    <row r="49">
      <c r="A49" s="1" t="n">
        <v>6</v>
      </c>
      <c r="B49" s="263">
        <f>IF(MAESTRO!F8="","",MAESTRO!F8)</f>
        <v/>
      </c>
      <c r="C49" s="263" t="n"/>
      <c r="D49" s="263" t="n"/>
      <c r="E49" s="263" t="n"/>
      <c r="F49" s="263" t="n"/>
      <c r="G49" s="263" t="n"/>
      <c r="H49" s="263" t="n"/>
      <c r="I49" s="263" t="n"/>
      <c r="J49" s="263" t="n"/>
      <c r="K49" s="263" t="n"/>
      <c r="L49" s="263" t="n"/>
      <c r="M49" s="263"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6</v>
      </c>
    </row>
    <row r="50">
      <c r="A50" s="1" t="n">
        <v>7</v>
      </c>
      <c r="B50" s="263">
        <f>IF(MAESTRO!F9="","",MAESTRO!F9)</f>
        <v/>
      </c>
      <c r="C50" s="263" t="n"/>
      <c r="D50" s="263" t="n"/>
      <c r="E50" s="263" t="n"/>
      <c r="F50" s="263" t="n"/>
      <c r="G50" s="263" t="n"/>
      <c r="H50" s="263" t="n"/>
      <c r="I50" s="263" t="n"/>
      <c r="J50" s="263" t="n"/>
      <c r="K50" s="263" t="n"/>
      <c r="L50" s="263" t="n"/>
      <c r="M50" s="263"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7</v>
      </c>
    </row>
    <row r="51">
      <c r="A51" s="1" t="n">
        <v>8</v>
      </c>
      <c r="B51" s="263">
        <f>IF(MAESTRO!F10="","",MAESTRO!F10)</f>
        <v/>
      </c>
      <c r="C51" s="263" t="n"/>
      <c r="D51" s="263" t="n"/>
      <c r="E51" s="263" t="n"/>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8</v>
      </c>
    </row>
    <row r="52">
      <c r="A52" s="1" t="n">
        <v>9</v>
      </c>
      <c r="B52" s="263">
        <f>IF(MAESTRO!F11="","",MAESTRO!F11)</f>
        <v/>
      </c>
      <c r="C52" s="263" t="n"/>
      <c r="D52" s="263" t="n"/>
      <c r="E52" s="263" t="n"/>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9</v>
      </c>
    </row>
    <row r="53">
      <c r="A53" s="1" t="n">
        <v>10</v>
      </c>
      <c r="B53" s="263">
        <f>IF(MAESTRO!F12="","",MAESTRO!F12)</f>
        <v/>
      </c>
      <c r="C53" s="263" t="n"/>
      <c r="D53" s="263" t="n"/>
      <c r="E53" s="263" t="n"/>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10</v>
      </c>
    </row>
    <row r="54">
      <c r="A54" s="1" t="n">
        <v>11</v>
      </c>
      <c r="B54" s="263">
        <f>IF(MAESTRO!F13="","",MAESTRO!F13)</f>
        <v/>
      </c>
      <c r="C54" s="263" t="n"/>
      <c r="D54" s="263" t="n"/>
      <c r="E54" s="263" t="n"/>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11</v>
      </c>
    </row>
    <row r="55">
      <c r="A55" s="1" t="n">
        <v>12</v>
      </c>
      <c r="B55" s="263">
        <f>IF(MAESTRO!F14="","",MAESTRO!F14)</f>
        <v/>
      </c>
      <c r="C55" s="263" t="n"/>
      <c r="D55" s="263" t="n"/>
      <c r="E55" s="263" t="n"/>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12</v>
      </c>
    </row>
    <row r="56">
      <c r="A56" s="1" t="n">
        <v>13</v>
      </c>
      <c r="B56" s="263">
        <f>IF(MAESTRO!F15="","",MAESTRO!F15)</f>
        <v/>
      </c>
      <c r="C56" s="263" t="n"/>
      <c r="D56" s="263" t="n"/>
      <c r="E56" s="263" t="n"/>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13</v>
      </c>
    </row>
    <row r="57">
      <c r="A57" s="1" t="n">
        <v>14</v>
      </c>
      <c r="B57" s="263">
        <f>IF(MAESTRO!F16="","",MAESTRO!F16)</f>
        <v/>
      </c>
      <c r="C57" s="263" t="n"/>
      <c r="D57" s="263" t="n"/>
      <c r="E57" s="263" t="n"/>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14</v>
      </c>
    </row>
    <row r="58">
      <c r="A58" s="1" t="n">
        <v>15</v>
      </c>
      <c r="B58" s="263">
        <f>IF(MAESTRO!F17="","",MAESTRO!F17)</f>
        <v/>
      </c>
      <c r="C58" s="263" t="n"/>
      <c r="D58" s="263" t="n"/>
      <c r="E58" s="263" t="n"/>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15</v>
      </c>
    </row>
    <row r="59">
      <c r="A59" s="1" t="n">
        <v>16</v>
      </c>
      <c r="B59" s="263">
        <f>IF(MAESTRO!F18="","",MAESTRO!F18)</f>
        <v/>
      </c>
      <c r="C59" s="263" t="n"/>
      <c r="D59" s="263" t="n"/>
      <c r="E59" s="263" t="n"/>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16</v>
      </c>
    </row>
    <row r="60">
      <c r="A60" s="1" t="n">
        <v>17</v>
      </c>
      <c r="B60" s="263">
        <f>IF(MAESTRO!F19="","",MAESTRO!F19)</f>
        <v/>
      </c>
      <c r="C60" s="263" t="n"/>
      <c r="D60" s="263" t="n"/>
      <c r="E60" s="263" t="n"/>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17</v>
      </c>
    </row>
    <row r="61">
      <c r="A61" s="1" t="n">
        <v>18</v>
      </c>
      <c r="B61" s="263">
        <f>IF(MAESTRO!F20="","",MAESTRO!F20)</f>
        <v/>
      </c>
      <c r="C61" s="189" t="n"/>
      <c r="D61" s="189" t="n"/>
      <c r="E61" s="189" t="n"/>
      <c r="F61" s="189" t="n"/>
      <c r="G61" s="189" t="n"/>
      <c r="H61" s="189" t="n"/>
      <c r="I61" s="189" t="n"/>
      <c r="J61" s="189" t="n"/>
      <c r="K61" s="189" t="n"/>
      <c r="L61" s="189" t="n"/>
      <c r="M61" s="189"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18</v>
      </c>
    </row>
    <row r="62">
      <c r="A62" s="1" t="n">
        <v>19</v>
      </c>
      <c r="B62" s="263">
        <f>IF(MAESTRO!F21="","",MAESTRO!F21)</f>
        <v/>
      </c>
      <c r="C62" s="189" t="n"/>
      <c r="D62" s="189" t="n"/>
      <c r="E62" s="189" t="n"/>
      <c r="F62" s="189" t="n"/>
      <c r="G62" s="189" t="n"/>
      <c r="H62" s="189" t="n"/>
      <c r="I62" s="189" t="n"/>
      <c r="J62" s="189" t="n"/>
      <c r="K62" s="189" t="n"/>
      <c r="L62" s="189" t="n"/>
      <c r="M62" s="189"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19</v>
      </c>
    </row>
    <row r="63">
      <c r="A63" s="1" t="n">
        <v>20</v>
      </c>
      <c r="B63" s="263">
        <f>IF(MAESTRO!F22="","",MAESTRO!F22)</f>
        <v/>
      </c>
      <c r="C63" s="189" t="n"/>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20</v>
      </c>
    </row>
    <row r="64">
      <c r="A64" s="1" t="n">
        <v>21</v>
      </c>
      <c r="B64" s="263">
        <f>IF(MAESTRO!F23="","",MAESTRO!F23)</f>
        <v/>
      </c>
      <c r="C64" s="189" t="n"/>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21</v>
      </c>
    </row>
    <row r="65">
      <c r="A65" s="1" t="n">
        <v>22</v>
      </c>
      <c r="B65" s="263">
        <f>IF(MAESTRO!F24="","",MAESTRO!F24)</f>
        <v/>
      </c>
      <c r="C65" s="189" t="n"/>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22</v>
      </c>
    </row>
    <row r="66">
      <c r="A66" s="1" t="n">
        <v>23</v>
      </c>
      <c r="B66" s="263">
        <f>IF(MAESTRO!F25="","",MAESTRO!F25)</f>
        <v/>
      </c>
      <c r="C66" s="189" t="n"/>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23</v>
      </c>
    </row>
    <row r="67">
      <c r="A67" s="1" t="n">
        <v>24</v>
      </c>
      <c r="B67" s="263">
        <f>IF(MAESTRO!F26="","",MAESTRO!F26)</f>
        <v/>
      </c>
      <c r="C67" s="189" t="n"/>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24</v>
      </c>
    </row>
    <row r="68">
      <c r="A68" s="1" t="n">
        <v>25</v>
      </c>
      <c r="B68" s="263">
        <f>IF(MAESTRO!F27="","",MAESTRO!F27)</f>
        <v/>
      </c>
      <c r="C68" s="189" t="n"/>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25</v>
      </c>
    </row>
    <row r="69">
      <c r="A69" s="1" t="n">
        <v>26</v>
      </c>
      <c r="B69" s="263">
        <f>IF(MAESTRO!F28="","",MAESTRO!F28)</f>
        <v/>
      </c>
      <c r="C69" s="189" t="n"/>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26</v>
      </c>
    </row>
    <row r="70">
      <c r="A70" s="1" t="n">
        <v>27</v>
      </c>
      <c r="B70" s="263">
        <f>IF(MAESTRO!F29="","",MAESTRO!F29)</f>
        <v/>
      </c>
      <c r="C70" s="189" t="n"/>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27</v>
      </c>
    </row>
    <row r="71">
      <c r="A71" s="1" t="n">
        <v>28</v>
      </c>
      <c r="B71" s="263">
        <f>IF(MAESTRO!F30="","",MAESTRO!F30)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28</v>
      </c>
    </row>
    <row r="72">
      <c r="A72" s="1" t="n">
        <v>29</v>
      </c>
      <c r="B72" s="263">
        <f>IF(MAESTRO!F31="","",MAESTRO!F31)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29</v>
      </c>
    </row>
    <row r="73">
      <c r="A73" s="1" t="n">
        <v>30</v>
      </c>
      <c r="B73" s="263">
        <f>IF(MAESTRO!F32="","",MAESTRO!F32)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30</v>
      </c>
    </row>
    <row r="74">
      <c r="A74" s="1" t="n">
        <v>31</v>
      </c>
      <c r="B74" s="263">
        <f>IF(MAESTRO!F33="","",MAESTRO!F33)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31</v>
      </c>
    </row>
    <row r="75">
      <c r="A75" s="1" t="n">
        <v>32</v>
      </c>
      <c r="B75" s="263">
        <f>IF(MAESTRO!F34="","",MAESTRO!F34)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32</v>
      </c>
    </row>
    <row r="76">
      <c r="A76" s="1" t="n">
        <v>33</v>
      </c>
      <c r="B76" s="263">
        <f>IF(MAESTRO!F35="","",MAESTRO!F35)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33</v>
      </c>
    </row>
    <row r="77">
      <c r="A77" s="1" t="n">
        <v>34</v>
      </c>
      <c r="B77" s="263">
        <f>IF(MAESTRO!F36="","",MAESTRO!F36)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34</v>
      </c>
    </row>
    <row r="78">
      <c r="A78" s="1" t="n">
        <v>35</v>
      </c>
      <c r="B78" s="263">
        <f>IF(MAESTRO!F37="","",MAESTRO!F37)</f>
        <v/>
      </c>
      <c r="C78" s="189" t="inlineStr">
        <is>
          <t>.</t>
        </is>
      </c>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35</v>
      </c>
    </row>
    <row r="79">
      <c r="A79" s="1" t="n">
        <v>36</v>
      </c>
      <c r="B79" s="263">
        <f>IF(MAESTRO!F38="","",MAESTRO!F38)</f>
        <v/>
      </c>
      <c r="C79" s="189" t="inlineStr">
        <is>
          <t>.</t>
        </is>
      </c>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36</v>
      </c>
    </row>
    <row r="80">
      <c r="A80" s="1" t="n">
        <v>37</v>
      </c>
      <c r="B80" s="263">
        <f>IF(MAESTRO!F39="","",MAESTRO!F39)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37</v>
      </c>
    </row>
    <row r="81">
      <c r="A81" s="1" t="n">
        <v>38</v>
      </c>
      <c r="B81" s="263">
        <f>IF(MAESTRO!F40="","",MAESTRO!F40)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38</v>
      </c>
    </row>
    <row r="82">
      <c r="A82" s="1" t="n">
        <v>39</v>
      </c>
      <c r="B82" s="263">
        <f>IF(MAESTRO!F41="","",MAESTRO!F41)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39</v>
      </c>
    </row>
    <row r="83">
      <c r="A83" s="1" t="n">
        <v>40</v>
      </c>
      <c r="B83" s="263">
        <f>IF(MAESTRO!F42="","",MAESTRO!F42)</f>
        <v/>
      </c>
      <c r="C83" s="189" t="n"/>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40</v>
      </c>
    </row>
    <row r="84">
      <c r="A84" s="1" t="n">
        <v>41</v>
      </c>
      <c r="B84" s="263">
        <f>IF(MAESTRO!F43="","",MAESTRO!F43)</f>
        <v/>
      </c>
      <c r="C84" s="189" t="n"/>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41</v>
      </c>
    </row>
    <row r="85" ht="31.2" customHeight="1" s="195">
      <c r="A85" s="182" t="n"/>
      <c r="B85" s="187">
        <f>IF(MAESTRO!F44="","",MAESTRO!F44)</f>
        <v/>
      </c>
      <c r="C85" s="189" t="inlineStr">
        <is>
          <t>ASISTENCIA DEL___22__DE___SEPTIEMBRE__AL__19__DE___DICIEMBRE___</t>
        </is>
      </c>
      <c r="D85" s="185" t="n"/>
      <c r="E85" s="185" t="n"/>
      <c r="F85" s="185" t="n"/>
      <c r="G85" s="185" t="n"/>
      <c r="H85" s="185" t="n"/>
      <c r="I85" s="185" t="n"/>
      <c r="J85" s="185" t="n"/>
      <c r="K85" s="185" t="n"/>
      <c r="L85" s="185" t="n"/>
      <c r="M85" s="185" t="n"/>
      <c r="N85" s="185" t="n"/>
      <c r="O85" s="185" t="n"/>
      <c r="P85" s="185" t="n"/>
      <c r="Q85" s="185" t="n"/>
      <c r="R85" s="185" t="n"/>
      <c r="S85" s="185" t="n"/>
      <c r="T85" s="185" t="n"/>
      <c r="U85" s="185" t="n"/>
      <c r="V85" s="185" t="n"/>
      <c r="W85" s="185" t="n"/>
      <c r="X85" s="185" t="n"/>
      <c r="Y85" s="185" t="n"/>
      <c r="Z85" s="185" t="n"/>
      <c r="AA85" s="185" t="n"/>
      <c r="AB85" s="185" t="n"/>
      <c r="AC85" s="185" t="n"/>
      <c r="AD85" s="185" t="n"/>
      <c r="AE85" s="185" t="n"/>
      <c r="AF85" s="185" t="n"/>
      <c r="AG85" s="185" t="n"/>
      <c r="AH85" s="185" t="n"/>
      <c r="AI85" s="185" t="n"/>
      <c r="AJ85" s="185" t="n"/>
      <c r="AK85" s="185" t="n"/>
      <c r="AL85" s="185" t="n"/>
      <c r="AM85" s="185" t="n"/>
      <c r="AN85" s="185" t="n"/>
      <c r="AO85" s="185" t="n"/>
      <c r="AP85" s="185" t="n"/>
      <c r="AQ85" s="185" t="n"/>
      <c r="AR85" s="185" t="n"/>
      <c r="AS85" s="185" t="n"/>
      <c r="AT85" s="185" t="n"/>
      <c r="AU85" s="185" t="n"/>
      <c r="AV85" s="185" t="n"/>
      <c r="AW85" s="185" t="n"/>
      <c r="AX85" s="185" t="n"/>
      <c r="AY85" s="185" t="n"/>
      <c r="AZ85" s="185" t="n"/>
      <c r="BA85" s="185" t="n"/>
      <c r="BB85" s="185" t="n"/>
      <c r="BC85" s="185" t="n"/>
      <c r="BD85" s="185" t="n"/>
      <c r="BE85" s="185" t="n"/>
      <c r="BF85" s="185" t="n"/>
      <c r="BG85" s="185" t="n"/>
      <c r="BH85" s="186" t="n"/>
      <c r="BI85" s="189" t="inlineStr">
        <is>
          <t>TERCER TRIMESTRE</t>
        </is>
      </c>
      <c r="BJ85" s="186" t="n"/>
      <c r="BK85" s="188" t="inlineStr">
        <is>
          <t>OBSERVACIONES</t>
        </is>
      </c>
      <c r="BL85" s="73" t="n"/>
    </row>
    <row r="86" ht="43.2" customHeight="1" s="195">
      <c r="A86" s="183" t="n"/>
      <c r="B86" s="183"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3" t="n"/>
      <c r="BL86" s="73" t="n"/>
    </row>
    <row r="87" ht="13.2" customHeight="1" s="195">
      <c r="A87" s="1" t="n">
        <v>1</v>
      </c>
      <c r="B87" s="263">
        <f>B44</f>
        <v/>
      </c>
      <c r="C87" s="189" t="n"/>
      <c r="D87" s="88" t="n"/>
      <c r="E87" s="189" t="n"/>
      <c r="F87" s="189" t="n"/>
      <c r="G87" s="88" t="n"/>
      <c r="H87" s="88" t="n"/>
      <c r="I87" s="189" t="n"/>
      <c r="J87" s="189" t="n"/>
      <c r="K87" s="189" t="n"/>
      <c r="L87" s="189" t="n"/>
      <c r="M87" s="189" t="n"/>
      <c r="N87" s="189" t="n"/>
      <c r="O87" s="189" t="n"/>
      <c r="P87" s="189" t="n"/>
      <c r="Q87" s="189" t="n"/>
      <c r="R87" s="189" t="n"/>
      <c r="S87" s="189" t="n"/>
      <c r="T87" s="189" t="n"/>
      <c r="U87" s="189" t="n"/>
      <c r="V87" s="189" t="n"/>
      <c r="W87" s="189" t="n"/>
      <c r="X87" s="189" t="n"/>
      <c r="Y87" s="189" t="n"/>
      <c r="Z87" s="89" t="n"/>
      <c r="AA87" s="89" t="n"/>
      <c r="AD87" s="89" t="n"/>
      <c r="AE87" s="89" t="n"/>
      <c r="AF87" s="89" t="n"/>
      <c r="AG87" s="89" t="n"/>
      <c r="AH87" s="89" t="n"/>
      <c r="AI87" s="89" t="n"/>
      <c r="AJ87" s="89" t="n"/>
      <c r="AK87" s="89" t="n"/>
      <c r="AL87" s="89" t="n"/>
      <c r="AM87" s="89" t="n"/>
      <c r="AN87" s="89" t="n"/>
      <c r="AO87" s="89" t="n"/>
      <c r="AP87" s="89" t="n"/>
      <c r="AQ87" s="89" t="n"/>
      <c r="AR87" s="189" t="n"/>
      <c r="AS87" s="189" t="n"/>
      <c r="AT87" s="189" t="n"/>
      <c r="AU87" s="189" t="n"/>
      <c r="AV87" s="189" t="n"/>
      <c r="AW87" s="189" t="n"/>
      <c r="AX87" s="189" t="n"/>
      <c r="AY87" s="189" t="n"/>
      <c r="AZ87" s="189" t="n"/>
      <c r="BA87" s="189" t="n"/>
      <c r="BB87" s="189" t="n"/>
      <c r="BC87" s="189" t="n"/>
      <c r="BD87" s="189" t="n"/>
      <c r="BE87" s="189" t="n"/>
      <c r="BF87" s="189" t="n"/>
      <c r="BG87" s="189" t="n"/>
      <c r="BH87" s="263" t="n"/>
      <c r="BI87" s="263">
        <f>IFERROR(COUNTIF(C87:BH87,"-"),"")</f>
        <v/>
      </c>
      <c r="BJ87" s="263">
        <f>IFERROR(COUNTIF(D87:BI87,"T"),"")</f>
        <v/>
      </c>
      <c r="BK87" s="263" t="n"/>
      <c r="BL87" s="3" t="n">
        <v>1</v>
      </c>
    </row>
    <row r="88" ht="14.4" customHeight="1" s="195">
      <c r="A88" s="1" t="n">
        <v>2</v>
      </c>
      <c r="B88" s="263">
        <f>B45</f>
        <v/>
      </c>
      <c r="C88" s="189" t="n"/>
      <c r="D88" s="88" t="n"/>
      <c r="E88" s="189" t="n"/>
      <c r="F88" s="189" t="n"/>
      <c r="G88" s="88" t="n"/>
      <c r="H88" s="88" t="n"/>
      <c r="I88" s="189" t="n"/>
      <c r="J88" s="189" t="n"/>
      <c r="K88" s="189" t="n"/>
      <c r="L88" s="189" t="n"/>
      <c r="M88" s="189" t="n"/>
      <c r="N88" s="189" t="n"/>
      <c r="O88" s="189" t="n"/>
      <c r="P88" s="189" t="n"/>
      <c r="Q88" s="189" t="n"/>
      <c r="R88" s="189" t="n"/>
      <c r="S88" s="189" t="n"/>
      <c r="T88" s="189" t="n"/>
      <c r="U88" s="189" t="n"/>
      <c r="V88" s="189" t="n"/>
      <c r="W88" s="189" t="n"/>
      <c r="X88" s="189" t="n"/>
      <c r="Y88" s="189" t="n"/>
      <c r="Z88" s="89" t="n"/>
      <c r="AA88" s="89" t="n"/>
      <c r="AB88" s="189" t="n"/>
      <c r="AC88" s="189" t="n"/>
      <c r="AD88" s="89" t="n"/>
      <c r="AE88" s="89" t="n"/>
      <c r="AF88" s="89" t="n"/>
      <c r="AG88" s="89" t="n"/>
      <c r="AH88" s="89" t="n"/>
      <c r="AI88" s="89" t="n"/>
      <c r="AJ88" s="89" t="n"/>
      <c r="AK88" s="89" t="n"/>
      <c r="AL88" s="89" t="n"/>
      <c r="AM88" s="89" t="n"/>
      <c r="AN88" s="89" t="n"/>
      <c r="AO88" s="89" t="n"/>
      <c r="AP88" s="89" t="n"/>
      <c r="AQ88" s="89" t="n"/>
      <c r="AR88" s="189" t="n"/>
      <c r="AS88" s="189" t="n"/>
      <c r="AT88" s="189" t="n"/>
      <c r="AU88" s="189" t="n"/>
      <c r="AV88" s="189" t="n"/>
      <c r="AW88" s="189" t="n"/>
      <c r="AX88" s="189" t="n"/>
      <c r="AY88" s="189" t="n"/>
      <c r="AZ88" s="189" t="n"/>
      <c r="BA88" s="189" t="n"/>
      <c r="BB88" s="189" t="n"/>
      <c r="BC88" s="189" t="n"/>
      <c r="BD88" s="189" t="n"/>
      <c r="BE88" s="189" t="n"/>
      <c r="BF88" s="189" t="n"/>
      <c r="BG88" s="189" t="n"/>
      <c r="BH88" s="263" t="n"/>
      <c r="BI88" s="263">
        <f>IFERROR(COUNTIF(C88:BH88,"-"),"")</f>
        <v/>
      </c>
      <c r="BJ88" s="263">
        <f>IFERROR(COUNTIF(D88:BI88,"T"),"")</f>
        <v/>
      </c>
      <c r="BK88" s="263" t="n"/>
      <c r="BL88" s="3" t="n">
        <v>2</v>
      </c>
    </row>
    <row r="89">
      <c r="A89" s="1" t="n">
        <v>3</v>
      </c>
      <c r="B89" s="263">
        <f>IF(MAESTRO!F5="","",MAESTRO!F5)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B89" s="189" t="n"/>
      <c r="AC89" s="1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3</v>
      </c>
    </row>
    <row r="90" ht="14.4" customHeight="1" s="195">
      <c r="A90" s="1" t="n">
        <v>4</v>
      </c>
      <c r="B90" s="263">
        <f>IF(MAESTRO!F6="","",MAESTRO!F6)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4</v>
      </c>
    </row>
    <row r="91">
      <c r="A91" s="1" t="n">
        <v>5</v>
      </c>
      <c r="B91" s="263">
        <f>IF(MAESTRO!F7="","",MAESTRO!F7)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5</v>
      </c>
    </row>
    <row r="92">
      <c r="A92" s="1" t="n">
        <v>6</v>
      </c>
      <c r="B92" s="263">
        <f>IF(MAESTRO!F8="","",MAESTRO!F8)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6</v>
      </c>
    </row>
    <row r="93">
      <c r="A93" s="1" t="n">
        <v>7</v>
      </c>
      <c r="B93" s="263">
        <f>IF(MAESTRO!F9="","",MAESTRO!F9)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7</v>
      </c>
    </row>
    <row r="94">
      <c r="A94" s="1" t="n">
        <v>8</v>
      </c>
      <c r="B94" s="263">
        <f>IF(MAESTRO!F10="","",MAESTRO!F10)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8</v>
      </c>
    </row>
    <row r="95">
      <c r="A95" s="1" t="n">
        <v>9</v>
      </c>
      <c r="B95" s="263">
        <f>IF(MAESTRO!F11="","",MAESTRO!F11)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9</v>
      </c>
    </row>
    <row r="96">
      <c r="A96" s="1" t="n">
        <v>10</v>
      </c>
      <c r="B96" s="263">
        <f>IF(MAESTRO!F12="","",MAESTRO!F12)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10</v>
      </c>
    </row>
    <row r="97">
      <c r="A97" s="1" t="n">
        <v>11</v>
      </c>
      <c r="B97" s="263">
        <f>IF(MAESTRO!F13="","",MAESTRO!F13)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11</v>
      </c>
    </row>
    <row r="98">
      <c r="A98" s="1" t="n">
        <v>12</v>
      </c>
      <c r="B98" s="263">
        <f>IF(MAESTRO!F14="","",MAESTRO!F14)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12</v>
      </c>
    </row>
    <row r="99">
      <c r="A99" s="1" t="n">
        <v>13</v>
      </c>
      <c r="B99" s="263">
        <f>IF(MAESTRO!F15="","",MAESTRO!F15)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13</v>
      </c>
    </row>
    <row r="100">
      <c r="A100" s="1" t="n">
        <v>14</v>
      </c>
      <c r="B100" s="263">
        <f>IF(MAESTRO!F16="","",MAESTRO!F16)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14</v>
      </c>
    </row>
    <row r="101">
      <c r="A101" s="1" t="n">
        <v>15</v>
      </c>
      <c r="B101" s="263">
        <f>IF(MAESTRO!F17="","",MAESTRO!F17)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15</v>
      </c>
    </row>
    <row r="102">
      <c r="A102" s="1" t="n">
        <v>16</v>
      </c>
      <c r="B102" s="263">
        <f>IF(MAESTRO!F18="","",MAESTRO!F18)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16</v>
      </c>
    </row>
    <row r="103">
      <c r="A103" s="1" t="n">
        <v>17</v>
      </c>
      <c r="B103" s="263">
        <f>IF(MAESTRO!F19="","",MAESTRO!F19)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17</v>
      </c>
    </row>
    <row r="104">
      <c r="A104" s="1" t="n">
        <v>18</v>
      </c>
      <c r="B104" s="263">
        <f>IF(MAESTRO!F20="","",MAESTRO!F20)</f>
        <v/>
      </c>
      <c r="C104" s="189" t="n"/>
      <c r="D104" s="189" t="n"/>
      <c r="E104" s="189" t="n"/>
      <c r="F104" s="189" t="n"/>
      <c r="G104" s="189" t="n"/>
      <c r="H104" s="189"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189" t="n"/>
      <c r="AA104" s="189" t="n"/>
      <c r="AB104" s="189" t="n"/>
      <c r="AC104" s="189" t="n"/>
      <c r="AD104" s="189" t="n"/>
      <c r="AE104" s="189" t="n"/>
      <c r="AF104" s="189" t="n"/>
      <c r="AG104" s="189" t="n"/>
      <c r="AH104" s="189" t="n"/>
      <c r="AI104" s="189" t="n"/>
      <c r="AJ104" s="189" t="n"/>
      <c r="AK104" s="189" t="n"/>
      <c r="AL104" s="189" t="n"/>
      <c r="AM104" s="189" t="n"/>
      <c r="AN104" s="189" t="n"/>
      <c r="AO104" s="189" t="n"/>
      <c r="AP104" s="189" t="n"/>
      <c r="AQ104" s="1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18</v>
      </c>
    </row>
    <row r="105">
      <c r="A105" s="1" t="n">
        <v>19</v>
      </c>
      <c r="B105" s="263">
        <f>IF(MAESTRO!F21="","",MAESTRO!F21)</f>
        <v/>
      </c>
      <c r="C105" s="189" t="n"/>
      <c r="D105" s="189" t="n"/>
      <c r="E105" s="189" t="n"/>
      <c r="F105" s="189" t="n"/>
      <c r="G105" s="189" t="n"/>
      <c r="H105" s="189"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189" t="n"/>
      <c r="AA105" s="189" t="n"/>
      <c r="AB105" s="189" t="n"/>
      <c r="AC105" s="189" t="n"/>
      <c r="AD105" s="189" t="n"/>
      <c r="AE105" s="189" t="n"/>
      <c r="AF105" s="189" t="n"/>
      <c r="AG105" s="189" t="n"/>
      <c r="AH105" s="189" t="n"/>
      <c r="AI105" s="189" t="n"/>
      <c r="AJ105" s="189" t="n"/>
      <c r="AK105" s="189" t="n"/>
      <c r="AL105" s="189" t="n"/>
      <c r="AM105" s="189" t="n"/>
      <c r="AN105" s="189" t="n"/>
      <c r="AO105" s="189" t="n"/>
      <c r="AP105" s="189" t="n"/>
      <c r="AQ105" s="1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19</v>
      </c>
    </row>
    <row r="106">
      <c r="A106" s="1" t="n">
        <v>20</v>
      </c>
      <c r="B106" s="263">
        <f>IF(MAESTRO!F22="","",MAESTRO!F22)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20</v>
      </c>
    </row>
    <row r="107">
      <c r="A107" s="1" t="n">
        <v>21</v>
      </c>
      <c r="B107" s="263">
        <f>IF(MAESTRO!F23="","",MAESTRO!F23)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21</v>
      </c>
    </row>
    <row r="108">
      <c r="A108" s="1" t="n">
        <v>22</v>
      </c>
      <c r="B108" s="263">
        <f>IF(MAESTRO!F24="","",MAESTRO!F24)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22</v>
      </c>
    </row>
    <row r="109">
      <c r="A109" s="1" t="n">
        <v>23</v>
      </c>
      <c r="B109" s="263">
        <f>IF(MAESTRO!F25="","",MAESTRO!F25)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23</v>
      </c>
    </row>
    <row r="110">
      <c r="A110" s="1" t="n">
        <v>24</v>
      </c>
      <c r="B110" s="263">
        <f>IF(MAESTRO!F26="","",MAESTRO!F26)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24</v>
      </c>
    </row>
    <row r="111">
      <c r="A111" s="1" t="n">
        <v>25</v>
      </c>
      <c r="B111" s="263">
        <f>IF(MAESTRO!F27="","",MAESTRO!F27)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25</v>
      </c>
    </row>
    <row r="112">
      <c r="A112" s="1" t="n">
        <v>26</v>
      </c>
      <c r="B112" s="263">
        <f>IF(MAESTRO!F28="","",MAESTRO!F28)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26</v>
      </c>
    </row>
    <row r="113">
      <c r="A113" s="1" t="n">
        <v>27</v>
      </c>
      <c r="B113" s="263">
        <f>IF(MAESTRO!F29="","",MAESTRO!F29)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27</v>
      </c>
    </row>
    <row r="114">
      <c r="A114" s="1" t="n">
        <v>28</v>
      </c>
      <c r="B114" s="263">
        <f>IF(MAESTRO!F30="","",MAESTRO!F30)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28</v>
      </c>
    </row>
    <row r="115">
      <c r="A115" s="1" t="n">
        <v>29</v>
      </c>
      <c r="B115" s="263">
        <f>IF(MAESTRO!F31="","",MAESTRO!F31)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29</v>
      </c>
    </row>
    <row r="116">
      <c r="A116" s="1" t="n">
        <v>30</v>
      </c>
      <c r="B116" s="263">
        <f>IF(MAESTRO!F32="","",MAESTRO!F32)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30</v>
      </c>
    </row>
    <row r="117">
      <c r="A117" s="1" t="n">
        <v>31</v>
      </c>
      <c r="B117" s="263">
        <f>IF(MAESTRO!F33="","",MAESTRO!F33)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31</v>
      </c>
    </row>
    <row r="118">
      <c r="A118" s="1" t="n">
        <v>32</v>
      </c>
      <c r="B118" s="263">
        <f>IF(MAESTRO!F34="","",MAESTRO!F34)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32</v>
      </c>
    </row>
    <row r="119">
      <c r="A119" s="1" t="n">
        <v>33</v>
      </c>
      <c r="B119" s="263">
        <f>IF(MAESTRO!F35="","",MAESTRO!F35)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33</v>
      </c>
    </row>
    <row r="120">
      <c r="A120" s="1" t="n">
        <v>34</v>
      </c>
      <c r="B120" s="263">
        <f>IF(MAESTRO!F36="","",MAESTRO!F36)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34</v>
      </c>
    </row>
    <row r="121">
      <c r="A121" s="1" t="n">
        <v>35</v>
      </c>
      <c r="B121" s="263">
        <f>IF(MAESTRO!F37="","",MAESTRO!F37)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35</v>
      </c>
    </row>
    <row r="122">
      <c r="A122" s="1" t="n">
        <v>36</v>
      </c>
      <c r="B122" s="263">
        <f>IF(MAESTRO!F38="","",MAESTRO!F38)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36</v>
      </c>
    </row>
    <row r="123">
      <c r="A123" s="1" t="n">
        <v>37</v>
      </c>
      <c r="B123" s="263">
        <f>IF(MAESTRO!F39="","",MAESTRO!F39)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37</v>
      </c>
    </row>
    <row r="124">
      <c r="A124" s="1" t="n">
        <v>38</v>
      </c>
      <c r="B124" s="263">
        <f>IF(MAESTRO!F40="","",MAESTRO!F40)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38</v>
      </c>
    </row>
    <row r="125">
      <c r="A125" s="1" t="n">
        <v>39</v>
      </c>
      <c r="B125" s="263">
        <f>IF(MAESTRO!F41="","",MAESTRO!F41)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39</v>
      </c>
    </row>
    <row r="126">
      <c r="A126" s="1" t="n">
        <v>40</v>
      </c>
      <c r="B126" s="263">
        <f>IF(MAESTRO!F42="","",MAESTRO!F42)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40</v>
      </c>
    </row>
    <row r="127">
      <c r="A127" s="1" t="n">
        <v>41</v>
      </c>
      <c r="B127" s="263">
        <f>IF(MAESTRO!F43="","",MAESTRO!F43)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41</v>
      </c>
    </row>
    <row r="128">
      <c r="A128" s="1" t="n">
        <v>42</v>
      </c>
      <c r="B128" s="263">
        <f>IF(MAESTRO!F44="","",MAESTRO!F44)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42</v>
      </c>
    </row>
    <row r="134" ht="13.5" customHeight="1" s="195"/>
    <row r="135" ht="14.4" customHeight="1" s="195">
      <c r="A135" s="83" t="n"/>
      <c r="B135" s="82" t="n"/>
      <c r="BI135" s="194" t="n"/>
      <c r="BK135" s="75" t="n"/>
      <c r="BL135" s="75" t="n"/>
    </row>
    <row r="136" ht="21.75" customHeight="1" s="195">
      <c r="A136" s="83" t="n"/>
      <c r="B136" s="82" t="n"/>
      <c r="BI136" s="81" t="n"/>
      <c r="BJ136" s="81" t="n"/>
      <c r="BK136" s="75" t="n"/>
      <c r="BL136" s="75" t="n"/>
    </row>
  </sheetData>
  <mergeCells count="16">
    <mergeCell ref="BK85:BK86"/>
    <mergeCell ref="BI135:BJ135"/>
    <mergeCell ref="A42:A43"/>
    <mergeCell ref="BI1:BJ1"/>
    <mergeCell ref="B85:B86"/>
    <mergeCell ref="B1:B2"/>
    <mergeCell ref="C1:BH1"/>
    <mergeCell ref="BK42:BK43"/>
    <mergeCell ref="BK1:BL2"/>
    <mergeCell ref="A85:A86"/>
    <mergeCell ref="B42:B43"/>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7"/>
    <col width="20.44140625" customWidth="1" style="195" min="98" max="98"/>
    <col width="3.109375" customWidth="1" style="195" min="99" max="99"/>
    <col width="2.77734375" customWidth="1" style="195" min="100" max="100"/>
    <col width="11.44140625" customWidth="1" style="195" min="101" max="101"/>
    <col width="14.33203125" customWidth="1" style="195" min="102" max="102"/>
    <col width="4.44140625" customWidth="1" style="195" min="103" max="128"/>
    <col width="4.77734375" customWidth="1" style="195" min="129" max="129"/>
    <col width="4.44140625" customWidth="1" style="195" min="130" max="131"/>
    <col width="20.44140625" customWidth="1" style="195" min="132" max="132"/>
    <col width="3.109375" customWidth="1" style="195" min="133" max="133"/>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5">
      <c r="A2" s="276" t="n"/>
      <c r="Q2" s="276" t="n"/>
      <c r="R2" s="194" t="n"/>
      <c r="AH2" s="276" t="n"/>
      <c r="AX2" s="194" t="n"/>
      <c r="BO2" s="276" t="n"/>
      <c r="CF2" s="194" t="n"/>
      <c r="CV2" s="276" t="n"/>
      <c r="DM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6" t="n"/>
      <c r="CO3" s="279" t="inlineStr">
        <is>
          <t>PROMEDIO</t>
        </is>
      </c>
      <c r="CP3" s="270" t="inlineStr">
        <is>
          <t>PRUEBAS BIMESTRALES 1/3</t>
        </is>
      </c>
      <c r="CQ3" s="191" t="n"/>
      <c r="CR3" s="279" t="inlineStr">
        <is>
          <t>PROMEDIO</t>
        </is>
      </c>
      <c r="CS3" s="291" t="inlineStr">
        <is>
          <t>CALIFICACIÓN           BIMESTRAL</t>
        </is>
      </c>
      <c r="CT3" s="217" t="inlineStr">
        <is>
          <t>OBSERVACIONES</t>
        </is>
      </c>
      <c r="CU3" s="191" t="n"/>
      <c r="CV3" s="194" t="n"/>
      <c r="CW3" s="292" t="n"/>
      <c r="CY3" s="285" t="n"/>
      <c r="DL3" s="287" t="n"/>
      <c r="DM3" s="285" t="n"/>
      <c r="DW3" s="287" t="n"/>
      <c r="DX3" s="298" t="n"/>
      <c r="DZ3" s="287" t="n"/>
      <c r="EA3" s="264" t="n"/>
      <c r="EB3" s="215" t="n"/>
    </row>
    <row r="4" ht="44.25" customHeight="1" s="195">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2" t="n"/>
      <c r="CQ4" s="193" t="n"/>
      <c r="CR4" s="183" t="n"/>
      <c r="CS4" s="183" t="n"/>
      <c r="CT4" s="192" t="n"/>
      <c r="CU4" s="193" t="n"/>
    </row>
    <row r="5" ht="13.5" customHeight="1" s="195">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7" t="n"/>
      <c r="CZ5" s="277" t="n"/>
      <c r="DA5" s="277" t="n"/>
      <c r="DB5" s="277" t="n"/>
      <c r="DC5" s="277" t="n"/>
      <c r="DD5" s="277" t="n"/>
      <c r="DE5" s="277" t="n"/>
      <c r="DF5" s="277" t="n"/>
      <c r="DG5" s="277" t="n"/>
      <c r="DH5" s="277" t="n"/>
      <c r="DI5" s="277" t="n"/>
      <c r="DJ5" s="277" t="n"/>
      <c r="DK5" s="277" t="n"/>
      <c r="DL5" s="277" t="n"/>
      <c r="DZ5" s="277" t="n"/>
      <c r="EA5" s="277" t="n"/>
    </row>
    <row r="6" ht="13.5" customHeight="1" s="195">
      <c r="A6" s="263" t="n">
        <v>2</v>
      </c>
      <c r="B6" s="9">
        <f>IF(MAESTRO!B6="","",MAESTRO!B6)</f>
        <v/>
      </c>
      <c r="C6" s="277"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7" t="n"/>
      <c r="CZ6" s="277" t="n"/>
      <c r="DA6" s="277" t="n"/>
      <c r="DB6" s="277" t="n"/>
      <c r="DC6" s="277" t="n"/>
      <c r="DD6" s="277" t="n"/>
      <c r="DE6" s="277" t="n"/>
      <c r="DF6" s="277" t="n"/>
      <c r="DG6" s="277" t="n"/>
      <c r="DH6" s="277" t="n"/>
      <c r="DI6" s="277" t="n"/>
      <c r="DJ6" s="277" t="n"/>
      <c r="DK6" s="277" t="n"/>
      <c r="DL6" s="277" t="n"/>
      <c r="DZ6" s="277" t="n"/>
      <c r="EA6" s="277" t="n"/>
    </row>
    <row r="7" ht="13.5" customHeight="1" s="195">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7" t="n"/>
      <c r="CZ7" s="277" t="n"/>
      <c r="DA7" s="277" t="n"/>
      <c r="DB7" s="277" t="n"/>
      <c r="DC7" s="277" t="n"/>
      <c r="DD7" s="277" t="n"/>
      <c r="DE7" s="277" t="n"/>
      <c r="DF7" s="277" t="n"/>
      <c r="DG7" s="277" t="n"/>
      <c r="DH7" s="277" t="n"/>
      <c r="DI7" s="277" t="n"/>
      <c r="DJ7" s="277" t="n"/>
      <c r="DK7" s="277" t="n"/>
      <c r="DL7" s="277" t="n"/>
      <c r="DZ7" s="277" t="n"/>
      <c r="EA7" s="277" t="n"/>
    </row>
    <row r="8" ht="13.2" customHeight="1" s="195">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7" t="n"/>
      <c r="CZ8" s="277" t="n"/>
      <c r="DA8" s="277" t="n"/>
      <c r="DB8" s="277" t="n"/>
      <c r="DC8" s="277" t="n"/>
      <c r="DD8" s="277" t="n"/>
      <c r="DE8" s="277" t="n"/>
      <c r="DF8" s="277" t="n"/>
      <c r="DG8" s="277" t="n"/>
      <c r="DH8" s="277" t="n"/>
      <c r="DI8" s="277" t="n"/>
      <c r="DJ8" s="277" t="n"/>
      <c r="DK8" s="277" t="n"/>
      <c r="DL8" s="277" t="n"/>
      <c r="DZ8" s="277" t="n"/>
      <c r="EA8" s="277" t="n"/>
    </row>
    <row r="9" ht="13.2" customHeight="1" s="195">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7" t="n"/>
      <c r="CZ9" s="277" t="n"/>
      <c r="DA9" s="277" t="n"/>
      <c r="DB9" s="277" t="n"/>
      <c r="DC9" s="277" t="n"/>
      <c r="DD9" s="277" t="n"/>
      <c r="DE9" s="277" t="n"/>
      <c r="DF9" s="277" t="n"/>
      <c r="DG9" s="277" t="n"/>
      <c r="DH9" s="277" t="n"/>
      <c r="DI9" s="277" t="n"/>
      <c r="DJ9" s="277" t="n"/>
      <c r="DK9" s="277" t="n"/>
      <c r="DL9" s="277" t="n"/>
      <c r="DZ9" s="277" t="n"/>
      <c r="EA9" s="277" t="n"/>
    </row>
    <row r="10" ht="13.5" customHeight="1" s="195">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7" t="n"/>
      <c r="CZ10" s="277" t="n"/>
      <c r="DA10" s="277" t="n"/>
      <c r="DB10" s="277" t="n"/>
      <c r="DC10" s="277" t="n"/>
      <c r="DD10" s="277" t="n"/>
      <c r="DE10" s="277" t="n"/>
      <c r="DF10" s="277" t="n"/>
      <c r="DG10" s="277" t="n"/>
      <c r="DH10" s="277" t="n"/>
      <c r="DI10" s="277" t="n"/>
      <c r="DJ10" s="277" t="n"/>
      <c r="DK10" s="277" t="n"/>
      <c r="DL10" s="277" t="n"/>
      <c r="DZ10" s="277" t="n"/>
      <c r="EA10" s="277" t="n"/>
    </row>
    <row r="11" ht="13.5" customHeight="1" s="195">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7" t="n"/>
      <c r="CZ11" s="277" t="n"/>
      <c r="DA11" s="277" t="n"/>
      <c r="DB11" s="277" t="n"/>
      <c r="DC11" s="277" t="n"/>
      <c r="DD11" s="277" t="n"/>
      <c r="DE11" s="277" t="n"/>
      <c r="DF11" s="277" t="n"/>
      <c r="DG11" s="277" t="n"/>
      <c r="DH11" s="277" t="n"/>
      <c r="DI11" s="277" t="n"/>
      <c r="DJ11" s="277" t="n"/>
      <c r="DK11" s="277" t="n"/>
      <c r="DL11" s="277" t="n"/>
      <c r="DZ11" s="277" t="n"/>
      <c r="EA11" s="277" t="n"/>
    </row>
    <row r="12" ht="13.5" customHeight="1" s="195">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7" t="n"/>
      <c r="CZ12" s="277" t="n"/>
      <c r="DA12" s="277" t="n"/>
      <c r="DB12" s="277" t="n"/>
      <c r="DC12" s="277" t="n"/>
      <c r="DD12" s="277" t="n"/>
      <c r="DE12" s="277" t="n"/>
      <c r="DF12" s="277" t="n"/>
      <c r="DG12" s="277" t="n"/>
      <c r="DH12" s="277" t="n"/>
      <c r="DI12" s="277" t="n"/>
      <c r="DJ12" s="277" t="n"/>
      <c r="DK12" s="277" t="n"/>
      <c r="DL12" s="277" t="n"/>
      <c r="DZ12" s="277" t="n"/>
      <c r="EA12" s="277" t="n"/>
    </row>
    <row r="13" ht="13.5" customHeight="1" s="195">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7" t="n"/>
      <c r="CZ13" s="277" t="n"/>
      <c r="DA13" s="277" t="n"/>
      <c r="DB13" s="277" t="n"/>
      <c r="DC13" s="277" t="n"/>
      <c r="DD13" s="277" t="n"/>
      <c r="DE13" s="277" t="n"/>
      <c r="DF13" s="277" t="n"/>
      <c r="DG13" s="277" t="n"/>
      <c r="DH13" s="277" t="n"/>
      <c r="DI13" s="277" t="n"/>
      <c r="DJ13" s="277" t="n"/>
      <c r="DK13" s="277" t="n"/>
      <c r="DL13" s="277" t="n"/>
      <c r="DZ13" s="277" t="n"/>
      <c r="EA13" s="277" t="n"/>
    </row>
    <row r="14" ht="13.5" customHeight="1" s="195">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7" t="n"/>
      <c r="CZ14" s="277" t="n"/>
      <c r="DA14" s="277" t="n"/>
      <c r="DB14" s="277" t="n"/>
      <c r="DC14" s="277" t="n"/>
      <c r="DD14" s="277" t="n"/>
      <c r="DE14" s="277" t="n"/>
      <c r="DF14" s="277" t="n"/>
      <c r="DG14" s="277" t="n"/>
      <c r="DH14" s="277" t="n"/>
      <c r="DI14" s="277" t="n"/>
      <c r="DJ14" s="277" t="n"/>
      <c r="DK14" s="277" t="n"/>
      <c r="DL14" s="277" t="n"/>
      <c r="DZ14" s="277" t="n"/>
      <c r="EA14" s="277" t="n"/>
    </row>
    <row r="15" ht="13.5" customHeight="1" s="195">
      <c r="A15" s="263" t="n">
        <v>11</v>
      </c>
      <c r="B15" s="9">
        <f>IF(MAESTRO!B15="","",MAESTRO!B15)</f>
        <v/>
      </c>
      <c r="C15" s="5" t="n">
        <v>4.8</v>
      </c>
      <c r="D15" s="5" t="n">
        <v>2</v>
      </c>
      <c r="E15" s="5" t="n">
        <v>2</v>
      </c>
      <c r="F15" s="5" t="n">
        <v>2</v>
      </c>
      <c r="G15" s="5" t="n"/>
      <c r="H15" s="5" t="n"/>
      <c r="I15" s="5" t="n"/>
      <c r="J15" s="5" t="n"/>
      <c r="K15" s="5" t="n"/>
      <c r="L15" s="5" t="n"/>
      <c r="M15" s="5" t="n"/>
      <c r="N15" s="5" t="n"/>
      <c r="O15" s="5" t="n"/>
      <c r="P15" s="5">
        <f>IF(MAESTRO!B15="","",IFERROR(TRUNC(AVERAGE(C15:O15),1),""))</f>
        <v/>
      </c>
      <c r="Q15" s="40" t="n">
        <v>11</v>
      </c>
      <c r="R15" s="22" t="n">
        <v>5</v>
      </c>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7" t="n"/>
      <c r="CZ15" s="277" t="n"/>
      <c r="DA15" s="277" t="n"/>
      <c r="DB15" s="277" t="n"/>
      <c r="DC15" s="277" t="n"/>
      <c r="DD15" s="277" t="n"/>
      <c r="DE15" s="277" t="n"/>
      <c r="DF15" s="277" t="n"/>
      <c r="DG15" s="277" t="n"/>
      <c r="DH15" s="277" t="n"/>
      <c r="DI15" s="277" t="n"/>
      <c r="DJ15" s="277" t="n"/>
      <c r="DK15" s="277" t="n"/>
      <c r="DL15" s="277" t="n"/>
      <c r="DZ15" s="277" t="n"/>
      <c r="EA15" s="277" t="n"/>
    </row>
    <row r="16" ht="13.5" customHeight="1" s="195">
      <c r="A16" s="263"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v>5</v>
      </c>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7" t="n"/>
      <c r="CZ16" s="277" t="n"/>
      <c r="DA16" s="277" t="n"/>
      <c r="DB16" s="277" t="n"/>
      <c r="DC16" s="277" t="n"/>
      <c r="DD16" s="277" t="n"/>
      <c r="DE16" s="277" t="n"/>
      <c r="DF16" s="277" t="n"/>
      <c r="DG16" s="277" t="n"/>
      <c r="DH16" s="277" t="n"/>
      <c r="DI16" s="277" t="n"/>
      <c r="DJ16" s="277" t="n"/>
      <c r="DK16" s="277" t="n"/>
      <c r="DL16" s="277" t="n"/>
      <c r="DZ16" s="277" t="n"/>
      <c r="EA16" s="277" t="n"/>
    </row>
    <row r="17" ht="13.5" customHeight="1" s="195">
      <c r="A17" s="263" t="n">
        <v>13</v>
      </c>
      <c r="B17" s="9">
        <f>IF(MAESTRO!B17="","",MAESTRO!B17)</f>
        <v/>
      </c>
      <c r="C17" s="5" t="n">
        <v>2</v>
      </c>
      <c r="D17" s="5" t="n">
        <v>2</v>
      </c>
      <c r="E17" s="5" t="n">
        <v>4.6</v>
      </c>
      <c r="F17" s="5" t="n">
        <v>2</v>
      </c>
      <c r="G17" s="5" t="n"/>
      <c r="H17" s="5" t="n"/>
      <c r="I17" s="5" t="n"/>
      <c r="J17" s="5" t="n"/>
      <c r="K17" s="5" t="n"/>
      <c r="L17" s="5" t="n"/>
      <c r="M17" s="5" t="n"/>
      <c r="N17" s="5" t="n"/>
      <c r="O17" s="5" t="n"/>
      <c r="P17" s="5">
        <f>IF(MAESTRO!B17="","",IFERROR(TRUNC(AVERAGE(C17:O17),1),""))</f>
        <v/>
      </c>
      <c r="Q17" s="40" t="n">
        <v>13</v>
      </c>
      <c r="R17" s="22" t="n">
        <v>5</v>
      </c>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7" t="n"/>
      <c r="CZ17" s="277" t="n"/>
      <c r="DA17" s="277" t="n"/>
      <c r="DB17" s="277" t="n"/>
      <c r="DC17" s="277" t="n"/>
      <c r="DD17" s="277" t="n"/>
      <c r="DE17" s="277" t="n"/>
      <c r="DF17" s="277" t="n"/>
      <c r="DG17" s="277" t="n"/>
      <c r="DH17" s="277" t="n"/>
      <c r="DI17" s="277" t="n"/>
      <c r="DJ17" s="277" t="n"/>
      <c r="DK17" s="277" t="n"/>
      <c r="DL17" s="277" t="n"/>
      <c r="DZ17" s="277" t="n"/>
      <c r="EA17" s="277" t="n"/>
    </row>
    <row r="18" ht="13.5" customHeight="1" s="195">
      <c r="A18" s="263"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v>5</v>
      </c>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7" t="n"/>
      <c r="CZ18" s="277" t="n"/>
      <c r="DA18" s="277" t="n"/>
      <c r="DB18" s="277" t="n"/>
      <c r="DC18" s="277" t="n"/>
      <c r="DD18" s="277" t="n"/>
      <c r="DE18" s="277" t="n"/>
      <c r="DF18" s="277" t="n"/>
      <c r="DG18" s="277" t="n"/>
      <c r="DH18" s="277" t="n"/>
      <c r="DI18" s="277" t="n"/>
      <c r="DJ18" s="277" t="n"/>
      <c r="DK18" s="277" t="n"/>
      <c r="DL18" s="277" t="n"/>
      <c r="DZ18" s="277" t="n"/>
      <c r="EA18" s="277" t="n"/>
    </row>
    <row r="19" ht="13.5" customHeight="1" s="195">
      <c r="A19" s="263"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v>5</v>
      </c>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7" t="n"/>
      <c r="CZ19" s="277" t="n"/>
      <c r="DA19" s="277" t="n"/>
      <c r="DB19" s="277" t="n"/>
      <c r="DC19" s="277" t="n"/>
      <c r="DD19" s="277" t="n"/>
      <c r="DE19" s="277" t="n"/>
      <c r="DF19" s="277" t="n"/>
      <c r="DG19" s="277" t="n"/>
      <c r="DH19" s="277" t="n"/>
      <c r="DI19" s="277" t="n"/>
      <c r="DJ19" s="277" t="n"/>
      <c r="DK19" s="277" t="n"/>
      <c r="DL19" s="277" t="n"/>
      <c r="DZ19" s="277" t="n"/>
      <c r="EA19" s="277" t="n"/>
    </row>
    <row r="20" ht="13.2" customHeight="1" s="195">
      <c r="A20" s="263" t="n">
        <v>16</v>
      </c>
      <c r="B20" s="9">
        <f>IF(MAESTRO!B20="","",MAESTRO!B20)</f>
        <v/>
      </c>
      <c r="C20" s="5" t="n">
        <v>3.6</v>
      </c>
      <c r="D20" s="5" t="n">
        <v>2</v>
      </c>
      <c r="E20" s="5" t="n">
        <v>2</v>
      </c>
      <c r="F20" s="5" t="n">
        <v>2</v>
      </c>
      <c r="G20" s="5" t="n"/>
      <c r="H20" s="5" t="n"/>
      <c r="I20" s="5" t="n"/>
      <c r="J20" s="5" t="n"/>
      <c r="K20" s="5" t="n"/>
      <c r="L20" s="5" t="n"/>
      <c r="M20" s="5" t="n"/>
      <c r="N20" s="5" t="n"/>
      <c r="O20" s="5" t="n"/>
      <c r="P20" s="5">
        <f>IF(MAESTRO!B20="","",IFERROR(TRUNC(AVERAGE(C20:O20),1),""))</f>
        <v/>
      </c>
      <c r="Q20" s="40" t="n">
        <v>16</v>
      </c>
      <c r="R20" s="22" t="n">
        <v>5</v>
      </c>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7" t="n"/>
      <c r="CZ20" s="277" t="n"/>
      <c r="DA20" s="277" t="n"/>
      <c r="DB20" s="277" t="n"/>
      <c r="DC20" s="277" t="n"/>
      <c r="DD20" s="277" t="n"/>
      <c r="DE20" s="277" t="n"/>
      <c r="DF20" s="277" t="n"/>
      <c r="DG20" s="277" t="n"/>
      <c r="DH20" s="277" t="n"/>
      <c r="DI20" s="277" t="n"/>
      <c r="DJ20" s="277" t="n"/>
      <c r="DK20" s="277" t="n"/>
      <c r="DL20" s="277" t="n"/>
      <c r="DZ20" s="277" t="n"/>
      <c r="EA20" s="277" t="n"/>
    </row>
    <row r="21" ht="13.2" customHeight="1" s="195">
      <c r="A21" s="263" t="n">
        <v>17</v>
      </c>
      <c r="B21" s="9">
        <f>IF(MAESTRO!B21="","",MAESTRO!B21)</f>
        <v/>
      </c>
      <c r="C21" s="5" t="n">
        <v>3.6</v>
      </c>
      <c r="D21" s="5" t="n">
        <v>2</v>
      </c>
      <c r="E21" s="5" t="n">
        <v>2</v>
      </c>
      <c r="F21" s="5" t="n">
        <v>2</v>
      </c>
      <c r="G21" s="5" t="n"/>
      <c r="H21" s="5" t="n"/>
      <c r="I21" s="5" t="n"/>
      <c r="J21" s="5" t="n"/>
      <c r="K21" s="5" t="n"/>
      <c r="L21" s="5" t="n"/>
      <c r="M21" s="5" t="n"/>
      <c r="N21" s="5" t="n"/>
      <c r="O21" s="5" t="n"/>
      <c r="P21" s="5">
        <f>IF(MAESTRO!B21="","",IFERROR(TRUNC(AVERAGE(C21:O21),1),""))</f>
        <v/>
      </c>
      <c r="Q21" s="40" t="n">
        <v>17</v>
      </c>
      <c r="R21" s="22" t="n">
        <v>5</v>
      </c>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7" t="n"/>
      <c r="CZ21" s="277" t="n"/>
      <c r="DA21" s="277" t="n"/>
      <c r="DB21" s="277" t="n"/>
      <c r="DC21" s="277" t="n"/>
      <c r="DD21" s="277" t="n"/>
      <c r="DE21" s="277" t="n"/>
      <c r="DF21" s="277" t="n"/>
      <c r="DG21" s="277" t="n"/>
      <c r="DH21" s="277" t="n"/>
      <c r="DI21" s="277" t="n"/>
      <c r="DJ21" s="277" t="n"/>
      <c r="DK21" s="277" t="n"/>
      <c r="DL21" s="277" t="n"/>
      <c r="DZ21" s="277" t="n"/>
      <c r="EA21" s="277" t="n"/>
    </row>
    <row r="22" ht="13.5" customHeight="1" s="195">
      <c r="A22" s="263"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v>5</v>
      </c>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7" t="n"/>
      <c r="CZ22" s="277" t="n"/>
      <c r="DA22" s="277" t="n"/>
      <c r="DB22" s="277" t="n"/>
      <c r="DC22" s="277" t="n"/>
      <c r="DD22" s="277" t="n"/>
      <c r="DE22" s="277" t="n"/>
      <c r="DF22" s="277" t="n"/>
      <c r="DG22" s="277" t="n"/>
      <c r="DH22" s="277" t="n"/>
      <c r="DI22" s="277" t="n"/>
      <c r="DJ22" s="277" t="n"/>
      <c r="DK22" s="277" t="n"/>
      <c r="DL22" s="277" t="n"/>
      <c r="DZ22" s="277" t="n"/>
      <c r="EA22" s="277" t="n"/>
    </row>
    <row r="23" ht="13.5" customHeight="1" s="195">
      <c r="A23" s="263" t="n">
        <v>19</v>
      </c>
      <c r="B23" s="9">
        <f>IF(MAESTRO!B23="","",MAESTRO!B23)</f>
        <v/>
      </c>
      <c r="C23" s="5" t="n">
        <v>4</v>
      </c>
      <c r="D23" s="5" t="n">
        <v>3</v>
      </c>
      <c r="E23" s="5" t="n">
        <v>2</v>
      </c>
      <c r="F23" s="5" t="n">
        <v>4.4</v>
      </c>
      <c r="G23" s="5" t="n"/>
      <c r="H23" s="5" t="n"/>
      <c r="I23" s="5" t="n"/>
      <c r="J23" s="5" t="n"/>
      <c r="K23" s="5" t="n"/>
      <c r="L23" s="5" t="n"/>
      <c r="M23" s="5" t="n"/>
      <c r="N23" s="5" t="n"/>
      <c r="O23" s="5" t="n"/>
      <c r="P23" s="5">
        <f>IF(MAESTRO!B23="","",IFERROR(TRUNC(AVERAGE(C23:O23),1),""))</f>
        <v/>
      </c>
      <c r="Q23" s="40" t="n">
        <v>19</v>
      </c>
      <c r="R23" s="22" t="n">
        <v>5</v>
      </c>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7" t="n"/>
      <c r="CZ23" s="277" t="n"/>
      <c r="DA23" s="277" t="n"/>
      <c r="DB23" s="277" t="n"/>
      <c r="DC23" s="277" t="n"/>
      <c r="DD23" s="277" t="n"/>
      <c r="DE23" s="277" t="n"/>
      <c r="DF23" s="277" t="n"/>
      <c r="DG23" s="277" t="n"/>
      <c r="DH23" s="277" t="n"/>
      <c r="DI23" s="277" t="n"/>
      <c r="DJ23" s="277" t="n"/>
      <c r="DK23" s="277" t="n"/>
      <c r="DL23" s="277" t="n"/>
      <c r="DZ23" s="277" t="n"/>
      <c r="EA23" s="277" t="n"/>
    </row>
    <row r="24" ht="13.5" customHeight="1" s="195">
      <c r="A24" s="263" t="n">
        <v>20</v>
      </c>
      <c r="B24" s="9">
        <f>IF(MAESTRO!B24="","",MAESTRO!B24)</f>
        <v/>
      </c>
      <c r="C24" s="5" t="n">
        <v>4</v>
      </c>
      <c r="D24" s="5" t="n">
        <v>4.1</v>
      </c>
      <c r="E24" s="5" t="n">
        <v>2</v>
      </c>
      <c r="F24" s="5" t="n">
        <v>4.7</v>
      </c>
      <c r="G24" s="5" t="n"/>
      <c r="H24" s="5" t="n"/>
      <c r="I24" s="5" t="n"/>
      <c r="J24" s="5" t="n"/>
      <c r="K24" s="5" t="n"/>
      <c r="L24" s="5" t="n"/>
      <c r="M24" s="5" t="n"/>
      <c r="N24" s="5" t="n"/>
      <c r="O24" s="5" t="n"/>
      <c r="P24" s="5">
        <f>IF(MAESTRO!B24="","",IFERROR(TRUNC(AVERAGE(C24:O24),1),""))</f>
        <v/>
      </c>
      <c r="Q24" s="40" t="n">
        <v>20</v>
      </c>
      <c r="R24" s="22" t="n">
        <v>5</v>
      </c>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7" t="n"/>
      <c r="CZ24" s="277" t="n"/>
      <c r="DA24" s="277" t="n"/>
      <c r="DB24" s="277" t="n"/>
      <c r="DC24" s="277" t="n"/>
      <c r="DD24" s="277" t="n"/>
      <c r="DE24" s="277" t="n"/>
      <c r="DF24" s="277" t="n"/>
      <c r="DG24" s="277" t="n"/>
      <c r="DH24" s="277" t="n"/>
      <c r="DI24" s="277" t="n"/>
      <c r="DJ24" s="277" t="n"/>
      <c r="DK24" s="277" t="n"/>
      <c r="DL24" s="277" t="n"/>
      <c r="DZ24" s="277" t="n"/>
      <c r="EA24" s="277" t="n"/>
    </row>
    <row r="25" ht="13.5" customHeight="1" s="195">
      <c r="A25" s="263" t="n">
        <v>21</v>
      </c>
      <c r="B25" s="9">
        <f>IF(MAESTRO!B25="","",MAESTRO!B25)</f>
        <v/>
      </c>
      <c r="C25" s="5" t="n">
        <v>3.4</v>
      </c>
      <c r="D25" s="5" t="n">
        <v>4.8</v>
      </c>
      <c r="E25" s="5" t="n">
        <v>2</v>
      </c>
      <c r="F25" s="5" t="n">
        <v>4.5</v>
      </c>
      <c r="G25" s="5" t="n"/>
      <c r="H25" s="5" t="n"/>
      <c r="I25" s="5" t="n"/>
      <c r="J25" s="5" t="n"/>
      <c r="K25" s="5" t="n"/>
      <c r="L25" s="5" t="n"/>
      <c r="M25" s="5" t="n"/>
      <c r="N25" s="5" t="n"/>
      <c r="O25" s="5" t="n"/>
      <c r="P25" s="5">
        <f>IF(MAESTRO!B25="","",IFERROR(TRUNC(AVERAGE(C25:O25),1),""))</f>
        <v/>
      </c>
      <c r="Q25" s="40" t="n">
        <v>21</v>
      </c>
      <c r="R25" s="22" t="n">
        <v>5</v>
      </c>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7" t="n"/>
      <c r="CZ25" s="277" t="n"/>
      <c r="DA25" s="277" t="n"/>
      <c r="DB25" s="277" t="n"/>
      <c r="DC25" s="277" t="n"/>
      <c r="DD25" s="277" t="n"/>
      <c r="DE25" s="277" t="n"/>
      <c r="DF25" s="277" t="n"/>
      <c r="DG25" s="277" t="n"/>
      <c r="DH25" s="277" t="n"/>
      <c r="DI25" s="277" t="n"/>
      <c r="DJ25" s="277" t="n"/>
      <c r="DK25" s="277" t="n"/>
      <c r="DL25" s="277" t="n"/>
      <c r="DZ25" s="277" t="n"/>
      <c r="EA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7" t="n"/>
      <c r="CZ26" s="277" t="n"/>
      <c r="DA26" s="277" t="n"/>
      <c r="DB26" s="277" t="n"/>
      <c r="DC26" s="277" t="n"/>
      <c r="DD26" s="277" t="n"/>
      <c r="DE26" s="277" t="n"/>
      <c r="DF26" s="277" t="n"/>
      <c r="DG26" s="277" t="n"/>
      <c r="DH26" s="277" t="n"/>
      <c r="DI26" s="277" t="n"/>
      <c r="DJ26" s="277" t="n"/>
      <c r="DK26" s="277" t="n"/>
      <c r="DL26" s="277" t="n"/>
      <c r="DZ26" s="277" t="n"/>
      <c r="EA26" s="277" t="n"/>
    </row>
    <row r="27" ht="13.5" customHeight="1" s="195">
      <c r="A27" s="263" t="n">
        <v>23</v>
      </c>
      <c r="B27" s="9">
        <f>IF(MAESTRO!B27="","",MAESTRO!B27)</f>
        <v/>
      </c>
      <c r="C27" s="5" t="n">
        <v>2</v>
      </c>
      <c r="D27" s="5" t="n">
        <v>4.1</v>
      </c>
      <c r="E27" s="5" t="n">
        <v>4.2</v>
      </c>
      <c r="F27" s="5" t="n">
        <v>2</v>
      </c>
      <c r="G27" s="5" t="n"/>
      <c r="H27" s="5" t="n"/>
      <c r="I27" s="5" t="n"/>
      <c r="J27" s="5" t="n"/>
      <c r="K27" s="5" t="n"/>
      <c r="L27" s="5" t="n"/>
      <c r="M27" s="5" t="n"/>
      <c r="N27" s="5" t="n"/>
      <c r="O27" s="5" t="n"/>
      <c r="P27" s="5">
        <f>IF(MAESTRO!B27="","",IFERROR(TRUNC(AVERAGE(C27:O27),1),""))</f>
        <v/>
      </c>
      <c r="Q27" s="40" t="n">
        <v>23</v>
      </c>
      <c r="R27" s="22" t="n">
        <v>5</v>
      </c>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7" t="n"/>
      <c r="CZ27" s="277" t="n"/>
      <c r="DA27" s="277" t="n"/>
      <c r="DB27" s="277" t="n"/>
      <c r="DC27" s="277" t="n"/>
      <c r="DD27" s="277" t="n"/>
      <c r="DE27" s="277" t="n"/>
      <c r="DF27" s="277" t="n"/>
      <c r="DG27" s="277" t="n"/>
      <c r="DH27" s="277" t="n"/>
      <c r="DI27" s="277" t="n"/>
      <c r="DJ27" s="277" t="n"/>
      <c r="DK27" s="277" t="n"/>
      <c r="DL27" s="277" t="n"/>
      <c r="DZ27" s="277" t="n"/>
      <c r="EA27" s="277" t="n"/>
    </row>
    <row r="28" ht="13.5" customHeight="1" s="195">
      <c r="A28" s="263" t="n">
        <v>24</v>
      </c>
      <c r="B28" s="9">
        <f>IF(MAESTRO!B28="","",MAESTRO!B28)</f>
        <v/>
      </c>
      <c r="C28" s="5" t="n">
        <v>3</v>
      </c>
      <c r="D28" s="5" t="n">
        <v>4.1</v>
      </c>
      <c r="E28" s="5" t="n">
        <v>3.8</v>
      </c>
      <c r="F28" s="5" t="n">
        <v>2.5</v>
      </c>
      <c r="G28" s="5" t="n"/>
      <c r="H28" s="5" t="n"/>
      <c r="I28" s="5" t="n"/>
      <c r="J28" s="5" t="n"/>
      <c r="K28" s="5" t="n"/>
      <c r="L28" s="5" t="n"/>
      <c r="M28" s="5" t="n"/>
      <c r="N28" s="5" t="n"/>
      <c r="O28" s="5" t="n"/>
      <c r="P28" s="5">
        <f>IF(MAESTRO!B28="","",IFERROR(TRUNC(AVERAGE(C28:O28),1),""))</f>
        <v/>
      </c>
      <c r="Q28" s="40" t="n">
        <v>24</v>
      </c>
      <c r="R28" s="22" t="n">
        <v>5</v>
      </c>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7" t="n"/>
      <c r="CZ28" s="277" t="n"/>
      <c r="DA28" s="277" t="n"/>
      <c r="DB28" s="277" t="n"/>
      <c r="DC28" s="277" t="n"/>
      <c r="DD28" s="277" t="n"/>
      <c r="DE28" s="277" t="n"/>
      <c r="DF28" s="277" t="n"/>
      <c r="DG28" s="277" t="n"/>
      <c r="DH28" s="277" t="n"/>
      <c r="DI28" s="277" t="n"/>
      <c r="DJ28" s="277" t="n"/>
      <c r="DK28" s="277" t="n"/>
      <c r="DL28" s="277" t="n"/>
      <c r="DZ28" s="277" t="n"/>
      <c r="EA28" s="277" t="n"/>
    </row>
    <row r="29" ht="13.5" customHeight="1" s="195">
      <c r="A29" s="263" t="n">
        <v>25</v>
      </c>
      <c r="B29" s="9">
        <f>IF(MAESTRO!B29="","",MAESTRO!B29)</f>
        <v/>
      </c>
      <c r="C29" s="5" t="n">
        <v>2</v>
      </c>
      <c r="D29" s="5" t="n">
        <v>4.1</v>
      </c>
      <c r="E29" s="5" t="n">
        <v>2</v>
      </c>
      <c r="F29" s="5" t="n">
        <v>1</v>
      </c>
      <c r="G29" s="5" t="n"/>
      <c r="H29" s="5" t="n"/>
      <c r="I29" s="5" t="n"/>
      <c r="J29" s="5" t="n"/>
      <c r="K29" s="5" t="n"/>
      <c r="L29" s="5" t="n"/>
      <c r="M29" s="5" t="n"/>
      <c r="N29" s="5" t="n"/>
      <c r="O29" s="5" t="n"/>
      <c r="P29" s="5">
        <f>IF(MAESTRO!B29="","",IFERROR(TRUNC(AVERAGE(C29:O29),1),""))</f>
        <v/>
      </c>
      <c r="Q29" s="40" t="n">
        <v>25</v>
      </c>
      <c r="R29" s="22" t="n">
        <v>5</v>
      </c>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7" t="n"/>
      <c r="CZ29" s="277" t="n"/>
      <c r="DA29" s="277" t="n"/>
      <c r="DB29" s="277" t="n"/>
      <c r="DC29" s="277" t="n"/>
      <c r="DD29" s="277" t="n"/>
      <c r="DE29" s="277" t="n"/>
      <c r="DF29" s="277" t="n"/>
      <c r="DG29" s="277" t="n"/>
      <c r="DH29" s="277" t="n"/>
      <c r="DI29" s="277" t="n"/>
      <c r="DJ29" s="277" t="n"/>
      <c r="DK29" s="277" t="n"/>
      <c r="DL29" s="277" t="n"/>
      <c r="DZ29" s="277" t="n"/>
      <c r="EA29" s="277" t="n"/>
    </row>
    <row r="30" ht="13.5" customHeight="1" s="195">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7" t="n"/>
      <c r="CZ30" s="277" t="n"/>
      <c r="DA30" s="277" t="n"/>
      <c r="DB30" s="277" t="n"/>
      <c r="DC30" s="277" t="n"/>
      <c r="DD30" s="277" t="n"/>
      <c r="DE30" s="277" t="n"/>
      <c r="DF30" s="277" t="n"/>
      <c r="DG30" s="277" t="n"/>
      <c r="DH30" s="277" t="n"/>
      <c r="DI30" s="277" t="n"/>
      <c r="DJ30" s="277" t="n"/>
      <c r="DK30" s="277" t="n"/>
      <c r="DL30" s="277" t="n"/>
      <c r="DZ30" s="277" t="n"/>
      <c r="EA30" s="277" t="n"/>
    </row>
    <row r="31" ht="13.5" customHeight="1" s="195">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7" t="n"/>
      <c r="CZ31" s="277" t="n"/>
      <c r="DA31" s="277" t="n"/>
      <c r="DB31" s="277" t="n"/>
      <c r="DC31" s="277" t="n"/>
      <c r="DD31" s="277" t="n"/>
      <c r="DE31" s="277" t="n"/>
      <c r="DF31" s="277" t="n"/>
      <c r="DG31" s="277" t="n"/>
      <c r="DH31" s="277" t="n"/>
      <c r="DI31" s="277" t="n"/>
      <c r="DJ31" s="277" t="n"/>
      <c r="DK31" s="277" t="n"/>
      <c r="DL31" s="277" t="n"/>
      <c r="DZ31" s="277" t="n"/>
      <c r="EA31" s="277" t="n"/>
    </row>
    <row r="32" ht="13.5" customHeight="1" s="195">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7" t="n"/>
      <c r="CZ32" s="277" t="n"/>
      <c r="DA32" s="277" t="n"/>
      <c r="DB32" s="277" t="n"/>
      <c r="DC32" s="277" t="n"/>
      <c r="DD32" s="277" t="n"/>
      <c r="DE32" s="277" t="n"/>
      <c r="DF32" s="277" t="n"/>
      <c r="DG32" s="277" t="n"/>
      <c r="DH32" s="277" t="n"/>
      <c r="DI32" s="277" t="n"/>
      <c r="DJ32" s="277" t="n"/>
      <c r="DK32" s="277" t="n"/>
      <c r="DL32" s="277" t="n"/>
      <c r="DZ32" s="277" t="n"/>
      <c r="EA32" s="277" t="n"/>
    </row>
    <row r="33" ht="13.5" customHeight="1" s="195">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7" t="n"/>
      <c r="CZ33" s="277" t="n"/>
      <c r="DA33" s="277" t="n"/>
      <c r="DB33" s="277" t="n"/>
      <c r="DC33" s="277" t="n"/>
      <c r="DD33" s="277" t="n"/>
      <c r="DE33" s="277" t="n"/>
      <c r="DF33" s="277" t="n"/>
      <c r="DG33" s="277" t="n"/>
      <c r="DH33" s="277" t="n"/>
      <c r="DI33" s="277" t="n"/>
      <c r="DJ33" s="277" t="n"/>
      <c r="DK33" s="277" t="n"/>
      <c r="DL33" s="277" t="n"/>
      <c r="DZ33" s="277" t="n"/>
      <c r="EA33" s="277" t="n"/>
    </row>
    <row r="34" ht="13.5" customHeight="1" s="195">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7" t="n"/>
      <c r="CZ34" s="277" t="n"/>
      <c r="DA34" s="277" t="n"/>
      <c r="DB34" s="277" t="n"/>
      <c r="DC34" s="277" t="n"/>
      <c r="DD34" s="277" t="n"/>
      <c r="DE34" s="277" t="n"/>
      <c r="DF34" s="277" t="n"/>
      <c r="DG34" s="277" t="n"/>
      <c r="DH34" s="277" t="n"/>
      <c r="DI34" s="277" t="n"/>
      <c r="DJ34" s="277" t="n"/>
      <c r="DK34" s="277" t="n"/>
      <c r="DL34" s="277" t="n"/>
      <c r="DZ34" s="277" t="n"/>
      <c r="EA34" s="277" t="n"/>
    </row>
    <row r="35" ht="13.5" customHeight="1" s="195">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7" t="n"/>
      <c r="CZ35" s="277" t="n"/>
      <c r="DA35" s="277" t="n"/>
      <c r="DB35" s="277" t="n"/>
      <c r="DC35" s="277" t="n"/>
      <c r="DD35" s="277" t="n"/>
      <c r="DE35" s="277" t="n"/>
      <c r="DF35" s="277" t="n"/>
      <c r="DG35" s="277" t="n"/>
      <c r="DH35" s="277" t="n"/>
      <c r="DI35" s="277" t="n"/>
      <c r="DJ35" s="277" t="n"/>
      <c r="DK35" s="277" t="n"/>
      <c r="DL35" s="277" t="n"/>
      <c r="DZ35" s="277" t="n"/>
      <c r="EA35" s="277" t="n"/>
    </row>
    <row r="36" ht="13.5" customHeight="1" s="195">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7" t="n"/>
      <c r="CZ36" s="277" t="n"/>
      <c r="DA36" s="277" t="n"/>
      <c r="DB36" s="277" t="n"/>
      <c r="DC36" s="277" t="n"/>
      <c r="DD36" s="277" t="n"/>
      <c r="DE36" s="277" t="n"/>
      <c r="DF36" s="277" t="n"/>
      <c r="DG36" s="277" t="n"/>
      <c r="DH36" s="277" t="n"/>
      <c r="DI36" s="277" t="n"/>
      <c r="DJ36" s="277" t="n"/>
      <c r="DK36" s="277" t="n"/>
      <c r="DL36" s="277" t="n"/>
      <c r="DZ36" s="277" t="n"/>
      <c r="EA36" s="277" t="n"/>
    </row>
    <row r="37" ht="13.5" customHeight="1" s="195">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7" t="n"/>
      <c r="CZ37" s="277" t="n"/>
      <c r="DA37" s="277" t="n"/>
      <c r="DB37" s="277" t="n"/>
      <c r="DC37" s="277" t="n"/>
      <c r="DD37" s="277" t="n"/>
      <c r="DE37" s="277" t="n"/>
      <c r="DF37" s="277" t="n"/>
      <c r="DG37" s="277" t="n"/>
      <c r="DH37" s="277" t="n"/>
      <c r="DI37" s="277" t="n"/>
      <c r="DJ37" s="277" t="n"/>
      <c r="DK37" s="277" t="n"/>
      <c r="DL37" s="277" t="n"/>
      <c r="DZ37" s="277" t="n"/>
      <c r="EA37" s="277" t="n"/>
    </row>
    <row r="38" ht="13.5" customHeight="1" s="195">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7" t="n"/>
      <c r="CZ38" s="277" t="n"/>
      <c r="DA38" s="277" t="n"/>
      <c r="DB38" s="277" t="n"/>
      <c r="DC38" s="277" t="n"/>
      <c r="DD38" s="277" t="n"/>
      <c r="DE38" s="277" t="n"/>
      <c r="DF38" s="277" t="n"/>
      <c r="DG38" s="277" t="n"/>
      <c r="DH38" s="277" t="n"/>
      <c r="DI38" s="277" t="n"/>
      <c r="DJ38" s="277" t="n"/>
      <c r="DK38" s="277" t="n"/>
      <c r="DL38" s="277" t="n"/>
      <c r="DZ38" s="277" t="n"/>
      <c r="EA38" s="277" t="n"/>
    </row>
    <row r="39" ht="13.5" customHeight="1" s="195">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7" t="n"/>
      <c r="CZ39" s="277" t="n"/>
      <c r="DA39" s="277" t="n"/>
      <c r="DB39" s="277" t="n"/>
      <c r="DC39" s="277" t="n"/>
      <c r="DD39" s="277" t="n"/>
      <c r="DE39" s="277" t="n"/>
      <c r="DF39" s="277" t="n"/>
      <c r="DG39" s="277" t="n"/>
      <c r="DH39" s="277" t="n"/>
      <c r="DI39" s="277" t="n"/>
      <c r="DJ39" s="277" t="n"/>
      <c r="DK39" s="277" t="n"/>
      <c r="DL39" s="277" t="n"/>
      <c r="DZ39" s="277" t="n"/>
      <c r="EA39" s="277" t="n"/>
    </row>
    <row r="40" ht="13.5" customHeight="1" s="195">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7" t="n"/>
      <c r="CZ40" s="277" t="n"/>
      <c r="DA40" s="277" t="n"/>
      <c r="DB40" s="277" t="n"/>
      <c r="DC40" s="277" t="n"/>
      <c r="DD40" s="277" t="n"/>
      <c r="DE40" s="277" t="n"/>
      <c r="DF40" s="277" t="n"/>
      <c r="DG40" s="277" t="n"/>
      <c r="DH40" s="277" t="n"/>
      <c r="DI40" s="277" t="n"/>
      <c r="DJ40" s="277" t="n"/>
      <c r="DK40" s="277" t="n"/>
      <c r="DL40" s="277" t="n"/>
      <c r="DZ40" s="277" t="n"/>
      <c r="EA40" s="277" t="n"/>
    </row>
    <row r="41" ht="13.5" customHeight="1" s="195">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7" t="n"/>
      <c r="CZ41" s="277" t="n"/>
      <c r="DA41" s="277" t="n"/>
      <c r="DB41" s="277" t="n"/>
      <c r="DC41" s="277" t="n"/>
      <c r="DD41" s="277" t="n"/>
      <c r="DE41" s="277" t="n"/>
      <c r="DF41" s="277" t="n"/>
      <c r="DG41" s="277" t="n"/>
      <c r="DH41" s="277" t="n"/>
      <c r="DI41" s="277" t="n"/>
      <c r="DJ41" s="277" t="n"/>
      <c r="DK41" s="277" t="n"/>
      <c r="DL41" s="277" t="n"/>
      <c r="DZ41" s="277" t="n"/>
      <c r="EA41" s="277" t="n"/>
    </row>
    <row r="42" ht="13.5" customHeight="1" s="195">
      <c r="A42" s="263" t="n">
        <v>38</v>
      </c>
      <c r="B42" s="9">
        <f>IF(MAESTRO!B42="","",MAESTRO!B42)</f>
        <v/>
      </c>
      <c r="C42" s="278" t="inlineStr">
        <is>
          <t>Oraciones con el Verb to Be</t>
        </is>
      </c>
      <c r="D42" s="278" t="inlineStr">
        <is>
          <t xml:space="preserve">Conversación - Pronombres </t>
        </is>
      </c>
      <c r="E42" s="278" t="inlineStr">
        <is>
          <t>Exposición - Presentarse</t>
        </is>
      </c>
      <c r="F42" s="278" t="inlineStr">
        <is>
          <t>Presentar a un Compañero</t>
        </is>
      </c>
      <c r="G42" s="278" t="n"/>
      <c r="H42" s="278" t="n"/>
      <c r="I42" s="278" t="n"/>
      <c r="J42" s="278" t="n"/>
      <c r="K42" s="278" t="n"/>
      <c r="L42" s="278" t="n"/>
      <c r="M42" s="278" t="n"/>
      <c r="N42" s="278" t="n"/>
      <c r="O42" s="278" t="n"/>
      <c r="P42" s="5" t="n"/>
      <c r="Q42" s="40" t="n">
        <v>38</v>
      </c>
      <c r="R42" s="278" t="inlineStr">
        <is>
          <t>Participacion en Clase</t>
        </is>
      </c>
      <c r="S42" s="278" t="n"/>
      <c r="T42" s="278" t="n"/>
      <c r="U42" s="278" t="n"/>
      <c r="V42" s="278" t="n"/>
      <c r="W42" s="278" t="n"/>
      <c r="X42" s="278" t="n"/>
      <c r="Y42" s="278" t="n"/>
      <c r="Z42" s="278" t="n"/>
      <c r="AA42" s="45" t="n"/>
      <c r="AB42" s="281" t="n"/>
      <c r="AC42" s="296" t="n"/>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65" t="n"/>
      <c r="BW42" s="273" t="n"/>
      <c r="BX42" s="273" t="n"/>
      <c r="BY42" s="273" t="n"/>
      <c r="BZ42" s="273" t="n"/>
      <c r="CA42" s="273" t="n"/>
      <c r="CB42" s="273" t="n"/>
      <c r="CC42" s="273" t="n"/>
      <c r="CD42" s="273" t="n"/>
      <c r="CE42" s="5" t="n"/>
      <c r="CF42" s="265" t="n"/>
      <c r="CG42" s="265" t="n"/>
      <c r="CH42" s="265" t="n"/>
      <c r="CI42" s="273" t="n"/>
      <c r="CJ42" s="273" t="n"/>
      <c r="CK42" s="273" t="n"/>
      <c r="CL42" s="273" t="n"/>
      <c r="CM42" s="273" t="n"/>
      <c r="CN42" s="273" t="n"/>
      <c r="CO42" s="5" t="n"/>
      <c r="CP42" s="273" t="n"/>
      <c r="CQ42" s="273" t="n"/>
      <c r="CR42" s="5" t="n"/>
      <c r="CS42" s="5" t="n"/>
      <c r="CT42" s="263" t="n"/>
      <c r="CU42" s="172" t="n">
        <v>38</v>
      </c>
      <c r="CY42" s="277" t="n"/>
      <c r="CZ42" s="277" t="n"/>
      <c r="DA42" s="277" t="n"/>
      <c r="DB42" s="277" t="n"/>
      <c r="DC42" s="277" t="n"/>
      <c r="DD42" s="277" t="n"/>
      <c r="DE42" s="277" t="n"/>
      <c r="DF42" s="277" t="n"/>
      <c r="DG42" s="277" t="n"/>
      <c r="DH42" s="277" t="n"/>
      <c r="DI42" s="277" t="n"/>
      <c r="DJ42" s="277" t="n"/>
      <c r="DK42" s="277" t="n"/>
      <c r="DL42" s="277" t="n"/>
      <c r="DZ42" s="277" t="n"/>
      <c r="EA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82" t="n"/>
      <c r="AC43" s="282"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7" t="n"/>
      <c r="CZ43" s="277" t="n"/>
      <c r="DA43" s="277" t="n"/>
      <c r="DB43" s="277" t="n"/>
      <c r="DC43" s="277" t="n"/>
      <c r="DD43" s="277" t="n"/>
      <c r="DE43" s="277" t="n"/>
      <c r="DF43" s="277" t="n"/>
      <c r="DG43" s="277" t="n"/>
      <c r="DH43" s="277" t="n"/>
      <c r="DI43" s="277" t="n"/>
      <c r="DJ43" s="277" t="n"/>
      <c r="DK43" s="277" t="n"/>
      <c r="DL43" s="277" t="n"/>
      <c r="DZ43" s="277" t="n"/>
      <c r="EA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82" t="n"/>
      <c r="AC44" s="282"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7" t="n"/>
      <c r="CZ44" s="277" t="n"/>
      <c r="DA44" s="277" t="n"/>
      <c r="DB44" s="277" t="n"/>
      <c r="DC44" s="277" t="n"/>
      <c r="DD44" s="277" t="n"/>
      <c r="DE44" s="277" t="n"/>
      <c r="DF44" s="277" t="n"/>
      <c r="DG44" s="277" t="n"/>
      <c r="DH44" s="277" t="n"/>
      <c r="DI44" s="277" t="n"/>
      <c r="DJ44" s="277" t="n"/>
      <c r="DK44" s="277" t="n"/>
      <c r="DL44" s="277" t="n"/>
      <c r="DZ44" s="277" t="n"/>
      <c r="EA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82" t="n"/>
      <c r="AC45" s="282"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7" t="n"/>
      <c r="CZ45" s="277" t="n"/>
      <c r="DA45" s="277" t="n"/>
      <c r="DB45" s="277" t="n"/>
      <c r="DC45" s="277" t="n"/>
      <c r="DD45" s="277" t="n"/>
      <c r="DE45" s="277" t="n"/>
      <c r="DF45" s="277" t="n"/>
      <c r="DG45" s="277" t="n"/>
      <c r="DH45" s="277" t="n"/>
      <c r="DI45" s="277" t="n"/>
      <c r="DJ45" s="277" t="n"/>
      <c r="DK45" s="277" t="n"/>
      <c r="DL45" s="277" t="n"/>
      <c r="DZ45" s="277" t="n"/>
      <c r="EA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82" t="n"/>
      <c r="AC46" s="282"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7" t="n"/>
      <c r="CZ46" s="277" t="n"/>
      <c r="DA46" s="277" t="n"/>
      <c r="DB46" s="277" t="n"/>
      <c r="DC46" s="277" t="n"/>
      <c r="DD46" s="277" t="n"/>
      <c r="DE46" s="277" t="n"/>
      <c r="DF46" s="277" t="n"/>
      <c r="DG46" s="277" t="n"/>
      <c r="DH46" s="277" t="n"/>
      <c r="DI46" s="277" t="n"/>
      <c r="DJ46" s="277" t="n"/>
      <c r="DK46" s="277" t="n"/>
      <c r="DL46" s="277" t="n"/>
      <c r="DZ46" s="277" t="n"/>
      <c r="EA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82" t="n"/>
      <c r="AC47" s="282"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7" t="n"/>
      <c r="CZ47" s="277" t="n"/>
      <c r="DA47" s="277" t="n"/>
      <c r="DB47" s="277" t="n"/>
      <c r="DC47" s="277" t="n"/>
      <c r="DD47" s="277" t="n"/>
      <c r="DE47" s="277" t="n"/>
      <c r="DF47" s="277" t="n"/>
      <c r="DG47" s="277" t="n"/>
      <c r="DH47" s="277" t="n"/>
      <c r="DI47" s="277" t="n"/>
      <c r="DJ47" s="277" t="n"/>
      <c r="DK47" s="277" t="n"/>
      <c r="DL47" s="277" t="n"/>
      <c r="DZ47" s="277" t="n"/>
      <c r="EA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183" t="n"/>
      <c r="AC48" s="183"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7"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7" t="n"/>
      <c r="CZ48" s="277" t="n"/>
      <c r="DA48" s="277" t="n"/>
      <c r="DB48" s="277" t="n"/>
      <c r="DC48" s="277" t="n"/>
      <c r="DD48" s="277" t="n"/>
      <c r="DE48" s="277" t="n"/>
      <c r="DF48" s="277" t="n"/>
      <c r="DG48" s="277" t="n"/>
      <c r="DH48" s="277" t="n"/>
      <c r="DI48" s="277" t="n"/>
      <c r="DJ48" s="277" t="n"/>
      <c r="DK48" s="277" t="n"/>
      <c r="DL48" s="277" t="n"/>
      <c r="DZ48" s="277" t="n"/>
      <c r="EA48" s="277"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BC42:BC48"/>
    <mergeCell ref="CK42:CK48"/>
    <mergeCell ref="BE42:BE48"/>
    <mergeCell ref="BP22:BQ22"/>
    <mergeCell ref="CW48:CX48"/>
    <mergeCell ref="S42:S48"/>
    <mergeCell ref="CF3:CN3"/>
    <mergeCell ref="BP12:BQ12"/>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AV42:AV48"/>
    <mergeCell ref="CD42:CD48"/>
    <mergeCell ref="AI5:AJ5"/>
    <mergeCell ref="AK3:AV3"/>
    <mergeCell ref="AI39:AJ39"/>
    <mergeCell ref="BF42:BF48"/>
    <mergeCell ref="CE3:CE4"/>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T42:BT48"/>
    <mergeCell ref="CS3:CS4"/>
    <mergeCell ref="BK3:BK4"/>
    <mergeCell ref="CW19:CX19"/>
    <mergeCell ref="CW28:CX28"/>
    <mergeCell ref="CN42:CN48"/>
    <mergeCell ref="BP47:BQ47"/>
    <mergeCell ref="CP42:CP48"/>
    <mergeCell ref="AI30:AJ30"/>
    <mergeCell ref="CF42:CF48"/>
    <mergeCell ref="CH42:CH48"/>
    <mergeCell ref="AI6:AJ6"/>
    <mergeCell ref="AI11:AJ11"/>
    <mergeCell ref="CW3:CX4"/>
    <mergeCell ref="C3:O3"/>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AK42:AK48"/>
    <mergeCell ref="AU42:AU48"/>
    <mergeCell ref="BP10:BQ10"/>
    <mergeCell ref="E42:E48"/>
    <mergeCell ref="AM42:AM48"/>
    <mergeCell ref="AD3:AD4"/>
    <mergeCell ref="BL3:BL4"/>
    <mergeCell ref="CM42:CM48"/>
    <mergeCell ref="BP19:BQ19"/>
    <mergeCell ref="CW45:CX45"/>
    <mergeCell ref="AI47:AJ47"/>
    <mergeCell ref="CW32:CX32"/>
    <mergeCell ref="BG42:BG48"/>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C42:C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AI14:AJ14"/>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3.44140625"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37"/>
    <col width="4.44140625" customWidth="1" style="289" min="38" max="44"/>
    <col width="4.44140625" customWidth="1" style="290" min="45" max="48"/>
    <col width="2.44140625" customWidth="1" style="290" min="49"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44140625" customWidth="1" style="277" min="71"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Y2" s="194" t="n"/>
      <c r="BP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5" t="n">
        <v>5</v>
      </c>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v>11</v>
      </c>
      <c r="BP15" s="263" t="n">
        <v>11</v>
      </c>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5" t="n">
        <v>5</v>
      </c>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v>12</v>
      </c>
      <c r="BP16" s="263" t="n">
        <v>12</v>
      </c>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3</v>
      </c>
      <c r="D17" s="5" t="n">
        <v>3</v>
      </c>
      <c r="E17" s="5" t="n">
        <v>4.5</v>
      </c>
      <c r="F17" s="5" t="n"/>
      <c r="G17" s="5" t="n"/>
      <c r="H17" s="5" t="n"/>
      <c r="I17" s="5" t="n"/>
      <c r="J17" s="5" t="n"/>
      <c r="K17" s="5" t="n"/>
      <c r="L17" s="5" t="n"/>
      <c r="M17" s="5" t="n"/>
      <c r="N17" s="5" t="n"/>
      <c r="O17" s="5" t="n"/>
      <c r="P17" s="5">
        <f>IF(MAESTRO!B17="","",IFERROR(TRUNC(AVERAGE(C17:O17),1),""))</f>
        <v/>
      </c>
      <c r="Q17" s="96" t="n">
        <v>13</v>
      </c>
      <c r="R17" s="5" t="n">
        <v>5</v>
      </c>
      <c r="S17" s="5" t="n">
        <v>5</v>
      </c>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v>13</v>
      </c>
      <c r="BP17" s="263" t="n">
        <v>13</v>
      </c>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5" t="n">
        <v>5</v>
      </c>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v>14</v>
      </c>
      <c r="BP18" s="263" t="n">
        <v>14</v>
      </c>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5" t="n">
        <v>5</v>
      </c>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v>15</v>
      </c>
      <c r="BP19" s="263" t="n">
        <v>15</v>
      </c>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4</v>
      </c>
      <c r="D20" s="5" t="n">
        <v>2</v>
      </c>
      <c r="E20" s="5" t="n">
        <v>4.5</v>
      </c>
      <c r="F20" s="5" t="n"/>
      <c r="G20" s="5" t="n"/>
      <c r="H20" s="5" t="n"/>
      <c r="I20" s="5" t="n"/>
      <c r="J20" s="5" t="n"/>
      <c r="K20" s="5" t="n"/>
      <c r="L20" s="5" t="n"/>
      <c r="M20" s="5" t="n"/>
      <c r="N20" s="5" t="n"/>
      <c r="O20" s="5" t="n"/>
      <c r="P20" s="5">
        <f>IF(MAESTRO!B20="","",IFERROR(TRUNC(AVERAGE(C20:O20),1),""))</f>
        <v/>
      </c>
      <c r="Q20" s="96" t="n">
        <v>16</v>
      </c>
      <c r="R20" s="5" t="n">
        <v>5</v>
      </c>
      <c r="S20" s="5" t="n">
        <v>5</v>
      </c>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v>16</v>
      </c>
      <c r="BP20" s="263" t="n">
        <v>16</v>
      </c>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v>
      </c>
      <c r="D21" s="5" t="n">
        <v>2</v>
      </c>
      <c r="E21" s="5" t="n">
        <v>4.5</v>
      </c>
      <c r="F21" s="5" t="n"/>
      <c r="G21" s="5" t="n"/>
      <c r="H21" s="5" t="n"/>
      <c r="I21" s="5" t="n"/>
      <c r="J21" s="5" t="n"/>
      <c r="K21" s="5" t="n"/>
      <c r="L21" s="5" t="n"/>
      <c r="M21" s="5" t="n"/>
      <c r="N21" s="5" t="n"/>
      <c r="O21" s="5" t="n"/>
      <c r="P21" s="5">
        <f>IF(MAESTRO!B21="","",IFERROR(TRUNC(AVERAGE(C21:O21),1),""))</f>
        <v/>
      </c>
      <c r="Q21" s="96" t="n">
        <v>17</v>
      </c>
      <c r="R21" s="5" t="n">
        <v>5</v>
      </c>
      <c r="S21" s="5" t="n">
        <v>5</v>
      </c>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v>17</v>
      </c>
      <c r="BP21" s="263" t="n">
        <v>17</v>
      </c>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5" t="n">
        <v>5</v>
      </c>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v>18</v>
      </c>
      <c r="BP22" s="263" t="n">
        <v>18</v>
      </c>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5" t="n">
        <v>5</v>
      </c>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v>19</v>
      </c>
      <c r="BP23" s="263" t="n">
        <v>19</v>
      </c>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5" t="n">
        <v>5</v>
      </c>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v>20</v>
      </c>
      <c r="BP24" s="263" t="n">
        <v>20</v>
      </c>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5" t="n">
        <v>5</v>
      </c>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v>21</v>
      </c>
      <c r="BP25" s="263" t="n">
        <v>21</v>
      </c>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v>22</v>
      </c>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v>22</v>
      </c>
      <c r="BP26" s="263" t="n">
        <v>22</v>
      </c>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3</v>
      </c>
      <c r="D27" s="5" t="n">
        <v>3</v>
      </c>
      <c r="E27" s="5" t="n">
        <v>4.5</v>
      </c>
      <c r="F27" s="5" t="n"/>
      <c r="G27" s="5" t="n"/>
      <c r="H27" s="5" t="n"/>
      <c r="I27" s="5" t="n"/>
      <c r="J27" s="5" t="n"/>
      <c r="K27" s="5" t="n"/>
      <c r="L27" s="5" t="n"/>
      <c r="M27" s="5" t="n"/>
      <c r="N27" s="5" t="n"/>
      <c r="O27" s="5" t="n"/>
      <c r="P27" s="5">
        <f>IF(MAESTRO!B27="","",IFERROR(TRUNC(AVERAGE(C27:O27),1),""))</f>
        <v/>
      </c>
      <c r="Q27" s="96" t="n">
        <v>23</v>
      </c>
      <c r="R27" s="5" t="n">
        <v>5</v>
      </c>
      <c r="S27" s="5" t="n">
        <v>5</v>
      </c>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v>23</v>
      </c>
      <c r="BP27" s="263" t="n">
        <v>23</v>
      </c>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3</v>
      </c>
      <c r="E28" s="5" t="n">
        <v>4.5</v>
      </c>
      <c r="F28" s="5" t="n"/>
      <c r="G28" s="5" t="n"/>
      <c r="H28" s="5" t="n"/>
      <c r="I28" s="5" t="n"/>
      <c r="J28" s="5" t="n"/>
      <c r="K28" s="5" t="n"/>
      <c r="L28" s="5" t="n"/>
      <c r="M28" s="5" t="n"/>
      <c r="N28" s="5" t="n"/>
      <c r="O28" s="5" t="n"/>
      <c r="P28" s="5">
        <f>IF(MAESTRO!B28="","",IFERROR(TRUNC(AVERAGE(C28:O28),1),""))</f>
        <v/>
      </c>
      <c r="Q28" s="96" t="n">
        <v>24</v>
      </c>
      <c r="R28" s="5" t="n">
        <v>5</v>
      </c>
      <c r="S28" s="5" t="n">
        <v>5</v>
      </c>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v>24</v>
      </c>
      <c r="BP28" s="263" t="n">
        <v>24</v>
      </c>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5" t="n">
        <v>5</v>
      </c>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v>25</v>
      </c>
      <c r="BP29" s="263" t="n">
        <v>25</v>
      </c>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v>26</v>
      </c>
      <c r="BP30" s="263" t="n">
        <v>26</v>
      </c>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v>27</v>
      </c>
      <c r="BP31" s="263" t="n">
        <v>27</v>
      </c>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v>28</v>
      </c>
      <c r="BP32" s="263" t="n">
        <v>28</v>
      </c>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v>29</v>
      </c>
      <c r="BP33" s="263" t="n">
        <v>29</v>
      </c>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v>30</v>
      </c>
      <c r="BP34" s="263" t="n">
        <v>30</v>
      </c>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v>31</v>
      </c>
      <c r="BP35" s="263" t="n">
        <v>31</v>
      </c>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v>32</v>
      </c>
      <c r="BP36" s="263" t="n">
        <v>32</v>
      </c>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v>33</v>
      </c>
      <c r="BP37" s="263" t="n">
        <v>33</v>
      </c>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v>34</v>
      </c>
      <c r="BP38" s="263" t="n">
        <v>34</v>
      </c>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v>35</v>
      </c>
      <c r="BP39" s="263" t="n">
        <v>35</v>
      </c>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v>36</v>
      </c>
      <c r="BP40" s="263" t="n">
        <v>36</v>
      </c>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v>37</v>
      </c>
      <c r="BP41" s="263" t="n">
        <v>37</v>
      </c>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15" t="inlineStr">
        <is>
          <t xml:space="preserve">Vocabulario </t>
        </is>
      </c>
      <c r="D42" s="316" t="inlineStr">
        <is>
          <t>Presupuesto -Fiesta</t>
        </is>
      </c>
      <c r="E42" s="316" t="inlineStr">
        <is>
          <t>Taller -Mural Fuentes de Dinero</t>
        </is>
      </c>
      <c r="F42" s="315" t="n"/>
      <c r="G42" s="315" t="n"/>
      <c r="H42" s="315" t="n"/>
      <c r="I42" s="315" t="n"/>
      <c r="J42" s="315" t="n"/>
      <c r="K42" s="315" t="n"/>
      <c r="L42" s="315" t="n"/>
      <c r="M42" s="315" t="n"/>
      <c r="N42" s="315" t="n"/>
      <c r="O42" s="315" t="n"/>
      <c r="P42" s="5" t="n"/>
      <c r="Q42" s="96" t="n">
        <v>38</v>
      </c>
      <c r="R42" s="316" t="inlineStr">
        <is>
          <t>Taller -Mural Fuentes de Dinero</t>
        </is>
      </c>
      <c r="S42" s="315" t="inlineStr">
        <is>
          <t xml:space="preserve">Huerto Escolar </t>
        </is>
      </c>
      <c r="T42" s="315" t="n"/>
      <c r="U42" s="315" t="n"/>
      <c r="V42" s="315" t="n"/>
      <c r="W42" s="315" t="n"/>
      <c r="X42" s="315" t="n"/>
      <c r="Y42" s="315" t="n"/>
      <c r="Z42" s="315" t="n"/>
      <c r="AA42" s="45" t="n"/>
      <c r="AB42" s="189" t="n"/>
      <c r="AC42" s="317" t="n"/>
      <c r="AD42" s="5" t="n"/>
      <c r="AE42" s="44" t="n"/>
      <c r="AF42" s="263" t="n"/>
      <c r="AG42" s="263" t="n">
        <v>38</v>
      </c>
      <c r="AH42" s="263" t="n">
        <v>38</v>
      </c>
      <c r="AI42" s="263">
        <f>IF(MAESTRO!B42="","",MAESTRO!B42)</f>
        <v/>
      </c>
      <c r="AJ42" s="186" t="n"/>
      <c r="AK42" s="315"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v>38</v>
      </c>
      <c r="BP42" s="263" t="n">
        <v>38</v>
      </c>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82" t="n"/>
      <c r="AC43" s="282" t="n"/>
      <c r="AD43" s="5" t="n"/>
      <c r="AE43" s="44" t="n"/>
      <c r="AF43" s="263" t="n"/>
      <c r="AG43" s="263" t="n">
        <v>39</v>
      </c>
      <c r="AH43" s="263" t="n">
        <v>39</v>
      </c>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v>39</v>
      </c>
      <c r="BP43" s="263" t="n">
        <v>39</v>
      </c>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82" t="n"/>
      <c r="AC44" s="282" t="n"/>
      <c r="AD44" s="22" t="n"/>
      <c r="AE44" s="22" t="n"/>
      <c r="AF44" s="263" t="n"/>
      <c r="AG44" s="263" t="n">
        <v>40</v>
      </c>
      <c r="AH44" s="263" t="n">
        <v>40</v>
      </c>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v>40</v>
      </c>
      <c r="BP44" s="263" t="n">
        <v>40</v>
      </c>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82" t="n"/>
      <c r="AC45" s="282" t="n"/>
      <c r="AD45" s="22" t="n"/>
      <c r="AE45" s="22" t="n"/>
      <c r="AF45" s="263" t="n"/>
      <c r="AG45" s="263" t="n">
        <v>41</v>
      </c>
      <c r="AH45" s="263" t="n">
        <v>41</v>
      </c>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v>41</v>
      </c>
      <c r="BP45" s="263" t="n">
        <v>41</v>
      </c>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82" t="n"/>
      <c r="AC46" s="282" t="n"/>
      <c r="AD46" s="22" t="n"/>
      <c r="AE46" s="22" t="n"/>
      <c r="AF46" s="263" t="n"/>
      <c r="AG46" s="263" t="n">
        <v>42</v>
      </c>
      <c r="AH46" s="263" t="n">
        <v>42</v>
      </c>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v>42</v>
      </c>
      <c r="BP46" s="263" t="n">
        <v>42</v>
      </c>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82" t="n"/>
      <c r="AC47" s="282" t="n"/>
      <c r="AD47" s="22" t="n"/>
      <c r="AE47" s="22" t="n"/>
      <c r="AF47" s="263" t="n"/>
      <c r="AG47" s="263" t="n">
        <v>43</v>
      </c>
      <c r="AH47" s="263" t="n">
        <v>43</v>
      </c>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v>43</v>
      </c>
      <c r="BP47" s="263" t="n">
        <v>43</v>
      </c>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183" t="n"/>
      <c r="AC48" s="183" t="n"/>
      <c r="AD48" s="22" t="n"/>
      <c r="AE48" s="22" t="n"/>
      <c r="AF48" s="263" t="n"/>
      <c r="AG48" s="263" t="n">
        <v>44</v>
      </c>
      <c r="AH48" s="263" t="n">
        <v>44</v>
      </c>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v>44</v>
      </c>
      <c r="BP48" s="263" t="n">
        <v>44</v>
      </c>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AI13:AJ13"/>
    <mergeCell ref="BQ13:BR13"/>
    <mergeCell ref="EA3:EA4"/>
    <mergeCell ref="CG42:CG48"/>
    <mergeCell ref="BQ44:BR44"/>
    <mergeCell ref="AO42:AO48"/>
    <mergeCell ref="BQ6:BR6"/>
    <mergeCell ref="AQ42:AQ48"/>
    <mergeCell ref="CX41:CY41"/>
    <mergeCell ref="BQ15:BR15"/>
    <mergeCell ref="BA42:BA48"/>
    <mergeCell ref="CK42:CK48"/>
    <mergeCell ref="BC42:BC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BQ10:BR10"/>
    <mergeCell ref="AV42:AV48"/>
    <mergeCell ref="CD42:CD48"/>
    <mergeCell ref="BM3:BM4"/>
    <mergeCell ref="BQ19:BR19"/>
    <mergeCell ref="AI5:AJ5"/>
    <mergeCell ref="BF42:BF48"/>
    <mergeCell ref="CE3:CE4"/>
    <mergeCell ref="BQ28:BR28"/>
    <mergeCell ref="AI48:AJ48"/>
    <mergeCell ref="CX32:CY32"/>
    <mergeCell ref="DN2:ED2"/>
    <mergeCell ref="CX30:CY30"/>
    <mergeCell ref="AI39:AJ3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AI3:AJ4"/>
    <mergeCell ref="CF1:CV1"/>
    <mergeCell ref="DN1:ED1"/>
    <mergeCell ref="A3:A4"/>
    <mergeCell ref="BQ26:BR26"/>
    <mergeCell ref="R3:Z3"/>
    <mergeCell ref="CU3:CV4"/>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45:CY45"/>
    <mergeCell ref="CX13:CY13"/>
    <mergeCell ref="AA3:AA4"/>
    <mergeCell ref="AK3:AW3"/>
    <mergeCell ref="CX28:CY28"/>
    <mergeCell ref="AI22:AJ22"/>
    <mergeCell ref="CX6:CY6"/>
    <mergeCell ref="BQ11:BR11"/>
    <mergeCell ref="AI31:AJ31"/>
    <mergeCell ref="CX15:CY15"/>
    <mergeCell ref="BQ42:BR42"/>
    <mergeCell ref="AI37:AJ37"/>
    <mergeCell ref="CX37:CY37"/>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IF(MAESTRO!B15="","",MAESTRO!B15)</f>
        <v/>
      </c>
      <c r="C15" s="5" t="n">
        <v>4.3</v>
      </c>
      <c r="D15" s="5" t="n">
        <v>4</v>
      </c>
      <c r="E15" s="5" t="n">
        <v>4.7</v>
      </c>
      <c r="F15" s="5" t="n">
        <v>4.8</v>
      </c>
      <c r="G15" s="5" t="n"/>
      <c r="H15" s="5" t="n"/>
      <c r="I15" s="5" t="n"/>
      <c r="J15" s="5" t="n"/>
      <c r="K15" s="5" t="n"/>
      <c r="L15" s="5" t="n"/>
      <c r="M15" s="5" t="n"/>
      <c r="N15" s="5" t="n"/>
      <c r="O15" s="5" t="n"/>
      <c r="P15" s="5">
        <f>IF(MAESTRO!B15="","",IFERROR(TRUNC(AVERAGE(C15:O15),1),""))</f>
        <v/>
      </c>
      <c r="Q15" s="40" t="n">
        <v>11</v>
      </c>
      <c r="R15" s="5" t="n">
        <v>4.8</v>
      </c>
      <c r="S15" s="22" t="n">
        <v>5</v>
      </c>
      <c r="T15" s="22" t="n"/>
      <c r="U15" s="22" t="n"/>
      <c r="V15" s="22" t="n"/>
      <c r="W15" s="22" t="n"/>
      <c r="X15" s="22" t="n"/>
      <c r="Y15" s="22" t="n"/>
      <c r="Z15" s="22" t="n"/>
      <c r="AA15" s="45">
        <f>IF(MAESTRO!B15="","",IFERROR(TRUNC(AVERAGE(R15:Z15),1),""))</f>
        <v/>
      </c>
      <c r="AB15" s="5" t="n">
        <v>4.8</v>
      </c>
      <c r="AC15" s="5" t="n">
        <v>4.8</v>
      </c>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IF(MAESTRO!B16="","",MAESTRO!B16)</f>
        <v/>
      </c>
      <c r="C16" s="5" t="n">
        <v>4</v>
      </c>
      <c r="D16" s="5" t="n">
        <v>4.1</v>
      </c>
      <c r="E16" s="5" t="n">
        <v>3</v>
      </c>
      <c r="F16" s="5" t="n">
        <v>4.8</v>
      </c>
      <c r="G16" s="5" t="n"/>
      <c r="H16" s="5" t="n"/>
      <c r="I16" s="5" t="n"/>
      <c r="J16" s="5" t="n"/>
      <c r="K16" s="5" t="n"/>
      <c r="L16" s="5" t="n"/>
      <c r="M16" s="5" t="n"/>
      <c r="N16" s="5" t="n"/>
      <c r="O16" s="5" t="n"/>
      <c r="P16" s="5">
        <f>IF(MAESTRO!B16="","",IFERROR(TRUNC(AVERAGE(C16:O16),1),""))</f>
        <v/>
      </c>
      <c r="Q16" s="40" t="n">
        <v>12</v>
      </c>
      <c r="R16" s="5" t="n">
        <v>4.8</v>
      </c>
      <c r="S16" s="22" t="n">
        <v>5</v>
      </c>
      <c r="T16" s="22" t="n"/>
      <c r="U16" s="22" t="n"/>
      <c r="V16" s="22" t="n"/>
      <c r="W16" s="22" t="n"/>
      <c r="X16" s="22" t="n"/>
      <c r="Y16" s="22" t="n"/>
      <c r="Z16" s="22" t="n"/>
      <c r="AA16" s="45">
        <f>IF(MAESTRO!B16="","",IFERROR(TRUNC(AVERAGE(R16:Z16),1),""))</f>
        <v/>
      </c>
      <c r="AB16" s="5" t="n">
        <v>4.8</v>
      </c>
      <c r="AC16" s="5" t="n">
        <v>4.8</v>
      </c>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IF(MAESTRO!B17="","",MAESTRO!B17)</f>
        <v/>
      </c>
      <c r="C17" s="5" t="n">
        <v>5</v>
      </c>
      <c r="D17" s="5" t="n">
        <v>5</v>
      </c>
      <c r="E17" s="5" t="n">
        <v>4</v>
      </c>
      <c r="F17" s="5" t="n">
        <v>4.8</v>
      </c>
      <c r="G17" s="5" t="n"/>
      <c r="H17" s="5" t="n"/>
      <c r="I17" s="5" t="n"/>
      <c r="J17" s="5" t="n"/>
      <c r="K17" s="5" t="n"/>
      <c r="L17" s="5" t="n"/>
      <c r="M17" s="5" t="n"/>
      <c r="N17" s="5" t="n"/>
      <c r="O17" s="5" t="n"/>
      <c r="P17" s="5">
        <f>IF(MAESTRO!B17="","",IFERROR(TRUNC(AVERAGE(C17:O17),1),""))</f>
        <v/>
      </c>
      <c r="Q17" s="40" t="n">
        <v>13</v>
      </c>
      <c r="R17" s="5" t="n">
        <v>4.8</v>
      </c>
      <c r="S17" s="22" t="n">
        <v>5</v>
      </c>
      <c r="T17" s="22" t="n"/>
      <c r="U17" s="22" t="n"/>
      <c r="V17" s="22" t="n"/>
      <c r="W17" s="22" t="n"/>
      <c r="X17" s="22" t="n"/>
      <c r="Y17" s="22" t="n"/>
      <c r="Z17" s="22" t="n"/>
      <c r="AA17" s="45">
        <f>IF(MAESTRO!B17="","",IFERROR(TRUNC(AVERAGE(R17:Z17),1),""))</f>
        <v/>
      </c>
      <c r="AB17" s="5" t="n">
        <v>4.8</v>
      </c>
      <c r="AC17" s="5" t="n">
        <v>4.8</v>
      </c>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IF(MAESTRO!B18="","",MAESTRO!B18)</f>
        <v/>
      </c>
      <c r="C18" s="5" t="n">
        <v>5</v>
      </c>
      <c r="D18" s="5" t="n">
        <v>4.9</v>
      </c>
      <c r="E18" s="5" t="n">
        <v>4</v>
      </c>
      <c r="F18" s="5" t="n">
        <v>5</v>
      </c>
      <c r="G18" s="5" t="n"/>
      <c r="H18" s="5" t="n"/>
      <c r="I18" s="5" t="n"/>
      <c r="J18" s="5" t="n"/>
      <c r="K18" s="5" t="n"/>
      <c r="L18" s="5" t="n"/>
      <c r="M18" s="5" t="n"/>
      <c r="N18" s="5" t="n"/>
      <c r="O18" s="5" t="n"/>
      <c r="P18" s="5">
        <f>IF(MAESTRO!B18="","",IFERROR(TRUNC(AVERAGE(C18:O18),1),""))</f>
        <v/>
      </c>
      <c r="Q18" s="40" t="n">
        <v>14</v>
      </c>
      <c r="R18" s="5" t="n">
        <v>5</v>
      </c>
      <c r="S18" s="22" t="n">
        <v>5</v>
      </c>
      <c r="T18" s="22" t="n"/>
      <c r="U18" s="22" t="n"/>
      <c r="V18" s="22" t="n"/>
      <c r="W18" s="22" t="n"/>
      <c r="X18" s="22" t="n"/>
      <c r="Y18" s="22" t="n"/>
      <c r="Z18" s="22" t="n"/>
      <c r="AA18" s="45">
        <f>IF(MAESTRO!B18="","",IFERROR(TRUNC(AVERAGE(R18:Z18),1),""))</f>
        <v/>
      </c>
      <c r="AB18" s="5" t="n">
        <v>4.8</v>
      </c>
      <c r="AC18" s="5" t="n">
        <v>5</v>
      </c>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IF(MAESTRO!B19="","",MAESTRO!B19)</f>
        <v/>
      </c>
      <c r="C19" s="5" t="n">
        <v>4.5</v>
      </c>
      <c r="D19" s="5" t="n">
        <v>4.7</v>
      </c>
      <c r="E19" s="5" t="n">
        <v>4.8</v>
      </c>
      <c r="F19" s="5" t="n">
        <v>4.8</v>
      </c>
      <c r="G19" s="5" t="n"/>
      <c r="H19" s="5" t="n"/>
      <c r="I19" s="5" t="n"/>
      <c r="J19" s="5" t="n"/>
      <c r="K19" s="5" t="n"/>
      <c r="L19" s="5" t="n"/>
      <c r="M19" s="5" t="n"/>
      <c r="N19" s="5" t="n"/>
      <c r="O19" s="5" t="n"/>
      <c r="P19" s="5">
        <f>IF(MAESTRO!B19="","",IFERROR(TRUNC(AVERAGE(C19:O19),1),""))</f>
        <v/>
      </c>
      <c r="Q19" s="40" t="n">
        <v>15</v>
      </c>
      <c r="R19" s="5" t="n">
        <v>4.8</v>
      </c>
      <c r="S19" s="22" t="n">
        <v>5</v>
      </c>
      <c r="T19" s="22" t="n"/>
      <c r="U19" s="22" t="n"/>
      <c r="V19" s="22" t="n"/>
      <c r="W19" s="22" t="n"/>
      <c r="X19" s="22" t="n"/>
      <c r="Y19" s="22" t="n"/>
      <c r="Z19" s="22" t="n"/>
      <c r="AA19" s="45">
        <f>IF(MAESTRO!B19="","",IFERROR(TRUNC(AVERAGE(R19:Z19),1),""))</f>
        <v/>
      </c>
      <c r="AB19" s="5" t="n">
        <v>4.8</v>
      </c>
      <c r="AC19" s="5" t="n">
        <v>4.8</v>
      </c>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IF(MAESTRO!B20="","",MAESTRO!B20)</f>
        <v/>
      </c>
      <c r="C20" s="5" t="n">
        <v>2</v>
      </c>
      <c r="D20" s="5" t="n">
        <v>4</v>
      </c>
      <c r="E20" s="5" t="n">
        <v>3.8</v>
      </c>
      <c r="F20" s="5" t="n">
        <v>4.8</v>
      </c>
      <c r="G20" s="5" t="n"/>
      <c r="H20" s="5" t="n"/>
      <c r="I20" s="5" t="n"/>
      <c r="J20" s="5" t="n"/>
      <c r="K20" s="5" t="n"/>
      <c r="L20" s="5" t="n"/>
      <c r="M20" s="5" t="n"/>
      <c r="N20" s="5" t="n"/>
      <c r="O20" s="5" t="n"/>
      <c r="P20" s="5">
        <f>IF(MAESTRO!B20="","",IFERROR(TRUNC(AVERAGE(C20:O20),1),""))</f>
        <v/>
      </c>
      <c r="Q20" s="40" t="n">
        <v>16</v>
      </c>
      <c r="R20" s="5" t="n">
        <v>4.8</v>
      </c>
      <c r="S20" s="22" t="n">
        <v>5</v>
      </c>
      <c r="T20" s="22" t="n"/>
      <c r="U20" s="22" t="n"/>
      <c r="V20" s="22" t="n"/>
      <c r="W20" s="22" t="n"/>
      <c r="X20" s="22" t="n"/>
      <c r="Y20" s="22" t="n"/>
      <c r="Z20" s="22" t="n"/>
      <c r="AA20" s="45">
        <f>IF(MAESTRO!B20="","",IFERROR(TRUNC(AVERAGE(R20:Z20),1),""))</f>
        <v/>
      </c>
      <c r="AB20" s="5" t="n">
        <v>4.8</v>
      </c>
      <c r="AC20" s="5" t="n">
        <v>4.8</v>
      </c>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IF(MAESTRO!B21="","",MAESTRO!B21)</f>
        <v/>
      </c>
      <c r="C21" s="5" t="n">
        <v>4.3</v>
      </c>
      <c r="D21" s="5" t="n">
        <v>2</v>
      </c>
      <c r="E21" s="5" t="n">
        <v>2</v>
      </c>
      <c r="F21" s="5" t="n">
        <v>4.8</v>
      </c>
      <c r="G21" s="5" t="n"/>
      <c r="H21" s="5" t="n"/>
      <c r="I21" s="5" t="n"/>
      <c r="J21" s="5" t="n"/>
      <c r="K21" s="5" t="n"/>
      <c r="L21" s="5" t="n"/>
      <c r="M21" s="5" t="n"/>
      <c r="N21" s="5" t="n"/>
      <c r="O21" s="5" t="n"/>
      <c r="P21" s="5">
        <f>IF(MAESTRO!B21="","",IFERROR(TRUNC(AVERAGE(C21:O21),1),""))</f>
        <v/>
      </c>
      <c r="Q21" s="40" t="n">
        <v>17</v>
      </c>
      <c r="R21" s="5" t="n">
        <v>4.8</v>
      </c>
      <c r="S21" s="22" t="n">
        <v>5</v>
      </c>
      <c r="T21" s="22" t="n"/>
      <c r="U21" s="22" t="n"/>
      <c r="V21" s="22" t="n"/>
      <c r="W21" s="22" t="n"/>
      <c r="X21" s="22" t="n"/>
      <c r="Y21" s="22" t="n"/>
      <c r="Z21" s="22" t="n"/>
      <c r="AA21" s="45">
        <f>IF(MAESTRO!B21="","",IFERROR(TRUNC(AVERAGE(R21:Z21),1),""))</f>
        <v/>
      </c>
      <c r="AB21" s="5" t="n">
        <v>4.8</v>
      </c>
      <c r="AC21" s="5" t="n">
        <v>4.8</v>
      </c>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IF(MAESTRO!B22="","",MAESTRO!B22)</f>
        <v/>
      </c>
      <c r="C22" s="5" t="n">
        <v>5</v>
      </c>
      <c r="D22" s="5" t="n">
        <v>4.7</v>
      </c>
      <c r="E22" s="5" t="n">
        <v>5</v>
      </c>
      <c r="F22" s="5" t="n">
        <v>5</v>
      </c>
      <c r="G22" s="5" t="n"/>
      <c r="H22" s="5" t="n"/>
      <c r="I22" s="5" t="n"/>
      <c r="J22" s="5" t="n"/>
      <c r="K22" s="5" t="n"/>
      <c r="L22" s="5" t="n"/>
      <c r="M22" s="5" t="n"/>
      <c r="N22" s="5" t="n"/>
      <c r="O22" s="5" t="n"/>
      <c r="P22" s="5">
        <f>IF(MAESTRO!B22="","",IFERROR(TRUNC(AVERAGE(C22:O22),1),""))</f>
        <v/>
      </c>
      <c r="Q22" s="40" t="n">
        <v>18</v>
      </c>
      <c r="R22" s="5" t="n">
        <v>5</v>
      </c>
      <c r="S22" s="22" t="n">
        <v>5</v>
      </c>
      <c r="T22" s="22" t="n"/>
      <c r="U22" s="22" t="n"/>
      <c r="V22" s="22" t="n"/>
      <c r="W22" s="22" t="n"/>
      <c r="X22" s="22" t="n"/>
      <c r="Y22" s="22" t="n"/>
      <c r="Z22" s="22" t="n"/>
      <c r="AA22" s="45">
        <f>IF(MAESTRO!B22="","",IFERROR(TRUNC(AVERAGE(R22:Z22),1),""))</f>
        <v/>
      </c>
      <c r="AB22" s="5" t="n">
        <v>4.8</v>
      </c>
      <c r="AC22" s="5" t="n">
        <v>5</v>
      </c>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IF(MAESTRO!B23="","",MAESTRO!B23)</f>
        <v/>
      </c>
      <c r="C23" s="5" t="n">
        <v>3</v>
      </c>
      <c r="D23" s="5" t="n">
        <v>3</v>
      </c>
      <c r="E23" s="5" t="n">
        <v>3.8</v>
      </c>
      <c r="F23" s="5" t="n">
        <v>4.8</v>
      </c>
      <c r="G23" s="5" t="n"/>
      <c r="H23" s="5" t="n"/>
      <c r="I23" s="5" t="n"/>
      <c r="J23" s="5" t="n"/>
      <c r="K23" s="5" t="n"/>
      <c r="L23" s="5" t="n"/>
      <c r="M23" s="5" t="n"/>
      <c r="N23" s="5" t="n"/>
      <c r="O23" s="5" t="n"/>
      <c r="P23" s="5">
        <f>IF(MAESTRO!B23="","",IFERROR(TRUNC(AVERAGE(C23:O23),1),""))</f>
        <v/>
      </c>
      <c r="Q23" s="40" t="n">
        <v>19</v>
      </c>
      <c r="R23" s="5" t="n">
        <v>4.8</v>
      </c>
      <c r="S23" s="22" t="n">
        <v>5</v>
      </c>
      <c r="T23" s="22" t="n"/>
      <c r="U23" s="22" t="n"/>
      <c r="V23" s="22" t="n"/>
      <c r="W23" s="22" t="n"/>
      <c r="X23" s="22" t="n"/>
      <c r="Y23" s="22" t="n"/>
      <c r="Z23" s="22" t="n"/>
      <c r="AA23" s="45">
        <f>IF(MAESTRO!B23="","",IFERROR(TRUNC(AVERAGE(R23:Z23),1),""))</f>
        <v/>
      </c>
      <c r="AB23" s="5" t="n">
        <v>4.8</v>
      </c>
      <c r="AC23" s="5" t="n">
        <v>4.8</v>
      </c>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IF(MAESTRO!B24="","",MAESTRO!B24)</f>
        <v/>
      </c>
      <c r="C24" s="5" t="n">
        <v>5</v>
      </c>
      <c r="D24" s="5" t="n">
        <v>4.8</v>
      </c>
      <c r="E24" s="5" t="n">
        <v>4.8</v>
      </c>
      <c r="F24" s="5" t="n">
        <v>4.8</v>
      </c>
      <c r="G24" s="5" t="n"/>
      <c r="H24" s="5" t="n"/>
      <c r="I24" s="5" t="n"/>
      <c r="J24" s="5" t="n"/>
      <c r="K24" s="5" t="n"/>
      <c r="L24" s="5" t="n"/>
      <c r="M24" s="5" t="n"/>
      <c r="N24" s="5" t="n"/>
      <c r="O24" s="5" t="n"/>
      <c r="P24" s="5">
        <f>IF(MAESTRO!B24="","",IFERROR(TRUNC(AVERAGE(C24:O24),1),""))</f>
        <v/>
      </c>
      <c r="Q24" s="40" t="n">
        <v>20</v>
      </c>
      <c r="R24" s="5" t="n">
        <v>4.8</v>
      </c>
      <c r="S24" s="22" t="n">
        <v>5</v>
      </c>
      <c r="T24" s="22" t="n"/>
      <c r="U24" s="22" t="n"/>
      <c r="V24" s="22" t="n"/>
      <c r="W24" s="22" t="n"/>
      <c r="X24" s="22" t="n"/>
      <c r="Y24" s="22" t="n"/>
      <c r="Z24" s="22" t="n"/>
      <c r="AA24" s="45">
        <f>IF(MAESTRO!B24="","",IFERROR(TRUNC(AVERAGE(R24:Z24),1),""))</f>
        <v/>
      </c>
      <c r="AB24" s="5" t="n">
        <v>4.8</v>
      </c>
      <c r="AC24" s="5" t="n">
        <v>4.8</v>
      </c>
      <c r="AD24" s="5">
        <f>IF(MAESTRO!B24="","",IFERROR(AVERAGE(AB24:AC24),""))</f>
        <v/>
      </c>
      <c r="AE24" s="44">
        <f>IF(MAESTRO!B24="","",IFERROR(TRUNC(AVERAGE(P24,AA24,AD24),1),""))</f>
        <v/>
      </c>
      <c r="AF24" s="263" t="n"/>
      <c r="AG24" s="263" t="n">
        <v>20</v>
      </c>
      <c r="AH24" s="263" t="n">
        <v>20</v>
      </c>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IF(MAESTRO!B25="","",MAESTRO!B25)</f>
        <v/>
      </c>
      <c r="C25" s="5" t="n">
        <v>4.5</v>
      </c>
      <c r="D25" s="5" t="n">
        <v>4.6</v>
      </c>
      <c r="E25" s="5" t="n">
        <v>4.5</v>
      </c>
      <c r="F25" s="5" t="n">
        <v>5</v>
      </c>
      <c r="G25" s="5" t="n"/>
      <c r="H25" s="5" t="n"/>
      <c r="I25" s="5" t="n"/>
      <c r="J25" s="5" t="n"/>
      <c r="K25" s="5" t="n"/>
      <c r="L25" s="5" t="n"/>
      <c r="M25" s="5" t="n"/>
      <c r="N25" s="5" t="n"/>
      <c r="O25" s="5" t="n"/>
      <c r="P25" s="5">
        <f>IF(MAESTRO!B25="","",IFERROR(TRUNC(AVERAGE(C25:O25),1),""))</f>
        <v/>
      </c>
      <c r="Q25" s="40" t="n">
        <v>21</v>
      </c>
      <c r="R25" s="5" t="n">
        <v>5</v>
      </c>
      <c r="S25" s="22" t="n">
        <v>5</v>
      </c>
      <c r="T25" s="22" t="n"/>
      <c r="U25" s="22" t="n"/>
      <c r="V25" s="22" t="n"/>
      <c r="W25" s="22" t="n"/>
      <c r="X25" s="22" t="n"/>
      <c r="Y25" s="22" t="n"/>
      <c r="Z25" s="22" t="n"/>
      <c r="AA25" s="45">
        <f>IF(MAESTRO!B25="","",IFERROR(TRUNC(AVERAGE(R25:Z25),1),""))</f>
        <v/>
      </c>
      <c r="AB25" s="5" t="n">
        <v>4.8</v>
      </c>
      <c r="AC25" s="5" t="n">
        <v>5</v>
      </c>
      <c r="AD25" s="5">
        <f>IF(MAESTRO!B25="","",IFERROR(AVERAGE(AB25:AC25),""))</f>
        <v/>
      </c>
      <c r="AE25" s="44">
        <f>IF(MAESTRO!B25="","",IFERROR(TRUNC(AVERAGE(P25,AA25,AD25),1),""))</f>
        <v/>
      </c>
      <c r="AF25" s="263" t="n"/>
      <c r="AG25" s="263" t="n">
        <v>21</v>
      </c>
      <c r="AH25" s="263" t="n">
        <v>21</v>
      </c>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v>22</v>
      </c>
      <c r="AH26" s="263" t="n">
        <v>22</v>
      </c>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IF(MAESTRO!B27="","",MAESTRO!B27)</f>
        <v/>
      </c>
      <c r="C27" s="5" t="n">
        <v>2</v>
      </c>
      <c r="D27" s="5" t="n">
        <v>4</v>
      </c>
      <c r="E27" s="5" t="n">
        <v>4.9</v>
      </c>
      <c r="F27" s="5" t="n">
        <v>4.8</v>
      </c>
      <c r="G27" s="5" t="n"/>
      <c r="H27" s="5" t="n"/>
      <c r="I27" s="5" t="n"/>
      <c r="J27" s="5" t="n"/>
      <c r="K27" s="5" t="n"/>
      <c r="L27" s="5" t="n"/>
      <c r="M27" s="5" t="n"/>
      <c r="N27" s="5" t="n"/>
      <c r="O27" s="5" t="n"/>
      <c r="P27" s="5">
        <f>IF(MAESTRO!B27="","",IFERROR(TRUNC(AVERAGE(C27:O27),1),""))</f>
        <v/>
      </c>
      <c r="Q27" s="40" t="n">
        <v>23</v>
      </c>
      <c r="R27" s="5" t="n">
        <v>4.8</v>
      </c>
      <c r="S27" s="22" t="n">
        <v>5</v>
      </c>
      <c r="T27" s="22" t="n"/>
      <c r="U27" s="22" t="n"/>
      <c r="V27" s="22" t="n"/>
      <c r="W27" s="22" t="n"/>
      <c r="X27" s="22" t="n"/>
      <c r="Y27" s="22" t="n"/>
      <c r="Z27" s="22" t="n"/>
      <c r="AA27" s="45">
        <f>IF(MAESTRO!B27="","",IFERROR(TRUNC(AVERAGE(R27:Z27),1),""))</f>
        <v/>
      </c>
      <c r="AB27" s="5" t="n">
        <v>4.8</v>
      </c>
      <c r="AC27" s="5" t="n">
        <v>4.8</v>
      </c>
      <c r="AD27" s="5">
        <f>IF(MAESTRO!B27="","",IFERROR(AVERAGE(AB27:AC27),""))</f>
        <v/>
      </c>
      <c r="AE27" s="44">
        <f>IF(MAESTRO!B27="","",IFERROR(TRUNC(AVERAGE(P27,AA27,AD27),1),""))</f>
        <v/>
      </c>
      <c r="AF27" s="263" t="n"/>
      <c r="AG27" s="263" t="n">
        <v>23</v>
      </c>
      <c r="AH27" s="263" t="n">
        <v>23</v>
      </c>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IF(MAESTRO!B28="","",MAESTRO!B28)</f>
        <v/>
      </c>
      <c r="C28" s="5" t="n">
        <v>4.5</v>
      </c>
      <c r="D28" s="5" t="n">
        <v>4</v>
      </c>
      <c r="E28" s="5" t="n">
        <v>3.9</v>
      </c>
      <c r="F28" s="5" t="n">
        <v>4.8</v>
      </c>
      <c r="G28" s="5" t="n"/>
      <c r="H28" s="5" t="n"/>
      <c r="I28" s="5" t="n"/>
      <c r="J28" s="5" t="n"/>
      <c r="K28" s="5" t="n"/>
      <c r="L28" s="5" t="n"/>
      <c r="M28" s="5" t="n"/>
      <c r="N28" s="5" t="n"/>
      <c r="O28" s="5" t="n"/>
      <c r="P28" s="5">
        <f>IF(MAESTRO!B28="","",IFERROR(TRUNC(AVERAGE(C28:O28),1),""))</f>
        <v/>
      </c>
      <c r="Q28" s="40" t="n">
        <v>24</v>
      </c>
      <c r="R28" s="5" t="n">
        <v>4.8</v>
      </c>
      <c r="S28" s="22" t="n">
        <v>5</v>
      </c>
      <c r="T28" s="22" t="n"/>
      <c r="U28" s="22" t="n"/>
      <c r="V28" s="22" t="n"/>
      <c r="W28" s="22" t="n"/>
      <c r="X28" s="22" t="n"/>
      <c r="Y28" s="22" t="n"/>
      <c r="Z28" s="22" t="n"/>
      <c r="AA28" s="45">
        <f>IF(MAESTRO!B28="","",IFERROR(TRUNC(AVERAGE(R28:Z28),1),""))</f>
        <v/>
      </c>
      <c r="AB28" s="5" t="n">
        <v>4.8</v>
      </c>
      <c r="AC28" s="5" t="n">
        <v>4.8</v>
      </c>
      <c r="AD28" s="5">
        <f>IF(MAESTRO!B28="","",IFERROR(AVERAGE(AB28:AC28),""))</f>
        <v/>
      </c>
      <c r="AE28" s="44">
        <f>IF(MAESTRO!B28="","",IFERROR(TRUNC(AVERAGE(P28,AA28,AD28),1),""))</f>
        <v/>
      </c>
      <c r="AF28" s="263" t="n"/>
      <c r="AG28" s="263" t="n">
        <v>24</v>
      </c>
      <c r="AH28" s="263" t="n">
        <v>24</v>
      </c>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IF(MAESTRO!B29="","",MAESTRO!B29)</f>
        <v/>
      </c>
      <c r="C29" s="5" t="n">
        <v>2</v>
      </c>
      <c r="D29" s="5" t="n">
        <v>4.3</v>
      </c>
      <c r="E29" s="5" t="n">
        <v>4.5</v>
      </c>
      <c r="F29" s="5" t="n">
        <v>4.8</v>
      </c>
      <c r="G29" s="5" t="n"/>
      <c r="H29" s="5" t="n"/>
      <c r="I29" s="5" t="n"/>
      <c r="J29" s="5" t="n"/>
      <c r="K29" s="5" t="n"/>
      <c r="L29" s="5" t="n"/>
      <c r="M29" s="5" t="n"/>
      <c r="N29" s="5" t="n"/>
      <c r="O29" s="5" t="n"/>
      <c r="P29" s="5">
        <f>IF(MAESTRO!B29="","",IFERROR(TRUNC(AVERAGE(C29:O29),1),""))</f>
        <v/>
      </c>
      <c r="Q29" s="40" t="n">
        <v>25</v>
      </c>
      <c r="R29" s="5" t="n">
        <v>4.8</v>
      </c>
      <c r="S29" s="22" t="n">
        <v>5</v>
      </c>
      <c r="T29" s="22" t="n"/>
      <c r="U29" s="22" t="n"/>
      <c r="V29" s="22" t="n"/>
      <c r="W29" s="22" t="n"/>
      <c r="X29" s="22" t="n"/>
      <c r="Y29" s="22" t="n"/>
      <c r="Z29" s="22" t="n"/>
      <c r="AA29" s="45">
        <f>IF(MAESTRO!B29="","",IFERROR(TRUNC(AVERAGE(R29:Z29),1),""))</f>
        <v/>
      </c>
      <c r="AB29" s="5" t="n">
        <v>4.8</v>
      </c>
      <c r="AC29" s="5" t="n">
        <v>4.8</v>
      </c>
      <c r="AD29" s="5">
        <f>IF(MAESTRO!B29="","",IFERROR(AVERAGE(AB29:AC29),""))</f>
        <v/>
      </c>
      <c r="AE29" s="44">
        <f>IF(MAESTRO!B29="","",IFERROR(TRUNC(AVERAGE(P29,AA29,AD29),1),""))</f>
        <v/>
      </c>
      <c r="AF29" s="263" t="n"/>
      <c r="AG29" s="263" t="n">
        <v>25</v>
      </c>
      <c r="AH29" s="263" t="n">
        <v>25</v>
      </c>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IF(MAESTRO!B42="","",MAESTRO!B42)</f>
        <v/>
      </c>
      <c r="C42" s="321" t="inlineStr">
        <is>
          <t>Propagacion de Semilla</t>
        </is>
      </c>
      <c r="D42" s="278" t="inlineStr">
        <is>
          <t>Investigación - Vivero</t>
        </is>
      </c>
      <c r="E42" s="278" t="inlineStr">
        <is>
          <t>Investigacion - Herramientas y Preparar Tierra</t>
        </is>
      </c>
      <c r="F42" s="319" t="inlineStr">
        <is>
          <t>Jardin Escolar</t>
        </is>
      </c>
      <c r="G42" s="278" t="n"/>
      <c r="H42" s="278" t="n"/>
      <c r="I42" s="278" t="n"/>
      <c r="J42" s="278" t="n"/>
      <c r="K42" s="278" t="n"/>
      <c r="L42" s="278" t="n"/>
      <c r="M42" s="278" t="n"/>
      <c r="N42" s="278" t="n"/>
      <c r="O42" s="278" t="n"/>
      <c r="P42" s="5" t="n"/>
      <c r="Q42" s="40" t="n">
        <v>38</v>
      </c>
      <c r="R42" s="319" t="inlineStr">
        <is>
          <t>Jardin Escolar</t>
        </is>
      </c>
      <c r="S42" s="319" t="inlineStr">
        <is>
          <t xml:space="preserve">Particpación - Huerto Escolar </t>
        </is>
      </c>
      <c r="T42" s="319" t="n"/>
      <c r="U42" s="319" t="n"/>
      <c r="V42" s="319" t="n"/>
      <c r="W42" s="319" t="n"/>
      <c r="X42" s="319" t="n"/>
      <c r="Y42" s="319" t="n"/>
      <c r="Z42" s="319" t="n"/>
      <c r="AA42" s="45" t="n"/>
      <c r="AB42" s="318" t="inlineStr">
        <is>
          <t>Jardin - nota grupal</t>
        </is>
      </c>
      <c r="AC42" s="318" t="inlineStr">
        <is>
          <t>Jardin - nota individual</t>
        </is>
      </c>
      <c r="AD42" s="5" t="n"/>
      <c r="AE42" s="44" t="n"/>
      <c r="AF42" s="263" t="n"/>
      <c r="AG42" s="263" t="n">
        <v>38</v>
      </c>
      <c r="AH42" s="263" t="n">
        <v>38</v>
      </c>
      <c r="AI42" s="263">
        <f>IF(MAESTRO!B42="","",MAESTRO!B42)</f>
        <v/>
      </c>
      <c r="AJ42" s="186" t="n"/>
      <c r="AK42" s="269"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IF(MAESTRO!B42="","",MAESTRO!B42)</f>
        <v/>
      </c>
      <c r="BQ42" s="186" t="n"/>
      <c r="BR42" s="265" t="n"/>
      <c r="BS42" s="265" t="n"/>
      <c r="BT42" s="265" t="n"/>
      <c r="BU42" s="265" t="n"/>
      <c r="BV42" s="273" t="n"/>
      <c r="BW42" s="273" t="n"/>
      <c r="BX42" s="273" t="n"/>
      <c r="BY42" s="273" t="n"/>
      <c r="BZ42" s="273" t="n"/>
      <c r="CA42" s="273" t="n"/>
      <c r="CB42" s="273" t="n"/>
      <c r="CC42" s="273" t="n"/>
      <c r="CD42" s="273" t="n"/>
      <c r="CE42" s="5" t="n"/>
      <c r="CF42" s="320"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A4" zoomScale="80" zoomScaleNormal="100" zoomScalePageLayoutView="80" workbookViewId="0">
      <selection activeCell="T42" sqref="T4:T48"/>
    </sheetView>
  </sheetViews>
  <sheetFormatPr baseColWidth="10" defaultRowHeight="14.4"/>
  <cols>
    <col width="3.21875" bestFit="1" customWidth="1" style="195" min="1" max="1"/>
    <col width="19.554687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44140625" customWidth="1" style="277" min="70" max="82"/>
    <col width="4.44140625" customWidth="1" style="195" min="83" max="83"/>
    <col width="4.44140625" customWidth="1" style="277" min="84" max="98"/>
    <col width="15.5546875" customWidth="1" style="195" min="99" max="99"/>
    <col width="3.109375" customWidth="1" style="195" min="100" max="100"/>
    <col width="2.77734375" customWidth="1" style="195" min="101" max="101"/>
    <col width="11.44140625" customWidth="1" style="195" min="102" max="102"/>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2" t="n"/>
      <c r="CR4" s="193" t="n"/>
      <c r="CS4" s="183" t="n"/>
      <c r="CT4" s="183" t="n"/>
      <c r="CU4" s="192" t="n"/>
      <c r="CV4" s="193" t="n"/>
    </row>
    <row r="5" ht="13.5" customHeight="1" s="195">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2" customHeight="1" s="195">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5</v>
      </c>
      <c r="D15" s="5" t="n">
        <v>2</v>
      </c>
      <c r="E15" s="5" t="n">
        <v>4.8</v>
      </c>
      <c r="F15" s="5" t="n">
        <v>4</v>
      </c>
      <c r="G15" s="5" t="n">
        <v>4.1</v>
      </c>
      <c r="H15" s="5" t="n"/>
      <c r="I15" s="5" t="n"/>
      <c r="J15" s="5" t="n"/>
      <c r="K15" s="5" t="n"/>
      <c r="L15" s="5" t="n"/>
      <c r="M15" s="5" t="n"/>
      <c r="N15" s="5" t="n"/>
      <c r="O15" s="5" t="n"/>
      <c r="P15" s="5">
        <f>IF(MAESTRO!D15="","",IFERROR(TRUNC(AVERAGE(C15:O15),1),""))</f>
        <v/>
      </c>
      <c r="Q15" s="40" t="n">
        <v>11</v>
      </c>
      <c r="R15" s="22" t="n">
        <v>5</v>
      </c>
      <c r="S15" s="22" t="n">
        <v>4.6</v>
      </c>
      <c r="T15" s="22" t="n">
        <v>5</v>
      </c>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5</v>
      </c>
      <c r="D16" s="5" t="n">
        <v>2</v>
      </c>
      <c r="E16" s="5" t="n">
        <v>5</v>
      </c>
      <c r="F16" s="5" t="n">
        <v>2</v>
      </c>
      <c r="G16" s="5" t="n">
        <v>2</v>
      </c>
      <c r="H16" s="5" t="n"/>
      <c r="I16" s="5" t="n"/>
      <c r="J16" s="5" t="n"/>
      <c r="K16" s="5" t="n"/>
      <c r="L16" s="5" t="n"/>
      <c r="M16" s="5" t="n"/>
      <c r="N16" s="5" t="n"/>
      <c r="O16" s="5" t="n"/>
      <c r="P16" s="5">
        <f>IF(MAESTRO!D16="","",IFERROR(TRUNC(AVERAGE(C16:O16),1),""))</f>
        <v/>
      </c>
      <c r="Q16" s="40" t="n">
        <v>12</v>
      </c>
      <c r="R16" s="22" t="n">
        <v>5</v>
      </c>
      <c r="S16" s="22" t="n">
        <v>3</v>
      </c>
      <c r="T16" s="22" t="n">
        <v>5</v>
      </c>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5</v>
      </c>
      <c r="D17" s="5" t="n">
        <v>2</v>
      </c>
      <c r="E17" s="5" t="n">
        <v>2</v>
      </c>
      <c r="F17" s="5" t="n">
        <v>2</v>
      </c>
      <c r="G17" s="5" t="n">
        <v>2</v>
      </c>
      <c r="H17" s="5" t="n"/>
      <c r="I17" s="5" t="n"/>
      <c r="J17" s="5" t="n"/>
      <c r="K17" s="5" t="n"/>
      <c r="L17" s="5" t="n"/>
      <c r="M17" s="5" t="n"/>
      <c r="N17" s="5" t="n"/>
      <c r="O17" s="5" t="n"/>
      <c r="P17" s="5">
        <f>IF(MAESTRO!D17="","",IFERROR(TRUNC(AVERAGE(C17:O17),1),""))</f>
        <v/>
      </c>
      <c r="Q17" s="40" t="n">
        <v>13</v>
      </c>
      <c r="R17" s="22" t="n">
        <v>5</v>
      </c>
      <c r="S17" s="22" t="n">
        <v>3</v>
      </c>
      <c r="T17" s="22" t="n">
        <v>5</v>
      </c>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2" customHeight="1" s="195">
      <c r="A18" s="263" t="n">
        <v>14</v>
      </c>
      <c r="B18" s="9">
        <f>IF(MAESTRO!D18="","",MAESTRO!D18)</f>
        <v/>
      </c>
      <c r="C18" s="5" t="n">
        <v>5</v>
      </c>
      <c r="D18" s="5" t="n">
        <v>2</v>
      </c>
      <c r="E18" s="5" t="n">
        <v>2</v>
      </c>
      <c r="F18" s="5" t="n">
        <v>2</v>
      </c>
      <c r="G18" s="5" t="n">
        <v>2</v>
      </c>
      <c r="H18" s="5" t="n"/>
      <c r="I18" s="5" t="n"/>
      <c r="J18" s="5" t="n"/>
      <c r="K18" s="5" t="n"/>
      <c r="L18" s="5" t="n"/>
      <c r="M18" s="5" t="n"/>
      <c r="N18" s="5" t="n"/>
      <c r="O18" s="5" t="n"/>
      <c r="P18" s="5">
        <f>IF(MAESTRO!D18="","",IFERROR(TRUNC(AVERAGE(C18:O18),1),""))</f>
        <v/>
      </c>
      <c r="Q18" s="40" t="n">
        <v>14</v>
      </c>
      <c r="R18" s="22" t="n">
        <v>5</v>
      </c>
      <c r="S18" s="22" t="n">
        <v>3</v>
      </c>
      <c r="T18" s="22" t="n">
        <v>5</v>
      </c>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5</v>
      </c>
      <c r="D19" s="5" t="n">
        <v>2</v>
      </c>
      <c r="E19" s="5" t="n">
        <v>4</v>
      </c>
      <c r="F19" s="5" t="n">
        <v>3.8</v>
      </c>
      <c r="G19" s="5" t="n">
        <v>5</v>
      </c>
      <c r="H19" s="5" t="n"/>
      <c r="I19" s="5" t="n"/>
      <c r="J19" s="5" t="n"/>
      <c r="K19" s="5" t="n"/>
      <c r="L19" s="5" t="n"/>
      <c r="M19" s="5" t="n"/>
      <c r="N19" s="5" t="n"/>
      <c r="O19" s="5" t="n"/>
      <c r="P19" s="5">
        <f>IF(MAESTRO!D19="","",IFERROR(TRUNC(AVERAGE(C19:O19),1),""))</f>
        <v/>
      </c>
      <c r="Q19" s="40" t="n">
        <v>15</v>
      </c>
      <c r="R19" s="22" t="n">
        <v>5</v>
      </c>
      <c r="S19" s="22" t="n">
        <v>3</v>
      </c>
      <c r="T19" s="22" t="n">
        <v>5</v>
      </c>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5</v>
      </c>
      <c r="D20" s="5" t="n">
        <v>2</v>
      </c>
      <c r="E20" s="5" t="n">
        <v>2</v>
      </c>
      <c r="F20" s="5" t="n">
        <v>4</v>
      </c>
      <c r="G20" s="5" t="n">
        <v>4.7</v>
      </c>
      <c r="H20" s="5" t="n"/>
      <c r="I20" s="5" t="n"/>
      <c r="J20" s="5" t="n"/>
      <c r="K20" s="5" t="n"/>
      <c r="L20" s="5" t="n"/>
      <c r="M20" s="5" t="n"/>
      <c r="N20" s="5" t="n"/>
      <c r="O20" s="5" t="n"/>
      <c r="P20" s="5">
        <f>IF(MAESTRO!D20="","",IFERROR(TRUNC(AVERAGE(C20:O20),1),""))</f>
        <v/>
      </c>
      <c r="Q20" s="40" t="n">
        <v>16</v>
      </c>
      <c r="R20" s="22" t="n">
        <v>5</v>
      </c>
      <c r="S20" s="22" t="n">
        <v>3.8</v>
      </c>
      <c r="T20" s="22" t="n">
        <v>5</v>
      </c>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5</v>
      </c>
      <c r="D21" s="5" t="n">
        <v>2</v>
      </c>
      <c r="E21" s="5" t="n">
        <v>4.5</v>
      </c>
      <c r="F21" s="5" t="n">
        <v>2</v>
      </c>
      <c r="G21" s="5" t="n">
        <v>2</v>
      </c>
      <c r="H21" s="5" t="n"/>
      <c r="I21" s="5" t="n"/>
      <c r="J21" s="5" t="n"/>
      <c r="K21" s="5" t="n"/>
      <c r="L21" s="5" t="n"/>
      <c r="M21" s="5" t="n"/>
      <c r="N21" s="5" t="n"/>
      <c r="O21" s="5" t="n"/>
      <c r="P21" s="5">
        <f>IF(MAESTRO!D21="","",IFERROR(TRUNC(AVERAGE(C21:O21),1),""))</f>
        <v/>
      </c>
      <c r="Q21" s="40" t="n">
        <v>17</v>
      </c>
      <c r="R21" s="22" t="n">
        <v>5</v>
      </c>
      <c r="S21" s="22" t="n">
        <v>3</v>
      </c>
      <c r="T21" s="22" t="n">
        <v>5</v>
      </c>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5</v>
      </c>
      <c r="D22" s="5" t="n">
        <v>2</v>
      </c>
      <c r="E22" s="5" t="n">
        <v>4.6</v>
      </c>
      <c r="F22" s="5" t="n">
        <v>2</v>
      </c>
      <c r="G22" s="5" t="n">
        <v>2</v>
      </c>
      <c r="H22" s="5" t="n"/>
      <c r="I22" s="5" t="n"/>
      <c r="J22" s="5" t="n"/>
      <c r="K22" s="5" t="n"/>
      <c r="L22" s="5" t="n"/>
      <c r="M22" s="5" t="n"/>
      <c r="N22" s="5" t="n"/>
      <c r="O22" s="5" t="n"/>
      <c r="P22" s="5">
        <f>IF(MAESTRO!D22="","",IFERROR(TRUNC(AVERAGE(C22:O22),1),""))</f>
        <v/>
      </c>
      <c r="Q22" s="40" t="n">
        <v>18</v>
      </c>
      <c r="R22" s="22" t="n">
        <v>5</v>
      </c>
      <c r="S22" s="22" t="n">
        <v>3</v>
      </c>
      <c r="T22" s="22" t="n">
        <v>5</v>
      </c>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5</v>
      </c>
      <c r="D23" s="5" t="n">
        <v>2</v>
      </c>
      <c r="E23" s="5" t="n">
        <v>4.5</v>
      </c>
      <c r="F23" s="5" t="n">
        <v>4.1</v>
      </c>
      <c r="G23" s="5" t="n">
        <v>4.8</v>
      </c>
      <c r="H23" s="5" t="n"/>
      <c r="I23" s="5" t="n"/>
      <c r="J23" s="5" t="n"/>
      <c r="K23" s="5" t="n"/>
      <c r="L23" s="5" t="n"/>
      <c r="M23" s="5" t="n"/>
      <c r="N23" s="5" t="n"/>
      <c r="O23" s="5" t="n"/>
      <c r="P23" s="5">
        <f>IF(MAESTRO!D23="","",IFERROR(TRUNC(AVERAGE(C23:O23),1),""))</f>
        <v/>
      </c>
      <c r="Q23" s="40" t="n">
        <v>19</v>
      </c>
      <c r="R23" s="22" t="n">
        <v>5</v>
      </c>
      <c r="S23" s="22" t="n">
        <v>3.8</v>
      </c>
      <c r="T23" s="22" t="n">
        <v>5</v>
      </c>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5</v>
      </c>
      <c r="D24" s="5" t="n">
        <v>2</v>
      </c>
      <c r="E24" s="5" t="n">
        <v>4.7</v>
      </c>
      <c r="F24" s="5" t="n">
        <v>2</v>
      </c>
      <c r="G24" s="5" t="n">
        <v>4.5</v>
      </c>
      <c r="H24" s="5" t="n"/>
      <c r="I24" s="5" t="n"/>
      <c r="J24" s="5" t="n"/>
      <c r="K24" s="5" t="n"/>
      <c r="L24" s="5" t="n"/>
      <c r="M24" s="5" t="n"/>
      <c r="N24" s="5" t="n"/>
      <c r="O24" s="5" t="n"/>
      <c r="P24" s="5">
        <f>IF(MAESTRO!D24="","",IFERROR(TRUNC(AVERAGE(C24:O24),1),""))</f>
        <v/>
      </c>
      <c r="Q24" s="40" t="n">
        <v>20</v>
      </c>
      <c r="R24" s="22" t="n">
        <v>5</v>
      </c>
      <c r="S24" s="22" t="n">
        <v>3</v>
      </c>
      <c r="T24" s="22" t="n">
        <v>5</v>
      </c>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5</v>
      </c>
      <c r="D25" s="5" t="n">
        <v>2</v>
      </c>
      <c r="E25" s="5" t="n">
        <v>4.6</v>
      </c>
      <c r="F25" s="5" t="n">
        <v>2</v>
      </c>
      <c r="G25" s="5" t="n">
        <v>2</v>
      </c>
      <c r="H25" s="5" t="n"/>
      <c r="I25" s="5" t="n"/>
      <c r="J25" s="5" t="n"/>
      <c r="K25" s="5" t="n"/>
      <c r="L25" s="5" t="n"/>
      <c r="M25" s="5" t="n"/>
      <c r="N25" s="5" t="n"/>
      <c r="O25" s="5" t="n"/>
      <c r="P25" s="5">
        <f>IF(MAESTRO!D25="","",IFERROR(TRUNC(AVERAGE(C25:O25),1),""))</f>
        <v/>
      </c>
      <c r="Q25" s="40" t="n">
        <v>21</v>
      </c>
      <c r="R25" s="22" t="n">
        <v>5</v>
      </c>
      <c r="S25" s="22" t="n">
        <v>3</v>
      </c>
      <c r="T25" s="22" t="n">
        <v>5</v>
      </c>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5</v>
      </c>
      <c r="D26" s="5" t="n">
        <v>2</v>
      </c>
      <c r="E26" s="5" t="n">
        <v>4.7</v>
      </c>
      <c r="F26" s="5" t="n">
        <v>2</v>
      </c>
      <c r="G26" s="5" t="n">
        <v>2</v>
      </c>
      <c r="H26" s="5" t="n"/>
      <c r="I26" s="5" t="n"/>
      <c r="J26" s="5" t="n"/>
      <c r="K26" s="5" t="n"/>
      <c r="L26" s="5" t="n"/>
      <c r="M26" s="5" t="n"/>
      <c r="N26" s="5" t="n"/>
      <c r="O26" s="5" t="n"/>
      <c r="P26" s="5">
        <f>IF(MAESTRO!D26="","",IFERROR(TRUNC(AVERAGE(C26:O26),1),""))</f>
        <v/>
      </c>
      <c r="Q26" s="40" t="n">
        <v>22</v>
      </c>
      <c r="R26" s="22" t="n">
        <v>5</v>
      </c>
      <c r="S26" s="22" t="n">
        <v>4.7</v>
      </c>
      <c r="T26" s="22" t="n">
        <v>5</v>
      </c>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v>22</v>
      </c>
      <c r="AH26" s="263" t="n">
        <v>22</v>
      </c>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2</v>
      </c>
      <c r="E27" s="5" t="n">
        <v>4.8</v>
      </c>
      <c r="F27" s="5" t="n">
        <v>3</v>
      </c>
      <c r="G27" s="5" t="n">
        <v>3</v>
      </c>
      <c r="H27" s="5" t="n"/>
      <c r="I27" s="5" t="n"/>
      <c r="J27" s="5" t="n"/>
      <c r="K27" s="5" t="n"/>
      <c r="L27" s="5" t="n"/>
      <c r="M27" s="5" t="n"/>
      <c r="N27" s="5" t="n"/>
      <c r="O27" s="5" t="n"/>
      <c r="P27" s="5">
        <f>IF(MAESTRO!D27="","",IFERROR(TRUNC(AVERAGE(C27:O27),1),""))</f>
        <v/>
      </c>
      <c r="Q27" s="40" t="n">
        <v>23</v>
      </c>
      <c r="R27" s="22" t="n">
        <v>5</v>
      </c>
      <c r="S27" s="22" t="n">
        <v>3</v>
      </c>
      <c r="T27" s="22" t="n">
        <v>5</v>
      </c>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v>23</v>
      </c>
      <c r="AH27" s="263" t="n">
        <v>23</v>
      </c>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5</v>
      </c>
      <c r="D28" s="5" t="n">
        <v>2</v>
      </c>
      <c r="E28" s="5" t="n">
        <v>4.8</v>
      </c>
      <c r="F28" s="5" t="n">
        <v>4.3</v>
      </c>
      <c r="G28" s="5" t="n">
        <v>2</v>
      </c>
      <c r="H28" s="5" t="n"/>
      <c r="I28" s="5" t="n"/>
      <c r="J28" s="5" t="n"/>
      <c r="K28" s="5" t="n"/>
      <c r="L28" s="5" t="n"/>
      <c r="M28" s="5" t="n"/>
      <c r="N28" s="5" t="n"/>
      <c r="O28" s="5" t="n"/>
      <c r="P28" s="5">
        <f>IF(MAESTRO!D28="","",IFERROR(TRUNC(AVERAGE(C28:O28),1),""))</f>
        <v/>
      </c>
      <c r="Q28" s="40" t="n">
        <v>24</v>
      </c>
      <c r="R28" s="22" t="n">
        <v>5</v>
      </c>
      <c r="S28" s="22" t="n">
        <v>3</v>
      </c>
      <c r="T28" s="22" t="n">
        <v>5</v>
      </c>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v>24</v>
      </c>
      <c r="AH28" s="263" t="n">
        <v>24</v>
      </c>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5</v>
      </c>
      <c r="D29" s="5" t="n">
        <v>2</v>
      </c>
      <c r="E29" s="5" t="n">
        <v>2</v>
      </c>
      <c r="F29" s="5" t="n">
        <v>2</v>
      </c>
      <c r="G29" s="5" t="n">
        <v>2</v>
      </c>
      <c r="H29" s="5" t="n"/>
      <c r="I29" s="5" t="n"/>
      <c r="J29" s="5" t="n"/>
      <c r="K29" s="5" t="n"/>
      <c r="L29" s="5" t="n"/>
      <c r="M29" s="5" t="n"/>
      <c r="N29" s="5" t="n"/>
      <c r="O29" s="5" t="n"/>
      <c r="P29" s="5">
        <f>IF(MAESTRO!D29="","",IFERROR(TRUNC(AVERAGE(C29:O29),1),""))</f>
        <v/>
      </c>
      <c r="Q29" s="40" t="n">
        <v>25</v>
      </c>
      <c r="R29" s="22" t="n">
        <v>5</v>
      </c>
      <c r="S29" s="22" t="n">
        <v>3</v>
      </c>
      <c r="T29" s="22" t="n">
        <v>5</v>
      </c>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v>25</v>
      </c>
      <c r="AH29" s="263" t="n">
        <v>25</v>
      </c>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5</v>
      </c>
      <c r="D30" s="5" t="n">
        <v>2</v>
      </c>
      <c r="E30" s="5" t="n">
        <v>4.5</v>
      </c>
      <c r="F30" s="5" t="n">
        <v>4.5</v>
      </c>
      <c r="G30" s="5" t="n">
        <v>4.5</v>
      </c>
      <c r="H30" s="5" t="n"/>
      <c r="I30" s="5" t="n"/>
      <c r="J30" s="5" t="n"/>
      <c r="K30" s="5" t="n"/>
      <c r="L30" s="5" t="n"/>
      <c r="M30" s="5" t="n"/>
      <c r="N30" s="5" t="n"/>
      <c r="O30" s="5" t="n"/>
      <c r="P30" s="5">
        <f>IF(MAESTRO!D30="","",IFERROR(TRUNC(AVERAGE(C30:O30),1),""))</f>
        <v/>
      </c>
      <c r="Q30" s="40" t="n">
        <v>26</v>
      </c>
      <c r="R30" s="22" t="n">
        <v>5</v>
      </c>
      <c r="S30" s="22" t="n">
        <v>3.3</v>
      </c>
      <c r="T30" s="22" t="n">
        <v>5</v>
      </c>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v>26</v>
      </c>
      <c r="AH30" s="263" t="n">
        <v>26</v>
      </c>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5</v>
      </c>
      <c r="D31" s="5" t="n">
        <v>2</v>
      </c>
      <c r="E31" s="5" t="n">
        <v>4.7</v>
      </c>
      <c r="F31" s="5" t="n">
        <v>2</v>
      </c>
      <c r="G31" s="5" t="n">
        <v>2</v>
      </c>
      <c r="H31" s="5" t="n"/>
      <c r="I31" s="5" t="n"/>
      <c r="J31" s="5" t="n"/>
      <c r="K31" s="5" t="n"/>
      <c r="L31" s="5" t="n"/>
      <c r="M31" s="5" t="n"/>
      <c r="N31" s="5" t="n"/>
      <c r="O31" s="5" t="n"/>
      <c r="P31" s="5">
        <f>IF(MAESTRO!D31="","",IFERROR(TRUNC(AVERAGE(C31:O31),1),""))</f>
        <v/>
      </c>
      <c r="Q31" s="40" t="n">
        <v>27</v>
      </c>
      <c r="R31" s="22" t="n">
        <v>5</v>
      </c>
      <c r="S31" s="22" t="n">
        <v>4.7</v>
      </c>
      <c r="T31" s="22" t="n">
        <v>5</v>
      </c>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v>27</v>
      </c>
      <c r="AH31" s="263" t="n">
        <v>27</v>
      </c>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2</v>
      </c>
      <c r="E32" s="5" t="n">
        <v>5</v>
      </c>
      <c r="F32" s="5" t="n">
        <v>4.8</v>
      </c>
      <c r="G32" s="5" t="n">
        <v>4.8</v>
      </c>
      <c r="H32" s="5" t="n"/>
      <c r="I32" s="5" t="n"/>
      <c r="J32" s="5" t="n"/>
      <c r="K32" s="5" t="n"/>
      <c r="L32" s="5" t="n"/>
      <c r="M32" s="5" t="n"/>
      <c r="N32" s="5" t="n"/>
      <c r="O32" s="5" t="n"/>
      <c r="P32" s="5">
        <f>IF(MAESTRO!D32="","",IFERROR(TRUNC(AVERAGE(C32:O32),1),""))</f>
        <v/>
      </c>
      <c r="Q32" s="40" t="n">
        <v>28</v>
      </c>
      <c r="R32" s="22" t="n">
        <v>5</v>
      </c>
      <c r="S32" s="22" t="n">
        <v>3</v>
      </c>
      <c r="T32" s="22" t="n">
        <v>5</v>
      </c>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v>28</v>
      </c>
      <c r="AH32" s="263" t="n">
        <v>28</v>
      </c>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5</v>
      </c>
      <c r="D33" s="5" t="n">
        <v>2</v>
      </c>
      <c r="E33" s="5" t="n">
        <v>2</v>
      </c>
      <c r="F33" s="5" t="n">
        <v>4</v>
      </c>
      <c r="G33" s="5" t="n">
        <v>4.7</v>
      </c>
      <c r="H33" s="5" t="n"/>
      <c r="I33" s="5" t="n"/>
      <c r="J33" s="5" t="n"/>
      <c r="K33" s="5" t="n"/>
      <c r="L33" s="5" t="n"/>
      <c r="M33" s="5" t="n"/>
      <c r="N33" s="5" t="n"/>
      <c r="O33" s="5" t="n"/>
      <c r="P33" s="5">
        <f>IF(MAESTRO!D33="","",IFERROR(TRUNC(AVERAGE(C33:O33),1),""))</f>
        <v/>
      </c>
      <c r="Q33" s="40" t="n">
        <v>29</v>
      </c>
      <c r="R33" s="22" t="n">
        <v>5</v>
      </c>
      <c r="S33" s="22" t="n">
        <v>3</v>
      </c>
      <c r="T33" s="22" t="n">
        <v>5</v>
      </c>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v>29</v>
      </c>
      <c r="AH33" s="263" t="n">
        <v>29</v>
      </c>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5</v>
      </c>
      <c r="D34" s="5" t="n">
        <v>4.2</v>
      </c>
      <c r="E34" s="5" t="n">
        <v>4.8</v>
      </c>
      <c r="F34" s="5" t="n">
        <v>4.3</v>
      </c>
      <c r="G34" s="5" t="n">
        <v>4.8</v>
      </c>
      <c r="H34" s="5" t="n"/>
      <c r="I34" s="5" t="n"/>
      <c r="J34" s="5" t="n"/>
      <c r="K34" s="5" t="n"/>
      <c r="L34" s="5" t="n"/>
      <c r="M34" s="5" t="n"/>
      <c r="N34" s="5" t="n"/>
      <c r="O34" s="5" t="n"/>
      <c r="P34" s="5">
        <f>IF(MAESTRO!D34="","",IFERROR(TRUNC(AVERAGE(C34:O34),1),""))</f>
        <v/>
      </c>
      <c r="Q34" s="40" t="n">
        <v>30</v>
      </c>
      <c r="R34" s="22" t="n">
        <v>5</v>
      </c>
      <c r="S34" s="22" t="n">
        <v>4.9</v>
      </c>
      <c r="T34" s="22" t="n">
        <v>5</v>
      </c>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v>30</v>
      </c>
      <c r="AH34" s="263" t="n">
        <v>30</v>
      </c>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5</v>
      </c>
      <c r="D35" s="5" t="n">
        <v>2</v>
      </c>
      <c r="E35" s="5" t="n">
        <v>4.7</v>
      </c>
      <c r="F35" s="5" t="n">
        <v>3</v>
      </c>
      <c r="G35" s="5" t="n">
        <v>2</v>
      </c>
      <c r="H35" s="5" t="n"/>
      <c r="I35" s="5" t="n"/>
      <c r="J35" s="5" t="n"/>
      <c r="K35" s="5" t="n"/>
      <c r="L35" s="5" t="n"/>
      <c r="M35" s="5" t="n"/>
      <c r="N35" s="5" t="n"/>
      <c r="O35" s="5" t="n"/>
      <c r="P35" s="5">
        <f>IF(MAESTRO!D35="","",IFERROR(TRUNC(AVERAGE(C35:O35),1),""))</f>
        <v/>
      </c>
      <c r="Q35" s="40" t="n">
        <v>31</v>
      </c>
      <c r="R35" s="22" t="n">
        <v>5</v>
      </c>
      <c r="S35" s="22" t="n">
        <v>3.1</v>
      </c>
      <c r="T35" s="22" t="n">
        <v>5</v>
      </c>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v>31</v>
      </c>
      <c r="AH35" s="263" t="n">
        <v>31</v>
      </c>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v>32</v>
      </c>
      <c r="AH36" s="263" t="n">
        <v>32</v>
      </c>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v>33</v>
      </c>
      <c r="AH37" s="263" t="n">
        <v>33</v>
      </c>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v>34</v>
      </c>
      <c r="AH38" s="263" t="n">
        <v>34</v>
      </c>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v>35</v>
      </c>
      <c r="AH39" s="263" t="n">
        <v>35</v>
      </c>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v>36</v>
      </c>
      <c r="AH40" s="263" t="n">
        <v>36</v>
      </c>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v>37</v>
      </c>
      <c r="AH41" s="263" t="n">
        <v>37</v>
      </c>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Vocabulario #1</t>
        </is>
      </c>
      <c r="D42" s="278" t="inlineStr">
        <is>
          <t>Exposición - Pueblo Etnicos</t>
        </is>
      </c>
      <c r="E42" s="278" t="inlineStr">
        <is>
          <t>Vocabulario #2</t>
        </is>
      </c>
      <c r="F42" s="278" t="inlineStr">
        <is>
          <t xml:space="preserve">Oraciones con Conectores </t>
        </is>
      </c>
      <c r="G42" s="278" t="inlineStr">
        <is>
          <t xml:space="preserve">Oraciones con Would </t>
        </is>
      </c>
      <c r="H42" s="278" t="n"/>
      <c r="I42" s="278" t="n"/>
      <c r="J42" s="278" t="n"/>
      <c r="K42" s="278" t="n"/>
      <c r="L42" s="278" t="n"/>
      <c r="M42" s="278" t="n"/>
      <c r="N42" s="278" t="n"/>
      <c r="O42" s="278" t="n"/>
      <c r="P42" s="5" t="n"/>
      <c r="Q42" s="40" t="n">
        <v>38</v>
      </c>
      <c r="R42" s="278" t="inlineStr">
        <is>
          <t>Mural -Semana Santa</t>
        </is>
      </c>
      <c r="S42" s="278" t="inlineStr">
        <is>
          <t>Tradicion Familiar  dibujo y descr.</t>
        </is>
      </c>
      <c r="T42" s="278" t="inlineStr">
        <is>
          <t>Participacion - Aniversario</t>
        </is>
      </c>
      <c r="U42" s="278" t="n"/>
      <c r="V42" s="278" t="n"/>
      <c r="W42" s="278" t="n"/>
      <c r="X42" s="278" t="n"/>
      <c r="Y42" s="278" t="n"/>
      <c r="Z42" s="278"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AV42:AV48"/>
    <mergeCell ref="CD42:CD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M42:AM48"/>
    <mergeCell ref="AA3:AA4"/>
    <mergeCell ref="CX28:CY28"/>
    <mergeCell ref="AI22:AJ22"/>
    <mergeCell ref="CX6:CY6"/>
    <mergeCell ref="BP48:BQ48"/>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6640625" customWidth="1" style="289" min="37" max="44"/>
    <col width="4.664062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21875" customWidth="1" style="277" min="70" max="82"/>
    <col width="4.44140625" customWidth="1" style="195" min="83" max="83"/>
    <col width="3.88671875" customWidth="1" style="277" min="84" max="93"/>
    <col width="4.44140625" customWidth="1" style="277" min="9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IF(MAESTRO!D15="","",MAESTRO!D15)</f>
        <v/>
      </c>
      <c r="C15" s="5" t="n">
        <v>4</v>
      </c>
      <c r="D15" s="5" t="n">
        <v>4.2</v>
      </c>
      <c r="E15" s="5" t="n">
        <v>4.5</v>
      </c>
      <c r="F15" s="5" t="n"/>
      <c r="G15" s="5" t="n"/>
      <c r="H15" s="5" t="n"/>
      <c r="I15" s="5" t="n"/>
      <c r="J15" s="5" t="n"/>
      <c r="K15" s="5" t="n"/>
      <c r="L15" s="5" t="n"/>
      <c r="M15" s="5" t="n"/>
      <c r="N15" s="5" t="n"/>
      <c r="O15" s="5" t="n"/>
      <c r="P15" s="5">
        <f>IF(MAESTRO!D15="","",IFERROR(TRUNC(AVERAGE(C15:O15),1),""))</f>
        <v/>
      </c>
      <c r="Q15" s="40" t="n">
        <v>11</v>
      </c>
      <c r="R15" s="22" t="n">
        <v>5</v>
      </c>
      <c r="S15" s="22" t="n">
        <v>5</v>
      </c>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IF(MAESTRO!D16="","",MAESTRO!D16)</f>
        <v/>
      </c>
      <c r="C16" s="5" t="n">
        <v>4.8</v>
      </c>
      <c r="D16" s="5" t="n">
        <v>2</v>
      </c>
      <c r="E16" s="5" t="n">
        <v>2</v>
      </c>
      <c r="F16" s="5" t="n"/>
      <c r="G16" s="5" t="n"/>
      <c r="H16" s="5" t="n"/>
      <c r="I16" s="5" t="n"/>
      <c r="J16" s="5" t="n"/>
      <c r="K16" s="5" t="n"/>
      <c r="L16" s="5" t="n"/>
      <c r="M16" s="5" t="n"/>
      <c r="N16" s="5" t="n"/>
      <c r="O16" s="5" t="n"/>
      <c r="P16" s="5">
        <f>IF(MAESTRO!D16="","",IFERROR(TRUNC(AVERAGE(C16:O16),1),""))</f>
        <v/>
      </c>
      <c r="Q16" s="40" t="n">
        <v>12</v>
      </c>
      <c r="R16" s="22" t="n">
        <v>5</v>
      </c>
      <c r="S16" s="22" t="n">
        <v>5</v>
      </c>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IF(MAESTRO!D17="","",MAESTRO!D17)</f>
        <v/>
      </c>
      <c r="C17" s="5" t="n">
        <v>2</v>
      </c>
      <c r="D17" s="5" t="n">
        <v>2</v>
      </c>
      <c r="E17" s="5" t="n">
        <v>2</v>
      </c>
      <c r="F17" s="5" t="n"/>
      <c r="G17" s="5" t="n"/>
      <c r="H17" s="5" t="n"/>
      <c r="I17" s="5" t="n"/>
      <c r="J17" s="5" t="n"/>
      <c r="K17" s="5" t="n"/>
      <c r="L17" s="5" t="n"/>
      <c r="M17" s="5" t="n"/>
      <c r="N17" s="5" t="n"/>
      <c r="O17" s="5" t="n"/>
      <c r="P17" s="5">
        <f>IF(MAESTRO!D17="","",IFERROR(TRUNC(AVERAGE(C17:O17),1),""))</f>
        <v/>
      </c>
      <c r="Q17" s="40" t="n">
        <v>13</v>
      </c>
      <c r="R17" s="22" t="n">
        <v>5</v>
      </c>
      <c r="S17" s="22" t="n">
        <v>5</v>
      </c>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IF(MAESTRO!D18="","",MAESTRO!D18)</f>
        <v/>
      </c>
      <c r="C18" s="5" t="n">
        <v>2</v>
      </c>
      <c r="D18" s="5" t="n">
        <v>2</v>
      </c>
      <c r="E18" s="5" t="n">
        <v>2</v>
      </c>
      <c r="F18" s="5" t="n"/>
      <c r="G18" s="5" t="n"/>
      <c r="H18" s="5" t="n"/>
      <c r="I18" s="5" t="n"/>
      <c r="J18" s="5" t="n"/>
      <c r="K18" s="5" t="n"/>
      <c r="L18" s="5" t="n"/>
      <c r="M18" s="5" t="n"/>
      <c r="N18" s="5" t="n"/>
      <c r="O18" s="5" t="n"/>
      <c r="P18" s="5">
        <f>IF(MAESTRO!D18="","",IFERROR(TRUNC(AVERAGE(C18:O18),1),""))</f>
        <v/>
      </c>
      <c r="Q18" s="40" t="n">
        <v>14</v>
      </c>
      <c r="R18" s="22" t="n">
        <v>5</v>
      </c>
      <c r="S18" s="22" t="n">
        <v>5</v>
      </c>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IF(MAESTRO!D19="","",MAESTRO!D19)</f>
        <v/>
      </c>
      <c r="C19" s="5" t="n">
        <v>3</v>
      </c>
      <c r="D19" s="5" t="n">
        <v>2</v>
      </c>
      <c r="E19" s="5" t="n">
        <v>2</v>
      </c>
      <c r="F19" s="5" t="n"/>
      <c r="G19" s="5" t="n"/>
      <c r="H19" s="5" t="n"/>
      <c r="I19" s="5" t="n"/>
      <c r="J19" s="5" t="n"/>
      <c r="K19" s="5" t="n"/>
      <c r="L19" s="5" t="n"/>
      <c r="M19" s="5" t="n"/>
      <c r="N19" s="5" t="n"/>
      <c r="O19" s="5" t="n"/>
      <c r="P19" s="5">
        <f>IF(MAESTRO!D19="","",IFERROR(TRUNC(AVERAGE(C19:O19),1),""))</f>
        <v/>
      </c>
      <c r="Q19" s="40" t="n">
        <v>15</v>
      </c>
      <c r="R19" s="22" t="n">
        <v>5</v>
      </c>
      <c r="S19" s="22" t="n">
        <v>5</v>
      </c>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IF(MAESTRO!D20="","",MAESTRO!D20)</f>
        <v/>
      </c>
      <c r="C20" s="5" t="n">
        <v>3</v>
      </c>
      <c r="D20" s="5" t="n">
        <v>2</v>
      </c>
      <c r="E20" s="5" t="n">
        <v>3.5</v>
      </c>
      <c r="F20" s="5" t="n"/>
      <c r="G20" s="5" t="n"/>
      <c r="H20" s="5" t="n"/>
      <c r="I20" s="5" t="n"/>
      <c r="J20" s="5" t="n"/>
      <c r="K20" s="5" t="n"/>
      <c r="L20" s="5" t="n"/>
      <c r="M20" s="5" t="n"/>
      <c r="N20" s="5" t="n"/>
      <c r="O20" s="5" t="n"/>
      <c r="P20" s="5">
        <f>IF(MAESTRO!D20="","",IFERROR(TRUNC(AVERAGE(C20:O20),1),""))</f>
        <v/>
      </c>
      <c r="Q20" s="40" t="n">
        <v>16</v>
      </c>
      <c r="R20" s="22" t="n">
        <v>5</v>
      </c>
      <c r="S20" s="22" t="n">
        <v>5</v>
      </c>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IF(MAESTRO!D21="","",MAESTRO!D21)</f>
        <v/>
      </c>
      <c r="C21" s="5" t="n">
        <v>3</v>
      </c>
      <c r="D21" s="5" t="n">
        <v>2</v>
      </c>
      <c r="E21" s="5" t="n">
        <v>2</v>
      </c>
      <c r="F21" s="5" t="n"/>
      <c r="G21" s="5" t="n"/>
      <c r="H21" s="5" t="n"/>
      <c r="I21" s="5" t="n"/>
      <c r="J21" s="5" t="n"/>
      <c r="K21" s="5" t="n"/>
      <c r="L21" s="5" t="n"/>
      <c r="M21" s="5" t="n"/>
      <c r="N21" s="5" t="n"/>
      <c r="O21" s="5" t="n"/>
      <c r="P21" s="5">
        <f>IF(MAESTRO!D21="","",IFERROR(TRUNC(AVERAGE(C21:O21),1),""))</f>
        <v/>
      </c>
      <c r="Q21" s="40" t="n">
        <v>17</v>
      </c>
      <c r="R21" s="22" t="n">
        <v>5</v>
      </c>
      <c r="S21" s="22" t="n">
        <v>5</v>
      </c>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IF(MAESTRO!D22="","",MAESTRO!D22)</f>
        <v/>
      </c>
      <c r="C22" s="5" t="n">
        <v>3</v>
      </c>
      <c r="D22" s="5" t="n">
        <v>2</v>
      </c>
      <c r="E22" s="5" t="n">
        <v>2</v>
      </c>
      <c r="F22" s="5" t="n"/>
      <c r="G22" s="5" t="n"/>
      <c r="H22" s="5" t="n"/>
      <c r="I22" s="5" t="n"/>
      <c r="J22" s="5" t="n"/>
      <c r="K22" s="5" t="n"/>
      <c r="L22" s="5" t="n"/>
      <c r="M22" s="5" t="n"/>
      <c r="N22" s="5" t="n"/>
      <c r="O22" s="5" t="n"/>
      <c r="P22" s="5">
        <f>IF(MAESTRO!D22="","",IFERROR(TRUNC(AVERAGE(C22:O22),1),""))</f>
        <v/>
      </c>
      <c r="Q22" s="40" t="n">
        <v>18</v>
      </c>
      <c r="R22" s="22" t="n">
        <v>5</v>
      </c>
      <c r="S22" s="22" t="n">
        <v>5</v>
      </c>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IF(MAESTRO!D23="","",MAESTRO!D23)</f>
        <v/>
      </c>
      <c r="C23" s="5" t="n">
        <v>4.5</v>
      </c>
      <c r="D23" s="5" t="n">
        <v>4.2</v>
      </c>
      <c r="E23" s="5" t="n">
        <v>2</v>
      </c>
      <c r="F23" s="5" t="n"/>
      <c r="G23" s="5" t="n"/>
      <c r="H23" s="5" t="n"/>
      <c r="I23" s="5" t="n"/>
      <c r="J23" s="5" t="n"/>
      <c r="K23" s="5" t="n"/>
      <c r="L23" s="5" t="n"/>
      <c r="M23" s="5" t="n"/>
      <c r="N23" s="5" t="n"/>
      <c r="O23" s="5" t="n"/>
      <c r="P23" s="5">
        <f>IF(MAESTRO!D23="","",IFERROR(TRUNC(AVERAGE(C23:O23),1),""))</f>
        <v/>
      </c>
      <c r="Q23" s="40" t="n">
        <v>19</v>
      </c>
      <c r="R23" s="22" t="n">
        <v>5</v>
      </c>
      <c r="S23" s="22" t="n">
        <v>5</v>
      </c>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IF(MAESTRO!D24="","",MAESTRO!D24)</f>
        <v/>
      </c>
      <c r="C24" s="5" t="n">
        <v>3</v>
      </c>
      <c r="D24" s="5" t="n">
        <v>2</v>
      </c>
      <c r="E24" s="5" t="n">
        <v>2</v>
      </c>
      <c r="F24" s="5" t="n"/>
      <c r="G24" s="5" t="n"/>
      <c r="H24" s="5" t="n"/>
      <c r="I24" s="5" t="n"/>
      <c r="J24" s="5" t="n"/>
      <c r="K24" s="5" t="n"/>
      <c r="L24" s="5" t="n"/>
      <c r="M24" s="5" t="n"/>
      <c r="N24" s="5" t="n"/>
      <c r="O24" s="5" t="n"/>
      <c r="P24" s="5">
        <f>IF(MAESTRO!D24="","",IFERROR(TRUNC(AVERAGE(C24:O24),1),""))</f>
        <v/>
      </c>
      <c r="Q24" s="40" t="n">
        <v>20</v>
      </c>
      <c r="R24" s="22" t="n">
        <v>5</v>
      </c>
      <c r="S24" s="22" t="n">
        <v>5</v>
      </c>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IF(MAESTRO!D25="","",MAESTRO!D25)</f>
        <v/>
      </c>
      <c r="C25" s="5" t="n">
        <v>3</v>
      </c>
      <c r="D25" s="5" t="n">
        <v>4.8</v>
      </c>
      <c r="E25" s="5" t="n">
        <v>2</v>
      </c>
      <c r="F25" s="5" t="n"/>
      <c r="G25" s="5" t="n"/>
      <c r="H25" s="5" t="n"/>
      <c r="I25" s="5" t="n"/>
      <c r="J25" s="5" t="n"/>
      <c r="K25" s="5" t="n"/>
      <c r="L25" s="5" t="n"/>
      <c r="M25" s="5" t="n"/>
      <c r="N25" s="5" t="n"/>
      <c r="O25" s="5" t="n"/>
      <c r="P25" s="5">
        <f>IF(MAESTRO!D25="","",IFERROR(TRUNC(AVERAGE(C25:O25),1),""))</f>
        <v/>
      </c>
      <c r="Q25" s="40" t="n">
        <v>21</v>
      </c>
      <c r="R25" s="22" t="n">
        <v>5</v>
      </c>
      <c r="S25" s="22" t="n">
        <v>5</v>
      </c>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IF(MAESTRO!D26="","",MAESTRO!D26)</f>
        <v/>
      </c>
      <c r="C26" s="5" t="n">
        <v>3</v>
      </c>
      <c r="D26" s="5" t="n">
        <v>2</v>
      </c>
      <c r="E26" s="5" t="n">
        <v>2</v>
      </c>
      <c r="F26" s="5" t="n"/>
      <c r="G26" s="5" t="n"/>
      <c r="H26" s="5" t="n"/>
      <c r="I26" s="5" t="n"/>
      <c r="J26" s="5" t="n"/>
      <c r="K26" s="5" t="n"/>
      <c r="L26" s="5" t="n"/>
      <c r="M26" s="5" t="n"/>
      <c r="N26" s="5" t="n"/>
      <c r="O26" s="5" t="n"/>
      <c r="P26" s="5">
        <f>IF(MAESTRO!D26="","",IFERROR(TRUNC(AVERAGE(C26:O26),1),""))</f>
        <v/>
      </c>
      <c r="Q26" s="40" t="n">
        <v>22</v>
      </c>
      <c r="R26" s="22" t="n">
        <v>5</v>
      </c>
      <c r="S26" s="22" t="n">
        <v>5</v>
      </c>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v>22</v>
      </c>
      <c r="AH26" s="263" t="n">
        <v>22</v>
      </c>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IF(MAESTRO!D27="","",MAESTRO!D27)</f>
        <v/>
      </c>
      <c r="C27" s="5" t="n">
        <v>5</v>
      </c>
      <c r="D27" s="5" t="n">
        <v>4.7</v>
      </c>
      <c r="E27" s="5" t="n">
        <v>2</v>
      </c>
      <c r="F27" s="5" t="n"/>
      <c r="G27" s="5" t="n"/>
      <c r="H27" s="5" t="n"/>
      <c r="I27" s="5" t="n"/>
      <c r="J27" s="5" t="n"/>
      <c r="K27" s="5" t="n"/>
      <c r="L27" s="5" t="n"/>
      <c r="M27" s="5" t="n"/>
      <c r="N27" s="5" t="n"/>
      <c r="O27" s="5" t="n"/>
      <c r="P27" s="5">
        <f>IF(MAESTRO!D27="","",IFERROR(TRUNC(AVERAGE(C27:O27),1),""))</f>
        <v/>
      </c>
      <c r="Q27" s="40" t="n">
        <v>23</v>
      </c>
      <c r="R27" s="22" t="n">
        <v>5</v>
      </c>
      <c r="S27" s="22" t="n">
        <v>5</v>
      </c>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v>23</v>
      </c>
      <c r="AH27" s="263" t="n">
        <v>23</v>
      </c>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IF(MAESTRO!D28="","",MAESTRO!D28)</f>
        <v/>
      </c>
      <c r="C28" s="5" t="n">
        <v>3</v>
      </c>
      <c r="D28" s="5" t="n">
        <v>2</v>
      </c>
      <c r="E28" s="5" t="n">
        <v>2</v>
      </c>
      <c r="F28" s="5" t="n"/>
      <c r="G28" s="5" t="n"/>
      <c r="H28" s="5" t="n"/>
      <c r="I28" s="5" t="n"/>
      <c r="J28" s="5" t="n"/>
      <c r="K28" s="5" t="n"/>
      <c r="L28" s="5" t="n"/>
      <c r="M28" s="5" t="n"/>
      <c r="N28" s="5" t="n"/>
      <c r="O28" s="5" t="n"/>
      <c r="P28" s="5">
        <f>IF(MAESTRO!D28="","",IFERROR(TRUNC(AVERAGE(C28:O28),1),""))</f>
        <v/>
      </c>
      <c r="Q28" s="40" t="n">
        <v>24</v>
      </c>
      <c r="R28" s="22" t="n">
        <v>5</v>
      </c>
      <c r="S28" s="22" t="n">
        <v>5</v>
      </c>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v>24</v>
      </c>
      <c r="AH28" s="263" t="n">
        <v>24</v>
      </c>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IF(MAESTRO!D29="","",MAESTRO!D29)</f>
        <v/>
      </c>
      <c r="C29" s="5" t="n">
        <v>3</v>
      </c>
      <c r="D29" s="5" t="n">
        <v>2</v>
      </c>
      <c r="E29" s="5" t="n">
        <v>2</v>
      </c>
      <c r="F29" s="5" t="n"/>
      <c r="G29" s="5" t="n"/>
      <c r="H29" s="5" t="n"/>
      <c r="I29" s="5" t="n"/>
      <c r="J29" s="5" t="n"/>
      <c r="K29" s="5" t="n"/>
      <c r="L29" s="5" t="n"/>
      <c r="M29" s="5" t="n"/>
      <c r="N29" s="5" t="n"/>
      <c r="O29" s="5" t="n"/>
      <c r="P29" s="5">
        <f>IF(MAESTRO!D29="","",IFERROR(TRUNC(AVERAGE(C29:O29),1),""))</f>
        <v/>
      </c>
      <c r="Q29" s="40" t="n">
        <v>25</v>
      </c>
      <c r="R29" s="22" t="n">
        <v>5</v>
      </c>
      <c r="S29" s="22" t="n">
        <v>5</v>
      </c>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v>25</v>
      </c>
      <c r="AH29" s="263" t="n">
        <v>25</v>
      </c>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IF(MAESTRO!D30="","",MAESTRO!D30)</f>
        <v/>
      </c>
      <c r="C30" s="5" t="n">
        <v>4</v>
      </c>
      <c r="D30" s="5" t="n">
        <v>2</v>
      </c>
      <c r="E30" s="5" t="n">
        <v>2</v>
      </c>
      <c r="F30" s="5" t="n"/>
      <c r="G30" s="5" t="n"/>
      <c r="H30" s="5" t="n"/>
      <c r="I30" s="5" t="n"/>
      <c r="J30" s="5" t="n"/>
      <c r="K30" s="5" t="n"/>
      <c r="L30" s="5" t="n"/>
      <c r="M30" s="5" t="n"/>
      <c r="N30" s="5" t="n"/>
      <c r="O30" s="5" t="n"/>
      <c r="P30" s="5">
        <f>IF(MAESTRO!D30="","",IFERROR(TRUNC(AVERAGE(C30:O30),1),""))</f>
        <v/>
      </c>
      <c r="Q30" s="40" t="n">
        <v>26</v>
      </c>
      <c r="R30" s="22" t="n">
        <v>5</v>
      </c>
      <c r="S30" s="22" t="n">
        <v>5</v>
      </c>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v>26</v>
      </c>
      <c r="AH30" s="263" t="n">
        <v>26</v>
      </c>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IF(MAESTRO!D31="","",MAESTRO!D31)</f>
        <v/>
      </c>
      <c r="C31" s="5" t="n">
        <v>4.5</v>
      </c>
      <c r="D31" s="5" t="n">
        <v>2</v>
      </c>
      <c r="E31" s="5" t="n">
        <v>2</v>
      </c>
      <c r="F31" s="5" t="n"/>
      <c r="G31" s="5" t="n"/>
      <c r="H31" s="5" t="n"/>
      <c r="I31" s="5" t="n"/>
      <c r="J31" s="5" t="n"/>
      <c r="K31" s="5" t="n"/>
      <c r="L31" s="5" t="n"/>
      <c r="M31" s="5" t="n"/>
      <c r="N31" s="5" t="n"/>
      <c r="O31" s="5" t="n"/>
      <c r="P31" s="5">
        <f>IF(MAESTRO!D31="","",IFERROR(TRUNC(AVERAGE(C31:O31),1),""))</f>
        <v/>
      </c>
      <c r="Q31" s="40" t="n">
        <v>27</v>
      </c>
      <c r="R31" s="22" t="n">
        <v>5</v>
      </c>
      <c r="S31" s="22" t="n">
        <v>5</v>
      </c>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v>27</v>
      </c>
      <c r="AH31" s="263" t="n">
        <v>27</v>
      </c>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IF(MAESTRO!D32="","",MAESTRO!D32)</f>
        <v/>
      </c>
      <c r="C32" s="5" t="n">
        <v>5</v>
      </c>
      <c r="D32" s="5" t="n">
        <v>3</v>
      </c>
      <c r="E32" s="5" t="n">
        <v>5</v>
      </c>
      <c r="F32" s="5" t="n"/>
      <c r="G32" s="5" t="n"/>
      <c r="H32" s="5" t="n"/>
      <c r="I32" s="5" t="n"/>
      <c r="J32" s="5" t="n"/>
      <c r="K32" s="5" t="n"/>
      <c r="L32" s="5" t="n"/>
      <c r="M32" s="5" t="n"/>
      <c r="N32" s="5" t="n"/>
      <c r="O32" s="5" t="n"/>
      <c r="P32" s="5">
        <f>IF(MAESTRO!D32="","",IFERROR(TRUNC(AVERAGE(C32:O32),1),""))</f>
        <v/>
      </c>
      <c r="Q32" s="40" t="n">
        <v>28</v>
      </c>
      <c r="R32" s="22" t="n">
        <v>5</v>
      </c>
      <c r="S32" s="22" t="n">
        <v>5</v>
      </c>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v>28</v>
      </c>
      <c r="AH32" s="263" t="n">
        <v>28</v>
      </c>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IF(MAESTRO!D33="","",MAESTRO!D33)</f>
        <v/>
      </c>
      <c r="C33" s="5" t="n">
        <v>3</v>
      </c>
      <c r="D33" s="5" t="n">
        <v>3.5</v>
      </c>
      <c r="E33" s="5" t="n">
        <v>2</v>
      </c>
      <c r="F33" s="5" t="n"/>
      <c r="G33" s="5" t="n"/>
      <c r="H33" s="5" t="n"/>
      <c r="I33" s="5" t="n"/>
      <c r="J33" s="5" t="n"/>
      <c r="K33" s="5" t="n"/>
      <c r="L33" s="5" t="n"/>
      <c r="M33" s="5" t="n"/>
      <c r="N33" s="5" t="n"/>
      <c r="O33" s="5" t="n"/>
      <c r="P33" s="5">
        <f>IF(MAESTRO!D33="","",IFERROR(TRUNC(AVERAGE(C33:O33),1),""))</f>
        <v/>
      </c>
      <c r="Q33" s="40" t="n">
        <v>29</v>
      </c>
      <c r="R33" s="22" t="n">
        <v>5</v>
      </c>
      <c r="S33" s="22" t="n">
        <v>5</v>
      </c>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v>29</v>
      </c>
      <c r="AH33" s="263" t="n">
        <v>29</v>
      </c>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IF(MAESTRO!D34="","",MAESTRO!D34)</f>
        <v/>
      </c>
      <c r="C34" s="5" t="n">
        <v>4.6</v>
      </c>
      <c r="D34" s="5" t="n">
        <v>4.2</v>
      </c>
      <c r="E34" s="5" t="n">
        <v>4.9</v>
      </c>
      <c r="F34" s="5" t="n"/>
      <c r="G34" s="5" t="n"/>
      <c r="H34" s="5" t="n"/>
      <c r="I34" s="5" t="n"/>
      <c r="J34" s="5" t="n"/>
      <c r="K34" s="5" t="n"/>
      <c r="L34" s="5" t="n"/>
      <c r="M34" s="5" t="n"/>
      <c r="N34" s="5" t="n"/>
      <c r="O34" s="5" t="n"/>
      <c r="P34" s="5">
        <f>IF(MAESTRO!D34="","",IFERROR(TRUNC(AVERAGE(C34:O34),1),""))</f>
        <v/>
      </c>
      <c r="Q34" s="40" t="n">
        <v>30</v>
      </c>
      <c r="R34" s="22" t="n">
        <v>5</v>
      </c>
      <c r="S34" s="22" t="n">
        <v>5</v>
      </c>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v>30</v>
      </c>
      <c r="AH34" s="263" t="n">
        <v>30</v>
      </c>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IF(MAESTRO!D35="","",MAESTRO!D35)</f>
        <v/>
      </c>
      <c r="C35" s="5" t="n">
        <v>3</v>
      </c>
      <c r="D35" s="5" t="n">
        <v>3</v>
      </c>
      <c r="E35" s="5" t="n">
        <v>2</v>
      </c>
      <c r="F35" s="5" t="n"/>
      <c r="G35" s="5" t="n"/>
      <c r="H35" s="5" t="n"/>
      <c r="I35" s="5" t="n"/>
      <c r="J35" s="5" t="n"/>
      <c r="K35" s="5" t="n"/>
      <c r="L35" s="5" t="n"/>
      <c r="M35" s="5" t="n"/>
      <c r="N35" s="5" t="n"/>
      <c r="O35" s="5" t="n"/>
      <c r="P35" s="5">
        <f>IF(MAESTRO!D35="","",IFERROR(TRUNC(AVERAGE(C35:O35),1),""))</f>
        <v/>
      </c>
      <c r="Q35" s="40" t="n">
        <v>31</v>
      </c>
      <c r="R35" s="22" t="n">
        <v>5</v>
      </c>
      <c r="S35" s="22" t="n">
        <v>5</v>
      </c>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v>31</v>
      </c>
      <c r="AH35" s="263" t="n">
        <v>31</v>
      </c>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v>32</v>
      </c>
      <c r="AH36" s="263" t="n">
        <v>32</v>
      </c>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v>33</v>
      </c>
      <c r="AH37" s="263" t="n">
        <v>33</v>
      </c>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v>34</v>
      </c>
      <c r="AH38" s="263" t="n">
        <v>34</v>
      </c>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v>35</v>
      </c>
      <c r="AH39" s="263" t="n">
        <v>35</v>
      </c>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v>36</v>
      </c>
      <c r="AH40" s="263" t="n">
        <v>36</v>
      </c>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v>37</v>
      </c>
      <c r="AH41" s="263" t="n">
        <v>37</v>
      </c>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IF(MAESTRO!D42="","",MAESTRO!D42)</f>
        <v/>
      </c>
      <c r="C42" s="278" t="inlineStr">
        <is>
          <t xml:space="preserve">Cuadro - Bienes y Servicios </t>
        </is>
      </c>
      <c r="D42" s="278" t="inlineStr">
        <is>
          <t>Vocabulario - O. Comercio</t>
        </is>
      </c>
      <c r="E42" s="278" t="inlineStr">
        <is>
          <t>Ensayo - Import. del Comercio</t>
        </is>
      </c>
      <c r="F42" s="278" t="n"/>
      <c r="G42" s="278" t="n"/>
      <c r="H42" s="278" t="n"/>
      <c r="I42" s="278" t="n"/>
      <c r="J42" s="278" t="n"/>
      <c r="K42" s="278" t="n"/>
      <c r="L42" s="278" t="n"/>
      <c r="M42" s="278" t="n"/>
      <c r="N42" s="278" t="n"/>
      <c r="O42" s="278" t="n"/>
      <c r="P42" s="5" t="n"/>
      <c r="Q42" s="40" t="n">
        <v>38</v>
      </c>
      <c r="R42" s="278" t="inlineStr">
        <is>
          <t>Mural -Semana Santa</t>
        </is>
      </c>
      <c r="S42" s="278" t="inlineStr">
        <is>
          <t>Participacion - Aniversario</t>
        </is>
      </c>
      <c r="T42" s="274" t="n"/>
      <c r="U42" s="274" t="n"/>
      <c r="V42" s="274" t="n"/>
      <c r="W42" s="274" t="n"/>
      <c r="X42" s="274" t="n"/>
      <c r="Y42" s="274" t="n"/>
      <c r="Z42" s="274" t="n"/>
      <c r="AA42" s="45" t="n"/>
      <c r="AB42" s="322" t="n"/>
      <c r="AC42" s="274" t="n"/>
      <c r="AD42" s="5" t="n"/>
      <c r="AE42" s="44" t="n"/>
      <c r="AF42" s="263" t="n"/>
      <c r="AG42" s="263" t="n">
        <v>38</v>
      </c>
      <c r="AH42" s="263" t="n">
        <v>38</v>
      </c>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IF(MAESTRO!D42="","",MAESTRO!D42)</f>
        <v/>
      </c>
      <c r="BQ42" s="186" t="n"/>
      <c r="BR42" s="265" t="n"/>
      <c r="BS42" s="265" t="n"/>
      <c r="BT42" s="265" t="n"/>
      <c r="BU42" s="265" t="n"/>
      <c r="BV42" s="273" t="n"/>
      <c r="BW42" s="273" t="n"/>
      <c r="BX42" s="273" t="n"/>
      <c r="BY42" s="273" t="n"/>
      <c r="BZ42" s="323" t="n"/>
      <c r="CA42" s="273" t="n"/>
      <c r="CB42" s="273" t="n"/>
      <c r="CC42" s="273" t="n"/>
      <c r="CD42" s="273" t="n"/>
      <c r="CE42" s="5" t="n"/>
      <c r="CF42" s="265" t="n"/>
      <c r="CG42" s="265" t="n"/>
      <c r="CH42" s="265" t="n"/>
      <c r="CI42" s="265" t="n"/>
      <c r="CJ42" s="323" t="n"/>
      <c r="CK42" s="273" t="n"/>
      <c r="CL42" s="273" t="n"/>
      <c r="CM42" s="273" t="n"/>
      <c r="CN42" s="273" t="n"/>
      <c r="CO42" s="273" t="n"/>
      <c r="CP42" s="5" t="n"/>
      <c r="CQ42" s="273" t="n"/>
      <c r="CR42" s="273" t="n"/>
      <c r="CS42" s="5" t="n"/>
      <c r="CT42" s="5" t="n"/>
      <c r="CU42" s="263" t="n"/>
      <c r="CV42" s="56"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95" min="1" max="1"/>
    <col width="19.44140625" bestFit="1" customWidth="1" style="195" min="2" max="2"/>
    <col width="4.44140625" customWidth="1" style="195" min="3" max="16"/>
    <col width="4.88671875" customWidth="1" style="195" min="17" max="17"/>
    <col width="3.33203125" customWidth="1" style="195" min="18" max="18"/>
    <col width="4.44140625" customWidth="1" style="21" min="19" max="19"/>
    <col width="4.44140625" customWidth="1" style="195" min="20" max="29"/>
    <col width="5.33203125" customWidth="1" style="297" min="30" max="30"/>
    <col width="4.44140625" customWidth="1" style="195" min="31" max="31"/>
    <col width="6.44140625" customWidth="1" style="195" min="32" max="32"/>
    <col width="17.44140625" customWidth="1" style="195" min="33" max="33"/>
    <col width="3.33203125" customWidth="1" style="195" min="34" max="34"/>
    <col width="2.77734375" customWidth="1" style="195" min="35" max="35"/>
    <col width="13" customWidth="1" style="195" min="37" max="37"/>
    <col width="4.77734375" customWidth="1" style="289" min="38" max="45"/>
    <col width="4.77734375" customWidth="1" style="290" min="46" max="49"/>
    <col width="4.44140625" customWidth="1" style="195" min="50" max="50"/>
    <col width="4.44140625" customWidth="1" style="293" min="51" max="60"/>
    <col width="4.44140625" customWidth="1" style="195" min="61" max="62"/>
    <col width="4.44140625" customWidth="1" style="294" min="63" max="63"/>
    <col width="4.44140625" customWidth="1" style="195" min="64" max="65"/>
    <col width="20.44140625" customWidth="1" style="195" min="66" max="66"/>
    <col width="2.77734375" customWidth="1" style="195" min="67" max="68"/>
    <col width="14.33203125" customWidth="1" style="195" min="70" max="70"/>
    <col width="4.109375" customWidth="1" style="277" min="71" max="83"/>
    <col width="4.44140625" customWidth="1" style="195" min="84" max="84"/>
    <col width="4.44140625" customWidth="1" style="277" min="85" max="99"/>
    <col width="20.44140625" customWidth="1" style="195" min="100" max="100"/>
    <col width="3.109375" customWidth="1" style="195" min="101" max="101"/>
    <col width="2.77734375" customWidth="1" style="195" min="102" max="102"/>
    <col width="14.33203125" customWidth="1" style="195" min="104" max="104"/>
    <col width="4.44140625" customWidth="1" style="195" min="105" max="130"/>
    <col width="4.77734375" customWidth="1" style="195" min="131" max="131"/>
    <col width="4.44140625" customWidth="1" style="195" min="132" max="133"/>
    <col width="20.44140625" customWidth="1" style="195" min="134" max="134"/>
    <col width="3.109375" customWidth="1" style="195" min="135" max="135"/>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5">
      <c r="A2" s="276" t="n"/>
      <c r="R2" s="276" t="n"/>
      <c r="S2" s="194" t="n"/>
      <c r="AI2" s="276" t="n"/>
      <c r="AY2" s="194" t="n"/>
      <c r="BP2" s="276" t="n"/>
      <c r="CG2" s="194" t="n"/>
      <c r="CX2" s="276" t="n"/>
      <c r="DO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1" t="n"/>
      <c r="AE3" s="271" t="inlineStr">
        <is>
          <t>PROMEDIO</t>
        </is>
      </c>
      <c r="AF3" s="288" t="inlineStr">
        <is>
          <t>CALIFICACIÓN           TRIMESTRAL</t>
        </is>
      </c>
      <c r="AG3" s="217" t="inlineStr">
        <is>
          <t>OBSERVACIONES</t>
        </is>
      </c>
      <c r="AH3" s="191" t="n"/>
      <c r="AI3" s="189" t="n"/>
      <c r="AJ3" s="187" t="inlineStr">
        <is>
          <t>NOMBRE                          ALUMNA-ALUMNO</t>
        </is>
      </c>
      <c r="AK3" s="191"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1" t="n"/>
      <c r="BL3" s="271" t="inlineStr">
        <is>
          <t>PROMEDIO</t>
        </is>
      </c>
      <c r="BM3" s="288" t="inlineStr">
        <is>
          <t>CALIFICACIÓN           BIMESTRAL</t>
        </is>
      </c>
      <c r="BN3" s="217" t="inlineStr">
        <is>
          <t>OBSERVACIONES</t>
        </is>
      </c>
      <c r="BO3" s="191" t="n"/>
      <c r="BP3" s="189" t="n"/>
      <c r="BQ3" s="187" t="inlineStr">
        <is>
          <t>NOMBRE                          ALUMNA-ALUMNO</t>
        </is>
      </c>
      <c r="BR3" s="191" t="n"/>
      <c r="BS3" s="275" t="inlineStr">
        <is>
          <t>NOTAS PARCIALES 1/3</t>
        </is>
      </c>
      <c r="BT3" s="185" t="n"/>
      <c r="BU3" s="185" t="n"/>
      <c r="BV3" s="185" t="n"/>
      <c r="BW3" s="185" t="n"/>
      <c r="BX3" s="185" t="n"/>
      <c r="BY3" s="185" t="n"/>
      <c r="BZ3" s="185" t="n"/>
      <c r="CA3" s="185" t="n"/>
      <c r="CB3" s="185" t="n"/>
      <c r="CC3" s="185" t="n"/>
      <c r="CD3" s="185" t="n"/>
      <c r="CE3" s="186" t="n"/>
      <c r="CF3" s="271" t="inlineStr">
        <is>
          <t>PROMEDIO</t>
        </is>
      </c>
      <c r="CG3" s="275"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1" t="n"/>
      <c r="CT3" s="279" t="inlineStr">
        <is>
          <t>PROMEDIO</t>
        </is>
      </c>
      <c r="CU3" s="291" t="inlineStr">
        <is>
          <t>CALIFICACIÓN           BIMESTRAL</t>
        </is>
      </c>
      <c r="CV3" s="217" t="inlineStr">
        <is>
          <t>OBSERVACIONES</t>
        </is>
      </c>
      <c r="CW3" s="191" t="n"/>
      <c r="CX3" s="194" t="n"/>
      <c r="CY3" s="292" t="n"/>
      <c r="DA3" s="285" t="n"/>
      <c r="DN3" s="287" t="n"/>
      <c r="DO3" s="285" t="n"/>
      <c r="DY3" s="287" t="n"/>
      <c r="DZ3" s="298" t="n"/>
      <c r="EB3" s="287" t="n"/>
      <c r="EC3" s="264" t="n"/>
      <c r="ED3" s="215" t="n"/>
    </row>
    <row r="4" ht="44.25" customHeight="1" s="195">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2" t="n"/>
      <c r="AD4" s="193" t="n"/>
      <c r="AE4" s="183" t="n"/>
      <c r="AF4" s="183" t="n"/>
      <c r="AG4" s="192" t="n"/>
      <c r="AH4" s="193" t="n"/>
      <c r="AI4" s="183" t="n"/>
      <c r="AJ4" s="192" t="n"/>
      <c r="AK4" s="193"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2" t="n"/>
      <c r="BK4" s="193" t="n"/>
      <c r="BL4" s="183" t="n"/>
      <c r="BM4" s="183" t="n"/>
      <c r="BN4" s="192" t="n"/>
      <c r="BO4" s="193" t="n"/>
      <c r="BP4" s="183" t="n"/>
      <c r="BQ4" s="192" t="n"/>
      <c r="BR4" s="193"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2" t="n"/>
      <c r="CS4" s="193" t="n"/>
      <c r="CT4" s="183" t="n"/>
      <c r="CU4" s="183" t="n"/>
      <c r="CV4" s="192" t="n"/>
      <c r="CW4" s="193" t="n"/>
    </row>
    <row r="5" ht="13.5" customHeight="1" s="195">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7" t="n"/>
      <c r="DB5" s="277" t="n"/>
      <c r="DC5" s="277" t="n"/>
      <c r="DD5" s="277" t="n"/>
      <c r="DE5" s="277" t="n"/>
      <c r="DF5" s="277" t="n"/>
      <c r="DG5" s="277" t="n"/>
      <c r="DH5" s="277" t="n"/>
      <c r="DI5" s="277" t="n"/>
      <c r="DJ5" s="277" t="n"/>
      <c r="DK5" s="277" t="n"/>
      <c r="DL5" s="277" t="n"/>
      <c r="DM5" s="277" t="n"/>
      <c r="DN5" s="277" t="n"/>
      <c r="EB5" s="277" t="n"/>
      <c r="EC5" s="277" t="n"/>
    </row>
    <row r="6" ht="13.5" customHeight="1" s="195">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7" t="n"/>
      <c r="DB6" s="277" t="n"/>
      <c r="DC6" s="277" t="n"/>
      <c r="DD6" s="277" t="n"/>
      <c r="DE6" s="277" t="n"/>
      <c r="DF6" s="277" t="n"/>
      <c r="DG6" s="277" t="n"/>
      <c r="DH6" s="277" t="n"/>
      <c r="DI6" s="277" t="n"/>
      <c r="DJ6" s="277" t="n"/>
      <c r="DK6" s="277" t="n"/>
      <c r="DL6" s="277" t="n"/>
      <c r="DM6" s="277" t="n"/>
      <c r="DN6" s="277" t="n"/>
      <c r="EB6" s="277" t="n"/>
      <c r="EC6" s="277" t="n"/>
    </row>
    <row r="7" ht="13.5" customHeight="1" s="195">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7" t="n"/>
      <c r="DB7" s="277" t="n"/>
      <c r="DC7" s="277" t="n"/>
      <c r="DD7" s="277" t="n"/>
      <c r="DE7" s="277" t="n"/>
      <c r="DF7" s="277" t="n"/>
      <c r="DG7" s="277" t="n"/>
      <c r="DH7" s="277" t="n"/>
      <c r="DI7" s="277" t="n"/>
      <c r="DJ7" s="277" t="n"/>
      <c r="DK7" s="277" t="n"/>
      <c r="DL7" s="277" t="n"/>
      <c r="DM7" s="277" t="n"/>
      <c r="DN7" s="277" t="n"/>
      <c r="EB7" s="277" t="n"/>
      <c r="EC7" s="277" t="n"/>
    </row>
    <row r="8" ht="13.5" customHeight="1" s="195">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7" t="n"/>
      <c r="DB8" s="277" t="n"/>
      <c r="DC8" s="277" t="n"/>
      <c r="DD8" s="277" t="n"/>
      <c r="DE8" s="277" t="n"/>
      <c r="DF8" s="277" t="n"/>
      <c r="DG8" s="277" t="n"/>
      <c r="DH8" s="277" t="n"/>
      <c r="DI8" s="277" t="n"/>
      <c r="DJ8" s="277" t="n"/>
      <c r="DK8" s="277" t="n"/>
      <c r="DL8" s="277" t="n"/>
      <c r="DM8" s="277" t="n"/>
      <c r="DN8" s="277" t="n"/>
      <c r="EB8" s="277" t="n"/>
      <c r="EC8" s="277" t="n"/>
    </row>
    <row r="9" ht="13.5" customHeight="1" s="195">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7" t="n"/>
      <c r="DB9" s="277" t="n"/>
      <c r="DC9" s="277" t="n"/>
      <c r="DD9" s="277" t="n"/>
      <c r="DE9" s="277" t="n"/>
      <c r="DF9" s="277" t="n"/>
      <c r="DG9" s="277" t="n"/>
      <c r="DH9" s="277" t="n"/>
      <c r="DI9" s="277" t="n"/>
      <c r="DJ9" s="277" t="n"/>
      <c r="DK9" s="277" t="n"/>
      <c r="DL9" s="277" t="n"/>
      <c r="DM9" s="277" t="n"/>
      <c r="DN9" s="277" t="n"/>
      <c r="EB9" s="277" t="n"/>
      <c r="EC9" s="277" t="n"/>
    </row>
    <row r="10" ht="13.5" customHeight="1" s="195">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7" t="n"/>
      <c r="DB10" s="277" t="n"/>
      <c r="DC10" s="277" t="n"/>
      <c r="DD10" s="277" t="n"/>
      <c r="DE10" s="277" t="n"/>
      <c r="DF10" s="277" t="n"/>
      <c r="DG10" s="277" t="n"/>
      <c r="DH10" s="277" t="n"/>
      <c r="DI10" s="277" t="n"/>
      <c r="DJ10" s="277" t="n"/>
      <c r="DK10" s="277" t="n"/>
      <c r="DL10" s="277" t="n"/>
      <c r="DM10" s="277" t="n"/>
      <c r="DN10" s="277" t="n"/>
      <c r="EB10" s="277" t="n"/>
      <c r="EC10" s="277" t="n"/>
    </row>
    <row r="11" ht="13.5" customHeight="1" s="195">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7" t="n"/>
      <c r="DB11" s="277" t="n"/>
      <c r="DC11" s="277" t="n"/>
      <c r="DD11" s="277" t="n"/>
      <c r="DE11" s="277" t="n"/>
      <c r="DF11" s="277" t="n"/>
      <c r="DG11" s="277" t="n"/>
      <c r="DH11" s="277" t="n"/>
      <c r="DI11" s="277" t="n"/>
      <c r="DJ11" s="277" t="n"/>
      <c r="DK11" s="277" t="n"/>
      <c r="DL11" s="277" t="n"/>
      <c r="DM11" s="277" t="n"/>
      <c r="DN11" s="277" t="n"/>
      <c r="EB11" s="277" t="n"/>
      <c r="EC11" s="277" t="n"/>
    </row>
    <row r="12" ht="13.5" customHeight="1" s="195">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7" t="n"/>
      <c r="DB12" s="277" t="n"/>
      <c r="DC12" s="277" t="n"/>
      <c r="DD12" s="277" t="n"/>
      <c r="DE12" s="277" t="n"/>
      <c r="DF12" s="277" t="n"/>
      <c r="DG12" s="277" t="n"/>
      <c r="DH12" s="277" t="n"/>
      <c r="DI12" s="277" t="n"/>
      <c r="DJ12" s="277" t="n"/>
      <c r="DK12" s="277" t="n"/>
      <c r="DL12" s="277" t="n"/>
      <c r="DM12" s="277" t="n"/>
      <c r="DN12" s="277" t="n"/>
      <c r="EB12" s="277" t="n"/>
      <c r="EC12" s="277" t="n"/>
    </row>
    <row r="13" ht="13.5" customHeight="1" s="195">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7" t="n"/>
      <c r="DB13" s="277" t="n"/>
      <c r="DC13" s="277" t="n"/>
      <c r="DD13" s="277" t="n"/>
      <c r="DE13" s="277" t="n"/>
      <c r="DF13" s="277" t="n"/>
      <c r="DG13" s="277" t="n"/>
      <c r="DH13" s="277" t="n"/>
      <c r="DI13" s="277" t="n"/>
      <c r="DJ13" s="277" t="n"/>
      <c r="DK13" s="277" t="n"/>
      <c r="DL13" s="277" t="n"/>
      <c r="DM13" s="277" t="n"/>
      <c r="DN13" s="277" t="n"/>
      <c r="EB13" s="277" t="n"/>
      <c r="EC13" s="277" t="n"/>
    </row>
    <row r="14" ht="13.5" customHeight="1" s="195">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7" t="n"/>
      <c r="DB14" s="277" t="n"/>
      <c r="DC14" s="277" t="n"/>
      <c r="DD14" s="277" t="n"/>
      <c r="DE14" s="277" t="n"/>
      <c r="DF14" s="277" t="n"/>
      <c r="DG14" s="277" t="n"/>
      <c r="DH14" s="277" t="n"/>
      <c r="DI14" s="277" t="n"/>
      <c r="DJ14" s="277" t="n"/>
      <c r="DK14" s="277" t="n"/>
      <c r="DL14" s="277" t="n"/>
      <c r="DM14" s="277" t="n"/>
      <c r="DN14" s="277" t="n"/>
      <c r="EB14" s="277" t="n"/>
      <c r="EC14" s="277" t="n"/>
    </row>
    <row r="15" ht="13.5" customHeight="1" s="195">
      <c r="A15" s="263" t="n">
        <v>11</v>
      </c>
      <c r="B15" s="9">
        <f>IF(MAESTRO!D15="","",MAESTRO!D15)</f>
        <v/>
      </c>
      <c r="C15" s="5" t="n">
        <v>5</v>
      </c>
      <c r="D15" s="5" t="n">
        <v>3</v>
      </c>
      <c r="E15" s="5" t="n">
        <v>4</v>
      </c>
      <c r="F15" s="5" t="n">
        <v>4.8</v>
      </c>
      <c r="G15" s="5" t="n">
        <v>2</v>
      </c>
      <c r="H15" s="5" t="n"/>
      <c r="I15" s="5" t="n"/>
      <c r="J15" s="5" t="n"/>
      <c r="K15" s="5" t="n"/>
      <c r="L15" s="5" t="n"/>
      <c r="M15" s="5" t="n"/>
      <c r="N15" s="174" t="n"/>
      <c r="O15" s="5" t="n"/>
      <c r="P15" s="5" t="n"/>
      <c r="Q15" s="5">
        <f>IF(MAESTRO!D15="","",IFERROR(TRUNC(AVERAGE(C15:P15),1),""))</f>
        <v/>
      </c>
      <c r="R15" s="40" t="n">
        <v>11</v>
      </c>
      <c r="S15" s="22" t="n">
        <v>5</v>
      </c>
      <c r="T15" s="22" t="n">
        <v>5</v>
      </c>
      <c r="U15" s="22" t="n">
        <v>5</v>
      </c>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v>11</v>
      </c>
      <c r="AI15" s="263" t="n">
        <v>11</v>
      </c>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v>11</v>
      </c>
      <c r="BP15" s="263" t="n">
        <v>11</v>
      </c>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7" t="n"/>
      <c r="DB15" s="277" t="n"/>
      <c r="DC15" s="277" t="n"/>
      <c r="DD15" s="277" t="n"/>
      <c r="DE15" s="277" t="n"/>
      <c r="DF15" s="277" t="n"/>
      <c r="DG15" s="277" t="n"/>
      <c r="DH15" s="277" t="n"/>
      <c r="DI15" s="277" t="n"/>
      <c r="DJ15" s="277" t="n"/>
      <c r="DK15" s="277" t="n"/>
      <c r="DL15" s="277" t="n"/>
      <c r="DM15" s="277" t="n"/>
      <c r="DN15" s="277" t="n"/>
      <c r="EB15" s="277" t="n"/>
      <c r="EC15" s="277" t="n"/>
    </row>
    <row r="16" ht="13.5" customHeight="1" s="195">
      <c r="A16" s="263" t="n">
        <v>12</v>
      </c>
      <c r="B16" s="9">
        <f>IF(MAESTRO!D16="","",MAESTRO!D16)</f>
        <v/>
      </c>
      <c r="C16" s="5" t="n">
        <v>2</v>
      </c>
      <c r="D16" s="5" t="n">
        <v>2</v>
      </c>
      <c r="E16" s="5" t="n">
        <v>2</v>
      </c>
      <c r="F16" s="5" t="n">
        <v>4.8</v>
      </c>
      <c r="G16" s="5" t="n">
        <v>2</v>
      </c>
      <c r="H16" s="5" t="n"/>
      <c r="I16" s="5" t="n"/>
      <c r="J16" s="5" t="n"/>
      <c r="K16" s="5" t="n"/>
      <c r="L16" s="5" t="n"/>
      <c r="M16" s="5" t="n"/>
      <c r="N16" s="174" t="n"/>
      <c r="O16" s="5" t="n"/>
      <c r="P16" s="5" t="n"/>
      <c r="Q16" s="5">
        <f>IF(MAESTRO!D16="","",IFERROR(TRUNC(AVERAGE(C16:P16),1),""))</f>
        <v/>
      </c>
      <c r="R16" s="40" t="n">
        <v>12</v>
      </c>
      <c r="S16" s="22" t="n">
        <v>5</v>
      </c>
      <c r="T16" s="22" t="n">
        <v>5</v>
      </c>
      <c r="U16" s="22" t="n">
        <v>5</v>
      </c>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v>12</v>
      </c>
      <c r="AI16" s="263" t="n">
        <v>12</v>
      </c>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v>12</v>
      </c>
      <c r="BP16" s="263" t="n">
        <v>12</v>
      </c>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7" t="n"/>
      <c r="DB16" s="277" t="n"/>
      <c r="DC16" s="277" t="n"/>
      <c r="DD16" s="277" t="n"/>
      <c r="DE16" s="277" t="n"/>
      <c r="DF16" s="277" t="n"/>
      <c r="DG16" s="277" t="n"/>
      <c r="DH16" s="277" t="n"/>
      <c r="DI16" s="277" t="n"/>
      <c r="DJ16" s="277" t="n"/>
      <c r="DK16" s="277" t="n"/>
      <c r="DL16" s="277" t="n"/>
      <c r="DM16" s="277" t="n"/>
      <c r="DN16" s="277" t="n"/>
      <c r="EB16" s="277" t="n"/>
      <c r="EC16" s="277" t="n"/>
    </row>
    <row r="17" ht="13.5" customHeight="1" s="195">
      <c r="A17" s="263" t="n">
        <v>13</v>
      </c>
      <c r="B17" s="9">
        <f>IF(MAESTRO!D17="","",MAESTRO!D17)</f>
        <v/>
      </c>
      <c r="C17" s="5" t="n">
        <v>3.2</v>
      </c>
      <c r="D17" s="5" t="n">
        <v>2</v>
      </c>
      <c r="E17" s="5" t="n">
        <v>2</v>
      </c>
      <c r="F17" s="5" t="n">
        <v>2</v>
      </c>
      <c r="G17" s="5" t="n">
        <v>2</v>
      </c>
      <c r="H17" s="5" t="n"/>
      <c r="I17" s="5" t="n"/>
      <c r="J17" s="5" t="n"/>
      <c r="K17" s="5" t="n"/>
      <c r="L17" s="5" t="n"/>
      <c r="M17" s="5" t="n"/>
      <c r="N17" s="174" t="n"/>
      <c r="O17" s="5" t="n"/>
      <c r="P17" s="5" t="n"/>
      <c r="Q17" s="5">
        <f>IF(MAESTRO!D17="","",IFERROR(TRUNC(AVERAGE(C17:P17),1),""))</f>
        <v/>
      </c>
      <c r="R17" s="40" t="n">
        <v>13</v>
      </c>
      <c r="S17" s="22" t="n">
        <v>5</v>
      </c>
      <c r="T17" s="22" t="n">
        <v>5</v>
      </c>
      <c r="U17" s="22" t="n">
        <v>5</v>
      </c>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v>13</v>
      </c>
      <c r="AI17" s="263" t="n">
        <v>13</v>
      </c>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v>13</v>
      </c>
      <c r="BP17" s="263" t="n">
        <v>13</v>
      </c>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7" t="n"/>
      <c r="DB17" s="277" t="n"/>
      <c r="DC17" s="277" t="n"/>
      <c r="DD17" s="277" t="n"/>
      <c r="DE17" s="277" t="n"/>
      <c r="DF17" s="277" t="n"/>
      <c r="DG17" s="277" t="n"/>
      <c r="DH17" s="277" t="n"/>
      <c r="DI17" s="277" t="n"/>
      <c r="DJ17" s="277" t="n"/>
      <c r="DK17" s="277" t="n"/>
      <c r="DL17" s="277" t="n"/>
      <c r="DM17" s="277" t="n"/>
      <c r="DN17" s="277" t="n"/>
      <c r="EB17" s="277" t="n"/>
      <c r="EC17" s="277" t="n"/>
    </row>
    <row r="18" ht="13.5" customHeight="1" s="195">
      <c r="A18" s="263" t="n">
        <v>14</v>
      </c>
      <c r="B18" s="9">
        <f>IF(MAESTRO!D18="","",MAESTRO!D18)</f>
        <v/>
      </c>
      <c r="C18" s="5" t="n">
        <v>4</v>
      </c>
      <c r="D18" s="5" t="n">
        <v>3</v>
      </c>
      <c r="E18" s="5" t="n">
        <v>2</v>
      </c>
      <c r="F18" s="5" t="n">
        <v>2</v>
      </c>
      <c r="G18" s="5" t="n">
        <v>2</v>
      </c>
      <c r="H18" s="5" t="n"/>
      <c r="I18" s="5" t="n"/>
      <c r="J18" s="5" t="n"/>
      <c r="K18" s="5" t="n"/>
      <c r="L18" s="5" t="n"/>
      <c r="M18" s="5" t="n"/>
      <c r="N18" s="174" t="n"/>
      <c r="O18" s="5" t="n"/>
      <c r="P18" s="5" t="n"/>
      <c r="Q18" s="5">
        <f>IF(MAESTRO!D18="","",IFERROR(TRUNC(AVERAGE(C18:P18),1),""))</f>
        <v/>
      </c>
      <c r="R18" s="40" t="n">
        <v>14</v>
      </c>
      <c r="S18" s="22" t="n">
        <v>5</v>
      </c>
      <c r="T18" s="22" t="n">
        <v>5</v>
      </c>
      <c r="U18" s="22" t="n">
        <v>5</v>
      </c>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v>14</v>
      </c>
      <c r="AI18" s="263" t="n">
        <v>14</v>
      </c>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v>14</v>
      </c>
      <c r="BP18" s="263" t="n">
        <v>14</v>
      </c>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7" t="n"/>
      <c r="DB18" s="277" t="n"/>
      <c r="DC18" s="277" t="n"/>
      <c r="DD18" s="277" t="n"/>
      <c r="DE18" s="277" t="n"/>
      <c r="DF18" s="277" t="n"/>
      <c r="DG18" s="277" t="n"/>
      <c r="DH18" s="277" t="n"/>
      <c r="DI18" s="277" t="n"/>
      <c r="DJ18" s="277" t="n"/>
      <c r="DK18" s="277" t="n"/>
      <c r="DL18" s="277" t="n"/>
      <c r="DM18" s="277" t="n"/>
      <c r="DN18" s="277" t="n"/>
      <c r="EB18" s="277" t="n"/>
      <c r="EC18" s="277" t="n"/>
    </row>
    <row r="19" ht="13.5" customHeight="1" s="195">
      <c r="A19" s="263" t="n">
        <v>15</v>
      </c>
      <c r="B19" s="9">
        <f>IF(MAESTRO!D19="","",MAESTRO!D19)</f>
        <v/>
      </c>
      <c r="C19" s="5" t="n">
        <v>4.5</v>
      </c>
      <c r="D19" s="5" t="n">
        <v>4.7</v>
      </c>
      <c r="E19" s="5" t="n">
        <v>5</v>
      </c>
      <c r="F19" s="5" t="n">
        <v>2</v>
      </c>
      <c r="G19" s="5" t="n">
        <v>2</v>
      </c>
      <c r="H19" s="5" t="n"/>
      <c r="I19" s="5" t="n"/>
      <c r="J19" s="5" t="n"/>
      <c r="K19" s="5" t="n"/>
      <c r="L19" s="5" t="n"/>
      <c r="M19" s="5" t="n"/>
      <c r="N19" s="174" t="n"/>
      <c r="O19" s="5" t="n"/>
      <c r="P19" s="5" t="n"/>
      <c r="Q19" s="5">
        <f>IF(MAESTRO!D19="","",IFERROR(TRUNC(AVERAGE(C19:P19),1),""))</f>
        <v/>
      </c>
      <c r="R19" s="40" t="n">
        <v>15</v>
      </c>
      <c r="S19" s="22" t="n">
        <v>5</v>
      </c>
      <c r="T19" s="22" t="n">
        <v>5</v>
      </c>
      <c r="U19" s="22" t="n">
        <v>5</v>
      </c>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v>15</v>
      </c>
      <c r="AI19" s="263" t="n">
        <v>15</v>
      </c>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v>15</v>
      </c>
      <c r="BP19" s="263" t="n">
        <v>15</v>
      </c>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7" t="n"/>
      <c r="DB19" s="277" t="n"/>
      <c r="DC19" s="277" t="n"/>
      <c r="DD19" s="277" t="n"/>
      <c r="DE19" s="277" t="n"/>
      <c r="DF19" s="277" t="n"/>
      <c r="DG19" s="277" t="n"/>
      <c r="DH19" s="277" t="n"/>
      <c r="DI19" s="277" t="n"/>
      <c r="DJ19" s="277" t="n"/>
      <c r="DK19" s="277" t="n"/>
      <c r="DL19" s="277" t="n"/>
      <c r="DM19" s="277" t="n"/>
      <c r="DN19" s="277" t="n"/>
      <c r="EB19" s="277" t="n"/>
      <c r="EC19" s="277" t="n"/>
    </row>
    <row r="20" ht="13.5" customHeight="1" s="195">
      <c r="A20" s="263" t="n">
        <v>16</v>
      </c>
      <c r="B20" s="9">
        <f>IF(MAESTRO!D20="","",MAESTRO!D20)</f>
        <v/>
      </c>
      <c r="C20" s="5" t="n">
        <v>3.4</v>
      </c>
      <c r="D20" s="5" t="n">
        <v>2</v>
      </c>
      <c r="E20" s="5" t="n">
        <v>2</v>
      </c>
      <c r="F20" s="5" t="n">
        <v>4.7</v>
      </c>
      <c r="G20" s="5" t="n">
        <v>4.8</v>
      </c>
      <c r="H20" s="5" t="n"/>
      <c r="I20" s="5" t="n"/>
      <c r="J20" s="5" t="n"/>
      <c r="K20" s="5" t="n"/>
      <c r="L20" s="5" t="n"/>
      <c r="M20" s="5" t="n"/>
      <c r="N20" s="174" t="n"/>
      <c r="O20" s="5" t="n"/>
      <c r="P20" s="5" t="n"/>
      <c r="Q20" s="5">
        <f>IF(MAESTRO!D20="","",IFERROR(TRUNC(AVERAGE(C20:P20),1),""))</f>
        <v/>
      </c>
      <c r="R20" s="40" t="n">
        <v>16</v>
      </c>
      <c r="S20" s="22" t="n">
        <v>5</v>
      </c>
      <c r="T20" s="22" t="n">
        <v>5</v>
      </c>
      <c r="U20" s="22" t="n">
        <v>5</v>
      </c>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v>16</v>
      </c>
      <c r="AI20" s="263" t="n">
        <v>16</v>
      </c>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v>16</v>
      </c>
      <c r="BP20" s="263" t="n">
        <v>16</v>
      </c>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7" t="n"/>
      <c r="DB20" s="277" t="n"/>
      <c r="DC20" s="277" t="n"/>
      <c r="DD20" s="277" t="n"/>
      <c r="DE20" s="277" t="n"/>
      <c r="DF20" s="277" t="n"/>
      <c r="DG20" s="277" t="n"/>
      <c r="DH20" s="277" t="n"/>
      <c r="DI20" s="277" t="n"/>
      <c r="DJ20" s="277" t="n"/>
      <c r="DK20" s="277" t="n"/>
      <c r="DL20" s="277" t="n"/>
      <c r="DM20" s="277" t="n"/>
      <c r="DN20" s="277" t="n"/>
      <c r="EB20" s="277" t="n"/>
      <c r="EC20" s="277" t="n"/>
    </row>
    <row r="21" ht="13.5" customHeight="1" s="195">
      <c r="A21" s="263" t="n">
        <v>17</v>
      </c>
      <c r="B21" s="9">
        <f>IF(MAESTRO!D21="","",MAESTRO!D21)</f>
        <v/>
      </c>
      <c r="C21" s="5" t="n">
        <v>3</v>
      </c>
      <c r="D21" s="5" t="n">
        <v>2</v>
      </c>
      <c r="E21" s="5" t="n">
        <v>2</v>
      </c>
      <c r="F21" s="5" t="n">
        <v>3</v>
      </c>
      <c r="G21" s="5" t="n">
        <v>2</v>
      </c>
      <c r="H21" s="5" t="n"/>
      <c r="I21" s="5" t="n"/>
      <c r="J21" s="5" t="n"/>
      <c r="K21" s="5" t="n"/>
      <c r="L21" s="5" t="n"/>
      <c r="M21" s="5" t="n"/>
      <c r="N21" s="174" t="n"/>
      <c r="O21" s="5" t="n"/>
      <c r="P21" s="5" t="n"/>
      <c r="Q21" s="5">
        <f>IF(MAESTRO!D21="","",IFERROR(TRUNC(AVERAGE(C21:P21),1),""))</f>
        <v/>
      </c>
      <c r="R21" s="40" t="n">
        <v>17</v>
      </c>
      <c r="S21" s="22" t="n">
        <v>5</v>
      </c>
      <c r="T21" s="22" t="n">
        <v>5</v>
      </c>
      <c r="U21" s="22" t="n">
        <v>5</v>
      </c>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v>17</v>
      </c>
      <c r="AI21" s="263" t="n">
        <v>17</v>
      </c>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v>17</v>
      </c>
      <c r="BP21" s="263" t="n">
        <v>17</v>
      </c>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7" t="n"/>
      <c r="DB21" s="277" t="n"/>
      <c r="DC21" s="277" t="n"/>
      <c r="DD21" s="277" t="n"/>
      <c r="DE21" s="277" t="n"/>
      <c r="DF21" s="277" t="n"/>
      <c r="DG21" s="277" t="n"/>
      <c r="DH21" s="277" t="n"/>
      <c r="DI21" s="277" t="n"/>
      <c r="DJ21" s="277" t="n"/>
      <c r="DK21" s="277" t="n"/>
      <c r="DL21" s="277" t="n"/>
      <c r="DM21" s="277" t="n"/>
      <c r="DN21" s="277" t="n"/>
      <c r="EB21" s="277" t="n"/>
      <c r="EC21" s="277" t="n"/>
    </row>
    <row r="22" ht="13.5" customHeight="1" s="195">
      <c r="A22" s="263" t="n">
        <v>18</v>
      </c>
      <c r="B22" s="9">
        <f>IF(MAESTRO!D22="","",MAESTRO!D22)</f>
        <v/>
      </c>
      <c r="C22" s="5" t="n">
        <v>3.4</v>
      </c>
      <c r="D22" s="5" t="n">
        <v>2</v>
      </c>
      <c r="E22" s="5" t="n">
        <v>2</v>
      </c>
      <c r="F22" s="5" t="n">
        <v>2</v>
      </c>
      <c r="G22" s="5" t="n">
        <v>2</v>
      </c>
      <c r="H22" s="5" t="n"/>
      <c r="I22" s="5" t="n"/>
      <c r="J22" s="5" t="n"/>
      <c r="K22" s="5" t="n"/>
      <c r="L22" s="5" t="n"/>
      <c r="M22" s="5" t="n"/>
      <c r="N22" s="174" t="n"/>
      <c r="O22" s="5" t="n"/>
      <c r="P22" s="5" t="n"/>
      <c r="Q22" s="5">
        <f>IF(MAESTRO!D22="","",IFERROR(TRUNC(AVERAGE(C22:P22),1),""))</f>
        <v/>
      </c>
      <c r="R22" s="40" t="n">
        <v>18</v>
      </c>
      <c r="S22" s="22" t="n">
        <v>5</v>
      </c>
      <c r="T22" s="22" t="n">
        <v>5</v>
      </c>
      <c r="U22" s="22" t="n">
        <v>5</v>
      </c>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v>18</v>
      </c>
      <c r="AI22" s="263" t="n">
        <v>18</v>
      </c>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v>18</v>
      </c>
      <c r="BP22" s="263" t="n">
        <v>18</v>
      </c>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7" t="n"/>
      <c r="DB22" s="277" t="n"/>
      <c r="DC22" s="277" t="n"/>
      <c r="DD22" s="277" t="n"/>
      <c r="DE22" s="277" t="n"/>
      <c r="DF22" s="277" t="n"/>
      <c r="DG22" s="277" t="n"/>
      <c r="DH22" s="277" t="n"/>
      <c r="DI22" s="277" t="n"/>
      <c r="DJ22" s="277" t="n"/>
      <c r="DK22" s="277" t="n"/>
      <c r="DL22" s="277" t="n"/>
      <c r="DM22" s="277" t="n"/>
      <c r="DN22" s="277" t="n"/>
      <c r="EB22" s="277" t="n"/>
      <c r="EC22" s="277" t="n"/>
    </row>
    <row r="23" ht="13.5" customHeight="1" s="195">
      <c r="A23" s="263" t="n">
        <v>19</v>
      </c>
      <c r="B23" s="9">
        <f>IF(MAESTRO!D23="","",MAESTRO!D23)</f>
        <v/>
      </c>
      <c r="C23" s="5" t="n">
        <v>3.4</v>
      </c>
      <c r="D23" s="5" t="n">
        <v>4.6</v>
      </c>
      <c r="E23" s="5" t="n">
        <v>4.5</v>
      </c>
      <c r="F23" s="5" t="n">
        <v>4.2</v>
      </c>
      <c r="G23" s="5" t="n">
        <v>2</v>
      </c>
      <c r="H23" s="5" t="n"/>
      <c r="I23" s="5" t="n"/>
      <c r="J23" s="5" t="n"/>
      <c r="K23" s="5" t="n"/>
      <c r="L23" s="5" t="n"/>
      <c r="M23" s="5" t="n"/>
      <c r="N23" s="174" t="n"/>
      <c r="O23" s="5" t="n"/>
      <c r="P23" s="5" t="n"/>
      <c r="Q23" s="5">
        <f>IF(MAESTRO!D23="","",IFERROR(TRUNC(AVERAGE(C23:P23),1),""))</f>
        <v/>
      </c>
      <c r="R23" s="40" t="n">
        <v>19</v>
      </c>
      <c r="S23" s="22" t="n">
        <v>5</v>
      </c>
      <c r="T23" s="22" t="n">
        <v>5</v>
      </c>
      <c r="U23" s="22" t="n">
        <v>5</v>
      </c>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v>19</v>
      </c>
      <c r="AI23" s="263" t="n">
        <v>19</v>
      </c>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v>19</v>
      </c>
      <c r="BP23" s="263" t="n">
        <v>19</v>
      </c>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7" t="n"/>
      <c r="DB23" s="277" t="n"/>
      <c r="DC23" s="277" t="n"/>
      <c r="DD23" s="277" t="n"/>
      <c r="DE23" s="277" t="n"/>
      <c r="DF23" s="277" t="n"/>
      <c r="DG23" s="277" t="n"/>
      <c r="DH23" s="277" t="n"/>
      <c r="DI23" s="277" t="n"/>
      <c r="DJ23" s="277" t="n"/>
      <c r="DK23" s="277" t="n"/>
      <c r="DL23" s="277" t="n"/>
      <c r="DM23" s="277" t="n"/>
      <c r="DN23" s="277" t="n"/>
      <c r="EB23" s="277" t="n"/>
      <c r="EC23" s="277" t="n"/>
    </row>
    <row r="24" ht="13.5" customHeight="1" s="195">
      <c r="A24" s="263" t="n">
        <v>20</v>
      </c>
      <c r="B24" s="9">
        <f>IF(MAESTRO!D24="","",MAESTRO!D24)</f>
        <v/>
      </c>
      <c r="C24" s="5" t="n">
        <v>3.8</v>
      </c>
      <c r="D24" s="5" t="n">
        <v>2</v>
      </c>
      <c r="E24" s="5" t="n">
        <v>4.5</v>
      </c>
      <c r="F24" s="5" t="n">
        <v>2</v>
      </c>
      <c r="G24" s="5" t="n">
        <v>2</v>
      </c>
      <c r="H24" s="5" t="n"/>
      <c r="I24" s="5" t="n"/>
      <c r="J24" s="5" t="n"/>
      <c r="K24" s="5" t="n"/>
      <c r="L24" s="5" t="n"/>
      <c r="M24" s="5" t="n"/>
      <c r="N24" s="174" t="n"/>
      <c r="O24" s="5" t="n"/>
      <c r="P24" s="5" t="n"/>
      <c r="Q24" s="5">
        <f>IF(MAESTRO!D24="","",IFERROR(TRUNC(AVERAGE(C24:P24),1),""))</f>
        <v/>
      </c>
      <c r="R24" s="40" t="n">
        <v>20</v>
      </c>
      <c r="S24" s="22" t="n">
        <v>5</v>
      </c>
      <c r="T24" s="22" t="n">
        <v>5</v>
      </c>
      <c r="U24" s="22" t="n">
        <v>5</v>
      </c>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v>20</v>
      </c>
      <c r="AI24" s="263" t="n">
        <v>20</v>
      </c>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v>20</v>
      </c>
      <c r="BP24" s="263" t="n">
        <v>20</v>
      </c>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7" t="n"/>
      <c r="DB24" s="277" t="n"/>
      <c r="DC24" s="277" t="n"/>
      <c r="DD24" s="277" t="n"/>
      <c r="DE24" s="277" t="n"/>
      <c r="DF24" s="277" t="n"/>
      <c r="DG24" s="277" t="n"/>
      <c r="DH24" s="277" t="n"/>
      <c r="DI24" s="277" t="n"/>
      <c r="DJ24" s="277" t="n"/>
      <c r="DK24" s="277" t="n"/>
      <c r="DL24" s="277" t="n"/>
      <c r="DM24" s="277" t="n"/>
      <c r="DN24" s="277" t="n"/>
      <c r="EB24" s="277" t="n"/>
      <c r="EC24" s="277" t="n"/>
    </row>
    <row r="25" ht="13.5" customHeight="1" s="195">
      <c r="A25" s="263" t="n">
        <v>21</v>
      </c>
      <c r="B25" s="9">
        <f>IF(MAESTRO!D25="","",MAESTRO!D25)</f>
        <v/>
      </c>
      <c r="C25" s="5" t="n">
        <v>3.2</v>
      </c>
      <c r="D25" s="5" t="n">
        <v>2</v>
      </c>
      <c r="E25" s="5" t="n">
        <v>2</v>
      </c>
      <c r="F25" s="5" t="n">
        <v>2</v>
      </c>
      <c r="G25" s="5" t="n">
        <v>2</v>
      </c>
      <c r="H25" s="5" t="n"/>
      <c r="I25" s="5" t="n"/>
      <c r="J25" s="5" t="n"/>
      <c r="K25" s="5" t="n"/>
      <c r="L25" s="5" t="n"/>
      <c r="M25" s="5" t="n"/>
      <c r="N25" s="5" t="n"/>
      <c r="O25" s="5" t="n"/>
      <c r="P25" s="5" t="n"/>
      <c r="Q25" s="5">
        <f>IF(MAESTRO!D25="","",IFERROR(TRUNC(AVERAGE(C25:P25),1),""))</f>
        <v/>
      </c>
      <c r="R25" s="40" t="n">
        <v>21</v>
      </c>
      <c r="S25" s="22" t="n">
        <v>5</v>
      </c>
      <c r="T25" s="22" t="n">
        <v>5</v>
      </c>
      <c r="U25" s="22" t="n">
        <v>5</v>
      </c>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v>21</v>
      </c>
      <c r="AI25" s="263" t="n">
        <v>21</v>
      </c>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v>21</v>
      </c>
      <c r="BP25" s="263" t="n">
        <v>21</v>
      </c>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7" t="n"/>
      <c r="DB25" s="277" t="n"/>
      <c r="DC25" s="277" t="n"/>
      <c r="DD25" s="277" t="n"/>
      <c r="DE25" s="277" t="n"/>
      <c r="DF25" s="277" t="n"/>
      <c r="DG25" s="277" t="n"/>
      <c r="DH25" s="277" t="n"/>
      <c r="DI25" s="277" t="n"/>
      <c r="DJ25" s="277" t="n"/>
      <c r="DK25" s="277" t="n"/>
      <c r="DL25" s="277" t="n"/>
      <c r="DM25" s="277" t="n"/>
      <c r="DN25" s="277" t="n"/>
      <c r="EB25" s="277" t="n"/>
      <c r="EC25" s="277" t="n"/>
    </row>
    <row r="26" ht="13.5" customHeight="1" s="195">
      <c r="A26" s="263" t="n">
        <v>22</v>
      </c>
      <c r="B26" s="9">
        <f>IF(MAESTRO!D26="","",MAESTRO!D26)</f>
        <v/>
      </c>
      <c r="C26" s="5" t="n">
        <v>4</v>
      </c>
      <c r="D26" s="5" t="n">
        <v>5</v>
      </c>
      <c r="E26" s="5" t="n">
        <v>4</v>
      </c>
      <c r="F26" s="5" t="n">
        <v>5</v>
      </c>
      <c r="G26" s="5" t="n">
        <v>2</v>
      </c>
      <c r="H26" s="5" t="n"/>
      <c r="I26" s="5" t="n"/>
      <c r="J26" s="5" t="n"/>
      <c r="K26" s="5" t="n"/>
      <c r="L26" s="5" t="n"/>
      <c r="M26" s="5" t="n"/>
      <c r="N26" s="5" t="n"/>
      <c r="O26" s="5" t="n"/>
      <c r="P26" s="5" t="n"/>
      <c r="Q26" s="5">
        <f>IF(MAESTRO!D26="","",IFERROR(TRUNC(AVERAGE(C26:P26),1),""))</f>
        <v/>
      </c>
      <c r="R26" s="40" t="n">
        <v>22</v>
      </c>
      <c r="S26" s="22" t="n">
        <v>5</v>
      </c>
      <c r="T26" s="22" t="n">
        <v>5</v>
      </c>
      <c r="U26" s="22" t="n">
        <v>5</v>
      </c>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v>22</v>
      </c>
      <c r="AI26" s="263" t="n">
        <v>22</v>
      </c>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v>22</v>
      </c>
      <c r="BP26" s="263" t="n">
        <v>22</v>
      </c>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7" t="n"/>
      <c r="DB26" s="277" t="n"/>
      <c r="DC26" s="277" t="n"/>
      <c r="DD26" s="277" t="n"/>
      <c r="DE26" s="277" t="n"/>
      <c r="DF26" s="277" t="n"/>
      <c r="DG26" s="277" t="n"/>
      <c r="DH26" s="277" t="n"/>
      <c r="DI26" s="277" t="n"/>
      <c r="DJ26" s="277" t="n"/>
      <c r="DK26" s="277" t="n"/>
      <c r="DL26" s="277" t="n"/>
      <c r="DM26" s="277" t="n"/>
      <c r="DN26" s="277" t="n"/>
      <c r="EB26" s="277" t="n"/>
      <c r="EC26" s="277" t="n"/>
    </row>
    <row r="27" ht="13.5" customHeight="1" s="195">
      <c r="A27" s="263" t="n">
        <v>23</v>
      </c>
      <c r="B27" s="9">
        <f>IF(MAESTRO!D27="","",MAESTRO!D27)</f>
        <v/>
      </c>
      <c r="C27" s="5" t="n">
        <v>4</v>
      </c>
      <c r="D27" s="5" t="n">
        <v>2</v>
      </c>
      <c r="E27" s="5" t="n">
        <v>5</v>
      </c>
      <c r="F27" s="5" t="n">
        <v>2</v>
      </c>
      <c r="G27" s="5" t="n">
        <v>2</v>
      </c>
      <c r="H27" s="5" t="n"/>
      <c r="I27" s="5" t="n"/>
      <c r="J27" s="5" t="n"/>
      <c r="K27" s="5" t="n"/>
      <c r="L27" s="5" t="n"/>
      <c r="M27" s="5" t="n"/>
      <c r="N27" s="5" t="n"/>
      <c r="O27" s="5" t="n"/>
      <c r="P27" s="5" t="n"/>
      <c r="Q27" s="5">
        <f>IF(MAESTRO!D27="","",IFERROR(TRUNC(AVERAGE(C27:P27),1),""))</f>
        <v/>
      </c>
      <c r="R27" s="40" t="n">
        <v>23</v>
      </c>
      <c r="S27" s="22" t="n">
        <v>5</v>
      </c>
      <c r="T27" s="22" t="n">
        <v>5</v>
      </c>
      <c r="U27" s="22" t="n">
        <v>5</v>
      </c>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v>23</v>
      </c>
      <c r="AI27" s="263" t="n">
        <v>23</v>
      </c>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v>23</v>
      </c>
      <c r="BP27" s="263" t="n">
        <v>23</v>
      </c>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7" t="n"/>
      <c r="DB27" s="277" t="n"/>
      <c r="DC27" s="277" t="n"/>
      <c r="DD27" s="277" t="n"/>
      <c r="DE27" s="277" t="n"/>
      <c r="DF27" s="277" t="n"/>
      <c r="DG27" s="277" t="n"/>
      <c r="DH27" s="277" t="n"/>
      <c r="DI27" s="277" t="n"/>
      <c r="DJ27" s="277" t="n"/>
      <c r="DK27" s="277" t="n"/>
      <c r="DL27" s="277" t="n"/>
      <c r="DM27" s="277" t="n"/>
      <c r="DN27" s="277" t="n"/>
      <c r="EB27" s="277" t="n"/>
      <c r="EC27" s="277" t="n"/>
    </row>
    <row r="28" ht="13.5" customHeight="1" s="195">
      <c r="A28" s="263" t="n">
        <v>24</v>
      </c>
      <c r="B28" s="9">
        <f>IF(MAESTRO!D28="","",MAESTRO!D28)</f>
        <v/>
      </c>
      <c r="C28" s="5" t="n">
        <v>2</v>
      </c>
      <c r="D28" s="5" t="n">
        <v>2</v>
      </c>
      <c r="E28" s="5" t="n">
        <v>4.5</v>
      </c>
      <c r="F28" s="5" t="n">
        <v>2</v>
      </c>
      <c r="G28" s="5" t="n">
        <v>2</v>
      </c>
      <c r="H28" s="5" t="n"/>
      <c r="I28" s="5" t="n"/>
      <c r="J28" s="5" t="n"/>
      <c r="K28" s="5" t="n"/>
      <c r="L28" s="5" t="n"/>
      <c r="M28" s="5" t="n"/>
      <c r="N28" s="5" t="n"/>
      <c r="O28" s="5" t="n"/>
      <c r="P28" s="5" t="n"/>
      <c r="Q28" s="5">
        <f>IF(MAESTRO!D28="","",IFERROR(TRUNC(AVERAGE(C28:P28),1),""))</f>
        <v/>
      </c>
      <c r="R28" s="40" t="n">
        <v>24</v>
      </c>
      <c r="S28" s="22" t="n">
        <v>5</v>
      </c>
      <c r="T28" s="22" t="n">
        <v>5</v>
      </c>
      <c r="U28" s="22" t="n">
        <v>5</v>
      </c>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v>24</v>
      </c>
      <c r="AI28" s="263" t="n">
        <v>24</v>
      </c>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v>24</v>
      </c>
      <c r="BP28" s="263" t="n">
        <v>24</v>
      </c>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7" t="n"/>
      <c r="DB28" s="277" t="n"/>
      <c r="DC28" s="277" t="n"/>
      <c r="DD28" s="277" t="n"/>
      <c r="DE28" s="277" t="n"/>
      <c r="DF28" s="277" t="n"/>
      <c r="DG28" s="277" t="n"/>
      <c r="DH28" s="277" t="n"/>
      <c r="DI28" s="277" t="n"/>
      <c r="DJ28" s="277" t="n"/>
      <c r="DK28" s="277" t="n"/>
      <c r="DL28" s="277" t="n"/>
      <c r="DM28" s="277" t="n"/>
      <c r="DN28" s="277" t="n"/>
      <c r="EB28" s="277" t="n"/>
      <c r="EC28" s="277" t="n"/>
    </row>
    <row r="29" ht="13.5" customHeight="1" s="195">
      <c r="A29" s="263" t="n">
        <v>25</v>
      </c>
      <c r="B29" s="9">
        <f>IF(MAESTRO!D29="","",MAESTRO!D29)</f>
        <v/>
      </c>
      <c r="C29" s="5" t="n">
        <v>5</v>
      </c>
      <c r="D29" s="5" t="n">
        <v>4.5</v>
      </c>
      <c r="E29" s="5" t="n">
        <v>2</v>
      </c>
      <c r="F29" s="5" t="n">
        <v>2</v>
      </c>
      <c r="G29" s="5" t="n">
        <v>2</v>
      </c>
      <c r="H29" s="5" t="n"/>
      <c r="I29" s="5" t="n"/>
      <c r="J29" s="5" t="n"/>
      <c r="K29" s="5" t="n"/>
      <c r="L29" s="5" t="n"/>
      <c r="M29" s="5" t="n"/>
      <c r="N29" s="5" t="n"/>
      <c r="O29" s="5" t="n"/>
      <c r="P29" s="5" t="n"/>
      <c r="Q29" s="5">
        <f>IF(MAESTRO!D29="","",IFERROR(TRUNC(AVERAGE(C29:P29),1),""))</f>
        <v/>
      </c>
      <c r="R29" s="40" t="n">
        <v>25</v>
      </c>
      <c r="S29" s="22" t="n">
        <v>5</v>
      </c>
      <c r="T29" s="22" t="n">
        <v>5</v>
      </c>
      <c r="U29" s="22" t="n">
        <v>5</v>
      </c>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v>25</v>
      </c>
      <c r="AI29" s="263" t="n">
        <v>25</v>
      </c>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v>25</v>
      </c>
      <c r="BP29" s="263" t="n">
        <v>25</v>
      </c>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7" t="n"/>
      <c r="DB29" s="277" t="n"/>
      <c r="DC29" s="277" t="n"/>
      <c r="DD29" s="277" t="n"/>
      <c r="DE29" s="277" t="n"/>
      <c r="DF29" s="277" t="n"/>
      <c r="DG29" s="277" t="n"/>
      <c r="DH29" s="277" t="n"/>
      <c r="DI29" s="277" t="n"/>
      <c r="DJ29" s="277" t="n"/>
      <c r="DK29" s="277" t="n"/>
      <c r="DL29" s="277" t="n"/>
      <c r="DM29" s="277" t="n"/>
      <c r="DN29" s="277" t="n"/>
      <c r="EB29" s="277" t="n"/>
      <c r="EC29" s="277" t="n"/>
    </row>
    <row r="30" ht="13.5" customHeight="1" s="195">
      <c r="A30" s="263" t="n">
        <v>26</v>
      </c>
      <c r="B30" s="9">
        <f>IF(MAESTRO!D30="","",MAESTRO!D30)</f>
        <v/>
      </c>
      <c r="C30" s="5" t="n">
        <v>4</v>
      </c>
      <c r="D30" s="5" t="n">
        <v>2</v>
      </c>
      <c r="E30" s="5" t="n">
        <v>4</v>
      </c>
      <c r="F30" s="5" t="n">
        <v>2</v>
      </c>
      <c r="G30" s="5" t="n">
        <v>2</v>
      </c>
      <c r="H30" s="5" t="n"/>
      <c r="I30" s="5" t="n"/>
      <c r="J30" s="5" t="n"/>
      <c r="K30" s="5" t="n"/>
      <c r="L30" s="5" t="n"/>
      <c r="M30" s="5" t="n"/>
      <c r="N30" s="5" t="n"/>
      <c r="O30" s="5" t="n"/>
      <c r="P30" s="5" t="n"/>
      <c r="Q30" s="5">
        <f>IF(MAESTRO!D30="","",IFERROR(TRUNC(AVERAGE(C30:P30),1),""))</f>
        <v/>
      </c>
      <c r="R30" s="40" t="n">
        <v>26</v>
      </c>
      <c r="S30" s="22" t="n">
        <v>5</v>
      </c>
      <c r="T30" s="22" t="n">
        <v>5</v>
      </c>
      <c r="U30" s="22" t="n">
        <v>5</v>
      </c>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v>26</v>
      </c>
      <c r="AI30" s="263" t="n">
        <v>26</v>
      </c>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v>26</v>
      </c>
      <c r="BP30" s="263" t="n">
        <v>26</v>
      </c>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7" t="n"/>
      <c r="DB30" s="277" t="n"/>
      <c r="DC30" s="277" t="n"/>
      <c r="DD30" s="277" t="n"/>
      <c r="DE30" s="277" t="n"/>
      <c r="DF30" s="277" t="n"/>
      <c r="DG30" s="277" t="n"/>
      <c r="DH30" s="277" t="n"/>
      <c r="DI30" s="277" t="n"/>
      <c r="DJ30" s="277" t="n"/>
      <c r="DK30" s="277" t="n"/>
      <c r="DL30" s="277" t="n"/>
      <c r="DM30" s="277" t="n"/>
      <c r="DN30" s="277" t="n"/>
      <c r="EB30" s="277" t="n"/>
      <c r="EC30" s="277" t="n"/>
    </row>
    <row r="31" ht="13.5" customHeight="1" s="195">
      <c r="A31" s="263" t="n">
        <v>27</v>
      </c>
      <c r="B31" s="9">
        <f>IF(MAESTRO!D31="","",MAESTRO!D31)</f>
        <v/>
      </c>
      <c r="C31" s="5" t="n">
        <v>3.5</v>
      </c>
      <c r="D31" s="5" t="n">
        <v>4</v>
      </c>
      <c r="E31" s="5" t="n">
        <v>2</v>
      </c>
      <c r="F31" s="5" t="n">
        <v>3</v>
      </c>
      <c r="G31" s="5" t="n">
        <v>4.5</v>
      </c>
      <c r="H31" s="5" t="n"/>
      <c r="I31" s="5" t="n"/>
      <c r="J31" s="5" t="n"/>
      <c r="K31" s="5" t="n"/>
      <c r="L31" s="5" t="n"/>
      <c r="M31" s="5" t="n"/>
      <c r="N31" s="5" t="n"/>
      <c r="O31" s="5" t="n"/>
      <c r="P31" s="5" t="n"/>
      <c r="Q31" s="5">
        <f>IF(MAESTRO!D31="","",IFERROR(TRUNC(AVERAGE(C31:P31),1),""))</f>
        <v/>
      </c>
      <c r="R31" s="40" t="n">
        <v>27</v>
      </c>
      <c r="S31" s="22" t="n">
        <v>5</v>
      </c>
      <c r="T31" s="22" t="n">
        <v>5</v>
      </c>
      <c r="U31" s="22" t="n">
        <v>5</v>
      </c>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v>27</v>
      </c>
      <c r="AI31" s="263" t="n">
        <v>27</v>
      </c>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v>27</v>
      </c>
      <c r="BP31" s="263" t="n">
        <v>27</v>
      </c>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7" t="n"/>
      <c r="DB31" s="277" t="n"/>
      <c r="DC31" s="277" t="n"/>
      <c r="DD31" s="277" t="n"/>
      <c r="DE31" s="277" t="n"/>
      <c r="DF31" s="277" t="n"/>
      <c r="DG31" s="277" t="n"/>
      <c r="DH31" s="277" t="n"/>
      <c r="DI31" s="277" t="n"/>
      <c r="DJ31" s="277" t="n"/>
      <c r="DK31" s="277" t="n"/>
      <c r="DL31" s="277" t="n"/>
      <c r="DM31" s="277" t="n"/>
      <c r="DN31" s="277" t="n"/>
      <c r="EB31" s="277" t="n"/>
      <c r="EC31" s="277" t="n"/>
    </row>
    <row r="32" ht="13.5" customHeight="1" s="195">
      <c r="A32" s="263" t="n">
        <v>28</v>
      </c>
      <c r="B32" s="9">
        <f>IF(MAESTRO!D32="","",MAESTRO!D32)</f>
        <v/>
      </c>
      <c r="C32" s="5" t="n">
        <v>4.2</v>
      </c>
      <c r="D32" s="5" t="n">
        <v>4.5</v>
      </c>
      <c r="E32" s="5" t="n">
        <v>5</v>
      </c>
      <c r="F32" s="5" t="n">
        <v>4.8</v>
      </c>
      <c r="G32" s="5" t="n">
        <v>2</v>
      </c>
      <c r="H32" s="5" t="n"/>
      <c r="I32" s="5" t="n"/>
      <c r="J32" s="5" t="n"/>
      <c r="K32" s="5" t="n"/>
      <c r="L32" s="5" t="n"/>
      <c r="M32" s="5" t="n"/>
      <c r="N32" s="5" t="n"/>
      <c r="O32" s="5" t="n"/>
      <c r="P32" s="5" t="n"/>
      <c r="Q32" s="5">
        <f>IF(MAESTRO!D32="","",IFERROR(TRUNC(AVERAGE(C32:P32),1),""))</f>
        <v/>
      </c>
      <c r="R32" s="40" t="n">
        <v>28</v>
      </c>
      <c r="S32" s="22" t="n">
        <v>5</v>
      </c>
      <c r="T32" s="22" t="n">
        <v>5</v>
      </c>
      <c r="U32" s="22" t="n">
        <v>5</v>
      </c>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v>28</v>
      </c>
      <c r="AI32" s="263" t="n">
        <v>28</v>
      </c>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v>28</v>
      </c>
      <c r="BP32" s="263" t="n">
        <v>28</v>
      </c>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7" t="n"/>
      <c r="DB32" s="277" t="n"/>
      <c r="DC32" s="277" t="n"/>
      <c r="DD32" s="277" t="n"/>
      <c r="DE32" s="277" t="n"/>
      <c r="DF32" s="277" t="n"/>
      <c r="DG32" s="277" t="n"/>
      <c r="DH32" s="277" t="n"/>
      <c r="DI32" s="277" t="n"/>
      <c r="DJ32" s="277" t="n"/>
      <c r="DK32" s="277" t="n"/>
      <c r="DL32" s="277" t="n"/>
      <c r="DM32" s="277" t="n"/>
      <c r="DN32" s="277" t="n"/>
      <c r="EB32" s="277" t="n"/>
      <c r="EC32" s="277" t="n"/>
    </row>
    <row r="33" ht="13.5" customHeight="1" s="195">
      <c r="A33" s="263" t="n">
        <v>29</v>
      </c>
      <c r="B33" s="9">
        <f>IF(MAESTRO!D33="","",MAESTRO!D33)</f>
        <v/>
      </c>
      <c r="C33" s="5" t="n">
        <v>4.8</v>
      </c>
      <c r="D33" s="5" t="n">
        <v>5</v>
      </c>
      <c r="E33" s="5" t="n">
        <v>2</v>
      </c>
      <c r="F33" s="5" t="n">
        <v>4.2</v>
      </c>
      <c r="G33" s="5" t="n">
        <v>2</v>
      </c>
      <c r="H33" s="5" t="n"/>
      <c r="I33" s="5" t="n"/>
      <c r="J33" s="5" t="n"/>
      <c r="K33" s="5" t="n"/>
      <c r="L33" s="5" t="n"/>
      <c r="M33" s="5" t="n"/>
      <c r="N33" s="5" t="n"/>
      <c r="O33" s="5" t="n"/>
      <c r="P33" s="5" t="n"/>
      <c r="Q33" s="5">
        <f>IF(MAESTRO!D33="","",IFERROR(TRUNC(AVERAGE(C33:P33),1),""))</f>
        <v/>
      </c>
      <c r="R33" s="40" t="n">
        <v>29</v>
      </c>
      <c r="S33" s="22" t="n">
        <v>5</v>
      </c>
      <c r="T33" s="22" t="n">
        <v>5</v>
      </c>
      <c r="U33" s="22" t="n">
        <v>5</v>
      </c>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v>29</v>
      </c>
      <c r="AI33" s="263" t="n">
        <v>29</v>
      </c>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v>29</v>
      </c>
      <c r="BP33" s="263" t="n">
        <v>29</v>
      </c>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7" t="n"/>
      <c r="DB33" s="277" t="n"/>
      <c r="DC33" s="277" t="n"/>
      <c r="DD33" s="277" t="n"/>
      <c r="DE33" s="277" t="n"/>
      <c r="DF33" s="277" t="n"/>
      <c r="DG33" s="277" t="n"/>
      <c r="DH33" s="277" t="n"/>
      <c r="DI33" s="277" t="n"/>
      <c r="DJ33" s="277" t="n"/>
      <c r="DK33" s="277" t="n"/>
      <c r="DL33" s="277" t="n"/>
      <c r="DM33" s="277" t="n"/>
      <c r="DN33" s="277" t="n"/>
      <c r="EB33" s="277" t="n"/>
      <c r="EC33" s="277" t="n"/>
    </row>
    <row r="34" ht="13.5" customHeight="1" s="195">
      <c r="A34" s="263" t="n">
        <v>30</v>
      </c>
      <c r="B34" s="9">
        <f>IF(MAESTRO!D34="","",MAESTRO!D34)</f>
        <v/>
      </c>
      <c r="C34" s="5" t="n">
        <v>3.6</v>
      </c>
      <c r="D34" s="5" t="n">
        <v>2</v>
      </c>
      <c r="E34" s="5" t="n">
        <v>4.9</v>
      </c>
      <c r="F34" s="5" t="n">
        <v>4.8</v>
      </c>
      <c r="G34" s="5" t="n">
        <v>5</v>
      </c>
      <c r="H34" s="5" t="n"/>
      <c r="I34" s="5" t="n"/>
      <c r="J34" s="5" t="n"/>
      <c r="K34" s="5" t="n"/>
      <c r="L34" s="5" t="n"/>
      <c r="M34" s="5" t="n"/>
      <c r="N34" s="5" t="n"/>
      <c r="O34" s="5" t="n"/>
      <c r="P34" s="5" t="n"/>
      <c r="Q34" s="5">
        <f>IF(MAESTRO!D34="","",IFERROR(TRUNC(AVERAGE(C34:P34),1),""))</f>
        <v/>
      </c>
      <c r="R34" s="40" t="n">
        <v>30</v>
      </c>
      <c r="S34" s="22" t="n">
        <v>5</v>
      </c>
      <c r="T34" s="22" t="n">
        <v>5</v>
      </c>
      <c r="U34" s="22" t="n">
        <v>5</v>
      </c>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v>30</v>
      </c>
      <c r="AI34" s="263" t="n">
        <v>30</v>
      </c>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v>30</v>
      </c>
      <c r="BP34" s="263" t="n">
        <v>30</v>
      </c>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7" t="n"/>
      <c r="DB34" s="277" t="n"/>
      <c r="DC34" s="277" t="n"/>
      <c r="DD34" s="277" t="n"/>
      <c r="DE34" s="277" t="n"/>
      <c r="DF34" s="277" t="n"/>
      <c r="DG34" s="277" t="n"/>
      <c r="DH34" s="277" t="n"/>
      <c r="DI34" s="277" t="n"/>
      <c r="DJ34" s="277" t="n"/>
      <c r="DK34" s="277" t="n"/>
      <c r="DL34" s="277" t="n"/>
      <c r="DM34" s="277" t="n"/>
      <c r="DN34" s="277" t="n"/>
      <c r="EB34" s="277" t="n"/>
      <c r="EC34" s="277" t="n"/>
    </row>
    <row r="35" ht="13.5" customHeight="1" s="195">
      <c r="A35" s="263" t="n">
        <v>31</v>
      </c>
      <c r="B35" s="9">
        <f>IF(MAESTRO!D35="","",MAESTRO!D35)</f>
        <v/>
      </c>
      <c r="C35" s="5" t="n">
        <v>4.9</v>
      </c>
      <c r="D35" s="5" t="n">
        <v>5</v>
      </c>
      <c r="E35" s="5" t="n">
        <v>2</v>
      </c>
      <c r="F35" s="5" t="n">
        <v>2</v>
      </c>
      <c r="G35" s="5" t="n">
        <v>2</v>
      </c>
      <c r="H35" s="5" t="n"/>
      <c r="I35" s="5" t="n"/>
      <c r="J35" s="5" t="n"/>
      <c r="K35" s="5" t="n"/>
      <c r="L35" s="5" t="n"/>
      <c r="M35" s="5" t="n"/>
      <c r="N35" s="5" t="n"/>
      <c r="O35" s="5" t="n"/>
      <c r="P35" s="5" t="n"/>
      <c r="Q35" s="5">
        <f>IF(MAESTRO!D35="","",IFERROR(TRUNC(AVERAGE(C35:P35),1),""))</f>
        <v/>
      </c>
      <c r="R35" s="40" t="n">
        <v>31</v>
      </c>
      <c r="S35" s="22" t="n">
        <v>5</v>
      </c>
      <c r="T35" s="22" t="n">
        <v>5</v>
      </c>
      <c r="U35" s="22" t="n">
        <v>5</v>
      </c>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v>31</v>
      </c>
      <c r="AI35" s="263" t="n">
        <v>31</v>
      </c>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v>31</v>
      </c>
      <c r="BP35" s="263" t="n">
        <v>31</v>
      </c>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7" t="n"/>
      <c r="DB35" s="277" t="n"/>
      <c r="DC35" s="277" t="n"/>
      <c r="DD35" s="277" t="n"/>
      <c r="DE35" s="277" t="n"/>
      <c r="DF35" s="277" t="n"/>
      <c r="DG35" s="277" t="n"/>
      <c r="DH35" s="277" t="n"/>
      <c r="DI35" s="277" t="n"/>
      <c r="DJ35" s="277" t="n"/>
      <c r="DK35" s="277" t="n"/>
      <c r="DL35" s="277" t="n"/>
      <c r="DM35" s="277" t="n"/>
      <c r="DN35" s="277" t="n"/>
      <c r="EB35" s="277" t="n"/>
      <c r="EC35" s="277" t="n"/>
    </row>
    <row r="36" ht="13.5" customHeight="1" s="195">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v>32</v>
      </c>
      <c r="AI36" s="263" t="n">
        <v>32</v>
      </c>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v>32</v>
      </c>
      <c r="BP36" s="263" t="n">
        <v>32</v>
      </c>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7" t="n"/>
      <c r="DB36" s="277" t="n"/>
      <c r="DC36" s="277" t="n"/>
      <c r="DD36" s="277" t="n"/>
      <c r="DE36" s="277" t="n"/>
      <c r="DF36" s="277" t="n"/>
      <c r="DG36" s="277" t="n"/>
      <c r="DH36" s="277" t="n"/>
      <c r="DI36" s="277" t="n"/>
      <c r="DJ36" s="277" t="n"/>
      <c r="DK36" s="277" t="n"/>
      <c r="DL36" s="277" t="n"/>
      <c r="DM36" s="277" t="n"/>
      <c r="DN36" s="277" t="n"/>
      <c r="EB36" s="277" t="n"/>
      <c r="EC36" s="277" t="n"/>
    </row>
    <row r="37" ht="13.5" customHeight="1" s="195">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v>33</v>
      </c>
      <c r="AI37" s="263" t="n">
        <v>33</v>
      </c>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v>33</v>
      </c>
      <c r="BP37" s="263" t="n">
        <v>33</v>
      </c>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7" t="n"/>
      <c r="DB37" s="277" t="n"/>
      <c r="DC37" s="277" t="n"/>
      <c r="DD37" s="277" t="n"/>
      <c r="DE37" s="277" t="n"/>
      <c r="DF37" s="277" t="n"/>
      <c r="DG37" s="277" t="n"/>
      <c r="DH37" s="277" t="n"/>
      <c r="DI37" s="277" t="n"/>
      <c r="DJ37" s="277" t="n"/>
      <c r="DK37" s="277" t="n"/>
      <c r="DL37" s="277" t="n"/>
      <c r="DM37" s="277" t="n"/>
      <c r="DN37" s="277" t="n"/>
      <c r="EB37" s="277" t="n"/>
      <c r="EC37" s="277" t="n"/>
    </row>
    <row r="38" ht="13.5" customHeight="1" s="195">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v>34</v>
      </c>
      <c r="AI38" s="263" t="n">
        <v>34</v>
      </c>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v>34</v>
      </c>
      <c r="BP38" s="263" t="n">
        <v>34</v>
      </c>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7" t="n"/>
      <c r="DB38" s="277" t="n"/>
      <c r="DC38" s="277" t="n"/>
      <c r="DD38" s="277" t="n"/>
      <c r="DE38" s="277" t="n"/>
      <c r="DF38" s="277" t="n"/>
      <c r="DG38" s="277" t="n"/>
      <c r="DH38" s="277" t="n"/>
      <c r="DI38" s="277" t="n"/>
      <c r="DJ38" s="277" t="n"/>
      <c r="DK38" s="277" t="n"/>
      <c r="DL38" s="277" t="n"/>
      <c r="DM38" s="277" t="n"/>
      <c r="DN38" s="277" t="n"/>
      <c r="EB38" s="277" t="n"/>
      <c r="EC38" s="277" t="n"/>
    </row>
    <row r="39" ht="13.5" customHeight="1" s="195">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v>35</v>
      </c>
      <c r="AI39" s="263" t="n">
        <v>35</v>
      </c>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v>35</v>
      </c>
      <c r="BP39" s="263" t="n">
        <v>35</v>
      </c>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7" t="n"/>
      <c r="DB39" s="277" t="n"/>
      <c r="DC39" s="277" t="n"/>
      <c r="DD39" s="277" t="n"/>
      <c r="DE39" s="277" t="n"/>
      <c r="DF39" s="277" t="n"/>
      <c r="DG39" s="277" t="n"/>
      <c r="DH39" s="277" t="n"/>
      <c r="DI39" s="277" t="n"/>
      <c r="DJ39" s="277" t="n"/>
      <c r="DK39" s="277" t="n"/>
      <c r="DL39" s="277" t="n"/>
      <c r="DM39" s="277" t="n"/>
      <c r="DN39" s="277" t="n"/>
      <c r="EB39" s="277" t="n"/>
      <c r="EC39" s="277" t="n"/>
    </row>
    <row r="40" ht="13.5" customHeight="1" s="195">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v>36</v>
      </c>
      <c r="AI40" s="263" t="n">
        <v>36</v>
      </c>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v>36</v>
      </c>
      <c r="BP40" s="263" t="n">
        <v>36</v>
      </c>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7" t="n"/>
      <c r="DB40" s="277" t="n"/>
      <c r="DC40" s="277" t="n"/>
      <c r="DD40" s="277" t="n"/>
      <c r="DE40" s="277" t="n"/>
      <c r="DF40" s="277" t="n"/>
      <c r="DG40" s="277" t="n"/>
      <c r="DH40" s="277" t="n"/>
      <c r="DI40" s="277" t="n"/>
      <c r="DJ40" s="277" t="n"/>
      <c r="DK40" s="277" t="n"/>
      <c r="DL40" s="277" t="n"/>
      <c r="DM40" s="277" t="n"/>
      <c r="DN40" s="277" t="n"/>
      <c r="EB40" s="277" t="n"/>
      <c r="EC40" s="277" t="n"/>
    </row>
    <row r="41" ht="13.5" customHeight="1" s="195">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v>37</v>
      </c>
      <c r="AI41" s="263" t="n">
        <v>37</v>
      </c>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v>37</v>
      </c>
      <c r="BP41" s="263" t="n">
        <v>37</v>
      </c>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7" t="n"/>
      <c r="DB41" s="277" t="n"/>
      <c r="DC41" s="277" t="n"/>
      <c r="DD41" s="277" t="n"/>
      <c r="DE41" s="277" t="n"/>
      <c r="DF41" s="277" t="n"/>
      <c r="DG41" s="277" t="n"/>
      <c r="DH41" s="277" t="n"/>
      <c r="DI41" s="277" t="n"/>
      <c r="DJ41" s="277" t="n"/>
      <c r="DK41" s="277" t="n"/>
      <c r="DL41" s="277" t="n"/>
      <c r="DM41" s="277" t="n"/>
      <c r="DN41" s="277" t="n"/>
      <c r="EB41" s="277" t="n"/>
      <c r="EC41" s="277" t="n"/>
    </row>
    <row r="42" ht="13.5" customHeight="1" s="195">
      <c r="A42" s="263" t="n">
        <v>38</v>
      </c>
      <c r="B42" s="9">
        <f>IF(MAESTRO!D42="","",MAESTRO!D42)</f>
        <v/>
      </c>
      <c r="C42" s="278" t="inlineStr">
        <is>
          <t>Vocabulario #1</t>
        </is>
      </c>
      <c r="D42" s="278" t="inlineStr">
        <is>
          <t>Dibujar y Clasificar Tipos de Plantas</t>
        </is>
      </c>
      <c r="E42" s="278" t="inlineStr">
        <is>
          <t xml:space="preserve">Dibujar una Planta y Explciar su uso </t>
        </is>
      </c>
      <c r="F42" s="278" t="inlineStr">
        <is>
          <t xml:space="preserve">Bonsái / orquideologia </t>
        </is>
      </c>
      <c r="G42" s="278" t="inlineStr">
        <is>
          <t>Plan Estrategico / Venta</t>
        </is>
      </c>
      <c r="H42" s="278" t="n"/>
      <c r="I42" s="278" t="n"/>
      <c r="J42" s="278" t="n"/>
      <c r="K42" s="278" t="n"/>
      <c r="L42" s="278" t="n"/>
      <c r="M42" s="278" t="n"/>
      <c r="N42" s="278" t="n"/>
      <c r="O42" s="278" t="n"/>
      <c r="P42" s="278" t="n"/>
      <c r="Q42" s="5" t="n"/>
      <c r="R42" s="40" t="n">
        <v>38</v>
      </c>
      <c r="S42" s="278" t="inlineStr">
        <is>
          <t>Mural -Semana Santa</t>
        </is>
      </c>
      <c r="T42" s="278" t="inlineStr">
        <is>
          <t>Participacion - Aniversario</t>
        </is>
      </c>
      <c r="U42" s="278" t="inlineStr">
        <is>
          <t xml:space="preserve">Participación Huerto </t>
        </is>
      </c>
      <c r="V42" s="278" t="n"/>
      <c r="W42" s="278" t="n"/>
      <c r="X42" s="278" t="n"/>
      <c r="Y42" s="278" t="n"/>
      <c r="Z42" s="278" t="n"/>
      <c r="AA42" s="278" t="n"/>
      <c r="AB42" s="45" t="n"/>
      <c r="AC42" s="322" t="n"/>
      <c r="AD42" s="274" t="n"/>
      <c r="AE42" s="5" t="n"/>
      <c r="AF42" s="44" t="n"/>
      <c r="AG42" s="263" t="n"/>
      <c r="AH42" s="263" t="n">
        <v>38</v>
      </c>
      <c r="AI42" s="263" t="n">
        <v>38</v>
      </c>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4" t="n"/>
      <c r="BE42" s="274" t="n"/>
      <c r="BF42" s="274" t="n"/>
      <c r="BG42" s="274" t="n"/>
      <c r="BH42" s="295" t="n"/>
      <c r="BI42" s="5" t="n"/>
      <c r="BJ42" s="274" t="n"/>
      <c r="BK42" s="274" t="n"/>
      <c r="BL42" s="22" t="n"/>
      <c r="BM42" s="5" t="n"/>
      <c r="BN42" s="263" t="n"/>
      <c r="BO42" s="263" t="n">
        <v>38</v>
      </c>
      <c r="BP42" s="263" t="n">
        <v>38</v>
      </c>
      <c r="BQ42" s="263">
        <f>IF(MAESTRO!D42="","",MAESTRO!D42)</f>
        <v/>
      </c>
      <c r="BR42" s="186" t="n"/>
      <c r="BS42" s="278" t="n"/>
      <c r="BT42" s="265" t="n"/>
      <c r="BU42" s="265" t="n"/>
      <c r="BV42" s="265" t="n"/>
      <c r="BW42" s="273" t="n"/>
      <c r="BX42" s="273" t="n"/>
      <c r="BY42" s="273" t="n"/>
      <c r="BZ42" s="273" t="n"/>
      <c r="CA42" s="273" t="n"/>
      <c r="CB42" s="273" t="n"/>
      <c r="CC42" s="273" t="n"/>
      <c r="CD42" s="273" t="n"/>
      <c r="CE42" s="273" t="n"/>
      <c r="CF42" s="5" t="n"/>
      <c r="CG42" s="265" t="n"/>
      <c r="CH42" s="265" t="n"/>
      <c r="CI42" s="265" t="n"/>
      <c r="CJ42" s="265" t="n"/>
      <c r="CK42" s="273" t="n"/>
      <c r="CL42" s="273" t="n"/>
      <c r="CM42" s="273" t="n"/>
      <c r="CN42" s="273" t="n"/>
      <c r="CO42" s="273" t="n"/>
      <c r="CP42" s="273" t="n"/>
      <c r="CQ42" s="5" t="n"/>
      <c r="CR42" s="273" t="n"/>
      <c r="CS42" s="273" t="n"/>
      <c r="CT42" s="5" t="n"/>
      <c r="CU42" s="5" t="n"/>
      <c r="CV42" s="263" t="n"/>
      <c r="CW42" s="172" t="n">
        <v>38</v>
      </c>
      <c r="DA42" s="277" t="n"/>
      <c r="DB42" s="277" t="n"/>
      <c r="DC42" s="277" t="n"/>
      <c r="DD42" s="277" t="n"/>
      <c r="DE42" s="277" t="n"/>
      <c r="DF42" s="277" t="n"/>
      <c r="DG42" s="277" t="n"/>
      <c r="DH42" s="277" t="n"/>
      <c r="DI42" s="277" t="n"/>
      <c r="DJ42" s="277" t="n"/>
      <c r="DK42" s="277" t="n"/>
      <c r="DL42" s="277" t="n"/>
      <c r="DM42" s="277" t="n"/>
      <c r="DN42" s="277" t="n"/>
      <c r="EB42" s="277" t="n"/>
      <c r="EC42" s="277" t="n"/>
    </row>
    <row r="43" ht="13.5" customHeight="1" s="195">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v>39</v>
      </c>
      <c r="S43" s="266" t="n"/>
      <c r="T43" s="266" t="n"/>
      <c r="U43" s="266" t="n"/>
      <c r="V43" s="266" t="n"/>
      <c r="W43" s="266" t="n"/>
      <c r="X43" s="266" t="n"/>
      <c r="Y43" s="266" t="n"/>
      <c r="Z43" s="266" t="n"/>
      <c r="AA43" s="266" t="n"/>
      <c r="AB43" s="45" t="n"/>
      <c r="AC43" s="266" t="n"/>
      <c r="AD43" s="266" t="n"/>
      <c r="AE43" s="5" t="n"/>
      <c r="AF43" s="44" t="n"/>
      <c r="AG43" s="263" t="n"/>
      <c r="AH43" s="263" t="n">
        <v>39</v>
      </c>
      <c r="AI43" s="263" t="n">
        <v>39</v>
      </c>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v>39</v>
      </c>
      <c r="BP43" s="263" t="n">
        <v>39</v>
      </c>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7" t="n"/>
      <c r="DB43" s="277" t="n"/>
      <c r="DC43" s="277" t="n"/>
      <c r="DD43" s="277" t="n"/>
      <c r="DE43" s="277" t="n"/>
      <c r="DF43" s="277" t="n"/>
      <c r="DG43" s="277" t="n"/>
      <c r="DH43" s="277" t="n"/>
      <c r="DI43" s="277" t="n"/>
      <c r="DJ43" s="277" t="n"/>
      <c r="DK43" s="277" t="n"/>
      <c r="DL43" s="277" t="n"/>
      <c r="DM43" s="277" t="n"/>
      <c r="DN43" s="277" t="n"/>
      <c r="EB43" s="277" t="n"/>
      <c r="EC43" s="277" t="n"/>
    </row>
    <row r="44" ht="13.5" customHeight="1" s="195">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v>40</v>
      </c>
      <c r="S44" s="266" t="n"/>
      <c r="T44" s="266" t="n"/>
      <c r="U44" s="266" t="n"/>
      <c r="V44" s="266" t="n"/>
      <c r="W44" s="266" t="n"/>
      <c r="X44" s="266" t="n"/>
      <c r="Y44" s="266" t="n"/>
      <c r="Z44" s="266" t="n"/>
      <c r="AA44" s="266" t="n"/>
      <c r="AB44" s="22" t="n"/>
      <c r="AC44" s="266" t="n"/>
      <c r="AD44" s="266" t="n"/>
      <c r="AE44" s="22" t="n"/>
      <c r="AF44" s="22" t="n"/>
      <c r="AG44" s="263" t="n"/>
      <c r="AH44" s="263" t="n">
        <v>40</v>
      </c>
      <c r="AI44" s="263" t="n">
        <v>40</v>
      </c>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v>40</v>
      </c>
      <c r="BP44" s="263" t="n">
        <v>40</v>
      </c>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7" t="n"/>
      <c r="DB44" s="277" t="n"/>
      <c r="DC44" s="277" t="n"/>
      <c r="DD44" s="277" t="n"/>
      <c r="DE44" s="277" t="n"/>
      <c r="DF44" s="277" t="n"/>
      <c r="DG44" s="277" t="n"/>
      <c r="DH44" s="277" t="n"/>
      <c r="DI44" s="277" t="n"/>
      <c r="DJ44" s="277" t="n"/>
      <c r="DK44" s="277" t="n"/>
      <c r="DL44" s="277" t="n"/>
      <c r="DM44" s="277" t="n"/>
      <c r="DN44" s="277" t="n"/>
      <c r="EB44" s="277" t="n"/>
      <c r="EC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266" t="n"/>
      <c r="Q45" s="5" t="n"/>
      <c r="R45" s="40" t="n">
        <v>41</v>
      </c>
      <c r="S45" s="266" t="n"/>
      <c r="T45" s="266" t="n"/>
      <c r="U45" s="266" t="n"/>
      <c r="V45" s="266" t="n"/>
      <c r="W45" s="266" t="n"/>
      <c r="X45" s="266" t="n"/>
      <c r="Y45" s="266" t="n"/>
      <c r="Z45" s="266" t="n"/>
      <c r="AA45" s="266" t="n"/>
      <c r="AB45" s="22" t="n"/>
      <c r="AC45" s="266" t="n"/>
      <c r="AD45" s="266" t="n"/>
      <c r="AE45" s="22" t="n"/>
      <c r="AF45" s="22" t="n"/>
      <c r="AG45" s="263" t="n"/>
      <c r="AH45" s="263" t="n">
        <v>41</v>
      </c>
      <c r="AI45" s="263" t="n">
        <v>41</v>
      </c>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v>41</v>
      </c>
      <c r="BP45" s="263" t="n">
        <v>41</v>
      </c>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7" t="n"/>
      <c r="DB45" s="277" t="n"/>
      <c r="DC45" s="277" t="n"/>
      <c r="DD45" s="277" t="n"/>
      <c r="DE45" s="277" t="n"/>
      <c r="DF45" s="277" t="n"/>
      <c r="DG45" s="277" t="n"/>
      <c r="DH45" s="277" t="n"/>
      <c r="DI45" s="277" t="n"/>
      <c r="DJ45" s="277" t="n"/>
      <c r="DK45" s="277" t="n"/>
      <c r="DL45" s="277" t="n"/>
      <c r="DM45" s="277" t="n"/>
      <c r="DN45" s="277" t="n"/>
      <c r="EB45" s="277" t="n"/>
      <c r="EC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266" t="n"/>
      <c r="Q46" s="5" t="n"/>
      <c r="R46" s="40" t="n">
        <v>42</v>
      </c>
      <c r="S46" s="266" t="n"/>
      <c r="T46" s="266" t="n"/>
      <c r="U46" s="266" t="n"/>
      <c r="V46" s="266" t="n"/>
      <c r="W46" s="266" t="n"/>
      <c r="X46" s="266" t="n"/>
      <c r="Y46" s="266" t="n"/>
      <c r="Z46" s="266" t="n"/>
      <c r="AA46" s="266" t="n"/>
      <c r="AB46" s="22" t="n"/>
      <c r="AC46" s="266" t="n"/>
      <c r="AD46" s="266" t="n"/>
      <c r="AE46" s="22" t="n"/>
      <c r="AF46" s="22" t="n"/>
      <c r="AG46" s="263" t="n"/>
      <c r="AH46" s="263" t="n">
        <v>42</v>
      </c>
      <c r="AI46" s="263" t="n">
        <v>42</v>
      </c>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v>42</v>
      </c>
      <c r="BP46" s="263" t="n">
        <v>42</v>
      </c>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7" t="n"/>
      <c r="DB46" s="277" t="n"/>
      <c r="DC46" s="277" t="n"/>
      <c r="DD46" s="277" t="n"/>
      <c r="DE46" s="277" t="n"/>
      <c r="DF46" s="277" t="n"/>
      <c r="DG46" s="277" t="n"/>
      <c r="DH46" s="277" t="n"/>
      <c r="DI46" s="277" t="n"/>
      <c r="DJ46" s="277" t="n"/>
      <c r="DK46" s="277" t="n"/>
      <c r="DL46" s="277" t="n"/>
      <c r="DM46" s="277" t="n"/>
      <c r="DN46" s="277" t="n"/>
      <c r="EB46" s="277" t="n"/>
      <c r="EC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266" t="n"/>
      <c r="Q47" s="5" t="n"/>
      <c r="R47" s="40" t="n">
        <v>43</v>
      </c>
      <c r="S47" s="266" t="n"/>
      <c r="T47" s="266" t="n"/>
      <c r="U47" s="266" t="n"/>
      <c r="V47" s="266" t="n"/>
      <c r="W47" s="266" t="n"/>
      <c r="X47" s="266" t="n"/>
      <c r="Y47" s="266" t="n"/>
      <c r="Z47" s="266" t="n"/>
      <c r="AA47" s="266" t="n"/>
      <c r="AB47" s="22" t="n"/>
      <c r="AC47" s="266" t="n"/>
      <c r="AD47" s="266" t="n"/>
      <c r="AE47" s="22" t="n"/>
      <c r="AF47" s="22" t="n"/>
      <c r="AG47" s="263" t="n"/>
      <c r="AH47" s="263" t="n">
        <v>43</v>
      </c>
      <c r="AI47" s="263" t="n">
        <v>43</v>
      </c>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v>43</v>
      </c>
      <c r="BP47" s="263" t="n">
        <v>43</v>
      </c>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7" t="n"/>
      <c r="DB47" s="277" t="n"/>
      <c r="DC47" s="277" t="n"/>
      <c r="DD47" s="277" t="n"/>
      <c r="DE47" s="277" t="n"/>
      <c r="DF47" s="277" t="n"/>
      <c r="DG47" s="277" t="n"/>
      <c r="DH47" s="277" t="n"/>
      <c r="DI47" s="277" t="n"/>
      <c r="DJ47" s="277" t="n"/>
      <c r="DK47" s="277" t="n"/>
      <c r="DL47" s="277" t="n"/>
      <c r="DM47" s="277" t="n"/>
      <c r="DN47" s="277" t="n"/>
      <c r="EB47" s="277" t="n"/>
      <c r="EC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267" t="n"/>
      <c r="Q48" s="5" t="n"/>
      <c r="R48" s="40" t="n">
        <v>44</v>
      </c>
      <c r="S48" s="267" t="n"/>
      <c r="T48" s="267" t="n"/>
      <c r="U48" s="267" t="n"/>
      <c r="V48" s="267" t="n"/>
      <c r="W48" s="267" t="n"/>
      <c r="X48" s="267" t="n"/>
      <c r="Y48" s="267" t="n"/>
      <c r="Z48" s="267" t="n"/>
      <c r="AA48" s="267" t="n"/>
      <c r="AB48" s="22" t="n"/>
      <c r="AC48" s="267" t="n"/>
      <c r="AD48" s="267" t="n"/>
      <c r="AE48" s="22" t="n"/>
      <c r="AF48" s="22" t="n"/>
      <c r="AG48" s="263" t="n"/>
      <c r="AH48" s="263" t="n">
        <v>44</v>
      </c>
      <c r="AI48" s="263" t="n">
        <v>44</v>
      </c>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v>44</v>
      </c>
      <c r="BP48" s="263" t="n">
        <v>44</v>
      </c>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7" t="n"/>
      <c r="DB48" s="277" t="n"/>
      <c r="DC48" s="277" t="n"/>
      <c r="DD48" s="277" t="n"/>
      <c r="DE48" s="277" t="n"/>
      <c r="DF48" s="277" t="n"/>
      <c r="DG48" s="277" t="n"/>
      <c r="DH48" s="277" t="n"/>
      <c r="DI48" s="277" t="n"/>
      <c r="DJ48" s="277" t="n"/>
      <c r="DK48" s="277" t="n"/>
      <c r="DL48" s="277" t="n"/>
      <c r="DM48" s="277" t="n"/>
      <c r="DN48" s="277" t="n"/>
      <c r="EB48" s="277" t="n"/>
      <c r="EC48" s="277" t="n"/>
    </row>
  </sheetData>
  <mergeCells count="262">
    <mergeCell ref="C3:P3"/>
    <mergeCell ref="CE42:CE48"/>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CY14:CZ14"/>
    <mergeCell ref="BA42:BA48"/>
    <mergeCell ref="BC42:BC48"/>
    <mergeCell ref="CK42:CK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BQ10:BR10"/>
    <mergeCell ref="AV42:AV48"/>
    <mergeCell ref="CD42:CD48"/>
    <mergeCell ref="BM3:BM4"/>
    <mergeCell ref="CY19:CZ19"/>
    <mergeCell ref="BQ19:BR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Y42:Y48"/>
    <mergeCell ref="CY44:CZ44"/>
    <mergeCell ref="AX3:AX4"/>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S2:AH2"/>
    <mergeCell ref="AM42:AM48"/>
    <mergeCell ref="AB3:AB4"/>
    <mergeCell ref="EC3:EC4"/>
    <mergeCell ref="CM42:CM48"/>
    <mergeCell ref="E42:E48"/>
    <mergeCell ref="BL3:BL4"/>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42:BR42"/>
    <mergeCell ref="BQ11:BR11"/>
    <mergeCell ref="BQ43:BR43"/>
    <mergeCell ref="CY35:CZ35"/>
    <mergeCell ref="CJ42:CJ48"/>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5" min="1" max="1"/>
    <col width="19.44140625" bestFit="1" customWidth="1" style="195" min="2" max="2"/>
    <col width="4.77734375" customWidth="1" style="195" min="3" max="15"/>
    <col width="5.66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v>11</v>
      </c>
      <c r="R15" s="22" t="n">
        <v>3</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v>12</v>
      </c>
      <c r="R16" s="22" t="n">
        <v>4.2</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v>13</v>
      </c>
      <c r="R17" s="22" t="n">
        <v>3</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v>14</v>
      </c>
      <c r="R18" s="22" t="n">
        <v>4.6</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v>15</v>
      </c>
      <c r="R19" s="22" t="n">
        <v>3</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v>17</v>
      </c>
      <c r="R21" s="22" t="n">
        <v>3</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v>18</v>
      </c>
      <c r="R22" s="22" t="n">
        <v>3</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v>19</v>
      </c>
      <c r="R23" s="22" t="n">
        <v>3</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v>3</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v>22</v>
      </c>
      <c r="R26" s="22" t="n">
        <v>4.8</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v>23</v>
      </c>
      <c r="R27" s="22" t="n">
        <v>3</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v>24</v>
      </c>
      <c r="R28" s="22" t="n">
        <v>4.5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v>25</v>
      </c>
      <c r="R29" s="22" t="n">
        <v>4.8</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v>26</v>
      </c>
      <c r="R30" s="22" t="n">
        <v>3</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v>27</v>
      </c>
      <c r="R31" s="22" t="n">
        <v>4.7</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v>28</v>
      </c>
      <c r="R32" s="22" t="n">
        <v>3</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v>29</v>
      </c>
      <c r="R33" s="22" t="n">
        <v>4.7</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v>4.5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v>31</v>
      </c>
      <c r="R35" s="22" t="n">
        <v>4.9</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v>32</v>
      </c>
      <c r="R36" s="22" t="n">
        <v>3</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v>33</v>
      </c>
      <c r="R37" s="22" t="n">
        <v>4.8</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v>3</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v>37</v>
      </c>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v>38</v>
      </c>
      <c r="R42" s="316" t="inlineStr">
        <is>
          <t xml:space="preserve">Pregunta de Analisis </t>
        </is>
      </c>
      <c r="S42" s="316" t="inlineStr">
        <is>
          <t>Participacion - Huerto</t>
        </is>
      </c>
      <c r="T42" s="316" t="n"/>
      <c r="U42" s="316" t="n"/>
      <c r="V42" s="316" t="n"/>
      <c r="W42" s="316" t="n"/>
      <c r="X42" s="316" t="n"/>
      <c r="Y42" s="316" t="n"/>
      <c r="Z42" s="316"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65" t="n"/>
      <c r="BT42" s="265" t="n"/>
      <c r="BU42" s="273" t="n"/>
      <c r="BV42" s="273" t="n"/>
      <c r="BW42" s="273" t="n"/>
      <c r="BX42" s="273" t="n"/>
      <c r="BY42" s="273" t="n"/>
      <c r="BZ42" s="273" t="n"/>
      <c r="CA42" s="273" t="n"/>
      <c r="CB42" s="273" t="n"/>
      <c r="CC42" s="273" t="n"/>
      <c r="CD42" s="273" t="n"/>
      <c r="CE42" s="5">
        <f>IF(MAESTRO!F42="","",IFERROR(TRUNC(AVERAGE(BR42:CD42),1),""))</f>
        <v/>
      </c>
      <c r="CF42" s="265" t="n"/>
      <c r="CG42" s="265" t="n"/>
      <c r="CH42" s="265" t="n"/>
      <c r="CI42" s="265" t="n"/>
      <c r="CJ42" s="273" t="n"/>
      <c r="CK42" s="273" t="n"/>
      <c r="CL42" s="273" t="n"/>
      <c r="CM42" s="273" t="n"/>
      <c r="CN42" s="273" t="n"/>
      <c r="CO42" s="273" t="n"/>
      <c r="CP42" s="5" t="n"/>
      <c r="CQ42" s="273" t="n"/>
      <c r="CR42" s="273" t="n"/>
      <c r="CS42" s="5" t="n"/>
      <c r="CT42" s="5" t="n"/>
      <c r="CU42" s="263" t="n"/>
      <c r="CV42" s="263"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7" t="n"/>
      <c r="DA48" s="277" t="n"/>
      <c r="DB48" s="277" t="n"/>
      <c r="DC48" s="277" t="n"/>
      <c r="DD48" s="277" t="n"/>
      <c r="DE48" s="277" t="n"/>
      <c r="DF48" s="277" t="n"/>
      <c r="DG48" s="277" t="n"/>
      <c r="DH48" s="277" t="n"/>
      <c r="DI48" s="277" t="n"/>
      <c r="DJ48" s="277" t="n"/>
      <c r="DK48" s="277" t="n"/>
      <c r="DL48" s="277" t="n"/>
      <c r="DM48" s="277" t="n"/>
      <c r="EA48" s="277" t="n"/>
      <c r="EB48" s="277" t="n"/>
    </row>
    <row r="49" ht="15" customHeight="1" s="195">
      <c r="D49" s="277" t="n"/>
      <c r="E49" s="277" t="n"/>
      <c r="F49" s="277" t="n"/>
      <c r="G49" s="277" t="n"/>
      <c r="H49" s="277" t="n"/>
      <c r="I49" s="277" t="n"/>
      <c r="J49" s="277" t="n"/>
      <c r="K49" s="277" t="n"/>
      <c r="L49" s="277" t="n"/>
      <c r="M49" s="277" t="n"/>
      <c r="N49" s="277" t="n"/>
      <c r="O49" s="277" t="n"/>
      <c r="P49" s="277" t="n"/>
      <c r="Q49" s="277" t="n"/>
      <c r="AE49" s="277" t="n"/>
      <c r="AF49" s="277" t="n"/>
    </row>
  </sheetData>
  <mergeCells count="262">
    <mergeCell ref="BP36:BQ36"/>
    <mergeCell ref="AI13:AJ13"/>
    <mergeCell ref="EA3:EA4"/>
    <mergeCell ref="CG42:CG48"/>
    <mergeCell ref="AX3:BG3"/>
    <mergeCell ref="AO42:AO48"/>
    <mergeCell ref="AQ42:AQ48"/>
    <mergeCell ref="BH3:BH4"/>
    <mergeCell ref="CX41:CY41"/>
    <mergeCell ref="BA42:BA48"/>
    <mergeCell ref="CK42:CK48"/>
    <mergeCell ref="BC42:BC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G41:G48"/>
    <mergeCell ref="AK3:AV3"/>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U42:U48"/>
    <mergeCell ref="AX2:BN2"/>
    <mergeCell ref="C41:C48"/>
    <mergeCell ref="CX38:CY38"/>
    <mergeCell ref="BP33:BQ33"/>
    <mergeCell ref="W42:W48"/>
    <mergeCell ref="BW42:BW48"/>
    <mergeCell ref="AR42:AR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BP11:BQ11"/>
    <mergeCell ref="CX11:CY11"/>
    <mergeCell ref="CF3:CO3"/>
    <mergeCell ref="CX25:CY25"/>
    <mergeCell ref="BO1:CE1"/>
    <mergeCell ref="AI8:AJ8"/>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45:CY45"/>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5546875" customWidth="1" style="289" min="37" max="44"/>
    <col width="4.55468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2" customHeight="1" s="195">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3</v>
      </c>
      <c r="D15" s="5" t="n">
        <v>2</v>
      </c>
      <c r="E15" s="5" t="n">
        <v>2</v>
      </c>
      <c r="F15" s="5" t="n"/>
      <c r="G15" s="5" t="n"/>
      <c r="H15" s="5" t="n"/>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v>
      </c>
      <c r="D16" s="5" t="n">
        <v>2</v>
      </c>
      <c r="E16" s="5" t="n">
        <v>4.3</v>
      </c>
      <c r="F16" s="5" t="n"/>
      <c r="G16" s="5" t="n"/>
      <c r="H16" s="5" t="n"/>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4.5</v>
      </c>
      <c r="D17" s="5" t="n">
        <v>4.8</v>
      </c>
      <c r="E17" s="5" t="n">
        <v>2</v>
      </c>
      <c r="F17" s="5" t="n"/>
      <c r="G17" s="5" t="n"/>
      <c r="H17" s="5" t="n"/>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4.4</v>
      </c>
      <c r="D18" s="5" t="n">
        <v>2</v>
      </c>
      <c r="E18" s="5" t="n">
        <v>2</v>
      </c>
      <c r="F18" s="5" t="n"/>
      <c r="G18" s="5" t="n"/>
      <c r="H18" s="5" t="n"/>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4.8</v>
      </c>
      <c r="D19" s="5" t="n">
        <v>2</v>
      </c>
      <c r="E19" s="5" t="n">
        <v>4</v>
      </c>
      <c r="F19" s="5" t="n"/>
      <c r="G19" s="5" t="n"/>
      <c r="H19" s="5" t="n"/>
      <c r="I19" s="5" t="n"/>
      <c r="J19" s="5" t="n"/>
      <c r="K19" s="5" t="n"/>
      <c r="L19" s="5" t="n"/>
      <c r="M19" s="5" t="n"/>
      <c r="N19" s="5" t="n"/>
      <c r="O19" s="5" t="n"/>
      <c r="P19" s="5">
        <f>IF(MAESTRO!F19="","",IFERROR(TRUNC(AVERAGE(C19:O19),1),""))</f>
        <v/>
      </c>
      <c r="Q19" s="40" t="n">
        <v>15</v>
      </c>
      <c r="R19" s="22" t="n">
        <v>5</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3.9</v>
      </c>
      <c r="D21" s="5" t="n">
        <v>2</v>
      </c>
      <c r="E21" s="5" t="n">
        <v>2</v>
      </c>
      <c r="F21" s="5" t="n"/>
      <c r="G21" s="5" t="n"/>
      <c r="H21" s="5" t="n"/>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3</v>
      </c>
      <c r="E22" s="5" t="n">
        <v>2</v>
      </c>
      <c r="F22" s="5" t="n"/>
      <c r="G22" s="5" t="n"/>
      <c r="H22" s="5" t="n"/>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4</v>
      </c>
      <c r="D23" s="5" t="n">
        <v>2</v>
      </c>
      <c r="E23" s="5" t="n">
        <v>2</v>
      </c>
      <c r="F23" s="5" t="n"/>
      <c r="G23" s="5" t="n"/>
      <c r="H23" s="5" t="n"/>
      <c r="I23" s="5" t="n"/>
      <c r="J23" s="5" t="n"/>
      <c r="K23" s="5" t="n"/>
      <c r="L23" s="5" t="n"/>
      <c r="M23" s="5" t="n"/>
      <c r="N23" s="5" t="n"/>
      <c r="O23" s="5" t="n"/>
      <c r="P23" s="5">
        <f>IF(MAESTRO!F23="","",IFERROR(TRUNC(AVERAGE(C23:O23),1),""))</f>
        <v/>
      </c>
      <c r="Q23" s="40" t="n">
        <v>19</v>
      </c>
      <c r="R23" s="22" t="n">
        <v>5</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3</v>
      </c>
      <c r="D24" s="5" t="n">
        <v>4.4</v>
      </c>
      <c r="E24" s="5" t="n">
        <v>2</v>
      </c>
      <c r="F24" s="5" t="n"/>
      <c r="G24" s="5" t="n"/>
      <c r="H24" s="5" t="n"/>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4.8</v>
      </c>
      <c r="D25" s="5" t="n">
        <v>4.8</v>
      </c>
      <c r="E25" s="5" t="n">
        <v>4.5</v>
      </c>
      <c r="F25" s="5" t="n"/>
      <c r="G25" s="5" t="n"/>
      <c r="H25" s="5" t="n"/>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5</v>
      </c>
      <c r="D26" s="5" t="n">
        <v>4.9</v>
      </c>
      <c r="E26" s="5" t="n">
        <v>4.9</v>
      </c>
      <c r="F26" s="5" t="n"/>
      <c r="G26" s="5" t="n"/>
      <c r="H26" s="5" t="n"/>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4.9</v>
      </c>
      <c r="D27" s="5" t="n">
        <v>4</v>
      </c>
      <c r="E27" s="5" t="n">
        <v>2</v>
      </c>
      <c r="F27" s="5" t="n"/>
      <c r="G27" s="5" t="n"/>
      <c r="H27" s="5" t="n"/>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3</v>
      </c>
      <c r="D28" s="5" t="n">
        <v>2</v>
      </c>
      <c r="E28" s="5" t="n">
        <v>2</v>
      </c>
      <c r="F28" s="5" t="n"/>
      <c r="G28" s="5" t="n"/>
      <c r="H28" s="5" t="n"/>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4.7</v>
      </c>
      <c r="D29" s="5" t="n">
        <v>4.4</v>
      </c>
      <c r="E29" s="5" t="n">
        <v>2</v>
      </c>
      <c r="F29" s="5" t="n"/>
      <c r="G29" s="5" t="n"/>
      <c r="H29" s="5" t="n"/>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4.4</v>
      </c>
      <c r="E30" s="5" t="n">
        <v>2</v>
      </c>
      <c r="F30" s="5" t="n"/>
      <c r="G30" s="5" t="n"/>
      <c r="H30" s="5" t="n"/>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4.5</v>
      </c>
      <c r="D31" s="5" t="n">
        <v>2</v>
      </c>
      <c r="E31" s="5" t="n">
        <v>2</v>
      </c>
      <c r="F31" s="5" t="n"/>
      <c r="G31" s="5" t="n"/>
      <c r="H31" s="5" t="n"/>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v>
      </c>
      <c r="D32" s="5" t="n">
        <v>3</v>
      </c>
      <c r="E32" s="5" t="n">
        <v>2</v>
      </c>
      <c r="F32" s="5" t="n"/>
      <c r="G32" s="5" t="n"/>
      <c r="H32" s="5" t="n"/>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175" t="n">
        <v>4.2</v>
      </c>
      <c r="D33" s="5" t="n">
        <v>4.7</v>
      </c>
      <c r="E33" s="5" t="n">
        <v>4.7</v>
      </c>
      <c r="F33" s="5" t="n"/>
      <c r="G33" s="5" t="n"/>
      <c r="H33" s="5" t="n"/>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175" t="n">
        <v>4.6</v>
      </c>
      <c r="D34" s="5" t="n">
        <v>5</v>
      </c>
      <c r="E34" s="5" t="n">
        <v>4.8</v>
      </c>
      <c r="F34" s="5" t="n"/>
      <c r="G34" s="5" t="n"/>
      <c r="H34" s="5" t="n"/>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175" t="n">
        <v>4.7</v>
      </c>
      <c r="D35" s="5" t="n">
        <v>4.7</v>
      </c>
      <c r="E35" s="5" t="n">
        <v>3</v>
      </c>
      <c r="F35" s="5" t="n"/>
      <c r="G35" s="5" t="n"/>
      <c r="H35" s="5" t="n"/>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175" t="n">
        <v>4.9</v>
      </c>
      <c r="D36" s="5" t="n">
        <v>3.5</v>
      </c>
      <c r="E36" s="5" t="n">
        <v>5</v>
      </c>
      <c r="F36" s="5" t="n"/>
      <c r="G36" s="5" t="n"/>
      <c r="H36" s="5" t="n"/>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175" t="n">
        <v>4</v>
      </c>
      <c r="D37" s="5" t="n">
        <v>4</v>
      </c>
      <c r="E37" s="5" t="n">
        <v>4.5</v>
      </c>
      <c r="F37" s="5" t="n"/>
      <c r="G37" s="5" t="n"/>
      <c r="H37" s="5" t="n"/>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175" t="n">
        <v>4.7</v>
      </c>
      <c r="D38" s="5" t="n">
        <v>2</v>
      </c>
      <c r="E38" s="5" t="n">
        <v>5</v>
      </c>
      <c r="F38" s="5" t="n"/>
      <c r="G38" s="5" t="n"/>
      <c r="H38" s="5" t="n"/>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175" t="n">
        <v>4.7</v>
      </c>
      <c r="D39" s="5" t="n">
        <v>4.8</v>
      </c>
      <c r="E39" s="5" t="n">
        <v>4.5</v>
      </c>
      <c r="F39" s="5" t="n"/>
      <c r="G39" s="5" t="n"/>
      <c r="H39" s="5" t="n"/>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175" t="n">
        <v>3</v>
      </c>
      <c r="D40" s="5" t="n">
        <v>2</v>
      </c>
      <c r="E40" s="5" t="n">
        <v>3</v>
      </c>
      <c r="F40" s="5" t="n"/>
      <c r="G40" s="5" t="n"/>
      <c r="H40" s="5" t="n"/>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Vocabulario y Cuadro </t>
        </is>
      </c>
      <c r="D42" s="278" t="inlineStr">
        <is>
          <t xml:space="preserve">Principios de la Contabilidad </t>
        </is>
      </c>
      <c r="E42" s="278" t="inlineStr">
        <is>
          <t>Taller- Cuentas T</t>
        </is>
      </c>
      <c r="F42" s="278" t="n"/>
      <c r="G42" s="278" t="n"/>
      <c r="H42" s="278" t="n"/>
      <c r="I42" s="278" t="n"/>
      <c r="J42" s="278" t="n"/>
      <c r="K42" s="278" t="n"/>
      <c r="L42" s="278" t="n"/>
      <c r="M42" s="278" t="n"/>
      <c r="N42" s="278" t="n"/>
      <c r="O42" s="278" t="n"/>
      <c r="P42" s="5" t="n"/>
      <c r="Q42" s="40" t="n">
        <v>38</v>
      </c>
      <c r="R42" s="278" t="inlineStr">
        <is>
          <t>Participacion - Huerto</t>
        </is>
      </c>
      <c r="S42" s="278" t="inlineStr">
        <is>
          <t>Practicas en - Clase Cuentas T</t>
        </is>
      </c>
      <c r="T42" s="278" t="n"/>
      <c r="U42" s="278" t="n"/>
      <c r="V42" s="278" t="n"/>
      <c r="W42" s="278" t="n"/>
      <c r="X42" s="278" t="n"/>
      <c r="Y42" s="278" t="n"/>
      <c r="Z42" s="278" t="n"/>
      <c r="AA42" s="45" t="n"/>
      <c r="AB42" s="322" t="n"/>
      <c r="AC42" s="274" t="n"/>
      <c r="AD42" s="5" t="n"/>
      <c r="AE42" s="44" t="n"/>
      <c r="AF42" s="263" t="n"/>
      <c r="AG42" s="263" t="n">
        <v>38</v>
      </c>
      <c r="AH42" s="263" t="n">
        <v>38</v>
      </c>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8"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3"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4.5</v>
      </c>
      <c r="D15" s="5" t="n">
        <v>4.8</v>
      </c>
      <c r="E15" s="5" t="n">
        <v>4.4</v>
      </c>
      <c r="F15" s="5" t="n">
        <v>5</v>
      </c>
      <c r="G15" s="5" t="n">
        <v>2</v>
      </c>
      <c r="H15" s="5" t="n">
        <v>4.2</v>
      </c>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4.5</v>
      </c>
      <c r="D16" s="5" t="n">
        <v>2</v>
      </c>
      <c r="E16" s="5" t="n">
        <v>5</v>
      </c>
      <c r="F16" s="5" t="n">
        <v>5</v>
      </c>
      <c r="G16" s="5" t="n">
        <v>4.8</v>
      </c>
      <c r="H16" s="5" t="n">
        <v>5</v>
      </c>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2" customHeight="1" s="195">
      <c r="A17" s="263" t="n">
        <v>13</v>
      </c>
      <c r="B17" s="9">
        <f>IF(MAESTRO!F17="","",MAESTRO!F17)</f>
        <v/>
      </c>
      <c r="C17" s="5" t="n">
        <v>5</v>
      </c>
      <c r="D17" s="5" t="n">
        <v>4.8</v>
      </c>
      <c r="E17" s="5" t="n">
        <v>4</v>
      </c>
      <c r="F17" s="5" t="n">
        <v>5</v>
      </c>
      <c r="G17" s="5" t="n">
        <v>2</v>
      </c>
      <c r="H17" s="5" t="n">
        <v>3.8</v>
      </c>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4.5</v>
      </c>
      <c r="D18" s="5" t="n">
        <v>4.4</v>
      </c>
      <c r="E18" s="5" t="n">
        <v>3</v>
      </c>
      <c r="F18" s="5" t="n">
        <v>5</v>
      </c>
      <c r="G18" s="5" t="n">
        <v>2</v>
      </c>
      <c r="H18" s="5" t="n">
        <v>3.5</v>
      </c>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4</v>
      </c>
      <c r="D19" s="5" t="n">
        <v>2</v>
      </c>
      <c r="E19" s="5" t="n">
        <v>4.2</v>
      </c>
      <c r="F19" s="5" t="n">
        <v>5</v>
      </c>
      <c r="G19" s="5" t="n">
        <v>4</v>
      </c>
      <c r="H19" s="5" t="n">
        <v>5</v>
      </c>
      <c r="I19" s="5" t="n"/>
      <c r="J19" s="5" t="n"/>
      <c r="K19" s="5" t="n"/>
      <c r="L19" s="5" t="n"/>
      <c r="M19" s="5" t="n"/>
      <c r="N19" s="5" t="n"/>
      <c r="O19" s="5" t="n"/>
      <c r="P19" s="5">
        <f>IF(MAESTRO!F19="","",IFERROR(TRUNC(AVERAGE(C19:O19),1),""))</f>
        <v/>
      </c>
      <c r="Q19" s="40" t="n">
        <v>15</v>
      </c>
      <c r="R19" s="22" t="n">
        <v>4</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87">
        <f>IF(MAESTRO!F21="","",MAESTRO!F21)</f>
        <v/>
      </c>
      <c r="C21" s="5" t="n">
        <v>4.5</v>
      </c>
      <c r="D21" s="5" t="n">
        <v>4.5</v>
      </c>
      <c r="E21" s="5" t="n">
        <v>5</v>
      </c>
      <c r="F21" s="5" t="n">
        <v>5</v>
      </c>
      <c r="G21" s="5" t="n">
        <v>2</v>
      </c>
      <c r="H21" s="5" t="n">
        <v>3.2</v>
      </c>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87">
        <f>IF(MAESTRO!F22="","",MAESTRO!F22)</f>
        <v/>
      </c>
      <c r="C22" s="5" t="n">
        <v>4.5</v>
      </c>
      <c r="D22" s="5" t="n">
        <v>4</v>
      </c>
      <c r="E22" s="5" t="n">
        <v>3</v>
      </c>
      <c r="F22" s="5" t="n">
        <v>5</v>
      </c>
      <c r="G22" s="5" t="n">
        <v>2</v>
      </c>
      <c r="H22" s="5" t="n">
        <v>3.1</v>
      </c>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87">
        <f>IF(MAESTRO!F23="","",MAESTRO!F23)</f>
        <v/>
      </c>
      <c r="C23" s="5" t="n">
        <v>3</v>
      </c>
      <c r="D23" s="5" t="n">
        <v>4</v>
      </c>
      <c r="E23" s="5" t="n">
        <v>3</v>
      </c>
      <c r="F23" s="5" t="n">
        <v>5</v>
      </c>
      <c r="G23" s="5" t="n">
        <v>4</v>
      </c>
      <c r="H23" s="5" t="n">
        <v>3.4</v>
      </c>
      <c r="I23" s="5" t="n"/>
      <c r="J23" s="5" t="n"/>
      <c r="K23" s="5" t="n"/>
      <c r="L23" s="5" t="n"/>
      <c r="M23" s="5" t="n"/>
      <c r="N23" s="5" t="n"/>
      <c r="O23" s="5" t="n"/>
      <c r="P23" s="5">
        <f>IF(MAESTRO!F23="","",IFERROR(TRUNC(AVERAGE(C23:O23),1),""))</f>
        <v/>
      </c>
      <c r="Q23" s="40" t="n">
        <v>19</v>
      </c>
      <c r="R23" s="22" t="n">
        <v>4</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87">
        <f>IF(MAESTRO!F24="","",MAESTRO!F24)</f>
        <v/>
      </c>
      <c r="C24" s="5" t="n">
        <v>4.5</v>
      </c>
      <c r="D24" s="5" t="n">
        <v>4.5</v>
      </c>
      <c r="E24" s="5" t="n">
        <v>4.2</v>
      </c>
      <c r="F24" s="5" t="n">
        <v>5</v>
      </c>
      <c r="G24" s="5" t="n">
        <v>2</v>
      </c>
      <c r="H24" s="5" t="n">
        <v>3.2</v>
      </c>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87">
        <f>IF(MAESTRO!F25="","",MAESTRO!F25)</f>
        <v/>
      </c>
      <c r="C25" s="5" t="n">
        <v>4.5</v>
      </c>
      <c r="D25" s="5" t="n">
        <v>5</v>
      </c>
      <c r="E25" s="5" t="n">
        <v>4</v>
      </c>
      <c r="F25" s="5" t="n">
        <v>5</v>
      </c>
      <c r="G25" s="5" t="n">
        <v>4.8</v>
      </c>
      <c r="H25" s="5" t="n">
        <v>3.2</v>
      </c>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87">
        <f>IF(MAESTRO!F26="","",MAESTRO!F26)</f>
        <v/>
      </c>
      <c r="C26" s="5" t="n">
        <v>5</v>
      </c>
      <c r="D26" s="5" t="n">
        <v>4.6</v>
      </c>
      <c r="E26" s="5" t="n">
        <v>4</v>
      </c>
      <c r="F26" s="5" t="n">
        <v>5</v>
      </c>
      <c r="G26" s="5" t="n">
        <v>4.5</v>
      </c>
      <c r="H26" s="5" t="n">
        <v>4.6</v>
      </c>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87">
        <f>IF(MAESTRO!F27="","",MAESTRO!F27)</f>
        <v/>
      </c>
      <c r="C27" s="5" t="n">
        <v>5</v>
      </c>
      <c r="D27" s="5" t="n">
        <v>4.5</v>
      </c>
      <c r="E27" s="5" t="n">
        <v>5</v>
      </c>
      <c r="F27" s="5" t="n">
        <v>5</v>
      </c>
      <c r="G27" s="5" t="n">
        <v>2</v>
      </c>
      <c r="H27" s="5" t="n">
        <v>3.6</v>
      </c>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87">
        <f>IF(MAESTRO!F28="","",MAESTRO!F28)</f>
        <v/>
      </c>
      <c r="C28" s="5" t="n">
        <v>4.5</v>
      </c>
      <c r="D28" s="5" t="n">
        <v>2</v>
      </c>
      <c r="E28" s="5" t="n">
        <v>3</v>
      </c>
      <c r="F28" s="5" t="n">
        <v>5</v>
      </c>
      <c r="G28" s="5" t="n">
        <v>4</v>
      </c>
      <c r="H28" s="5" t="n">
        <v>4.6</v>
      </c>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87">
        <f>IF(MAESTRO!F29="","",MAESTRO!F29)</f>
        <v/>
      </c>
      <c r="C29" s="5" t="n">
        <v>4.5</v>
      </c>
      <c r="D29" s="5" t="n">
        <v>4.4</v>
      </c>
      <c r="E29" s="5" t="n">
        <v>3</v>
      </c>
      <c r="F29" s="5" t="n">
        <v>5</v>
      </c>
      <c r="G29" s="5" t="n">
        <v>4.5</v>
      </c>
      <c r="H29" s="5" t="n">
        <v>3.6</v>
      </c>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v>25</v>
      </c>
      <c r="BO29" s="263" t="n">
        <v>25</v>
      </c>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87">
        <f>IF(MAESTRO!F30="","",MAESTRO!F30)</f>
        <v/>
      </c>
      <c r="C30" s="5" t="n">
        <v>4.5</v>
      </c>
      <c r="D30" s="5" t="n">
        <v>5</v>
      </c>
      <c r="E30" s="5" t="n">
        <v>4.8</v>
      </c>
      <c r="F30" s="5" t="n">
        <v>5</v>
      </c>
      <c r="G30" s="5" t="n">
        <v>5</v>
      </c>
      <c r="H30" s="5" t="n">
        <v>4</v>
      </c>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87">
        <f>IF(MAESTRO!F31="","",MAESTRO!F31)</f>
        <v/>
      </c>
      <c r="C31" s="5" t="n">
        <v>4.5</v>
      </c>
      <c r="D31" s="5" t="n">
        <v>4.5</v>
      </c>
      <c r="E31" s="5" t="n">
        <v>3</v>
      </c>
      <c r="F31" s="5" t="n">
        <v>5</v>
      </c>
      <c r="G31" s="5" t="n">
        <v>2</v>
      </c>
      <c r="H31" s="5" t="n">
        <v>3.8</v>
      </c>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87">
        <f>IF(MAESTRO!F32="","",MAESTRO!F32)</f>
        <v/>
      </c>
      <c r="C32" s="5" t="n">
        <v>4.5</v>
      </c>
      <c r="D32" s="5" t="n">
        <v>4.8</v>
      </c>
      <c r="E32" s="5" t="n">
        <v>4.5</v>
      </c>
      <c r="F32" s="5" t="n">
        <v>5</v>
      </c>
      <c r="G32" s="5" t="n">
        <v>4.4</v>
      </c>
      <c r="H32" s="5" t="n">
        <v>3.9</v>
      </c>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87">
        <f>IF(MAESTRO!F33="","",MAESTRO!F33)</f>
        <v/>
      </c>
      <c r="C33" s="5" t="n">
        <v>5</v>
      </c>
      <c r="D33" s="5" t="n">
        <v>2</v>
      </c>
      <c r="E33" s="5" t="n">
        <v>4.2</v>
      </c>
      <c r="F33" s="5" t="n">
        <v>5</v>
      </c>
      <c r="G33" s="5" t="n">
        <v>4</v>
      </c>
      <c r="H33" s="5" t="n">
        <v>3.4</v>
      </c>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87">
        <f>IF(MAESTRO!F34="","",MAESTRO!F34)</f>
        <v/>
      </c>
      <c r="C34" s="5" t="n">
        <v>5</v>
      </c>
      <c r="D34" s="5" t="n">
        <v>5</v>
      </c>
      <c r="E34" s="5" t="n">
        <v>5</v>
      </c>
      <c r="F34" s="5" t="n">
        <v>5</v>
      </c>
      <c r="G34" s="5" t="n">
        <v>5</v>
      </c>
      <c r="H34" s="5" t="n">
        <v>5</v>
      </c>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87">
        <f>IF(MAESTRO!F35="","",MAESTRO!F35)</f>
        <v/>
      </c>
      <c r="C35" s="5" t="n">
        <v>4.5</v>
      </c>
      <c r="D35" s="5" t="n">
        <v>4</v>
      </c>
      <c r="E35" s="5" t="n">
        <v>4.1</v>
      </c>
      <c r="F35" s="5" t="n">
        <v>5</v>
      </c>
      <c r="G35" s="5" t="n">
        <v>4.2</v>
      </c>
      <c r="H35" s="5" t="n">
        <v>3</v>
      </c>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87">
        <f>IF(MAESTRO!F36="","",MAESTRO!F36)</f>
        <v/>
      </c>
      <c r="C36" s="5" t="n">
        <v>4.5</v>
      </c>
      <c r="D36" s="5" t="n">
        <v>2</v>
      </c>
      <c r="E36" s="5" t="n">
        <v>4.4</v>
      </c>
      <c r="F36" s="5" t="n">
        <v>5</v>
      </c>
      <c r="G36" s="5" t="n">
        <v>5</v>
      </c>
      <c r="H36" s="5" t="n">
        <v>4.3</v>
      </c>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87">
        <f>IF(MAESTRO!F37="","",MAESTRO!F37)</f>
        <v/>
      </c>
      <c r="C37" s="5" t="n">
        <v>4.5</v>
      </c>
      <c r="D37" s="5" t="n">
        <v>4.5</v>
      </c>
      <c r="E37" s="5" t="n">
        <v>3</v>
      </c>
      <c r="F37" s="5" t="n">
        <v>5</v>
      </c>
      <c r="G37" s="5" t="n">
        <v>3</v>
      </c>
      <c r="H37" s="5" t="n">
        <v>3</v>
      </c>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87">
        <f>IF(MAESTRO!F38="","",MAESTRO!F38)</f>
        <v/>
      </c>
      <c r="C38" s="5" t="n">
        <v>4.5</v>
      </c>
      <c r="D38" s="5" t="n">
        <v>4.5</v>
      </c>
      <c r="E38" s="5" t="n">
        <v>4.4</v>
      </c>
      <c r="F38" s="5" t="n">
        <v>5</v>
      </c>
      <c r="G38" s="5" t="n">
        <v>4.8</v>
      </c>
      <c r="H38" s="5" t="n">
        <v>3.8</v>
      </c>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87">
        <f>IF(MAESTRO!F39="","",MAESTRO!F39)</f>
        <v/>
      </c>
      <c r="C39" s="5" t="n">
        <v>5</v>
      </c>
      <c r="D39" s="5" t="n">
        <v>5</v>
      </c>
      <c r="E39" s="5" t="n">
        <v>3.2</v>
      </c>
      <c r="F39" s="5" t="n">
        <v>5</v>
      </c>
      <c r="G39" s="5" t="n">
        <v>4.8</v>
      </c>
      <c r="H39" s="5" t="n">
        <v>3.8</v>
      </c>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87">
        <f>IF(MAESTRO!F40="","",MAESTRO!F40)</f>
        <v/>
      </c>
      <c r="C40" s="5" t="n">
        <v>4.5</v>
      </c>
      <c r="D40" s="5" t="n">
        <v>4.8</v>
      </c>
      <c r="E40" s="5" t="n">
        <v>4</v>
      </c>
      <c r="F40" s="5" t="n">
        <v>5</v>
      </c>
      <c r="G40" s="5" t="n">
        <v>2</v>
      </c>
      <c r="H40" s="5" t="n">
        <v>3</v>
      </c>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 xml:space="preserve">Drama - Crixificción </t>
        </is>
      </c>
      <c r="D42" s="278" t="inlineStr">
        <is>
          <t>C. Comparativo -Barroco&amp;Rococo</t>
        </is>
      </c>
      <c r="E42" s="278" t="inlineStr">
        <is>
          <t>Perspectiva y Sombra</t>
        </is>
      </c>
      <c r="F42" s="278" t="inlineStr">
        <is>
          <t>Carteles - Elecciones</t>
        </is>
      </c>
      <c r="G42" s="278" t="inlineStr">
        <is>
          <t xml:space="preserve">Dibujo -Barroco o Rococo y Bodegon </t>
        </is>
      </c>
      <c r="H42" s="278" t="inlineStr">
        <is>
          <t>Ejercicio - 4 Puntos de Fuga</t>
        </is>
      </c>
      <c r="I42" s="278" t="n"/>
      <c r="J42" s="278" t="n"/>
      <c r="K42" s="278" t="n"/>
      <c r="L42" s="278" t="n"/>
      <c r="M42" s="278" t="n"/>
      <c r="N42" s="278" t="n"/>
      <c r="O42" s="278" t="n"/>
      <c r="P42" s="5" t="n"/>
      <c r="Q42" s="40" t="n">
        <v>38</v>
      </c>
      <c r="R42" s="278" t="inlineStr">
        <is>
          <t>Participacion Drama</t>
        </is>
      </c>
      <c r="S42" s="278" t="inlineStr">
        <is>
          <t>Participacion - Huerto</t>
        </is>
      </c>
      <c r="T42" s="274" t="n"/>
      <c r="U42" s="274" t="n"/>
      <c r="V42" s="274" t="n"/>
      <c r="W42" s="274" t="n"/>
      <c r="X42" s="274" t="n"/>
      <c r="Y42" s="274" t="n"/>
      <c r="Z42" s="274" t="n"/>
      <c r="AA42" s="45" t="n"/>
      <c r="AB42" s="322" t="n"/>
      <c r="AC42" s="274" t="n"/>
      <c r="AD42" s="5" t="n"/>
      <c r="AE42" s="44" t="n"/>
      <c r="AF42" s="263" t="n"/>
      <c r="AG42" s="263" t="n">
        <v>38</v>
      </c>
      <c r="AH42" s="263" t="n">
        <v>38</v>
      </c>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65" t="n"/>
      <c r="BS42" s="265" t="n"/>
      <c r="BT42" s="265"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DN3:DW3"/>
    <mergeCell ref="BP22:BQ22"/>
    <mergeCell ref="BE42:BE48"/>
    <mergeCell ref="CX33:CY33"/>
    <mergeCell ref="S42:S48"/>
    <mergeCell ref="EC3:ED4"/>
    <mergeCell ref="BP12:BQ12"/>
    <mergeCell ref="CX17:CY17"/>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5" min="1" max="1"/>
    <col width="19.44140625" bestFit="1" customWidth="1" style="195" min="2" max="2"/>
    <col width="4.44140625" customWidth="1" style="195" min="3" max="15"/>
    <col width="8.44140625" customWidth="1" style="195" min="16" max="16"/>
    <col width="3.33203125" customWidth="1" style="195" min="17" max="17"/>
    <col width="4.44140625" customWidth="1" style="21" min="18" max="18"/>
    <col width="4.44140625" customWidth="1" style="195" min="19" max="28"/>
    <col width="5.33203125" customWidth="1" style="297" min="29" max="29"/>
    <col width="4.44140625" customWidth="1" style="195" min="30" max="30"/>
    <col width="6.44140625" customWidth="1" style="195" min="31" max="31"/>
    <col width="17.44140625" customWidth="1" style="195" min="32" max="32"/>
    <col width="3.33203125" customWidth="1" style="195" min="33" max="33"/>
    <col width="2.77734375" customWidth="1" style="195" min="34" max="34"/>
    <col width="13" customWidth="1" style="195" min="36" max="36"/>
    <col width="4.77734375" customWidth="1" style="289" min="37" max="44"/>
    <col width="4.77734375" customWidth="1" style="290" min="45" max="48"/>
    <col width="4.44140625" customWidth="1" style="195" min="49" max="49"/>
    <col width="4.44140625" customWidth="1" style="293" min="50" max="59"/>
    <col width="4.44140625" customWidth="1" style="195" min="60" max="61"/>
    <col width="4.44140625" customWidth="1" style="294" min="62" max="62"/>
    <col width="4.44140625" customWidth="1" style="195" min="63" max="64"/>
    <col width="20.44140625" customWidth="1" style="195" min="65" max="65"/>
    <col width="2.77734375" customWidth="1" style="195" min="66" max="67"/>
    <col width="14.33203125" customWidth="1" style="195" min="69" max="69"/>
    <col width="4.33203125" customWidth="1" style="277" min="70" max="82"/>
    <col width="4.44140625" customWidth="1" style="195" min="83" max="83"/>
    <col width="4.44140625" customWidth="1" style="277" min="84" max="98"/>
    <col width="20.44140625" customWidth="1" style="195" min="99" max="99"/>
    <col width="3.109375" customWidth="1" style="195" min="100" max="100"/>
    <col width="2.77734375" customWidth="1" style="195" min="101" max="101"/>
    <col width="14.33203125" customWidth="1" style="195" min="103" max="103"/>
    <col width="4.44140625" customWidth="1" style="195" min="104" max="129"/>
    <col width="4.77734375" customWidth="1" style="195" min="130" max="130"/>
    <col width="4.44140625" customWidth="1" style="195" min="131" max="132"/>
    <col width="20.44140625" customWidth="1" style="195" min="133" max="133"/>
    <col width="3.109375" customWidth="1" style="195" min="134" max="134"/>
  </cols>
  <sheetData>
    <row r="1" ht="18" customHeight="1" s="195">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5">
      <c r="A2" s="276" t="n"/>
      <c r="Q2" s="276" t="n"/>
      <c r="R2" s="194" t="n"/>
      <c r="AH2" s="276" t="n"/>
      <c r="AX2" s="194" t="n"/>
      <c r="BO2" s="276" t="n"/>
      <c r="CF2" s="194" t="n"/>
      <c r="CW2" s="276" t="n"/>
      <c r="DN2" s="194" t="n"/>
    </row>
    <row r="3" ht="15" customHeight="1" s="195">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1" t="n"/>
      <c r="AD3" s="271" t="inlineStr">
        <is>
          <t>PROMEDIO</t>
        </is>
      </c>
      <c r="AE3" s="288" t="inlineStr">
        <is>
          <t>CALIFICACIÓN           TRIMESTRAL</t>
        </is>
      </c>
      <c r="AF3" s="217" t="inlineStr">
        <is>
          <t>OBSERVACIONES</t>
        </is>
      </c>
      <c r="AG3" s="191" t="n"/>
      <c r="AH3" s="189" t="n"/>
      <c r="AI3" s="187" t="inlineStr">
        <is>
          <t>NOMBRE                          ALUMNA-ALUMNO</t>
        </is>
      </c>
      <c r="AJ3" s="191"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1" t="n"/>
      <c r="BK3" s="271" t="inlineStr">
        <is>
          <t>PROMEDIO</t>
        </is>
      </c>
      <c r="BL3" s="288" t="inlineStr">
        <is>
          <t>CALIFICACIÓN           BIMESTRAL</t>
        </is>
      </c>
      <c r="BM3" s="217" t="inlineStr">
        <is>
          <t>OBSERVACIONES</t>
        </is>
      </c>
      <c r="BN3" s="191" t="n"/>
      <c r="BO3" s="189" t="n"/>
      <c r="BP3" s="187" t="inlineStr">
        <is>
          <t>NOMBRE                          ALUMNA-ALUMNO</t>
        </is>
      </c>
      <c r="BQ3" s="191" t="n"/>
      <c r="BR3" s="275" t="inlineStr">
        <is>
          <t>NOTAS PARCIALES 1/3</t>
        </is>
      </c>
      <c r="BS3" s="185" t="n"/>
      <c r="BT3" s="185" t="n"/>
      <c r="BU3" s="185" t="n"/>
      <c r="BV3" s="185" t="n"/>
      <c r="BW3" s="185" t="n"/>
      <c r="BX3" s="185" t="n"/>
      <c r="BY3" s="185" t="n"/>
      <c r="BZ3" s="185" t="n"/>
      <c r="CA3" s="185" t="n"/>
      <c r="CB3" s="185" t="n"/>
      <c r="CC3" s="185" t="n"/>
      <c r="CD3" s="186" t="n"/>
      <c r="CE3" s="271" t="inlineStr">
        <is>
          <t>PROMEDIO</t>
        </is>
      </c>
      <c r="CF3" s="275"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1" t="n"/>
      <c r="CS3" s="279" t="inlineStr">
        <is>
          <t>PROMEDIO</t>
        </is>
      </c>
      <c r="CT3" s="291" t="inlineStr">
        <is>
          <t>CALIFICACIÓN           BIMESTRAL</t>
        </is>
      </c>
      <c r="CU3" s="217" t="inlineStr">
        <is>
          <t>OBSERVACIONES</t>
        </is>
      </c>
      <c r="CV3" s="191" t="n"/>
      <c r="CW3" s="194" t="n"/>
      <c r="CX3" s="292" t="n"/>
      <c r="CZ3" s="285" t="n"/>
      <c r="DM3" s="287" t="n"/>
      <c r="DN3" s="285" t="n"/>
      <c r="DX3" s="287" t="n"/>
      <c r="DY3" s="298" t="n"/>
      <c r="EA3" s="287" t="n"/>
      <c r="EB3" s="264" t="n"/>
      <c r="EC3" s="215" t="n"/>
    </row>
    <row r="4" ht="44.25" customHeight="1" s="195">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2" t="n"/>
      <c r="AC4" s="193" t="n"/>
      <c r="AD4" s="183" t="n"/>
      <c r="AE4" s="183" t="n"/>
      <c r="AF4" s="192" t="n"/>
      <c r="AG4" s="193" t="n"/>
      <c r="AH4" s="183" t="n"/>
      <c r="AI4" s="192" t="n"/>
      <c r="AJ4" s="193"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2" t="n"/>
      <c r="BJ4" s="193" t="n"/>
      <c r="BK4" s="183" t="n"/>
      <c r="BL4" s="183" t="n"/>
      <c r="BM4" s="192" t="n"/>
      <c r="BN4" s="193" t="n"/>
      <c r="BO4" s="183" t="n"/>
      <c r="BP4" s="192" t="n"/>
      <c r="BQ4" s="193"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2" t="n"/>
      <c r="CR4" s="193" t="n"/>
      <c r="CS4" s="183" t="n"/>
      <c r="CT4" s="183" t="n"/>
      <c r="CU4" s="192" t="n"/>
      <c r="CV4" s="193" t="n"/>
    </row>
    <row r="5" ht="13.5" customHeight="1" s="195">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7" t="n"/>
      <c r="DA5" s="277" t="n"/>
      <c r="DB5" s="277" t="n"/>
      <c r="DC5" s="277" t="n"/>
      <c r="DD5" s="277" t="n"/>
      <c r="DE5" s="277" t="n"/>
      <c r="DF5" s="277" t="n"/>
      <c r="DG5" s="277" t="n"/>
      <c r="DH5" s="277" t="n"/>
      <c r="DI5" s="277" t="n"/>
      <c r="DJ5" s="277" t="n"/>
      <c r="DK5" s="277" t="n"/>
      <c r="DL5" s="277" t="n"/>
      <c r="DM5" s="277" t="n"/>
      <c r="EA5" s="277" t="n"/>
      <c r="EB5" s="277" t="n"/>
    </row>
    <row r="6" ht="13.5" customHeight="1" s="195">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7" t="n"/>
      <c r="DA6" s="277" t="n"/>
      <c r="DB6" s="277" t="n"/>
      <c r="DC6" s="277" t="n"/>
      <c r="DD6" s="277" t="n"/>
      <c r="DE6" s="277" t="n"/>
      <c r="DF6" s="277" t="n"/>
      <c r="DG6" s="277" t="n"/>
      <c r="DH6" s="277" t="n"/>
      <c r="DI6" s="277" t="n"/>
      <c r="DJ6" s="277" t="n"/>
      <c r="DK6" s="277" t="n"/>
      <c r="DL6" s="277" t="n"/>
      <c r="DM6" s="277" t="n"/>
      <c r="EA6" s="277" t="n"/>
      <c r="EB6" s="277" t="n"/>
    </row>
    <row r="7" ht="13.5" customHeight="1" s="195">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7" t="n"/>
      <c r="DA7" s="277" t="n"/>
      <c r="DB7" s="277" t="n"/>
      <c r="DC7" s="277" t="n"/>
      <c r="DD7" s="277" t="n"/>
      <c r="DE7" s="277" t="n"/>
      <c r="DF7" s="277" t="n"/>
      <c r="DG7" s="277" t="n"/>
      <c r="DH7" s="277" t="n"/>
      <c r="DI7" s="277" t="n"/>
      <c r="DJ7" s="277" t="n"/>
      <c r="DK7" s="277" t="n"/>
      <c r="DL7" s="277" t="n"/>
      <c r="DM7" s="277" t="n"/>
      <c r="EA7" s="277" t="n"/>
      <c r="EB7" s="277" t="n"/>
    </row>
    <row r="8" ht="13.5" customHeight="1" s="195">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7" t="n"/>
      <c r="DA8" s="277" t="n"/>
      <c r="DB8" s="277" t="n"/>
      <c r="DC8" s="277" t="n"/>
      <c r="DD8" s="277" t="n"/>
      <c r="DE8" s="277" t="n"/>
      <c r="DF8" s="277" t="n"/>
      <c r="DG8" s="277" t="n"/>
      <c r="DH8" s="277" t="n"/>
      <c r="DI8" s="277" t="n"/>
      <c r="DJ8" s="277" t="n"/>
      <c r="DK8" s="277" t="n"/>
      <c r="DL8" s="277" t="n"/>
      <c r="DM8" s="277" t="n"/>
      <c r="EA8" s="277" t="n"/>
      <c r="EB8" s="277" t="n"/>
    </row>
    <row r="9" ht="13.5" customHeight="1" s="195">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7" t="n"/>
      <c r="DA9" s="277" t="n"/>
      <c r="DB9" s="277" t="n"/>
      <c r="DC9" s="277" t="n"/>
      <c r="DD9" s="277" t="n"/>
      <c r="DE9" s="277" t="n"/>
      <c r="DF9" s="277" t="n"/>
      <c r="DG9" s="277" t="n"/>
      <c r="DH9" s="277" t="n"/>
      <c r="DI9" s="277" t="n"/>
      <c r="DJ9" s="277" t="n"/>
      <c r="DK9" s="277" t="n"/>
      <c r="DL9" s="277" t="n"/>
      <c r="DM9" s="277" t="n"/>
      <c r="EA9" s="277" t="n"/>
      <c r="EB9" s="277" t="n"/>
    </row>
    <row r="10" ht="13.5" customHeight="1" s="195">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7" t="n"/>
      <c r="DA10" s="277" t="n"/>
      <c r="DB10" s="277" t="n"/>
      <c r="DC10" s="277" t="n"/>
      <c r="DD10" s="277" t="n"/>
      <c r="DE10" s="277" t="n"/>
      <c r="DF10" s="277" t="n"/>
      <c r="DG10" s="277" t="n"/>
      <c r="DH10" s="277" t="n"/>
      <c r="DI10" s="277" t="n"/>
      <c r="DJ10" s="277" t="n"/>
      <c r="DK10" s="277" t="n"/>
      <c r="DL10" s="277" t="n"/>
      <c r="DM10" s="277" t="n"/>
      <c r="EA10" s="277" t="n"/>
      <c r="EB10" s="277" t="n"/>
    </row>
    <row r="11" ht="13.5" customHeight="1" s="195">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7" t="n"/>
      <c r="DA11" s="277" t="n"/>
      <c r="DB11" s="277" t="n"/>
      <c r="DC11" s="277" t="n"/>
      <c r="DD11" s="277" t="n"/>
      <c r="DE11" s="277" t="n"/>
      <c r="DF11" s="277" t="n"/>
      <c r="DG11" s="277" t="n"/>
      <c r="DH11" s="277" t="n"/>
      <c r="DI11" s="277" t="n"/>
      <c r="DJ11" s="277" t="n"/>
      <c r="DK11" s="277" t="n"/>
      <c r="DL11" s="277" t="n"/>
      <c r="DM11" s="277" t="n"/>
      <c r="EA11" s="277" t="n"/>
      <c r="EB11" s="277" t="n"/>
    </row>
    <row r="12" ht="13.5" customHeight="1" s="195">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7" t="n"/>
      <c r="DA12" s="277" t="n"/>
      <c r="DB12" s="277" t="n"/>
      <c r="DC12" s="277" t="n"/>
      <c r="DD12" s="277" t="n"/>
      <c r="DE12" s="277" t="n"/>
      <c r="DF12" s="277" t="n"/>
      <c r="DG12" s="277" t="n"/>
      <c r="DH12" s="277" t="n"/>
      <c r="DI12" s="277" t="n"/>
      <c r="DJ12" s="277" t="n"/>
      <c r="DK12" s="277" t="n"/>
      <c r="DL12" s="277" t="n"/>
      <c r="DM12" s="277" t="n"/>
      <c r="EA12" s="277" t="n"/>
      <c r="EB12" s="277" t="n"/>
    </row>
    <row r="13" ht="13.5" customHeight="1" s="195">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7" t="n"/>
      <c r="DA13" s="277" t="n"/>
      <c r="DB13" s="277" t="n"/>
      <c r="DC13" s="277" t="n"/>
      <c r="DD13" s="277" t="n"/>
      <c r="DE13" s="277" t="n"/>
      <c r="DF13" s="277" t="n"/>
      <c r="DG13" s="277" t="n"/>
      <c r="DH13" s="277" t="n"/>
      <c r="DI13" s="277" t="n"/>
      <c r="DJ13" s="277" t="n"/>
      <c r="DK13" s="277" t="n"/>
      <c r="DL13" s="277" t="n"/>
      <c r="DM13" s="277" t="n"/>
      <c r="EA13" s="277" t="n"/>
      <c r="EB13" s="277" t="n"/>
    </row>
    <row r="14" ht="13.5" customHeight="1" s="195">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7" t="n"/>
      <c r="DA14" s="277" t="n"/>
      <c r="DB14" s="277" t="n"/>
      <c r="DC14" s="277" t="n"/>
      <c r="DD14" s="277" t="n"/>
      <c r="DE14" s="277" t="n"/>
      <c r="DF14" s="277" t="n"/>
      <c r="DG14" s="277" t="n"/>
      <c r="DH14" s="277" t="n"/>
      <c r="DI14" s="277" t="n"/>
      <c r="DJ14" s="277" t="n"/>
      <c r="DK14" s="277" t="n"/>
      <c r="DL14" s="277" t="n"/>
      <c r="DM14" s="277" t="n"/>
      <c r="EA14" s="277" t="n"/>
      <c r="EB14" s="277" t="n"/>
    </row>
    <row r="15" ht="13.5" customHeight="1" s="195">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7" t="n"/>
      <c r="DA15" s="277" t="n"/>
      <c r="DB15" s="277" t="n"/>
      <c r="DC15" s="277" t="n"/>
      <c r="DD15" s="277" t="n"/>
      <c r="DE15" s="277" t="n"/>
      <c r="DF15" s="277" t="n"/>
      <c r="DG15" s="277" t="n"/>
      <c r="DH15" s="277" t="n"/>
      <c r="DI15" s="277" t="n"/>
      <c r="DJ15" s="277" t="n"/>
      <c r="DK15" s="277" t="n"/>
      <c r="DL15" s="277" t="n"/>
      <c r="DM15" s="277" t="n"/>
      <c r="EA15" s="277" t="n"/>
      <c r="EB15" s="277" t="n"/>
    </row>
    <row r="16" ht="13.5" customHeight="1" s="195">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7" t="n"/>
      <c r="DA16" s="277" t="n"/>
      <c r="DB16" s="277" t="n"/>
      <c r="DC16" s="277" t="n"/>
      <c r="DD16" s="277" t="n"/>
      <c r="DE16" s="277" t="n"/>
      <c r="DF16" s="277" t="n"/>
      <c r="DG16" s="277" t="n"/>
      <c r="DH16" s="277" t="n"/>
      <c r="DI16" s="277" t="n"/>
      <c r="DJ16" s="277" t="n"/>
      <c r="DK16" s="277" t="n"/>
      <c r="DL16" s="277" t="n"/>
      <c r="DM16" s="277" t="n"/>
      <c r="EA16" s="277" t="n"/>
      <c r="EB16" s="277" t="n"/>
    </row>
    <row r="17" ht="13.5" customHeight="1" s="195">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7" t="n"/>
      <c r="DA17" s="277" t="n"/>
      <c r="DB17" s="277" t="n"/>
      <c r="DC17" s="277" t="n"/>
      <c r="DD17" s="277" t="n"/>
      <c r="DE17" s="277" t="n"/>
      <c r="DF17" s="277" t="n"/>
      <c r="DG17" s="277" t="n"/>
      <c r="DH17" s="277" t="n"/>
      <c r="DI17" s="277" t="n"/>
      <c r="DJ17" s="277" t="n"/>
      <c r="DK17" s="277" t="n"/>
      <c r="DL17" s="277" t="n"/>
      <c r="DM17" s="277" t="n"/>
      <c r="EA17" s="277" t="n"/>
      <c r="EB17" s="277" t="n"/>
    </row>
    <row r="18" ht="13.5" customHeight="1" s="195">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7" t="n"/>
      <c r="DA18" s="277" t="n"/>
      <c r="DB18" s="277" t="n"/>
      <c r="DC18" s="277" t="n"/>
      <c r="DD18" s="277" t="n"/>
      <c r="DE18" s="277" t="n"/>
      <c r="DF18" s="277" t="n"/>
      <c r="DG18" s="277" t="n"/>
      <c r="DH18" s="277" t="n"/>
      <c r="DI18" s="277" t="n"/>
      <c r="DJ18" s="277" t="n"/>
      <c r="DK18" s="277" t="n"/>
      <c r="DL18" s="277" t="n"/>
      <c r="DM18" s="277" t="n"/>
      <c r="EA18" s="277" t="n"/>
      <c r="EB18" s="277" t="n"/>
    </row>
    <row r="19" ht="13.5" customHeight="1" s="195">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v>15</v>
      </c>
      <c r="R19" s="22" t="n">
        <v>5</v>
      </c>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7" t="n"/>
      <c r="DA19" s="277" t="n"/>
      <c r="DB19" s="277" t="n"/>
      <c r="DC19" s="277" t="n"/>
      <c r="DD19" s="277" t="n"/>
      <c r="DE19" s="277" t="n"/>
      <c r="DF19" s="277" t="n"/>
      <c r="DG19" s="277" t="n"/>
      <c r="DH19" s="277" t="n"/>
      <c r="DI19" s="277" t="n"/>
      <c r="DJ19" s="277" t="n"/>
      <c r="DK19" s="277" t="n"/>
      <c r="DL19" s="277" t="n"/>
      <c r="DM19" s="277" t="n"/>
      <c r="EA19" s="277" t="n"/>
      <c r="EB19" s="277" t="n"/>
    </row>
    <row r="20" ht="13.5" customHeight="1" s="195">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7" t="n"/>
      <c r="DA20" s="277" t="n"/>
      <c r="DB20" s="277" t="n"/>
      <c r="DC20" s="277" t="n"/>
      <c r="DD20" s="277" t="n"/>
      <c r="DE20" s="277" t="n"/>
      <c r="DF20" s="277" t="n"/>
      <c r="DG20" s="277" t="n"/>
      <c r="DH20" s="277" t="n"/>
      <c r="DI20" s="277" t="n"/>
      <c r="DJ20" s="277" t="n"/>
      <c r="DK20" s="277" t="n"/>
      <c r="DL20" s="277" t="n"/>
      <c r="DM20" s="277" t="n"/>
      <c r="EA20" s="277" t="n"/>
      <c r="EB20" s="277" t="n"/>
    </row>
    <row r="21" ht="13.5" customHeight="1" s="195">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7" t="n"/>
      <c r="DA21" s="277" t="n"/>
      <c r="DB21" s="277" t="n"/>
      <c r="DC21" s="277" t="n"/>
      <c r="DD21" s="277" t="n"/>
      <c r="DE21" s="277" t="n"/>
      <c r="DF21" s="277" t="n"/>
      <c r="DG21" s="277" t="n"/>
      <c r="DH21" s="277" t="n"/>
      <c r="DI21" s="277" t="n"/>
      <c r="DJ21" s="277" t="n"/>
      <c r="DK21" s="277" t="n"/>
      <c r="DL21" s="277" t="n"/>
      <c r="DM21" s="277" t="n"/>
      <c r="EA21" s="277" t="n"/>
      <c r="EB21" s="277" t="n"/>
    </row>
    <row r="22" ht="13.5" customHeight="1" s="195">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7" t="n"/>
      <c r="DA22" s="277" t="n"/>
      <c r="DB22" s="277" t="n"/>
      <c r="DC22" s="277" t="n"/>
      <c r="DD22" s="277" t="n"/>
      <c r="DE22" s="277" t="n"/>
      <c r="DF22" s="277" t="n"/>
      <c r="DG22" s="277" t="n"/>
      <c r="DH22" s="277" t="n"/>
      <c r="DI22" s="277" t="n"/>
      <c r="DJ22" s="277" t="n"/>
      <c r="DK22" s="277" t="n"/>
      <c r="DL22" s="277" t="n"/>
      <c r="DM22" s="277" t="n"/>
      <c r="EA22" s="277" t="n"/>
      <c r="EB22" s="277" t="n"/>
    </row>
    <row r="23" ht="13.5" customHeight="1" s="195">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v>19</v>
      </c>
      <c r="R23" s="22" t="n">
        <v>5</v>
      </c>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7" t="n"/>
      <c r="DA23" s="277" t="n"/>
      <c r="DB23" s="277" t="n"/>
      <c r="DC23" s="277" t="n"/>
      <c r="DD23" s="277" t="n"/>
      <c r="DE23" s="277" t="n"/>
      <c r="DF23" s="277" t="n"/>
      <c r="DG23" s="277" t="n"/>
      <c r="DH23" s="277" t="n"/>
      <c r="DI23" s="277" t="n"/>
      <c r="DJ23" s="277" t="n"/>
      <c r="DK23" s="277" t="n"/>
      <c r="DL23" s="277" t="n"/>
      <c r="DM23" s="277" t="n"/>
      <c r="EA23" s="277" t="n"/>
      <c r="EB23" s="277" t="n"/>
    </row>
    <row r="24" ht="13.5" customHeight="1" s="195">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7" t="n"/>
      <c r="DA24" s="277" t="n"/>
      <c r="DB24" s="277" t="n"/>
      <c r="DC24" s="277" t="n"/>
      <c r="DD24" s="277" t="n"/>
      <c r="DE24" s="277" t="n"/>
      <c r="DF24" s="277" t="n"/>
      <c r="DG24" s="277" t="n"/>
      <c r="DH24" s="277" t="n"/>
      <c r="DI24" s="277" t="n"/>
      <c r="DJ24" s="277" t="n"/>
      <c r="DK24" s="277" t="n"/>
      <c r="DL24" s="277" t="n"/>
      <c r="DM24" s="277" t="n"/>
      <c r="EA24" s="277" t="n"/>
      <c r="EB24" s="277" t="n"/>
    </row>
    <row r="25" ht="13.5" customHeight="1" s="195">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7" t="n"/>
      <c r="DA25" s="277" t="n"/>
      <c r="DB25" s="277" t="n"/>
      <c r="DC25" s="277" t="n"/>
      <c r="DD25" s="277" t="n"/>
      <c r="DE25" s="277" t="n"/>
      <c r="DF25" s="277" t="n"/>
      <c r="DG25" s="277" t="n"/>
      <c r="DH25" s="277" t="n"/>
      <c r="DI25" s="277" t="n"/>
      <c r="DJ25" s="277" t="n"/>
      <c r="DK25" s="277" t="n"/>
      <c r="DL25" s="277" t="n"/>
      <c r="DM25" s="277" t="n"/>
      <c r="EA25" s="277" t="n"/>
      <c r="EB25" s="277" t="n"/>
    </row>
    <row r="26" ht="13.5" customHeight="1" s="195">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7" t="n"/>
      <c r="DA26" s="277" t="n"/>
      <c r="DB26" s="277" t="n"/>
      <c r="DC26" s="277" t="n"/>
      <c r="DD26" s="277" t="n"/>
      <c r="DE26" s="277" t="n"/>
      <c r="DF26" s="277" t="n"/>
      <c r="DG26" s="277" t="n"/>
      <c r="DH26" s="277" t="n"/>
      <c r="DI26" s="277" t="n"/>
      <c r="DJ26" s="277" t="n"/>
      <c r="DK26" s="277" t="n"/>
      <c r="DL26" s="277" t="n"/>
      <c r="DM26" s="277" t="n"/>
      <c r="EA26" s="277" t="n"/>
      <c r="EB26" s="277" t="n"/>
    </row>
    <row r="27" ht="13.5" customHeight="1" s="195">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7" t="n"/>
      <c r="DA27" s="277" t="n"/>
      <c r="DB27" s="277" t="n"/>
      <c r="DC27" s="277" t="n"/>
      <c r="DD27" s="277" t="n"/>
      <c r="DE27" s="277" t="n"/>
      <c r="DF27" s="277" t="n"/>
      <c r="DG27" s="277" t="n"/>
      <c r="DH27" s="277" t="n"/>
      <c r="DI27" s="277" t="n"/>
      <c r="DJ27" s="277" t="n"/>
      <c r="DK27" s="277" t="n"/>
      <c r="DL27" s="277" t="n"/>
      <c r="DM27" s="277" t="n"/>
      <c r="EA27" s="277" t="n"/>
      <c r="EB27" s="277" t="n"/>
    </row>
    <row r="28" ht="13.5" customHeight="1" s="195">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7" t="n"/>
      <c r="DA28" s="277" t="n"/>
      <c r="DB28" s="277" t="n"/>
      <c r="DC28" s="277" t="n"/>
      <c r="DD28" s="277" t="n"/>
      <c r="DE28" s="277" t="n"/>
      <c r="DF28" s="277" t="n"/>
      <c r="DG28" s="277" t="n"/>
      <c r="DH28" s="277" t="n"/>
      <c r="DI28" s="277" t="n"/>
      <c r="DJ28" s="277" t="n"/>
      <c r="DK28" s="277" t="n"/>
      <c r="DL28" s="277" t="n"/>
      <c r="DM28" s="277" t="n"/>
      <c r="EA28" s="277" t="n"/>
      <c r="EB28" s="277" t="n"/>
    </row>
    <row r="29" ht="13.5" customHeight="1" s="195">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7" t="n"/>
      <c r="DA29" s="277" t="n"/>
      <c r="DB29" s="277" t="n"/>
      <c r="DC29" s="277" t="n"/>
      <c r="DD29" s="277" t="n"/>
      <c r="DE29" s="277" t="n"/>
      <c r="DF29" s="277" t="n"/>
      <c r="DG29" s="277" t="n"/>
      <c r="DH29" s="277" t="n"/>
      <c r="DI29" s="277" t="n"/>
      <c r="DJ29" s="277" t="n"/>
      <c r="DK29" s="277" t="n"/>
      <c r="DL29" s="277" t="n"/>
      <c r="DM29" s="277" t="n"/>
      <c r="EA29" s="277" t="n"/>
      <c r="EB29" s="277" t="n"/>
    </row>
    <row r="30" ht="13.5" customHeight="1" s="195">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7" t="n"/>
      <c r="DA30" s="277" t="n"/>
      <c r="DB30" s="277" t="n"/>
      <c r="DC30" s="277" t="n"/>
      <c r="DD30" s="277" t="n"/>
      <c r="DE30" s="277" t="n"/>
      <c r="DF30" s="277" t="n"/>
      <c r="DG30" s="277" t="n"/>
      <c r="DH30" s="277" t="n"/>
      <c r="DI30" s="277" t="n"/>
      <c r="DJ30" s="277" t="n"/>
      <c r="DK30" s="277" t="n"/>
      <c r="DL30" s="277" t="n"/>
      <c r="DM30" s="277" t="n"/>
      <c r="EA30" s="277" t="n"/>
      <c r="EB30" s="277" t="n"/>
    </row>
    <row r="31" ht="13.5" customHeight="1" s="195">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7" t="n"/>
      <c r="DA31" s="277" t="n"/>
      <c r="DB31" s="277" t="n"/>
      <c r="DC31" s="277" t="n"/>
      <c r="DD31" s="277" t="n"/>
      <c r="DE31" s="277" t="n"/>
      <c r="DF31" s="277" t="n"/>
      <c r="DG31" s="277" t="n"/>
      <c r="DH31" s="277" t="n"/>
      <c r="DI31" s="277" t="n"/>
      <c r="DJ31" s="277" t="n"/>
      <c r="DK31" s="277" t="n"/>
      <c r="DL31" s="277" t="n"/>
      <c r="DM31" s="277" t="n"/>
      <c r="EA31" s="277" t="n"/>
      <c r="EB31" s="277" t="n"/>
    </row>
    <row r="32" ht="13.5" customHeight="1" s="195">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7" t="n"/>
      <c r="DA32" s="277" t="n"/>
      <c r="DB32" s="277" t="n"/>
      <c r="DC32" s="277" t="n"/>
      <c r="DD32" s="277" t="n"/>
      <c r="DE32" s="277" t="n"/>
      <c r="DF32" s="277" t="n"/>
      <c r="DG32" s="277" t="n"/>
      <c r="DH32" s="277" t="n"/>
      <c r="DI32" s="277" t="n"/>
      <c r="DJ32" s="277" t="n"/>
      <c r="DK32" s="277" t="n"/>
      <c r="DL32" s="277" t="n"/>
      <c r="DM32" s="277" t="n"/>
      <c r="EA32" s="277" t="n"/>
      <c r="EB32" s="277" t="n"/>
    </row>
    <row r="33" ht="13.5" customHeight="1" s="195">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7" t="n"/>
      <c r="DA33" s="277" t="n"/>
      <c r="DB33" s="277" t="n"/>
      <c r="DC33" s="277" t="n"/>
      <c r="DD33" s="277" t="n"/>
      <c r="DE33" s="277" t="n"/>
      <c r="DF33" s="277" t="n"/>
      <c r="DG33" s="277" t="n"/>
      <c r="DH33" s="277" t="n"/>
      <c r="DI33" s="277" t="n"/>
      <c r="DJ33" s="277" t="n"/>
      <c r="DK33" s="277" t="n"/>
      <c r="DL33" s="277" t="n"/>
      <c r="DM33" s="277" t="n"/>
      <c r="EA33" s="277" t="n"/>
      <c r="EB33" s="277" t="n"/>
    </row>
    <row r="34" ht="13.5" customHeight="1" s="195">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7" t="n"/>
      <c r="DA34" s="277" t="n"/>
      <c r="DB34" s="277" t="n"/>
      <c r="DC34" s="277" t="n"/>
      <c r="DD34" s="277" t="n"/>
      <c r="DE34" s="277" t="n"/>
      <c r="DF34" s="277" t="n"/>
      <c r="DG34" s="277" t="n"/>
      <c r="DH34" s="277" t="n"/>
      <c r="DI34" s="277" t="n"/>
      <c r="DJ34" s="277" t="n"/>
      <c r="DK34" s="277" t="n"/>
      <c r="DL34" s="277" t="n"/>
      <c r="DM34" s="277" t="n"/>
      <c r="EA34" s="277" t="n"/>
      <c r="EB34" s="277" t="n"/>
    </row>
    <row r="35" ht="13.5" customHeight="1" s="195">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7" t="n"/>
      <c r="DA35" s="277" t="n"/>
      <c r="DB35" s="277" t="n"/>
      <c r="DC35" s="277" t="n"/>
      <c r="DD35" s="277" t="n"/>
      <c r="DE35" s="277" t="n"/>
      <c r="DF35" s="277" t="n"/>
      <c r="DG35" s="277" t="n"/>
      <c r="DH35" s="277" t="n"/>
      <c r="DI35" s="277" t="n"/>
      <c r="DJ35" s="277" t="n"/>
      <c r="DK35" s="277" t="n"/>
      <c r="DL35" s="277" t="n"/>
      <c r="DM35" s="277" t="n"/>
      <c r="EA35" s="277" t="n"/>
      <c r="EB35" s="277" t="n"/>
    </row>
    <row r="36" ht="13.5" customHeight="1" s="195">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7" t="n"/>
      <c r="DA36" s="277" t="n"/>
      <c r="DB36" s="277" t="n"/>
      <c r="DC36" s="277" t="n"/>
      <c r="DD36" s="277" t="n"/>
      <c r="DE36" s="277" t="n"/>
      <c r="DF36" s="277" t="n"/>
      <c r="DG36" s="277" t="n"/>
      <c r="DH36" s="277" t="n"/>
      <c r="DI36" s="277" t="n"/>
      <c r="DJ36" s="277" t="n"/>
      <c r="DK36" s="277" t="n"/>
      <c r="DL36" s="277" t="n"/>
      <c r="DM36" s="277" t="n"/>
      <c r="EA36" s="277" t="n"/>
      <c r="EB36" s="277" t="n"/>
    </row>
    <row r="37" ht="13.5" customHeight="1" s="195">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7" t="n"/>
      <c r="DA37" s="277" t="n"/>
      <c r="DB37" s="277" t="n"/>
      <c r="DC37" s="277" t="n"/>
      <c r="DD37" s="277" t="n"/>
      <c r="DE37" s="277" t="n"/>
      <c r="DF37" s="277" t="n"/>
      <c r="DG37" s="277" t="n"/>
      <c r="DH37" s="277" t="n"/>
      <c r="DI37" s="277" t="n"/>
      <c r="DJ37" s="277" t="n"/>
      <c r="DK37" s="277" t="n"/>
      <c r="DL37" s="277" t="n"/>
      <c r="DM37" s="277" t="n"/>
      <c r="EA37" s="277" t="n"/>
      <c r="EB37" s="277" t="n"/>
    </row>
    <row r="38" ht="13.5" customHeight="1" s="195">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7" t="n"/>
      <c r="DA38" s="277" t="n"/>
      <c r="DB38" s="277" t="n"/>
      <c r="DC38" s="277" t="n"/>
      <c r="DD38" s="277" t="n"/>
      <c r="DE38" s="277" t="n"/>
      <c r="DF38" s="277" t="n"/>
      <c r="DG38" s="277" t="n"/>
      <c r="DH38" s="277" t="n"/>
      <c r="DI38" s="277" t="n"/>
      <c r="DJ38" s="277" t="n"/>
      <c r="DK38" s="277" t="n"/>
      <c r="DL38" s="277" t="n"/>
      <c r="DM38" s="277" t="n"/>
      <c r="EA38" s="277" t="n"/>
      <c r="EB38" s="277" t="n"/>
    </row>
    <row r="39" ht="13.5" customHeight="1" s="195">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7" t="n"/>
      <c r="DA39" s="277" t="n"/>
      <c r="DB39" s="277" t="n"/>
      <c r="DC39" s="277" t="n"/>
      <c r="DD39" s="277" t="n"/>
      <c r="DE39" s="277" t="n"/>
      <c r="DF39" s="277" t="n"/>
      <c r="DG39" s="277" t="n"/>
      <c r="DH39" s="277" t="n"/>
      <c r="DI39" s="277" t="n"/>
      <c r="DJ39" s="277" t="n"/>
      <c r="DK39" s="277" t="n"/>
      <c r="DL39" s="277" t="n"/>
      <c r="DM39" s="277" t="n"/>
      <c r="EA39" s="277" t="n"/>
      <c r="EB39" s="277" t="n"/>
    </row>
    <row r="40" ht="13.5" customHeight="1" s="195">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7" t="n"/>
      <c r="DA40" s="277" t="n"/>
      <c r="DB40" s="277" t="n"/>
      <c r="DC40" s="277" t="n"/>
      <c r="DD40" s="277" t="n"/>
      <c r="DE40" s="277" t="n"/>
      <c r="DF40" s="277" t="n"/>
      <c r="DG40" s="277" t="n"/>
      <c r="DH40" s="277" t="n"/>
      <c r="DI40" s="277" t="n"/>
      <c r="DJ40" s="277" t="n"/>
      <c r="DK40" s="277" t="n"/>
      <c r="DL40" s="277" t="n"/>
      <c r="DM40" s="277" t="n"/>
      <c r="EA40" s="277" t="n"/>
      <c r="EB40" s="277" t="n"/>
    </row>
    <row r="41" ht="13.5" customHeight="1" s="195">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7" t="n"/>
      <c r="DA41" s="277" t="n"/>
      <c r="DB41" s="277" t="n"/>
      <c r="DC41" s="277" t="n"/>
      <c r="DD41" s="277" t="n"/>
      <c r="DE41" s="277" t="n"/>
      <c r="DF41" s="277" t="n"/>
      <c r="DG41" s="277" t="n"/>
      <c r="DH41" s="277" t="n"/>
      <c r="DI41" s="277" t="n"/>
      <c r="DJ41" s="277" t="n"/>
      <c r="DK41" s="277" t="n"/>
      <c r="DL41" s="277" t="n"/>
      <c r="DM41" s="277" t="n"/>
      <c r="EA41" s="277" t="n"/>
      <c r="EB41" s="277" t="n"/>
    </row>
    <row r="42" ht="13.5" customHeight="1" s="195">
      <c r="A42" s="263" t="n">
        <v>38</v>
      </c>
      <c r="B42" s="9">
        <f>IF(MAESTRO!F42="","",MAESTRO!F42)</f>
        <v/>
      </c>
      <c r="C42" s="278" t="inlineStr">
        <is>
          <t>Investigación -Alelopatia</t>
        </is>
      </c>
      <c r="D42" s="278" t="inlineStr">
        <is>
          <t>Ejemplos de Plantas Alelopaticas</t>
        </is>
      </c>
      <c r="E42" s="278" t="n"/>
      <c r="F42" s="278" t="n"/>
      <c r="G42" s="278" t="n"/>
      <c r="H42" s="278" t="n"/>
      <c r="I42" s="278" t="n"/>
      <c r="J42" s="278" t="n"/>
      <c r="K42" s="278" t="n"/>
      <c r="L42" s="278" t="n"/>
      <c r="M42" s="278" t="n"/>
      <c r="N42" s="278" t="n"/>
      <c r="O42" s="278" t="n"/>
      <c r="P42" s="5" t="n"/>
      <c r="Q42" s="40" t="n">
        <v>38</v>
      </c>
      <c r="R42" s="278" t="inlineStr">
        <is>
          <t>Participacion - Huerto</t>
        </is>
      </c>
      <c r="S42" s="278" t="n"/>
      <c r="T42" s="278" t="n"/>
      <c r="U42" s="278" t="n"/>
      <c r="V42" s="278" t="n"/>
      <c r="W42" s="278" t="n"/>
      <c r="X42" s="278" t="n"/>
      <c r="Y42" s="278" t="n"/>
      <c r="Z42" s="278" t="n"/>
      <c r="AA42" s="45" t="n"/>
      <c r="AB42" s="278" t="n"/>
      <c r="AC42" s="278" t="n"/>
      <c r="AD42" s="5" t="n"/>
      <c r="AE42" s="44" t="n"/>
      <c r="AF42" s="263" t="n"/>
      <c r="AG42" s="263" t="n">
        <v>38</v>
      </c>
      <c r="AH42" s="263" t="n">
        <v>38</v>
      </c>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4" t="n"/>
      <c r="BD42" s="274" t="n"/>
      <c r="BE42" s="274" t="n"/>
      <c r="BF42" s="274" t="n"/>
      <c r="BG42" s="295" t="n"/>
      <c r="BH42" s="5" t="n"/>
      <c r="BI42" s="274" t="n"/>
      <c r="BJ42" s="274" t="n"/>
      <c r="BK42" s="22" t="n"/>
      <c r="BL42" s="5" t="n"/>
      <c r="BM42" s="263" t="n"/>
      <c r="BN42" s="263" t="n">
        <v>38</v>
      </c>
      <c r="BO42" s="263" t="n">
        <v>38</v>
      </c>
      <c r="BP42" s="263">
        <f>IF(MAESTRO!F42="","",MAESTRO!F42)</f>
        <v/>
      </c>
      <c r="BQ42" s="186" t="n"/>
      <c r="BR42" s="273" t="n"/>
      <c r="BS42" s="273" t="n"/>
      <c r="BT42" s="273" t="n"/>
      <c r="BU42" s="273" t="n"/>
      <c r="BV42" s="273" t="n"/>
      <c r="BW42" s="273" t="n"/>
      <c r="BX42" s="273" t="n"/>
      <c r="BY42" s="273" t="n"/>
      <c r="BZ42" s="273" t="n"/>
      <c r="CA42" s="273" t="n"/>
      <c r="CB42" s="273" t="n"/>
      <c r="CC42" s="273" t="n"/>
      <c r="CD42" s="273" t="n"/>
      <c r="CE42" s="5" t="n"/>
      <c r="CF42" s="265" t="n"/>
      <c r="CG42" s="265" t="n"/>
      <c r="CH42" s="265" t="n"/>
      <c r="CI42" s="265" t="n"/>
      <c r="CJ42" s="273" t="n"/>
      <c r="CK42" s="273" t="n"/>
      <c r="CL42" s="273" t="n"/>
      <c r="CM42" s="273" t="n"/>
      <c r="CN42" s="273" t="n"/>
      <c r="CO42" s="273" t="n"/>
      <c r="CP42" s="5" t="n"/>
      <c r="CQ42" s="273" t="n"/>
      <c r="CR42" s="273" t="n"/>
      <c r="CS42" s="5" t="n"/>
      <c r="CT42" s="5" t="n"/>
      <c r="CU42" s="263" t="n"/>
      <c r="CV42" s="172" t="n">
        <v>38</v>
      </c>
      <c r="CZ42" s="277" t="n"/>
      <c r="DA42" s="277" t="n"/>
      <c r="DB42" s="277" t="n"/>
      <c r="DC42" s="277" t="n"/>
      <c r="DD42" s="277" t="n"/>
      <c r="DE42" s="277" t="n"/>
      <c r="DF42" s="277" t="n"/>
      <c r="DG42" s="277" t="n"/>
      <c r="DH42" s="277" t="n"/>
      <c r="DI42" s="277" t="n"/>
      <c r="DJ42" s="277" t="n"/>
      <c r="DK42" s="277" t="n"/>
      <c r="DL42" s="277" t="n"/>
      <c r="DM42" s="277" t="n"/>
      <c r="EA42" s="277" t="n"/>
      <c r="EB42" s="277" t="n"/>
    </row>
    <row r="43" ht="13.5" customHeight="1" s="195">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7" t="n"/>
      <c r="DA43" s="277" t="n"/>
      <c r="DB43" s="277" t="n"/>
      <c r="DC43" s="277" t="n"/>
      <c r="DD43" s="277" t="n"/>
      <c r="DE43" s="277" t="n"/>
      <c r="DF43" s="277" t="n"/>
      <c r="DG43" s="277" t="n"/>
      <c r="DH43" s="277" t="n"/>
      <c r="DI43" s="277" t="n"/>
      <c r="DJ43" s="277" t="n"/>
      <c r="DK43" s="277" t="n"/>
      <c r="DL43" s="277" t="n"/>
      <c r="DM43" s="277" t="n"/>
      <c r="EA43" s="277" t="n"/>
      <c r="EB43" s="277" t="n"/>
    </row>
    <row r="44" ht="13.5" customHeight="1" s="195">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7" t="n"/>
      <c r="DA44" s="277" t="n"/>
      <c r="DB44" s="277" t="n"/>
      <c r="DC44" s="277" t="n"/>
      <c r="DD44" s="277" t="n"/>
      <c r="DE44" s="277" t="n"/>
      <c r="DF44" s="277" t="n"/>
      <c r="DG44" s="277" t="n"/>
      <c r="DH44" s="277" t="n"/>
      <c r="DI44" s="277" t="n"/>
      <c r="DJ44" s="277" t="n"/>
      <c r="DK44" s="277" t="n"/>
      <c r="DL44" s="277" t="n"/>
      <c r="DM44" s="277" t="n"/>
      <c r="EA44" s="277" t="n"/>
      <c r="EB44" s="277" t="n"/>
    </row>
    <row r="45" ht="13.5" customHeight="1" s="195">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7" t="n"/>
      <c r="DA45" s="277" t="n"/>
      <c r="DB45" s="277" t="n"/>
      <c r="DC45" s="277" t="n"/>
      <c r="DD45" s="277" t="n"/>
      <c r="DE45" s="277" t="n"/>
      <c r="DF45" s="277" t="n"/>
      <c r="DG45" s="277" t="n"/>
      <c r="DH45" s="277" t="n"/>
      <c r="DI45" s="277" t="n"/>
      <c r="DJ45" s="277" t="n"/>
      <c r="DK45" s="277" t="n"/>
      <c r="DL45" s="277" t="n"/>
      <c r="DM45" s="277" t="n"/>
      <c r="EA45" s="277" t="n"/>
      <c r="EB45" s="277" t="n"/>
    </row>
    <row r="46" ht="13.5" customHeight="1" s="195">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7" t="n"/>
      <c r="DA46" s="277" t="n"/>
      <c r="DB46" s="277" t="n"/>
      <c r="DC46" s="277" t="n"/>
      <c r="DD46" s="277" t="n"/>
      <c r="DE46" s="277" t="n"/>
      <c r="DF46" s="277" t="n"/>
      <c r="DG46" s="277" t="n"/>
      <c r="DH46" s="277" t="n"/>
      <c r="DI46" s="277" t="n"/>
      <c r="DJ46" s="277" t="n"/>
      <c r="DK46" s="277" t="n"/>
      <c r="DL46" s="277" t="n"/>
      <c r="DM46" s="277" t="n"/>
      <c r="EA46" s="277" t="n"/>
      <c r="EB46" s="277" t="n"/>
    </row>
    <row r="47" ht="13.5" customHeight="1" s="195">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7" t="n"/>
      <c r="DA47" s="277" t="n"/>
      <c r="DB47" s="277" t="n"/>
      <c r="DC47" s="277" t="n"/>
      <c r="DD47" s="277" t="n"/>
      <c r="DE47" s="277" t="n"/>
      <c r="DF47" s="277" t="n"/>
      <c r="DG47" s="277" t="n"/>
      <c r="DH47" s="277" t="n"/>
      <c r="DI47" s="277" t="n"/>
      <c r="DJ47" s="277" t="n"/>
      <c r="DK47" s="277" t="n"/>
      <c r="DL47" s="277" t="n"/>
      <c r="DM47" s="277" t="n"/>
      <c r="EA47" s="277" t="n"/>
      <c r="EB47" s="277" t="n"/>
    </row>
    <row r="48" ht="13.5" customHeight="1" s="195">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7" t="n"/>
      <c r="DA48" s="277" t="n"/>
      <c r="DB48" s="277" t="n"/>
      <c r="DC48" s="277" t="n"/>
      <c r="DD48" s="277" t="n"/>
      <c r="DE48" s="277" t="n"/>
      <c r="DF48" s="277" t="n"/>
      <c r="DG48" s="277" t="n"/>
      <c r="DH48" s="277" t="n"/>
      <c r="DI48" s="277" t="n"/>
      <c r="DJ48" s="277" t="n"/>
      <c r="DK48" s="277" t="n"/>
      <c r="DL48" s="277" t="n"/>
      <c r="DM48" s="277" t="n"/>
      <c r="EA48" s="277" t="n"/>
      <c r="EB48" s="277"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BP22:BQ22"/>
    <mergeCell ref="BE42:BE48"/>
    <mergeCell ref="CX33:CY33"/>
    <mergeCell ref="DN3:DW3"/>
    <mergeCell ref="S42:S48"/>
    <mergeCell ref="EC3:ED4"/>
    <mergeCell ref="BP12:BQ12"/>
    <mergeCell ref="CX17:CY17"/>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AV42:AV48"/>
    <mergeCell ref="CD42:CD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CX46:CY46"/>
    <mergeCell ref="C3:O3"/>
    <mergeCell ref="AI11:AJ11"/>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AD3:AD4"/>
    <mergeCell ref="BL3:BL4"/>
    <mergeCell ref="BP19:BQ19"/>
    <mergeCell ref="CM42:CM48"/>
    <mergeCell ref="AU42:AU48"/>
    <mergeCell ref="E42:E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M42:AM48"/>
    <mergeCell ref="AA3:AA4"/>
    <mergeCell ref="AI22:AJ22"/>
    <mergeCell ref="BP48:BQ48"/>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95" min="1" max="1"/>
    <col width="3.44140625" customWidth="1" style="195" min="2" max="2"/>
    <col width="17.44140625" customWidth="1" style="195" min="3" max="3"/>
    <col width="6.44140625" customWidth="1" style="195" min="4" max="4"/>
    <col width="12" customWidth="1" style="195" min="5" max="5"/>
    <col width="5.6640625" customWidth="1" style="195" min="6" max="6"/>
    <col width="6" customWidth="1" style="195" min="7" max="7"/>
    <col width="4.6640625" customWidth="1" style="195" min="8" max="8"/>
    <col width="7.44140625" customWidth="1" style="277" min="9" max="9"/>
    <col width="4.6640625" customWidth="1" style="195" min="10" max="13"/>
    <col width="4.44140625" customWidth="1" style="195" min="14" max="14"/>
    <col width="4.6640625" customWidth="1" style="195" min="15" max="15"/>
    <col width="4.109375" customWidth="1" style="195" min="16" max="16"/>
    <col width="4" customWidth="1" style="195" min="17" max="17"/>
  </cols>
  <sheetData>
    <row r="3" ht="18" customHeight="1" s="195">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1" t="n"/>
      <c r="D9" s="313" t="n">
        <v>2026</v>
      </c>
      <c r="E9" s="191"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3"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5">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1" t="n"/>
    </row>
    <row r="14" ht="15" customHeight="1" s="195">
      <c r="B14" s="302" t="inlineStr">
        <is>
          <t>No</t>
        </is>
      </c>
      <c r="C14" s="311" t="inlineStr">
        <is>
          <t>APELLIDO, NOMBRE</t>
        </is>
      </c>
      <c r="D14" s="191"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2" t="n"/>
      <c r="Q14" s="193" t="n"/>
    </row>
    <row r="15">
      <c r="B15" s="183" t="n"/>
      <c r="C15" s="192" t="n"/>
      <c r="D15" s="193"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2026-06-09T14:03:50Z</dcterms:modified>
  <cp:lastModifiedBy>elmer tugri</cp:lastModifiedBy>
  <cp:lastPrinted>2026-05-31T15:15:52Z</cp:lastPrinted>
</cp:coreProperties>
</file>