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03" firstSheet="5" activeTab="8" autoFilterDateGrouping="1"/>
  </bookViews>
  <sheets>
    <sheet xmlns:r="http://schemas.openxmlformats.org/officeDocument/2006/relationships" name="Caratula" sheetId="1" state="visible" r:id="rId1"/>
    <sheet xmlns:r="http://schemas.openxmlformats.org/officeDocument/2006/relationships" name="Portada" sheetId="2" state="visible" r:id="rId2"/>
    <sheet xmlns:r="http://schemas.openxmlformats.org/officeDocument/2006/relationships" name="Horarios" sheetId="3" state="visible" r:id="rId3"/>
    <sheet xmlns:r="http://schemas.openxmlformats.org/officeDocument/2006/relationships" name="Guía del Registro" sheetId="4" state="visible" r:id="rId4"/>
    <sheet xmlns:r="http://schemas.openxmlformats.org/officeDocument/2006/relationships" name="Observaciones" sheetId="5" state="visible" r:id="rId5"/>
    <sheet xmlns:r="http://schemas.openxmlformats.org/officeDocument/2006/relationships" name="MAESTRO 1°" sheetId="6" state="visible" r:id="rId6"/>
    <sheet xmlns:r="http://schemas.openxmlformats.org/officeDocument/2006/relationships" name="RESUMEN_1°" sheetId="7" state="visible" r:id="rId7"/>
    <sheet xmlns:r="http://schemas.openxmlformats.org/officeDocument/2006/relationships" name="Asistencia 1° " sheetId="8" state="visible" r:id="rId8"/>
    <sheet xmlns:r="http://schemas.openxmlformats.org/officeDocument/2006/relationships" name="PROM (Ingles 1°)" sheetId="9" state="visible" r:id="rId9"/>
    <sheet xmlns:r="http://schemas.openxmlformats.org/officeDocument/2006/relationships" name="Planilla (Ingles 1°) " sheetId="10" state="visible" r:id="rId10"/>
    <sheet xmlns:r="http://schemas.openxmlformats.org/officeDocument/2006/relationships" name="DASHBOARD" sheetId="11" state="visible" r:id="rId11"/>
    <sheet xmlns:r="http://schemas.openxmlformats.org/officeDocument/2006/relationships" name="REPORTE_DIRECCIÓN" sheetId="12" state="visible" r:id="rId12"/>
    <sheet xmlns:r="http://schemas.openxmlformats.org/officeDocument/2006/relationships" name="REPORTE_APROBADOS" sheetId="13" state="visible" r:id="rId13"/>
    <sheet xmlns:r="http://schemas.openxmlformats.org/officeDocument/2006/relationships" name="REPORTE_DOCENTE" sheetId="14" state="visible" r:id="rId14"/>
  </sheets>
  <externalReferences>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s>
  <definedNames/>
  <calcPr calcId="191029" fullCalcOnLoad="1"/>
</workbook>
</file>

<file path=xl/styles.xml><?xml version="1.0" encoding="utf-8"?>
<styleSheet xmlns="http://schemas.openxmlformats.org/spreadsheetml/2006/main">
  <numFmts count="3">
    <numFmt numFmtId="164" formatCode="0.0"/>
    <numFmt numFmtId="165" formatCode="_-* #,##0.00000_-;\-* #,##0.00000_-;_-* &quot;-&quot;??_-;_-@_-"/>
    <numFmt numFmtId="166" formatCode="_-* #,##0.0000000000000_-;\-* #,##0.0000000000000_-;_-* &quot;-&quot;??_-;_-@_-"/>
  </numFmts>
  <fonts count="52">
    <font>
      <name val="Calibri"/>
      <family val="2"/>
      <color theme="1"/>
      <sz val="11"/>
      <scheme val="minor"/>
    </font>
    <font>
      <name val="Calibri"/>
      <family val="2"/>
      <color theme="1"/>
      <sz val="8"/>
      <scheme val="minor"/>
    </font>
    <font>
      <name val="Calibri"/>
      <family val="2"/>
      <color theme="1"/>
      <sz val="12"/>
      <scheme val="minor"/>
    </font>
    <font>
      <name val="Calibri"/>
      <family val="2"/>
      <b val="1"/>
      <color theme="1"/>
      <sz val="12"/>
      <scheme val="minor"/>
    </font>
    <font>
      <name val="Calibri"/>
      <family val="2"/>
      <b val="1"/>
      <color theme="1"/>
      <sz val="11"/>
      <scheme val="minor"/>
    </font>
    <font>
      <name val="Calibri"/>
      <family val="2"/>
      <b val="1"/>
      <color theme="1"/>
      <sz val="8"/>
      <scheme val="minor"/>
    </font>
    <font>
      <name val="Times New Roman"/>
      <family val="1"/>
      <color theme="1"/>
      <sz val="10"/>
    </font>
    <font>
      <name val="Arial"/>
      <family val="2"/>
      <b val="1"/>
      <color theme="1"/>
      <sz val="10"/>
    </font>
    <font>
      <name val="Calibri"/>
      <family val="2"/>
      <color theme="1"/>
      <sz val="10"/>
      <scheme val="minor"/>
    </font>
    <font>
      <name val="Times New Roman"/>
      <family val="1"/>
      <b val="1"/>
      <color theme="1"/>
      <sz val="10"/>
    </font>
    <font>
      <name val="Calibri"/>
      <family val="2"/>
      <b val="1"/>
      <color theme="1"/>
      <sz val="10"/>
      <scheme val="minor"/>
    </font>
    <font>
      <name val="Times New Roman"/>
      <family val="1"/>
      <b val="1"/>
      <color theme="1"/>
      <sz val="9"/>
    </font>
    <font>
      <name val="Calibri"/>
      <family val="2"/>
      <color theme="1"/>
      <sz val="9"/>
      <scheme val="minor"/>
    </font>
    <font>
      <name val="Calibri"/>
      <family val="2"/>
      <color theme="1"/>
      <sz val="11"/>
      <scheme val="minor"/>
    </font>
    <font>
      <name val="Calibri"/>
      <family val="2"/>
      <b val="1"/>
      <color theme="4" tint="-0.499984740745262"/>
      <sz val="11"/>
      <scheme val="minor"/>
    </font>
    <font>
      <name val="Britannic Bold"/>
      <family val="2"/>
      <color theme="1"/>
      <sz val="26"/>
    </font>
    <font>
      <name val="Droid"/>
      <family val="2"/>
      <color theme="1"/>
      <sz val="14"/>
    </font>
    <font>
      <name val="Calibri"/>
      <family val="2"/>
      <color theme="1"/>
      <sz val="14"/>
      <scheme val="minor"/>
    </font>
    <font>
      <name val="Calibri"/>
      <family val="2"/>
      <color theme="10"/>
      <sz val="11"/>
      <u val="single"/>
      <scheme val="minor"/>
    </font>
    <font>
      <name val="Calibri"/>
      <family val="2"/>
      <i val="1"/>
      <color theme="1"/>
      <sz val="10"/>
      <scheme val="minor"/>
    </font>
    <font>
      <name val="Calibri"/>
      <family val="2"/>
      <b val="1"/>
      <i val="1"/>
      <color theme="1"/>
      <sz val="14"/>
      <scheme val="minor"/>
    </font>
    <font>
      <name val="Arial"/>
      <family val="2"/>
      <color theme="1"/>
      <sz val="10"/>
    </font>
    <font>
      <name val="Calibri"/>
      <family val="2"/>
      <color theme="1"/>
      <sz val="11"/>
      <u val="single"/>
      <scheme val="minor"/>
    </font>
    <font>
      <name val="Arial"/>
      <family val="2"/>
      <b val="1"/>
      <color rgb="FFFFFFFF"/>
      <sz val="14"/>
    </font>
    <font>
      <name val="Arial"/>
      <family val="2"/>
      <i val="1"/>
      <color rgb="FF1F3864"/>
      <sz val="10"/>
    </font>
    <font>
      <name val="Arial"/>
      <family val="2"/>
      <b val="1"/>
      <color rgb="FFFFFFFF"/>
      <sz val="11"/>
    </font>
    <font>
      <name val="Arial"/>
      <family val="2"/>
      <b val="1"/>
      <color rgb="FFFFFFFF"/>
      <sz val="9"/>
    </font>
    <font>
      <name val="Arial"/>
      <family val="2"/>
      <color rgb="FF595959"/>
      <sz val="9"/>
    </font>
    <font>
      <name val="Arial"/>
      <family val="2"/>
      <sz val="10"/>
    </font>
    <font>
      <name val="Arial"/>
      <family val="2"/>
      <b val="1"/>
      <i val="1"/>
      <color rgb="FFC55A11"/>
      <sz val="9"/>
    </font>
    <font>
      <name val="Arial"/>
      <family val="2"/>
      <b val="1"/>
      <color rgb="FFFFFFFF"/>
      <sz val="13"/>
    </font>
    <font>
      <name val="Arial"/>
      <family val="2"/>
      <b val="1"/>
      <color rgb="FFFFFFFF"/>
      <sz val="10"/>
    </font>
    <font>
      <name val="Arial"/>
      <family val="2"/>
      <b val="1"/>
      <color rgb="FF1F3864"/>
      <sz val="10"/>
    </font>
    <font>
      <name val="Arial"/>
      <family val="2"/>
      <b val="1"/>
      <color rgb="FFFFFFFF"/>
      <sz val="8"/>
    </font>
    <font>
      <name val="Arial"/>
      <family val="2"/>
      <i val="1"/>
      <color rgb="FF1F3864"/>
      <sz val="9"/>
    </font>
    <font>
      <name val="Arial"/>
      <family val="2"/>
      <b val="1"/>
      <color rgb="FFFFFFFF"/>
      <sz val="11"/>
    </font>
    <font>
      <name val="Calibri"/>
      <family val="2"/>
      <b val="1"/>
      <color rgb="FFFFFFFF"/>
      <sz val="24"/>
      <scheme val="minor"/>
    </font>
    <font>
      <name val="Calibri"/>
      <family val="2"/>
      <b val="1"/>
      <color rgb="FFFFFFFF"/>
      <sz val="11"/>
      <scheme val="minor"/>
    </font>
    <font>
      <name val="Calibri"/>
      <family val="2"/>
      <b val="1"/>
      <color rgb="FF3C3C3C"/>
      <sz val="12"/>
      <scheme val="minor"/>
    </font>
    <font>
      <name val="Arial"/>
      <family val="2"/>
      <sz val="9"/>
    </font>
    <font>
      <name val="Arial"/>
      <family val="2"/>
      <b val="1"/>
      <color rgb="FFFFFFFF"/>
      <sz val="12"/>
    </font>
    <font>
      <name val="Arial"/>
      <family val="2"/>
      <color rgb="FF1F3864"/>
      <sz val="10"/>
    </font>
    <font>
      <name val="Arial"/>
      <family val="2"/>
      <b val="1"/>
      <color rgb="FF000000"/>
      <sz val="10"/>
    </font>
    <font>
      <name val="Arial"/>
      <family val="2"/>
      <b val="1"/>
      <color rgb="FF1F3864"/>
      <sz val="11"/>
    </font>
    <font>
      <name val="Arial"/>
      <family val="2"/>
      <b val="1"/>
      <sz val="10"/>
    </font>
    <font>
      <name val="Arial"/>
      <family val="2"/>
      <i val="1"/>
      <color rgb="FF595959"/>
      <sz val="10"/>
    </font>
    <font>
      <name val="Arial"/>
      <family val="2"/>
      <color rgb="FF375623"/>
      <sz val="10"/>
    </font>
    <font>
      <name val="Arial"/>
      <family val="2"/>
      <b val="1"/>
      <color rgb="FF375623"/>
      <sz val="10"/>
    </font>
    <font>
      <name val="Arial"/>
      <family val="2"/>
      <b val="1"/>
      <color rgb="FF375623"/>
      <sz val="11"/>
    </font>
    <font>
      <name val="Arial"/>
      <family val="2"/>
      <color rgb="FFC55A11"/>
      <sz val="10"/>
    </font>
    <font>
      <name val="Arial"/>
      <family val="2"/>
      <b val="1"/>
      <color rgb="FFC55A11"/>
      <sz val="11"/>
    </font>
    <font>
      <name val="Calibri"/>
      <family val="2"/>
      <sz val="8"/>
      <scheme val="minor"/>
    </font>
  </fonts>
  <fills count="23">
    <fill>
      <patternFill/>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C55A11"/>
      </patternFill>
    </fill>
    <fill>
      <patternFill patternType="solid">
        <fgColor rgb="FFFFFFFF"/>
      </patternFill>
    </fill>
    <fill>
      <patternFill patternType="solid">
        <fgColor rgb="FFF2F2F2"/>
      </patternFill>
    </fill>
    <fill>
      <patternFill patternType="solid">
        <fgColor rgb="FFBDD7EE"/>
      </patternFill>
    </fill>
    <fill>
      <patternFill patternType="solid">
        <fgColor rgb="FF1F3864"/>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E9D7F5"/>
      </patternFill>
    </fill>
    <fill>
      <patternFill patternType="solid">
        <fgColor rgb="FFFCE4D6"/>
      </patternFill>
    </fill>
    <fill>
      <patternFill patternType="solid">
        <fgColor rgb="FF375623"/>
      </patternFill>
    </fill>
    <fill>
      <patternFill patternType="solid">
        <fgColor rgb="FFE2EFDA"/>
      </patternFill>
    </fill>
    <fill>
      <patternFill patternType="solid">
        <fgColor rgb="FF7030A0"/>
      </patternFill>
    </fill>
    <fill>
      <patternFill patternType="solid">
        <fgColor rgb="FFFFCCCC"/>
      </patternFill>
    </fill>
    <fill>
      <patternFill patternType="solid">
        <fgColor rgb="FFFFF2CC"/>
      </patternFill>
    </fill>
  </fills>
  <borders count="42">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style="thin">
        <color auto="1"/>
      </left>
      <right style="thin">
        <color auto="1"/>
      </right>
      <top style="thin">
        <color auto="1"/>
      </top>
      <bottom style="thin">
        <color auto="1"/>
      </bottom>
      <diagonal/>
    </border>
    <border>
      <left/>
      <right/>
      <top/>
      <bottom style="thin">
        <color rgb="FFBFBFBF"/>
      </bottom>
      <diagonal/>
    </border>
    <border>
      <left style="thin">
        <color rgb="FFBFBFBF"/>
      </left>
      <right/>
      <top style="thin">
        <color rgb="FFBFBFBF"/>
      </top>
      <bottom style="thin">
        <color rgb="FFBFBFBF"/>
      </bottom>
      <diagonal/>
    </border>
    <border>
      <left/>
      <right style="thin">
        <color indexed="64"/>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
      <left style="medium">
        <color indexed="64"/>
      </left>
      <right/>
      <top/>
      <bottom/>
      <diagonal/>
    </border>
    <border>
      <left style="medium">
        <color indexed="64"/>
      </left>
      <right style="thin">
        <color indexed="64"/>
      </right>
      <top/>
      <bottom/>
      <diagonal/>
    </border>
    <border>
      <left style="thin">
        <color auto="1"/>
      </left>
      <right/>
      <top/>
      <bottom/>
      <diagonal/>
    </border>
    <border>
      <left style="thin">
        <color indexed="64"/>
      </left>
      <right style="thin">
        <color indexed="64"/>
      </right>
      <top style="thin">
        <color indexed="64"/>
      </top>
      <bottom style="thin">
        <color auto="1"/>
      </bottom>
      <diagonal/>
    </border>
    <border>
      <left style="thin">
        <color indexed="64"/>
      </left>
      <right style="thin">
        <color indexed="64"/>
      </right>
      <top/>
      <bottom style="thin">
        <color auto="1"/>
      </bottom>
      <diagonal/>
    </border>
    <border>
      <left/>
      <right/>
      <top style="thin">
        <color auto="1"/>
      </top>
      <bottom/>
      <diagonal/>
    </border>
    <border>
      <left/>
      <right style="thin">
        <color auto="1"/>
      </right>
      <top style="thin">
        <color auto="1"/>
      </top>
      <bottom/>
      <diagonal/>
    </border>
  </borders>
  <cellStyleXfs count="3">
    <xf numFmtId="0" fontId="13" fillId="0" borderId="0"/>
    <xf numFmtId="43" fontId="13" fillId="0" borderId="0"/>
    <xf numFmtId="0" fontId="18" fillId="0" borderId="0"/>
  </cellStyleXfs>
  <cellXfs count="266">
    <xf numFmtId="0" fontId="0" fillId="0" borderId="0" pivotButton="0" quotePrefix="0" xfId="0"/>
    <xf numFmtId="0" fontId="0" fillId="0" borderId="1" pivotButton="0" quotePrefix="0" xfId="0"/>
    <xf numFmtId="0" fontId="1" fillId="0" borderId="2" applyAlignment="1" pivotButton="0" quotePrefix="0" xfId="0">
      <alignment vertical="center" wrapText="1"/>
    </xf>
    <xf numFmtId="0" fontId="0" fillId="0" borderId="4" pivotButton="0" quotePrefix="0" xfId="0"/>
    <xf numFmtId="0" fontId="0" fillId="0" borderId="2" pivotButton="0" quotePrefix="0" xfId="0"/>
    <xf numFmtId="164" fontId="0" fillId="0" borderId="2" pivotButton="0" quotePrefix="0" xfId="0"/>
    <xf numFmtId="0" fontId="0" fillId="0" borderId="7" pivotButton="0" quotePrefix="0" xfId="0"/>
    <xf numFmtId="0" fontId="0" fillId="0" borderId="6" pivotButton="0" quotePrefix="0" xfId="0"/>
    <xf numFmtId="0" fontId="1" fillId="0" borderId="2" applyAlignment="1" pivotButton="0" quotePrefix="0" xfId="0">
      <alignment horizontal="center" vertical="center" wrapText="1"/>
    </xf>
    <xf numFmtId="0" fontId="6" fillId="0" borderId="2" pivotButton="0" quotePrefix="0" xfId="0"/>
    <xf numFmtId="16" fontId="0" fillId="0" borderId="2" applyAlignment="1" pivotButton="0" quotePrefix="0" xfId="0">
      <alignment horizontal="center" vertical="center" textRotation="90"/>
    </xf>
    <xf numFmtId="0" fontId="7" fillId="0" borderId="9" applyAlignment="1" pivotButton="0" quotePrefix="0" xfId="0">
      <alignment horizontal="left"/>
    </xf>
    <xf numFmtId="0" fontId="8" fillId="0" borderId="0" pivotButton="0" quotePrefix="0" xfId="0"/>
    <xf numFmtId="0" fontId="9" fillId="0" borderId="0" applyAlignment="1" pivotButton="0" quotePrefix="0" xfId="0">
      <alignment vertical="center"/>
    </xf>
    <xf numFmtId="0" fontId="9" fillId="0" borderId="6" applyAlignment="1" pivotButton="0" quotePrefix="0" xfId="0">
      <alignment horizontal="center"/>
    </xf>
    <xf numFmtId="0" fontId="7" fillId="0" borderId="10" applyAlignment="1" pivotButton="0" quotePrefix="0" xfId="0">
      <alignment horizontal="left"/>
    </xf>
    <xf numFmtId="0" fontId="0" fillId="0" borderId="2" applyAlignment="1" pivotButton="0" quotePrefix="0" xfId="0">
      <alignment horizontal="center"/>
    </xf>
    <xf numFmtId="0" fontId="0" fillId="0" borderId="0" applyAlignment="1" pivotButton="0" quotePrefix="0" xfId="0">
      <alignment horizontal="center"/>
    </xf>
    <xf numFmtId="0" fontId="0" fillId="0" borderId="2" applyAlignment="1" pivotButton="0" quotePrefix="0" xfId="0">
      <alignment horizontal="left"/>
    </xf>
    <xf numFmtId="0" fontId="0" fillId="0" borderId="0" pivotButton="0" quotePrefix="0" xfId="1"/>
    <xf numFmtId="164" fontId="0" fillId="0" borderId="2" pivotButton="0" quotePrefix="0" xfId="1"/>
    <xf numFmtId="16" fontId="0" fillId="0" borderId="2" applyAlignment="1" pivotButton="0" quotePrefix="0" xfId="1">
      <alignment horizontal="center" textRotation="90" wrapText="1"/>
    </xf>
    <xf numFmtId="0" fontId="0" fillId="0" borderId="2" applyAlignment="1" pivotButton="0" quotePrefix="0" xfId="0">
      <alignment vertical="center" textRotation="180"/>
    </xf>
    <xf numFmtId="0" fontId="0" fillId="0" borderId="2" applyAlignment="1" pivotButton="0" quotePrefix="0" xfId="0">
      <alignment horizontal="center" vertical="center"/>
    </xf>
    <xf numFmtId="0" fontId="2" fillId="0" borderId="2" applyAlignment="1" pivotButton="0" quotePrefix="0" xfId="0">
      <alignment horizontal="center" vertical="center"/>
    </xf>
    <xf numFmtId="14" fontId="2" fillId="0" borderId="0" applyAlignment="1" pivotButton="0" quotePrefix="0" xfId="0">
      <alignment horizontal="center" vertical="center" wrapText="1"/>
    </xf>
    <xf numFmtId="0" fontId="0" fillId="0" borderId="15" pivotButton="0" quotePrefix="0" xfId="0"/>
    <xf numFmtId="0" fontId="2" fillId="0" borderId="0" pivotButton="0" quotePrefix="0" xfId="0"/>
    <xf numFmtId="0" fontId="0" fillId="0" borderId="0" applyAlignment="1" pivotButton="0" quotePrefix="0" xfId="0">
      <alignment horizontal="center" vertical="center"/>
    </xf>
    <xf numFmtId="0" fontId="4" fillId="0" borderId="0" applyAlignment="1" pivotButton="0" quotePrefix="0" xfId="0">
      <alignment horizontal="left" wrapText="1"/>
    </xf>
    <xf numFmtId="0" fontId="8" fillId="0" borderId="0" applyAlignment="1" pivotButton="0" quotePrefix="0" xfId="0">
      <alignment horizontal="justify" vertical="top"/>
    </xf>
    <xf numFmtId="0" fontId="3" fillId="0" borderId="0" applyAlignment="1" pivotButton="0" quotePrefix="0" xfId="0">
      <alignment horizontal="justify"/>
    </xf>
    <xf numFmtId="0" fontId="3" fillId="0" borderId="0" applyAlignment="1" pivotButton="0" quotePrefix="0" xfId="0">
      <alignment horizontal="justify" vertical="top"/>
    </xf>
    <xf numFmtId="0" fontId="8" fillId="0" borderId="0" applyAlignment="1" pivotButton="0" quotePrefix="0" xfId="0">
      <alignment horizontal="justify"/>
    </xf>
    <xf numFmtId="0" fontId="4" fillId="0" borderId="0" applyAlignment="1" pivotButton="0" quotePrefix="0" xfId="0">
      <alignment horizontal="justify" vertical="top"/>
    </xf>
    <xf numFmtId="0" fontId="8" fillId="0" borderId="0" applyAlignment="1" pivotButton="0" quotePrefix="0" xfId="0">
      <alignment vertical="top"/>
    </xf>
    <xf numFmtId="0" fontId="19" fillId="0" borderId="0" applyAlignment="1" pivotButton="0" quotePrefix="0" xfId="0">
      <alignment horizontal="justify" vertical="top"/>
    </xf>
    <xf numFmtId="14" fontId="3" fillId="0" borderId="9" applyAlignment="1" pivotButton="0" quotePrefix="0" xfId="0">
      <alignment horizontal="center" vertical="center" wrapText="1"/>
    </xf>
    <xf numFmtId="1" fontId="4" fillId="0" borderId="2" applyAlignment="1" pivotButton="0" quotePrefix="0" xfId="0">
      <alignment horizontal="center" vertical="center"/>
    </xf>
    <xf numFmtId="164" fontId="0" fillId="0" borderId="0" pivotButton="0" quotePrefix="0" xfId="1"/>
    <xf numFmtId="164" fontId="0" fillId="0" borderId="2" applyAlignment="1" pivotButton="0" quotePrefix="0" xfId="1">
      <alignment horizontal="center"/>
    </xf>
    <xf numFmtId="164" fontId="0" fillId="0" borderId="0" applyAlignment="1" pivotButton="0" quotePrefix="0" xfId="1">
      <alignment horizontal="center"/>
    </xf>
    <xf numFmtId="164" fontId="4" fillId="3" borderId="2" pivotButton="0" quotePrefix="0" xfId="0"/>
    <xf numFmtId="164" fontId="8" fillId="0" borderId="0" pivotButton="0" quotePrefix="0" xfId="0"/>
    <xf numFmtId="164" fontId="8" fillId="0" borderId="0" applyAlignment="1" pivotButton="0" quotePrefix="0" xfId="0">
      <alignment horizontal="center"/>
    </xf>
    <xf numFmtId="164" fontId="0" fillId="0" borderId="0" pivotButton="0" quotePrefix="0" xfId="0"/>
    <xf numFmtId="164" fontId="10" fillId="0" borderId="2" applyAlignment="1" pivotButton="0" quotePrefix="0" xfId="0">
      <alignment horizontal="center"/>
    </xf>
    <xf numFmtId="165" fontId="0" fillId="0" borderId="0" applyAlignment="1" pivotButton="0" quotePrefix="0" xfId="1">
      <alignment horizontal="left"/>
    </xf>
    <xf numFmtId="0" fontId="0" fillId="0" borderId="0" applyAlignment="1" pivotButton="0" quotePrefix="0" xfId="0">
      <alignment horizontal="left"/>
    </xf>
    <xf numFmtId="166" fontId="0" fillId="0" borderId="2" pivotButton="0" quotePrefix="0" xfId="1"/>
    <xf numFmtId="166" fontId="0" fillId="0" borderId="0" pivotButton="0" quotePrefix="0" xfId="1"/>
    <xf numFmtId="0" fontId="8" fillId="0" borderId="0" applyAlignment="1" pivotButton="0" quotePrefix="0" xfId="0">
      <alignment horizontal="center"/>
    </xf>
    <xf numFmtId="0" fontId="8" fillId="0" borderId="2" applyAlignment="1" pivotButton="0" quotePrefix="0" xfId="0">
      <alignment horizontal="center"/>
    </xf>
    <xf numFmtId="0" fontId="10" fillId="0" borderId="2" applyAlignment="1" pivotButton="0" quotePrefix="0" xfId="0">
      <alignment horizontal="center"/>
    </xf>
    <xf numFmtId="0" fontId="4" fillId="0" borderId="2" applyAlignment="1" pivotButton="0" quotePrefix="0" xfId="0">
      <alignment vertical="center" textRotation="255"/>
    </xf>
    <xf numFmtId="164" fontId="13" fillId="0" borderId="2" applyAlignment="1" pivotButton="0" quotePrefix="0" xfId="1">
      <alignment horizontal="right"/>
    </xf>
    <xf numFmtId="164" fontId="0" fillId="0" borderId="2" applyAlignment="1" pivotButton="0" quotePrefix="0" xfId="1">
      <alignment horizontal="right"/>
    </xf>
    <xf numFmtId="164" fontId="0" fillId="0" borderId="2" applyAlignment="1" pivotButton="0" quotePrefix="0" xfId="0">
      <alignment horizontal="center"/>
    </xf>
    <xf numFmtId="164" fontId="13" fillId="0" borderId="2" applyAlignment="1" pivotButton="0" quotePrefix="0" xfId="0">
      <alignment horizontal="right"/>
    </xf>
    <xf numFmtId="0" fontId="4" fillId="0" borderId="2" applyAlignment="1" pivotButton="0" quotePrefix="0" xfId="0">
      <alignment horizontal="center" vertical="center" textRotation="255"/>
    </xf>
    <xf numFmtId="0" fontId="0" fillId="0" borderId="15" applyAlignment="1" pivotButton="0" quotePrefix="0" xfId="0">
      <alignment horizontal="center"/>
    </xf>
    <xf numFmtId="0" fontId="2" fillId="0" borderId="0" applyAlignment="1" pivotButton="0" quotePrefix="0" xfId="0">
      <alignment horizontal="center" vertical="center"/>
    </xf>
    <xf numFmtId="0" fontId="21" fillId="0" borderId="9" applyAlignment="1" pivotButton="0" quotePrefix="0" xfId="0">
      <alignment horizontal="left"/>
    </xf>
    <xf numFmtId="0" fontId="2" fillId="0" borderId="2" applyAlignment="1" pivotButton="0" quotePrefix="0" xfId="0">
      <alignment vertical="center"/>
    </xf>
    <xf numFmtId="0" fontId="0" fillId="0" borderId="2" applyAlignment="1" pivotButton="0" quotePrefix="0" xfId="0">
      <alignment vertical="center"/>
    </xf>
    <xf numFmtId="0" fontId="0" fillId="0" borderId="17" applyAlignment="1" pivotButton="0" quotePrefix="0" xfId="0">
      <alignment vertical="center"/>
    </xf>
    <xf numFmtId="0" fontId="0" fillId="0" borderId="0" applyAlignment="1" pivotButton="0" quotePrefix="0" xfId="0">
      <alignment vertical="center"/>
    </xf>
    <xf numFmtId="0" fontId="2" fillId="0" borderId="17" applyAlignment="1" pivotButton="0" quotePrefix="0" xfId="0">
      <alignment vertical="center"/>
    </xf>
    <xf numFmtId="0" fontId="2" fillId="0" borderId="0" applyAlignment="1" pivotButton="0" quotePrefix="0" xfId="0">
      <alignment vertical="center"/>
    </xf>
    <xf numFmtId="0" fontId="17" fillId="0" borderId="0" applyAlignment="1" pivotButton="0" quotePrefix="0" xfId="0">
      <alignment vertical="center"/>
    </xf>
    <xf numFmtId="0" fontId="0" fillId="0" borderId="6" applyAlignment="1" pivotButton="0" quotePrefix="0" xfId="0">
      <alignment horizontal="center" vertical="center"/>
    </xf>
    <xf numFmtId="0" fontId="0" fillId="0" borderId="11" applyAlignment="1" pivotButton="0" quotePrefix="0" xfId="0">
      <alignment horizontal="center" vertical="center"/>
    </xf>
    <xf numFmtId="0" fontId="1" fillId="0" borderId="0" applyAlignment="1" pivotButton="0" quotePrefix="0" xfId="0">
      <alignment vertical="center" wrapText="1"/>
    </xf>
    <xf numFmtId="14" fontId="3" fillId="0" borderId="0" applyAlignment="1" pivotButton="0" quotePrefix="0" xfId="0">
      <alignment vertical="center" wrapText="1"/>
    </xf>
    <xf numFmtId="14" fontId="2" fillId="0" borderId="0" applyAlignment="1" pivotButton="0" quotePrefix="0" xfId="0">
      <alignment vertical="center" wrapText="1"/>
    </xf>
    <xf numFmtId="0" fontId="22" fillId="0" borderId="15" pivotButton="0" quotePrefix="0" xfId="0"/>
    <xf numFmtId="0" fontId="12" fillId="0" borderId="2" applyAlignment="1" pivotButton="0" quotePrefix="0" xfId="0">
      <alignment horizontal="center" vertical="center" wrapText="1"/>
    </xf>
    <xf numFmtId="0" fontId="0" fillId="0" borderId="2" applyAlignment="1" pivotButton="0" quotePrefix="0" xfId="0">
      <alignment vertical="center" textRotation="90"/>
    </xf>
    <xf numFmtId="0" fontId="0" fillId="0" borderId="2" applyAlignment="1" pivotButton="0" quotePrefix="0" xfId="0">
      <alignment vertical="center" textRotation="90" wrapText="1"/>
    </xf>
    <xf numFmtId="164" fontId="4" fillId="0" borderId="2" applyAlignment="1" pivotButton="0" quotePrefix="0" xfId="0">
      <alignment textRotation="90"/>
    </xf>
    <xf numFmtId="164" fontId="4" fillId="0" borderId="2" applyAlignment="1" pivotButton="0" quotePrefix="0" xfId="0">
      <alignment textRotation="90" wrapText="1"/>
    </xf>
    <xf numFmtId="165" fontId="4" fillId="0" borderId="2" applyAlignment="1" pivotButton="0" quotePrefix="0" xfId="1">
      <alignment textRotation="90"/>
    </xf>
    <xf numFmtId="166" fontId="4" fillId="0" borderId="2" applyAlignment="1" pivotButton="0" quotePrefix="0" xfId="1">
      <alignment textRotation="90"/>
    </xf>
    <xf numFmtId="0" fontId="26" fillId="6" borderId="20" applyAlignment="1" pivotButton="0" quotePrefix="0" xfId="0">
      <alignment horizontal="center" vertical="center"/>
    </xf>
    <xf numFmtId="0" fontId="27" fillId="8" borderId="20" applyAlignment="1" pivotButton="0" quotePrefix="0" xfId="0">
      <alignment horizontal="center" vertical="center"/>
    </xf>
    <xf numFmtId="0" fontId="28" fillId="8" borderId="20" applyAlignment="1" pivotButton="0" quotePrefix="0" xfId="0">
      <alignment horizontal="left" vertical="center"/>
    </xf>
    <xf numFmtId="0" fontId="27" fillId="9" borderId="20" applyAlignment="1" pivotButton="0" quotePrefix="0" xfId="0">
      <alignment horizontal="center" vertical="center"/>
    </xf>
    <xf numFmtId="0" fontId="28" fillId="9" borderId="20" applyAlignment="1" pivotButton="0" quotePrefix="0" xfId="0">
      <alignment horizontal="left" vertical="center"/>
    </xf>
    <xf numFmtId="0" fontId="28" fillId="9" borderId="20" applyAlignment="1" pivotButton="0" quotePrefix="0" xfId="0">
      <alignment horizontal="center" vertical="center"/>
    </xf>
    <xf numFmtId="0" fontId="28" fillId="8" borderId="20" applyAlignment="1" pivotButton="0" quotePrefix="0" xfId="0">
      <alignment horizontal="center" vertical="center"/>
    </xf>
    <xf numFmtId="0" fontId="32" fillId="10" borderId="20" applyAlignment="1" pivotButton="0" quotePrefix="0" xfId="0">
      <alignment horizontal="center" vertical="center"/>
    </xf>
    <xf numFmtId="0" fontId="30" fillId="4" borderId="0" applyAlignment="1" pivotButton="0" quotePrefix="0" xfId="0">
      <alignment vertical="center"/>
    </xf>
    <xf numFmtId="0" fontId="0" fillId="0" borderId="24" pivotButton="0" quotePrefix="0" xfId="0"/>
    <xf numFmtId="0" fontId="0" fillId="3" borderId="0" pivotButton="0" quotePrefix="0" xfId="0"/>
    <xf numFmtId="0" fontId="6" fillId="3" borderId="0" applyAlignment="1" pivotButton="0" quotePrefix="0" xfId="0">
      <alignment vertical="center"/>
    </xf>
    <xf numFmtId="0" fontId="33" fillId="4" borderId="21" applyAlignment="1" pivotButton="0" quotePrefix="0" xfId="0">
      <alignment horizontal="center" vertical="center" textRotation="90" wrapText="1"/>
    </xf>
    <xf numFmtId="164" fontId="4" fillId="0" borderId="24" applyAlignment="1" pivotButton="0" quotePrefix="0" xfId="0">
      <alignment textRotation="90"/>
    </xf>
    <xf numFmtId="165" fontId="4" fillId="0" borderId="24" applyAlignment="1" pivotButton="0" quotePrefix="0" xfId="1">
      <alignment textRotation="90"/>
    </xf>
    <xf numFmtId="0" fontId="13" fillId="11" borderId="0" pivotButton="0" quotePrefix="0" xfId="0"/>
    <xf numFmtId="0" fontId="13" fillId="12" borderId="0" pivotButton="0" quotePrefix="0" xfId="0"/>
    <xf numFmtId="0" fontId="13" fillId="0" borderId="23" pivotButton="0" quotePrefix="0" xfId="0"/>
    <xf numFmtId="0" fontId="13" fillId="0" borderId="21" pivotButton="0" quotePrefix="0" xfId="0"/>
    <xf numFmtId="0" fontId="37" fillId="11" borderId="0" pivotButton="0" quotePrefix="0" xfId="0"/>
    <xf numFmtId="0" fontId="37" fillId="13" borderId="0" pivotButton="0" quotePrefix="0" xfId="0"/>
    <xf numFmtId="0" fontId="37" fillId="14" borderId="0" pivotButton="0" quotePrefix="0" xfId="0"/>
    <xf numFmtId="0" fontId="37" fillId="15" borderId="0" pivotButton="0" quotePrefix="0" xfId="0"/>
    <xf numFmtId="0" fontId="39" fillId="8" borderId="20" applyAlignment="1" pivotButton="0" quotePrefix="0" xfId="0">
      <alignment horizontal="center" vertical="center"/>
    </xf>
    <xf numFmtId="0" fontId="39" fillId="8" borderId="20" applyAlignment="1" pivotButton="0" quotePrefix="0" xfId="0">
      <alignment horizontal="left" vertical="center"/>
    </xf>
    <xf numFmtId="0" fontId="39" fillId="5" borderId="20" applyAlignment="1" pivotButton="0" quotePrefix="0" xfId="0">
      <alignment horizontal="center" vertical="center"/>
    </xf>
    <xf numFmtId="0" fontId="39" fillId="5" borderId="20" applyAlignment="1" pivotButton="0" quotePrefix="0" xfId="0">
      <alignment horizontal="left" vertical="center"/>
    </xf>
    <xf numFmtId="0" fontId="39" fillId="16" borderId="20" applyAlignment="1" pivotButton="0" quotePrefix="0" xfId="0">
      <alignment horizontal="center" vertical="center"/>
    </xf>
    <xf numFmtId="0" fontId="39" fillId="16" borderId="20" applyAlignment="1" pivotButton="0" quotePrefix="0" xfId="0">
      <alignment horizontal="left" vertical="center"/>
    </xf>
    <xf numFmtId="0" fontId="39" fillId="17" borderId="20" applyAlignment="1" pivotButton="0" quotePrefix="0" xfId="0">
      <alignment horizontal="center" vertical="center"/>
    </xf>
    <xf numFmtId="0" fontId="39" fillId="17" borderId="20" applyAlignment="1" pivotButton="0" quotePrefix="0" xfId="0">
      <alignment horizontal="left" vertical="center"/>
    </xf>
    <xf numFmtId="0" fontId="26" fillId="6" borderId="20" applyAlignment="1" pivotButton="0" quotePrefix="0" xfId="0">
      <alignment horizontal="center" vertical="center" wrapText="1"/>
    </xf>
    <xf numFmtId="0" fontId="42" fillId="8" borderId="20" applyAlignment="1" pivotButton="0" quotePrefix="0" xfId="0">
      <alignment horizontal="center" vertical="center"/>
    </xf>
    <xf numFmtId="0" fontId="32" fillId="8" borderId="20" applyAlignment="1" pivotButton="0" quotePrefix="0" xfId="0">
      <alignment horizontal="center" vertical="center"/>
    </xf>
    <xf numFmtId="0" fontId="13" fillId="8" borderId="20" pivotButton="0" quotePrefix="0" xfId="0"/>
    <xf numFmtId="0" fontId="42" fillId="9" borderId="20" applyAlignment="1" pivotButton="0" quotePrefix="0" xfId="0">
      <alignment horizontal="center" vertical="center"/>
    </xf>
    <xf numFmtId="0" fontId="32" fillId="9" borderId="20" applyAlignment="1" pivotButton="0" quotePrefix="0" xfId="0">
      <alignment horizontal="center" vertical="center"/>
    </xf>
    <xf numFmtId="0" fontId="13" fillId="9" borderId="20" pivotButton="0" quotePrefix="0" xfId="0"/>
    <xf numFmtId="0" fontId="43" fillId="10" borderId="20" applyAlignment="1" pivotButton="0" quotePrefix="0" xfId="0">
      <alignment horizontal="center" vertical="center"/>
    </xf>
    <xf numFmtId="0" fontId="13" fillId="10" borderId="20" pivotButton="0" quotePrefix="0" xfId="0"/>
    <xf numFmtId="0" fontId="44" fillId="8" borderId="20" applyAlignment="1" pivotButton="0" quotePrefix="0" xfId="0">
      <alignment horizontal="center" vertical="center"/>
    </xf>
    <xf numFmtId="0" fontId="44" fillId="9" borderId="20" applyAlignment="1" pivotButton="0" quotePrefix="0" xfId="0">
      <alignment horizontal="center" vertical="center"/>
    </xf>
    <xf numFmtId="0" fontId="26" fillId="7" borderId="20" applyAlignment="1" pivotButton="0" quotePrefix="0" xfId="0">
      <alignment horizontal="center" vertical="center" wrapText="1"/>
    </xf>
    <xf numFmtId="0" fontId="26" fillId="4" borderId="20" applyAlignment="1" pivotButton="0" quotePrefix="0" xfId="0">
      <alignment horizontal="center" vertical="center" wrapText="1"/>
    </xf>
    <xf numFmtId="0" fontId="28" fillId="19" borderId="20" applyAlignment="1" pivotButton="0" quotePrefix="0" xfId="0">
      <alignment horizontal="center" vertical="center"/>
    </xf>
    <xf numFmtId="0" fontId="28" fillId="19" borderId="20" applyAlignment="1" pivotButton="0" quotePrefix="0" xfId="0">
      <alignment horizontal="left" vertical="center"/>
    </xf>
    <xf numFmtId="0" fontId="48" fillId="19" borderId="20" applyAlignment="1" pivotButton="0" quotePrefix="0" xfId="0">
      <alignment horizontal="center" vertical="center"/>
    </xf>
    <xf numFmtId="0" fontId="13" fillId="19" borderId="20" pivotButton="0" quotePrefix="0" xfId="0"/>
    <xf numFmtId="0" fontId="26" fillId="20" borderId="20" applyAlignment="1" pivotButton="0" quotePrefix="0" xfId="0">
      <alignment horizontal="center" vertical="center" wrapText="1"/>
    </xf>
    <xf numFmtId="0" fontId="44" fillId="5" borderId="20" applyAlignment="1" pivotButton="0" quotePrefix="0" xfId="0">
      <alignment horizontal="left" vertical="center"/>
    </xf>
    <xf numFmtId="0" fontId="43" fillId="5" borderId="20" applyAlignment="1" pivotButton="0" quotePrefix="0" xfId="0">
      <alignment horizontal="center" vertical="center"/>
    </xf>
    <xf numFmtId="0" fontId="50" fillId="5" borderId="20" applyAlignment="1" pivotButton="0" quotePrefix="0" xfId="0">
      <alignment horizontal="center" vertical="center"/>
    </xf>
    <xf numFmtId="0" fontId="44" fillId="19" borderId="20" applyAlignment="1" pivotButton="0" quotePrefix="0" xfId="0">
      <alignment horizontal="left" vertical="center"/>
    </xf>
    <xf numFmtId="0" fontId="43" fillId="19" borderId="20" applyAlignment="1" pivotButton="0" quotePrefix="0" xfId="0">
      <alignment horizontal="center" vertical="center"/>
    </xf>
    <xf numFmtId="0" fontId="50" fillId="19" borderId="20" applyAlignment="1" pivotButton="0" quotePrefix="0" xfId="0">
      <alignment horizontal="center" vertical="center"/>
    </xf>
    <xf numFmtId="0" fontId="44" fillId="21" borderId="20" applyAlignment="1" pivotButton="0" quotePrefix="0" xfId="0">
      <alignment horizontal="left" vertical="center"/>
    </xf>
    <xf numFmtId="0" fontId="43" fillId="21" borderId="20" applyAlignment="1" pivotButton="0" quotePrefix="0" xfId="0">
      <alignment horizontal="center" vertical="center"/>
    </xf>
    <xf numFmtId="0" fontId="50" fillId="21" borderId="20" applyAlignment="1" pivotButton="0" quotePrefix="0" xfId="0">
      <alignment horizontal="center" vertical="center"/>
    </xf>
    <xf numFmtId="0" fontId="44" fillId="22" borderId="20" applyAlignment="1" pivotButton="0" quotePrefix="0" xfId="0">
      <alignment horizontal="left" vertical="center"/>
    </xf>
    <xf numFmtId="0" fontId="43" fillId="22" borderId="20" applyAlignment="1" pivotButton="0" quotePrefix="0" xfId="0">
      <alignment horizontal="center" vertical="center"/>
    </xf>
    <xf numFmtId="0" fontId="50" fillId="22" borderId="20" applyAlignment="1" pivotButton="0" quotePrefix="0" xfId="0">
      <alignment horizontal="center" vertical="center"/>
    </xf>
    <xf numFmtId="0" fontId="9" fillId="0" borderId="2" applyAlignment="1" pivotButton="0" quotePrefix="0" xfId="0">
      <alignment horizontal="center"/>
    </xf>
    <xf numFmtId="0" fontId="0" fillId="0" borderId="10" pivotButton="0" quotePrefix="0" xfId="0"/>
    <xf numFmtId="0" fontId="9" fillId="0" borderId="0" applyAlignment="1" pivotButton="0" quotePrefix="0" xfId="0">
      <alignment horizontal="center" vertical="center"/>
    </xf>
    <xf numFmtId="0" fontId="0" fillId="0" borderId="0" pivotButton="0" quotePrefix="0" xfId="0"/>
    <xf numFmtId="164" fontId="0" fillId="0" borderId="0" pivotButton="0" quotePrefix="0" xfId="0"/>
    <xf numFmtId="0" fontId="9" fillId="0" borderId="2" applyAlignment="1" pivotButton="0" quotePrefix="0" xfId="0">
      <alignment horizontal="center" wrapText="1"/>
    </xf>
    <xf numFmtId="0" fontId="0" fillId="0" borderId="13" pivotButton="0" quotePrefix="0" xfId="0"/>
    <xf numFmtId="0" fontId="0" fillId="0" borderId="14" pivotButton="0" quotePrefix="0" xfId="0"/>
    <xf numFmtId="0" fontId="0" fillId="0" borderId="16" pivotButton="0" quotePrefix="0" xfId="0"/>
    <xf numFmtId="0" fontId="9" fillId="0" borderId="2" applyAlignment="1" pivotButton="0" quotePrefix="0" xfId="0">
      <alignment horizontal="center" vertical="center"/>
    </xf>
    <xf numFmtId="0" fontId="0" fillId="0" borderId="11" pivotButton="0" quotePrefix="0" xfId="0"/>
    <xf numFmtId="0" fontId="9" fillId="2" borderId="24" applyAlignment="1" pivotButton="0" quotePrefix="0" xfId="0">
      <alignment horizontal="left" vertical="center"/>
    </xf>
    <xf numFmtId="0" fontId="0" fillId="0" borderId="30" pivotButton="0" quotePrefix="0" xfId="0"/>
    <xf numFmtId="0" fontId="0" fillId="0" borderId="12" pivotButton="0" quotePrefix="0" xfId="0"/>
    <xf numFmtId="0" fontId="6" fillId="3" borderId="24" applyAlignment="1" pivotButton="0" quotePrefix="0" xfId="0">
      <alignment horizontal="center" vertical="center"/>
    </xf>
    <xf numFmtId="0" fontId="10" fillId="0" borderId="2" applyAlignment="1" pivotButton="0" quotePrefix="0" xfId="0">
      <alignment horizontal="center"/>
    </xf>
    <xf numFmtId="0" fontId="20" fillId="0" borderId="0" applyAlignment="1" pivotButton="0" quotePrefix="0" xfId="0">
      <alignment horizontal="center"/>
    </xf>
    <xf numFmtId="164" fontId="9" fillId="0" borderId="6" applyAlignment="1" pivotButton="0" quotePrefix="0" xfId="0">
      <alignment horizontal="center" vertical="center" wrapText="1"/>
    </xf>
    <xf numFmtId="0" fontId="0" fillId="0" borderId="5" pivotButton="0" quotePrefix="0" xfId="0"/>
    <xf numFmtId="0" fontId="8" fillId="0" borderId="2" applyAlignment="1" pivotButton="0" quotePrefix="0" xfId="0">
      <alignment horizontal="center"/>
    </xf>
    <xf numFmtId="0" fontId="9" fillId="3" borderId="5" applyAlignment="1" pivotButton="0" quotePrefix="0" xfId="0">
      <alignment horizontal="center" vertical="center"/>
    </xf>
    <xf numFmtId="0" fontId="0" fillId="0" borderId="27" pivotButton="0" quotePrefix="0" xfId="0"/>
    <xf numFmtId="0" fontId="9" fillId="2" borderId="2" applyAlignment="1" pivotButton="0" quotePrefix="0" xfId="0">
      <alignment horizontal="left" vertical="center"/>
    </xf>
    <xf numFmtId="0" fontId="9" fillId="0" borderId="2" applyAlignment="1" pivotButton="0" quotePrefix="0" xfId="0">
      <alignment horizontal="center" vertical="center" wrapText="1"/>
    </xf>
    <xf numFmtId="0" fontId="9" fillId="3" borderId="24" applyAlignment="1" pivotButton="0" quotePrefix="0" xfId="0">
      <alignment horizontal="center" vertical="center"/>
    </xf>
    <xf numFmtId="0" fontId="11" fillId="0" borderId="2" applyAlignment="1" pivotButton="0" quotePrefix="0" xfId="0">
      <alignment horizontal="center" vertical="center" wrapText="1"/>
    </xf>
    <xf numFmtId="0" fontId="14" fillId="0" borderId="0" applyAlignment="1" pivotButton="0" quotePrefix="0" xfId="0">
      <alignment horizontal="center"/>
    </xf>
    <xf numFmtId="0" fontId="15" fillId="0" borderId="0" applyAlignment="1" pivotButton="0" quotePrefix="0" xfId="0">
      <alignment horizontal="right" vertical="center"/>
    </xf>
    <xf numFmtId="0" fontId="16" fillId="0" borderId="0" applyAlignment="1" pivotButton="0" quotePrefix="0" xfId="0">
      <alignment horizontal="right"/>
    </xf>
    <xf numFmtId="0" fontId="0" fillId="0" borderId="15" applyAlignment="1" pivotButton="0" quotePrefix="0" xfId="0">
      <alignment horizontal="center"/>
    </xf>
    <xf numFmtId="0" fontId="0" fillId="0" borderId="15" pivotButton="0" quotePrefix="0" xfId="0"/>
    <xf numFmtId="0" fontId="17" fillId="0" borderId="0" applyAlignment="1" pivotButton="0" quotePrefix="0" xfId="0">
      <alignment horizontal="center" vertical="center"/>
    </xf>
    <xf numFmtId="0" fontId="22" fillId="0" borderId="15" applyAlignment="1" pivotButton="0" quotePrefix="0" xfId="0">
      <alignment horizontal="center"/>
    </xf>
    <xf numFmtId="0" fontId="18" fillId="0" borderId="15" applyAlignment="1" pivotButton="0" quotePrefix="0" xfId="2">
      <alignment horizontal="center"/>
    </xf>
    <xf numFmtId="0" fontId="0" fillId="0" borderId="2" applyAlignment="1" pivotButton="0" quotePrefix="0" xfId="0">
      <alignment horizontal="center" vertical="center"/>
    </xf>
    <xf numFmtId="0" fontId="8" fillId="0" borderId="2" applyAlignment="1" pivotButton="0" quotePrefix="0" xfId="0">
      <alignment horizontal="center" vertical="center" wrapText="1"/>
    </xf>
    <xf numFmtId="0" fontId="0" fillId="0" borderId="0" applyAlignment="1" pivotButton="0" quotePrefix="0" xfId="0">
      <alignment horizontal="center" vertical="center"/>
    </xf>
    <xf numFmtId="0" fontId="17" fillId="0" borderId="2" applyAlignment="1" pivotButton="0" quotePrefix="0" xfId="0">
      <alignment horizontal="center" vertical="center"/>
    </xf>
    <xf numFmtId="0" fontId="0" fillId="0" borderId="6" applyAlignment="1" pivotButton="0" quotePrefix="0" xfId="0">
      <alignment horizontal="center" vertical="center"/>
    </xf>
    <xf numFmtId="0" fontId="0" fillId="0" borderId="18"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center" vertical="center"/>
    </xf>
    <xf numFmtId="0" fontId="8" fillId="0" borderId="0" applyAlignment="1" pivotButton="0" quotePrefix="0" xfId="0">
      <alignment horizontal="justify" vertical="top"/>
    </xf>
    <xf numFmtId="0" fontId="8"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left" vertical="top" wrapText="1"/>
    </xf>
    <xf numFmtId="0" fontId="17" fillId="0" borderId="0" applyAlignment="1" pivotButton="0" quotePrefix="0" xfId="0">
      <alignment horizontal="center"/>
    </xf>
    <xf numFmtId="0" fontId="28" fillId="8" borderId="20" applyAlignment="1" pivotButton="0" quotePrefix="0" xfId="0">
      <alignment horizontal="center" vertical="center"/>
    </xf>
    <xf numFmtId="0" fontId="0" fillId="0" borderId="23" pivotButton="0" quotePrefix="0" xfId="0"/>
    <xf numFmtId="0" fontId="0" fillId="0" borderId="21" pivotButton="0" quotePrefix="0" xfId="0"/>
    <xf numFmtId="0" fontId="28" fillId="9" borderId="26" applyAlignment="1" pivotButton="0" quotePrefix="0" xfId="0">
      <alignment horizontal="center" vertical="center"/>
    </xf>
    <xf numFmtId="0" fontId="28" fillId="9" borderId="20" applyAlignment="1" pivotButton="0" quotePrefix="0" xfId="0">
      <alignment horizontal="center" vertical="center"/>
    </xf>
    <xf numFmtId="0" fontId="28" fillId="8" borderId="26" applyAlignment="1" pivotButton="0" quotePrefix="0" xfId="0">
      <alignment horizontal="center" vertical="center"/>
    </xf>
    <xf numFmtId="0" fontId="25" fillId="6" borderId="20" applyAlignment="1" pivotButton="0" quotePrefix="0" xfId="0">
      <alignment horizontal="center" vertical="center"/>
    </xf>
    <xf numFmtId="0" fontId="24" fillId="5" borderId="25" applyAlignment="1" pivotButton="0" quotePrefix="0" xfId="0">
      <alignment horizontal="center" vertical="center"/>
    </xf>
    <xf numFmtId="0" fontId="0" fillId="0" borderId="25" pivotButton="0" quotePrefix="0" xfId="0"/>
    <xf numFmtId="0" fontId="26" fillId="6" borderId="26" applyAlignment="1" pivotButton="0" quotePrefix="0" xfId="0">
      <alignment horizontal="center" vertical="center"/>
    </xf>
    <xf numFmtId="0" fontId="26" fillId="6" borderId="20" applyAlignment="1" pivotButton="0" quotePrefix="0" xfId="0">
      <alignment horizontal="center" vertical="center"/>
    </xf>
    <xf numFmtId="0" fontId="29" fillId="0" borderId="0" applyAlignment="1" pivotButton="0" quotePrefix="0" xfId="0">
      <alignment horizontal="center" vertical="center"/>
    </xf>
    <xf numFmtId="0" fontId="23" fillId="4" borderId="0" applyAlignment="1" pivotButton="0" quotePrefix="0" xfId="0">
      <alignment horizontal="center" vertical="center"/>
    </xf>
    <xf numFmtId="0" fontId="34" fillId="5" borderId="25" applyAlignment="1" pivotButton="0" quotePrefix="0" xfId="0">
      <alignment horizontal="center" vertical="center"/>
    </xf>
    <xf numFmtId="0" fontId="31" fillId="4" borderId="20" applyAlignment="1" pivotButton="0" quotePrefix="0" xfId="0">
      <alignment horizontal="center" vertical="center"/>
    </xf>
    <xf numFmtId="0" fontId="0" fillId="0" borderId="22" pivotButton="0" quotePrefix="0" xfId="0"/>
    <xf numFmtId="0" fontId="31" fillId="7" borderId="20" applyAlignment="1" pivotButton="0" quotePrefix="0" xfId="0">
      <alignment horizontal="center" vertical="center" wrapText="1"/>
    </xf>
    <xf numFmtId="0" fontId="31" fillId="6" borderId="20" applyAlignment="1" pivotButton="0" quotePrefix="0" xfId="0">
      <alignment horizontal="center" vertical="center"/>
    </xf>
    <xf numFmtId="0" fontId="35" fillId="4" borderId="0" applyAlignment="1" pivotButton="0" quotePrefix="0" xfId="0">
      <alignment horizontal="center" vertical="center"/>
    </xf>
    <xf numFmtId="14" fontId="2" fillId="0" borderId="2" applyAlignment="1" pivotButton="0" quotePrefix="0" xfId="0">
      <alignment horizontal="center" vertical="center" wrapText="1"/>
    </xf>
    <xf numFmtId="0" fontId="4" fillId="0" borderId="2" applyAlignment="1" pivotButton="0" quotePrefix="0" xfId="0">
      <alignment horizontal="center"/>
    </xf>
    <xf numFmtId="14" fontId="3" fillId="0" borderId="2" applyAlignment="1" pivotButton="0" quotePrefix="0" xfId="0">
      <alignment horizontal="center" vertical="center" wrapText="1"/>
    </xf>
    <xf numFmtId="0" fontId="0" fillId="0" borderId="2" applyAlignment="1" pivotButton="0" quotePrefix="0" xfId="0">
      <alignment horizontal="center"/>
    </xf>
    <xf numFmtId="14" fontId="3" fillId="0" borderId="3" applyAlignment="1" pivotButton="0" quotePrefix="0" xfId="0">
      <alignment horizontal="center" vertical="center" wrapText="1"/>
    </xf>
    <xf numFmtId="0" fontId="0" fillId="0" borderId="0" applyAlignment="1" pivotButton="0" quotePrefix="0" xfId="0">
      <alignment horizontal="center"/>
    </xf>
    <xf numFmtId="14" fontId="2" fillId="0" borderId="8" applyAlignment="1" pivotButton="0" quotePrefix="0" xfId="0">
      <alignment horizontal="center" vertical="center" wrapText="1"/>
    </xf>
    <xf numFmtId="0" fontId="0" fillId="0" borderId="19" pivotButton="0" quotePrefix="0" xfId="0"/>
    <xf numFmtId="164" fontId="4" fillId="0" borderId="2" applyAlignment="1" pivotButton="0" quotePrefix="0" xfId="0">
      <alignment horizontal="center" textRotation="90"/>
    </xf>
    <xf numFmtId="0" fontId="0" fillId="0" borderId="2" pivotButton="0" quotePrefix="0" xfId="0"/>
    <xf numFmtId="165" fontId="4" fillId="0" borderId="29" applyAlignment="1" pivotButton="0" quotePrefix="0" xfId="1">
      <alignment horizontal="center" textRotation="90"/>
    </xf>
    <xf numFmtId="0" fontId="0" fillId="0" borderId="28" pivotButton="0" quotePrefix="0" xfId="0"/>
    <xf numFmtId="0" fontId="0" fillId="0" borderId="29" pivotButton="0" quotePrefix="0" xfId="0"/>
    <xf numFmtId="0" fontId="4" fillId="0" borderId="10" applyAlignment="1" pivotButton="0" quotePrefix="0" xfId="0">
      <alignment horizontal="center"/>
    </xf>
    <xf numFmtId="0" fontId="4" fillId="0" borderId="0" applyAlignment="1" pivotButton="0" quotePrefix="0" xfId="0">
      <alignment horizontal="center" vertical="center"/>
    </xf>
    <xf numFmtId="164" fontId="4" fillId="0" borderId="2" applyAlignment="1" pivotButton="0" quotePrefix="0" xfId="0">
      <alignment horizontal="center"/>
    </xf>
    <xf numFmtId="164" fontId="4" fillId="0" borderId="29" applyAlignment="1" pivotButton="0" quotePrefix="0" xfId="0">
      <alignment horizontal="center" textRotation="90"/>
    </xf>
    <xf numFmtId="0" fontId="5" fillId="0" borderId="0" applyAlignment="1" pivotButton="0" quotePrefix="0" xfId="0">
      <alignment horizontal="center" vertical="center" textRotation="90"/>
    </xf>
    <xf numFmtId="0" fontId="1" fillId="0" borderId="0" applyAlignment="1" pivotButton="0" quotePrefix="0" xfId="0">
      <alignment horizontal="center" vertical="center" wrapText="1"/>
    </xf>
    <xf numFmtId="166" fontId="0" fillId="0" borderId="0" pivotButton="0" quotePrefix="0" xfId="1"/>
    <xf numFmtId="164" fontId="0" fillId="0" borderId="0" pivotButton="0" quotePrefix="0" xfId="1"/>
    <xf numFmtId="164" fontId="1" fillId="0" borderId="2" applyAlignment="1" pivotButton="0" quotePrefix="0" xfId="0">
      <alignment horizontal="distributed" vertical="distributed" textRotation="90" shrinkToFit="1"/>
    </xf>
    <xf numFmtId="14" fontId="3" fillId="0" borderId="0" applyAlignment="1" pivotButton="0" quotePrefix="0" xfId="0">
      <alignment horizontal="center" vertical="center" wrapText="1"/>
    </xf>
    <xf numFmtId="14" fontId="2" fillId="0" borderId="0" applyAlignment="1" pivotButton="0" quotePrefix="0" xfId="0">
      <alignment horizontal="center" vertical="center" wrapText="1"/>
    </xf>
    <xf numFmtId="165" fontId="0" fillId="0" borderId="0" applyAlignment="1" pivotButton="0" quotePrefix="0" xfId="1">
      <alignment horizontal="left"/>
    </xf>
    <xf numFmtId="0" fontId="0" fillId="0" borderId="0" applyAlignment="1" pivotButton="0" quotePrefix="0" xfId="0">
      <alignment horizontal="left"/>
    </xf>
    <xf numFmtId="0" fontId="1" fillId="0" borderId="2" applyAlignment="1" pivotButton="0" quotePrefix="0" xfId="0">
      <alignment horizontal="distributed" vertical="distributed" textRotation="90" shrinkToFit="1"/>
    </xf>
    <xf numFmtId="0" fontId="4" fillId="0" borderId="2" applyAlignment="1" pivotButton="0" quotePrefix="0" xfId="0">
      <alignment horizontal="center" vertical="center"/>
    </xf>
    <xf numFmtId="164" fontId="4" fillId="0" borderId="6" applyAlignment="1" pivotButton="0" quotePrefix="0" xfId="0">
      <alignment horizontal="center"/>
    </xf>
    <xf numFmtId="0" fontId="4" fillId="0" borderId="0" applyAlignment="1" pivotButton="0" quotePrefix="0" xfId="0">
      <alignment horizontal="center"/>
    </xf>
    <xf numFmtId="0" fontId="4" fillId="0" borderId="9" applyAlignment="1" pivotButton="0" quotePrefix="0" xfId="0">
      <alignment horizontal="center"/>
    </xf>
    <xf numFmtId="0" fontId="1" fillId="0" borderId="0" applyAlignment="1" pivotButton="0" quotePrefix="0" xfId="0">
      <alignment horizontal="distributed" vertical="distributed" textRotation="90" shrinkToFit="1"/>
    </xf>
    <xf numFmtId="164" fontId="0" fillId="0" borderId="0" applyAlignment="1" pivotButton="0" quotePrefix="0" xfId="1">
      <alignment horizontal="center"/>
    </xf>
    <xf numFmtId="0" fontId="38" fillId="12" borderId="0" pivotButton="0" quotePrefix="0" xfId="0"/>
    <xf numFmtId="0" fontId="36" fillId="11" borderId="0" pivotButton="0" quotePrefix="0" xfId="0"/>
    <xf numFmtId="0" fontId="32" fillId="0" borderId="0" applyAlignment="1" pivotButton="0" quotePrefix="0" xfId="0">
      <alignment horizontal="left" vertical="center"/>
    </xf>
    <xf numFmtId="0" fontId="25" fillId="4" borderId="20" applyAlignment="1" pivotButton="0" quotePrefix="0" xfId="0">
      <alignment horizontal="center" vertical="center" wrapText="1"/>
    </xf>
    <xf numFmtId="0" fontId="13" fillId="0" borderId="23" pivotButton="0" quotePrefix="0" xfId="0"/>
    <xf numFmtId="0" fontId="13" fillId="0" borderId="21" pivotButton="0" quotePrefix="0" xfId="0"/>
    <xf numFmtId="0" fontId="40" fillId="4" borderId="20" applyAlignment="1" pivotButton="0" quotePrefix="0" xfId="0">
      <alignment horizontal="center" vertical="center" wrapText="1"/>
    </xf>
    <xf numFmtId="0" fontId="45" fillId="0" borderId="0" pivotButton="0" quotePrefix="0" xfId="0"/>
    <xf numFmtId="0" fontId="41" fillId="5" borderId="20" applyAlignment="1" pivotButton="0" quotePrefix="0" xfId="0">
      <alignment horizontal="center" vertical="center" wrapText="1"/>
    </xf>
    <xf numFmtId="0" fontId="25" fillId="7" borderId="20" applyAlignment="1" pivotButton="0" quotePrefix="0" xfId="0">
      <alignment horizontal="center" vertical="center" wrapText="1"/>
    </xf>
    <xf numFmtId="0" fontId="25" fillId="6" borderId="20" applyAlignment="1" pivotButton="0" quotePrefix="0" xfId="0">
      <alignment horizontal="center" vertical="center" wrapText="1"/>
    </xf>
    <xf numFmtId="0" fontId="46" fillId="19" borderId="20" applyAlignment="1" pivotButton="0" quotePrefix="0" xfId="0">
      <alignment horizontal="center" vertical="center" wrapText="1"/>
    </xf>
    <xf numFmtId="0" fontId="47" fillId="19" borderId="20" applyAlignment="1" pivotButton="0" quotePrefix="0" xfId="0">
      <alignment horizontal="right" vertical="center"/>
    </xf>
    <xf numFmtId="0" fontId="25" fillId="18" borderId="20" applyAlignment="1" pivotButton="0" quotePrefix="0" xfId="0">
      <alignment horizontal="center" vertical="center" wrapText="1"/>
    </xf>
    <xf numFmtId="0" fontId="25" fillId="20" borderId="20" applyAlignment="1" pivotButton="0" quotePrefix="0" xfId="0">
      <alignment horizontal="center" vertical="center" wrapText="1"/>
    </xf>
    <xf numFmtId="0" fontId="13" fillId="8" borderId="20" pivotButton="0" quotePrefix="0" xfId="0"/>
    <xf numFmtId="0" fontId="13" fillId="9" borderId="20" pivotButton="0" quotePrefix="0" xfId="0"/>
    <xf numFmtId="0" fontId="49" fillId="17" borderId="20" applyAlignment="1" pivotButton="0" quotePrefix="0" xfId="0">
      <alignment horizontal="center" vertical="center" wrapText="1"/>
    </xf>
    <xf numFmtId="164" fontId="4" fillId="0" borderId="6" applyAlignment="1" pivotButton="0" quotePrefix="0" xfId="0">
      <alignment horizontal="center" textRotation="90"/>
    </xf>
    <xf numFmtId="164" fontId="4" fillId="0" borderId="28" applyAlignment="1" pivotButton="0" quotePrefix="0" xfId="0">
      <alignment horizontal="center" textRotation="90"/>
    </xf>
    <xf numFmtId="164" fontId="4" fillId="0" borderId="38" applyAlignment="1" pivotButton="0" quotePrefix="0" xfId="0">
      <alignment horizontal="center" textRotation="90"/>
    </xf>
    <xf numFmtId="0" fontId="0" fillId="0" borderId="39" pivotButton="0" quotePrefix="0" xfId="0"/>
  </cellXfs>
  <cellStyles count="3">
    <cellStyle name="Normal" xfId="0" builtinId="0"/>
    <cellStyle name="Millares" xfId="1" builtinId="3"/>
    <cellStyle name="Hipervínculo" xfId="2" builtinId="8"/>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externalLink" Target="/xl/externalLinks/externalLink2.xml" Id="rId16"/><Relationship Type="http://schemas.openxmlformats.org/officeDocument/2006/relationships/externalLink" Target="/xl/externalLinks/externalLink3.xml" Id="rId17"/><Relationship Type="http://schemas.openxmlformats.org/officeDocument/2006/relationships/externalLink" Target="/xl/externalLinks/externalLink4.xml" Id="rId18"/><Relationship Type="http://schemas.openxmlformats.org/officeDocument/2006/relationships/externalLink" Target="/xl/externalLinks/externalLink5.xml" Id="rId19"/><Relationship Type="http://schemas.openxmlformats.org/officeDocument/2006/relationships/externalLink" Target="/xl/externalLinks/externalLink6.xml" Id="rId20"/><Relationship Type="http://schemas.openxmlformats.org/officeDocument/2006/relationships/externalLink" Target="/xl/externalLinks/externalLink7.xml" Id="rId21"/><Relationship Type="http://schemas.openxmlformats.org/officeDocument/2006/relationships/styles" Target="styles.xml" Id="rId22"/><Relationship Type="http://schemas.openxmlformats.org/officeDocument/2006/relationships/theme" Target="theme/theme1.xml" Id="rId23"/></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twoCellAnchor editAs="oneCell">
    <from>
      <col>2</col>
      <colOff>66675</colOff>
      <row>2</row>
      <rowOff>104775</rowOff>
    </from>
    <to>
      <col>30</col>
      <colOff>22160</colOff>
      <row>10</row>
      <rowOff>123825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428625" y="485775"/>
          <a:ext cx="5022785" cy="1543050"/>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38</col>
      <colOff>47626</colOff>
      <row>0</row>
      <rowOff>120015</rowOff>
    </from>
    <to>
      <col>55</col>
      <colOff>38100</colOff>
      <row>3</row>
      <rowOff>142093</rowOff>
    </to>
    <pic>
      <nvPicPr>
        <cNvPr id="4" name="Imagen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18686" y="120015"/>
          <a:ext cx="1933574" cy="57071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17</col>
      <colOff>377635</colOff>
      <row>0</row>
      <rowOff>0</rowOff>
    </from>
    <to>
      <col>24</col>
      <colOff>106680</colOff>
      <row>3</row>
      <rowOff>21871</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89615" y="0"/>
          <a:ext cx="2175065" cy="646711"/>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0</row>
      <rowOff>21771</rowOff>
    </from>
    <to>
      <col>4</col>
      <colOff>40821</colOff>
      <row>3</row>
      <rowOff>22879</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1771"/>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MAESTRO" TargetMode="External" Id="rId1"/></Relationships>
</file>

<file path=xl/externalLinks/_rels/externalLink2.xml.rels><Relationships xmlns="http://schemas.openxmlformats.org/package/2006/relationships"><Relationship Type="http://schemas.microsoft.com/office/2006/relationships/xlExternalLinkPath/xlPathMissing" Target="RESUMEN_7&#176;" TargetMode="External" Id="rId1"/></Relationships>
</file>

<file path=xl/externalLinks/_rels/externalLink3.xml.rels><Relationships xmlns="http://schemas.openxmlformats.org/package/2006/relationships"><Relationship Type="http://schemas.microsoft.com/office/2006/relationships/xlExternalLinkPath/xlPathMissing" Target="Asistencia%20(7&#176;)" TargetMode="External" Id="rId1"/></Relationships>
</file>

<file path=xl/externalLinks/_rels/externalLink4.xml.rels><Relationships xmlns="http://schemas.openxmlformats.org/package/2006/relationships"><Relationship Type="http://schemas.microsoft.com/office/2006/relationships/xlExternalLinkPath/xlPathMissing" Target="RESUMEN_8&#176;" TargetMode="External" Id="rId1"/></Relationships>
</file>

<file path=xl/externalLinks/_rels/externalLink5.xml.rels><Relationships xmlns="http://schemas.openxmlformats.org/package/2006/relationships"><Relationship Type="http://schemas.microsoft.com/office/2006/relationships/xlExternalLinkPath/xlPathMissing" Target="Asistencia%20(8&#176;)" TargetMode="External" Id="rId1"/></Relationships>
</file>

<file path=xl/externalLinks/_rels/externalLink6.xml.rels><Relationships xmlns="http://schemas.openxmlformats.org/package/2006/relationships"><Relationship Type="http://schemas.microsoft.com/office/2006/relationships/xlExternalLinkPath/xlPathMissing" Target="RESUMEN_9&#176;" TargetMode="External" Id="rId1"/></Relationships>
</file>

<file path=xl/externalLinks/_rels/externalLink7.xml.rels><Relationships xmlns="http://schemas.openxmlformats.org/package/2006/relationships"><Relationship Type="http://schemas.microsoft.com/office/2006/relationships/xlExternalLinkPath/xlPathMissing" Target="Asistencia%20(9&#176;)"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MAESTRO"/>
    </sheetNames>
    <sheetDataSet>
      <sheetData sheetId="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RESUMEN_7°"/>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Asistencia (7°)"/>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RESUMEN_8°"/>
    </sheetNames>
    <sheetDataSet>
      <sheetData sheetId="0"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Asistencia (8°)"/>
    </sheetNames>
    <sheetDataSet>
      <sheetData sheetId="0"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RESUMEN_9°"/>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Asistencia (9°)"/>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mailto:elmer.tugri7@meduca.edu.pa"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codeName="Hoja1">
    <tabColor theme="0" tint="-0.249977111117893"/>
    <outlinePr summaryBelow="1" summaryRight="1"/>
    <pageSetUpPr/>
  </sheetPr>
  <dimension ref="A7:AD25"/>
  <sheetViews>
    <sheetView topLeftCell="A7" workbookViewId="0">
      <selection activeCell="Q25" sqref="Q25:AD25"/>
    </sheetView>
  </sheetViews>
  <sheetFormatPr baseColWidth="10" defaultRowHeight="14.4"/>
  <cols>
    <col width="2.6640625" customWidth="1" style="147" min="1" max="39"/>
  </cols>
  <sheetData>
    <row r="7">
      <c r="L7" s="170" t="n"/>
    </row>
    <row r="15" ht="31.8" customHeight="1" s="147">
      <c r="A15" s="171" t="inlineStr">
        <is>
          <t>Registro de Asistencia</t>
        </is>
      </c>
    </row>
    <row r="16" ht="31.8" customHeight="1" s="147">
      <c r="A16" s="171" t="inlineStr">
        <is>
          <t>y Evaluación</t>
        </is>
      </c>
    </row>
    <row r="17" ht="31.8" customHeight="1" s="147">
      <c r="A17" s="171" t="inlineStr">
        <is>
          <t>para Docentes de Centros</t>
        </is>
      </c>
    </row>
    <row r="18" ht="31.8" customHeight="1" s="147">
      <c r="A18" s="171" t="inlineStr">
        <is>
          <t>Educativos Oficiales</t>
        </is>
      </c>
    </row>
    <row r="23" ht="17.4" customHeight="1" s="147">
      <c r="Q23" s="172" t="inlineStr">
        <is>
          <t xml:space="preserve">Maestro  Elmer Tugri </t>
        </is>
      </c>
    </row>
    <row r="24" ht="17.4" customHeight="1" s="147">
      <c r="Q24" s="172" t="inlineStr">
        <is>
          <t xml:space="preserve"> Maestro de Grado</t>
        </is>
      </c>
    </row>
    <row r="25" ht="17.4" customHeight="1" s="147">
      <c r="Q25" s="172" t="inlineStr">
        <is>
          <t>Grupo: 1°</t>
        </is>
      </c>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xmlns:r="http://schemas.openxmlformats.org/officeDocument/2006/relationships" r:id="rId1"/>
</worksheet>
</file>

<file path=xl/worksheets/sheet2.xml><?xml version="1.0" encoding="utf-8"?>
<worksheet xmlns="http://schemas.openxmlformats.org/spreadsheetml/2006/main">
  <sheetPr codeName="Hoja2">
    <tabColor theme="0" tint="-0.249977111117893"/>
    <outlinePr summaryBelow="1" summaryRight="1"/>
    <pageSetUpPr/>
  </sheetPr>
  <dimension ref="A4:AZ43"/>
  <sheetViews>
    <sheetView workbookViewId="0">
      <selection activeCell="O12" sqref="O12:AL12"/>
    </sheetView>
  </sheetViews>
  <sheetFormatPr baseColWidth="10" defaultRowHeight="14.4"/>
  <cols>
    <col width="6.44140625" customWidth="1" style="147" min="1" max="1"/>
    <col width="1.6640625" customWidth="1" style="147" min="2" max="63"/>
  </cols>
  <sheetData>
    <row r="4" ht="18" customHeight="1" s="147">
      <c r="A4" s="175" t="inlineStr">
        <is>
          <t>REGISTRO DE ASISTENCIA Y EVALUACIÓN</t>
        </is>
      </c>
    </row>
    <row r="5" ht="18" customHeight="1" s="147">
      <c r="A5" s="175" t="inlineStr">
        <is>
          <t xml:space="preserve">PARA PROFESORES DE LOS CENTROS </t>
        </is>
      </c>
    </row>
    <row r="6" ht="18" customHeight="1" s="147">
      <c r="A6" s="175" t="inlineStr">
        <is>
          <t>EDUCATIVOS OFICIALES</t>
        </is>
      </c>
    </row>
    <row r="7" ht="18" customHeight="1" s="147"/>
    <row r="8">
      <c r="A8" t="inlineStr">
        <is>
          <t>Año lectivo:</t>
        </is>
      </c>
      <c r="E8" s="173" t="n"/>
      <c r="F8" s="173" t="n"/>
      <c r="G8" s="173" t="n"/>
      <c r="H8" s="173" t="n"/>
      <c r="I8" s="173" t="n"/>
      <c r="J8" s="173" t="n"/>
      <c r="K8" s="173" t="n"/>
      <c r="L8" s="173" t="n"/>
      <c r="M8" s="173" t="n"/>
      <c r="N8" s="173" t="n"/>
      <c r="O8" s="173" t="n"/>
      <c r="P8" s="173" t="n">
        <v>2026</v>
      </c>
      <c r="Q8" s="174" t="n"/>
      <c r="R8" s="174" t="n"/>
      <c r="S8" s="174" t="n"/>
      <c r="T8" s="174" t="n"/>
      <c r="U8" s="174" t="n"/>
      <c r="V8" s="174" t="n"/>
      <c r="W8" s="174" t="n"/>
      <c r="X8" s="174" t="n"/>
      <c r="Y8" s="174" t="n"/>
      <c r="Z8" s="174" t="n"/>
      <c r="AA8" s="174" t="n"/>
      <c r="AB8" s="174" t="n"/>
      <c r="AC8" s="174" t="n"/>
      <c r="AD8" s="174" t="n"/>
      <c r="AE8" s="174" t="n"/>
      <c r="AF8" s="174" t="n"/>
      <c r="AG8" s="173" t="n"/>
      <c r="AH8" s="173" t="n"/>
      <c r="AI8" s="173" t="n"/>
      <c r="AJ8" s="173" t="n"/>
      <c r="AK8" s="173" t="n"/>
      <c r="AL8" s="173" t="n"/>
      <c r="AM8" s="173" t="n"/>
      <c r="AN8" s="173" t="n"/>
      <c r="AO8" s="173" t="n"/>
      <c r="AP8" s="173" t="n"/>
      <c r="AQ8" s="173" t="n"/>
      <c r="AR8" s="173" t="n"/>
      <c r="AS8" s="173" t="n"/>
      <c r="AT8" s="173" t="n"/>
      <c r="AU8" s="173" t="n"/>
      <c r="AV8" s="173" t="n"/>
      <c r="AW8" s="173" t="n"/>
      <c r="AX8" s="173" t="n"/>
      <c r="AY8" s="173" t="n"/>
    </row>
    <row r="10" ht="19.5" customHeight="1" s="147">
      <c r="A10" t="inlineStr">
        <is>
          <t>Grado:</t>
        </is>
      </c>
      <c r="B10" s="173" t="n"/>
      <c r="C10" s="173" t="n"/>
      <c r="D10" s="173" t="n"/>
      <c r="E10" s="173" t="n"/>
      <c r="F10" s="173" t="n"/>
      <c r="G10" s="173" t="n"/>
      <c r="H10" s="173" t="n"/>
      <c r="I10" s="173" t="n"/>
      <c r="J10" s="173" t="n"/>
      <c r="K10" s="173" t="n"/>
      <c r="L10" s="173" t="n"/>
      <c r="M10" s="173" t="n"/>
      <c r="N10" s="173" t="n"/>
      <c r="O10" s="173" t="n"/>
      <c r="P10" s="173" t="n"/>
      <c r="Q10" s="173" t="n"/>
      <c r="R10" s="173" t="n"/>
      <c r="S10" s="174" t="n"/>
      <c r="T10" s="174" t="n"/>
      <c r="U10" s="174" t="n"/>
      <c r="V10" s="174" t="n"/>
      <c r="W10" s="174" t="n"/>
      <c r="X10" s="174" t="n"/>
      <c r="Y10" s="174" t="n"/>
      <c r="Z10" s="174" t="n"/>
      <c r="AA10" s="174" t="n"/>
      <c r="AB10" s="174" t="n"/>
      <c r="AC10" s="174" t="n"/>
      <c r="AD10" s="174" t="n"/>
      <c r="AE10" s="174" t="n"/>
      <c r="AF10" s="174" t="n"/>
      <c r="AG10" s="173" t="n"/>
      <c r="AH10" s="173" t="n"/>
      <c r="AI10" s="173" t="n"/>
      <c r="AJ10" s="173" t="n"/>
      <c r="AK10" s="173" t="n"/>
      <c r="AL10" s="173" t="n"/>
      <c r="AM10" s="173" t="n"/>
      <c r="AN10" s="173" t="n"/>
      <c r="AO10" s="173" t="n"/>
      <c r="AP10" s="173" t="n"/>
      <c r="AQ10" s="173" t="n"/>
      <c r="AR10" s="173" t="n"/>
      <c r="AS10" s="173" t="n"/>
      <c r="AT10" s="173" t="n"/>
      <c r="AU10" s="173" t="n"/>
      <c r="AV10" s="173" t="n"/>
      <c r="AW10" s="173" t="n"/>
      <c r="AX10" s="173" t="n"/>
      <c r="AY10" s="173" t="n"/>
    </row>
    <row r="11" ht="18" customHeight="1" s="147"/>
    <row r="12" ht="18" customHeight="1" s="147">
      <c r="A12" t="inlineStr">
        <is>
          <t>Área Curricular:</t>
        </is>
      </c>
      <c r="G12" s="174" t="n"/>
      <c r="H12" s="174" t="n"/>
      <c r="I12" s="174" t="n"/>
      <c r="J12" s="174" t="n"/>
      <c r="K12" s="174" t="n"/>
      <c r="L12" s="174" t="n"/>
      <c r="M12" s="174" t="n"/>
      <c r="N12" s="174" t="n"/>
      <c r="O12" s="173" t="inlineStr">
        <is>
          <t>PRIMARIA MULTIGRADO</t>
        </is>
      </c>
      <c r="P12" s="174" t="n"/>
      <c r="Q12" s="174" t="n"/>
      <c r="R12" s="174" t="n"/>
      <c r="S12" s="174" t="n"/>
      <c r="T12" s="174" t="n"/>
      <c r="U12" s="174" t="n"/>
      <c r="V12" s="174" t="n"/>
      <c r="W12" s="174" t="n"/>
      <c r="X12" s="174" t="n"/>
      <c r="Y12" s="174" t="n"/>
      <c r="Z12" s="174" t="n"/>
      <c r="AA12" s="174" t="n"/>
      <c r="AB12" s="174" t="n"/>
      <c r="AC12" s="174" t="n"/>
      <c r="AD12" s="174" t="n"/>
      <c r="AE12" s="174" t="n"/>
      <c r="AF12" s="174" t="n"/>
      <c r="AG12" s="174" t="n"/>
      <c r="AH12" s="174" t="n"/>
      <c r="AI12" s="174" t="n"/>
      <c r="AJ12" s="174" t="n"/>
      <c r="AK12" s="174" t="n"/>
      <c r="AL12" s="174" t="n"/>
      <c r="AM12" s="174" t="n"/>
      <c r="AN12" s="174" t="n"/>
      <c r="AO12" s="174" t="n"/>
      <c r="AP12" s="174" t="n"/>
      <c r="AQ12" s="174" t="n"/>
      <c r="AR12" s="174" t="n"/>
      <c r="AS12" s="174" t="n"/>
      <c r="AT12" s="174" t="n"/>
      <c r="AU12" s="174" t="n"/>
      <c r="AV12" s="174" t="n"/>
      <c r="AW12" s="174" t="n"/>
      <c r="AX12" s="174" t="n"/>
      <c r="AY12" s="174" t="n"/>
    </row>
    <row r="13" ht="18" customHeight="1" s="147"/>
    <row r="14" ht="18" customHeight="1" s="147">
      <c r="A14" t="inlineStr">
        <is>
          <t>Nombre del Docente:</t>
        </is>
      </c>
      <c r="J14" s="173" t="n"/>
      <c r="K14" s="173" t="n"/>
      <c r="L14" s="173" t="n"/>
      <c r="M14" s="173" t="n"/>
      <c r="N14" s="173" t="n"/>
      <c r="O14" s="173" t="n"/>
      <c r="P14" s="173" t="inlineStr">
        <is>
          <t xml:space="preserve">Elmer Tugri </t>
        </is>
      </c>
      <c r="Q14" s="174" t="n"/>
      <c r="R14" s="174" t="n"/>
      <c r="S14" s="174" t="n"/>
      <c r="T14" s="174" t="n"/>
      <c r="U14" s="174" t="n"/>
      <c r="V14" s="174" t="n"/>
      <c r="W14" s="174" t="n"/>
      <c r="X14" s="174" t="n"/>
      <c r="Y14" s="174" t="n"/>
      <c r="Z14" s="174" t="n"/>
      <c r="AA14" s="174" t="n"/>
      <c r="AB14" s="174" t="n"/>
      <c r="AC14" s="174" t="n"/>
      <c r="AD14" s="174" t="n"/>
      <c r="AE14" s="174" t="n"/>
      <c r="AF14" s="174" t="n"/>
      <c r="AG14" s="174" t="n"/>
      <c r="AH14" s="174" t="n"/>
      <c r="AI14" s="174" t="n"/>
      <c r="AJ14" s="174" t="n"/>
      <c r="AK14" s="174" t="n"/>
      <c r="AL14" s="174" t="n"/>
      <c r="AM14" s="174" t="n"/>
      <c r="AN14" s="174" t="n"/>
      <c r="AO14" s="174" t="n"/>
      <c r="AP14" s="173" t="n"/>
      <c r="AQ14" s="173" t="n"/>
      <c r="AR14" s="173" t="n"/>
      <c r="AS14" s="173" t="n"/>
      <c r="AT14" s="173" t="n"/>
      <c r="AU14" s="173" t="n"/>
      <c r="AV14" s="173" t="n"/>
      <c r="AW14" s="173" t="n"/>
      <c r="AX14" s="173" t="n"/>
      <c r="AY14" s="173" t="n"/>
    </row>
    <row r="15" ht="18" customHeight="1" s="147"/>
    <row r="16" ht="18" customHeight="1" s="147">
      <c r="A16" s="185" t="inlineStr">
        <is>
          <t>N° de Cédula:</t>
        </is>
      </c>
      <c r="F16" s="174" t="n"/>
      <c r="G16" s="173" t="n"/>
      <c r="H16" s="173" t="inlineStr">
        <is>
          <t>4-785-823</t>
        </is>
      </c>
      <c r="I16" s="174" t="n"/>
      <c r="J16" s="174" t="n"/>
      <c r="K16" s="174" t="n"/>
      <c r="L16" s="174" t="n"/>
      <c r="M16" s="174" t="n"/>
      <c r="N16" s="174" t="n"/>
      <c r="O16" s="174" t="n"/>
      <c r="P16" s="174" t="n"/>
      <c r="Q16" s="174" t="n"/>
      <c r="R16" s="174" t="n"/>
      <c r="S16" s="173" t="n"/>
      <c r="T16" s="173" t="n"/>
      <c r="V16" t="inlineStr">
        <is>
          <t>N° S. S.</t>
        </is>
      </c>
      <c r="Z16" s="174" t="n"/>
      <c r="AA16" s="174" t="n"/>
      <c r="AB16" s="174" t="n"/>
      <c r="AC16" s="174" t="n"/>
      <c r="AD16" s="174" t="n"/>
      <c r="AE16" s="174" t="n"/>
      <c r="AF16" s="174" t="n"/>
      <c r="AG16" s="174" t="n"/>
      <c r="AI16" t="inlineStr">
        <is>
          <t>N° de Pos.:</t>
        </is>
      </c>
      <c r="AJ16" s="174" t="n"/>
      <c r="AO16" s="174" t="n"/>
      <c r="AP16" s="174" t="n"/>
      <c r="AQ16" s="173" t="n"/>
      <c r="AR16" s="174" t="n"/>
      <c r="AS16" s="174" t="n"/>
      <c r="AT16" s="174" t="n"/>
      <c r="AU16" s="174" t="n"/>
      <c r="AV16" s="174" t="n"/>
      <c r="AW16" s="174" t="n"/>
      <c r="AX16" s="174" t="n"/>
      <c r="AY16" s="174" t="n"/>
    </row>
    <row r="17" ht="18" customHeight="1" s="147">
      <c r="A17" s="185" t="n"/>
    </row>
    <row r="18" ht="18" customHeight="1" s="147">
      <c r="A18" s="185" t="inlineStr">
        <is>
          <t>Condición de Nombramiento:</t>
        </is>
      </c>
      <c r="O18" s="174" t="n"/>
      <c r="P18" s="173" t="n"/>
      <c r="Q18" s="173" t="n"/>
      <c r="R18" s="173" t="n"/>
      <c r="S18" s="173" t="n"/>
      <c r="T18" s="173" t="n"/>
      <c r="U18" s="173" t="inlineStr">
        <is>
          <t>Maestro de Grado</t>
        </is>
      </c>
      <c r="V18" s="174" t="n"/>
      <c r="W18" s="174" t="n"/>
      <c r="X18" s="174" t="n"/>
      <c r="Y18" s="174" t="n"/>
      <c r="Z18" s="174" t="n"/>
      <c r="AA18" s="174" t="n"/>
      <c r="AB18" s="174" t="n"/>
      <c r="AC18" s="174" t="n"/>
      <c r="AD18" s="174" t="n"/>
      <c r="AE18" s="174" t="n"/>
      <c r="AF18" s="174" t="n"/>
      <c r="AG18" s="174" t="n"/>
      <c r="AH18" s="174" t="n"/>
      <c r="AI18" s="174" t="n"/>
      <c r="AJ18" s="174" t="n"/>
      <c r="AK18" s="174" t="n"/>
      <c r="AL18" s="174" t="n"/>
      <c r="AM18" s="174" t="n"/>
      <c r="AN18" s="174" t="n"/>
      <c r="AO18" s="174" t="n"/>
      <c r="AP18" s="174" t="n"/>
      <c r="AQ18" s="173" t="n"/>
      <c r="AR18" s="173" t="n"/>
      <c r="AS18" s="173" t="n"/>
      <c r="AT18" s="173" t="n"/>
      <c r="AU18" s="173" t="n"/>
      <c r="AV18" s="173" t="n"/>
      <c r="AW18" s="173" t="n"/>
      <c r="AX18" s="173" t="n"/>
      <c r="AY18" s="174" t="n"/>
    </row>
    <row r="19" ht="18" customHeight="1" s="147">
      <c r="A19" s="185" t="n"/>
    </row>
    <row r="20" ht="18" customHeight="1" s="147">
      <c r="A20" s="185" t="inlineStr">
        <is>
          <t>Jornada:</t>
        </is>
      </c>
      <c r="C20" s="174" t="n"/>
      <c r="D20" s="173" t="n"/>
      <c r="E20" s="173" t="n"/>
      <c r="F20" s="173" t="n"/>
      <c r="G20" s="173" t="n"/>
      <c r="H20" s="173" t="inlineStr">
        <is>
          <t>Matutina</t>
        </is>
      </c>
      <c r="I20" s="174" t="n"/>
      <c r="J20" s="174" t="n"/>
      <c r="K20" s="174" t="n"/>
      <c r="L20" s="174" t="n"/>
      <c r="M20" s="174" t="n"/>
      <c r="N20" s="174" t="n"/>
      <c r="O20" s="174" t="n"/>
      <c r="P20" s="174" t="n"/>
      <c r="Q20" s="173" t="n"/>
      <c r="R20" s="173" t="n"/>
      <c r="S20" s="173" t="n"/>
      <c r="T20" s="173" t="n"/>
      <c r="U20" s="173" t="n"/>
      <c r="V20" s="173" t="n"/>
      <c r="W20" s="174" t="n"/>
      <c r="X20" t="inlineStr">
        <is>
          <t>Asignatura:</t>
        </is>
      </c>
      <c r="AD20" s="173" t="inlineStr">
        <is>
          <t>Todas las materias</t>
        </is>
      </c>
      <c r="AE20" s="174" t="n"/>
      <c r="AF20" s="174" t="n"/>
      <c r="AG20" s="174" t="n"/>
      <c r="AH20" s="174" t="n"/>
      <c r="AI20" s="174" t="n"/>
      <c r="AJ20" s="174" t="n"/>
      <c r="AK20" s="174" t="n"/>
      <c r="AL20" s="174" t="n"/>
      <c r="AM20" s="174" t="n"/>
      <c r="AN20" s="174" t="n"/>
      <c r="AO20" s="174" t="n"/>
      <c r="AP20" s="174" t="n"/>
      <c r="AQ20" s="174" t="n"/>
      <c r="AR20" s="174" t="n"/>
      <c r="AS20" s="174" t="n"/>
      <c r="AT20" s="174" t="n"/>
      <c r="AU20" s="174" t="n"/>
      <c r="AV20" s="174" t="n"/>
      <c r="AW20" s="174" t="n"/>
      <c r="AX20" s="174" t="n"/>
      <c r="AY20" s="174" t="n"/>
    </row>
    <row r="21" ht="18" customHeight="1" s="147">
      <c r="A21" s="185" t="n"/>
    </row>
    <row r="22" ht="18" customHeight="1" s="147">
      <c r="A22" s="185" t="inlineStr">
        <is>
          <t>Nombre del Director(ar):</t>
        </is>
      </c>
      <c r="J22" s="174" t="n"/>
      <c r="K22" s="174" t="n"/>
      <c r="L22" s="174" t="n"/>
      <c r="M22" s="174" t="n"/>
      <c r="N22" s="174" t="n"/>
      <c r="O22" s="174" t="n"/>
      <c r="P22" s="174" t="n"/>
      <c r="Q22" s="174" t="n"/>
      <c r="R22" s="174" t="n"/>
      <c r="S22" s="173" t="inlineStr">
        <is>
          <t>Mardel Camarena</t>
        </is>
      </c>
      <c r="T22" s="174" t="n"/>
      <c r="U22" s="174" t="n"/>
      <c r="V22" s="174" t="n"/>
      <c r="W22" s="174" t="n"/>
      <c r="X22" s="174" t="n"/>
      <c r="Y22" s="174" t="n"/>
      <c r="Z22" s="174" t="n"/>
      <c r="AA22" s="174" t="n"/>
      <c r="AB22" s="174" t="n"/>
      <c r="AC22" s="174" t="n"/>
      <c r="AD22" s="174" t="n"/>
      <c r="AE22" s="174" t="n"/>
      <c r="AF22" s="174" t="n"/>
      <c r="AG22" s="174" t="n"/>
      <c r="AH22" s="174" t="n"/>
      <c r="AI22" s="174" t="n"/>
      <c r="AJ22" s="174" t="n"/>
      <c r="AK22" s="174" t="n"/>
      <c r="AL22" s="174" t="n"/>
      <c r="AM22" s="174" t="n"/>
      <c r="AN22" s="174" t="n"/>
      <c r="AO22" s="174" t="n"/>
      <c r="AP22" s="174" t="n"/>
      <c r="AQ22" s="174" t="n"/>
      <c r="AR22" s="174" t="n"/>
      <c r="AS22" s="174" t="n"/>
      <c r="AT22" s="174" t="n"/>
      <c r="AU22" s="174" t="n"/>
      <c r="AV22" s="174" t="n"/>
      <c r="AW22" s="174" t="n"/>
      <c r="AX22" s="174" t="n"/>
      <c r="AY22" s="174" t="n"/>
    </row>
    <row r="23" ht="18" customHeight="1" s="147">
      <c r="A23" s="185" t="n"/>
    </row>
    <row r="24" ht="18" customHeight="1" s="147">
      <c r="A24" s="185" t="inlineStr">
        <is>
          <t>Nombre del Subdirector(ar):</t>
        </is>
      </c>
      <c r="L24" s="174" t="n"/>
      <c r="M24" s="174" t="n"/>
      <c r="N24" s="174" t="n"/>
      <c r="O24" s="174" t="n"/>
      <c r="P24" s="174" t="n"/>
      <c r="Q24" s="174" t="n"/>
      <c r="R24" s="174" t="n"/>
      <c r="S24" s="174" t="n"/>
      <c r="T24" s="173" t="inlineStr">
        <is>
          <t xml:space="preserve">Jairo Marciaga </t>
        </is>
      </c>
      <c r="U24" s="174" t="n"/>
      <c r="V24" s="174" t="n"/>
      <c r="W24" s="174" t="n"/>
      <c r="X24" s="174" t="n"/>
      <c r="Y24" s="174" t="n"/>
      <c r="Z24" s="174" t="n"/>
      <c r="AA24" s="174" t="n"/>
      <c r="AB24" s="174" t="n"/>
      <c r="AC24" s="174" t="n"/>
      <c r="AD24" s="174" t="n"/>
      <c r="AE24" s="174" t="n"/>
      <c r="AF24" s="174" t="n"/>
      <c r="AG24" s="174" t="n"/>
      <c r="AH24" s="174" t="n"/>
      <c r="AI24" s="174" t="n"/>
      <c r="AJ24" s="174" t="n"/>
      <c r="AK24" s="174" t="n"/>
      <c r="AL24" s="174" t="n"/>
      <c r="AM24" s="174" t="n"/>
      <c r="AN24" s="174" t="n"/>
      <c r="AO24" s="174" t="n"/>
      <c r="AP24" s="174" t="n"/>
      <c r="AQ24" s="174" t="n"/>
      <c r="AR24" s="174" t="n"/>
      <c r="AS24" s="174" t="n"/>
      <c r="AT24" s="174" t="n"/>
      <c r="AU24" s="174" t="n"/>
      <c r="AV24" s="174" t="n"/>
      <c r="AW24" s="174" t="n"/>
      <c r="AX24" s="174" t="n"/>
      <c r="AY24" s="174" t="n"/>
    </row>
    <row r="25" ht="18" customHeight="1" s="147">
      <c r="A25" s="185" t="n"/>
    </row>
    <row r="26" ht="18" customHeight="1" s="147">
      <c r="A26" s="185" t="inlineStr">
        <is>
          <t>Nombre del Coordinador:</t>
        </is>
      </c>
      <c r="L26" s="174" t="n"/>
      <c r="M26" s="174" t="n"/>
      <c r="N26" s="174" t="n"/>
      <c r="O26" s="174" t="n"/>
      <c r="P26" s="174" t="n"/>
      <c r="Q26" s="174" t="n"/>
      <c r="R26" s="174" t="n"/>
      <c r="S26" s="174" t="n"/>
      <c r="T26" s="174" t="n"/>
      <c r="U26" s="174" t="n"/>
      <c r="V26" s="174" t="n"/>
      <c r="W26" s="174" t="n"/>
      <c r="X26" s="174" t="n"/>
      <c r="Y26" s="174" t="n"/>
      <c r="Z26" s="174" t="n"/>
      <c r="AA26" s="174" t="n"/>
      <c r="AB26" s="174" t="n"/>
      <c r="AC26" s="174" t="n"/>
      <c r="AD26" s="174" t="n"/>
      <c r="AE26" s="174" t="n"/>
      <c r="AF26" s="174" t="n"/>
      <c r="AG26" s="174" t="n"/>
      <c r="AH26" s="174" t="n"/>
      <c r="AI26" s="174" t="n"/>
      <c r="AJ26" s="174" t="n"/>
      <c r="AK26" s="174" t="n"/>
      <c r="AL26" s="174" t="n"/>
      <c r="AM26" s="174" t="n"/>
      <c r="AN26" s="174" t="n"/>
      <c r="AO26" s="174" t="n"/>
      <c r="AP26" s="174" t="n"/>
      <c r="AQ26" s="174" t="n"/>
      <c r="AR26" s="174" t="n"/>
      <c r="AS26" s="174" t="n"/>
      <c r="AT26" s="174" t="n"/>
      <c r="AU26" s="174" t="n"/>
      <c r="AV26" s="174" t="n"/>
      <c r="AW26" s="174" t="n"/>
      <c r="AX26" s="174" t="n"/>
      <c r="AY26" s="174" t="n"/>
    </row>
    <row r="27" ht="18" customHeight="1" s="147">
      <c r="A27" s="185" t="n"/>
    </row>
    <row r="28" ht="18" customHeight="1" s="147">
      <c r="A28" s="185" t="inlineStr">
        <is>
          <t>Centro Educativo:</t>
        </is>
      </c>
      <c r="H28" s="174" t="n"/>
      <c r="I28" s="174" t="n"/>
      <c r="J28" s="174" t="n"/>
      <c r="K28" s="174" t="n"/>
      <c r="L28" s="173" t="n"/>
      <c r="M28" s="173" t="n"/>
      <c r="N28" s="173" t="n"/>
      <c r="O28" s="173" t="n"/>
      <c r="P28" s="173" t="n"/>
      <c r="Q28" s="173" t="inlineStr">
        <is>
          <t>Escuela Cerro Cacicon</t>
        </is>
      </c>
      <c r="R28" s="174" t="n"/>
      <c r="S28" s="174" t="n"/>
      <c r="T28" s="174" t="n"/>
      <c r="U28" s="174" t="n"/>
      <c r="V28" s="174" t="n"/>
      <c r="W28" s="174" t="n"/>
      <c r="X28" s="174" t="n"/>
      <c r="Y28" s="174" t="n"/>
      <c r="Z28" s="174" t="n"/>
      <c r="AA28" s="174" t="n"/>
      <c r="AB28" s="174" t="n"/>
      <c r="AC28" s="174" t="n"/>
      <c r="AD28" s="174" t="n"/>
      <c r="AE28" s="174" t="n"/>
      <c r="AF28" s="174" t="n"/>
      <c r="AG28" s="174" t="n"/>
      <c r="AH28" s="174" t="n"/>
      <c r="AI28" s="174" t="n"/>
      <c r="AJ28" s="174" t="n"/>
      <c r="AK28" s="174" t="n"/>
      <c r="AL28" s="174" t="n"/>
      <c r="AM28" s="174" t="n"/>
      <c r="AN28" s="174" t="n"/>
      <c r="AO28" s="174" t="n"/>
      <c r="AP28" s="174" t="n"/>
      <c r="AQ28" s="174" t="n"/>
      <c r="AR28" s="173" t="n"/>
      <c r="AS28" s="174" t="n"/>
      <c r="AT28" s="174" t="n"/>
      <c r="AU28" s="174" t="n"/>
      <c r="AV28" s="174" t="n"/>
      <c r="AW28" s="174" t="n"/>
      <c r="AX28" s="174" t="n"/>
      <c r="AY28" s="174" t="n"/>
    </row>
    <row r="29" ht="18" customHeight="1" s="147">
      <c r="A29" s="185" t="n"/>
    </row>
    <row r="30" ht="18" customHeight="1" s="147">
      <c r="A30" s="185" t="inlineStr">
        <is>
          <t>Teléfono:</t>
        </is>
      </c>
      <c r="D30" s="174" t="n"/>
      <c r="E30" s="174" t="n"/>
      <c r="F30" s="173" t="n">
        <v>64185780</v>
      </c>
      <c r="G30" s="174" t="n"/>
      <c r="H30" s="174" t="n"/>
      <c r="I30" s="174" t="n"/>
      <c r="J30" s="174" t="n"/>
      <c r="K30" s="174" t="n"/>
      <c r="L30" s="174" t="n"/>
      <c r="M30" s="174" t="n"/>
      <c r="N30" s="174" t="n"/>
      <c r="O30" s="174" t="n"/>
      <c r="P30" s="174" t="n"/>
      <c r="Q30" s="173" t="n"/>
      <c r="R30" s="173" t="n"/>
      <c r="S30" s="174" t="n"/>
      <c r="U30" t="inlineStr">
        <is>
          <t>Correo Electrónico:</t>
        </is>
      </c>
      <c r="AE30" s="174" t="n"/>
      <c r="AF30" s="177" t="inlineStr">
        <is>
          <t>elmer.tugri7@meduca.edu.pa</t>
        </is>
      </c>
      <c r="AG30" s="174" t="n"/>
      <c r="AH30" s="174" t="n"/>
      <c r="AI30" s="174" t="n"/>
      <c r="AJ30" s="174" t="n"/>
      <c r="AK30" s="174" t="n"/>
      <c r="AL30" s="174" t="n"/>
      <c r="AM30" s="174" t="n"/>
      <c r="AN30" s="174" t="n"/>
      <c r="AO30" s="174" t="n"/>
      <c r="AP30" s="174" t="n"/>
      <c r="AQ30" s="174" t="n"/>
      <c r="AR30" s="174" t="n"/>
      <c r="AS30" s="174" t="n"/>
      <c r="AT30" s="174" t="n"/>
      <c r="AU30" s="174" t="n"/>
      <c r="AV30" s="174" t="n"/>
      <c r="AW30" s="174" t="n"/>
      <c r="AX30" s="174" t="n"/>
      <c r="AY30" s="174" t="n"/>
    </row>
    <row r="31" ht="18" customHeight="1" s="147">
      <c r="A31" s="185" t="n"/>
    </row>
    <row r="32" ht="18" customHeight="1" s="147">
      <c r="A32" s="185" t="inlineStr">
        <is>
          <t>Regional:</t>
        </is>
      </c>
      <c r="E32" s="174" t="n"/>
      <c r="F32" s="174" t="n"/>
      <c r="G32" s="173" t="n"/>
      <c r="H32" s="173" t="n"/>
      <c r="I32" s="173" t="n"/>
      <c r="J32" s="173" t="n"/>
      <c r="K32" s="173" t="n"/>
      <c r="L32" s="173" t="n"/>
      <c r="M32" s="173" t="inlineStr">
        <is>
          <t>Comarca Ngabe Bugle</t>
        </is>
      </c>
      <c r="N32" s="174" t="n"/>
      <c r="O32" s="174" t="n"/>
      <c r="P32" s="174" t="n"/>
      <c r="Q32" s="174" t="n"/>
      <c r="R32" s="174" t="n"/>
      <c r="S32" s="174" t="n"/>
      <c r="T32" s="174" t="n"/>
      <c r="U32" s="174" t="n"/>
      <c r="V32" s="174" t="n"/>
      <c r="W32" s="174" t="n"/>
      <c r="X32" s="174" t="n"/>
      <c r="Y32" s="174" t="n"/>
      <c r="Z32" s="174" t="n"/>
      <c r="AA32" s="174" t="n"/>
      <c r="AB32" s="174" t="n"/>
      <c r="AC32" s="174" t="n"/>
      <c r="AD32" s="174" t="n"/>
      <c r="AE32" s="174" t="n"/>
      <c r="AF32" s="174" t="n"/>
      <c r="AG32" s="174" t="n"/>
      <c r="AH32" s="174" t="n"/>
      <c r="AI32" s="174" t="n"/>
      <c r="AJ32" s="174" t="n"/>
      <c r="AK32" s="174" t="n"/>
      <c r="AL32" s="174" t="n"/>
      <c r="AM32" s="174" t="n"/>
      <c r="AN32" s="174" t="n"/>
      <c r="AO32" s="174" t="n"/>
      <c r="AP32" s="174" t="n"/>
      <c r="AQ32" s="173" t="n"/>
      <c r="AR32" s="173" t="n"/>
      <c r="AS32" s="173" t="n"/>
      <c r="AT32" s="173" t="n"/>
      <c r="AU32" s="173" t="n"/>
      <c r="AV32" s="173" t="n"/>
      <c r="AW32" s="173" t="n"/>
      <c r="AX32" s="174" t="n"/>
      <c r="AY32" s="174" t="n"/>
    </row>
    <row r="33" ht="18" customHeight="1" s="147">
      <c r="A33" s="185" t="n"/>
    </row>
    <row r="34" ht="18" customHeight="1" s="147">
      <c r="A34" s="185" t="inlineStr">
        <is>
          <t>Distrito de:</t>
        </is>
      </c>
      <c r="E34" s="174" t="n"/>
      <c r="F34" s="174" t="n"/>
      <c r="G34" s="174" t="n"/>
      <c r="H34" s="174" t="n"/>
      <c r="I34" s="174" t="n"/>
      <c r="J34" s="174" t="n"/>
      <c r="K34" s="174" t="n"/>
      <c r="L34" s="173" t="inlineStr">
        <is>
          <t>MÜNA</t>
        </is>
      </c>
      <c r="M34" s="174" t="n"/>
      <c r="N34" s="174" t="n"/>
      <c r="O34" s="174" t="n"/>
      <c r="P34" s="174" t="n"/>
      <c r="Q34" s="174" t="n"/>
      <c r="R34" s="174" t="n"/>
      <c r="S34" s="174" t="n"/>
      <c r="T34" s="174" t="n"/>
      <c r="U34" s="174" t="n"/>
      <c r="V34" s="174" t="n"/>
      <c r="W34" s="174" t="n"/>
      <c r="X34" s="174" t="n"/>
      <c r="Y34" s="174" t="n"/>
      <c r="Z34" s="174" t="n"/>
      <c r="AA34" s="174" t="n"/>
      <c r="AB34" s="174" t="n"/>
      <c r="AC34" s="174" t="n"/>
      <c r="AD34" s="174" t="n"/>
      <c r="AE34" s="174" t="n"/>
      <c r="AF34" s="174" t="n"/>
      <c r="AG34" s="174" t="n"/>
      <c r="AH34" s="174" t="n"/>
      <c r="AI34" s="174" t="n"/>
      <c r="AJ34" s="174" t="n"/>
      <c r="AK34" s="174" t="n"/>
      <c r="AL34" s="174" t="n"/>
      <c r="AM34" s="174" t="n"/>
      <c r="AN34" s="174" t="n"/>
      <c r="AO34" s="174" t="n"/>
      <c r="AP34" s="174" t="n"/>
      <c r="AQ34" s="174" t="n"/>
      <c r="AR34" s="174" t="n"/>
      <c r="AS34" s="174" t="n"/>
      <c r="AT34" s="174" t="n"/>
      <c r="AU34" s="174" t="n"/>
      <c r="AV34" s="174" t="n"/>
      <c r="AW34" s="174" t="n"/>
      <c r="AX34" s="174" t="n"/>
      <c r="AY34" s="174" t="n"/>
    </row>
    <row r="35" ht="18" customHeight="1" s="147">
      <c r="A35" s="185" t="n"/>
    </row>
    <row r="36" ht="18" customHeight="1" s="147">
      <c r="A36" s="185" t="inlineStr">
        <is>
          <t>Corregimiento de:</t>
        </is>
      </c>
      <c r="I36" s="174" t="n"/>
      <c r="J36" s="174" t="n"/>
      <c r="K36" s="174" t="n"/>
      <c r="L36" s="174" t="n"/>
      <c r="M36" s="174" t="n"/>
      <c r="N36" s="174" t="n"/>
      <c r="O36" s="174" t="n"/>
      <c r="P36" s="174" t="n"/>
      <c r="Q36" s="173" t="inlineStr">
        <is>
          <t>MARACA</t>
        </is>
      </c>
      <c r="R36" s="174" t="n"/>
      <c r="S36" s="174" t="n"/>
      <c r="T36" s="174" t="n"/>
      <c r="U36" s="174" t="n"/>
      <c r="V36" s="174" t="n"/>
      <c r="W36" s="174" t="n"/>
      <c r="X36" s="174" t="n"/>
      <c r="Y36" s="174" t="n"/>
      <c r="Z36" s="174" t="n"/>
      <c r="AA36" s="174" t="n"/>
      <c r="AB36" s="174" t="n"/>
      <c r="AC36" s="174" t="n"/>
      <c r="AD36" s="174" t="n"/>
      <c r="AE36" s="174" t="n"/>
      <c r="AF36" s="174" t="n"/>
      <c r="AG36" s="174" t="n"/>
      <c r="AH36" s="174" t="n"/>
      <c r="AI36" s="174" t="n"/>
      <c r="AJ36" s="174" t="n"/>
      <c r="AK36" s="174" t="n"/>
      <c r="AL36" s="174" t="n"/>
      <c r="AM36" s="174" t="n"/>
      <c r="AN36" s="174" t="n"/>
      <c r="AO36" s="174" t="n"/>
      <c r="AP36" s="174" t="n"/>
      <c r="AQ36" s="174" t="n"/>
      <c r="AR36" s="174" t="n"/>
      <c r="AS36" s="174" t="n"/>
      <c r="AT36" s="174" t="n"/>
      <c r="AU36" s="174" t="n"/>
      <c r="AV36" s="174" t="n"/>
      <c r="AW36" s="174" t="n"/>
      <c r="AX36" s="174" t="n"/>
      <c r="AY36" s="174" t="n"/>
    </row>
    <row r="37" ht="18" customHeight="1" s="147">
      <c r="A37" s="185" t="n"/>
    </row>
    <row r="38" ht="18" customHeight="1" s="147">
      <c r="A38" s="185" t="inlineStr">
        <is>
          <t>Zona Escolar:</t>
        </is>
      </c>
      <c r="F38" s="174" t="n"/>
      <c r="G38" s="75" t="n"/>
      <c r="H38" s="75" t="n"/>
      <c r="I38" s="75" t="n"/>
      <c r="J38" s="75" t="n"/>
      <c r="K38" s="75" t="n"/>
      <c r="L38" s="75" t="n"/>
      <c r="M38" s="75" t="n"/>
      <c r="N38" s="75" t="n"/>
      <c r="O38" s="176" t="n">
        <v>31</v>
      </c>
      <c r="P38" s="174" t="n"/>
      <c r="Q38" s="174" t="n"/>
      <c r="R38" s="174" t="n"/>
      <c r="S38" s="174" t="n"/>
      <c r="T38" s="174" t="n"/>
      <c r="U38" s="174" t="n"/>
      <c r="V38" s="174" t="n"/>
      <c r="W38" s="174" t="n"/>
      <c r="X38" s="174" t="n"/>
      <c r="Y38" s="174" t="n"/>
      <c r="Z38" s="174" t="n"/>
      <c r="AA38" s="174" t="n"/>
      <c r="AB38" s="174" t="n"/>
      <c r="AC38" s="174" t="n"/>
      <c r="AD38" s="174" t="n"/>
      <c r="AE38" s="174" t="n"/>
      <c r="AF38" s="174" t="n"/>
      <c r="AG38" s="174" t="n"/>
      <c r="AH38" s="174" t="n"/>
      <c r="AI38" s="174" t="n"/>
      <c r="AJ38" s="174" t="n"/>
      <c r="AK38" s="174" t="n"/>
      <c r="AL38" s="174" t="n"/>
      <c r="AM38" s="75" t="n"/>
      <c r="AN38" s="75" t="n"/>
      <c r="AO38" s="75" t="n"/>
      <c r="AP38" s="75" t="n"/>
      <c r="AQ38" s="75" t="n"/>
      <c r="AR38" s="75" t="n"/>
      <c r="AS38" s="75" t="n"/>
      <c r="AT38" s="75" t="n"/>
      <c r="AU38" s="75" t="n"/>
      <c r="AV38" s="75" t="n"/>
      <c r="AW38" s="75" t="n"/>
      <c r="AX38" s="75" t="n"/>
      <c r="AY38" s="75" t="n"/>
    </row>
    <row r="39" ht="18" customHeight="1" s="147"/>
    <row r="40" ht="18" customHeight="1" s="147"/>
    <row r="41" ht="18" customHeight="1" s="147"/>
    <row r="42" ht="15.6" customHeight="1" s="147">
      <c r="A42" s="185" t="n"/>
    </row>
    <row r="43" ht="15.6" customHeight="1" s="147">
      <c r="A43" s="185" t="n"/>
    </row>
  </sheetData>
  <mergeCells count="21">
    <mergeCell ref="P14:AO14"/>
    <mergeCell ref="S22:AO22"/>
    <mergeCell ref="U18:AP18"/>
    <mergeCell ref="A5:AZ5"/>
    <mergeCell ref="F30:P30"/>
    <mergeCell ref="A4:AZ4"/>
    <mergeCell ref="P8:AF8"/>
    <mergeCell ref="Q36:AQ36"/>
    <mergeCell ref="O12:AL12"/>
    <mergeCell ref="AD20:AY20"/>
    <mergeCell ref="H16:R16"/>
    <mergeCell ref="L34:AR34"/>
    <mergeCell ref="M32:AP32"/>
    <mergeCell ref="O38:AL38"/>
    <mergeCell ref="AQ16:AW16"/>
    <mergeCell ref="H20:P20"/>
    <mergeCell ref="A6:AZ6"/>
    <mergeCell ref="T24:AQ24"/>
    <mergeCell ref="R10:AF10"/>
    <mergeCell ref="Q28:AQ28"/>
    <mergeCell ref="AF30:AX30"/>
  </mergeCells>
  <hyperlinks>
    <hyperlink xmlns:r="http://schemas.openxmlformats.org/officeDocument/2006/relationships" ref="AF30" r:id="rId1"/>
  </hyperlinks>
  <pageMargins left="0.6299212598425197" right="0.2362204724409449" top="0.7480314960629921" bottom="0.7480314960629921" header="0.3149606299212598" footer="0.3149606299212598"/>
  <pageSetup orientation="portrait"/>
  <drawing xmlns:r="http://schemas.openxmlformats.org/officeDocument/2006/relationships" r:id="rId2"/>
</worksheet>
</file>

<file path=xl/worksheets/sheet3.xml><?xml version="1.0" encoding="utf-8"?>
<worksheet xmlns="http://schemas.openxmlformats.org/spreadsheetml/2006/main">
  <sheetPr codeName="Hoja3">
    <tabColor theme="0" tint="-0.249977111117893"/>
    <outlinePr summaryBelow="1" summaryRight="1"/>
    <pageSetUpPr/>
  </sheetPr>
  <dimension ref="A2:X33"/>
  <sheetViews>
    <sheetView workbookViewId="0">
      <selection activeCell="O2" sqref="O2:Q2"/>
    </sheetView>
  </sheetViews>
  <sheetFormatPr baseColWidth="10" defaultRowHeight="14.4"/>
  <cols>
    <col width="1.6640625" customWidth="1" style="147" min="1" max="14"/>
    <col width="13.6640625" customWidth="1" style="147" min="15" max="19"/>
    <col width="1.6640625" customWidth="1" style="147" min="20" max="67"/>
  </cols>
  <sheetData>
    <row r="1" ht="18" customHeight="1" s="147"/>
    <row r="2" ht="16.05" customHeight="1" s="147">
      <c r="I2" t="inlineStr">
        <is>
          <t>Profesor:</t>
        </is>
      </c>
      <c r="N2" s="174" t="n"/>
      <c r="O2" s="173" t="n"/>
      <c r="P2" s="174" t="n"/>
      <c r="Q2" s="174" t="n"/>
      <c r="R2" s="174" t="n"/>
    </row>
    <row r="3" ht="16.05" customHeight="1" s="147"/>
    <row r="4" ht="16.05" customHeight="1" s="147">
      <c r="C4" t="inlineStr">
        <is>
          <t>Jornada:</t>
        </is>
      </c>
      <c r="H4" s="173" t="n"/>
      <c r="I4" s="174" t="n"/>
      <c r="J4" s="174" t="n"/>
      <c r="K4" s="174" t="n"/>
      <c r="L4" s="174" t="n"/>
      <c r="M4" s="174" t="n"/>
      <c r="N4" s="174" t="n"/>
      <c r="O4" s="174" t="n"/>
      <c r="P4" s="174" t="n"/>
      <c r="Q4" s="174" t="n"/>
      <c r="R4" s="174" t="n"/>
    </row>
    <row r="5" ht="16.05" customHeight="1" s="147"/>
    <row r="6" ht="16.05" customHeight="1" s="147">
      <c r="C6" t="inlineStr">
        <is>
          <t>Asignatura:</t>
        </is>
      </c>
      <c r="I6" s="173" t="n"/>
      <c r="J6" s="174" t="n"/>
      <c r="K6" s="174" t="n"/>
      <c r="L6" s="174" t="n"/>
      <c r="M6" s="174" t="n"/>
      <c r="N6" s="174" t="n"/>
      <c r="O6" s="174" t="n"/>
      <c r="P6" s="174" t="n"/>
      <c r="Q6" s="174" t="n"/>
      <c r="R6" s="174" t="n"/>
    </row>
    <row r="7" ht="16.05" customHeight="1" s="147"/>
    <row r="8" ht="16.05" customHeight="1" s="147">
      <c r="C8" t="inlineStr">
        <is>
          <t>Grados:</t>
        </is>
      </c>
      <c r="H8" s="174" t="n"/>
      <c r="I8" s="174" t="n"/>
      <c r="J8" s="174" t="n"/>
      <c r="K8" s="174" t="n"/>
      <c r="L8" s="174" t="n"/>
      <c r="M8" s="174" t="n"/>
      <c r="N8" s="174" t="n"/>
      <c r="O8" s="173" t="n"/>
      <c r="P8" s="174" t="n"/>
      <c r="Q8" s="174" t="n"/>
      <c r="R8" s="174" t="n"/>
    </row>
    <row r="9" ht="18" customHeight="1" s="147"/>
    <row r="10" ht="22.95" customFormat="1" customHeight="1" s="185">
      <c r="D10" s="186" t="inlineStr">
        <is>
          <t>PERIODO</t>
        </is>
      </c>
      <c r="E10" s="157" t="n"/>
      <c r="F10" s="157" t="n"/>
      <c r="G10" s="157" t="n"/>
      <c r="H10" s="157" t="n"/>
      <c r="I10" s="145" t="n"/>
      <c r="J10" s="63" t="inlineStr">
        <is>
          <t>HORAS</t>
        </is>
      </c>
      <c r="K10" s="63" t="n"/>
      <c r="L10" s="63" t="n"/>
      <c r="M10" s="63" t="n"/>
      <c r="N10" s="63" t="n"/>
      <c r="O10" s="186" t="inlineStr">
        <is>
          <t>LUNES</t>
        </is>
      </c>
      <c r="P10" s="186" t="inlineStr">
        <is>
          <t>MARTES</t>
        </is>
      </c>
      <c r="Q10" s="186" t="inlineStr">
        <is>
          <t>MIERCOLES</t>
        </is>
      </c>
      <c r="R10" s="186" t="inlineStr">
        <is>
          <t>JUEVES</t>
        </is>
      </c>
      <c r="S10" s="186" t="inlineStr">
        <is>
          <t>VIERNES</t>
        </is>
      </c>
      <c r="T10" s="67" t="n"/>
      <c r="U10" s="68" t="n"/>
      <c r="V10" s="68" t="n"/>
      <c r="W10" s="68" t="n"/>
      <c r="X10" s="68" t="n"/>
    </row>
    <row r="11" ht="22.95" customHeight="1" s="147">
      <c r="D11" s="178" t="inlineStr">
        <is>
          <t>I</t>
        </is>
      </c>
      <c r="E11" s="157" t="n"/>
      <c r="F11" s="157" t="n"/>
      <c r="G11" s="157" t="n"/>
      <c r="H11" s="157" t="n"/>
      <c r="I11" s="145" t="n"/>
      <c r="J11" s="179" t="n"/>
      <c r="K11" s="157" t="n"/>
      <c r="L11" s="157" t="n"/>
      <c r="M11" s="157" t="n"/>
      <c r="N11" s="145" t="n"/>
      <c r="O11" s="178" t="n"/>
      <c r="P11" s="182" t="n"/>
      <c r="Q11" s="182" t="n"/>
      <c r="R11" s="178" t="n"/>
      <c r="S11" s="71" t="n"/>
      <c r="T11" s="65" t="n"/>
      <c r="U11" s="66" t="n"/>
      <c r="V11" s="66" t="n"/>
      <c r="W11" s="66" t="n"/>
      <c r="X11" s="66" t="n"/>
    </row>
    <row r="12" ht="22.95" customHeight="1" s="147">
      <c r="D12" s="178" t="inlineStr">
        <is>
          <t>II</t>
        </is>
      </c>
      <c r="E12" s="157" t="n"/>
      <c r="F12" s="157" t="n"/>
      <c r="G12" s="157" t="n"/>
      <c r="H12" s="157" t="n"/>
      <c r="I12" s="145" t="n"/>
      <c r="J12" s="179" t="n"/>
      <c r="K12" s="157" t="n"/>
      <c r="L12" s="157" t="n"/>
      <c r="M12" s="157" t="n"/>
      <c r="N12" s="145" t="n"/>
      <c r="O12" s="178" t="n"/>
      <c r="P12" s="178" t="n"/>
      <c r="Q12" s="178" t="n"/>
      <c r="R12" s="178" t="n"/>
      <c r="S12" s="71" t="n"/>
      <c r="T12" s="65" t="n"/>
      <c r="U12" s="66" t="n"/>
      <c r="V12" s="66" t="n"/>
      <c r="W12" s="66" t="n"/>
      <c r="X12" s="66" t="n"/>
    </row>
    <row r="13" ht="22.95" customHeight="1" s="147">
      <c r="D13" s="178" t="inlineStr">
        <is>
          <t>III</t>
        </is>
      </c>
      <c r="E13" s="157" t="n"/>
      <c r="F13" s="157" t="n"/>
      <c r="G13" s="157" t="n"/>
      <c r="H13" s="157" t="n"/>
      <c r="I13" s="145" t="n"/>
      <c r="J13" s="179" t="n"/>
      <c r="K13" s="157" t="n"/>
      <c r="L13" s="157" t="n"/>
      <c r="M13" s="157" t="n"/>
      <c r="N13" s="145" t="n"/>
      <c r="O13" s="71" t="n"/>
      <c r="P13" s="71" t="n"/>
      <c r="Q13" s="71" t="n"/>
      <c r="R13" s="178" t="n"/>
      <c r="S13" s="178" t="n"/>
      <c r="T13" s="65" t="n"/>
      <c r="U13" s="66" t="n"/>
      <c r="V13" s="66" t="n"/>
      <c r="W13" s="66" t="n"/>
      <c r="X13" s="66" t="n"/>
    </row>
    <row r="14" ht="22.95" customHeight="1" s="147">
      <c r="D14" s="182" t="inlineStr">
        <is>
          <t>IV</t>
        </is>
      </c>
      <c r="E14" s="183" t="n"/>
      <c r="F14" s="183" t="n"/>
      <c r="G14" s="183" t="n"/>
      <c r="H14" s="183" t="n"/>
      <c r="I14" s="150" t="n"/>
      <c r="J14" s="179" t="n"/>
      <c r="K14" s="157" t="n"/>
      <c r="L14" s="157" t="n"/>
      <c r="M14" s="157" t="n"/>
      <c r="N14" s="145" t="n"/>
      <c r="O14" s="182" t="n"/>
      <c r="P14" s="182" t="n"/>
      <c r="Q14" s="182" t="n"/>
      <c r="R14" s="71" t="n"/>
      <c r="S14" s="71" t="n"/>
      <c r="T14" s="65" t="n"/>
      <c r="U14" s="66" t="n"/>
      <c r="V14" s="66" t="n"/>
      <c r="W14" s="66" t="n"/>
      <c r="X14" s="66" t="n"/>
    </row>
    <row r="15" ht="22.95" customHeight="1" s="147">
      <c r="A15" s="66" t="n"/>
      <c r="B15" s="69" t="n"/>
      <c r="C15" s="69" t="n"/>
      <c r="D15" s="181" t="inlineStr">
        <is>
          <t>RECESO ACADÉMICO</t>
        </is>
      </c>
      <c r="E15" s="157" t="n"/>
      <c r="F15" s="157" t="n"/>
      <c r="G15" s="157" t="n"/>
      <c r="H15" s="157" t="n"/>
      <c r="I15" s="157" t="n"/>
      <c r="J15" s="157" t="n"/>
      <c r="K15" s="157" t="n"/>
      <c r="L15" s="157" t="n"/>
      <c r="M15" s="157" t="n"/>
      <c r="N15" s="157" t="n"/>
      <c r="O15" s="157" t="n"/>
      <c r="P15" s="157" t="n"/>
      <c r="Q15" s="157" t="n"/>
      <c r="R15" s="157" t="n"/>
      <c r="S15" s="145" t="n"/>
    </row>
    <row r="16" ht="22.95" customHeight="1" s="147">
      <c r="B16" s="66" t="n"/>
      <c r="C16" s="66" t="n"/>
      <c r="D16" s="178" t="inlineStr">
        <is>
          <t>V</t>
        </is>
      </c>
      <c r="E16" s="157" t="n"/>
      <c r="F16" s="157" t="n"/>
      <c r="G16" s="157" t="n"/>
      <c r="H16" s="157" t="n"/>
      <c r="I16" s="145" t="n"/>
      <c r="J16" s="179" t="n"/>
      <c r="K16" s="157" t="n"/>
      <c r="L16" s="157" t="n"/>
      <c r="M16" s="157" t="n"/>
      <c r="N16" s="145" t="n"/>
      <c r="O16" s="182" t="n"/>
      <c r="P16" s="71" t="n"/>
      <c r="Q16" s="71" t="n"/>
      <c r="R16" s="178" t="n"/>
      <c r="S16" s="71" t="n"/>
    </row>
    <row r="17" ht="22.95" customHeight="1" s="147">
      <c r="B17" s="66" t="n"/>
      <c r="C17" s="66" t="n"/>
      <c r="D17" s="178" t="inlineStr">
        <is>
          <t>VI</t>
        </is>
      </c>
      <c r="E17" s="157" t="n"/>
      <c r="F17" s="157" t="n"/>
      <c r="G17" s="157" t="n"/>
      <c r="H17" s="157" t="n"/>
      <c r="I17" s="145" t="n"/>
      <c r="J17" s="179" t="n"/>
      <c r="K17" s="157" t="n"/>
      <c r="L17" s="157" t="n"/>
      <c r="M17" s="157" t="n"/>
      <c r="N17" s="145" t="n"/>
      <c r="O17" s="178" t="n"/>
      <c r="P17" s="178" t="n"/>
      <c r="Q17" s="178" t="n"/>
      <c r="R17" s="71" t="n"/>
      <c r="S17" s="182" t="n"/>
    </row>
    <row r="18" ht="22.95" customHeight="1" s="147">
      <c r="B18" s="66" t="n"/>
      <c r="C18" s="66" t="n"/>
      <c r="D18" s="178" t="inlineStr">
        <is>
          <t>VII</t>
        </is>
      </c>
      <c r="E18" s="157" t="n"/>
      <c r="F18" s="157" t="n"/>
      <c r="G18" s="157" t="n"/>
      <c r="H18" s="157" t="n"/>
      <c r="I18" s="145" t="n"/>
      <c r="J18" s="179" t="n"/>
      <c r="K18" s="157" t="n"/>
      <c r="L18" s="157" t="n"/>
      <c r="M18" s="157" t="n"/>
      <c r="N18" s="145" t="n"/>
      <c r="O18" s="71" t="n"/>
      <c r="P18" s="178" t="n"/>
      <c r="Q18" s="71" t="n"/>
      <c r="R18" s="178" t="n"/>
      <c r="S18" s="178" t="n"/>
    </row>
    <row r="19" ht="22.95" customHeight="1" s="147">
      <c r="B19" s="66" t="n"/>
      <c r="C19" s="66" t="n"/>
      <c r="D19" s="178" t="inlineStr">
        <is>
          <t>VIII</t>
        </is>
      </c>
      <c r="E19" s="157" t="n"/>
      <c r="F19" s="157" t="n"/>
      <c r="G19" s="157" t="n"/>
      <c r="H19" s="157" t="n"/>
      <c r="I19" s="145" t="n"/>
      <c r="J19" s="179" t="n"/>
      <c r="K19" s="157" t="n"/>
      <c r="L19" s="157" t="n"/>
      <c r="M19" s="157" t="n"/>
      <c r="N19" s="145" t="n"/>
      <c r="O19" s="76" t="n"/>
      <c r="P19" s="71" t="n"/>
      <c r="Q19" s="178" t="n"/>
      <c r="R19" s="71" t="n"/>
      <c r="S19" s="71" t="n"/>
    </row>
    <row r="20" ht="18" customHeight="1" s="147">
      <c r="A20" s="180" t="n"/>
      <c r="B20" s="180" t="n"/>
      <c r="C20" s="180" t="n"/>
      <c r="D20" s="180" t="n"/>
      <c r="E20" s="180" t="n"/>
      <c r="F20" s="180" t="n"/>
      <c r="G20" s="180" t="n"/>
      <c r="H20" s="180" t="n"/>
      <c r="I20" s="180" t="n"/>
      <c r="J20" s="180" t="n"/>
      <c r="K20" s="180" t="n"/>
      <c r="L20" s="180" t="n"/>
      <c r="M20" s="180" t="n"/>
      <c r="N20" s="180" t="n"/>
      <c r="O20" s="180" t="n"/>
      <c r="P20" s="180" t="n"/>
      <c r="Q20" s="180" t="n"/>
      <c r="R20" s="180" t="n"/>
      <c r="S20" s="180" t="n"/>
    </row>
    <row r="21" ht="18" customHeight="1" s="147">
      <c r="A21" s="175" t="n"/>
    </row>
    <row r="22" ht="18" customHeight="1" s="147">
      <c r="A22" s="175" t="n"/>
    </row>
    <row r="23" ht="18" customHeight="1" s="147"/>
    <row r="24" ht="22.95" customFormat="1" customHeight="1" s="185">
      <c r="A24" s="184" t="n"/>
      <c r="G24" s="184" t="n"/>
      <c r="O24" s="184" t="n"/>
      <c r="P24" s="184" t="n"/>
      <c r="Q24" s="184" t="n"/>
      <c r="R24" s="184" t="n"/>
      <c r="S24" s="184" t="n"/>
    </row>
    <row r="25" ht="22.95" customHeight="1" s="147">
      <c r="A25" s="180" t="n"/>
      <c r="G25" s="180" t="n"/>
      <c r="O25" s="180" t="n"/>
      <c r="P25" s="180" t="n"/>
      <c r="Q25" s="180" t="n"/>
      <c r="R25" s="180" t="n"/>
      <c r="S25" s="180" t="n"/>
    </row>
    <row r="26" ht="22.95" customHeight="1" s="147">
      <c r="A26" s="180" t="n"/>
      <c r="G26" s="180" t="n"/>
      <c r="O26" s="180" t="n"/>
      <c r="P26" s="180" t="n"/>
      <c r="Q26" s="180" t="n"/>
      <c r="R26" s="180" t="n"/>
      <c r="S26" s="180" t="n"/>
    </row>
    <row r="27" ht="22.95" customHeight="1" s="147">
      <c r="A27" s="180" t="n"/>
      <c r="G27" s="180" t="n"/>
      <c r="O27" s="180" t="n"/>
      <c r="P27" s="180" t="n"/>
      <c r="Q27" s="180" t="n"/>
      <c r="R27" s="180" t="n"/>
      <c r="S27" s="180" t="n"/>
    </row>
    <row r="28" ht="22.95" customHeight="1" s="147">
      <c r="A28" s="180" t="n"/>
      <c r="G28" s="180" t="n"/>
      <c r="O28" s="180" t="n"/>
      <c r="P28" s="180" t="n"/>
      <c r="Q28" s="180" t="n"/>
      <c r="R28" s="180" t="n"/>
      <c r="S28" s="180" t="n"/>
    </row>
    <row r="29" ht="22.95" customHeight="1" s="147">
      <c r="A29" s="175" t="n"/>
    </row>
    <row r="30" ht="22.95" customHeight="1" s="147">
      <c r="A30" s="180" t="n"/>
      <c r="G30" s="180" t="n"/>
      <c r="O30" s="180" t="n"/>
      <c r="P30" s="180" t="n"/>
      <c r="Q30" s="180" t="n"/>
      <c r="R30" s="180" t="n"/>
      <c r="S30" s="180" t="n"/>
    </row>
    <row r="31" ht="22.95" customHeight="1" s="147">
      <c r="A31" s="180" t="n"/>
      <c r="G31" s="180" t="n"/>
      <c r="O31" s="180" t="n"/>
      <c r="P31" s="180" t="n"/>
      <c r="Q31" s="180" t="n"/>
      <c r="R31" s="180" t="n"/>
      <c r="S31" s="180" t="n"/>
    </row>
    <row r="32" ht="22.95" customHeight="1" s="147">
      <c r="A32" s="180" t="n"/>
      <c r="G32" s="180" t="n"/>
      <c r="O32" s="180" t="n"/>
      <c r="P32" s="180" t="n"/>
      <c r="Q32" s="180" t="n"/>
      <c r="R32" s="180" t="n"/>
      <c r="S32" s="180" t="n"/>
    </row>
    <row r="33" ht="22.95" customHeight="1" s="147">
      <c r="A33" s="180" t="n"/>
      <c r="G33" s="180" t="n"/>
      <c r="O33" s="180" t="n"/>
      <c r="P33" s="180" t="n"/>
      <c r="Q33" s="180" t="n"/>
      <c r="R33" s="180" t="n"/>
      <c r="S33" s="180" t="n"/>
    </row>
    <row r="34" ht="18" customHeight="1" s="147"/>
    <row r="35" ht="18" customHeight="1" s="147"/>
    <row r="36" ht="18" customHeight="1" s="147"/>
    <row r="37" ht="18" customHeight="1" s="147"/>
    <row r="38" ht="18" customHeight="1" s="147"/>
    <row r="39" ht="18" customHeight="1" s="147"/>
    <row r="40" ht="18" customHeight="1" s="147"/>
    <row r="41" ht="18" customHeight="1" s="147"/>
    <row r="42" ht="18" customHeight="1" s="147"/>
    <row r="43" ht="18" customHeight="1" s="147"/>
    <row r="44" ht="18" customHeight="1" s="147"/>
    <row r="45" ht="18" customHeight="1" s="147"/>
    <row r="46" ht="18" customHeight="1" s="147"/>
    <row r="47" ht="18" customHeight="1" s="147"/>
    <row r="48" ht="18" customHeight="1" s="147"/>
    <row r="49" ht="18" customHeight="1" s="147"/>
    <row r="50" ht="18" customHeight="1" s="147"/>
    <row r="51" ht="18" customHeight="1" s="147"/>
    <row r="52" ht="18" customHeight="1" s="147"/>
    <row r="53" ht="18" customHeight="1" s="147"/>
    <row r="54" ht="18" customHeight="1" s="147"/>
    <row r="55" ht="18" customHeight="1" s="147"/>
    <row r="56" ht="18" customHeight="1" s="147"/>
    <row r="57" ht="18" customHeight="1" s="147"/>
    <row r="58" ht="18" customHeight="1" s="147"/>
    <row r="59" ht="18" customHeight="1" s="147"/>
    <row r="60" ht="18" customHeight="1" s="147"/>
    <row r="61" ht="18" customHeight="1" s="147"/>
    <row r="62" ht="18" customHeight="1" s="147"/>
    <row r="63" ht="18" customHeight="1" s="147"/>
    <row r="64" ht="18" customHeight="1" s="147"/>
    <row r="65" ht="18" customHeight="1" s="147"/>
  </sheetData>
  <mergeCells count="43">
    <mergeCell ref="D11:I11"/>
    <mergeCell ref="J17:N17"/>
    <mergeCell ref="D13:I13"/>
    <mergeCell ref="A22:S22"/>
    <mergeCell ref="A27:F27"/>
    <mergeCell ref="J14:N14"/>
    <mergeCell ref="D17:I17"/>
    <mergeCell ref="J13:N13"/>
    <mergeCell ref="G27:N27"/>
    <mergeCell ref="A26:F26"/>
    <mergeCell ref="D16:I16"/>
    <mergeCell ref="J19:N19"/>
    <mergeCell ref="H4:R4"/>
    <mergeCell ref="D15:S15"/>
    <mergeCell ref="A29:S29"/>
    <mergeCell ref="A33:F33"/>
    <mergeCell ref="D18:I18"/>
    <mergeCell ref="A32:F32"/>
    <mergeCell ref="D12:I12"/>
    <mergeCell ref="G28:N28"/>
    <mergeCell ref="O8:Q8"/>
    <mergeCell ref="I6:R6"/>
    <mergeCell ref="O2:Q2"/>
    <mergeCell ref="A28:F28"/>
    <mergeCell ref="D14:I14"/>
    <mergeCell ref="J11:N11"/>
    <mergeCell ref="G30:N30"/>
    <mergeCell ref="G33:N33"/>
    <mergeCell ref="J16:N16"/>
    <mergeCell ref="G24:N24"/>
    <mergeCell ref="A31:F31"/>
    <mergeCell ref="A30:F30"/>
    <mergeCell ref="D19:I19"/>
    <mergeCell ref="A24:F24"/>
    <mergeCell ref="D10:I10"/>
    <mergeCell ref="G26:N26"/>
    <mergeCell ref="J12:N12"/>
    <mergeCell ref="G25:N25"/>
    <mergeCell ref="G32:N32"/>
    <mergeCell ref="A21:S21"/>
    <mergeCell ref="J18:N18"/>
    <mergeCell ref="G31:N31"/>
    <mergeCell ref="A25:F25"/>
  </mergeCells>
  <pageMargins left="0.25" right="0.25"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codeName="Hoja4">
    <tabColor theme="0" tint="-0.249977111117893"/>
    <outlinePr summaryBelow="1" summaryRight="1"/>
    <pageSetUpPr/>
  </sheetPr>
  <dimension ref="A1:C124"/>
  <sheetViews>
    <sheetView topLeftCell="A23" workbookViewId="0">
      <selection activeCell="A18" sqref="A18:A21"/>
    </sheetView>
  </sheetViews>
  <sheetFormatPr baseColWidth="10" defaultRowHeight="14.4"/>
  <cols>
    <col width="44.6640625" customWidth="1" style="147" min="1" max="1"/>
    <col width="6.33203125" customWidth="1" style="147" min="2" max="2"/>
    <col width="46.109375" customWidth="1" style="147" min="3" max="3"/>
  </cols>
  <sheetData>
    <row r="1" ht="28.8" customHeight="1" s="147">
      <c r="A1" s="29" t="inlineStr">
        <is>
          <t>GUÍA PARA EL CORRECTO MANEJO DEL                     REGISTRO ESCOLAR</t>
        </is>
      </c>
      <c r="C1" s="187" t="inlineStr">
        <is>
          <t>.  Debe anotarse toda la información relacionada con el nombre y apellido.</t>
        </is>
      </c>
    </row>
    <row r="2" ht="13.05" customHeight="1" s="147">
      <c r="A2" s="31" t="n"/>
      <c r="C2" s="187" t="inlineStr">
        <is>
          <t>.  En caso de retiros, no se debe tachar el nombre, sino hacer la correspondiente anotación en el espacio previsto para ello al final de cada grupo.</t>
        </is>
      </c>
    </row>
    <row r="3">
      <c r="A3" s="188" t="inlineStr">
        <is>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is>
      </c>
    </row>
    <row r="4" ht="11.25" customHeight="1" s="147"/>
    <row r="5" ht="55.2" customHeight="1" s="147">
      <c r="C5" s="187" t="inlineStr">
        <is>
          <t>.  En la sección para observaciones, debe aparecer el nombre de la profesora o del profesor consejero así como el grupo de consejería a que pertenece la estudiante o el estudiante.</t>
        </is>
      </c>
    </row>
    <row r="6">
      <c r="C6" s="187" t="n"/>
    </row>
    <row r="7" ht="15.6" customHeight="1" s="147">
      <c r="A7" s="35" t="n"/>
      <c r="C7" s="32" t="inlineStr">
        <is>
          <t>SIMBOLOGÍA RECOMENDADA</t>
        </is>
      </c>
    </row>
    <row r="8">
      <c r="A8" s="35" t="n"/>
      <c r="C8" s="187" t="n"/>
    </row>
    <row r="9" ht="13.05" customHeight="1" s="147">
      <c r="A9" s="33" t="n"/>
      <c r="C9" s="187" t="inlineStr">
        <is>
          <t>El registro o control de la asistencia tiene una trascendental importancia con los diferentes aspectos que debe manejar el docente para dar respuesta a las solicitudes que se formulen en torno a sus estudiantes.   El profesor y la profesora deberán:</t>
        </is>
      </c>
    </row>
    <row r="10" ht="14.4" customHeight="1" s="147">
      <c r="A10" s="187" t="inlineStr">
        <is>
          <t>Para asegurar el correcto reistro, tanto de la asistencia como las calificaciones, el docente debe guiarse por el nombre del estudiante como por el número de casilla que le corresponde.</t>
        </is>
      </c>
    </row>
    <row r="11"/>
    <row r="12"/>
    <row r="13" ht="8.25" customHeight="1" s="147"/>
    <row r="14" ht="13.05" customHeight="1" s="147">
      <c r="C14" s="187" t="n"/>
    </row>
    <row r="15" ht="14.4" customHeight="1" s="147">
      <c r="A15" s="187" t="inlineStr">
        <is>
          <t>Al finalizar el año lectivo, todos los docentes deben devolver el Registro Escolar a la Dirección del Plantel.</t>
        </is>
      </c>
      <c r="C15" s="187" t="inlineStr">
        <is>
          <t>1. Registrar la asistencia diariamente, anotando la fecha correspondiente (día: número arábigo; mes: número arabigo). Utilizar la siguiente simbología:</t>
        </is>
      </c>
    </row>
    <row r="16"/>
    <row r="17" ht="13.05" customHeight="1" s="147"/>
    <row r="18" ht="14.4" customHeight="1" s="147">
      <c r="A18" s="187" t="inlineStr">
        <is>
          <t>Esperamos que los señalamientos aquí presentados sean considerados por los docentes quienes oportunamente deberán presentar opiniones o nuevas ideas relacionadas con el manejo del Registro Escolar.</t>
        </is>
      </c>
      <c r="C18" s="187" t="inlineStr">
        <is>
          <t>a. Asistencia: un punto (.)</t>
        </is>
      </c>
    </row>
    <row r="19">
      <c r="C19" s="187" t="inlineStr">
        <is>
          <t>b. Ausencia: una raya horizontal (-)</t>
        </is>
      </c>
    </row>
    <row r="20">
      <c r="C20" s="187" t="inlineStr">
        <is>
          <t>c. Ausencia justificada (excusa): la letra mayúscula €</t>
        </is>
      </c>
    </row>
    <row r="21">
      <c r="C21" s="187" t="inlineStr">
        <is>
          <t>d. Tardanza: La letra mayúscula (T)</t>
        </is>
      </c>
    </row>
    <row r="22" ht="13.05" customHeight="1" s="147">
      <c r="A22" s="187" t="n"/>
      <c r="C22" s="187" t="inlineStr">
        <is>
          <t>e. Fuga: la letra (F)</t>
        </is>
      </c>
    </row>
    <row r="23">
      <c r="A23" s="34" t="inlineStr">
        <is>
          <t>PRESENTACIÓN</t>
        </is>
      </c>
      <c r="C23" s="187" t="inlineStr">
        <is>
          <t>f. Sin nota: las letras (S/N)</t>
        </is>
      </c>
    </row>
    <row r="24" ht="13.05" customHeight="1" s="147">
      <c r="A24" s="34" t="n"/>
      <c r="C24" s="187" t="inlineStr">
        <is>
          <t>g. Sin profesor: las letras (S/P)</t>
        </is>
      </c>
    </row>
    <row r="25" ht="14.4" customHeight="1" s="147">
      <c r="A25" s="187" t="inlineStr">
        <is>
          <t>El Registro Escolar refleja la personalidad de la docente o del docente, por lo tanto, se debe tener especial cuidado con su aspecto físico.</t>
        </is>
      </c>
      <c r="C25" s="187" t="inlineStr">
        <is>
          <t>h. Alumno retirado: La letra (R) mayúscula.</t>
        </is>
      </c>
    </row>
    <row r="26">
      <c r="C26" s="187" t="n"/>
    </row>
    <row r="27" ht="10.5" customHeight="1" s="147">
      <c r="C27" s="189" t="inlineStr">
        <is>
          <t>CONSIDERACIONES FINALES</t>
        </is>
      </c>
    </row>
    <row r="28" ht="10.5" customHeight="1" s="147">
      <c r="A28" s="187" t="n"/>
    </row>
    <row r="29" ht="14.4" customHeight="1" s="147">
      <c r="A29" s="187" t="inlineStr">
        <is>
          <t>En cuanto a su presentación se tendrá en cuenta lo siguiente:</t>
        </is>
      </c>
      <c r="C29" s="187" t="n"/>
    </row>
    <row r="30">
      <c r="C30" s="187" t="inlineStr">
        <is>
          <t>El registro de notas o calificaciones es importante por su trascendencia en la determinación cuantitativa y cualitativa del aprovechamiento escolar. Por eso debemos:</t>
        </is>
      </c>
    </row>
    <row r="31" ht="13.05" customHeight="1" s="147">
      <c r="A31" s="35" t="n"/>
    </row>
    <row r="32" ht="14.4" customHeight="1" s="147">
      <c r="A32" s="187" t="inlineStr">
        <is>
          <t>1. Debe estar forrado con sobriedad; si es posible, encuadernado o empastado.</t>
        </is>
      </c>
    </row>
    <row r="33" ht="12" customHeight="1" s="147"/>
    <row r="34" ht="14.4" customHeight="1" s="147">
      <c r="A34" s="187" t="inlineStr">
        <is>
          <t>2. La información se anotará con tinta sin exagerar el uso de los colores.</t>
        </is>
      </c>
      <c r="C34" s="187" t="n"/>
    </row>
    <row r="35" ht="12" customHeight="1" s="147">
      <c r="C35" s="187" t="inlineStr">
        <is>
          <t>.    Utilizar la escala numérica de 1 a 5 (incluye decimales con números arábigos).</t>
        </is>
      </c>
    </row>
    <row r="36" ht="14.4" customHeight="1" s="147">
      <c r="A36" s="187" t="inlineStr">
        <is>
          <t>3. Al escribir en él puede usar la letra de imprenta o cursiva legible.</t>
        </is>
      </c>
    </row>
    <row r="37" ht="12" customHeight="1" s="147">
      <c r="C37" s="187" t="inlineStr">
        <is>
          <t>.    Recordar que el cero (0) no existe dentro de esta escala.</t>
        </is>
      </c>
    </row>
    <row r="38" ht="14.4" customHeight="1" s="147">
      <c r="A38" s="187" t="inlineStr">
        <is>
          <t>4. Debe conservarse en forma nítida, sin manchas, sin borrones y sin tachaduras.</t>
        </is>
      </c>
    </row>
    <row r="39" ht="12" customHeight="1" s="147">
      <c r="C39" s="187" t="inlineStr">
        <is>
          <t>.  No utilizar ganchos, equis ni otros símbolos.</t>
        </is>
      </c>
    </row>
    <row r="40" ht="14.4" customHeight="1" s="147">
      <c r="A40" s="187" t="inlineStr">
        <is>
          <t>5. La libreta no debe contener información ajena a sus propósitos.</t>
        </is>
      </c>
      <c r="C40" s="187" t="inlineStr">
        <is>
          <t>.  Registrar las notas con tinta, sin borrones ni tachaduras. Evitar escribir un número sobre otro.</t>
        </is>
      </c>
    </row>
    <row r="41"/>
    <row r="42" ht="13.05" customHeight="1" s="147">
      <c r="A42" s="187" t="n"/>
      <c r="C42" s="187" t="inlineStr">
        <is>
          <t>.  Se debe registrar según la carga horaria, un mínimo de pruebas y actividades.</t>
        </is>
      </c>
    </row>
    <row r="43" ht="14.4" customHeight="1" s="147">
      <c r="A43" s="190" t="inlineStr">
        <is>
          <t>CONFECCIÓN DEL LISTADO DE LAS ESTUDIANTES Y LOS ESTUDIANTES.</t>
        </is>
      </c>
    </row>
    <row r="44">
      <c r="C44" s="187" t="inlineStr">
        <is>
          <t>.  Debemos recordar que el trabajo en la libreta debe ser exacto, completo, claro y legible.</t>
        </is>
      </c>
    </row>
    <row r="45" ht="13.05" customHeight="1" s="147">
      <c r="A45" s="187" t="n"/>
    </row>
    <row r="46" ht="27.6" customHeight="1" s="147">
      <c r="A46" s="187" t="inlineStr">
        <is>
          <t>.  El listado debe hacerse por apellidos, en orden alfabético, sin distinción de género.</t>
        </is>
      </c>
      <c r="C46" s="187" t="n"/>
    </row>
    <row r="47" ht="27.6" customHeight="1" s="147">
      <c r="A47" s="36" t="inlineStr">
        <is>
          <t>Según el Resuelto No.1840 de 1 de noviembre de 2000.</t>
        </is>
      </c>
      <c r="C47" s="187" t="n"/>
    </row>
    <row r="48">
      <c r="A48" s="187" t="n"/>
      <c r="C48" s="187" t="n"/>
    </row>
    <row r="49">
      <c r="A49" s="187" t="n"/>
      <c r="C49" s="187" t="n"/>
    </row>
    <row r="50">
      <c r="A50" s="187" t="n"/>
      <c r="C50" s="187" t="n"/>
    </row>
    <row r="51" ht="12.75" customHeight="1" s="147">
      <c r="C51" s="187" t="n"/>
    </row>
    <row r="52" ht="30" customHeight="1" s="147">
      <c r="C52" s="187" t="n"/>
    </row>
    <row r="53" ht="11.25" customHeight="1" s="147">
      <c r="A53" s="187" t="n"/>
      <c r="C53" s="187" t="n"/>
    </row>
    <row r="54">
      <c r="C54" s="187" t="n"/>
    </row>
    <row r="55">
      <c r="C55" s="187" t="n"/>
    </row>
    <row r="56">
      <c r="A56" s="187" t="n"/>
      <c r="C56" s="187" t="n"/>
    </row>
    <row r="57">
      <c r="A57" s="187" t="n"/>
      <c r="C57" s="187" t="n"/>
    </row>
    <row r="58">
      <c r="A58" s="187" t="n"/>
      <c r="C58" s="187" t="n"/>
    </row>
    <row r="59">
      <c r="A59" s="187" t="n"/>
      <c r="C59" s="187" t="n"/>
    </row>
    <row r="60">
      <c r="A60" s="187" t="n"/>
      <c r="C60" s="187" t="n"/>
    </row>
    <row r="61">
      <c r="A61" s="187" t="n"/>
      <c r="C61" s="187" t="n"/>
    </row>
    <row r="62">
      <c r="A62" s="187" t="n"/>
      <c r="C62" s="187" t="n"/>
    </row>
    <row r="63">
      <c r="A63" s="187" t="n"/>
      <c r="C63" s="187" t="n"/>
    </row>
    <row r="64">
      <c r="A64" s="187" t="n"/>
      <c r="C64" s="187" t="n"/>
    </row>
    <row r="65">
      <c r="A65" s="187" t="n"/>
      <c r="C65" s="187" t="n"/>
    </row>
    <row r="66">
      <c r="A66" s="187" t="n"/>
      <c r="C66" s="187" t="n"/>
    </row>
    <row r="67">
      <c r="A67" s="187" t="n"/>
      <c r="C67" s="187" t="n"/>
    </row>
    <row r="68">
      <c r="A68" s="187" t="n"/>
      <c r="C68" s="187" t="n"/>
    </row>
    <row r="69">
      <c r="A69" s="187" t="n"/>
      <c r="C69" s="187" t="n"/>
    </row>
    <row r="70">
      <c r="A70" s="187" t="n"/>
      <c r="C70" s="187" t="n"/>
    </row>
    <row r="71">
      <c r="A71" s="187" t="n"/>
      <c r="C71" s="187" t="n"/>
    </row>
    <row r="72">
      <c r="A72" s="187" t="n"/>
      <c r="C72" s="187" t="n"/>
    </row>
    <row r="73">
      <c r="A73" s="187" t="n"/>
      <c r="C73" s="187" t="n"/>
    </row>
    <row r="74">
      <c r="A74" s="187" t="n"/>
      <c r="C74" s="187" t="n"/>
    </row>
    <row r="75">
      <c r="A75" s="187" t="n"/>
      <c r="C75" s="187" t="n"/>
    </row>
    <row r="76">
      <c r="A76" s="187" t="n"/>
      <c r="C76" s="187" t="n"/>
    </row>
    <row r="77">
      <c r="A77" s="187" t="n"/>
      <c r="C77" s="187" t="n"/>
    </row>
    <row r="78">
      <c r="A78" s="187" t="n"/>
      <c r="C78" s="187" t="n"/>
    </row>
    <row r="79">
      <c r="A79" s="187" t="n"/>
      <c r="C79" s="187" t="n"/>
    </row>
    <row r="80">
      <c r="A80" s="187" t="n"/>
      <c r="C80" s="187" t="n"/>
    </row>
    <row r="81">
      <c r="A81" s="187" t="n"/>
      <c r="C81" s="187" t="n"/>
    </row>
    <row r="82">
      <c r="A82" s="187" t="n"/>
      <c r="C82" s="187" t="n"/>
    </row>
    <row r="83">
      <c r="A83" s="187" t="n"/>
      <c r="C83" s="187" t="n"/>
    </row>
    <row r="84">
      <c r="A84" s="187" t="n"/>
      <c r="C84" s="187" t="n"/>
    </row>
    <row r="85">
      <c r="A85" s="187" t="n"/>
      <c r="C85" s="187" t="n"/>
    </row>
    <row r="86">
      <c r="A86" s="187" t="n"/>
      <c r="C86" s="187" t="n"/>
    </row>
    <row r="87">
      <c r="A87" s="187" t="n"/>
    </row>
    <row r="88">
      <c r="A88" s="187" t="n"/>
    </row>
    <row r="89">
      <c r="A89" s="187" t="n"/>
    </row>
    <row r="90">
      <c r="A90" s="187" t="n"/>
    </row>
    <row r="91">
      <c r="A91" s="187" t="n"/>
    </row>
    <row r="92">
      <c r="A92" s="187" t="n"/>
    </row>
    <row r="93">
      <c r="A93" s="187" t="n"/>
    </row>
    <row r="94">
      <c r="A94" s="187" t="n"/>
    </row>
    <row r="95">
      <c r="A95" s="187" t="n"/>
    </row>
    <row r="96">
      <c r="A96" s="187" t="n"/>
    </row>
    <row r="97">
      <c r="A97" s="187" t="n"/>
    </row>
    <row r="98">
      <c r="A98" s="187" t="n"/>
    </row>
    <row r="99">
      <c r="A99" s="187" t="n"/>
    </row>
    <row r="100">
      <c r="A100" s="187" t="n"/>
    </row>
    <row r="101">
      <c r="A101" s="187" t="n"/>
    </row>
    <row r="102">
      <c r="A102" s="187" t="n"/>
    </row>
    <row r="103">
      <c r="A103" s="187" t="n"/>
    </row>
    <row r="104">
      <c r="A104" s="187" t="n"/>
    </row>
    <row r="105">
      <c r="A105" s="187" t="n"/>
    </row>
    <row r="106">
      <c r="A106" s="187" t="n"/>
    </row>
    <row r="107">
      <c r="A107" s="187" t="n"/>
    </row>
    <row r="108">
      <c r="A108" s="187" t="n"/>
    </row>
    <row r="109">
      <c r="A109" s="187" t="n"/>
    </row>
    <row r="110">
      <c r="A110" s="187" t="n"/>
    </row>
    <row r="111">
      <c r="A111" s="187" t="n"/>
    </row>
    <row r="112">
      <c r="A112" s="187" t="n"/>
    </row>
    <row r="113">
      <c r="A113" s="187" t="n"/>
    </row>
    <row r="114">
      <c r="A114" s="187" t="n"/>
    </row>
    <row r="115">
      <c r="A115" s="187" t="n"/>
    </row>
    <row r="116">
      <c r="A116" s="187" t="n"/>
    </row>
    <row r="117">
      <c r="A117" s="187" t="n"/>
    </row>
    <row r="118">
      <c r="A118" s="187" t="n"/>
    </row>
    <row r="119">
      <c r="A119" s="187" t="n"/>
    </row>
    <row r="120">
      <c r="A120" s="187" t="n"/>
    </row>
    <row r="121">
      <c r="A121" s="187" t="n"/>
    </row>
    <row r="122">
      <c r="A122" s="187" t="n"/>
    </row>
    <row r="123">
      <c r="A123" s="187" t="n"/>
    </row>
    <row r="124">
      <c r="A124" s="187" t="n"/>
    </row>
  </sheetData>
  <mergeCells count="22">
    <mergeCell ref="C9:C13"/>
    <mergeCell ref="C42:C43"/>
    <mergeCell ref="C2:C4"/>
    <mergeCell ref="A36:A37"/>
    <mergeCell ref="C30:C33"/>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A40:A41"/>
  </mergeCells>
  <pageMargins left="0.6299212598425197" right="0.2362204724409449" top="0.7480314960629921" bottom="0" header="0.3149606299212598" footer="0.3149606299212598"/>
  <pageSetup orientation="portrait"/>
</worksheet>
</file>

<file path=xl/worksheets/sheet5.xml><?xml version="1.0" encoding="utf-8"?>
<worksheet xmlns="http://schemas.openxmlformats.org/spreadsheetml/2006/main">
  <sheetPr codeName="Hoja5">
    <tabColor theme="0" tint="-0.249977111117893"/>
    <outlinePr summaryBelow="1" summaryRight="1"/>
    <pageSetUpPr/>
  </sheetPr>
  <dimension ref="A4:H28"/>
  <sheetViews>
    <sheetView workbookViewId="0">
      <selection activeCell="I30" sqref="I30"/>
    </sheetView>
  </sheetViews>
  <sheetFormatPr baseColWidth="10" defaultRowHeight="14.4"/>
  <sheetData>
    <row r="4" ht="18" customHeight="1" s="147">
      <c r="A4" s="191" t="inlineStr">
        <is>
          <t>OBSERVACIONES</t>
        </is>
      </c>
    </row>
    <row r="7" ht="25.05" customHeight="1" s="147">
      <c r="A7" s="174" t="n"/>
      <c r="B7" s="174" t="n"/>
      <c r="C7" s="174" t="n"/>
      <c r="D7" s="174" t="n"/>
      <c r="E7" s="174" t="n"/>
      <c r="F7" s="174" t="n"/>
      <c r="G7" s="174" t="n"/>
    </row>
    <row r="8" ht="25.05" customHeight="1" s="147">
      <c r="A8" s="174" t="n"/>
      <c r="B8" s="174" t="n"/>
      <c r="C8" s="174" t="n"/>
      <c r="D8" s="174" t="n"/>
      <c r="E8" s="174" t="n"/>
      <c r="F8" s="174" t="n"/>
      <c r="G8" s="174" t="n"/>
    </row>
    <row r="9" ht="25.05" customHeight="1" s="147">
      <c r="A9" s="174" t="n"/>
      <c r="B9" s="174" t="n"/>
      <c r="C9" s="174" t="n"/>
      <c r="D9" s="174" t="n"/>
      <c r="E9" s="174" t="n"/>
      <c r="F9" s="174" t="n"/>
      <c r="G9" s="174" t="n"/>
    </row>
    <row r="10" ht="25.05" customHeight="1" s="147">
      <c r="A10" s="174" t="n"/>
      <c r="B10" s="174" t="n"/>
      <c r="C10" s="174" t="n"/>
      <c r="D10" s="174" t="n"/>
      <c r="E10" s="174" t="n"/>
      <c r="F10" s="174" t="n"/>
      <c r="G10" s="174" t="n"/>
    </row>
    <row r="11" ht="25.05" customHeight="1" s="147">
      <c r="A11" s="174" t="n"/>
      <c r="B11" s="174" t="n"/>
      <c r="C11" s="174" t="n"/>
      <c r="D11" s="174" t="n"/>
      <c r="E11" s="174" t="n"/>
      <c r="F11" s="174" t="n"/>
      <c r="G11" s="174" t="n"/>
    </row>
    <row r="12" ht="25.05" customHeight="1" s="147">
      <c r="A12" s="174" t="n"/>
      <c r="B12" s="174" t="n"/>
      <c r="C12" s="174" t="n"/>
      <c r="D12" s="174" t="n"/>
      <c r="E12" s="174" t="n"/>
      <c r="F12" s="174" t="n"/>
      <c r="G12" s="174" t="n"/>
    </row>
    <row r="13" ht="25.05" customHeight="1" s="147">
      <c r="A13" s="174" t="n"/>
      <c r="B13" s="174" t="n"/>
      <c r="C13" s="174" t="n"/>
      <c r="D13" s="174" t="n"/>
      <c r="E13" s="174" t="n"/>
      <c r="F13" s="174" t="n"/>
      <c r="G13" s="174" t="n"/>
    </row>
    <row r="14" ht="25.05" customHeight="1" s="147">
      <c r="A14" s="174" t="n"/>
      <c r="B14" s="174" t="n"/>
      <c r="C14" s="174" t="n"/>
      <c r="D14" s="174" t="n"/>
      <c r="E14" s="174" t="n"/>
      <c r="F14" s="174" t="n"/>
      <c r="G14" s="174" t="n"/>
    </row>
    <row r="15" ht="25.05" customHeight="1" s="147">
      <c r="A15" s="174" t="n"/>
      <c r="B15" s="174" t="n"/>
      <c r="C15" s="174" t="n"/>
      <c r="D15" s="174" t="n"/>
      <c r="E15" s="174" t="n"/>
      <c r="F15" s="174" t="n"/>
      <c r="G15" s="174" t="n"/>
    </row>
    <row r="16" ht="25.05" customHeight="1" s="147">
      <c r="A16" s="174" t="n"/>
      <c r="B16" s="174" t="n"/>
      <c r="C16" s="174" t="n"/>
      <c r="D16" s="174" t="n"/>
      <c r="E16" s="174" t="n"/>
      <c r="F16" s="174" t="n"/>
      <c r="G16" s="174" t="n"/>
    </row>
    <row r="17" ht="25.05" customHeight="1" s="147">
      <c r="A17" s="174" t="n"/>
      <c r="B17" s="174" t="n"/>
      <c r="C17" s="174" t="n"/>
      <c r="D17" s="174" t="n"/>
      <c r="E17" s="174" t="n"/>
      <c r="F17" s="174" t="n"/>
      <c r="G17" s="174" t="n"/>
    </row>
    <row r="18" ht="25.05" customHeight="1" s="147">
      <c r="A18" s="174" t="n"/>
      <c r="B18" s="174" t="n"/>
      <c r="C18" s="174" t="n"/>
      <c r="D18" s="174" t="n"/>
      <c r="E18" s="174" t="n"/>
      <c r="F18" s="174" t="n"/>
      <c r="G18" s="174" t="n"/>
    </row>
    <row r="19" ht="25.05" customHeight="1" s="147">
      <c r="A19" s="174" t="n"/>
      <c r="B19" s="174" t="n"/>
      <c r="C19" s="174" t="n"/>
      <c r="D19" s="174" t="n"/>
      <c r="E19" s="174" t="n"/>
      <c r="F19" s="174" t="n"/>
      <c r="G19" s="174" t="n"/>
    </row>
    <row r="20" ht="25.05" customHeight="1" s="147">
      <c r="A20" s="174" t="n"/>
      <c r="B20" s="174" t="n"/>
      <c r="C20" s="174" t="n"/>
      <c r="D20" s="174" t="n"/>
      <c r="E20" s="174" t="n"/>
      <c r="F20" s="174" t="n"/>
      <c r="G20" s="174" t="n"/>
    </row>
    <row r="21" ht="25.05" customHeight="1" s="147">
      <c r="A21" s="174" t="n"/>
      <c r="B21" s="174" t="n"/>
      <c r="C21" s="174" t="n"/>
      <c r="D21" s="174" t="n"/>
      <c r="E21" s="174" t="n"/>
      <c r="F21" s="174" t="n"/>
      <c r="G21" s="174" t="n"/>
    </row>
    <row r="22" ht="25.05" customHeight="1" s="147">
      <c r="A22" s="174" t="n"/>
      <c r="B22" s="174" t="n"/>
      <c r="C22" s="174" t="n"/>
      <c r="D22" s="174" t="n"/>
      <c r="E22" s="174" t="n"/>
      <c r="F22" s="174" t="n"/>
      <c r="G22" s="174" t="n"/>
    </row>
    <row r="23" ht="25.05" customHeight="1" s="147">
      <c r="A23" s="174" t="n"/>
      <c r="B23" s="174" t="n"/>
      <c r="C23" s="174" t="n"/>
      <c r="D23" s="174" t="n"/>
      <c r="E23" s="174" t="n"/>
      <c r="F23" s="174" t="n"/>
      <c r="G23" s="174" t="n"/>
    </row>
    <row r="24" ht="25.05" customHeight="1" s="147">
      <c r="A24" s="174" t="n"/>
      <c r="B24" s="174" t="n"/>
      <c r="C24" s="174" t="n"/>
      <c r="D24" s="174" t="n"/>
      <c r="E24" s="174" t="n"/>
      <c r="F24" s="174" t="n"/>
      <c r="G24" s="174" t="n"/>
    </row>
    <row r="25" ht="25.05" customHeight="1" s="147">
      <c r="A25" s="174" t="n"/>
      <c r="B25" s="174" t="n"/>
      <c r="C25" s="174" t="n"/>
      <c r="D25" s="174" t="n"/>
      <c r="E25" s="174" t="n"/>
      <c r="F25" s="174" t="n"/>
      <c r="G25" s="174" t="n"/>
    </row>
    <row r="26" ht="25.05" customHeight="1" s="147">
      <c r="A26" s="174" t="n"/>
      <c r="B26" s="174" t="n"/>
      <c r="C26" s="174" t="n"/>
      <c r="D26" s="174" t="n"/>
      <c r="E26" s="174" t="n"/>
      <c r="F26" s="174" t="n"/>
      <c r="G26" s="174" t="n"/>
    </row>
    <row r="27" ht="25.05" customHeight="1" s="147">
      <c r="A27" s="174" t="n"/>
      <c r="B27" s="174" t="n"/>
      <c r="C27" s="174" t="n"/>
      <c r="D27" s="174" t="n"/>
      <c r="E27" s="174" t="n"/>
      <c r="F27" s="174" t="n"/>
      <c r="G27" s="174" t="n"/>
    </row>
    <row r="28" ht="25.05" customHeight="1" s="147">
      <c r="A28" s="174" t="n"/>
      <c r="B28" s="174" t="n"/>
      <c r="C28" s="174" t="n"/>
      <c r="D28" s="174" t="n"/>
      <c r="E28" s="174" t="n"/>
      <c r="F28" s="174" t="n"/>
      <c r="G28" s="174" t="n"/>
    </row>
    <row r="29" ht="25.05" customHeight="1" s="147"/>
    <row r="30" ht="25.05" customHeight="1" s="147"/>
  </sheetData>
  <mergeCells count="1">
    <mergeCell ref="A4:H4"/>
  </mergeCells>
  <pageMargins left="0.7" right="0.7" top="0.75" bottom="0.75" header="0.3" footer="0.3"/>
  <pageSetup orientation="portrait"/>
</worksheet>
</file>

<file path=xl/worksheets/sheet6.xml><?xml version="1.0" encoding="utf-8"?>
<worksheet xmlns="http://schemas.openxmlformats.org/spreadsheetml/2006/main">
  <sheetPr>
    <tabColor rgb="FF1F3864"/>
    <outlinePr summaryBelow="1" summaryRight="1"/>
    <pageSetUpPr/>
  </sheetPr>
  <dimension ref="A1:F40"/>
  <sheetViews>
    <sheetView workbookViewId="0">
      <selection activeCell="B18" sqref="B18:D18"/>
    </sheetView>
  </sheetViews>
  <sheetFormatPr baseColWidth="10" defaultColWidth="8.88671875" defaultRowHeight="14.4"/>
  <cols>
    <col width="5" customWidth="1" style="147" min="1" max="1"/>
    <col width="35" customWidth="1" style="147" min="2" max="2"/>
    <col width="5" customWidth="1" style="147" min="3" max="3"/>
    <col width="35" customWidth="1" style="147" min="4" max="4"/>
    <col width="5" customWidth="1" style="147" min="5" max="5"/>
    <col width="35" customWidth="1" style="147" min="6" max="6"/>
  </cols>
  <sheetData>
    <row r="1" ht="30" customHeight="1" s="147">
      <c r="A1" s="204" t="inlineStr">
        <is>
          <t>HOJA MAESTRO — ESCUELA CERRO CACICÓN · AÑO LECTIVO 2026</t>
        </is>
      </c>
    </row>
    <row r="2" ht="18" customHeight="1" s="147">
      <c r="A2" s="199" t="inlineStr">
        <is>
          <t>Ingresa aquí los nombres de cada grado. Se copiarán automáticamente a TODAS las hojas.</t>
        </is>
      </c>
      <c r="B2" s="200" t="n"/>
      <c r="C2" s="200" t="n"/>
      <c r="D2" s="200" t="n"/>
      <c r="E2" s="200" t="n"/>
      <c r="F2" s="200" t="n"/>
    </row>
    <row r="3" ht="22.05" customHeight="1" s="147">
      <c r="A3" s="198" t="inlineStr">
        <is>
          <t>1° GRADO</t>
        </is>
      </c>
      <c r="B3" s="193" t="n"/>
      <c r="C3" s="193" t="n"/>
      <c r="D3" s="193" t="n"/>
      <c r="E3" s="193" t="n"/>
      <c r="F3" s="194" t="n"/>
    </row>
    <row r="4" ht="18" customHeight="1" s="147">
      <c r="A4" s="202" t="inlineStr">
        <is>
          <t>No.</t>
        </is>
      </c>
      <c r="B4" s="202" t="inlineStr">
        <is>
          <t>APELLIDO, NOMBRE</t>
        </is>
      </c>
      <c r="C4" s="193" t="n"/>
      <c r="D4" s="194" t="n"/>
      <c r="E4" s="201" t="inlineStr">
        <is>
          <t>CEDULA</t>
        </is>
      </c>
      <c r="F4" s="193" t="n"/>
    </row>
    <row r="5" ht="16.05" customHeight="1" s="147">
      <c r="A5" s="84" t="n">
        <v>1</v>
      </c>
      <c r="B5" s="192" t="inlineStr">
        <is>
          <t>BEJERANO, Jose</t>
        </is>
      </c>
      <c r="C5" s="193" t="n"/>
      <c r="D5" s="194" t="n"/>
      <c r="E5" s="197" t="inlineStr">
        <is>
          <t>1-234-567</t>
        </is>
      </c>
      <c r="F5" s="193" t="n"/>
    </row>
    <row r="6" ht="16.05" customHeight="1" s="147">
      <c r="A6" s="86" t="n">
        <v>2</v>
      </c>
      <c r="B6" s="196" t="inlineStr">
        <is>
          <t>GONZALEZ, Maria</t>
        </is>
      </c>
      <c r="C6" s="193" t="n"/>
      <c r="D6" s="194" t="n"/>
      <c r="E6" s="195" t="inlineStr">
        <is>
          <t>4-789-012</t>
        </is>
      </c>
      <c r="F6" s="193" t="n"/>
    </row>
    <row r="7" ht="16.05" customHeight="1" s="147">
      <c r="A7" s="84" t="n">
        <v>3</v>
      </c>
      <c r="B7" s="192" t="inlineStr">
        <is>
          <t>PINTO, Luis</t>
        </is>
      </c>
      <c r="C7" s="193" t="n"/>
      <c r="D7" s="194" t="n"/>
      <c r="E7" s="197" t="inlineStr">
        <is>
          <t>9-345-678</t>
        </is>
      </c>
      <c r="F7" s="193" t="n"/>
    </row>
    <row r="8" ht="16.05" customHeight="1" s="147">
      <c r="A8" s="86" t="n">
        <v>4</v>
      </c>
      <c r="B8" s="196" t="inlineStr">
        <is>
          <t>SANTOS, Ana</t>
        </is>
      </c>
      <c r="C8" s="193" t="n"/>
      <c r="D8" s="194" t="n"/>
      <c r="E8" s="195" t="inlineStr">
        <is>
          <t>8-901-234</t>
        </is>
      </c>
      <c r="F8" s="193" t="n"/>
    </row>
    <row r="9" ht="16.05" customHeight="1" s="147">
      <c r="A9" s="84" t="n">
        <v>5</v>
      </c>
      <c r="B9" s="192" t="inlineStr">
        <is>
          <t>TUGRI, Carlos</t>
        </is>
      </c>
      <c r="C9" s="193" t="n"/>
      <c r="D9" s="194" t="n"/>
      <c r="E9" s="197" t="inlineStr">
        <is>
          <t>12-345-678</t>
        </is>
      </c>
      <c r="F9" s="193" t="n"/>
    </row>
    <row r="10" ht="16.05" customHeight="1" s="147">
      <c r="A10" s="86" t="n">
        <v>6</v>
      </c>
      <c r="B10" s="196" t="inlineStr">
        <is>
          <t>ZURDO, Rosa</t>
        </is>
      </c>
      <c r="C10" s="193" t="n"/>
      <c r="D10" s="194" t="n"/>
      <c r="E10" s="195" t="inlineStr">
        <is>
          <t>4-111-222</t>
        </is>
      </c>
      <c r="F10" s="193" t="n"/>
    </row>
    <row r="11" ht="16.05" customHeight="1" s="147">
      <c r="A11" s="84" t="n">
        <v>7</v>
      </c>
      <c r="B11" s="192" t="inlineStr">
        <is>
          <t>JIMENEZ, Juan</t>
        </is>
      </c>
      <c r="C11" s="193" t="n"/>
      <c r="D11" s="194" t="n"/>
      <c r="E11" s="197" t="inlineStr">
        <is>
          <t>8-444-555</t>
        </is>
      </c>
      <c r="F11" s="193" t="n"/>
    </row>
    <row r="12" ht="16.05" customHeight="1" s="147">
      <c r="A12" s="86" t="n">
        <v>8</v>
      </c>
      <c r="B12" s="196" t="inlineStr">
        <is>
          <t>MONTERO, Sofia</t>
        </is>
      </c>
      <c r="C12" s="193" t="n"/>
      <c r="D12" s="194" t="n"/>
      <c r="E12" s="195" t="inlineStr">
        <is>
          <t>9-888-999</t>
        </is>
      </c>
      <c r="F12" s="193" t="n"/>
    </row>
    <row r="13" ht="16.05" customHeight="1" s="147">
      <c r="A13" s="84" t="n">
        <v>9</v>
      </c>
      <c r="B13" s="192" t="inlineStr">
        <is>
          <t>SALDANA, Pedro</t>
        </is>
      </c>
      <c r="C13" s="193" t="n"/>
      <c r="D13" s="194" t="n"/>
      <c r="E13" s="197" t="inlineStr">
        <is>
          <t>2-222-333</t>
        </is>
      </c>
      <c r="F13" s="193" t="n"/>
    </row>
    <row r="14" ht="16.05" customHeight="1" s="147">
      <c r="A14" s="86" t="n">
        <v>10</v>
      </c>
      <c r="B14" s="196" t="inlineStr">
        <is>
          <t>SANTOS, Lucas</t>
        </is>
      </c>
      <c r="C14" s="193" t="n"/>
      <c r="D14" s="194" t="n"/>
      <c r="E14" s="195" t="inlineStr">
        <is>
          <t>8-777-888</t>
        </is>
      </c>
      <c r="F14" s="193" t="n"/>
    </row>
    <row r="15" ht="16.05" customHeight="1" s="147">
      <c r="A15" s="84" t="n">
        <v>11</v>
      </c>
      <c r="B15" s="192" t="n"/>
      <c r="C15" s="193" t="n"/>
      <c r="D15" s="194" t="n"/>
      <c r="E15" s="197" t="n"/>
      <c r="F15" s="193" t="n"/>
    </row>
    <row r="16" ht="16.05" customHeight="1" s="147">
      <c r="A16" s="86" t="n">
        <v>12</v>
      </c>
      <c r="B16" s="196" t="n"/>
      <c r="C16" s="193" t="n"/>
      <c r="D16" s="194" t="n"/>
      <c r="E16" s="195" t="n"/>
      <c r="F16" s="193" t="n"/>
    </row>
    <row r="17" ht="16.05" customHeight="1" s="147">
      <c r="A17" s="84" t="n">
        <v>13</v>
      </c>
      <c r="B17" s="192" t="n"/>
      <c r="C17" s="193" t="n"/>
      <c r="D17" s="194" t="n"/>
      <c r="E17" s="197" t="n"/>
      <c r="F17" s="193" t="n"/>
    </row>
    <row r="18" ht="16.05" customHeight="1" s="147">
      <c r="A18" s="86" t="n">
        <v>14</v>
      </c>
      <c r="B18" s="196" t="n"/>
      <c r="C18" s="193" t="n"/>
      <c r="D18" s="194" t="n"/>
      <c r="E18" s="195" t="n"/>
      <c r="F18" s="193" t="n"/>
    </row>
    <row r="19" ht="16.05" customHeight="1" s="147">
      <c r="A19" s="84" t="n">
        <v>15</v>
      </c>
      <c r="B19" s="192" t="n"/>
      <c r="C19" s="193" t="n"/>
      <c r="D19" s="194" t="n"/>
      <c r="E19" s="197" t="n"/>
      <c r="F19" s="193" t="n"/>
    </row>
    <row r="20" ht="16.05" customHeight="1" s="147">
      <c r="A20" s="86" t="n">
        <v>16</v>
      </c>
      <c r="B20" s="196" t="n"/>
      <c r="C20" s="193" t="n"/>
      <c r="D20" s="194" t="n"/>
      <c r="E20" s="195" t="n"/>
      <c r="F20" s="193" t="n"/>
    </row>
    <row r="21" ht="16.05" customHeight="1" s="147">
      <c r="A21" s="84" t="n">
        <v>17</v>
      </c>
      <c r="B21" s="192" t="n"/>
      <c r="C21" s="193" t="n"/>
      <c r="D21" s="194" t="n"/>
      <c r="E21" s="197" t="n"/>
      <c r="F21" s="193" t="n"/>
    </row>
    <row r="22" ht="16.05" customHeight="1" s="147">
      <c r="A22" s="86" t="n">
        <v>18</v>
      </c>
      <c r="B22" s="196" t="n"/>
      <c r="C22" s="193" t="n"/>
      <c r="D22" s="194" t="n"/>
      <c r="E22" s="195" t="n"/>
      <c r="F22" s="193" t="n"/>
    </row>
    <row r="23" ht="16.05" customHeight="1" s="147">
      <c r="A23" s="84" t="n">
        <v>19</v>
      </c>
      <c r="B23" s="192" t="n"/>
      <c r="C23" s="193" t="n"/>
      <c r="D23" s="194" t="n"/>
      <c r="E23" s="197" t="n"/>
      <c r="F23" s="193" t="n"/>
    </row>
    <row r="24" ht="16.05" customHeight="1" s="147">
      <c r="A24" s="86" t="n">
        <v>20</v>
      </c>
      <c r="B24" s="196" t="n"/>
      <c r="C24" s="193" t="n"/>
      <c r="D24" s="194" t="n"/>
      <c r="E24" s="195" t="n"/>
      <c r="F24" s="193" t="n"/>
    </row>
    <row r="25" ht="16.05" customHeight="1" s="147">
      <c r="A25" s="84" t="n">
        <v>21</v>
      </c>
      <c r="B25" s="192" t="n"/>
      <c r="C25" s="193" t="n"/>
      <c r="D25" s="194" t="n"/>
      <c r="E25" s="197" t="n"/>
      <c r="F25" s="193" t="n"/>
    </row>
    <row r="26" ht="16.05" customHeight="1" s="147">
      <c r="A26" s="86" t="n">
        <v>22</v>
      </c>
      <c r="B26" s="196" t="n"/>
      <c r="C26" s="193" t="n"/>
      <c r="D26" s="194" t="n"/>
      <c r="E26" s="195" t="n"/>
      <c r="F26" s="193" t="n"/>
    </row>
    <row r="27" ht="16.05" customHeight="1" s="147">
      <c r="A27" s="84" t="n">
        <v>23</v>
      </c>
      <c r="B27" s="192" t="n"/>
      <c r="C27" s="193" t="n"/>
      <c r="D27" s="194" t="n"/>
      <c r="E27" s="197" t="n"/>
      <c r="F27" s="193" t="n"/>
    </row>
    <row r="28" ht="16.05" customHeight="1" s="147">
      <c r="A28" s="86" t="n">
        <v>24</v>
      </c>
      <c r="B28" s="196" t="n"/>
      <c r="C28" s="193" t="n"/>
      <c r="D28" s="194" t="n"/>
      <c r="E28" s="195" t="n"/>
      <c r="F28" s="193" t="n"/>
    </row>
    <row r="29" ht="16.05" customHeight="1" s="147">
      <c r="A29" s="84" t="n">
        <v>25</v>
      </c>
      <c r="B29" s="192" t="n"/>
      <c r="C29" s="193" t="n"/>
      <c r="D29" s="194" t="n"/>
      <c r="E29" s="197" t="n"/>
      <c r="F29" s="193" t="n"/>
    </row>
    <row r="30" ht="16.05" customHeight="1" s="147">
      <c r="A30" s="86" t="n">
        <v>26</v>
      </c>
      <c r="B30" s="196" t="n"/>
      <c r="C30" s="193" t="n"/>
      <c r="D30" s="194" t="n"/>
      <c r="E30" s="195" t="n"/>
      <c r="F30" s="193" t="n"/>
    </row>
    <row r="31" ht="16.05" customHeight="1" s="147">
      <c r="A31" s="84" t="n">
        <v>27</v>
      </c>
      <c r="B31" s="192" t="n"/>
      <c r="C31" s="193" t="n"/>
      <c r="D31" s="194" t="n"/>
      <c r="E31" s="197" t="n"/>
      <c r="F31" s="193" t="n"/>
    </row>
    <row r="32" ht="16.05" customHeight="1" s="147">
      <c r="A32" s="86" t="n">
        <v>28</v>
      </c>
      <c r="B32" s="196" t="n"/>
      <c r="C32" s="193" t="n"/>
      <c r="D32" s="194" t="n"/>
      <c r="E32" s="195" t="n"/>
      <c r="F32" s="193" t="n"/>
    </row>
    <row r="33" ht="16.05" customHeight="1" s="147">
      <c r="A33" s="84" t="n">
        <v>29</v>
      </c>
      <c r="B33" s="192" t="n"/>
      <c r="C33" s="193" t="n"/>
      <c r="D33" s="194" t="n"/>
      <c r="E33" s="197" t="n"/>
      <c r="F33" s="193" t="n"/>
    </row>
    <row r="34" ht="16.05" customHeight="1" s="147">
      <c r="A34" s="86" t="n">
        <v>30</v>
      </c>
      <c r="B34" s="196" t="n"/>
      <c r="C34" s="193" t="n"/>
      <c r="D34" s="194" t="n"/>
      <c r="E34" s="195" t="n"/>
      <c r="F34" s="193" t="n"/>
    </row>
    <row r="35" ht="16.05" customHeight="1" s="147">
      <c r="A35" s="84" t="n">
        <v>31</v>
      </c>
      <c r="B35" s="192" t="n"/>
      <c r="C35" s="193" t="n"/>
      <c r="D35" s="194" t="n"/>
      <c r="E35" s="197" t="n"/>
      <c r="F35" s="193" t="n"/>
    </row>
    <row r="36" ht="16.05" customHeight="1" s="147">
      <c r="A36" s="86" t="n">
        <v>32</v>
      </c>
      <c r="B36" s="196" t="n"/>
      <c r="C36" s="193" t="n"/>
      <c r="D36" s="194" t="n"/>
      <c r="E36" s="195" t="n"/>
      <c r="F36" s="193" t="n"/>
    </row>
    <row r="37" ht="16.05" customHeight="1" s="147">
      <c r="A37" s="84" t="n">
        <v>33</v>
      </c>
      <c r="B37" s="192" t="n"/>
      <c r="C37" s="193" t="n"/>
      <c r="D37" s="194" t="n"/>
      <c r="E37" s="197" t="n"/>
      <c r="F37" s="193" t="n"/>
    </row>
    <row r="38" ht="16.05" customHeight="1" s="147">
      <c r="A38" s="86" t="n">
        <v>34</v>
      </c>
      <c r="B38" s="196" t="n"/>
      <c r="C38" s="193" t="n"/>
      <c r="D38" s="194" t="n"/>
      <c r="E38" s="195" t="n"/>
      <c r="F38" s="193" t="n"/>
    </row>
    <row r="40">
      <c r="A40" s="203" t="inlineStr">
        <is>
          <t>⚠ IMPORTANTE: Solo edita esta hoja para nombres. Todas las demás hojas se actualizan automáticamente.</t>
        </is>
      </c>
    </row>
  </sheetData>
  <mergeCells count="74">
    <mergeCell ref="B11:D11"/>
    <mergeCell ref="E12:F12"/>
    <mergeCell ref="B14:D14"/>
    <mergeCell ref="E24:F24"/>
    <mergeCell ref="B23:D23"/>
    <mergeCell ref="B8:D8"/>
    <mergeCell ref="E33:F33"/>
    <mergeCell ref="B17:D17"/>
    <mergeCell ref="E5:F5"/>
    <mergeCell ref="B13:D13"/>
    <mergeCell ref="E23:F23"/>
    <mergeCell ref="E14:F14"/>
    <mergeCell ref="B29:D29"/>
    <mergeCell ref="A3:F3"/>
    <mergeCell ref="E17:F17"/>
    <mergeCell ref="E8:F8"/>
    <mergeCell ref="B38:D38"/>
    <mergeCell ref="B34:D34"/>
    <mergeCell ref="B10:D10"/>
    <mergeCell ref="A2:F2"/>
    <mergeCell ref="E35:F35"/>
    <mergeCell ref="B28:D28"/>
    <mergeCell ref="B19:D19"/>
    <mergeCell ref="B37:D37"/>
    <mergeCell ref="E20:F20"/>
    <mergeCell ref="E4:F4"/>
    <mergeCell ref="E29:F29"/>
    <mergeCell ref="E10:F10"/>
    <mergeCell ref="E38:F38"/>
    <mergeCell ref="E19:F19"/>
    <mergeCell ref="B9:D9"/>
    <mergeCell ref="E28:F28"/>
    <mergeCell ref="E13:F13"/>
    <mergeCell ref="B30:D30"/>
    <mergeCell ref="B15:D15"/>
    <mergeCell ref="E9:F9"/>
    <mergeCell ref="B6:D6"/>
    <mergeCell ref="B24:D24"/>
    <mergeCell ref="E31:F31"/>
    <mergeCell ref="B20:D20"/>
    <mergeCell ref="B33:D33"/>
    <mergeCell ref="E34:F34"/>
    <mergeCell ref="B5:D5"/>
    <mergeCell ref="B36:D36"/>
    <mergeCell ref="E6:F6"/>
    <mergeCell ref="E30:F30"/>
    <mergeCell ref="E15:F15"/>
    <mergeCell ref="B35:D35"/>
    <mergeCell ref="B4:D4"/>
    <mergeCell ref="E11:F11"/>
    <mergeCell ref="B26:D26"/>
    <mergeCell ref="E27:F27"/>
    <mergeCell ref="B32:D32"/>
    <mergeCell ref="A40:F40"/>
    <mergeCell ref="E36:F36"/>
    <mergeCell ref="B7:D7"/>
    <mergeCell ref="B25:D25"/>
    <mergeCell ref="E26:F26"/>
    <mergeCell ref="B16:D16"/>
    <mergeCell ref="E16:F16"/>
    <mergeCell ref="B31:D31"/>
    <mergeCell ref="E7:F7"/>
    <mergeCell ref="E25:F25"/>
    <mergeCell ref="E32:F32"/>
    <mergeCell ref="A1:F1"/>
    <mergeCell ref="B22:D22"/>
    <mergeCell ref="B18:D18"/>
    <mergeCell ref="E37:F37"/>
    <mergeCell ref="B27:D27"/>
    <mergeCell ref="E22:F22"/>
    <mergeCell ref="B21:D21"/>
    <mergeCell ref="B12:D12"/>
    <mergeCell ref="E18:F18"/>
    <mergeCell ref="E21:F21"/>
  </mergeCells>
  <pageMargins left="0.75" right="0.75" top="1" bottom="1" header="0.5" footer="0.5"/>
</worksheet>
</file>

<file path=xl/worksheets/sheet7.xml><?xml version="1.0" encoding="utf-8"?>
<worksheet xmlns="http://schemas.openxmlformats.org/spreadsheetml/2006/main">
  <sheetPr>
    <tabColor rgb="FF2E75B6"/>
    <outlinePr summaryBelow="1" summaryRight="1"/>
    <pageSetUpPr/>
  </sheetPr>
  <dimension ref="A1:Y121"/>
  <sheetViews>
    <sheetView workbookViewId="0">
      <pane ySplit="1" topLeftCell="A2" activePane="bottomLeft" state="frozen"/>
      <selection pane="bottomLeft" activeCell="O46" sqref="O46"/>
    </sheetView>
  </sheetViews>
  <sheetFormatPr baseColWidth="10" defaultColWidth="8.88671875" defaultRowHeight="14.4"/>
  <cols>
    <col width="5" customWidth="1" style="147" min="1" max="1"/>
    <col width="30" customWidth="1" style="147" min="2" max="2"/>
    <col width="5.6640625" customWidth="1" style="147" min="3" max="11"/>
    <col width="19.21875" customWidth="1" style="147" min="12" max="12"/>
    <col width="5" customWidth="1" style="147" min="14" max="14"/>
    <col width="30" customWidth="1" style="147" min="15" max="15"/>
    <col width="5.6640625" customWidth="1" style="147" min="16" max="24"/>
    <col width="19.21875" customWidth="1" style="147" min="25" max="25"/>
  </cols>
  <sheetData>
    <row r="1" ht="22.8" customHeight="1" s="147">
      <c r="A1" s="210" t="inlineStr">
        <is>
          <t>CUADRO DE NOTAS FINALES —  ___ ° GRADO · ESCUELA _______________ 202_</t>
        </is>
      </c>
      <c r="L1" s="91" t="n"/>
      <c r="N1" s="210" t="inlineStr">
        <is>
          <t>CUADRO DE NOTAS FINALES —  ___ ° GRADO · ESCUELA _______________ 202_</t>
        </is>
      </c>
      <c r="Y1" s="91" t="n"/>
    </row>
    <row r="2" ht="15" customHeight="1" s="147">
      <c r="A2" s="205" t="inlineStr">
        <is>
          <t>Nota: PRIMER TRIMESTRE</t>
        </is>
      </c>
      <c r="B2" s="200" t="n"/>
      <c r="C2" s="200" t="n"/>
      <c r="D2" s="200" t="n"/>
      <c r="E2" s="200" t="n"/>
      <c r="F2" s="200" t="n"/>
      <c r="G2" s="200" t="n"/>
      <c r="H2" s="200" t="n"/>
      <c r="I2" s="200" t="n"/>
      <c r="J2" s="200" t="n"/>
      <c r="K2" s="200" t="n"/>
      <c r="L2" s="200" t="n"/>
      <c r="N2" s="205" t="inlineStr">
        <is>
          <t>Nota: ANUAL</t>
        </is>
      </c>
      <c r="O2" s="200" t="n"/>
      <c r="P2" s="200" t="n"/>
      <c r="Q2" s="200" t="n"/>
      <c r="R2" s="200" t="n"/>
      <c r="S2" s="200" t="n"/>
      <c r="T2" s="200" t="n"/>
      <c r="U2" s="200" t="n"/>
      <c r="V2" s="200" t="n"/>
      <c r="W2" s="200" t="n"/>
      <c r="X2" s="200" t="n"/>
      <c r="Y2" s="200" t="n"/>
    </row>
    <row r="3" ht="52.8" customHeight="1" s="147">
      <c r="A3" s="206" t="inlineStr">
        <is>
          <t>No.</t>
        </is>
      </c>
      <c r="B3" s="206" t="inlineStr">
        <is>
          <t>APELLIDO, NOMBRE</t>
        </is>
      </c>
      <c r="C3" s="95" t="inlineStr">
        <is>
          <t>INGLES</t>
        </is>
      </c>
      <c r="D3" s="95" t="inlineStr">
        <is>
          <t>ESPAÑOL</t>
        </is>
      </c>
      <c r="E3" s="95" t="inlineStr">
        <is>
          <t>Matemática</t>
        </is>
      </c>
      <c r="F3" s="95" t="inlineStr">
        <is>
          <t>C.SOCIALES</t>
        </is>
      </c>
      <c r="G3" s="95" t="inlineStr">
        <is>
          <t>C.NATURALES</t>
        </is>
      </c>
      <c r="H3" s="95" t="inlineStr">
        <is>
          <t>Religión</t>
        </is>
      </c>
      <c r="I3" s="95" t="inlineStr">
        <is>
          <t>Artística</t>
        </is>
      </c>
      <c r="J3" s="95" t="inlineStr">
        <is>
          <t>TECNOLOGIA</t>
        </is>
      </c>
      <c r="K3" s="95" t="inlineStr">
        <is>
          <t>E. FISICA</t>
        </is>
      </c>
      <c r="L3" s="208" t="inlineStr">
        <is>
          <t>ESTADO</t>
        </is>
      </c>
      <c r="N3" s="206" t="inlineStr">
        <is>
          <t>No.</t>
        </is>
      </c>
      <c r="O3" s="206" t="inlineStr">
        <is>
          <t>APELLIDO, NOMBRE</t>
        </is>
      </c>
      <c r="P3" s="95" t="inlineStr">
        <is>
          <t>INGLES</t>
        </is>
      </c>
      <c r="Q3" s="95" t="inlineStr">
        <is>
          <t>ESPAÑOL</t>
        </is>
      </c>
      <c r="R3" s="95" t="inlineStr">
        <is>
          <t>Matemática</t>
        </is>
      </c>
      <c r="S3" s="95" t="inlineStr">
        <is>
          <t>C.SOCIALES</t>
        </is>
      </c>
      <c r="T3" s="95" t="inlineStr">
        <is>
          <t>C.NATURALES</t>
        </is>
      </c>
      <c r="U3" s="95" t="inlineStr">
        <is>
          <t>Religión</t>
        </is>
      </c>
      <c r="V3" s="95" t="inlineStr">
        <is>
          <t>Artística</t>
        </is>
      </c>
      <c r="W3" s="95" t="inlineStr">
        <is>
          <t>TECNOLOGIA</t>
        </is>
      </c>
      <c r="X3" s="95" t="inlineStr">
        <is>
          <t>E. FISICA</t>
        </is>
      </c>
      <c r="Y3" s="208" t="inlineStr">
        <is>
          <t>ESTADO</t>
        </is>
      </c>
    </row>
    <row r="4" ht="18" customHeight="1" s="147">
      <c r="A4" s="207" t="n"/>
      <c r="B4" s="207" t="n"/>
      <c r="C4" s="202" t="inlineStr">
        <is>
          <t>FINAL</t>
        </is>
      </c>
      <c r="D4" s="202" t="inlineStr">
        <is>
          <t>FINAL</t>
        </is>
      </c>
      <c r="E4" s="202" t="inlineStr">
        <is>
          <t>FINAL</t>
        </is>
      </c>
      <c r="F4" s="202" t="inlineStr">
        <is>
          <t>FINAL</t>
        </is>
      </c>
      <c r="G4" s="202" t="inlineStr">
        <is>
          <t>FINAL</t>
        </is>
      </c>
      <c r="H4" s="202" t="inlineStr">
        <is>
          <t>FINAL</t>
        </is>
      </c>
      <c r="I4" s="202" t="inlineStr">
        <is>
          <t>FINAL</t>
        </is>
      </c>
      <c r="J4" s="202" t="inlineStr">
        <is>
          <t>FINAL</t>
        </is>
      </c>
      <c r="K4" s="202" t="inlineStr">
        <is>
          <t>FINAL</t>
        </is>
      </c>
      <c r="L4" s="207" t="n"/>
      <c r="N4" s="207" t="n"/>
      <c r="O4" s="207" t="n"/>
      <c r="P4" s="202" t="inlineStr">
        <is>
          <t>FINAL</t>
        </is>
      </c>
      <c r="Q4" s="202" t="inlineStr">
        <is>
          <t>FINAL</t>
        </is>
      </c>
      <c r="R4" s="202" t="inlineStr">
        <is>
          <t>FINAL</t>
        </is>
      </c>
      <c r="S4" s="202" t="inlineStr">
        <is>
          <t>FINAL</t>
        </is>
      </c>
      <c r="T4" s="202" t="inlineStr">
        <is>
          <t>FINAL</t>
        </is>
      </c>
      <c r="U4" s="202" t="inlineStr">
        <is>
          <t>FINAL</t>
        </is>
      </c>
      <c r="V4" s="202" t="inlineStr">
        <is>
          <t>FINAL</t>
        </is>
      </c>
      <c r="W4" s="202" t="inlineStr">
        <is>
          <t>FINAL</t>
        </is>
      </c>
      <c r="X4" s="202" t="inlineStr">
        <is>
          <t>FINAL</t>
        </is>
      </c>
      <c r="Y4" s="207" t="n"/>
    </row>
    <row r="5" ht="16.05" customHeight="1" s="147">
      <c r="A5" s="86" t="n">
        <v>1</v>
      </c>
      <c r="B5" s="87">
        <f>IF('MAESTRO 1°'!B5="","",'MAESTRO 1°'!B5)</f>
        <v/>
      </c>
      <c r="C5" s="196">
        <f>IF('MAESTRO 1°'!B5="","",IFERROR('Planilla (Ingles 1°) '!F16,""))</f>
        <v/>
      </c>
      <c r="D5" s="196">
        <f>IF('MAESTRO 1°'!B5="","",IFERROR('Planilla (Español 1°) '!F16,""))</f>
        <v/>
      </c>
      <c r="E5" s="196">
        <f>IF('MAESTRO 1°'!B5="","",IFERROR('Planilla (Matemática 1°) '!F16,""))</f>
        <v/>
      </c>
      <c r="F5" s="196">
        <f>IF('MAESTRO 1°'!B5="","",IFERROR('Planilla (C.Sociales 1°) '!F16,""))</f>
        <v/>
      </c>
      <c r="G5" s="196">
        <f>IF('MAESTRO 1°'!B5="","",IFERROR('Planilla (C.Naturales 1°) '!F16,""))</f>
        <v/>
      </c>
      <c r="H5" s="196">
        <f>IF('MAESTRO 1°'!B5="","",IFERROR('Planilla (Religión 1°) '!F16,""))</f>
        <v/>
      </c>
      <c r="I5" s="196">
        <f>IF('MAESTRO 1°'!B5="","",IFERROR('Planilla (Artística 1°) '!F16,""))</f>
        <v/>
      </c>
      <c r="J5" s="196">
        <f>IF('MAESTRO 1°'!B5="","",IFERROR('Planilla (Tecnología 1°) '!F16,""))</f>
        <v/>
      </c>
      <c r="K5" s="196">
        <f>IF('MAESTRO 1°'!B5="","",IFERROR('Planilla (E.Física 1°) '!F16,""))</f>
        <v/>
      </c>
      <c r="L5" s="196" t="n"/>
      <c r="N5" s="86" t="n">
        <v>1</v>
      </c>
      <c r="O5" s="87">
        <f>IF('MAESTRO 1°'!B5="","",'MAESTRO 1°'!B5)</f>
        <v/>
      </c>
      <c r="P5" s="196">
        <f>IF('MAESTRO 1°'!B5="","",IFERROR('Planilla (Ingles 1°) '!I16,""))</f>
        <v/>
      </c>
      <c r="Q5" s="196">
        <f>IF('MAESTRO 1°'!B5="","",IFERROR('Planilla (Español 1°) '!I16,""))</f>
        <v/>
      </c>
      <c r="R5" s="196">
        <f>IF('MAESTRO 1°'!B5="","",IFERROR('Planilla (Matemática 1°) '!I16,""))</f>
        <v/>
      </c>
      <c r="S5" s="196">
        <f>IF('MAESTRO 1°'!B5="","",IFERROR('Planilla (C.Sociales 1°) '!I16,""))</f>
        <v/>
      </c>
      <c r="T5" s="196">
        <f>IF('MAESTRO 1°'!B5="","",IFERROR('Planilla (C.Naturales 1°) '!I16,""))</f>
        <v/>
      </c>
      <c r="U5" s="196">
        <f>IF('MAESTRO 1°'!B5="","",IFERROR('Planilla (Religión 1°) '!I16,""))</f>
        <v/>
      </c>
      <c r="V5" s="196">
        <f>IF('MAESTRO 1°'!B5="","",IFERROR('Planilla (Artística 1°) '!I16,""))</f>
        <v/>
      </c>
      <c r="W5" s="196">
        <f>IF('MAESTRO 1°'!B5="","",IFERROR('Planilla (Tecnología 1°) '!I16,""))</f>
        <v/>
      </c>
      <c r="X5" s="196">
        <f>IF('MAESTRO 1°'!B5="","",IFERROR('Planilla (E.Física 1°) '!I16,""))</f>
        <v/>
      </c>
      <c r="Y5" s="196" t="n"/>
    </row>
    <row r="6" ht="16.05" customHeight="1" s="147">
      <c r="A6" s="84" t="n">
        <v>2</v>
      </c>
      <c r="B6" s="85">
        <f>IF('MAESTRO 1°'!B6="","",'MAESTRO 1°'!B6)</f>
        <v/>
      </c>
      <c r="C6" s="192">
        <f>IF('MAESTRO 1°'!B6="","",IFERROR('Planilla (Ingles 1°) '!F17,""))</f>
        <v/>
      </c>
      <c r="D6" s="192">
        <f>IF('MAESTRO 1°'!B6="","",IFERROR('Planilla (Español 1°) '!F17,""))</f>
        <v/>
      </c>
      <c r="E6" s="192">
        <f>IF('MAESTRO 1°'!B6="","",IFERROR('Planilla (Matemática 1°) '!F17,""))</f>
        <v/>
      </c>
      <c r="F6" s="192">
        <f>IF('MAESTRO 1°'!B6="","",IFERROR('Planilla (C.Sociales 1°) '!F17,""))</f>
        <v/>
      </c>
      <c r="G6" s="192">
        <f>IF('MAESTRO 1°'!B6="","",IFERROR('Planilla (C.Naturales 1°) '!F17,""))</f>
        <v/>
      </c>
      <c r="H6" s="192">
        <f>IF('MAESTRO 1°'!B6="","",IFERROR('Planilla (Religión 1°) '!F17,""))</f>
        <v/>
      </c>
      <c r="I6" s="192">
        <f>IF('MAESTRO 1°'!B6="","",IFERROR('Planilla (Artística 1°) '!F17,""))</f>
        <v/>
      </c>
      <c r="J6" s="192">
        <f>IF('MAESTRO 1°'!B6="","",IFERROR('Planilla (Tecnología 1°) '!F17,""))</f>
        <v/>
      </c>
      <c r="K6" s="192">
        <f>IF('MAESTRO 1°'!B6="","",IFERROR('Planilla (E.Física 1°) '!F17,""))</f>
        <v/>
      </c>
      <c r="L6" s="192" t="n"/>
      <c r="N6" s="84" t="n">
        <v>2</v>
      </c>
      <c r="O6" s="85">
        <f>IF('MAESTRO 1°'!B6="","",'MAESTRO 1°'!B6)</f>
        <v/>
      </c>
      <c r="P6" s="192">
        <f>IF('MAESTRO 1°'!B6="","",IFERROR('Planilla (Ingles 1°) '!I17,""))</f>
        <v/>
      </c>
      <c r="Q6" s="192">
        <f>IF('MAESTRO 1°'!B6="","",IFERROR('Planilla (Español 1°) '!I17,""))</f>
        <v/>
      </c>
      <c r="R6" s="192">
        <f>IF('MAESTRO 1°'!B6="","",IFERROR('Planilla (Matemática 1°) '!I17,""))</f>
        <v/>
      </c>
      <c r="S6" s="192">
        <f>IF('MAESTRO 1°'!B6="","",IFERROR('Planilla (C.Sociales 1°) '!I17,""))</f>
        <v/>
      </c>
      <c r="T6" s="192">
        <f>IF('MAESTRO 1°'!B6="","",IFERROR('Planilla (C.Naturales 1°) '!I17,""))</f>
        <v/>
      </c>
      <c r="U6" s="192">
        <f>IF('MAESTRO 1°'!B6="","",IFERROR('Planilla (Religión 1°) '!I17,""))</f>
        <v/>
      </c>
      <c r="V6" s="192">
        <f>IF('MAESTRO 1°'!B6="","",IFERROR('Planilla (Artística 1°) '!I17,""))</f>
        <v/>
      </c>
      <c r="W6" s="192">
        <f>IF('MAESTRO 1°'!B6="","",IFERROR('Planilla (Tecnología 1°) '!I17,""))</f>
        <v/>
      </c>
      <c r="X6" s="192">
        <f>IF('MAESTRO 1°'!B6="","",IFERROR('Planilla (E.Física 1°) '!I17,""))</f>
        <v/>
      </c>
      <c r="Y6" s="192" t="n"/>
    </row>
    <row r="7" ht="16.05" customHeight="1" s="147">
      <c r="A7" s="86" t="n">
        <v>3</v>
      </c>
      <c r="B7" s="87">
        <f>IF('MAESTRO 1°'!B7="","",'MAESTRO 1°'!B7)</f>
        <v/>
      </c>
      <c r="C7" s="196">
        <f>IF('MAESTRO 1°'!B7="","",IFERROR('Planilla (Ingles 1°) '!F18,""))</f>
        <v/>
      </c>
      <c r="D7" s="196">
        <f>IF('MAESTRO 1°'!B7="","",IFERROR('Planilla (Español 1°) '!F18,""))</f>
        <v/>
      </c>
      <c r="E7" s="196">
        <f>IF('MAESTRO 1°'!B7="","",IFERROR('Planilla (Matemática 1°) '!F18,""))</f>
        <v/>
      </c>
      <c r="F7" s="196">
        <f>IF('MAESTRO 1°'!B7="","",IFERROR('Planilla (C.Sociales 1°) '!F18,""))</f>
        <v/>
      </c>
      <c r="G7" s="196">
        <f>IF('MAESTRO 1°'!B7="","",IFERROR('Planilla (C.Naturales 1°) '!F18,""))</f>
        <v/>
      </c>
      <c r="H7" s="196">
        <f>IF('MAESTRO 1°'!B7="","",IFERROR('Planilla (Religión 1°) '!F18,""))</f>
        <v/>
      </c>
      <c r="I7" s="196">
        <f>IF('MAESTRO 1°'!B7="","",IFERROR('Planilla (Artística 1°) '!F18,""))</f>
        <v/>
      </c>
      <c r="J7" s="196">
        <f>IF('MAESTRO 1°'!B7="","",IFERROR('Planilla (Tecnología 1°) '!F18,""))</f>
        <v/>
      </c>
      <c r="K7" s="196">
        <f>IF('MAESTRO 1°'!B7="","",IFERROR('Planilla (E.Física 1°) '!F18,""))</f>
        <v/>
      </c>
      <c r="L7" s="196" t="n"/>
      <c r="N7" s="86" t="n">
        <v>3</v>
      </c>
      <c r="O7" s="87">
        <f>IF('MAESTRO 1°'!B7="","",'MAESTRO 1°'!B7)</f>
        <v/>
      </c>
      <c r="P7" s="196">
        <f>IF('MAESTRO 1°'!B7="","",IFERROR('Planilla (Ingles 1°) '!I18,""))</f>
        <v/>
      </c>
      <c r="Q7" s="196">
        <f>IF('MAESTRO 1°'!B7="","",IFERROR('Planilla (Español 1°) '!I18,""))</f>
        <v/>
      </c>
      <c r="R7" s="196">
        <f>IF('MAESTRO 1°'!B7="","",IFERROR('Planilla (Matemática 1°) '!I18,""))</f>
        <v/>
      </c>
      <c r="S7" s="196">
        <f>IF('MAESTRO 1°'!B7="","",IFERROR('Planilla (C.Sociales 1°) '!I18,""))</f>
        <v/>
      </c>
      <c r="T7" s="196">
        <f>IF('MAESTRO 1°'!B7="","",IFERROR('Planilla (C.Naturales 1°) '!I18,""))</f>
        <v/>
      </c>
      <c r="U7" s="196">
        <f>IF('MAESTRO 1°'!B7="","",IFERROR('Planilla (Religión 1°) '!I18,""))</f>
        <v/>
      </c>
      <c r="V7" s="196">
        <f>IF('MAESTRO 1°'!B7="","",IFERROR('Planilla (Artística 1°) '!I18,""))</f>
        <v/>
      </c>
      <c r="W7" s="196">
        <f>IF('MAESTRO 1°'!B7="","",IFERROR('Planilla (Tecnología 1°) '!I18,""))</f>
        <v/>
      </c>
      <c r="X7" s="196">
        <f>IF('MAESTRO 1°'!B7="","",IFERROR('Planilla (E.Física 1°) '!I18,""))</f>
        <v/>
      </c>
      <c r="Y7" s="196" t="n"/>
    </row>
    <row r="8" ht="16.05" customHeight="1" s="147">
      <c r="A8" s="84" t="n">
        <v>4</v>
      </c>
      <c r="B8" s="85">
        <f>IF('MAESTRO 1°'!B8="","",'MAESTRO 1°'!B8)</f>
        <v/>
      </c>
      <c r="C8" s="192">
        <f>IF('MAESTRO 1°'!B8="","",IFERROR('Planilla (Ingles 1°) '!F19,""))</f>
        <v/>
      </c>
      <c r="D8" s="192">
        <f>IF('MAESTRO 1°'!B8="","",IFERROR('Planilla (Español 1°) '!F19,""))</f>
        <v/>
      </c>
      <c r="E8" s="192">
        <f>IF('MAESTRO 1°'!B8="","",IFERROR('Planilla (Matemática 1°) '!F19,""))</f>
        <v/>
      </c>
      <c r="F8" s="192">
        <f>IF('MAESTRO 1°'!B8="","",IFERROR('Planilla (C.Sociales 1°) '!F19,""))</f>
        <v/>
      </c>
      <c r="G8" s="192">
        <f>IF('MAESTRO 1°'!B8="","",IFERROR('Planilla (C.Naturales 1°) '!F19,""))</f>
        <v/>
      </c>
      <c r="H8" s="192">
        <f>IF('MAESTRO 1°'!B8="","",IFERROR('Planilla (Religión 1°) '!F19,""))</f>
        <v/>
      </c>
      <c r="I8" s="192">
        <f>IF('MAESTRO 1°'!B8="","",IFERROR('Planilla (Artística 1°) '!F19,""))</f>
        <v/>
      </c>
      <c r="J8" s="192">
        <f>IF('MAESTRO 1°'!B8="","",IFERROR('Planilla (Tecnología 1°) '!F19,""))</f>
        <v/>
      </c>
      <c r="K8" s="192">
        <f>IF('MAESTRO 1°'!B8="","",IFERROR('Planilla (E.Física 1°) '!F19,""))</f>
        <v/>
      </c>
      <c r="L8" s="192" t="n"/>
      <c r="N8" s="84" t="n">
        <v>4</v>
      </c>
      <c r="O8" s="85">
        <f>IF('MAESTRO 1°'!B8="","",'MAESTRO 1°'!B8)</f>
        <v/>
      </c>
      <c r="P8" s="192">
        <f>IF('MAESTRO 1°'!B8="","",IFERROR('Planilla (Ingles 1°) '!I19,""))</f>
        <v/>
      </c>
      <c r="Q8" s="192">
        <f>IF('MAESTRO 1°'!B8="","",IFERROR('Planilla (Español 1°) '!I19,""))</f>
        <v/>
      </c>
      <c r="R8" s="192">
        <f>IF('MAESTRO 1°'!B8="","",IFERROR('Planilla (Matemática 1°) '!I19,""))</f>
        <v/>
      </c>
      <c r="S8" s="192">
        <f>IF('MAESTRO 1°'!B8="","",IFERROR('Planilla (C.Sociales 1°) '!I19,""))</f>
        <v/>
      </c>
      <c r="T8" s="192">
        <f>IF('MAESTRO 1°'!B8="","",IFERROR('Planilla (C.Naturales 1°) '!I19,""))</f>
        <v/>
      </c>
      <c r="U8" s="192">
        <f>IF('MAESTRO 1°'!B8="","",IFERROR('Planilla (Religión 1°) '!I19,""))</f>
        <v/>
      </c>
      <c r="V8" s="192">
        <f>IF('MAESTRO 1°'!B8="","",IFERROR('Planilla (Artística 1°) '!I19,""))</f>
        <v/>
      </c>
      <c r="W8" s="192">
        <f>IF('MAESTRO 1°'!B8="","",IFERROR('Planilla (Tecnología 1°) '!I19,""))</f>
        <v/>
      </c>
      <c r="X8" s="192">
        <f>IF('MAESTRO 1°'!B8="","",IFERROR('Planilla (E.Física 1°) '!I19,""))</f>
        <v/>
      </c>
      <c r="Y8" s="192" t="n"/>
    </row>
    <row r="9" ht="16.05" customHeight="1" s="147">
      <c r="A9" s="86" t="n">
        <v>5</v>
      </c>
      <c r="B9" s="87">
        <f>IF('MAESTRO 1°'!B9="","",'MAESTRO 1°'!B9)</f>
        <v/>
      </c>
      <c r="C9" s="196">
        <f>IF('MAESTRO 1°'!B9="","",IFERROR('Planilla (Ingles 1°) '!F20,""))</f>
        <v/>
      </c>
      <c r="D9" s="196">
        <f>IF('MAESTRO 1°'!B9="","",IFERROR('Planilla (Español 1°) '!F20,""))</f>
        <v/>
      </c>
      <c r="E9" s="196">
        <f>IF('MAESTRO 1°'!B9="","",IFERROR('Planilla (Matemática 1°) '!F20,""))</f>
        <v/>
      </c>
      <c r="F9" s="196">
        <f>IF('MAESTRO 1°'!B9="","",IFERROR('Planilla (C.Sociales 1°) '!F20,""))</f>
        <v/>
      </c>
      <c r="G9" s="196">
        <f>IF('MAESTRO 1°'!B9="","",IFERROR('Planilla (C.Naturales 1°) '!F20,""))</f>
        <v/>
      </c>
      <c r="H9" s="196">
        <f>IF('MAESTRO 1°'!B9="","",IFERROR('Planilla (Religión 1°) '!F20,""))</f>
        <v/>
      </c>
      <c r="I9" s="196">
        <f>IF('MAESTRO 1°'!B9="","",IFERROR('Planilla (Artística 1°) '!F20,""))</f>
        <v/>
      </c>
      <c r="J9" s="196">
        <f>IF('MAESTRO 1°'!B9="","",IFERROR('Planilla (Tecnología 1°) '!F20,""))</f>
        <v/>
      </c>
      <c r="K9" s="196">
        <f>IF('MAESTRO 1°'!B9="","",IFERROR('Planilla (E.Física 1°) '!F20,""))</f>
        <v/>
      </c>
      <c r="L9" s="196" t="n"/>
      <c r="N9" s="86" t="n">
        <v>5</v>
      </c>
      <c r="O9" s="87">
        <f>IF('MAESTRO 1°'!B9="","",'MAESTRO 1°'!B9)</f>
        <v/>
      </c>
      <c r="P9" s="196">
        <f>IF('MAESTRO 1°'!B9="","",IFERROR('Planilla (Ingles 1°) '!I20,""))</f>
        <v/>
      </c>
      <c r="Q9" s="196">
        <f>IF('MAESTRO 1°'!B9="","",IFERROR('Planilla (Español 1°) '!I20,""))</f>
        <v/>
      </c>
      <c r="R9" s="196">
        <f>IF('MAESTRO 1°'!B9="","",IFERROR('Planilla (Matemática 1°) '!I20,""))</f>
        <v/>
      </c>
      <c r="S9" s="196">
        <f>IF('MAESTRO 1°'!B9="","",IFERROR('Planilla (C.Sociales 1°) '!I20,""))</f>
        <v/>
      </c>
      <c r="T9" s="196">
        <f>IF('MAESTRO 1°'!B9="","",IFERROR('Planilla (C.Naturales 1°) '!I20,""))</f>
        <v/>
      </c>
      <c r="U9" s="196">
        <f>IF('MAESTRO 1°'!B9="","",IFERROR('Planilla (Religión 1°) '!I20,""))</f>
        <v/>
      </c>
      <c r="V9" s="196">
        <f>IF('MAESTRO 1°'!B9="","",IFERROR('Planilla (Artística 1°) '!I20,""))</f>
        <v/>
      </c>
      <c r="W9" s="196">
        <f>IF('MAESTRO 1°'!B9="","",IFERROR('Planilla (Tecnología 1°) '!I20,""))</f>
        <v/>
      </c>
      <c r="X9" s="196">
        <f>IF('MAESTRO 1°'!B9="","",IFERROR('Planilla (E.Física 1°) '!I20,""))</f>
        <v/>
      </c>
      <c r="Y9" s="196" t="n"/>
    </row>
    <row r="10" ht="16.05" customHeight="1" s="147">
      <c r="A10" s="84" t="n">
        <v>6</v>
      </c>
      <c r="B10" s="85">
        <f>IF('MAESTRO 1°'!B10="","",'MAESTRO 1°'!B10)</f>
        <v/>
      </c>
      <c r="C10" s="192">
        <f>IF('MAESTRO 1°'!B10="","",IFERROR('Planilla (Ingles 1°) '!F21,""))</f>
        <v/>
      </c>
      <c r="D10" s="192">
        <f>IF('MAESTRO 1°'!B10="","",IFERROR('Planilla (Español 1°) '!F21,""))</f>
        <v/>
      </c>
      <c r="E10" s="192">
        <f>IF('MAESTRO 1°'!B10="","",IFERROR('Planilla (Matemática 1°) '!F21,""))</f>
        <v/>
      </c>
      <c r="F10" s="192">
        <f>IF('MAESTRO 1°'!B10="","",IFERROR('Planilla (C.Sociales 1°) '!F21,""))</f>
        <v/>
      </c>
      <c r="G10" s="192">
        <f>IF('MAESTRO 1°'!B10="","",IFERROR('Planilla (C.Naturales 1°) '!F21,""))</f>
        <v/>
      </c>
      <c r="H10" s="192">
        <f>IF('MAESTRO 1°'!B10="","",IFERROR('Planilla (Religión 1°) '!F21,""))</f>
        <v/>
      </c>
      <c r="I10" s="192">
        <f>IF('MAESTRO 1°'!B10="","",IFERROR('Planilla (Artística 1°) '!F21,""))</f>
        <v/>
      </c>
      <c r="J10" s="192">
        <f>IF('MAESTRO 1°'!B10="","",IFERROR('Planilla (Tecnología 1°) '!F21,""))</f>
        <v/>
      </c>
      <c r="K10" s="192">
        <f>IF('MAESTRO 1°'!B10="","",IFERROR('Planilla (E.Física 1°) '!F21,""))</f>
        <v/>
      </c>
      <c r="L10" s="192" t="n"/>
      <c r="N10" s="84" t="n">
        <v>6</v>
      </c>
      <c r="O10" s="85">
        <f>IF('MAESTRO 1°'!B10="","",'MAESTRO 1°'!B10)</f>
        <v/>
      </c>
      <c r="P10" s="192">
        <f>IF('MAESTRO 1°'!B10="","",IFERROR('Planilla (Ingles 1°) '!I21,""))</f>
        <v/>
      </c>
      <c r="Q10" s="192">
        <f>IF('MAESTRO 1°'!B10="","",IFERROR('Planilla (Español 1°) '!I21,""))</f>
        <v/>
      </c>
      <c r="R10" s="192">
        <f>IF('MAESTRO 1°'!B10="","",IFERROR('Planilla (Matemática 1°) '!I21,""))</f>
        <v/>
      </c>
      <c r="S10" s="192">
        <f>IF('MAESTRO 1°'!B10="","",IFERROR('Planilla (C.Sociales 1°) '!I21,""))</f>
        <v/>
      </c>
      <c r="T10" s="192">
        <f>IF('MAESTRO 1°'!B10="","",IFERROR('Planilla (C.Naturales 1°) '!I21,""))</f>
        <v/>
      </c>
      <c r="U10" s="192">
        <f>IF('MAESTRO 1°'!B10="","",IFERROR('Planilla (Religión 1°) '!I21,""))</f>
        <v/>
      </c>
      <c r="V10" s="192">
        <f>IF('MAESTRO 1°'!B10="","",IFERROR('Planilla (Artística 1°) '!I21,""))</f>
        <v/>
      </c>
      <c r="W10" s="192">
        <f>IF('MAESTRO 1°'!B10="","",IFERROR('Planilla (Tecnología 1°) '!I21,""))</f>
        <v/>
      </c>
      <c r="X10" s="192">
        <f>IF('MAESTRO 1°'!B10="","",IFERROR('Planilla (E.Física 1°) '!I21,""))</f>
        <v/>
      </c>
      <c r="Y10" s="192" t="n"/>
    </row>
    <row r="11" ht="16.05" customHeight="1" s="147">
      <c r="A11" s="86" t="n">
        <v>7</v>
      </c>
      <c r="B11" s="87">
        <f>IF('MAESTRO 1°'!B11="","",'MAESTRO 1°'!B11)</f>
        <v/>
      </c>
      <c r="C11" s="196">
        <f>IF('MAESTRO 1°'!B11="","",IFERROR('Planilla (Ingles 1°) '!F22,""))</f>
        <v/>
      </c>
      <c r="D11" s="196">
        <f>IF('MAESTRO 1°'!B11="","",IFERROR('Planilla (Español 1°) '!F22,""))</f>
        <v/>
      </c>
      <c r="E11" s="196">
        <f>IF('MAESTRO 1°'!B11="","",IFERROR('Planilla (Matemática 1°) '!F22,""))</f>
        <v/>
      </c>
      <c r="F11" s="196">
        <f>IF('MAESTRO 1°'!B11="","",IFERROR('Planilla (C.Sociales 1°) '!F22,""))</f>
        <v/>
      </c>
      <c r="G11" s="196">
        <f>IF('MAESTRO 1°'!B11="","",IFERROR('Planilla (C.Naturales 1°) '!F22,""))</f>
        <v/>
      </c>
      <c r="H11" s="196">
        <f>IF('MAESTRO 1°'!B11="","",IFERROR('Planilla (Religión 1°) '!F22,""))</f>
        <v/>
      </c>
      <c r="I11" s="196">
        <f>IF('MAESTRO 1°'!B11="","",IFERROR('Planilla (Artística 1°) '!F22,""))</f>
        <v/>
      </c>
      <c r="J11" s="196">
        <f>IF('MAESTRO 1°'!B11="","",IFERROR('Planilla (Tecnología 1°) '!F22,""))</f>
        <v/>
      </c>
      <c r="K11" s="196">
        <f>IF('MAESTRO 1°'!B11="","",IFERROR('Planilla (E.Física 1°) '!F22,""))</f>
        <v/>
      </c>
      <c r="L11" s="196" t="n"/>
      <c r="N11" s="86" t="n">
        <v>7</v>
      </c>
      <c r="O11" s="87">
        <f>IF('MAESTRO 1°'!B11="","",'MAESTRO 1°'!B11)</f>
        <v/>
      </c>
      <c r="P11" s="196">
        <f>IF('MAESTRO 1°'!B11="","",IFERROR('Planilla (Ingles 1°) '!I22,""))</f>
        <v/>
      </c>
      <c r="Q11" s="196">
        <f>IF('MAESTRO 1°'!B11="","",IFERROR('Planilla (Español 1°) '!I22,""))</f>
        <v/>
      </c>
      <c r="R11" s="196">
        <f>IF('MAESTRO 1°'!B11="","",IFERROR('Planilla (Matemática 1°) '!I22,""))</f>
        <v/>
      </c>
      <c r="S11" s="196">
        <f>IF('MAESTRO 1°'!B11="","",IFERROR('Planilla (C.Sociales 1°) '!I22,""))</f>
        <v/>
      </c>
      <c r="T11" s="196">
        <f>IF('MAESTRO 1°'!B11="","",IFERROR('Planilla (C.Naturales 1°) '!I22,""))</f>
        <v/>
      </c>
      <c r="U11" s="196">
        <f>IF('MAESTRO 1°'!B11="","",IFERROR('Planilla (Religión 1°) '!I22,""))</f>
        <v/>
      </c>
      <c r="V11" s="196">
        <f>IF('MAESTRO 1°'!B11="","",IFERROR('Planilla (Artística 1°) '!I22,""))</f>
        <v/>
      </c>
      <c r="W11" s="196">
        <f>IF('MAESTRO 1°'!B11="","",IFERROR('Planilla (Tecnología 1°) '!I22,""))</f>
        <v/>
      </c>
      <c r="X11" s="196">
        <f>IF('MAESTRO 1°'!B11="","",IFERROR('Planilla (E.Física 1°) '!I22,""))</f>
        <v/>
      </c>
      <c r="Y11" s="196" t="n"/>
    </row>
    <row r="12" ht="16.05" customHeight="1" s="147">
      <c r="A12" s="84" t="n">
        <v>8</v>
      </c>
      <c r="B12" s="85">
        <f>IF('MAESTRO 1°'!B12="","",'MAESTRO 1°'!B12)</f>
        <v/>
      </c>
      <c r="C12" s="192">
        <f>IF('MAESTRO 1°'!B12="","",IFERROR('Planilla (Ingles 1°) '!F23,""))</f>
        <v/>
      </c>
      <c r="D12" s="192">
        <f>IF('MAESTRO 1°'!B12="","",IFERROR('Planilla (Español 1°) '!F23,""))</f>
        <v/>
      </c>
      <c r="E12" s="192">
        <f>IF('MAESTRO 1°'!B12="","",IFERROR('Planilla (Matemática 1°) '!F23,""))</f>
        <v/>
      </c>
      <c r="F12" s="192">
        <f>IF('MAESTRO 1°'!B12="","",IFERROR('Planilla (C.Sociales 1°) '!F23,""))</f>
        <v/>
      </c>
      <c r="G12" s="192">
        <f>IF('MAESTRO 1°'!B12="","",IFERROR('Planilla (C.Naturales 1°) '!F23,""))</f>
        <v/>
      </c>
      <c r="H12" s="192">
        <f>IF('MAESTRO 1°'!B12="","",IFERROR('Planilla (Religión 1°) '!F23,""))</f>
        <v/>
      </c>
      <c r="I12" s="192">
        <f>IF('MAESTRO 1°'!B12="","",IFERROR('Planilla (Artística 1°) '!F23,""))</f>
        <v/>
      </c>
      <c r="J12" s="192">
        <f>IF('MAESTRO 1°'!B12="","",IFERROR('Planilla (Tecnología 1°) '!F23,""))</f>
        <v/>
      </c>
      <c r="K12" s="192">
        <f>IF('MAESTRO 1°'!B12="","",IFERROR('Planilla (E.Física 1°) '!F23,""))</f>
        <v/>
      </c>
      <c r="L12" s="192" t="n"/>
      <c r="N12" s="84" t="n">
        <v>8</v>
      </c>
      <c r="O12" s="85">
        <f>IF('MAESTRO 1°'!B12="","",'MAESTRO 1°'!B12)</f>
        <v/>
      </c>
      <c r="P12" s="192">
        <f>IF('MAESTRO 1°'!B12="","",IFERROR('Planilla (Ingles 1°) '!I23,""))</f>
        <v/>
      </c>
      <c r="Q12" s="192">
        <f>IF('MAESTRO 1°'!B12="","",IFERROR('Planilla (Español 1°) '!I23,""))</f>
        <v/>
      </c>
      <c r="R12" s="192">
        <f>IF('MAESTRO 1°'!B12="","",IFERROR('Planilla (Matemática 1°) '!I23,""))</f>
        <v/>
      </c>
      <c r="S12" s="192">
        <f>IF('MAESTRO 1°'!B12="","",IFERROR('Planilla (C.Sociales 1°) '!I23,""))</f>
        <v/>
      </c>
      <c r="T12" s="192">
        <f>IF('MAESTRO 1°'!B12="","",IFERROR('Planilla (C.Naturales 1°) '!I23,""))</f>
        <v/>
      </c>
      <c r="U12" s="192">
        <f>IF('MAESTRO 1°'!B12="","",IFERROR('Planilla (Religión 1°) '!I23,""))</f>
        <v/>
      </c>
      <c r="V12" s="192">
        <f>IF('MAESTRO 1°'!B12="","",IFERROR('Planilla (Artística 1°) '!I23,""))</f>
        <v/>
      </c>
      <c r="W12" s="192">
        <f>IF('MAESTRO 1°'!B12="","",IFERROR('Planilla (Tecnología 1°) '!I23,""))</f>
        <v/>
      </c>
      <c r="X12" s="192">
        <f>IF('MAESTRO 1°'!B12="","",IFERROR('Planilla (E.Física 1°) '!I23,""))</f>
        <v/>
      </c>
      <c r="Y12" s="192" t="n"/>
    </row>
    <row r="13" ht="16.05" customHeight="1" s="147">
      <c r="A13" s="86" t="n">
        <v>9</v>
      </c>
      <c r="B13" s="87">
        <f>IF('MAESTRO 1°'!B13="","",'MAESTRO 1°'!B13)</f>
        <v/>
      </c>
      <c r="C13" s="196">
        <f>IF('MAESTRO 1°'!B13="","",IFERROR('Planilla (Ingles 1°) '!F24,""))</f>
        <v/>
      </c>
      <c r="D13" s="196">
        <f>IF('MAESTRO 1°'!B13="","",IFERROR('Planilla (Español 1°) '!F24,""))</f>
        <v/>
      </c>
      <c r="E13" s="196">
        <f>IF('MAESTRO 1°'!B13="","",IFERROR('Planilla (Matemática 1°) '!F24,""))</f>
        <v/>
      </c>
      <c r="F13" s="196">
        <f>IF('MAESTRO 1°'!B13="","",IFERROR('Planilla (C.Sociales 1°) '!F24,""))</f>
        <v/>
      </c>
      <c r="G13" s="196">
        <f>IF('MAESTRO 1°'!B13="","",IFERROR('Planilla (C.Naturales 1°) '!F24,""))</f>
        <v/>
      </c>
      <c r="H13" s="196">
        <f>IF('MAESTRO 1°'!B13="","",IFERROR('Planilla (Religión 1°) '!F24,""))</f>
        <v/>
      </c>
      <c r="I13" s="196">
        <f>IF('MAESTRO 1°'!B13="","",IFERROR('Planilla (Artística 1°) '!F24,""))</f>
        <v/>
      </c>
      <c r="J13" s="196">
        <f>IF('MAESTRO 1°'!B13="","",IFERROR('Planilla (Tecnología 1°) '!F24,""))</f>
        <v/>
      </c>
      <c r="K13" s="196">
        <f>IF('MAESTRO 1°'!B13="","",IFERROR('Planilla (E.Física 1°) '!F24,""))</f>
        <v/>
      </c>
      <c r="L13" s="196" t="n"/>
      <c r="N13" s="86" t="n">
        <v>9</v>
      </c>
      <c r="O13" s="87">
        <f>IF('MAESTRO 1°'!B13="","",'MAESTRO 1°'!B13)</f>
        <v/>
      </c>
      <c r="P13" s="196">
        <f>IF('MAESTRO 1°'!B13="","",IFERROR('Planilla (Ingles 1°) '!I24,""))</f>
        <v/>
      </c>
      <c r="Q13" s="196">
        <f>IF('MAESTRO 1°'!B13="","",IFERROR('Planilla (Español 1°) '!I24,""))</f>
        <v/>
      </c>
      <c r="R13" s="196">
        <f>IF('MAESTRO 1°'!B13="","",IFERROR('Planilla (Matemática 1°) '!I24,""))</f>
        <v/>
      </c>
      <c r="S13" s="196">
        <f>IF('MAESTRO 1°'!B13="","",IFERROR('Planilla (C.Sociales 1°) '!I24,""))</f>
        <v/>
      </c>
      <c r="T13" s="196">
        <f>IF('MAESTRO 1°'!B13="","",IFERROR('Planilla (C.Naturales 1°) '!I24,""))</f>
        <v/>
      </c>
      <c r="U13" s="196">
        <f>IF('MAESTRO 1°'!B13="","",IFERROR('Planilla (Religión 1°) '!I24,""))</f>
        <v/>
      </c>
      <c r="V13" s="196">
        <f>IF('MAESTRO 1°'!B13="","",IFERROR('Planilla (Artística 1°) '!I24,""))</f>
        <v/>
      </c>
      <c r="W13" s="196">
        <f>IF('MAESTRO 1°'!B13="","",IFERROR('Planilla (Tecnología 1°) '!I24,""))</f>
        <v/>
      </c>
      <c r="X13" s="196">
        <f>IF('MAESTRO 1°'!B13="","",IFERROR('Planilla (E.Física 1°) '!I24,""))</f>
        <v/>
      </c>
      <c r="Y13" s="196" t="n"/>
    </row>
    <row r="14" ht="16.05" customHeight="1" s="147">
      <c r="A14" s="84" t="n">
        <v>10</v>
      </c>
      <c r="B14" s="85">
        <f>IF('MAESTRO 1°'!B14="","",'MAESTRO 1°'!B14)</f>
        <v/>
      </c>
      <c r="C14" s="192">
        <f>IF('MAESTRO 1°'!B14="","",IFERROR('Planilla (Ingles 1°) '!F25,""))</f>
        <v/>
      </c>
      <c r="D14" s="192">
        <f>IF('MAESTRO 1°'!B14="","",IFERROR('Planilla (Español 1°) '!F25,""))</f>
        <v/>
      </c>
      <c r="E14" s="192">
        <f>IF('MAESTRO 1°'!B14="","",IFERROR('Planilla (Matemática 1°) '!F25,""))</f>
        <v/>
      </c>
      <c r="F14" s="192">
        <f>IF('MAESTRO 1°'!B14="","",IFERROR('Planilla (C.Sociales 1°) '!F25,""))</f>
        <v/>
      </c>
      <c r="G14" s="192">
        <f>IF('MAESTRO 1°'!B14="","",IFERROR('Planilla (C.Naturales 1°) '!F25,""))</f>
        <v/>
      </c>
      <c r="H14" s="192">
        <f>IF('MAESTRO 1°'!B14="","",IFERROR('Planilla (Religión 1°) '!F25,""))</f>
        <v/>
      </c>
      <c r="I14" s="192">
        <f>IF('MAESTRO 1°'!B14="","",IFERROR('Planilla (Artística 1°) '!F25,""))</f>
        <v/>
      </c>
      <c r="J14" s="192">
        <f>IF('MAESTRO 1°'!B14="","",IFERROR('Planilla (Tecnología 1°) '!F25,""))</f>
        <v/>
      </c>
      <c r="K14" s="192">
        <f>IF('MAESTRO 1°'!B14="","",IFERROR('Planilla (E.Física 1°) '!F25,""))</f>
        <v/>
      </c>
      <c r="L14" s="192" t="n"/>
      <c r="N14" s="84" t="n">
        <v>10</v>
      </c>
      <c r="O14" s="85">
        <f>IF('MAESTRO 1°'!B14="","",'MAESTRO 1°'!B14)</f>
        <v/>
      </c>
      <c r="P14" s="192">
        <f>IF('MAESTRO 1°'!B14="","",IFERROR('Planilla (Ingles 1°) '!I25,""))</f>
        <v/>
      </c>
      <c r="Q14" s="192">
        <f>IF('MAESTRO 1°'!B14="","",IFERROR('Planilla (Español 1°) '!I25,""))</f>
        <v/>
      </c>
      <c r="R14" s="192">
        <f>IF('MAESTRO 1°'!B14="","",IFERROR('Planilla (Matemática 1°) '!I25,""))</f>
        <v/>
      </c>
      <c r="S14" s="192">
        <f>IF('MAESTRO 1°'!B14="","",IFERROR('Planilla (C.Sociales 1°) '!I25,""))</f>
        <v/>
      </c>
      <c r="T14" s="192">
        <f>IF('MAESTRO 1°'!B14="","",IFERROR('Planilla (C.Naturales 1°) '!I25,""))</f>
        <v/>
      </c>
      <c r="U14" s="192">
        <f>IF('MAESTRO 1°'!B14="","",IFERROR('Planilla (Religión 1°) '!I25,""))</f>
        <v/>
      </c>
      <c r="V14" s="192">
        <f>IF('MAESTRO 1°'!B14="","",IFERROR('Planilla (Artística 1°) '!I25,""))</f>
        <v/>
      </c>
      <c r="W14" s="192">
        <f>IF('MAESTRO 1°'!B14="","",IFERROR('Planilla (Tecnología 1°) '!I25,""))</f>
        <v/>
      </c>
      <c r="X14" s="192">
        <f>IF('MAESTRO 1°'!B14="","",IFERROR('Planilla (E.Física 1°) '!I25,""))</f>
        <v/>
      </c>
      <c r="Y14" s="192" t="n"/>
    </row>
    <row r="15" ht="16.05" customHeight="1" s="147">
      <c r="A15" s="86" t="n">
        <v>11</v>
      </c>
      <c r="B15" s="87">
        <f>IF('MAESTRO 1°'!B15="","",'MAESTRO 1°'!B15)</f>
        <v/>
      </c>
      <c r="C15" s="196">
        <f>IF('MAESTRO 1°'!B15="","",IFERROR('Planilla (Ingles 1°) '!F26,""))</f>
        <v/>
      </c>
      <c r="D15" s="196">
        <f>IF('MAESTRO 1°'!B15="","",IFERROR('Planilla (Español 1°) '!F26,""))</f>
        <v/>
      </c>
      <c r="E15" s="196">
        <f>IF('MAESTRO 1°'!B15="","",IFERROR('Planilla (Matemática 1°) '!F26,""))</f>
        <v/>
      </c>
      <c r="F15" s="196">
        <f>IF('MAESTRO 1°'!B15="","",IFERROR('Planilla (C.Sociales 1°) '!F26,""))</f>
        <v/>
      </c>
      <c r="G15" s="196">
        <f>IF('MAESTRO 1°'!B15="","",IFERROR('Planilla (C.Naturales 1°) '!F26,""))</f>
        <v/>
      </c>
      <c r="H15" s="196">
        <f>IF('MAESTRO 1°'!B15="","",IFERROR('Planilla (Religión 1°) '!F26,""))</f>
        <v/>
      </c>
      <c r="I15" s="196">
        <f>IF('MAESTRO 1°'!B15="","",IFERROR('Planilla (Artística 1°) '!F26,""))</f>
        <v/>
      </c>
      <c r="J15" s="196">
        <f>IF('MAESTRO 1°'!B15="","",IFERROR('Planilla (Tecnología 1°) '!F26,""))</f>
        <v/>
      </c>
      <c r="K15" s="196">
        <f>IF('MAESTRO 1°'!B15="","",IFERROR('Planilla (E.Física 1°) '!F26,""))</f>
        <v/>
      </c>
      <c r="L15" s="196" t="n"/>
      <c r="N15" s="86" t="n">
        <v>11</v>
      </c>
      <c r="O15" s="87">
        <f>IF('MAESTRO 1°'!B15="","",'MAESTRO 1°'!B15)</f>
        <v/>
      </c>
      <c r="P15" s="196">
        <f>IF('MAESTRO 1°'!B15="","",IFERROR('Planilla (Ingles 1°) '!I26,""))</f>
        <v/>
      </c>
      <c r="Q15" s="196">
        <f>IF('MAESTRO 1°'!B15="","",IFERROR('Planilla (Español 1°) '!I26,""))</f>
        <v/>
      </c>
      <c r="R15" s="196">
        <f>IF('MAESTRO 1°'!B15="","",IFERROR('Planilla (Matemática 1°) '!I26,""))</f>
        <v/>
      </c>
      <c r="S15" s="196">
        <f>IF('MAESTRO 1°'!B15="","",IFERROR('Planilla (C.Sociales 1°) '!I26,""))</f>
        <v/>
      </c>
      <c r="T15" s="196">
        <f>IF('MAESTRO 1°'!B15="","",IFERROR('Planilla (C.Naturales 1°) '!I26,""))</f>
        <v/>
      </c>
      <c r="U15" s="196">
        <f>IF('MAESTRO 1°'!B15="","",IFERROR('Planilla (Religión 1°) '!I26,""))</f>
        <v/>
      </c>
      <c r="V15" s="196">
        <f>IF('MAESTRO 1°'!B15="","",IFERROR('Planilla (Artística 1°) '!I26,""))</f>
        <v/>
      </c>
      <c r="W15" s="196">
        <f>IF('MAESTRO 1°'!B15="","",IFERROR('Planilla (Tecnología 1°) '!I26,""))</f>
        <v/>
      </c>
      <c r="X15" s="196">
        <f>IF('MAESTRO 1°'!B15="","",IFERROR('Planilla (E.Física 1°) '!I26,""))</f>
        <v/>
      </c>
      <c r="Y15" s="196" t="n"/>
    </row>
    <row r="16" ht="16.05" customHeight="1" s="147">
      <c r="A16" s="84" t="n">
        <v>12</v>
      </c>
      <c r="B16" s="85">
        <f>IF('MAESTRO 1°'!B16="","",'MAESTRO 1°'!B16)</f>
        <v/>
      </c>
      <c r="C16" s="192">
        <f>IF('MAESTRO 1°'!B16="","",IFERROR('Planilla (Ingles 1°) '!F27,""))</f>
        <v/>
      </c>
      <c r="D16" s="192">
        <f>IF('MAESTRO 1°'!B16="","",IFERROR('Planilla (Español 1°) '!F27,""))</f>
        <v/>
      </c>
      <c r="E16" s="192">
        <f>IF('MAESTRO 1°'!B16="","",IFERROR('Planilla (Matemática 1°) '!F27,""))</f>
        <v/>
      </c>
      <c r="F16" s="192">
        <f>IF('MAESTRO 1°'!B16="","",IFERROR('Planilla (C.Sociales 1°) '!F27,""))</f>
        <v/>
      </c>
      <c r="G16" s="192">
        <f>IF('MAESTRO 1°'!B16="","",IFERROR('Planilla (C.Naturales 1°) '!F27,""))</f>
        <v/>
      </c>
      <c r="H16" s="192">
        <f>IF('MAESTRO 1°'!B16="","",IFERROR('Planilla (Religión 1°) '!F27,""))</f>
        <v/>
      </c>
      <c r="I16" s="192">
        <f>IF('MAESTRO 1°'!B16="","",IFERROR('Planilla (Artística 1°) '!F27,""))</f>
        <v/>
      </c>
      <c r="J16" s="192">
        <f>IF('MAESTRO 1°'!B16="","",IFERROR('Planilla (Tecnología 1°) '!F27,""))</f>
        <v/>
      </c>
      <c r="K16" s="192">
        <f>IF('MAESTRO 1°'!B16="","",IFERROR('Planilla (E.Física 1°) '!F27,""))</f>
        <v/>
      </c>
      <c r="L16" s="192" t="n"/>
      <c r="N16" s="84" t="n">
        <v>12</v>
      </c>
      <c r="O16" s="85">
        <f>IF('MAESTRO 1°'!B16="","",'MAESTRO 1°'!B16)</f>
        <v/>
      </c>
      <c r="P16" s="192">
        <f>IF('MAESTRO 1°'!B16="","",IFERROR('Planilla (Ingles 1°) '!I27,""))</f>
        <v/>
      </c>
      <c r="Q16" s="192">
        <f>IF('MAESTRO 1°'!B16="","",IFERROR('Planilla (Español 1°) '!I27,""))</f>
        <v/>
      </c>
      <c r="R16" s="192">
        <f>IF('MAESTRO 1°'!B16="","",IFERROR('Planilla (Matemática 1°) '!I27,""))</f>
        <v/>
      </c>
      <c r="S16" s="192">
        <f>IF('MAESTRO 1°'!B16="","",IFERROR('Planilla (C.Sociales 1°) '!I27,""))</f>
        <v/>
      </c>
      <c r="T16" s="192">
        <f>IF('MAESTRO 1°'!B16="","",IFERROR('Planilla (C.Naturales 1°) '!I27,""))</f>
        <v/>
      </c>
      <c r="U16" s="192">
        <f>IF('MAESTRO 1°'!B16="","",IFERROR('Planilla (Religión 1°) '!I27,""))</f>
        <v/>
      </c>
      <c r="V16" s="192">
        <f>IF('MAESTRO 1°'!B16="","",IFERROR('Planilla (Artística 1°) '!I27,""))</f>
        <v/>
      </c>
      <c r="W16" s="192">
        <f>IF('MAESTRO 1°'!B16="","",IFERROR('Planilla (Tecnología 1°) '!I27,""))</f>
        <v/>
      </c>
      <c r="X16" s="192">
        <f>IF('MAESTRO 1°'!B16="","",IFERROR('Planilla (E.Física 1°) '!I27,""))</f>
        <v/>
      </c>
      <c r="Y16" s="192" t="n"/>
    </row>
    <row r="17" ht="16.05" customHeight="1" s="147">
      <c r="A17" s="86" t="n">
        <v>13</v>
      </c>
      <c r="B17" s="87">
        <f>IF('MAESTRO 1°'!B17="","",'MAESTRO 1°'!B17)</f>
        <v/>
      </c>
      <c r="C17" s="196">
        <f>IF('MAESTRO 1°'!B17="","",IFERROR('Planilla (Ingles 1°) '!F28,""))</f>
        <v/>
      </c>
      <c r="D17" s="196">
        <f>IF('MAESTRO 1°'!B17="","",IFERROR('Planilla (Español 1°) '!F28,""))</f>
        <v/>
      </c>
      <c r="E17" s="196">
        <f>IF('MAESTRO 1°'!B17="","",IFERROR('Planilla (Matemática 1°) '!F28,""))</f>
        <v/>
      </c>
      <c r="F17" s="196">
        <f>IF('MAESTRO 1°'!B17="","",IFERROR('Planilla (C.Sociales 1°) '!F28,""))</f>
        <v/>
      </c>
      <c r="G17" s="196">
        <f>IF('MAESTRO 1°'!B17="","",IFERROR('Planilla (C.Naturales 1°) '!F28,""))</f>
        <v/>
      </c>
      <c r="H17" s="196">
        <f>IF('MAESTRO 1°'!B17="","",IFERROR('Planilla (Religión 1°) '!F28,""))</f>
        <v/>
      </c>
      <c r="I17" s="196">
        <f>IF('MAESTRO 1°'!B17="","",IFERROR('Planilla (Artística 1°) '!F28,""))</f>
        <v/>
      </c>
      <c r="J17" s="196">
        <f>IF('MAESTRO 1°'!B17="","",IFERROR('Planilla (Tecnología 1°) '!F28,""))</f>
        <v/>
      </c>
      <c r="K17" s="196">
        <f>IF('MAESTRO 1°'!B17="","",IFERROR('Planilla (E.Física 1°) '!F28,""))</f>
        <v/>
      </c>
      <c r="L17" s="196" t="n"/>
      <c r="N17" s="86" t="n">
        <v>13</v>
      </c>
      <c r="O17" s="87">
        <f>IF('MAESTRO 1°'!B17="","",'MAESTRO 1°'!B17)</f>
        <v/>
      </c>
      <c r="P17" s="196">
        <f>IF('MAESTRO 1°'!B17="","",IFERROR('Planilla (Ingles 1°) '!I28,""))</f>
        <v/>
      </c>
      <c r="Q17" s="196">
        <f>IF('MAESTRO 1°'!B17="","",IFERROR('Planilla (Español 1°) '!I28,""))</f>
        <v/>
      </c>
      <c r="R17" s="196">
        <f>IF('MAESTRO 1°'!B17="","",IFERROR('Planilla (Matemática 1°) '!I28,""))</f>
        <v/>
      </c>
      <c r="S17" s="196">
        <f>IF('MAESTRO 1°'!B17="","",IFERROR('Planilla (C.Sociales 1°) '!I28,""))</f>
        <v/>
      </c>
      <c r="T17" s="196">
        <f>IF('MAESTRO 1°'!B17="","",IFERROR('Planilla (C.Naturales 1°) '!I28,""))</f>
        <v/>
      </c>
      <c r="U17" s="196">
        <f>IF('MAESTRO 1°'!B17="","",IFERROR('Planilla (Religión 1°) '!I28,""))</f>
        <v/>
      </c>
      <c r="V17" s="196">
        <f>IF('MAESTRO 1°'!B17="","",IFERROR('Planilla (Artística 1°) '!I28,""))</f>
        <v/>
      </c>
      <c r="W17" s="196">
        <f>IF('MAESTRO 1°'!B17="","",IFERROR('Planilla (Tecnología 1°) '!I28,""))</f>
        <v/>
      </c>
      <c r="X17" s="196">
        <f>IF('MAESTRO 1°'!B17="","",IFERROR('Planilla (E.Física 1°) '!I28,""))</f>
        <v/>
      </c>
      <c r="Y17" s="196" t="n"/>
    </row>
    <row r="18" ht="16.05" customHeight="1" s="147">
      <c r="A18" s="84" t="n">
        <v>14</v>
      </c>
      <c r="B18" s="85">
        <f>IF('MAESTRO 1°'!B18="","",'MAESTRO 1°'!B18)</f>
        <v/>
      </c>
      <c r="C18" s="192">
        <f>IF('MAESTRO 1°'!B18="","",IFERROR('Planilla (Ingles 1°) '!F29,""))</f>
        <v/>
      </c>
      <c r="D18" s="192">
        <f>IF('MAESTRO 1°'!B18="","",IFERROR('Planilla (Español 1°) '!F29,""))</f>
        <v/>
      </c>
      <c r="E18" s="192">
        <f>IF('MAESTRO 1°'!B18="","",IFERROR('Planilla (Matemática 1°) '!F29,""))</f>
        <v/>
      </c>
      <c r="F18" s="192">
        <f>IF('MAESTRO 1°'!B18="","",IFERROR('Planilla (C.Sociales 1°) '!F29,""))</f>
        <v/>
      </c>
      <c r="G18" s="192">
        <f>IF('MAESTRO 1°'!B18="","",IFERROR('Planilla (C.Naturales 1°) '!F29,""))</f>
        <v/>
      </c>
      <c r="H18" s="192">
        <f>IF('MAESTRO 1°'!B18="","",IFERROR('Planilla (Religión 1°) '!F29,""))</f>
        <v/>
      </c>
      <c r="I18" s="192">
        <f>IF('MAESTRO 1°'!B18="","",IFERROR('Planilla (Artística 1°) '!F29,""))</f>
        <v/>
      </c>
      <c r="J18" s="192">
        <f>IF('MAESTRO 1°'!B18="","",IFERROR('Planilla (Tecnología 1°) '!F29,""))</f>
        <v/>
      </c>
      <c r="K18" s="192">
        <f>IF('MAESTRO 1°'!B18="","",IFERROR('Planilla (E.Física 1°) '!F29,""))</f>
        <v/>
      </c>
      <c r="L18" s="192" t="n"/>
      <c r="N18" s="84" t="n">
        <v>14</v>
      </c>
      <c r="O18" s="85">
        <f>IF('MAESTRO 1°'!B18="","",'MAESTRO 1°'!B18)</f>
        <v/>
      </c>
      <c r="P18" s="192">
        <f>IF('MAESTRO 1°'!B18="","",IFERROR('Planilla (Ingles 1°) '!I29,""))</f>
        <v/>
      </c>
      <c r="Q18" s="192">
        <f>IF('MAESTRO 1°'!B18="","",IFERROR('Planilla (Español 1°) '!I29,""))</f>
        <v/>
      </c>
      <c r="R18" s="192">
        <f>IF('MAESTRO 1°'!B18="","",IFERROR('Planilla (Matemática 1°) '!I29,""))</f>
        <v/>
      </c>
      <c r="S18" s="192">
        <f>IF('MAESTRO 1°'!B18="","",IFERROR('Planilla (C.Sociales 1°) '!I29,""))</f>
        <v/>
      </c>
      <c r="T18" s="192">
        <f>IF('MAESTRO 1°'!B18="","",IFERROR('Planilla (C.Naturales 1°) '!I29,""))</f>
        <v/>
      </c>
      <c r="U18" s="192">
        <f>IF('MAESTRO 1°'!B18="","",IFERROR('Planilla (Religión 1°) '!I29,""))</f>
        <v/>
      </c>
      <c r="V18" s="192">
        <f>IF('MAESTRO 1°'!B18="","",IFERROR('Planilla (Artística 1°) '!I29,""))</f>
        <v/>
      </c>
      <c r="W18" s="192">
        <f>IF('MAESTRO 1°'!B18="","",IFERROR('Planilla (Tecnología 1°) '!I29,""))</f>
        <v/>
      </c>
      <c r="X18" s="192">
        <f>IF('MAESTRO 1°'!B18="","",IFERROR('Planilla (E.Física 1°) '!I29,""))</f>
        <v/>
      </c>
      <c r="Y18" s="192" t="n"/>
    </row>
    <row r="19" ht="16.05" customHeight="1" s="147">
      <c r="A19" s="86" t="n">
        <v>15</v>
      </c>
      <c r="B19" s="87">
        <f>IF('MAESTRO 1°'!B19="","",'MAESTRO 1°'!B19)</f>
        <v/>
      </c>
      <c r="C19" s="196">
        <f>IF('MAESTRO 1°'!B19="","",IFERROR('Planilla (Ingles 1°) '!F30,""))</f>
        <v/>
      </c>
      <c r="D19" s="196">
        <f>IF('MAESTRO 1°'!B19="","",IFERROR('Planilla (Español 1°) '!F30,""))</f>
        <v/>
      </c>
      <c r="E19" s="196">
        <f>IF('MAESTRO 1°'!B19="","",IFERROR('Planilla (Matemática 1°) '!F30,""))</f>
        <v/>
      </c>
      <c r="F19" s="196">
        <f>IF('MAESTRO 1°'!B19="","",IFERROR('Planilla (C.Sociales 1°) '!F30,""))</f>
        <v/>
      </c>
      <c r="G19" s="196">
        <f>IF('MAESTRO 1°'!B19="","",IFERROR('Planilla (C.Naturales 1°) '!F30,""))</f>
        <v/>
      </c>
      <c r="H19" s="196">
        <f>IF('MAESTRO 1°'!B19="","",IFERROR('Planilla (Religión 1°) '!F30,""))</f>
        <v/>
      </c>
      <c r="I19" s="196">
        <f>IF('MAESTRO 1°'!B19="","",IFERROR('Planilla (Artística 1°) '!F30,""))</f>
        <v/>
      </c>
      <c r="J19" s="196">
        <f>IF('MAESTRO 1°'!B19="","",IFERROR('Planilla (Tecnología 1°) '!F30,""))</f>
        <v/>
      </c>
      <c r="K19" s="196">
        <f>IF('MAESTRO 1°'!B19="","",IFERROR('Planilla (E.Física 1°) '!F30,""))</f>
        <v/>
      </c>
      <c r="L19" s="196" t="n"/>
      <c r="N19" s="86" t="n">
        <v>15</v>
      </c>
      <c r="O19" s="87">
        <f>IF('MAESTRO 1°'!B19="","",'MAESTRO 1°'!B19)</f>
        <v/>
      </c>
      <c r="P19" s="196">
        <f>IF('MAESTRO 1°'!B19="","",IFERROR('Planilla (Ingles 1°) '!I30,""))</f>
        <v/>
      </c>
      <c r="Q19" s="196">
        <f>IF('MAESTRO 1°'!B19="","",IFERROR('Planilla (Español 1°) '!I30,""))</f>
        <v/>
      </c>
      <c r="R19" s="196">
        <f>IF('MAESTRO 1°'!B19="","",IFERROR('Planilla (Matemática 1°) '!I30,""))</f>
        <v/>
      </c>
      <c r="S19" s="196">
        <f>IF('MAESTRO 1°'!B19="","",IFERROR('Planilla (C.Sociales 1°) '!I30,""))</f>
        <v/>
      </c>
      <c r="T19" s="196">
        <f>IF('MAESTRO 1°'!B19="","",IFERROR('Planilla (C.Naturales 1°) '!I30,""))</f>
        <v/>
      </c>
      <c r="U19" s="196">
        <f>IF('MAESTRO 1°'!B19="","",IFERROR('Planilla (Religión 1°) '!I30,""))</f>
        <v/>
      </c>
      <c r="V19" s="196">
        <f>IF('MAESTRO 1°'!B19="","",IFERROR('Planilla (Artística 1°) '!I30,""))</f>
        <v/>
      </c>
      <c r="W19" s="196">
        <f>IF('MAESTRO 1°'!B19="","",IFERROR('Planilla (Tecnología 1°) '!I30,""))</f>
        <v/>
      </c>
      <c r="X19" s="196">
        <f>IF('MAESTRO 1°'!B19="","",IFERROR('Planilla (E.Física 1°) '!I30,""))</f>
        <v/>
      </c>
      <c r="Y19" s="196" t="n"/>
    </row>
    <row r="20" ht="16.05" customHeight="1" s="147">
      <c r="A20" s="84" t="n">
        <v>16</v>
      </c>
      <c r="B20" s="85">
        <f>IF('MAESTRO 1°'!B20="","",'MAESTRO 1°'!B20)</f>
        <v/>
      </c>
      <c r="C20" s="192">
        <f>IF('MAESTRO 1°'!B20="","",IFERROR('Planilla (Ingles 1°) '!F31,""))</f>
        <v/>
      </c>
      <c r="D20" s="192">
        <f>IF('MAESTRO 1°'!B20="","",IFERROR('Planilla (Español 1°) '!F31,""))</f>
        <v/>
      </c>
      <c r="E20" s="192">
        <f>IF('MAESTRO 1°'!B20="","",IFERROR('Planilla (Matemática 1°) '!F31,""))</f>
        <v/>
      </c>
      <c r="F20" s="192">
        <f>IF('MAESTRO 1°'!B20="","",IFERROR('Planilla (C.Sociales 1°) '!F31,""))</f>
        <v/>
      </c>
      <c r="G20" s="192">
        <f>IF('MAESTRO 1°'!B20="","",IFERROR('Planilla (C.Naturales 1°) '!F31,""))</f>
        <v/>
      </c>
      <c r="H20" s="192">
        <f>IF('MAESTRO 1°'!B20="","",IFERROR('Planilla (Religión 1°) '!F31,""))</f>
        <v/>
      </c>
      <c r="I20" s="192">
        <f>IF('MAESTRO 1°'!B20="","",IFERROR('Planilla (Artística 1°) '!F31,""))</f>
        <v/>
      </c>
      <c r="J20" s="192">
        <f>IF('MAESTRO 1°'!B20="","",IFERROR('Planilla (Tecnología 1°) '!F31,""))</f>
        <v/>
      </c>
      <c r="K20" s="192">
        <f>IF('MAESTRO 1°'!B20="","",IFERROR('Planilla (E.Física 1°) '!F31,""))</f>
        <v/>
      </c>
      <c r="L20" s="192" t="n"/>
      <c r="N20" s="84" t="n">
        <v>16</v>
      </c>
      <c r="O20" s="85">
        <f>IF('MAESTRO 1°'!B20="","",'MAESTRO 1°'!B20)</f>
        <v/>
      </c>
      <c r="P20" s="192">
        <f>IF('MAESTRO 1°'!B20="","",IFERROR('Planilla (Ingles 1°) '!I31,""))</f>
        <v/>
      </c>
      <c r="Q20" s="192">
        <f>IF('MAESTRO 1°'!B20="","",IFERROR('Planilla (Español 1°) '!I31,""))</f>
        <v/>
      </c>
      <c r="R20" s="192">
        <f>IF('MAESTRO 1°'!B20="","",IFERROR('Planilla (Matemática 1°) '!I31,""))</f>
        <v/>
      </c>
      <c r="S20" s="192">
        <f>IF('MAESTRO 1°'!B20="","",IFERROR('Planilla (C.Sociales 1°) '!I31,""))</f>
        <v/>
      </c>
      <c r="T20" s="192">
        <f>IF('MAESTRO 1°'!B20="","",IFERROR('Planilla (C.Naturales 1°) '!I31,""))</f>
        <v/>
      </c>
      <c r="U20" s="192">
        <f>IF('MAESTRO 1°'!B20="","",IFERROR('Planilla (Religión 1°) '!I31,""))</f>
        <v/>
      </c>
      <c r="V20" s="192">
        <f>IF('MAESTRO 1°'!B20="","",IFERROR('Planilla (Artística 1°) '!I31,""))</f>
        <v/>
      </c>
      <c r="W20" s="192">
        <f>IF('MAESTRO 1°'!B20="","",IFERROR('Planilla (Tecnología 1°) '!I31,""))</f>
        <v/>
      </c>
      <c r="X20" s="192">
        <f>IF('MAESTRO 1°'!B20="","",IFERROR('Planilla (E.Física 1°) '!I31,""))</f>
        <v/>
      </c>
      <c r="Y20" s="192" t="n"/>
    </row>
    <row r="21" ht="16.05" customHeight="1" s="147">
      <c r="A21" s="86" t="n">
        <v>17</v>
      </c>
      <c r="B21" s="87">
        <f>IF('MAESTRO 1°'!B21="","",'MAESTRO 1°'!B21)</f>
        <v/>
      </c>
      <c r="C21" s="196">
        <f>IF('MAESTRO 1°'!B21="","",IFERROR('Planilla (Ingles 1°) '!F32,""))</f>
        <v/>
      </c>
      <c r="D21" s="196">
        <f>IF('MAESTRO 1°'!B21="","",IFERROR('Planilla (Español 1°) '!F32,""))</f>
        <v/>
      </c>
      <c r="E21" s="196">
        <f>IF('MAESTRO 1°'!B21="","",IFERROR('Planilla (Matemática 1°) '!F32,""))</f>
        <v/>
      </c>
      <c r="F21" s="196">
        <f>IF('MAESTRO 1°'!B21="","",IFERROR('Planilla (C.Sociales 1°) '!F32,""))</f>
        <v/>
      </c>
      <c r="G21" s="196">
        <f>IF('MAESTRO 1°'!B21="","",IFERROR('Planilla (C.Naturales 1°) '!F32,""))</f>
        <v/>
      </c>
      <c r="H21" s="196">
        <f>IF('MAESTRO 1°'!B21="","",IFERROR('Planilla (Religión 1°) '!F32,""))</f>
        <v/>
      </c>
      <c r="I21" s="196">
        <f>IF('MAESTRO 1°'!B21="","",IFERROR('Planilla (Artística 1°) '!F32,""))</f>
        <v/>
      </c>
      <c r="J21" s="196">
        <f>IF('MAESTRO 1°'!B21="","",IFERROR('Planilla (Tecnología 1°) '!F32,""))</f>
        <v/>
      </c>
      <c r="K21" s="196">
        <f>IF('MAESTRO 1°'!B21="","",IFERROR('Planilla (E.Física 1°) '!F32,""))</f>
        <v/>
      </c>
      <c r="L21" s="196" t="n"/>
      <c r="N21" s="86" t="n">
        <v>17</v>
      </c>
      <c r="O21" s="87">
        <f>IF('MAESTRO 1°'!B21="","",'MAESTRO 1°'!B21)</f>
        <v/>
      </c>
      <c r="P21" s="196">
        <f>IF('MAESTRO 1°'!B21="","",IFERROR('Planilla (Ingles 1°) '!I32,""))</f>
        <v/>
      </c>
      <c r="Q21" s="196">
        <f>IF('MAESTRO 1°'!B21="","",IFERROR('Planilla (Español 1°) '!I32,""))</f>
        <v/>
      </c>
      <c r="R21" s="196">
        <f>IF('MAESTRO 1°'!B21="","",IFERROR('Planilla (Matemática 1°) '!I32,""))</f>
        <v/>
      </c>
      <c r="S21" s="196">
        <f>IF('MAESTRO 1°'!B21="","",IFERROR('Planilla (C.Sociales 1°) '!I32,""))</f>
        <v/>
      </c>
      <c r="T21" s="196">
        <f>IF('MAESTRO 1°'!B21="","",IFERROR('Planilla (C.Naturales 1°) '!I32,""))</f>
        <v/>
      </c>
      <c r="U21" s="196">
        <f>IF('MAESTRO 1°'!B21="","",IFERROR('Planilla (Religión 1°) '!I32,""))</f>
        <v/>
      </c>
      <c r="V21" s="196">
        <f>IF('MAESTRO 1°'!B21="","",IFERROR('Planilla (Artística 1°) '!I32,""))</f>
        <v/>
      </c>
      <c r="W21" s="196">
        <f>IF('MAESTRO 1°'!B21="","",IFERROR('Planilla (Tecnología 1°) '!I32,""))</f>
        <v/>
      </c>
      <c r="X21" s="196">
        <f>IF('MAESTRO 1°'!B21="","",IFERROR('Planilla (E.Física 1°) '!I32,""))</f>
        <v/>
      </c>
      <c r="Y21" s="196" t="n"/>
    </row>
    <row r="22" ht="16.05" customHeight="1" s="147">
      <c r="A22" s="84" t="n">
        <v>18</v>
      </c>
      <c r="B22" s="85">
        <f>IF('MAESTRO 1°'!B22="","",'MAESTRO 1°'!B22)</f>
        <v/>
      </c>
      <c r="C22" s="192">
        <f>IF('MAESTRO 1°'!B22="","",IFERROR('Planilla (Ingles 1°) '!F33,""))</f>
        <v/>
      </c>
      <c r="D22" s="192">
        <f>IF('MAESTRO 1°'!B22="","",IFERROR('Planilla (Español 1°) '!F33,""))</f>
        <v/>
      </c>
      <c r="E22" s="192">
        <f>IF('MAESTRO 1°'!B22="","",IFERROR('Planilla (Matemática 1°) '!F33,""))</f>
        <v/>
      </c>
      <c r="F22" s="192">
        <f>IF('MAESTRO 1°'!B22="","",IFERROR('Planilla (C.Sociales 1°) '!F33,""))</f>
        <v/>
      </c>
      <c r="G22" s="192">
        <f>IF('MAESTRO 1°'!B22="","",IFERROR('Planilla (C.Naturales 1°) '!F33,""))</f>
        <v/>
      </c>
      <c r="H22" s="192">
        <f>IF('MAESTRO 1°'!B22="","",IFERROR('Planilla (Religión 1°) '!F33,""))</f>
        <v/>
      </c>
      <c r="I22" s="192">
        <f>IF('MAESTRO 1°'!B22="","",IFERROR('Planilla (Artística 1°) '!F33,""))</f>
        <v/>
      </c>
      <c r="J22" s="192">
        <f>IF('MAESTRO 1°'!B22="","",IFERROR('Planilla (Tecnología 1°) '!F33,""))</f>
        <v/>
      </c>
      <c r="K22" s="192">
        <f>IF('MAESTRO 1°'!B22="","",IFERROR('Planilla (E.Física 1°) '!F33,""))</f>
        <v/>
      </c>
      <c r="L22" s="192" t="n"/>
      <c r="N22" s="84" t="n">
        <v>18</v>
      </c>
      <c r="O22" s="85">
        <f>IF('MAESTRO 1°'!B22="","",'MAESTRO 1°'!B22)</f>
        <v/>
      </c>
      <c r="P22" s="192">
        <f>IF('MAESTRO 1°'!B22="","",IFERROR('Planilla (Ingles 1°) '!I33,""))</f>
        <v/>
      </c>
      <c r="Q22" s="192">
        <f>IF('MAESTRO 1°'!B22="","",IFERROR('Planilla (Español 1°) '!I33,""))</f>
        <v/>
      </c>
      <c r="R22" s="192">
        <f>IF('MAESTRO 1°'!B22="","",IFERROR('Planilla (Matemática 1°) '!I33,""))</f>
        <v/>
      </c>
      <c r="S22" s="192">
        <f>IF('MAESTRO 1°'!B22="","",IFERROR('Planilla (C.Sociales 1°) '!I33,""))</f>
        <v/>
      </c>
      <c r="T22" s="192">
        <f>IF('MAESTRO 1°'!B22="","",IFERROR('Planilla (C.Naturales 1°) '!I33,""))</f>
        <v/>
      </c>
      <c r="U22" s="192">
        <f>IF('MAESTRO 1°'!B22="","",IFERROR('Planilla (Religión 1°) '!I33,""))</f>
        <v/>
      </c>
      <c r="V22" s="192">
        <f>IF('MAESTRO 1°'!B22="","",IFERROR('Planilla (Artística 1°) '!I33,""))</f>
        <v/>
      </c>
      <c r="W22" s="192">
        <f>IF('MAESTRO 1°'!B22="","",IFERROR('Planilla (Tecnología 1°) '!I33,""))</f>
        <v/>
      </c>
      <c r="X22" s="192">
        <f>IF('MAESTRO 1°'!B22="","",IFERROR('Planilla (E.Física 1°) '!I33,""))</f>
        <v/>
      </c>
      <c r="Y22" s="192" t="n"/>
    </row>
    <row r="23" ht="16.05" customHeight="1" s="147">
      <c r="A23" s="86" t="n">
        <v>19</v>
      </c>
      <c r="B23" s="87">
        <f>IF('MAESTRO 1°'!B23="","",'MAESTRO 1°'!B23)</f>
        <v/>
      </c>
      <c r="C23" s="196">
        <f>IF('MAESTRO 1°'!B23="","",IFERROR('Planilla (Ingles 1°) '!F34,""))</f>
        <v/>
      </c>
      <c r="D23" s="196">
        <f>IF('MAESTRO 1°'!B23="","",IFERROR('Planilla (Español 1°) '!F34,""))</f>
        <v/>
      </c>
      <c r="E23" s="196">
        <f>IF('MAESTRO 1°'!B23="","",IFERROR('Planilla (Matemática 1°) '!F34,""))</f>
        <v/>
      </c>
      <c r="F23" s="196">
        <f>IF('MAESTRO 1°'!B23="","",IFERROR('Planilla (C.Sociales 1°) '!F34,""))</f>
        <v/>
      </c>
      <c r="G23" s="196">
        <f>IF('MAESTRO 1°'!B23="","",IFERROR('Planilla (C.Naturales 1°) '!F34,""))</f>
        <v/>
      </c>
      <c r="H23" s="196">
        <f>IF('MAESTRO 1°'!B23="","",IFERROR('Planilla (Religión 1°) '!F34,""))</f>
        <v/>
      </c>
      <c r="I23" s="196">
        <f>IF('MAESTRO 1°'!B23="","",IFERROR('Planilla (Artística 1°) '!F34,""))</f>
        <v/>
      </c>
      <c r="J23" s="196">
        <f>IF('MAESTRO 1°'!B23="","",IFERROR('Planilla (Tecnología 1°) '!F34,""))</f>
        <v/>
      </c>
      <c r="K23" s="196">
        <f>IF('MAESTRO 1°'!B23="","",IFERROR('Planilla (E.Física 1°) '!F34,""))</f>
        <v/>
      </c>
      <c r="L23" s="196" t="n"/>
      <c r="N23" s="86" t="n">
        <v>19</v>
      </c>
      <c r="O23" s="87">
        <f>IF('MAESTRO 1°'!B23="","",'MAESTRO 1°'!B23)</f>
        <v/>
      </c>
      <c r="P23" s="196">
        <f>IF('MAESTRO 1°'!B23="","",IFERROR('Planilla (Ingles 1°) '!I34,""))</f>
        <v/>
      </c>
      <c r="Q23" s="196">
        <f>IF('MAESTRO 1°'!B23="","",IFERROR('Planilla (Español 1°) '!I34,""))</f>
        <v/>
      </c>
      <c r="R23" s="196">
        <f>IF('MAESTRO 1°'!B23="","",IFERROR('Planilla (Matemática 1°) '!I34,""))</f>
        <v/>
      </c>
      <c r="S23" s="196">
        <f>IF('MAESTRO 1°'!B23="","",IFERROR('Planilla (C.Sociales 1°) '!I34,""))</f>
        <v/>
      </c>
      <c r="T23" s="196">
        <f>IF('MAESTRO 1°'!B23="","",IFERROR('Planilla (C.Naturales 1°) '!I34,""))</f>
        <v/>
      </c>
      <c r="U23" s="196">
        <f>IF('MAESTRO 1°'!B23="","",IFERROR('Planilla (Religión 1°) '!I34,""))</f>
        <v/>
      </c>
      <c r="V23" s="196">
        <f>IF('MAESTRO 1°'!B23="","",IFERROR('Planilla (Artística 1°) '!I34,""))</f>
        <v/>
      </c>
      <c r="W23" s="196">
        <f>IF('MAESTRO 1°'!B23="","",IFERROR('Planilla (Tecnología 1°) '!I34,""))</f>
        <v/>
      </c>
      <c r="X23" s="196">
        <f>IF('MAESTRO 1°'!B23="","",IFERROR('Planilla (E.Física 1°) '!I34,""))</f>
        <v/>
      </c>
      <c r="Y23" s="196" t="n"/>
    </row>
    <row r="24" ht="16.05" customHeight="1" s="147">
      <c r="A24" s="84" t="n">
        <v>20</v>
      </c>
      <c r="B24" s="85">
        <f>IF('MAESTRO 1°'!B24="","",'MAESTRO 1°'!B24)</f>
        <v/>
      </c>
      <c r="C24" s="192">
        <f>IF('MAESTRO 1°'!B24="","",IFERROR('Planilla (Ingles 1°) '!F35,""))</f>
        <v/>
      </c>
      <c r="D24" s="192">
        <f>IF('MAESTRO 1°'!B24="","",IFERROR('Planilla (Español 1°) '!F35,""))</f>
        <v/>
      </c>
      <c r="E24" s="192">
        <f>IF('MAESTRO 1°'!B24="","",IFERROR('Planilla (Matemática 1°) '!F35,""))</f>
        <v/>
      </c>
      <c r="F24" s="192">
        <f>IF('MAESTRO 1°'!B24="","",IFERROR('Planilla (C.Sociales 1°) '!F35,""))</f>
        <v/>
      </c>
      <c r="G24" s="192">
        <f>IF('MAESTRO 1°'!B24="","",IFERROR('Planilla (C.Naturales 1°) '!F35,""))</f>
        <v/>
      </c>
      <c r="H24" s="192">
        <f>IF('MAESTRO 1°'!B24="","",IFERROR('Planilla (Religión 1°) '!F35,""))</f>
        <v/>
      </c>
      <c r="I24" s="192">
        <f>IF('MAESTRO 1°'!B24="","",IFERROR('Planilla (Artística 1°) '!F35,""))</f>
        <v/>
      </c>
      <c r="J24" s="192">
        <f>IF('MAESTRO 1°'!B24="","",IFERROR('Planilla (Tecnología 1°) '!F35,""))</f>
        <v/>
      </c>
      <c r="K24" s="192">
        <f>IF('MAESTRO 1°'!B24="","",IFERROR('Planilla (E.Física 1°) '!F35,""))</f>
        <v/>
      </c>
      <c r="L24" s="192" t="n"/>
      <c r="N24" s="84" t="n">
        <v>20</v>
      </c>
      <c r="O24" s="85">
        <f>IF('MAESTRO 1°'!B24="","",'MAESTRO 1°'!B24)</f>
        <v/>
      </c>
      <c r="P24" s="192">
        <f>IF('MAESTRO 1°'!B24="","",IFERROR('Planilla (Ingles 1°) '!I35,""))</f>
        <v/>
      </c>
      <c r="Q24" s="192">
        <f>IF('MAESTRO 1°'!B24="","",IFERROR('Planilla (Español 1°) '!I35,""))</f>
        <v/>
      </c>
      <c r="R24" s="192">
        <f>IF('MAESTRO 1°'!B24="","",IFERROR('Planilla (Matemática 1°) '!I35,""))</f>
        <v/>
      </c>
      <c r="S24" s="192">
        <f>IF('MAESTRO 1°'!B24="","",IFERROR('Planilla (C.Sociales 1°) '!I35,""))</f>
        <v/>
      </c>
      <c r="T24" s="192">
        <f>IF('MAESTRO 1°'!B24="","",IFERROR('Planilla (C.Naturales 1°) '!I35,""))</f>
        <v/>
      </c>
      <c r="U24" s="192">
        <f>IF('MAESTRO 1°'!B24="","",IFERROR('Planilla (Religión 1°) '!I35,""))</f>
        <v/>
      </c>
      <c r="V24" s="192">
        <f>IF('MAESTRO 1°'!B24="","",IFERROR('Planilla (Artística 1°) '!I35,""))</f>
        <v/>
      </c>
      <c r="W24" s="192">
        <f>IF('MAESTRO 1°'!B24="","",IFERROR('Planilla (Tecnología 1°) '!I35,""))</f>
        <v/>
      </c>
      <c r="X24" s="192">
        <f>IF('MAESTRO 1°'!B24="","",IFERROR('Planilla (E.Física 1°) '!I35,""))</f>
        <v/>
      </c>
      <c r="Y24" s="192" t="n"/>
    </row>
    <row r="25" ht="16.05" customHeight="1" s="147">
      <c r="A25" s="86" t="n">
        <v>21</v>
      </c>
      <c r="B25" s="87">
        <f>IF('MAESTRO 1°'!B25="","",'MAESTRO 1°'!B25)</f>
        <v/>
      </c>
      <c r="C25" s="196">
        <f>IF('MAESTRO 1°'!B25="","",IFERROR('Planilla (Ingles 1°) '!F36,""))</f>
        <v/>
      </c>
      <c r="D25" s="196">
        <f>IF('MAESTRO 1°'!B25="","",IFERROR('Planilla (Español 1°) '!F36,""))</f>
        <v/>
      </c>
      <c r="E25" s="196">
        <f>IF('MAESTRO 1°'!B25="","",IFERROR('Planilla (Matemática 1°) '!F36,""))</f>
        <v/>
      </c>
      <c r="F25" s="196">
        <f>IF('MAESTRO 1°'!B25="","",IFERROR('Planilla (C.Sociales 1°) '!F36,""))</f>
        <v/>
      </c>
      <c r="G25" s="196">
        <f>IF('MAESTRO 1°'!B25="","",IFERROR('Planilla (C.Naturales 1°) '!F36,""))</f>
        <v/>
      </c>
      <c r="H25" s="196">
        <f>IF('MAESTRO 1°'!B25="","",IFERROR('Planilla (Religión 1°) '!F36,""))</f>
        <v/>
      </c>
      <c r="I25" s="196">
        <f>IF('MAESTRO 1°'!B25="","",IFERROR('Planilla (Artística 1°) '!F36,""))</f>
        <v/>
      </c>
      <c r="J25" s="196">
        <f>IF('MAESTRO 1°'!B25="","",IFERROR('Planilla (Tecnología 1°) '!F36,""))</f>
        <v/>
      </c>
      <c r="K25" s="196">
        <f>IF('MAESTRO 1°'!B25="","",IFERROR('Planilla (E.Física 1°) '!F36,""))</f>
        <v/>
      </c>
      <c r="L25" s="196" t="n"/>
      <c r="N25" s="86" t="n">
        <v>21</v>
      </c>
      <c r="O25" s="87">
        <f>IF('MAESTRO 1°'!B25="","",'MAESTRO 1°'!B25)</f>
        <v/>
      </c>
      <c r="P25" s="196">
        <f>IF('MAESTRO 1°'!B25="","",IFERROR('Planilla (Ingles 1°) '!I36,""))</f>
        <v/>
      </c>
      <c r="Q25" s="196">
        <f>IF('MAESTRO 1°'!B25="","",IFERROR('Planilla (Español 1°) '!I36,""))</f>
        <v/>
      </c>
      <c r="R25" s="196">
        <f>IF('MAESTRO 1°'!B25="","",IFERROR('Planilla (Matemática 1°) '!I36,""))</f>
        <v/>
      </c>
      <c r="S25" s="196">
        <f>IF('MAESTRO 1°'!B25="","",IFERROR('Planilla (C.Sociales 1°) '!I36,""))</f>
        <v/>
      </c>
      <c r="T25" s="196">
        <f>IF('MAESTRO 1°'!B25="","",IFERROR('Planilla (C.Naturales 1°) '!I36,""))</f>
        <v/>
      </c>
      <c r="U25" s="196">
        <f>IF('MAESTRO 1°'!B25="","",IFERROR('Planilla (Religión 1°) '!I36,""))</f>
        <v/>
      </c>
      <c r="V25" s="196">
        <f>IF('MAESTRO 1°'!B25="","",IFERROR('Planilla (Artística 1°) '!I36,""))</f>
        <v/>
      </c>
      <c r="W25" s="196">
        <f>IF('MAESTRO 1°'!B25="","",IFERROR('Planilla (Tecnología 1°) '!I36,""))</f>
        <v/>
      </c>
      <c r="X25" s="196">
        <f>IF('MAESTRO 1°'!B25="","",IFERROR('Planilla (E.Física 1°) '!I36,""))</f>
        <v/>
      </c>
      <c r="Y25" s="196" t="n"/>
    </row>
    <row r="26" ht="16.05" customHeight="1" s="147">
      <c r="A26" s="84" t="n">
        <v>22</v>
      </c>
      <c r="B26" s="85">
        <f>IF('MAESTRO 1°'!B26="","",'MAESTRO 1°'!B26)</f>
        <v/>
      </c>
      <c r="C26" s="192">
        <f>IF('MAESTRO 1°'!B26="","",IFERROR('Planilla (Ingles 1°) '!F37,""))</f>
        <v/>
      </c>
      <c r="D26" s="192">
        <f>IF('MAESTRO 1°'!B26="","",IFERROR('Planilla (Español 1°) '!F37,""))</f>
        <v/>
      </c>
      <c r="E26" s="192">
        <f>IF('MAESTRO 1°'!B26="","",IFERROR('Planilla (Matemática 1°) '!F37,""))</f>
        <v/>
      </c>
      <c r="F26" s="192">
        <f>IF('MAESTRO 1°'!B26="","",IFERROR('Planilla (C.Sociales 1°) '!F37,""))</f>
        <v/>
      </c>
      <c r="G26" s="192">
        <f>IF('MAESTRO 1°'!B26="","",IFERROR('Planilla (C.Naturales 1°) '!F37,""))</f>
        <v/>
      </c>
      <c r="H26" s="192">
        <f>IF('MAESTRO 1°'!B26="","",IFERROR('Planilla (Religión 1°) '!F37,""))</f>
        <v/>
      </c>
      <c r="I26" s="192">
        <f>IF('MAESTRO 1°'!B26="","",IFERROR('Planilla (Artística 1°) '!F37,""))</f>
        <v/>
      </c>
      <c r="J26" s="192">
        <f>IF('MAESTRO 1°'!B26="","",IFERROR('Planilla (Tecnología 1°) '!F37,""))</f>
        <v/>
      </c>
      <c r="K26" s="192">
        <f>IF('MAESTRO 1°'!B26="","",IFERROR('Planilla (E.Física 1°) '!F37,""))</f>
        <v/>
      </c>
      <c r="L26" s="192" t="n"/>
      <c r="N26" s="84" t="n">
        <v>22</v>
      </c>
      <c r="O26" s="85">
        <f>IF('MAESTRO 1°'!B26="","",'MAESTRO 1°'!B26)</f>
        <v/>
      </c>
      <c r="P26" s="192">
        <f>IF('MAESTRO 1°'!B26="","",IFERROR('Planilla (Ingles 1°) '!I37,""))</f>
        <v/>
      </c>
      <c r="Q26" s="192">
        <f>IF('MAESTRO 1°'!B26="","",IFERROR('Planilla (Español 1°) '!I37,""))</f>
        <v/>
      </c>
      <c r="R26" s="192">
        <f>IF('MAESTRO 1°'!B26="","",IFERROR('Planilla (Matemática 1°) '!I37,""))</f>
        <v/>
      </c>
      <c r="S26" s="192">
        <f>IF('MAESTRO 1°'!B26="","",IFERROR('Planilla (C.Sociales 1°) '!I37,""))</f>
        <v/>
      </c>
      <c r="T26" s="192">
        <f>IF('MAESTRO 1°'!B26="","",IFERROR('Planilla (C.Naturales 1°) '!I37,""))</f>
        <v/>
      </c>
      <c r="U26" s="192">
        <f>IF('MAESTRO 1°'!B26="","",IFERROR('Planilla (Religión 1°) '!I37,""))</f>
        <v/>
      </c>
      <c r="V26" s="192">
        <f>IF('MAESTRO 1°'!B26="","",IFERROR('Planilla (Artística 1°) '!I37,""))</f>
        <v/>
      </c>
      <c r="W26" s="192">
        <f>IF('MAESTRO 1°'!B26="","",IFERROR('Planilla (Tecnología 1°) '!I37,""))</f>
        <v/>
      </c>
      <c r="X26" s="192">
        <f>IF('MAESTRO 1°'!B26="","",IFERROR('Planilla (E.Física 1°) '!I37,""))</f>
        <v/>
      </c>
      <c r="Y26" s="192" t="n"/>
    </row>
    <row r="27" ht="16.05" customHeight="1" s="147">
      <c r="A27" s="86" t="n">
        <v>23</v>
      </c>
      <c r="B27" s="87">
        <f>IF('MAESTRO 1°'!B27="","",'MAESTRO 1°'!B27)</f>
        <v/>
      </c>
      <c r="C27" s="196">
        <f>IF('MAESTRO 1°'!B27="","",IFERROR('Planilla (Ingles 1°) '!F38,""))</f>
        <v/>
      </c>
      <c r="D27" s="196">
        <f>IF('MAESTRO 1°'!B27="","",IFERROR('Planilla (Español 1°) '!F38,""))</f>
        <v/>
      </c>
      <c r="E27" s="196">
        <f>IF('MAESTRO 1°'!B27="","",IFERROR('Planilla (Matemática 1°) '!F38,""))</f>
        <v/>
      </c>
      <c r="F27" s="196">
        <f>IF('MAESTRO 1°'!B27="","",IFERROR('Planilla (C.Sociales 1°) '!F38,""))</f>
        <v/>
      </c>
      <c r="G27" s="196">
        <f>IF('MAESTRO 1°'!B27="","",IFERROR('Planilla (C.Naturales 1°) '!F38,""))</f>
        <v/>
      </c>
      <c r="H27" s="196">
        <f>IF('MAESTRO 1°'!B27="","",IFERROR('Planilla (Religión 1°) '!F38,""))</f>
        <v/>
      </c>
      <c r="I27" s="196">
        <f>IF('MAESTRO 1°'!B27="","",IFERROR('Planilla (Artística 1°) '!F38,""))</f>
        <v/>
      </c>
      <c r="J27" s="196">
        <f>IF('MAESTRO 1°'!B27="","",IFERROR('Planilla (Tecnología 1°) '!F38,""))</f>
        <v/>
      </c>
      <c r="K27" s="196">
        <f>IF('MAESTRO 1°'!B27="","",IFERROR('Planilla (E.Física 1°) '!F38,""))</f>
        <v/>
      </c>
      <c r="L27" s="196" t="n"/>
      <c r="N27" s="86" t="n">
        <v>23</v>
      </c>
      <c r="O27" s="87">
        <f>IF('MAESTRO 1°'!B27="","",'MAESTRO 1°'!B27)</f>
        <v/>
      </c>
      <c r="P27" s="196">
        <f>IF('MAESTRO 1°'!B27="","",IFERROR('Planilla (Ingles 1°) '!I38,""))</f>
        <v/>
      </c>
      <c r="Q27" s="196">
        <f>IF('MAESTRO 1°'!B27="","",IFERROR('Planilla (Español 1°) '!I38,""))</f>
        <v/>
      </c>
      <c r="R27" s="196">
        <f>IF('MAESTRO 1°'!B27="","",IFERROR('Planilla (Matemática 1°) '!I38,""))</f>
        <v/>
      </c>
      <c r="S27" s="196">
        <f>IF('MAESTRO 1°'!B27="","",IFERROR('Planilla (C.Sociales 1°) '!I38,""))</f>
        <v/>
      </c>
      <c r="T27" s="196">
        <f>IF('MAESTRO 1°'!B27="","",IFERROR('Planilla (C.Naturales 1°) '!I38,""))</f>
        <v/>
      </c>
      <c r="U27" s="196">
        <f>IF('MAESTRO 1°'!B27="","",IFERROR('Planilla (Religión 1°) '!I38,""))</f>
        <v/>
      </c>
      <c r="V27" s="196">
        <f>IF('MAESTRO 1°'!B27="","",IFERROR('Planilla (Artística 1°) '!I38,""))</f>
        <v/>
      </c>
      <c r="W27" s="196">
        <f>IF('MAESTRO 1°'!B27="","",IFERROR('Planilla (Tecnología 1°) '!I38,""))</f>
        <v/>
      </c>
      <c r="X27" s="196">
        <f>IF('MAESTRO 1°'!B27="","",IFERROR('Planilla (E.Física 1°) '!I38,""))</f>
        <v/>
      </c>
      <c r="Y27" s="196" t="n"/>
    </row>
    <row r="28" ht="16.05" customHeight="1" s="147">
      <c r="A28" s="84" t="n">
        <v>24</v>
      </c>
      <c r="B28" s="85">
        <f>IF('MAESTRO 1°'!B28="","",'MAESTRO 1°'!B28)</f>
        <v/>
      </c>
      <c r="C28" s="192">
        <f>IF('MAESTRO 1°'!B28="","",IFERROR('Planilla (Ingles 1°) '!F39,""))</f>
        <v/>
      </c>
      <c r="D28" s="192">
        <f>IF('MAESTRO 1°'!B28="","",IFERROR('Planilla (Español 1°) '!F39,""))</f>
        <v/>
      </c>
      <c r="E28" s="192">
        <f>IF('MAESTRO 1°'!B28="","",IFERROR('Planilla (Matemática 1°) '!F39,""))</f>
        <v/>
      </c>
      <c r="F28" s="192">
        <f>IF('MAESTRO 1°'!B28="","",IFERROR('Planilla (C.Sociales 1°) '!F39,""))</f>
        <v/>
      </c>
      <c r="G28" s="192">
        <f>IF('MAESTRO 1°'!B28="","",IFERROR('Planilla (C.Naturales 1°) '!F39,""))</f>
        <v/>
      </c>
      <c r="H28" s="192">
        <f>IF('MAESTRO 1°'!B28="","",IFERROR('Planilla (Religión 1°) '!F39,""))</f>
        <v/>
      </c>
      <c r="I28" s="192">
        <f>IF('MAESTRO 1°'!B28="","",IFERROR('Planilla (Artística 1°) '!F39,""))</f>
        <v/>
      </c>
      <c r="J28" s="192">
        <f>IF('MAESTRO 1°'!B28="","",IFERROR('Planilla (Tecnología 1°) '!F39,""))</f>
        <v/>
      </c>
      <c r="K28" s="192">
        <f>IF('MAESTRO 1°'!B28="","",IFERROR('Planilla (E.Física 1°) '!F39,""))</f>
        <v/>
      </c>
      <c r="L28" s="192" t="n"/>
      <c r="N28" s="84" t="n">
        <v>24</v>
      </c>
      <c r="O28" s="85">
        <f>IF('MAESTRO 1°'!B28="","",'MAESTRO 1°'!B28)</f>
        <v/>
      </c>
      <c r="P28" s="192">
        <f>IF('MAESTRO 1°'!B28="","",IFERROR('Planilla (Ingles 1°) '!I39,""))</f>
        <v/>
      </c>
      <c r="Q28" s="192">
        <f>IF('MAESTRO 1°'!B28="","",IFERROR('Planilla (Español 1°) '!I39,""))</f>
        <v/>
      </c>
      <c r="R28" s="192">
        <f>IF('MAESTRO 1°'!B28="","",IFERROR('Planilla (Matemática 1°) '!I39,""))</f>
        <v/>
      </c>
      <c r="S28" s="192">
        <f>IF('MAESTRO 1°'!B28="","",IFERROR('Planilla (C.Sociales 1°) '!I39,""))</f>
        <v/>
      </c>
      <c r="T28" s="192">
        <f>IF('MAESTRO 1°'!B28="","",IFERROR('Planilla (C.Naturales 1°) '!I39,""))</f>
        <v/>
      </c>
      <c r="U28" s="192">
        <f>IF('MAESTRO 1°'!B28="","",IFERROR('Planilla (Religión 1°) '!I39,""))</f>
        <v/>
      </c>
      <c r="V28" s="192">
        <f>IF('MAESTRO 1°'!B28="","",IFERROR('Planilla (Artística 1°) '!I39,""))</f>
        <v/>
      </c>
      <c r="W28" s="192">
        <f>IF('MAESTRO 1°'!B28="","",IFERROR('Planilla (Tecnología 1°) '!I39,""))</f>
        <v/>
      </c>
      <c r="X28" s="192">
        <f>IF('MAESTRO 1°'!B28="","",IFERROR('Planilla (E.Física 1°) '!I39,""))</f>
        <v/>
      </c>
      <c r="Y28" s="192" t="n"/>
    </row>
    <row r="29" ht="16.05" customHeight="1" s="147">
      <c r="A29" s="86" t="n">
        <v>25</v>
      </c>
      <c r="B29" s="87">
        <f>IF('MAESTRO 1°'!B29="","",'MAESTRO 1°'!B29)</f>
        <v/>
      </c>
      <c r="C29" s="196">
        <f>IF('MAESTRO 1°'!B29="","",IFERROR('Planilla (Ingles 1°) '!F40,""))</f>
        <v/>
      </c>
      <c r="D29" s="196">
        <f>IF('MAESTRO 1°'!B29="","",IFERROR('Planilla (Español 1°) '!F40,""))</f>
        <v/>
      </c>
      <c r="E29" s="196">
        <f>IF('MAESTRO 1°'!B29="","",IFERROR('Planilla (Matemática 1°) '!F40,""))</f>
        <v/>
      </c>
      <c r="F29" s="196">
        <f>IF('MAESTRO 1°'!B29="","",IFERROR('Planilla (C.Sociales 1°) '!F40,""))</f>
        <v/>
      </c>
      <c r="G29" s="196">
        <f>IF('MAESTRO 1°'!B29="","",IFERROR('Planilla (C.Naturales 1°) '!F40,""))</f>
        <v/>
      </c>
      <c r="H29" s="196">
        <f>IF('MAESTRO 1°'!B29="","",IFERROR('Planilla (Religión 1°) '!F40,""))</f>
        <v/>
      </c>
      <c r="I29" s="196">
        <f>IF('MAESTRO 1°'!B29="","",IFERROR('Planilla (Artística 1°) '!F40,""))</f>
        <v/>
      </c>
      <c r="J29" s="196">
        <f>IF('MAESTRO 1°'!B29="","",IFERROR('Planilla (Tecnología 1°) '!F40,""))</f>
        <v/>
      </c>
      <c r="K29" s="196">
        <f>IF('MAESTRO 1°'!B29="","",IFERROR('Planilla (E.Física 1°) '!F40,""))</f>
        <v/>
      </c>
      <c r="L29" s="196" t="n"/>
      <c r="N29" s="86" t="n">
        <v>25</v>
      </c>
      <c r="O29" s="87">
        <f>IF('MAESTRO 1°'!B29="","",'MAESTRO 1°'!B29)</f>
        <v/>
      </c>
      <c r="P29" s="196">
        <f>IF('MAESTRO 1°'!B29="","",IFERROR('Planilla (Ingles 1°) '!I40,""))</f>
        <v/>
      </c>
      <c r="Q29" s="196">
        <f>IF('MAESTRO 1°'!B29="","",IFERROR('Planilla (Español 1°) '!I40,""))</f>
        <v/>
      </c>
      <c r="R29" s="196">
        <f>IF('MAESTRO 1°'!B29="","",IFERROR('Planilla (Matemática 1°) '!I40,""))</f>
        <v/>
      </c>
      <c r="S29" s="196">
        <f>IF('MAESTRO 1°'!B29="","",IFERROR('Planilla (C.Sociales 1°) '!I40,""))</f>
        <v/>
      </c>
      <c r="T29" s="196">
        <f>IF('MAESTRO 1°'!B29="","",IFERROR('Planilla (C.Naturales 1°) '!I40,""))</f>
        <v/>
      </c>
      <c r="U29" s="196">
        <f>IF('MAESTRO 1°'!B29="","",IFERROR('Planilla (Religión 1°) '!I40,""))</f>
        <v/>
      </c>
      <c r="V29" s="196">
        <f>IF('MAESTRO 1°'!B29="","",IFERROR('Planilla (Artística 1°) '!I40,""))</f>
        <v/>
      </c>
      <c r="W29" s="196">
        <f>IF('MAESTRO 1°'!B29="","",IFERROR('Planilla (Tecnología 1°) '!I40,""))</f>
        <v/>
      </c>
      <c r="X29" s="196">
        <f>IF('MAESTRO 1°'!B29="","",IFERROR('Planilla (E.Física 1°) '!I40,""))</f>
        <v/>
      </c>
      <c r="Y29" s="196" t="n"/>
    </row>
    <row r="30" ht="16.05" customHeight="1" s="147">
      <c r="A30" s="84" t="n">
        <v>26</v>
      </c>
      <c r="B30" s="85">
        <f>IF('MAESTRO 1°'!B30="","",'MAESTRO 1°'!B30)</f>
        <v/>
      </c>
      <c r="C30" s="192">
        <f>IF('MAESTRO 1°'!B30="","",IFERROR('Planilla (Ingles 1°) '!F41,""))</f>
        <v/>
      </c>
      <c r="D30" s="192">
        <f>IF('MAESTRO 1°'!B30="","",IFERROR('Planilla (Español 1°) '!F41,""))</f>
        <v/>
      </c>
      <c r="E30" s="192">
        <f>IF('MAESTRO 1°'!B30="","",IFERROR('Planilla (Matemática 1°) '!F41,""))</f>
        <v/>
      </c>
      <c r="F30" s="192">
        <f>IF('MAESTRO 1°'!B30="","",IFERROR('Planilla (C.Sociales 1°) '!F41,""))</f>
        <v/>
      </c>
      <c r="G30" s="192">
        <f>IF('MAESTRO 1°'!B30="","",IFERROR('Planilla (C.Naturales 1°) '!F41,""))</f>
        <v/>
      </c>
      <c r="H30" s="192">
        <f>IF('MAESTRO 1°'!B30="","",IFERROR('Planilla (Religión 1°) '!F41,""))</f>
        <v/>
      </c>
      <c r="I30" s="192">
        <f>IF('MAESTRO 1°'!B30="","",IFERROR('Planilla (Artística 1°) '!F41,""))</f>
        <v/>
      </c>
      <c r="J30" s="192">
        <f>IF('MAESTRO 1°'!B30="","",IFERROR('Planilla (Tecnología 1°) '!F41,""))</f>
        <v/>
      </c>
      <c r="K30" s="192">
        <f>IF('MAESTRO 1°'!B30="","",IFERROR('Planilla (E.Física 1°) '!F41,""))</f>
        <v/>
      </c>
      <c r="L30" s="192" t="n"/>
      <c r="N30" s="84" t="n">
        <v>26</v>
      </c>
      <c r="O30" s="85">
        <f>IF('MAESTRO 1°'!B30="","",'MAESTRO 1°'!B30)</f>
        <v/>
      </c>
      <c r="P30" s="192">
        <f>IF('MAESTRO 1°'!B30="","",IFERROR('Planilla (Ingles 1°) '!I41,""))</f>
        <v/>
      </c>
      <c r="Q30" s="192">
        <f>IF('MAESTRO 1°'!B30="","",IFERROR('Planilla (Español 1°) '!I41,""))</f>
        <v/>
      </c>
      <c r="R30" s="192">
        <f>IF('MAESTRO 1°'!B30="","",IFERROR('Planilla (Matemática 1°) '!I41,""))</f>
        <v/>
      </c>
      <c r="S30" s="192">
        <f>IF('MAESTRO 1°'!B30="","",IFERROR('Planilla (C.Sociales 1°) '!I41,""))</f>
        <v/>
      </c>
      <c r="T30" s="192">
        <f>IF('MAESTRO 1°'!B30="","",IFERROR('Planilla (C.Naturales 1°) '!I41,""))</f>
        <v/>
      </c>
      <c r="U30" s="192">
        <f>IF('MAESTRO 1°'!B30="","",IFERROR('Planilla (Religión 1°) '!I41,""))</f>
        <v/>
      </c>
      <c r="V30" s="192">
        <f>IF('MAESTRO 1°'!B30="","",IFERROR('Planilla (Artística 1°) '!I41,""))</f>
        <v/>
      </c>
      <c r="W30" s="192">
        <f>IF('MAESTRO 1°'!B30="","",IFERROR('Planilla (Tecnología 1°) '!I41,""))</f>
        <v/>
      </c>
      <c r="X30" s="192">
        <f>IF('MAESTRO 1°'!B30="","",IFERROR('Planilla (E.Física 1°) '!I41,""))</f>
        <v/>
      </c>
      <c r="Y30" s="192" t="n"/>
    </row>
    <row r="31" ht="16.05" customHeight="1" s="147">
      <c r="A31" s="86" t="n">
        <v>27</v>
      </c>
      <c r="B31" s="87">
        <f>IF('MAESTRO 1°'!B31="","",'MAESTRO 1°'!B31)</f>
        <v/>
      </c>
      <c r="C31" s="196">
        <f>IF('MAESTRO 1°'!B31="","",IFERROR('Planilla (Ingles 1°) '!F42,""))</f>
        <v/>
      </c>
      <c r="D31" s="196">
        <f>IF('MAESTRO 1°'!B31="","",IFERROR('Planilla (Español 1°) '!F42,""))</f>
        <v/>
      </c>
      <c r="E31" s="196">
        <f>IF('MAESTRO 1°'!B31="","",IFERROR('Planilla (Matemática 1°) '!F42,""))</f>
        <v/>
      </c>
      <c r="F31" s="196">
        <f>IF('MAESTRO 1°'!B31="","",IFERROR('Planilla (C.Sociales 1°) '!F42,""))</f>
        <v/>
      </c>
      <c r="G31" s="196">
        <f>IF('MAESTRO 1°'!B31="","",IFERROR('Planilla (C.Naturales 1°) '!F42,""))</f>
        <v/>
      </c>
      <c r="H31" s="196">
        <f>IF('MAESTRO 1°'!B31="","",IFERROR('Planilla (Religión 1°) '!F42,""))</f>
        <v/>
      </c>
      <c r="I31" s="196">
        <f>IF('MAESTRO 1°'!B31="","",IFERROR('Planilla (Artística 1°) '!F42,""))</f>
        <v/>
      </c>
      <c r="J31" s="196">
        <f>IF('MAESTRO 1°'!B31="","",IFERROR('Planilla (Tecnología 1°) '!F42,""))</f>
        <v/>
      </c>
      <c r="K31" s="196">
        <f>IF('MAESTRO 1°'!B31="","",IFERROR('Planilla (E.Física 1°) '!F42,""))</f>
        <v/>
      </c>
      <c r="L31" s="196" t="n"/>
      <c r="N31" s="86" t="n">
        <v>27</v>
      </c>
      <c r="O31" s="87">
        <f>IF('MAESTRO 1°'!B31="","",'MAESTRO 1°'!B31)</f>
        <v/>
      </c>
      <c r="P31" s="196">
        <f>IF('MAESTRO 1°'!B31="","",IFERROR('Planilla (Ingles 1°) '!I42,""))</f>
        <v/>
      </c>
      <c r="Q31" s="196">
        <f>IF('MAESTRO 1°'!B31="","",IFERROR('Planilla (Español 1°) '!I42,""))</f>
        <v/>
      </c>
      <c r="R31" s="196">
        <f>IF('MAESTRO 1°'!B31="","",IFERROR('Planilla (Matemática 1°) '!I42,""))</f>
        <v/>
      </c>
      <c r="S31" s="196">
        <f>IF('MAESTRO 1°'!B31="","",IFERROR('Planilla (C.Sociales 1°) '!I42,""))</f>
        <v/>
      </c>
      <c r="T31" s="196">
        <f>IF('MAESTRO 1°'!B31="","",IFERROR('Planilla (C.Naturales 1°) '!I42,""))</f>
        <v/>
      </c>
      <c r="U31" s="196">
        <f>IF('MAESTRO 1°'!B31="","",IFERROR('Planilla (Religión 1°) '!I42,""))</f>
        <v/>
      </c>
      <c r="V31" s="196">
        <f>IF('MAESTRO 1°'!B31="","",IFERROR('Planilla (Artística 1°) '!I42,""))</f>
        <v/>
      </c>
      <c r="W31" s="196">
        <f>IF('MAESTRO 1°'!B31="","",IFERROR('Planilla (Tecnología 1°) '!I42,""))</f>
        <v/>
      </c>
      <c r="X31" s="196">
        <f>IF('MAESTRO 1°'!B31="","",IFERROR('Planilla (E.Física 1°) '!I42,""))</f>
        <v/>
      </c>
      <c r="Y31" s="196" t="n"/>
    </row>
    <row r="32" ht="16.05" customHeight="1" s="147">
      <c r="A32" s="84" t="n">
        <v>28</v>
      </c>
      <c r="B32" s="85">
        <f>IF('MAESTRO 1°'!B32="","",'MAESTRO 1°'!B32)</f>
        <v/>
      </c>
      <c r="C32" s="192">
        <f>IF('MAESTRO 1°'!B32="","",IFERROR('Planilla (Ingles 1°) '!F43,""))</f>
        <v/>
      </c>
      <c r="D32" s="192">
        <f>IF('MAESTRO 1°'!B32="","",IFERROR('Planilla (Español 1°) '!F43,""))</f>
        <v/>
      </c>
      <c r="E32" s="192">
        <f>IF('MAESTRO 1°'!B32="","",IFERROR('Planilla (Matemática 1°) '!F43,""))</f>
        <v/>
      </c>
      <c r="F32" s="192">
        <f>IF('MAESTRO 1°'!B32="","",IFERROR('Planilla (C.Sociales 1°) '!F43,""))</f>
        <v/>
      </c>
      <c r="G32" s="192">
        <f>IF('MAESTRO 1°'!B32="","",IFERROR('Planilla (C.Naturales 1°) '!F43,""))</f>
        <v/>
      </c>
      <c r="H32" s="192">
        <f>IF('MAESTRO 1°'!B32="","",IFERROR('Planilla (Religión 1°) '!F43,""))</f>
        <v/>
      </c>
      <c r="I32" s="192">
        <f>IF('MAESTRO 1°'!B32="","",IFERROR('Planilla (Artística 1°) '!F43,""))</f>
        <v/>
      </c>
      <c r="J32" s="192">
        <f>IF('MAESTRO 1°'!B32="","",IFERROR('Planilla (Tecnología 1°) '!F43,""))</f>
        <v/>
      </c>
      <c r="K32" s="192">
        <f>IF('MAESTRO 1°'!B32="","",IFERROR('Planilla (E.Física 1°) '!F43,""))</f>
        <v/>
      </c>
      <c r="L32" s="192" t="n"/>
      <c r="N32" s="84" t="n">
        <v>28</v>
      </c>
      <c r="O32" s="85">
        <f>IF('MAESTRO 1°'!B32="","",'MAESTRO 1°'!B32)</f>
        <v/>
      </c>
      <c r="P32" s="192">
        <f>IF('MAESTRO 1°'!B32="","",IFERROR('Planilla (Ingles 1°) '!I43,""))</f>
        <v/>
      </c>
      <c r="Q32" s="192">
        <f>IF('MAESTRO 1°'!B32="","",IFERROR('Planilla (Español 1°) '!I43,""))</f>
        <v/>
      </c>
      <c r="R32" s="192">
        <f>IF('MAESTRO 1°'!B32="","",IFERROR('Planilla (Matemática 1°) '!I43,""))</f>
        <v/>
      </c>
      <c r="S32" s="192">
        <f>IF('MAESTRO 1°'!B32="","",IFERROR('Planilla (C.Sociales 1°) '!I43,""))</f>
        <v/>
      </c>
      <c r="T32" s="192">
        <f>IF('MAESTRO 1°'!B32="","",IFERROR('Planilla (C.Naturales 1°) '!I43,""))</f>
        <v/>
      </c>
      <c r="U32" s="192">
        <f>IF('MAESTRO 1°'!B32="","",IFERROR('Planilla (Religión 1°) '!I43,""))</f>
        <v/>
      </c>
      <c r="V32" s="192">
        <f>IF('MAESTRO 1°'!B32="","",IFERROR('Planilla (Artística 1°) '!I43,""))</f>
        <v/>
      </c>
      <c r="W32" s="192">
        <f>IF('MAESTRO 1°'!B32="","",IFERROR('Planilla (Tecnología 1°) '!I43,""))</f>
        <v/>
      </c>
      <c r="X32" s="192">
        <f>IF('MAESTRO 1°'!B32="","",IFERROR('Planilla (E.Física 1°) '!I43,""))</f>
        <v/>
      </c>
      <c r="Y32" s="192" t="n"/>
    </row>
    <row r="33" ht="16.05" customHeight="1" s="147">
      <c r="A33" s="86" t="n">
        <v>29</v>
      </c>
      <c r="B33" s="87">
        <f>IF('MAESTRO 1°'!B33="","",'MAESTRO 1°'!B33)</f>
        <v/>
      </c>
      <c r="C33" s="196">
        <f>IF('MAESTRO 1°'!B33="","",IFERROR('Planilla (Ingles 1°) '!F44,""))</f>
        <v/>
      </c>
      <c r="D33" s="196">
        <f>IF('MAESTRO 1°'!B33="","",IFERROR('Planilla (Español 1°) '!F44,""))</f>
        <v/>
      </c>
      <c r="E33" s="196">
        <f>IF('MAESTRO 1°'!B33="","",IFERROR('Planilla (Matemática 1°) '!F44,""))</f>
        <v/>
      </c>
      <c r="F33" s="196">
        <f>IF('MAESTRO 1°'!B33="","",IFERROR('Planilla (C.Sociales 1°) '!F44,""))</f>
        <v/>
      </c>
      <c r="G33" s="196">
        <f>IF('MAESTRO 1°'!B33="","",IFERROR('Planilla (C.Naturales 1°) '!F44,""))</f>
        <v/>
      </c>
      <c r="H33" s="196">
        <f>IF('MAESTRO 1°'!B33="","",IFERROR('Planilla (Religión 1°) '!F44,""))</f>
        <v/>
      </c>
      <c r="I33" s="196">
        <f>IF('MAESTRO 1°'!B33="","",IFERROR('Planilla (Artística 1°) '!F44,""))</f>
        <v/>
      </c>
      <c r="J33" s="196">
        <f>IF('MAESTRO 1°'!B33="","",IFERROR('Planilla (Tecnología 1°) '!F44,""))</f>
        <v/>
      </c>
      <c r="K33" s="196">
        <f>IF('MAESTRO 1°'!B33="","",IFERROR('Planilla (E.Física 1°) '!F44,""))</f>
        <v/>
      </c>
      <c r="L33" s="196" t="n"/>
      <c r="N33" s="86" t="n">
        <v>29</v>
      </c>
      <c r="O33" s="87">
        <f>IF('MAESTRO 1°'!B33="","",'MAESTRO 1°'!B33)</f>
        <v/>
      </c>
      <c r="P33" s="196">
        <f>IF('MAESTRO 1°'!B33="","",IFERROR('Planilla (Ingles 1°) '!I44,""))</f>
        <v/>
      </c>
      <c r="Q33" s="196">
        <f>IF('MAESTRO 1°'!B33="","",IFERROR('Planilla (Español 1°) '!I44,""))</f>
        <v/>
      </c>
      <c r="R33" s="196">
        <f>IF('MAESTRO 1°'!B33="","",IFERROR('Planilla (Matemática 1°) '!I44,""))</f>
        <v/>
      </c>
      <c r="S33" s="196">
        <f>IF('MAESTRO 1°'!B33="","",IFERROR('Planilla (C.Sociales 1°) '!I44,""))</f>
        <v/>
      </c>
      <c r="T33" s="196">
        <f>IF('MAESTRO 1°'!B33="","",IFERROR('Planilla (C.Naturales 1°) '!I44,""))</f>
        <v/>
      </c>
      <c r="U33" s="196">
        <f>IF('MAESTRO 1°'!B33="","",IFERROR('Planilla (Religión 1°) '!I44,""))</f>
        <v/>
      </c>
      <c r="V33" s="196">
        <f>IF('MAESTRO 1°'!B33="","",IFERROR('Planilla (Artística 1°) '!I44,""))</f>
        <v/>
      </c>
      <c r="W33" s="196">
        <f>IF('MAESTRO 1°'!B33="","",IFERROR('Planilla (Tecnología 1°) '!I44,""))</f>
        <v/>
      </c>
      <c r="X33" s="196">
        <f>IF('MAESTRO 1°'!B33="","",IFERROR('Planilla (E.Física 1°) '!I44,""))</f>
        <v/>
      </c>
      <c r="Y33" s="196" t="n"/>
    </row>
    <row r="34" ht="16.05" customHeight="1" s="147">
      <c r="A34" s="84" t="n">
        <v>30</v>
      </c>
      <c r="B34" s="85">
        <f>IF('MAESTRO 1°'!B34="","",'MAESTRO 1°'!B34)</f>
        <v/>
      </c>
      <c r="C34" s="192">
        <f>IF('MAESTRO 1°'!B34="","",IFERROR('Planilla (Ingles 1°) '!F45,""))</f>
        <v/>
      </c>
      <c r="D34" s="192">
        <f>IF('MAESTRO 1°'!B34="","",IFERROR('Planilla (Español 1°) '!F45,""))</f>
        <v/>
      </c>
      <c r="E34" s="192">
        <f>IF('MAESTRO 1°'!B34="","",IFERROR('Planilla (Matemática 1°) '!F45,""))</f>
        <v/>
      </c>
      <c r="F34" s="192">
        <f>IF('MAESTRO 1°'!B34="","",IFERROR('Planilla (C.Sociales 1°) '!F45,""))</f>
        <v/>
      </c>
      <c r="G34" s="192">
        <f>IF('MAESTRO 1°'!B34="","",IFERROR('Planilla (C.Naturales 1°) '!F45,""))</f>
        <v/>
      </c>
      <c r="H34" s="192">
        <f>IF('MAESTRO 1°'!B34="","",IFERROR('Planilla (Religión 1°) '!F45,""))</f>
        <v/>
      </c>
      <c r="I34" s="192">
        <f>IF('MAESTRO 1°'!B34="","",IFERROR('Planilla (Artística 1°) '!F45,""))</f>
        <v/>
      </c>
      <c r="J34" s="192">
        <f>IF('MAESTRO 1°'!B34="","",IFERROR('Planilla (Tecnología 1°) '!F45,""))</f>
        <v/>
      </c>
      <c r="K34" s="192">
        <f>IF('MAESTRO 1°'!B34="","",IFERROR('Planilla (E.Física 1°) '!F45,""))</f>
        <v/>
      </c>
      <c r="L34" s="192" t="n"/>
      <c r="N34" s="84" t="n">
        <v>30</v>
      </c>
      <c r="O34" s="85">
        <f>IF('MAESTRO 1°'!B34="","",'MAESTRO 1°'!B34)</f>
        <v/>
      </c>
      <c r="P34" s="192">
        <f>IF('MAESTRO 1°'!B34="","",IFERROR('Planilla (Ingles 1°) '!I45,""))</f>
        <v/>
      </c>
      <c r="Q34" s="192">
        <f>IF('MAESTRO 1°'!B34="","",IFERROR('Planilla (Español 1°) '!I45,""))</f>
        <v/>
      </c>
      <c r="R34" s="192">
        <f>IF('MAESTRO 1°'!B34="","",IFERROR('Planilla (Matemática 1°) '!I45,""))</f>
        <v/>
      </c>
      <c r="S34" s="192">
        <f>IF('MAESTRO 1°'!B34="","",IFERROR('Planilla (C.Sociales 1°) '!I45,""))</f>
        <v/>
      </c>
      <c r="T34" s="192">
        <f>IF('MAESTRO 1°'!B34="","",IFERROR('Planilla (C.Naturales 1°) '!I45,""))</f>
        <v/>
      </c>
      <c r="U34" s="192">
        <f>IF('MAESTRO 1°'!B34="","",IFERROR('Planilla (Religión 1°) '!I45,""))</f>
        <v/>
      </c>
      <c r="V34" s="192">
        <f>IF('MAESTRO 1°'!B34="","",IFERROR('Planilla (Artística 1°) '!I45,""))</f>
        <v/>
      </c>
      <c r="W34" s="192">
        <f>IF('MAESTRO 1°'!B34="","",IFERROR('Planilla (Tecnología 1°) '!I45,""))</f>
        <v/>
      </c>
      <c r="X34" s="192">
        <f>IF('MAESTRO 1°'!B34="","",IFERROR('Planilla (E.Física 1°) '!I45,""))</f>
        <v/>
      </c>
      <c r="Y34" s="192" t="n"/>
    </row>
    <row r="35" ht="16.05" customHeight="1" s="147">
      <c r="A35" s="86" t="n">
        <v>31</v>
      </c>
      <c r="B35" s="87">
        <f>IF('MAESTRO 1°'!B35="","",'MAESTRO 1°'!B35)</f>
        <v/>
      </c>
      <c r="C35" s="196">
        <f>IF('MAESTRO 1°'!B35="","",IFERROR('Planilla (Ingles 1°) '!F46,""))</f>
        <v/>
      </c>
      <c r="D35" s="196">
        <f>IF('MAESTRO 1°'!B35="","",IFERROR('Planilla (Español 1°) '!F46,""))</f>
        <v/>
      </c>
      <c r="E35" s="196">
        <f>IF('MAESTRO 1°'!B35="","",IFERROR('Planilla (Matemática 1°) '!F46,""))</f>
        <v/>
      </c>
      <c r="F35" s="196">
        <f>IF('MAESTRO 1°'!B35="","",IFERROR('Planilla (C.Sociales 1°) '!F46,""))</f>
        <v/>
      </c>
      <c r="G35" s="196">
        <f>IF('MAESTRO 1°'!B35="","",IFERROR('Planilla (C.Naturales 1°) '!F46,""))</f>
        <v/>
      </c>
      <c r="H35" s="196">
        <f>IF('MAESTRO 1°'!B35="","",IFERROR('Planilla (Religión 1°) '!F46,""))</f>
        <v/>
      </c>
      <c r="I35" s="196">
        <f>IF('MAESTRO 1°'!B35="","",IFERROR('Planilla (Artística 1°) '!F46,""))</f>
        <v/>
      </c>
      <c r="J35" s="196">
        <f>IF('MAESTRO 1°'!B35="","",IFERROR('Planilla (Tecnología 1°) '!F46,""))</f>
        <v/>
      </c>
      <c r="K35" s="196">
        <f>IF('MAESTRO 1°'!B35="","",IFERROR('Planilla (E.Física 1°) '!F46,""))</f>
        <v/>
      </c>
      <c r="L35" s="196" t="n"/>
      <c r="N35" s="86" t="n">
        <v>31</v>
      </c>
      <c r="O35" s="87">
        <f>IF('MAESTRO 1°'!B35="","",'MAESTRO 1°'!B35)</f>
        <v/>
      </c>
      <c r="P35" s="196">
        <f>IF('MAESTRO 1°'!B35="","",IFERROR('Planilla (Ingles 1°) '!I46,""))</f>
        <v/>
      </c>
      <c r="Q35" s="196">
        <f>IF('MAESTRO 1°'!B35="","",IFERROR('Planilla (Español 1°) '!I46,""))</f>
        <v/>
      </c>
      <c r="R35" s="196">
        <f>IF('MAESTRO 1°'!B35="","",IFERROR('Planilla (Matemática 1°) '!I46,""))</f>
        <v/>
      </c>
      <c r="S35" s="196">
        <f>IF('MAESTRO 1°'!B35="","",IFERROR('Planilla (C.Sociales 1°) '!I46,""))</f>
        <v/>
      </c>
      <c r="T35" s="196">
        <f>IF('MAESTRO 1°'!B35="","",IFERROR('Planilla (C.Naturales 1°) '!I46,""))</f>
        <v/>
      </c>
      <c r="U35" s="196">
        <f>IF('MAESTRO 1°'!B35="","",IFERROR('Planilla (Religión 1°) '!I46,""))</f>
        <v/>
      </c>
      <c r="V35" s="196">
        <f>IF('MAESTRO 1°'!B35="","",IFERROR('Planilla (Artística 1°) '!I46,""))</f>
        <v/>
      </c>
      <c r="W35" s="196">
        <f>IF('MAESTRO 1°'!B35="","",IFERROR('Planilla (Tecnología 1°) '!I46,""))</f>
        <v/>
      </c>
      <c r="X35" s="196">
        <f>IF('MAESTRO 1°'!B35="","",IFERROR('Planilla (E.Física 1°) '!I46,""))</f>
        <v/>
      </c>
      <c r="Y35" s="196" t="n"/>
    </row>
    <row r="36" ht="16.05" customHeight="1" s="147">
      <c r="A36" s="84" t="n">
        <v>32</v>
      </c>
      <c r="B36" s="85">
        <f>IF('MAESTRO 1°'!B36="","",'MAESTRO 1°'!B36)</f>
        <v/>
      </c>
      <c r="C36" s="192">
        <f>IF('MAESTRO 1°'!B36="","",IFERROR('Planilla (Ingles 1°) '!F47,""))</f>
        <v/>
      </c>
      <c r="D36" s="192">
        <f>IF('MAESTRO 1°'!B36="","",IFERROR('Planilla (Español 1°) '!F47,""))</f>
        <v/>
      </c>
      <c r="E36" s="192">
        <f>IF('MAESTRO 1°'!B36="","",IFERROR('Planilla (Matemática 1°) '!F47,""))</f>
        <v/>
      </c>
      <c r="F36" s="192">
        <f>IF('MAESTRO 1°'!B36="","",IFERROR('Planilla (C.Sociales 1°) '!F47,""))</f>
        <v/>
      </c>
      <c r="G36" s="192">
        <f>IF('MAESTRO 1°'!B36="","",IFERROR('Planilla (C.Naturales 1°) '!F47,""))</f>
        <v/>
      </c>
      <c r="H36" s="192">
        <f>IF('MAESTRO 1°'!B36="","",IFERROR('Planilla (Religión 1°) '!F47,""))</f>
        <v/>
      </c>
      <c r="I36" s="192">
        <f>IF('MAESTRO 1°'!B36="","",IFERROR('Planilla (Artística 1°) '!F47,""))</f>
        <v/>
      </c>
      <c r="J36" s="192">
        <f>IF('MAESTRO 1°'!B36="","",IFERROR('Planilla (Tecnología 1°) '!F47,""))</f>
        <v/>
      </c>
      <c r="K36" s="192">
        <f>IF('MAESTRO 1°'!B36="","",IFERROR('Planilla (E.Física 1°) '!F47,""))</f>
        <v/>
      </c>
      <c r="L36" s="192" t="n"/>
      <c r="N36" s="84" t="n">
        <v>32</v>
      </c>
      <c r="O36" s="85">
        <f>IF('MAESTRO 1°'!B36="","",'MAESTRO 1°'!B36)</f>
        <v/>
      </c>
      <c r="P36" s="192">
        <f>IF('MAESTRO 1°'!B36="","",IFERROR('Planilla (Ingles 1°) '!I47,""))</f>
        <v/>
      </c>
      <c r="Q36" s="192">
        <f>IF('MAESTRO 1°'!B36="","",IFERROR('Planilla (Español 1°) '!I47,""))</f>
        <v/>
      </c>
      <c r="R36" s="192">
        <f>IF('MAESTRO 1°'!B36="","",IFERROR('Planilla (Matemática 1°) '!I47,""))</f>
        <v/>
      </c>
      <c r="S36" s="192">
        <f>IF('MAESTRO 1°'!B36="","",IFERROR('Planilla (C.Sociales 1°) '!I47,""))</f>
        <v/>
      </c>
      <c r="T36" s="192">
        <f>IF('MAESTRO 1°'!B36="","",IFERROR('Planilla (C.Naturales 1°) '!I47,""))</f>
        <v/>
      </c>
      <c r="U36" s="192">
        <f>IF('MAESTRO 1°'!B36="","",IFERROR('Planilla (Religión 1°) '!I47,""))</f>
        <v/>
      </c>
      <c r="V36" s="192">
        <f>IF('MAESTRO 1°'!B36="","",IFERROR('Planilla (Artística 1°) '!I47,""))</f>
        <v/>
      </c>
      <c r="W36" s="192">
        <f>IF('MAESTRO 1°'!B36="","",IFERROR('Planilla (Tecnología 1°) '!I47,""))</f>
        <v/>
      </c>
      <c r="X36" s="192">
        <f>IF('MAESTRO 1°'!B36="","",IFERROR('Planilla (E.Física 1°) '!I47,""))</f>
        <v/>
      </c>
      <c r="Y36" s="192" t="n"/>
    </row>
    <row r="37" ht="16.05" customHeight="1" s="147">
      <c r="A37" s="86" t="n">
        <v>33</v>
      </c>
      <c r="B37" s="87">
        <f>IF('MAESTRO 1°'!B37="","",'MAESTRO 1°'!B37)</f>
        <v/>
      </c>
      <c r="C37" s="196">
        <f>IF('MAESTRO 1°'!B37="","",IFERROR('Planilla (Ingles 1°) '!F48,""))</f>
        <v/>
      </c>
      <c r="D37" s="196">
        <f>IF('MAESTRO 1°'!B37="","",IFERROR('Planilla (Español 1°) '!F48,""))</f>
        <v/>
      </c>
      <c r="E37" s="196">
        <f>IF('MAESTRO 1°'!B37="","",IFERROR('Planilla (Matemática 1°) '!F48,""))</f>
        <v/>
      </c>
      <c r="F37" s="196">
        <f>IF('MAESTRO 1°'!B37="","",IFERROR('Planilla (C.Sociales 1°) '!F48,""))</f>
        <v/>
      </c>
      <c r="G37" s="196">
        <f>IF('MAESTRO 1°'!B37="","",IFERROR('Planilla (C.Naturales 1°) '!F48,""))</f>
        <v/>
      </c>
      <c r="H37" s="196">
        <f>IF('MAESTRO 1°'!B37="","",IFERROR('Planilla (Religión 1°) '!F48,""))</f>
        <v/>
      </c>
      <c r="I37" s="196">
        <f>IF('MAESTRO 1°'!B37="","",IFERROR('Planilla (Artística 1°) '!F48,""))</f>
        <v/>
      </c>
      <c r="J37" s="196">
        <f>IF('MAESTRO 1°'!B37="","",IFERROR('Planilla (Tecnología 1°) '!F48,""))</f>
        <v/>
      </c>
      <c r="K37" s="196">
        <f>IF('MAESTRO 1°'!B37="","",IFERROR('Planilla (E.Física 1°) '!F48,""))</f>
        <v/>
      </c>
      <c r="L37" s="196" t="n"/>
      <c r="N37" s="86" t="n">
        <v>33</v>
      </c>
      <c r="O37" s="87">
        <f>IF('MAESTRO 1°'!B37="","",'MAESTRO 1°'!B37)</f>
        <v/>
      </c>
      <c r="P37" s="196">
        <f>IF('MAESTRO 1°'!B37="","",IFERROR('Planilla (Ingles 1°) '!I48,""))</f>
        <v/>
      </c>
      <c r="Q37" s="196">
        <f>IF('MAESTRO 1°'!B37="","",IFERROR('Planilla (Español 1°) '!I48,""))</f>
        <v/>
      </c>
      <c r="R37" s="196">
        <f>IF('MAESTRO 1°'!B37="","",IFERROR('Planilla (Matemática 1°) '!I48,""))</f>
        <v/>
      </c>
      <c r="S37" s="196">
        <f>IF('MAESTRO 1°'!B37="","",IFERROR('Planilla (C.Sociales 1°) '!I48,""))</f>
        <v/>
      </c>
      <c r="T37" s="196">
        <f>IF('MAESTRO 1°'!B37="","",IFERROR('Planilla (C.Naturales 1°) '!I48,""))</f>
        <v/>
      </c>
      <c r="U37" s="196">
        <f>IF('MAESTRO 1°'!B37="","",IFERROR('Planilla (Religión 1°) '!I48,""))</f>
        <v/>
      </c>
      <c r="V37" s="196">
        <f>IF('MAESTRO 1°'!B37="","",IFERROR('Planilla (Artística 1°) '!I48,""))</f>
        <v/>
      </c>
      <c r="W37" s="196">
        <f>IF('MAESTRO 1°'!B37="","",IFERROR('Planilla (Tecnología 1°) '!I48,""))</f>
        <v/>
      </c>
      <c r="X37" s="196">
        <f>IF('MAESTRO 1°'!B37="","",IFERROR('Planilla (E.Física 1°) '!I48,""))</f>
        <v/>
      </c>
      <c r="Y37" s="196" t="n"/>
    </row>
    <row r="38" ht="16.05" customHeight="1" s="147">
      <c r="A38" s="84" t="n">
        <v>34</v>
      </c>
      <c r="B38" s="85">
        <f>IF('MAESTRO 1°'!B38="","",'MAESTRO 1°'!B38)</f>
        <v/>
      </c>
      <c r="C38" s="192">
        <f>IF('MAESTRO 1°'!B38="","",IFERROR('Planilla (Ingles 1°) '!F49,""))</f>
        <v/>
      </c>
      <c r="D38" s="192">
        <f>IF('MAESTRO 1°'!B38="","",IFERROR('Planilla (Español 1°) '!F49,""))</f>
        <v/>
      </c>
      <c r="E38" s="192">
        <f>IF('MAESTRO 1°'!B38="","",IFERROR('Planilla (Matemática 1°) '!F49,""))</f>
        <v/>
      </c>
      <c r="F38" s="192">
        <f>IF('MAESTRO 1°'!B38="","",IFERROR('Planilla (C.Sociales 1°) '!F49,""))</f>
        <v/>
      </c>
      <c r="G38" s="192">
        <f>IF('MAESTRO 1°'!B38="","",IFERROR('Planilla (C.Naturales 1°) '!F49,""))</f>
        <v/>
      </c>
      <c r="H38" s="192">
        <f>IF('MAESTRO 1°'!B38="","",IFERROR('Planilla (Religión 1°) '!F49,""))</f>
        <v/>
      </c>
      <c r="I38" s="192">
        <f>IF('MAESTRO 1°'!B38="","",IFERROR('Planilla (Artística 1°) '!F49,""))</f>
        <v/>
      </c>
      <c r="J38" s="192">
        <f>IF('MAESTRO 1°'!B38="","",IFERROR('Planilla (Tecnología 1°) '!F49,""))</f>
        <v/>
      </c>
      <c r="K38" s="192">
        <f>IF('MAESTRO 1°'!B38="","",IFERROR('Planilla (E.Física 1°) '!F49,""))</f>
        <v/>
      </c>
      <c r="L38" s="192" t="n"/>
      <c r="N38" s="84" t="n">
        <v>34</v>
      </c>
      <c r="O38" s="85">
        <f>IF('MAESTRO 1°'!B38="","",'MAESTRO 1°'!B38)</f>
        <v/>
      </c>
      <c r="P38" s="192">
        <f>IF('MAESTRO 1°'!B38="","",IFERROR('Planilla (Ingles 1°) '!I49,""))</f>
        <v/>
      </c>
      <c r="Q38" s="192">
        <f>IF('MAESTRO 1°'!B38="","",IFERROR('Planilla (Español 1°) '!I49,""))</f>
        <v/>
      </c>
      <c r="R38" s="192">
        <f>IF('MAESTRO 1°'!B38="","",IFERROR('Planilla (Matemática 1°) '!I49,""))</f>
        <v/>
      </c>
      <c r="S38" s="192">
        <f>IF('MAESTRO 1°'!B38="","",IFERROR('Planilla (C.Sociales 1°) '!I49,""))</f>
        <v/>
      </c>
      <c r="T38" s="192">
        <f>IF('MAESTRO 1°'!B38="","",IFERROR('Planilla (C.Naturales 1°) '!I49,""))</f>
        <v/>
      </c>
      <c r="U38" s="192">
        <f>IF('MAESTRO 1°'!B38="","",IFERROR('Planilla (Religión 1°) '!I49,""))</f>
        <v/>
      </c>
      <c r="V38" s="192">
        <f>IF('MAESTRO 1°'!B38="","",IFERROR('Planilla (Artística 1°) '!I49,""))</f>
        <v/>
      </c>
      <c r="W38" s="192">
        <f>IF('MAESTRO 1°'!B38="","",IFERROR('Planilla (Tecnología 1°) '!I49,""))</f>
        <v/>
      </c>
      <c r="X38" s="192">
        <f>IF('MAESTRO 1°'!B38="","",IFERROR('Planilla (E.Física 1°) '!I49,""))</f>
        <v/>
      </c>
      <c r="Y38" s="192" t="n"/>
    </row>
    <row r="39">
      <c r="A39" s="209" t="inlineStr">
        <is>
          <t>PROMEDIO DEL GRUPO</t>
        </is>
      </c>
      <c r="B39" s="194" t="n"/>
      <c r="C39" s="90">
        <f>IFERROR(ROUND(AVERAGEIF(C5:C38,"&lt;&gt;"&amp;""),1),"")</f>
        <v/>
      </c>
      <c r="D39" s="90">
        <f>IFERROR(ROUND(AVERAGEIF(D5:D38,"&lt;&gt;"&amp;""),1),"")</f>
        <v/>
      </c>
      <c r="E39" s="90">
        <f>IFERROR(ROUND(AVERAGEIF(E5:E38,"&lt;&gt;"&amp;""),1),"")</f>
        <v/>
      </c>
      <c r="F39" s="90">
        <f>IFERROR(ROUND(AVERAGEIF(F5:F38,"&lt;&gt;"&amp;""),1),"")</f>
        <v/>
      </c>
      <c r="G39" s="90">
        <f>IFERROR(ROUND(AVERAGEIF(G5:G38,"&lt;&gt;"&amp;""),1),"")</f>
        <v/>
      </c>
      <c r="H39" s="90">
        <f>IFERROR(ROUND(AVERAGEIF(H5:H38,"&lt;&gt;"&amp;""),1),"")</f>
        <v/>
      </c>
      <c r="I39" s="90">
        <f>IFERROR(ROUND(AVERAGEIF(I5:I38,"&lt;&gt;"&amp;""),1),"")</f>
        <v/>
      </c>
      <c r="J39" s="90">
        <f>IFERROR(ROUND(AVERAGEIF(J5:J38,"&lt;&gt;"&amp;""),1),"")</f>
        <v/>
      </c>
      <c r="K39" s="90" t="n"/>
      <c r="L39" s="90" t="n"/>
      <c r="N39" s="209" t="inlineStr">
        <is>
          <t>PROMEDIO DEL GRUPO</t>
        </is>
      </c>
      <c r="O39" s="194" t="n"/>
      <c r="P39" s="90">
        <f>IFERROR(ROUND(AVERAGEIF(P5:P38,"&lt;&gt;"&amp;""),1),"")</f>
        <v/>
      </c>
      <c r="Q39" s="90">
        <f>IFERROR(ROUND(AVERAGEIF(Q5:Q38,"&lt;&gt;"&amp;""),1),"")</f>
        <v/>
      </c>
      <c r="R39" s="90">
        <f>IFERROR(ROUND(AVERAGEIF(R5:R38,"&lt;&gt;"&amp;""),1),"")</f>
        <v/>
      </c>
      <c r="S39" s="90">
        <f>IFERROR(ROUND(AVERAGEIF(S5:S38,"&lt;&gt;"&amp;""),1),"")</f>
        <v/>
      </c>
      <c r="T39" s="90">
        <f>IFERROR(ROUND(AVERAGEIF(T5:T38,"&lt;&gt;"&amp;""),1),"")</f>
        <v/>
      </c>
      <c r="U39" s="90">
        <f>IFERROR(ROUND(AVERAGEIF(U5:U38,"&lt;&gt;"&amp;""),1),"")</f>
        <v/>
      </c>
      <c r="V39" s="90">
        <f>IFERROR(ROUND(AVERAGEIF(V5:V38,"&lt;&gt;"&amp;""),1),"")</f>
        <v/>
      </c>
      <c r="W39" s="90">
        <f>IFERROR(ROUND(AVERAGEIF(W5:W38,"&lt;&gt;"&amp;""),1),"")</f>
        <v/>
      </c>
      <c r="X39" s="90" t="n"/>
      <c r="Y39" s="90" t="n"/>
    </row>
    <row r="40" ht="18" customHeight="1" s="147"/>
    <row r="41">
      <c r="A41" s="205" t="inlineStr">
        <is>
          <t>Nota: SEGUNDO TRIMESTRE</t>
        </is>
      </c>
      <c r="B41" s="200" t="n"/>
      <c r="C41" s="200" t="n"/>
      <c r="D41" s="200" t="n"/>
      <c r="E41" s="200" t="n"/>
      <c r="F41" s="200" t="n"/>
      <c r="G41" s="200" t="n"/>
      <c r="H41" s="200" t="n"/>
      <c r="I41" s="200" t="n"/>
      <c r="J41" s="200" t="n"/>
      <c r="K41" s="200" t="n"/>
      <c r="L41" s="200" t="n"/>
    </row>
    <row r="42" ht="64.2" customHeight="1" s="147">
      <c r="A42" s="206" t="inlineStr">
        <is>
          <t>No.</t>
        </is>
      </c>
      <c r="B42" s="206" t="inlineStr">
        <is>
          <t>APELLIDO, NOMBRE</t>
        </is>
      </c>
      <c r="C42" s="95" t="inlineStr">
        <is>
          <t>INGLES</t>
        </is>
      </c>
      <c r="D42" s="95" t="inlineStr">
        <is>
          <t>ESPAÑOL</t>
        </is>
      </c>
      <c r="E42" s="95" t="inlineStr">
        <is>
          <t>Matemática</t>
        </is>
      </c>
      <c r="F42" s="95" t="inlineStr">
        <is>
          <t>C.SOCIALES</t>
        </is>
      </c>
      <c r="G42" s="95" t="inlineStr">
        <is>
          <t>C.NATURALES</t>
        </is>
      </c>
      <c r="H42" s="95" t="inlineStr">
        <is>
          <t>Religión</t>
        </is>
      </c>
      <c r="I42" s="95" t="inlineStr">
        <is>
          <t>Artística</t>
        </is>
      </c>
      <c r="J42" s="95" t="inlineStr">
        <is>
          <t>TECNOLOGIA</t>
        </is>
      </c>
      <c r="K42" s="95" t="inlineStr">
        <is>
          <t>E. FISICA</t>
        </is>
      </c>
      <c r="L42" s="208" t="inlineStr">
        <is>
          <t>ESTADO</t>
        </is>
      </c>
    </row>
    <row r="43">
      <c r="A43" s="207" t="n"/>
      <c r="B43" s="207" t="n"/>
      <c r="C43" s="202" t="inlineStr">
        <is>
          <t>FINAL</t>
        </is>
      </c>
      <c r="D43" s="202" t="inlineStr">
        <is>
          <t>FINAL</t>
        </is>
      </c>
      <c r="E43" s="202" t="inlineStr">
        <is>
          <t>FINAL</t>
        </is>
      </c>
      <c r="F43" s="202" t="inlineStr">
        <is>
          <t>FINAL</t>
        </is>
      </c>
      <c r="G43" s="202" t="inlineStr">
        <is>
          <t>FINAL</t>
        </is>
      </c>
      <c r="H43" s="202" t="inlineStr">
        <is>
          <t>FINAL</t>
        </is>
      </c>
      <c r="I43" s="202" t="inlineStr">
        <is>
          <t>FINAL</t>
        </is>
      </c>
      <c r="J43" s="202" t="inlineStr">
        <is>
          <t>FINAL</t>
        </is>
      </c>
      <c r="K43" s="202" t="inlineStr">
        <is>
          <t>FINAL</t>
        </is>
      </c>
      <c r="L43" s="207" t="n"/>
    </row>
    <row r="44">
      <c r="A44" s="86" t="n">
        <v>1</v>
      </c>
      <c r="B44" s="87">
        <f>IF('MAESTRO 1°'!B5="","",'MAESTRO 1°'!B5)</f>
        <v/>
      </c>
      <c r="C44" s="196">
        <f>IF('MAESTRO 1°'!B5="","",IFERROR('Planilla (Ingles 1°) '!G16,""))</f>
        <v/>
      </c>
      <c r="D44" s="196">
        <f>IF('MAESTRO 1°'!B5="","",IFERROR('Planilla (Español 1°) '!G16,""))</f>
        <v/>
      </c>
      <c r="E44" s="196">
        <f>IF('MAESTRO 1°'!B5="","",IFERROR('Planilla (Matemática 1°) '!G16,""))</f>
        <v/>
      </c>
      <c r="F44" s="196">
        <f>IF('MAESTRO 1°'!B5="","",IFERROR('Planilla (C.Sociales 1°) '!G16,""))</f>
        <v/>
      </c>
      <c r="G44" s="196">
        <f>IF('MAESTRO 1°'!B5="","",IFERROR('Planilla (C.Naturales 1°) '!G16,""))</f>
        <v/>
      </c>
      <c r="H44" s="196">
        <f>IF('MAESTRO 1°'!B5="","",IFERROR('Planilla (Religión 1°) '!G16,""))</f>
        <v/>
      </c>
      <c r="I44" s="196">
        <f>IF('MAESTRO 1°'!B5="","",IFERROR('Planilla (Artística 1°) '!G16,""))</f>
        <v/>
      </c>
      <c r="J44" s="196">
        <f>IF('MAESTRO 1°'!B5="","",IFERROR('Planilla (Tecnología 1°) '!G16,""))</f>
        <v/>
      </c>
      <c r="K44" s="196">
        <f>IF('MAESTRO 1°'!B5="","",IFERROR('Planilla (E.Física 1°) '!G16,""))</f>
        <v/>
      </c>
      <c r="L44" s="196" t="n"/>
    </row>
    <row r="45">
      <c r="A45" s="84" t="n">
        <v>2</v>
      </c>
      <c r="B45" s="85">
        <f>IF('MAESTRO 1°'!B6="","",'MAESTRO 1°'!B6)</f>
        <v/>
      </c>
      <c r="C45" s="192">
        <f>IF('MAESTRO 1°'!B6="","",IFERROR('Planilla (Ingles 1°) '!G17,""))</f>
        <v/>
      </c>
      <c r="D45" s="192">
        <f>IF('MAESTRO 1°'!B6="","",IFERROR('Planilla (Español 1°) '!G17,""))</f>
        <v/>
      </c>
      <c r="E45" s="192">
        <f>IF('MAESTRO 1°'!B6="","",IFERROR('Planilla (Matemática 1°) '!G17,""))</f>
        <v/>
      </c>
      <c r="F45" s="192">
        <f>IF('MAESTRO 1°'!B6="","",IFERROR('Planilla (C.Sociales 1°) '!G17,""))</f>
        <v/>
      </c>
      <c r="G45" s="192">
        <f>IF('MAESTRO 1°'!B6="","",IFERROR('Planilla (C.Naturales 1°) '!G17,""))</f>
        <v/>
      </c>
      <c r="H45" s="192">
        <f>IF('MAESTRO 1°'!B6="","",IFERROR('Planilla (Religión 1°) '!G17,""))</f>
        <v/>
      </c>
      <c r="I45" s="192">
        <f>IF('MAESTRO 1°'!B6="","",IFERROR('Planilla (Artística 1°) '!G17,""))</f>
        <v/>
      </c>
      <c r="J45" s="192">
        <f>IF('MAESTRO 1°'!B6="","",IFERROR('Planilla (Tecnología 1°) '!G17,""))</f>
        <v/>
      </c>
      <c r="K45" s="192">
        <f>IF('MAESTRO 1°'!B6="","",IFERROR('Planilla (E.Física 1°) '!G17,""))</f>
        <v/>
      </c>
      <c r="L45" s="192" t="n"/>
    </row>
    <row r="46">
      <c r="A46" s="86" t="n">
        <v>3</v>
      </c>
      <c r="B46" s="87">
        <f>IF('MAESTRO 1°'!B7="","",'MAESTRO 1°'!B7)</f>
        <v/>
      </c>
      <c r="C46" s="196">
        <f>IF('MAESTRO 1°'!B7="","",IFERROR('Planilla (Ingles 1°) '!G18,""))</f>
        <v/>
      </c>
      <c r="D46" s="196">
        <f>IF('MAESTRO 1°'!B7="","",IFERROR('Planilla (Español 1°) '!G18,""))</f>
        <v/>
      </c>
      <c r="E46" s="196">
        <f>IF('MAESTRO 1°'!B7="","",IFERROR('Planilla (Matemática 1°) '!G18,""))</f>
        <v/>
      </c>
      <c r="F46" s="196">
        <f>IF('MAESTRO 1°'!B7="","",IFERROR('Planilla (C.Sociales 1°) '!G18,""))</f>
        <v/>
      </c>
      <c r="G46" s="196">
        <f>IF('MAESTRO 1°'!B7="","",IFERROR('Planilla (C.Naturales 1°) '!G18,""))</f>
        <v/>
      </c>
      <c r="H46" s="196">
        <f>IF('MAESTRO 1°'!B7="","",IFERROR('Planilla (Religión 1°) '!G18,""))</f>
        <v/>
      </c>
      <c r="I46" s="196">
        <f>IF('MAESTRO 1°'!B7="","",IFERROR('Planilla (Artística 1°) '!G18,""))</f>
        <v/>
      </c>
      <c r="J46" s="196">
        <f>IF('MAESTRO 1°'!B7="","",IFERROR('Planilla (Tecnología 1°) '!G18,""))</f>
        <v/>
      </c>
      <c r="K46" s="196">
        <f>IF('MAESTRO 1°'!B7="","",IFERROR('Planilla (E.Física 1°) '!G18,""))</f>
        <v/>
      </c>
      <c r="L46" s="196" t="n"/>
    </row>
    <row r="47">
      <c r="A47" s="84" t="n">
        <v>4</v>
      </c>
      <c r="B47" s="85">
        <f>IF('MAESTRO 1°'!B8="","",'MAESTRO 1°'!B8)</f>
        <v/>
      </c>
      <c r="C47" s="192">
        <f>IF('MAESTRO 1°'!B8="","",IFERROR('Planilla (Ingles 1°) '!G19,""))</f>
        <v/>
      </c>
      <c r="D47" s="192">
        <f>IF('MAESTRO 1°'!B8="","",IFERROR('Planilla (Español 1°) '!G19,""))</f>
        <v/>
      </c>
      <c r="E47" s="192">
        <f>IF('MAESTRO 1°'!B8="","",IFERROR('Planilla (Matemática 1°) '!G19,""))</f>
        <v/>
      </c>
      <c r="F47" s="192">
        <f>IF('MAESTRO 1°'!B8="","",IFERROR('Planilla (C.Sociales 1°) '!G19,""))</f>
        <v/>
      </c>
      <c r="G47" s="192">
        <f>IF('MAESTRO 1°'!B8="","",IFERROR('Planilla (C.Naturales 1°) '!G19,""))</f>
        <v/>
      </c>
      <c r="H47" s="192">
        <f>IF('MAESTRO 1°'!B8="","",IFERROR('Planilla (Religión 1°) '!G19,""))</f>
        <v/>
      </c>
      <c r="I47" s="192">
        <f>IF('MAESTRO 1°'!B8="","",IFERROR('Planilla (Artística 1°) '!G19,""))</f>
        <v/>
      </c>
      <c r="J47" s="192">
        <f>IF('MAESTRO 1°'!B8="","",IFERROR('Planilla (Tecnología 1°) '!G19,""))</f>
        <v/>
      </c>
      <c r="K47" s="192">
        <f>IF('MAESTRO 1°'!B8="","",IFERROR('Planilla (E.Física 1°) '!G19,""))</f>
        <v/>
      </c>
      <c r="L47" s="192" t="n"/>
    </row>
    <row r="48">
      <c r="A48" s="86" t="n">
        <v>5</v>
      </c>
      <c r="B48" s="87">
        <f>IF('MAESTRO 1°'!B9="","",'MAESTRO 1°'!B9)</f>
        <v/>
      </c>
      <c r="C48" s="196">
        <f>IF('MAESTRO 1°'!B9="","",IFERROR('Planilla (Ingles 1°) '!G20,""))</f>
        <v/>
      </c>
      <c r="D48" s="196">
        <f>IF('MAESTRO 1°'!B9="","",IFERROR('Planilla (Español 1°) '!G20,""))</f>
        <v/>
      </c>
      <c r="E48" s="196">
        <f>IF('MAESTRO 1°'!B9="","",IFERROR('Planilla (Matemática 1°) '!G20,""))</f>
        <v/>
      </c>
      <c r="F48" s="196">
        <f>IF('MAESTRO 1°'!B9="","",IFERROR('Planilla (C.Sociales 1°) '!G20,""))</f>
        <v/>
      </c>
      <c r="G48" s="196">
        <f>IF('MAESTRO 1°'!B9="","",IFERROR('Planilla (C.Naturales 1°) '!G20,""))</f>
        <v/>
      </c>
      <c r="H48" s="196">
        <f>IF('MAESTRO 1°'!B9="","",IFERROR('Planilla (Religión 1°) '!G20,""))</f>
        <v/>
      </c>
      <c r="I48" s="196">
        <f>IF('MAESTRO 1°'!B9="","",IFERROR('Planilla (Artística 1°) '!G20,""))</f>
        <v/>
      </c>
      <c r="J48" s="196">
        <f>IF('MAESTRO 1°'!B9="","",IFERROR('Planilla (Tecnología 1°) '!G20,""))</f>
        <v/>
      </c>
      <c r="K48" s="196">
        <f>IF('MAESTRO 1°'!B9="","",IFERROR('Planilla (E.Física 1°) '!G20,""))</f>
        <v/>
      </c>
      <c r="L48" s="196" t="n"/>
    </row>
    <row r="49">
      <c r="A49" s="84" t="n">
        <v>6</v>
      </c>
      <c r="B49" s="85">
        <f>IF('MAESTRO 1°'!B10="","",'MAESTRO 1°'!B10)</f>
        <v/>
      </c>
      <c r="C49" s="192">
        <f>IF('MAESTRO 1°'!B10="","",IFERROR('Planilla (Ingles 1°) '!G21,""))</f>
        <v/>
      </c>
      <c r="D49" s="192">
        <f>IF('MAESTRO 1°'!B10="","",IFERROR('Planilla (Español 1°) '!G21,""))</f>
        <v/>
      </c>
      <c r="E49" s="192">
        <f>IF('MAESTRO 1°'!B10="","",IFERROR('Planilla (Matemática 1°) '!G21,""))</f>
        <v/>
      </c>
      <c r="F49" s="192">
        <f>IF('MAESTRO 1°'!B10="","",IFERROR('Planilla (C.Sociales 1°) '!G21,""))</f>
        <v/>
      </c>
      <c r="G49" s="192">
        <f>IF('MAESTRO 1°'!B10="","",IFERROR('Planilla (C.Naturales 1°) '!G21,""))</f>
        <v/>
      </c>
      <c r="H49" s="192">
        <f>IF('MAESTRO 1°'!B10="","",IFERROR('Planilla (Religión 1°) '!G21,""))</f>
        <v/>
      </c>
      <c r="I49" s="192">
        <f>IF('MAESTRO 1°'!B10="","",IFERROR('Planilla (Artística 1°) '!G21,""))</f>
        <v/>
      </c>
      <c r="J49" s="192">
        <f>IF('MAESTRO 1°'!B10="","",IFERROR('Planilla (Tecnología 1°) '!G21,""))</f>
        <v/>
      </c>
      <c r="K49" s="192">
        <f>IF('MAESTRO 1°'!B10="","",IFERROR('Planilla (E.Física 1°) '!G21,""))</f>
        <v/>
      </c>
      <c r="L49" s="192" t="n"/>
    </row>
    <row r="50">
      <c r="A50" s="86" t="n">
        <v>7</v>
      </c>
      <c r="B50" s="87">
        <f>IF('MAESTRO 1°'!B11="","",'MAESTRO 1°'!B11)</f>
        <v/>
      </c>
      <c r="C50" s="196">
        <f>IF('MAESTRO 1°'!B11="","",IFERROR('Planilla (Ingles 1°) '!G22,""))</f>
        <v/>
      </c>
      <c r="D50" s="196">
        <f>IF('MAESTRO 1°'!B11="","",IFERROR('Planilla (Español 1°) '!G22,""))</f>
        <v/>
      </c>
      <c r="E50" s="196">
        <f>IF('MAESTRO 1°'!B11="","",IFERROR('Planilla (Matemática 1°) '!G22,""))</f>
        <v/>
      </c>
      <c r="F50" s="196">
        <f>IF('MAESTRO 1°'!B11="","",IFERROR('Planilla (C.Sociales 1°) '!G22,""))</f>
        <v/>
      </c>
      <c r="G50" s="196">
        <f>IF('MAESTRO 1°'!B11="","",IFERROR('Planilla (C.Naturales 1°) '!G22,""))</f>
        <v/>
      </c>
      <c r="H50" s="196">
        <f>IF('MAESTRO 1°'!B11="","",IFERROR('Planilla (Religión 1°) '!G22,""))</f>
        <v/>
      </c>
      <c r="I50" s="196">
        <f>IF('MAESTRO 1°'!B11="","",IFERROR('Planilla (Artística 1°) '!G22,""))</f>
        <v/>
      </c>
      <c r="J50" s="196">
        <f>IF('MAESTRO 1°'!B11="","",IFERROR('Planilla (Tecnología 1°) '!G22,""))</f>
        <v/>
      </c>
      <c r="K50" s="196">
        <f>IF('MAESTRO 1°'!B11="","",IFERROR('Planilla (E.Física 1°) '!G22,""))</f>
        <v/>
      </c>
      <c r="L50" s="196" t="n"/>
    </row>
    <row r="51">
      <c r="A51" s="84" t="n">
        <v>8</v>
      </c>
      <c r="B51" s="85">
        <f>IF('MAESTRO 1°'!B12="","",'MAESTRO 1°'!B12)</f>
        <v/>
      </c>
      <c r="C51" s="192">
        <f>IF('MAESTRO 1°'!B12="","",IFERROR('Planilla (Ingles 1°) '!G23,""))</f>
        <v/>
      </c>
      <c r="D51" s="192">
        <f>IF('MAESTRO 1°'!B12="","",IFERROR('Planilla (Español 1°) '!G23,""))</f>
        <v/>
      </c>
      <c r="E51" s="192">
        <f>IF('MAESTRO 1°'!B12="","",IFERROR('Planilla (Matemática 1°) '!G23,""))</f>
        <v/>
      </c>
      <c r="F51" s="192">
        <f>IF('MAESTRO 1°'!B12="","",IFERROR('Planilla (C.Sociales 1°) '!G23,""))</f>
        <v/>
      </c>
      <c r="G51" s="192">
        <f>IF('MAESTRO 1°'!B12="","",IFERROR('Planilla (C.Naturales 1°) '!G23,""))</f>
        <v/>
      </c>
      <c r="H51" s="192">
        <f>IF('MAESTRO 1°'!B12="","",IFERROR('Planilla (Religión 1°) '!G23,""))</f>
        <v/>
      </c>
      <c r="I51" s="192">
        <f>IF('MAESTRO 1°'!B12="","",IFERROR('Planilla (Artística 1°) '!G23,""))</f>
        <v/>
      </c>
      <c r="J51" s="192">
        <f>IF('MAESTRO 1°'!B12="","",IFERROR('Planilla (Tecnología 1°) '!G23,""))</f>
        <v/>
      </c>
      <c r="K51" s="192">
        <f>IF('MAESTRO 1°'!B12="","",IFERROR('Planilla (E.Física 1°) '!G23,""))</f>
        <v/>
      </c>
      <c r="L51" s="192" t="n"/>
    </row>
    <row r="52">
      <c r="A52" s="86" t="n">
        <v>9</v>
      </c>
      <c r="B52" s="87">
        <f>IF('MAESTRO 1°'!B13="","",'MAESTRO 1°'!B13)</f>
        <v/>
      </c>
      <c r="C52" s="196">
        <f>IF('MAESTRO 1°'!B13="","",IFERROR('Planilla (Ingles 1°) '!G24,""))</f>
        <v/>
      </c>
      <c r="D52" s="196">
        <f>IF('MAESTRO 1°'!B13="","",IFERROR('Planilla (Español 1°) '!G24,""))</f>
        <v/>
      </c>
      <c r="E52" s="196">
        <f>IF('MAESTRO 1°'!B13="","",IFERROR('Planilla (Matemática 1°) '!G24,""))</f>
        <v/>
      </c>
      <c r="F52" s="196">
        <f>IF('MAESTRO 1°'!B13="","",IFERROR('Planilla (C.Sociales 1°) '!G24,""))</f>
        <v/>
      </c>
      <c r="G52" s="196">
        <f>IF('MAESTRO 1°'!B13="","",IFERROR('Planilla (C.Naturales 1°) '!G24,""))</f>
        <v/>
      </c>
      <c r="H52" s="196">
        <f>IF('MAESTRO 1°'!B13="","",IFERROR('Planilla (Religión 1°) '!G24,""))</f>
        <v/>
      </c>
      <c r="I52" s="196">
        <f>IF('MAESTRO 1°'!B13="","",IFERROR('Planilla (Artística 1°) '!G24,""))</f>
        <v/>
      </c>
      <c r="J52" s="196">
        <f>IF('MAESTRO 1°'!B13="","",IFERROR('Planilla (Tecnología 1°) '!G24,""))</f>
        <v/>
      </c>
      <c r="K52" s="196">
        <f>IF('MAESTRO 1°'!B13="","",IFERROR('Planilla (E.Física 1°) '!G24,""))</f>
        <v/>
      </c>
      <c r="L52" s="196" t="n"/>
    </row>
    <row r="53">
      <c r="A53" s="84" t="n">
        <v>10</v>
      </c>
      <c r="B53" s="85">
        <f>IF('MAESTRO 1°'!B14="","",'MAESTRO 1°'!B14)</f>
        <v/>
      </c>
      <c r="C53" s="192">
        <f>IF('MAESTRO 1°'!B14="","",IFERROR('Planilla (Ingles 1°) '!G25,""))</f>
        <v/>
      </c>
      <c r="D53" s="192">
        <f>IF('MAESTRO 1°'!B14="","",IFERROR('Planilla (Español 1°) '!G25,""))</f>
        <v/>
      </c>
      <c r="E53" s="192">
        <f>IF('MAESTRO 1°'!B14="","",IFERROR('Planilla (Matemática 1°) '!G25,""))</f>
        <v/>
      </c>
      <c r="F53" s="192">
        <f>IF('MAESTRO 1°'!B14="","",IFERROR('Planilla (C.Sociales 1°) '!G25,""))</f>
        <v/>
      </c>
      <c r="G53" s="192">
        <f>IF('MAESTRO 1°'!B14="","",IFERROR('Planilla (C.Naturales 1°) '!G25,""))</f>
        <v/>
      </c>
      <c r="H53" s="192">
        <f>IF('MAESTRO 1°'!B14="","",IFERROR('Planilla (Religión 1°) '!G25,""))</f>
        <v/>
      </c>
      <c r="I53" s="192">
        <f>IF('MAESTRO 1°'!B14="","",IFERROR('Planilla (Artística 1°) '!G25,""))</f>
        <v/>
      </c>
      <c r="J53" s="192">
        <f>IF('MAESTRO 1°'!B14="","",IFERROR('Planilla (Tecnología 1°) '!G25,""))</f>
        <v/>
      </c>
      <c r="K53" s="192">
        <f>IF('MAESTRO 1°'!B14="","",IFERROR('Planilla (E.Física 1°) '!G25,""))</f>
        <v/>
      </c>
      <c r="L53" s="192" t="n"/>
    </row>
    <row r="54">
      <c r="A54" s="86" t="n">
        <v>11</v>
      </c>
      <c r="B54" s="87">
        <f>IF('MAESTRO 1°'!B15="","",'MAESTRO 1°'!B15)</f>
        <v/>
      </c>
      <c r="C54" s="196">
        <f>IF('MAESTRO 1°'!B15="","",IFERROR('Planilla (Ingles 1°) '!G26,""))</f>
        <v/>
      </c>
      <c r="D54" s="196">
        <f>IF('MAESTRO 1°'!B15="","",IFERROR('Planilla (Español 1°) '!G26,""))</f>
        <v/>
      </c>
      <c r="E54" s="196">
        <f>IF('MAESTRO 1°'!B15="","",IFERROR('Planilla (Matemática 1°) '!G26,""))</f>
        <v/>
      </c>
      <c r="F54" s="196">
        <f>IF('MAESTRO 1°'!B15="","",IFERROR('Planilla (C.Sociales 1°) '!G26,""))</f>
        <v/>
      </c>
      <c r="G54" s="196">
        <f>IF('MAESTRO 1°'!B15="","",IFERROR('Planilla (C.Naturales 1°) '!G26,""))</f>
        <v/>
      </c>
      <c r="H54" s="196">
        <f>IF('MAESTRO 1°'!B15="","",IFERROR('Planilla (Religión 1°) '!G26,""))</f>
        <v/>
      </c>
      <c r="I54" s="196">
        <f>IF('MAESTRO 1°'!B15="","",IFERROR('Planilla (Artística 1°) '!G26,""))</f>
        <v/>
      </c>
      <c r="J54" s="196">
        <f>IF('MAESTRO 1°'!B15="","",IFERROR('Planilla (Tecnología 1°) '!G26,""))</f>
        <v/>
      </c>
      <c r="K54" s="196">
        <f>IF('MAESTRO 1°'!B15="","",IFERROR('Planilla (E.Física 1°) '!G26,""))</f>
        <v/>
      </c>
      <c r="L54" s="196" t="n"/>
    </row>
    <row r="55">
      <c r="A55" s="84" t="n">
        <v>12</v>
      </c>
      <c r="B55" s="85">
        <f>IF('MAESTRO 1°'!B16="","",'MAESTRO 1°'!B16)</f>
        <v/>
      </c>
      <c r="C55" s="192">
        <f>IF('MAESTRO 1°'!B16="","",IFERROR('Planilla (Ingles 1°) '!G27,""))</f>
        <v/>
      </c>
      <c r="D55" s="192">
        <f>IF('MAESTRO 1°'!B16="","",IFERROR('Planilla (Español 1°) '!G27,""))</f>
        <v/>
      </c>
      <c r="E55" s="192">
        <f>IF('MAESTRO 1°'!B16="","",IFERROR('Planilla (Matemática 1°) '!G27,""))</f>
        <v/>
      </c>
      <c r="F55" s="192">
        <f>IF('MAESTRO 1°'!B16="","",IFERROR('Planilla (C.Sociales 1°) '!G27,""))</f>
        <v/>
      </c>
      <c r="G55" s="192">
        <f>IF('MAESTRO 1°'!B16="","",IFERROR('Planilla (C.Naturales 1°) '!G27,""))</f>
        <v/>
      </c>
      <c r="H55" s="192">
        <f>IF('MAESTRO 1°'!B16="","",IFERROR('Planilla (Religión 1°) '!G27,""))</f>
        <v/>
      </c>
      <c r="I55" s="192">
        <f>IF('MAESTRO 1°'!B16="","",IFERROR('Planilla (Artística 1°) '!G27,""))</f>
        <v/>
      </c>
      <c r="J55" s="192">
        <f>IF('MAESTRO 1°'!B16="","",IFERROR('Planilla (Tecnología 1°) '!G27,""))</f>
        <v/>
      </c>
      <c r="K55" s="192">
        <f>IF('MAESTRO 1°'!B16="","",IFERROR('Planilla (E.Física 1°) '!G27,""))</f>
        <v/>
      </c>
      <c r="L55" s="192" t="n"/>
    </row>
    <row r="56">
      <c r="A56" s="86" t="n">
        <v>13</v>
      </c>
      <c r="B56" s="87">
        <f>IF('MAESTRO 1°'!B17="","",'MAESTRO 1°'!B17)</f>
        <v/>
      </c>
      <c r="C56" s="196">
        <f>IF('MAESTRO 1°'!B17="","",IFERROR('Planilla (Ingles 1°) '!G28,""))</f>
        <v/>
      </c>
      <c r="D56" s="196">
        <f>IF('MAESTRO 1°'!B17="","",IFERROR('Planilla (Español 1°) '!G28,""))</f>
        <v/>
      </c>
      <c r="E56" s="196">
        <f>IF('MAESTRO 1°'!B17="","",IFERROR('Planilla (Matemática 1°) '!G28,""))</f>
        <v/>
      </c>
      <c r="F56" s="196">
        <f>IF('MAESTRO 1°'!B17="","",IFERROR('Planilla (C.Sociales 1°) '!G28,""))</f>
        <v/>
      </c>
      <c r="G56" s="196">
        <f>IF('MAESTRO 1°'!B17="","",IFERROR('Planilla (C.Naturales 1°) '!G28,""))</f>
        <v/>
      </c>
      <c r="H56" s="196">
        <f>IF('MAESTRO 1°'!B17="","",IFERROR('Planilla (Religión 1°) '!G28,""))</f>
        <v/>
      </c>
      <c r="I56" s="196">
        <f>IF('MAESTRO 1°'!B17="","",IFERROR('Planilla (Artística 1°) '!G28,""))</f>
        <v/>
      </c>
      <c r="J56" s="196">
        <f>IF('MAESTRO 1°'!B17="","",IFERROR('Planilla (Tecnología 1°) '!G28,""))</f>
        <v/>
      </c>
      <c r="K56" s="196">
        <f>IF('MAESTRO 1°'!B17="","",IFERROR('Planilla (E.Física 1°) '!G28,""))</f>
        <v/>
      </c>
      <c r="L56" s="196" t="n"/>
    </row>
    <row r="57">
      <c r="A57" s="84" t="n">
        <v>14</v>
      </c>
      <c r="B57" s="85">
        <f>IF('MAESTRO 1°'!B18="","",'MAESTRO 1°'!B18)</f>
        <v/>
      </c>
      <c r="C57" s="192">
        <f>IF('MAESTRO 1°'!B18="","",IFERROR('Planilla (Ingles 1°) '!G29,""))</f>
        <v/>
      </c>
      <c r="D57" s="192">
        <f>IF('MAESTRO 1°'!B18="","",IFERROR('Planilla (Español 1°) '!G29,""))</f>
        <v/>
      </c>
      <c r="E57" s="192">
        <f>IF('MAESTRO 1°'!B18="","",IFERROR('Planilla (Matemática 1°) '!G29,""))</f>
        <v/>
      </c>
      <c r="F57" s="192">
        <f>IF('MAESTRO 1°'!B18="","",IFERROR('Planilla (C.Sociales 1°) '!G29,""))</f>
        <v/>
      </c>
      <c r="G57" s="192">
        <f>IF('MAESTRO 1°'!B18="","",IFERROR('Planilla (C.Naturales 1°) '!G29,""))</f>
        <v/>
      </c>
      <c r="H57" s="192">
        <f>IF('MAESTRO 1°'!B18="","",IFERROR('Planilla (Religión 1°) '!G29,""))</f>
        <v/>
      </c>
      <c r="I57" s="192">
        <f>IF('MAESTRO 1°'!B18="","",IFERROR('Planilla (Artística 1°) '!G29,""))</f>
        <v/>
      </c>
      <c r="J57" s="192">
        <f>IF('MAESTRO 1°'!B18="","",IFERROR('Planilla (Tecnología 1°) '!G29,""))</f>
        <v/>
      </c>
      <c r="K57" s="192">
        <f>IF('MAESTRO 1°'!B18="","",IFERROR('Planilla (E.Física 1°) '!G29,""))</f>
        <v/>
      </c>
      <c r="L57" s="192" t="n"/>
    </row>
    <row r="58">
      <c r="A58" s="86" t="n">
        <v>15</v>
      </c>
      <c r="B58" s="87">
        <f>IF('MAESTRO 1°'!B19="","",'MAESTRO 1°'!B19)</f>
        <v/>
      </c>
      <c r="C58" s="196">
        <f>IF('MAESTRO 1°'!B19="","",IFERROR('Planilla (Ingles 1°) '!G30,""))</f>
        <v/>
      </c>
      <c r="D58" s="196">
        <f>IF('MAESTRO 1°'!B19="","",IFERROR('Planilla (Español 1°) '!G30,""))</f>
        <v/>
      </c>
      <c r="E58" s="196">
        <f>IF('MAESTRO 1°'!B19="","",IFERROR('Planilla (Matemática 1°) '!G30,""))</f>
        <v/>
      </c>
      <c r="F58" s="196">
        <f>IF('MAESTRO 1°'!B19="","",IFERROR('Planilla (C.Sociales 1°) '!G30,""))</f>
        <v/>
      </c>
      <c r="G58" s="196">
        <f>IF('MAESTRO 1°'!B19="","",IFERROR('Planilla (C.Naturales 1°) '!G30,""))</f>
        <v/>
      </c>
      <c r="H58" s="196">
        <f>IF('MAESTRO 1°'!B19="","",IFERROR('Planilla (Religión 1°) '!G30,""))</f>
        <v/>
      </c>
      <c r="I58" s="196">
        <f>IF('MAESTRO 1°'!B19="","",IFERROR('Planilla (Artística 1°) '!G30,""))</f>
        <v/>
      </c>
      <c r="J58" s="196">
        <f>IF('MAESTRO 1°'!B19="","",IFERROR('Planilla (Tecnología 1°) '!G30,""))</f>
        <v/>
      </c>
      <c r="K58" s="196">
        <f>IF('MAESTRO 1°'!B19="","",IFERROR('Planilla (E.Física 1°) '!G30,""))</f>
        <v/>
      </c>
      <c r="L58" s="196" t="n"/>
    </row>
    <row r="59">
      <c r="A59" s="84" t="n">
        <v>16</v>
      </c>
      <c r="B59" s="85">
        <f>IF('MAESTRO 1°'!B20="","",'MAESTRO 1°'!B20)</f>
        <v/>
      </c>
      <c r="C59" s="192">
        <f>IF('MAESTRO 1°'!B20="","",IFERROR('Planilla (Ingles 1°) '!G31,""))</f>
        <v/>
      </c>
      <c r="D59" s="192">
        <f>IF('MAESTRO 1°'!B20="","",IFERROR('Planilla (Español 1°) '!G31,""))</f>
        <v/>
      </c>
      <c r="E59" s="192">
        <f>IF('MAESTRO 1°'!B20="","",IFERROR('Planilla (Matemática 1°) '!G31,""))</f>
        <v/>
      </c>
      <c r="F59" s="192">
        <f>IF('MAESTRO 1°'!B20="","",IFERROR('Planilla (C.Sociales 1°) '!G31,""))</f>
        <v/>
      </c>
      <c r="G59" s="192">
        <f>IF('MAESTRO 1°'!B20="","",IFERROR('Planilla (C.Naturales 1°) '!G31,""))</f>
        <v/>
      </c>
      <c r="H59" s="192">
        <f>IF('MAESTRO 1°'!B20="","",IFERROR('Planilla (Religión 1°) '!G31,""))</f>
        <v/>
      </c>
      <c r="I59" s="192">
        <f>IF('MAESTRO 1°'!B20="","",IFERROR('Planilla (Artística 1°) '!G31,""))</f>
        <v/>
      </c>
      <c r="J59" s="192">
        <f>IF('MAESTRO 1°'!B20="","",IFERROR('Planilla (Tecnología 1°) '!G31,""))</f>
        <v/>
      </c>
      <c r="K59" s="192">
        <f>IF('MAESTRO 1°'!B20="","",IFERROR('Planilla (E.Física 1°) '!G31,""))</f>
        <v/>
      </c>
      <c r="L59" s="192" t="n"/>
    </row>
    <row r="60">
      <c r="A60" s="86" t="n">
        <v>17</v>
      </c>
      <c r="B60" s="87">
        <f>IF('MAESTRO 1°'!B21="","",'MAESTRO 1°'!B21)</f>
        <v/>
      </c>
      <c r="C60" s="196">
        <f>IF('MAESTRO 1°'!B21="","",IFERROR('Planilla (Ingles 1°) '!G32,""))</f>
        <v/>
      </c>
      <c r="D60" s="196">
        <f>IF('MAESTRO 1°'!B21="","",IFERROR('Planilla (Español 1°) '!G32,""))</f>
        <v/>
      </c>
      <c r="E60" s="196">
        <f>IF('MAESTRO 1°'!B21="","",IFERROR('Planilla (Matemática 1°) '!G32,""))</f>
        <v/>
      </c>
      <c r="F60" s="196">
        <f>IF('MAESTRO 1°'!B21="","",IFERROR('Planilla (C.Sociales 1°) '!G32,""))</f>
        <v/>
      </c>
      <c r="G60" s="196">
        <f>IF('MAESTRO 1°'!B21="","",IFERROR('Planilla (C.Naturales 1°) '!G32,""))</f>
        <v/>
      </c>
      <c r="H60" s="196">
        <f>IF('MAESTRO 1°'!B21="","",IFERROR('Planilla (Religión 1°) '!G32,""))</f>
        <v/>
      </c>
      <c r="I60" s="196">
        <f>IF('MAESTRO 1°'!B21="","",IFERROR('Planilla (Artística 1°) '!G32,""))</f>
        <v/>
      </c>
      <c r="J60" s="196">
        <f>IF('MAESTRO 1°'!B21="","",IFERROR('Planilla (Tecnología 1°) '!G32,""))</f>
        <v/>
      </c>
      <c r="K60" s="196">
        <f>IF('MAESTRO 1°'!B21="","",IFERROR('Planilla (E.Física 1°) '!G32,""))</f>
        <v/>
      </c>
      <c r="L60" s="196" t="n"/>
    </row>
    <row r="61">
      <c r="A61" s="84" t="n">
        <v>18</v>
      </c>
      <c r="B61" s="85">
        <f>IF('MAESTRO 1°'!B22="","",'MAESTRO 1°'!B22)</f>
        <v/>
      </c>
      <c r="C61" s="192">
        <f>IF('MAESTRO 1°'!B22="","",IFERROR('Planilla (Ingles 1°) '!G33,""))</f>
        <v/>
      </c>
      <c r="D61" s="192">
        <f>IF('MAESTRO 1°'!B22="","",IFERROR('Planilla (Español 1°) '!G33,""))</f>
        <v/>
      </c>
      <c r="E61" s="192">
        <f>IF('MAESTRO 1°'!B22="","",IFERROR('Planilla (Matemática 1°) '!G33,""))</f>
        <v/>
      </c>
      <c r="F61" s="192">
        <f>IF('MAESTRO 1°'!B22="","",IFERROR('Planilla (C.Sociales 1°) '!G33,""))</f>
        <v/>
      </c>
      <c r="G61" s="192">
        <f>IF('MAESTRO 1°'!B22="","",IFERROR('Planilla (C.Naturales 1°) '!G33,""))</f>
        <v/>
      </c>
      <c r="H61" s="192">
        <f>IF('MAESTRO 1°'!B22="","",IFERROR('Planilla (Religión 1°) '!G33,""))</f>
        <v/>
      </c>
      <c r="I61" s="192">
        <f>IF('MAESTRO 1°'!B22="","",IFERROR('Planilla (Artística 1°) '!G33,""))</f>
        <v/>
      </c>
      <c r="J61" s="192">
        <f>IF('MAESTRO 1°'!B22="","",IFERROR('Planilla (Tecnología 1°) '!G33,""))</f>
        <v/>
      </c>
      <c r="K61" s="192">
        <f>IF('MAESTRO 1°'!B22="","",IFERROR('Planilla (E.Física 1°) '!G33,""))</f>
        <v/>
      </c>
      <c r="L61" s="192" t="n"/>
    </row>
    <row r="62">
      <c r="A62" s="86" t="n">
        <v>19</v>
      </c>
      <c r="B62" s="87">
        <f>IF('MAESTRO 1°'!B23="","",'MAESTRO 1°'!B23)</f>
        <v/>
      </c>
      <c r="C62" s="196">
        <f>IF('MAESTRO 1°'!B23="","",IFERROR('Planilla (Ingles 1°) '!G34,""))</f>
        <v/>
      </c>
      <c r="D62" s="196">
        <f>IF('MAESTRO 1°'!B23="","",IFERROR('Planilla (Español 1°) '!G34,""))</f>
        <v/>
      </c>
      <c r="E62" s="196">
        <f>IF('MAESTRO 1°'!B23="","",IFERROR('Planilla (Matemática 1°) '!G34,""))</f>
        <v/>
      </c>
      <c r="F62" s="196">
        <f>IF('MAESTRO 1°'!B23="","",IFERROR('Planilla (C.Sociales 1°) '!G34,""))</f>
        <v/>
      </c>
      <c r="G62" s="196">
        <f>IF('MAESTRO 1°'!B23="","",IFERROR('Planilla (C.Naturales 1°) '!G34,""))</f>
        <v/>
      </c>
      <c r="H62" s="196">
        <f>IF('MAESTRO 1°'!B23="","",IFERROR('Planilla (Religión 1°) '!G34,""))</f>
        <v/>
      </c>
      <c r="I62" s="196">
        <f>IF('MAESTRO 1°'!B23="","",IFERROR('Planilla (Artística 1°) '!G34,""))</f>
        <v/>
      </c>
      <c r="J62" s="196">
        <f>IF('MAESTRO 1°'!B23="","",IFERROR('Planilla (Tecnología 1°) '!G34,""))</f>
        <v/>
      </c>
      <c r="K62" s="196">
        <f>IF('MAESTRO 1°'!B23="","",IFERROR('Planilla (E.Física 1°) '!G34,""))</f>
        <v/>
      </c>
      <c r="L62" s="196" t="n"/>
    </row>
    <row r="63">
      <c r="A63" s="84" t="n">
        <v>20</v>
      </c>
      <c r="B63" s="85">
        <f>IF('MAESTRO 1°'!B24="","",'MAESTRO 1°'!B24)</f>
        <v/>
      </c>
      <c r="C63" s="192">
        <f>IF('MAESTRO 1°'!B24="","",IFERROR('Planilla (Ingles 1°) '!G35,""))</f>
        <v/>
      </c>
      <c r="D63" s="192">
        <f>IF('MAESTRO 1°'!B24="","",IFERROR('Planilla (Español 1°) '!G35,""))</f>
        <v/>
      </c>
      <c r="E63" s="192">
        <f>IF('MAESTRO 1°'!B24="","",IFERROR('Planilla (Matemática 1°) '!G35,""))</f>
        <v/>
      </c>
      <c r="F63" s="192">
        <f>IF('MAESTRO 1°'!B24="","",IFERROR('Planilla (C.Sociales 1°) '!G35,""))</f>
        <v/>
      </c>
      <c r="G63" s="192">
        <f>IF('MAESTRO 1°'!B24="","",IFERROR('Planilla (C.Naturales 1°) '!G35,""))</f>
        <v/>
      </c>
      <c r="H63" s="192">
        <f>IF('MAESTRO 1°'!B24="","",IFERROR('Planilla (Religión 1°) '!G35,""))</f>
        <v/>
      </c>
      <c r="I63" s="192">
        <f>IF('MAESTRO 1°'!B24="","",IFERROR('Planilla (Artística 1°) '!G35,""))</f>
        <v/>
      </c>
      <c r="J63" s="192">
        <f>IF('MAESTRO 1°'!B24="","",IFERROR('Planilla (Tecnología 1°) '!G35,""))</f>
        <v/>
      </c>
      <c r="K63" s="192">
        <f>IF('MAESTRO 1°'!B24="","",IFERROR('Planilla (E.Física 1°) '!G35,""))</f>
        <v/>
      </c>
      <c r="L63" s="192" t="n"/>
    </row>
    <row r="64">
      <c r="A64" s="86" t="n">
        <v>21</v>
      </c>
      <c r="B64" s="87">
        <f>IF('MAESTRO 1°'!B25="","",'MAESTRO 1°'!B25)</f>
        <v/>
      </c>
      <c r="C64" s="196">
        <f>IF('MAESTRO 1°'!B25="","",IFERROR('Planilla (Ingles 1°) '!G36,""))</f>
        <v/>
      </c>
      <c r="D64" s="196">
        <f>IF('MAESTRO 1°'!B25="","",IFERROR('Planilla (Español 1°) '!G36,""))</f>
        <v/>
      </c>
      <c r="E64" s="196">
        <f>IF('MAESTRO 1°'!B25="","",IFERROR('Planilla (Matemática 1°) '!G36,""))</f>
        <v/>
      </c>
      <c r="F64" s="196">
        <f>IF('MAESTRO 1°'!B25="","",IFERROR('Planilla (C.Sociales 1°) '!G36,""))</f>
        <v/>
      </c>
      <c r="G64" s="196">
        <f>IF('MAESTRO 1°'!B25="","",IFERROR('Planilla (C.Naturales 1°) '!G36,""))</f>
        <v/>
      </c>
      <c r="H64" s="196">
        <f>IF('MAESTRO 1°'!B25="","",IFERROR('Planilla (Religión 1°) '!G36,""))</f>
        <v/>
      </c>
      <c r="I64" s="196">
        <f>IF('MAESTRO 1°'!B25="","",IFERROR('Planilla (Artística 1°) '!G36,""))</f>
        <v/>
      </c>
      <c r="J64" s="196">
        <f>IF('MAESTRO 1°'!B25="","",IFERROR('Planilla (Tecnología 1°) '!G36,""))</f>
        <v/>
      </c>
      <c r="K64" s="196">
        <f>IF('MAESTRO 1°'!B25="","",IFERROR('Planilla (E.Física 1°) '!G36,""))</f>
        <v/>
      </c>
      <c r="L64" s="196" t="n"/>
    </row>
    <row r="65">
      <c r="A65" s="84" t="n">
        <v>22</v>
      </c>
      <c r="B65" s="85">
        <f>IF('MAESTRO 1°'!B26="","",'MAESTRO 1°'!B26)</f>
        <v/>
      </c>
      <c r="C65" s="192">
        <f>IF('MAESTRO 1°'!B26="","",IFERROR('Planilla (Ingles 1°) '!G37,""))</f>
        <v/>
      </c>
      <c r="D65" s="192">
        <f>IF('MAESTRO 1°'!B26="","",IFERROR('Planilla (Español 1°) '!G37,""))</f>
        <v/>
      </c>
      <c r="E65" s="192">
        <f>IF('MAESTRO 1°'!B26="","",IFERROR('Planilla (Matemática 1°) '!G37,""))</f>
        <v/>
      </c>
      <c r="F65" s="192">
        <f>IF('MAESTRO 1°'!B26="","",IFERROR('Planilla (C.Sociales 1°) '!G37,""))</f>
        <v/>
      </c>
      <c r="G65" s="192">
        <f>IF('MAESTRO 1°'!B26="","",IFERROR('Planilla (C.Naturales 1°) '!G37,""))</f>
        <v/>
      </c>
      <c r="H65" s="192">
        <f>IF('MAESTRO 1°'!B26="","",IFERROR('Planilla (Religión 1°) '!G37,""))</f>
        <v/>
      </c>
      <c r="I65" s="192">
        <f>IF('MAESTRO 1°'!B26="","",IFERROR('Planilla (Artística 1°) '!G37,""))</f>
        <v/>
      </c>
      <c r="J65" s="192">
        <f>IF('MAESTRO 1°'!B26="","",IFERROR('Planilla (Tecnología 1°) '!G37,""))</f>
        <v/>
      </c>
      <c r="K65" s="192">
        <f>IF('MAESTRO 1°'!B26="","",IFERROR('Planilla (E.Física 1°) '!G37,""))</f>
        <v/>
      </c>
      <c r="L65" s="192" t="n"/>
    </row>
    <row r="66">
      <c r="A66" s="86" t="n">
        <v>23</v>
      </c>
      <c r="B66" s="87">
        <f>IF('MAESTRO 1°'!B27="","",'MAESTRO 1°'!B27)</f>
        <v/>
      </c>
      <c r="C66" s="196">
        <f>IF('MAESTRO 1°'!B27="","",IFERROR('Planilla (Ingles 1°) '!G38,""))</f>
        <v/>
      </c>
      <c r="D66" s="196">
        <f>IF('MAESTRO 1°'!B27="","",IFERROR('Planilla (Español 1°) '!G38,""))</f>
        <v/>
      </c>
      <c r="E66" s="196">
        <f>IF('MAESTRO 1°'!B27="","",IFERROR('Planilla (Matemática 1°) '!G38,""))</f>
        <v/>
      </c>
      <c r="F66" s="196">
        <f>IF('MAESTRO 1°'!B27="","",IFERROR('Planilla (C.Sociales 1°) '!G38,""))</f>
        <v/>
      </c>
      <c r="G66" s="196">
        <f>IF('MAESTRO 1°'!B27="","",IFERROR('Planilla (C.Naturales 1°) '!G38,""))</f>
        <v/>
      </c>
      <c r="H66" s="196">
        <f>IF('MAESTRO 1°'!B27="","",IFERROR('Planilla (Religión 1°) '!G38,""))</f>
        <v/>
      </c>
      <c r="I66" s="196">
        <f>IF('MAESTRO 1°'!B27="","",IFERROR('Planilla (Artística 1°) '!G38,""))</f>
        <v/>
      </c>
      <c r="J66" s="196">
        <f>IF('MAESTRO 1°'!B27="","",IFERROR('Planilla (Tecnología 1°) '!G38,""))</f>
        <v/>
      </c>
      <c r="K66" s="196">
        <f>IF('MAESTRO 1°'!B27="","",IFERROR('Planilla (E.Física 1°) '!G38,""))</f>
        <v/>
      </c>
      <c r="L66" s="196" t="n"/>
    </row>
    <row r="67">
      <c r="A67" s="84" t="n">
        <v>24</v>
      </c>
      <c r="B67" s="85">
        <f>IF('MAESTRO 1°'!B28="","",'MAESTRO 1°'!B28)</f>
        <v/>
      </c>
      <c r="C67" s="192">
        <f>IF('MAESTRO 1°'!B28="","",IFERROR('Planilla (Ingles 1°) '!G39,""))</f>
        <v/>
      </c>
      <c r="D67" s="192">
        <f>IF('MAESTRO 1°'!B28="","",IFERROR('Planilla (Español 1°) '!G39,""))</f>
        <v/>
      </c>
      <c r="E67" s="192">
        <f>IF('MAESTRO 1°'!B28="","",IFERROR('Planilla (Matemática 1°) '!G39,""))</f>
        <v/>
      </c>
      <c r="F67" s="192">
        <f>IF('MAESTRO 1°'!B28="","",IFERROR('Planilla (C.Sociales 1°) '!G39,""))</f>
        <v/>
      </c>
      <c r="G67" s="192">
        <f>IF('MAESTRO 1°'!B28="","",IFERROR('Planilla (C.Naturales 1°) '!G39,""))</f>
        <v/>
      </c>
      <c r="H67" s="192">
        <f>IF('MAESTRO 1°'!B28="","",IFERROR('Planilla (Religión 1°) '!G39,""))</f>
        <v/>
      </c>
      <c r="I67" s="192">
        <f>IF('MAESTRO 1°'!B28="","",IFERROR('Planilla (Artística 1°) '!G39,""))</f>
        <v/>
      </c>
      <c r="J67" s="192">
        <f>IF('MAESTRO 1°'!B28="","",IFERROR('Planilla (Tecnología 1°) '!G39,""))</f>
        <v/>
      </c>
      <c r="K67" s="192">
        <f>IF('MAESTRO 1°'!B28="","",IFERROR('Planilla (E.Física 1°) '!G39,""))</f>
        <v/>
      </c>
      <c r="L67" s="192" t="n"/>
    </row>
    <row r="68">
      <c r="A68" s="86" t="n">
        <v>25</v>
      </c>
      <c r="B68" s="87">
        <f>IF('MAESTRO 1°'!B29="","",'MAESTRO 1°'!B29)</f>
        <v/>
      </c>
      <c r="C68" s="196">
        <f>IF('MAESTRO 1°'!B29="","",IFERROR('Planilla (Ingles 1°) '!G40,""))</f>
        <v/>
      </c>
      <c r="D68" s="196">
        <f>IF('MAESTRO 1°'!B29="","",IFERROR('Planilla (Español 1°) '!G40,""))</f>
        <v/>
      </c>
      <c r="E68" s="196">
        <f>IF('MAESTRO 1°'!B29="","",IFERROR('Planilla (Matemática 1°) '!G40,""))</f>
        <v/>
      </c>
      <c r="F68" s="196">
        <f>IF('MAESTRO 1°'!B29="","",IFERROR('Planilla (C.Sociales 1°) '!G40,""))</f>
        <v/>
      </c>
      <c r="G68" s="196">
        <f>IF('MAESTRO 1°'!B29="","",IFERROR('Planilla (C.Naturales 1°) '!G40,""))</f>
        <v/>
      </c>
      <c r="H68" s="196">
        <f>IF('MAESTRO 1°'!B29="","",IFERROR('Planilla (Religión 1°) '!G40,""))</f>
        <v/>
      </c>
      <c r="I68" s="196">
        <f>IF('MAESTRO 1°'!B29="","",IFERROR('Planilla (Artística 1°) '!G40,""))</f>
        <v/>
      </c>
      <c r="J68" s="196">
        <f>IF('MAESTRO 1°'!B29="","",IFERROR('Planilla (Tecnología 1°) '!G40,""))</f>
        <v/>
      </c>
      <c r="K68" s="196">
        <f>IF('MAESTRO 1°'!B29="","",IFERROR('Planilla (E.Física 1°) '!G40,""))</f>
        <v/>
      </c>
      <c r="L68" s="196" t="n"/>
    </row>
    <row r="69">
      <c r="A69" s="84" t="n">
        <v>26</v>
      </c>
      <c r="B69" s="85">
        <f>IF('MAESTRO 1°'!B30="","",'MAESTRO 1°'!B30)</f>
        <v/>
      </c>
      <c r="C69" s="192">
        <f>IF('MAESTRO 1°'!B30="","",IFERROR('Planilla (Ingles 1°) '!G41,""))</f>
        <v/>
      </c>
      <c r="D69" s="192">
        <f>IF('MAESTRO 1°'!B30="","",IFERROR('Planilla (Español 1°) '!G41,""))</f>
        <v/>
      </c>
      <c r="E69" s="192">
        <f>IF('MAESTRO 1°'!B30="","",IFERROR('Planilla (Matemática 1°) '!G41,""))</f>
        <v/>
      </c>
      <c r="F69" s="192">
        <f>IF('MAESTRO 1°'!B30="","",IFERROR('Planilla (C.Sociales 1°) '!G41,""))</f>
        <v/>
      </c>
      <c r="G69" s="192">
        <f>IF('MAESTRO 1°'!B30="","",IFERROR('Planilla (C.Naturales 1°) '!G41,""))</f>
        <v/>
      </c>
      <c r="H69" s="192">
        <f>IF('MAESTRO 1°'!B30="","",IFERROR('Planilla (Religión 1°) '!G41,""))</f>
        <v/>
      </c>
      <c r="I69" s="192">
        <f>IF('MAESTRO 1°'!B30="","",IFERROR('Planilla (Artística 1°) '!G41,""))</f>
        <v/>
      </c>
      <c r="J69" s="192">
        <f>IF('MAESTRO 1°'!B30="","",IFERROR('Planilla (Tecnología 1°) '!G41,""))</f>
        <v/>
      </c>
      <c r="K69" s="192">
        <f>IF('MAESTRO 1°'!B30="","",IFERROR('Planilla (E.Física 1°) '!G41,""))</f>
        <v/>
      </c>
      <c r="L69" s="192" t="n"/>
    </row>
    <row r="70">
      <c r="A70" s="86" t="n">
        <v>27</v>
      </c>
      <c r="B70" s="87">
        <f>IF('MAESTRO 1°'!B31="","",'MAESTRO 1°'!B31)</f>
        <v/>
      </c>
      <c r="C70" s="196">
        <f>IF('MAESTRO 1°'!B31="","",IFERROR('Planilla (Ingles 1°) '!G42,""))</f>
        <v/>
      </c>
      <c r="D70" s="196">
        <f>IF('MAESTRO 1°'!B31="","",IFERROR('Planilla (Español 1°) '!G42,""))</f>
        <v/>
      </c>
      <c r="E70" s="196">
        <f>IF('MAESTRO 1°'!B31="","",IFERROR('Planilla (Matemática 1°) '!G42,""))</f>
        <v/>
      </c>
      <c r="F70" s="196">
        <f>IF('MAESTRO 1°'!B31="","",IFERROR('Planilla (C.Sociales 1°) '!G42,""))</f>
        <v/>
      </c>
      <c r="G70" s="196">
        <f>IF('MAESTRO 1°'!B31="","",IFERROR('Planilla (C.Naturales 1°) '!G42,""))</f>
        <v/>
      </c>
      <c r="H70" s="196">
        <f>IF('MAESTRO 1°'!B31="","",IFERROR('Planilla (Religión 1°) '!G42,""))</f>
        <v/>
      </c>
      <c r="I70" s="196">
        <f>IF('MAESTRO 1°'!B31="","",IFERROR('Planilla (Artística 1°) '!G42,""))</f>
        <v/>
      </c>
      <c r="J70" s="196">
        <f>IF('MAESTRO 1°'!B31="","",IFERROR('Planilla (Tecnología 1°) '!G42,""))</f>
        <v/>
      </c>
      <c r="K70" s="196">
        <f>IF('MAESTRO 1°'!B31="","",IFERROR('Planilla (E.Física 1°) '!G42,""))</f>
        <v/>
      </c>
      <c r="L70" s="196" t="n"/>
    </row>
    <row r="71">
      <c r="A71" s="84" t="n">
        <v>28</v>
      </c>
      <c r="B71" s="85">
        <f>IF('MAESTRO 1°'!B32="","",'MAESTRO 1°'!B32)</f>
        <v/>
      </c>
      <c r="C71" s="192">
        <f>IF('MAESTRO 1°'!B32="","",IFERROR('Planilla (Ingles 1°) '!G43,""))</f>
        <v/>
      </c>
      <c r="D71" s="192">
        <f>IF('MAESTRO 1°'!B32="","",IFERROR('Planilla (Español 1°) '!G43,""))</f>
        <v/>
      </c>
      <c r="E71" s="192">
        <f>IF('MAESTRO 1°'!B32="","",IFERROR('Planilla (Matemática 1°) '!G43,""))</f>
        <v/>
      </c>
      <c r="F71" s="192">
        <f>IF('MAESTRO 1°'!B32="","",IFERROR('Planilla (C.Sociales 1°) '!G43,""))</f>
        <v/>
      </c>
      <c r="G71" s="192">
        <f>IF('MAESTRO 1°'!B32="","",IFERROR('Planilla (C.Naturales 1°) '!G43,""))</f>
        <v/>
      </c>
      <c r="H71" s="192">
        <f>IF('MAESTRO 1°'!B32="","",IFERROR('Planilla (Religión 1°) '!G43,""))</f>
        <v/>
      </c>
      <c r="I71" s="192">
        <f>IF('MAESTRO 1°'!B32="","",IFERROR('Planilla (Artística 1°) '!G43,""))</f>
        <v/>
      </c>
      <c r="J71" s="192">
        <f>IF('MAESTRO 1°'!B32="","",IFERROR('Planilla (Tecnología 1°) '!G43,""))</f>
        <v/>
      </c>
      <c r="K71" s="192">
        <f>IF('MAESTRO 1°'!B32="","",IFERROR('Planilla (E.Física 1°) '!G43,""))</f>
        <v/>
      </c>
      <c r="L71" s="192" t="n"/>
    </row>
    <row r="72">
      <c r="A72" s="86" t="n">
        <v>29</v>
      </c>
      <c r="B72" s="87">
        <f>IF('MAESTRO 1°'!B33="","",'MAESTRO 1°'!B33)</f>
        <v/>
      </c>
      <c r="C72" s="196">
        <f>IF('MAESTRO 1°'!B33="","",IFERROR('Planilla (Ingles 1°) '!G44,""))</f>
        <v/>
      </c>
      <c r="D72" s="196">
        <f>IF('MAESTRO 1°'!B33="","",IFERROR('Planilla (Español 1°) '!G44,""))</f>
        <v/>
      </c>
      <c r="E72" s="196">
        <f>IF('MAESTRO 1°'!B33="","",IFERROR('Planilla (Matemática 1°) '!G44,""))</f>
        <v/>
      </c>
      <c r="F72" s="196">
        <f>IF('MAESTRO 1°'!B33="","",IFERROR('Planilla (C.Sociales 1°) '!G44,""))</f>
        <v/>
      </c>
      <c r="G72" s="196">
        <f>IF('MAESTRO 1°'!B33="","",IFERROR('Planilla (C.Naturales 1°) '!G44,""))</f>
        <v/>
      </c>
      <c r="H72" s="196">
        <f>IF('MAESTRO 1°'!B33="","",IFERROR('Planilla (Religión 1°) '!G44,""))</f>
        <v/>
      </c>
      <c r="I72" s="196">
        <f>IF('MAESTRO 1°'!B33="","",IFERROR('Planilla (Artística 1°) '!G44,""))</f>
        <v/>
      </c>
      <c r="J72" s="196">
        <f>IF('MAESTRO 1°'!B33="","",IFERROR('Planilla (Tecnología 1°) '!G44,""))</f>
        <v/>
      </c>
      <c r="K72" s="196">
        <f>IF('MAESTRO 1°'!B33="","",IFERROR('Planilla (E.Física 1°) '!G44,""))</f>
        <v/>
      </c>
      <c r="L72" s="196" t="n"/>
    </row>
    <row r="73">
      <c r="A73" s="84" t="n">
        <v>30</v>
      </c>
      <c r="B73" s="85">
        <f>IF('MAESTRO 1°'!B34="","",'MAESTRO 1°'!B34)</f>
        <v/>
      </c>
      <c r="C73" s="192">
        <f>IF('MAESTRO 1°'!B34="","",IFERROR('Planilla (Ingles 1°) '!G45,""))</f>
        <v/>
      </c>
      <c r="D73" s="192">
        <f>IF('MAESTRO 1°'!B34="","",IFERROR('Planilla (Español 1°) '!G45,""))</f>
        <v/>
      </c>
      <c r="E73" s="192">
        <f>IF('MAESTRO 1°'!B34="","",IFERROR('Planilla (Matemática 1°) '!G45,""))</f>
        <v/>
      </c>
      <c r="F73" s="192">
        <f>IF('MAESTRO 1°'!B34="","",IFERROR('Planilla (C.Sociales 1°) '!G45,""))</f>
        <v/>
      </c>
      <c r="G73" s="192">
        <f>IF('MAESTRO 1°'!B34="","",IFERROR('Planilla (C.Naturales 1°) '!G45,""))</f>
        <v/>
      </c>
      <c r="H73" s="192">
        <f>IF('MAESTRO 1°'!B34="","",IFERROR('Planilla (Religión 1°) '!G45,""))</f>
        <v/>
      </c>
      <c r="I73" s="192">
        <f>IF('MAESTRO 1°'!B34="","",IFERROR('Planilla (Artística 1°) '!G45,""))</f>
        <v/>
      </c>
      <c r="J73" s="192">
        <f>IF('MAESTRO 1°'!B34="","",IFERROR('Planilla (Tecnología 1°) '!G45,""))</f>
        <v/>
      </c>
      <c r="K73" s="192">
        <f>IF('MAESTRO 1°'!B34="","",IFERROR('Planilla (E.Física 1°) '!G45,""))</f>
        <v/>
      </c>
      <c r="L73" s="192" t="n"/>
    </row>
    <row r="74">
      <c r="A74" s="86" t="n">
        <v>31</v>
      </c>
      <c r="B74" s="87">
        <f>IF('MAESTRO 1°'!B35="","",'MAESTRO 1°'!B35)</f>
        <v/>
      </c>
      <c r="C74" s="196">
        <f>IF('MAESTRO 1°'!B35="","",IFERROR('Planilla (Ingles 1°) '!G46,""))</f>
        <v/>
      </c>
      <c r="D74" s="196">
        <f>IF('MAESTRO 1°'!B35="","",IFERROR('Planilla (Español 1°) '!G46,""))</f>
        <v/>
      </c>
      <c r="E74" s="196">
        <f>IF('MAESTRO 1°'!B35="","",IFERROR('Planilla (Matemática 1°) '!G46,""))</f>
        <v/>
      </c>
      <c r="F74" s="196">
        <f>IF('MAESTRO 1°'!B35="","",IFERROR('Planilla (C.Sociales 1°) '!G46,""))</f>
        <v/>
      </c>
      <c r="G74" s="196">
        <f>IF('MAESTRO 1°'!B35="","",IFERROR('Planilla (C.Naturales 1°) '!G46,""))</f>
        <v/>
      </c>
      <c r="H74" s="196">
        <f>IF('MAESTRO 1°'!B35="","",IFERROR('Planilla (Religión 1°) '!G46,""))</f>
        <v/>
      </c>
      <c r="I74" s="196">
        <f>IF('MAESTRO 1°'!B35="","",IFERROR('Planilla (Artística 1°) '!G46,""))</f>
        <v/>
      </c>
      <c r="J74" s="196">
        <f>IF('MAESTRO 1°'!B35="","",IFERROR('Planilla (Tecnología 1°) '!G46,""))</f>
        <v/>
      </c>
      <c r="K74" s="196">
        <f>IF('MAESTRO 1°'!B35="","",IFERROR('Planilla (E.Física 1°) '!G46,""))</f>
        <v/>
      </c>
      <c r="L74" s="196" t="n"/>
    </row>
    <row r="75">
      <c r="A75" s="84" t="n">
        <v>32</v>
      </c>
      <c r="B75" s="85">
        <f>IF('MAESTRO 1°'!B36="","",'MAESTRO 1°'!B36)</f>
        <v/>
      </c>
      <c r="C75" s="192">
        <f>IF('MAESTRO 1°'!B36="","",IFERROR('Planilla (Ingles 1°) '!G47,""))</f>
        <v/>
      </c>
      <c r="D75" s="192">
        <f>IF('MAESTRO 1°'!B36="","",IFERROR('Planilla (Español 1°) '!G47,""))</f>
        <v/>
      </c>
      <c r="E75" s="192">
        <f>IF('MAESTRO 1°'!B36="","",IFERROR('Planilla (Matemática 1°) '!G47,""))</f>
        <v/>
      </c>
      <c r="F75" s="192">
        <f>IF('MAESTRO 1°'!B36="","",IFERROR('Planilla (C.Sociales 1°) '!G47,""))</f>
        <v/>
      </c>
      <c r="G75" s="192">
        <f>IF('MAESTRO 1°'!B36="","",IFERROR('Planilla (C.Naturales 1°) '!G47,""))</f>
        <v/>
      </c>
      <c r="H75" s="192">
        <f>IF('MAESTRO 1°'!B36="","",IFERROR('Planilla (Religión 1°) '!G47,""))</f>
        <v/>
      </c>
      <c r="I75" s="192">
        <f>IF('MAESTRO 1°'!B36="","",IFERROR('Planilla (Artística 1°) '!G47,""))</f>
        <v/>
      </c>
      <c r="J75" s="192">
        <f>IF('MAESTRO 1°'!B36="","",IFERROR('Planilla (Tecnología 1°) '!G47,""))</f>
        <v/>
      </c>
      <c r="K75" s="192">
        <f>IF('MAESTRO 1°'!B36="","",IFERROR('Planilla (E.Física 1°) '!G47,""))</f>
        <v/>
      </c>
      <c r="L75" s="192" t="n"/>
    </row>
    <row r="76">
      <c r="A76" s="86" t="n">
        <v>33</v>
      </c>
      <c r="B76" s="87">
        <f>IF('MAESTRO 1°'!B37="","",'MAESTRO 1°'!B37)</f>
        <v/>
      </c>
      <c r="C76" s="196">
        <f>IF('MAESTRO 1°'!B37="","",IFERROR('Planilla (Ingles 1°) '!G48,""))</f>
        <v/>
      </c>
      <c r="D76" s="196">
        <f>IF('MAESTRO 1°'!B37="","",IFERROR('Planilla (Español 1°) '!G48,""))</f>
        <v/>
      </c>
      <c r="E76" s="196">
        <f>IF('MAESTRO 1°'!B37="","",IFERROR('Planilla (Matemática 1°) '!G48,""))</f>
        <v/>
      </c>
      <c r="F76" s="196">
        <f>IF('MAESTRO 1°'!B37="","",IFERROR('Planilla (C.Sociales 1°) '!G48,""))</f>
        <v/>
      </c>
      <c r="G76" s="196">
        <f>IF('MAESTRO 1°'!B37="","",IFERROR('Planilla (C.Naturales 1°) '!G48,""))</f>
        <v/>
      </c>
      <c r="H76" s="196">
        <f>IF('MAESTRO 1°'!B37="","",IFERROR('Planilla (Religión 1°) '!G48,""))</f>
        <v/>
      </c>
      <c r="I76" s="196">
        <f>IF('MAESTRO 1°'!B37="","",IFERROR('Planilla (Artística 1°) '!G48,""))</f>
        <v/>
      </c>
      <c r="J76" s="196">
        <f>IF('MAESTRO 1°'!B37="","",IFERROR('Planilla (Tecnología 1°) '!G48,""))</f>
        <v/>
      </c>
      <c r="K76" s="196">
        <f>IF('MAESTRO 1°'!B37="","",IFERROR('Planilla (E.Física 1°) '!G48,""))</f>
        <v/>
      </c>
      <c r="L76" s="196" t="n"/>
    </row>
    <row r="77">
      <c r="A77" s="84" t="n">
        <v>34</v>
      </c>
      <c r="B77" s="85">
        <f>IF('MAESTRO 1°'!B38="","",'MAESTRO 1°'!B38)</f>
        <v/>
      </c>
      <c r="C77" s="192">
        <f>IF('MAESTRO 1°'!B38="","",IFERROR('Planilla (Ingles 1°) '!G49,""))</f>
        <v/>
      </c>
      <c r="D77" s="192">
        <f>IF('MAESTRO 1°'!B38="","",IFERROR('Planilla (Español 1°) '!G49,""))</f>
        <v/>
      </c>
      <c r="E77" s="192">
        <f>IF('MAESTRO 1°'!B38="","",IFERROR('Planilla (Matemática 1°) '!G49,""))</f>
        <v/>
      </c>
      <c r="F77" s="192">
        <f>IF('MAESTRO 1°'!B38="","",IFERROR('Planilla (C.Sociales 1°) '!G49,""))</f>
        <v/>
      </c>
      <c r="G77" s="192">
        <f>IF('MAESTRO 1°'!B38="","",IFERROR('Planilla (C.Naturales 1°) '!G49,""))</f>
        <v/>
      </c>
      <c r="H77" s="192">
        <f>IF('MAESTRO 1°'!B38="","",IFERROR('Planilla (Religión 1°) '!G49,""))</f>
        <v/>
      </c>
      <c r="I77" s="192">
        <f>IF('MAESTRO 1°'!B38="","",IFERROR('Planilla (Artística 1°) '!G49,""))</f>
        <v/>
      </c>
      <c r="J77" s="192">
        <f>IF('MAESTRO 1°'!B38="","",IFERROR('Planilla (Tecnología 1°) '!G49,""))</f>
        <v/>
      </c>
      <c r="K77" s="192">
        <f>IF('MAESTRO 1°'!B38="","",IFERROR('Planilla (E.Física 1°) '!G49,""))</f>
        <v/>
      </c>
      <c r="L77" s="192" t="n"/>
    </row>
    <row r="78">
      <c r="A78" s="86" t="n">
        <v>35</v>
      </c>
      <c r="B78" s="87">
        <f>IF('MAESTRO 1°'!B39="","",'MAESTRO 1°'!B39)</f>
        <v/>
      </c>
      <c r="C78" s="196">
        <f>IF('MAESTRO 1°'!B39="","",IFERROR('Planilla (Ingles 1°) '!G50,""))</f>
        <v/>
      </c>
      <c r="D78" s="196">
        <f>IF('MAESTRO 1°'!B39="","",IFERROR('Planilla (Español 1°) '!G50,""))</f>
        <v/>
      </c>
      <c r="E78" s="196">
        <f>IF('MAESTRO 1°'!B39="","",IFERROR('Planilla (Matemática 1°) '!G50,""))</f>
        <v/>
      </c>
      <c r="F78" s="196">
        <f>IF('MAESTRO 1°'!B39="","",IFERROR('Planilla (C.Sociales 1°) '!G50,""))</f>
        <v/>
      </c>
      <c r="G78" s="196">
        <f>IF('MAESTRO 1°'!B39="","",IFERROR('Planilla (C.Naturales 1°) '!G50,""))</f>
        <v/>
      </c>
      <c r="H78" s="196">
        <f>IF('MAESTRO 1°'!B39="","",IFERROR('Planilla (Religión 1°) '!G50,""))</f>
        <v/>
      </c>
      <c r="I78" s="196">
        <f>IF('MAESTRO 1°'!B39="","",IFERROR('Planilla (Artística 1°) '!G50,""))</f>
        <v/>
      </c>
      <c r="J78" s="196">
        <f>IF('MAESTRO 1°'!B39="","",IFERROR('Planilla (Tecnología 1°) '!G50,""))</f>
        <v/>
      </c>
      <c r="K78" s="196">
        <f>IF('MAESTRO 1°'!B39="","",IFERROR('Planilla (E.Física 1°) '!G50,""))</f>
        <v/>
      </c>
      <c r="L78" s="196" t="n"/>
    </row>
    <row r="79">
      <c r="A79" s="209" t="inlineStr">
        <is>
          <t>PROMEDIO DEL GRUPO</t>
        </is>
      </c>
      <c r="B79" s="194" t="n"/>
      <c r="C79" s="90">
        <f>IFERROR(ROUND(AVERAGEIF(C44:C78,"&lt;&gt;"&amp;""),1),"")</f>
        <v/>
      </c>
      <c r="D79" s="90">
        <f>IFERROR(ROUND(AVERAGEIF(D44:D78,"&lt;&gt;"&amp;""),1),"")</f>
        <v/>
      </c>
      <c r="E79" s="90">
        <f>IFERROR(ROUND(AVERAGEIF(E44:E78,"&lt;&gt;"&amp;""),1),"")</f>
        <v/>
      </c>
      <c r="F79" s="90">
        <f>IFERROR(ROUND(AVERAGEIF(F44:F78,"&lt;&gt;"&amp;""),1),"")</f>
        <v/>
      </c>
      <c r="G79" s="90">
        <f>IFERROR(ROUND(AVERAGEIF(G44:G78,"&lt;&gt;"&amp;""),1),"")</f>
        <v/>
      </c>
      <c r="H79" s="90">
        <f>IFERROR(ROUND(AVERAGEIF(H44:H78,"&lt;&gt;"&amp;""),1),"")</f>
        <v/>
      </c>
      <c r="I79" s="90">
        <f>IFERROR(ROUND(AVERAGEIF(I44:I78,"&lt;&gt;"&amp;""),1),"")</f>
        <v/>
      </c>
      <c r="J79" s="90">
        <f>IFERROR(ROUND(AVERAGEIF(J44:J78,"&lt;&gt;"&amp;""),1),"")</f>
        <v/>
      </c>
      <c r="K79" s="90">
        <f>IFERROR(ROUND(AVERAGEIF(K44:K78,"&lt;&gt;"&amp;""),1),"")</f>
        <v/>
      </c>
      <c r="L79" s="90" t="n"/>
    </row>
    <row r="83">
      <c r="A83" s="205" t="inlineStr">
        <is>
          <t>Nota: TERCER TRIMESTRE</t>
        </is>
      </c>
      <c r="B83" s="200" t="n"/>
      <c r="C83" s="200" t="n"/>
      <c r="D83" s="200" t="n"/>
      <c r="E83" s="200" t="n"/>
      <c r="F83" s="200" t="n"/>
      <c r="G83" s="200" t="n"/>
      <c r="H83" s="200" t="n"/>
      <c r="I83" s="200" t="n"/>
      <c r="J83" s="200" t="n"/>
      <c r="K83" s="200" t="n"/>
      <c r="L83" s="200" t="n"/>
    </row>
    <row r="84" ht="66" customHeight="1" s="147">
      <c r="A84" s="206" t="inlineStr">
        <is>
          <t>No.</t>
        </is>
      </c>
      <c r="B84" s="206" t="inlineStr">
        <is>
          <t>APELLIDO, NOMBRE</t>
        </is>
      </c>
      <c r="C84" s="95" t="inlineStr">
        <is>
          <t>INGLES</t>
        </is>
      </c>
      <c r="D84" s="95" t="inlineStr">
        <is>
          <t>ESPAÑOL</t>
        </is>
      </c>
      <c r="E84" s="95" t="inlineStr">
        <is>
          <t>Matemática</t>
        </is>
      </c>
      <c r="F84" s="95" t="inlineStr">
        <is>
          <t>C.SOCIALES</t>
        </is>
      </c>
      <c r="G84" s="95" t="inlineStr">
        <is>
          <t>C.NATURALES</t>
        </is>
      </c>
      <c r="H84" s="95" t="inlineStr">
        <is>
          <t>Religión</t>
        </is>
      </c>
      <c r="I84" s="95" t="inlineStr">
        <is>
          <t>Artística</t>
        </is>
      </c>
      <c r="J84" s="95" t="inlineStr">
        <is>
          <t>TECNOLOGIA</t>
        </is>
      </c>
      <c r="K84" s="95" t="inlineStr">
        <is>
          <t>E. FISICA</t>
        </is>
      </c>
      <c r="L84" s="208" t="inlineStr">
        <is>
          <t>ESTADO</t>
        </is>
      </c>
    </row>
    <row r="85">
      <c r="A85" s="207" t="n"/>
      <c r="B85" s="207" t="n"/>
      <c r="C85" s="202" t="inlineStr">
        <is>
          <t>FINAL</t>
        </is>
      </c>
      <c r="D85" s="202" t="inlineStr">
        <is>
          <t>FINAL</t>
        </is>
      </c>
      <c r="E85" s="202" t="inlineStr">
        <is>
          <t>FINAL</t>
        </is>
      </c>
      <c r="F85" s="202" t="inlineStr">
        <is>
          <t>FINAL</t>
        </is>
      </c>
      <c r="G85" s="202" t="inlineStr">
        <is>
          <t>FINAL</t>
        </is>
      </c>
      <c r="H85" s="202" t="inlineStr">
        <is>
          <t>FINAL</t>
        </is>
      </c>
      <c r="I85" s="202" t="inlineStr">
        <is>
          <t>FINAL</t>
        </is>
      </c>
      <c r="J85" s="202" t="inlineStr">
        <is>
          <t>FINAL</t>
        </is>
      </c>
      <c r="K85" s="202" t="inlineStr">
        <is>
          <t>FINAL</t>
        </is>
      </c>
      <c r="L85" s="207" t="n"/>
    </row>
    <row r="86">
      <c r="A86" s="86" t="n">
        <v>1</v>
      </c>
      <c r="B86" s="87">
        <f>IF('MAESTRO 1°'!B5="","",'MAESTRO 1°'!B5)</f>
        <v/>
      </c>
      <c r="C86" s="196">
        <f>IF('MAESTRO 1°'!B5="","",IFERROR('Planilla (Ingles 1°) '!H16,""))</f>
        <v/>
      </c>
      <c r="D86" s="196">
        <f>IF('MAESTRO 1°'!B5="","",IFERROR('Planilla (Español 1°) '!H16,""))</f>
        <v/>
      </c>
      <c r="E86" s="196">
        <f>IF('MAESTRO 1°'!B5="","",IFERROR('Planilla (Matemática 1°) '!H16,""))</f>
        <v/>
      </c>
      <c r="F86" s="196">
        <f>IF('MAESTRO 1°'!B5="","",IFERROR('Planilla (C.Sociales 1°) '!H16,""))</f>
        <v/>
      </c>
      <c r="G86" s="196">
        <f>IF('MAESTRO 1°'!B5="","",IFERROR('Planilla (C.Naturales 1°) '!H16,""))</f>
        <v/>
      </c>
      <c r="H86" s="196">
        <f>IF('MAESTRO 1°'!B5="","",IFERROR('Planilla (Religión 1°) '!H16,""))</f>
        <v/>
      </c>
      <c r="I86" s="196">
        <f>IF('MAESTRO 1°'!B5="","",IFERROR('Planilla (Artística 1°) '!H16,""))</f>
        <v/>
      </c>
      <c r="J86" s="196">
        <f>IF('MAESTRO 1°'!B5="","",IFERROR('Planilla (Tecnología 1°) '!H16,""))</f>
        <v/>
      </c>
      <c r="K86" s="196">
        <f>IF('MAESTRO 1°'!B5="","",IFERROR('Planilla (E.Física 1°) '!H16,""))</f>
        <v/>
      </c>
      <c r="L86" s="196" t="n"/>
    </row>
    <row r="87">
      <c r="A87" s="84" t="n">
        <v>2</v>
      </c>
      <c r="B87" s="85">
        <f>IF('MAESTRO 1°'!B6="","",'MAESTRO 1°'!B6)</f>
        <v/>
      </c>
      <c r="C87" s="192">
        <f>IF('MAESTRO 1°'!B6="","",IFERROR('Planilla (Ingles 1°) '!H17,""))</f>
        <v/>
      </c>
      <c r="D87" s="192">
        <f>IF('MAESTRO 1°'!B6="","",IFERROR('Planilla (Español 1°) '!H17,""))</f>
        <v/>
      </c>
      <c r="E87" s="192">
        <f>IF('MAESTRO 1°'!B6="","",IFERROR('Planilla (Matemática 1°) '!H17,""))</f>
        <v/>
      </c>
      <c r="F87" s="192">
        <f>IF('MAESTRO 1°'!B6="","",IFERROR('Planilla (C.Sociales 1°) '!H17,""))</f>
        <v/>
      </c>
      <c r="G87" s="192">
        <f>IF('MAESTRO 1°'!B6="","",IFERROR('Planilla (C.Naturales 1°) '!H17,""))</f>
        <v/>
      </c>
      <c r="H87" s="192">
        <f>IF('MAESTRO 1°'!B6="","",IFERROR('Planilla (Religión 1°) '!H17,""))</f>
        <v/>
      </c>
      <c r="I87" s="192">
        <f>IF('MAESTRO 1°'!B6="","",IFERROR('Planilla (Artística 1°) '!H17,""))</f>
        <v/>
      </c>
      <c r="J87" s="192">
        <f>IF('MAESTRO 1°'!B6="","",IFERROR('Planilla (Tecnología 1°) '!H17,""))</f>
        <v/>
      </c>
      <c r="K87" s="192">
        <f>IF('MAESTRO 1°'!B6="","",IFERROR('Planilla (E.Física 1°) '!H17,""))</f>
        <v/>
      </c>
      <c r="L87" s="192" t="n"/>
    </row>
    <row r="88">
      <c r="A88" s="86" t="n">
        <v>3</v>
      </c>
      <c r="B88" s="87">
        <f>IF('MAESTRO 1°'!B7="","",'MAESTRO 1°'!B7)</f>
        <v/>
      </c>
      <c r="C88" s="196">
        <f>IF('MAESTRO 1°'!B7="","",IFERROR('Planilla (Ingles 1°) '!H18,""))</f>
        <v/>
      </c>
      <c r="D88" s="196">
        <f>IF('MAESTRO 1°'!B7="","",IFERROR('Planilla (Español 1°) '!H18,""))</f>
        <v/>
      </c>
      <c r="E88" s="196">
        <f>IF('MAESTRO 1°'!B7="","",IFERROR('Planilla (Matemática 1°) '!H18,""))</f>
        <v/>
      </c>
      <c r="F88" s="196">
        <f>IF('MAESTRO 1°'!B7="","",IFERROR('Planilla (C.Sociales 1°) '!H18,""))</f>
        <v/>
      </c>
      <c r="G88" s="196">
        <f>IF('MAESTRO 1°'!B7="","",IFERROR('Planilla (C.Naturales 1°) '!H18,""))</f>
        <v/>
      </c>
      <c r="H88" s="196">
        <f>IF('MAESTRO 1°'!B7="","",IFERROR('Planilla (Religión 1°) '!H18,""))</f>
        <v/>
      </c>
      <c r="I88" s="196">
        <f>IF('MAESTRO 1°'!B7="","",IFERROR('Planilla (Artística 1°) '!H18,""))</f>
        <v/>
      </c>
      <c r="J88" s="196">
        <f>IF('MAESTRO 1°'!B7="","",IFERROR('Planilla (Tecnología 1°) '!H18,""))</f>
        <v/>
      </c>
      <c r="K88" s="196">
        <f>IF('MAESTRO 1°'!B7="","",IFERROR('Planilla (E.Física 1°) '!H18,""))</f>
        <v/>
      </c>
      <c r="L88" s="196" t="n"/>
    </row>
    <row r="89">
      <c r="A89" s="84" t="n">
        <v>4</v>
      </c>
      <c r="B89" s="85">
        <f>IF('MAESTRO 1°'!B8="","",'MAESTRO 1°'!B8)</f>
        <v/>
      </c>
      <c r="C89" s="192">
        <f>IF('MAESTRO 1°'!B8="","",IFERROR('Planilla (Ingles 1°) '!H19,""))</f>
        <v/>
      </c>
      <c r="D89" s="192">
        <f>IF('MAESTRO 1°'!B8="","",IFERROR('Planilla (Español 1°) '!H19,""))</f>
        <v/>
      </c>
      <c r="E89" s="192">
        <f>IF('MAESTRO 1°'!B8="","",IFERROR('Planilla (Matemática 1°) '!H19,""))</f>
        <v/>
      </c>
      <c r="F89" s="192">
        <f>IF('MAESTRO 1°'!B8="","",IFERROR('Planilla (C.Sociales 1°) '!H19,""))</f>
        <v/>
      </c>
      <c r="G89" s="192">
        <f>IF('MAESTRO 1°'!B8="","",IFERROR('Planilla (C.Naturales 1°) '!H19,""))</f>
        <v/>
      </c>
      <c r="H89" s="192">
        <f>IF('MAESTRO 1°'!B8="","",IFERROR('Planilla (Religión 1°) '!H19,""))</f>
        <v/>
      </c>
      <c r="I89" s="192">
        <f>IF('MAESTRO 1°'!B8="","",IFERROR('Planilla (Artística 1°) '!H19,""))</f>
        <v/>
      </c>
      <c r="J89" s="192">
        <f>IF('MAESTRO 1°'!B8="","",IFERROR('Planilla (Tecnología 1°) '!H19,""))</f>
        <v/>
      </c>
      <c r="K89" s="192">
        <f>IF('MAESTRO 1°'!B8="","",IFERROR('Planilla (E.Física 1°) '!H19,""))</f>
        <v/>
      </c>
      <c r="L89" s="192" t="n"/>
    </row>
    <row r="90">
      <c r="A90" s="86" t="n">
        <v>5</v>
      </c>
      <c r="B90" s="87">
        <f>IF('MAESTRO 1°'!B9="","",'MAESTRO 1°'!B9)</f>
        <v/>
      </c>
      <c r="C90" s="196">
        <f>IF('MAESTRO 1°'!B9="","",IFERROR('Planilla (Ingles 1°) '!H20,""))</f>
        <v/>
      </c>
      <c r="D90" s="196">
        <f>IF('MAESTRO 1°'!B9="","",IFERROR('Planilla (Español 1°) '!H20,""))</f>
        <v/>
      </c>
      <c r="E90" s="196">
        <f>IF('MAESTRO 1°'!B9="","",IFERROR('Planilla (Matemática 1°) '!H20,""))</f>
        <v/>
      </c>
      <c r="F90" s="196">
        <f>IF('MAESTRO 1°'!B9="","",IFERROR('Planilla (C.Sociales 1°) '!H20,""))</f>
        <v/>
      </c>
      <c r="G90" s="196">
        <f>IF('MAESTRO 1°'!B9="","",IFERROR('Planilla (C.Naturales 1°) '!H20,""))</f>
        <v/>
      </c>
      <c r="H90" s="196">
        <f>IF('MAESTRO 1°'!B9="","",IFERROR('Planilla (Religión 1°) '!H20,""))</f>
        <v/>
      </c>
      <c r="I90" s="196">
        <f>IF('MAESTRO 1°'!B9="","",IFERROR('Planilla (Artística 1°) '!H20,""))</f>
        <v/>
      </c>
      <c r="J90" s="196">
        <f>IF('MAESTRO 1°'!B9="","",IFERROR('Planilla (Tecnología 1°) '!H20,""))</f>
        <v/>
      </c>
      <c r="K90" s="196">
        <f>IF('MAESTRO 1°'!B9="","",IFERROR('Planilla (E.Física 1°) '!H20,""))</f>
        <v/>
      </c>
      <c r="L90" s="196" t="n"/>
    </row>
    <row r="91">
      <c r="A91" s="84" t="n">
        <v>6</v>
      </c>
      <c r="B91" s="85">
        <f>IF('MAESTRO 1°'!B10="","",'MAESTRO 1°'!B10)</f>
        <v/>
      </c>
      <c r="C91" s="192">
        <f>IF('MAESTRO 1°'!B10="","",IFERROR('Planilla (Ingles 1°) '!H21,""))</f>
        <v/>
      </c>
      <c r="D91" s="192">
        <f>IF('MAESTRO 1°'!B10="","",IFERROR('Planilla (Español 1°) '!H21,""))</f>
        <v/>
      </c>
      <c r="E91" s="192">
        <f>IF('MAESTRO 1°'!B10="","",IFERROR('Planilla (Matemática 1°) '!H21,""))</f>
        <v/>
      </c>
      <c r="F91" s="192">
        <f>IF('MAESTRO 1°'!B10="","",IFERROR('Planilla (C.Sociales 1°) '!H21,""))</f>
        <v/>
      </c>
      <c r="G91" s="192">
        <f>IF('MAESTRO 1°'!B10="","",IFERROR('Planilla (C.Naturales 1°) '!H21,""))</f>
        <v/>
      </c>
      <c r="H91" s="192">
        <f>IF('MAESTRO 1°'!B10="","",IFERROR('Planilla (Religión 1°) '!H21,""))</f>
        <v/>
      </c>
      <c r="I91" s="192">
        <f>IF('MAESTRO 1°'!B10="","",IFERROR('Planilla (Artística 1°) '!H21,""))</f>
        <v/>
      </c>
      <c r="J91" s="192">
        <f>IF('MAESTRO 1°'!B10="","",IFERROR('Planilla (Tecnología 1°) '!H21,""))</f>
        <v/>
      </c>
      <c r="K91" s="192">
        <f>IF('MAESTRO 1°'!B10="","",IFERROR('Planilla (E.Física 1°) '!H21,""))</f>
        <v/>
      </c>
      <c r="L91" s="192" t="n"/>
    </row>
    <row r="92">
      <c r="A92" s="86" t="n">
        <v>7</v>
      </c>
      <c r="B92" s="87">
        <f>IF('MAESTRO 1°'!B11="","",'MAESTRO 1°'!B11)</f>
        <v/>
      </c>
      <c r="C92" s="196">
        <f>IF('MAESTRO 1°'!B11="","",IFERROR('Planilla (Ingles 1°) '!H22,""))</f>
        <v/>
      </c>
      <c r="D92" s="196">
        <f>IF('MAESTRO 1°'!B11="","",IFERROR('Planilla (Español 1°) '!H22,""))</f>
        <v/>
      </c>
      <c r="E92" s="196">
        <f>IF('MAESTRO 1°'!B11="","",IFERROR('Planilla (Matemática 1°) '!H22,""))</f>
        <v/>
      </c>
      <c r="F92" s="196">
        <f>IF('MAESTRO 1°'!B11="","",IFERROR('Planilla (C.Sociales 1°) '!H22,""))</f>
        <v/>
      </c>
      <c r="G92" s="196">
        <f>IF('MAESTRO 1°'!B11="","",IFERROR('Planilla (C.Naturales 1°) '!H22,""))</f>
        <v/>
      </c>
      <c r="H92" s="196">
        <f>IF('MAESTRO 1°'!B11="","",IFERROR('Planilla (Religión 1°) '!H22,""))</f>
        <v/>
      </c>
      <c r="I92" s="196">
        <f>IF('MAESTRO 1°'!B11="","",IFERROR('Planilla (Artística 1°) '!H22,""))</f>
        <v/>
      </c>
      <c r="J92" s="196">
        <f>IF('MAESTRO 1°'!B11="","",IFERROR('Planilla (Tecnología 1°) '!H22,""))</f>
        <v/>
      </c>
      <c r="K92" s="196">
        <f>IF('MAESTRO 1°'!B11="","",IFERROR('Planilla (E.Física 1°) '!H22,""))</f>
        <v/>
      </c>
      <c r="L92" s="196" t="n"/>
    </row>
    <row r="93">
      <c r="A93" s="84" t="n">
        <v>8</v>
      </c>
      <c r="B93" s="85">
        <f>IF('MAESTRO 1°'!B12="","",'MAESTRO 1°'!B12)</f>
        <v/>
      </c>
      <c r="C93" s="192">
        <f>IF('MAESTRO 1°'!B12="","",IFERROR('Planilla (Ingles 1°) '!H23,""))</f>
        <v/>
      </c>
      <c r="D93" s="192">
        <f>IF('MAESTRO 1°'!B12="","",IFERROR('Planilla (Español 1°) '!H23,""))</f>
        <v/>
      </c>
      <c r="E93" s="192">
        <f>IF('MAESTRO 1°'!B12="","",IFERROR('Planilla (Matemática 1°) '!H23,""))</f>
        <v/>
      </c>
      <c r="F93" s="192">
        <f>IF('MAESTRO 1°'!B12="","",IFERROR('Planilla (C.Sociales 1°) '!H23,""))</f>
        <v/>
      </c>
      <c r="G93" s="192">
        <f>IF('MAESTRO 1°'!B12="","",IFERROR('Planilla (C.Naturales 1°) '!H23,""))</f>
        <v/>
      </c>
      <c r="H93" s="192">
        <f>IF('MAESTRO 1°'!B12="","",IFERROR('Planilla (Religión 1°) '!H23,""))</f>
        <v/>
      </c>
      <c r="I93" s="192">
        <f>IF('MAESTRO 1°'!B12="","",IFERROR('Planilla (Artística 1°) '!H23,""))</f>
        <v/>
      </c>
      <c r="J93" s="192">
        <f>IF('MAESTRO 1°'!B12="","",IFERROR('Planilla (Tecnología 1°) '!H23,""))</f>
        <v/>
      </c>
      <c r="K93" s="192">
        <f>IF('MAESTRO 1°'!B12="","",IFERROR('Planilla (E.Física 1°) '!H23,""))</f>
        <v/>
      </c>
      <c r="L93" s="192" t="n"/>
    </row>
    <row r="94">
      <c r="A94" s="86" t="n">
        <v>9</v>
      </c>
      <c r="B94" s="87">
        <f>IF('MAESTRO 1°'!B13="","",'MAESTRO 1°'!B13)</f>
        <v/>
      </c>
      <c r="C94" s="196">
        <f>IF('MAESTRO 1°'!B13="","",IFERROR('Planilla (Ingles 1°) '!H24,""))</f>
        <v/>
      </c>
      <c r="D94" s="196">
        <f>IF('MAESTRO 1°'!B13="","",IFERROR('Planilla (Español 1°) '!H24,""))</f>
        <v/>
      </c>
      <c r="E94" s="196">
        <f>IF('MAESTRO 1°'!B13="","",IFERROR('Planilla (Matemática 1°) '!H24,""))</f>
        <v/>
      </c>
      <c r="F94" s="196">
        <f>IF('MAESTRO 1°'!B13="","",IFERROR('Planilla (C.Sociales 1°) '!H24,""))</f>
        <v/>
      </c>
      <c r="G94" s="196">
        <f>IF('MAESTRO 1°'!B13="","",IFERROR('Planilla (C.Naturales 1°) '!H24,""))</f>
        <v/>
      </c>
      <c r="H94" s="196">
        <f>IF('MAESTRO 1°'!B13="","",IFERROR('Planilla (Religión 1°) '!H24,""))</f>
        <v/>
      </c>
      <c r="I94" s="196">
        <f>IF('MAESTRO 1°'!B13="","",IFERROR('Planilla (Artística 1°) '!H24,""))</f>
        <v/>
      </c>
      <c r="J94" s="196">
        <f>IF('MAESTRO 1°'!B13="","",IFERROR('Planilla (Tecnología 1°) '!H24,""))</f>
        <v/>
      </c>
      <c r="K94" s="196">
        <f>IF('MAESTRO 1°'!B13="","",IFERROR('Planilla (E.Física 1°) '!H24,""))</f>
        <v/>
      </c>
      <c r="L94" s="196" t="n"/>
    </row>
    <row r="95">
      <c r="A95" s="84" t="n">
        <v>10</v>
      </c>
      <c r="B95" s="85">
        <f>IF('MAESTRO 1°'!B14="","",'MAESTRO 1°'!B14)</f>
        <v/>
      </c>
      <c r="C95" s="192">
        <f>IF('MAESTRO 1°'!B14="","",IFERROR('Planilla (Ingles 1°) '!H25,""))</f>
        <v/>
      </c>
      <c r="D95" s="192">
        <f>IF('MAESTRO 1°'!B14="","",IFERROR('Planilla (Español 1°) '!H25,""))</f>
        <v/>
      </c>
      <c r="E95" s="192">
        <f>IF('MAESTRO 1°'!B14="","",IFERROR('Planilla (Matemática 1°) '!H25,""))</f>
        <v/>
      </c>
      <c r="F95" s="192">
        <f>IF('MAESTRO 1°'!B14="","",IFERROR('Planilla (C.Sociales 1°) '!H25,""))</f>
        <v/>
      </c>
      <c r="G95" s="192">
        <f>IF('MAESTRO 1°'!B14="","",IFERROR('Planilla (C.Naturales 1°) '!H25,""))</f>
        <v/>
      </c>
      <c r="H95" s="192">
        <f>IF('MAESTRO 1°'!B14="","",IFERROR('Planilla (Religión 1°) '!H25,""))</f>
        <v/>
      </c>
      <c r="I95" s="192">
        <f>IF('MAESTRO 1°'!B14="","",IFERROR('Planilla (Artística 1°) '!H25,""))</f>
        <v/>
      </c>
      <c r="J95" s="192">
        <f>IF('MAESTRO 1°'!B14="","",IFERROR('Planilla (Tecnología 1°) '!H25,""))</f>
        <v/>
      </c>
      <c r="K95" s="192">
        <f>IF('MAESTRO 1°'!B14="","",IFERROR('Planilla (E.Física 1°) '!H25,""))</f>
        <v/>
      </c>
      <c r="L95" s="192" t="n"/>
    </row>
    <row r="96">
      <c r="A96" s="86" t="n">
        <v>11</v>
      </c>
      <c r="B96" s="87">
        <f>IF('MAESTRO 1°'!B15="","",'MAESTRO 1°'!B15)</f>
        <v/>
      </c>
      <c r="C96" s="196">
        <f>IF('MAESTRO 1°'!B15="","",IFERROR('Planilla (Ingles 1°) '!H26,""))</f>
        <v/>
      </c>
      <c r="D96" s="196">
        <f>IF('MAESTRO 1°'!B15="","",IFERROR('Planilla (Español 1°) '!H26,""))</f>
        <v/>
      </c>
      <c r="E96" s="196">
        <f>IF('MAESTRO 1°'!B15="","",IFERROR('Planilla (Matemática 1°) '!H26,""))</f>
        <v/>
      </c>
      <c r="F96" s="196">
        <f>IF('MAESTRO 1°'!B15="","",IFERROR('Planilla (C.Sociales 1°) '!H26,""))</f>
        <v/>
      </c>
      <c r="G96" s="196">
        <f>IF('MAESTRO 1°'!B15="","",IFERROR('Planilla (C.Naturales 1°) '!H26,""))</f>
        <v/>
      </c>
      <c r="H96" s="196">
        <f>IF('MAESTRO 1°'!B15="","",IFERROR('Planilla (Religión 1°) '!H26,""))</f>
        <v/>
      </c>
      <c r="I96" s="196">
        <f>IF('MAESTRO 1°'!B15="","",IFERROR('Planilla (Artística 1°) '!H26,""))</f>
        <v/>
      </c>
      <c r="J96" s="196">
        <f>IF('MAESTRO 1°'!B15="","",IFERROR('Planilla (Tecnología 1°) '!H26,""))</f>
        <v/>
      </c>
      <c r="K96" s="196">
        <f>IF('MAESTRO 1°'!B15="","",IFERROR('Planilla (E.Física 1°) '!H26,""))</f>
        <v/>
      </c>
      <c r="L96" s="196" t="n"/>
    </row>
    <row r="97">
      <c r="A97" s="84" t="n">
        <v>12</v>
      </c>
      <c r="B97" s="85">
        <f>IF('MAESTRO 1°'!B16="","",'MAESTRO 1°'!B16)</f>
        <v/>
      </c>
      <c r="C97" s="192">
        <f>IF('MAESTRO 1°'!B16="","",IFERROR('Planilla (Ingles 1°) '!H27,""))</f>
        <v/>
      </c>
      <c r="D97" s="192">
        <f>IF('MAESTRO 1°'!B16="","",IFERROR('Planilla (Español 1°) '!H27,""))</f>
        <v/>
      </c>
      <c r="E97" s="192">
        <f>IF('MAESTRO 1°'!B16="","",IFERROR('Planilla (Matemática 1°) '!H27,""))</f>
        <v/>
      </c>
      <c r="F97" s="192">
        <f>IF('MAESTRO 1°'!B16="","",IFERROR('Planilla (C.Sociales 1°) '!H27,""))</f>
        <v/>
      </c>
      <c r="G97" s="192">
        <f>IF('MAESTRO 1°'!B16="","",IFERROR('Planilla (C.Naturales 1°) '!H27,""))</f>
        <v/>
      </c>
      <c r="H97" s="192">
        <f>IF('MAESTRO 1°'!B16="","",IFERROR('Planilla (Religión 1°) '!H27,""))</f>
        <v/>
      </c>
      <c r="I97" s="192">
        <f>IF('MAESTRO 1°'!B16="","",IFERROR('Planilla (Artística 1°) '!H27,""))</f>
        <v/>
      </c>
      <c r="J97" s="192">
        <f>IF('MAESTRO 1°'!B16="","",IFERROR('Planilla (Tecnología 1°) '!H27,""))</f>
        <v/>
      </c>
      <c r="K97" s="192">
        <f>IF('MAESTRO 1°'!B16="","",IFERROR('Planilla (E.Física 1°) '!H27,""))</f>
        <v/>
      </c>
      <c r="L97" s="192" t="n"/>
    </row>
    <row r="98">
      <c r="A98" s="86" t="n">
        <v>13</v>
      </c>
      <c r="B98" s="87">
        <f>IF('MAESTRO 1°'!B17="","",'MAESTRO 1°'!B17)</f>
        <v/>
      </c>
      <c r="C98" s="196">
        <f>IF('MAESTRO 1°'!B17="","",IFERROR('Planilla (Ingles 1°) '!H28,""))</f>
        <v/>
      </c>
      <c r="D98" s="196">
        <f>IF('MAESTRO 1°'!B17="","",IFERROR('Planilla (Español 1°) '!H28,""))</f>
        <v/>
      </c>
      <c r="E98" s="196">
        <f>IF('MAESTRO 1°'!B17="","",IFERROR('Planilla (Matemática 1°) '!H28,""))</f>
        <v/>
      </c>
      <c r="F98" s="196">
        <f>IF('MAESTRO 1°'!B17="","",IFERROR('Planilla (C.Sociales 1°) '!H28,""))</f>
        <v/>
      </c>
      <c r="G98" s="196">
        <f>IF('MAESTRO 1°'!B17="","",IFERROR('Planilla (C.Naturales 1°) '!H28,""))</f>
        <v/>
      </c>
      <c r="H98" s="196">
        <f>IF('MAESTRO 1°'!B17="","",IFERROR('Planilla (Religión 1°) '!H28,""))</f>
        <v/>
      </c>
      <c r="I98" s="196">
        <f>IF('MAESTRO 1°'!B17="","",IFERROR('Planilla (Artística 1°) '!H28,""))</f>
        <v/>
      </c>
      <c r="J98" s="196">
        <f>IF('MAESTRO 1°'!B17="","",IFERROR('Planilla (Tecnología 1°) '!H28,""))</f>
        <v/>
      </c>
      <c r="K98" s="196">
        <f>IF('MAESTRO 1°'!B17="","",IFERROR('Planilla (E.Física 1°) '!H28,""))</f>
        <v/>
      </c>
      <c r="L98" s="196" t="n"/>
    </row>
    <row r="99">
      <c r="A99" s="84" t="n">
        <v>14</v>
      </c>
      <c r="B99" s="85">
        <f>IF('MAESTRO 1°'!B18="","",'MAESTRO 1°'!B18)</f>
        <v/>
      </c>
      <c r="C99" s="192">
        <f>IF('MAESTRO 1°'!B18="","",IFERROR('Planilla (Ingles 1°) '!H29,""))</f>
        <v/>
      </c>
      <c r="D99" s="192">
        <f>IF('MAESTRO 1°'!B18="","",IFERROR('Planilla (Español 1°) '!H29,""))</f>
        <v/>
      </c>
      <c r="E99" s="192">
        <f>IF('MAESTRO 1°'!B18="","",IFERROR('Planilla (Matemática 1°) '!H29,""))</f>
        <v/>
      </c>
      <c r="F99" s="192">
        <f>IF('MAESTRO 1°'!B18="","",IFERROR('Planilla (C.Sociales 1°) '!H29,""))</f>
        <v/>
      </c>
      <c r="G99" s="192">
        <f>IF('MAESTRO 1°'!B18="","",IFERROR('Planilla (C.Naturales 1°) '!H29,""))</f>
        <v/>
      </c>
      <c r="H99" s="192">
        <f>IF('MAESTRO 1°'!B18="","",IFERROR('Planilla (Religión 1°) '!H29,""))</f>
        <v/>
      </c>
      <c r="I99" s="192">
        <f>IF('MAESTRO 1°'!B18="","",IFERROR('Planilla (Artística 1°) '!H29,""))</f>
        <v/>
      </c>
      <c r="J99" s="192">
        <f>IF('MAESTRO 1°'!B18="","",IFERROR('Planilla (Tecnología 1°) '!H29,""))</f>
        <v/>
      </c>
      <c r="K99" s="192">
        <f>IF('MAESTRO 1°'!B18="","",IFERROR('Planilla (E.Física 1°) '!H29,""))</f>
        <v/>
      </c>
      <c r="L99" s="192" t="n"/>
    </row>
    <row r="100">
      <c r="A100" s="86" t="n">
        <v>15</v>
      </c>
      <c r="B100" s="87">
        <f>IF('MAESTRO 1°'!B19="","",'MAESTRO 1°'!B19)</f>
        <v/>
      </c>
      <c r="C100" s="196">
        <f>IF('MAESTRO 1°'!B19="","",IFERROR('Planilla (Ingles 1°) '!H30,""))</f>
        <v/>
      </c>
      <c r="D100" s="196">
        <f>IF('MAESTRO 1°'!B19="","",IFERROR('Planilla (Español 1°) '!H30,""))</f>
        <v/>
      </c>
      <c r="E100" s="196">
        <f>IF('MAESTRO 1°'!B19="","",IFERROR('Planilla (Matemática 1°) '!H30,""))</f>
        <v/>
      </c>
      <c r="F100" s="196">
        <f>IF('MAESTRO 1°'!B19="","",IFERROR('Planilla (C.Sociales 1°) '!H30,""))</f>
        <v/>
      </c>
      <c r="G100" s="196">
        <f>IF('MAESTRO 1°'!B19="","",IFERROR('Planilla (C.Naturales 1°) '!H30,""))</f>
        <v/>
      </c>
      <c r="H100" s="196">
        <f>IF('MAESTRO 1°'!B19="","",IFERROR('Planilla (Religión 1°) '!H30,""))</f>
        <v/>
      </c>
      <c r="I100" s="196">
        <f>IF('MAESTRO 1°'!B19="","",IFERROR('Planilla (Artística 1°) '!H30,""))</f>
        <v/>
      </c>
      <c r="J100" s="196">
        <f>IF('MAESTRO 1°'!B19="","",IFERROR('Planilla (Tecnología 1°) '!H30,""))</f>
        <v/>
      </c>
      <c r="K100" s="196">
        <f>IF('MAESTRO 1°'!B19="","",IFERROR('Planilla (E.Física 1°) '!H30,""))</f>
        <v/>
      </c>
      <c r="L100" s="196" t="n"/>
    </row>
    <row r="101">
      <c r="A101" s="84" t="n">
        <v>16</v>
      </c>
      <c r="B101" s="85">
        <f>IF('MAESTRO 1°'!B20="","",'MAESTRO 1°'!B20)</f>
        <v/>
      </c>
      <c r="C101" s="192">
        <f>IF('MAESTRO 1°'!B20="","",IFERROR('Planilla (Ingles 1°) '!H31,""))</f>
        <v/>
      </c>
      <c r="D101" s="192">
        <f>IF('MAESTRO 1°'!B20="","",IFERROR('Planilla (Español 1°) '!H31,""))</f>
        <v/>
      </c>
      <c r="E101" s="192">
        <f>IF('MAESTRO 1°'!B20="","",IFERROR('Planilla (Matemática 1°) '!H31,""))</f>
        <v/>
      </c>
      <c r="F101" s="192">
        <f>IF('MAESTRO 1°'!B20="","",IFERROR('Planilla (C.Sociales 1°) '!H31,""))</f>
        <v/>
      </c>
      <c r="G101" s="192">
        <f>IF('MAESTRO 1°'!B20="","",IFERROR('Planilla (C.Naturales 1°) '!H31,""))</f>
        <v/>
      </c>
      <c r="H101" s="192">
        <f>IF('MAESTRO 1°'!B20="","",IFERROR('Planilla (Religión 1°) '!H31,""))</f>
        <v/>
      </c>
      <c r="I101" s="192">
        <f>IF('MAESTRO 1°'!B20="","",IFERROR('Planilla (Artística 1°) '!H31,""))</f>
        <v/>
      </c>
      <c r="J101" s="192">
        <f>IF('MAESTRO 1°'!B20="","",IFERROR('Planilla (Tecnología 1°) '!H31,""))</f>
        <v/>
      </c>
      <c r="K101" s="192">
        <f>IF('MAESTRO 1°'!B20="","",IFERROR('Planilla (E.Física 1°) '!H31,""))</f>
        <v/>
      </c>
      <c r="L101" s="192" t="n"/>
    </row>
    <row r="102">
      <c r="A102" s="86" t="n">
        <v>17</v>
      </c>
      <c r="B102" s="87">
        <f>IF('MAESTRO 1°'!B21="","",'MAESTRO 1°'!B21)</f>
        <v/>
      </c>
      <c r="C102" s="196">
        <f>IF('MAESTRO 1°'!B21="","",IFERROR('Planilla (Ingles 1°) '!H32,""))</f>
        <v/>
      </c>
      <c r="D102" s="196">
        <f>IF('MAESTRO 1°'!B21="","",IFERROR('Planilla (Español 1°) '!H32,""))</f>
        <v/>
      </c>
      <c r="E102" s="196">
        <f>IF('MAESTRO 1°'!B21="","",IFERROR('Planilla (Matemática 1°) '!H32,""))</f>
        <v/>
      </c>
      <c r="F102" s="196">
        <f>IF('MAESTRO 1°'!B21="","",IFERROR('Planilla (C.Sociales 1°) '!H32,""))</f>
        <v/>
      </c>
      <c r="G102" s="196">
        <f>IF('MAESTRO 1°'!B21="","",IFERROR('Planilla (C.Naturales 1°) '!H32,""))</f>
        <v/>
      </c>
      <c r="H102" s="196">
        <f>IF('MAESTRO 1°'!B21="","",IFERROR('Planilla (Religión 1°) '!H32,""))</f>
        <v/>
      </c>
      <c r="I102" s="196">
        <f>IF('MAESTRO 1°'!B21="","",IFERROR('Planilla (Artística 1°) '!H32,""))</f>
        <v/>
      </c>
      <c r="J102" s="196">
        <f>IF('MAESTRO 1°'!B21="","",IFERROR('Planilla (Tecnología 1°) '!H32,""))</f>
        <v/>
      </c>
      <c r="K102" s="196">
        <f>IF('MAESTRO 1°'!B21="","",IFERROR('Planilla (E.Física 1°) '!H32,""))</f>
        <v/>
      </c>
      <c r="L102" s="196" t="n"/>
    </row>
    <row r="103">
      <c r="A103" s="84" t="n">
        <v>18</v>
      </c>
      <c r="B103" s="85">
        <f>IF('MAESTRO 1°'!B22="","",'MAESTRO 1°'!B22)</f>
        <v/>
      </c>
      <c r="C103" s="192">
        <f>IF('MAESTRO 1°'!B22="","",IFERROR('Planilla (Ingles 1°) '!H33,""))</f>
        <v/>
      </c>
      <c r="D103" s="192">
        <f>IF('MAESTRO 1°'!B22="","",IFERROR('Planilla (Español 1°) '!H33,""))</f>
        <v/>
      </c>
      <c r="E103" s="192">
        <f>IF('MAESTRO 1°'!B22="","",IFERROR('Planilla (Matemática 1°) '!H33,""))</f>
        <v/>
      </c>
      <c r="F103" s="192">
        <f>IF('MAESTRO 1°'!B22="","",IFERROR('Planilla (C.Sociales 1°) '!H33,""))</f>
        <v/>
      </c>
      <c r="G103" s="192">
        <f>IF('MAESTRO 1°'!B22="","",IFERROR('Planilla (C.Naturales 1°) '!H33,""))</f>
        <v/>
      </c>
      <c r="H103" s="192">
        <f>IF('MAESTRO 1°'!B22="","",IFERROR('Planilla (Religión 1°) '!H33,""))</f>
        <v/>
      </c>
      <c r="I103" s="192">
        <f>IF('MAESTRO 1°'!B22="","",IFERROR('Planilla (Artística 1°) '!H33,""))</f>
        <v/>
      </c>
      <c r="J103" s="192">
        <f>IF('MAESTRO 1°'!B22="","",IFERROR('Planilla (Tecnología 1°) '!H33,""))</f>
        <v/>
      </c>
      <c r="K103" s="192">
        <f>IF('MAESTRO 1°'!B22="","",IFERROR('Planilla (E.Física 1°) '!H33,""))</f>
        <v/>
      </c>
      <c r="L103" s="192" t="n"/>
    </row>
    <row r="104">
      <c r="A104" s="86" t="n">
        <v>19</v>
      </c>
      <c r="B104" s="87">
        <f>IF('MAESTRO 1°'!B23="","",'MAESTRO 1°'!B23)</f>
        <v/>
      </c>
      <c r="C104" s="196">
        <f>IF('MAESTRO 1°'!B23="","",IFERROR('Planilla (Ingles 1°) '!H34,""))</f>
        <v/>
      </c>
      <c r="D104" s="196">
        <f>IF('MAESTRO 1°'!B23="","",IFERROR('Planilla (Español 1°) '!H34,""))</f>
        <v/>
      </c>
      <c r="E104" s="196">
        <f>IF('MAESTRO 1°'!B23="","",IFERROR('Planilla (Matemática 1°) '!H34,""))</f>
        <v/>
      </c>
      <c r="F104" s="196">
        <f>IF('MAESTRO 1°'!B23="","",IFERROR('Planilla (C.Sociales 1°) '!H34,""))</f>
        <v/>
      </c>
      <c r="G104" s="196">
        <f>IF('MAESTRO 1°'!B23="","",IFERROR('Planilla (C.Naturales 1°) '!H34,""))</f>
        <v/>
      </c>
      <c r="H104" s="196">
        <f>IF('MAESTRO 1°'!B23="","",IFERROR('Planilla (Religión 1°) '!H34,""))</f>
        <v/>
      </c>
      <c r="I104" s="196">
        <f>IF('MAESTRO 1°'!B23="","",IFERROR('Planilla (Artística 1°) '!H34,""))</f>
        <v/>
      </c>
      <c r="J104" s="196">
        <f>IF('MAESTRO 1°'!B23="","",IFERROR('Planilla (Tecnología 1°) '!H34,""))</f>
        <v/>
      </c>
      <c r="K104" s="196">
        <f>IF('MAESTRO 1°'!B23="","",IFERROR('Planilla (E.Física 1°) '!H34,""))</f>
        <v/>
      </c>
      <c r="L104" s="196" t="n"/>
    </row>
    <row r="105">
      <c r="A105" s="84" t="n">
        <v>20</v>
      </c>
      <c r="B105" s="85">
        <f>IF('MAESTRO 1°'!B24="","",'MAESTRO 1°'!B24)</f>
        <v/>
      </c>
      <c r="C105" s="192">
        <f>IF('MAESTRO 1°'!B24="","",IFERROR('Planilla (Ingles 1°) '!H35,""))</f>
        <v/>
      </c>
      <c r="D105" s="192">
        <f>IF('MAESTRO 1°'!B24="","",IFERROR('Planilla (Español 1°) '!H35,""))</f>
        <v/>
      </c>
      <c r="E105" s="192">
        <f>IF('MAESTRO 1°'!B24="","",IFERROR('Planilla (Matemática 1°) '!H35,""))</f>
        <v/>
      </c>
      <c r="F105" s="192">
        <f>IF('MAESTRO 1°'!B24="","",IFERROR('Planilla (C.Sociales 1°) '!H35,""))</f>
        <v/>
      </c>
      <c r="G105" s="192">
        <f>IF('MAESTRO 1°'!B24="","",IFERROR('Planilla (C.Naturales 1°) '!H35,""))</f>
        <v/>
      </c>
      <c r="H105" s="192">
        <f>IF('MAESTRO 1°'!B24="","",IFERROR('Planilla (Religión 1°) '!H35,""))</f>
        <v/>
      </c>
      <c r="I105" s="192">
        <f>IF('MAESTRO 1°'!B24="","",IFERROR('Planilla (Artística 1°) '!H35,""))</f>
        <v/>
      </c>
      <c r="J105" s="192">
        <f>IF('MAESTRO 1°'!B24="","",IFERROR('Planilla (Tecnología 1°) '!H35,""))</f>
        <v/>
      </c>
      <c r="K105" s="192">
        <f>IF('MAESTRO 1°'!B24="","",IFERROR('Planilla (E.Física 1°) '!H35,""))</f>
        <v/>
      </c>
      <c r="L105" s="192" t="n"/>
    </row>
    <row r="106">
      <c r="A106" s="86" t="n">
        <v>21</v>
      </c>
      <c r="B106" s="87">
        <f>IF('MAESTRO 1°'!B25="","",'MAESTRO 1°'!B25)</f>
        <v/>
      </c>
      <c r="C106" s="196">
        <f>IF('MAESTRO 1°'!B25="","",IFERROR('Planilla (Ingles 1°) '!H36,""))</f>
        <v/>
      </c>
      <c r="D106" s="196">
        <f>IF('MAESTRO 1°'!B25="","",IFERROR('Planilla (Español 1°) '!H36,""))</f>
        <v/>
      </c>
      <c r="E106" s="196">
        <f>IF('MAESTRO 1°'!B25="","",IFERROR('Planilla (Matemática 1°) '!H36,""))</f>
        <v/>
      </c>
      <c r="F106" s="196">
        <f>IF('MAESTRO 1°'!B25="","",IFERROR('Planilla (C.Sociales 1°) '!H36,""))</f>
        <v/>
      </c>
      <c r="G106" s="196">
        <f>IF('MAESTRO 1°'!B25="","",IFERROR('Planilla (C.Naturales 1°) '!H36,""))</f>
        <v/>
      </c>
      <c r="H106" s="196">
        <f>IF('MAESTRO 1°'!B25="","",IFERROR('Planilla (Religión 1°) '!H36,""))</f>
        <v/>
      </c>
      <c r="I106" s="196">
        <f>IF('MAESTRO 1°'!B25="","",IFERROR('Planilla (Artística 1°) '!H36,""))</f>
        <v/>
      </c>
      <c r="J106" s="196">
        <f>IF('MAESTRO 1°'!B25="","",IFERROR('Planilla (Tecnología 1°) '!H36,""))</f>
        <v/>
      </c>
      <c r="K106" s="196">
        <f>IF('MAESTRO 1°'!B25="","",IFERROR('Planilla (E.Física 1°) '!H36,""))</f>
        <v/>
      </c>
      <c r="L106" s="196" t="n"/>
    </row>
    <row r="107">
      <c r="A107" s="84" t="n">
        <v>22</v>
      </c>
      <c r="B107" s="85">
        <f>IF('MAESTRO 1°'!B26="","",'MAESTRO 1°'!B26)</f>
        <v/>
      </c>
      <c r="C107" s="192">
        <f>IF('MAESTRO 1°'!B26="","",IFERROR('Planilla (Ingles 1°) '!H37,""))</f>
        <v/>
      </c>
      <c r="D107" s="192">
        <f>IF('MAESTRO 1°'!B26="","",IFERROR('Planilla (Español 1°) '!H37,""))</f>
        <v/>
      </c>
      <c r="E107" s="192">
        <f>IF('MAESTRO 1°'!B26="","",IFERROR('Planilla (Matemática 1°) '!H37,""))</f>
        <v/>
      </c>
      <c r="F107" s="192">
        <f>IF('MAESTRO 1°'!B26="","",IFERROR('Planilla (C.Sociales 1°) '!H37,""))</f>
        <v/>
      </c>
      <c r="G107" s="192">
        <f>IF('MAESTRO 1°'!B26="","",IFERROR('Planilla (C.Naturales 1°) '!H37,""))</f>
        <v/>
      </c>
      <c r="H107" s="192">
        <f>IF('MAESTRO 1°'!B26="","",IFERROR('Planilla (Religión 1°) '!H37,""))</f>
        <v/>
      </c>
      <c r="I107" s="192">
        <f>IF('MAESTRO 1°'!B26="","",IFERROR('Planilla (Artística 1°) '!H37,""))</f>
        <v/>
      </c>
      <c r="J107" s="192">
        <f>IF('MAESTRO 1°'!B26="","",IFERROR('Planilla (Tecnología 1°) '!H37,""))</f>
        <v/>
      </c>
      <c r="K107" s="192">
        <f>IF('MAESTRO 1°'!B26="","",IFERROR('Planilla (E.Física 1°) '!H37,""))</f>
        <v/>
      </c>
      <c r="L107" s="192" t="n"/>
    </row>
    <row r="108">
      <c r="A108" s="86" t="n">
        <v>23</v>
      </c>
      <c r="B108" s="87">
        <f>IF('MAESTRO 1°'!B27="","",'MAESTRO 1°'!B27)</f>
        <v/>
      </c>
      <c r="C108" s="196">
        <f>IF('MAESTRO 1°'!B27="","",IFERROR('Planilla (Ingles 1°) '!H38,""))</f>
        <v/>
      </c>
      <c r="D108" s="196">
        <f>IF('MAESTRO 1°'!B27="","",IFERROR('Planilla (Español 1°) '!H38,""))</f>
        <v/>
      </c>
      <c r="E108" s="196">
        <f>IF('MAESTRO 1°'!B27="","",IFERROR('Planilla (Matemática 1°) '!H38,""))</f>
        <v/>
      </c>
      <c r="F108" s="196">
        <f>IF('MAESTRO 1°'!B27="","",IFERROR('Planilla (C.Sociales 1°) '!H38,""))</f>
        <v/>
      </c>
      <c r="G108" s="196">
        <f>IF('MAESTRO 1°'!B27="","",IFERROR('Planilla (C.Naturales 1°) '!H38,""))</f>
        <v/>
      </c>
      <c r="H108" s="196">
        <f>IF('MAESTRO 1°'!B27="","",IFERROR('Planilla (Religión 1°) '!H38,""))</f>
        <v/>
      </c>
      <c r="I108" s="196">
        <f>IF('MAESTRO 1°'!B27="","",IFERROR('Planilla (Artística 1°) '!H38,""))</f>
        <v/>
      </c>
      <c r="J108" s="196">
        <f>IF('MAESTRO 1°'!B27="","",IFERROR('Planilla (Tecnología 1°) '!H38,""))</f>
        <v/>
      </c>
      <c r="K108" s="196">
        <f>IF('MAESTRO 1°'!B27="","",IFERROR('Planilla (E.Física 1°) '!H38,""))</f>
        <v/>
      </c>
      <c r="L108" s="196" t="n"/>
    </row>
    <row r="109">
      <c r="A109" s="84" t="n">
        <v>24</v>
      </c>
      <c r="B109" s="85">
        <f>IF('MAESTRO 1°'!B28="","",'MAESTRO 1°'!B28)</f>
        <v/>
      </c>
      <c r="C109" s="192">
        <f>IF('MAESTRO 1°'!B28="","",IFERROR('Planilla (Ingles 1°) '!H39,""))</f>
        <v/>
      </c>
      <c r="D109" s="192">
        <f>IF('MAESTRO 1°'!B28="","",IFERROR('Planilla (Español 1°) '!H39,""))</f>
        <v/>
      </c>
      <c r="E109" s="192">
        <f>IF('MAESTRO 1°'!B28="","",IFERROR('Planilla (Matemática 1°) '!H39,""))</f>
        <v/>
      </c>
      <c r="F109" s="192">
        <f>IF('MAESTRO 1°'!B28="","",IFERROR('Planilla (C.Sociales 1°) '!H39,""))</f>
        <v/>
      </c>
      <c r="G109" s="192">
        <f>IF('MAESTRO 1°'!B28="","",IFERROR('Planilla (C.Naturales 1°) '!H39,""))</f>
        <v/>
      </c>
      <c r="H109" s="192">
        <f>IF('MAESTRO 1°'!B28="","",IFERROR('Planilla (Religión 1°) '!H39,""))</f>
        <v/>
      </c>
      <c r="I109" s="192">
        <f>IF('MAESTRO 1°'!B28="","",IFERROR('Planilla (Artística 1°) '!H39,""))</f>
        <v/>
      </c>
      <c r="J109" s="192">
        <f>IF('MAESTRO 1°'!B28="","",IFERROR('Planilla (Tecnología 1°) '!H39,""))</f>
        <v/>
      </c>
      <c r="K109" s="192">
        <f>IF('MAESTRO 1°'!B28="","",IFERROR('Planilla (E.Física 1°) '!H39,""))</f>
        <v/>
      </c>
      <c r="L109" s="192" t="n"/>
    </row>
    <row r="110">
      <c r="A110" s="86" t="n">
        <v>25</v>
      </c>
      <c r="B110" s="87">
        <f>IF('MAESTRO 1°'!B29="","",'MAESTRO 1°'!B29)</f>
        <v/>
      </c>
      <c r="C110" s="196">
        <f>IF('MAESTRO 1°'!B29="","",IFERROR('Planilla (Ingles 1°) '!H40,""))</f>
        <v/>
      </c>
      <c r="D110" s="196">
        <f>IF('MAESTRO 1°'!B29="","",IFERROR('Planilla (Español 1°) '!H40,""))</f>
        <v/>
      </c>
      <c r="E110" s="196">
        <f>IF('MAESTRO 1°'!B29="","",IFERROR('Planilla (Matemática 1°) '!H40,""))</f>
        <v/>
      </c>
      <c r="F110" s="196">
        <f>IF('MAESTRO 1°'!B29="","",IFERROR('Planilla (C.Sociales 1°) '!H40,""))</f>
        <v/>
      </c>
      <c r="G110" s="196">
        <f>IF('MAESTRO 1°'!B29="","",IFERROR('Planilla (C.Naturales 1°) '!H40,""))</f>
        <v/>
      </c>
      <c r="H110" s="196">
        <f>IF('MAESTRO 1°'!B29="","",IFERROR('Planilla (Religión 1°) '!H40,""))</f>
        <v/>
      </c>
      <c r="I110" s="196">
        <f>IF('MAESTRO 1°'!B29="","",IFERROR('Planilla (Artística 1°) '!H40,""))</f>
        <v/>
      </c>
      <c r="J110" s="196">
        <f>IF('MAESTRO 1°'!B29="","",IFERROR('Planilla (Tecnología 1°) '!H40,""))</f>
        <v/>
      </c>
      <c r="K110" s="196">
        <f>IF('MAESTRO 1°'!B29="","",IFERROR('Planilla (E.Física 1°) '!H40,""))</f>
        <v/>
      </c>
      <c r="L110" s="196" t="n"/>
    </row>
    <row r="111">
      <c r="A111" s="84" t="n">
        <v>26</v>
      </c>
      <c r="B111" s="85">
        <f>IF('MAESTRO 1°'!B30="","",'MAESTRO 1°'!B30)</f>
        <v/>
      </c>
      <c r="C111" s="192">
        <f>IF('MAESTRO 1°'!B30="","",IFERROR('Planilla (Ingles 1°) '!H41,""))</f>
        <v/>
      </c>
      <c r="D111" s="192">
        <f>IF('MAESTRO 1°'!B30="","",IFERROR('Planilla (Español 1°) '!H41,""))</f>
        <v/>
      </c>
      <c r="E111" s="192">
        <f>IF('MAESTRO 1°'!B30="","",IFERROR('Planilla (Matemática 1°) '!H41,""))</f>
        <v/>
      </c>
      <c r="F111" s="192">
        <f>IF('MAESTRO 1°'!B30="","",IFERROR('Planilla (C.Sociales 1°) '!H41,""))</f>
        <v/>
      </c>
      <c r="G111" s="192">
        <f>IF('MAESTRO 1°'!B30="","",IFERROR('Planilla (C.Naturales 1°) '!H41,""))</f>
        <v/>
      </c>
      <c r="H111" s="192">
        <f>IF('MAESTRO 1°'!B30="","",IFERROR('Planilla (Religión 1°) '!H41,""))</f>
        <v/>
      </c>
      <c r="I111" s="192">
        <f>IF('MAESTRO 1°'!B30="","",IFERROR('Planilla (Artística 1°) '!H41,""))</f>
        <v/>
      </c>
      <c r="J111" s="192">
        <f>IF('MAESTRO 1°'!B30="","",IFERROR('Planilla (Tecnología 1°) '!H41,""))</f>
        <v/>
      </c>
      <c r="K111" s="192">
        <f>IF('MAESTRO 1°'!B30="","",IFERROR('Planilla (E.Física 1°) '!H41,""))</f>
        <v/>
      </c>
      <c r="L111" s="192" t="n"/>
    </row>
    <row r="112">
      <c r="A112" s="86" t="n">
        <v>27</v>
      </c>
      <c r="B112" s="87">
        <f>IF('MAESTRO 1°'!B31="","",'MAESTRO 1°'!B31)</f>
        <v/>
      </c>
      <c r="C112" s="196">
        <f>IF('MAESTRO 1°'!B31="","",IFERROR('Planilla (Ingles 1°) '!H42,""))</f>
        <v/>
      </c>
      <c r="D112" s="196">
        <f>IF('MAESTRO 1°'!B31="","",IFERROR('Planilla (Español 1°) '!H42,""))</f>
        <v/>
      </c>
      <c r="E112" s="196">
        <f>IF('MAESTRO 1°'!B31="","",IFERROR('Planilla (Matemática 1°) '!H42,""))</f>
        <v/>
      </c>
      <c r="F112" s="196">
        <f>IF('MAESTRO 1°'!B31="","",IFERROR('Planilla (C.Sociales 1°) '!H42,""))</f>
        <v/>
      </c>
      <c r="G112" s="196">
        <f>IF('MAESTRO 1°'!B31="","",IFERROR('Planilla (C.Naturales 1°) '!H42,""))</f>
        <v/>
      </c>
      <c r="H112" s="196">
        <f>IF('MAESTRO 1°'!B31="","",IFERROR('Planilla (Religión 1°) '!H42,""))</f>
        <v/>
      </c>
      <c r="I112" s="196">
        <f>IF('MAESTRO 1°'!B31="","",IFERROR('Planilla (Artística 1°) '!H42,""))</f>
        <v/>
      </c>
      <c r="J112" s="196">
        <f>IF('MAESTRO 1°'!B31="","",IFERROR('Planilla (Tecnología 1°) '!H42,""))</f>
        <v/>
      </c>
      <c r="K112" s="196">
        <f>IF('MAESTRO 1°'!B31="","",IFERROR('Planilla (E.Física 1°) '!H42,""))</f>
        <v/>
      </c>
      <c r="L112" s="196" t="n"/>
    </row>
    <row r="113">
      <c r="A113" s="84" t="n">
        <v>28</v>
      </c>
      <c r="B113" s="85">
        <f>IF('MAESTRO 1°'!B32="","",'MAESTRO 1°'!B32)</f>
        <v/>
      </c>
      <c r="C113" s="192">
        <f>IF('MAESTRO 1°'!B32="","",IFERROR('Planilla (Ingles 1°) '!H43,""))</f>
        <v/>
      </c>
      <c r="D113" s="192">
        <f>IF('MAESTRO 1°'!B32="","",IFERROR('Planilla (Español 1°) '!H43,""))</f>
        <v/>
      </c>
      <c r="E113" s="192">
        <f>IF('MAESTRO 1°'!B32="","",IFERROR('Planilla (Matemática 1°) '!H43,""))</f>
        <v/>
      </c>
      <c r="F113" s="192">
        <f>IF('MAESTRO 1°'!B32="","",IFERROR('Planilla (C.Sociales 1°) '!H43,""))</f>
        <v/>
      </c>
      <c r="G113" s="192">
        <f>IF('MAESTRO 1°'!B32="","",IFERROR('Planilla (C.Naturales 1°) '!H43,""))</f>
        <v/>
      </c>
      <c r="H113" s="192">
        <f>IF('MAESTRO 1°'!B32="","",IFERROR('Planilla (Religión 1°) '!H43,""))</f>
        <v/>
      </c>
      <c r="I113" s="192">
        <f>IF('MAESTRO 1°'!B32="","",IFERROR('Planilla (Artística 1°) '!H43,""))</f>
        <v/>
      </c>
      <c r="J113" s="192">
        <f>IF('MAESTRO 1°'!B32="","",IFERROR('Planilla (Tecnología 1°) '!H43,""))</f>
        <v/>
      </c>
      <c r="K113" s="192">
        <f>IF('MAESTRO 1°'!B32="","",IFERROR('Planilla (E.Física 1°) '!H43,""))</f>
        <v/>
      </c>
      <c r="L113" s="192" t="n"/>
    </row>
    <row r="114">
      <c r="A114" s="86" t="n">
        <v>29</v>
      </c>
      <c r="B114" s="87">
        <f>IF('MAESTRO 1°'!B33="","",'MAESTRO 1°'!B33)</f>
        <v/>
      </c>
      <c r="C114" s="196">
        <f>IF('MAESTRO 1°'!B33="","",IFERROR('Planilla (Ingles 1°) '!H44,""))</f>
        <v/>
      </c>
      <c r="D114" s="196">
        <f>IF('MAESTRO 1°'!B33="","",IFERROR('Planilla (Español 1°) '!H44,""))</f>
        <v/>
      </c>
      <c r="E114" s="196">
        <f>IF('MAESTRO 1°'!B33="","",IFERROR('Planilla (Matemática 1°) '!H44,""))</f>
        <v/>
      </c>
      <c r="F114" s="196">
        <f>IF('MAESTRO 1°'!B33="","",IFERROR('Planilla (C.Sociales 1°) '!H44,""))</f>
        <v/>
      </c>
      <c r="G114" s="196">
        <f>IF('MAESTRO 1°'!B33="","",IFERROR('Planilla (C.Naturales 1°) '!H44,""))</f>
        <v/>
      </c>
      <c r="H114" s="196">
        <f>IF('MAESTRO 1°'!B33="","",IFERROR('Planilla (Religión 1°) '!H44,""))</f>
        <v/>
      </c>
      <c r="I114" s="196">
        <f>IF('MAESTRO 1°'!B33="","",IFERROR('Planilla (Artística 1°) '!H44,""))</f>
        <v/>
      </c>
      <c r="J114" s="196">
        <f>IF('MAESTRO 1°'!B33="","",IFERROR('Planilla (Tecnología 1°) '!H44,""))</f>
        <v/>
      </c>
      <c r="K114" s="196">
        <f>IF('MAESTRO 1°'!B33="","",IFERROR('Planilla (E.Física 1°) '!H44,""))</f>
        <v/>
      </c>
      <c r="L114" s="196" t="n"/>
    </row>
    <row r="115">
      <c r="A115" s="84" t="n">
        <v>30</v>
      </c>
      <c r="B115" s="85">
        <f>IF('MAESTRO 1°'!B34="","",'MAESTRO 1°'!B34)</f>
        <v/>
      </c>
      <c r="C115" s="192">
        <f>IF('MAESTRO 1°'!B34="","",IFERROR('Planilla (Ingles 1°) '!H45,""))</f>
        <v/>
      </c>
      <c r="D115" s="192">
        <f>IF('MAESTRO 1°'!B34="","",IFERROR('Planilla (Español 1°) '!H45,""))</f>
        <v/>
      </c>
      <c r="E115" s="192">
        <f>IF('MAESTRO 1°'!B34="","",IFERROR('Planilla (Matemática 1°) '!H45,""))</f>
        <v/>
      </c>
      <c r="F115" s="192">
        <f>IF('MAESTRO 1°'!B34="","",IFERROR('Planilla (C.Sociales 1°) '!H45,""))</f>
        <v/>
      </c>
      <c r="G115" s="192">
        <f>IF('MAESTRO 1°'!B34="","",IFERROR('Planilla (C.Naturales 1°) '!H45,""))</f>
        <v/>
      </c>
      <c r="H115" s="192">
        <f>IF('MAESTRO 1°'!B34="","",IFERROR('Planilla (Religión 1°) '!H45,""))</f>
        <v/>
      </c>
      <c r="I115" s="192">
        <f>IF('MAESTRO 1°'!B34="","",IFERROR('Planilla (Artística 1°) '!H45,""))</f>
        <v/>
      </c>
      <c r="J115" s="192">
        <f>IF('MAESTRO 1°'!B34="","",IFERROR('Planilla (Tecnología 1°) '!H45,""))</f>
        <v/>
      </c>
      <c r="K115" s="192">
        <f>IF('MAESTRO 1°'!B34="","",IFERROR('Planilla (E.Física 1°) '!H45,""))</f>
        <v/>
      </c>
      <c r="L115" s="192" t="n"/>
    </row>
    <row r="116">
      <c r="A116" s="86" t="n">
        <v>31</v>
      </c>
      <c r="B116" s="87">
        <f>IF('MAESTRO 1°'!B35="","",'MAESTRO 1°'!B35)</f>
        <v/>
      </c>
      <c r="C116" s="196">
        <f>IF('MAESTRO 1°'!B35="","",IFERROR('Planilla (Ingles 1°) '!H46,""))</f>
        <v/>
      </c>
      <c r="D116" s="196">
        <f>IF('MAESTRO 1°'!B35="","",IFERROR('Planilla (Español 1°) '!H46,""))</f>
        <v/>
      </c>
      <c r="E116" s="196">
        <f>IF('MAESTRO 1°'!B35="","",IFERROR('Planilla (Matemática 1°) '!H46,""))</f>
        <v/>
      </c>
      <c r="F116" s="196">
        <f>IF('MAESTRO 1°'!B35="","",IFERROR('Planilla (C.Sociales 1°) '!H46,""))</f>
        <v/>
      </c>
      <c r="G116" s="196">
        <f>IF('MAESTRO 1°'!B35="","",IFERROR('Planilla (C.Naturales 1°) '!H46,""))</f>
        <v/>
      </c>
      <c r="H116" s="196">
        <f>IF('MAESTRO 1°'!B35="","",IFERROR('Planilla (Religión 1°) '!H46,""))</f>
        <v/>
      </c>
      <c r="I116" s="196">
        <f>IF('MAESTRO 1°'!B35="","",IFERROR('Planilla (Artística 1°) '!H46,""))</f>
        <v/>
      </c>
      <c r="J116" s="196">
        <f>IF('MAESTRO 1°'!B35="","",IFERROR('Planilla (Tecnología 1°) '!H46,""))</f>
        <v/>
      </c>
      <c r="K116" s="196">
        <f>IF('MAESTRO 1°'!B35="","",IFERROR('Planilla (E.Física 1°) '!H46,""))</f>
        <v/>
      </c>
      <c r="L116" s="196" t="n"/>
    </row>
    <row r="117">
      <c r="A117" s="84" t="n">
        <v>32</v>
      </c>
      <c r="B117" s="85">
        <f>IF('MAESTRO 1°'!B36="","",'MAESTRO 1°'!B36)</f>
        <v/>
      </c>
      <c r="C117" s="192">
        <f>IF('MAESTRO 1°'!B36="","",IFERROR('Planilla (Ingles 1°) '!H47,""))</f>
        <v/>
      </c>
      <c r="D117" s="192">
        <f>IF('MAESTRO 1°'!B36="","",IFERROR('Planilla (Español 1°) '!H47,""))</f>
        <v/>
      </c>
      <c r="E117" s="192">
        <f>IF('MAESTRO 1°'!B36="","",IFERROR('Planilla (Matemática 1°) '!H47,""))</f>
        <v/>
      </c>
      <c r="F117" s="192">
        <f>IF('MAESTRO 1°'!B36="","",IFERROR('Planilla (C.Sociales 1°) '!H47,""))</f>
        <v/>
      </c>
      <c r="G117" s="192">
        <f>IF('MAESTRO 1°'!B36="","",IFERROR('Planilla (C.Naturales 1°) '!H47,""))</f>
        <v/>
      </c>
      <c r="H117" s="192">
        <f>IF('MAESTRO 1°'!B36="","",IFERROR('Planilla (Religión 1°) '!H47,""))</f>
        <v/>
      </c>
      <c r="I117" s="192">
        <f>IF('MAESTRO 1°'!B36="","",IFERROR('Planilla (Artística 1°) '!H47,""))</f>
        <v/>
      </c>
      <c r="J117" s="192">
        <f>IF('MAESTRO 1°'!B36="","",IFERROR('Planilla (Tecnología 1°) '!H47,""))</f>
        <v/>
      </c>
      <c r="K117" s="192">
        <f>IF('MAESTRO 1°'!B36="","",IFERROR('Planilla (E.Física 1°) '!H47,""))</f>
        <v/>
      </c>
      <c r="L117" s="192" t="n"/>
    </row>
    <row r="118">
      <c r="A118" s="86" t="n">
        <v>33</v>
      </c>
      <c r="B118" s="87">
        <f>IF('MAESTRO 1°'!B37="","",'MAESTRO 1°'!B37)</f>
        <v/>
      </c>
      <c r="C118" s="196">
        <f>IF('MAESTRO 1°'!B37="","",IFERROR('Planilla (Ingles 1°) '!H48,""))</f>
        <v/>
      </c>
      <c r="D118" s="196">
        <f>IF('MAESTRO 1°'!B37="","",IFERROR('Planilla (Español 1°) '!H48,""))</f>
        <v/>
      </c>
      <c r="E118" s="196">
        <f>IF('MAESTRO 1°'!B37="","",IFERROR('Planilla (Matemática 1°) '!H48,""))</f>
        <v/>
      </c>
      <c r="F118" s="196">
        <f>IF('MAESTRO 1°'!B37="","",IFERROR('Planilla (C.Sociales 1°) '!H48,""))</f>
        <v/>
      </c>
      <c r="G118" s="196">
        <f>IF('MAESTRO 1°'!B37="","",IFERROR('Planilla (C.Naturales 1°) '!H48,""))</f>
        <v/>
      </c>
      <c r="H118" s="196">
        <f>IF('MAESTRO 1°'!B37="","",IFERROR('Planilla (Religión 1°) '!H48,""))</f>
        <v/>
      </c>
      <c r="I118" s="196">
        <f>IF('MAESTRO 1°'!B37="","",IFERROR('Planilla (Artística 1°) '!H48,""))</f>
        <v/>
      </c>
      <c r="J118" s="196">
        <f>IF('MAESTRO 1°'!B37="","",IFERROR('Planilla (Tecnología 1°) '!H48,""))</f>
        <v/>
      </c>
      <c r="K118" s="196">
        <f>IF('MAESTRO 1°'!B37="","",IFERROR('Planilla (E.Física 1°) '!H48,""))</f>
        <v/>
      </c>
      <c r="L118" s="196" t="n"/>
    </row>
    <row r="119">
      <c r="A119" s="84" t="n">
        <v>34</v>
      </c>
      <c r="B119" s="85">
        <f>IF('MAESTRO 1°'!B38="","",'MAESTRO 1°'!B38)</f>
        <v/>
      </c>
      <c r="C119" s="192">
        <f>IF('MAESTRO 1°'!B38="","",IFERROR('Planilla (Ingles 1°) '!H49,""))</f>
        <v/>
      </c>
      <c r="D119" s="192">
        <f>IF('MAESTRO 1°'!B38="","",IFERROR('Planilla (Español 1°) '!H49,""))</f>
        <v/>
      </c>
      <c r="E119" s="192">
        <f>IF('MAESTRO 1°'!B38="","",IFERROR('Planilla (Matemática 1°) '!H49,""))</f>
        <v/>
      </c>
      <c r="F119" s="192">
        <f>IF('MAESTRO 1°'!B38="","",IFERROR('Planilla (C.Sociales 1°) '!H49,""))</f>
        <v/>
      </c>
      <c r="G119" s="192">
        <f>IF('MAESTRO 1°'!B38="","",IFERROR('Planilla (C.Naturales 1°) '!H49,""))</f>
        <v/>
      </c>
      <c r="H119" s="192">
        <f>IF('MAESTRO 1°'!B38="","",IFERROR('Planilla (Religión 1°) '!H49,""))</f>
        <v/>
      </c>
      <c r="I119" s="192">
        <f>IF('MAESTRO 1°'!B38="","",IFERROR('Planilla (Artística 1°) '!H49,""))</f>
        <v/>
      </c>
      <c r="J119" s="192">
        <f>IF('MAESTRO 1°'!B38="","",IFERROR('Planilla (Tecnología 1°) '!H49,""))</f>
        <v/>
      </c>
      <c r="K119" s="192">
        <f>IF('MAESTRO 1°'!B38="","",IFERROR('Planilla (E.Física 1°) '!H49,""))</f>
        <v/>
      </c>
      <c r="L119" s="192" t="n"/>
    </row>
    <row r="120">
      <c r="A120" s="86" t="n">
        <v>35</v>
      </c>
      <c r="B120" s="87">
        <f>IF('MAESTRO 1°'!B39="","",'MAESTRO 1°'!B39)</f>
        <v/>
      </c>
      <c r="C120" s="196">
        <f>IF('MAESTRO 1°'!B39="","",IFERROR('Planilla (Ingles 1°) '!H50,""))</f>
        <v/>
      </c>
      <c r="D120" s="196">
        <f>IF('MAESTRO 1°'!B39="","",IFERROR('Planilla (Español 1°) '!H50,""))</f>
        <v/>
      </c>
      <c r="E120" s="196">
        <f>IF('MAESTRO 1°'!B39="","",IFERROR('Planilla (Matemática 1°) '!H50,""))</f>
        <v/>
      </c>
      <c r="F120" s="196">
        <f>IF('MAESTRO 1°'!B39="","",IFERROR('Planilla (C.Sociales 1°) '!H50,""))</f>
        <v/>
      </c>
      <c r="G120" s="196">
        <f>IF('MAESTRO 1°'!B39="","",IFERROR('Planilla (C.Naturales 1°) '!H50,""))</f>
        <v/>
      </c>
      <c r="H120" s="196">
        <f>IF('MAESTRO 1°'!B39="","",IFERROR('Planilla (Religión 1°) '!H50,""))</f>
        <v/>
      </c>
      <c r="I120" s="196">
        <f>IF('MAESTRO 1°'!B39="","",IFERROR('Planilla (Artística 1°) '!H50,""))</f>
        <v/>
      </c>
      <c r="J120" s="196">
        <f>IF('MAESTRO 1°'!B39="","",IFERROR('Planilla (Tecnología 1°) '!H50,""))</f>
        <v/>
      </c>
      <c r="K120" s="196">
        <f>IF('MAESTRO 1°'!B39="","",IFERROR('Planilla (E.Física 1°) '!H50,""))</f>
        <v/>
      </c>
      <c r="L120" s="196" t="n"/>
    </row>
    <row r="121">
      <c r="A121" s="209" t="inlineStr">
        <is>
          <t>PROMEDIO DEL GRUPO</t>
        </is>
      </c>
      <c r="B121" s="194" t="n"/>
      <c r="C121" s="90">
        <f>IFERROR(ROUND(AVERAGEIF(C86:C120,"&lt;&gt;"&amp;""),1),"")</f>
        <v/>
      </c>
      <c r="D121" s="90">
        <f>IFERROR(ROUND(AVERAGEIF(D86:D120,"&lt;&gt;"&amp;""),1),"")</f>
        <v/>
      </c>
      <c r="E121" s="90">
        <f>IFERROR(ROUND(AVERAGEIF(E86:E120,"&lt;&gt;"&amp;""),1),"")</f>
        <v/>
      </c>
      <c r="F121" s="90">
        <f>IFERROR(ROUND(AVERAGEIF(F86:F120,"&lt;&gt;"&amp;""),1),"")</f>
        <v/>
      </c>
      <c r="G121" s="90">
        <f>IFERROR(ROUND(AVERAGEIF(G86:G120,"&lt;&gt;"&amp;""),1),"")</f>
        <v/>
      </c>
      <c r="H121" s="90">
        <f>IFERROR(ROUND(AVERAGEIF(H86:H120,"&lt;&gt;"&amp;""),1),"")</f>
        <v/>
      </c>
      <c r="I121" s="90">
        <f>IFERROR(ROUND(AVERAGEIF(I86:I120,"&lt;&gt;"&amp;""),1),"")</f>
        <v/>
      </c>
      <c r="J121" s="90">
        <f>IFERROR(ROUND(AVERAGEIF(J86:J120,"&lt;&gt;"&amp;""),1),"")</f>
        <v/>
      </c>
      <c r="K121" s="90">
        <f>IFERROR(ROUND(AVERAGEIF(K86:K120,"&lt;&gt;"&amp;""),1),"")</f>
        <v/>
      </c>
      <c r="L121" s="90" t="n"/>
    </row>
  </sheetData>
  <mergeCells count="22">
    <mergeCell ref="A41:L41"/>
    <mergeCell ref="A84:A85"/>
    <mergeCell ref="N2:Y2"/>
    <mergeCell ref="B3:B4"/>
    <mergeCell ref="L3:L4"/>
    <mergeCell ref="N3:N4"/>
    <mergeCell ref="B42:B43"/>
    <mergeCell ref="A79:B79"/>
    <mergeCell ref="A1:K1"/>
    <mergeCell ref="A2:L2"/>
    <mergeCell ref="A3:A4"/>
    <mergeCell ref="L42:L43"/>
    <mergeCell ref="N39:O39"/>
    <mergeCell ref="B84:B85"/>
    <mergeCell ref="L84:L85"/>
    <mergeCell ref="N1:X1"/>
    <mergeCell ref="A42:A43"/>
    <mergeCell ref="A83:L83"/>
    <mergeCell ref="O3:O4"/>
    <mergeCell ref="A121:B121"/>
    <mergeCell ref="Y3:Y4"/>
    <mergeCell ref="A39:B39"/>
  </mergeCells>
  <conditionalFormatting sqref="C5:L38">
    <cfRule type="cellIs" priority="25" operator="lessThan" dxfId="5">
      <formula>3</formula>
    </cfRule>
    <cfRule type="cellIs" priority="26" operator="between" dxfId="4">
      <formula>3</formula>
      <formula>3.4</formula>
    </cfRule>
    <cfRule type="cellIs" priority="27" operator="greaterThanOrEqual" dxfId="3">
      <formula>4.5</formula>
    </cfRule>
  </conditionalFormatting>
  <conditionalFormatting sqref="C44:L78">
    <cfRule type="cellIs" priority="16" operator="lessThan" dxfId="5">
      <formula>3</formula>
    </cfRule>
    <cfRule type="cellIs" priority="17" operator="between" dxfId="4">
      <formula>3</formula>
      <formula>3.4</formula>
    </cfRule>
    <cfRule type="cellIs" priority="18" operator="greaterThanOrEqual" dxfId="3">
      <formula>4.5</formula>
    </cfRule>
  </conditionalFormatting>
  <conditionalFormatting sqref="C86:L120">
    <cfRule type="cellIs" priority="7" operator="lessThan" dxfId="5">
      <formula>3</formula>
    </cfRule>
    <cfRule type="cellIs" priority="8" operator="between" dxfId="4">
      <formula>3</formula>
      <formula>3.4</formula>
    </cfRule>
    <cfRule type="cellIs" priority="9" operator="greaterThanOrEqual" dxfId="3">
      <formula>4.5</formula>
    </cfRule>
  </conditionalFormatting>
  <conditionalFormatting sqref="P5:Y38">
    <cfRule type="cellIs" priority="1" operator="lessThan" dxfId="5">
      <formula>3</formula>
    </cfRule>
    <cfRule type="cellIs" priority="2" operator="between" dxfId="4">
      <formula>3</formula>
      <formula>3.4</formula>
    </cfRule>
    <cfRule type="cellIs" priority="3" operator="greaterThanOrEqual" dxfId="3">
      <formula>4.5</formula>
    </cfRule>
  </conditionalFormatting>
  <pageMargins left="0.7086614173228346" right="0.7086614173228346" top="0.7480314960629921" bottom="0.7480314960629921" header="0.3149606299212598" footer="0.3149606299212598"/>
  <pageSetup orientation="portrait" horizontalDpi="0" verticalDpi="0"/>
</worksheet>
</file>

<file path=xl/worksheets/sheet8.xml><?xml version="1.0" encoding="utf-8"?>
<worksheet xmlns="http://schemas.openxmlformats.org/spreadsheetml/2006/main">
  <sheetPr codeName="Hoja27">
    <tabColor rgb="FF4472C4"/>
    <outlinePr summaryBelow="1" summaryRight="1"/>
    <pageSetUpPr/>
  </sheetPr>
  <dimension ref="A1:BL138"/>
  <sheetViews>
    <sheetView view="pageLayout" zoomScale="70" zoomScaleNormal="100" zoomScalePageLayoutView="70" workbookViewId="0">
      <selection activeCell="B7" sqref="B7"/>
    </sheetView>
  </sheetViews>
  <sheetFormatPr baseColWidth="10" defaultRowHeight="14.4"/>
  <cols>
    <col width="3.44140625" customWidth="1" style="147" min="1" max="1"/>
    <col width="28.6640625" customWidth="1" style="147" min="2" max="2"/>
    <col width="2" customWidth="1" style="216" min="3" max="36"/>
    <col width="2.33203125" customWidth="1" style="216" min="37" max="37"/>
    <col width="2" customWidth="1" style="216" min="38" max="59"/>
    <col width="2" customWidth="1" style="147" min="60" max="60"/>
    <col width="9.44140625" customWidth="1" style="147" min="61" max="61"/>
    <col width="11" customWidth="1" style="147" min="62" max="62"/>
    <col width="18.109375" customWidth="1" style="147" min="63" max="63"/>
    <col width="3.44140625" customWidth="1" style="147" min="64" max="64"/>
    <col width="8.44140625" customWidth="1" style="147" min="65" max="65"/>
    <col width="11.44140625" customWidth="1" style="147" min="66" max="85"/>
  </cols>
  <sheetData>
    <row r="1" ht="15.75" customHeight="1" s="147">
      <c r="A1" s="217" t="n"/>
      <c r="B1" s="215" t="inlineStr">
        <is>
          <t>NOMBRE                          ALUMNA-ALUMNO</t>
        </is>
      </c>
      <c r="C1" s="212" t="inlineStr">
        <is>
          <t>ASISTENCIA DEL__17__DE___Marzo______AL__13___DE_____Junio_____</t>
        </is>
      </c>
      <c r="D1" s="157" t="n"/>
      <c r="E1" s="157" t="n"/>
      <c r="F1" s="157" t="n"/>
      <c r="G1" s="157" t="n"/>
      <c r="H1" s="157" t="n"/>
      <c r="I1" s="157" t="n"/>
      <c r="J1" s="157" t="n"/>
      <c r="K1" s="157" t="n"/>
      <c r="L1" s="157" t="n"/>
      <c r="M1" s="157" t="n"/>
      <c r="N1" s="157" t="n"/>
      <c r="O1" s="157" t="n"/>
      <c r="P1" s="157" t="n"/>
      <c r="Q1" s="157" t="n"/>
      <c r="R1" s="157" t="n"/>
      <c r="S1" s="157" t="n"/>
      <c r="T1" s="157" t="n"/>
      <c r="U1" s="157" t="n"/>
      <c r="V1" s="157" t="n"/>
      <c r="W1" s="157" t="n"/>
      <c r="X1" s="157" t="n"/>
      <c r="Y1" s="157" t="n"/>
      <c r="Z1" s="157" t="n"/>
      <c r="AA1" s="157" t="n"/>
      <c r="AB1" s="157" t="n"/>
      <c r="AC1" s="157" t="n"/>
      <c r="AD1" s="157" t="n"/>
      <c r="AE1" s="157" t="n"/>
      <c r="AF1" s="157" t="n"/>
      <c r="AG1" s="157" t="n"/>
      <c r="AH1" s="157" t="n"/>
      <c r="AI1" s="157" t="n"/>
      <c r="AJ1" s="157" t="n"/>
      <c r="AK1" s="157" t="n"/>
      <c r="AL1" s="157" t="n"/>
      <c r="AM1" s="157" t="n"/>
      <c r="AN1" s="157" t="n"/>
      <c r="AO1" s="157" t="n"/>
      <c r="AP1" s="157" t="n"/>
      <c r="AQ1" s="157" t="n"/>
      <c r="AR1" s="157" t="n"/>
      <c r="AS1" s="157" t="n"/>
      <c r="AT1" s="157" t="n"/>
      <c r="AU1" s="157" t="n"/>
      <c r="AV1" s="157" t="n"/>
      <c r="AW1" s="157" t="n"/>
      <c r="AX1" s="157" t="n"/>
      <c r="AY1" s="157" t="n"/>
      <c r="AZ1" s="157" t="n"/>
      <c r="BA1" s="157" t="n"/>
      <c r="BB1" s="157" t="n"/>
      <c r="BC1" s="157" t="n"/>
      <c r="BD1" s="157" t="n"/>
      <c r="BE1" s="157" t="n"/>
      <c r="BF1" s="157" t="n"/>
      <c r="BG1" s="157" t="n"/>
      <c r="BH1" s="145" t="n"/>
      <c r="BI1" s="214" t="inlineStr">
        <is>
          <t>PRIMER TRIMESTRE</t>
        </is>
      </c>
      <c r="BJ1" s="145" t="n"/>
      <c r="BK1" s="178" t="inlineStr">
        <is>
          <t>OBSERVACIONES</t>
        </is>
      </c>
      <c r="BL1" s="150" t="n"/>
    </row>
    <row r="2" ht="46.5" customHeight="1" s="147">
      <c r="A2" s="218" t="n"/>
      <c r="B2" s="154"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8" t="inlineStr">
        <is>
          <t>TOTAL AUSENCIAS</t>
        </is>
      </c>
      <c r="BJ2" s="8" t="inlineStr">
        <is>
          <t>TOTAL TARDANZAS</t>
        </is>
      </c>
      <c r="BK2" s="151" t="n"/>
      <c r="BL2" s="152" t="n"/>
    </row>
    <row r="3" ht="15" customHeight="1" s="147">
      <c r="A3" s="1" t="n">
        <v>1</v>
      </c>
      <c r="B3" s="62">
        <f>IF('MAESTRO 1°'!B5="","",'MAESTRO 1°'!B5)</f>
        <v/>
      </c>
      <c r="C3" s="59" t="n"/>
      <c r="D3" s="214" t="n"/>
      <c r="E3" s="214" t="n"/>
      <c r="F3" s="59" t="n"/>
      <c r="G3" s="214" t="n"/>
      <c r="H3" s="214" t="n"/>
      <c r="I3" s="214" t="n"/>
      <c r="J3" s="214" t="n"/>
      <c r="K3" s="214" t="n"/>
      <c r="L3" s="214" t="n"/>
      <c r="M3" s="214" t="n"/>
      <c r="N3" s="214" t="n"/>
      <c r="O3" s="214" t="n"/>
      <c r="P3" s="214" t="n"/>
      <c r="Q3" s="214" t="n"/>
      <c r="R3" s="214" t="n"/>
      <c r="S3" s="214" t="n"/>
      <c r="T3" s="214" t="n"/>
      <c r="U3" s="214" t="n"/>
      <c r="V3" s="214" t="n"/>
      <c r="W3" s="214" t="n"/>
      <c r="X3" s="214" t="n"/>
      <c r="Y3" s="22" t="n"/>
      <c r="Z3" s="22" t="n"/>
      <c r="AA3" s="22" t="n"/>
      <c r="AB3" s="22" t="n"/>
      <c r="AC3" s="22" t="n"/>
      <c r="AD3" s="214" t="n"/>
      <c r="AE3" s="214" t="n"/>
      <c r="AF3" s="214" t="n"/>
      <c r="AG3" s="214" t="n"/>
      <c r="AH3" s="214" t="n"/>
      <c r="AI3" s="214" t="n"/>
      <c r="AJ3" s="214" t="n"/>
      <c r="AK3" s="22" t="n"/>
      <c r="AL3" s="214" t="n"/>
      <c r="AM3" s="214" t="n"/>
      <c r="AN3" s="214" t="n"/>
      <c r="AO3" s="214" t="n"/>
      <c r="AP3" s="214" t="n"/>
      <c r="AQ3" s="214" t="n"/>
      <c r="AR3" s="214" t="n"/>
      <c r="AS3" s="214" t="n"/>
      <c r="AT3" s="214" t="n"/>
      <c r="AU3" s="214" t="n"/>
      <c r="AV3" s="214" t="n"/>
      <c r="AW3" s="214" t="n"/>
      <c r="AX3" s="214" t="n"/>
      <c r="AY3" s="214" t="n"/>
      <c r="AZ3" s="214" t="n"/>
      <c r="BA3" s="214" t="n"/>
      <c r="BB3" s="214" t="n"/>
      <c r="BC3" s="214" t="n"/>
      <c r="BD3" s="214" t="n"/>
      <c r="BE3" s="214" t="n"/>
      <c r="BF3" s="214" t="n"/>
      <c r="BG3" s="214" t="n"/>
      <c r="BH3" s="220" t="n"/>
      <c r="BI3" s="220">
        <f>IFERROR(COUNTIF(C3:BH3,"-"),"")</f>
        <v/>
      </c>
      <c r="BJ3" s="220">
        <f>IFERROR(COUNTIF(D3:BI3,"T"),"")</f>
        <v/>
      </c>
      <c r="BK3" s="220" t="n"/>
      <c r="BL3" s="3" t="n">
        <v>1</v>
      </c>
    </row>
    <row r="4">
      <c r="A4" s="1" t="n">
        <v>2</v>
      </c>
      <c r="B4" s="62">
        <f>IF('MAESTRO 1°'!B6="","",'MAESTRO 1°'!B6)</f>
        <v/>
      </c>
      <c r="C4" s="54" t="n"/>
      <c r="D4" s="214" t="n"/>
      <c r="E4" s="214" t="n"/>
      <c r="F4" s="54" t="n"/>
      <c r="G4" s="214" t="n"/>
      <c r="H4" s="214" t="n"/>
      <c r="I4" s="214" t="n"/>
      <c r="J4" s="214" t="n"/>
      <c r="K4" s="214" t="n"/>
      <c r="L4" s="214" t="n"/>
      <c r="M4" s="214" t="n"/>
      <c r="N4" s="214" t="n"/>
      <c r="O4" s="214" t="n"/>
      <c r="P4" s="214" t="n"/>
      <c r="Q4" s="214" t="n"/>
      <c r="R4" s="214" t="n"/>
      <c r="S4" s="214" t="n"/>
      <c r="T4" s="214" t="n"/>
      <c r="U4" s="214" t="n"/>
      <c r="V4" s="214" t="n"/>
      <c r="W4" s="214" t="n"/>
      <c r="X4" s="214" t="n"/>
      <c r="Y4" s="22" t="n"/>
      <c r="Z4" s="22" t="n"/>
      <c r="AA4" s="22" t="n"/>
      <c r="AB4" s="22" t="n"/>
      <c r="AC4" s="22" t="n"/>
      <c r="AD4" s="214" t="n"/>
      <c r="AE4" s="214" t="n"/>
      <c r="AF4" s="214" t="n"/>
      <c r="AG4" s="214" t="n"/>
      <c r="AH4" s="214" t="n"/>
      <c r="AI4" s="214" t="n"/>
      <c r="AJ4" s="214" t="n"/>
      <c r="AK4" s="22" t="n"/>
      <c r="AL4" s="214" t="n"/>
      <c r="AM4" s="214" t="n"/>
      <c r="AN4" s="214" t="n"/>
      <c r="AO4" s="214" t="n"/>
      <c r="AP4" s="214" t="n"/>
      <c r="AQ4" s="214" t="n"/>
      <c r="AR4" s="214" t="n"/>
      <c r="AS4" s="214" t="n"/>
      <c r="AT4" s="214" t="n"/>
      <c r="AU4" s="214" t="n"/>
      <c r="AV4" s="214" t="n"/>
      <c r="AW4" s="214" t="n"/>
      <c r="AX4" s="214" t="n"/>
      <c r="AY4" s="214" t="n"/>
      <c r="AZ4" s="214" t="n"/>
      <c r="BA4" s="214" t="n"/>
      <c r="BB4" s="214" t="n"/>
      <c r="BC4" s="214" t="n"/>
      <c r="BD4" s="214" t="n"/>
      <c r="BE4" s="214" t="n"/>
      <c r="BF4" s="214" t="n"/>
      <c r="BG4" s="214" t="n"/>
      <c r="BH4" s="220" t="n"/>
      <c r="BI4" s="220">
        <f>IFERROR(COUNTIF(C4:BH4,"-"),"")</f>
        <v/>
      </c>
      <c r="BJ4" s="220">
        <f>IFERROR(COUNTIF(D4:BI4,"T"),"")</f>
        <v/>
      </c>
      <c r="BK4" s="220" t="n"/>
      <c r="BL4" s="3" t="n">
        <v>2</v>
      </c>
    </row>
    <row r="5">
      <c r="A5" s="1" t="n">
        <v>3</v>
      </c>
      <c r="B5" s="62">
        <f>IF('MAESTRO 1°'!B7="","",'MAESTRO 1°'!B7)</f>
        <v/>
      </c>
      <c r="C5" s="54" t="n"/>
      <c r="D5" s="214" t="n"/>
      <c r="E5" s="214" t="n"/>
      <c r="F5" s="54" t="n"/>
      <c r="G5" s="214" t="n"/>
      <c r="H5" s="214" t="n"/>
      <c r="I5" s="214" t="n"/>
      <c r="J5" s="214" t="n"/>
      <c r="K5" s="214" t="n"/>
      <c r="L5" s="214" t="n"/>
      <c r="M5" s="214" t="n"/>
      <c r="N5" s="214" t="n"/>
      <c r="O5" s="214" t="n"/>
      <c r="P5" s="214" t="n"/>
      <c r="Q5" s="214" t="n"/>
      <c r="R5" s="214" t="n"/>
      <c r="S5" s="214" t="n"/>
      <c r="T5" s="214" t="n"/>
      <c r="U5" s="214" t="n"/>
      <c r="V5" s="214" t="n"/>
      <c r="W5" s="214" t="n"/>
      <c r="X5" s="214" t="n"/>
      <c r="Y5" s="22" t="n"/>
      <c r="Z5" s="22" t="n"/>
      <c r="AA5" s="22" t="n"/>
      <c r="AB5" s="22" t="n"/>
      <c r="AC5" s="22" t="n"/>
      <c r="AD5" s="214" t="n"/>
      <c r="AE5" s="214" t="n"/>
      <c r="AF5" s="214" t="n"/>
      <c r="AG5" s="214" t="n"/>
      <c r="AH5" s="214" t="n"/>
      <c r="AI5" s="214" t="n"/>
      <c r="AJ5" s="214" t="n"/>
      <c r="AK5" s="214" t="n"/>
      <c r="AL5" s="214" t="n"/>
      <c r="AM5" s="214" t="n"/>
      <c r="AN5" s="214" t="n"/>
      <c r="AO5" s="214" t="n"/>
      <c r="AP5" s="214" t="n"/>
      <c r="AQ5" s="214" t="n"/>
      <c r="AR5" s="214" t="n"/>
      <c r="AS5" s="214" t="n"/>
      <c r="AT5" s="214" t="n"/>
      <c r="AU5" s="214" t="n"/>
      <c r="AV5" s="214" t="n"/>
      <c r="AW5" s="214" t="n"/>
      <c r="AX5" s="214" t="n"/>
      <c r="AY5" s="214" t="n"/>
      <c r="AZ5" s="214" t="n"/>
      <c r="BA5" s="214" t="n"/>
      <c r="BB5" s="214" t="n"/>
      <c r="BC5" s="214" t="n"/>
      <c r="BD5" s="214" t="n"/>
      <c r="BE5" s="214" t="n"/>
      <c r="BF5" s="214" t="n"/>
      <c r="BG5" s="214" t="n"/>
      <c r="BH5" s="220" t="n"/>
      <c r="BI5" s="220">
        <f>IFERROR(COUNTIF(C5:BH5,"-"),"")</f>
        <v/>
      </c>
      <c r="BJ5" s="220">
        <f>IFERROR(COUNTIF(D5:BI5,"T"),"")</f>
        <v/>
      </c>
      <c r="BK5" s="220" t="n"/>
      <c r="BL5" s="3" t="n">
        <v>3</v>
      </c>
    </row>
    <row r="6">
      <c r="A6" s="1" t="n">
        <v>4</v>
      </c>
      <c r="B6" s="62">
        <f>IF('MAESTRO 1°'!B8="","",'MAESTRO 1°'!B8)</f>
        <v/>
      </c>
      <c r="C6" s="54" t="n"/>
      <c r="D6" s="214" t="n"/>
      <c r="E6" s="214" t="n"/>
      <c r="F6" s="54" t="n"/>
      <c r="G6" s="214" t="n"/>
      <c r="H6" s="214" t="n"/>
      <c r="I6" s="214" t="n"/>
      <c r="J6" s="214" t="n"/>
      <c r="K6" s="214" t="n"/>
      <c r="L6" s="214" t="n"/>
      <c r="M6" s="214" t="n"/>
      <c r="N6" s="214" t="n"/>
      <c r="O6" s="214" t="n"/>
      <c r="P6" s="214" t="n"/>
      <c r="Q6" s="214" t="n"/>
      <c r="R6" s="214" t="n"/>
      <c r="S6" s="214" t="n"/>
      <c r="T6" s="214" t="n"/>
      <c r="U6" s="214" t="n"/>
      <c r="V6" s="214" t="n"/>
      <c r="W6" s="214" t="n"/>
      <c r="X6" s="214" t="n"/>
      <c r="Y6" s="22" t="n"/>
      <c r="Z6" s="22" t="n"/>
      <c r="AA6" s="22" t="n"/>
      <c r="AB6" s="22" t="n"/>
      <c r="AC6" s="22" t="n"/>
      <c r="AD6" s="214" t="n"/>
      <c r="AE6" s="214" t="n"/>
      <c r="AF6" s="214" t="n"/>
      <c r="AG6" s="214" t="n"/>
      <c r="AH6" s="214" t="n"/>
      <c r="AI6" s="214" t="n"/>
      <c r="AJ6" s="214" t="n"/>
      <c r="AK6" s="214" t="n"/>
      <c r="AL6" s="214" t="n"/>
      <c r="AM6" s="214" t="n"/>
      <c r="AN6" s="214" t="n"/>
      <c r="AO6" s="214" t="n"/>
      <c r="AP6" s="214" t="n"/>
      <c r="AQ6" s="214" t="n"/>
      <c r="AR6" s="214" t="n"/>
      <c r="AS6" s="214" t="n"/>
      <c r="AT6" s="214" t="n"/>
      <c r="AU6" s="214" t="n"/>
      <c r="AV6" s="214" t="n"/>
      <c r="AW6" s="214" t="n"/>
      <c r="AX6" s="214" t="n"/>
      <c r="AY6" s="214" t="n"/>
      <c r="AZ6" s="214" t="n"/>
      <c r="BA6" s="214" t="n"/>
      <c r="BB6" s="214" t="n"/>
      <c r="BC6" s="214" t="n"/>
      <c r="BD6" s="214" t="n"/>
      <c r="BE6" s="214" t="n"/>
      <c r="BF6" s="214" t="n"/>
      <c r="BG6" s="214" t="n"/>
      <c r="BH6" s="220" t="n"/>
      <c r="BI6" s="220">
        <f>IFERROR(COUNTIF(C6:BH6,"-"),"")</f>
        <v/>
      </c>
      <c r="BJ6" s="220">
        <f>IFERROR(COUNTIF(D6:BI6,"T"),"")</f>
        <v/>
      </c>
      <c r="BK6" s="220" t="n"/>
      <c r="BL6" s="3" t="n">
        <v>4</v>
      </c>
    </row>
    <row r="7">
      <c r="A7" s="1" t="n">
        <v>5</v>
      </c>
      <c r="B7" s="62">
        <f>IF('MAESTRO 1°'!B9="","",'MAESTRO 1°'!B9)</f>
        <v/>
      </c>
      <c r="C7" s="54" t="n"/>
      <c r="D7" s="214" t="n"/>
      <c r="E7" s="214" t="n"/>
      <c r="F7" s="54" t="n"/>
      <c r="G7" s="214" t="n"/>
      <c r="H7" s="214" t="n"/>
      <c r="I7" s="214" t="n"/>
      <c r="J7" s="214" t="n"/>
      <c r="K7" s="214" t="n"/>
      <c r="L7" s="214" t="n"/>
      <c r="M7" s="214" t="n"/>
      <c r="N7" s="214" t="n"/>
      <c r="O7" s="214" t="n"/>
      <c r="P7" s="214" t="n"/>
      <c r="Q7" s="214" t="n"/>
      <c r="R7" s="214" t="n"/>
      <c r="S7" s="214" t="n"/>
      <c r="T7" s="214" t="n"/>
      <c r="U7" s="214" t="n"/>
      <c r="V7" s="214" t="n"/>
      <c r="W7" s="214" t="n"/>
      <c r="X7" s="214" t="n"/>
      <c r="Y7" s="22" t="n"/>
      <c r="Z7" s="22" t="n"/>
      <c r="AA7" s="22" t="n"/>
      <c r="AB7" s="22" t="n"/>
      <c r="AC7" s="22" t="n"/>
      <c r="AD7" s="214" t="n"/>
      <c r="AE7" s="214" t="n"/>
      <c r="AF7" s="214" t="n"/>
      <c r="AG7" s="214" t="n"/>
      <c r="AH7" s="214" t="n"/>
      <c r="AI7" s="214" t="n"/>
      <c r="AJ7" s="214" t="n"/>
      <c r="AK7" s="214" t="n"/>
      <c r="AL7" s="214" t="n"/>
      <c r="AM7" s="214" t="n"/>
      <c r="AN7" s="214" t="n"/>
      <c r="AO7" s="214" t="n"/>
      <c r="AP7" s="214" t="n"/>
      <c r="AQ7" s="214" t="n"/>
      <c r="AR7" s="214" t="n"/>
      <c r="AS7" s="214" t="n"/>
      <c r="AT7" s="214" t="n"/>
      <c r="AU7" s="214" t="n"/>
      <c r="AV7" s="214" t="n"/>
      <c r="AW7" s="214" t="n"/>
      <c r="AX7" s="214" t="n"/>
      <c r="AY7" s="214" t="n"/>
      <c r="AZ7" s="214" t="n"/>
      <c r="BA7" s="214" t="n"/>
      <c r="BB7" s="214" t="n"/>
      <c r="BC7" s="214" t="n"/>
      <c r="BD7" s="214" t="n"/>
      <c r="BE7" s="214" t="n"/>
      <c r="BF7" s="214" t="n"/>
      <c r="BG7" s="214" t="n"/>
      <c r="BH7" s="220" t="n"/>
      <c r="BI7" s="220">
        <f>IFERROR(COUNTIF(C7:BH7,"-"),"")</f>
        <v/>
      </c>
      <c r="BJ7" s="220">
        <f>IFERROR(COUNTIF(D7:BI7,"T"),"")</f>
        <v/>
      </c>
      <c r="BK7" s="220" t="n"/>
      <c r="BL7" s="3" t="n">
        <v>5</v>
      </c>
    </row>
    <row r="8">
      <c r="A8" s="1" t="n">
        <v>6</v>
      </c>
      <c r="B8" s="62">
        <f>IF('MAESTRO 1°'!B10="","",'MAESTRO 1°'!B10)</f>
        <v/>
      </c>
      <c r="C8" s="54" t="n"/>
      <c r="D8" s="214" t="n"/>
      <c r="E8" s="214" t="n"/>
      <c r="F8" s="54" t="n"/>
      <c r="G8" s="214" t="n"/>
      <c r="H8" s="214" t="n"/>
      <c r="I8" s="214" t="n"/>
      <c r="J8" s="214" t="n"/>
      <c r="K8" s="214" t="n"/>
      <c r="L8" s="214" t="n"/>
      <c r="M8" s="214" t="n"/>
      <c r="N8" s="214" t="n"/>
      <c r="O8" s="214" t="n"/>
      <c r="P8" s="214" t="n"/>
      <c r="Q8" s="214" t="n"/>
      <c r="R8" s="214" t="n"/>
      <c r="S8" s="214" t="n"/>
      <c r="T8" s="214" t="n"/>
      <c r="U8" s="214" t="n"/>
      <c r="V8" s="214" t="n"/>
      <c r="W8" s="214" t="n"/>
      <c r="X8" s="214" t="n"/>
      <c r="Y8" s="22" t="n"/>
      <c r="Z8" s="22" t="n"/>
      <c r="AA8" s="22" t="n"/>
      <c r="AB8" s="22" t="n"/>
      <c r="AC8" s="22" t="n"/>
      <c r="AD8" s="214" t="n"/>
      <c r="AE8" s="214" t="n"/>
      <c r="AF8" s="214" t="n"/>
      <c r="AG8" s="214" t="n"/>
      <c r="AH8" s="214" t="n"/>
      <c r="AI8" s="214" t="n"/>
      <c r="AJ8" s="214" t="n"/>
      <c r="AK8" s="214" t="n"/>
      <c r="AL8" s="214" t="n"/>
      <c r="AM8" s="214" t="n"/>
      <c r="AN8" s="214" t="n"/>
      <c r="AO8" s="214" t="n"/>
      <c r="AP8" s="214" t="n"/>
      <c r="AQ8" s="214" t="n"/>
      <c r="AR8" s="214" t="n"/>
      <c r="AS8" s="214" t="n"/>
      <c r="AT8" s="214" t="n"/>
      <c r="AU8" s="214" t="n"/>
      <c r="AV8" s="214" t="n"/>
      <c r="AW8" s="214" t="n"/>
      <c r="AX8" s="214" t="n"/>
      <c r="AY8" s="214" t="n"/>
      <c r="AZ8" s="214" t="n"/>
      <c r="BA8" s="214" t="n"/>
      <c r="BB8" s="214" t="n"/>
      <c r="BC8" s="214" t="n"/>
      <c r="BD8" s="214" t="n"/>
      <c r="BE8" s="214" t="n"/>
      <c r="BF8" s="214" t="n"/>
      <c r="BG8" s="214" t="n"/>
      <c r="BH8" s="220" t="n"/>
      <c r="BI8" s="220">
        <f>IFERROR(COUNTIF(C8:BH8,"-"),"")</f>
        <v/>
      </c>
      <c r="BJ8" s="220">
        <f>IFERROR(COUNTIF(D8:BI8,"T"),"")</f>
        <v/>
      </c>
      <c r="BK8" s="220" t="n"/>
      <c r="BL8" s="3" t="n">
        <v>6</v>
      </c>
    </row>
    <row r="9">
      <c r="A9" s="1" t="n">
        <v>7</v>
      </c>
      <c r="B9" s="62">
        <f>IF('MAESTRO 1°'!B11="","",'MAESTRO 1°'!B11)</f>
        <v/>
      </c>
      <c r="C9" s="54" t="n"/>
      <c r="D9" s="214" t="n"/>
      <c r="E9" s="214" t="n"/>
      <c r="F9" s="54" t="n"/>
      <c r="G9" s="214" t="n"/>
      <c r="H9" s="214" t="n"/>
      <c r="I9" s="214" t="n"/>
      <c r="J9" s="214" t="n"/>
      <c r="K9" s="214" t="n"/>
      <c r="L9" s="214" t="n"/>
      <c r="M9" s="214" t="n"/>
      <c r="N9" s="214" t="n"/>
      <c r="O9" s="214" t="n"/>
      <c r="P9" s="214" t="n"/>
      <c r="Q9" s="214" t="n"/>
      <c r="R9" s="214" t="n"/>
      <c r="S9" s="214" t="n"/>
      <c r="T9" s="214" t="n"/>
      <c r="U9" s="214" t="n"/>
      <c r="V9" s="214" t="n"/>
      <c r="W9" s="214" t="n"/>
      <c r="X9" s="214" t="n"/>
      <c r="Y9" s="22" t="n"/>
      <c r="Z9" s="22" t="n"/>
      <c r="AA9" s="22" t="n"/>
      <c r="AB9" s="22" t="n"/>
      <c r="AC9" s="22" t="n"/>
      <c r="AD9" s="214" t="n"/>
      <c r="AE9" s="214" t="n"/>
      <c r="AF9" s="214" t="n"/>
      <c r="AG9" s="214" t="n"/>
      <c r="AH9" s="214" t="n"/>
      <c r="AI9" s="214" t="n"/>
      <c r="AJ9" s="214" t="n"/>
      <c r="AK9" s="214" t="n"/>
      <c r="AL9" s="214" t="n"/>
      <c r="AM9" s="214" t="n"/>
      <c r="AN9" s="214" t="n"/>
      <c r="AO9" s="214" t="n"/>
      <c r="AP9" s="214" t="n"/>
      <c r="AQ9" s="214" t="n"/>
      <c r="AR9" s="214" t="n"/>
      <c r="AS9" s="214" t="n"/>
      <c r="AT9" s="214" t="n"/>
      <c r="AU9" s="214" t="n"/>
      <c r="AV9" s="214" t="n"/>
      <c r="AW9" s="214" t="n"/>
      <c r="AX9" s="214" t="n"/>
      <c r="AY9" s="214" t="n"/>
      <c r="AZ9" s="214" t="n"/>
      <c r="BA9" s="214" t="n"/>
      <c r="BB9" s="214" t="n"/>
      <c r="BC9" s="214" t="n"/>
      <c r="BD9" s="214" t="n"/>
      <c r="BE9" s="214" t="n"/>
      <c r="BF9" s="214" t="n"/>
      <c r="BG9" s="214" t="n"/>
      <c r="BH9" s="220" t="n"/>
      <c r="BI9" s="220">
        <f>IFERROR(COUNTIF(C9:BH9,"-"),"")</f>
        <v/>
      </c>
      <c r="BJ9" s="220">
        <f>IFERROR(COUNTIF(D9:BI9,"T"),"")</f>
        <v/>
      </c>
      <c r="BK9" s="220" t="n"/>
      <c r="BL9" s="3" t="n">
        <v>7</v>
      </c>
    </row>
    <row r="10">
      <c r="A10" s="1" t="n">
        <v>8</v>
      </c>
      <c r="B10" s="62">
        <f>IF('MAESTRO 1°'!B12="","",'MAESTRO 1°'!B12)</f>
        <v/>
      </c>
      <c r="C10" s="54" t="n"/>
      <c r="D10" s="214" t="n"/>
      <c r="E10" s="214" t="n"/>
      <c r="F10" s="54" t="n"/>
      <c r="G10" s="214" t="n"/>
      <c r="H10" s="214" t="n"/>
      <c r="I10" s="214" t="n"/>
      <c r="J10" s="214" t="n"/>
      <c r="K10" s="214" t="n"/>
      <c r="L10" s="214" t="n"/>
      <c r="M10" s="214" t="n"/>
      <c r="N10" s="214" t="n"/>
      <c r="O10" s="214" t="n"/>
      <c r="P10" s="214" t="n"/>
      <c r="Q10" s="214" t="n"/>
      <c r="R10" s="214" t="n"/>
      <c r="S10" s="214" t="n"/>
      <c r="T10" s="214" t="n"/>
      <c r="U10" s="214" t="n"/>
      <c r="V10" s="214" t="n"/>
      <c r="W10" s="214" t="n"/>
      <c r="X10" s="214" t="n"/>
      <c r="Y10" s="22" t="n"/>
      <c r="Z10" s="22" t="n"/>
      <c r="AA10" s="22" t="n"/>
      <c r="AB10" s="22" t="n"/>
      <c r="AC10" s="22" t="n"/>
      <c r="AD10" s="214" t="n"/>
      <c r="AE10" s="214" t="n"/>
      <c r="AF10" s="214" t="n"/>
      <c r="AG10" s="214" t="n"/>
      <c r="AH10" s="214" t="n"/>
      <c r="AI10" s="214" t="n"/>
      <c r="AJ10" s="214" t="n"/>
      <c r="AK10" s="214" t="n"/>
      <c r="AL10" s="214" t="n"/>
      <c r="AM10" s="214" t="n"/>
      <c r="AN10" s="214" t="n"/>
      <c r="AO10" s="214" t="n"/>
      <c r="AP10" s="214" t="n"/>
      <c r="AQ10" s="214" t="n"/>
      <c r="AR10" s="214" t="n"/>
      <c r="AS10" s="214" t="n"/>
      <c r="AT10" s="214" t="n"/>
      <c r="AU10" s="214" t="n"/>
      <c r="AV10" s="214" t="n"/>
      <c r="AW10" s="214" t="n"/>
      <c r="AX10" s="214" t="n"/>
      <c r="AY10" s="214" t="n"/>
      <c r="AZ10" s="214" t="n"/>
      <c r="BA10" s="214" t="n"/>
      <c r="BB10" s="214" t="n"/>
      <c r="BC10" s="214" t="n"/>
      <c r="BD10" s="214" t="n"/>
      <c r="BE10" s="214" t="n"/>
      <c r="BF10" s="214" t="n"/>
      <c r="BG10" s="214" t="n"/>
      <c r="BH10" s="220" t="n"/>
      <c r="BI10" s="220">
        <f>IFERROR(COUNTIF(C10:BH10,"-"),"")</f>
        <v/>
      </c>
      <c r="BJ10" s="220">
        <f>IFERROR(COUNTIF(D10:BI10,"T"),"")</f>
        <v/>
      </c>
      <c r="BK10" s="220" t="n"/>
      <c r="BL10" s="3" t="n">
        <v>8</v>
      </c>
    </row>
    <row r="11">
      <c r="A11" s="1" t="n">
        <v>9</v>
      </c>
      <c r="B11" s="62">
        <f>IF('MAESTRO 1°'!B13="","",'MAESTRO 1°'!B13)</f>
        <v/>
      </c>
      <c r="C11" s="54" t="n"/>
      <c r="D11" s="214" t="n"/>
      <c r="E11" s="214" t="n"/>
      <c r="F11" s="54" t="n"/>
      <c r="G11" s="214" t="n"/>
      <c r="H11" s="214" t="n"/>
      <c r="I11" s="214" t="n"/>
      <c r="J11" s="214" t="n"/>
      <c r="K11" s="214" t="n"/>
      <c r="L11" s="214" t="n"/>
      <c r="M11" s="214" t="n"/>
      <c r="N11" s="214" t="n"/>
      <c r="O11" s="214" t="n"/>
      <c r="P11" s="214" t="n"/>
      <c r="Q11" s="214" t="n"/>
      <c r="R11" s="214" t="n"/>
      <c r="S11" s="214" t="n"/>
      <c r="T11" s="214" t="n"/>
      <c r="U11" s="214" t="n"/>
      <c r="V11" s="214" t="n"/>
      <c r="W11" s="214" t="n"/>
      <c r="X11" s="214" t="n"/>
      <c r="Y11" s="22" t="n"/>
      <c r="Z11" s="22" t="n"/>
      <c r="AA11" s="214" t="n"/>
      <c r="AB11" s="214" t="n"/>
      <c r="AC11" s="22" t="n"/>
      <c r="AD11" s="214" t="n"/>
      <c r="AE11" s="214" t="n"/>
      <c r="AF11" s="214" t="n"/>
      <c r="AG11" s="214" t="n"/>
      <c r="AH11" s="214" t="n"/>
      <c r="AI11" s="214" t="n"/>
      <c r="AJ11" s="214" t="n"/>
      <c r="AK11" s="214" t="n"/>
      <c r="AL11" s="214" t="n"/>
      <c r="AM11" s="214" t="n"/>
      <c r="AN11" s="214" t="n"/>
      <c r="AO11" s="214" t="n"/>
      <c r="AP11" s="214" t="n"/>
      <c r="AQ11" s="214" t="n"/>
      <c r="AR11" s="214" t="n"/>
      <c r="AS11" s="214" t="n"/>
      <c r="AT11" s="214" t="n"/>
      <c r="AU11" s="214" t="n"/>
      <c r="AV11" s="214" t="n"/>
      <c r="AW11" s="214" t="n"/>
      <c r="AX11" s="214" t="n"/>
      <c r="AY11" s="214" t="n"/>
      <c r="AZ11" s="214" t="n"/>
      <c r="BA11" s="214" t="n"/>
      <c r="BB11" s="214" t="n"/>
      <c r="BC11" s="214" t="n"/>
      <c r="BD11" s="214" t="n"/>
      <c r="BE11" s="214" t="n"/>
      <c r="BF11" s="214" t="n"/>
      <c r="BG11" s="214" t="n"/>
      <c r="BH11" s="220" t="n"/>
      <c r="BI11" s="220">
        <f>IFERROR(COUNTIF(C11:BH11,"-"),"")</f>
        <v/>
      </c>
      <c r="BJ11" s="220">
        <f>IFERROR(COUNTIF(D11:BI11,"T"),"")</f>
        <v/>
      </c>
      <c r="BK11" s="220" t="n"/>
      <c r="BL11" s="3" t="n">
        <v>9</v>
      </c>
    </row>
    <row r="12">
      <c r="A12" s="1" t="n">
        <v>10</v>
      </c>
      <c r="B12" s="62">
        <f>IF('MAESTRO 1°'!B14="","",'MAESTRO 1°'!B14)</f>
        <v/>
      </c>
      <c r="C12" s="54" t="n"/>
      <c r="D12" s="214" t="n"/>
      <c r="E12" s="214" t="n"/>
      <c r="F12" s="54" t="n"/>
      <c r="G12" s="214" t="n"/>
      <c r="H12" s="214" t="n"/>
      <c r="I12" s="214" t="n"/>
      <c r="J12" s="214" t="n"/>
      <c r="K12" s="214" t="n"/>
      <c r="L12" s="214" t="n"/>
      <c r="M12" s="214" t="n"/>
      <c r="N12" s="214" t="n"/>
      <c r="O12" s="214" t="n"/>
      <c r="P12" s="214" t="n"/>
      <c r="Q12" s="214" t="n"/>
      <c r="R12" s="214" t="n"/>
      <c r="S12" s="214" t="n"/>
      <c r="T12" s="214" t="n"/>
      <c r="U12" s="214" t="n"/>
      <c r="V12" s="214" t="n"/>
      <c r="W12" s="214" t="n"/>
      <c r="X12" s="214" t="n"/>
      <c r="Y12" s="22" t="n"/>
      <c r="Z12" s="22" t="n"/>
      <c r="AA12" s="22" t="n"/>
      <c r="AB12" s="22" t="n"/>
      <c r="AC12" s="22" t="n"/>
      <c r="AD12" s="214" t="n"/>
      <c r="AE12" s="214" t="n"/>
      <c r="AF12" s="214" t="n"/>
      <c r="AG12" s="214" t="n"/>
      <c r="AH12" s="214" t="n"/>
      <c r="AI12" s="214" t="n"/>
      <c r="AJ12" s="214" t="n"/>
      <c r="AK12" s="214" t="n"/>
      <c r="AL12" s="214" t="n"/>
      <c r="AM12" s="214" t="n"/>
      <c r="AN12" s="214" t="n"/>
      <c r="AO12" s="214" t="n"/>
      <c r="AP12" s="214" t="n"/>
      <c r="AQ12" s="214" t="n"/>
      <c r="AR12" s="214" t="n"/>
      <c r="AS12" s="214" t="n"/>
      <c r="AT12" s="214" t="n"/>
      <c r="AU12" s="214" t="n"/>
      <c r="AV12" s="214" t="n"/>
      <c r="AW12" s="214" t="n"/>
      <c r="AX12" s="214" t="n"/>
      <c r="AY12" s="214" t="n"/>
      <c r="AZ12" s="214" t="n"/>
      <c r="BA12" s="214" t="n"/>
      <c r="BB12" s="214" t="n"/>
      <c r="BC12" s="214" t="n"/>
      <c r="BD12" s="214" t="n"/>
      <c r="BE12" s="214" t="n"/>
      <c r="BF12" s="214" t="n"/>
      <c r="BG12" s="214" t="n"/>
      <c r="BH12" s="220" t="n"/>
      <c r="BI12" s="220">
        <f>IFERROR(COUNTIF(C12:BH12,"-"),"")</f>
        <v/>
      </c>
      <c r="BJ12" s="220">
        <f>IFERROR(COUNTIF(D12:BI12,"T"),"")</f>
        <v/>
      </c>
      <c r="BK12" s="220" t="n"/>
      <c r="BL12" s="3" t="n">
        <v>10</v>
      </c>
    </row>
    <row r="13">
      <c r="A13" s="1" t="n">
        <v>11</v>
      </c>
      <c r="B13" s="62">
        <f>IF('MAESTRO 1°'!B15="","",'MAESTRO 1°'!B15)</f>
        <v/>
      </c>
      <c r="C13" s="54" t="n"/>
      <c r="D13" s="214" t="n"/>
      <c r="E13" s="214" t="n"/>
      <c r="F13" s="54" t="n"/>
      <c r="G13" s="214" t="n"/>
      <c r="H13" s="214" t="n"/>
      <c r="I13" s="214" t="n"/>
      <c r="J13" s="214" t="n"/>
      <c r="K13" s="214" t="n"/>
      <c r="L13" s="214" t="n"/>
      <c r="M13" s="214" t="n"/>
      <c r="N13" s="214" t="n"/>
      <c r="O13" s="214" t="n"/>
      <c r="P13" s="214" t="n"/>
      <c r="Q13" s="214" t="n"/>
      <c r="R13" s="214" t="n"/>
      <c r="S13" s="214" t="n"/>
      <c r="T13" s="214" t="n"/>
      <c r="U13" s="214" t="n"/>
      <c r="V13" s="214" t="n"/>
      <c r="W13" s="214" t="n"/>
      <c r="X13" s="214" t="n"/>
      <c r="Y13" s="22" t="n"/>
      <c r="Z13" s="22" t="n"/>
      <c r="AA13" s="22" t="n"/>
      <c r="AB13" s="22" t="n"/>
      <c r="AC13" s="22" t="n"/>
      <c r="AD13" s="214" t="n"/>
      <c r="AE13" s="214" t="n"/>
      <c r="AF13" s="214" t="n"/>
      <c r="AG13" s="214" t="n"/>
      <c r="AH13" s="214" t="n"/>
      <c r="AI13" s="214" t="n"/>
      <c r="AJ13" s="214" t="n"/>
      <c r="AK13" s="214" t="n"/>
      <c r="AL13" s="214" t="n"/>
      <c r="AM13" s="214" t="n"/>
      <c r="AN13" s="214" t="n"/>
      <c r="AO13" s="214" t="n"/>
      <c r="AP13" s="214" t="n"/>
      <c r="AQ13" s="214" t="n"/>
      <c r="AR13" s="214" t="n"/>
      <c r="AS13" s="214" t="n"/>
      <c r="AT13" s="214" t="n"/>
      <c r="AU13" s="214" t="n"/>
      <c r="AV13" s="214" t="n"/>
      <c r="AW13" s="214" t="n"/>
      <c r="AX13" s="214" t="n"/>
      <c r="AY13" s="214" t="n"/>
      <c r="AZ13" s="214" t="n"/>
      <c r="BA13" s="214" t="n"/>
      <c r="BB13" s="214" t="n"/>
      <c r="BC13" s="214" t="n"/>
      <c r="BD13" s="214" t="n"/>
      <c r="BE13" s="214" t="n"/>
      <c r="BF13" s="214" t="n"/>
      <c r="BG13" s="214" t="n"/>
      <c r="BH13" s="220" t="n"/>
      <c r="BI13" s="220">
        <f>IFERROR(COUNTIF(C13:BH13,"-"),"")</f>
        <v/>
      </c>
      <c r="BJ13" s="220">
        <f>IFERROR(COUNTIF(D13:BI13,"T"),"")</f>
        <v/>
      </c>
      <c r="BK13" s="220" t="n"/>
      <c r="BL13" s="3" t="n">
        <v>11</v>
      </c>
    </row>
    <row r="14">
      <c r="A14" s="1" t="n">
        <v>12</v>
      </c>
      <c r="B14" s="62">
        <f>IF('MAESTRO 1°'!B16="","",'MAESTRO 1°'!B16)</f>
        <v/>
      </c>
      <c r="C14" s="54" t="n"/>
      <c r="D14" s="214" t="n"/>
      <c r="E14" s="214" t="n"/>
      <c r="F14" s="54" t="n"/>
      <c r="G14" s="214" t="n"/>
      <c r="H14" s="214" t="n"/>
      <c r="I14" s="214" t="n"/>
      <c r="J14" s="214" t="n"/>
      <c r="K14" s="214" t="n"/>
      <c r="L14" s="214" t="n"/>
      <c r="M14" s="214" t="n"/>
      <c r="N14" s="214" t="n"/>
      <c r="O14" s="214" t="n"/>
      <c r="P14" s="214" t="n"/>
      <c r="Q14" s="214" t="n"/>
      <c r="R14" s="214" t="n"/>
      <c r="S14" s="214" t="n"/>
      <c r="T14" s="214" t="n"/>
      <c r="U14" s="214" t="n"/>
      <c r="V14" s="214" t="n"/>
      <c r="W14" s="214" t="n"/>
      <c r="X14" s="214" t="n"/>
      <c r="Y14" s="22" t="n"/>
      <c r="Z14" s="22" t="n"/>
      <c r="AA14" s="22" t="n"/>
      <c r="AB14" s="22" t="n"/>
      <c r="AC14" s="22" t="n"/>
      <c r="AD14" s="214" t="n"/>
      <c r="AE14" s="214" t="n"/>
      <c r="AF14" s="214" t="n"/>
      <c r="AG14" s="214" t="n"/>
      <c r="AH14" s="214" t="n"/>
      <c r="AI14" s="214" t="n"/>
      <c r="AJ14" s="214" t="n"/>
      <c r="AK14" s="214" t="n"/>
      <c r="AL14" s="214" t="n"/>
      <c r="AM14" s="214" t="n"/>
      <c r="AN14" s="214" t="n"/>
      <c r="AO14" s="214" t="n"/>
      <c r="AP14" s="214" t="n"/>
      <c r="AQ14" s="214" t="n"/>
      <c r="AR14" s="214" t="n"/>
      <c r="AS14" s="214" t="n"/>
      <c r="AT14" s="214" t="n"/>
      <c r="AU14" s="214" t="n"/>
      <c r="AV14" s="214" t="n"/>
      <c r="AW14" s="214" t="n"/>
      <c r="AX14" s="214" t="n"/>
      <c r="AY14" s="214" t="n"/>
      <c r="AZ14" s="214" t="n"/>
      <c r="BA14" s="214" t="n"/>
      <c r="BB14" s="214" t="n"/>
      <c r="BC14" s="214" t="n"/>
      <c r="BD14" s="214" t="n"/>
      <c r="BE14" s="214" t="n"/>
      <c r="BF14" s="214" t="n"/>
      <c r="BG14" s="214" t="n"/>
      <c r="BH14" s="220" t="n"/>
      <c r="BI14" s="220">
        <f>IFERROR(COUNTIF(C14:BH14,"-"),"")</f>
        <v/>
      </c>
      <c r="BJ14" s="220">
        <f>IFERROR(COUNTIF(D14:BI14,"T"),"")</f>
        <v/>
      </c>
      <c r="BK14" s="220" t="n"/>
      <c r="BL14" s="3" t="n">
        <v>12</v>
      </c>
    </row>
    <row r="15">
      <c r="A15" s="1" t="n">
        <v>13</v>
      </c>
      <c r="B15" s="62">
        <f>IF('MAESTRO 1°'!B17="","",'MAESTRO 1°'!B17)</f>
        <v/>
      </c>
      <c r="C15" s="54" t="n"/>
      <c r="D15" s="214" t="n"/>
      <c r="E15" s="214" t="n"/>
      <c r="F15" s="54" t="n"/>
      <c r="G15" s="214" t="n"/>
      <c r="H15" s="214" t="n"/>
      <c r="I15" s="214" t="n"/>
      <c r="J15" s="214" t="n"/>
      <c r="K15" s="214" t="n"/>
      <c r="L15" s="214" t="n"/>
      <c r="M15" s="214" t="n"/>
      <c r="N15" s="214" t="n"/>
      <c r="O15" s="214" t="n"/>
      <c r="P15" s="214" t="n"/>
      <c r="Q15" s="214" t="n"/>
      <c r="R15" s="214" t="n"/>
      <c r="S15" s="214" t="n"/>
      <c r="T15" s="214" t="n"/>
      <c r="U15" s="214" t="n"/>
      <c r="V15" s="214" t="n"/>
      <c r="W15" s="214" t="n"/>
      <c r="X15" s="214" t="n"/>
      <c r="Y15" s="22" t="n"/>
      <c r="Z15" s="22" t="n"/>
      <c r="AA15" s="22" t="n"/>
      <c r="AB15" s="22" t="n"/>
      <c r="AC15" s="22" t="n"/>
      <c r="AD15" s="214" t="n"/>
      <c r="AE15" s="214" t="n"/>
      <c r="AF15" s="214" t="n"/>
      <c r="AG15" s="214" t="n"/>
      <c r="AH15" s="214" t="n"/>
      <c r="AI15" s="214" t="n"/>
      <c r="AJ15" s="214" t="n"/>
      <c r="AK15" s="214" t="n"/>
      <c r="AL15" s="214" t="n"/>
      <c r="AM15" s="214" t="n"/>
      <c r="AN15" s="214" t="n"/>
      <c r="AO15" s="214" t="n"/>
      <c r="AP15" s="214" t="n"/>
      <c r="AQ15" s="214" t="n"/>
      <c r="AR15" s="214" t="n"/>
      <c r="AS15" s="214" t="n"/>
      <c r="AT15" s="214" t="n"/>
      <c r="AU15" s="214" t="n"/>
      <c r="AV15" s="214" t="n"/>
      <c r="AW15" s="214" t="n"/>
      <c r="AX15" s="214" t="n"/>
      <c r="AY15" s="214" t="n"/>
      <c r="AZ15" s="214" t="n"/>
      <c r="BA15" s="214" t="n"/>
      <c r="BB15" s="214" t="n"/>
      <c r="BC15" s="214" t="n"/>
      <c r="BD15" s="214" t="n"/>
      <c r="BE15" s="214" t="n"/>
      <c r="BF15" s="214" t="n"/>
      <c r="BG15" s="214" t="n"/>
      <c r="BH15" s="220" t="n"/>
      <c r="BI15" s="220">
        <f>IFERROR(COUNTIF(C15:BH15,"-"),"")</f>
        <v/>
      </c>
      <c r="BJ15" s="220">
        <f>IFERROR(COUNTIF(D15:BI15,"T"),"")</f>
        <v/>
      </c>
      <c r="BK15" s="220" t="n"/>
      <c r="BL15" s="3" t="n">
        <v>13</v>
      </c>
    </row>
    <row r="16">
      <c r="A16" s="1" t="n">
        <v>14</v>
      </c>
      <c r="B16" s="62">
        <f>IF('MAESTRO 1°'!B18="","",'MAESTRO 1°'!B18)</f>
        <v/>
      </c>
      <c r="C16" s="54" t="n"/>
      <c r="D16" s="214" t="n"/>
      <c r="E16" s="214" t="n"/>
      <c r="F16" s="54" t="n"/>
      <c r="G16" s="214" t="n"/>
      <c r="H16" s="214" t="n"/>
      <c r="I16" s="214" t="n"/>
      <c r="J16" s="214" t="n"/>
      <c r="K16" s="214" t="n"/>
      <c r="L16" s="214" t="n"/>
      <c r="M16" s="214" t="n"/>
      <c r="N16" s="214" t="n"/>
      <c r="O16" s="214" t="n"/>
      <c r="P16" s="214" t="n"/>
      <c r="Q16" s="214" t="n"/>
      <c r="R16" s="214" t="n"/>
      <c r="S16" s="214" t="n"/>
      <c r="T16" s="214" t="n"/>
      <c r="U16" s="214" t="n"/>
      <c r="V16" s="214" t="n"/>
      <c r="W16" s="214" t="n"/>
      <c r="X16" s="214" t="n"/>
      <c r="Y16" s="22" t="n"/>
      <c r="Z16" s="22" t="n"/>
      <c r="AA16" s="22" t="n"/>
      <c r="AB16" s="22" t="n"/>
      <c r="AC16" s="22" t="n"/>
      <c r="AD16" s="214" t="n"/>
      <c r="AE16" s="214" t="n"/>
      <c r="AF16" s="214" t="n"/>
      <c r="AG16" s="214" t="n"/>
      <c r="AH16" s="214" t="n"/>
      <c r="AI16" s="214" t="n"/>
      <c r="AJ16" s="214" t="n"/>
      <c r="AK16" s="214" t="n"/>
      <c r="AL16" s="214" t="n"/>
      <c r="AM16" s="214" t="n"/>
      <c r="AN16" s="214" t="n"/>
      <c r="AO16" s="214" t="n"/>
      <c r="AP16" s="214" t="n"/>
      <c r="AQ16" s="214" t="n"/>
      <c r="AS16" s="214" t="n"/>
      <c r="AT16" s="214" t="n"/>
      <c r="AU16" s="214" t="n"/>
      <c r="AV16" s="214" t="n"/>
      <c r="AW16" s="214" t="n"/>
      <c r="AX16" s="214" t="n"/>
      <c r="AY16" s="214" t="n"/>
      <c r="AZ16" s="214" t="n"/>
      <c r="BA16" s="214" t="n"/>
      <c r="BB16" s="214" t="n"/>
      <c r="BC16" s="214" t="n"/>
      <c r="BD16" s="214" t="n"/>
      <c r="BE16" s="214" t="n"/>
      <c r="BF16" s="214" t="n"/>
      <c r="BG16" s="214" t="n"/>
      <c r="BH16" s="220" t="n"/>
      <c r="BI16" s="220">
        <f>IFERROR(COUNTIF(C16:BH16,"-"),"")</f>
        <v/>
      </c>
      <c r="BJ16" s="220">
        <f>IFERROR(COUNTIF(D16:BI16,"T"),"")</f>
        <v/>
      </c>
      <c r="BK16" s="220" t="n"/>
      <c r="BL16" s="3" t="n">
        <v>14</v>
      </c>
    </row>
    <row r="17">
      <c r="A17" s="1" t="n">
        <v>15</v>
      </c>
      <c r="B17" s="62">
        <f>IF('MAESTRO 1°'!B19="","",'MAESTRO 1°'!B19)</f>
        <v/>
      </c>
      <c r="C17" s="54" t="n"/>
      <c r="D17" s="214" t="n"/>
      <c r="E17" s="214" t="n"/>
      <c r="F17" s="54" t="n"/>
      <c r="G17" s="214" t="n"/>
      <c r="H17" s="214" t="n"/>
      <c r="I17" s="214" t="n"/>
      <c r="J17" s="214" t="n"/>
      <c r="K17" s="214" t="n"/>
      <c r="L17" s="214" t="n"/>
      <c r="M17" s="214" t="n"/>
      <c r="N17" s="214" t="n"/>
      <c r="O17" s="214" t="n"/>
      <c r="P17" s="214" t="n"/>
      <c r="Q17" s="214" t="n"/>
      <c r="R17" s="214" t="n"/>
      <c r="S17" s="214" t="n"/>
      <c r="T17" s="214" t="n"/>
      <c r="U17" s="214" t="n"/>
      <c r="V17" s="214" t="n"/>
      <c r="W17" s="214" t="n"/>
      <c r="X17" s="214" t="n"/>
      <c r="Y17" s="22" t="n"/>
      <c r="Z17" s="22" t="n"/>
      <c r="AA17" s="22" t="n"/>
      <c r="AB17" s="22" t="n"/>
      <c r="AC17" s="22" t="n"/>
      <c r="AD17" s="214" t="n"/>
      <c r="AE17" s="214" t="n"/>
      <c r="AF17" s="214" t="n"/>
      <c r="AG17" s="214" t="n"/>
      <c r="AH17" s="214" t="n"/>
      <c r="AI17" s="214" t="n"/>
      <c r="AJ17" s="214" t="n"/>
      <c r="AK17" s="214" t="n"/>
      <c r="AL17" s="214" t="n"/>
      <c r="AM17" s="214" t="n"/>
      <c r="AN17" s="214" t="n"/>
      <c r="AO17" s="214" t="n"/>
      <c r="AP17" s="214" t="n"/>
      <c r="AQ17" s="214" t="n"/>
      <c r="AS17" s="214" t="n"/>
      <c r="AT17" s="214" t="n"/>
      <c r="AU17" s="214" t="n"/>
      <c r="AV17" s="214" t="n"/>
      <c r="AW17" s="214" t="n"/>
      <c r="AX17" s="214" t="n"/>
      <c r="AY17" s="214" t="n"/>
      <c r="AZ17" s="214" t="n"/>
      <c r="BA17" s="214" t="n"/>
      <c r="BB17" s="214" t="n"/>
      <c r="BC17" s="214" t="n"/>
      <c r="BD17" s="214" t="n"/>
      <c r="BE17" s="214" t="n"/>
      <c r="BF17" s="214" t="n"/>
      <c r="BG17" s="214" t="n"/>
      <c r="BH17" s="220" t="n"/>
      <c r="BI17" s="220">
        <f>IFERROR(COUNTIF(C17:BH17,"-"),"")</f>
        <v/>
      </c>
      <c r="BJ17" s="220">
        <f>IFERROR(COUNTIF(D17:BI17,"T"),"")</f>
        <v/>
      </c>
      <c r="BK17" s="220" t="n"/>
      <c r="BL17" s="3" t="n">
        <v>15</v>
      </c>
    </row>
    <row r="18">
      <c r="A18" s="1" t="n">
        <v>16</v>
      </c>
      <c r="B18" s="62">
        <f>IF('MAESTRO 1°'!B20="","",'MAESTRO 1°'!B20)</f>
        <v/>
      </c>
      <c r="C18" s="54" t="n"/>
      <c r="D18" s="214" t="n"/>
      <c r="E18" s="214" t="n"/>
      <c r="F18" s="54" t="n"/>
      <c r="G18" s="214" t="n"/>
      <c r="H18" s="214" t="n"/>
      <c r="I18" s="214" t="n"/>
      <c r="J18" s="214" t="n"/>
      <c r="K18" s="214" t="n"/>
      <c r="L18" s="214" t="n"/>
      <c r="M18" s="214" t="n"/>
      <c r="N18" s="214" t="n"/>
      <c r="O18" s="214" t="n"/>
      <c r="P18" s="214" t="n"/>
      <c r="Q18" s="214" t="n"/>
      <c r="R18" s="214" t="n"/>
      <c r="S18" s="214" t="n"/>
      <c r="T18" s="214" t="n"/>
      <c r="U18" s="214" t="n"/>
      <c r="V18" s="214" t="n"/>
      <c r="W18" s="214" t="n"/>
      <c r="X18" s="214" t="n"/>
      <c r="Y18" s="22" t="n"/>
      <c r="Z18" s="22" t="n"/>
      <c r="AA18" s="22" t="n"/>
      <c r="AB18" s="22" t="n"/>
      <c r="AC18" s="22" t="n"/>
      <c r="AD18" s="214" t="n"/>
      <c r="AE18" s="214" t="n"/>
      <c r="AF18" s="214" t="n"/>
      <c r="AG18" s="214" t="n"/>
      <c r="AH18" s="214" t="n"/>
      <c r="AI18" s="214" t="n"/>
      <c r="AJ18" s="214" t="n"/>
      <c r="AK18" s="214" t="n"/>
      <c r="AL18" s="214" t="n"/>
      <c r="AM18" s="214" t="n"/>
      <c r="AN18" s="214" t="n"/>
      <c r="AO18" s="214" t="n"/>
      <c r="AP18" s="214" t="n"/>
      <c r="AQ18" s="214" t="n"/>
      <c r="AS18" s="214" t="n"/>
      <c r="AT18" s="214" t="n"/>
      <c r="AU18" s="214" t="n"/>
      <c r="AV18" s="214" t="n"/>
      <c r="AW18" s="214" t="n"/>
      <c r="AX18" s="214" t="n"/>
      <c r="AY18" s="214" t="n"/>
      <c r="AZ18" s="214" t="n"/>
      <c r="BA18" s="214" t="n"/>
      <c r="BB18" s="214" t="n"/>
      <c r="BC18" s="214" t="n"/>
      <c r="BD18" s="214" t="n"/>
      <c r="BE18" s="214" t="n"/>
      <c r="BF18" s="214" t="n"/>
      <c r="BG18" s="214" t="n"/>
      <c r="BH18" s="220" t="n"/>
      <c r="BI18" s="220">
        <f>IFERROR(COUNTIF(C18:BH18,"-"),"")</f>
        <v/>
      </c>
      <c r="BJ18" s="220">
        <f>IFERROR(COUNTIF(D18:BI18,"T"),"")</f>
        <v/>
      </c>
      <c r="BK18" s="220" t="n"/>
      <c r="BL18" s="3" t="n">
        <v>16</v>
      </c>
    </row>
    <row r="19">
      <c r="A19" s="1" t="n">
        <v>17</v>
      </c>
      <c r="B19" s="62">
        <f>IF('MAESTRO 1°'!B21="","",'MAESTRO 1°'!B21)</f>
        <v/>
      </c>
      <c r="C19" s="54" t="n"/>
      <c r="D19" s="214" t="n"/>
      <c r="E19" s="214" t="n"/>
      <c r="F19" s="54" t="n"/>
      <c r="G19" s="214" t="n"/>
      <c r="H19" s="214" t="n"/>
      <c r="I19" s="214" t="n"/>
      <c r="J19" s="214" t="n"/>
      <c r="K19" s="214" t="n"/>
      <c r="L19" s="214" t="n"/>
      <c r="M19" s="214" t="n"/>
      <c r="N19" s="214" t="n"/>
      <c r="O19" s="214" t="n"/>
      <c r="P19" s="214" t="n"/>
      <c r="Q19" s="214" t="n"/>
      <c r="R19" s="214" t="n"/>
      <c r="S19" s="214" t="n"/>
      <c r="T19" s="214" t="n"/>
      <c r="U19" s="214" t="n"/>
      <c r="V19" s="214" t="n"/>
      <c r="W19" s="214" t="n"/>
      <c r="X19" s="214" t="n"/>
      <c r="Y19" s="22" t="n"/>
      <c r="Z19" s="22" t="n"/>
      <c r="AA19" s="22" t="n"/>
      <c r="AB19" s="22" t="n"/>
      <c r="AC19" s="22" t="n"/>
      <c r="AD19" s="214" t="n"/>
      <c r="AE19" s="214" t="n"/>
      <c r="AF19" s="214" t="n"/>
      <c r="AG19" s="214" t="n"/>
      <c r="AH19" s="214" t="n"/>
      <c r="AI19" s="214" t="n"/>
      <c r="AJ19" s="214" t="n"/>
      <c r="AK19" s="22" t="n"/>
      <c r="AL19" s="214" t="n"/>
      <c r="AM19" s="214" t="n"/>
      <c r="AN19" s="214" t="n"/>
      <c r="AO19" s="214" t="n"/>
      <c r="AP19" s="214" t="n"/>
      <c r="AQ19" s="214" t="n"/>
      <c r="AR19" s="214" t="n"/>
      <c r="AS19" s="214" t="n"/>
      <c r="AT19" s="214" t="n"/>
      <c r="AU19" s="214" t="n"/>
      <c r="AV19" s="214" t="n"/>
      <c r="AW19" s="214" t="n"/>
      <c r="AX19" s="214" t="n"/>
      <c r="AY19" s="214" t="n"/>
      <c r="AZ19" s="214" t="n"/>
      <c r="BA19" s="214" t="n"/>
      <c r="BB19" s="214" t="n"/>
      <c r="BC19" s="214" t="n"/>
      <c r="BD19" s="214" t="n"/>
      <c r="BE19" s="214" t="n"/>
      <c r="BF19" s="214" t="n"/>
      <c r="BG19" s="214" t="n"/>
      <c r="BH19" s="220" t="n"/>
      <c r="BI19" s="220">
        <f>IFERROR(COUNTIF(C19:BH19,"-"),"")</f>
        <v/>
      </c>
      <c r="BJ19" s="220">
        <f>IFERROR(COUNTIF(D19:BI19,"T"),"")</f>
        <v/>
      </c>
      <c r="BK19" s="220" t="n"/>
      <c r="BL19" s="3" t="n">
        <v>17</v>
      </c>
    </row>
    <row r="20">
      <c r="A20" s="1" t="n">
        <v>18</v>
      </c>
      <c r="B20" s="62">
        <f>IF('MAESTRO 1°'!B22="","",'MAESTRO 1°'!B22)</f>
        <v/>
      </c>
      <c r="C20" s="54" t="n"/>
      <c r="D20" s="214" t="n"/>
      <c r="E20" s="214" t="n"/>
      <c r="F20" s="54" t="n"/>
      <c r="G20" s="214" t="n"/>
      <c r="H20" s="214" t="n"/>
      <c r="I20" s="214" t="n"/>
      <c r="J20" s="214" t="n"/>
      <c r="K20" s="214" t="n"/>
      <c r="L20" s="214" t="n"/>
      <c r="M20" s="214" t="n"/>
      <c r="N20" s="214" t="n"/>
      <c r="O20" s="214" t="n"/>
      <c r="P20" s="214" t="n"/>
      <c r="Q20" s="214" t="n"/>
      <c r="R20" s="214" t="n"/>
      <c r="S20" s="214" t="n"/>
      <c r="T20" s="214" t="n"/>
      <c r="U20" s="214" t="n"/>
      <c r="V20" s="214" t="n"/>
      <c r="W20" s="214" t="n"/>
      <c r="X20" s="214" t="n"/>
      <c r="Y20" s="22" t="n"/>
      <c r="Z20" s="22" t="n"/>
      <c r="AA20" s="22" t="n"/>
      <c r="AB20" s="22" t="n"/>
      <c r="AC20" s="22" t="n"/>
      <c r="AD20" s="214" t="n"/>
      <c r="AE20" s="214" t="n"/>
      <c r="AF20" s="214" t="n"/>
      <c r="AG20" s="214" t="n"/>
      <c r="AH20" s="214" t="n"/>
      <c r="AI20" s="214" t="n"/>
      <c r="AJ20" s="214" t="n"/>
      <c r="AK20" s="22"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c r="BD20" s="214" t="n"/>
      <c r="BE20" s="214" t="n"/>
      <c r="BF20" s="214" t="n"/>
      <c r="BG20" s="214" t="n"/>
      <c r="BH20" s="220" t="n"/>
      <c r="BI20" s="220">
        <f>IFERROR(COUNTIF(C20:BH20,"-"),"")</f>
        <v/>
      </c>
      <c r="BJ20" s="220">
        <f>IFERROR(COUNTIF(D20:BI20,"T"),"")</f>
        <v/>
      </c>
      <c r="BK20" s="220" t="n"/>
      <c r="BL20" s="3" t="n">
        <v>18</v>
      </c>
    </row>
    <row r="21">
      <c r="A21" s="1" t="n">
        <v>19</v>
      </c>
      <c r="B21" s="62">
        <f>IF('MAESTRO 1°'!B23="","",'MAESTRO 1°'!B23)</f>
        <v/>
      </c>
      <c r="C21" s="54" t="n"/>
      <c r="D21" s="214" t="n"/>
      <c r="E21" s="214" t="n"/>
      <c r="F21" s="54" t="n"/>
      <c r="G21" s="214" t="n"/>
      <c r="H21" s="214" t="n"/>
      <c r="I21" s="214" t="n"/>
      <c r="J21" s="214" t="n"/>
      <c r="K21" s="214" t="n"/>
      <c r="L21" s="214" t="n"/>
      <c r="M21" s="214" t="n"/>
      <c r="N21" s="214" t="n"/>
      <c r="O21" s="214" t="n"/>
      <c r="P21" s="214" t="n"/>
      <c r="Q21" s="214" t="n"/>
      <c r="R21" s="214" t="n"/>
      <c r="S21" s="214" t="n"/>
      <c r="T21" s="214" t="n"/>
      <c r="U21" s="214" t="n"/>
      <c r="V21" s="214" t="n"/>
      <c r="W21" s="214" t="n"/>
      <c r="X21" s="214" t="n"/>
      <c r="Y21" s="22" t="n"/>
      <c r="Z21" s="22" t="n"/>
      <c r="AA21" s="22" t="n"/>
      <c r="AB21" s="22" t="n"/>
      <c r="AC21" s="22" t="n"/>
      <c r="AD21" s="214" t="n"/>
      <c r="AE21" s="214" t="n"/>
      <c r="AF21" s="214" t="n"/>
      <c r="AG21" s="214" t="n"/>
      <c r="AH21" s="214" t="n"/>
      <c r="AI21" s="214" t="n"/>
      <c r="AJ21" s="214" t="n"/>
      <c r="AK21" s="22" t="n"/>
      <c r="AL21" s="214" t="n"/>
      <c r="AM21" s="214" t="n"/>
      <c r="AN21" s="214" t="n"/>
      <c r="AO21" s="214" t="n"/>
      <c r="AP21" s="214" t="n"/>
      <c r="AQ21" s="214" t="n"/>
      <c r="AR21" s="214" t="n"/>
      <c r="AS21" s="214" t="n"/>
      <c r="AT21" s="214" t="n"/>
      <c r="AU21" s="214" t="n"/>
      <c r="AV21" s="214" t="n"/>
      <c r="AW21" s="214" t="n"/>
      <c r="AX21" s="214" t="n"/>
      <c r="AY21" s="214" t="n"/>
      <c r="AZ21" s="214" t="n"/>
      <c r="BA21" s="214" t="n"/>
      <c r="BB21" s="214" t="n"/>
      <c r="BC21" s="214" t="n"/>
      <c r="BD21" s="214" t="n"/>
      <c r="BE21" s="214" t="n"/>
      <c r="BF21" s="214" t="n"/>
      <c r="BG21" s="214" t="n"/>
      <c r="BH21" s="220" t="n"/>
      <c r="BI21" s="220">
        <f>IFERROR(COUNTIF(C21:BH21,"-"),"")</f>
        <v/>
      </c>
      <c r="BJ21" s="220">
        <f>IFERROR(COUNTIF(D21:BI21,"T"),"")</f>
        <v/>
      </c>
      <c r="BK21" s="220" t="n"/>
      <c r="BL21" s="3" t="n">
        <v>19</v>
      </c>
    </row>
    <row r="22">
      <c r="A22" s="1" t="n">
        <v>20</v>
      </c>
      <c r="B22" s="62">
        <f>IF('MAESTRO 1°'!B24="","",'MAESTRO 1°'!B24)</f>
        <v/>
      </c>
      <c r="C22" s="54" t="n"/>
      <c r="D22" s="214" t="n"/>
      <c r="E22" s="214" t="n"/>
      <c r="F22" s="54" t="n"/>
      <c r="G22" s="214" t="n"/>
      <c r="H22" s="214" t="n"/>
      <c r="I22" s="214" t="n"/>
      <c r="J22" s="214" t="n"/>
      <c r="K22" s="214" t="n"/>
      <c r="L22" s="214" t="n"/>
      <c r="M22" s="214" t="n"/>
      <c r="N22" s="214" t="n"/>
      <c r="O22" s="214" t="n"/>
      <c r="P22" s="214" t="n"/>
      <c r="Q22" s="214" t="n"/>
      <c r="R22" s="214" t="n"/>
      <c r="S22" s="214" t="n"/>
      <c r="T22" s="214" t="n"/>
      <c r="U22" s="214" t="n"/>
      <c r="V22" s="214" t="n"/>
      <c r="W22" s="214" t="n"/>
      <c r="X22" s="214" t="n"/>
      <c r="Y22" s="22" t="n"/>
      <c r="Z22" s="22" t="n"/>
      <c r="AA22" s="22" t="n"/>
      <c r="AB22" s="22" t="n"/>
      <c r="AC22" s="22" t="n"/>
      <c r="AD22" s="214" t="n"/>
      <c r="AE22" s="214" t="n"/>
      <c r="AF22" s="214" t="n"/>
      <c r="AG22" s="214" t="n"/>
      <c r="AH22" s="214" t="n"/>
      <c r="AI22" s="214" t="n"/>
      <c r="AJ22" s="214" t="n"/>
      <c r="AK22" s="22" t="n"/>
      <c r="AL22" s="214" t="n"/>
      <c r="AM22" s="214" t="n"/>
      <c r="AN22" s="214" t="n"/>
      <c r="AO22" s="214" t="n"/>
      <c r="AP22" s="214" t="n"/>
      <c r="AQ22" s="214" t="n"/>
      <c r="AR22" s="214" t="n"/>
      <c r="AS22" s="214" t="n"/>
      <c r="AT22" s="214" t="n"/>
      <c r="AU22" s="214" t="n"/>
      <c r="AV22" s="214" t="n"/>
      <c r="AW22" s="214" t="n"/>
      <c r="AX22" s="214" t="n"/>
      <c r="AY22" s="214" t="n"/>
      <c r="AZ22" s="214" t="n"/>
      <c r="BA22" s="214" t="n"/>
      <c r="BB22" s="214" t="n"/>
      <c r="BC22" s="214" t="n"/>
      <c r="BD22" s="214" t="n"/>
      <c r="BE22" s="214" t="n"/>
      <c r="BF22" s="214" t="n"/>
      <c r="BG22" s="214" t="n"/>
      <c r="BH22" s="220" t="n"/>
      <c r="BI22" s="220">
        <f>IFERROR(COUNTIF(C22:BH22,"-"),"")</f>
        <v/>
      </c>
      <c r="BJ22" s="220">
        <f>IFERROR(COUNTIF(D22:BI22,"T"),"")</f>
        <v/>
      </c>
      <c r="BK22" s="220" t="n"/>
      <c r="BL22" s="3" t="n">
        <v>20</v>
      </c>
    </row>
    <row r="23">
      <c r="A23" s="1" t="n">
        <v>21</v>
      </c>
      <c r="B23" s="62">
        <f>IF('MAESTRO 1°'!B25="","",'MAESTRO 1°'!B25)</f>
        <v/>
      </c>
      <c r="C23" s="54" t="n"/>
      <c r="D23" s="214" t="n"/>
      <c r="E23" s="214" t="n"/>
      <c r="F23" s="54" t="n"/>
      <c r="G23" s="214" t="n"/>
      <c r="H23" s="214" t="n"/>
      <c r="I23" s="214" t="n"/>
      <c r="J23" s="214" t="n"/>
      <c r="K23" s="214" t="n"/>
      <c r="L23" s="214" t="n"/>
      <c r="M23" s="214" t="n"/>
      <c r="N23" s="214" t="n"/>
      <c r="O23" s="214" t="n"/>
      <c r="P23" s="214" t="n"/>
      <c r="Q23" s="214" t="n"/>
      <c r="R23" s="214" t="n"/>
      <c r="S23" s="214" t="n"/>
      <c r="T23" s="214" t="n"/>
      <c r="U23" s="214" t="n"/>
      <c r="V23" s="214" t="n"/>
      <c r="W23" s="214" t="n"/>
      <c r="X23" s="214" t="n"/>
      <c r="Y23" s="22" t="n"/>
      <c r="Z23" s="22" t="n"/>
      <c r="AA23" s="22" t="n"/>
      <c r="AB23" s="22" t="n"/>
      <c r="AC23" s="22" t="n"/>
      <c r="AD23" s="214" t="n"/>
      <c r="AE23" s="214" t="n"/>
      <c r="AF23" s="214" t="n"/>
      <c r="AG23" s="214" t="n"/>
      <c r="AH23" s="214" t="n"/>
      <c r="AI23" s="214" t="n"/>
      <c r="AJ23" s="214" t="n"/>
      <c r="AK23" s="22" t="n"/>
      <c r="AL23" s="214" t="n"/>
      <c r="AM23" s="214" t="n"/>
      <c r="AN23" s="214" t="n"/>
      <c r="AO23" s="214" t="n"/>
      <c r="AP23" s="214" t="n"/>
      <c r="AQ23" s="214" t="n"/>
      <c r="AR23" s="214" t="n"/>
      <c r="AS23" s="214" t="n"/>
      <c r="AT23" s="214" t="n"/>
      <c r="AU23" s="214" t="n"/>
      <c r="AV23" s="214" t="n"/>
      <c r="AW23" s="214" t="n"/>
      <c r="AX23" s="214" t="n"/>
      <c r="AY23" s="214" t="n"/>
      <c r="AZ23" s="214" t="n"/>
      <c r="BA23" s="214" t="n"/>
      <c r="BB23" s="214" t="n"/>
      <c r="BC23" s="214" t="n"/>
      <c r="BD23" s="214" t="n"/>
      <c r="BE23" s="214" t="n"/>
      <c r="BF23" s="214" t="n"/>
      <c r="BG23" s="214" t="n"/>
      <c r="BH23" s="220" t="n"/>
      <c r="BI23" s="220">
        <f>IFERROR(COUNTIF(C23:BH23,"-"),"")</f>
        <v/>
      </c>
      <c r="BJ23" s="220">
        <f>IFERROR(COUNTIF(D23:BI23,"T"),"")</f>
        <v/>
      </c>
      <c r="BK23" s="220" t="n"/>
      <c r="BL23" s="3" t="n">
        <v>21</v>
      </c>
    </row>
    <row r="24">
      <c r="A24" s="1" t="n">
        <v>22</v>
      </c>
      <c r="B24" s="62">
        <f>IF('MAESTRO 1°'!B26="","",'MAESTRO 1°'!B26)</f>
        <v/>
      </c>
      <c r="C24" s="54" t="n"/>
      <c r="D24" s="214" t="n"/>
      <c r="E24" s="214" t="n"/>
      <c r="F24" s="54" t="n"/>
      <c r="G24" s="214" t="n"/>
      <c r="H24" s="214" t="n"/>
      <c r="I24" s="214" t="n"/>
      <c r="J24" s="214" t="n"/>
      <c r="K24" s="214" t="n"/>
      <c r="L24" s="214" t="n"/>
      <c r="M24" s="214" t="n"/>
      <c r="N24" s="214" t="n"/>
      <c r="O24" s="214" t="n"/>
      <c r="P24" s="214" t="n"/>
      <c r="Q24" s="214" t="n"/>
      <c r="R24" s="214" t="n"/>
      <c r="S24" s="214" t="n"/>
      <c r="T24" s="214" t="n"/>
      <c r="U24" s="214" t="n"/>
      <c r="V24" s="214" t="n"/>
      <c r="W24" s="214" t="n"/>
      <c r="X24" s="214" t="n"/>
      <c r="Y24" s="22" t="n"/>
      <c r="Z24" s="22" t="n"/>
      <c r="AA24" s="22" t="n"/>
      <c r="AB24" s="22" t="n"/>
      <c r="AC24" s="22" t="n"/>
      <c r="AD24" s="214" t="n"/>
      <c r="AE24" s="214" t="n"/>
      <c r="AF24" s="214" t="n"/>
      <c r="AG24" s="214" t="n"/>
      <c r="AH24" s="214" t="n"/>
      <c r="AI24" s="214" t="n"/>
      <c r="AJ24" s="214" t="n"/>
      <c r="AK24" s="22" t="n"/>
      <c r="AL24" s="214" t="n"/>
      <c r="AM24" s="214" t="n"/>
      <c r="AN24" s="214" t="n"/>
      <c r="AO24" s="214" t="n"/>
      <c r="AP24" s="214" t="n"/>
      <c r="AQ24" s="214" t="n"/>
      <c r="AR24" s="214" t="n"/>
      <c r="AS24" s="214" t="n"/>
      <c r="AT24" s="214" t="n"/>
      <c r="AU24" s="214" t="n"/>
      <c r="AV24" s="214" t="n"/>
      <c r="AW24" s="214" t="n"/>
      <c r="AX24" s="214" t="n"/>
      <c r="AY24" s="214" t="n"/>
      <c r="AZ24" s="214" t="n"/>
      <c r="BA24" s="214" t="n"/>
      <c r="BB24" s="214" t="n"/>
      <c r="BC24" s="214" t="n"/>
      <c r="BD24" s="214" t="n"/>
      <c r="BE24" s="214" t="n"/>
      <c r="BF24" s="214" t="n"/>
      <c r="BG24" s="214" t="n"/>
      <c r="BH24" s="220" t="n"/>
      <c r="BI24" s="220">
        <f>IFERROR(COUNTIF(C24:BH24,"-"),"")</f>
        <v/>
      </c>
      <c r="BJ24" s="220">
        <f>IFERROR(COUNTIF(D24:BI24,"T"),"")</f>
        <v/>
      </c>
      <c r="BK24" s="220" t="n"/>
      <c r="BL24" s="3" t="n">
        <v>22</v>
      </c>
    </row>
    <row r="25">
      <c r="A25" s="1" t="n">
        <v>23</v>
      </c>
      <c r="B25" s="62">
        <f>IF('MAESTRO 1°'!B27="","",'MAESTRO 1°'!B27)</f>
        <v/>
      </c>
      <c r="C25" s="54" t="n"/>
      <c r="D25" s="214" t="n"/>
      <c r="E25" s="214" t="n"/>
      <c r="F25" s="54" t="n"/>
      <c r="G25" s="214" t="n"/>
      <c r="H25" s="214" t="n"/>
      <c r="I25" s="214" t="n"/>
      <c r="J25" s="214" t="n"/>
      <c r="K25" s="214" t="n"/>
      <c r="L25" s="214" t="n"/>
      <c r="M25" s="214" t="n"/>
      <c r="N25" s="214" t="n"/>
      <c r="O25" s="214" t="n"/>
      <c r="P25" s="214" t="n"/>
      <c r="Q25" s="214" t="n"/>
      <c r="R25" s="214" t="n"/>
      <c r="S25" s="214" t="n"/>
      <c r="T25" s="214" t="n"/>
      <c r="U25" s="214" t="n"/>
      <c r="V25" s="214" t="n"/>
      <c r="W25" s="214" t="n"/>
      <c r="X25" s="214" t="n"/>
      <c r="Y25" s="22" t="n"/>
      <c r="Z25" s="22" t="n"/>
      <c r="AA25" s="22" t="n"/>
      <c r="AB25" s="22" t="n"/>
      <c r="AC25" s="22" t="n"/>
      <c r="AD25" s="214" t="n"/>
      <c r="AE25" s="214" t="n"/>
      <c r="AF25" s="214" t="n"/>
      <c r="AG25" s="214" t="n"/>
      <c r="AH25" s="214" t="n"/>
      <c r="AI25" s="214" t="n"/>
      <c r="AJ25" s="214" t="n"/>
      <c r="AK25" s="22"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20" t="n"/>
      <c r="BI25" s="220">
        <f>IFERROR(COUNTIF(C25:BH25,"-"),"")</f>
        <v/>
      </c>
      <c r="BJ25" s="220">
        <f>IFERROR(COUNTIF(D25:BI25,"T"),"")</f>
        <v/>
      </c>
      <c r="BK25" s="220" t="n"/>
      <c r="BL25" s="3" t="n">
        <v>23</v>
      </c>
    </row>
    <row r="26">
      <c r="A26" s="1" t="n">
        <v>24</v>
      </c>
      <c r="B26" s="62">
        <f>IF('MAESTRO 1°'!B28="","",'MAESTRO 1°'!B28)</f>
        <v/>
      </c>
      <c r="C26" s="54" t="n"/>
      <c r="D26" s="214" t="n"/>
      <c r="E26" s="214" t="n"/>
      <c r="F26" s="54" t="n"/>
      <c r="G26" s="214" t="n"/>
      <c r="H26" s="214" t="n"/>
      <c r="I26" s="214" t="n"/>
      <c r="J26" s="214" t="n"/>
      <c r="K26" s="214" t="n"/>
      <c r="L26" s="214" t="n"/>
      <c r="M26" s="214" t="n"/>
      <c r="N26" s="214" t="n"/>
      <c r="O26" s="214" t="n"/>
      <c r="P26" s="214" t="n"/>
      <c r="Q26" s="214" t="n"/>
      <c r="R26" s="214" t="n"/>
      <c r="S26" s="214" t="n"/>
      <c r="T26" s="214" t="n"/>
      <c r="U26" s="214" t="n"/>
      <c r="V26" s="214" t="n"/>
      <c r="W26" s="214" t="n"/>
      <c r="X26" s="214" t="n"/>
      <c r="Y26" s="22" t="n"/>
      <c r="Z26" s="22" t="n"/>
      <c r="AA26" s="22" t="n"/>
      <c r="AB26" s="22" t="n"/>
      <c r="AC26" s="22" t="n"/>
      <c r="AD26" s="214" t="n"/>
      <c r="AE26" s="214" t="n"/>
      <c r="AF26" s="214" t="n"/>
      <c r="AG26" s="214" t="n"/>
      <c r="AH26" s="214" t="n"/>
      <c r="AI26" s="214" t="n"/>
      <c r="AJ26" s="214" t="n"/>
      <c r="AK26" s="22" t="n"/>
      <c r="AL26" s="214" t="n"/>
      <c r="AM26" s="214" t="n"/>
      <c r="AN26" s="214" t="n"/>
      <c r="AO26" s="214" t="n"/>
      <c r="AP26" s="214" t="n"/>
      <c r="AQ26" s="214" t="n"/>
      <c r="AR26" s="214" t="n"/>
      <c r="AS26" s="214" t="n"/>
      <c r="AT26" s="214" t="n"/>
      <c r="AU26" s="214" t="n"/>
      <c r="AV26" s="214" t="n"/>
      <c r="AW26" s="214" t="n"/>
      <c r="AX26" s="214" t="n"/>
      <c r="AY26" s="214" t="n"/>
      <c r="AZ26" s="214" t="n"/>
      <c r="BA26" s="214" t="n"/>
      <c r="BB26" s="214" t="n"/>
      <c r="BC26" s="214" t="n"/>
      <c r="BD26" s="214" t="n"/>
      <c r="BE26" s="214" t="n"/>
      <c r="BF26" s="214" t="n"/>
      <c r="BG26" s="214" t="n"/>
      <c r="BH26" s="220" t="n"/>
      <c r="BI26" s="220">
        <f>IFERROR(COUNTIF(C26:BH26,"-"),"")</f>
        <v/>
      </c>
      <c r="BJ26" s="220">
        <f>IFERROR(COUNTIF(D26:BI26,"T"),"")</f>
        <v/>
      </c>
      <c r="BK26" s="220" t="n"/>
      <c r="BL26" s="3" t="n">
        <v>24</v>
      </c>
    </row>
    <row r="27">
      <c r="A27" s="1" t="n">
        <v>25</v>
      </c>
      <c r="B27" s="62">
        <f>IF('MAESTRO 1°'!B29="","",'MAESTRO 1°'!B29)</f>
        <v/>
      </c>
      <c r="C27" s="54" t="n"/>
      <c r="D27" s="214" t="n"/>
      <c r="E27" s="214" t="n"/>
      <c r="F27" s="54" t="n"/>
      <c r="G27" s="214" t="n"/>
      <c r="H27" s="214" t="n"/>
      <c r="I27" s="214" t="n"/>
      <c r="J27" s="214" t="n"/>
      <c r="K27" s="214" t="n"/>
      <c r="L27" s="214" t="n"/>
      <c r="M27" s="214" t="n"/>
      <c r="N27" s="214" t="n"/>
      <c r="O27" s="214" t="n"/>
      <c r="P27" s="214" t="n"/>
      <c r="Q27" s="214" t="n"/>
      <c r="R27" s="214" t="n"/>
      <c r="S27" s="214" t="n"/>
      <c r="T27" s="214" t="n"/>
      <c r="U27" s="214" t="n"/>
      <c r="V27" s="214" t="n"/>
      <c r="W27" s="214" t="n"/>
      <c r="X27" s="214" t="n"/>
      <c r="Y27" s="22" t="n"/>
      <c r="Z27" s="22" t="n"/>
      <c r="AA27" s="22" t="n"/>
      <c r="AB27" s="22" t="n"/>
      <c r="AC27" s="22" t="n"/>
      <c r="AD27" s="214" t="n"/>
      <c r="AE27" s="214" t="n"/>
      <c r="AF27" s="214" t="n"/>
      <c r="AG27" s="214" t="n"/>
      <c r="AH27" s="214" t="n"/>
      <c r="AI27" s="214" t="n"/>
      <c r="AJ27" s="214" t="n"/>
      <c r="AK27" s="22" t="n"/>
      <c r="AL27" s="214" t="n"/>
      <c r="AM27" s="214" t="n"/>
      <c r="AN27" s="214" t="n"/>
      <c r="AO27" s="214" t="n"/>
      <c r="AP27" s="214" t="n"/>
      <c r="AQ27" s="214" t="n"/>
      <c r="AR27" s="214" t="n"/>
      <c r="AS27" s="214" t="n"/>
      <c r="AT27" s="214" t="n"/>
      <c r="AU27" s="214" t="n"/>
      <c r="AV27" s="214" t="n"/>
      <c r="AW27" s="214" t="n"/>
      <c r="AX27" s="214" t="n"/>
      <c r="AY27" s="214" t="n"/>
      <c r="AZ27" s="214" t="n"/>
      <c r="BA27" s="214" t="n"/>
      <c r="BB27" s="214" t="n"/>
      <c r="BC27" s="214" t="n"/>
      <c r="BD27" s="214" t="n"/>
      <c r="BE27" s="214" t="n"/>
      <c r="BF27" s="214" t="n"/>
      <c r="BG27" s="214" t="n"/>
      <c r="BH27" s="220" t="n"/>
      <c r="BI27" s="220">
        <f>IFERROR(COUNTIF(C27:BH27,"-"),"")</f>
        <v/>
      </c>
      <c r="BJ27" s="220">
        <f>IFERROR(COUNTIF(D27:BI27,"T"),"")</f>
        <v/>
      </c>
      <c r="BK27" s="220" t="n"/>
      <c r="BL27" s="3" t="n">
        <v>25</v>
      </c>
    </row>
    <row r="28">
      <c r="A28" s="1" t="n">
        <v>26</v>
      </c>
      <c r="B28" s="62">
        <f>IF('MAESTRO 1°'!B30="","",'MAESTRO 1°'!B30)</f>
        <v/>
      </c>
      <c r="C28" s="54" t="n"/>
      <c r="D28" s="214" t="n"/>
      <c r="E28" s="214" t="n"/>
      <c r="F28" s="54" t="n"/>
      <c r="G28" s="214" t="n"/>
      <c r="H28" s="214" t="n"/>
      <c r="I28" s="214" t="n"/>
      <c r="J28" s="214" t="n"/>
      <c r="K28" s="214" t="n"/>
      <c r="L28" s="214" t="n"/>
      <c r="M28" s="214" t="n"/>
      <c r="N28" s="214" t="n"/>
      <c r="O28" s="214" t="n"/>
      <c r="P28" s="214" t="n"/>
      <c r="Q28" s="214" t="n"/>
      <c r="R28" s="214" t="n"/>
      <c r="S28" s="214" t="n"/>
      <c r="T28" s="214" t="n"/>
      <c r="U28" s="214" t="n"/>
      <c r="V28" s="214" t="n"/>
      <c r="W28" s="214" t="n"/>
      <c r="X28" s="214" t="n"/>
      <c r="Y28" s="22" t="n"/>
      <c r="Z28" s="22" t="n"/>
      <c r="AA28" s="22" t="n"/>
      <c r="AB28" s="22" t="n"/>
      <c r="AC28" s="22" t="n"/>
      <c r="AD28" s="214" t="n"/>
      <c r="AE28" s="214" t="n"/>
      <c r="AF28" s="214" t="n"/>
      <c r="AG28" s="214" t="n"/>
      <c r="AH28" s="214" t="n"/>
      <c r="AI28" s="214" t="n"/>
      <c r="AJ28" s="214" t="n"/>
      <c r="AK28" s="22" t="n"/>
      <c r="AL28" s="214" t="n"/>
      <c r="AM28" s="214" t="n"/>
      <c r="AN28" s="214" t="n"/>
      <c r="AO28" s="214" t="n"/>
      <c r="AP28" s="214" t="n"/>
      <c r="AQ28" s="214" t="n"/>
      <c r="AR28" s="214" t="n"/>
      <c r="AS28" s="214" t="n"/>
      <c r="AT28" s="214" t="n"/>
      <c r="AU28" s="214" t="n"/>
      <c r="AV28" s="214" t="n"/>
      <c r="AW28" s="214" t="n"/>
      <c r="AX28" s="214" t="n"/>
      <c r="AY28" s="214" t="n"/>
      <c r="AZ28" s="214" t="n"/>
      <c r="BA28" s="214" t="n"/>
      <c r="BB28" s="214" t="n"/>
      <c r="BC28" s="214" t="n"/>
      <c r="BD28" s="214" t="n"/>
      <c r="BE28" s="214" t="n"/>
      <c r="BF28" s="214" t="n"/>
      <c r="BG28" s="214" t="n"/>
      <c r="BH28" s="220" t="n"/>
      <c r="BI28" s="220">
        <f>IFERROR(COUNTIF(C28:BH28,"-"),"")</f>
        <v/>
      </c>
      <c r="BJ28" s="220">
        <f>IFERROR(COUNTIF(D28:BI28,"T"),"")</f>
        <v/>
      </c>
      <c r="BK28" s="220" t="n"/>
      <c r="BL28" s="3" t="n">
        <v>26</v>
      </c>
    </row>
    <row r="29">
      <c r="A29" s="1" t="n">
        <v>27</v>
      </c>
      <c r="B29" s="62">
        <f>IF('MAESTRO 1°'!B31="","",'MAESTRO 1°'!B31)</f>
        <v/>
      </c>
      <c r="C29" s="54" t="n"/>
      <c r="D29" s="214" t="n"/>
      <c r="E29" s="214" t="n"/>
      <c r="F29" s="54" t="n"/>
      <c r="G29" s="214" t="n"/>
      <c r="H29" s="214" t="n"/>
      <c r="I29" s="214" t="n"/>
      <c r="J29" s="214" t="n"/>
      <c r="K29" s="214" t="n"/>
      <c r="L29" s="214" t="n"/>
      <c r="M29" s="214" t="n"/>
      <c r="N29" s="214" t="n"/>
      <c r="O29" s="214" t="n"/>
      <c r="P29" s="214" t="n"/>
      <c r="Q29" s="214" t="n"/>
      <c r="R29" s="214" t="n"/>
      <c r="S29" s="214" t="n"/>
      <c r="T29" s="214" t="n"/>
      <c r="U29" s="214" t="n"/>
      <c r="V29" s="214" t="n"/>
      <c r="W29" s="214" t="n"/>
      <c r="X29" s="214" t="n"/>
      <c r="Y29" s="22" t="n"/>
      <c r="Z29" s="22" t="n"/>
      <c r="AA29" s="22" t="n"/>
      <c r="AB29" s="22" t="n"/>
      <c r="AC29" s="22" t="n"/>
      <c r="AD29" s="214" t="n"/>
      <c r="AE29" s="214" t="n"/>
      <c r="AF29" s="214" t="n"/>
      <c r="AG29" s="214" t="n"/>
      <c r="AH29" s="214" t="n"/>
      <c r="AI29" s="214" t="n"/>
      <c r="AJ29" s="214" t="n"/>
      <c r="AK29" s="22" t="n"/>
      <c r="AL29" s="214" t="n"/>
      <c r="AM29" s="214" t="n"/>
      <c r="AN29" s="214" t="n"/>
      <c r="AO29" s="214" t="n"/>
      <c r="AP29" s="214" t="n"/>
      <c r="AQ29" s="214" t="n"/>
      <c r="AR29" s="214" t="n"/>
      <c r="AS29" s="214" t="n"/>
      <c r="AT29" s="214" t="n"/>
      <c r="AU29" s="214" t="n"/>
      <c r="AV29" s="214" t="n"/>
      <c r="AW29" s="214" t="n"/>
      <c r="AX29" s="214" t="n"/>
      <c r="AY29" s="214" t="n"/>
      <c r="AZ29" s="214" t="n"/>
      <c r="BA29" s="214" t="n"/>
      <c r="BB29" s="214" t="n"/>
      <c r="BC29" s="214" t="n"/>
      <c r="BD29" s="214" t="n"/>
      <c r="BE29" s="214" t="n"/>
      <c r="BF29" s="214" t="n"/>
      <c r="BG29" s="214" t="n"/>
      <c r="BH29" s="220" t="n"/>
      <c r="BI29" s="220">
        <f>IFERROR(COUNTIF(C29:BH29,"-"),"")</f>
        <v/>
      </c>
      <c r="BJ29" s="220">
        <f>IFERROR(COUNTIF(D29:BI29,"T"),"")</f>
        <v/>
      </c>
      <c r="BK29" s="220" t="n"/>
      <c r="BL29" s="3" t="n">
        <v>27</v>
      </c>
    </row>
    <row r="30">
      <c r="A30" s="1" t="n">
        <v>28</v>
      </c>
      <c r="B30" s="62">
        <f>IF('MAESTRO 1°'!B32="","",'MAESTRO 1°'!B32)</f>
        <v/>
      </c>
      <c r="C30" s="54" t="n"/>
      <c r="D30" s="214" t="n"/>
      <c r="E30" s="214" t="n"/>
      <c r="F30" s="54" t="n"/>
      <c r="G30" s="214" t="n"/>
      <c r="H30" s="214" t="n"/>
      <c r="I30" s="214" t="n"/>
      <c r="J30" s="214" t="n"/>
      <c r="K30" s="214" t="n"/>
      <c r="L30" s="214" t="n"/>
      <c r="M30" s="214" t="n"/>
      <c r="N30" s="214" t="n"/>
      <c r="O30" s="214" t="n"/>
      <c r="P30" s="214" t="n"/>
      <c r="Q30" s="214" t="n"/>
      <c r="R30" s="214" t="n"/>
      <c r="S30" s="214" t="n"/>
      <c r="T30" s="214" t="n"/>
      <c r="U30" s="214" t="n"/>
      <c r="V30" s="214" t="n"/>
      <c r="W30" s="214" t="n"/>
      <c r="X30" s="214" t="n"/>
      <c r="Y30" s="22" t="n"/>
      <c r="Z30" s="22" t="n"/>
      <c r="AA30" s="22" t="n"/>
      <c r="AB30" s="22" t="n"/>
      <c r="AC30" s="22" t="n"/>
      <c r="AD30" s="214" t="n"/>
      <c r="AE30" s="214" t="n"/>
      <c r="AF30" s="214" t="n"/>
      <c r="AG30" s="214" t="n"/>
      <c r="AH30" s="214" t="n"/>
      <c r="AI30" s="214" t="n"/>
      <c r="AJ30" s="214" t="n"/>
      <c r="AK30" s="22"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20" t="n"/>
      <c r="BI30" s="220">
        <f>IFERROR(COUNTIF(C30:BH30,"-"),"")</f>
        <v/>
      </c>
      <c r="BJ30" s="220">
        <f>IFERROR(COUNTIF(D30:BI30,"T"),"")</f>
        <v/>
      </c>
      <c r="BK30" s="220" t="n"/>
      <c r="BL30" s="3" t="n">
        <v>28</v>
      </c>
    </row>
    <row r="31">
      <c r="A31" s="1" t="n">
        <v>29</v>
      </c>
      <c r="B31" s="62">
        <f>IF('MAESTRO 1°'!B33="","",'MAESTRO 1°'!B33)</f>
        <v/>
      </c>
      <c r="C31" s="54" t="n"/>
      <c r="D31" s="214" t="n"/>
      <c r="E31" s="214" t="n"/>
      <c r="F31" s="54" t="n"/>
      <c r="G31" s="214" t="n"/>
      <c r="H31" s="214" t="n"/>
      <c r="I31" s="214" t="n"/>
      <c r="J31" s="214" t="n"/>
      <c r="K31" s="214" t="n"/>
      <c r="L31" s="214" t="n"/>
      <c r="M31" s="214" t="n"/>
      <c r="N31" s="214" t="n"/>
      <c r="O31" s="214" t="n"/>
      <c r="P31" s="214" t="n"/>
      <c r="Q31" s="214" t="n"/>
      <c r="R31" s="214" t="n"/>
      <c r="S31" s="214" t="n"/>
      <c r="T31" s="214" t="n"/>
      <c r="U31" s="214" t="n"/>
      <c r="V31" s="214" t="n"/>
      <c r="W31" s="214" t="n"/>
      <c r="X31" s="214" t="n"/>
      <c r="Y31" s="22" t="n"/>
      <c r="Z31" s="22" t="n"/>
      <c r="AA31" s="22" t="n"/>
      <c r="AB31" s="22" t="n"/>
      <c r="AC31" s="22" t="n"/>
      <c r="AD31" s="214" t="n"/>
      <c r="AE31" s="214" t="n"/>
      <c r="AF31" s="214" t="n"/>
      <c r="AG31" s="214" t="n"/>
      <c r="AH31" s="214" t="n"/>
      <c r="AI31" s="214" t="n"/>
      <c r="AJ31" s="214" t="n"/>
      <c r="AK31" s="22" t="n"/>
      <c r="AL31" s="214" t="n"/>
      <c r="AM31" s="214" t="n"/>
      <c r="AN31" s="214" t="n"/>
      <c r="AO31" s="214" t="n"/>
      <c r="AP31" s="214" t="n"/>
      <c r="AQ31" s="214" t="n"/>
      <c r="AR31" s="214" t="n"/>
      <c r="AS31" s="214" t="n"/>
      <c r="AT31" s="214" t="n"/>
      <c r="AU31" s="214" t="n"/>
      <c r="AV31" s="214" t="n"/>
      <c r="AW31" s="214" t="n"/>
      <c r="AX31" s="214" t="n"/>
      <c r="AY31" s="214" t="n"/>
      <c r="AZ31" s="214" t="n"/>
      <c r="BA31" s="214" t="n"/>
      <c r="BB31" s="214" t="n"/>
      <c r="BC31" s="214" t="n"/>
      <c r="BD31" s="214" t="n"/>
      <c r="BE31" s="214" t="n"/>
      <c r="BF31" s="214" t="n"/>
      <c r="BG31" s="214" t="n"/>
      <c r="BH31" s="220" t="n"/>
      <c r="BI31" s="220">
        <f>IFERROR(COUNTIF(C31:BH31,"-"),"")</f>
        <v/>
      </c>
      <c r="BJ31" s="220">
        <f>IFERROR(COUNTIF(D31:BI31,"T"),"")</f>
        <v/>
      </c>
      <c r="BK31" s="220" t="n"/>
      <c r="BL31" s="3" t="n">
        <v>29</v>
      </c>
    </row>
    <row r="32">
      <c r="A32" s="1" t="n">
        <v>30</v>
      </c>
      <c r="B32" s="62">
        <f>IF('MAESTRO 1°'!B34="","",'MAESTRO 1°'!B34)</f>
        <v/>
      </c>
      <c r="C32" s="54" t="n"/>
      <c r="D32" s="214" t="n"/>
      <c r="E32" s="214" t="n"/>
      <c r="F32" s="54" t="n"/>
      <c r="G32" s="214" t="n"/>
      <c r="H32" s="214" t="n"/>
      <c r="I32" s="214" t="n"/>
      <c r="J32" s="214" t="n"/>
      <c r="K32" s="214" t="n"/>
      <c r="L32" s="214" t="n"/>
      <c r="M32" s="214" t="n"/>
      <c r="N32" s="214" t="n"/>
      <c r="O32" s="214" t="n"/>
      <c r="P32" s="214" t="n"/>
      <c r="Q32" s="214" t="n"/>
      <c r="R32" s="214" t="n"/>
      <c r="S32" s="214" t="n"/>
      <c r="T32" s="214" t="n"/>
      <c r="U32" s="214" t="n"/>
      <c r="V32" s="214" t="n"/>
      <c r="W32" s="214" t="n"/>
      <c r="X32" s="214" t="n"/>
      <c r="Y32" s="22" t="n"/>
      <c r="Z32" s="22" t="n"/>
      <c r="AA32" s="22" t="n"/>
      <c r="AB32" s="22" t="n"/>
      <c r="AC32" s="22" t="n"/>
      <c r="AD32" s="214" t="n"/>
      <c r="AE32" s="214" t="n"/>
      <c r="AF32" s="214" t="n"/>
      <c r="AG32" s="214" t="n"/>
      <c r="AH32" s="214" t="n"/>
      <c r="AI32" s="214" t="n"/>
      <c r="AJ32" s="214" t="n"/>
      <c r="AK32" s="22" t="n"/>
      <c r="AL32" s="214" t="n"/>
      <c r="AM32" s="214" t="n"/>
      <c r="AN32" s="214" t="n"/>
      <c r="AO32" s="214" t="n"/>
      <c r="AP32" s="214" t="n"/>
      <c r="AQ32" s="214" t="n"/>
      <c r="AR32" s="214" t="n"/>
      <c r="AS32" s="214" t="n"/>
      <c r="AT32" s="214" t="n"/>
      <c r="AU32" s="214" t="n"/>
      <c r="AV32" s="214" t="n"/>
      <c r="AW32" s="214" t="n"/>
      <c r="AX32" s="214" t="n"/>
      <c r="AY32" s="214" t="n"/>
      <c r="AZ32" s="214" t="n"/>
      <c r="BA32" s="214" t="n"/>
      <c r="BB32" s="214" t="n"/>
      <c r="BC32" s="214" t="n"/>
      <c r="BD32" s="214" t="n"/>
      <c r="BE32" s="214" t="n"/>
      <c r="BF32" s="214" t="n"/>
      <c r="BG32" s="214" t="n"/>
      <c r="BH32" s="220" t="n"/>
      <c r="BI32" s="220">
        <f>IFERROR(COUNTIF(C32:BH32,"-"),"")</f>
        <v/>
      </c>
      <c r="BJ32" s="220">
        <f>IFERROR(COUNTIF(D32:BI32,"T"),"")</f>
        <v/>
      </c>
      <c r="BK32" s="220" t="n"/>
      <c r="BL32" s="3" t="n">
        <v>30</v>
      </c>
    </row>
    <row r="33">
      <c r="A33" s="1" t="n">
        <v>31</v>
      </c>
      <c r="B33" s="62">
        <f>IF('MAESTRO 1°'!B35="","",'MAESTRO 1°'!B35)</f>
        <v/>
      </c>
      <c r="C33" s="54" t="n"/>
      <c r="D33" s="214" t="n"/>
      <c r="E33" s="214" t="n"/>
      <c r="F33" s="54" t="n"/>
      <c r="G33" s="214" t="n"/>
      <c r="H33" s="214" t="n"/>
      <c r="I33" s="214" t="n"/>
      <c r="J33" s="214" t="n"/>
      <c r="K33" s="214" t="n"/>
      <c r="L33" s="214" t="n"/>
      <c r="M33" s="214" t="n"/>
      <c r="N33" s="214" t="n"/>
      <c r="O33" s="214" t="n"/>
      <c r="P33" s="214" t="n"/>
      <c r="Q33" s="214" t="n"/>
      <c r="R33" s="214" t="n"/>
      <c r="S33" s="214" t="n"/>
      <c r="T33" s="214" t="n"/>
      <c r="U33" s="214" t="n"/>
      <c r="V33" s="214" t="n"/>
      <c r="W33" s="214" t="n"/>
      <c r="X33" s="214" t="n"/>
      <c r="Y33" s="22" t="n"/>
      <c r="Z33" s="22" t="n"/>
      <c r="AA33" s="22" t="n"/>
      <c r="AB33" s="22" t="n"/>
      <c r="AC33" s="22" t="n"/>
      <c r="AD33" s="214" t="n"/>
      <c r="AE33" s="214" t="n"/>
      <c r="AF33" s="214" t="n"/>
      <c r="AG33" s="214" t="n"/>
      <c r="AH33" s="214" t="n"/>
      <c r="AI33" s="214" t="n"/>
      <c r="AJ33" s="214" t="n"/>
      <c r="AK33" s="22" t="n"/>
      <c r="AL33" s="214" t="n"/>
      <c r="AM33" s="214" t="n"/>
      <c r="AN33" s="214" t="n"/>
      <c r="AO33" s="214" t="n"/>
      <c r="AP33" s="214" t="n"/>
      <c r="AQ33" s="214" t="n"/>
      <c r="AR33" s="214" t="n"/>
      <c r="AS33" s="214" t="n"/>
      <c r="AT33" s="214" t="n"/>
      <c r="AU33" s="214" t="n"/>
      <c r="AV33" s="214" t="n"/>
      <c r="AW33" s="214" t="n"/>
      <c r="AX33" s="214" t="n"/>
      <c r="AY33" s="214" t="n"/>
      <c r="AZ33" s="214" t="n"/>
      <c r="BA33" s="214" t="n"/>
      <c r="BB33" s="214" t="n"/>
      <c r="BC33" s="214" t="n"/>
      <c r="BD33" s="214" t="n"/>
      <c r="BE33" s="214" t="n"/>
      <c r="BF33" s="214" t="n"/>
      <c r="BG33" s="214" t="n"/>
      <c r="BH33" s="220" t="n"/>
      <c r="BI33" s="220">
        <f>IFERROR(COUNTIF(C33:BH33,"-"),"")</f>
        <v/>
      </c>
      <c r="BJ33" s="220">
        <f>IFERROR(COUNTIF(D33:BI33,"T"),"")</f>
        <v/>
      </c>
      <c r="BK33" s="220" t="n"/>
      <c r="BL33" s="3" t="n">
        <v>31</v>
      </c>
    </row>
    <row r="34">
      <c r="A34" s="1" t="n">
        <v>32</v>
      </c>
      <c r="B34" s="62">
        <f>IF('MAESTRO 1°'!B36="","",'MAESTRO 1°'!B36)</f>
        <v/>
      </c>
      <c r="C34" s="54" t="n"/>
      <c r="D34" s="214" t="n"/>
      <c r="E34" s="214" t="n"/>
      <c r="F34" s="54" t="n"/>
      <c r="G34" s="214" t="n"/>
      <c r="H34" s="214" t="n"/>
      <c r="I34" s="214" t="n"/>
      <c r="J34" s="214" t="n"/>
      <c r="K34" s="214" t="n"/>
      <c r="L34" s="214" t="n"/>
      <c r="M34" s="214" t="n"/>
      <c r="N34" s="214" t="n"/>
      <c r="O34" s="214" t="n"/>
      <c r="P34" s="214" t="n"/>
      <c r="Q34" s="214" t="n"/>
      <c r="R34" s="214" t="n"/>
      <c r="S34" s="214" t="n"/>
      <c r="T34" s="214" t="n"/>
      <c r="U34" s="214" t="n"/>
      <c r="V34" s="214" t="n"/>
      <c r="W34" s="214" t="n"/>
      <c r="X34" s="214" t="n"/>
      <c r="Y34" s="22" t="n"/>
      <c r="Z34" s="22" t="n"/>
      <c r="AA34" s="22" t="n"/>
      <c r="AB34" s="22" t="n"/>
      <c r="AC34" s="22" t="n"/>
      <c r="AD34" s="214" t="n"/>
      <c r="AE34" s="214" t="n"/>
      <c r="AF34" s="214" t="n"/>
      <c r="AG34" s="214" t="n"/>
      <c r="AH34" s="214" t="n"/>
      <c r="AI34" s="214" t="n"/>
      <c r="AJ34" s="214" t="n"/>
      <c r="AK34" s="22" t="n"/>
      <c r="AL34" s="214" t="n"/>
      <c r="AM34" s="214" t="n"/>
      <c r="AN34" s="214" t="n"/>
      <c r="AO34" s="214" t="n"/>
      <c r="AP34" s="214" t="n"/>
      <c r="AQ34" s="214" t="n"/>
      <c r="AR34" s="214" t="n"/>
      <c r="AS34" s="214" t="n"/>
      <c r="AT34" s="214" t="n"/>
      <c r="AU34" s="214" t="n"/>
      <c r="AV34" s="214" t="n"/>
      <c r="AW34" s="214" t="n"/>
      <c r="AX34" s="214" t="n"/>
      <c r="AY34" s="214" t="n"/>
      <c r="AZ34" s="214" t="n"/>
      <c r="BA34" s="214" t="n"/>
      <c r="BB34" s="214" t="n"/>
      <c r="BC34" s="214" t="n"/>
      <c r="BD34" s="214" t="n"/>
      <c r="BE34" s="214" t="n"/>
      <c r="BF34" s="214" t="n"/>
      <c r="BG34" s="214" t="n"/>
      <c r="BH34" s="220" t="n"/>
      <c r="BI34" s="220">
        <f>IFERROR(COUNTIF(C34:BH34,"-"),"")</f>
        <v/>
      </c>
      <c r="BJ34" s="220">
        <f>IFERROR(COUNTIF(D34:BI34,"T"),"")</f>
        <v/>
      </c>
      <c r="BK34" s="220" t="n"/>
      <c r="BL34" s="3" t="n">
        <v>32</v>
      </c>
    </row>
    <row r="35">
      <c r="A35" s="1" t="n">
        <v>33</v>
      </c>
      <c r="B35" s="62">
        <f>IF('MAESTRO 1°'!B37="","",'MAESTRO 1°'!B37)</f>
        <v/>
      </c>
      <c r="C35" s="54" t="n"/>
      <c r="D35" s="214" t="n"/>
      <c r="E35" s="214" t="n"/>
      <c r="F35" s="54" t="n"/>
      <c r="G35" s="214" t="n"/>
      <c r="H35" s="214" t="n"/>
      <c r="I35" s="214" t="n"/>
      <c r="J35" s="214" t="n"/>
      <c r="K35" s="214" t="n"/>
      <c r="L35" s="214" t="n"/>
      <c r="M35" s="214" t="n"/>
      <c r="N35" s="214" t="n"/>
      <c r="O35" s="214" t="n"/>
      <c r="P35" s="214" t="n"/>
      <c r="Q35" s="214" t="n"/>
      <c r="R35" s="214" t="n"/>
      <c r="S35" s="214" t="n"/>
      <c r="T35" s="214" t="n"/>
      <c r="U35" s="214" t="n"/>
      <c r="V35" s="214" t="n"/>
      <c r="W35" s="214" t="n"/>
      <c r="X35" s="214" t="n"/>
      <c r="Y35" s="22" t="n"/>
      <c r="Z35" s="22" t="n"/>
      <c r="AA35" s="22" t="n"/>
      <c r="AB35" s="22" t="n"/>
      <c r="AC35" s="22" t="n"/>
      <c r="AD35" s="214" t="n"/>
      <c r="AE35" s="214" t="n"/>
      <c r="AF35" s="214" t="n"/>
      <c r="AG35" s="214" t="n"/>
      <c r="AH35" s="214" t="n"/>
      <c r="AI35" s="214" t="n"/>
      <c r="AJ35" s="214" t="n"/>
      <c r="AK35" s="22" t="n"/>
      <c r="AL35" s="214" t="n"/>
      <c r="AM35" s="214" t="n"/>
      <c r="AN35" s="214" t="n"/>
      <c r="AO35" s="214" t="n"/>
      <c r="AP35" s="214" t="n"/>
      <c r="AQ35" s="214" t="n"/>
      <c r="AR35" s="214" t="n"/>
      <c r="AS35" s="214" t="n"/>
      <c r="AT35" s="214" t="n"/>
      <c r="AU35" s="214" t="n"/>
      <c r="AV35" s="214" t="n"/>
      <c r="AW35" s="214" t="n"/>
      <c r="AX35" s="214" t="n"/>
      <c r="AY35" s="214" t="n"/>
      <c r="AZ35" s="214" t="n"/>
      <c r="BA35" s="214" t="n"/>
      <c r="BB35" s="214" t="n"/>
      <c r="BC35" s="214" t="n"/>
      <c r="BD35" s="214" t="n"/>
      <c r="BE35" s="214" t="n"/>
      <c r="BF35" s="214" t="n"/>
      <c r="BG35" s="214" t="n"/>
      <c r="BH35" s="220" t="n"/>
      <c r="BI35" s="220">
        <f>IFERROR(COUNTIF(C35:BH35,"-"),"")</f>
        <v/>
      </c>
      <c r="BJ35" s="220">
        <f>IFERROR(COUNTIF(D35:BI35,"T"),"")</f>
        <v/>
      </c>
      <c r="BK35" s="220" t="n"/>
      <c r="BL35" s="3" t="n">
        <v>33</v>
      </c>
    </row>
    <row r="36">
      <c r="A36" s="1" t="n">
        <v>34</v>
      </c>
      <c r="B36" s="62">
        <f>IF('MAESTRO 1°'!B38="","",'MAESTRO 1°'!B38)</f>
        <v/>
      </c>
      <c r="C36" s="54" t="n"/>
      <c r="D36" s="214" t="n"/>
      <c r="E36" s="214" t="n"/>
      <c r="F36" s="54" t="n"/>
      <c r="G36" s="214" t="n"/>
      <c r="H36" s="214" t="n"/>
      <c r="I36" s="214" t="n"/>
      <c r="J36" s="214" t="n"/>
      <c r="K36" s="214" t="n"/>
      <c r="L36" s="214" t="n"/>
      <c r="M36" s="214" t="n"/>
      <c r="N36" s="214" t="n"/>
      <c r="O36" s="214" t="n"/>
      <c r="P36" s="214" t="n"/>
      <c r="Q36" s="214" t="n"/>
      <c r="R36" s="214" t="n"/>
      <c r="S36" s="214" t="n"/>
      <c r="T36" s="214" t="n"/>
      <c r="U36" s="214" t="n"/>
      <c r="V36" s="214" t="n"/>
      <c r="W36" s="214" t="n"/>
      <c r="X36" s="214" t="n"/>
      <c r="Y36" s="22" t="n"/>
      <c r="Z36" s="22" t="n"/>
      <c r="AA36" s="22" t="n"/>
      <c r="AB36" s="22" t="n"/>
      <c r="AC36" s="22" t="n"/>
      <c r="AD36" s="214" t="n"/>
      <c r="AE36" s="214" t="n"/>
      <c r="AF36" s="214" t="n"/>
      <c r="AG36" s="214" t="n"/>
      <c r="AH36" s="214" t="n"/>
      <c r="AI36" s="214" t="n"/>
      <c r="AJ36" s="214" t="n"/>
      <c r="AK36" s="22" t="n"/>
      <c r="AL36" s="214" t="n"/>
      <c r="AM36" s="214" t="n"/>
      <c r="AN36" s="214" t="n"/>
      <c r="AO36" s="214" t="n"/>
      <c r="AP36" s="214" t="n"/>
      <c r="AQ36" s="214" t="n"/>
      <c r="AR36" s="214" t="n"/>
      <c r="AS36" s="214" t="n"/>
      <c r="AT36" s="214" t="n"/>
      <c r="AU36" s="214" t="n"/>
      <c r="AV36" s="214" t="n"/>
      <c r="AW36" s="214" t="n"/>
      <c r="AX36" s="214" t="n"/>
      <c r="AY36" s="214" t="n"/>
      <c r="AZ36" s="214" t="n"/>
      <c r="BA36" s="214" t="n"/>
      <c r="BB36" s="214" t="n"/>
      <c r="BC36" s="214" t="n"/>
      <c r="BD36" s="214" t="n"/>
      <c r="BE36" s="214" t="n"/>
      <c r="BF36" s="214" t="n"/>
      <c r="BG36" s="214" t="n"/>
      <c r="BH36" s="220" t="n"/>
      <c r="BI36" s="220">
        <f>IFERROR(COUNTIF(C36:BH36,"-"),"")</f>
        <v/>
      </c>
      <c r="BJ36" s="220">
        <f>IFERROR(COUNTIF(D36:BI36,"T"),"")</f>
        <v/>
      </c>
      <c r="BK36" s="220" t="n"/>
      <c r="BL36" s="3" t="n">
        <v>34</v>
      </c>
    </row>
    <row r="37">
      <c r="A37" s="1" t="n">
        <v>35</v>
      </c>
      <c r="B37" s="62">
        <f>IF('MAESTRO 1°'!B39="","",'MAESTRO 1°'!B39)</f>
        <v/>
      </c>
      <c r="C37" s="54" t="n"/>
      <c r="D37" s="214" t="n"/>
      <c r="E37" s="214" t="n"/>
      <c r="F37" s="54" t="n"/>
      <c r="G37" s="214" t="n"/>
      <c r="H37" s="214" t="n"/>
      <c r="I37" s="214" t="n"/>
      <c r="J37" s="214" t="n"/>
      <c r="K37" s="214" t="n"/>
      <c r="L37" s="214" t="n"/>
      <c r="M37" s="214" t="n"/>
      <c r="N37" s="214" t="n"/>
      <c r="O37" s="214" t="n"/>
      <c r="P37" s="214" t="n"/>
      <c r="Q37" s="214" t="n"/>
      <c r="R37" s="214" t="n"/>
      <c r="S37" s="214" t="n"/>
      <c r="T37" s="214" t="n"/>
      <c r="U37" s="214" t="n"/>
      <c r="V37" s="214" t="n"/>
      <c r="W37" s="214" t="n"/>
      <c r="X37" s="214" t="n"/>
      <c r="Y37" s="22" t="n"/>
      <c r="Z37" s="22" t="n"/>
      <c r="AA37" s="22" t="n"/>
      <c r="AB37" s="22" t="n"/>
      <c r="AC37" s="22" t="n"/>
      <c r="AD37" s="214" t="n"/>
      <c r="AE37" s="214" t="n"/>
      <c r="AF37" s="214" t="n"/>
      <c r="AG37" s="214" t="n"/>
      <c r="AH37" s="214" t="n"/>
      <c r="AI37" s="214" t="n"/>
      <c r="AJ37" s="214" t="n"/>
      <c r="AK37" s="22" t="n"/>
      <c r="AL37" s="214" t="n"/>
      <c r="AM37" s="214" t="n"/>
      <c r="AN37" s="214" t="n"/>
      <c r="AO37" s="214" t="n"/>
      <c r="AP37" s="214" t="n"/>
      <c r="AQ37" s="214" t="n"/>
      <c r="AR37" s="214" t="n"/>
      <c r="AS37" s="214" t="n"/>
      <c r="AT37" s="214" t="n"/>
      <c r="AU37" s="214" t="n"/>
      <c r="AV37" s="214" t="n"/>
      <c r="AW37" s="214" t="n"/>
      <c r="AX37" s="214" t="n"/>
      <c r="AY37" s="214" t="n"/>
      <c r="AZ37" s="214" t="n"/>
      <c r="BA37" s="214" t="n"/>
      <c r="BB37" s="214" t="n"/>
      <c r="BC37" s="214" t="n"/>
      <c r="BD37" s="214" t="n"/>
      <c r="BE37" s="214" t="n"/>
      <c r="BF37" s="214" t="n"/>
      <c r="BG37" s="214" t="n"/>
      <c r="BH37" s="220" t="n"/>
      <c r="BI37" s="220">
        <f>IFERROR(COUNTIF(C37:BH37,"-"),"")</f>
        <v/>
      </c>
      <c r="BJ37" s="220">
        <f>IFERROR(COUNTIF(D37:BI37,"T"),"")</f>
        <v/>
      </c>
      <c r="BK37" s="220" t="n"/>
      <c r="BL37" s="3" t="n">
        <v>35</v>
      </c>
    </row>
    <row r="38">
      <c r="A38" s="1" t="n">
        <v>36</v>
      </c>
      <c r="B38" s="62">
        <f>IF('MAESTRO 1°'!B40="","",'MAESTRO 1°'!B40)</f>
        <v/>
      </c>
      <c r="C38" s="54" t="n"/>
      <c r="D38" s="214" t="n"/>
      <c r="E38" s="214" t="n"/>
      <c r="F38" s="54" t="n"/>
      <c r="G38" s="214" t="n"/>
      <c r="H38" s="214" t="n"/>
      <c r="I38" s="214" t="n"/>
      <c r="J38" s="214" t="n"/>
      <c r="K38" s="214" t="n"/>
      <c r="L38" s="214" t="n"/>
      <c r="M38" s="214" t="n"/>
      <c r="N38" s="214" t="n"/>
      <c r="O38" s="214" t="n"/>
      <c r="P38" s="214" t="n"/>
      <c r="Q38" s="214" t="n"/>
      <c r="R38" s="214" t="n"/>
      <c r="S38" s="214" t="n"/>
      <c r="T38" s="214" t="n"/>
      <c r="U38" s="214" t="n"/>
      <c r="V38" s="214" t="n"/>
      <c r="W38" s="214" t="n"/>
      <c r="X38" s="214" t="n"/>
      <c r="Y38" s="22" t="n"/>
      <c r="Z38" s="22" t="n"/>
      <c r="AA38" s="22" t="n"/>
      <c r="AB38" s="22" t="n"/>
      <c r="AC38" s="22" t="n"/>
      <c r="AD38" s="214" t="n"/>
      <c r="AE38" s="214" t="n"/>
      <c r="AF38" s="214" t="n"/>
      <c r="AG38" s="214" t="n"/>
      <c r="AH38" s="214" t="n"/>
      <c r="AI38" s="214" t="n"/>
      <c r="AJ38" s="214" t="n"/>
      <c r="AK38" s="22" t="n"/>
      <c r="AL38" s="214" t="n"/>
      <c r="AM38" s="214" t="n"/>
      <c r="AN38" s="214" t="n"/>
      <c r="AO38" s="214" t="n"/>
      <c r="AP38" s="214" t="n"/>
      <c r="AQ38" s="214" t="n"/>
      <c r="AR38" s="214" t="n"/>
      <c r="AS38" s="214" t="n"/>
      <c r="AT38" s="214" t="n"/>
      <c r="AU38" s="214" t="n"/>
      <c r="AV38" s="214" t="n"/>
      <c r="AW38" s="214" t="n"/>
      <c r="AX38" s="214" t="n"/>
      <c r="AY38" s="214" t="n"/>
      <c r="AZ38" s="214" t="n"/>
      <c r="BA38" s="214" t="n"/>
      <c r="BB38" s="214" t="n"/>
      <c r="BC38" s="214" t="n"/>
      <c r="BD38" s="214" t="n"/>
      <c r="BE38" s="214" t="n"/>
      <c r="BF38" s="214" t="n"/>
      <c r="BG38" s="214" t="n"/>
      <c r="BH38" s="220" t="n"/>
      <c r="BI38" s="220">
        <f>IFERROR(COUNTIF(C38:BH38,"-"),"")</f>
        <v/>
      </c>
      <c r="BJ38" s="220">
        <f>IFERROR(COUNTIF(D38:BI38,"T"),"")</f>
        <v/>
      </c>
      <c r="BK38" s="220" t="n"/>
      <c r="BL38" s="3" t="n">
        <v>36</v>
      </c>
    </row>
    <row r="39">
      <c r="A39" s="1" t="n">
        <v>37</v>
      </c>
      <c r="B39" s="62">
        <f>IF('MAESTRO 1°'!B41="","",'MAESTRO 1°'!B41)</f>
        <v/>
      </c>
      <c r="C39" s="54" t="n"/>
      <c r="D39" s="214" t="n"/>
      <c r="E39" s="214" t="n"/>
      <c r="F39" s="54" t="n"/>
      <c r="G39" s="214" t="n"/>
      <c r="H39" s="214" t="n"/>
      <c r="I39" s="214" t="n"/>
      <c r="J39" s="214" t="n"/>
      <c r="K39" s="214" t="n"/>
      <c r="L39" s="214" t="n"/>
      <c r="M39" s="214" t="n"/>
      <c r="N39" s="214" t="n"/>
      <c r="O39" s="214" t="n"/>
      <c r="P39" s="214" t="n"/>
      <c r="Q39" s="214" t="n"/>
      <c r="R39" s="214" t="n"/>
      <c r="S39" s="214" t="n"/>
      <c r="T39" s="214" t="n"/>
      <c r="U39" s="214" t="n"/>
      <c r="V39" s="214" t="n"/>
      <c r="W39" s="214" t="n"/>
      <c r="X39" s="214" t="n"/>
      <c r="Y39" s="22" t="n"/>
      <c r="Z39" s="22" t="n"/>
      <c r="AA39" s="22" t="n"/>
      <c r="AB39" s="22" t="n"/>
      <c r="AC39" s="22" t="n"/>
      <c r="AD39" s="214" t="n"/>
      <c r="AE39" s="214" t="n"/>
      <c r="AF39" s="214" t="n"/>
      <c r="AG39" s="214" t="n"/>
      <c r="AH39" s="214" t="n"/>
      <c r="AI39" s="214" t="n"/>
      <c r="AJ39" s="214" t="n"/>
      <c r="AK39" s="22" t="n"/>
      <c r="AL39" s="214" t="n"/>
      <c r="AM39" s="214" t="n"/>
      <c r="AN39" s="214" t="n"/>
      <c r="AO39" s="214" t="n"/>
      <c r="AP39" s="214" t="n"/>
      <c r="AQ39" s="214" t="n"/>
      <c r="AR39" s="214" t="n"/>
      <c r="AS39" s="214" t="n"/>
      <c r="AT39" s="214" t="n"/>
      <c r="AU39" s="214" t="n"/>
      <c r="AV39" s="214" t="n"/>
      <c r="AW39" s="214" t="n"/>
      <c r="AX39" s="214" t="n"/>
      <c r="AY39" s="214" t="n"/>
      <c r="AZ39" s="214" t="n"/>
      <c r="BA39" s="214" t="n"/>
      <c r="BB39" s="214" t="n"/>
      <c r="BC39" s="214" t="n"/>
      <c r="BD39" s="214" t="n"/>
      <c r="BE39" s="214" t="n"/>
      <c r="BF39" s="214" t="n"/>
      <c r="BG39" s="214" t="n"/>
      <c r="BH39" s="220" t="n"/>
      <c r="BI39" s="220">
        <f>IFERROR(COUNTIF(C39:BH39,"-"),"")</f>
        <v/>
      </c>
      <c r="BJ39" s="220">
        <f>IFERROR(COUNTIF(D39:BI39,"T"),"")</f>
        <v/>
      </c>
      <c r="BK39" s="220" t="n"/>
      <c r="BL39" s="3" t="n">
        <v>37</v>
      </c>
    </row>
    <row r="40">
      <c r="A40" s="1" t="n">
        <v>38</v>
      </c>
      <c r="B40" s="62">
        <f>IF('MAESTRO 1°'!B42="","",'MAESTRO 1°'!B42)</f>
        <v/>
      </c>
      <c r="C40" s="54" t="n"/>
      <c r="D40" s="214" t="n"/>
      <c r="E40" s="214" t="n"/>
      <c r="F40" s="54" t="n"/>
      <c r="G40" s="214" t="n"/>
      <c r="H40" s="214" t="n"/>
      <c r="I40" s="214" t="n"/>
      <c r="J40" s="214" t="n"/>
      <c r="K40" s="214" t="n"/>
      <c r="L40" s="214" t="n"/>
      <c r="M40" s="214" t="n"/>
      <c r="N40" s="214" t="n"/>
      <c r="O40" s="214" t="n"/>
      <c r="P40" s="214" t="n"/>
      <c r="Q40" s="214" t="n"/>
      <c r="R40" s="214" t="n"/>
      <c r="S40" s="214" t="n"/>
      <c r="T40" s="214" t="n"/>
      <c r="U40" s="214" t="n"/>
      <c r="V40" s="214" t="n"/>
      <c r="W40" s="214" t="n"/>
      <c r="X40" s="214" t="n"/>
      <c r="Y40" s="22" t="n"/>
      <c r="Z40" s="22" t="n"/>
      <c r="AA40" s="22" t="n"/>
      <c r="AB40" s="22" t="n"/>
      <c r="AC40" s="22" t="n"/>
      <c r="AD40" s="214" t="n"/>
      <c r="AE40" s="214" t="n"/>
      <c r="AF40" s="214" t="n"/>
      <c r="AG40" s="214" t="n"/>
      <c r="AH40" s="214" t="n"/>
      <c r="AI40" s="214" t="n"/>
      <c r="AJ40" s="214" t="n"/>
      <c r="AK40" s="22" t="n"/>
      <c r="AL40" s="214" t="n"/>
      <c r="AM40" s="214" t="n"/>
      <c r="AN40" s="214" t="n"/>
      <c r="AO40" s="214" t="n"/>
      <c r="AP40" s="214" t="n"/>
      <c r="AQ40" s="214" t="n"/>
      <c r="AR40" s="214" t="n"/>
      <c r="AS40" s="214" t="n"/>
      <c r="AT40" s="214" t="n"/>
      <c r="AU40" s="214" t="n"/>
      <c r="AV40" s="214" t="n"/>
      <c r="AW40" s="214" t="n"/>
      <c r="AX40" s="214" t="n"/>
      <c r="AY40" s="214" t="n"/>
      <c r="AZ40" s="214" t="n"/>
      <c r="BA40" s="214" t="n"/>
      <c r="BB40" s="214" t="n"/>
      <c r="BC40" s="214" t="n"/>
      <c r="BD40" s="214" t="n"/>
      <c r="BE40" s="214" t="n"/>
      <c r="BF40" s="214" t="n"/>
      <c r="BG40" s="214" t="n"/>
      <c r="BH40" s="220" t="n"/>
      <c r="BI40" s="220">
        <f>IFERROR(COUNTIF(C40:BH40,"-"),"")</f>
        <v/>
      </c>
      <c r="BJ40" s="220">
        <f>IFERROR(COUNTIF(D40:BI40,"T"),"")</f>
        <v/>
      </c>
      <c r="BK40" s="220" t="n"/>
      <c r="BL40" s="3" t="n">
        <v>38</v>
      </c>
    </row>
    <row r="41">
      <c r="A41" s="1" t="n">
        <v>39</v>
      </c>
      <c r="B41" s="62">
        <f>IF('MAESTRO 1°'!B43="","",'MAESTRO 1°'!B43)</f>
        <v/>
      </c>
      <c r="C41" s="214" t="n"/>
      <c r="D41" s="214" t="n"/>
      <c r="E41" s="214" t="n"/>
      <c r="F41" s="214" t="n"/>
      <c r="G41" s="214" t="n"/>
      <c r="H41" s="214" t="n"/>
      <c r="I41" s="214" t="n"/>
      <c r="J41" s="214" t="n"/>
      <c r="K41" s="214" t="n"/>
      <c r="L41" s="214" t="n"/>
      <c r="M41" s="214" t="n"/>
      <c r="N41" s="214" t="n"/>
      <c r="O41" s="214" t="n"/>
      <c r="P41" s="214" t="n"/>
      <c r="Q41" s="214" t="n"/>
      <c r="R41" s="214" t="n"/>
      <c r="S41" s="214" t="n"/>
      <c r="T41" s="214" t="n"/>
      <c r="U41" s="214" t="n"/>
      <c r="V41" s="214" t="n"/>
      <c r="W41" s="214" t="n"/>
      <c r="X41" s="214" t="n"/>
      <c r="Y41" s="214" t="n"/>
      <c r="Z41" s="214" t="n"/>
      <c r="AA41" s="22" t="n"/>
      <c r="AB41" s="22" t="n"/>
      <c r="AC41" s="22" t="n"/>
      <c r="AD41" s="214" t="n"/>
      <c r="AE41" s="214" t="n"/>
      <c r="AF41" s="214" t="n"/>
      <c r="AG41" s="214" t="n"/>
      <c r="AH41" s="214" t="n"/>
      <c r="AI41" s="214" t="n"/>
      <c r="AJ41" s="214" t="n"/>
      <c r="AK41" s="214" t="n"/>
      <c r="AL41" s="214" t="n"/>
      <c r="AM41" s="214" t="n"/>
      <c r="AN41" s="214" t="n"/>
      <c r="AO41" s="214" t="n"/>
      <c r="AP41" s="214" t="n"/>
      <c r="AQ41" s="214" t="n"/>
      <c r="AR41" s="214" t="n"/>
      <c r="AS41" s="214" t="n"/>
      <c r="AT41" s="214" t="n"/>
      <c r="AU41" s="214" t="n"/>
      <c r="AV41" s="214" t="n"/>
      <c r="AW41" s="214" t="n"/>
      <c r="AX41" s="214" t="n"/>
      <c r="AY41" s="214" t="n"/>
      <c r="AZ41" s="214" t="n"/>
      <c r="BA41" s="214" t="n"/>
      <c r="BB41" s="214" t="n"/>
      <c r="BC41" s="214" t="n"/>
      <c r="BD41" s="214" t="n"/>
      <c r="BE41" s="214" t="n"/>
      <c r="BF41" s="214" t="n"/>
      <c r="BG41" s="214" t="n"/>
      <c r="BH41" s="220" t="n"/>
      <c r="BI41" s="220">
        <f>IFERROR(COUNTIF(C41:BH41,"A"),"")</f>
        <v/>
      </c>
      <c r="BJ41" s="220">
        <f>IFERROR(COUNTIF(D41:BI41,"T"),"")</f>
        <v/>
      </c>
      <c r="BK41" s="220" t="n"/>
      <c r="BL41" s="3" t="n">
        <v>39</v>
      </c>
    </row>
    <row r="42">
      <c r="A42" s="1" t="n">
        <v>40</v>
      </c>
      <c r="B42" s="62">
        <f>IF('MAESTRO 1°'!B44="","",'MAESTRO 1°'!B44)</f>
        <v/>
      </c>
      <c r="C42" s="214" t="n"/>
      <c r="D42" s="214" t="n"/>
      <c r="E42" s="214" t="n"/>
      <c r="F42" s="214" t="n"/>
      <c r="G42" s="214" t="n"/>
      <c r="H42" s="214" t="n"/>
      <c r="I42" s="214" t="n"/>
      <c r="J42" s="214" t="n"/>
      <c r="K42" s="214" t="n"/>
      <c r="L42" s="214"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c r="AG42" s="214" t="n"/>
      <c r="AH42" s="214" t="n"/>
      <c r="AI42" s="214" t="n"/>
      <c r="AJ42" s="214" t="n"/>
      <c r="AK42" s="214" t="n"/>
      <c r="AL42" s="214" t="n"/>
      <c r="AM42" s="214" t="n"/>
      <c r="AN42" s="214" t="n"/>
      <c r="AO42" s="214" t="n"/>
      <c r="AP42" s="214" t="n"/>
      <c r="AQ42" s="214" t="n"/>
      <c r="AR42" s="214" t="n"/>
      <c r="AS42" s="214" t="n"/>
      <c r="AT42" s="214" t="n"/>
      <c r="AU42" s="214" t="n"/>
      <c r="AV42" s="214" t="n"/>
      <c r="AW42" s="214" t="n"/>
      <c r="AX42" s="214" t="n"/>
      <c r="AY42" s="214" t="n"/>
      <c r="AZ42" s="214" t="n"/>
      <c r="BA42" s="214" t="n"/>
      <c r="BB42" s="214" t="n"/>
      <c r="BC42" s="214" t="n"/>
      <c r="BD42" s="214" t="n"/>
      <c r="BE42" s="214" t="n"/>
      <c r="BF42" s="214" t="n"/>
      <c r="BG42" s="214" t="n"/>
      <c r="BH42" s="220" t="n"/>
      <c r="BI42" s="220">
        <f>IFERROR(COUNTIF(C42:BH42,"A"),"")</f>
        <v/>
      </c>
      <c r="BJ42" s="220">
        <f>IFERROR(COUNTIF(D42:BI42,"T"),"")</f>
        <v/>
      </c>
      <c r="BK42" s="220" t="n"/>
      <c r="BL42" s="3" t="n">
        <v>40</v>
      </c>
    </row>
    <row r="43">
      <c r="A43" s="6" t="n">
        <v>41</v>
      </c>
      <c r="B43" s="220" t="n"/>
      <c r="C43" s="214" t="n"/>
      <c r="D43" s="214" t="n"/>
      <c r="E43" s="214" t="n"/>
      <c r="F43" s="214" t="n"/>
      <c r="G43" s="214" t="n"/>
      <c r="H43" s="214" t="n"/>
      <c r="I43" s="214" t="n"/>
      <c r="J43" s="214" t="n"/>
      <c r="K43" s="214" t="n"/>
      <c r="L43" s="214"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20" t="n"/>
      <c r="BI43" s="220">
        <f>IFERROR(COUNTIF(C43:BH43,"A"),"")</f>
        <v/>
      </c>
      <c r="BJ43" s="220">
        <f>IFERROR(COUNTIF(D43:BI43,"T"),"")</f>
        <v/>
      </c>
      <c r="BK43" s="220" t="n"/>
      <c r="BL43" s="220" t="n">
        <v>41</v>
      </c>
    </row>
    <row r="44" ht="31.2" customHeight="1" s="147">
      <c r="A44" s="211" t="n"/>
      <c r="B44" s="213" t="inlineStr">
        <is>
          <t>NOMBRE                          ALUMNA-ALUMNO</t>
        </is>
      </c>
      <c r="C44" s="212" t="inlineStr">
        <is>
          <t>ASISTENCIA DEL__23__DE____JUNIO____AL__12___DE___SEPTIEMBRE__</t>
        </is>
      </c>
      <c r="D44" s="157" t="n"/>
      <c r="E44" s="157" t="n"/>
      <c r="F44" s="157" t="n"/>
      <c r="G44" s="157" t="n"/>
      <c r="H44" s="157" t="n"/>
      <c r="I44" s="157" t="n"/>
      <c r="J44" s="157" t="n"/>
      <c r="K44" s="157" t="n"/>
      <c r="L44" s="157" t="n"/>
      <c r="M44" s="157" t="n"/>
      <c r="N44" s="157" t="n"/>
      <c r="O44" s="157" t="n"/>
      <c r="P44" s="157" t="n"/>
      <c r="Q44" s="157" t="n"/>
      <c r="R44" s="157" t="n"/>
      <c r="S44" s="157" t="n"/>
      <c r="T44" s="157" t="n"/>
      <c r="U44" s="157" t="n"/>
      <c r="V44" s="157" t="n"/>
      <c r="W44" s="157" t="n"/>
      <c r="X44" s="157" t="n"/>
      <c r="Y44" s="157" t="n"/>
      <c r="Z44" s="157" t="n"/>
      <c r="AA44" s="157" t="n"/>
      <c r="AB44" s="157" t="n"/>
      <c r="AC44" s="157" t="n"/>
      <c r="AD44" s="157" t="n"/>
      <c r="AE44" s="157" t="n"/>
      <c r="AF44" s="157" t="n"/>
      <c r="AG44" s="157" t="n"/>
      <c r="AH44" s="157" t="n"/>
      <c r="AI44" s="157" t="n"/>
      <c r="AJ44" s="157" t="n"/>
      <c r="AK44" s="157" t="n"/>
      <c r="AL44" s="157" t="n"/>
      <c r="AM44" s="157" t="n"/>
      <c r="AN44" s="157" t="n"/>
      <c r="AO44" s="157" t="n"/>
      <c r="AP44" s="157" t="n"/>
      <c r="AQ44" s="157" t="n"/>
      <c r="AR44" s="157" t="n"/>
      <c r="AS44" s="157" t="n"/>
      <c r="AT44" s="157" t="n"/>
      <c r="AU44" s="157" t="n"/>
      <c r="AV44" s="157" t="n"/>
      <c r="AW44" s="157" t="n"/>
      <c r="AX44" s="157" t="n"/>
      <c r="AY44" s="157" t="n"/>
      <c r="AZ44" s="157" t="n"/>
      <c r="BA44" s="157" t="n"/>
      <c r="BB44" s="157" t="n"/>
      <c r="BC44" s="157" t="n"/>
      <c r="BD44" s="157" t="n"/>
      <c r="BE44" s="157" t="n"/>
      <c r="BF44" s="157" t="n"/>
      <c r="BG44" s="157" t="n"/>
      <c r="BH44" s="145" t="n"/>
      <c r="BI44" s="214" t="inlineStr">
        <is>
          <t>SEGUNDO TRIMESTRE</t>
        </is>
      </c>
      <c r="BJ44" s="145" t="n"/>
      <c r="BK44" s="178" t="inlineStr">
        <is>
          <t>OBSERVACIONES</t>
        </is>
      </c>
      <c r="BL44" s="64" t="n"/>
    </row>
    <row r="45" ht="42.6" customHeight="1" s="147">
      <c r="A45" s="154" t="n"/>
      <c r="B45" s="154"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214" t="n"/>
      <c r="BA45" s="214" t="n"/>
      <c r="BB45" s="214" t="n"/>
      <c r="BC45" s="214" t="n"/>
      <c r="BD45" s="214" t="n"/>
      <c r="BE45" s="214" t="n"/>
      <c r="BF45" s="214" t="n"/>
      <c r="BG45" s="214" t="n"/>
      <c r="BH45" s="220" t="n"/>
      <c r="BI45" s="2" t="inlineStr">
        <is>
          <t>TOTAL AUSENCIAS</t>
        </is>
      </c>
      <c r="BJ45" s="2" t="inlineStr">
        <is>
          <t>TOTAL TARDANZAS</t>
        </is>
      </c>
      <c r="BK45" s="154" t="n"/>
      <c r="BL45" s="64" t="n"/>
    </row>
    <row r="46" ht="14.4" customHeight="1" s="147">
      <c r="A46" s="1" t="n">
        <v>1</v>
      </c>
      <c r="B46" s="220">
        <f>IF('MAESTRO 1°'!B5="","",'MAESTRO 1°'!B5)</f>
        <v/>
      </c>
      <c r="C46" s="214" t="n"/>
      <c r="D46" s="214" t="n"/>
      <c r="E46" s="214" t="n"/>
      <c r="F46" s="214" t="n"/>
      <c r="G46" s="214" t="n"/>
      <c r="H46" s="214" t="n"/>
      <c r="I46" s="214" t="n"/>
      <c r="J46" s="214" t="n"/>
      <c r="K46" s="214" t="n"/>
      <c r="L46" s="214" t="n"/>
      <c r="M46" s="214" t="n"/>
      <c r="N46" s="214" t="n"/>
      <c r="O46" s="214" t="n"/>
      <c r="P46" s="214" t="n"/>
      <c r="Q46" s="214" t="n"/>
      <c r="R46" s="214" t="n"/>
      <c r="S46" s="214" t="n"/>
      <c r="T46" s="214" t="n"/>
      <c r="U46" s="214" t="n"/>
      <c r="V46" s="214" t="n"/>
      <c r="W46" s="214" t="n"/>
      <c r="X46" s="214" t="n"/>
      <c r="Y46" s="214" t="n"/>
      <c r="Z46" s="214" t="n"/>
      <c r="AA46" s="214" t="n"/>
      <c r="AB46" s="214" t="n"/>
      <c r="AC46" s="214" t="n"/>
      <c r="AD46" s="214" t="n"/>
      <c r="AE46" s="214" t="n"/>
      <c r="AF46" s="214" t="n"/>
      <c r="AG46" s="214" t="n"/>
      <c r="AH46" s="214" t="n"/>
      <c r="AI46" s="214" t="n"/>
      <c r="AJ46" s="214" t="n"/>
      <c r="AK46" s="214" t="n"/>
      <c r="AL46" s="214" t="n"/>
      <c r="AM46" s="214" t="n"/>
      <c r="AN46" s="214" t="n"/>
      <c r="AO46" s="214" t="n"/>
      <c r="AP46" s="214" t="n"/>
      <c r="AQ46" s="214" t="n"/>
      <c r="AR46" s="214" t="n"/>
      <c r="AS46" s="214" t="n"/>
      <c r="AT46" s="214" t="n"/>
      <c r="AU46" s="214" t="n"/>
      <c r="AV46" s="214" t="n"/>
      <c r="AW46" s="214" t="n"/>
      <c r="AX46" s="214" t="n"/>
      <c r="AY46" s="214" t="n"/>
      <c r="AZ46" s="214" t="n"/>
      <c r="BA46" s="214" t="n"/>
      <c r="BB46" s="214" t="n"/>
      <c r="BC46" s="214" t="n"/>
      <c r="BD46" s="214" t="n"/>
      <c r="BE46" s="214" t="n"/>
      <c r="BF46" s="214" t="n"/>
      <c r="BG46" s="214" t="n"/>
      <c r="BH46" s="220" t="n"/>
      <c r="BI46" s="220">
        <f>IFERROR(COUNTIF(C46:BH46,"-"),"")</f>
        <v/>
      </c>
      <c r="BJ46" s="220">
        <f>IFERROR(COUNTIF(D46:BI46,"T"),"")</f>
        <v/>
      </c>
      <c r="BK46" s="220" t="n"/>
      <c r="BL46" s="3" t="n">
        <v>1</v>
      </c>
    </row>
    <row r="47" ht="18" customHeight="1" s="147">
      <c r="A47" s="1" t="n">
        <v>2</v>
      </c>
      <c r="B47" s="220">
        <f>IF('MAESTRO 1°'!B6="","",'MAESTRO 1°'!B6)</f>
        <v/>
      </c>
      <c r="C47" s="214" t="n"/>
      <c r="D47" s="214" t="n"/>
      <c r="E47" s="214" t="n"/>
      <c r="F47" s="214" t="n"/>
      <c r="G47" s="214" t="n"/>
      <c r="H47" s="214" t="n"/>
      <c r="I47" s="214" t="n"/>
      <c r="J47" s="214" t="n"/>
      <c r="K47" s="214" t="n"/>
      <c r="L47" s="214" t="n"/>
      <c r="M47" s="214" t="n"/>
      <c r="N47" s="214" t="n"/>
      <c r="O47" s="214" t="n"/>
      <c r="P47" s="214" t="n"/>
      <c r="Q47" s="214" t="n"/>
      <c r="R47" s="214" t="n"/>
      <c r="S47" s="214" t="n"/>
      <c r="T47" s="214" t="n"/>
      <c r="U47" s="214" t="n"/>
      <c r="V47" s="214" t="n"/>
      <c r="W47" s="214" t="n"/>
      <c r="X47" s="214" t="n"/>
      <c r="Y47" s="214" t="n"/>
      <c r="Z47" s="214" t="n"/>
      <c r="AA47" s="214" t="n"/>
      <c r="AB47" s="214" t="n"/>
      <c r="AC47" s="214" t="n"/>
      <c r="AD47" s="214" t="n"/>
      <c r="AE47" s="214" t="n"/>
      <c r="AF47" s="214" t="n"/>
      <c r="AG47" s="214" t="n"/>
      <c r="AH47" s="214" t="n"/>
      <c r="AI47" s="214" t="n"/>
      <c r="AJ47" s="214" t="n"/>
      <c r="AK47" s="214" t="n"/>
      <c r="AL47" s="214" t="n"/>
      <c r="AM47" s="214" t="n"/>
      <c r="AN47" s="214" t="n"/>
      <c r="AO47" s="214" t="n"/>
      <c r="AP47" s="214" t="n"/>
      <c r="AQ47" s="214" t="n"/>
      <c r="AR47" s="214" t="n"/>
      <c r="AS47" s="214" t="n"/>
      <c r="AT47" s="214" t="n"/>
      <c r="AU47" s="214" t="n"/>
      <c r="AV47" s="214" t="n"/>
      <c r="AW47" s="214" t="n"/>
      <c r="AX47" s="214" t="n"/>
      <c r="AY47" s="214" t="n"/>
      <c r="AZ47" s="214" t="n"/>
      <c r="BA47" s="214" t="n"/>
      <c r="BB47" s="214" t="n"/>
      <c r="BC47" s="214" t="n"/>
      <c r="BD47" s="214" t="n"/>
      <c r="BE47" s="214" t="n"/>
      <c r="BF47" s="214" t="n"/>
      <c r="BG47" s="214" t="n"/>
      <c r="BH47" s="220" t="n"/>
      <c r="BI47" s="220">
        <f>IFERROR(COUNTIF(C47:BH47,"-"),"")</f>
        <v/>
      </c>
      <c r="BJ47" s="220">
        <f>IFERROR(COUNTIF(D47:BI47,"T"),"")</f>
        <v/>
      </c>
      <c r="BK47" s="220" t="n"/>
      <c r="BL47" s="3" t="n">
        <v>2</v>
      </c>
    </row>
    <row r="48">
      <c r="A48" s="1" t="n">
        <v>3</v>
      </c>
      <c r="B48" s="220">
        <f>IF('MAESTRO 1°'!B7="","",'MAESTRO 1°'!B7)</f>
        <v/>
      </c>
      <c r="C48" s="214" t="n"/>
      <c r="D48" s="214" t="n"/>
      <c r="E48" s="214" t="n"/>
      <c r="F48" s="214" t="n"/>
      <c r="G48" s="214" t="n"/>
      <c r="H48" s="214" t="n"/>
      <c r="I48" s="214" t="n"/>
      <c r="J48" s="214" t="n"/>
      <c r="K48" s="214" t="n"/>
      <c r="L48" s="214" t="n"/>
      <c r="M48" s="214" t="n"/>
      <c r="N48" s="214" t="n"/>
      <c r="O48" s="214" t="n"/>
      <c r="P48" s="214" t="n"/>
      <c r="Q48" s="214" t="n"/>
      <c r="R48" s="214" t="n"/>
      <c r="S48" s="214" t="n"/>
      <c r="T48" s="214" t="n"/>
      <c r="U48" s="214" t="n"/>
      <c r="V48" s="214" t="n"/>
      <c r="W48" s="214" t="n"/>
      <c r="X48" s="214" t="n"/>
      <c r="Y48" s="214" t="n"/>
      <c r="Z48" s="214" t="n"/>
      <c r="AA48" s="214" t="n"/>
      <c r="AB48" s="214" t="n"/>
      <c r="AC48" s="214" t="n"/>
      <c r="AD48" s="214" t="n"/>
      <c r="AE48" s="214" t="n"/>
      <c r="AF48" s="214" t="n"/>
      <c r="AG48" s="214" t="n"/>
      <c r="AH48" s="214" t="n"/>
      <c r="AI48" s="214" t="n"/>
      <c r="AJ48" s="214" t="n"/>
      <c r="AK48" s="214" t="n"/>
      <c r="AL48" s="214" t="n"/>
      <c r="AM48" s="214" t="n"/>
      <c r="AN48" s="214" t="n"/>
      <c r="AO48" s="214" t="n"/>
      <c r="AP48" s="214" t="n"/>
      <c r="AQ48" s="214" t="n"/>
      <c r="AR48" s="214" t="n"/>
      <c r="AS48" s="214" t="n"/>
      <c r="AT48" s="214" t="n"/>
      <c r="AU48" s="214" t="n"/>
      <c r="AV48" s="214" t="n"/>
      <c r="AW48" s="214" t="n"/>
      <c r="AX48" s="214" t="n"/>
      <c r="AY48" s="214" t="n"/>
      <c r="AZ48" s="214" t="n"/>
      <c r="BA48" s="214" t="n"/>
      <c r="BB48" s="214" t="n"/>
      <c r="BC48" s="214" t="n"/>
      <c r="BD48" s="214" t="n"/>
      <c r="BE48" s="214" t="n"/>
      <c r="BF48" s="214" t="n"/>
      <c r="BG48" s="214" t="n"/>
      <c r="BH48" s="220" t="n"/>
      <c r="BI48" s="220">
        <f>IFERROR(COUNTIF(C48:BH48,"-"),"")</f>
        <v/>
      </c>
      <c r="BJ48" s="220">
        <f>IFERROR(COUNTIF(D48:BI48,"T"),"")</f>
        <v/>
      </c>
      <c r="BK48" s="220" t="n"/>
      <c r="BL48" s="3" t="n">
        <v>3</v>
      </c>
    </row>
    <row r="49">
      <c r="A49" s="1" t="n">
        <v>4</v>
      </c>
      <c r="B49" s="220">
        <f>IF('MAESTRO 1°'!B8="","",'MAESTRO 1°'!B8)</f>
        <v/>
      </c>
      <c r="C49" s="214" t="n"/>
      <c r="D49" s="214" t="n"/>
      <c r="E49" s="214" t="n"/>
      <c r="F49" s="214" t="n"/>
      <c r="G49" s="214" t="n"/>
      <c r="H49" s="214" t="n"/>
      <c r="I49" s="214" t="n"/>
      <c r="J49" s="214" t="n"/>
      <c r="K49" s="214" t="n"/>
      <c r="L49" s="214" t="n"/>
      <c r="M49" s="214" t="n"/>
      <c r="N49" s="214" t="n"/>
      <c r="O49" s="214" t="n"/>
      <c r="P49" s="214" t="n"/>
      <c r="Q49" s="214" t="n"/>
      <c r="R49" s="214" t="n"/>
      <c r="S49" s="214" t="n"/>
      <c r="T49" s="214" t="n"/>
      <c r="U49" s="214" t="n"/>
      <c r="V49" s="214" t="n"/>
      <c r="W49" s="214" t="n"/>
      <c r="X49" s="214" t="n"/>
      <c r="Y49" s="214" t="n"/>
      <c r="Z49" s="214" t="n"/>
      <c r="AA49" s="214" t="n"/>
      <c r="AB49" s="214" t="n"/>
      <c r="AC49" s="214" t="n"/>
      <c r="AD49" s="214" t="n"/>
      <c r="AE49" s="214" t="n"/>
      <c r="AF49" s="214" t="n"/>
      <c r="AG49" s="214" t="n"/>
      <c r="AH49" s="214" t="n"/>
      <c r="AI49" s="214" t="n"/>
      <c r="AJ49" s="214" t="n"/>
      <c r="AK49" s="214" t="n"/>
      <c r="AL49" s="214" t="n"/>
      <c r="AM49" s="214" t="n"/>
      <c r="AN49" s="214" t="n"/>
      <c r="AO49" s="214" t="n"/>
      <c r="AP49" s="214" t="n"/>
      <c r="AQ49" s="214" t="n"/>
      <c r="AR49" s="214" t="n"/>
      <c r="AS49" s="214" t="n"/>
      <c r="AT49" s="214" t="n"/>
      <c r="AU49" s="214" t="n"/>
      <c r="AV49" s="214" t="n"/>
      <c r="AW49" s="214" t="n"/>
      <c r="AX49" s="214" t="n"/>
      <c r="AY49" s="214" t="n"/>
      <c r="AZ49" s="214" t="n"/>
      <c r="BA49" s="214" t="n"/>
      <c r="BB49" s="214" t="n"/>
      <c r="BC49" s="214" t="n"/>
      <c r="BD49" s="214" t="n"/>
      <c r="BE49" s="214" t="n"/>
      <c r="BF49" s="214" t="n"/>
      <c r="BG49" s="214" t="n"/>
      <c r="BH49" s="220" t="n"/>
      <c r="BI49" s="220">
        <f>IFERROR(COUNTIF(C49:BH49,"-"),"")</f>
        <v/>
      </c>
      <c r="BJ49" s="220">
        <f>IFERROR(COUNTIF(D49:BI49,"T"),"")</f>
        <v/>
      </c>
      <c r="BK49" s="220" t="n"/>
      <c r="BL49" s="3" t="n">
        <v>4</v>
      </c>
    </row>
    <row r="50">
      <c r="A50" s="1" t="n">
        <v>5</v>
      </c>
      <c r="B50" s="220">
        <f>IF('MAESTRO 1°'!B9="","",'MAESTRO 1°'!B9)</f>
        <v/>
      </c>
      <c r="C50" s="214" t="n"/>
      <c r="D50" s="214" t="n"/>
      <c r="E50" s="214" t="n"/>
      <c r="F50" s="214" t="n"/>
      <c r="G50" s="214" t="n"/>
      <c r="H50" s="214" t="n"/>
      <c r="I50" s="214" t="n"/>
      <c r="J50" s="214" t="n"/>
      <c r="K50" s="214" t="n"/>
      <c r="L50" s="214" t="n"/>
      <c r="M50" s="214" t="n"/>
      <c r="N50" s="214" t="n"/>
      <c r="O50" s="214" t="n"/>
      <c r="P50" s="214" t="n"/>
      <c r="Q50" s="214" t="n"/>
      <c r="R50" s="214" t="n"/>
      <c r="S50" s="214" t="n"/>
      <c r="T50" s="214" t="n"/>
      <c r="U50" s="214" t="n"/>
      <c r="V50" s="214" t="n"/>
      <c r="W50" s="214" t="n"/>
      <c r="X50" s="214" t="n"/>
      <c r="Y50" s="214" t="n"/>
      <c r="Z50" s="214" t="n"/>
      <c r="AA50" s="214" t="n"/>
      <c r="AB50" s="214" t="n"/>
      <c r="AC50" s="214" t="n"/>
      <c r="AD50" s="214" t="n"/>
      <c r="AE50" s="214" t="n"/>
      <c r="AF50" s="214" t="n"/>
      <c r="AG50" s="214" t="n"/>
      <c r="AH50" s="214" t="n"/>
      <c r="AI50" s="214" t="n"/>
      <c r="AJ50" s="214" t="n"/>
      <c r="AK50" s="214" t="n"/>
      <c r="AL50" s="214" t="n"/>
      <c r="AM50" s="214" t="n"/>
      <c r="AN50" s="214" t="n"/>
      <c r="AO50" s="214" t="n"/>
      <c r="AP50" s="214" t="n"/>
      <c r="AQ50" s="214" t="n"/>
      <c r="AR50" s="214" t="n"/>
      <c r="AS50" s="214" t="n"/>
      <c r="AT50" s="214" t="n"/>
      <c r="AU50" s="214" t="n"/>
      <c r="AV50" s="214" t="n"/>
      <c r="AW50" s="214" t="n"/>
      <c r="AX50" s="214" t="n"/>
      <c r="AY50" s="214" t="n"/>
      <c r="AZ50" s="214" t="n"/>
      <c r="BA50" s="214" t="n"/>
      <c r="BB50" s="214" t="n"/>
      <c r="BC50" s="214" t="n"/>
      <c r="BD50" s="214" t="n"/>
      <c r="BE50" s="214" t="n"/>
      <c r="BF50" s="214" t="n"/>
      <c r="BG50" s="214" t="n"/>
      <c r="BH50" s="220" t="n"/>
      <c r="BI50" s="220">
        <f>IFERROR(COUNTIF(C50:BH50,"-"),"")</f>
        <v/>
      </c>
      <c r="BJ50" s="220">
        <f>IFERROR(COUNTIF(D50:BI50,"T"),"")</f>
        <v/>
      </c>
      <c r="BK50" s="220" t="n"/>
      <c r="BL50" s="3" t="n">
        <v>5</v>
      </c>
    </row>
    <row r="51">
      <c r="A51" s="1" t="n">
        <v>6</v>
      </c>
      <c r="B51" s="220">
        <f>IF('MAESTRO 1°'!B10="","",'MAESTRO 1°'!B10)</f>
        <v/>
      </c>
      <c r="C51" s="220" t="n"/>
      <c r="D51" s="220" t="n"/>
      <c r="E51" s="220" t="n"/>
      <c r="F51" s="220" t="n"/>
      <c r="G51" s="220" t="n"/>
      <c r="H51" s="220" t="n"/>
      <c r="I51" s="220" t="n"/>
      <c r="J51" s="220" t="n"/>
      <c r="K51" s="220" t="n"/>
      <c r="L51" s="220" t="n"/>
      <c r="M51" s="220" t="n"/>
      <c r="N51" s="214" t="n"/>
      <c r="O51" s="214" t="n"/>
      <c r="P51" s="214" t="n"/>
      <c r="Q51" s="214" t="n"/>
      <c r="R51" s="214" t="n"/>
      <c r="S51" s="214" t="n"/>
      <c r="T51" s="214" t="n"/>
      <c r="U51" s="214" t="n"/>
      <c r="V51" s="214" t="n"/>
      <c r="W51" s="214" t="n"/>
      <c r="X51" s="214" t="n"/>
      <c r="Y51" s="214" t="n"/>
      <c r="Z51" s="214" t="n"/>
      <c r="AA51" s="214" t="n"/>
      <c r="AB51" s="214" t="n"/>
      <c r="AC51" s="214" t="n"/>
      <c r="AD51" s="214" t="n"/>
      <c r="AE51" s="214" t="n"/>
      <c r="AF51" s="214" t="n"/>
      <c r="AG51" s="214" t="n"/>
      <c r="AH51" s="214" t="n"/>
      <c r="AI51" s="214" t="n"/>
      <c r="AJ51" s="214" t="n"/>
      <c r="AK51" s="214" t="n"/>
      <c r="AL51" s="214" t="n"/>
      <c r="AM51" s="214" t="n"/>
      <c r="AN51" s="214" t="n"/>
      <c r="AO51" s="214" t="n"/>
      <c r="AP51" s="214" t="n"/>
      <c r="AQ51" s="214" t="n"/>
      <c r="AR51" s="214" t="n"/>
      <c r="AS51" s="214" t="n"/>
      <c r="AT51" s="214" t="n"/>
      <c r="AU51" s="214" t="n"/>
      <c r="AV51" s="214" t="n"/>
      <c r="AW51" s="214" t="n"/>
      <c r="AX51" s="214" t="n"/>
      <c r="AY51" s="214" t="n"/>
      <c r="AZ51" s="214" t="n"/>
      <c r="BA51" s="214" t="n"/>
      <c r="BB51" s="214" t="n"/>
      <c r="BC51" s="214" t="n"/>
      <c r="BD51" s="214" t="n"/>
      <c r="BE51" s="214" t="n"/>
      <c r="BF51" s="214" t="n"/>
      <c r="BG51" s="214" t="n"/>
      <c r="BH51" s="220" t="n"/>
      <c r="BI51" s="220">
        <f>IFERROR(COUNTIF(C51:BH51,"-"),"")</f>
        <v/>
      </c>
      <c r="BJ51" s="220">
        <f>IFERROR(COUNTIF(D51:BI51,"T"),"")</f>
        <v/>
      </c>
      <c r="BK51" s="220" t="n"/>
      <c r="BL51" s="3" t="n">
        <v>6</v>
      </c>
    </row>
    <row r="52">
      <c r="A52" s="1" t="n">
        <v>7</v>
      </c>
      <c r="B52" s="220">
        <f>IF('MAESTRO 1°'!B11="","",'MAESTRO 1°'!B11)</f>
        <v/>
      </c>
      <c r="C52" s="220" t="n"/>
      <c r="D52" s="220" t="n"/>
      <c r="E52" s="220" t="n"/>
      <c r="F52" s="220" t="n"/>
      <c r="G52" s="220" t="n"/>
      <c r="H52" s="220" t="n"/>
      <c r="I52" s="220" t="n"/>
      <c r="J52" s="220" t="n"/>
      <c r="K52" s="220" t="n"/>
      <c r="L52" s="220" t="n"/>
      <c r="M52" s="220" t="n"/>
      <c r="N52" s="214" t="n"/>
      <c r="O52" s="214" t="n"/>
      <c r="P52" s="214" t="n"/>
      <c r="Q52" s="214" t="n"/>
      <c r="R52" s="214" t="n"/>
      <c r="S52" s="214" t="n"/>
      <c r="T52" s="214" t="n"/>
      <c r="U52" s="214" t="n"/>
      <c r="V52" s="214" t="n"/>
      <c r="W52" s="214" t="n"/>
      <c r="X52" s="214" t="n"/>
      <c r="Y52" s="214" t="n"/>
      <c r="Z52" s="214" t="n"/>
      <c r="AA52" s="214" t="n"/>
      <c r="AB52" s="214" t="n"/>
      <c r="AC52" s="214" t="n"/>
      <c r="AD52" s="214" t="n"/>
      <c r="AE52" s="214" t="n"/>
      <c r="AF52" s="214" t="n"/>
      <c r="AG52" s="214" t="n"/>
      <c r="AH52" s="214" t="n"/>
      <c r="AI52" s="214" t="n"/>
      <c r="AJ52" s="214" t="n"/>
      <c r="AK52" s="214" t="n"/>
      <c r="AL52" s="214" t="n"/>
      <c r="AM52" s="214" t="n"/>
      <c r="AN52" s="214" t="n"/>
      <c r="AO52" s="214" t="n"/>
      <c r="AP52" s="214" t="n"/>
      <c r="AQ52" s="214" t="n"/>
      <c r="AR52" s="214" t="n"/>
      <c r="AS52" s="214" t="n"/>
      <c r="AT52" s="214" t="n"/>
      <c r="AU52" s="214" t="n"/>
      <c r="AV52" s="214" t="n"/>
      <c r="AW52" s="214" t="n"/>
      <c r="AX52" s="214" t="n"/>
      <c r="AY52" s="214" t="n"/>
      <c r="AZ52" s="214" t="n"/>
      <c r="BA52" s="214" t="n"/>
      <c r="BB52" s="214" t="n"/>
      <c r="BC52" s="214" t="n"/>
      <c r="BD52" s="214" t="n"/>
      <c r="BE52" s="214" t="n"/>
      <c r="BF52" s="214" t="n"/>
      <c r="BG52" s="214" t="n"/>
      <c r="BH52" s="220" t="n"/>
      <c r="BI52" s="220">
        <f>IFERROR(COUNTIF(C52:BH52,"-"),"")</f>
        <v/>
      </c>
      <c r="BJ52" s="220">
        <f>IFERROR(COUNTIF(D52:BI52,"T"),"")</f>
        <v/>
      </c>
      <c r="BK52" s="220" t="n"/>
      <c r="BL52" s="3" t="n">
        <v>7</v>
      </c>
    </row>
    <row r="53">
      <c r="A53" s="1" t="n">
        <v>8</v>
      </c>
      <c r="B53" s="220">
        <f>IF('MAESTRO 1°'!B12="","",'MAESTRO 1°'!B12)</f>
        <v/>
      </c>
      <c r="C53" s="220" t="n"/>
      <c r="D53" s="220" t="n"/>
      <c r="E53" s="220" t="n"/>
      <c r="F53" s="220" t="n"/>
      <c r="G53" s="220" t="n"/>
      <c r="H53" s="220" t="n"/>
      <c r="I53" s="220" t="n"/>
      <c r="J53" s="220" t="n"/>
      <c r="K53" s="220" t="n"/>
      <c r="L53" s="220" t="n"/>
      <c r="M53" s="220" t="n"/>
      <c r="N53" s="214" t="n"/>
      <c r="O53" s="214" t="n"/>
      <c r="P53" s="214" t="n"/>
      <c r="Q53" s="214" t="n"/>
      <c r="R53" s="214" t="n"/>
      <c r="S53" s="214" t="n"/>
      <c r="T53" s="214" t="n"/>
      <c r="U53" s="214" t="n"/>
      <c r="V53" s="214" t="n"/>
      <c r="W53" s="214" t="n"/>
      <c r="X53" s="214" t="n"/>
      <c r="Y53" s="214" t="n"/>
      <c r="Z53" s="214" t="n"/>
      <c r="AA53" s="214" t="n"/>
      <c r="AB53" s="214" t="n"/>
      <c r="AC53" s="214" t="n"/>
      <c r="AD53" s="214" t="n"/>
      <c r="AE53" s="214" t="n"/>
      <c r="AF53" s="214" t="n"/>
      <c r="AG53" s="214" t="n"/>
      <c r="AH53" s="214" t="n"/>
      <c r="AI53" s="214" t="n"/>
      <c r="AJ53" s="214" t="n"/>
      <c r="AK53" s="214" t="n"/>
      <c r="AL53" s="214" t="n"/>
      <c r="AM53" s="214" t="n"/>
      <c r="AN53" s="214" t="n"/>
      <c r="AO53" s="214" t="n"/>
      <c r="AP53" s="214" t="n"/>
      <c r="AQ53" s="214" t="n"/>
      <c r="AR53" s="214" t="n"/>
      <c r="AS53" s="214" t="n"/>
      <c r="AT53" s="214" t="n"/>
      <c r="AU53" s="214" t="n"/>
      <c r="AV53" s="214" t="n"/>
      <c r="AW53" s="214" t="n"/>
      <c r="AX53" s="214" t="n"/>
      <c r="AY53" s="214" t="n"/>
      <c r="AZ53" s="214" t="n"/>
      <c r="BA53" s="214" t="n"/>
      <c r="BB53" s="214" t="n"/>
      <c r="BC53" s="214" t="n"/>
      <c r="BD53" s="214" t="n"/>
      <c r="BE53" s="214" t="n"/>
      <c r="BF53" s="214" t="n"/>
      <c r="BG53" s="214" t="n"/>
      <c r="BH53" s="220" t="n"/>
      <c r="BI53" s="220">
        <f>IFERROR(COUNTIF(C53:BH53,"-"),"")</f>
        <v/>
      </c>
      <c r="BJ53" s="220">
        <f>IFERROR(COUNTIF(D53:BI53,"T"),"")</f>
        <v/>
      </c>
      <c r="BK53" s="220" t="n"/>
      <c r="BL53" s="3" t="n">
        <v>8</v>
      </c>
    </row>
    <row r="54">
      <c r="A54" s="1" t="n">
        <v>9</v>
      </c>
      <c r="B54" s="220">
        <f>IF('MAESTRO 1°'!B13="","",'MAESTRO 1°'!B13)</f>
        <v/>
      </c>
      <c r="C54" s="220" t="n"/>
      <c r="D54" s="220" t="n"/>
      <c r="E54" s="220" t="n"/>
      <c r="F54" s="220" t="n"/>
      <c r="G54" s="220" t="n"/>
      <c r="H54" s="220" t="n"/>
      <c r="I54" s="220" t="n"/>
      <c r="J54" s="220" t="n"/>
      <c r="K54" s="220" t="n"/>
      <c r="L54" s="220" t="n"/>
      <c r="M54" s="220" t="n"/>
      <c r="N54" s="214" t="n"/>
      <c r="O54" s="214" t="n"/>
      <c r="P54" s="214" t="n"/>
      <c r="Q54" s="214" t="n"/>
      <c r="R54" s="214" t="n"/>
      <c r="S54" s="214" t="n"/>
      <c r="T54" s="214" t="n"/>
      <c r="U54" s="214" t="n"/>
      <c r="V54" s="214" t="n"/>
      <c r="W54" s="214" t="n"/>
      <c r="X54" s="214" t="n"/>
      <c r="Y54" s="214" t="n"/>
      <c r="Z54" s="214" t="n"/>
      <c r="AA54" s="214" t="n"/>
      <c r="AB54" s="214" t="n"/>
      <c r="AC54" s="214" t="n"/>
      <c r="AD54" s="214" t="n"/>
      <c r="AE54" s="214" t="n"/>
      <c r="AF54" s="214" t="n"/>
      <c r="AG54" s="214" t="n"/>
      <c r="AH54" s="214" t="n"/>
      <c r="AI54" s="214" t="n"/>
      <c r="AJ54" s="214" t="n"/>
      <c r="AK54" s="214" t="n"/>
      <c r="AL54" s="214" t="n"/>
      <c r="AM54" s="214" t="n"/>
      <c r="AN54" s="214" t="n"/>
      <c r="AO54" s="214" t="n"/>
      <c r="AP54" s="214" t="n"/>
      <c r="AQ54" s="214" t="n"/>
      <c r="AR54" s="214" t="n"/>
      <c r="AS54" s="214" t="n"/>
      <c r="AT54" s="214" t="n"/>
      <c r="AU54" s="214" t="n"/>
      <c r="AV54" s="214" t="n"/>
      <c r="AW54" s="214" t="n"/>
      <c r="AX54" s="214" t="n"/>
      <c r="AY54" s="214" t="n"/>
      <c r="AZ54" s="214" t="n"/>
      <c r="BA54" s="214" t="n"/>
      <c r="BB54" s="214" t="n"/>
      <c r="BC54" s="214" t="n"/>
      <c r="BD54" s="214" t="n"/>
      <c r="BE54" s="214" t="n"/>
      <c r="BF54" s="214" t="n"/>
      <c r="BG54" s="214" t="n"/>
      <c r="BH54" s="220" t="n"/>
      <c r="BI54" s="220">
        <f>IFERROR(COUNTIF(C54:BH54,"-"),"")</f>
        <v/>
      </c>
      <c r="BJ54" s="220">
        <f>IFERROR(COUNTIF(D54:BI54,"T"),"")</f>
        <v/>
      </c>
      <c r="BK54" s="220" t="n"/>
      <c r="BL54" s="3" t="n">
        <v>9</v>
      </c>
    </row>
    <row r="55">
      <c r="A55" s="1" t="n">
        <v>10</v>
      </c>
      <c r="B55" s="220">
        <f>IF('MAESTRO 1°'!B14="","",'MAESTRO 1°'!B14)</f>
        <v/>
      </c>
      <c r="C55" s="220" t="n"/>
      <c r="D55" s="220" t="n"/>
      <c r="E55" s="220" t="n"/>
      <c r="F55" s="220" t="n"/>
      <c r="G55" s="220" t="n"/>
      <c r="H55" s="220" t="n"/>
      <c r="I55" s="220" t="n"/>
      <c r="J55" s="220" t="n"/>
      <c r="K55" s="220" t="n"/>
      <c r="L55" s="220" t="n"/>
      <c r="M55" s="220" t="n"/>
      <c r="N55" s="214" t="n"/>
      <c r="O55" s="214" t="n"/>
      <c r="P55" s="214" t="n"/>
      <c r="Q55" s="214" t="n"/>
      <c r="R55" s="214" t="n"/>
      <c r="S55" s="214" t="n"/>
      <c r="T55" s="214" t="n"/>
      <c r="U55" s="214" t="n"/>
      <c r="V55" s="214" t="n"/>
      <c r="W55" s="214" t="n"/>
      <c r="X55" s="214" t="n"/>
      <c r="Y55" s="214" t="n"/>
      <c r="Z55" s="214" t="n"/>
      <c r="AA55" s="214" t="n"/>
      <c r="AB55" s="214" t="n"/>
      <c r="AC55" s="214" t="n"/>
      <c r="AD55" s="214" t="n"/>
      <c r="AE55" s="214" t="n"/>
      <c r="AF55" s="214" t="n"/>
      <c r="AG55" s="214" t="n"/>
      <c r="AH55" s="214" t="n"/>
      <c r="AI55" s="214" t="n"/>
      <c r="AJ55" s="214" t="n"/>
      <c r="AK55" s="214" t="n"/>
      <c r="AL55" s="214" t="n"/>
      <c r="AM55" s="214" t="n"/>
      <c r="AN55" s="214" t="n"/>
      <c r="AO55" s="214" t="n"/>
      <c r="AP55" s="214" t="n"/>
      <c r="AQ55" s="214" t="n"/>
      <c r="AR55" s="214" t="n"/>
      <c r="AS55" s="214" t="n"/>
      <c r="AT55" s="214" t="n"/>
      <c r="AU55" s="214" t="n"/>
      <c r="AV55" s="214" t="n"/>
      <c r="AW55" s="214" t="n"/>
      <c r="AX55" s="214" t="n"/>
      <c r="AY55" s="214" t="n"/>
      <c r="AZ55" s="214" t="n"/>
      <c r="BA55" s="214" t="n"/>
      <c r="BB55" s="214" t="n"/>
      <c r="BC55" s="214" t="n"/>
      <c r="BD55" s="214" t="n"/>
      <c r="BE55" s="214" t="n"/>
      <c r="BF55" s="214" t="n"/>
      <c r="BG55" s="214" t="n"/>
      <c r="BH55" s="220" t="n"/>
      <c r="BI55" s="220">
        <f>IFERROR(COUNTIF(C55:BH55,"-"),"")</f>
        <v/>
      </c>
      <c r="BJ55" s="220">
        <f>IFERROR(COUNTIF(D55:BI55,"T"),"")</f>
        <v/>
      </c>
      <c r="BK55" s="220" t="n"/>
      <c r="BL55" s="3" t="n">
        <v>10</v>
      </c>
    </row>
    <row r="56">
      <c r="A56" s="1" t="n">
        <v>11</v>
      </c>
      <c r="B56" s="220">
        <f>IF('MAESTRO 1°'!B15="","",'MAESTRO 1°'!B15)</f>
        <v/>
      </c>
      <c r="C56" s="220" t="n"/>
      <c r="D56" s="220" t="n"/>
      <c r="E56" s="220" t="n"/>
      <c r="F56" s="220" t="n"/>
      <c r="G56" s="220" t="n"/>
      <c r="H56" s="220" t="n"/>
      <c r="I56" s="220" t="n"/>
      <c r="J56" s="220" t="n"/>
      <c r="K56" s="220" t="n"/>
      <c r="L56" s="220" t="n"/>
      <c r="M56" s="220" t="n"/>
      <c r="N56" s="214" t="n"/>
      <c r="O56" s="214" t="n"/>
      <c r="P56" s="214" t="n"/>
      <c r="Q56" s="214" t="n"/>
      <c r="R56" s="214" t="n"/>
      <c r="S56" s="214" t="n"/>
      <c r="T56" s="214" t="n"/>
      <c r="U56" s="214" t="n"/>
      <c r="V56" s="214" t="n"/>
      <c r="W56" s="214" t="n"/>
      <c r="X56" s="214" t="n"/>
      <c r="Y56" s="214" t="n"/>
      <c r="Z56" s="214" t="n"/>
      <c r="AA56" s="214" t="n"/>
      <c r="AB56" s="214" t="n"/>
      <c r="AC56" s="214" t="n"/>
      <c r="AD56" s="214" t="n"/>
      <c r="AE56" s="214" t="n"/>
      <c r="AF56" s="214" t="n"/>
      <c r="AG56" s="214" t="n"/>
      <c r="AH56" s="214" t="n"/>
      <c r="AI56" s="214" t="n"/>
      <c r="AJ56" s="214" t="n"/>
      <c r="AK56" s="214" t="n"/>
      <c r="AL56" s="214" t="n"/>
      <c r="AM56" s="214" t="n"/>
      <c r="AN56" s="214" t="n"/>
      <c r="AO56" s="214" t="n"/>
      <c r="AP56" s="214" t="n"/>
      <c r="AQ56" s="214" t="n"/>
      <c r="AR56" s="214" t="n"/>
      <c r="AS56" s="214" t="n"/>
      <c r="AT56" s="214" t="n"/>
      <c r="AU56" s="214" t="n"/>
      <c r="AV56" s="214" t="n"/>
      <c r="AW56" s="214" t="n"/>
      <c r="AX56" s="214" t="n"/>
      <c r="AY56" s="214" t="n"/>
      <c r="AZ56" s="214" t="n"/>
      <c r="BA56" s="214" t="n"/>
      <c r="BB56" s="214" t="n"/>
      <c r="BC56" s="214" t="n"/>
      <c r="BD56" s="214" t="n"/>
      <c r="BE56" s="214" t="n"/>
      <c r="BF56" s="214" t="n"/>
      <c r="BG56" s="214" t="n"/>
      <c r="BH56" s="220" t="n"/>
      <c r="BI56" s="220">
        <f>IFERROR(COUNTIF(C56:BH56,"-"),"")</f>
        <v/>
      </c>
      <c r="BJ56" s="220">
        <f>IFERROR(COUNTIF(D56:BI56,"T"),"")</f>
        <v/>
      </c>
      <c r="BK56" s="220" t="n"/>
      <c r="BL56" s="3" t="n">
        <v>11</v>
      </c>
    </row>
    <row r="57">
      <c r="A57" s="1" t="n">
        <v>12</v>
      </c>
      <c r="B57" s="220">
        <f>IF('MAESTRO 1°'!B16="","",'MAESTRO 1°'!B16)</f>
        <v/>
      </c>
      <c r="C57" s="220" t="n"/>
      <c r="D57" s="220" t="n"/>
      <c r="E57" s="220" t="n"/>
      <c r="F57" s="220" t="n"/>
      <c r="G57" s="220" t="n"/>
      <c r="H57" s="220" t="n"/>
      <c r="I57" s="220" t="n"/>
      <c r="J57" s="220" t="n"/>
      <c r="K57" s="220" t="n"/>
      <c r="L57" s="220" t="n"/>
      <c r="M57" s="220" t="n"/>
      <c r="N57" s="214" t="n"/>
      <c r="O57" s="214" t="n"/>
      <c r="P57" s="214" t="n"/>
      <c r="Q57" s="214" t="n"/>
      <c r="R57" s="214" t="n"/>
      <c r="S57" s="214" t="n"/>
      <c r="T57" s="214" t="n"/>
      <c r="U57" s="214" t="n"/>
      <c r="V57" s="214" t="n"/>
      <c r="W57" s="214" t="n"/>
      <c r="X57" s="214" t="n"/>
      <c r="Y57" s="214" t="n"/>
      <c r="Z57" s="214" t="n"/>
      <c r="AA57" s="214" t="n"/>
      <c r="AB57" s="214" t="n"/>
      <c r="AC57" s="214" t="n"/>
      <c r="AD57" s="214" t="n"/>
      <c r="AE57" s="214" t="n"/>
      <c r="AF57" s="214" t="n"/>
      <c r="AG57" s="214" t="n"/>
      <c r="AH57" s="214" t="n"/>
      <c r="AI57" s="214" t="n"/>
      <c r="AJ57" s="214" t="n"/>
      <c r="AK57" s="214" t="n"/>
      <c r="AL57" s="214" t="n"/>
      <c r="AM57" s="214" t="n"/>
      <c r="AN57" s="214" t="n"/>
      <c r="AO57" s="214" t="n"/>
      <c r="AP57" s="214" t="n"/>
      <c r="AQ57" s="214" t="n"/>
      <c r="AR57" s="214" t="n"/>
      <c r="AS57" s="214" t="n"/>
      <c r="AT57" s="214" t="n"/>
      <c r="AU57" s="214" t="n"/>
      <c r="AV57" s="214" t="n"/>
      <c r="AW57" s="214" t="n"/>
      <c r="AX57" s="214" t="n"/>
      <c r="AY57" s="214" t="n"/>
      <c r="AZ57" s="214" t="n"/>
      <c r="BA57" s="214" t="n"/>
      <c r="BB57" s="214" t="n"/>
      <c r="BC57" s="214" t="n"/>
      <c r="BD57" s="214" t="n"/>
      <c r="BE57" s="214" t="n"/>
      <c r="BF57" s="214" t="n"/>
      <c r="BG57" s="214" t="n"/>
      <c r="BH57" s="220" t="n"/>
      <c r="BI57" s="220">
        <f>IFERROR(COUNTIF(C57:BH57,"-"),"")</f>
        <v/>
      </c>
      <c r="BJ57" s="220">
        <f>IFERROR(COUNTIF(D57:BI57,"T"),"")</f>
        <v/>
      </c>
      <c r="BK57" s="220" t="n"/>
      <c r="BL57" s="3" t="n">
        <v>12</v>
      </c>
    </row>
    <row r="58">
      <c r="A58" s="1" t="n">
        <v>13</v>
      </c>
      <c r="B58" s="220">
        <f>IF('MAESTRO 1°'!B17="","",'MAESTRO 1°'!B17)</f>
        <v/>
      </c>
      <c r="C58" s="220" t="n"/>
      <c r="D58" s="220" t="n"/>
      <c r="E58" s="220" t="n"/>
      <c r="F58" s="220" t="n"/>
      <c r="G58" s="220" t="n"/>
      <c r="H58" s="220" t="n"/>
      <c r="I58" s="220" t="n"/>
      <c r="J58" s="220" t="n"/>
      <c r="K58" s="220" t="n"/>
      <c r="L58" s="220" t="n"/>
      <c r="M58" s="220" t="n"/>
      <c r="N58" s="214" t="n"/>
      <c r="O58" s="214" t="n"/>
      <c r="P58" s="214" t="n"/>
      <c r="Q58" s="214" t="n"/>
      <c r="R58" s="214" t="n"/>
      <c r="S58" s="214" t="n"/>
      <c r="T58" s="214" t="n"/>
      <c r="U58" s="214" t="n"/>
      <c r="V58" s="214" t="n"/>
      <c r="W58" s="214" t="n"/>
      <c r="X58" s="214" t="n"/>
      <c r="Y58" s="214" t="n"/>
      <c r="Z58" s="214" t="n"/>
      <c r="AA58" s="214" t="n"/>
      <c r="AB58" s="214" t="n"/>
      <c r="AC58" s="214" t="n"/>
      <c r="AD58" s="214" t="n"/>
      <c r="AE58" s="214" t="n"/>
      <c r="AF58" s="214" t="n"/>
      <c r="AG58" s="214" t="n"/>
      <c r="AH58" s="214" t="n"/>
      <c r="AI58" s="214" t="n"/>
      <c r="AJ58" s="214" t="n"/>
      <c r="AK58" s="214" t="n"/>
      <c r="AL58" s="214" t="n"/>
      <c r="AM58" s="214" t="n"/>
      <c r="AN58" s="214" t="n"/>
      <c r="AO58" s="214" t="n"/>
      <c r="AP58" s="214" t="n"/>
      <c r="AQ58" s="214" t="n"/>
      <c r="AR58" s="214" t="n"/>
      <c r="AS58" s="214" t="n"/>
      <c r="AT58" s="214" t="n"/>
      <c r="AU58" s="214" t="n"/>
      <c r="AV58" s="214" t="n"/>
      <c r="AW58" s="214" t="n"/>
      <c r="AX58" s="214" t="n"/>
      <c r="AY58" s="214" t="n"/>
      <c r="AZ58" s="214" t="n"/>
      <c r="BA58" s="214" t="n"/>
      <c r="BB58" s="214" t="n"/>
      <c r="BC58" s="214" t="n"/>
      <c r="BD58" s="214" t="n"/>
      <c r="BE58" s="214" t="n"/>
      <c r="BF58" s="214" t="n"/>
      <c r="BG58" s="214" t="n"/>
      <c r="BH58" s="220" t="n"/>
      <c r="BI58" s="220">
        <f>IFERROR(COUNTIF(C58:BH58,"-"),"")</f>
        <v/>
      </c>
      <c r="BJ58" s="220">
        <f>IFERROR(COUNTIF(D58:BI58,"T"),"")</f>
        <v/>
      </c>
      <c r="BK58" s="220" t="n"/>
      <c r="BL58" s="3" t="n">
        <v>13</v>
      </c>
    </row>
    <row r="59">
      <c r="A59" s="1" t="n">
        <v>14</v>
      </c>
      <c r="B59" s="220">
        <f>IF('MAESTRO 1°'!B18="","",'MAESTRO 1°'!B18)</f>
        <v/>
      </c>
      <c r="C59" s="220" t="n"/>
      <c r="D59" s="220" t="n"/>
      <c r="E59" s="220" t="n"/>
      <c r="F59" s="220" t="n"/>
      <c r="G59" s="220" t="n"/>
      <c r="H59" s="220" t="n"/>
      <c r="I59" s="220" t="n"/>
      <c r="J59" s="220" t="n"/>
      <c r="K59" s="220" t="n"/>
      <c r="L59" s="220" t="n"/>
      <c r="M59" s="220" t="n"/>
      <c r="N59" s="214" t="n"/>
      <c r="O59" s="214" t="n"/>
      <c r="P59" s="214" t="n"/>
      <c r="Q59" s="214" t="n"/>
      <c r="R59" s="214" t="n"/>
      <c r="S59" s="214" t="n"/>
      <c r="T59" s="214" t="n"/>
      <c r="U59" s="214" t="n"/>
      <c r="V59" s="214" t="n"/>
      <c r="W59" s="214" t="n"/>
      <c r="X59" s="214" t="n"/>
      <c r="Y59" s="214" t="n"/>
      <c r="Z59" s="214" t="n"/>
      <c r="AA59" s="214" t="n"/>
      <c r="AB59" s="214" t="n"/>
      <c r="AC59" s="214" t="n"/>
      <c r="AD59" s="214" t="n"/>
      <c r="AE59" s="214" t="n"/>
      <c r="AF59" s="214" t="n"/>
      <c r="AG59" s="214" t="n"/>
      <c r="AH59" s="214" t="n"/>
      <c r="AI59" s="214" t="n"/>
      <c r="AJ59" s="214" t="n"/>
      <c r="AK59" s="214" t="n"/>
      <c r="AL59" s="214" t="n"/>
      <c r="AM59" s="214" t="n"/>
      <c r="AN59" s="214" t="n"/>
      <c r="AO59" s="214" t="n"/>
      <c r="AP59" s="214" t="n"/>
      <c r="AQ59" s="214" t="n"/>
      <c r="AR59" s="214" t="n"/>
      <c r="AS59" s="214" t="n"/>
      <c r="AT59" s="214" t="n"/>
      <c r="AU59" s="214" t="n"/>
      <c r="AV59" s="214" t="n"/>
      <c r="AW59" s="214" t="n"/>
      <c r="AX59" s="214" t="n"/>
      <c r="AY59" s="214" t="n"/>
      <c r="AZ59" s="214" t="n"/>
      <c r="BA59" s="214" t="n"/>
      <c r="BB59" s="214" t="n"/>
      <c r="BC59" s="214" t="n"/>
      <c r="BD59" s="214" t="n"/>
      <c r="BE59" s="214" t="n"/>
      <c r="BF59" s="214" t="n"/>
      <c r="BG59" s="214" t="n"/>
      <c r="BH59" s="220" t="n"/>
      <c r="BI59" s="220">
        <f>IFERROR(COUNTIF(C59:BH59,"-"),"")</f>
        <v/>
      </c>
      <c r="BJ59" s="220">
        <f>IFERROR(COUNTIF(D59:BI59,"T"),"")</f>
        <v/>
      </c>
      <c r="BK59" s="220" t="n"/>
      <c r="BL59" s="3" t="n">
        <v>14</v>
      </c>
    </row>
    <row r="60">
      <c r="A60" s="1" t="n">
        <v>15</v>
      </c>
      <c r="B60" s="220">
        <f>IF('MAESTRO 1°'!B19="","",'MAESTRO 1°'!B19)</f>
        <v/>
      </c>
      <c r="C60" s="220" t="n"/>
      <c r="D60" s="220" t="n"/>
      <c r="E60" s="220" t="n"/>
      <c r="F60" s="220" t="n"/>
      <c r="G60" s="220" t="n"/>
      <c r="H60" s="220" t="n"/>
      <c r="I60" s="220" t="n"/>
      <c r="J60" s="220" t="n"/>
      <c r="K60" s="220" t="n"/>
      <c r="L60" s="220" t="n"/>
      <c r="M60" s="220" t="n"/>
      <c r="N60" s="214" t="n"/>
      <c r="O60" s="214" t="n"/>
      <c r="P60" s="214" t="n"/>
      <c r="Q60" s="214" t="n"/>
      <c r="R60" s="214" t="n"/>
      <c r="S60" s="214" t="n"/>
      <c r="T60" s="214" t="n"/>
      <c r="U60" s="214" t="n"/>
      <c r="V60" s="214" t="n"/>
      <c r="W60" s="214" t="n"/>
      <c r="X60" s="214" t="n"/>
      <c r="Y60" s="214" t="n"/>
      <c r="Z60" s="214" t="n"/>
      <c r="AA60" s="214" t="n"/>
      <c r="AB60" s="214" t="n"/>
      <c r="AC60" s="214" t="n"/>
      <c r="AD60" s="214" t="n"/>
      <c r="AE60" s="214" t="n"/>
      <c r="AF60" s="214" t="n"/>
      <c r="AG60" s="214" t="n"/>
      <c r="AH60" s="214" t="n"/>
      <c r="AI60" s="214" t="n"/>
      <c r="AJ60" s="214" t="n"/>
      <c r="AK60" s="214" t="n"/>
      <c r="AL60" s="214" t="n"/>
      <c r="AM60" s="214" t="n"/>
      <c r="AN60" s="214" t="n"/>
      <c r="AO60" s="214" t="n"/>
      <c r="AP60" s="214" t="n"/>
      <c r="AQ60" s="214" t="n"/>
      <c r="AR60" s="214" t="n"/>
      <c r="AS60" s="214" t="n"/>
      <c r="AT60" s="214" t="n"/>
      <c r="AU60" s="214" t="n"/>
      <c r="AV60" s="214" t="n"/>
      <c r="AW60" s="214" t="n"/>
      <c r="AX60" s="214" t="n"/>
      <c r="AY60" s="214" t="n"/>
      <c r="AZ60" s="214" t="n"/>
      <c r="BA60" s="214" t="n"/>
      <c r="BB60" s="214" t="n"/>
      <c r="BC60" s="214" t="n"/>
      <c r="BD60" s="214" t="n"/>
      <c r="BE60" s="214" t="n"/>
      <c r="BF60" s="214" t="n"/>
      <c r="BG60" s="214" t="n"/>
      <c r="BH60" s="220" t="n"/>
      <c r="BI60" s="220">
        <f>IFERROR(COUNTIF(C60:BH60,"-"),"")</f>
        <v/>
      </c>
      <c r="BJ60" s="220">
        <f>IFERROR(COUNTIF(D60:BI60,"T"),"")</f>
        <v/>
      </c>
      <c r="BK60" s="220" t="n"/>
      <c r="BL60" s="3" t="n">
        <v>15</v>
      </c>
    </row>
    <row r="61">
      <c r="A61" s="1" t="n">
        <v>16</v>
      </c>
      <c r="B61" s="220">
        <f>IF('MAESTRO 1°'!B20="","",'MAESTRO 1°'!B20)</f>
        <v/>
      </c>
      <c r="C61" s="220" t="n"/>
      <c r="D61" s="220" t="n"/>
      <c r="E61" s="220" t="n"/>
      <c r="F61" s="220" t="n"/>
      <c r="G61" s="220" t="n"/>
      <c r="H61" s="220" t="n"/>
      <c r="I61" s="220" t="n"/>
      <c r="J61" s="220" t="n"/>
      <c r="K61" s="220" t="n"/>
      <c r="L61" s="220" t="n"/>
      <c r="M61" s="220" t="n"/>
      <c r="N61" s="214" t="n"/>
      <c r="O61" s="214" t="n"/>
      <c r="P61" s="214" t="n"/>
      <c r="Q61" s="214" t="n"/>
      <c r="R61" s="214" t="n"/>
      <c r="S61" s="214" t="n"/>
      <c r="T61" s="214" t="n"/>
      <c r="U61" s="214" t="n"/>
      <c r="V61" s="214" t="n"/>
      <c r="W61" s="214" t="n"/>
      <c r="X61" s="214" t="n"/>
      <c r="Y61" s="214" t="n"/>
      <c r="Z61" s="214" t="n"/>
      <c r="AA61" s="214" t="n"/>
      <c r="AB61" s="214" t="n"/>
      <c r="AC61" s="214" t="n"/>
      <c r="AD61" s="214" t="n"/>
      <c r="AE61" s="214" t="n"/>
      <c r="AF61" s="214" t="n"/>
      <c r="AG61" s="214" t="n"/>
      <c r="AH61" s="214" t="n"/>
      <c r="AI61" s="214" t="n"/>
      <c r="AJ61" s="214" t="n"/>
      <c r="AK61" s="214" t="n"/>
      <c r="AL61" s="214" t="n"/>
      <c r="AM61" s="214" t="n"/>
      <c r="AN61" s="214" t="n"/>
      <c r="AO61" s="214" t="n"/>
      <c r="AP61" s="214" t="n"/>
      <c r="AQ61" s="214" t="n"/>
      <c r="AR61" s="214" t="n"/>
      <c r="AS61" s="214" t="n"/>
      <c r="AT61" s="214" t="n"/>
      <c r="AU61" s="214" t="n"/>
      <c r="AV61" s="214" t="n"/>
      <c r="AW61" s="214" t="n"/>
      <c r="AX61" s="214" t="n"/>
      <c r="AY61" s="214" t="n"/>
      <c r="AZ61" s="214" t="n"/>
      <c r="BA61" s="214" t="n"/>
      <c r="BB61" s="214" t="n"/>
      <c r="BC61" s="214" t="n"/>
      <c r="BD61" s="214" t="n"/>
      <c r="BE61" s="214" t="n"/>
      <c r="BF61" s="214" t="n"/>
      <c r="BG61" s="214" t="n"/>
      <c r="BH61" s="220" t="n"/>
      <c r="BI61" s="220">
        <f>IFERROR(COUNTIF(C61:BH61,"-"),"")</f>
        <v/>
      </c>
      <c r="BJ61" s="220">
        <f>IFERROR(COUNTIF(D61:BI61,"T"),"")</f>
        <v/>
      </c>
      <c r="BK61" s="220" t="n"/>
      <c r="BL61" s="3" t="n">
        <v>16</v>
      </c>
    </row>
    <row r="62">
      <c r="A62" s="1" t="n">
        <v>17</v>
      </c>
      <c r="B62" s="220">
        <f>IF('MAESTRO 1°'!B21="","",'MAESTRO 1°'!B21)</f>
        <v/>
      </c>
      <c r="C62" s="220" t="n"/>
      <c r="D62" s="220" t="n"/>
      <c r="E62" s="220" t="n"/>
      <c r="F62" s="220" t="n"/>
      <c r="G62" s="220" t="n"/>
      <c r="H62" s="220" t="n"/>
      <c r="I62" s="220" t="n"/>
      <c r="J62" s="220" t="n"/>
      <c r="K62" s="220" t="n"/>
      <c r="L62" s="220" t="n"/>
      <c r="M62" s="220" t="n"/>
      <c r="N62" s="214" t="n"/>
      <c r="O62" s="214" t="n"/>
      <c r="P62" s="214" t="n"/>
      <c r="Q62" s="214" t="n"/>
      <c r="R62" s="214" t="n"/>
      <c r="S62" s="214" t="n"/>
      <c r="T62" s="214" t="n"/>
      <c r="U62" s="214" t="n"/>
      <c r="V62" s="214" t="n"/>
      <c r="W62" s="214" t="n"/>
      <c r="X62" s="214" t="n"/>
      <c r="Y62" s="214" t="n"/>
      <c r="Z62" s="214" t="n"/>
      <c r="AA62" s="214" t="n"/>
      <c r="AB62" s="214" t="n"/>
      <c r="AC62" s="214" t="n"/>
      <c r="AD62" s="214" t="n"/>
      <c r="AE62" s="214" t="n"/>
      <c r="AF62" s="214" t="n"/>
      <c r="AG62" s="214" t="n"/>
      <c r="AH62" s="214" t="n"/>
      <c r="AI62" s="214" t="n"/>
      <c r="AJ62" s="214" t="n"/>
      <c r="AK62" s="214" t="n"/>
      <c r="AL62" s="214" t="n"/>
      <c r="AM62" s="214" t="n"/>
      <c r="AN62" s="214" t="n"/>
      <c r="AO62" s="214" t="n"/>
      <c r="AP62" s="214" t="n"/>
      <c r="AQ62" s="214" t="n"/>
      <c r="AR62" s="214" t="n"/>
      <c r="AS62" s="214" t="n"/>
      <c r="AT62" s="214" t="n"/>
      <c r="AU62" s="214" t="n"/>
      <c r="AV62" s="214" t="n"/>
      <c r="AW62" s="214" t="n"/>
      <c r="AX62" s="214" t="n"/>
      <c r="AY62" s="214" t="n"/>
      <c r="AZ62" s="214" t="n"/>
      <c r="BA62" s="214" t="n"/>
      <c r="BB62" s="214" t="n"/>
      <c r="BC62" s="214" t="n"/>
      <c r="BD62" s="214" t="n"/>
      <c r="BE62" s="214" t="n"/>
      <c r="BF62" s="214" t="n"/>
      <c r="BG62" s="214" t="n"/>
      <c r="BH62" s="220" t="n"/>
      <c r="BI62" s="220">
        <f>IFERROR(COUNTIF(C62:BH62,"-"),"")</f>
        <v/>
      </c>
      <c r="BJ62" s="220">
        <f>IFERROR(COUNTIF(D62:BI62,"T"),"")</f>
        <v/>
      </c>
      <c r="BK62" s="220" t="n"/>
      <c r="BL62" s="3" t="n">
        <v>17</v>
      </c>
    </row>
    <row r="63">
      <c r="A63" s="1" t="n">
        <v>18</v>
      </c>
      <c r="B63" s="220">
        <f>IF('MAESTRO 1°'!B22="","",'MAESTRO 1°'!B22)</f>
        <v/>
      </c>
      <c r="C63" s="214" t="n"/>
      <c r="D63" s="214" t="n"/>
      <c r="E63" s="214" t="n"/>
      <c r="F63" s="214" t="n"/>
      <c r="G63" s="214" t="n"/>
      <c r="H63" s="214" t="n"/>
      <c r="I63" s="214" t="n"/>
      <c r="J63" s="214" t="n"/>
      <c r="K63" s="214" t="n"/>
      <c r="L63" s="214" t="n"/>
      <c r="M63" s="214" t="n"/>
      <c r="N63" s="214" t="n"/>
      <c r="O63" s="214" t="n"/>
      <c r="P63" s="214" t="n"/>
      <c r="Q63" s="214" t="n"/>
      <c r="R63" s="214" t="n"/>
      <c r="S63" s="214" t="n"/>
      <c r="T63" s="214" t="n"/>
      <c r="U63" s="214" t="n"/>
      <c r="V63" s="214" t="n"/>
      <c r="W63" s="214" t="n"/>
      <c r="X63" s="214" t="n"/>
      <c r="Y63" s="214" t="n"/>
      <c r="Z63" s="214" t="n"/>
      <c r="AA63" s="214" t="n"/>
      <c r="AB63" s="214" t="n"/>
      <c r="AC63" s="214" t="n"/>
      <c r="AD63" s="214" t="n"/>
      <c r="AE63" s="214" t="n"/>
      <c r="AF63" s="214" t="n"/>
      <c r="AG63" s="214" t="n"/>
      <c r="AH63" s="214" t="n"/>
      <c r="AI63" s="214" t="n"/>
      <c r="AJ63" s="214" t="n"/>
      <c r="AK63" s="214" t="n"/>
      <c r="AL63" s="214" t="n"/>
      <c r="AM63" s="214" t="n"/>
      <c r="AN63" s="214" t="n"/>
      <c r="AO63" s="214" t="n"/>
      <c r="AP63" s="214" t="n"/>
      <c r="AQ63" s="214" t="n"/>
      <c r="AR63" s="214" t="n"/>
      <c r="AS63" s="214" t="n"/>
      <c r="AT63" s="214" t="n"/>
      <c r="AU63" s="214" t="n"/>
      <c r="AV63" s="214" t="n"/>
      <c r="AW63" s="214" t="n"/>
      <c r="AX63" s="214" t="n"/>
      <c r="AY63" s="214" t="n"/>
      <c r="AZ63" s="214" t="n"/>
      <c r="BA63" s="214" t="n"/>
      <c r="BB63" s="214" t="n"/>
      <c r="BC63" s="214" t="n"/>
      <c r="BD63" s="214" t="n"/>
      <c r="BE63" s="214" t="n"/>
      <c r="BF63" s="214" t="n"/>
      <c r="BG63" s="214" t="n"/>
      <c r="BH63" s="220" t="n"/>
      <c r="BI63" s="220">
        <f>IFERROR(COUNTIF(C63:BH63,"-"),"")</f>
        <v/>
      </c>
      <c r="BJ63" s="220">
        <f>IFERROR(COUNTIF(D63:BI63,"T"),"")</f>
        <v/>
      </c>
      <c r="BK63" s="220" t="n"/>
      <c r="BL63" s="3" t="n">
        <v>18</v>
      </c>
    </row>
    <row r="64">
      <c r="A64" s="1" t="n">
        <v>19</v>
      </c>
      <c r="B64" s="220">
        <f>IF('MAESTRO 1°'!B23="","",'MAESTRO 1°'!B23)</f>
        <v/>
      </c>
      <c r="C64" s="214" t="n"/>
      <c r="D64" s="214" t="n"/>
      <c r="E64" s="214" t="n"/>
      <c r="F64" s="214" t="n"/>
      <c r="G64" s="214" t="n"/>
      <c r="H64" s="214" t="n"/>
      <c r="I64" s="214" t="n"/>
      <c r="J64" s="214" t="n"/>
      <c r="K64" s="214" t="n"/>
      <c r="L64" s="214" t="n"/>
      <c r="M64" s="214" t="n"/>
      <c r="N64" s="214" t="n"/>
      <c r="O64" s="214" t="n"/>
      <c r="P64" s="214" t="n"/>
      <c r="Q64" s="214" t="n"/>
      <c r="R64" s="214" t="n"/>
      <c r="S64" s="214" t="n"/>
      <c r="T64" s="214" t="n"/>
      <c r="U64" s="214" t="n"/>
      <c r="V64" s="214" t="n"/>
      <c r="W64" s="214" t="n"/>
      <c r="X64" s="214" t="n"/>
      <c r="Y64" s="214" t="n"/>
      <c r="Z64" s="214" t="n"/>
      <c r="AA64" s="214" t="n"/>
      <c r="AB64" s="214" t="n"/>
      <c r="AC64" s="214" t="n"/>
      <c r="AD64" s="214" t="n"/>
      <c r="AE64" s="214" t="n"/>
      <c r="AF64" s="214" t="n"/>
      <c r="AG64" s="214" t="n"/>
      <c r="AH64" s="214" t="n"/>
      <c r="AI64" s="214" t="n"/>
      <c r="AJ64" s="214" t="n"/>
      <c r="AK64" s="214" t="n"/>
      <c r="AL64" s="214" t="n"/>
      <c r="AM64" s="214" t="n"/>
      <c r="AN64" s="214" t="n"/>
      <c r="AO64" s="214" t="n"/>
      <c r="AP64" s="214" t="n"/>
      <c r="AQ64" s="214" t="n"/>
      <c r="AR64" s="214" t="n"/>
      <c r="AS64" s="214" t="n"/>
      <c r="AT64" s="214" t="n"/>
      <c r="AU64" s="214" t="n"/>
      <c r="AV64" s="214" t="n"/>
      <c r="AW64" s="214" t="n"/>
      <c r="AX64" s="214" t="n"/>
      <c r="AY64" s="214" t="n"/>
      <c r="AZ64" s="214" t="n"/>
      <c r="BA64" s="214" t="n"/>
      <c r="BB64" s="214" t="n"/>
      <c r="BC64" s="214" t="n"/>
      <c r="BD64" s="214" t="n"/>
      <c r="BE64" s="214" t="n"/>
      <c r="BF64" s="214" t="n"/>
      <c r="BG64" s="214" t="n"/>
      <c r="BH64" s="220" t="n"/>
      <c r="BI64" s="220">
        <f>IFERROR(COUNTIF(C64:BH64,"-"),"")</f>
        <v/>
      </c>
      <c r="BJ64" s="220">
        <f>IFERROR(COUNTIF(D64:BI64,"T"),"")</f>
        <v/>
      </c>
      <c r="BK64" s="220" t="n"/>
      <c r="BL64" s="3" t="n">
        <v>19</v>
      </c>
    </row>
    <row r="65">
      <c r="A65" s="1" t="n">
        <v>20</v>
      </c>
      <c r="B65" s="220">
        <f>IF('MAESTRO 1°'!B24="","",'MAESTRO 1°'!B24)</f>
        <v/>
      </c>
      <c r="C65" s="214" t="n"/>
      <c r="D65" s="214" t="n"/>
      <c r="E65" s="214" t="n"/>
      <c r="F65" s="214" t="n"/>
      <c r="G65" s="214" t="n"/>
      <c r="H65" s="214" t="n"/>
      <c r="I65" s="214" t="n"/>
      <c r="J65" s="214" t="n"/>
      <c r="K65" s="214" t="n"/>
      <c r="L65" s="214" t="n"/>
      <c r="M65" s="214" t="n"/>
      <c r="N65" s="214" t="n"/>
      <c r="O65" s="214" t="n"/>
      <c r="P65" s="214" t="n"/>
      <c r="Q65" s="214" t="n"/>
      <c r="R65" s="214" t="n"/>
      <c r="S65" s="214" t="n"/>
      <c r="T65" s="214" t="n"/>
      <c r="U65" s="214" t="n"/>
      <c r="V65" s="214" t="n"/>
      <c r="W65" s="214" t="n"/>
      <c r="X65" s="214" t="n"/>
      <c r="Y65" s="214" t="n"/>
      <c r="Z65" s="214" t="n"/>
      <c r="AA65" s="214" t="n"/>
      <c r="AB65" s="214" t="n"/>
      <c r="AC65" s="214" t="n"/>
      <c r="AD65" s="214" t="n"/>
      <c r="AE65" s="214" t="n"/>
      <c r="AF65" s="214" t="n"/>
      <c r="AG65" s="214" t="n"/>
      <c r="AH65" s="214" t="n"/>
      <c r="AI65" s="214" t="n"/>
      <c r="AJ65" s="214" t="n"/>
      <c r="AK65" s="214" t="n"/>
      <c r="AL65" s="214" t="n"/>
      <c r="AM65" s="214" t="n"/>
      <c r="AN65" s="214" t="n"/>
      <c r="AO65" s="214" t="n"/>
      <c r="AP65" s="214" t="n"/>
      <c r="AQ65" s="214" t="n"/>
      <c r="AR65" s="214" t="n"/>
      <c r="AS65" s="214" t="n"/>
      <c r="AT65" s="214" t="n"/>
      <c r="AU65" s="214" t="n"/>
      <c r="AV65" s="214" t="n"/>
      <c r="AW65" s="214" t="n"/>
      <c r="AX65" s="214" t="n"/>
      <c r="AY65" s="214" t="n"/>
      <c r="AZ65" s="214" t="n"/>
      <c r="BA65" s="214" t="n"/>
      <c r="BB65" s="214" t="n"/>
      <c r="BC65" s="214" t="n"/>
      <c r="BD65" s="214" t="n"/>
      <c r="BE65" s="214" t="n"/>
      <c r="BF65" s="214" t="n"/>
      <c r="BG65" s="214" t="n"/>
      <c r="BH65" s="220" t="n"/>
      <c r="BI65" s="220">
        <f>IFERROR(COUNTIF(C65:BH65,"-"),"")</f>
        <v/>
      </c>
      <c r="BJ65" s="220">
        <f>IFERROR(COUNTIF(D65:BI65,"T"),"")</f>
        <v/>
      </c>
      <c r="BK65" s="220" t="n"/>
      <c r="BL65" s="3" t="n">
        <v>20</v>
      </c>
    </row>
    <row r="66">
      <c r="A66" s="1" t="n">
        <v>21</v>
      </c>
      <c r="B66" s="220">
        <f>IF('MAESTRO 1°'!B25="","",'MAESTRO 1°'!B25)</f>
        <v/>
      </c>
      <c r="C66" s="214" t="n"/>
      <c r="D66" s="214" t="n"/>
      <c r="E66" s="214" t="n"/>
      <c r="F66" s="214" t="n"/>
      <c r="G66" s="214" t="n"/>
      <c r="H66" s="214" t="n"/>
      <c r="I66" s="214" t="n"/>
      <c r="J66" s="214" t="n"/>
      <c r="K66" s="214" t="n"/>
      <c r="L66" s="214" t="n"/>
      <c r="M66" s="214" t="n"/>
      <c r="N66" s="214" t="n"/>
      <c r="O66" s="214" t="n"/>
      <c r="P66" s="214" t="n"/>
      <c r="Q66" s="214" t="n"/>
      <c r="R66" s="214" t="n"/>
      <c r="S66" s="214" t="n"/>
      <c r="T66" s="214" t="n"/>
      <c r="U66" s="214" t="n"/>
      <c r="V66" s="214" t="n"/>
      <c r="W66" s="214" t="n"/>
      <c r="X66" s="214" t="n"/>
      <c r="Y66" s="214" t="n"/>
      <c r="Z66" s="214" t="n"/>
      <c r="AA66" s="214" t="n"/>
      <c r="AB66" s="214" t="n"/>
      <c r="AC66" s="214" t="n"/>
      <c r="AD66" s="214" t="n"/>
      <c r="AE66" s="214" t="n"/>
      <c r="AF66" s="214" t="n"/>
      <c r="AG66" s="214" t="n"/>
      <c r="AH66" s="214" t="n"/>
      <c r="AI66" s="214" t="n"/>
      <c r="AJ66" s="214" t="n"/>
      <c r="AK66" s="214" t="n"/>
      <c r="AL66" s="214" t="n"/>
      <c r="AM66" s="214" t="n"/>
      <c r="AN66" s="214" t="n"/>
      <c r="AO66" s="214" t="n"/>
      <c r="AP66" s="214" t="n"/>
      <c r="AQ66" s="214" t="n"/>
      <c r="AR66" s="214" t="n"/>
      <c r="AS66" s="214" t="n"/>
      <c r="AT66" s="214" t="n"/>
      <c r="AU66" s="214" t="n"/>
      <c r="AV66" s="214" t="n"/>
      <c r="AW66" s="214" t="n"/>
      <c r="AX66" s="214" t="n"/>
      <c r="AY66" s="214" t="n"/>
      <c r="AZ66" s="214" t="n"/>
      <c r="BA66" s="214" t="n"/>
      <c r="BB66" s="214" t="n"/>
      <c r="BC66" s="214" t="n"/>
      <c r="BD66" s="214" t="n"/>
      <c r="BE66" s="214" t="n"/>
      <c r="BF66" s="214" t="n"/>
      <c r="BG66" s="214" t="n"/>
      <c r="BH66" s="220" t="n"/>
      <c r="BI66" s="220">
        <f>IFERROR(COUNTIF(C66:BH66,"-"),"")</f>
        <v/>
      </c>
      <c r="BJ66" s="220">
        <f>IFERROR(COUNTIF(D66:BI66,"T"),"")</f>
        <v/>
      </c>
      <c r="BK66" s="220" t="n"/>
      <c r="BL66" s="3" t="n">
        <v>21</v>
      </c>
    </row>
    <row r="67">
      <c r="A67" s="1" t="n">
        <v>22</v>
      </c>
      <c r="B67" s="220">
        <f>IF('MAESTRO 1°'!B26="","",'MAESTRO 1°'!B26)</f>
        <v/>
      </c>
      <c r="C67" s="214" t="n"/>
      <c r="D67" s="214" t="n"/>
      <c r="E67" s="214" t="n"/>
      <c r="F67" s="214" t="n"/>
      <c r="G67" s="214" t="n"/>
      <c r="H67" s="214" t="n"/>
      <c r="I67" s="214" t="n"/>
      <c r="J67" s="214" t="n"/>
      <c r="K67" s="214" t="n"/>
      <c r="L67" s="214" t="n"/>
      <c r="M67" s="214" t="n"/>
      <c r="N67" s="214" t="n"/>
      <c r="O67" s="214" t="n"/>
      <c r="P67" s="214" t="n"/>
      <c r="Q67" s="214" t="n"/>
      <c r="R67" s="214" t="n"/>
      <c r="S67" s="214" t="n"/>
      <c r="T67" s="214" t="n"/>
      <c r="U67" s="214" t="n"/>
      <c r="V67" s="214" t="n"/>
      <c r="W67" s="214" t="n"/>
      <c r="X67" s="214" t="n"/>
      <c r="Y67" s="214" t="n"/>
      <c r="Z67" s="214" t="n"/>
      <c r="AA67" s="214" t="n"/>
      <c r="AB67" s="214" t="n"/>
      <c r="AC67" s="214" t="n"/>
      <c r="AD67" s="214" t="n"/>
      <c r="AE67" s="214" t="n"/>
      <c r="AF67" s="214" t="n"/>
      <c r="AG67" s="214" t="n"/>
      <c r="AH67" s="214" t="n"/>
      <c r="AI67" s="214" t="n"/>
      <c r="AJ67" s="214" t="n"/>
      <c r="AK67" s="214" t="n"/>
      <c r="AL67" s="214" t="n"/>
      <c r="AM67" s="214" t="n"/>
      <c r="AN67" s="214" t="n"/>
      <c r="AO67" s="214" t="n"/>
      <c r="AP67" s="214" t="n"/>
      <c r="AQ67" s="214" t="n"/>
      <c r="AR67" s="214" t="n"/>
      <c r="AS67" s="214" t="n"/>
      <c r="AT67" s="214" t="n"/>
      <c r="AU67" s="214" t="n"/>
      <c r="AV67" s="214" t="n"/>
      <c r="AW67" s="214" t="n"/>
      <c r="AX67" s="214" t="n"/>
      <c r="AY67" s="214" t="n"/>
      <c r="AZ67" s="214" t="n"/>
      <c r="BA67" s="214" t="n"/>
      <c r="BB67" s="214" t="n"/>
      <c r="BC67" s="214" t="n"/>
      <c r="BD67" s="214" t="n"/>
      <c r="BE67" s="214" t="n"/>
      <c r="BF67" s="214" t="n"/>
      <c r="BG67" s="214" t="n"/>
      <c r="BH67" s="220" t="n"/>
      <c r="BI67" s="220">
        <f>IFERROR(COUNTIF(C67:BH67,"-"),"")</f>
        <v/>
      </c>
      <c r="BJ67" s="220">
        <f>IFERROR(COUNTIF(D67:BI67,"T"),"")</f>
        <v/>
      </c>
      <c r="BK67" s="220" t="n"/>
      <c r="BL67" s="3" t="n">
        <v>22</v>
      </c>
    </row>
    <row r="68">
      <c r="A68" s="1" t="n">
        <v>23</v>
      </c>
      <c r="B68" s="220">
        <f>IF('MAESTRO 1°'!B27="","",'MAESTRO 1°'!B27)</f>
        <v/>
      </c>
      <c r="C68" s="214" t="n"/>
      <c r="D68" s="214" t="n"/>
      <c r="E68" s="214" t="n"/>
      <c r="F68" s="214" t="n"/>
      <c r="G68" s="214" t="n"/>
      <c r="H68" s="214" t="n"/>
      <c r="I68" s="214" t="n"/>
      <c r="J68" s="214" t="n"/>
      <c r="K68" s="214" t="n"/>
      <c r="L68" s="214" t="n"/>
      <c r="M68" s="214" t="n"/>
      <c r="N68" s="214" t="n"/>
      <c r="O68" s="214" t="n"/>
      <c r="P68" s="214" t="n"/>
      <c r="Q68" s="214" t="n"/>
      <c r="R68" s="214" t="n"/>
      <c r="S68" s="214" t="n"/>
      <c r="T68" s="214" t="n"/>
      <c r="U68" s="214" t="n"/>
      <c r="V68" s="214" t="n"/>
      <c r="W68" s="214" t="n"/>
      <c r="X68" s="214" t="n"/>
      <c r="Y68" s="214" t="n"/>
      <c r="Z68" s="214" t="n"/>
      <c r="AA68" s="214" t="n"/>
      <c r="AB68" s="214" t="n"/>
      <c r="AC68" s="214" t="n"/>
      <c r="AD68" s="214" t="n"/>
      <c r="AE68" s="214" t="n"/>
      <c r="AF68" s="214" t="n"/>
      <c r="AG68" s="214" t="n"/>
      <c r="AH68" s="214" t="n"/>
      <c r="AI68" s="214" t="n"/>
      <c r="AJ68" s="214" t="n"/>
      <c r="AK68" s="214" t="n"/>
      <c r="AL68" s="214" t="n"/>
      <c r="AM68" s="214" t="n"/>
      <c r="AN68" s="214" t="n"/>
      <c r="AO68" s="214" t="n"/>
      <c r="AP68" s="214" t="n"/>
      <c r="AQ68" s="214" t="n"/>
      <c r="AR68" s="214" t="n"/>
      <c r="AS68" s="214" t="n"/>
      <c r="AT68" s="214" t="n"/>
      <c r="AU68" s="214" t="n"/>
      <c r="AV68" s="214" t="n"/>
      <c r="AW68" s="214" t="n"/>
      <c r="AX68" s="214" t="n"/>
      <c r="AY68" s="214" t="n"/>
      <c r="AZ68" s="214" t="n"/>
      <c r="BA68" s="214" t="n"/>
      <c r="BB68" s="214" t="n"/>
      <c r="BC68" s="214" t="n"/>
      <c r="BD68" s="214" t="n"/>
      <c r="BE68" s="214" t="n"/>
      <c r="BF68" s="214" t="n"/>
      <c r="BG68" s="214" t="n"/>
      <c r="BH68" s="220" t="n"/>
      <c r="BI68" s="220">
        <f>IFERROR(COUNTIF(C68:BH68,"-"),"")</f>
        <v/>
      </c>
      <c r="BJ68" s="220">
        <f>IFERROR(COUNTIF(D68:BI68,"T"),"")</f>
        <v/>
      </c>
      <c r="BK68" s="220" t="n"/>
      <c r="BL68" s="3" t="n">
        <v>23</v>
      </c>
    </row>
    <row r="69">
      <c r="A69" s="1" t="n">
        <v>24</v>
      </c>
      <c r="B69" s="220">
        <f>IF('MAESTRO 1°'!B28="","",'MAESTRO 1°'!B28)</f>
        <v/>
      </c>
      <c r="C69" s="214" t="n"/>
      <c r="D69" s="214" t="n"/>
      <c r="E69" s="214" t="n"/>
      <c r="F69" s="214" t="n"/>
      <c r="G69" s="214" t="n"/>
      <c r="H69" s="214" t="n"/>
      <c r="I69" s="214" t="n"/>
      <c r="J69" s="214" t="n"/>
      <c r="K69" s="214" t="n"/>
      <c r="L69" s="214" t="n"/>
      <c r="M69" s="214" t="n"/>
      <c r="N69" s="214" t="n"/>
      <c r="O69" s="214" t="n"/>
      <c r="P69" s="214" t="n"/>
      <c r="Q69" s="214" t="n"/>
      <c r="R69" s="214" t="n"/>
      <c r="S69" s="214" t="n"/>
      <c r="T69" s="214" t="n"/>
      <c r="U69" s="214" t="n"/>
      <c r="V69" s="214" t="n"/>
      <c r="W69" s="214" t="n"/>
      <c r="X69" s="214" t="n"/>
      <c r="Y69" s="214" t="n"/>
      <c r="Z69" s="214" t="n"/>
      <c r="AA69" s="214" t="n"/>
      <c r="AB69" s="214" t="n"/>
      <c r="AC69" s="214" t="n"/>
      <c r="AD69" s="214" t="n"/>
      <c r="AE69" s="214" t="n"/>
      <c r="AF69" s="214" t="n"/>
      <c r="AG69" s="214" t="n"/>
      <c r="AH69" s="214" t="n"/>
      <c r="AI69" s="214" t="n"/>
      <c r="AJ69" s="214" t="n"/>
      <c r="AK69" s="214" t="n"/>
      <c r="AL69" s="214" t="n"/>
      <c r="AM69" s="214" t="n"/>
      <c r="AN69" s="214" t="n"/>
      <c r="AO69" s="214" t="n"/>
      <c r="AP69" s="214" t="n"/>
      <c r="AQ69" s="214" t="n"/>
      <c r="AR69" s="214" t="n"/>
      <c r="AS69" s="214" t="n"/>
      <c r="AT69" s="214" t="n"/>
      <c r="AU69" s="214" t="n"/>
      <c r="AV69" s="214" t="n"/>
      <c r="AW69" s="214" t="n"/>
      <c r="AX69" s="214" t="n"/>
      <c r="AY69" s="214" t="n"/>
      <c r="AZ69" s="214" t="n"/>
      <c r="BA69" s="214" t="n"/>
      <c r="BB69" s="214" t="n"/>
      <c r="BC69" s="214" t="n"/>
      <c r="BD69" s="214" t="n"/>
      <c r="BE69" s="214" t="n"/>
      <c r="BF69" s="214" t="n"/>
      <c r="BG69" s="214" t="n"/>
      <c r="BH69" s="220" t="n"/>
      <c r="BI69" s="220">
        <f>IFERROR(COUNTIF(C69:BH69,"-"),"")</f>
        <v/>
      </c>
      <c r="BJ69" s="220">
        <f>IFERROR(COUNTIF(D69:BI69,"T"),"")</f>
        <v/>
      </c>
      <c r="BK69" s="220" t="n"/>
      <c r="BL69" s="3" t="n">
        <v>24</v>
      </c>
    </row>
    <row r="70">
      <c r="A70" s="1" t="n">
        <v>25</v>
      </c>
      <c r="B70" s="220">
        <f>IF('MAESTRO 1°'!B29="","",'MAESTRO 1°'!B29)</f>
        <v/>
      </c>
      <c r="C70" s="214" t="n"/>
      <c r="D70" s="214" t="n"/>
      <c r="E70" s="214" t="n"/>
      <c r="F70" s="214" t="n"/>
      <c r="G70" s="214" t="n"/>
      <c r="H70" s="214" t="n"/>
      <c r="I70" s="214" t="n"/>
      <c r="J70" s="214" t="n"/>
      <c r="K70" s="214" t="n"/>
      <c r="L70" s="214" t="n"/>
      <c r="M70" s="214" t="n"/>
      <c r="N70" s="214" t="n"/>
      <c r="O70" s="214" t="n"/>
      <c r="P70" s="214" t="n"/>
      <c r="Q70" s="214" t="n"/>
      <c r="R70" s="214" t="n"/>
      <c r="S70" s="214" t="n"/>
      <c r="T70" s="214" t="n"/>
      <c r="U70" s="214" t="n"/>
      <c r="V70" s="214" t="n"/>
      <c r="W70" s="214" t="n"/>
      <c r="X70" s="214" t="n"/>
      <c r="Y70" s="214" t="n"/>
      <c r="Z70" s="214" t="n"/>
      <c r="AA70" s="214" t="n"/>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14" t="n"/>
      <c r="AU70" s="214" t="n"/>
      <c r="AV70" s="214" t="n"/>
      <c r="AW70" s="214" t="n"/>
      <c r="AX70" s="214" t="n"/>
      <c r="AY70" s="214" t="n"/>
      <c r="AZ70" s="214" t="n"/>
      <c r="BA70" s="214" t="n"/>
      <c r="BB70" s="214" t="n"/>
      <c r="BC70" s="214" t="n"/>
      <c r="BD70" s="214" t="n"/>
      <c r="BE70" s="214" t="n"/>
      <c r="BF70" s="214" t="n"/>
      <c r="BG70" s="214" t="n"/>
      <c r="BH70" s="220" t="n"/>
      <c r="BI70" s="220">
        <f>IFERROR(COUNTIF(C70:BH70,"-"),"")</f>
        <v/>
      </c>
      <c r="BJ70" s="220">
        <f>IFERROR(COUNTIF(D70:BI70,"T"),"")</f>
        <v/>
      </c>
      <c r="BK70" s="220" t="n"/>
      <c r="BL70" s="3" t="n">
        <v>25</v>
      </c>
    </row>
    <row r="71">
      <c r="A71" s="1" t="n">
        <v>26</v>
      </c>
      <c r="B71" s="220">
        <f>IF('MAESTRO 1°'!B30="","",'MAESTRO 1°'!B30)</f>
        <v/>
      </c>
      <c r="C71" s="214" t="n"/>
      <c r="D71" s="214" t="n"/>
      <c r="E71" s="214" t="n"/>
      <c r="F71" s="214" t="n"/>
      <c r="G71" s="214" t="n"/>
      <c r="H71" s="214" t="n"/>
      <c r="I71" s="214" t="n"/>
      <c r="J71" s="214" t="n"/>
      <c r="K71" s="214" t="n"/>
      <c r="L71" s="214" t="n"/>
      <c r="M71" s="214" t="n"/>
      <c r="N71" s="214" t="n"/>
      <c r="O71" s="214" t="n"/>
      <c r="P71" s="214" t="n"/>
      <c r="Q71" s="214" t="n"/>
      <c r="R71" s="214" t="n"/>
      <c r="S71" s="214" t="n"/>
      <c r="T71" s="214" t="n"/>
      <c r="U71" s="214" t="n"/>
      <c r="V71" s="214" t="n"/>
      <c r="W71" s="214" t="n"/>
      <c r="X71" s="214" t="n"/>
      <c r="Y71" s="214" t="n"/>
      <c r="Z71" s="214" t="n"/>
      <c r="AA71" s="214" t="n"/>
      <c r="AB71" s="214" t="n"/>
      <c r="AC71" s="214" t="n"/>
      <c r="AD71" s="214" t="n"/>
      <c r="AE71" s="214" t="n"/>
      <c r="AF71" s="214" t="n"/>
      <c r="AG71" s="214" t="n"/>
      <c r="AH71" s="214" t="n"/>
      <c r="AI71" s="214" t="n"/>
      <c r="AJ71" s="214" t="n"/>
      <c r="AK71" s="214" t="n"/>
      <c r="AL71" s="214" t="n"/>
      <c r="AM71" s="214" t="n"/>
      <c r="AN71" s="214" t="n"/>
      <c r="AO71" s="214" t="n"/>
      <c r="AP71" s="214" t="n"/>
      <c r="AQ71" s="214" t="n"/>
      <c r="AR71" s="214" t="n"/>
      <c r="AS71" s="214" t="n"/>
      <c r="AT71" s="214" t="n"/>
      <c r="AU71" s="214" t="n"/>
      <c r="AV71" s="214" t="n"/>
      <c r="AW71" s="214" t="n"/>
      <c r="AX71" s="214" t="n"/>
      <c r="AY71" s="214" t="n"/>
      <c r="AZ71" s="214" t="n"/>
      <c r="BA71" s="214" t="n"/>
      <c r="BB71" s="214" t="n"/>
      <c r="BC71" s="214" t="n"/>
      <c r="BD71" s="214" t="n"/>
      <c r="BE71" s="214" t="n"/>
      <c r="BF71" s="214" t="n"/>
      <c r="BG71" s="214" t="n"/>
      <c r="BH71" s="220" t="n"/>
      <c r="BI71" s="220">
        <f>IFERROR(COUNTIF(C71:BH71,"-"),"")</f>
        <v/>
      </c>
      <c r="BJ71" s="220">
        <f>IFERROR(COUNTIF(D71:BI71,"T"),"")</f>
        <v/>
      </c>
      <c r="BK71" s="220" t="n"/>
      <c r="BL71" s="3" t="n">
        <v>26</v>
      </c>
    </row>
    <row r="72">
      <c r="A72" s="1" t="n">
        <v>27</v>
      </c>
      <c r="B72" s="220">
        <f>IF('MAESTRO 1°'!B31="","",'MAESTRO 1°'!B31)</f>
        <v/>
      </c>
      <c r="C72" s="214" t="n"/>
      <c r="D72" s="214" t="n"/>
      <c r="E72" s="214" t="n"/>
      <c r="F72" s="214" t="n"/>
      <c r="G72" s="214" t="n"/>
      <c r="H72" s="214" t="n"/>
      <c r="I72" s="214" t="n"/>
      <c r="J72" s="214" t="n"/>
      <c r="K72" s="214" t="n"/>
      <c r="L72" s="214" t="n"/>
      <c r="M72" s="214" t="n"/>
      <c r="N72" s="214" t="n"/>
      <c r="O72" s="214" t="n"/>
      <c r="P72" s="214" t="n"/>
      <c r="Q72" s="214" t="n"/>
      <c r="R72" s="214" t="n"/>
      <c r="S72" s="214" t="n"/>
      <c r="T72" s="214" t="n"/>
      <c r="U72" s="214" t="n"/>
      <c r="V72" s="214" t="n"/>
      <c r="W72" s="214" t="n"/>
      <c r="X72" s="214" t="n"/>
      <c r="Y72" s="214" t="n"/>
      <c r="Z72" s="214" t="n"/>
      <c r="AA72" s="214" t="n"/>
      <c r="AB72" s="214" t="n"/>
      <c r="AC72" s="214" t="n"/>
      <c r="AD72" s="214" t="n"/>
      <c r="AE72" s="214" t="n"/>
      <c r="AF72" s="214" t="n"/>
      <c r="AG72" s="214" t="n"/>
      <c r="AH72" s="214" t="n"/>
      <c r="AI72" s="214" t="n"/>
      <c r="AJ72" s="214" t="n"/>
      <c r="AK72" s="214" t="n"/>
      <c r="AL72" s="214" t="n"/>
      <c r="AM72" s="214" t="n"/>
      <c r="AN72" s="214" t="n"/>
      <c r="AO72" s="214" t="n"/>
      <c r="AP72" s="214" t="n"/>
      <c r="AQ72" s="214" t="n"/>
      <c r="AR72" s="214" t="n"/>
      <c r="AS72" s="214" t="n"/>
      <c r="AT72" s="214" t="n"/>
      <c r="AU72" s="214" t="n"/>
      <c r="AV72" s="214" t="n"/>
      <c r="AW72" s="214" t="n"/>
      <c r="AX72" s="214" t="n"/>
      <c r="AY72" s="214" t="n"/>
      <c r="AZ72" s="214" t="n"/>
      <c r="BA72" s="214" t="n"/>
      <c r="BB72" s="214" t="n"/>
      <c r="BC72" s="214" t="n"/>
      <c r="BD72" s="214" t="n"/>
      <c r="BE72" s="214" t="n"/>
      <c r="BF72" s="214" t="n"/>
      <c r="BG72" s="214" t="n"/>
      <c r="BH72" s="220" t="n"/>
      <c r="BI72" s="220">
        <f>IFERROR(COUNTIF(C72:BH72,"-"),"")</f>
        <v/>
      </c>
      <c r="BJ72" s="220">
        <f>IFERROR(COUNTIF(D72:BI72,"T"),"")</f>
        <v/>
      </c>
      <c r="BK72" s="220" t="n"/>
      <c r="BL72" s="3" t="n">
        <v>27</v>
      </c>
    </row>
    <row r="73">
      <c r="A73" s="1" t="n">
        <v>28</v>
      </c>
      <c r="B73" s="220">
        <f>IF('MAESTRO 1°'!B32="","",'MAESTRO 1°'!B32)</f>
        <v/>
      </c>
      <c r="C73" s="214" t="n"/>
      <c r="D73" s="214" t="n"/>
      <c r="E73" s="214" t="n"/>
      <c r="F73" s="214" t="n"/>
      <c r="G73" s="214" t="n"/>
      <c r="H73" s="214" t="n"/>
      <c r="I73" s="214" t="n"/>
      <c r="J73" s="214" t="n"/>
      <c r="K73" s="214" t="n"/>
      <c r="L73" s="214" t="n"/>
      <c r="M73" s="214" t="n"/>
      <c r="N73" s="214" t="n"/>
      <c r="O73" s="214" t="n"/>
      <c r="P73" s="214" t="n"/>
      <c r="Q73" s="214" t="n"/>
      <c r="R73" s="214" t="n"/>
      <c r="S73" s="214" t="n"/>
      <c r="T73" s="214" t="n"/>
      <c r="U73" s="214" t="n"/>
      <c r="V73" s="214" t="n"/>
      <c r="W73" s="214" t="n"/>
      <c r="X73" s="214" t="n"/>
      <c r="Y73" s="214" t="n"/>
      <c r="Z73" s="214" t="n"/>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c r="AX73" s="214" t="n"/>
      <c r="AY73" s="214" t="n"/>
      <c r="AZ73" s="214" t="n"/>
      <c r="BA73" s="214" t="n"/>
      <c r="BB73" s="214" t="n"/>
      <c r="BC73" s="214" t="n"/>
      <c r="BD73" s="214" t="n"/>
      <c r="BE73" s="214" t="n"/>
      <c r="BF73" s="214" t="n"/>
      <c r="BG73" s="214" t="n"/>
      <c r="BH73" s="220" t="n"/>
      <c r="BI73" s="220">
        <f>IFERROR(COUNTIF(C73:BH73,"-"),"")</f>
        <v/>
      </c>
      <c r="BJ73" s="220">
        <f>IFERROR(COUNTIF(D73:BI73,"T"),"")</f>
        <v/>
      </c>
      <c r="BK73" s="220" t="n"/>
      <c r="BL73" s="3" t="n">
        <v>28</v>
      </c>
    </row>
    <row r="74">
      <c r="A74" s="1" t="n">
        <v>29</v>
      </c>
      <c r="B74" s="220">
        <f>IF('MAESTRO 1°'!B33="","",'MAESTRO 1°'!B33)</f>
        <v/>
      </c>
      <c r="C74" s="214" t="n"/>
      <c r="D74" s="214" t="n"/>
      <c r="E74" s="214" t="n"/>
      <c r="F74" s="214" t="n"/>
      <c r="G74" s="214" t="n"/>
      <c r="H74" s="214" t="n"/>
      <c r="I74" s="214" t="n"/>
      <c r="J74" s="214" t="n"/>
      <c r="K74" s="214" t="n"/>
      <c r="L74" s="214" t="n"/>
      <c r="M74" s="214" t="n"/>
      <c r="N74" s="214" t="n"/>
      <c r="O74" s="214" t="n"/>
      <c r="P74" s="214" t="n"/>
      <c r="Q74" s="214" t="n"/>
      <c r="R74" s="214" t="n"/>
      <c r="S74" s="214" t="n"/>
      <c r="T74" s="214" t="n"/>
      <c r="U74" s="214" t="n"/>
      <c r="V74" s="214" t="n"/>
      <c r="W74" s="214" t="n"/>
      <c r="X74" s="214" t="n"/>
      <c r="Y74" s="214" t="n"/>
      <c r="Z74" s="214" t="n"/>
      <c r="AA74" s="214" t="n"/>
      <c r="AB74" s="214" t="n"/>
      <c r="AC74" s="214" t="n"/>
      <c r="AD74" s="214" t="n"/>
      <c r="AE74" s="214" t="n"/>
      <c r="AF74" s="214" t="n"/>
      <c r="AG74" s="214" t="n"/>
      <c r="AH74" s="214" t="n"/>
      <c r="AI74" s="214" t="n"/>
      <c r="AJ74" s="214" t="n"/>
      <c r="AK74" s="214" t="n"/>
      <c r="AL74" s="214" t="n"/>
      <c r="AM74" s="214" t="n"/>
      <c r="AN74" s="214" t="n"/>
      <c r="AO74" s="214" t="n"/>
      <c r="AP74" s="214" t="n"/>
      <c r="AQ74" s="214" t="n"/>
      <c r="AR74" s="214" t="n"/>
      <c r="AS74" s="214" t="n"/>
      <c r="AT74" s="214" t="n"/>
      <c r="AU74" s="214" t="n"/>
      <c r="AV74" s="214" t="n"/>
      <c r="AW74" s="214" t="n"/>
      <c r="AX74" s="214" t="n"/>
      <c r="AY74" s="214" t="n"/>
      <c r="AZ74" s="214" t="n"/>
      <c r="BA74" s="214" t="n"/>
      <c r="BB74" s="214" t="n"/>
      <c r="BC74" s="214" t="n"/>
      <c r="BD74" s="214" t="n"/>
      <c r="BE74" s="214" t="n"/>
      <c r="BF74" s="214" t="n"/>
      <c r="BG74" s="214" t="n"/>
      <c r="BH74" s="220" t="n"/>
      <c r="BI74" s="220">
        <f>IFERROR(COUNTIF(C74:BH74,"-"),"")</f>
        <v/>
      </c>
      <c r="BJ74" s="220">
        <f>IFERROR(COUNTIF(D74:BI74,"T"),"")</f>
        <v/>
      </c>
      <c r="BK74" s="220" t="n"/>
      <c r="BL74" s="3" t="n">
        <v>29</v>
      </c>
    </row>
    <row r="75">
      <c r="A75" s="1" t="n">
        <v>30</v>
      </c>
      <c r="B75" s="220">
        <f>IF('MAESTRO 1°'!B34="","",'MAESTRO 1°'!B34)</f>
        <v/>
      </c>
      <c r="C75" s="214" t="n"/>
      <c r="D75" s="214" t="n"/>
      <c r="E75" s="214" t="n"/>
      <c r="F75" s="214" t="n"/>
      <c r="G75" s="214" t="n"/>
      <c r="H75" s="214" t="n"/>
      <c r="I75" s="214" t="n"/>
      <c r="J75" s="214" t="n"/>
      <c r="K75" s="214" t="n"/>
      <c r="L75" s="214" t="n"/>
      <c r="M75" s="214" t="n"/>
      <c r="N75" s="214" t="n"/>
      <c r="O75" s="214" t="n"/>
      <c r="P75" s="214" t="n"/>
      <c r="Q75" s="214" t="n"/>
      <c r="R75" s="214" t="n"/>
      <c r="S75" s="214" t="n"/>
      <c r="T75" s="214" t="n"/>
      <c r="U75" s="214" t="n"/>
      <c r="V75" s="214" t="n"/>
      <c r="W75" s="214" t="n"/>
      <c r="X75" s="214" t="n"/>
      <c r="Y75" s="214" t="n"/>
      <c r="Z75" s="214" t="n"/>
      <c r="AA75" s="214" t="n"/>
      <c r="AB75" s="214" t="n"/>
      <c r="AC75" s="214" t="n"/>
      <c r="AD75" s="214" t="n"/>
      <c r="AE75" s="214" t="n"/>
      <c r="AF75" s="214" t="n"/>
      <c r="AG75" s="214" t="n"/>
      <c r="AH75" s="214" t="n"/>
      <c r="AI75" s="214" t="n"/>
      <c r="AJ75" s="214" t="n"/>
      <c r="AK75" s="214" t="n"/>
      <c r="AL75" s="214" t="n"/>
      <c r="AM75" s="214" t="n"/>
      <c r="AN75" s="214" t="n"/>
      <c r="AO75" s="214" t="n"/>
      <c r="AP75" s="214" t="n"/>
      <c r="AQ75" s="214" t="n"/>
      <c r="AR75" s="214" t="n"/>
      <c r="AS75" s="214" t="n"/>
      <c r="AT75" s="214" t="n"/>
      <c r="AU75" s="214" t="n"/>
      <c r="AV75" s="214" t="n"/>
      <c r="AW75" s="214" t="n"/>
      <c r="AX75" s="214" t="n"/>
      <c r="AY75" s="214" t="n"/>
      <c r="AZ75" s="214" t="n"/>
      <c r="BA75" s="214" t="n"/>
      <c r="BB75" s="214" t="n"/>
      <c r="BC75" s="214" t="n"/>
      <c r="BD75" s="214" t="n"/>
      <c r="BE75" s="214" t="n"/>
      <c r="BF75" s="214" t="n"/>
      <c r="BG75" s="214" t="n"/>
      <c r="BH75" s="220" t="n"/>
      <c r="BI75" s="220">
        <f>IFERROR(COUNTIF(C75:BH75,"-"),"")</f>
        <v/>
      </c>
      <c r="BJ75" s="220">
        <f>IFERROR(COUNTIF(D75:BI75,"T"),"")</f>
        <v/>
      </c>
      <c r="BK75" s="220" t="n"/>
      <c r="BL75" s="3" t="n">
        <v>30</v>
      </c>
    </row>
    <row r="76">
      <c r="A76" s="1" t="n">
        <v>31</v>
      </c>
      <c r="B76" s="220">
        <f>IF('MAESTRO 1°'!B35="","",'MAESTRO 1°'!B35)</f>
        <v/>
      </c>
      <c r="C76" s="214" t="n"/>
      <c r="D76" s="214" t="n"/>
      <c r="E76" s="214" t="n"/>
      <c r="F76" s="214" t="n"/>
      <c r="G76" s="214" t="n"/>
      <c r="H76" s="214" t="n"/>
      <c r="I76" s="214" t="n"/>
      <c r="J76" s="214" t="n"/>
      <c r="K76" s="214" t="n"/>
      <c r="L76" s="214" t="n"/>
      <c r="M76" s="214" t="n"/>
      <c r="N76" s="214" t="n"/>
      <c r="O76" s="214" t="n"/>
      <c r="P76" s="214" t="n"/>
      <c r="Q76" s="214" t="n"/>
      <c r="R76" s="214" t="n"/>
      <c r="S76" s="214" t="n"/>
      <c r="T76" s="214" t="n"/>
      <c r="U76" s="214" t="n"/>
      <c r="V76" s="214" t="n"/>
      <c r="W76" s="214" t="n"/>
      <c r="X76" s="214" t="n"/>
      <c r="Y76" s="214" t="n"/>
      <c r="Z76" s="214" t="n"/>
      <c r="AA76" s="214" t="n"/>
      <c r="AB76" s="214" t="n"/>
      <c r="AC76" s="214" t="n"/>
      <c r="AD76" s="214" t="n"/>
      <c r="AE76" s="214" t="n"/>
      <c r="AF76" s="214" t="n"/>
      <c r="AG76" s="214" t="n"/>
      <c r="AH76" s="214" t="n"/>
      <c r="AI76" s="214" t="n"/>
      <c r="AJ76" s="214" t="n"/>
      <c r="AK76" s="214" t="n"/>
      <c r="AL76" s="214" t="n"/>
      <c r="AM76" s="214" t="n"/>
      <c r="AN76" s="214" t="n"/>
      <c r="AO76" s="214" t="n"/>
      <c r="AP76" s="214" t="n"/>
      <c r="AQ76" s="214" t="n"/>
      <c r="AR76" s="214" t="n"/>
      <c r="AS76" s="214" t="n"/>
      <c r="AT76" s="214" t="n"/>
      <c r="AU76" s="214" t="n"/>
      <c r="AV76" s="214" t="n"/>
      <c r="AW76" s="214" t="n"/>
      <c r="AX76" s="214" t="n"/>
      <c r="AY76" s="214" t="n"/>
      <c r="AZ76" s="214" t="n"/>
      <c r="BA76" s="214" t="n"/>
      <c r="BB76" s="214" t="n"/>
      <c r="BC76" s="214" t="n"/>
      <c r="BD76" s="214" t="n"/>
      <c r="BE76" s="214" t="n"/>
      <c r="BF76" s="214" t="n"/>
      <c r="BG76" s="214" t="n"/>
      <c r="BH76" s="220" t="n"/>
      <c r="BI76" s="220">
        <f>IFERROR(COUNTIF(C76:BH76,"-"),"")</f>
        <v/>
      </c>
      <c r="BJ76" s="220">
        <f>IFERROR(COUNTIF(D76:BI76,"T"),"")</f>
        <v/>
      </c>
      <c r="BK76" s="220" t="n"/>
      <c r="BL76" s="3" t="n">
        <v>31</v>
      </c>
    </row>
    <row r="77">
      <c r="A77" s="1" t="n">
        <v>32</v>
      </c>
      <c r="B77" s="220">
        <f>IF('MAESTRO 1°'!B36="","",'MAESTRO 1°'!B36)</f>
        <v/>
      </c>
      <c r="C77" s="214" t="n"/>
      <c r="D77" s="214" t="n"/>
      <c r="E77" s="214" t="n"/>
      <c r="F77" s="214" t="n"/>
      <c r="G77" s="214" t="n"/>
      <c r="H77" s="214" t="n"/>
      <c r="I77" s="214" t="n"/>
      <c r="J77" s="214" t="n"/>
      <c r="K77" s="214" t="n"/>
      <c r="L77" s="214" t="n"/>
      <c r="M77" s="214" t="n"/>
      <c r="N77" s="214" t="n"/>
      <c r="O77" s="214" t="n"/>
      <c r="P77" s="214" t="n"/>
      <c r="Q77" s="214" t="n"/>
      <c r="R77" s="214" t="n"/>
      <c r="S77" s="214" t="n"/>
      <c r="T77" s="214" t="n"/>
      <c r="U77" s="214" t="n"/>
      <c r="V77" s="214" t="n"/>
      <c r="W77" s="214" t="n"/>
      <c r="X77" s="214" t="n"/>
      <c r="Y77" s="214" t="n"/>
      <c r="Z77" s="214" t="n"/>
      <c r="AA77" s="214" t="n"/>
      <c r="AB77" s="214" t="n"/>
      <c r="AC77" s="214" t="n"/>
      <c r="AD77" s="214" t="n"/>
      <c r="AE77" s="214" t="n"/>
      <c r="AF77" s="214" t="n"/>
      <c r="AG77" s="214" t="n"/>
      <c r="AH77" s="214" t="n"/>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c r="BB77" s="214" t="n"/>
      <c r="BC77" s="214" t="n"/>
      <c r="BD77" s="214" t="n"/>
      <c r="BE77" s="214" t="n"/>
      <c r="BF77" s="214" t="n"/>
      <c r="BG77" s="214" t="n"/>
      <c r="BH77" s="220" t="n"/>
      <c r="BI77" s="220">
        <f>IFERROR(COUNTIF(C77:BH77,"-"),"")</f>
        <v/>
      </c>
      <c r="BJ77" s="220">
        <f>IFERROR(COUNTIF(D77:BI77,"T"),"")</f>
        <v/>
      </c>
      <c r="BK77" s="220" t="n"/>
      <c r="BL77" s="3" t="n">
        <v>32</v>
      </c>
    </row>
    <row r="78">
      <c r="A78" s="1" t="n">
        <v>33</v>
      </c>
      <c r="B78" s="220">
        <f>IF('MAESTRO 1°'!B37="","",'MAESTRO 1°'!B37)</f>
        <v/>
      </c>
      <c r="C78" s="214" t="n"/>
      <c r="D78" s="214" t="n"/>
      <c r="E78" s="214" t="n"/>
      <c r="F78" s="214" t="n"/>
      <c r="G78" s="214" t="n"/>
      <c r="H78" s="214" t="n"/>
      <c r="I78" s="214" t="n"/>
      <c r="J78" s="214" t="n"/>
      <c r="K78" s="214" t="n"/>
      <c r="L78" s="214" t="n"/>
      <c r="M78" s="214" t="n"/>
      <c r="N78" s="214" t="n"/>
      <c r="O78" s="214" t="n"/>
      <c r="P78" s="214" t="n"/>
      <c r="Q78" s="214" t="n"/>
      <c r="R78" s="214" t="n"/>
      <c r="S78" s="214" t="n"/>
      <c r="T78" s="214" t="n"/>
      <c r="U78" s="214" t="n"/>
      <c r="V78" s="214" t="n"/>
      <c r="W78" s="214" t="n"/>
      <c r="X78" s="214" t="n"/>
      <c r="Y78" s="214" t="n"/>
      <c r="Z78" s="214" t="n"/>
      <c r="AA78" s="214" t="n"/>
      <c r="AB78" s="214" t="n"/>
      <c r="AC78" s="214" t="n"/>
      <c r="AD78" s="214" t="n"/>
      <c r="AE78" s="214" t="n"/>
      <c r="AF78" s="214" t="n"/>
      <c r="AG78" s="214" t="n"/>
      <c r="AH78" s="214" t="n"/>
      <c r="AI78" s="214" t="n"/>
      <c r="AJ78" s="214" t="n"/>
      <c r="AK78" s="214" t="n"/>
      <c r="AL78" s="214" t="n"/>
      <c r="AM78" s="214" t="n"/>
      <c r="AN78" s="214" t="n"/>
      <c r="AO78" s="214" t="n"/>
      <c r="AP78" s="214" t="n"/>
      <c r="AQ78" s="214" t="n"/>
      <c r="AR78" s="214" t="n"/>
      <c r="AS78" s="214" t="n"/>
      <c r="AT78" s="214" t="n"/>
      <c r="AU78" s="214" t="n"/>
      <c r="AV78" s="214" t="n"/>
      <c r="AW78" s="214" t="n"/>
      <c r="AX78" s="214" t="n"/>
      <c r="AY78" s="214" t="n"/>
      <c r="AZ78" s="214" t="n"/>
      <c r="BA78" s="214" t="n"/>
      <c r="BB78" s="214" t="n"/>
      <c r="BC78" s="214" t="n"/>
      <c r="BD78" s="214" t="n"/>
      <c r="BE78" s="214" t="n"/>
      <c r="BF78" s="214" t="n"/>
      <c r="BG78" s="214" t="n"/>
      <c r="BH78" s="220" t="n"/>
      <c r="BI78" s="220">
        <f>IFERROR(COUNTIF(C78:BH78,"-"),"")</f>
        <v/>
      </c>
      <c r="BJ78" s="220">
        <f>IFERROR(COUNTIF(D78:BI78,"T"),"")</f>
        <v/>
      </c>
      <c r="BK78" s="220" t="n"/>
      <c r="BL78" s="3" t="n">
        <v>33</v>
      </c>
    </row>
    <row r="79">
      <c r="A79" s="1" t="n">
        <v>34</v>
      </c>
      <c r="B79" s="220">
        <f>IF('MAESTRO 1°'!B38="","",'MAESTRO 1°'!B38)</f>
        <v/>
      </c>
      <c r="C79" s="214" t="n"/>
      <c r="D79" s="214" t="n"/>
      <c r="E79" s="214" t="n"/>
      <c r="F79" s="214" t="n"/>
      <c r="G79" s="214" t="n"/>
      <c r="H79" s="214" t="n"/>
      <c r="I79" s="214" t="n"/>
      <c r="J79" s="214" t="n"/>
      <c r="K79" s="214" t="n"/>
      <c r="L79" s="214" t="n"/>
      <c r="M79" s="214" t="n"/>
      <c r="N79" s="214" t="n"/>
      <c r="O79" s="214" t="n"/>
      <c r="P79" s="214" t="n"/>
      <c r="Q79" s="214" t="n"/>
      <c r="R79" s="214" t="n"/>
      <c r="S79" s="214" t="n"/>
      <c r="T79" s="214" t="n"/>
      <c r="U79" s="214" t="n"/>
      <c r="V79" s="214" t="n"/>
      <c r="W79" s="214" t="n"/>
      <c r="X79" s="214" t="n"/>
      <c r="Y79" s="214" t="n"/>
      <c r="Z79" s="214" t="n"/>
      <c r="AA79" s="214" t="n"/>
      <c r="AB79" s="214" t="n"/>
      <c r="AC79" s="214" t="n"/>
      <c r="AD79" s="214" t="n"/>
      <c r="AE79" s="214" t="n"/>
      <c r="AF79" s="214" t="n"/>
      <c r="AG79" s="214" t="n"/>
      <c r="AH79" s="214" t="n"/>
      <c r="AI79" s="214" t="n"/>
      <c r="AJ79" s="214" t="n"/>
      <c r="AK79" s="214" t="n"/>
      <c r="AL79" s="214" t="n"/>
      <c r="AM79" s="214" t="n"/>
      <c r="AN79" s="214" t="n"/>
      <c r="AO79" s="214" t="n"/>
      <c r="AP79" s="214" t="n"/>
      <c r="AQ79" s="214" t="n"/>
      <c r="AR79" s="214" t="n"/>
      <c r="AS79" s="214" t="n"/>
      <c r="AT79" s="214" t="n"/>
      <c r="AU79" s="214" t="n"/>
      <c r="AV79" s="214" t="n"/>
      <c r="AW79" s="214" t="n"/>
      <c r="AX79" s="214" t="n"/>
      <c r="AY79" s="214" t="n"/>
      <c r="AZ79" s="214" t="n"/>
      <c r="BA79" s="214" t="n"/>
      <c r="BB79" s="214" t="n"/>
      <c r="BC79" s="214" t="n"/>
      <c r="BD79" s="214" t="n"/>
      <c r="BE79" s="214" t="n"/>
      <c r="BF79" s="214" t="n"/>
      <c r="BG79" s="214" t="n"/>
      <c r="BH79" s="220" t="n"/>
      <c r="BI79" s="220">
        <f>IFERROR(COUNTIF(C79:BH79,"-"),"")</f>
        <v/>
      </c>
      <c r="BJ79" s="220">
        <f>IFERROR(COUNTIF(D79:BI79,"T"),"")</f>
        <v/>
      </c>
      <c r="BK79" s="220" t="n"/>
      <c r="BL79" s="3" t="n">
        <v>34</v>
      </c>
    </row>
    <row r="80">
      <c r="A80" s="1" t="n">
        <v>35</v>
      </c>
      <c r="B80" s="220">
        <f>IF('MAESTRO 1°'!B39="","",'MAESTRO 1°'!B39)</f>
        <v/>
      </c>
      <c r="C80" s="214" t="inlineStr">
        <is>
          <t>.</t>
        </is>
      </c>
      <c r="D80" s="214" t="n"/>
      <c r="E80" s="214" t="n"/>
      <c r="F80" s="214" t="n"/>
      <c r="G80" s="214" t="n"/>
      <c r="H80" s="214" t="n"/>
      <c r="I80" s="214" t="n"/>
      <c r="J80" s="214" t="n"/>
      <c r="K80" s="214" t="n"/>
      <c r="L80" s="214" t="n"/>
      <c r="M80" s="214" t="n"/>
      <c r="N80" s="214" t="n"/>
      <c r="O80" s="214" t="n"/>
      <c r="P80" s="214" t="n"/>
      <c r="Q80" s="214" t="n"/>
      <c r="R80" s="214" t="n"/>
      <c r="S80" s="214" t="n"/>
      <c r="T80" s="214" t="n"/>
      <c r="U80" s="214" t="n"/>
      <c r="V80" s="214" t="n"/>
      <c r="W80" s="214" t="n"/>
      <c r="X80" s="214" t="n"/>
      <c r="Y80" s="214" t="n"/>
      <c r="Z80" s="214" t="n"/>
      <c r="AA80" s="214" t="n"/>
      <c r="AB80" s="214" t="n"/>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14" t="n"/>
      <c r="AU80" s="214" t="n"/>
      <c r="AV80" s="214" t="n"/>
      <c r="AW80" s="214" t="n"/>
      <c r="AX80" s="214" t="n"/>
      <c r="AY80" s="214" t="n"/>
      <c r="AZ80" s="214" t="n"/>
      <c r="BA80" s="214" t="n"/>
      <c r="BB80" s="214" t="n"/>
      <c r="BC80" s="214" t="n"/>
      <c r="BD80" s="214" t="n"/>
      <c r="BE80" s="214" t="n"/>
      <c r="BF80" s="214" t="n"/>
      <c r="BG80" s="214" t="n"/>
      <c r="BH80" s="220" t="n"/>
      <c r="BI80" s="220">
        <f>IFERROR(COUNTIF(C80:BH80,"-"),"")</f>
        <v/>
      </c>
      <c r="BJ80" s="220">
        <f>IFERROR(COUNTIF(D80:BI80,"T"),"")</f>
        <v/>
      </c>
      <c r="BK80" s="220" t="n"/>
      <c r="BL80" s="3" t="n">
        <v>35</v>
      </c>
    </row>
    <row r="81">
      <c r="A81" s="1" t="n">
        <v>36</v>
      </c>
      <c r="B81" s="220">
        <f>IF('MAESTRO 1°'!B40="","",'MAESTRO 1°'!B40)</f>
        <v/>
      </c>
      <c r="C81" s="214" t="inlineStr">
        <is>
          <t>.</t>
        </is>
      </c>
      <c r="D81" s="214" t="n"/>
      <c r="E81" s="214" t="n"/>
      <c r="F81" s="214" t="n"/>
      <c r="G81" s="214" t="n"/>
      <c r="H81" s="214" t="n"/>
      <c r="I81" s="214" t="n"/>
      <c r="J81" s="214" t="n"/>
      <c r="K81" s="214" t="n"/>
      <c r="L81" s="214" t="n"/>
      <c r="M81" s="214" t="n"/>
      <c r="N81" s="214" t="n"/>
      <c r="O81" s="214" t="n"/>
      <c r="P81" s="214" t="n"/>
      <c r="Q81" s="214" t="n"/>
      <c r="R81" s="214" t="n"/>
      <c r="S81" s="214" t="n"/>
      <c r="T81" s="214" t="n"/>
      <c r="U81" s="214" t="n"/>
      <c r="V81" s="214" t="n"/>
      <c r="W81" s="214" t="n"/>
      <c r="X81" s="214" t="n"/>
      <c r="Y81" s="214" t="n"/>
      <c r="Z81" s="214" t="n"/>
      <c r="AA81" s="214" t="n"/>
      <c r="AB81" s="214" t="n"/>
      <c r="AC81" s="214" t="n"/>
      <c r="AD81" s="214" t="n"/>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c r="BD81" s="214" t="n"/>
      <c r="BE81" s="214" t="n"/>
      <c r="BF81" s="214" t="n"/>
      <c r="BG81" s="214" t="n"/>
      <c r="BH81" s="220" t="n"/>
      <c r="BI81" s="220">
        <f>IFERROR(COUNTIF(C81:BH81,"-"),"")</f>
        <v/>
      </c>
      <c r="BJ81" s="220">
        <f>IFERROR(COUNTIF(D81:BI81,"T"),"")</f>
        <v/>
      </c>
      <c r="BK81" s="220" t="n"/>
      <c r="BL81" s="3" t="n">
        <v>36</v>
      </c>
    </row>
    <row r="82">
      <c r="A82" s="1" t="n">
        <v>37</v>
      </c>
      <c r="B82" s="220">
        <f>IF('MAESTRO 1°'!B41="","",'MAESTRO 1°'!B41)</f>
        <v/>
      </c>
      <c r="C82" s="214" t="inlineStr">
        <is>
          <t>.</t>
        </is>
      </c>
      <c r="D82" s="214" t="n"/>
      <c r="E82" s="214" t="n"/>
      <c r="F82" s="214" t="n"/>
      <c r="G82" s="214" t="n"/>
      <c r="H82" s="214" t="n"/>
      <c r="I82" s="214" t="n"/>
      <c r="J82" s="214" t="n"/>
      <c r="K82" s="214" t="n"/>
      <c r="L82" s="214" t="n"/>
      <c r="M82" s="214" t="n"/>
      <c r="N82" s="214" t="n"/>
      <c r="O82" s="214" t="n"/>
      <c r="P82" s="214" t="n"/>
      <c r="Q82" s="214" t="n"/>
      <c r="R82" s="214" t="n"/>
      <c r="S82" s="214" t="n"/>
      <c r="T82" s="214" t="n"/>
      <c r="U82" s="214" t="n"/>
      <c r="V82" s="214" t="n"/>
      <c r="W82" s="214" t="n"/>
      <c r="X82" s="214" t="n"/>
      <c r="Y82" s="214" t="n"/>
      <c r="Z82" s="214" t="n"/>
      <c r="AA82" s="214" t="n"/>
      <c r="AB82" s="214" t="n"/>
      <c r="AC82" s="214" t="n"/>
      <c r="AD82" s="214" t="n"/>
      <c r="AE82" s="214" t="n"/>
      <c r="AF82" s="214" t="n"/>
      <c r="AG82" s="214" t="n"/>
      <c r="AH82" s="214" t="n"/>
      <c r="AI82" s="214" t="n"/>
      <c r="AJ82" s="214" t="n"/>
      <c r="AK82" s="214" t="n"/>
      <c r="AL82" s="214" t="n"/>
      <c r="AM82" s="214" t="n"/>
      <c r="AN82" s="214" t="n"/>
      <c r="AO82" s="214" t="n"/>
      <c r="AP82" s="214" t="n"/>
      <c r="AQ82" s="214" t="n"/>
      <c r="AR82" s="214" t="n"/>
      <c r="AS82" s="214" t="n"/>
      <c r="AT82" s="214" t="n"/>
      <c r="AU82" s="214" t="n"/>
      <c r="AV82" s="214" t="n"/>
      <c r="AW82" s="214" t="n"/>
      <c r="AX82" s="214" t="n"/>
      <c r="AY82" s="214" t="n"/>
      <c r="AZ82" s="214" t="n"/>
      <c r="BA82" s="214" t="n"/>
      <c r="BB82" s="214" t="n"/>
      <c r="BC82" s="214" t="n"/>
      <c r="BD82" s="214" t="n"/>
      <c r="BE82" s="214" t="n"/>
      <c r="BF82" s="214" t="n"/>
      <c r="BG82" s="214" t="n"/>
      <c r="BH82" s="220" t="n"/>
      <c r="BI82" s="220">
        <f>IFERROR(COUNTIF(C82:BH82,"-"),"")</f>
        <v/>
      </c>
      <c r="BJ82" s="220">
        <f>IFERROR(COUNTIF(D82:BI82,"T"),"")</f>
        <v/>
      </c>
      <c r="BK82" s="220" t="n"/>
      <c r="BL82" s="3" t="n">
        <v>37</v>
      </c>
    </row>
    <row r="83">
      <c r="A83" s="1" t="n">
        <v>38</v>
      </c>
      <c r="B83" s="220">
        <f>IF('MAESTRO 1°'!B42="","",'MAESTRO 1°'!B42)</f>
        <v/>
      </c>
      <c r="C83" s="214" t="inlineStr">
        <is>
          <t>.</t>
        </is>
      </c>
      <c r="D83" s="214" t="n"/>
      <c r="E83" s="214" t="n"/>
      <c r="F83" s="214" t="n"/>
      <c r="G83" s="214" t="n"/>
      <c r="H83" s="214" t="n"/>
      <c r="I83" s="214" t="n"/>
      <c r="J83" s="214" t="n"/>
      <c r="K83" s="214" t="n"/>
      <c r="L83" s="214" t="n"/>
      <c r="M83" s="214" t="n"/>
      <c r="N83" s="214" t="n"/>
      <c r="O83" s="214" t="n"/>
      <c r="P83" s="214" t="n"/>
      <c r="Q83" s="214" t="n"/>
      <c r="R83" s="214" t="n"/>
      <c r="S83" s="214" t="n"/>
      <c r="T83" s="214" t="n"/>
      <c r="U83" s="214" t="n"/>
      <c r="V83" s="214" t="n"/>
      <c r="W83" s="214" t="n"/>
      <c r="X83" s="214" t="n"/>
      <c r="Y83" s="214" t="n"/>
      <c r="Z83" s="214" t="n"/>
      <c r="AA83" s="214" t="n"/>
      <c r="AB83" s="214" t="n"/>
      <c r="AC83" s="214" t="n"/>
      <c r="AD83" s="214" t="n"/>
      <c r="AE83" s="214" t="n"/>
      <c r="AF83" s="214" t="n"/>
      <c r="AG83" s="214" t="n"/>
      <c r="AH83" s="214" t="n"/>
      <c r="AI83" s="214" t="n"/>
      <c r="AJ83" s="214" t="n"/>
      <c r="AK83" s="214" t="n"/>
      <c r="AL83" s="214" t="n"/>
      <c r="AM83" s="214" t="n"/>
      <c r="AN83" s="214" t="n"/>
      <c r="AO83" s="214" t="n"/>
      <c r="AP83" s="214" t="n"/>
      <c r="AQ83" s="214" t="n"/>
      <c r="AR83" s="214" t="n"/>
      <c r="AS83" s="214" t="n"/>
      <c r="AT83" s="214" t="n"/>
      <c r="AU83" s="214" t="n"/>
      <c r="AV83" s="214" t="n"/>
      <c r="AW83" s="214" t="n"/>
      <c r="AX83" s="214" t="n"/>
      <c r="AY83" s="214" t="n"/>
      <c r="AZ83" s="214" t="n"/>
      <c r="BA83" s="214" t="n"/>
      <c r="BB83" s="214" t="n"/>
      <c r="BC83" s="214" t="n"/>
      <c r="BD83" s="214" t="n"/>
      <c r="BE83" s="214" t="n"/>
      <c r="BF83" s="214" t="n"/>
      <c r="BG83" s="214" t="n"/>
      <c r="BH83" s="220" t="n"/>
      <c r="BI83" s="220">
        <f>IFERROR(COUNTIF(C83:BH83,"-"),"")</f>
        <v/>
      </c>
      <c r="BJ83" s="220">
        <f>IFERROR(COUNTIF(D83:BI83,"T"),"")</f>
        <v/>
      </c>
      <c r="BK83" s="220" t="n"/>
      <c r="BL83" s="3" t="n">
        <v>38</v>
      </c>
    </row>
    <row r="84">
      <c r="A84" s="1" t="n">
        <v>39</v>
      </c>
      <c r="B84" s="220">
        <f>IF('MAESTRO 1°'!B43="","",'MAESTRO 1°'!B43)</f>
        <v/>
      </c>
      <c r="C84" s="214" t="inlineStr">
        <is>
          <t>.</t>
        </is>
      </c>
      <c r="D84" s="214" t="n"/>
      <c r="E84" s="214" t="n"/>
      <c r="F84" s="214" t="n"/>
      <c r="G84" s="214" t="n"/>
      <c r="H84" s="214" t="n"/>
      <c r="I84" s="214" t="n"/>
      <c r="J84" s="214" t="n"/>
      <c r="K84" s="214" t="n"/>
      <c r="L84" s="214" t="n"/>
      <c r="M84" s="214" t="n"/>
      <c r="N84" s="214" t="n"/>
      <c r="O84" s="214" t="n"/>
      <c r="P84" s="214" t="n"/>
      <c r="Q84" s="214" t="n"/>
      <c r="R84" s="214" t="n"/>
      <c r="S84" s="214" t="n"/>
      <c r="T84" s="214" t="n"/>
      <c r="U84" s="214" t="n"/>
      <c r="V84" s="214" t="n"/>
      <c r="W84" s="214" t="n"/>
      <c r="X84" s="214" t="n"/>
      <c r="Y84" s="214" t="n"/>
      <c r="Z84" s="214" t="n"/>
      <c r="AA84" s="214" t="n"/>
      <c r="AB84" s="214" t="n"/>
      <c r="AC84" s="214" t="n"/>
      <c r="AD84" s="214" t="n"/>
      <c r="AE84" s="214" t="n"/>
      <c r="AF84" s="214" t="n"/>
      <c r="AG84" s="214" t="n"/>
      <c r="AH84" s="214" t="n"/>
      <c r="AI84" s="214" t="n"/>
      <c r="AJ84" s="214" t="n"/>
      <c r="AK84" s="214" t="n"/>
      <c r="AL84" s="214" t="n"/>
      <c r="AM84" s="214" t="n"/>
      <c r="AN84" s="214" t="n"/>
      <c r="AO84" s="214" t="n"/>
      <c r="AP84" s="214" t="n"/>
      <c r="AQ84" s="214" t="n"/>
      <c r="AR84" s="214" t="n"/>
      <c r="AS84" s="214" t="n"/>
      <c r="AT84" s="214" t="n"/>
      <c r="AU84" s="214" t="n"/>
      <c r="AV84" s="214" t="n"/>
      <c r="AW84" s="214" t="n"/>
      <c r="AX84" s="214" t="n"/>
      <c r="AY84" s="214" t="n"/>
      <c r="AZ84" s="214" t="n"/>
      <c r="BA84" s="214" t="n"/>
      <c r="BB84" s="214" t="n"/>
      <c r="BC84" s="214" t="n"/>
      <c r="BD84" s="214" t="n"/>
      <c r="BE84" s="214" t="n"/>
      <c r="BF84" s="214" t="n"/>
      <c r="BG84" s="214" t="n"/>
      <c r="BH84" s="220" t="n"/>
      <c r="BI84" s="220">
        <f>IFERROR(COUNTIF(C84:BH84,"-"),"")</f>
        <v/>
      </c>
      <c r="BJ84" s="220">
        <f>IFERROR(COUNTIF(D84:BI84,"T"),"")</f>
        <v/>
      </c>
      <c r="BK84" s="220" t="n"/>
      <c r="BL84" s="3" t="n">
        <v>39</v>
      </c>
    </row>
    <row r="85">
      <c r="A85" s="1" t="n">
        <v>40</v>
      </c>
      <c r="B85" s="220">
        <f>IF('MAESTRO 1°'!B44="","",'MAESTRO 1°'!B44)</f>
        <v/>
      </c>
      <c r="C85" s="214" t="n"/>
      <c r="D85" s="214" t="n"/>
      <c r="E85" s="214" t="n"/>
      <c r="F85" s="214" t="n"/>
      <c r="G85" s="214" t="n"/>
      <c r="H85" s="214" t="n"/>
      <c r="I85" s="214" t="n"/>
      <c r="J85" s="214" t="n"/>
      <c r="K85" s="214" t="n"/>
      <c r="L85" s="214" t="n"/>
      <c r="M85" s="214" t="n"/>
      <c r="N85" s="214" t="n"/>
      <c r="O85" s="214" t="n"/>
      <c r="P85" s="214" t="n"/>
      <c r="Q85" s="214" t="n"/>
      <c r="R85" s="214" t="n"/>
      <c r="S85" s="214" t="n"/>
      <c r="T85" s="214" t="n"/>
      <c r="U85" s="214" t="n"/>
      <c r="V85" s="214" t="n"/>
      <c r="W85" s="214" t="n"/>
      <c r="X85" s="214" t="n"/>
      <c r="Y85" s="214" t="n"/>
      <c r="Z85" s="214" t="n"/>
      <c r="AA85" s="214" t="n"/>
      <c r="AB85" s="214" t="n"/>
      <c r="AC85" s="214" t="n"/>
      <c r="AD85" s="214" t="n"/>
      <c r="AE85" s="214" t="n"/>
      <c r="AF85" s="214" t="n"/>
      <c r="AG85" s="214" t="n"/>
      <c r="AH85" s="214" t="n"/>
      <c r="AI85" s="214" t="n"/>
      <c r="AJ85" s="214" t="n"/>
      <c r="AK85" s="214" t="n"/>
      <c r="AL85" s="214" t="n"/>
      <c r="AM85" s="214" t="n"/>
      <c r="AN85" s="214" t="n"/>
      <c r="AO85" s="214" t="n"/>
      <c r="AP85" s="214" t="n"/>
      <c r="AQ85" s="214" t="n"/>
      <c r="AR85" s="214" t="n"/>
      <c r="AS85" s="214" t="n"/>
      <c r="AT85" s="214" t="n"/>
      <c r="AU85" s="214" t="n"/>
      <c r="AV85" s="214" t="n"/>
      <c r="AW85" s="214" t="n"/>
      <c r="AX85" s="214" t="n"/>
      <c r="AY85" s="214" t="n"/>
      <c r="AZ85" s="214" t="n"/>
      <c r="BA85" s="214" t="n"/>
      <c r="BB85" s="214" t="n"/>
      <c r="BC85" s="214" t="n"/>
      <c r="BD85" s="214" t="n"/>
      <c r="BE85" s="214" t="n"/>
      <c r="BF85" s="214" t="n"/>
      <c r="BG85" s="214" t="n"/>
      <c r="BH85" s="220" t="n"/>
      <c r="BI85" s="220">
        <f>IFERROR(COUNTIF(C85:BH85,"-"),"")</f>
        <v/>
      </c>
      <c r="BJ85" s="220">
        <f>IFERROR(COUNTIF(D85:BI85,"T"),"")</f>
        <v/>
      </c>
      <c r="BK85" s="220" t="n"/>
      <c r="BL85" s="3" t="n">
        <v>40</v>
      </c>
    </row>
    <row r="86">
      <c r="A86" s="1" t="n">
        <v>41</v>
      </c>
      <c r="B86" s="220" t="n"/>
      <c r="C86" s="214" t="n"/>
      <c r="D86" s="214" t="n"/>
      <c r="E86" s="214" t="n"/>
      <c r="F86" s="214" t="n"/>
      <c r="G86" s="214" t="n"/>
      <c r="H86" s="214" t="n"/>
      <c r="I86" s="214" t="n"/>
      <c r="J86" s="214" t="n"/>
      <c r="K86" s="214" t="n"/>
      <c r="L86" s="214" t="n"/>
      <c r="M86" s="214" t="n"/>
      <c r="N86" s="214" t="n"/>
      <c r="O86" s="214" t="n"/>
      <c r="P86" s="214" t="n"/>
      <c r="Q86" s="214" t="n"/>
      <c r="R86" s="214" t="n"/>
      <c r="S86" s="214" t="n"/>
      <c r="T86" s="214" t="n"/>
      <c r="U86" s="214" t="n"/>
      <c r="V86" s="214" t="n"/>
      <c r="W86" s="214" t="n"/>
      <c r="X86" s="214" t="n"/>
      <c r="Y86" s="214" t="n"/>
      <c r="Z86" s="214" t="n"/>
      <c r="AA86" s="214" t="n"/>
      <c r="AB86" s="214" t="n"/>
      <c r="AC86" s="214" t="n"/>
      <c r="AD86" s="214" t="n"/>
      <c r="AE86" s="214" t="n"/>
      <c r="AF86" s="214" t="n"/>
      <c r="AG86" s="214" t="n"/>
      <c r="AH86" s="214" t="n"/>
      <c r="AI86" s="214" t="n"/>
      <c r="AJ86" s="214" t="n"/>
      <c r="AK86" s="214" t="n"/>
      <c r="AL86" s="214" t="n"/>
      <c r="AM86" s="214" t="n"/>
      <c r="AN86" s="214" t="n"/>
      <c r="AO86" s="214" t="n"/>
      <c r="AP86" s="214" t="n"/>
      <c r="AQ86" s="214" t="n"/>
      <c r="AR86" s="214" t="n"/>
      <c r="AS86" s="214" t="n"/>
      <c r="AT86" s="214" t="n"/>
      <c r="AU86" s="214" t="n"/>
      <c r="AV86" s="214" t="n"/>
      <c r="AW86" s="214" t="n"/>
      <c r="AX86" s="214" t="n"/>
      <c r="AY86" s="214" t="n"/>
      <c r="AZ86" s="214" t="n"/>
      <c r="BA86" s="214" t="n"/>
      <c r="BB86" s="214" t="n"/>
      <c r="BC86" s="214" t="n"/>
      <c r="BD86" s="214" t="n"/>
      <c r="BE86" s="214" t="n"/>
      <c r="BF86" s="214" t="n"/>
      <c r="BG86" s="214" t="n"/>
      <c r="BH86" s="220" t="n"/>
      <c r="BI86" s="220">
        <f>IFERROR(COUNTIF(C86:BH86,"-"),"")</f>
        <v/>
      </c>
      <c r="BJ86" s="220">
        <f>IFERROR(COUNTIF(D86:BI86,"T"),"")</f>
        <v/>
      </c>
      <c r="BK86" s="220" t="n"/>
      <c r="BL86" s="3" t="n">
        <v>41</v>
      </c>
    </row>
    <row r="87" ht="31.2" customHeight="1" s="147">
      <c r="A87" s="211" t="n"/>
      <c r="B87" s="213" t="inlineStr">
        <is>
          <t>NOMBRE                          ALUMNA-ALUMNO</t>
        </is>
      </c>
      <c r="C87" s="214" t="inlineStr">
        <is>
          <t>ASISTENCIA DEL___22__DE___SEPTIEMBRE__AL__19__DE___DICIEMBRE___</t>
        </is>
      </c>
      <c r="D87" s="157" t="n"/>
      <c r="E87" s="157" t="n"/>
      <c r="F87" s="157" t="n"/>
      <c r="G87" s="157" t="n"/>
      <c r="H87" s="157" t="n"/>
      <c r="I87" s="157" t="n"/>
      <c r="J87" s="157" t="n"/>
      <c r="K87" s="157" t="n"/>
      <c r="L87" s="157" t="n"/>
      <c r="M87" s="157" t="n"/>
      <c r="N87" s="157" t="n"/>
      <c r="O87" s="157" t="n"/>
      <c r="P87" s="157" t="n"/>
      <c r="Q87" s="157" t="n"/>
      <c r="R87" s="157" t="n"/>
      <c r="S87" s="157" t="n"/>
      <c r="T87" s="157" t="n"/>
      <c r="U87" s="157" t="n"/>
      <c r="V87" s="157" t="n"/>
      <c r="W87" s="157" t="n"/>
      <c r="X87" s="157" t="n"/>
      <c r="Y87" s="157" t="n"/>
      <c r="Z87" s="157" t="n"/>
      <c r="AA87" s="157" t="n"/>
      <c r="AB87" s="157" t="n"/>
      <c r="AC87" s="157" t="n"/>
      <c r="AD87" s="157" t="n"/>
      <c r="AE87" s="157" t="n"/>
      <c r="AF87" s="157" t="n"/>
      <c r="AG87" s="157" t="n"/>
      <c r="AH87" s="157" t="n"/>
      <c r="AI87" s="157" t="n"/>
      <c r="AJ87" s="157" t="n"/>
      <c r="AK87" s="157" t="n"/>
      <c r="AL87" s="157" t="n"/>
      <c r="AM87" s="157" t="n"/>
      <c r="AN87" s="157" t="n"/>
      <c r="AO87" s="157" t="n"/>
      <c r="AP87" s="157" t="n"/>
      <c r="AQ87" s="157" t="n"/>
      <c r="AR87" s="157" t="n"/>
      <c r="AS87" s="157" t="n"/>
      <c r="AT87" s="157" t="n"/>
      <c r="AU87" s="157" t="n"/>
      <c r="AV87" s="157" t="n"/>
      <c r="AW87" s="157" t="n"/>
      <c r="AX87" s="157" t="n"/>
      <c r="AY87" s="157" t="n"/>
      <c r="AZ87" s="157" t="n"/>
      <c r="BA87" s="157" t="n"/>
      <c r="BB87" s="157" t="n"/>
      <c r="BC87" s="157" t="n"/>
      <c r="BD87" s="157" t="n"/>
      <c r="BE87" s="157" t="n"/>
      <c r="BF87" s="157" t="n"/>
      <c r="BG87" s="157" t="n"/>
      <c r="BH87" s="145" t="n"/>
      <c r="BI87" s="214" t="inlineStr">
        <is>
          <t>TERCER TRIMESTRE</t>
        </is>
      </c>
      <c r="BJ87" s="145" t="n"/>
      <c r="BK87" s="178" t="inlineStr">
        <is>
          <t>OBSERVACIONES</t>
        </is>
      </c>
      <c r="BL87" s="64" t="n"/>
    </row>
    <row r="88" ht="43.2" customHeight="1" s="147">
      <c r="A88" s="154" t="n"/>
      <c r="B88" s="154"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154" t="n"/>
      <c r="BL88" s="64" t="n"/>
    </row>
    <row r="89" ht="13.2" customHeight="1" s="147">
      <c r="A89" s="1" t="n">
        <v>1</v>
      </c>
      <c r="B89" s="220">
        <f>IF('MAESTRO 1°'!B5="","",'MAESTRO 1°'!B5)</f>
        <v/>
      </c>
      <c r="C89" s="214" t="n"/>
      <c r="D89" s="77" t="n"/>
      <c r="E89" s="214" t="n"/>
      <c r="F89" s="214" t="n"/>
      <c r="G89" s="77" t="n"/>
      <c r="H89" s="77" t="n"/>
      <c r="I89" s="214" t="n"/>
      <c r="J89" s="214" t="n"/>
      <c r="K89" s="214" t="n"/>
      <c r="L89" s="214" t="n"/>
      <c r="M89" s="214" t="n"/>
      <c r="N89" s="214" t="n"/>
      <c r="O89" s="214" t="n"/>
      <c r="P89" s="214" t="n"/>
      <c r="Q89" s="214" t="n"/>
      <c r="R89" s="214" t="n"/>
      <c r="S89" s="214" t="n"/>
      <c r="T89" s="214" t="n"/>
      <c r="U89" s="214" t="n"/>
      <c r="V89" s="214" t="n"/>
      <c r="W89" s="214" t="n"/>
      <c r="X89" s="214" t="n"/>
      <c r="Y89" s="214" t="n"/>
      <c r="Z89" s="78" t="n"/>
      <c r="AA89" s="78" t="n"/>
      <c r="AD89" s="78" t="n"/>
      <c r="AE89" s="78" t="n"/>
      <c r="AF89" s="78" t="n"/>
      <c r="AG89" s="78" t="n"/>
      <c r="AH89" s="78" t="n"/>
      <c r="AI89" s="78" t="n"/>
      <c r="AJ89" s="78" t="n"/>
      <c r="AK89" s="78" t="n"/>
      <c r="AL89" s="78" t="n"/>
      <c r="AM89" s="78" t="n"/>
      <c r="AN89" s="78" t="n"/>
      <c r="AO89" s="78" t="n"/>
      <c r="AP89" s="78" t="n"/>
      <c r="AQ89" s="78" t="n"/>
      <c r="AR89" s="214" t="n"/>
      <c r="AS89" s="214" t="n"/>
      <c r="AT89" s="214" t="n"/>
      <c r="AU89" s="214" t="n"/>
      <c r="AV89" s="214" t="n"/>
      <c r="AW89" s="214" t="n"/>
      <c r="AX89" s="214" t="n"/>
      <c r="AY89" s="214" t="n"/>
      <c r="AZ89" s="214" t="n"/>
      <c r="BA89" s="214" t="n"/>
      <c r="BB89" s="214" t="n"/>
      <c r="BC89" s="214" t="n"/>
      <c r="BD89" s="214" t="n"/>
      <c r="BE89" s="214" t="n"/>
      <c r="BF89" s="214" t="n"/>
      <c r="BG89" s="214" t="n"/>
      <c r="BH89" s="220" t="n"/>
      <c r="BI89" s="220">
        <f>IFERROR(COUNTIF(C89:BH89,"-"),"")</f>
        <v/>
      </c>
      <c r="BJ89" s="220">
        <f>IFERROR(COUNTIF(D89:BI89,"T"),"")</f>
        <v/>
      </c>
      <c r="BK89" s="220" t="n"/>
      <c r="BL89" s="3" t="n">
        <v>1</v>
      </c>
    </row>
    <row r="90" ht="14.4" customHeight="1" s="147">
      <c r="A90" s="1" t="n">
        <v>2</v>
      </c>
      <c r="B90" s="220">
        <f>IF('MAESTRO 1°'!B6="","",'MAESTRO 1°'!B6)</f>
        <v/>
      </c>
      <c r="C90" s="214" t="n"/>
      <c r="D90" s="77" t="n"/>
      <c r="E90" s="214" t="n"/>
      <c r="F90" s="214" t="n"/>
      <c r="G90" s="77" t="n"/>
      <c r="H90" s="77" t="n"/>
      <c r="I90" s="214" t="n"/>
      <c r="J90" s="214" t="n"/>
      <c r="K90" s="214" t="n"/>
      <c r="L90" s="214" t="n"/>
      <c r="M90" s="214" t="n"/>
      <c r="N90" s="214" t="n"/>
      <c r="O90" s="214" t="n"/>
      <c r="P90" s="214" t="n"/>
      <c r="Q90" s="214" t="n"/>
      <c r="R90" s="214" t="n"/>
      <c r="S90" s="214" t="n"/>
      <c r="T90" s="214" t="n"/>
      <c r="U90" s="214" t="n"/>
      <c r="V90" s="214" t="n"/>
      <c r="W90" s="214" t="n"/>
      <c r="X90" s="214" t="n"/>
      <c r="Y90" s="214" t="n"/>
      <c r="Z90" s="78" t="n"/>
      <c r="AA90" s="78" t="n"/>
      <c r="AB90" s="214" t="n"/>
      <c r="AC90" s="214" t="n"/>
      <c r="AD90" s="78" t="n"/>
      <c r="AE90" s="78" t="n"/>
      <c r="AF90" s="78" t="n"/>
      <c r="AG90" s="78" t="n"/>
      <c r="AH90" s="78" t="n"/>
      <c r="AI90" s="78" t="n"/>
      <c r="AJ90" s="78" t="n"/>
      <c r="AK90" s="78" t="n"/>
      <c r="AL90" s="78" t="n"/>
      <c r="AM90" s="78" t="n"/>
      <c r="AN90" s="78" t="n"/>
      <c r="AO90" s="78" t="n"/>
      <c r="AP90" s="78" t="n"/>
      <c r="AQ90" s="78" t="n"/>
      <c r="AR90" s="214" t="n"/>
      <c r="AS90" s="214" t="n"/>
      <c r="AT90" s="214" t="n"/>
      <c r="AU90" s="214" t="n"/>
      <c r="AV90" s="214" t="n"/>
      <c r="AW90" s="214" t="n"/>
      <c r="AX90" s="214" t="n"/>
      <c r="AY90" s="214" t="n"/>
      <c r="AZ90" s="214" t="n"/>
      <c r="BA90" s="214" t="n"/>
      <c r="BB90" s="214" t="n"/>
      <c r="BC90" s="214" t="n"/>
      <c r="BD90" s="214" t="n"/>
      <c r="BE90" s="214" t="n"/>
      <c r="BF90" s="214" t="n"/>
      <c r="BG90" s="214" t="n"/>
      <c r="BH90" s="220" t="n"/>
      <c r="BI90" s="220">
        <f>IFERROR(COUNTIF(C90:BH90,"-"),"")</f>
        <v/>
      </c>
      <c r="BJ90" s="220">
        <f>IFERROR(COUNTIF(D90:BI90,"T"),"")</f>
        <v/>
      </c>
      <c r="BK90" s="220" t="n"/>
      <c r="BL90" s="3" t="n">
        <v>2</v>
      </c>
    </row>
    <row r="91">
      <c r="A91" s="1" t="n">
        <v>3</v>
      </c>
      <c r="B91" s="220">
        <f>IF('MAESTRO 1°'!B7="","",'MAESTRO 1°'!B7)</f>
        <v/>
      </c>
      <c r="C91" s="214" t="n"/>
      <c r="D91" s="77" t="n"/>
      <c r="E91" s="214" t="n"/>
      <c r="F91" s="214" t="n"/>
      <c r="G91" s="77" t="n"/>
      <c r="H91" s="77" t="n"/>
      <c r="I91" s="214" t="n"/>
      <c r="J91" s="214" t="n"/>
      <c r="K91" s="214" t="n"/>
      <c r="L91" s="214" t="n"/>
      <c r="M91" s="214" t="n"/>
      <c r="N91" s="214" t="n"/>
      <c r="O91" s="214" t="n"/>
      <c r="P91" s="214" t="n"/>
      <c r="Q91" s="214" t="n"/>
      <c r="R91" s="214" t="n"/>
      <c r="S91" s="214" t="n"/>
      <c r="T91" s="214" t="n"/>
      <c r="U91" s="214" t="n"/>
      <c r="V91" s="214" t="n"/>
      <c r="W91" s="214" t="n"/>
      <c r="X91" s="214" t="n"/>
      <c r="Y91" s="214" t="n"/>
      <c r="Z91" s="78" t="n"/>
      <c r="AA91" s="78" t="n"/>
      <c r="AB91" s="214" t="n"/>
      <c r="AC91" s="214" t="n"/>
      <c r="AD91" s="78" t="n"/>
      <c r="AE91" s="78" t="n"/>
      <c r="AF91" s="78" t="n"/>
      <c r="AG91" s="78" t="n"/>
      <c r="AH91" s="78" t="n"/>
      <c r="AI91" s="78" t="n"/>
      <c r="AJ91" s="78" t="n"/>
      <c r="AK91" s="78" t="n"/>
      <c r="AL91" s="78" t="n"/>
      <c r="AM91" s="78" t="n"/>
      <c r="AN91" s="78" t="n"/>
      <c r="AO91" s="78" t="n"/>
      <c r="AP91" s="78" t="n"/>
      <c r="AQ91" s="78" t="n"/>
      <c r="AR91" s="214" t="n"/>
      <c r="AS91" s="214" t="n"/>
      <c r="AT91" s="214" t="n"/>
      <c r="AU91" s="214" t="n"/>
      <c r="AV91" s="214" t="n"/>
      <c r="AW91" s="214" t="n"/>
      <c r="AX91" s="214" t="n"/>
      <c r="AY91" s="214" t="n"/>
      <c r="AZ91" s="214" t="n"/>
      <c r="BA91" s="214" t="n"/>
      <c r="BB91" s="214" t="n"/>
      <c r="BC91" s="214" t="n"/>
      <c r="BD91" s="214" t="n"/>
      <c r="BE91" s="214" t="n"/>
      <c r="BF91" s="214" t="n"/>
      <c r="BG91" s="214" t="n"/>
      <c r="BH91" s="220" t="n"/>
      <c r="BI91" s="220">
        <f>IFERROR(COUNTIF(C91:BH91,"-"),"")</f>
        <v/>
      </c>
      <c r="BJ91" s="220">
        <f>IFERROR(COUNTIF(D91:BI91,"T"),"")</f>
        <v/>
      </c>
      <c r="BK91" s="220" t="n"/>
      <c r="BL91" s="3" t="n">
        <v>3</v>
      </c>
    </row>
    <row r="92" ht="14.4" customHeight="1" s="147">
      <c r="A92" s="1" t="n">
        <v>4</v>
      </c>
      <c r="B92" s="220">
        <f>IF('MAESTRO 1°'!B8="","",'MAESTRO 1°'!B8)</f>
        <v/>
      </c>
      <c r="C92" s="214" t="n"/>
      <c r="D92" s="77" t="n"/>
      <c r="E92" s="214" t="n"/>
      <c r="F92" s="214" t="n"/>
      <c r="G92" s="77" t="n"/>
      <c r="H92" s="77" t="n"/>
      <c r="I92" s="214" t="n"/>
      <c r="J92" s="214" t="n"/>
      <c r="K92" s="214" t="n"/>
      <c r="L92" s="214" t="n"/>
      <c r="M92" s="214" t="n"/>
      <c r="N92" s="214" t="n"/>
      <c r="O92" s="214" t="n"/>
      <c r="P92" s="214" t="n"/>
      <c r="Q92" s="214" t="n"/>
      <c r="R92" s="214" t="n"/>
      <c r="S92" s="214" t="n"/>
      <c r="T92" s="214" t="n"/>
      <c r="U92" s="214" t="n"/>
      <c r="V92" s="214" t="n"/>
      <c r="W92" s="214" t="n"/>
      <c r="X92" s="214" t="n"/>
      <c r="Y92" s="214" t="n"/>
      <c r="Z92" s="78" t="n"/>
      <c r="AA92" s="78" t="n"/>
      <c r="AB92" s="214" t="n"/>
      <c r="AC92" s="214" t="n"/>
      <c r="AD92" s="78" t="n"/>
      <c r="AE92" s="78" t="n"/>
      <c r="AF92" s="78" t="n"/>
      <c r="AG92" s="78" t="n"/>
      <c r="AH92" s="78" t="n"/>
      <c r="AI92" s="78" t="n"/>
      <c r="AJ92" s="78" t="n"/>
      <c r="AK92" s="78" t="n"/>
      <c r="AL92" s="78" t="n"/>
      <c r="AM92" s="78" t="n"/>
      <c r="AN92" s="78" t="n"/>
      <c r="AO92" s="78" t="n"/>
      <c r="AP92" s="78" t="n"/>
      <c r="AQ92" s="78" t="n"/>
      <c r="AR92" s="214" t="n"/>
      <c r="AS92" s="214" t="n"/>
      <c r="AT92" s="214" t="n"/>
      <c r="AU92" s="214" t="n"/>
      <c r="AV92" s="214" t="n"/>
      <c r="AW92" s="214" t="n"/>
      <c r="AX92" s="214" t="n"/>
      <c r="AY92" s="214" t="n"/>
      <c r="AZ92" s="214" t="n"/>
      <c r="BA92" s="214" t="n"/>
      <c r="BB92" s="214" t="n"/>
      <c r="BC92" s="214" t="n"/>
      <c r="BD92" s="214" t="n"/>
      <c r="BE92" s="214" t="n"/>
      <c r="BF92" s="214" t="n"/>
      <c r="BG92" s="214" t="n"/>
      <c r="BH92" s="220" t="n"/>
      <c r="BI92" s="220">
        <f>IFERROR(COUNTIF(C92:BH92,"-"),"")</f>
        <v/>
      </c>
      <c r="BJ92" s="220">
        <f>IFERROR(COUNTIF(D92:BI92,"T"),"")</f>
        <v/>
      </c>
      <c r="BK92" s="220" t="n"/>
      <c r="BL92" s="3" t="n">
        <v>4</v>
      </c>
    </row>
    <row r="93">
      <c r="A93" s="1" t="n">
        <v>5</v>
      </c>
      <c r="B93" s="220">
        <f>IF('MAESTRO 1°'!B9="","",'MAESTRO 1°'!B9)</f>
        <v/>
      </c>
      <c r="C93" s="214" t="n"/>
      <c r="D93" s="77" t="n"/>
      <c r="E93" s="214" t="n"/>
      <c r="F93" s="214" t="n"/>
      <c r="G93" s="77" t="n"/>
      <c r="H93" s="77" t="n"/>
      <c r="I93" s="214" t="n"/>
      <c r="J93" s="214" t="n"/>
      <c r="K93" s="214" t="n"/>
      <c r="L93" s="214" t="n"/>
      <c r="M93" s="214" t="n"/>
      <c r="N93" s="214" t="n"/>
      <c r="O93" s="214" t="n"/>
      <c r="P93" s="214" t="n"/>
      <c r="Q93" s="214" t="n"/>
      <c r="R93" s="214" t="n"/>
      <c r="S93" s="214" t="n"/>
      <c r="T93" s="214" t="n"/>
      <c r="U93" s="214" t="n"/>
      <c r="V93" s="214" t="n"/>
      <c r="W93" s="214" t="n"/>
      <c r="X93" s="214" t="n"/>
      <c r="Y93" s="214" t="n"/>
      <c r="Z93" s="78" t="n"/>
      <c r="AA93" s="78" t="n"/>
      <c r="AB93" s="214" t="n"/>
      <c r="AC93" s="214" t="n"/>
      <c r="AD93" s="78" t="n"/>
      <c r="AE93" s="78" t="n"/>
      <c r="AF93" s="78" t="n"/>
      <c r="AG93" s="78" t="n"/>
      <c r="AH93" s="78" t="n"/>
      <c r="AI93" s="78" t="n"/>
      <c r="AJ93" s="78" t="n"/>
      <c r="AK93" s="78" t="n"/>
      <c r="AL93" s="78" t="n"/>
      <c r="AM93" s="78" t="n"/>
      <c r="AN93" s="78" t="n"/>
      <c r="AO93" s="78" t="n"/>
      <c r="AP93" s="78" t="n"/>
      <c r="AQ93" s="78" t="n"/>
      <c r="AR93" s="214" t="n"/>
      <c r="AS93" s="214" t="n"/>
      <c r="AT93" s="214" t="n"/>
      <c r="AU93" s="214" t="n"/>
      <c r="AV93" s="214" t="n"/>
      <c r="AW93" s="214" t="n"/>
      <c r="AX93" s="214" t="n"/>
      <c r="AY93" s="214" t="n"/>
      <c r="AZ93" s="214" t="n"/>
      <c r="BA93" s="214" t="n"/>
      <c r="BB93" s="214" t="n"/>
      <c r="BC93" s="214" t="n"/>
      <c r="BD93" s="214" t="n"/>
      <c r="BE93" s="214" t="n"/>
      <c r="BF93" s="214" t="n"/>
      <c r="BG93" s="214" t="n"/>
      <c r="BH93" s="220" t="n"/>
      <c r="BI93" s="220">
        <f>IFERROR(COUNTIF(C93:BH93,"-"),"")</f>
        <v/>
      </c>
      <c r="BJ93" s="220">
        <f>IFERROR(COUNTIF(D93:BI93,"T"),"")</f>
        <v/>
      </c>
      <c r="BK93" s="220" t="n"/>
      <c r="BL93" s="3" t="n">
        <v>5</v>
      </c>
    </row>
    <row r="94">
      <c r="A94" s="1" t="n">
        <v>6</v>
      </c>
      <c r="B94" s="220">
        <f>IF('MAESTRO 1°'!B10="","",'MAESTRO 1°'!B10)</f>
        <v/>
      </c>
      <c r="C94" s="214" t="n"/>
      <c r="D94" s="77" t="n"/>
      <c r="E94" s="214" t="n"/>
      <c r="F94" s="214" t="n"/>
      <c r="G94" s="77" t="n"/>
      <c r="H94" s="77" t="n"/>
      <c r="I94" s="214" t="n"/>
      <c r="J94" s="214" t="n"/>
      <c r="K94" s="214" t="n"/>
      <c r="L94" s="214" t="n"/>
      <c r="M94" s="214" t="n"/>
      <c r="N94" s="214" t="n"/>
      <c r="O94" s="214" t="n"/>
      <c r="P94" s="214" t="n"/>
      <c r="Q94" s="214" t="n"/>
      <c r="R94" s="214" t="n"/>
      <c r="S94" s="214" t="n"/>
      <c r="T94" s="214" t="n"/>
      <c r="U94" s="214" t="n"/>
      <c r="V94" s="214" t="n"/>
      <c r="W94" s="214" t="n"/>
      <c r="X94" s="214" t="n"/>
      <c r="Y94" s="214" t="n"/>
      <c r="Z94" s="78" t="n"/>
      <c r="AA94" s="78" t="n"/>
      <c r="AB94" s="214" t="n"/>
      <c r="AC94" s="214" t="n"/>
      <c r="AD94" s="78" t="n"/>
      <c r="AE94" s="78" t="n"/>
      <c r="AF94" s="78" t="n"/>
      <c r="AG94" s="78" t="n"/>
      <c r="AH94" s="78" t="n"/>
      <c r="AI94" s="78" t="n"/>
      <c r="AJ94" s="78" t="n"/>
      <c r="AK94" s="78" t="n"/>
      <c r="AL94" s="78" t="n"/>
      <c r="AM94" s="78" t="n"/>
      <c r="AN94" s="78" t="n"/>
      <c r="AO94" s="78" t="n"/>
      <c r="AP94" s="78" t="n"/>
      <c r="AQ94" s="78" t="n"/>
      <c r="AR94" s="214" t="n"/>
      <c r="AS94" s="214" t="n"/>
      <c r="AT94" s="214" t="n"/>
      <c r="AU94" s="214" t="n"/>
      <c r="AV94" s="214" t="n"/>
      <c r="AW94" s="214" t="n"/>
      <c r="AX94" s="214" t="n"/>
      <c r="AY94" s="214" t="n"/>
      <c r="AZ94" s="214" t="n"/>
      <c r="BA94" s="214" t="n"/>
      <c r="BB94" s="214" t="n"/>
      <c r="BC94" s="214" t="n"/>
      <c r="BD94" s="214" t="n"/>
      <c r="BE94" s="214" t="n"/>
      <c r="BF94" s="214" t="n"/>
      <c r="BG94" s="214" t="n"/>
      <c r="BH94" s="220" t="n"/>
      <c r="BI94" s="220">
        <f>IFERROR(COUNTIF(C94:BH94,"-"),"")</f>
        <v/>
      </c>
      <c r="BJ94" s="220">
        <f>IFERROR(COUNTIF(D94:BI94,"T"),"")</f>
        <v/>
      </c>
      <c r="BK94" s="220" t="n"/>
      <c r="BL94" s="3" t="n">
        <v>6</v>
      </c>
    </row>
    <row r="95">
      <c r="A95" s="1" t="n">
        <v>7</v>
      </c>
      <c r="B95" s="220">
        <f>IF('MAESTRO 1°'!B11="","",'MAESTRO 1°'!B11)</f>
        <v/>
      </c>
      <c r="C95" s="214" t="n"/>
      <c r="D95" s="77" t="n"/>
      <c r="E95" s="214" t="n"/>
      <c r="F95" s="214" t="n"/>
      <c r="G95" s="77" t="n"/>
      <c r="H95" s="77" t="n"/>
      <c r="I95" s="214" t="n"/>
      <c r="J95" s="214" t="n"/>
      <c r="K95" s="214" t="n"/>
      <c r="L95" s="214" t="n"/>
      <c r="M95" s="214" t="n"/>
      <c r="N95" s="214" t="n"/>
      <c r="O95" s="214" t="n"/>
      <c r="P95" s="214" t="n"/>
      <c r="Q95" s="214" t="n"/>
      <c r="R95" s="214" t="n"/>
      <c r="S95" s="214" t="n"/>
      <c r="T95" s="214" t="n"/>
      <c r="U95" s="214" t="n"/>
      <c r="V95" s="214" t="n"/>
      <c r="W95" s="214" t="n"/>
      <c r="X95" s="214" t="n"/>
      <c r="Y95" s="214" t="n"/>
      <c r="Z95" s="78" t="n"/>
      <c r="AA95" s="78" t="n"/>
      <c r="AB95" s="214" t="n"/>
      <c r="AC95" s="214" t="n"/>
      <c r="AD95" s="78" t="n"/>
      <c r="AE95" s="78" t="n"/>
      <c r="AF95" s="78" t="n"/>
      <c r="AG95" s="78" t="n"/>
      <c r="AH95" s="78" t="n"/>
      <c r="AI95" s="78" t="n"/>
      <c r="AJ95" s="78" t="n"/>
      <c r="AK95" s="78" t="n"/>
      <c r="AL95" s="78" t="n"/>
      <c r="AM95" s="78" t="n"/>
      <c r="AN95" s="78" t="n"/>
      <c r="AO95" s="78" t="n"/>
      <c r="AP95" s="78" t="n"/>
      <c r="AQ95" s="78" t="n"/>
      <c r="AR95" s="214" t="n"/>
      <c r="AS95" s="214" t="n"/>
      <c r="AT95" s="214" t="n"/>
      <c r="AU95" s="214" t="n"/>
      <c r="AV95" s="214" t="n"/>
      <c r="AW95" s="214" t="n"/>
      <c r="AX95" s="214" t="n"/>
      <c r="AY95" s="214" t="n"/>
      <c r="AZ95" s="214" t="n"/>
      <c r="BA95" s="214" t="n"/>
      <c r="BB95" s="214" t="n"/>
      <c r="BC95" s="214" t="n"/>
      <c r="BD95" s="214" t="n"/>
      <c r="BE95" s="214" t="n"/>
      <c r="BF95" s="214" t="n"/>
      <c r="BG95" s="214" t="n"/>
      <c r="BH95" s="220" t="n"/>
      <c r="BI95" s="220">
        <f>IFERROR(COUNTIF(C95:BH95,"-"),"")</f>
        <v/>
      </c>
      <c r="BJ95" s="220">
        <f>IFERROR(COUNTIF(D95:BI95,"T"),"")</f>
        <v/>
      </c>
      <c r="BK95" s="220" t="n"/>
      <c r="BL95" s="3" t="n">
        <v>7</v>
      </c>
    </row>
    <row r="96">
      <c r="A96" s="1" t="n">
        <v>8</v>
      </c>
      <c r="B96" s="220">
        <f>IF('MAESTRO 1°'!B12="","",'MAESTRO 1°'!B12)</f>
        <v/>
      </c>
      <c r="C96" s="214" t="n"/>
      <c r="D96" s="77" t="n"/>
      <c r="E96" s="214" t="n"/>
      <c r="F96" s="214" t="n"/>
      <c r="G96" s="77" t="n"/>
      <c r="H96" s="77" t="n"/>
      <c r="I96" s="214" t="n"/>
      <c r="J96" s="214" t="n"/>
      <c r="K96" s="214" t="n"/>
      <c r="L96" s="214" t="n"/>
      <c r="M96" s="214" t="n"/>
      <c r="N96" s="214" t="n"/>
      <c r="O96" s="214" t="n"/>
      <c r="P96" s="214" t="n"/>
      <c r="Q96" s="214" t="n"/>
      <c r="R96" s="214" t="n"/>
      <c r="S96" s="214" t="n"/>
      <c r="T96" s="214" t="n"/>
      <c r="U96" s="214" t="n"/>
      <c r="V96" s="214" t="n"/>
      <c r="W96" s="214" t="n"/>
      <c r="X96" s="214" t="n"/>
      <c r="Y96" s="214" t="n"/>
      <c r="Z96" s="78" t="n"/>
      <c r="AA96" s="78" t="n"/>
      <c r="AB96" s="214" t="n"/>
      <c r="AC96" s="214" t="n"/>
      <c r="AD96" s="78" t="n"/>
      <c r="AE96" s="78" t="n"/>
      <c r="AF96" s="78" t="n"/>
      <c r="AG96" s="78" t="n"/>
      <c r="AH96" s="78" t="n"/>
      <c r="AI96" s="78" t="n"/>
      <c r="AJ96" s="78" t="n"/>
      <c r="AK96" s="78" t="n"/>
      <c r="AL96" s="78" t="n"/>
      <c r="AM96" s="78" t="n"/>
      <c r="AN96" s="78" t="n"/>
      <c r="AO96" s="78" t="n"/>
      <c r="AP96" s="78" t="n"/>
      <c r="AQ96" s="78" t="n"/>
      <c r="AR96" s="214" t="n"/>
      <c r="AS96" s="214" t="n"/>
      <c r="AT96" s="214" t="n"/>
      <c r="AU96" s="214" t="n"/>
      <c r="AV96" s="214" t="n"/>
      <c r="AW96" s="214" t="n"/>
      <c r="AX96" s="214" t="n"/>
      <c r="AY96" s="214" t="n"/>
      <c r="AZ96" s="214" t="n"/>
      <c r="BA96" s="214" t="n"/>
      <c r="BB96" s="214" t="n"/>
      <c r="BC96" s="214" t="n"/>
      <c r="BD96" s="214" t="n"/>
      <c r="BE96" s="214" t="n"/>
      <c r="BF96" s="214" t="n"/>
      <c r="BG96" s="214" t="n"/>
      <c r="BH96" s="220" t="n"/>
      <c r="BI96" s="220">
        <f>IFERROR(COUNTIF(C96:BH96,"-"),"")</f>
        <v/>
      </c>
      <c r="BJ96" s="220">
        <f>IFERROR(COUNTIF(D96:BI96,"T"),"")</f>
        <v/>
      </c>
      <c r="BK96" s="220" t="n"/>
      <c r="BL96" s="3" t="n">
        <v>8</v>
      </c>
    </row>
    <row r="97">
      <c r="A97" s="1" t="n">
        <v>9</v>
      </c>
      <c r="B97" s="220">
        <f>IF('MAESTRO 1°'!B13="","",'MAESTRO 1°'!B13)</f>
        <v/>
      </c>
      <c r="C97" s="214" t="n"/>
      <c r="D97" s="77" t="n"/>
      <c r="E97" s="214" t="n"/>
      <c r="F97" s="214" t="n"/>
      <c r="G97" s="77" t="n"/>
      <c r="H97" s="77" t="n"/>
      <c r="I97" s="214" t="n"/>
      <c r="J97" s="214" t="n"/>
      <c r="K97" s="214" t="n"/>
      <c r="L97" s="214" t="n"/>
      <c r="M97" s="214" t="n"/>
      <c r="N97" s="214" t="n"/>
      <c r="O97" s="214" t="n"/>
      <c r="P97" s="214" t="n"/>
      <c r="Q97" s="214" t="n"/>
      <c r="R97" s="214" t="n"/>
      <c r="S97" s="214" t="n"/>
      <c r="T97" s="214" t="n"/>
      <c r="U97" s="214" t="n"/>
      <c r="V97" s="214" t="n"/>
      <c r="W97" s="214" t="n"/>
      <c r="X97" s="214" t="n"/>
      <c r="Y97" s="214" t="n"/>
      <c r="Z97" s="78" t="n"/>
      <c r="AA97" s="78" t="n"/>
      <c r="AB97" s="214" t="n"/>
      <c r="AC97" s="214" t="n"/>
      <c r="AD97" s="78" t="n"/>
      <c r="AE97" s="78" t="n"/>
      <c r="AF97" s="78" t="n"/>
      <c r="AG97" s="78" t="n"/>
      <c r="AH97" s="78" t="n"/>
      <c r="AI97" s="78" t="n"/>
      <c r="AJ97" s="78" t="n"/>
      <c r="AK97" s="78" t="n"/>
      <c r="AL97" s="78" t="n"/>
      <c r="AM97" s="78" t="n"/>
      <c r="AN97" s="78" t="n"/>
      <c r="AO97" s="78" t="n"/>
      <c r="AP97" s="78" t="n"/>
      <c r="AQ97" s="78" t="n"/>
      <c r="AR97" s="214" t="n"/>
      <c r="AS97" s="214" t="n"/>
      <c r="AT97" s="214" t="n"/>
      <c r="AU97" s="214" t="n"/>
      <c r="AV97" s="214" t="n"/>
      <c r="AW97" s="214" t="n"/>
      <c r="AX97" s="214" t="n"/>
      <c r="AY97" s="214" t="n"/>
      <c r="AZ97" s="214" t="n"/>
      <c r="BA97" s="214" t="n"/>
      <c r="BB97" s="214" t="n"/>
      <c r="BC97" s="214" t="n"/>
      <c r="BD97" s="214" t="n"/>
      <c r="BE97" s="214" t="n"/>
      <c r="BF97" s="214" t="n"/>
      <c r="BG97" s="214" t="n"/>
      <c r="BH97" s="220" t="n"/>
      <c r="BI97" s="220">
        <f>IFERROR(COUNTIF(C97:BH97,"-"),"")</f>
        <v/>
      </c>
      <c r="BJ97" s="220">
        <f>IFERROR(COUNTIF(D97:BI97,"T"),"")</f>
        <v/>
      </c>
      <c r="BK97" s="220" t="n"/>
      <c r="BL97" s="3" t="n">
        <v>9</v>
      </c>
    </row>
    <row r="98">
      <c r="A98" s="1" t="n">
        <v>10</v>
      </c>
      <c r="B98" s="220">
        <f>IF('MAESTRO 1°'!B14="","",'MAESTRO 1°'!B14)</f>
        <v/>
      </c>
      <c r="C98" s="214" t="n"/>
      <c r="D98" s="77" t="n"/>
      <c r="E98" s="214" t="n"/>
      <c r="F98" s="214" t="n"/>
      <c r="G98" s="77" t="n"/>
      <c r="H98" s="77" t="n"/>
      <c r="I98" s="214" t="n"/>
      <c r="J98" s="214" t="n"/>
      <c r="K98" s="214" t="n"/>
      <c r="L98" s="214" t="n"/>
      <c r="M98" s="214" t="n"/>
      <c r="N98" s="214" t="n"/>
      <c r="O98" s="214" t="n"/>
      <c r="P98" s="214" t="n"/>
      <c r="Q98" s="214" t="n"/>
      <c r="R98" s="214" t="n"/>
      <c r="S98" s="214" t="n"/>
      <c r="T98" s="214" t="n"/>
      <c r="U98" s="214" t="n"/>
      <c r="V98" s="214" t="n"/>
      <c r="W98" s="214" t="n"/>
      <c r="X98" s="214" t="n"/>
      <c r="Y98" s="214" t="n"/>
      <c r="Z98" s="78" t="n"/>
      <c r="AA98" s="78" t="n"/>
      <c r="AB98" s="214" t="n"/>
      <c r="AC98" s="214" t="n"/>
      <c r="AD98" s="78" t="n"/>
      <c r="AE98" s="78" t="n"/>
      <c r="AF98" s="78" t="n"/>
      <c r="AG98" s="78" t="n"/>
      <c r="AH98" s="78" t="n"/>
      <c r="AI98" s="78" t="n"/>
      <c r="AJ98" s="78" t="n"/>
      <c r="AK98" s="78" t="n"/>
      <c r="AL98" s="78" t="n"/>
      <c r="AM98" s="78" t="n"/>
      <c r="AN98" s="78" t="n"/>
      <c r="AO98" s="78" t="n"/>
      <c r="AP98" s="78" t="n"/>
      <c r="AQ98" s="78" t="n"/>
      <c r="AR98" s="214" t="n"/>
      <c r="AS98" s="214" t="n"/>
      <c r="AT98" s="214" t="n"/>
      <c r="AU98" s="214" t="n"/>
      <c r="AV98" s="214" t="n"/>
      <c r="AW98" s="214" t="n"/>
      <c r="AX98" s="214" t="n"/>
      <c r="AY98" s="214" t="n"/>
      <c r="AZ98" s="214" t="n"/>
      <c r="BA98" s="214" t="n"/>
      <c r="BB98" s="214" t="n"/>
      <c r="BC98" s="214" t="n"/>
      <c r="BD98" s="214" t="n"/>
      <c r="BE98" s="214" t="n"/>
      <c r="BF98" s="214" t="n"/>
      <c r="BG98" s="214" t="n"/>
      <c r="BH98" s="220" t="n"/>
      <c r="BI98" s="220">
        <f>IFERROR(COUNTIF(C98:BH98,"-"),"")</f>
        <v/>
      </c>
      <c r="BJ98" s="220">
        <f>IFERROR(COUNTIF(D98:BI98,"T"),"")</f>
        <v/>
      </c>
      <c r="BK98" s="220" t="n"/>
      <c r="BL98" s="3" t="n">
        <v>10</v>
      </c>
    </row>
    <row r="99">
      <c r="A99" s="1" t="n">
        <v>11</v>
      </c>
      <c r="B99" s="220">
        <f>IF('MAESTRO 1°'!B15="","",'MAESTRO 1°'!B15)</f>
        <v/>
      </c>
      <c r="C99" s="214" t="n"/>
      <c r="D99" s="77" t="n"/>
      <c r="E99" s="214" t="n"/>
      <c r="F99" s="214" t="n"/>
      <c r="G99" s="77" t="n"/>
      <c r="H99" s="77" t="n"/>
      <c r="I99" s="214" t="n"/>
      <c r="J99" s="214" t="n"/>
      <c r="K99" s="214" t="n"/>
      <c r="L99" s="214" t="n"/>
      <c r="M99" s="214" t="n"/>
      <c r="N99" s="214" t="n"/>
      <c r="O99" s="214" t="n"/>
      <c r="P99" s="214" t="n"/>
      <c r="Q99" s="214" t="n"/>
      <c r="R99" s="214" t="n"/>
      <c r="S99" s="214" t="n"/>
      <c r="T99" s="214" t="n"/>
      <c r="U99" s="214" t="n"/>
      <c r="V99" s="214" t="n"/>
      <c r="W99" s="214" t="n"/>
      <c r="X99" s="214" t="n"/>
      <c r="Y99" s="214" t="n"/>
      <c r="Z99" s="78" t="n"/>
      <c r="AA99" s="78" t="n"/>
      <c r="AB99" s="214" t="n"/>
      <c r="AC99" s="214" t="n"/>
      <c r="AD99" s="78" t="n"/>
      <c r="AE99" s="78" t="n"/>
      <c r="AF99" s="78" t="n"/>
      <c r="AG99" s="78" t="n"/>
      <c r="AH99" s="78" t="n"/>
      <c r="AI99" s="78" t="n"/>
      <c r="AJ99" s="78" t="n"/>
      <c r="AK99" s="78" t="n"/>
      <c r="AL99" s="78" t="n"/>
      <c r="AM99" s="78" t="n"/>
      <c r="AN99" s="78" t="n"/>
      <c r="AO99" s="78" t="n"/>
      <c r="AP99" s="78" t="n"/>
      <c r="AQ99" s="78" t="n"/>
      <c r="AR99" s="214" t="n"/>
      <c r="AS99" s="214" t="n"/>
      <c r="AT99" s="214" t="n"/>
      <c r="AU99" s="214" t="n"/>
      <c r="AV99" s="214" t="n"/>
      <c r="AW99" s="214" t="n"/>
      <c r="AX99" s="214" t="n"/>
      <c r="AY99" s="214" t="n"/>
      <c r="AZ99" s="214" t="n"/>
      <c r="BA99" s="214" t="n"/>
      <c r="BB99" s="214" t="n"/>
      <c r="BC99" s="214" t="n"/>
      <c r="BD99" s="214" t="n"/>
      <c r="BE99" s="214" t="n"/>
      <c r="BF99" s="214" t="n"/>
      <c r="BG99" s="214" t="n"/>
      <c r="BH99" s="220" t="n"/>
      <c r="BI99" s="220">
        <f>IFERROR(COUNTIF(C99:BH99,"-"),"")</f>
        <v/>
      </c>
      <c r="BJ99" s="220">
        <f>IFERROR(COUNTIF(D99:BI99,"T"),"")</f>
        <v/>
      </c>
      <c r="BK99" s="220" t="n"/>
      <c r="BL99" s="3" t="n">
        <v>11</v>
      </c>
    </row>
    <row r="100">
      <c r="A100" s="1" t="n">
        <v>12</v>
      </c>
      <c r="B100" s="220">
        <f>IF('MAESTRO 1°'!B16="","",'MAESTRO 1°'!B16)</f>
        <v/>
      </c>
      <c r="C100" s="214" t="n"/>
      <c r="D100" s="77" t="n"/>
      <c r="E100" s="214" t="n"/>
      <c r="F100" s="214" t="n"/>
      <c r="G100" s="77" t="n"/>
      <c r="H100" s="77" t="n"/>
      <c r="I100" s="214" t="n"/>
      <c r="J100" s="214" t="n"/>
      <c r="K100" s="214" t="n"/>
      <c r="L100" s="214" t="n"/>
      <c r="M100" s="214" t="n"/>
      <c r="N100" s="214" t="n"/>
      <c r="O100" s="214" t="n"/>
      <c r="P100" s="214" t="n"/>
      <c r="Q100" s="214" t="n"/>
      <c r="R100" s="214" t="n"/>
      <c r="S100" s="214" t="n"/>
      <c r="T100" s="214" t="n"/>
      <c r="U100" s="214" t="n"/>
      <c r="V100" s="214" t="n"/>
      <c r="W100" s="214" t="n"/>
      <c r="X100" s="214" t="n"/>
      <c r="Y100" s="214" t="n"/>
      <c r="Z100" s="78" t="n"/>
      <c r="AA100" s="78" t="n"/>
      <c r="AB100" s="214" t="n"/>
      <c r="AC100" s="214" t="n"/>
      <c r="AD100" s="78" t="n"/>
      <c r="AE100" s="78" t="n"/>
      <c r="AF100" s="78" t="n"/>
      <c r="AG100" s="78" t="n"/>
      <c r="AH100" s="78" t="n"/>
      <c r="AI100" s="78" t="n"/>
      <c r="AJ100" s="78" t="n"/>
      <c r="AK100" s="78" t="n"/>
      <c r="AL100" s="78" t="n"/>
      <c r="AM100" s="78" t="n"/>
      <c r="AN100" s="78" t="n"/>
      <c r="AO100" s="78" t="n"/>
      <c r="AP100" s="78" t="n"/>
      <c r="AQ100" s="78"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20" t="n"/>
      <c r="BI100" s="220">
        <f>IFERROR(COUNTIF(C100:BH100,"-"),"")</f>
        <v/>
      </c>
      <c r="BJ100" s="220">
        <f>IFERROR(COUNTIF(D100:BI100,"T"),"")</f>
        <v/>
      </c>
      <c r="BK100" s="220" t="n"/>
      <c r="BL100" s="3" t="n">
        <v>12</v>
      </c>
    </row>
    <row r="101">
      <c r="A101" s="1" t="n">
        <v>13</v>
      </c>
      <c r="B101" s="220">
        <f>IF('MAESTRO 1°'!B17="","",'MAESTRO 1°'!B17)</f>
        <v/>
      </c>
      <c r="C101" s="214" t="n"/>
      <c r="D101" s="77" t="n"/>
      <c r="E101" s="214" t="n"/>
      <c r="F101" s="214" t="n"/>
      <c r="G101" s="77" t="n"/>
      <c r="H101" s="77" t="n"/>
      <c r="I101" s="214" t="n"/>
      <c r="J101" s="214" t="n"/>
      <c r="K101" s="214" t="n"/>
      <c r="L101" s="214" t="n"/>
      <c r="M101" s="214" t="n"/>
      <c r="N101" s="214" t="n"/>
      <c r="O101" s="214" t="n"/>
      <c r="P101" s="214" t="n"/>
      <c r="Q101" s="214" t="n"/>
      <c r="R101" s="214" t="n"/>
      <c r="S101" s="214" t="n"/>
      <c r="T101" s="214" t="n"/>
      <c r="U101" s="214" t="n"/>
      <c r="V101" s="214" t="n"/>
      <c r="W101" s="214" t="n"/>
      <c r="X101" s="214" t="n"/>
      <c r="Y101" s="214" t="n"/>
      <c r="Z101" s="78" t="n"/>
      <c r="AA101" s="78" t="n"/>
      <c r="AB101" s="214" t="n"/>
      <c r="AC101" s="214" t="n"/>
      <c r="AD101" s="78" t="n"/>
      <c r="AE101" s="78" t="n"/>
      <c r="AF101" s="78" t="n"/>
      <c r="AG101" s="78" t="n"/>
      <c r="AH101" s="78" t="n"/>
      <c r="AI101" s="78" t="n"/>
      <c r="AJ101" s="78" t="n"/>
      <c r="AK101" s="78" t="n"/>
      <c r="AL101" s="78" t="n"/>
      <c r="AM101" s="78" t="n"/>
      <c r="AN101" s="78" t="n"/>
      <c r="AO101" s="78" t="n"/>
      <c r="AP101" s="78" t="n"/>
      <c r="AQ101" s="78" t="n"/>
      <c r="AR101" s="214" t="n"/>
      <c r="AS101" s="214" t="n"/>
      <c r="AT101" s="214" t="n"/>
      <c r="AU101" s="214" t="n"/>
      <c r="AV101" s="214" t="n"/>
      <c r="AW101" s="214" t="n"/>
      <c r="AX101" s="214" t="n"/>
      <c r="AY101" s="214" t="n"/>
      <c r="AZ101" s="214" t="n"/>
      <c r="BA101" s="214" t="n"/>
      <c r="BB101" s="214" t="n"/>
      <c r="BC101" s="214" t="n"/>
      <c r="BD101" s="214" t="n"/>
      <c r="BE101" s="214" t="n"/>
      <c r="BF101" s="214" t="n"/>
      <c r="BG101" s="214" t="n"/>
      <c r="BH101" s="220" t="n"/>
      <c r="BI101" s="220">
        <f>IFERROR(COUNTIF(C101:BH101,"-"),"")</f>
        <v/>
      </c>
      <c r="BJ101" s="220">
        <f>IFERROR(COUNTIF(D101:BI101,"T"),"")</f>
        <v/>
      </c>
      <c r="BK101" s="220" t="n"/>
      <c r="BL101" s="3" t="n">
        <v>13</v>
      </c>
    </row>
    <row r="102">
      <c r="A102" s="1" t="n">
        <v>14</v>
      </c>
      <c r="B102" s="220">
        <f>IF('MAESTRO 1°'!B18="","",'MAESTRO 1°'!B18)</f>
        <v/>
      </c>
      <c r="C102" s="214" t="n"/>
      <c r="D102" s="77" t="n"/>
      <c r="E102" s="214" t="n"/>
      <c r="F102" s="214" t="n"/>
      <c r="G102" s="77" t="n"/>
      <c r="H102" s="77" t="n"/>
      <c r="I102" s="214" t="n"/>
      <c r="J102" s="214" t="n"/>
      <c r="K102" s="214" t="n"/>
      <c r="L102" s="214" t="n"/>
      <c r="M102" s="214" t="n"/>
      <c r="N102" s="214" t="n"/>
      <c r="O102" s="214" t="n"/>
      <c r="P102" s="214" t="n"/>
      <c r="Q102" s="214" t="n"/>
      <c r="R102" s="214" t="n"/>
      <c r="S102" s="214" t="n"/>
      <c r="T102" s="214" t="n"/>
      <c r="U102" s="214" t="n"/>
      <c r="V102" s="214" t="n"/>
      <c r="W102" s="214" t="n"/>
      <c r="X102" s="214" t="n"/>
      <c r="Y102" s="214" t="n"/>
      <c r="Z102" s="78" t="n"/>
      <c r="AA102" s="78" t="n"/>
      <c r="AB102" s="214" t="n"/>
      <c r="AC102" s="214" t="n"/>
      <c r="AD102" s="78" t="n"/>
      <c r="AE102" s="78" t="n"/>
      <c r="AF102" s="78" t="n"/>
      <c r="AG102" s="78" t="n"/>
      <c r="AH102" s="78" t="n"/>
      <c r="AI102" s="78" t="n"/>
      <c r="AJ102" s="78" t="n"/>
      <c r="AK102" s="78" t="n"/>
      <c r="AL102" s="78" t="n"/>
      <c r="AM102" s="78" t="n"/>
      <c r="AN102" s="78" t="n"/>
      <c r="AO102" s="78" t="n"/>
      <c r="AP102" s="78" t="n"/>
      <c r="AQ102" s="78" t="n"/>
      <c r="AR102" s="214" t="n"/>
      <c r="AS102" s="214" t="n"/>
      <c r="AT102" s="214" t="n"/>
      <c r="AU102" s="214" t="n"/>
      <c r="AV102" s="214" t="n"/>
      <c r="AW102" s="214" t="n"/>
      <c r="AX102" s="214" t="n"/>
      <c r="AY102" s="214" t="n"/>
      <c r="AZ102" s="214" t="n"/>
      <c r="BA102" s="214" t="n"/>
      <c r="BB102" s="214" t="n"/>
      <c r="BC102" s="214" t="n"/>
      <c r="BD102" s="214" t="n"/>
      <c r="BE102" s="214" t="n"/>
      <c r="BF102" s="214" t="n"/>
      <c r="BG102" s="214" t="n"/>
      <c r="BH102" s="220" t="n"/>
      <c r="BI102" s="220">
        <f>IFERROR(COUNTIF(C102:BH102,"-"),"")</f>
        <v/>
      </c>
      <c r="BJ102" s="220">
        <f>IFERROR(COUNTIF(D102:BI102,"T"),"")</f>
        <v/>
      </c>
      <c r="BK102" s="220" t="n"/>
      <c r="BL102" s="3" t="n">
        <v>14</v>
      </c>
    </row>
    <row r="103">
      <c r="A103" s="1" t="n">
        <v>15</v>
      </c>
      <c r="B103" s="220">
        <f>IF('MAESTRO 1°'!B19="","",'MAESTRO 1°'!B19)</f>
        <v/>
      </c>
      <c r="C103" s="214" t="n"/>
      <c r="D103" s="77" t="n"/>
      <c r="E103" s="214" t="n"/>
      <c r="F103" s="214" t="n"/>
      <c r="G103" s="77" t="n"/>
      <c r="H103" s="77" t="n"/>
      <c r="I103" s="214" t="n"/>
      <c r="J103" s="214" t="n"/>
      <c r="K103" s="214" t="n"/>
      <c r="L103" s="214" t="n"/>
      <c r="M103" s="214" t="n"/>
      <c r="N103" s="214" t="n"/>
      <c r="O103" s="214" t="n"/>
      <c r="P103" s="214" t="n"/>
      <c r="Q103" s="214" t="n"/>
      <c r="R103" s="214" t="n"/>
      <c r="S103" s="214" t="n"/>
      <c r="T103" s="214" t="n"/>
      <c r="U103" s="214" t="n"/>
      <c r="V103" s="214" t="n"/>
      <c r="W103" s="214" t="n"/>
      <c r="X103" s="214" t="n"/>
      <c r="Y103" s="214" t="n"/>
      <c r="Z103" s="78" t="n"/>
      <c r="AA103" s="78" t="n"/>
      <c r="AB103" s="214" t="n"/>
      <c r="AC103" s="214" t="n"/>
      <c r="AD103" s="78" t="n"/>
      <c r="AE103" s="78" t="n"/>
      <c r="AF103" s="78" t="n"/>
      <c r="AG103" s="78" t="n"/>
      <c r="AH103" s="78" t="n"/>
      <c r="AI103" s="78" t="n"/>
      <c r="AJ103" s="78" t="n"/>
      <c r="AK103" s="78" t="n"/>
      <c r="AL103" s="78" t="n"/>
      <c r="AM103" s="78" t="n"/>
      <c r="AN103" s="78" t="n"/>
      <c r="AO103" s="78" t="n"/>
      <c r="AP103" s="78" t="n"/>
      <c r="AQ103" s="78" t="n"/>
      <c r="AR103" s="214" t="n"/>
      <c r="AS103" s="214" t="n"/>
      <c r="AT103" s="214" t="n"/>
      <c r="AU103" s="214" t="n"/>
      <c r="AV103" s="214" t="n"/>
      <c r="AW103" s="214" t="n"/>
      <c r="AX103" s="214" t="n"/>
      <c r="AY103" s="214" t="n"/>
      <c r="AZ103" s="214" t="n"/>
      <c r="BA103" s="214" t="n"/>
      <c r="BB103" s="214" t="n"/>
      <c r="BC103" s="214" t="n"/>
      <c r="BD103" s="214" t="n"/>
      <c r="BE103" s="214" t="n"/>
      <c r="BF103" s="214" t="n"/>
      <c r="BG103" s="214" t="n"/>
      <c r="BH103" s="220" t="n"/>
      <c r="BI103" s="220">
        <f>IFERROR(COUNTIF(C103:BH103,"-"),"")</f>
        <v/>
      </c>
      <c r="BJ103" s="220">
        <f>IFERROR(COUNTIF(D103:BI103,"T"),"")</f>
        <v/>
      </c>
      <c r="BK103" s="220" t="n"/>
      <c r="BL103" s="3" t="n">
        <v>15</v>
      </c>
    </row>
    <row r="104">
      <c r="A104" s="1" t="n">
        <v>16</v>
      </c>
      <c r="B104" s="220">
        <f>IF('MAESTRO 1°'!B20="","",'MAESTRO 1°'!B20)</f>
        <v/>
      </c>
      <c r="C104" s="214" t="n"/>
      <c r="D104" s="77" t="n"/>
      <c r="E104" s="214" t="n"/>
      <c r="F104" s="214" t="n"/>
      <c r="G104" s="77" t="n"/>
      <c r="H104" s="77" t="n"/>
      <c r="I104" s="214" t="n"/>
      <c r="J104" s="214" t="n"/>
      <c r="K104" s="214" t="n"/>
      <c r="L104" s="214" t="n"/>
      <c r="M104" s="214" t="n"/>
      <c r="N104" s="214" t="n"/>
      <c r="O104" s="214" t="n"/>
      <c r="P104" s="214" t="n"/>
      <c r="Q104" s="214" t="n"/>
      <c r="R104" s="214" t="n"/>
      <c r="S104" s="214" t="n"/>
      <c r="T104" s="214" t="n"/>
      <c r="U104" s="214" t="n"/>
      <c r="V104" s="214" t="n"/>
      <c r="W104" s="214" t="n"/>
      <c r="X104" s="214" t="n"/>
      <c r="Y104" s="214" t="n"/>
      <c r="Z104" s="78" t="n"/>
      <c r="AA104" s="78" t="n"/>
      <c r="AB104" s="214" t="n"/>
      <c r="AC104" s="214" t="n"/>
      <c r="AD104" s="78" t="n"/>
      <c r="AE104" s="78" t="n"/>
      <c r="AF104" s="78" t="n"/>
      <c r="AG104" s="78" t="n"/>
      <c r="AH104" s="78" t="n"/>
      <c r="AI104" s="78" t="n"/>
      <c r="AJ104" s="78" t="n"/>
      <c r="AK104" s="78" t="n"/>
      <c r="AL104" s="78" t="n"/>
      <c r="AM104" s="78" t="n"/>
      <c r="AN104" s="78" t="n"/>
      <c r="AO104" s="78" t="n"/>
      <c r="AP104" s="78" t="n"/>
      <c r="AQ104" s="78"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20" t="n"/>
      <c r="BI104" s="220">
        <f>IFERROR(COUNTIF(C104:BH104,"-"),"")</f>
        <v/>
      </c>
      <c r="BJ104" s="220">
        <f>IFERROR(COUNTIF(D104:BI104,"T"),"")</f>
        <v/>
      </c>
      <c r="BK104" s="220" t="n"/>
      <c r="BL104" s="3" t="n">
        <v>16</v>
      </c>
    </row>
    <row r="105">
      <c r="A105" s="1" t="n">
        <v>17</v>
      </c>
      <c r="B105" s="220">
        <f>IF('MAESTRO 1°'!B21="","",'MAESTRO 1°'!B21)</f>
        <v/>
      </c>
      <c r="C105" s="214" t="n"/>
      <c r="D105" s="77" t="n"/>
      <c r="E105" s="214" t="n"/>
      <c r="F105" s="214" t="n"/>
      <c r="G105" s="77" t="n"/>
      <c r="H105" s="77" t="n"/>
      <c r="I105" s="214" t="n"/>
      <c r="J105" s="214" t="n"/>
      <c r="K105" s="214" t="n"/>
      <c r="L105" s="214" t="n"/>
      <c r="M105" s="214" t="n"/>
      <c r="N105" s="214" t="n"/>
      <c r="O105" s="214" t="n"/>
      <c r="P105" s="214" t="n"/>
      <c r="Q105" s="214" t="n"/>
      <c r="R105" s="214" t="n"/>
      <c r="S105" s="214" t="n"/>
      <c r="T105" s="214" t="n"/>
      <c r="U105" s="214" t="n"/>
      <c r="V105" s="214" t="n"/>
      <c r="W105" s="214" t="n"/>
      <c r="X105" s="214" t="n"/>
      <c r="Y105" s="214" t="n"/>
      <c r="Z105" s="78" t="n"/>
      <c r="AA105" s="78" t="n"/>
      <c r="AB105" s="214" t="n"/>
      <c r="AC105" s="214" t="n"/>
      <c r="AD105" s="78" t="n"/>
      <c r="AE105" s="78" t="n"/>
      <c r="AF105" s="78" t="n"/>
      <c r="AG105" s="78" t="n"/>
      <c r="AH105" s="78" t="n"/>
      <c r="AI105" s="78" t="n"/>
      <c r="AJ105" s="78" t="n"/>
      <c r="AK105" s="78" t="n"/>
      <c r="AL105" s="78" t="n"/>
      <c r="AM105" s="78" t="n"/>
      <c r="AN105" s="78" t="n"/>
      <c r="AO105" s="78" t="n"/>
      <c r="AP105" s="78" t="n"/>
      <c r="AQ105" s="78" t="n"/>
      <c r="AR105" s="214" t="n"/>
      <c r="AS105" s="214" t="n"/>
      <c r="AT105" s="214" t="n"/>
      <c r="AU105" s="214" t="n"/>
      <c r="AV105" s="214" t="n"/>
      <c r="AW105" s="214" t="n"/>
      <c r="AX105" s="214" t="n"/>
      <c r="AY105" s="214" t="n"/>
      <c r="AZ105" s="214" t="n"/>
      <c r="BA105" s="214" t="n"/>
      <c r="BB105" s="214" t="n"/>
      <c r="BC105" s="214" t="n"/>
      <c r="BD105" s="214" t="n"/>
      <c r="BE105" s="214" t="n"/>
      <c r="BF105" s="214" t="n"/>
      <c r="BG105" s="214" t="n"/>
      <c r="BH105" s="220" t="n"/>
      <c r="BI105" s="220">
        <f>IFERROR(COUNTIF(C105:BH105,"-"),"")</f>
        <v/>
      </c>
      <c r="BJ105" s="220">
        <f>IFERROR(COUNTIF(D105:BI105,"T"),"")</f>
        <v/>
      </c>
      <c r="BK105" s="220" t="n"/>
      <c r="BL105" s="3" t="n">
        <v>17</v>
      </c>
    </row>
    <row r="106">
      <c r="A106" s="1" t="n">
        <v>18</v>
      </c>
      <c r="B106" s="220">
        <f>IF('MAESTRO 1°'!B22="","",'MAESTRO 1°'!B22)</f>
        <v/>
      </c>
      <c r="C106" s="214" t="n"/>
      <c r="D106" s="214" t="n"/>
      <c r="E106" s="214" t="n"/>
      <c r="F106" s="214" t="n"/>
      <c r="G106" s="214" t="n"/>
      <c r="H106" s="214" t="n"/>
      <c r="I106" s="214" t="n"/>
      <c r="J106" s="214" t="n"/>
      <c r="K106" s="214" t="n"/>
      <c r="L106" s="214" t="n"/>
      <c r="M106" s="214" t="n"/>
      <c r="N106" s="214" t="n"/>
      <c r="O106" s="214" t="n"/>
      <c r="P106" s="214" t="n"/>
      <c r="Q106" s="214" t="n"/>
      <c r="R106" s="214" t="n"/>
      <c r="S106" s="214" t="n"/>
      <c r="T106" s="214" t="n"/>
      <c r="U106" s="214" t="n"/>
      <c r="V106" s="214" t="n"/>
      <c r="W106" s="214" t="n"/>
      <c r="X106" s="214" t="n"/>
      <c r="Y106" s="214" t="n"/>
      <c r="Z106" s="214" t="n"/>
      <c r="AA106" s="214" t="n"/>
      <c r="AB106" s="214" t="n"/>
      <c r="AC106" s="214" t="n"/>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14" t="n"/>
      <c r="AU106" s="214" t="n"/>
      <c r="AV106" s="214" t="n"/>
      <c r="AW106" s="214" t="n"/>
      <c r="AX106" s="214" t="n"/>
      <c r="AY106" s="214" t="n"/>
      <c r="AZ106" s="214" t="n"/>
      <c r="BA106" s="214" t="n"/>
      <c r="BB106" s="214" t="n"/>
      <c r="BC106" s="214" t="n"/>
      <c r="BD106" s="214" t="n"/>
      <c r="BE106" s="214" t="n"/>
      <c r="BF106" s="214" t="n"/>
      <c r="BG106" s="214" t="n"/>
      <c r="BH106" s="220" t="n"/>
      <c r="BI106" s="220">
        <f>IFERROR(COUNTIF(C106:BH106,"-"),"")</f>
        <v/>
      </c>
      <c r="BJ106" s="220">
        <f>IFERROR(COUNTIF(D106:BI106,"T"),"")</f>
        <v/>
      </c>
      <c r="BK106" s="220" t="n"/>
      <c r="BL106" s="3" t="n">
        <v>18</v>
      </c>
    </row>
    <row r="107">
      <c r="A107" s="1" t="n">
        <v>19</v>
      </c>
      <c r="B107" s="220">
        <f>IF('MAESTRO 1°'!B23="","",'MAESTRO 1°'!B23)</f>
        <v/>
      </c>
      <c r="C107" s="214" t="n"/>
      <c r="D107" s="214" t="n"/>
      <c r="E107" s="214" t="n"/>
      <c r="F107" s="214" t="n"/>
      <c r="G107" s="214" t="n"/>
      <c r="H107" s="214" t="n"/>
      <c r="I107" s="214" t="n"/>
      <c r="J107" s="214" t="n"/>
      <c r="K107" s="214" t="n"/>
      <c r="L107" s="214" t="n"/>
      <c r="M107" s="214" t="n"/>
      <c r="N107" s="214" t="n"/>
      <c r="O107" s="214" t="n"/>
      <c r="P107" s="214" t="n"/>
      <c r="Q107" s="214" t="n"/>
      <c r="R107" s="214" t="n"/>
      <c r="S107" s="214" t="n"/>
      <c r="T107" s="214" t="n"/>
      <c r="U107" s="214" t="n"/>
      <c r="V107" s="214" t="n"/>
      <c r="W107" s="214" t="n"/>
      <c r="X107" s="214" t="n"/>
      <c r="Y107" s="214" t="n"/>
      <c r="Z107" s="214" t="n"/>
      <c r="AA107" s="214" t="n"/>
      <c r="AB107" s="214" t="n"/>
      <c r="AC107" s="214" t="n"/>
      <c r="AD107" s="214" t="n"/>
      <c r="AE107" s="214" t="n"/>
      <c r="AF107" s="214" t="n"/>
      <c r="AG107" s="214" t="n"/>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c r="BB107" s="214" t="n"/>
      <c r="BC107" s="214" t="n"/>
      <c r="BD107" s="214" t="n"/>
      <c r="BE107" s="214" t="n"/>
      <c r="BF107" s="214" t="n"/>
      <c r="BG107" s="214" t="n"/>
      <c r="BH107" s="220" t="n"/>
      <c r="BI107" s="220">
        <f>IFERROR(COUNTIF(C107:BH107,"-"),"")</f>
        <v/>
      </c>
      <c r="BJ107" s="220">
        <f>IFERROR(COUNTIF(D107:BI107,"T"),"")</f>
        <v/>
      </c>
      <c r="BK107" s="220" t="n"/>
      <c r="BL107" s="3" t="n">
        <v>19</v>
      </c>
    </row>
    <row r="108">
      <c r="A108" s="1" t="n">
        <v>20</v>
      </c>
      <c r="B108" s="220">
        <f>IF('MAESTRO 1°'!B24="","",'MAESTRO 1°'!B24)</f>
        <v/>
      </c>
      <c r="C108" s="214" t="n"/>
      <c r="D108" s="214" t="n"/>
      <c r="E108" s="214" t="n"/>
      <c r="F108" s="214" t="n"/>
      <c r="G108" s="214" t="n"/>
      <c r="H108" s="214" t="n"/>
      <c r="I108" s="214" t="n"/>
      <c r="J108" s="214" t="n"/>
      <c r="K108" s="214" t="n"/>
      <c r="L108" s="214" t="n"/>
      <c r="M108" s="214" t="n"/>
      <c r="N108" s="214" t="n"/>
      <c r="O108" s="214" t="n"/>
      <c r="P108" s="214" t="n"/>
      <c r="Q108" s="214" t="n"/>
      <c r="R108" s="214" t="n"/>
      <c r="S108" s="214" t="n"/>
      <c r="T108" s="214" t="n"/>
      <c r="U108" s="214" t="n"/>
      <c r="V108" s="214" t="n"/>
      <c r="W108" s="214" t="n"/>
      <c r="X108" s="214" t="n"/>
      <c r="Y108" s="214" t="n"/>
      <c r="Z108" s="214" t="n"/>
      <c r="AA108" s="214" t="n"/>
      <c r="AB108" s="214" t="n"/>
      <c r="AC108" s="214" t="n"/>
      <c r="AD108" s="214" t="n"/>
      <c r="AE108" s="214" t="n"/>
      <c r="AF108" s="214" t="n"/>
      <c r="AG108" s="214" t="n"/>
      <c r="AH108" s="214" t="n"/>
      <c r="AI108" s="214" t="n"/>
      <c r="AJ108" s="214" t="n"/>
      <c r="AK108" s="214" t="n"/>
      <c r="AL108" s="214" t="n"/>
      <c r="AM108" s="214" t="n"/>
      <c r="AN108" s="214" t="n"/>
      <c r="AO108" s="214" t="n"/>
      <c r="AP108" s="214" t="n"/>
      <c r="AQ108" s="214" t="n"/>
      <c r="AR108" s="214" t="n"/>
      <c r="AS108" s="214" t="n"/>
      <c r="AT108" s="214" t="n"/>
      <c r="AU108" s="214" t="n"/>
      <c r="AV108" s="214" t="n"/>
      <c r="AW108" s="214" t="n"/>
      <c r="AX108" s="214" t="n"/>
      <c r="AY108" s="214" t="n"/>
      <c r="AZ108" s="214" t="n"/>
      <c r="BA108" s="214" t="n"/>
      <c r="BB108" s="214" t="n"/>
      <c r="BC108" s="214" t="n"/>
      <c r="BD108" s="214" t="n"/>
      <c r="BE108" s="214" t="n"/>
      <c r="BF108" s="214" t="n"/>
      <c r="BG108" s="214" t="n"/>
      <c r="BH108" s="220" t="n"/>
      <c r="BI108" s="220">
        <f>IFERROR(COUNTIF(C108:BH108,"-"),"")</f>
        <v/>
      </c>
      <c r="BJ108" s="220">
        <f>IFERROR(COUNTIF(D108:BI108,"T"),"")</f>
        <v/>
      </c>
      <c r="BK108" s="220" t="n"/>
      <c r="BL108" s="3" t="n">
        <v>20</v>
      </c>
    </row>
    <row r="109">
      <c r="A109" s="1" t="n">
        <v>21</v>
      </c>
      <c r="B109" s="220">
        <f>IF('MAESTRO 1°'!B25="","",'MAESTRO 1°'!B25)</f>
        <v/>
      </c>
      <c r="C109" s="214" t="n"/>
      <c r="D109" s="214" t="n"/>
      <c r="E109" s="214" t="n"/>
      <c r="F109" s="214" t="n"/>
      <c r="G109" s="214" t="n"/>
      <c r="H109" s="214" t="n"/>
      <c r="I109" s="214" t="n"/>
      <c r="J109" s="214" t="n"/>
      <c r="K109" s="214" t="n"/>
      <c r="L109" s="214" t="n"/>
      <c r="M109" s="214" t="n"/>
      <c r="N109" s="214" t="n"/>
      <c r="O109" s="214" t="n"/>
      <c r="P109" s="214" t="n"/>
      <c r="Q109" s="214" t="n"/>
      <c r="R109" s="214" t="n"/>
      <c r="S109" s="214" t="n"/>
      <c r="T109" s="214" t="n"/>
      <c r="U109" s="214" t="n"/>
      <c r="V109" s="214" t="n"/>
      <c r="W109" s="214" t="n"/>
      <c r="X109" s="214" t="n"/>
      <c r="Y109" s="214" t="n"/>
      <c r="Z109" s="214" t="n"/>
      <c r="AA109" s="214" t="n"/>
      <c r="AB109" s="214" t="n"/>
      <c r="AC109" s="214" t="n"/>
      <c r="AD109" s="214" t="n"/>
      <c r="AE109" s="214" t="n"/>
      <c r="AF109" s="214" t="n"/>
      <c r="AG109" s="214" t="n"/>
      <c r="AH109" s="214" t="n"/>
      <c r="AI109" s="214" t="n"/>
      <c r="AJ109" s="214" t="n"/>
      <c r="AK109" s="214" t="n"/>
      <c r="AL109" s="214" t="n"/>
      <c r="AM109" s="214" t="n"/>
      <c r="AN109" s="214" t="n"/>
      <c r="AO109" s="214" t="n"/>
      <c r="AP109" s="214" t="n"/>
      <c r="AQ109" s="214" t="n"/>
      <c r="AR109" s="214" t="n"/>
      <c r="AS109" s="214" t="n"/>
      <c r="AT109" s="214" t="n"/>
      <c r="AU109" s="214" t="n"/>
      <c r="AV109" s="214" t="n"/>
      <c r="AW109" s="214" t="n"/>
      <c r="AX109" s="214" t="n"/>
      <c r="AY109" s="214" t="n"/>
      <c r="AZ109" s="214" t="n"/>
      <c r="BA109" s="214" t="n"/>
      <c r="BB109" s="214" t="n"/>
      <c r="BC109" s="214" t="n"/>
      <c r="BD109" s="214" t="n"/>
      <c r="BE109" s="214" t="n"/>
      <c r="BF109" s="214" t="n"/>
      <c r="BG109" s="214" t="n"/>
      <c r="BH109" s="220" t="n"/>
      <c r="BI109" s="220">
        <f>IFERROR(COUNTIF(C109:BH109,"-"),"")</f>
        <v/>
      </c>
      <c r="BJ109" s="220">
        <f>IFERROR(COUNTIF(D109:BI109,"T"),"")</f>
        <v/>
      </c>
      <c r="BK109" s="220" t="n"/>
      <c r="BL109" s="3" t="n">
        <v>21</v>
      </c>
    </row>
    <row r="110">
      <c r="A110" s="1" t="n">
        <v>22</v>
      </c>
      <c r="B110" s="220">
        <f>IF('MAESTRO 1°'!B26="","",'MAESTRO 1°'!B26)</f>
        <v/>
      </c>
      <c r="C110" s="214" t="n"/>
      <c r="D110" s="214" t="n"/>
      <c r="E110" s="214" t="n"/>
      <c r="F110" s="214" t="n"/>
      <c r="G110" s="214" t="n"/>
      <c r="H110" s="214" t="n"/>
      <c r="I110" s="214" t="n"/>
      <c r="J110" s="214" t="n"/>
      <c r="K110" s="214" t="n"/>
      <c r="L110" s="214" t="n"/>
      <c r="M110" s="214" t="n"/>
      <c r="N110" s="214" t="n"/>
      <c r="O110" s="214" t="n"/>
      <c r="P110" s="214" t="n"/>
      <c r="Q110" s="214" t="n"/>
      <c r="R110" s="214" t="n"/>
      <c r="S110" s="214" t="n"/>
      <c r="T110" s="214" t="n"/>
      <c r="U110" s="214" t="n"/>
      <c r="V110" s="214" t="n"/>
      <c r="W110" s="214" t="n"/>
      <c r="X110" s="214" t="n"/>
      <c r="Y110" s="214" t="n"/>
      <c r="Z110" s="214" t="n"/>
      <c r="AA110" s="214" t="n"/>
      <c r="AB110" s="214" t="n"/>
      <c r="AC110" s="214" t="n"/>
      <c r="AD110" s="214" t="n"/>
      <c r="AE110" s="214" t="n"/>
      <c r="AF110" s="214" t="n"/>
      <c r="AG110" s="214" t="n"/>
      <c r="AH110" s="214" t="n"/>
      <c r="AI110" s="214" t="n"/>
      <c r="AJ110" s="214" t="n"/>
      <c r="AK110" s="214" t="n"/>
      <c r="AL110" s="214" t="n"/>
      <c r="AM110" s="214" t="n"/>
      <c r="AN110" s="214" t="n"/>
      <c r="AO110" s="214" t="n"/>
      <c r="AP110" s="214" t="n"/>
      <c r="AQ110" s="214" t="n"/>
      <c r="AR110" s="214" t="n"/>
      <c r="AS110" s="214" t="n"/>
      <c r="AT110" s="214" t="n"/>
      <c r="AU110" s="214" t="n"/>
      <c r="AV110" s="214" t="n"/>
      <c r="AW110" s="214" t="n"/>
      <c r="AX110" s="214" t="n"/>
      <c r="AY110" s="214" t="n"/>
      <c r="AZ110" s="214" t="n"/>
      <c r="BA110" s="214" t="n"/>
      <c r="BB110" s="214" t="n"/>
      <c r="BC110" s="214" t="n"/>
      <c r="BD110" s="214" t="n"/>
      <c r="BE110" s="214" t="n"/>
      <c r="BF110" s="214" t="n"/>
      <c r="BG110" s="214" t="n"/>
      <c r="BH110" s="220" t="n"/>
      <c r="BI110" s="220">
        <f>IFERROR(COUNTIF(C110:BH110,"-"),"")</f>
        <v/>
      </c>
      <c r="BJ110" s="220">
        <f>IFERROR(COUNTIF(D110:BI110,"T"),"")</f>
        <v/>
      </c>
      <c r="BK110" s="220" t="n"/>
      <c r="BL110" s="3" t="n">
        <v>22</v>
      </c>
    </row>
    <row r="111">
      <c r="A111" s="1" t="n">
        <v>23</v>
      </c>
      <c r="B111" s="220">
        <f>IF('MAESTRO 1°'!B27="","",'MAESTRO 1°'!B27)</f>
        <v/>
      </c>
      <c r="C111" s="214" t="n"/>
      <c r="D111" s="214" t="n"/>
      <c r="E111" s="214" t="n"/>
      <c r="F111" s="214" t="n"/>
      <c r="G111" s="214" t="n"/>
      <c r="H111" s="214" t="n"/>
      <c r="I111" s="214" t="n"/>
      <c r="J111" s="214" t="n"/>
      <c r="K111" s="214" t="n"/>
      <c r="L111" s="214" t="n"/>
      <c r="M111" s="214" t="n"/>
      <c r="N111" s="214" t="n"/>
      <c r="O111" s="214" t="n"/>
      <c r="P111" s="214" t="n"/>
      <c r="Q111" s="214" t="n"/>
      <c r="R111" s="214" t="n"/>
      <c r="S111" s="214" t="n"/>
      <c r="T111" s="214" t="n"/>
      <c r="U111" s="214" t="n"/>
      <c r="V111" s="214" t="n"/>
      <c r="W111" s="214" t="n"/>
      <c r="X111" s="214" t="n"/>
      <c r="Y111" s="214" t="n"/>
      <c r="Z111" s="214" t="n"/>
      <c r="AA111" s="214" t="n"/>
      <c r="AB111" s="214" t="n"/>
      <c r="AC111" s="214" t="n"/>
      <c r="AD111" s="214" t="n"/>
      <c r="AE111" s="214" t="n"/>
      <c r="AF111" s="214" t="n"/>
      <c r="AG111" s="214" t="n"/>
      <c r="AH111" s="214" t="n"/>
      <c r="AI111" s="214" t="n"/>
      <c r="AJ111" s="214" t="n"/>
      <c r="AK111" s="214" t="n"/>
      <c r="AL111" s="214" t="n"/>
      <c r="AM111" s="214" t="n"/>
      <c r="AN111" s="214" t="n"/>
      <c r="AO111" s="214" t="n"/>
      <c r="AP111" s="214" t="n"/>
      <c r="AQ111" s="214" t="n"/>
      <c r="AR111" s="214" t="n"/>
      <c r="AS111" s="214" t="n"/>
      <c r="AT111" s="214" t="n"/>
      <c r="AU111" s="214" t="n"/>
      <c r="AV111" s="214" t="n"/>
      <c r="AW111" s="214" t="n"/>
      <c r="AX111" s="214" t="n"/>
      <c r="AY111" s="214" t="n"/>
      <c r="AZ111" s="214" t="n"/>
      <c r="BA111" s="214" t="n"/>
      <c r="BB111" s="214" t="n"/>
      <c r="BC111" s="214" t="n"/>
      <c r="BD111" s="214" t="n"/>
      <c r="BE111" s="214" t="n"/>
      <c r="BF111" s="214" t="n"/>
      <c r="BG111" s="214" t="n"/>
      <c r="BH111" s="220" t="n"/>
      <c r="BI111" s="220">
        <f>IFERROR(COUNTIF(C111:BH111,"-"),"")</f>
        <v/>
      </c>
      <c r="BJ111" s="220">
        <f>IFERROR(COUNTIF(D111:BI111,"T"),"")</f>
        <v/>
      </c>
      <c r="BK111" s="220" t="n"/>
      <c r="BL111" s="3" t="n">
        <v>23</v>
      </c>
    </row>
    <row r="112">
      <c r="A112" s="1" t="n">
        <v>24</v>
      </c>
      <c r="B112" s="220">
        <f>IF('MAESTRO 1°'!B28="","",'MAESTRO 1°'!B28)</f>
        <v/>
      </c>
      <c r="C112" s="214" t="n"/>
      <c r="D112" s="214" t="n"/>
      <c r="E112" s="214" t="n"/>
      <c r="F112" s="214" t="n"/>
      <c r="G112" s="214" t="n"/>
      <c r="H112" s="214" t="n"/>
      <c r="I112" s="214" t="n"/>
      <c r="J112" s="214" t="n"/>
      <c r="K112" s="214" t="n"/>
      <c r="L112" s="214" t="n"/>
      <c r="M112" s="214" t="n"/>
      <c r="N112" s="214" t="n"/>
      <c r="O112" s="214" t="n"/>
      <c r="P112" s="214" t="n"/>
      <c r="Q112" s="214" t="n"/>
      <c r="R112" s="214" t="n"/>
      <c r="S112" s="214" t="n"/>
      <c r="T112" s="214" t="n"/>
      <c r="U112" s="214" t="n"/>
      <c r="V112" s="214" t="n"/>
      <c r="W112" s="214" t="n"/>
      <c r="X112" s="214" t="n"/>
      <c r="Y112" s="214" t="n"/>
      <c r="Z112" s="214" t="n"/>
      <c r="AA112" s="214" t="n"/>
      <c r="AB112" s="214" t="n"/>
      <c r="AC112" s="214" t="n"/>
      <c r="AD112" s="214" t="n"/>
      <c r="AE112" s="214" t="n"/>
      <c r="AF112" s="214" t="n"/>
      <c r="AG112" s="214" t="n"/>
      <c r="AH112" s="214" t="n"/>
      <c r="AI112" s="214" t="n"/>
      <c r="AJ112" s="214" t="n"/>
      <c r="AK112" s="214" t="n"/>
      <c r="AL112" s="214" t="n"/>
      <c r="AM112" s="214" t="n"/>
      <c r="AN112" s="214" t="n"/>
      <c r="AO112" s="214" t="n"/>
      <c r="AP112" s="214" t="n"/>
      <c r="AQ112" s="214" t="n"/>
      <c r="AR112" s="214" t="n"/>
      <c r="AS112" s="214" t="n"/>
      <c r="AT112" s="214" t="n"/>
      <c r="AU112" s="214" t="n"/>
      <c r="AV112" s="214" t="n"/>
      <c r="AW112" s="214" t="n"/>
      <c r="AX112" s="214" t="n"/>
      <c r="AY112" s="214" t="n"/>
      <c r="AZ112" s="214" t="n"/>
      <c r="BA112" s="214" t="n"/>
      <c r="BB112" s="214" t="n"/>
      <c r="BC112" s="214" t="n"/>
      <c r="BD112" s="214" t="n"/>
      <c r="BE112" s="214" t="n"/>
      <c r="BF112" s="214" t="n"/>
      <c r="BG112" s="214" t="n"/>
      <c r="BH112" s="220" t="n"/>
      <c r="BI112" s="220">
        <f>IFERROR(COUNTIF(C112:BH112,"-"),"")</f>
        <v/>
      </c>
      <c r="BJ112" s="220">
        <f>IFERROR(COUNTIF(D112:BI112,"T"),"")</f>
        <v/>
      </c>
      <c r="BK112" s="220" t="n"/>
      <c r="BL112" s="3" t="n">
        <v>24</v>
      </c>
    </row>
    <row r="113">
      <c r="A113" s="1" t="n">
        <v>25</v>
      </c>
      <c r="B113" s="220">
        <f>IF('MAESTRO 1°'!B29="","",'MAESTRO 1°'!B29)</f>
        <v/>
      </c>
      <c r="C113" s="214" t="n"/>
      <c r="D113" s="214" t="n"/>
      <c r="E113" s="214" t="n"/>
      <c r="F113" s="214" t="n"/>
      <c r="G113" s="214" t="n"/>
      <c r="H113" s="214" t="n"/>
      <c r="I113" s="214" t="n"/>
      <c r="J113" s="214" t="n"/>
      <c r="K113" s="214" t="n"/>
      <c r="L113" s="214" t="n"/>
      <c r="M113" s="214" t="n"/>
      <c r="N113" s="214" t="n"/>
      <c r="O113" s="214" t="n"/>
      <c r="P113" s="214" t="n"/>
      <c r="Q113" s="214" t="n"/>
      <c r="R113" s="214" t="n"/>
      <c r="S113" s="214" t="n"/>
      <c r="T113" s="214" t="n"/>
      <c r="U113" s="214" t="n"/>
      <c r="V113" s="214" t="n"/>
      <c r="W113" s="214" t="n"/>
      <c r="X113" s="214" t="n"/>
      <c r="Y113" s="214" t="n"/>
      <c r="Z113" s="214" t="n"/>
      <c r="AA113" s="214" t="n"/>
      <c r="AB113" s="214" t="n"/>
      <c r="AC113" s="214" t="n"/>
      <c r="AD113" s="214" t="n"/>
      <c r="AE113" s="214" t="n"/>
      <c r="AF113" s="214" t="n"/>
      <c r="AG113" s="214" t="n"/>
      <c r="AH113" s="214" t="n"/>
      <c r="AI113" s="214" t="n"/>
      <c r="AJ113" s="214" t="n"/>
      <c r="AK113" s="214" t="n"/>
      <c r="AL113" s="214" t="n"/>
      <c r="AM113" s="214" t="n"/>
      <c r="AN113" s="214" t="n"/>
      <c r="AO113" s="214" t="n"/>
      <c r="AP113" s="214" t="n"/>
      <c r="AQ113" s="214" t="n"/>
      <c r="AR113" s="214" t="n"/>
      <c r="AS113" s="214" t="n"/>
      <c r="AT113" s="214" t="n"/>
      <c r="AU113" s="214" t="n"/>
      <c r="AV113" s="214" t="n"/>
      <c r="AW113" s="214" t="n"/>
      <c r="AX113" s="214" t="n"/>
      <c r="AY113" s="214" t="n"/>
      <c r="AZ113" s="214" t="n"/>
      <c r="BA113" s="214" t="n"/>
      <c r="BB113" s="214" t="n"/>
      <c r="BC113" s="214" t="n"/>
      <c r="BD113" s="214" t="n"/>
      <c r="BE113" s="214" t="n"/>
      <c r="BF113" s="214" t="n"/>
      <c r="BG113" s="214" t="n"/>
      <c r="BH113" s="220" t="n"/>
      <c r="BI113" s="220">
        <f>IFERROR(COUNTIF(C113:BH113,"-"),"")</f>
        <v/>
      </c>
      <c r="BJ113" s="220">
        <f>IFERROR(COUNTIF(D113:BI113,"T"),"")</f>
        <v/>
      </c>
      <c r="BK113" s="220" t="n"/>
      <c r="BL113" s="3" t="n">
        <v>25</v>
      </c>
    </row>
    <row r="114">
      <c r="A114" s="1" t="n">
        <v>26</v>
      </c>
      <c r="B114" s="220">
        <f>IF('MAESTRO 1°'!B30="","",'MAESTRO 1°'!B30)</f>
        <v/>
      </c>
      <c r="C114" s="214" t="n"/>
      <c r="D114" s="214" t="n"/>
      <c r="E114" s="214" t="n"/>
      <c r="F114" s="214" t="n"/>
      <c r="G114" s="214" t="n"/>
      <c r="H114" s="214" t="n"/>
      <c r="I114" s="214" t="n"/>
      <c r="J114" s="214" t="n"/>
      <c r="K114" s="214" t="n"/>
      <c r="L114" s="214"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c r="AW114" s="214" t="n"/>
      <c r="AX114" s="214" t="n"/>
      <c r="AY114" s="214" t="n"/>
      <c r="AZ114" s="214" t="n"/>
      <c r="BA114" s="214" t="n"/>
      <c r="BB114" s="214" t="n"/>
      <c r="BC114" s="214" t="n"/>
      <c r="BD114" s="214" t="n"/>
      <c r="BE114" s="214" t="n"/>
      <c r="BF114" s="214" t="n"/>
      <c r="BG114" s="214" t="n"/>
      <c r="BH114" s="220" t="n"/>
      <c r="BI114" s="220">
        <f>IFERROR(COUNTIF(C114:BH114,"-"),"")</f>
        <v/>
      </c>
      <c r="BJ114" s="220">
        <f>IFERROR(COUNTIF(D114:BI114,"T"),"")</f>
        <v/>
      </c>
      <c r="BK114" s="220" t="n"/>
      <c r="BL114" s="3" t="n">
        <v>26</v>
      </c>
    </row>
    <row r="115">
      <c r="A115" s="1" t="n">
        <v>27</v>
      </c>
      <c r="B115" s="220">
        <f>IF('MAESTRO 1°'!B31="","",'MAESTRO 1°'!B31)</f>
        <v/>
      </c>
      <c r="C115" s="214" t="n"/>
      <c r="D115" s="214" t="n"/>
      <c r="E115" s="214" t="n"/>
      <c r="F115" s="214" t="n"/>
      <c r="G115" s="214" t="n"/>
      <c r="H115" s="214" t="n"/>
      <c r="I115" s="214" t="n"/>
      <c r="J115" s="214" t="n"/>
      <c r="K115" s="214" t="n"/>
      <c r="L115" s="214" t="n"/>
      <c r="M115" s="214" t="n"/>
      <c r="N115" s="214" t="n"/>
      <c r="O115" s="214" t="n"/>
      <c r="P115" s="214" t="n"/>
      <c r="Q115" s="214" t="n"/>
      <c r="R115" s="214" t="n"/>
      <c r="S115" s="214" t="n"/>
      <c r="T115" s="214" t="n"/>
      <c r="U115" s="214" t="n"/>
      <c r="V115" s="214" t="n"/>
      <c r="W115" s="214" t="n"/>
      <c r="X115" s="214" t="n"/>
      <c r="Y115" s="214" t="n"/>
      <c r="Z115" s="214" t="n"/>
      <c r="AA115" s="214" t="n"/>
      <c r="AB115" s="214" t="n"/>
      <c r="AC115" s="214" t="n"/>
      <c r="AD115" s="214" t="n"/>
      <c r="AE115" s="214" t="n"/>
      <c r="AF115" s="214" t="n"/>
      <c r="AG115" s="214" t="n"/>
      <c r="AH115" s="214" t="n"/>
      <c r="AI115" s="214" t="n"/>
      <c r="AJ115" s="214" t="n"/>
      <c r="AK115" s="214" t="n"/>
      <c r="AL115" s="214" t="n"/>
      <c r="AM115" s="214" t="n"/>
      <c r="AN115" s="214" t="n"/>
      <c r="AO115" s="214" t="n"/>
      <c r="AP115" s="214" t="n"/>
      <c r="AQ115" s="214" t="n"/>
      <c r="AR115" s="214" t="n"/>
      <c r="AS115" s="214" t="n"/>
      <c r="AT115" s="214" t="n"/>
      <c r="AU115" s="214" t="n"/>
      <c r="AV115" s="214" t="n"/>
      <c r="AW115" s="214" t="n"/>
      <c r="AX115" s="214" t="n"/>
      <c r="AY115" s="214" t="n"/>
      <c r="AZ115" s="214" t="n"/>
      <c r="BA115" s="214" t="n"/>
      <c r="BB115" s="214" t="n"/>
      <c r="BC115" s="214" t="n"/>
      <c r="BD115" s="214" t="n"/>
      <c r="BE115" s="214" t="n"/>
      <c r="BF115" s="214" t="n"/>
      <c r="BG115" s="214" t="n"/>
      <c r="BH115" s="220" t="n"/>
      <c r="BI115" s="220">
        <f>IFERROR(COUNTIF(C115:BH115,"-"),"")</f>
        <v/>
      </c>
      <c r="BJ115" s="220">
        <f>IFERROR(COUNTIF(D115:BI115,"T"),"")</f>
        <v/>
      </c>
      <c r="BK115" s="220" t="n"/>
      <c r="BL115" s="3" t="n">
        <v>27</v>
      </c>
    </row>
    <row r="116">
      <c r="A116" s="1" t="n">
        <v>28</v>
      </c>
      <c r="B116" s="220">
        <f>IF('MAESTRO 1°'!B32="","",'MAESTRO 1°'!B32)</f>
        <v/>
      </c>
      <c r="C116" s="214" t="n"/>
      <c r="D116" s="214" t="n"/>
      <c r="E116" s="214" t="n"/>
      <c r="F116" s="214" t="n"/>
      <c r="G116" s="214" t="n"/>
      <c r="H116" s="214" t="n"/>
      <c r="I116" s="214" t="n"/>
      <c r="J116" s="214" t="n"/>
      <c r="K116" s="214" t="n"/>
      <c r="L116" s="214" t="n"/>
      <c r="M116" s="214" t="n"/>
      <c r="N116" s="214" t="n"/>
      <c r="O116" s="214" t="n"/>
      <c r="P116" s="214" t="n"/>
      <c r="Q116" s="214" t="n"/>
      <c r="R116" s="214" t="n"/>
      <c r="S116" s="214" t="n"/>
      <c r="T116" s="214" t="n"/>
      <c r="U116" s="214" t="n"/>
      <c r="V116" s="214" t="n"/>
      <c r="W116" s="214" t="n"/>
      <c r="X116" s="214" t="n"/>
      <c r="Y116" s="214" t="n"/>
      <c r="Z116" s="214" t="n"/>
      <c r="AA116" s="214" t="n"/>
      <c r="AB116" s="214" t="n"/>
      <c r="AC116" s="214" t="n"/>
      <c r="AD116" s="214" t="n"/>
      <c r="AE116" s="214" t="n"/>
      <c r="AF116" s="214" t="n"/>
      <c r="AG116" s="214" t="n"/>
      <c r="AH116" s="214" t="n"/>
      <c r="AI116" s="214" t="n"/>
      <c r="AJ116" s="214" t="n"/>
      <c r="AK116" s="214" t="n"/>
      <c r="AL116" s="214" t="n"/>
      <c r="AM116" s="214" t="n"/>
      <c r="AN116" s="214" t="n"/>
      <c r="AO116" s="214" t="n"/>
      <c r="AP116" s="214" t="n"/>
      <c r="AQ116" s="214" t="n"/>
      <c r="AR116" s="214" t="n"/>
      <c r="AS116" s="214" t="n"/>
      <c r="AT116" s="214" t="n"/>
      <c r="AU116" s="214" t="n"/>
      <c r="AV116" s="214" t="n"/>
      <c r="AW116" s="214" t="n"/>
      <c r="AX116" s="214" t="n"/>
      <c r="AY116" s="214" t="n"/>
      <c r="AZ116" s="214" t="n"/>
      <c r="BA116" s="214" t="n"/>
      <c r="BB116" s="214" t="n"/>
      <c r="BC116" s="214" t="n"/>
      <c r="BD116" s="214" t="n"/>
      <c r="BE116" s="214" t="n"/>
      <c r="BF116" s="214" t="n"/>
      <c r="BG116" s="214" t="n"/>
      <c r="BH116" s="220" t="n"/>
      <c r="BI116" s="220">
        <f>IFERROR(COUNTIF(C116:BH116,"-"),"")</f>
        <v/>
      </c>
      <c r="BJ116" s="220">
        <f>IFERROR(COUNTIF(D116:BI116,"T"),"")</f>
        <v/>
      </c>
      <c r="BK116" s="220" t="n"/>
      <c r="BL116" s="3" t="n">
        <v>28</v>
      </c>
    </row>
    <row r="117">
      <c r="A117" s="1" t="n">
        <v>29</v>
      </c>
      <c r="B117" s="220">
        <f>IF('MAESTRO 1°'!B33="","",'MAESTRO 1°'!B33)</f>
        <v/>
      </c>
      <c r="C117" s="214" t="n"/>
      <c r="D117" s="214" t="n"/>
      <c r="E117" s="214" t="n"/>
      <c r="F117" s="214" t="n"/>
      <c r="G117" s="214" t="n"/>
      <c r="H117" s="214" t="n"/>
      <c r="I117" s="214" t="n"/>
      <c r="J117" s="214" t="n"/>
      <c r="K117" s="214" t="n"/>
      <c r="L117" s="214" t="n"/>
      <c r="M117" s="214" t="n"/>
      <c r="N117" s="214" t="n"/>
      <c r="O117" s="214" t="n"/>
      <c r="P117" s="214" t="n"/>
      <c r="Q117" s="214" t="n"/>
      <c r="R117" s="214" t="n"/>
      <c r="S117" s="214" t="n"/>
      <c r="T117" s="214" t="n"/>
      <c r="U117" s="214" t="n"/>
      <c r="V117" s="214" t="n"/>
      <c r="W117" s="214" t="n"/>
      <c r="X117" s="214" t="n"/>
      <c r="Y117" s="214" t="n"/>
      <c r="Z117" s="214" t="n"/>
      <c r="AA117" s="214" t="n"/>
      <c r="AB117" s="214" t="n"/>
      <c r="AC117" s="214" t="n"/>
      <c r="AD117" s="214" t="n"/>
      <c r="AE117" s="214" t="n"/>
      <c r="AF117" s="214" t="n"/>
      <c r="AG117" s="214" t="n"/>
      <c r="AH117" s="214" t="n"/>
      <c r="AI117" s="214" t="n"/>
      <c r="AJ117" s="214" t="n"/>
      <c r="AK117" s="214" t="n"/>
      <c r="AL117" s="214" t="n"/>
      <c r="AM117" s="214" t="n"/>
      <c r="AN117" s="214" t="n"/>
      <c r="AO117" s="214" t="n"/>
      <c r="AP117" s="214" t="n"/>
      <c r="AQ117" s="214" t="n"/>
      <c r="AR117" s="214" t="n"/>
      <c r="AS117" s="214" t="n"/>
      <c r="AT117" s="214" t="n"/>
      <c r="AU117" s="214" t="n"/>
      <c r="AV117" s="214" t="n"/>
      <c r="AW117" s="214" t="n"/>
      <c r="AX117" s="214" t="n"/>
      <c r="AY117" s="214" t="n"/>
      <c r="AZ117" s="214" t="n"/>
      <c r="BA117" s="214" t="n"/>
      <c r="BB117" s="214" t="n"/>
      <c r="BC117" s="214" t="n"/>
      <c r="BD117" s="214" t="n"/>
      <c r="BE117" s="214" t="n"/>
      <c r="BF117" s="214" t="n"/>
      <c r="BG117" s="214" t="n"/>
      <c r="BH117" s="220" t="n"/>
      <c r="BI117" s="220">
        <f>IFERROR(COUNTIF(C117:BH117,"-"),"")</f>
        <v/>
      </c>
      <c r="BJ117" s="220">
        <f>IFERROR(COUNTIF(D117:BI117,"T"),"")</f>
        <v/>
      </c>
      <c r="BK117" s="220" t="n"/>
      <c r="BL117" s="3" t="n">
        <v>29</v>
      </c>
    </row>
    <row r="118">
      <c r="A118" s="1" t="n">
        <v>30</v>
      </c>
      <c r="B118" s="220">
        <f>IF('MAESTRO 1°'!B34="","",'MAESTRO 1°'!B34)</f>
        <v/>
      </c>
      <c r="C118" s="214" t="n"/>
      <c r="D118" s="214" t="n"/>
      <c r="E118" s="214" t="n"/>
      <c r="F118" s="214" t="n"/>
      <c r="G118" s="214" t="n"/>
      <c r="H118" s="214" t="n"/>
      <c r="I118" s="214" t="n"/>
      <c r="J118" s="214" t="n"/>
      <c r="K118" s="214" t="n"/>
      <c r="L118" s="214" t="n"/>
      <c r="M118" s="214" t="n"/>
      <c r="N118" s="214" t="n"/>
      <c r="O118" s="214" t="n"/>
      <c r="P118" s="214" t="n"/>
      <c r="Q118" s="214" t="n"/>
      <c r="R118" s="214" t="n"/>
      <c r="S118" s="214" t="n"/>
      <c r="T118" s="214" t="n"/>
      <c r="U118" s="214" t="n"/>
      <c r="V118" s="214" t="n"/>
      <c r="W118" s="214" t="n"/>
      <c r="X118" s="214" t="n"/>
      <c r="Y118" s="214" t="n"/>
      <c r="Z118" s="214" t="n"/>
      <c r="AA118" s="214" t="n"/>
      <c r="AB118" s="214" t="n"/>
      <c r="AC118" s="214" t="n"/>
      <c r="AD118" s="214" t="n"/>
      <c r="AE118" s="214" t="n"/>
      <c r="AF118" s="214" t="n"/>
      <c r="AG118" s="214" t="n"/>
      <c r="AH118" s="214" t="n"/>
      <c r="AI118" s="214" t="n"/>
      <c r="AJ118" s="214" t="n"/>
      <c r="AK118" s="214" t="n"/>
      <c r="AL118" s="214" t="n"/>
      <c r="AM118" s="214" t="n"/>
      <c r="AN118" s="214" t="n"/>
      <c r="AO118" s="214" t="n"/>
      <c r="AP118" s="214" t="n"/>
      <c r="AQ118" s="214" t="n"/>
      <c r="AR118" s="214" t="n"/>
      <c r="AS118" s="214" t="n"/>
      <c r="AT118" s="214" t="n"/>
      <c r="AU118" s="214" t="n"/>
      <c r="AV118" s="214" t="n"/>
      <c r="AW118" s="214" t="n"/>
      <c r="AX118" s="214" t="n"/>
      <c r="AY118" s="214" t="n"/>
      <c r="AZ118" s="214" t="n"/>
      <c r="BA118" s="214" t="n"/>
      <c r="BB118" s="214" t="n"/>
      <c r="BC118" s="214" t="n"/>
      <c r="BD118" s="214" t="n"/>
      <c r="BE118" s="214" t="n"/>
      <c r="BF118" s="214" t="n"/>
      <c r="BG118" s="214" t="n"/>
      <c r="BH118" s="220" t="n"/>
      <c r="BI118" s="220">
        <f>IFERROR(COUNTIF(C118:BH118,"-"),"")</f>
        <v/>
      </c>
      <c r="BJ118" s="220">
        <f>IFERROR(COUNTIF(D118:BI118,"T"),"")</f>
        <v/>
      </c>
      <c r="BK118" s="220" t="n"/>
      <c r="BL118" s="3" t="n">
        <v>30</v>
      </c>
    </row>
    <row r="119">
      <c r="A119" s="1" t="n">
        <v>31</v>
      </c>
      <c r="B119" s="220">
        <f>IF('MAESTRO 1°'!B35="","",'MAESTRO 1°'!B35)</f>
        <v/>
      </c>
      <c r="C119" s="214" t="n"/>
      <c r="D119" s="214" t="n"/>
      <c r="E119" s="214" t="n"/>
      <c r="F119" s="214" t="n"/>
      <c r="G119" s="214" t="n"/>
      <c r="H119" s="214" t="n"/>
      <c r="I119" s="214" t="n"/>
      <c r="J119" s="214" t="n"/>
      <c r="K119" s="214" t="n"/>
      <c r="L119" s="214" t="n"/>
      <c r="M119" s="214" t="n"/>
      <c r="N119" s="214" t="n"/>
      <c r="O119" s="214" t="n"/>
      <c r="P119" s="214" t="n"/>
      <c r="Q119" s="214" t="n"/>
      <c r="R119" s="214" t="n"/>
      <c r="S119" s="214" t="n"/>
      <c r="T119" s="214" t="n"/>
      <c r="U119" s="214" t="n"/>
      <c r="V119" s="214" t="n"/>
      <c r="W119" s="214" t="n"/>
      <c r="X119" s="214" t="n"/>
      <c r="Y119" s="214" t="n"/>
      <c r="Z119" s="214" t="n"/>
      <c r="AA119" s="214" t="n"/>
      <c r="AB119" s="214" t="n"/>
      <c r="AC119" s="214" t="n"/>
      <c r="AD119" s="214" t="n"/>
      <c r="AE119" s="214" t="n"/>
      <c r="AF119" s="214" t="n"/>
      <c r="AG119" s="214" t="n"/>
      <c r="AH119" s="214" t="n"/>
      <c r="AI119" s="214" t="n"/>
      <c r="AJ119" s="214" t="n"/>
      <c r="AK119" s="214" t="n"/>
      <c r="AL119" s="214" t="n"/>
      <c r="AM119" s="214" t="n"/>
      <c r="AN119" s="214" t="n"/>
      <c r="AO119" s="214" t="n"/>
      <c r="AP119" s="214" t="n"/>
      <c r="AQ119" s="214" t="n"/>
      <c r="AR119" s="214" t="n"/>
      <c r="AS119" s="214" t="n"/>
      <c r="AT119" s="214" t="n"/>
      <c r="AU119" s="214" t="n"/>
      <c r="AV119" s="214" t="n"/>
      <c r="AW119" s="214" t="n"/>
      <c r="AX119" s="214" t="n"/>
      <c r="AY119" s="214" t="n"/>
      <c r="AZ119" s="214" t="n"/>
      <c r="BA119" s="214" t="n"/>
      <c r="BB119" s="214" t="n"/>
      <c r="BC119" s="214" t="n"/>
      <c r="BD119" s="214" t="n"/>
      <c r="BE119" s="214" t="n"/>
      <c r="BF119" s="214" t="n"/>
      <c r="BG119" s="214" t="n"/>
      <c r="BH119" s="220" t="n"/>
      <c r="BI119" s="220">
        <f>IFERROR(COUNTIF(C119:BH119,"-"),"")</f>
        <v/>
      </c>
      <c r="BJ119" s="220">
        <f>IFERROR(COUNTIF(D119:BI119,"T"),"")</f>
        <v/>
      </c>
      <c r="BK119" s="220" t="n"/>
      <c r="BL119" s="3" t="n">
        <v>31</v>
      </c>
    </row>
    <row r="120">
      <c r="A120" s="1" t="n">
        <v>32</v>
      </c>
      <c r="B120" s="220">
        <f>IF('MAESTRO 1°'!B36="","",'MAESTRO 1°'!B36)</f>
        <v/>
      </c>
      <c r="C120" s="214" t="n"/>
      <c r="D120" s="214" t="n"/>
      <c r="E120" s="214" t="n"/>
      <c r="F120" s="214" t="n"/>
      <c r="G120" s="214" t="n"/>
      <c r="H120" s="214" t="n"/>
      <c r="I120" s="214" t="n"/>
      <c r="J120" s="214" t="n"/>
      <c r="K120" s="214" t="n"/>
      <c r="L120" s="214" t="n"/>
      <c r="M120" s="214" t="n"/>
      <c r="N120" s="214" t="n"/>
      <c r="O120" s="214" t="n"/>
      <c r="P120" s="214" t="n"/>
      <c r="Q120" s="214" t="n"/>
      <c r="R120" s="214" t="n"/>
      <c r="S120" s="214" t="n"/>
      <c r="T120" s="214" t="n"/>
      <c r="U120" s="214" t="n"/>
      <c r="V120" s="214" t="n"/>
      <c r="W120" s="214" t="n"/>
      <c r="X120" s="214" t="n"/>
      <c r="Y120" s="214" t="n"/>
      <c r="Z120" s="214" t="n"/>
      <c r="AA120" s="214" t="n"/>
      <c r="AB120" s="214" t="n"/>
      <c r="AC120" s="214" t="n"/>
      <c r="AD120" s="214" t="n"/>
      <c r="AE120" s="214" t="n"/>
      <c r="AF120" s="214" t="n"/>
      <c r="AG120" s="214" t="n"/>
      <c r="AH120" s="214" t="n"/>
      <c r="AI120" s="214" t="n"/>
      <c r="AJ120" s="214" t="n"/>
      <c r="AK120" s="214" t="n"/>
      <c r="AL120" s="214" t="n"/>
      <c r="AM120" s="214" t="n"/>
      <c r="AN120" s="214" t="n"/>
      <c r="AO120" s="214" t="n"/>
      <c r="AP120" s="214" t="n"/>
      <c r="AQ120" s="214" t="n"/>
      <c r="AR120" s="214" t="n"/>
      <c r="AS120" s="214" t="n"/>
      <c r="AT120" s="214" t="n"/>
      <c r="AU120" s="214" t="n"/>
      <c r="AV120" s="214" t="n"/>
      <c r="AW120" s="214" t="n"/>
      <c r="AX120" s="214" t="n"/>
      <c r="AY120" s="214" t="n"/>
      <c r="AZ120" s="214" t="n"/>
      <c r="BA120" s="214" t="n"/>
      <c r="BB120" s="214" t="n"/>
      <c r="BC120" s="214" t="n"/>
      <c r="BD120" s="214" t="n"/>
      <c r="BE120" s="214" t="n"/>
      <c r="BF120" s="214" t="n"/>
      <c r="BG120" s="214" t="n"/>
      <c r="BH120" s="220" t="n"/>
      <c r="BI120" s="220">
        <f>IFERROR(COUNTIF(C120:BH120,"-"),"")</f>
        <v/>
      </c>
      <c r="BJ120" s="220">
        <f>IFERROR(COUNTIF(D120:BI120,"T"),"")</f>
        <v/>
      </c>
      <c r="BK120" s="220" t="n"/>
      <c r="BL120" s="3" t="n">
        <v>32</v>
      </c>
    </row>
    <row r="121">
      <c r="A121" s="1" t="n">
        <v>33</v>
      </c>
      <c r="B121" s="220">
        <f>IF('MAESTRO 1°'!B37="","",'MAESTRO 1°'!B37)</f>
        <v/>
      </c>
      <c r="C121" s="214" t="n"/>
      <c r="D121" s="214" t="n"/>
      <c r="E121" s="214" t="n"/>
      <c r="F121" s="214" t="n"/>
      <c r="G121" s="214" t="n"/>
      <c r="H121" s="214" t="n"/>
      <c r="I121" s="214" t="n"/>
      <c r="J121" s="214" t="n"/>
      <c r="K121" s="214" t="n"/>
      <c r="L121" s="214" t="n"/>
      <c r="M121" s="214" t="n"/>
      <c r="N121" s="214" t="n"/>
      <c r="O121" s="214" t="n"/>
      <c r="P121" s="214" t="n"/>
      <c r="Q121" s="214" t="n"/>
      <c r="R121" s="214" t="n"/>
      <c r="S121" s="214" t="n"/>
      <c r="T121" s="214" t="n"/>
      <c r="U121" s="214" t="n"/>
      <c r="V121" s="214" t="n"/>
      <c r="W121" s="214" t="n"/>
      <c r="X121" s="214" t="n"/>
      <c r="Y121" s="214" t="n"/>
      <c r="Z121" s="214" t="n"/>
      <c r="AA121" s="214" t="n"/>
      <c r="AB121" s="214" t="n"/>
      <c r="AC121" s="214" t="n"/>
      <c r="AD121" s="214" t="n"/>
      <c r="AE121" s="214" t="n"/>
      <c r="AF121" s="214" t="n"/>
      <c r="AG121" s="214" t="n"/>
      <c r="AH121" s="214" t="n"/>
      <c r="AI121" s="214" t="n"/>
      <c r="AJ121" s="214" t="n"/>
      <c r="AK121" s="214" t="n"/>
      <c r="AL121" s="214" t="n"/>
      <c r="AM121" s="214" t="n"/>
      <c r="AN121" s="214" t="n"/>
      <c r="AO121" s="214" t="n"/>
      <c r="AP121" s="214" t="n"/>
      <c r="AQ121" s="214" t="n"/>
      <c r="AR121" s="214" t="n"/>
      <c r="AS121" s="214" t="n"/>
      <c r="AT121" s="214" t="n"/>
      <c r="AU121" s="214" t="n"/>
      <c r="AV121" s="214" t="n"/>
      <c r="AW121" s="214" t="n"/>
      <c r="AX121" s="214" t="n"/>
      <c r="AY121" s="214" t="n"/>
      <c r="AZ121" s="214" t="n"/>
      <c r="BA121" s="214" t="n"/>
      <c r="BB121" s="214" t="n"/>
      <c r="BC121" s="214" t="n"/>
      <c r="BD121" s="214" t="n"/>
      <c r="BE121" s="214" t="n"/>
      <c r="BF121" s="214" t="n"/>
      <c r="BG121" s="214" t="n"/>
      <c r="BH121" s="220" t="n"/>
      <c r="BI121" s="220">
        <f>IFERROR(COUNTIF(C121:BH121,"-"),"")</f>
        <v/>
      </c>
      <c r="BJ121" s="220">
        <f>IFERROR(COUNTIF(D121:BI121,"T"),"")</f>
        <v/>
      </c>
      <c r="BK121" s="220" t="n"/>
      <c r="BL121" s="3" t="n">
        <v>33</v>
      </c>
    </row>
    <row r="122">
      <c r="A122" s="1" t="n">
        <v>34</v>
      </c>
      <c r="B122" s="220">
        <f>IF('MAESTRO 1°'!B38="","",'MAESTRO 1°'!B38)</f>
        <v/>
      </c>
      <c r="C122" s="214" t="n"/>
      <c r="D122" s="214" t="n"/>
      <c r="E122" s="214" t="n"/>
      <c r="F122" s="214" t="n"/>
      <c r="G122" s="214" t="n"/>
      <c r="H122" s="214" t="n"/>
      <c r="I122" s="214" t="n"/>
      <c r="J122" s="214" t="n"/>
      <c r="K122" s="214" t="n"/>
      <c r="L122" s="214" t="n"/>
      <c r="M122" s="214" t="n"/>
      <c r="N122" s="214" t="n"/>
      <c r="O122" s="214" t="n"/>
      <c r="P122" s="214" t="n"/>
      <c r="Q122" s="214" t="n"/>
      <c r="R122" s="214" t="n"/>
      <c r="S122" s="214" t="n"/>
      <c r="T122" s="214" t="n"/>
      <c r="U122" s="214" t="n"/>
      <c r="V122" s="214" t="n"/>
      <c r="W122" s="214" t="n"/>
      <c r="X122" s="214" t="n"/>
      <c r="Y122" s="214" t="n"/>
      <c r="Z122" s="214" t="n"/>
      <c r="AA122" s="214" t="n"/>
      <c r="AB122" s="214" t="n"/>
      <c r="AC122" s="214" t="n"/>
      <c r="AD122" s="214" t="n"/>
      <c r="AE122" s="214" t="n"/>
      <c r="AF122" s="214" t="n"/>
      <c r="AG122" s="214" t="n"/>
      <c r="AH122" s="214" t="n"/>
      <c r="AI122" s="214" t="n"/>
      <c r="AJ122" s="214" t="n"/>
      <c r="AK122" s="214" t="n"/>
      <c r="AL122" s="214" t="n"/>
      <c r="AM122" s="214" t="n"/>
      <c r="AN122" s="214" t="n"/>
      <c r="AO122" s="214" t="n"/>
      <c r="AP122" s="214" t="n"/>
      <c r="AQ122" s="214" t="n"/>
      <c r="AR122" s="214" t="n"/>
      <c r="AS122" s="214" t="n"/>
      <c r="AT122" s="214" t="n"/>
      <c r="AU122" s="214" t="n"/>
      <c r="AV122" s="214" t="n"/>
      <c r="AW122" s="214" t="n"/>
      <c r="AX122" s="214" t="n"/>
      <c r="AY122" s="214" t="n"/>
      <c r="AZ122" s="214" t="n"/>
      <c r="BA122" s="214" t="n"/>
      <c r="BB122" s="214" t="n"/>
      <c r="BC122" s="214" t="n"/>
      <c r="BD122" s="214" t="n"/>
      <c r="BE122" s="214" t="n"/>
      <c r="BF122" s="214" t="n"/>
      <c r="BG122" s="214" t="n"/>
      <c r="BH122" s="220" t="n"/>
      <c r="BI122" s="220">
        <f>IFERROR(COUNTIF(C122:BH122,"-"),"")</f>
        <v/>
      </c>
      <c r="BJ122" s="220">
        <f>IFERROR(COUNTIF(D122:BI122,"T"),"")</f>
        <v/>
      </c>
      <c r="BK122" s="220" t="n"/>
      <c r="BL122" s="3" t="n">
        <v>34</v>
      </c>
    </row>
    <row r="123">
      <c r="A123" s="1" t="n">
        <v>35</v>
      </c>
      <c r="B123" s="220">
        <f>IF('MAESTRO 1°'!B39="","",'MAESTRO 1°'!B39)</f>
        <v/>
      </c>
      <c r="C123" s="214" t="n"/>
      <c r="D123" s="214" t="n"/>
      <c r="E123" s="214" t="n"/>
      <c r="F123" s="214" t="n"/>
      <c r="G123" s="214" t="n"/>
      <c r="H123" s="214" t="n"/>
      <c r="I123" s="214" t="n"/>
      <c r="J123" s="214" t="n"/>
      <c r="K123" s="214" t="n"/>
      <c r="L123" s="214" t="n"/>
      <c r="M123" s="214" t="n"/>
      <c r="N123" s="214" t="n"/>
      <c r="O123" s="214" t="n"/>
      <c r="P123" s="214" t="n"/>
      <c r="Q123" s="214" t="n"/>
      <c r="R123" s="214" t="n"/>
      <c r="S123" s="214" t="n"/>
      <c r="T123" s="214" t="n"/>
      <c r="U123" s="214" t="n"/>
      <c r="V123" s="214" t="n"/>
      <c r="W123" s="214" t="n"/>
      <c r="X123" s="214" t="n"/>
      <c r="Y123" s="214" t="n"/>
      <c r="Z123" s="214" t="n"/>
      <c r="AA123" s="214" t="n"/>
      <c r="AB123" s="214" t="n"/>
      <c r="AC123" s="214" t="n"/>
      <c r="AD123" s="214" t="n"/>
      <c r="AE123" s="214" t="n"/>
      <c r="AF123" s="214" t="n"/>
      <c r="AG123" s="214" t="n"/>
      <c r="AH123" s="214" t="n"/>
      <c r="AI123" s="214" t="n"/>
      <c r="AJ123" s="214" t="n"/>
      <c r="AK123" s="214" t="n"/>
      <c r="AL123" s="214" t="n"/>
      <c r="AM123" s="214" t="n"/>
      <c r="AN123" s="214" t="n"/>
      <c r="AO123" s="214" t="n"/>
      <c r="AP123" s="214" t="n"/>
      <c r="AQ123" s="214" t="n"/>
      <c r="AR123" s="214" t="n"/>
      <c r="AS123" s="214" t="n"/>
      <c r="AT123" s="214" t="n"/>
      <c r="AU123" s="214" t="n"/>
      <c r="AV123" s="214" t="n"/>
      <c r="AW123" s="214" t="n"/>
      <c r="AX123" s="214" t="n"/>
      <c r="AY123" s="214" t="n"/>
      <c r="AZ123" s="214" t="n"/>
      <c r="BA123" s="214" t="n"/>
      <c r="BB123" s="214" t="n"/>
      <c r="BC123" s="214" t="n"/>
      <c r="BD123" s="214" t="n"/>
      <c r="BE123" s="214" t="n"/>
      <c r="BF123" s="214" t="n"/>
      <c r="BG123" s="214" t="n"/>
      <c r="BH123" s="220" t="n"/>
      <c r="BI123" s="220">
        <f>IFERROR(COUNTIF(C123:BH123,"-"),"")</f>
        <v/>
      </c>
      <c r="BJ123" s="220">
        <f>IFERROR(COUNTIF(D123:BI123,"T"),"")</f>
        <v/>
      </c>
      <c r="BK123" s="220" t="n"/>
      <c r="BL123" s="3" t="n">
        <v>35</v>
      </c>
    </row>
    <row r="124">
      <c r="A124" s="1" t="n">
        <v>36</v>
      </c>
      <c r="B124" s="220">
        <f>IF('MAESTRO 1°'!B40="","",'MAESTRO 1°'!B40)</f>
        <v/>
      </c>
      <c r="C124" s="214" t="n"/>
      <c r="D124" s="214" t="n"/>
      <c r="E124" s="214" t="n"/>
      <c r="F124" s="214" t="n"/>
      <c r="G124" s="214" t="n"/>
      <c r="H124" s="214" t="n"/>
      <c r="I124" s="214" t="n"/>
      <c r="J124" s="214" t="n"/>
      <c r="K124" s="214" t="n"/>
      <c r="L124" s="214" t="n"/>
      <c r="M124" s="214" t="n"/>
      <c r="N124" s="214" t="n"/>
      <c r="O124" s="214" t="n"/>
      <c r="P124" s="214" t="n"/>
      <c r="Q124" s="214" t="n"/>
      <c r="R124" s="214" t="n"/>
      <c r="S124" s="214" t="n"/>
      <c r="T124" s="214" t="n"/>
      <c r="U124" s="214" t="n"/>
      <c r="V124" s="214" t="n"/>
      <c r="W124" s="214" t="n"/>
      <c r="X124" s="214" t="n"/>
      <c r="Y124" s="214" t="n"/>
      <c r="Z124" s="214" t="n"/>
      <c r="AA124" s="214" t="n"/>
      <c r="AB124" s="214" t="n"/>
      <c r="AC124" s="214" t="n"/>
      <c r="AD124" s="214" t="n"/>
      <c r="AE124" s="214" t="n"/>
      <c r="AF124" s="214" t="n"/>
      <c r="AG124" s="214" t="n"/>
      <c r="AH124" s="214" t="n"/>
      <c r="AI124" s="214" t="n"/>
      <c r="AJ124" s="214" t="n"/>
      <c r="AK124" s="214" t="n"/>
      <c r="AL124" s="214" t="n"/>
      <c r="AM124" s="214" t="n"/>
      <c r="AN124" s="214" t="n"/>
      <c r="AO124" s="214" t="n"/>
      <c r="AP124" s="214" t="n"/>
      <c r="AQ124" s="214" t="n"/>
      <c r="AR124" s="214" t="n"/>
      <c r="AS124" s="214" t="n"/>
      <c r="AT124" s="214" t="n"/>
      <c r="AU124" s="214" t="n"/>
      <c r="AV124" s="214" t="n"/>
      <c r="AW124" s="214" t="n"/>
      <c r="AX124" s="214" t="n"/>
      <c r="AY124" s="214" t="n"/>
      <c r="AZ124" s="214" t="n"/>
      <c r="BA124" s="214" t="n"/>
      <c r="BB124" s="214" t="n"/>
      <c r="BC124" s="214" t="n"/>
      <c r="BD124" s="214" t="n"/>
      <c r="BE124" s="214" t="n"/>
      <c r="BF124" s="214" t="n"/>
      <c r="BG124" s="214" t="n"/>
      <c r="BH124" s="220" t="n"/>
      <c r="BI124" s="220">
        <f>IFERROR(COUNTIF(C124:BH124,"-"),"")</f>
        <v/>
      </c>
      <c r="BJ124" s="220">
        <f>IFERROR(COUNTIF(D124:BI124,"T"),"")</f>
        <v/>
      </c>
      <c r="BK124" s="220" t="n"/>
      <c r="BL124" s="3" t="n">
        <v>36</v>
      </c>
    </row>
    <row r="125">
      <c r="A125" s="1" t="n">
        <v>37</v>
      </c>
      <c r="B125" s="220">
        <f>IF('MAESTRO 1°'!B41="","",'MAESTRO 1°'!B41)</f>
        <v/>
      </c>
      <c r="C125" s="214" t="n"/>
      <c r="D125" s="214" t="n"/>
      <c r="E125" s="214" t="n"/>
      <c r="F125" s="214" t="n"/>
      <c r="G125" s="214" t="n"/>
      <c r="H125" s="214" t="n"/>
      <c r="I125" s="214" t="n"/>
      <c r="J125" s="214" t="n"/>
      <c r="K125" s="214" t="n"/>
      <c r="L125" s="214" t="n"/>
      <c r="M125" s="214" t="n"/>
      <c r="N125" s="214" t="n"/>
      <c r="O125" s="214" t="n"/>
      <c r="P125" s="214" t="n"/>
      <c r="Q125" s="214" t="n"/>
      <c r="R125" s="214" t="n"/>
      <c r="S125" s="214" t="n"/>
      <c r="T125" s="214" t="n"/>
      <c r="U125" s="214" t="n"/>
      <c r="V125" s="214" t="n"/>
      <c r="W125" s="214" t="n"/>
      <c r="X125" s="214" t="n"/>
      <c r="Y125" s="214" t="n"/>
      <c r="Z125" s="214" t="n"/>
      <c r="AA125" s="214" t="n"/>
      <c r="AB125" s="214" t="n"/>
      <c r="AC125" s="214" t="n"/>
      <c r="AD125" s="214" t="n"/>
      <c r="AE125" s="214" t="n"/>
      <c r="AF125" s="214" t="n"/>
      <c r="AG125" s="214" t="n"/>
      <c r="AH125" s="214" t="n"/>
      <c r="AI125" s="214" t="n"/>
      <c r="AJ125" s="214" t="n"/>
      <c r="AK125" s="214" t="n"/>
      <c r="AL125" s="214" t="n"/>
      <c r="AM125" s="214" t="n"/>
      <c r="AN125" s="214" t="n"/>
      <c r="AO125" s="214" t="n"/>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20" t="n"/>
      <c r="BI125" s="220">
        <f>IFERROR(COUNTIF(C125:BH125,"-"),"")</f>
        <v/>
      </c>
      <c r="BJ125" s="220">
        <f>IFERROR(COUNTIF(D125:BI125,"T"),"")</f>
        <v/>
      </c>
      <c r="BK125" s="220" t="n"/>
      <c r="BL125" s="3" t="n">
        <v>37</v>
      </c>
    </row>
    <row r="126">
      <c r="A126" s="1" t="n">
        <v>38</v>
      </c>
      <c r="B126" s="220">
        <f>IF('MAESTRO 1°'!B42="","",'MAESTRO 1°'!B42)</f>
        <v/>
      </c>
      <c r="C126" s="214" t="n"/>
      <c r="D126" s="214" t="n"/>
      <c r="E126" s="214" t="n"/>
      <c r="F126" s="214" t="n"/>
      <c r="G126" s="214" t="n"/>
      <c r="H126" s="214" t="n"/>
      <c r="I126" s="214" t="n"/>
      <c r="J126" s="214" t="n"/>
      <c r="K126" s="214" t="n"/>
      <c r="L126" s="214" t="n"/>
      <c r="M126" s="214" t="n"/>
      <c r="N126" s="214" t="n"/>
      <c r="O126" s="214" t="n"/>
      <c r="P126" s="214" t="n"/>
      <c r="Q126" s="214" t="n"/>
      <c r="R126" s="214" t="n"/>
      <c r="S126" s="214" t="n"/>
      <c r="T126" s="214" t="n"/>
      <c r="U126" s="214" t="n"/>
      <c r="V126" s="214" t="n"/>
      <c r="W126" s="214" t="n"/>
      <c r="X126" s="214" t="n"/>
      <c r="Y126" s="214" t="n"/>
      <c r="Z126" s="214" t="n"/>
      <c r="AA126" s="214" t="n"/>
      <c r="AB126" s="214" t="n"/>
      <c r="AC126" s="214" t="n"/>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14" t="n"/>
      <c r="AU126" s="214" t="n"/>
      <c r="AV126" s="214" t="n"/>
      <c r="AW126" s="214" t="n"/>
      <c r="AX126" s="214" t="n"/>
      <c r="AY126" s="214" t="n"/>
      <c r="AZ126" s="214" t="n"/>
      <c r="BA126" s="214" t="n"/>
      <c r="BB126" s="214" t="n"/>
      <c r="BC126" s="214" t="n"/>
      <c r="BD126" s="214" t="n"/>
      <c r="BE126" s="214" t="n"/>
      <c r="BF126" s="214" t="n"/>
      <c r="BG126" s="214" t="n"/>
      <c r="BH126" s="220" t="n"/>
      <c r="BI126" s="220">
        <f>IFERROR(COUNTIF(C126:BH126,"-"),"")</f>
        <v/>
      </c>
      <c r="BJ126" s="220">
        <f>IFERROR(COUNTIF(D126:BI126,"T"),"")</f>
        <v/>
      </c>
      <c r="BK126" s="220" t="n"/>
      <c r="BL126" s="3" t="n">
        <v>38</v>
      </c>
    </row>
    <row r="127">
      <c r="A127" s="1" t="n">
        <v>39</v>
      </c>
      <c r="B127" s="220">
        <f>IF('MAESTRO 1°'!B43="","",'MAESTRO 1°'!B43)</f>
        <v/>
      </c>
      <c r="C127" s="214" t="n"/>
      <c r="D127" s="214" t="n"/>
      <c r="E127" s="214" t="n"/>
      <c r="F127" s="214" t="n"/>
      <c r="G127" s="214" t="n"/>
      <c r="H127" s="214" t="n"/>
      <c r="I127" s="214" t="n"/>
      <c r="J127" s="214" t="n"/>
      <c r="K127" s="214" t="n"/>
      <c r="L127" s="214" t="n"/>
      <c r="M127" s="214" t="n"/>
      <c r="N127" s="214" t="n"/>
      <c r="O127" s="214" t="n"/>
      <c r="P127" s="214" t="n"/>
      <c r="Q127" s="214" t="n"/>
      <c r="R127" s="214" t="n"/>
      <c r="S127" s="214" t="n"/>
      <c r="T127" s="214" t="n"/>
      <c r="U127" s="214" t="n"/>
      <c r="V127" s="214" t="n"/>
      <c r="W127" s="214" t="n"/>
      <c r="X127" s="214" t="n"/>
      <c r="Y127" s="214" t="n"/>
      <c r="Z127" s="214" t="n"/>
      <c r="AA127" s="214" t="n"/>
      <c r="AB127" s="214" t="n"/>
      <c r="AC127" s="214" t="n"/>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14" t="n"/>
      <c r="AU127" s="214" t="n"/>
      <c r="AV127" s="214" t="n"/>
      <c r="AW127" s="214" t="n"/>
      <c r="AX127" s="214" t="n"/>
      <c r="AY127" s="214" t="n"/>
      <c r="AZ127" s="214" t="n"/>
      <c r="BA127" s="214" t="n"/>
      <c r="BB127" s="214" t="n"/>
      <c r="BC127" s="214" t="n"/>
      <c r="BD127" s="214" t="n"/>
      <c r="BE127" s="214" t="n"/>
      <c r="BF127" s="214" t="n"/>
      <c r="BG127" s="214" t="n"/>
      <c r="BH127" s="220" t="n"/>
      <c r="BI127" s="220">
        <f>IFERROR(COUNTIF(C127:BH127,"-"),"")</f>
        <v/>
      </c>
      <c r="BJ127" s="220">
        <f>IFERROR(COUNTIF(D127:BI127,"T"),"")</f>
        <v/>
      </c>
      <c r="BK127" s="220" t="n"/>
      <c r="BL127" s="3" t="n">
        <v>39</v>
      </c>
    </row>
    <row r="128">
      <c r="A128" s="1" t="n">
        <v>40</v>
      </c>
      <c r="B128" s="220">
        <f>IF('MAESTRO 1°'!B44="","",'MAESTRO 1°'!B44)</f>
        <v/>
      </c>
      <c r="C128" s="214" t="n"/>
      <c r="D128" s="214" t="n"/>
      <c r="E128" s="214" t="n"/>
      <c r="F128" s="214" t="n"/>
      <c r="G128" s="214" t="n"/>
      <c r="H128" s="214" t="n"/>
      <c r="I128" s="214" t="n"/>
      <c r="J128" s="214" t="n"/>
      <c r="K128" s="214" t="n"/>
      <c r="L128" s="214" t="n"/>
      <c r="M128" s="214" t="n"/>
      <c r="N128" s="214" t="n"/>
      <c r="O128" s="214" t="n"/>
      <c r="P128" s="214" t="n"/>
      <c r="Q128" s="214" t="n"/>
      <c r="R128" s="214" t="n"/>
      <c r="S128" s="214" t="n"/>
      <c r="T128" s="214" t="n"/>
      <c r="U128" s="214" t="n"/>
      <c r="V128" s="214" t="n"/>
      <c r="W128" s="214" t="n"/>
      <c r="X128" s="214" t="n"/>
      <c r="Y128" s="214" t="n"/>
      <c r="Z128" s="214" t="n"/>
      <c r="AA128" s="214" t="n"/>
      <c r="AB128" s="214" t="n"/>
      <c r="AC128" s="214" t="n"/>
      <c r="AD128" s="214" t="n"/>
      <c r="AE128" s="214" t="n"/>
      <c r="AF128" s="214" t="n"/>
      <c r="AG128" s="214" t="n"/>
      <c r="AH128" s="214" t="n"/>
      <c r="AI128" s="214" t="n"/>
      <c r="AJ128" s="214" t="n"/>
      <c r="AK128" s="214" t="n"/>
      <c r="AL128" s="214" t="n"/>
      <c r="AM128" s="214" t="n"/>
      <c r="AN128" s="214" t="n"/>
      <c r="AO128" s="214" t="n"/>
      <c r="AP128" s="214" t="n"/>
      <c r="AQ128" s="214" t="n"/>
      <c r="AR128" s="214" t="n"/>
      <c r="AS128" s="214" t="n"/>
      <c r="AT128" s="214" t="n"/>
      <c r="AU128" s="214" t="n"/>
      <c r="AV128" s="214" t="n"/>
      <c r="AW128" s="214" t="n"/>
      <c r="AX128" s="214" t="n"/>
      <c r="AY128" s="214" t="n"/>
      <c r="AZ128" s="214" t="n"/>
      <c r="BA128" s="214" t="n"/>
      <c r="BB128" s="214" t="n"/>
      <c r="BC128" s="214" t="n"/>
      <c r="BD128" s="214" t="n"/>
      <c r="BE128" s="214" t="n"/>
      <c r="BF128" s="214" t="n"/>
      <c r="BG128" s="214" t="n"/>
      <c r="BH128" s="220" t="n"/>
      <c r="BI128" s="220">
        <f>IFERROR(COUNTIF(C128:BH128,"-"),"")</f>
        <v/>
      </c>
      <c r="BJ128" s="220">
        <f>IFERROR(COUNTIF(D128:BI128,"T"),"")</f>
        <v/>
      </c>
      <c r="BK128" s="220" t="n"/>
      <c r="BL128" s="3" t="n">
        <v>40</v>
      </c>
    </row>
    <row r="129">
      <c r="A129" s="1" t="n">
        <v>41</v>
      </c>
      <c r="B129" s="220" t="n"/>
      <c r="C129" s="214" t="n"/>
      <c r="D129" s="214" t="n"/>
      <c r="E129" s="214" t="n"/>
      <c r="F129" s="214" t="n"/>
      <c r="G129" s="214" t="n"/>
      <c r="H129" s="214" t="n"/>
      <c r="I129" s="214" t="n"/>
      <c r="J129" s="214" t="n"/>
      <c r="K129" s="214" t="n"/>
      <c r="L129" s="214" t="n"/>
      <c r="M129" s="214" t="n"/>
      <c r="N129" s="214" t="n"/>
      <c r="O129" s="214" t="n"/>
      <c r="P129" s="214" t="n"/>
      <c r="Q129" s="214" t="n"/>
      <c r="R129" s="214" t="n"/>
      <c r="S129" s="214" t="n"/>
      <c r="T129" s="214" t="n"/>
      <c r="U129" s="214" t="n"/>
      <c r="V129" s="214" t="n"/>
      <c r="W129" s="214" t="n"/>
      <c r="X129" s="214" t="n"/>
      <c r="Y129" s="214" t="n"/>
      <c r="Z129" s="214" t="n"/>
      <c r="AA129" s="214" t="n"/>
      <c r="AB129" s="214" t="n"/>
      <c r="AC129" s="214" t="n"/>
      <c r="AD129" s="214" t="n"/>
      <c r="AE129" s="214" t="n"/>
      <c r="AF129" s="214" t="n"/>
      <c r="AG129" s="214" t="n"/>
      <c r="AH129" s="214" t="n"/>
      <c r="AI129" s="214" t="n"/>
      <c r="AJ129" s="214" t="n"/>
      <c r="AK129" s="214" t="n"/>
      <c r="AL129" s="214" t="n"/>
      <c r="AM129" s="214" t="n"/>
      <c r="AN129" s="214" t="n"/>
      <c r="AO129" s="214" t="n"/>
      <c r="AP129" s="214" t="n"/>
      <c r="AQ129" s="214" t="n"/>
      <c r="AR129" s="214" t="n"/>
      <c r="AS129" s="214" t="n"/>
      <c r="AT129" s="214" t="n"/>
      <c r="AU129" s="214" t="n"/>
      <c r="AV129" s="214" t="n"/>
      <c r="AW129" s="214" t="n"/>
      <c r="AX129" s="214" t="n"/>
      <c r="AY129" s="214" t="n"/>
      <c r="AZ129" s="214" t="n"/>
      <c r="BA129" s="214" t="n"/>
      <c r="BB129" s="214" t="n"/>
      <c r="BC129" s="214" t="n"/>
      <c r="BD129" s="214" t="n"/>
      <c r="BE129" s="214" t="n"/>
      <c r="BF129" s="214" t="n"/>
      <c r="BG129" s="214" t="n"/>
      <c r="BH129" s="220" t="n"/>
      <c r="BI129" s="220">
        <f>IFERROR(COUNTIF(C129:BH129,"-"),"")</f>
        <v/>
      </c>
      <c r="BJ129" s="220">
        <f>IFERROR(COUNTIF(D129:BI129,"T"),"")</f>
        <v/>
      </c>
      <c r="BK129" s="220" t="n"/>
      <c r="BL129" s="3" t="n">
        <v>41</v>
      </c>
    </row>
    <row r="130">
      <c r="A130" s="1" t="n">
        <v>42</v>
      </c>
      <c r="B130" s="220" t="n"/>
      <c r="C130" s="214" t="n"/>
      <c r="D130" s="214" t="n"/>
      <c r="E130" s="214" t="n"/>
      <c r="F130" s="214" t="n"/>
      <c r="G130" s="214" t="n"/>
      <c r="H130" s="214" t="n"/>
      <c r="I130" s="214" t="n"/>
      <c r="J130" s="214" t="n"/>
      <c r="K130" s="214" t="n"/>
      <c r="L130" s="214" t="n"/>
      <c r="M130" s="214" t="n"/>
      <c r="N130" s="214" t="n"/>
      <c r="O130" s="214" t="n"/>
      <c r="P130" s="214" t="n"/>
      <c r="Q130" s="214" t="n"/>
      <c r="R130" s="214" t="n"/>
      <c r="S130" s="214" t="n"/>
      <c r="T130" s="214" t="n"/>
      <c r="U130" s="214" t="n"/>
      <c r="V130" s="214" t="n"/>
      <c r="W130" s="214" t="n"/>
      <c r="X130" s="214" t="n"/>
      <c r="Y130" s="214" t="n"/>
      <c r="Z130" s="214" t="n"/>
      <c r="AA130" s="214" t="n"/>
      <c r="AB130" s="214" t="n"/>
      <c r="AC130" s="214" t="n"/>
      <c r="AD130" s="214" t="n"/>
      <c r="AE130" s="214" t="n"/>
      <c r="AF130" s="214" t="n"/>
      <c r="AG130" s="214" t="n"/>
      <c r="AH130" s="214" t="n"/>
      <c r="AI130" s="214" t="n"/>
      <c r="AJ130" s="214" t="n"/>
      <c r="AK130" s="214" t="n"/>
      <c r="AL130" s="214" t="n"/>
      <c r="AM130" s="214" t="n"/>
      <c r="AN130" s="214" t="n"/>
      <c r="AO130" s="214" t="n"/>
      <c r="AP130" s="214" t="n"/>
      <c r="AQ130" s="214" t="n"/>
      <c r="AR130" s="214" t="n"/>
      <c r="AS130" s="214" t="n"/>
      <c r="AT130" s="214" t="n"/>
      <c r="AU130" s="214" t="n"/>
      <c r="AV130" s="214" t="n"/>
      <c r="AW130" s="214" t="n"/>
      <c r="AX130" s="214" t="n"/>
      <c r="AY130" s="214" t="n"/>
      <c r="AZ130" s="214" t="n"/>
      <c r="BA130" s="214" t="n"/>
      <c r="BB130" s="214" t="n"/>
      <c r="BC130" s="214" t="n"/>
      <c r="BD130" s="214" t="n"/>
      <c r="BE130" s="214" t="n"/>
      <c r="BF130" s="214" t="n"/>
      <c r="BG130" s="214" t="n"/>
      <c r="BH130" s="220" t="n"/>
      <c r="BI130" s="220">
        <f>IFERROR(COUNTIF(C130:BH130,"-"),"")</f>
        <v/>
      </c>
      <c r="BJ130" s="220">
        <f>IFERROR(COUNTIF(D130:BI130,"T"),"")</f>
        <v/>
      </c>
      <c r="BK130" s="220" t="n"/>
      <c r="BL130" s="3" t="n">
        <v>42</v>
      </c>
    </row>
    <row r="136" ht="13.5" customHeight="1" s="147"/>
    <row r="137" ht="14.4" customHeight="1" s="147">
      <c r="A137" s="74" t="n"/>
      <c r="B137" s="73" t="n"/>
      <c r="BI137" s="216" t="n"/>
      <c r="BK137" s="66" t="n"/>
      <c r="BL137" s="66" t="n"/>
    </row>
    <row r="138" ht="21.75" customHeight="1" s="147">
      <c r="A138" s="74" t="n"/>
      <c r="B138" s="73" t="n"/>
      <c r="BI138" s="72" t="n"/>
      <c r="BJ138" s="72" t="n"/>
      <c r="BK138" s="66" t="n"/>
      <c r="BL138" s="66" t="n"/>
    </row>
  </sheetData>
  <mergeCells count="16">
    <mergeCell ref="A87:A88"/>
    <mergeCell ref="C44:BH44"/>
    <mergeCell ref="B87:B88"/>
    <mergeCell ref="BK44:BK45"/>
    <mergeCell ref="B44:B45"/>
    <mergeCell ref="BI87:BJ87"/>
    <mergeCell ref="C87:BH87"/>
    <mergeCell ref="BI1:BJ1"/>
    <mergeCell ref="BK87:BK88"/>
    <mergeCell ref="B1:B2"/>
    <mergeCell ref="BK1:BL2"/>
    <mergeCell ref="C1:BH1"/>
    <mergeCell ref="BI44:BJ44"/>
    <mergeCell ref="BI137:BJ137"/>
    <mergeCell ref="A44:A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ASIGNATURA_______&amp;UTECNOLOGIA - INGLES&amp;U_____________x000a_AÑO_&amp;U2025&amp;U_____   AULA_  &amp;U_______7°_______&amp;U                    NOMBRE DEL PROF./A CONSEJERO/A: _&amp;U_________________&amp;U__</oddHeader>
    <oddFooter/>
    <evenHeader/>
    <evenFooter/>
    <firstHeader/>
    <firstFooter/>
  </headerFooter>
</worksheet>
</file>

<file path=xl/worksheets/sheet9.xml><?xml version="1.0" encoding="utf-8"?>
<worksheet xmlns="http://schemas.openxmlformats.org/spreadsheetml/2006/main">
  <sheetPr codeName="Hoja7">
    <tabColor rgb="FF4472C4"/>
    <outlinePr summaryBelow="1" summaryRight="1"/>
    <pageSetUpPr/>
  </sheetPr>
  <dimension ref="A1:EE48"/>
  <sheetViews>
    <sheetView tabSelected="1" view="pageLayout" zoomScale="80" zoomScaleNormal="100" zoomScalePageLayoutView="80" workbookViewId="0">
      <selection activeCell="D4" sqref="D4"/>
    </sheetView>
  </sheetViews>
  <sheetFormatPr baseColWidth="10" defaultRowHeight="14.4"/>
  <cols>
    <col width="2.77734375" bestFit="1" customWidth="1" style="147" min="1" max="1"/>
    <col width="19.44140625" bestFit="1" customWidth="1" style="147" min="2" max="2"/>
    <col width="4.44140625" customWidth="1" style="147" min="3" max="15"/>
    <col width="4.5546875" customWidth="1" style="147" min="16" max="16"/>
    <col width="4.6640625" customWidth="1" style="147" min="17" max="17"/>
    <col width="4.44140625" customWidth="1" style="19" min="18" max="18"/>
    <col width="4.44140625" customWidth="1" style="147" min="19" max="28"/>
    <col width="4.5546875" customWidth="1" style="243" min="29" max="29"/>
    <col width="4.44140625" customWidth="1" style="147" min="30" max="30"/>
    <col width="6.44140625" customWidth="1" style="147" min="31" max="31"/>
    <col width="20.6640625" customWidth="1" style="147" min="32" max="32"/>
    <col width="4" customWidth="1" style="147" min="33" max="33"/>
    <col width="2.77734375" customWidth="1" style="147" min="34" max="34"/>
    <col width="13" customWidth="1" style="147" min="36" max="36"/>
    <col width="4.6640625" customWidth="1" style="235" min="37" max="37"/>
    <col width="4.44140625" customWidth="1" style="235" min="38" max="44"/>
    <col width="4.44140625" customWidth="1" style="236" min="45" max="47"/>
    <col width="4.6640625" customWidth="1" style="236" min="48" max="48"/>
    <col width="4.44140625" customWidth="1" style="236" min="49" max="49"/>
    <col width="4.44140625" customWidth="1" style="147" min="50" max="50"/>
    <col width="4.44140625" customWidth="1" style="230" min="51" max="60"/>
    <col width="4.44140625" customWidth="1" style="147" min="61" max="62"/>
    <col width="4.44140625" customWidth="1" style="231" min="63" max="63"/>
    <col width="4.44140625" customWidth="1" style="147" min="64" max="65"/>
    <col width="20.44140625" customWidth="1" style="147" min="66" max="66"/>
    <col width="2.77734375" customWidth="1" style="147" min="67" max="68"/>
    <col width="14.33203125" customWidth="1" style="147" min="70" max="70"/>
    <col width="4.44140625" customWidth="1" style="148" min="71" max="83"/>
    <col width="4.44140625" customWidth="1" style="147" min="84" max="84"/>
    <col width="4.44140625" customWidth="1" style="148" min="85" max="96"/>
    <col width="4.109375" customWidth="1" style="148" min="97" max="97"/>
    <col width="3.88671875" customWidth="1" style="148" min="98" max="98"/>
    <col width="5.44140625" customWidth="1" style="148" min="99" max="99"/>
    <col width="15.21875" customWidth="1" style="147" min="100" max="100"/>
    <col width="3.88671875" customWidth="1" style="147" min="101" max="101"/>
    <col width="2.77734375" customWidth="1" style="147" min="102" max="102"/>
    <col width="11.44140625" customWidth="1" style="147" min="103" max="103"/>
    <col width="14.33203125" customWidth="1" style="147" min="104" max="104"/>
    <col width="4.44140625" customWidth="1" style="147" min="105" max="130"/>
    <col width="4.77734375" customWidth="1" style="147" min="131" max="131"/>
    <col width="4.44140625" customWidth="1" style="147" min="132" max="133"/>
    <col width="20.44140625" customWidth="1" style="147" min="134" max="134"/>
    <col width="3.109375" customWidth="1" style="147" min="135" max="135"/>
  </cols>
  <sheetData>
    <row r="1" ht="18" customHeight="1" s="147">
      <c r="A1" s="213" t="inlineStr">
        <is>
          <t>CALIFICACIONES-PRIMER TRIMESTRE</t>
        </is>
      </c>
      <c r="B1" s="157" t="n"/>
      <c r="C1" s="157" t="n"/>
      <c r="D1" s="157" t="n"/>
      <c r="E1" s="157" t="n"/>
      <c r="F1" s="157" t="n"/>
      <c r="G1" s="157" t="n"/>
      <c r="H1" s="157" t="n"/>
      <c r="I1" s="157" t="n"/>
      <c r="J1" s="157" t="n"/>
      <c r="K1" s="157" t="n"/>
      <c r="L1" s="157" t="n"/>
      <c r="M1" s="157" t="n"/>
      <c r="N1" s="157" t="n"/>
      <c r="O1" s="157" t="n"/>
      <c r="P1" s="145" t="n"/>
      <c r="Q1" s="37" t="n"/>
      <c r="R1" s="238" t="inlineStr">
        <is>
          <t>CALIFICACIONES-PRIMER TRIMESTRE</t>
        </is>
      </c>
      <c r="S1" s="157" t="n"/>
      <c r="T1" s="157" t="n"/>
      <c r="U1" s="157" t="n"/>
      <c r="V1" s="157" t="n"/>
      <c r="W1" s="157" t="n"/>
      <c r="X1" s="157" t="n"/>
      <c r="Y1" s="157" t="n"/>
      <c r="Z1" s="157" t="n"/>
      <c r="AA1" s="157" t="n"/>
      <c r="AB1" s="157" t="n"/>
      <c r="AC1" s="157" t="n"/>
      <c r="AD1" s="157" t="n"/>
      <c r="AE1" s="157" t="n"/>
      <c r="AF1" s="157" t="n"/>
      <c r="AG1" s="145" t="n"/>
      <c r="AH1" s="213" t="inlineStr">
        <is>
          <t>CALIFICACIONES-SEGUNDO TRIMESTRE</t>
        </is>
      </c>
      <c r="AI1" s="157" t="n"/>
      <c r="AJ1" s="157" t="n"/>
      <c r="AK1" s="157" t="n"/>
      <c r="AL1" s="157" t="n"/>
      <c r="AM1" s="157" t="n"/>
      <c r="AN1" s="157" t="n"/>
      <c r="AO1" s="157" t="n"/>
      <c r="AP1" s="157" t="n"/>
      <c r="AQ1" s="157" t="n"/>
      <c r="AR1" s="157" t="n"/>
      <c r="AS1" s="157" t="n"/>
      <c r="AT1" s="157" t="n"/>
      <c r="AU1" s="157" t="n"/>
      <c r="AV1" s="157" t="n"/>
      <c r="AW1" s="157" t="n"/>
      <c r="AX1" s="145" t="n"/>
      <c r="AY1" s="238" t="inlineStr">
        <is>
          <t>CALIFICACIONES-SEGUNDO TRIMESTRE</t>
        </is>
      </c>
      <c r="AZ1" s="157" t="n"/>
      <c r="BA1" s="157" t="n"/>
      <c r="BB1" s="157" t="n"/>
      <c r="BC1" s="157" t="n"/>
      <c r="BD1" s="157" t="n"/>
      <c r="BE1" s="157" t="n"/>
      <c r="BF1" s="157" t="n"/>
      <c r="BG1" s="157" t="n"/>
      <c r="BH1" s="157" t="n"/>
      <c r="BI1" s="157" t="n"/>
      <c r="BJ1" s="157" t="n"/>
      <c r="BK1" s="157" t="n"/>
      <c r="BL1" s="157" t="n"/>
      <c r="BM1" s="157" t="n"/>
      <c r="BN1" s="157" t="n"/>
      <c r="BO1" s="145" t="n"/>
      <c r="BP1" s="213" t="inlineStr">
        <is>
          <t>CALIFICACIONES-TERCER TIMESTRE</t>
        </is>
      </c>
      <c r="BQ1" s="157" t="n"/>
      <c r="BR1" s="157" t="n"/>
      <c r="BS1" s="157" t="n"/>
      <c r="BT1" s="157" t="n"/>
      <c r="BU1" s="157" t="n"/>
      <c r="BV1" s="157" t="n"/>
      <c r="BW1" s="157" t="n"/>
      <c r="BX1" s="157" t="n"/>
      <c r="BY1" s="157" t="n"/>
      <c r="BZ1" s="157" t="n"/>
      <c r="CA1" s="157" t="n"/>
      <c r="CB1" s="157" t="n"/>
      <c r="CC1" s="157" t="n"/>
      <c r="CD1" s="157" t="n"/>
      <c r="CE1" s="157" t="n"/>
      <c r="CF1" s="145" t="n"/>
      <c r="CG1" s="238" t="inlineStr">
        <is>
          <t>CALIFICACIONES-TERCER BIMESTRE</t>
        </is>
      </c>
      <c r="CH1" s="157" t="n"/>
      <c r="CI1" s="157" t="n"/>
      <c r="CJ1" s="157" t="n"/>
      <c r="CK1" s="157" t="n"/>
      <c r="CL1" s="157" t="n"/>
      <c r="CM1" s="157" t="n"/>
      <c r="CN1" s="157" t="n"/>
      <c r="CO1" s="157" t="n"/>
      <c r="CP1" s="157" t="n"/>
      <c r="CQ1" s="157" t="n"/>
      <c r="CR1" s="157" t="n"/>
      <c r="CS1" s="157" t="n"/>
      <c r="CT1" s="157" t="n"/>
      <c r="CU1" s="157" t="n"/>
      <c r="CV1" s="157" t="n"/>
      <c r="CW1" s="145" t="n"/>
      <c r="CX1" s="233" t="n"/>
      <c r="DO1" s="225" t="n"/>
    </row>
    <row r="2" ht="6" customHeight="1" s="147">
      <c r="A2" s="234" t="n"/>
      <c r="Q2" s="234" t="n"/>
      <c r="R2" s="216" t="n"/>
      <c r="AH2" s="234" t="n"/>
      <c r="AY2" s="216" t="n"/>
      <c r="BP2" s="234" t="n"/>
      <c r="CG2" s="216" t="n"/>
      <c r="CX2" s="234" t="n"/>
      <c r="DO2" s="216" t="n"/>
    </row>
    <row r="3" ht="15" customHeight="1" s="147">
      <c r="A3" s="214" t="n"/>
      <c r="B3" s="213" t="inlineStr">
        <is>
          <t>NOMBRE                          ALUMNA-ALUMNO</t>
        </is>
      </c>
      <c r="C3" s="241" t="inlineStr">
        <is>
          <t xml:space="preserve">NOTAS </t>
        </is>
      </c>
      <c r="D3" s="157" t="n"/>
      <c r="E3" s="157" t="n"/>
      <c r="F3" s="157" t="n"/>
      <c r="G3" s="157" t="n"/>
      <c r="H3" s="157" t="n"/>
      <c r="I3" s="157" t="n"/>
      <c r="J3" s="157" t="n"/>
      <c r="K3" s="157" t="n"/>
      <c r="L3" s="157" t="n"/>
      <c r="M3" s="157" t="n"/>
      <c r="N3" s="157" t="n"/>
      <c r="O3" s="157" t="n"/>
      <c r="P3" s="157" t="n"/>
      <c r="Q3" s="157" t="n"/>
      <c r="R3" s="224" t="inlineStr">
        <is>
          <t>NOTAS</t>
        </is>
      </c>
      <c r="S3" s="157" t="n"/>
      <c r="T3" s="157" t="n"/>
      <c r="U3" s="157" t="n"/>
      <c r="V3" s="157" t="n"/>
      <c r="W3" s="157" t="n"/>
      <c r="X3" s="157" t="n"/>
      <c r="Y3" s="157" t="n"/>
      <c r="Z3" s="157" t="n"/>
      <c r="AA3" s="157" t="n"/>
      <c r="AB3" s="157" t="n"/>
      <c r="AC3" s="157" t="n"/>
      <c r="AD3" s="145" t="n"/>
      <c r="AE3" s="237" t="inlineStr">
        <is>
          <t>CALIFICACIÓN           TRIMESTRAL</t>
        </is>
      </c>
      <c r="AF3" s="186" t="inlineStr">
        <is>
          <t>OBSERVACIONES</t>
        </is>
      </c>
      <c r="AG3" s="150" t="n"/>
      <c r="AH3" s="214" t="n"/>
      <c r="AI3" s="213" t="inlineStr">
        <is>
          <t>NOMBRE                          ALUMNA-ALUMNO</t>
        </is>
      </c>
      <c r="AJ3" s="150" t="n"/>
      <c r="AK3" s="241" t="inlineStr">
        <is>
          <t>NOTAS</t>
        </is>
      </c>
      <c r="AL3" s="157" t="n"/>
      <c r="AM3" s="157" t="n"/>
      <c r="AN3" s="157" t="n"/>
      <c r="AO3" s="157" t="n"/>
      <c r="AP3" s="157" t="n"/>
      <c r="AQ3" s="157" t="n"/>
      <c r="AR3" s="157" t="n"/>
      <c r="AS3" s="157" t="n"/>
      <c r="AT3" s="157" t="n"/>
      <c r="AU3" s="157" t="n"/>
      <c r="AV3" s="157" t="n"/>
      <c r="AW3" s="157" t="n"/>
      <c r="AX3" s="157" t="n"/>
      <c r="AY3" s="224" t="inlineStr">
        <is>
          <t>NOTAS</t>
        </is>
      </c>
      <c r="AZ3" s="157" t="n"/>
      <c r="BA3" s="157" t="n"/>
      <c r="BB3" s="157" t="n"/>
      <c r="BC3" s="157" t="n"/>
      <c r="BD3" s="157" t="n"/>
      <c r="BE3" s="157" t="n"/>
      <c r="BF3" s="157" t="n"/>
      <c r="BG3" s="157" t="n"/>
      <c r="BH3" s="157" t="n"/>
      <c r="BI3" s="157" t="n"/>
      <c r="BJ3" s="157" t="n"/>
      <c r="BK3" s="157" t="n"/>
      <c r="BL3" s="145" t="n"/>
      <c r="BM3" s="237" t="inlineStr">
        <is>
          <t>PROMEDIO</t>
        </is>
      </c>
      <c r="BN3" s="186" t="inlineStr">
        <is>
          <t>OBSERVACIONES</t>
        </is>
      </c>
      <c r="BO3" s="150" t="n"/>
      <c r="BP3" s="214" t="n"/>
      <c r="BQ3" s="213" t="inlineStr">
        <is>
          <t>NOMBRE                          ALUMNA-ALUMNO</t>
        </is>
      </c>
      <c r="BR3" s="150" t="n"/>
      <c r="BS3" s="226" t="inlineStr">
        <is>
          <t xml:space="preserve">NOTAS </t>
        </is>
      </c>
      <c r="BT3" s="157" t="n"/>
      <c r="BU3" s="157" t="n"/>
      <c r="BV3" s="157" t="n"/>
      <c r="BW3" s="157" t="n"/>
      <c r="BX3" s="157" t="n"/>
      <c r="BY3" s="157" t="n"/>
      <c r="BZ3" s="157" t="n"/>
      <c r="CA3" s="157" t="n"/>
      <c r="CB3" s="157" t="n"/>
      <c r="CC3" s="157" t="n"/>
      <c r="CD3" s="157" t="n"/>
      <c r="CE3" s="157" t="n"/>
      <c r="CF3" s="145" t="n"/>
      <c r="CG3" s="239" t="inlineStr">
        <is>
          <t>NOTAS</t>
        </is>
      </c>
      <c r="CH3" s="183" t="n"/>
      <c r="CI3" s="183" t="n"/>
      <c r="CJ3" s="183" t="n"/>
      <c r="CK3" s="183" t="n"/>
      <c r="CL3" s="183" t="n"/>
      <c r="CM3" s="183" t="n"/>
      <c r="CN3" s="183" t="n"/>
      <c r="CO3" s="183" t="n"/>
      <c r="CP3" s="183" t="n"/>
      <c r="CQ3" s="183" t="n"/>
      <c r="CR3" s="183" t="n"/>
      <c r="CS3" s="183" t="n"/>
      <c r="CT3" s="150" t="n"/>
      <c r="CU3" s="232" t="inlineStr">
        <is>
          <t>PROMEDIO</t>
        </is>
      </c>
      <c r="CV3" s="186" t="inlineStr">
        <is>
          <t>OBSERVACIONES</t>
        </is>
      </c>
      <c r="CW3" s="150" t="n"/>
      <c r="CX3" s="216" t="n"/>
      <c r="CY3" s="233" t="n"/>
      <c r="DA3" s="240" t="n"/>
      <c r="DN3" s="228" t="n"/>
      <c r="DO3" s="240" t="n"/>
      <c r="DY3" s="228" t="n"/>
      <c r="DZ3" s="229" t="n"/>
      <c r="EB3" s="228" t="n"/>
      <c r="EC3" s="242" t="n"/>
      <c r="ED3" s="184" t="n"/>
    </row>
    <row r="4" ht="44.25" customHeight="1" s="147">
      <c r="A4" s="154" t="n"/>
      <c r="B4" s="154" t="n"/>
      <c r="C4" s="21" t="n">
        <v>46361</v>
      </c>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154" t="n"/>
      <c r="AF4" s="151" t="n"/>
      <c r="AG4" s="152" t="n"/>
      <c r="AH4" s="154" t="n"/>
      <c r="AI4" s="151" t="n"/>
      <c r="AJ4" s="152" t="n"/>
      <c r="AK4" s="21" t="n"/>
      <c r="AL4" s="21" t="n"/>
      <c r="AM4" s="21" t="n"/>
      <c r="AN4" s="21" t="n"/>
      <c r="AO4" s="21" t="n"/>
      <c r="AP4" s="21" t="n"/>
      <c r="AQ4" s="21" t="n"/>
      <c r="AR4" s="21" t="n"/>
      <c r="AS4" s="21" t="n"/>
      <c r="AT4" s="21" t="n"/>
      <c r="AU4" s="21" t="n"/>
      <c r="AV4" s="21" t="n"/>
      <c r="AW4" s="21" t="n"/>
      <c r="AX4" s="21" t="n"/>
      <c r="AY4" s="21" t="n"/>
      <c r="AZ4" s="21" t="n"/>
      <c r="BA4" s="21" t="n"/>
      <c r="BB4" s="21" t="n"/>
      <c r="BC4" s="21" t="n"/>
      <c r="BD4" s="21" t="n"/>
      <c r="BE4" s="21" t="n"/>
      <c r="BF4" s="21" t="n"/>
      <c r="BG4" s="21" t="n"/>
      <c r="BH4" s="21" t="n"/>
      <c r="BI4" s="21" t="n"/>
      <c r="BJ4" s="21" t="n"/>
      <c r="BK4" s="21" t="n"/>
      <c r="BL4" s="21" t="n"/>
      <c r="BM4" s="154" t="n"/>
      <c r="BN4" s="151" t="n"/>
      <c r="BO4" s="152" t="n"/>
      <c r="BP4" s="154" t="n"/>
      <c r="BQ4" s="151" t="n"/>
      <c r="BR4" s="152" t="n"/>
      <c r="BS4" s="21" t="n"/>
      <c r="BT4" s="21" t="n"/>
      <c r="BU4" s="21" t="n"/>
      <c r="BV4" s="21" t="n"/>
      <c r="BW4" s="21" t="n"/>
      <c r="BX4" s="21" t="n"/>
      <c r="BY4" s="21" t="n"/>
      <c r="BZ4" s="21" t="n"/>
      <c r="CA4" s="21" t="n"/>
      <c r="CB4" s="21" t="n"/>
      <c r="CC4" s="21" t="n"/>
      <c r="CD4" s="21" t="n"/>
      <c r="CE4" s="21" t="n"/>
      <c r="CF4" s="21" t="n"/>
      <c r="CG4" s="21" t="n"/>
      <c r="CH4" s="21" t="n"/>
      <c r="CI4" s="21" t="n"/>
      <c r="CJ4" s="21" t="n"/>
      <c r="CK4" s="21" t="n"/>
      <c r="CL4" s="21" t="n"/>
      <c r="CM4" s="21" t="n"/>
      <c r="CN4" s="21" t="n"/>
      <c r="CO4" s="21" t="n"/>
      <c r="CP4" s="21" t="n"/>
      <c r="CQ4" s="21" t="n"/>
      <c r="CR4" s="21" t="n"/>
      <c r="CS4" s="21" t="n"/>
      <c r="CT4" s="21" t="n"/>
      <c r="CU4" s="154" t="n"/>
      <c r="CV4" s="151" t="n"/>
      <c r="CW4" s="152" t="n"/>
    </row>
    <row r="5" ht="13.5" customHeight="1" s="147">
      <c r="A5" s="220" t="n">
        <v>1</v>
      </c>
      <c r="B5" s="62">
        <f>IF('MAESTRO 1°'!B5="","",'MAESTRO 1°'!B5)</f>
        <v/>
      </c>
      <c r="C5" s="5" t="n">
        <v>3.9</v>
      </c>
      <c r="D5" s="5" t="n">
        <v>4.9</v>
      </c>
      <c r="E5" s="5" t="n">
        <v>3.2</v>
      </c>
      <c r="F5" s="5" t="n"/>
      <c r="G5" s="5" t="n"/>
      <c r="H5" s="5" t="n"/>
      <c r="I5" s="5" t="n"/>
      <c r="J5" s="5" t="n"/>
      <c r="K5" s="5" t="n"/>
      <c r="L5" s="5" t="n"/>
      <c r="M5" s="5" t="n"/>
      <c r="N5" s="5" t="n"/>
      <c r="O5" s="5" t="n"/>
      <c r="P5" s="5" t="n"/>
      <c r="Q5" s="38" t="n"/>
      <c r="R5" s="20" t="n">
        <v>3.4</v>
      </c>
      <c r="S5" s="20" t="n">
        <v>4.8</v>
      </c>
      <c r="T5" s="20" t="n">
        <v>3.4</v>
      </c>
      <c r="U5" s="20" t="n"/>
      <c r="V5" s="20" t="n"/>
      <c r="W5" s="20" t="n"/>
      <c r="X5" s="20" t="n"/>
      <c r="Y5" s="20" t="n"/>
      <c r="Z5" s="20" t="n"/>
      <c r="AA5" s="20" t="n"/>
      <c r="AB5" s="20" t="n"/>
      <c r="AC5" s="40" t="n"/>
      <c r="AD5" s="40" t="n"/>
      <c r="AE5" s="42">
        <f>IF('MAESTRO 1°'!B5="","",IFERROR(TRUNC(AVERAGE(C5:AD5),1),""))</f>
        <v/>
      </c>
      <c r="AF5" s="220" t="n"/>
      <c r="AG5" s="220" t="n">
        <v>1</v>
      </c>
      <c r="AH5" s="220" t="n">
        <v>1</v>
      </c>
      <c r="AI5" s="220">
        <f>IF('MAESTRO 1°'!B5="","",'MAESTRO 1°'!B5)</f>
        <v/>
      </c>
      <c r="AJ5" s="145" t="n"/>
      <c r="AK5" s="55" t="n">
        <v>3.2</v>
      </c>
      <c r="AL5" s="55" t="n">
        <v>4</v>
      </c>
      <c r="AM5" s="55" t="n">
        <v>3.2</v>
      </c>
      <c r="AN5" s="55" t="n"/>
      <c r="AO5" s="55" t="n"/>
      <c r="AP5" s="55" t="n"/>
      <c r="AQ5" s="55" t="n"/>
      <c r="AR5" s="55" t="n"/>
      <c r="AS5" s="55" t="n"/>
      <c r="AT5" s="55" t="n"/>
      <c r="AU5" s="55" t="n"/>
      <c r="AV5" s="55" t="n"/>
      <c r="AW5" s="58" t="n"/>
      <c r="AX5" s="5" t="n"/>
      <c r="AY5" s="20" t="n">
        <v>4.3</v>
      </c>
      <c r="AZ5" s="20" t="n">
        <v>4.8</v>
      </c>
      <c r="BA5" s="20" t="n">
        <v>4.5</v>
      </c>
      <c r="BB5" s="20" t="n"/>
      <c r="BC5" s="20" t="n"/>
      <c r="BD5" s="20" t="n"/>
      <c r="BE5" s="20" t="n"/>
      <c r="BF5" s="20" t="n"/>
      <c r="BG5" s="20" t="n"/>
      <c r="BH5" s="49" t="n"/>
      <c r="BI5" s="5" t="n"/>
      <c r="BJ5" s="20" t="n"/>
      <c r="BK5" s="20" t="n"/>
      <c r="BL5" s="20" t="n"/>
      <c r="BM5" s="5">
        <f>IF('MAESTRO 1°'!B5="","",IFERROR(TRUNC(AVERAGE(AK5:BL5),1),""))</f>
        <v/>
      </c>
      <c r="BN5" s="220" t="n"/>
      <c r="BO5" s="220" t="n">
        <v>1</v>
      </c>
      <c r="BP5" s="220" t="n">
        <v>1</v>
      </c>
      <c r="BQ5" s="220">
        <f>IF('MAESTRO 1°'!B5="","",'MAESTRO 1°'!B5)</f>
        <v/>
      </c>
      <c r="BR5" s="145" t="n"/>
      <c r="BS5" s="5" t="n">
        <v>4.7</v>
      </c>
      <c r="BT5" s="5" t="n">
        <v>4.9</v>
      </c>
      <c r="BU5" s="5" t="n">
        <v>4.6</v>
      </c>
      <c r="BV5" s="5" t="n"/>
      <c r="BW5" s="5" t="n"/>
      <c r="BX5" s="5" t="n"/>
      <c r="BY5" s="5" t="n"/>
      <c r="BZ5" s="5" t="n"/>
      <c r="CA5" s="5" t="n"/>
      <c r="CB5" s="5" t="n"/>
      <c r="CC5" s="5" t="n"/>
      <c r="CD5" s="5" t="n"/>
      <c r="CE5" s="5" t="n"/>
      <c r="CF5" s="5" t="n"/>
      <c r="CG5" s="5" t="n">
        <v>3</v>
      </c>
      <c r="CH5" s="5" t="n">
        <v>4.9</v>
      </c>
      <c r="CI5" s="5" t="n">
        <v>4</v>
      </c>
      <c r="CJ5" s="5" t="n"/>
      <c r="CK5" s="5" t="n"/>
      <c r="CL5" s="5" t="n"/>
      <c r="CM5" s="5" t="n"/>
      <c r="CN5" s="5" t="n"/>
      <c r="CO5" s="5" t="n"/>
      <c r="CP5" s="5" t="n"/>
      <c r="CQ5" s="5" t="n"/>
      <c r="CR5" s="5" t="n"/>
      <c r="CS5" s="5" t="n"/>
      <c r="CT5" s="5" t="n"/>
      <c r="CU5" s="5">
        <f>IF('MAESTRO 1°'!B5="","",IFERROR(TRUNC(AVERAGE(BS5:CT5),1),""))</f>
        <v/>
      </c>
      <c r="CV5" s="220" t="n"/>
      <c r="CW5" s="92" t="n">
        <v>1</v>
      </c>
      <c r="DA5" s="148" t="n"/>
      <c r="DB5" s="148" t="n"/>
      <c r="DC5" s="148" t="n"/>
      <c r="DD5" s="148" t="n"/>
      <c r="DE5" s="148" t="n"/>
      <c r="DF5" s="148" t="n"/>
      <c r="DG5" s="148" t="n"/>
      <c r="DH5" s="148" t="n"/>
      <c r="DI5" s="148" t="n"/>
      <c r="DJ5" s="148" t="n"/>
      <c r="DK5" s="148" t="n"/>
      <c r="DL5" s="148" t="n"/>
      <c r="DM5" s="148" t="n"/>
      <c r="DN5" s="148" t="n"/>
      <c r="EB5" s="148" t="n"/>
      <c r="EC5" s="148" t="n"/>
    </row>
    <row r="6" ht="13.5" customHeight="1" s="147">
      <c r="A6" s="220" t="n">
        <v>2</v>
      </c>
      <c r="B6" s="9">
        <f>IF('MAESTRO 1°'!B6="","",'MAESTRO 1°'!B6)</f>
        <v/>
      </c>
      <c r="C6" t="n">
        <v>4</v>
      </c>
      <c r="D6" s="5" t="n">
        <v>3.4</v>
      </c>
      <c r="E6" s="5" t="n">
        <v>5</v>
      </c>
      <c r="F6" s="5" t="n"/>
      <c r="G6" s="5" t="n"/>
      <c r="H6" s="5" t="n"/>
      <c r="I6" s="5" t="n"/>
      <c r="J6" s="5" t="n"/>
      <c r="K6" s="5" t="n"/>
      <c r="L6" s="5" t="n"/>
      <c r="M6" s="5" t="n"/>
      <c r="N6" s="5" t="n"/>
      <c r="O6" s="5" t="n"/>
      <c r="P6" s="5" t="n"/>
      <c r="Q6" s="38" t="n"/>
      <c r="R6" s="20" t="n">
        <v>3.3</v>
      </c>
      <c r="S6" s="20" t="n">
        <v>3.6</v>
      </c>
      <c r="T6" s="20" t="n">
        <v>3.6</v>
      </c>
      <c r="U6" s="20" t="n"/>
      <c r="V6" s="20" t="n"/>
      <c r="W6" s="20" t="n"/>
      <c r="X6" s="20" t="n"/>
      <c r="Y6" s="20" t="n"/>
      <c r="Z6" s="20" t="n"/>
      <c r="AA6" s="20" t="n"/>
      <c r="AB6" s="20" t="n"/>
      <c r="AC6" s="40" t="n"/>
      <c r="AD6" s="40" t="n"/>
      <c r="AE6" s="42">
        <f>IF('MAESTRO 1°'!B6="","",IFERROR(TRUNC(AVERAGE(C6:AD6),1),""))</f>
        <v/>
      </c>
      <c r="AF6" s="220" t="n"/>
      <c r="AG6" s="220" t="n">
        <v>2</v>
      </c>
      <c r="AH6" s="220" t="n">
        <v>2</v>
      </c>
      <c r="AI6" s="220">
        <f>IF('MAESTRO 1°'!B6="","",'MAESTRO 1°'!B6)</f>
        <v/>
      </c>
      <c r="AJ6" s="145" t="n"/>
      <c r="AK6" s="55" t="n">
        <v>4.5</v>
      </c>
      <c r="AL6" s="55" t="n">
        <v>4.1</v>
      </c>
      <c r="AM6" s="55" t="n">
        <v>5</v>
      </c>
      <c r="AN6" s="55" t="n"/>
      <c r="AO6" s="55" t="n"/>
      <c r="AP6" s="55" t="n"/>
      <c r="AQ6" s="55" t="n"/>
      <c r="AR6" s="55" t="n"/>
      <c r="AS6" s="55" t="n"/>
      <c r="AT6" s="55" t="n"/>
      <c r="AU6" s="55" t="n"/>
      <c r="AV6" s="55" t="n"/>
      <c r="AW6" s="18" t="n"/>
      <c r="AX6" s="5" t="n"/>
      <c r="AY6" s="20" t="n">
        <v>4.2</v>
      </c>
      <c r="AZ6" s="20" t="n">
        <v>4</v>
      </c>
      <c r="BA6" s="20" t="n">
        <v>4.8</v>
      </c>
      <c r="BB6" s="20" t="n"/>
      <c r="BC6" s="20" t="n"/>
      <c r="BD6" s="20" t="n"/>
      <c r="BE6" s="20" t="n"/>
      <c r="BF6" s="20" t="n"/>
      <c r="BG6" s="20" t="n"/>
      <c r="BH6" s="49" t="n"/>
      <c r="BI6" s="5" t="n"/>
      <c r="BJ6" s="20" t="n"/>
      <c r="BK6" s="20" t="n"/>
      <c r="BL6" s="20" t="n"/>
      <c r="BM6" s="5">
        <f>IF('MAESTRO 1°'!B6="","",IFERROR(TRUNC(AVERAGE(AK6:BL6),1),""))</f>
        <v/>
      </c>
      <c r="BN6" s="220" t="n"/>
      <c r="BO6" s="220" t="n">
        <v>2</v>
      </c>
      <c r="BP6" s="220" t="n">
        <v>2</v>
      </c>
      <c r="BQ6" s="220">
        <f>IF('MAESTRO 1°'!B6="","",'MAESTRO 1°'!B6)</f>
        <v/>
      </c>
      <c r="BR6" s="145" t="n"/>
      <c r="BS6" s="5" t="n">
        <v>3.6</v>
      </c>
      <c r="BT6" s="5" t="n">
        <v>4.4</v>
      </c>
      <c r="BU6" s="5" t="n">
        <v>3.8</v>
      </c>
      <c r="BV6" s="5" t="n"/>
      <c r="BW6" s="5" t="n"/>
      <c r="BX6" s="5" t="n"/>
      <c r="BY6" s="5" t="n"/>
      <c r="BZ6" s="5" t="n"/>
      <c r="CA6" s="5" t="n"/>
      <c r="CB6" s="5" t="n"/>
      <c r="CC6" s="5" t="n"/>
      <c r="CD6" s="5" t="n"/>
      <c r="CE6" s="5" t="n"/>
      <c r="CF6" s="5" t="n"/>
      <c r="CG6" s="5" t="n">
        <v>3.9</v>
      </c>
      <c r="CH6" s="5" t="n">
        <v>4.5</v>
      </c>
      <c r="CI6" s="5" t="n">
        <v>3.3</v>
      </c>
      <c r="CJ6" s="5" t="n"/>
      <c r="CK6" s="5" t="n"/>
      <c r="CL6" s="5" t="n"/>
      <c r="CM6" s="5" t="n"/>
      <c r="CN6" s="5" t="n"/>
      <c r="CO6" s="5" t="n"/>
      <c r="CP6" s="5" t="n"/>
      <c r="CQ6" s="5" t="n"/>
      <c r="CR6" s="5" t="n"/>
      <c r="CS6" s="5" t="n"/>
      <c r="CT6" s="5" t="n"/>
      <c r="CU6" s="5">
        <f>IF('MAESTRO 1°'!B6="","",IFERROR(TRUNC(AVERAGE(BS6:CT6),1),""))</f>
        <v/>
      </c>
      <c r="CV6" s="220" t="n"/>
      <c r="CW6" s="92" t="n">
        <v>2</v>
      </c>
      <c r="DA6" s="148" t="n"/>
      <c r="DB6" s="148" t="n"/>
      <c r="DC6" s="148" t="n"/>
      <c r="DD6" s="148" t="n"/>
      <c r="DE6" s="148" t="n"/>
      <c r="DF6" s="148" t="n"/>
      <c r="DG6" s="148" t="n"/>
      <c r="DH6" s="148" t="n"/>
      <c r="DI6" s="148" t="n"/>
      <c r="DJ6" s="148" t="n"/>
      <c r="DK6" s="148" t="n"/>
      <c r="DL6" s="148" t="n"/>
      <c r="DM6" s="148" t="n"/>
      <c r="DN6" s="148" t="n"/>
      <c r="EB6" s="148" t="n"/>
      <c r="EC6" s="148" t="n"/>
    </row>
    <row r="7" ht="13.5" customHeight="1" s="147">
      <c r="A7" s="220" t="n">
        <v>3</v>
      </c>
      <c r="B7" s="9">
        <f>IF('MAESTRO 1°'!B7="","",'MAESTRO 1°'!B7)</f>
        <v/>
      </c>
      <c r="C7" s="5" t="n">
        <v>4.8</v>
      </c>
      <c r="D7" s="5" t="n">
        <v>3.3</v>
      </c>
      <c r="E7" s="5" t="n">
        <v>3.1</v>
      </c>
      <c r="F7" s="5" t="n"/>
      <c r="G7" s="5" t="n"/>
      <c r="H7" s="5" t="n"/>
      <c r="I7" s="5" t="n"/>
      <c r="J7" s="5" t="n"/>
      <c r="K7" s="5" t="n"/>
      <c r="L7" s="5" t="n"/>
      <c r="M7" s="5" t="n"/>
      <c r="N7" s="5" t="n"/>
      <c r="O7" s="5" t="n"/>
      <c r="P7" s="5" t="n"/>
      <c r="Q7" s="38" t="n"/>
      <c r="R7" s="20" t="n">
        <v>4.5</v>
      </c>
      <c r="S7" s="20" t="n">
        <v>4.7</v>
      </c>
      <c r="T7" s="20" t="n">
        <v>4.6</v>
      </c>
      <c r="U7" s="20" t="n"/>
      <c r="V7" s="20" t="n"/>
      <c r="W7" s="20" t="n"/>
      <c r="X7" s="20" t="n"/>
      <c r="Y7" s="20" t="n"/>
      <c r="Z7" s="20" t="n"/>
      <c r="AA7" s="20" t="n"/>
      <c r="AB7" s="20" t="n"/>
      <c r="AC7" s="40" t="n"/>
      <c r="AD7" s="40" t="n"/>
      <c r="AE7" s="42">
        <f>IF('MAESTRO 1°'!B7="","",IFERROR(TRUNC(AVERAGE(C7:AD7),1),""))</f>
        <v/>
      </c>
      <c r="AF7" s="220" t="n"/>
      <c r="AG7" s="220" t="n">
        <v>3</v>
      </c>
      <c r="AH7" s="220" t="n">
        <v>3</v>
      </c>
      <c r="AI7" s="220">
        <f>IF('MAESTRO 1°'!B7="","",'MAESTRO 1°'!B7)</f>
        <v/>
      </c>
      <c r="AJ7" s="145" t="n"/>
      <c r="AK7" s="55" t="n">
        <v>3.9</v>
      </c>
      <c r="AL7" s="55" t="n">
        <v>4.4</v>
      </c>
      <c r="AM7" s="55" t="n">
        <v>3.7</v>
      </c>
      <c r="AN7" s="55" t="n"/>
      <c r="AO7" s="55" t="n"/>
      <c r="AP7" s="55" t="n"/>
      <c r="AQ7" s="55" t="n"/>
      <c r="AR7" s="55" t="n"/>
      <c r="AS7" s="55" t="n"/>
      <c r="AT7" s="55" t="n"/>
      <c r="AU7" s="55" t="n"/>
      <c r="AV7" s="55" t="n"/>
      <c r="AW7" s="18" t="n"/>
      <c r="AX7" s="5" t="n"/>
      <c r="AY7" s="20" t="n">
        <v>3.8</v>
      </c>
      <c r="AZ7" s="20" t="n">
        <v>3.7</v>
      </c>
      <c r="BA7" s="20" t="n">
        <v>4.2</v>
      </c>
      <c r="BB7" s="20" t="n"/>
      <c r="BC7" s="20" t="n"/>
      <c r="BD7" s="20" t="n"/>
      <c r="BE7" s="20" t="n"/>
      <c r="BF7" s="20" t="n"/>
      <c r="BG7" s="20" t="n"/>
      <c r="BH7" s="49" t="n"/>
      <c r="BI7" s="5" t="n"/>
      <c r="BJ7" s="20" t="n"/>
      <c r="BK7" s="20" t="n"/>
      <c r="BL7" s="20" t="n"/>
      <c r="BM7" s="5">
        <f>IF('MAESTRO 1°'!B7="","",IFERROR(TRUNC(AVERAGE(AK7:BL7),1),""))</f>
        <v/>
      </c>
      <c r="BN7" s="220" t="n"/>
      <c r="BO7" s="220" t="n">
        <v>3</v>
      </c>
      <c r="BP7" s="220" t="n">
        <v>3</v>
      </c>
      <c r="BQ7" s="220">
        <f>IF('MAESTRO 1°'!B7="","",'MAESTRO 1°'!B7)</f>
        <v/>
      </c>
      <c r="BR7" s="145" t="n"/>
      <c r="BS7" s="5" t="n">
        <v>3.4</v>
      </c>
      <c r="BT7" s="5" t="n">
        <v>3.1</v>
      </c>
      <c r="BU7" s="5" t="n">
        <v>4.1</v>
      </c>
      <c r="BV7" s="5" t="n"/>
      <c r="BW7" s="5" t="n"/>
      <c r="BX7" s="5" t="n"/>
      <c r="BY7" s="5" t="n"/>
      <c r="BZ7" s="5" t="n"/>
      <c r="CA7" s="5" t="n"/>
      <c r="CB7" s="5" t="n"/>
      <c r="CC7" s="5" t="n"/>
      <c r="CD7" s="5" t="n"/>
      <c r="CE7" s="5" t="n"/>
      <c r="CF7" s="5" t="n"/>
      <c r="CG7" s="5" t="n">
        <v>3.5</v>
      </c>
      <c r="CH7" s="5" t="n">
        <v>4.8</v>
      </c>
      <c r="CI7" s="5" t="n">
        <v>4.6</v>
      </c>
      <c r="CJ7" s="5" t="n"/>
      <c r="CK7" s="5" t="n"/>
      <c r="CL7" s="5" t="n"/>
      <c r="CM7" s="5" t="n"/>
      <c r="CN7" s="5" t="n"/>
      <c r="CO7" s="5" t="n"/>
      <c r="CP7" s="5" t="n"/>
      <c r="CQ7" s="5" t="n"/>
      <c r="CR7" s="5" t="n"/>
      <c r="CS7" s="5" t="n"/>
      <c r="CT7" s="5" t="n"/>
      <c r="CU7" s="5">
        <f>IF('MAESTRO 1°'!B7="","",IFERROR(TRUNC(AVERAGE(BS7:CT7),1),""))</f>
        <v/>
      </c>
      <c r="CV7" s="220" t="n"/>
      <c r="CW7" s="92" t="n">
        <v>3</v>
      </c>
      <c r="DA7" s="148" t="n"/>
      <c r="DB7" s="148" t="n"/>
      <c r="DC7" s="148" t="n"/>
      <c r="DD7" s="148" t="n"/>
      <c r="DE7" s="148" t="n"/>
      <c r="DF7" s="148" t="n"/>
      <c r="DG7" s="148" t="n"/>
      <c r="DH7" s="148" t="n"/>
      <c r="DI7" s="148" t="n"/>
      <c r="DJ7" s="148" t="n"/>
      <c r="DK7" s="148" t="n"/>
      <c r="DL7" s="148" t="n"/>
      <c r="DM7" s="148" t="n"/>
      <c r="DN7" s="148" t="n"/>
      <c r="EB7" s="148" t="n"/>
      <c r="EC7" s="148" t="n"/>
    </row>
    <row r="8" ht="13.5" customHeight="1" s="147">
      <c r="A8" s="220" t="n">
        <v>4</v>
      </c>
      <c r="B8" s="9">
        <f>IF('MAESTRO 1°'!B8="","",'MAESTRO 1°'!B8)</f>
        <v/>
      </c>
      <c r="C8" s="5" t="n">
        <v>4.8</v>
      </c>
      <c r="D8" s="5" t="n">
        <v>4.4</v>
      </c>
      <c r="E8" s="5" t="n">
        <v>4.6</v>
      </c>
      <c r="F8" s="5" t="n"/>
      <c r="G8" s="5" t="n"/>
      <c r="H8" s="5" t="n"/>
      <c r="I8" s="5" t="n"/>
      <c r="J8" s="5" t="n"/>
      <c r="K8" s="5" t="n"/>
      <c r="L8" s="5" t="n"/>
      <c r="M8" s="5" t="n"/>
      <c r="N8" s="5" t="n"/>
      <c r="O8" s="5" t="n"/>
      <c r="P8" s="5" t="n"/>
      <c r="Q8" s="38" t="n"/>
      <c r="R8" s="20" t="n">
        <v>3.1</v>
      </c>
      <c r="S8" s="20" t="n">
        <v>4.1</v>
      </c>
      <c r="T8" s="20" t="n">
        <v>4</v>
      </c>
      <c r="U8" s="20" t="n"/>
      <c r="V8" s="20" t="n"/>
      <c r="W8" s="20" t="n"/>
      <c r="X8" s="20" t="n"/>
      <c r="Y8" s="20" t="n"/>
      <c r="Z8" s="20" t="n"/>
      <c r="AA8" s="20" t="n"/>
      <c r="AB8" s="20" t="n"/>
      <c r="AC8" s="40" t="n"/>
      <c r="AD8" s="40" t="n"/>
      <c r="AE8" s="42">
        <f>IF('MAESTRO 1°'!B8="","",IFERROR(TRUNC(AVERAGE(C8:AD8),1),""))</f>
        <v/>
      </c>
      <c r="AF8" s="220" t="n"/>
      <c r="AG8" s="220" t="n">
        <v>4</v>
      </c>
      <c r="AH8" s="220" t="n">
        <v>4</v>
      </c>
      <c r="AI8" s="220">
        <f>IF('MAESTRO 1°'!B8="","",'MAESTRO 1°'!B8)</f>
        <v/>
      </c>
      <c r="AJ8" s="145" t="n"/>
      <c r="AK8" s="55" t="n">
        <v>3.9</v>
      </c>
      <c r="AL8" s="55" t="n">
        <v>4.8</v>
      </c>
      <c r="AM8" s="55" t="n">
        <v>4.2</v>
      </c>
      <c r="AN8" s="55" t="n"/>
      <c r="AO8" s="55" t="n"/>
      <c r="AP8" s="55" t="n"/>
      <c r="AQ8" s="55" t="n"/>
      <c r="AR8" s="55" t="n"/>
      <c r="AS8" s="55" t="n"/>
      <c r="AT8" s="55" t="n"/>
      <c r="AU8" s="55" t="n"/>
      <c r="AV8" s="55" t="n"/>
      <c r="AW8" s="18" t="n"/>
      <c r="AX8" s="5" t="n"/>
      <c r="AY8" s="20" t="n">
        <v>3.1</v>
      </c>
      <c r="AZ8" s="20" t="n">
        <v>3.8</v>
      </c>
      <c r="BA8" s="20" t="n">
        <v>3.1</v>
      </c>
      <c r="BB8" s="20" t="n"/>
      <c r="BC8" s="20" t="n"/>
      <c r="BD8" s="20" t="n"/>
      <c r="BE8" s="20" t="n"/>
      <c r="BF8" s="20" t="n"/>
      <c r="BG8" s="20" t="n"/>
      <c r="BH8" s="49" t="n"/>
      <c r="BI8" s="5" t="n"/>
      <c r="BJ8" s="20" t="n"/>
      <c r="BK8" s="20" t="n"/>
      <c r="BL8" s="20" t="n"/>
      <c r="BM8" s="5">
        <f>IF('MAESTRO 1°'!B8="","",IFERROR(TRUNC(AVERAGE(AK8:BL8),1),""))</f>
        <v/>
      </c>
      <c r="BN8" s="220" t="n"/>
      <c r="BO8" s="220" t="n">
        <v>4</v>
      </c>
      <c r="BP8" s="220" t="n">
        <v>4</v>
      </c>
      <c r="BQ8" s="220">
        <f>IF('MAESTRO 1°'!B8="","",'MAESTRO 1°'!B8)</f>
        <v/>
      </c>
      <c r="BR8" s="145" t="n"/>
      <c r="BS8" s="5" t="n">
        <v>3.8</v>
      </c>
      <c r="BT8" s="5" t="n">
        <v>3.7</v>
      </c>
      <c r="BU8" s="5" t="n">
        <v>3.2</v>
      </c>
      <c r="BV8" s="5" t="n"/>
      <c r="BW8" s="5" t="n"/>
      <c r="BX8" s="5" t="n"/>
      <c r="BY8" s="5" t="n"/>
      <c r="BZ8" s="5" t="n"/>
      <c r="CA8" s="5" t="n"/>
      <c r="CB8" s="5" t="n"/>
      <c r="CC8" s="5" t="n"/>
      <c r="CD8" s="5" t="n"/>
      <c r="CE8" s="5" t="n"/>
      <c r="CF8" s="5" t="n"/>
      <c r="CG8" s="5" t="n">
        <v>3.9</v>
      </c>
      <c r="CH8" s="5" t="n">
        <v>4.9</v>
      </c>
      <c r="CI8" s="5" t="n">
        <v>3.4</v>
      </c>
      <c r="CJ8" s="5" t="n"/>
      <c r="CK8" s="5" t="n"/>
      <c r="CL8" s="5" t="n"/>
      <c r="CM8" s="5" t="n"/>
      <c r="CN8" s="5" t="n"/>
      <c r="CO8" s="5" t="n"/>
      <c r="CP8" s="5" t="n"/>
      <c r="CQ8" s="5" t="n"/>
      <c r="CR8" s="5" t="n"/>
      <c r="CS8" s="5" t="n"/>
      <c r="CT8" s="5" t="n"/>
      <c r="CU8" s="5">
        <f>IF('MAESTRO 1°'!B8="","",IFERROR(TRUNC(AVERAGE(BS8:CT8),1),""))</f>
        <v/>
      </c>
      <c r="CV8" s="220" t="n"/>
      <c r="CW8" s="92" t="n">
        <v>4</v>
      </c>
      <c r="DA8" s="148" t="n"/>
      <c r="DB8" s="148" t="n"/>
      <c r="DC8" s="148" t="n"/>
      <c r="DD8" s="148" t="n"/>
      <c r="DE8" s="148" t="n"/>
      <c r="DF8" s="148" t="n"/>
      <c r="DG8" s="148" t="n"/>
      <c r="DH8" s="148" t="n"/>
      <c r="DI8" s="148" t="n"/>
      <c r="DJ8" s="148" t="n"/>
      <c r="DK8" s="148" t="n"/>
      <c r="DL8" s="148" t="n"/>
      <c r="DM8" s="148" t="n"/>
      <c r="DN8" s="148" t="n"/>
      <c r="EB8" s="148" t="n"/>
      <c r="EC8" s="148" t="n"/>
    </row>
    <row r="9" ht="13.5" customHeight="1" s="147">
      <c r="A9" s="220" t="n">
        <v>5</v>
      </c>
      <c r="B9" s="9">
        <f>IF('MAESTRO 1°'!B9="","",'MAESTRO 1°'!B9)</f>
        <v/>
      </c>
      <c r="C9" s="5" t="n">
        <v>3</v>
      </c>
      <c r="D9" s="5" t="n">
        <v>3.6</v>
      </c>
      <c r="E9" s="5" t="n">
        <v>4.7</v>
      </c>
      <c r="F9" s="5" t="n"/>
      <c r="G9" s="5" t="n"/>
      <c r="H9" s="5" t="n"/>
      <c r="I9" s="5" t="n"/>
      <c r="J9" s="5" t="n"/>
      <c r="K9" s="5" t="n"/>
      <c r="L9" s="5" t="n"/>
      <c r="M9" s="5" t="n"/>
      <c r="N9" s="5" t="n"/>
      <c r="O9" s="5" t="n"/>
      <c r="P9" s="5" t="n"/>
      <c r="Q9" s="38" t="n"/>
      <c r="R9" s="20" t="n">
        <v>3.6</v>
      </c>
      <c r="S9" s="20" t="n">
        <v>4.9</v>
      </c>
      <c r="T9" s="20" t="n">
        <v>3.7</v>
      </c>
      <c r="U9" s="20" t="n"/>
      <c r="V9" s="20" t="n"/>
      <c r="W9" s="20" t="n"/>
      <c r="X9" s="20" t="n"/>
      <c r="Y9" s="20" t="n"/>
      <c r="Z9" s="20" t="n"/>
      <c r="AA9" s="20" t="n"/>
      <c r="AB9" s="20" t="n"/>
      <c r="AC9" s="40" t="n"/>
      <c r="AD9" s="40" t="n"/>
      <c r="AE9" s="42">
        <f>IF('MAESTRO 1°'!B9="","",IFERROR(TRUNC(AVERAGE(C9:AD9),1),""))</f>
        <v/>
      </c>
      <c r="AF9" s="220" t="n"/>
      <c r="AG9" s="220" t="n">
        <v>5</v>
      </c>
      <c r="AH9" s="220" t="n">
        <v>5</v>
      </c>
      <c r="AI9" s="220">
        <f>IF('MAESTRO 1°'!B9="","",'MAESTRO 1°'!B9)</f>
        <v/>
      </c>
      <c r="AJ9" s="145" t="n"/>
      <c r="AK9" s="55" t="n">
        <v>4.4</v>
      </c>
      <c r="AL9" s="55" t="n">
        <v>4.3</v>
      </c>
      <c r="AM9" s="55" t="n">
        <v>4.6</v>
      </c>
      <c r="AN9" s="55" t="n"/>
      <c r="AO9" s="55" t="n"/>
      <c r="AP9" s="55" t="n"/>
      <c r="AQ9" s="55" t="n"/>
      <c r="AR9" s="55" t="n"/>
      <c r="AS9" s="55" t="n"/>
      <c r="AT9" s="55" t="n"/>
      <c r="AU9" s="55" t="n"/>
      <c r="AV9" s="55" t="n"/>
      <c r="AW9" s="18" t="n"/>
      <c r="AX9" s="5" t="n"/>
      <c r="AY9" s="20" t="n">
        <v>3.4</v>
      </c>
      <c r="AZ9" s="20" t="n">
        <v>3.6</v>
      </c>
      <c r="BA9" s="20" t="n">
        <v>3.1</v>
      </c>
      <c r="BB9" s="20" t="n"/>
      <c r="BC9" s="20" t="n"/>
      <c r="BD9" s="20" t="n"/>
      <c r="BE9" s="20" t="n"/>
      <c r="BF9" s="20" t="n"/>
      <c r="BG9" s="20" t="n"/>
      <c r="BH9" s="49" t="n"/>
      <c r="BI9" s="5" t="n"/>
      <c r="BJ9" s="20" t="n"/>
      <c r="BK9" s="20" t="n"/>
      <c r="BL9" s="20" t="n"/>
      <c r="BM9" s="5">
        <f>IF('MAESTRO 1°'!B9="","",IFERROR(TRUNC(AVERAGE(AK9:BL9),1),""))</f>
        <v/>
      </c>
      <c r="BN9" s="220" t="n"/>
      <c r="BO9" s="220" t="n">
        <v>5</v>
      </c>
      <c r="BP9" s="220" t="n">
        <v>5</v>
      </c>
      <c r="BQ9" s="220">
        <f>IF('MAESTRO 1°'!B9="","",'MAESTRO 1°'!B9)</f>
        <v/>
      </c>
      <c r="BR9" s="145" t="n"/>
      <c r="BS9" s="5" t="n">
        <v>3</v>
      </c>
      <c r="BT9" s="5" t="n">
        <v>3.1</v>
      </c>
      <c r="BU9" s="5" t="n">
        <v>4.1</v>
      </c>
      <c r="BV9" s="5" t="n"/>
      <c r="BW9" s="5" t="n"/>
      <c r="BX9" s="5" t="n"/>
      <c r="BY9" s="5" t="n"/>
      <c r="BZ9" s="5" t="n"/>
      <c r="CA9" s="5" t="n"/>
      <c r="CB9" s="5" t="n"/>
      <c r="CC9" s="5" t="n"/>
      <c r="CD9" s="5" t="n"/>
      <c r="CE9" s="5" t="n"/>
      <c r="CF9" s="5" t="n"/>
      <c r="CG9" s="5" t="n">
        <v>3.9</v>
      </c>
      <c r="CH9" s="5" t="n">
        <v>4.5</v>
      </c>
      <c r="CI9" s="5" t="n">
        <v>4.6</v>
      </c>
      <c r="CJ9" s="5" t="n"/>
      <c r="CK9" s="5" t="n"/>
      <c r="CL9" s="5" t="n"/>
      <c r="CM9" s="5" t="n"/>
      <c r="CN9" s="5" t="n"/>
      <c r="CO9" s="5" t="n"/>
      <c r="CP9" s="5" t="n"/>
      <c r="CQ9" s="5" t="n"/>
      <c r="CR9" s="5" t="n"/>
      <c r="CS9" s="5" t="n"/>
      <c r="CT9" s="5" t="n"/>
      <c r="CU9" s="5">
        <f>IF('MAESTRO 1°'!B9="","",IFERROR(TRUNC(AVERAGE(BS9:CT9),1),""))</f>
        <v/>
      </c>
      <c r="CV9" s="220" t="n"/>
      <c r="CW9" s="92" t="n">
        <v>5</v>
      </c>
      <c r="DA9" s="148" t="n"/>
      <c r="DB9" s="148" t="n"/>
      <c r="DC9" s="148" t="n"/>
      <c r="DD9" s="148" t="n"/>
      <c r="DE9" s="148" t="n"/>
      <c r="DF9" s="148" t="n"/>
      <c r="DG9" s="148" t="n"/>
      <c r="DH9" s="148" t="n"/>
      <c r="DI9" s="148" t="n"/>
      <c r="DJ9" s="148" t="n"/>
      <c r="DK9" s="148" t="n"/>
      <c r="DL9" s="148" t="n"/>
      <c r="DM9" s="148" t="n"/>
      <c r="DN9" s="148" t="n"/>
      <c r="EB9" s="148" t="n"/>
      <c r="EC9" s="148" t="n"/>
    </row>
    <row r="10" ht="13.5" customHeight="1" s="147">
      <c r="A10" s="220" t="n">
        <v>6</v>
      </c>
      <c r="B10" s="9">
        <f>IF('MAESTRO 1°'!B10="","",'MAESTRO 1°'!B10)</f>
        <v/>
      </c>
      <c r="C10" s="5" t="n">
        <v>3.1</v>
      </c>
      <c r="D10" s="5" t="n">
        <v>3.1</v>
      </c>
      <c r="E10" s="5" t="n">
        <v>4.2</v>
      </c>
      <c r="F10" s="5" t="n"/>
      <c r="G10" s="5" t="n"/>
      <c r="H10" s="5" t="n"/>
      <c r="I10" s="5" t="n"/>
      <c r="J10" s="5" t="n"/>
      <c r="K10" s="5" t="n"/>
      <c r="L10" s="5" t="n"/>
      <c r="M10" s="5" t="n"/>
      <c r="N10" s="5" t="n"/>
      <c r="O10" s="5" t="n"/>
      <c r="P10" s="5" t="n"/>
      <c r="Q10" s="38" t="n"/>
      <c r="R10" s="20" t="n">
        <v>4.7</v>
      </c>
      <c r="S10" s="20" t="n">
        <v>4.2</v>
      </c>
      <c r="T10" s="20" t="n">
        <v>3.3</v>
      </c>
      <c r="U10" s="20" t="n"/>
      <c r="V10" s="20" t="n"/>
      <c r="W10" s="20" t="n"/>
      <c r="X10" s="20" t="n"/>
      <c r="Y10" s="20" t="n"/>
      <c r="Z10" s="20" t="n"/>
      <c r="AA10" s="20" t="n"/>
      <c r="AB10" s="20" t="n"/>
      <c r="AC10" s="40" t="n"/>
      <c r="AD10" s="40" t="n"/>
      <c r="AE10" s="42">
        <f>IF('MAESTRO 1°'!B10="","",IFERROR(TRUNC(AVERAGE(C10:AD10),1),""))</f>
        <v/>
      </c>
      <c r="AF10" s="220" t="n"/>
      <c r="AG10" s="220" t="n">
        <v>6</v>
      </c>
      <c r="AH10" s="220" t="n">
        <v>6</v>
      </c>
      <c r="AI10" s="220">
        <f>IF('MAESTRO 1°'!B10="","",'MAESTRO 1°'!B10)</f>
        <v/>
      </c>
      <c r="AJ10" s="145" t="n"/>
      <c r="AK10" s="55" t="n">
        <v>4.1</v>
      </c>
      <c r="AL10" s="55" t="n">
        <v>4.2</v>
      </c>
      <c r="AM10" s="55" t="n">
        <v>3.9</v>
      </c>
      <c r="AN10" s="55" t="n"/>
      <c r="AO10" s="55" t="n"/>
      <c r="AP10" s="55" t="n"/>
      <c r="AQ10" s="55" t="n"/>
      <c r="AR10" s="55" t="n"/>
      <c r="AS10" s="55" t="n"/>
      <c r="AT10" s="55" t="n"/>
      <c r="AU10" s="55" t="n"/>
      <c r="AV10" s="55" t="n"/>
      <c r="AW10" s="55" t="n"/>
      <c r="AX10" s="5" t="n"/>
      <c r="AY10" s="20" t="n">
        <v>3.2</v>
      </c>
      <c r="AZ10" s="20" t="n">
        <v>4</v>
      </c>
      <c r="BA10" s="20" t="n">
        <v>3.7</v>
      </c>
      <c r="BB10" s="20" t="n"/>
      <c r="BC10" s="20" t="n"/>
      <c r="BD10" s="20" t="n"/>
      <c r="BE10" s="20" t="n"/>
      <c r="BF10" s="20" t="n"/>
      <c r="BG10" s="20" t="n"/>
      <c r="BH10" s="49" t="n"/>
      <c r="BI10" s="5" t="n"/>
      <c r="BJ10" s="20" t="n"/>
      <c r="BK10" s="20" t="n"/>
      <c r="BL10" s="20" t="n"/>
      <c r="BM10" s="5">
        <f>IF('MAESTRO 1°'!B10="","",IFERROR(TRUNC(AVERAGE(AK10:BL10),1),""))</f>
        <v/>
      </c>
      <c r="BN10" s="220" t="n"/>
      <c r="BO10" s="220" t="n">
        <v>6</v>
      </c>
      <c r="BP10" s="220" t="n">
        <v>6</v>
      </c>
      <c r="BQ10" s="220">
        <f>IF('MAESTRO 1°'!B10="","",'MAESTRO 1°'!B10)</f>
        <v/>
      </c>
      <c r="BR10" s="145" t="n"/>
      <c r="BS10" s="5" t="n">
        <v>4.6</v>
      </c>
      <c r="BT10" s="5" t="n">
        <v>3.7</v>
      </c>
      <c r="BU10" s="5" t="n">
        <v>3.7</v>
      </c>
      <c r="BV10" s="5" t="n"/>
      <c r="BW10" s="5" t="n"/>
      <c r="BX10" s="5" t="n"/>
      <c r="BY10" s="5" t="n"/>
      <c r="BZ10" s="5" t="n"/>
      <c r="CA10" s="5" t="n"/>
      <c r="CB10" s="5" t="n"/>
      <c r="CC10" s="5" t="n"/>
      <c r="CD10" s="5" t="n"/>
      <c r="CE10" s="5" t="n"/>
      <c r="CF10" s="5" t="n"/>
      <c r="CG10" s="5" t="n">
        <v>3.2</v>
      </c>
      <c r="CH10" s="5" t="n">
        <v>3.8</v>
      </c>
      <c r="CI10" s="5" t="n">
        <v>3.1</v>
      </c>
      <c r="CJ10" s="5" t="n"/>
      <c r="CK10" s="5" t="n"/>
      <c r="CL10" s="5" t="n"/>
      <c r="CM10" s="5" t="n"/>
      <c r="CN10" s="5" t="n"/>
      <c r="CO10" s="5" t="n"/>
      <c r="CP10" s="5" t="n"/>
      <c r="CQ10" s="5" t="n"/>
      <c r="CR10" s="5" t="n"/>
      <c r="CS10" s="5" t="n"/>
      <c r="CT10" s="5" t="n"/>
      <c r="CU10" s="5">
        <f>IF('MAESTRO 1°'!B10="","",IFERROR(TRUNC(AVERAGE(BS10:CT10),1),""))</f>
        <v/>
      </c>
      <c r="CV10" s="220" t="n"/>
      <c r="CW10" s="92" t="n">
        <v>6</v>
      </c>
      <c r="DA10" s="148" t="n"/>
      <c r="DB10" s="148" t="n"/>
      <c r="DC10" s="148" t="n"/>
      <c r="DD10" s="148" t="n"/>
      <c r="DE10" s="148" t="n"/>
      <c r="DF10" s="148" t="n"/>
      <c r="DG10" s="148" t="n"/>
      <c r="DH10" s="148" t="n"/>
      <c r="DI10" s="148" t="n"/>
      <c r="DJ10" s="148" t="n"/>
      <c r="DK10" s="148" t="n"/>
      <c r="DL10" s="148" t="n"/>
      <c r="DM10" s="148" t="n"/>
      <c r="DN10" s="148" t="n"/>
      <c r="EB10" s="148" t="n"/>
      <c r="EC10" s="148" t="n"/>
    </row>
    <row r="11" ht="13.5" customHeight="1" s="147">
      <c r="A11" s="220" t="n">
        <v>7</v>
      </c>
      <c r="B11" s="9">
        <f>IF('MAESTRO 1°'!B11="","",'MAESTRO 1°'!B11)</f>
        <v/>
      </c>
      <c r="C11" s="5" t="n">
        <v>3.4</v>
      </c>
      <c r="D11" s="5" t="n">
        <v>4.4</v>
      </c>
      <c r="E11" s="5" t="n">
        <v>3.5</v>
      </c>
      <c r="F11" s="5" t="n"/>
      <c r="G11" s="5" t="n"/>
      <c r="H11" s="5" t="n"/>
      <c r="I11" s="5" t="n"/>
      <c r="J11" s="5" t="n"/>
      <c r="K11" s="5" t="n"/>
      <c r="L11" s="5" t="n"/>
      <c r="M11" s="5" t="n"/>
      <c r="N11" s="5" t="n"/>
      <c r="O11" s="5" t="n"/>
      <c r="P11" s="5" t="n"/>
      <c r="Q11" s="38" t="n"/>
      <c r="R11" s="20" t="n">
        <v>3.1</v>
      </c>
      <c r="S11" s="20" t="n">
        <v>4.7</v>
      </c>
      <c r="T11" s="20" t="n">
        <v>4.9</v>
      </c>
      <c r="U11" s="20" t="n"/>
      <c r="V11" s="20" t="n"/>
      <c r="W11" s="20" t="n"/>
      <c r="X11" s="20" t="n"/>
      <c r="Y11" s="20" t="n"/>
      <c r="Z11" s="20" t="n"/>
      <c r="AA11" s="20" t="n"/>
      <c r="AB11" s="20" t="n"/>
      <c r="AC11" s="40" t="n"/>
      <c r="AD11" s="40" t="n"/>
      <c r="AE11" s="42">
        <f>IF('MAESTRO 1°'!B11="","",IFERROR(TRUNC(AVERAGE(C11:AD11),1),""))</f>
        <v/>
      </c>
      <c r="AF11" s="220" t="n"/>
      <c r="AG11" s="220" t="n">
        <v>7</v>
      </c>
      <c r="AH11" s="220" t="n">
        <v>7</v>
      </c>
      <c r="AI11" s="220">
        <f>IF('MAESTRO 1°'!B11="","",'MAESTRO 1°'!B11)</f>
        <v/>
      </c>
      <c r="AJ11" s="145" t="n"/>
      <c r="AK11" s="55" t="n">
        <v>4.7</v>
      </c>
      <c r="AL11" s="55" t="n">
        <v>3.5</v>
      </c>
      <c r="AM11" s="55" t="n">
        <v>4.6</v>
      </c>
      <c r="AN11" s="55" t="n"/>
      <c r="AO11" s="55" t="n"/>
      <c r="AP11" s="55" t="n"/>
      <c r="AQ11" s="55" t="n"/>
      <c r="AR11" s="55" t="n"/>
      <c r="AS11" s="55" t="n"/>
      <c r="AT11" s="55" t="n"/>
      <c r="AU11" s="55" t="n"/>
      <c r="AV11" s="55" t="n"/>
      <c r="AW11" s="55" t="n"/>
      <c r="AX11" s="5" t="n"/>
      <c r="AY11" s="20" t="n">
        <v>3.2</v>
      </c>
      <c r="AZ11" s="20" t="n">
        <v>3.2</v>
      </c>
      <c r="BA11" s="20" t="n">
        <v>3.7</v>
      </c>
      <c r="BB11" s="20" t="n"/>
      <c r="BC11" s="20" t="n"/>
      <c r="BD11" s="20" t="n"/>
      <c r="BE11" s="20" t="n"/>
      <c r="BF11" s="20" t="n"/>
      <c r="BG11" s="20" t="n"/>
      <c r="BH11" s="49" t="n"/>
      <c r="BI11" s="5" t="n"/>
      <c r="BJ11" s="20" t="n"/>
      <c r="BK11" s="20" t="n"/>
      <c r="BL11" s="20" t="n"/>
      <c r="BM11" s="5">
        <f>IF('MAESTRO 1°'!B11="","",IFERROR(TRUNC(AVERAGE(AK11:BL11),1),""))</f>
        <v/>
      </c>
      <c r="BN11" s="220" t="n"/>
      <c r="BO11" s="220" t="n">
        <v>7</v>
      </c>
      <c r="BP11" s="220" t="n">
        <v>7</v>
      </c>
      <c r="BQ11" s="220">
        <f>IF('MAESTRO 1°'!B11="","",'MAESTRO 1°'!B11)</f>
        <v/>
      </c>
      <c r="BR11" s="145" t="n"/>
      <c r="BS11" s="5" t="n">
        <v>3.9</v>
      </c>
      <c r="BT11" s="5" t="n">
        <v>4.9</v>
      </c>
      <c r="BU11" s="5" t="n">
        <v>5</v>
      </c>
      <c r="BV11" s="5" t="n"/>
      <c r="BW11" s="5" t="n"/>
      <c r="BX11" s="5" t="n"/>
      <c r="BY11" s="5" t="n"/>
      <c r="BZ11" s="5" t="n"/>
      <c r="CA11" s="5" t="n"/>
      <c r="CB11" s="5" t="n"/>
      <c r="CC11" s="5" t="n"/>
      <c r="CD11" s="5" t="n"/>
      <c r="CE11" s="5" t="n"/>
      <c r="CF11" s="5" t="n"/>
      <c r="CG11" s="5" t="n">
        <v>3.4</v>
      </c>
      <c r="CH11" s="5" t="n">
        <v>3.2</v>
      </c>
      <c r="CI11" s="5" t="n">
        <v>3.2</v>
      </c>
      <c r="CJ11" s="5" t="n"/>
      <c r="CK11" s="5" t="n"/>
      <c r="CL11" s="5" t="n"/>
      <c r="CM11" s="5" t="n"/>
      <c r="CN11" s="5" t="n"/>
      <c r="CO11" s="5" t="n"/>
      <c r="CP11" s="5" t="n"/>
      <c r="CQ11" s="5" t="n"/>
      <c r="CR11" s="5" t="n"/>
      <c r="CS11" s="5" t="n"/>
      <c r="CT11" s="5" t="n"/>
      <c r="CU11" s="5">
        <f>IF('MAESTRO 1°'!B11="","",IFERROR(TRUNC(AVERAGE(BS11:CT11),1),""))</f>
        <v/>
      </c>
      <c r="CV11" s="220" t="n"/>
      <c r="CW11" s="92" t="n">
        <v>7</v>
      </c>
      <c r="DA11" s="148" t="n"/>
      <c r="DB11" s="148" t="n"/>
      <c r="DC11" s="148" t="n"/>
      <c r="DD11" s="148" t="n"/>
      <c r="DE11" s="148" t="n"/>
      <c r="DF11" s="148" t="n"/>
      <c r="DG11" s="148" t="n"/>
      <c r="DH11" s="148" t="n"/>
      <c r="DI11" s="148" t="n"/>
      <c r="DJ11" s="148" t="n"/>
      <c r="DK11" s="148" t="n"/>
      <c r="DL11" s="148" t="n"/>
      <c r="DM11" s="148" t="n"/>
      <c r="DN11" s="148" t="n"/>
      <c r="EB11" s="148" t="n"/>
      <c r="EC11" s="148" t="n"/>
    </row>
    <row r="12" ht="13.5" customHeight="1" s="147">
      <c r="A12" s="220" t="n">
        <v>8</v>
      </c>
      <c r="B12" s="9">
        <f>IF('MAESTRO 1°'!B12="","",'MAESTRO 1°'!B12)</f>
        <v/>
      </c>
      <c r="C12" s="5" t="n">
        <v>3</v>
      </c>
      <c r="D12" s="5" t="n">
        <v>4.3</v>
      </c>
      <c r="E12" s="5" t="n">
        <v>3.2</v>
      </c>
      <c r="F12" s="5" t="n"/>
      <c r="G12" s="5" t="n"/>
      <c r="H12" s="5" t="n"/>
      <c r="I12" s="5" t="n"/>
      <c r="J12" s="5" t="n"/>
      <c r="K12" s="5" t="n"/>
      <c r="L12" s="5" t="n"/>
      <c r="M12" s="5" t="n"/>
      <c r="N12" s="5" t="n"/>
      <c r="O12" s="5" t="n"/>
      <c r="P12" s="5" t="n"/>
      <c r="Q12" s="38" t="n"/>
      <c r="R12" s="20" t="n">
        <v>4.6</v>
      </c>
      <c r="S12" s="20" t="n">
        <v>3.3</v>
      </c>
      <c r="T12" s="20" t="n">
        <v>4.4</v>
      </c>
      <c r="U12" s="20" t="n"/>
      <c r="V12" s="20" t="n"/>
      <c r="W12" s="20" t="n"/>
      <c r="X12" s="20" t="n"/>
      <c r="Y12" s="20" t="n"/>
      <c r="Z12" s="20" t="n"/>
      <c r="AA12" s="20" t="n"/>
      <c r="AB12" s="20" t="n"/>
      <c r="AC12" s="40" t="n"/>
      <c r="AD12" s="40" t="n"/>
      <c r="AE12" s="42">
        <f>IF('MAESTRO 1°'!B12="","",IFERROR(TRUNC(AVERAGE(C12:AD12),1),""))</f>
        <v/>
      </c>
      <c r="AF12" s="220" t="n"/>
      <c r="AG12" s="220" t="n">
        <v>8</v>
      </c>
      <c r="AH12" s="220" t="n">
        <v>8</v>
      </c>
      <c r="AI12" s="220">
        <f>IF('MAESTRO 1°'!B12="","",'MAESTRO 1°'!B12)</f>
        <v/>
      </c>
      <c r="AJ12" s="145" t="n"/>
      <c r="AK12" s="55" t="n">
        <v>4.7</v>
      </c>
      <c r="AL12" s="55" t="n">
        <v>4</v>
      </c>
      <c r="AM12" s="55" t="n">
        <v>4</v>
      </c>
      <c r="AN12" s="55" t="n"/>
      <c r="AO12" s="55" t="n"/>
      <c r="AP12" s="55" t="n"/>
      <c r="AQ12" s="55" t="n"/>
      <c r="AR12" s="55" t="n"/>
      <c r="AS12" s="55" t="n"/>
      <c r="AT12" s="55" t="n"/>
      <c r="AU12" s="55" t="n"/>
      <c r="AV12" s="55" t="n"/>
      <c r="AW12" s="55" t="n"/>
      <c r="AX12" s="5" t="n"/>
      <c r="AY12" s="20" t="n">
        <v>4.2</v>
      </c>
      <c r="AZ12" s="20" t="n">
        <v>3.9</v>
      </c>
      <c r="BA12" s="20" t="n">
        <v>4.5</v>
      </c>
      <c r="BB12" s="20" t="n"/>
      <c r="BC12" s="20" t="n"/>
      <c r="BD12" s="20" t="n"/>
      <c r="BE12" s="20" t="n"/>
      <c r="BF12" s="20" t="n"/>
      <c r="BG12" s="20" t="n"/>
      <c r="BH12" s="49" t="n"/>
      <c r="BI12" s="5" t="n"/>
      <c r="BJ12" s="20" t="n"/>
      <c r="BK12" s="20" t="n"/>
      <c r="BL12" s="20" t="n"/>
      <c r="BM12" s="5">
        <f>IF('MAESTRO 1°'!B12="","",IFERROR(TRUNC(AVERAGE(AK12:BL12),1),""))</f>
        <v/>
      </c>
      <c r="BN12" s="220" t="n"/>
      <c r="BO12" s="220" t="n">
        <v>8</v>
      </c>
      <c r="BP12" s="220" t="n">
        <v>8</v>
      </c>
      <c r="BQ12" s="220">
        <f>IF('MAESTRO 1°'!B12="","",'MAESTRO 1°'!B12)</f>
        <v/>
      </c>
      <c r="BR12" s="145" t="n"/>
      <c r="BS12" s="5" t="n">
        <v>3.6</v>
      </c>
      <c r="BT12" s="5" t="n">
        <v>4</v>
      </c>
      <c r="BU12" s="5" t="n">
        <v>3.6</v>
      </c>
      <c r="BV12" s="5" t="n"/>
      <c r="BW12" s="5" t="n"/>
      <c r="BX12" s="5" t="n"/>
      <c r="BY12" s="5" t="n"/>
      <c r="BZ12" s="5" t="n"/>
      <c r="CA12" s="5" t="n"/>
      <c r="CB12" s="5" t="n"/>
      <c r="CC12" s="5" t="n"/>
      <c r="CD12" s="5" t="n"/>
      <c r="CE12" s="5" t="n"/>
      <c r="CF12" s="5" t="n"/>
      <c r="CG12" s="5" t="n">
        <v>4.8</v>
      </c>
      <c r="CH12" s="5" t="n">
        <v>3.4</v>
      </c>
      <c r="CI12" s="5" t="n">
        <v>4.8</v>
      </c>
      <c r="CJ12" s="5" t="n"/>
      <c r="CK12" s="5" t="n"/>
      <c r="CL12" s="5" t="n"/>
      <c r="CM12" s="5" t="n"/>
      <c r="CN12" s="5" t="n"/>
      <c r="CO12" s="5" t="n"/>
      <c r="CP12" s="5" t="n"/>
      <c r="CQ12" s="5" t="n"/>
      <c r="CR12" s="5" t="n"/>
      <c r="CS12" s="5" t="n"/>
      <c r="CT12" s="5" t="n"/>
      <c r="CU12" s="5">
        <f>IF('MAESTRO 1°'!B12="","",IFERROR(TRUNC(AVERAGE(BS12:CT12),1),""))</f>
        <v/>
      </c>
      <c r="CV12" s="220" t="n"/>
      <c r="CW12" s="92" t="n">
        <v>8</v>
      </c>
      <c r="DA12" s="148" t="n"/>
      <c r="DB12" s="148" t="n"/>
      <c r="DC12" s="148" t="n"/>
      <c r="DD12" s="148" t="n"/>
      <c r="DE12" s="148" t="n"/>
      <c r="DF12" s="148" t="n"/>
      <c r="DG12" s="148" t="n"/>
      <c r="DH12" s="148" t="n"/>
      <c r="DI12" s="148" t="n"/>
      <c r="DJ12" s="148" t="n"/>
      <c r="DK12" s="148" t="n"/>
      <c r="DL12" s="148" t="n"/>
      <c r="DM12" s="148" t="n"/>
      <c r="DN12" s="148" t="n"/>
      <c r="EB12" s="148" t="n"/>
      <c r="EC12" s="148" t="n"/>
    </row>
    <row r="13" ht="13.5" customHeight="1" s="147">
      <c r="A13" s="220" t="n">
        <v>9</v>
      </c>
      <c r="B13" s="9">
        <f>IF('MAESTRO 1°'!B13="","",'MAESTRO 1°'!B13)</f>
        <v/>
      </c>
      <c r="C13" s="5" t="n">
        <v>3.7</v>
      </c>
      <c r="D13" s="5" t="n">
        <v>4.4</v>
      </c>
      <c r="E13" s="5" t="n">
        <v>3.6</v>
      </c>
      <c r="F13" s="5" t="n"/>
      <c r="G13" s="5" t="n"/>
      <c r="H13" s="5" t="n"/>
      <c r="I13" s="5" t="n"/>
      <c r="J13" s="5" t="n"/>
      <c r="K13" s="5" t="n"/>
      <c r="L13" s="5" t="n"/>
      <c r="M13" s="5" t="n"/>
      <c r="N13" s="5" t="n"/>
      <c r="O13" s="5" t="n"/>
      <c r="P13" s="5" t="n"/>
      <c r="Q13" s="38" t="n"/>
      <c r="R13" s="20" t="n">
        <v>3.7</v>
      </c>
      <c r="S13" s="5" t="n">
        <v>4</v>
      </c>
      <c r="T13" s="5" t="n">
        <v>4.2</v>
      </c>
      <c r="U13" s="5" t="n"/>
      <c r="V13" s="5" t="n"/>
      <c r="W13" s="5" t="n"/>
      <c r="X13" s="5" t="n"/>
      <c r="Y13" s="5" t="n"/>
      <c r="Z13" s="5" t="n"/>
      <c r="AA13" s="5" t="n"/>
      <c r="AB13" s="5" t="n"/>
      <c r="AC13" s="5" t="n"/>
      <c r="AD13" s="5" t="n"/>
      <c r="AE13" s="42">
        <f>IF('MAESTRO 1°'!B13="","",IFERROR(TRUNC(AVERAGE(C13:AD13),1),""))</f>
        <v/>
      </c>
      <c r="AF13" s="220" t="n"/>
      <c r="AG13" s="220" t="n">
        <v>9</v>
      </c>
      <c r="AH13" s="220" t="n">
        <v>9</v>
      </c>
      <c r="AI13" s="220">
        <f>IF('MAESTRO 1°'!B13="","",'MAESTRO 1°'!B13)</f>
        <v/>
      </c>
      <c r="AJ13" s="145" t="n"/>
      <c r="AK13" s="40" t="n">
        <v>4.8</v>
      </c>
      <c r="AL13" s="40" t="n">
        <v>5</v>
      </c>
      <c r="AM13" s="40" t="n">
        <v>3.6</v>
      </c>
      <c r="AN13" s="40" t="n"/>
      <c r="AO13" s="40" t="n"/>
      <c r="AP13" s="40" t="n"/>
      <c r="AQ13" s="40" t="n"/>
      <c r="AR13" s="55" t="n"/>
      <c r="AS13" s="55" t="n"/>
      <c r="AT13" s="55" t="n"/>
      <c r="AU13" s="55" t="n"/>
      <c r="AV13" s="55" t="n"/>
      <c r="AW13" s="55" t="n"/>
      <c r="AX13" s="5" t="n"/>
      <c r="AY13" s="57" t="n">
        <v>4</v>
      </c>
      <c r="AZ13" s="20" t="n">
        <v>3.2</v>
      </c>
      <c r="BA13" s="57" t="n">
        <v>3.9</v>
      </c>
      <c r="BB13" s="57" t="n"/>
      <c r="BC13" s="20" t="n"/>
      <c r="BD13" s="57" t="n"/>
      <c r="BE13" s="57" t="n"/>
      <c r="BF13" s="57" t="n"/>
      <c r="BG13" s="57" t="n"/>
      <c r="BH13" s="49" t="n"/>
      <c r="BI13" s="5" t="n"/>
      <c r="BJ13" s="20" t="n"/>
      <c r="BK13" s="20" t="n"/>
      <c r="BL13" s="20" t="n"/>
      <c r="BM13" s="5">
        <f>IF('MAESTRO 1°'!B13="","",IFERROR(TRUNC(AVERAGE(AK13:BL13),1),""))</f>
        <v/>
      </c>
      <c r="BN13" s="220" t="n"/>
      <c r="BO13" s="220" t="n">
        <v>9</v>
      </c>
      <c r="BP13" s="220" t="n">
        <v>9</v>
      </c>
      <c r="BQ13" s="220">
        <f>IF('MAESTRO 1°'!B13="","",'MAESTRO 1°'!B13)</f>
        <v/>
      </c>
      <c r="BR13" s="145" t="n"/>
      <c r="BS13" s="5" t="n">
        <v>4.7</v>
      </c>
      <c r="BT13" s="5" t="n">
        <v>3.1</v>
      </c>
      <c r="BU13" s="5" t="n">
        <v>4.6</v>
      </c>
      <c r="BV13" s="5" t="n"/>
      <c r="BW13" s="5" t="n"/>
      <c r="BX13" s="5" t="n"/>
      <c r="BY13" s="5" t="n"/>
      <c r="BZ13" s="5" t="n"/>
      <c r="CA13" s="5" t="n"/>
      <c r="CB13" s="5" t="n"/>
      <c r="CC13" s="5" t="n"/>
      <c r="CD13" s="5" t="n"/>
      <c r="CE13" s="5" t="n"/>
      <c r="CF13" s="5" t="n"/>
      <c r="CG13" s="5" t="n">
        <v>4.9</v>
      </c>
      <c r="CH13" s="5" t="n">
        <v>4.9</v>
      </c>
      <c r="CI13" s="5" t="n">
        <v>3.5</v>
      </c>
      <c r="CJ13" s="5" t="n"/>
      <c r="CK13" s="5" t="n"/>
      <c r="CL13" s="5" t="n"/>
      <c r="CM13" s="5" t="n"/>
      <c r="CN13" s="5" t="n"/>
      <c r="CO13" s="5" t="n"/>
      <c r="CP13" s="5" t="n"/>
      <c r="CQ13" s="5" t="n"/>
      <c r="CR13" s="5" t="n"/>
      <c r="CS13" s="5" t="n"/>
      <c r="CT13" s="5" t="n"/>
      <c r="CU13" s="5">
        <f>IF('MAESTRO 1°'!B13="","",IFERROR(TRUNC(AVERAGE(BS13:CT13),1),""))</f>
        <v/>
      </c>
      <c r="CV13" s="220" t="n"/>
      <c r="CW13" s="92" t="n">
        <v>9</v>
      </c>
      <c r="DA13" s="148" t="n"/>
      <c r="DB13" s="148" t="n"/>
      <c r="DC13" s="148" t="n"/>
      <c r="DD13" s="148" t="n"/>
      <c r="DE13" s="148" t="n"/>
      <c r="DF13" s="148" t="n"/>
      <c r="DG13" s="148" t="n"/>
      <c r="DH13" s="148" t="n"/>
      <c r="DI13" s="148" t="n"/>
      <c r="DJ13" s="148" t="n"/>
      <c r="DK13" s="148" t="n"/>
      <c r="DL13" s="148" t="n"/>
      <c r="DM13" s="148" t="n"/>
      <c r="DN13" s="148" t="n"/>
      <c r="EB13" s="148" t="n"/>
      <c r="EC13" s="148" t="n"/>
    </row>
    <row r="14" ht="13.5" customHeight="1" s="147">
      <c r="A14" s="220" t="n">
        <v>10</v>
      </c>
      <c r="B14" s="9">
        <f>IF('MAESTRO 1°'!B14="","",'MAESTRO 1°'!B14)</f>
        <v/>
      </c>
      <c r="C14" s="5" t="n">
        <v>3.4</v>
      </c>
      <c r="D14" s="5" t="n">
        <v>4.6</v>
      </c>
      <c r="E14" s="5" t="n">
        <v>4.1</v>
      </c>
      <c r="F14" s="5" t="n"/>
      <c r="G14" s="5" t="n"/>
      <c r="H14" s="5" t="n"/>
      <c r="I14" s="5" t="n"/>
      <c r="J14" s="5" t="n"/>
      <c r="K14" s="5" t="n"/>
      <c r="L14" s="5" t="n"/>
      <c r="M14" s="5" t="n"/>
      <c r="N14" s="5" t="n"/>
      <c r="O14" s="5" t="n"/>
      <c r="P14" s="5" t="n"/>
      <c r="Q14" s="38" t="n"/>
      <c r="R14" s="20" t="n">
        <v>5</v>
      </c>
      <c r="S14" s="20" t="n">
        <v>3.5</v>
      </c>
      <c r="T14" s="20" t="n">
        <v>3.7</v>
      </c>
      <c r="U14" s="20" t="n"/>
      <c r="V14" s="20" t="n"/>
      <c r="W14" s="20" t="n"/>
      <c r="X14" s="20" t="n"/>
      <c r="Y14" s="20" t="n"/>
      <c r="Z14" s="20" t="n"/>
      <c r="AA14" s="20" t="n"/>
      <c r="AB14" s="20" t="n"/>
      <c r="AC14" s="40" t="n"/>
      <c r="AD14" s="40" t="n"/>
      <c r="AE14" s="42">
        <f>IF('MAESTRO 1°'!B14="","",IFERROR(TRUNC(AVERAGE(C14:AD14),1),""))</f>
        <v/>
      </c>
      <c r="AF14" s="220" t="n"/>
      <c r="AG14" s="220" t="n">
        <v>10</v>
      </c>
      <c r="AH14" s="220" t="n">
        <v>10</v>
      </c>
      <c r="AI14" s="220">
        <f>IF('MAESTRO 1°'!B14="","",'MAESTRO 1°'!B14)</f>
        <v/>
      </c>
      <c r="AJ14" s="145" t="n"/>
      <c r="AK14" s="55" t="n">
        <v>3.4</v>
      </c>
      <c r="AL14" s="55" t="n">
        <v>4.1</v>
      </c>
      <c r="AM14" s="55" t="n">
        <v>4.5</v>
      </c>
      <c r="AN14" s="55" t="n"/>
      <c r="AO14" s="55" t="n"/>
      <c r="AP14" s="55" t="n"/>
      <c r="AQ14" s="55" t="n"/>
      <c r="AR14" s="55" t="n"/>
      <c r="AS14" s="55" t="n"/>
      <c r="AT14" s="55" t="n"/>
      <c r="AU14" s="55" t="n"/>
      <c r="AV14" s="55" t="n"/>
      <c r="AW14" s="18" t="n"/>
      <c r="AX14" s="5" t="n"/>
      <c r="AY14" s="20" t="n">
        <v>4.8</v>
      </c>
      <c r="AZ14" s="20" t="n">
        <v>4.6</v>
      </c>
      <c r="BA14" s="20" t="n">
        <v>4.2</v>
      </c>
      <c r="BB14" s="20" t="n"/>
      <c r="BC14" s="20" t="n"/>
      <c r="BD14" s="20" t="n"/>
      <c r="BE14" s="20" t="n"/>
      <c r="BF14" s="20" t="n"/>
      <c r="BG14" s="20" t="n"/>
      <c r="BH14" s="49" t="n"/>
      <c r="BI14" s="5" t="n"/>
      <c r="BJ14" s="20" t="n"/>
      <c r="BK14" s="20" t="n"/>
      <c r="BL14" s="20" t="n"/>
      <c r="BM14" s="5">
        <f>IF('MAESTRO 1°'!B14="","",IFERROR(TRUNC(AVERAGE(AK14:BL14),1),""))</f>
        <v/>
      </c>
      <c r="BN14" s="220" t="n"/>
      <c r="BO14" s="220" t="n">
        <v>10</v>
      </c>
      <c r="BP14" s="220" t="n">
        <v>10</v>
      </c>
      <c r="BQ14" s="220">
        <f>IF('MAESTRO 1°'!B14="","",'MAESTRO 1°'!B14)</f>
        <v/>
      </c>
      <c r="BR14" s="145" t="n"/>
      <c r="BS14" s="5" t="n">
        <v>4.7</v>
      </c>
      <c r="BT14" s="5" t="n">
        <v>4.1</v>
      </c>
      <c r="BU14" s="5" t="n">
        <v>3.9</v>
      </c>
      <c r="BV14" s="5" t="n"/>
      <c r="BW14" s="5" t="n"/>
      <c r="BX14" s="5" t="n"/>
      <c r="BY14" s="5" t="n"/>
      <c r="BZ14" s="5" t="n"/>
      <c r="CA14" s="5" t="n"/>
      <c r="CB14" s="5" t="n"/>
      <c r="CC14" s="5" t="n"/>
      <c r="CD14" s="5" t="n"/>
      <c r="CE14" s="5" t="n"/>
      <c r="CF14" s="5" t="n"/>
      <c r="CG14" s="5" t="n">
        <v>3.9</v>
      </c>
      <c r="CH14" s="5" t="n">
        <v>4.1</v>
      </c>
      <c r="CI14" s="5" t="n">
        <v>4.5</v>
      </c>
      <c r="CJ14" s="5" t="n"/>
      <c r="CK14" s="5" t="n"/>
      <c r="CL14" s="5" t="n"/>
      <c r="CM14" s="5" t="n"/>
      <c r="CN14" s="5" t="n"/>
      <c r="CO14" s="5" t="n"/>
      <c r="CP14" s="5" t="n"/>
      <c r="CQ14" s="5" t="n"/>
      <c r="CR14" s="5" t="n"/>
      <c r="CS14" s="5" t="n"/>
      <c r="CT14" s="5" t="n"/>
      <c r="CU14" s="5">
        <f>IF('MAESTRO 1°'!B14="","",IFERROR(TRUNC(AVERAGE(BS14:CT14),1),""))</f>
        <v/>
      </c>
      <c r="CV14" s="220" t="n"/>
      <c r="CW14" s="92" t="n">
        <v>10</v>
      </c>
      <c r="DA14" s="148" t="n"/>
      <c r="DB14" s="148" t="n"/>
      <c r="DC14" s="148" t="n"/>
      <c r="DD14" s="148" t="n"/>
      <c r="DE14" s="148" t="n"/>
      <c r="DF14" s="148" t="n"/>
      <c r="DG14" s="148" t="n"/>
      <c r="DH14" s="148" t="n"/>
      <c r="DI14" s="148" t="n"/>
      <c r="DJ14" s="148" t="n"/>
      <c r="DK14" s="148" t="n"/>
      <c r="DL14" s="148" t="n"/>
      <c r="DM14" s="148" t="n"/>
      <c r="DN14" s="148" t="n"/>
      <c r="EB14" s="148" t="n"/>
      <c r="EC14" s="148" t="n"/>
    </row>
    <row r="15" ht="13.5" customHeight="1" s="147">
      <c r="A15" s="220" t="n">
        <v>11</v>
      </c>
      <c r="B15" s="9">
        <f>IF('MAESTRO 1°'!B15="","",'MAESTRO 1°'!B15)</f>
        <v/>
      </c>
      <c r="C15" s="5" t="n"/>
      <c r="D15" s="5" t="n"/>
      <c r="E15" s="5" t="n"/>
      <c r="F15" s="5" t="n"/>
      <c r="G15" s="5" t="n"/>
      <c r="H15" s="5" t="n"/>
      <c r="I15" s="5" t="n"/>
      <c r="J15" s="5" t="n"/>
      <c r="K15" s="5" t="n"/>
      <c r="L15" s="5" t="n"/>
      <c r="M15" s="5" t="n"/>
      <c r="N15" s="5" t="n"/>
      <c r="O15" s="5" t="n"/>
      <c r="P15" s="5" t="n"/>
      <c r="Q15" s="38" t="n"/>
      <c r="R15" s="20" t="n"/>
      <c r="S15" s="20" t="n"/>
      <c r="T15" s="20" t="n"/>
      <c r="U15" s="20" t="n"/>
      <c r="V15" s="20" t="n"/>
      <c r="W15" s="20" t="n"/>
      <c r="X15" s="20" t="n"/>
      <c r="Y15" s="20" t="n"/>
      <c r="Z15" s="20" t="n"/>
      <c r="AA15" s="20" t="n"/>
      <c r="AB15" s="20" t="n"/>
      <c r="AC15" s="40" t="n"/>
      <c r="AD15" s="40" t="n"/>
      <c r="AE15" s="42">
        <f>IF('MAESTRO 1°'!B15="","",IFERROR(TRUNC(AVERAGE(C15:AD15),1),""))</f>
        <v/>
      </c>
      <c r="AF15" s="220" t="n"/>
      <c r="AG15" s="220" t="n">
        <v>11</v>
      </c>
      <c r="AH15" s="220" t="n">
        <v>11</v>
      </c>
      <c r="AI15" s="220">
        <f>IF('MAESTRO 1°'!B15="","",'MAESTRO 1°'!B15)</f>
        <v/>
      </c>
      <c r="AJ15" s="145" t="n"/>
      <c r="AK15" s="55" t="n"/>
      <c r="AL15" s="55" t="n"/>
      <c r="AM15" s="55" t="n"/>
      <c r="AN15" s="55" t="n"/>
      <c r="AO15" s="55" t="n"/>
      <c r="AP15" s="55" t="n"/>
      <c r="AQ15" s="55" t="n"/>
      <c r="AR15" s="55" t="n"/>
      <c r="AS15" s="55" t="n"/>
      <c r="AT15" s="55" t="n"/>
      <c r="AU15" s="55" t="n"/>
      <c r="AV15" s="55" t="n"/>
      <c r="AW15" s="18" t="n"/>
      <c r="AX15" s="5" t="n"/>
      <c r="AY15" s="20" t="n"/>
      <c r="AZ15" s="20" t="n"/>
      <c r="BA15" s="20" t="n"/>
      <c r="BB15" s="20" t="n"/>
      <c r="BC15" s="20" t="n"/>
      <c r="BD15" s="20" t="n"/>
      <c r="BE15" s="20" t="n"/>
      <c r="BF15" s="20" t="n"/>
      <c r="BG15" s="20" t="n"/>
      <c r="BH15" s="49" t="n"/>
      <c r="BI15" s="5" t="n"/>
      <c r="BJ15" s="20" t="n"/>
      <c r="BK15" s="20" t="n"/>
      <c r="BL15" s="20" t="n"/>
      <c r="BM15" s="5">
        <f>IF('MAESTRO 1°'!B15="","",IFERROR(TRUNC(AVERAGE(AK15:BL15),1),""))</f>
        <v/>
      </c>
      <c r="BN15" s="220" t="n"/>
      <c r="BO15" s="220" t="n">
        <v>11</v>
      </c>
      <c r="BP15" s="220" t="n">
        <v>11</v>
      </c>
      <c r="BQ15" s="220">
        <f>IF('MAESTRO 1°'!B15="","",'MAESTRO 1°'!B15)</f>
        <v/>
      </c>
      <c r="BR15" s="145" t="n"/>
      <c r="BS15" s="5" t="n"/>
      <c r="BT15" s="5" t="n"/>
      <c r="BU15" s="5" t="n"/>
      <c r="BV15" s="5" t="n"/>
      <c r="BW15" s="5" t="n"/>
      <c r="BX15" s="5" t="n"/>
      <c r="BY15" s="5" t="n"/>
      <c r="BZ15" s="5" t="n"/>
      <c r="CA15" s="5" t="n"/>
      <c r="CB15" s="5" t="n"/>
      <c r="CC15" s="5" t="n"/>
      <c r="CD15" s="5" t="n"/>
      <c r="CE15" s="5" t="n"/>
      <c r="CF15" s="5" t="n"/>
      <c r="CG15" s="5" t="n"/>
      <c r="CH15" s="5" t="n"/>
      <c r="CI15" s="5" t="n"/>
      <c r="CJ15" s="5" t="n"/>
      <c r="CK15" s="5" t="n"/>
      <c r="CL15" s="5" t="n"/>
      <c r="CM15" s="5" t="n"/>
      <c r="CN15" s="5" t="n"/>
      <c r="CO15" s="5" t="n"/>
      <c r="CP15" s="5" t="n"/>
      <c r="CQ15" s="5" t="n"/>
      <c r="CR15" s="5" t="n"/>
      <c r="CS15" s="5" t="n"/>
      <c r="CT15" s="5" t="n"/>
      <c r="CU15" s="5">
        <f>IF('MAESTRO 1°'!B15="","",IFERROR(TRUNC(AVERAGE(BS15:CT15),1),""))</f>
        <v/>
      </c>
      <c r="CV15" s="220" t="n"/>
      <c r="CW15" s="92" t="n">
        <v>11</v>
      </c>
      <c r="DA15" s="148" t="n"/>
      <c r="DB15" s="148" t="n"/>
      <c r="DC15" s="148" t="n"/>
      <c r="DD15" s="148" t="n"/>
      <c r="DE15" s="148" t="n"/>
      <c r="DF15" s="148" t="n"/>
      <c r="DG15" s="148" t="n"/>
      <c r="DH15" s="148" t="n"/>
      <c r="DI15" s="148" t="n"/>
      <c r="DJ15" s="148" t="n"/>
      <c r="DK15" s="148" t="n"/>
      <c r="DL15" s="148" t="n"/>
      <c r="DM15" s="148" t="n"/>
      <c r="DN15" s="148" t="n"/>
      <c r="EB15" s="148" t="n"/>
      <c r="EC15" s="148" t="n"/>
    </row>
    <row r="16" ht="13.5" customHeight="1" s="147">
      <c r="A16" s="220" t="n">
        <v>12</v>
      </c>
      <c r="B16" s="9">
        <f>IF('MAESTRO 1°'!B16="","",'MAESTRO 1°'!B16)</f>
        <v/>
      </c>
      <c r="C16" s="5" t="n"/>
      <c r="D16" s="5" t="n"/>
      <c r="E16" s="5" t="n"/>
      <c r="F16" s="5" t="n"/>
      <c r="G16" s="5" t="n"/>
      <c r="H16" s="5" t="n"/>
      <c r="I16" s="5" t="n"/>
      <c r="J16" s="5" t="n"/>
      <c r="K16" s="5" t="n"/>
      <c r="L16" s="5" t="n"/>
      <c r="M16" s="5" t="n"/>
      <c r="N16" s="5" t="n"/>
      <c r="O16" s="5" t="n"/>
      <c r="P16" s="5" t="n"/>
      <c r="Q16" s="38" t="n"/>
      <c r="R16" s="20" t="n"/>
      <c r="S16" s="20" t="n"/>
      <c r="T16" s="20" t="n"/>
      <c r="U16" s="20" t="n"/>
      <c r="V16" s="20" t="n"/>
      <c r="W16" s="20" t="n"/>
      <c r="X16" s="20" t="n"/>
      <c r="Y16" s="20" t="n"/>
      <c r="Z16" s="20" t="n"/>
      <c r="AA16" s="20" t="n"/>
      <c r="AB16" s="20" t="n"/>
      <c r="AC16" s="40" t="n"/>
      <c r="AD16" s="40" t="n"/>
      <c r="AE16" s="42">
        <f>IF('MAESTRO 1°'!B16="","",IFERROR(TRUNC(AVERAGE(C16:AD16),1),""))</f>
        <v/>
      </c>
      <c r="AF16" s="220" t="n"/>
      <c r="AG16" s="220" t="n">
        <v>12</v>
      </c>
      <c r="AH16" s="220" t="n">
        <v>12</v>
      </c>
      <c r="AI16" s="220">
        <f>IF('MAESTRO 1°'!B16="","",'MAESTRO 1°'!B16)</f>
        <v/>
      </c>
      <c r="AJ16" s="145" t="n"/>
      <c r="AK16" s="55" t="n"/>
      <c r="AL16" s="55" t="n"/>
      <c r="AM16" s="55" t="n"/>
      <c r="AN16" s="55" t="n"/>
      <c r="AO16" s="55" t="n"/>
      <c r="AP16" s="55" t="n"/>
      <c r="AQ16" s="55" t="n"/>
      <c r="AR16" s="55" t="n"/>
      <c r="AS16" s="55" t="n"/>
      <c r="AT16" s="55" t="n"/>
      <c r="AU16" s="55" t="n"/>
      <c r="AV16" s="55" t="n"/>
      <c r="AW16" s="18" t="n"/>
      <c r="AX16" s="5" t="n"/>
      <c r="AY16" s="20" t="n"/>
      <c r="AZ16" s="20" t="n"/>
      <c r="BA16" s="20" t="n"/>
      <c r="BB16" s="20" t="n"/>
      <c r="BC16" s="20" t="n"/>
      <c r="BD16" s="20" t="n"/>
      <c r="BE16" s="20" t="n"/>
      <c r="BF16" s="20" t="n"/>
      <c r="BG16" s="20" t="n"/>
      <c r="BH16" s="49" t="n"/>
      <c r="BI16" s="5" t="n"/>
      <c r="BJ16" s="20" t="n"/>
      <c r="BK16" s="20" t="n"/>
      <c r="BL16" s="20" t="n"/>
      <c r="BM16" s="5">
        <f>IF('MAESTRO 1°'!B16="","",IFERROR(TRUNC(AVERAGE(AK16:BL16),1),""))</f>
        <v/>
      </c>
      <c r="BN16" s="220" t="n"/>
      <c r="BO16" s="220" t="n">
        <v>12</v>
      </c>
      <c r="BP16" s="220" t="n">
        <v>12</v>
      </c>
      <c r="BQ16" s="220">
        <f>IF('MAESTRO 1°'!B16="","",'MAESTRO 1°'!B16)</f>
        <v/>
      </c>
      <c r="BR16" s="145" t="n"/>
      <c r="BS16" s="5" t="n"/>
      <c r="BT16" s="5" t="n"/>
      <c r="BU16" s="5" t="n"/>
      <c r="BV16" s="5" t="n"/>
      <c r="BW16" s="5" t="n"/>
      <c r="BX16" s="5" t="n"/>
      <c r="BY16" s="5" t="n"/>
      <c r="BZ16" s="5" t="n"/>
      <c r="CA16" s="5" t="n"/>
      <c r="CB16" s="5" t="n"/>
      <c r="CC16" s="5" t="n"/>
      <c r="CD16" s="5" t="n"/>
      <c r="CE16" s="5" t="n"/>
      <c r="CF16" s="5" t="n"/>
      <c r="CG16" s="5" t="n"/>
      <c r="CH16" s="5" t="n"/>
      <c r="CI16" s="5" t="n"/>
      <c r="CJ16" s="5" t="n"/>
      <c r="CK16" s="5" t="n"/>
      <c r="CL16" s="5" t="n"/>
      <c r="CM16" s="5" t="n"/>
      <c r="CN16" s="5" t="n"/>
      <c r="CO16" s="5" t="n"/>
      <c r="CP16" s="5" t="n"/>
      <c r="CQ16" s="5" t="n"/>
      <c r="CR16" s="5" t="n"/>
      <c r="CS16" s="5" t="n"/>
      <c r="CT16" s="5" t="n"/>
      <c r="CU16" s="5">
        <f>IF('MAESTRO 1°'!B16="","",IFERROR(TRUNC(AVERAGE(BS16:CT16),1),""))</f>
        <v/>
      </c>
      <c r="CV16" s="220" t="n"/>
      <c r="CW16" s="92" t="n">
        <v>12</v>
      </c>
      <c r="DA16" s="148" t="n"/>
      <c r="DB16" s="148" t="n"/>
      <c r="DC16" s="148" t="n"/>
      <c r="DD16" s="148" t="n"/>
      <c r="DE16" s="148" t="n"/>
      <c r="DF16" s="148" t="n"/>
      <c r="DG16" s="148" t="n"/>
      <c r="DH16" s="148" t="n"/>
      <c r="DI16" s="148" t="n"/>
      <c r="DJ16" s="148" t="n"/>
      <c r="DK16" s="148" t="n"/>
      <c r="DL16" s="148" t="n"/>
      <c r="DM16" s="148" t="n"/>
      <c r="DN16" s="148" t="n"/>
      <c r="EB16" s="148" t="n"/>
      <c r="EC16" s="148" t="n"/>
    </row>
    <row r="17" ht="13.5" customHeight="1" s="147">
      <c r="A17" s="220" t="n">
        <v>13</v>
      </c>
      <c r="B17" s="9">
        <f>IF('MAESTRO 1°'!B17="","",'MAESTRO 1°'!B17)</f>
        <v/>
      </c>
      <c r="C17" s="5" t="n"/>
      <c r="D17" s="5" t="n"/>
      <c r="E17" s="5" t="n"/>
      <c r="F17" s="5" t="n"/>
      <c r="G17" s="5" t="n"/>
      <c r="H17" s="5" t="n"/>
      <c r="I17" s="5" t="n"/>
      <c r="J17" s="5" t="n"/>
      <c r="K17" s="5" t="n"/>
      <c r="L17" s="5" t="n"/>
      <c r="M17" s="5" t="n"/>
      <c r="N17" s="5" t="n"/>
      <c r="O17" s="5" t="n"/>
      <c r="P17" s="5" t="n"/>
      <c r="Q17" s="38" t="n"/>
      <c r="R17" s="20" t="n"/>
      <c r="S17" s="20" t="n"/>
      <c r="T17" s="20" t="n"/>
      <c r="U17" s="20" t="n"/>
      <c r="V17" s="20" t="n"/>
      <c r="W17" s="20" t="n"/>
      <c r="X17" s="20" t="n"/>
      <c r="Y17" s="20" t="n"/>
      <c r="Z17" s="20" t="n"/>
      <c r="AA17" s="20" t="n"/>
      <c r="AB17" s="20" t="n"/>
      <c r="AC17" s="40" t="n"/>
      <c r="AD17" s="40" t="n"/>
      <c r="AE17" s="42">
        <f>IF('MAESTRO 1°'!B17="","",IFERROR(TRUNC(AVERAGE(C17:AD17),1),""))</f>
        <v/>
      </c>
      <c r="AF17" s="220" t="n"/>
      <c r="AG17" s="220" t="n">
        <v>13</v>
      </c>
      <c r="AH17" s="220" t="n">
        <v>13</v>
      </c>
      <c r="AI17" s="220">
        <f>IF('MAESTRO 1°'!B17="","",'MAESTRO 1°'!B17)</f>
        <v/>
      </c>
      <c r="AJ17" s="145" t="n"/>
      <c r="AK17" s="55" t="n"/>
      <c r="AL17" s="55" t="n"/>
      <c r="AM17" s="55" t="n"/>
      <c r="AN17" s="55" t="n"/>
      <c r="AO17" s="55" t="n"/>
      <c r="AP17" s="55" t="n"/>
      <c r="AQ17" s="55" t="n"/>
      <c r="AR17" s="55" t="n"/>
      <c r="AS17" s="55" t="n"/>
      <c r="AT17" s="55" t="n"/>
      <c r="AU17" s="55" t="n"/>
      <c r="AV17" s="55" t="n"/>
      <c r="AW17" s="18" t="n"/>
      <c r="AX17" s="5" t="n"/>
      <c r="AY17" s="20" t="n"/>
      <c r="AZ17" s="20" t="n"/>
      <c r="BA17" s="20" t="n"/>
      <c r="BB17" s="20" t="n"/>
      <c r="BC17" s="20" t="n"/>
      <c r="BD17" s="20" t="n"/>
      <c r="BE17" s="20" t="n"/>
      <c r="BF17" s="20" t="n"/>
      <c r="BG17" s="20" t="n"/>
      <c r="BH17" s="49" t="n"/>
      <c r="BI17" s="5" t="n"/>
      <c r="BJ17" s="20" t="n"/>
      <c r="BK17" s="20" t="n"/>
      <c r="BL17" s="20" t="n"/>
      <c r="BM17" s="5">
        <f>IF('MAESTRO 1°'!B17="","",IFERROR(TRUNC(AVERAGE(AK17:BL17),1),""))</f>
        <v/>
      </c>
      <c r="BN17" s="220" t="n"/>
      <c r="BO17" s="220" t="n">
        <v>13</v>
      </c>
      <c r="BP17" s="220" t="n">
        <v>13</v>
      </c>
      <c r="BQ17" s="220">
        <f>IF('MAESTRO 1°'!B17="","",'MAESTRO 1°'!B17)</f>
        <v/>
      </c>
      <c r="BR17" s="145" t="n"/>
      <c r="BS17" s="5" t="n"/>
      <c r="BT17" s="5" t="n"/>
      <c r="BU17" s="5" t="n"/>
      <c r="BV17" s="5" t="n"/>
      <c r="BW17" s="5" t="n"/>
      <c r="BX17" s="5" t="n"/>
      <c r="BY17" s="5" t="n"/>
      <c r="BZ17" s="5" t="n"/>
      <c r="CA17" s="5" t="n"/>
      <c r="CB17" s="5" t="n"/>
      <c r="CC17" s="5" t="n"/>
      <c r="CD17" s="5" t="n"/>
      <c r="CE17" s="5" t="n"/>
      <c r="CF17" s="5" t="n"/>
      <c r="CG17" s="5" t="n"/>
      <c r="CH17" s="5" t="n"/>
      <c r="CI17" s="5" t="n"/>
      <c r="CJ17" s="5" t="n"/>
      <c r="CK17" s="5" t="n"/>
      <c r="CL17" s="5" t="n"/>
      <c r="CM17" s="5" t="n"/>
      <c r="CN17" s="5" t="n"/>
      <c r="CO17" s="5" t="n"/>
      <c r="CP17" s="5" t="n"/>
      <c r="CQ17" s="5" t="n"/>
      <c r="CR17" s="5" t="n"/>
      <c r="CS17" s="5" t="n"/>
      <c r="CT17" s="5" t="n"/>
      <c r="CU17" s="5">
        <f>IF('MAESTRO 1°'!B17="","",IFERROR(TRUNC(AVERAGE(BS17:CT17),1),""))</f>
        <v/>
      </c>
      <c r="CV17" s="220" t="n"/>
      <c r="CW17" s="92" t="n">
        <v>13</v>
      </c>
      <c r="DA17" s="148" t="n"/>
      <c r="DB17" s="148" t="n"/>
      <c r="DC17" s="148" t="n"/>
      <c r="DD17" s="148" t="n"/>
      <c r="DE17" s="148" t="n"/>
      <c r="DF17" s="148" t="n"/>
      <c r="DG17" s="148" t="n"/>
      <c r="DH17" s="148" t="n"/>
      <c r="DI17" s="148" t="n"/>
      <c r="DJ17" s="148" t="n"/>
      <c r="DK17" s="148" t="n"/>
      <c r="DL17" s="148" t="n"/>
      <c r="DM17" s="148" t="n"/>
      <c r="DN17" s="148" t="n"/>
      <c r="EB17" s="148" t="n"/>
      <c r="EC17" s="148" t="n"/>
    </row>
    <row r="18" ht="13.5" customHeight="1" s="147">
      <c r="A18" s="220" t="n">
        <v>14</v>
      </c>
      <c r="B18" s="9">
        <f>IF('MAESTRO 1°'!B18="","",'MAESTRO 1°'!B18)</f>
        <v/>
      </c>
      <c r="C18" s="5" t="n"/>
      <c r="D18" s="5" t="n"/>
      <c r="E18" s="5" t="n"/>
      <c r="F18" s="5" t="n"/>
      <c r="G18" s="5" t="n"/>
      <c r="H18" s="5" t="n"/>
      <c r="I18" s="5" t="n"/>
      <c r="J18" s="5" t="n"/>
      <c r="K18" s="5" t="n"/>
      <c r="L18" s="5" t="n"/>
      <c r="M18" s="5" t="n"/>
      <c r="N18" s="5" t="n"/>
      <c r="O18" s="5" t="n"/>
      <c r="P18" s="5" t="n"/>
      <c r="Q18" s="38" t="n"/>
      <c r="R18" s="20" t="n"/>
      <c r="S18" s="20" t="n"/>
      <c r="T18" s="20" t="n"/>
      <c r="U18" s="20" t="n"/>
      <c r="V18" s="20" t="n"/>
      <c r="W18" s="20" t="n"/>
      <c r="X18" s="20" t="n"/>
      <c r="Y18" s="20" t="n"/>
      <c r="Z18" s="20" t="n"/>
      <c r="AA18" s="20" t="n"/>
      <c r="AB18" s="20" t="n"/>
      <c r="AC18" s="40" t="n"/>
      <c r="AD18" s="40" t="n"/>
      <c r="AE18" s="42">
        <f>IF('MAESTRO 1°'!B18="","",IFERROR(TRUNC(AVERAGE(C18:AD18),1),""))</f>
        <v/>
      </c>
      <c r="AF18" s="220" t="n"/>
      <c r="AG18" s="220" t="n">
        <v>14</v>
      </c>
      <c r="AH18" s="220" t="n">
        <v>14</v>
      </c>
      <c r="AI18" s="220">
        <f>IF('MAESTRO 1°'!B18="","",'MAESTRO 1°'!B18)</f>
        <v/>
      </c>
      <c r="AJ18" s="145" t="n"/>
      <c r="AK18" s="55" t="n"/>
      <c r="AL18" s="55" t="n"/>
      <c r="AM18" s="55" t="n"/>
      <c r="AN18" s="55" t="n"/>
      <c r="AO18" s="55" t="n"/>
      <c r="AP18" s="55" t="n"/>
      <c r="AQ18" s="55" t="n"/>
      <c r="AR18" s="55" t="n"/>
      <c r="AS18" s="55" t="n"/>
      <c r="AT18" s="55" t="n"/>
      <c r="AU18" s="55" t="n"/>
      <c r="AV18" s="55" t="n"/>
      <c r="AW18" s="18" t="n"/>
      <c r="AX18" s="5" t="n"/>
      <c r="AY18" s="20" t="n"/>
      <c r="AZ18" s="20" t="n"/>
      <c r="BA18" s="20" t="n"/>
      <c r="BB18" s="20" t="n"/>
      <c r="BC18" s="20" t="n"/>
      <c r="BD18" s="20" t="n"/>
      <c r="BE18" s="20" t="n"/>
      <c r="BF18" s="20" t="n"/>
      <c r="BG18" s="20" t="n"/>
      <c r="BH18" s="49" t="n"/>
      <c r="BI18" s="5" t="n"/>
      <c r="BJ18" s="20" t="n"/>
      <c r="BK18" s="20" t="n"/>
      <c r="BL18" s="20" t="n"/>
      <c r="BM18" s="5">
        <f>IF('MAESTRO 1°'!B18="","",IFERROR(TRUNC(AVERAGE(AK18:BL18),1),""))</f>
        <v/>
      </c>
      <c r="BN18" s="220" t="n"/>
      <c r="BO18" s="220" t="n">
        <v>14</v>
      </c>
      <c r="BP18" s="220" t="n">
        <v>14</v>
      </c>
      <c r="BQ18" s="220">
        <f>IF('MAESTRO 1°'!B18="","",'MAESTRO 1°'!B18)</f>
        <v/>
      </c>
      <c r="BR18" s="145" t="n"/>
      <c r="BS18" s="5" t="n"/>
      <c r="BT18" s="5" t="n"/>
      <c r="BU18" s="5" t="n"/>
      <c r="BV18" s="5" t="n"/>
      <c r="BW18" s="5" t="n"/>
      <c r="BX18" s="5" t="n"/>
      <c r="BY18" s="5" t="n"/>
      <c r="BZ18" s="5" t="n"/>
      <c r="CA18" s="5" t="n"/>
      <c r="CB18" s="5" t="n"/>
      <c r="CC18" s="5" t="n"/>
      <c r="CD18" s="5" t="n"/>
      <c r="CE18" s="5" t="n"/>
      <c r="CF18" s="5" t="n"/>
      <c r="CG18" s="5" t="n"/>
      <c r="CH18" s="5" t="n"/>
      <c r="CI18" s="5" t="n"/>
      <c r="CJ18" s="5" t="n"/>
      <c r="CK18" s="5" t="n"/>
      <c r="CL18" s="5" t="n"/>
      <c r="CM18" s="5" t="n"/>
      <c r="CN18" s="5" t="n"/>
      <c r="CO18" s="5" t="n"/>
      <c r="CP18" s="5" t="n"/>
      <c r="CQ18" s="5" t="n"/>
      <c r="CR18" s="5" t="n"/>
      <c r="CS18" s="5" t="n"/>
      <c r="CT18" s="5" t="n"/>
      <c r="CU18" s="5">
        <f>IF('MAESTRO 1°'!B18="","",IFERROR(TRUNC(AVERAGE(BS18:CT18),1),""))</f>
        <v/>
      </c>
      <c r="CV18" s="220" t="n"/>
      <c r="CW18" s="92" t="n">
        <v>14</v>
      </c>
      <c r="DA18" s="148" t="n"/>
      <c r="DB18" s="148" t="n"/>
      <c r="DC18" s="148" t="n"/>
      <c r="DD18" s="148" t="n"/>
      <c r="DE18" s="148" t="n"/>
      <c r="DF18" s="148" t="n"/>
      <c r="DG18" s="148" t="n"/>
      <c r="DH18" s="148" t="n"/>
      <c r="DI18" s="148" t="n"/>
      <c r="DJ18" s="148" t="n"/>
      <c r="DK18" s="148" t="n"/>
      <c r="DL18" s="148" t="n"/>
      <c r="DM18" s="148" t="n"/>
      <c r="DN18" s="148" t="n"/>
      <c r="EB18" s="148" t="n"/>
      <c r="EC18" s="148" t="n"/>
    </row>
    <row r="19" ht="13.5" customHeight="1" s="147">
      <c r="A19" s="220" t="n">
        <v>15</v>
      </c>
      <c r="B19" s="9">
        <f>IF('MAESTRO 1°'!B19="","",'MAESTRO 1°'!B19)</f>
        <v/>
      </c>
      <c r="C19" s="5" t="n"/>
      <c r="D19" s="5" t="n"/>
      <c r="E19" s="5" t="n"/>
      <c r="F19" s="5" t="n"/>
      <c r="G19" s="5" t="n"/>
      <c r="H19" s="5" t="n"/>
      <c r="I19" s="5" t="n"/>
      <c r="J19" s="5" t="n"/>
      <c r="K19" s="5" t="n"/>
      <c r="L19" s="5" t="n"/>
      <c r="M19" s="5" t="n"/>
      <c r="N19" s="5" t="n"/>
      <c r="O19" s="5" t="n"/>
      <c r="P19" s="5" t="n"/>
      <c r="Q19" s="38" t="n"/>
      <c r="R19" s="20" t="n"/>
      <c r="S19" s="20" t="n"/>
      <c r="T19" s="20" t="n"/>
      <c r="U19" s="20" t="n"/>
      <c r="V19" s="20" t="n"/>
      <c r="W19" s="20" t="n"/>
      <c r="X19" s="20" t="n"/>
      <c r="Y19" s="20" t="n"/>
      <c r="Z19" s="20" t="n"/>
      <c r="AA19" s="20" t="n"/>
      <c r="AB19" s="20" t="n"/>
      <c r="AC19" s="40" t="n"/>
      <c r="AD19" s="40" t="n"/>
      <c r="AE19" s="42">
        <f>IF('MAESTRO 1°'!B19="","",IFERROR(TRUNC(AVERAGE(C19:AD19),1),""))</f>
        <v/>
      </c>
      <c r="AF19" s="220" t="n"/>
      <c r="AG19" s="220" t="n">
        <v>15</v>
      </c>
      <c r="AH19" s="220" t="n">
        <v>15</v>
      </c>
      <c r="AI19" s="220">
        <f>IF('MAESTRO 1°'!B19="","",'MAESTRO 1°'!B19)</f>
        <v/>
      </c>
      <c r="AJ19" s="145" t="n"/>
      <c r="AK19" s="55" t="n"/>
      <c r="AL19" s="55" t="n"/>
      <c r="AM19" s="55" t="n"/>
      <c r="AN19" s="55" t="n"/>
      <c r="AO19" s="55" t="n"/>
      <c r="AP19" s="55" t="n"/>
      <c r="AQ19" s="55" t="n"/>
      <c r="AR19" s="55" t="n"/>
      <c r="AS19" s="55" t="n"/>
      <c r="AT19" s="55" t="n"/>
      <c r="AU19" s="55" t="n"/>
      <c r="AV19" s="55" t="n"/>
      <c r="AW19" s="18" t="n"/>
      <c r="AX19" s="5" t="n"/>
      <c r="AY19" s="20" t="n"/>
      <c r="AZ19" s="20" t="n"/>
      <c r="BA19" s="20" t="n"/>
      <c r="BB19" s="20" t="n"/>
      <c r="BC19" s="20" t="n"/>
      <c r="BD19" s="20" t="n"/>
      <c r="BE19" s="20" t="n"/>
      <c r="BF19" s="20" t="n"/>
      <c r="BG19" s="20" t="n"/>
      <c r="BH19" s="49" t="n"/>
      <c r="BI19" s="5" t="n"/>
      <c r="BJ19" s="20" t="n"/>
      <c r="BK19" s="20" t="n"/>
      <c r="BL19" s="20" t="n"/>
      <c r="BM19" s="5">
        <f>IF('MAESTRO 1°'!B19="","",IFERROR(TRUNC(AVERAGE(AK19:BL19),1),""))</f>
        <v/>
      </c>
      <c r="BN19" s="220" t="n"/>
      <c r="BO19" s="220" t="n">
        <v>15</v>
      </c>
      <c r="BP19" s="220" t="n">
        <v>15</v>
      </c>
      <c r="BQ19" s="220">
        <f>IF('MAESTRO 1°'!B19="","",'MAESTRO 1°'!B19)</f>
        <v/>
      </c>
      <c r="BR19" s="145" t="n"/>
      <c r="BS19" s="5" t="n"/>
      <c r="BT19" s="5" t="n"/>
      <c r="BU19" s="5" t="n"/>
      <c r="BV19" s="5" t="n"/>
      <c r="BW19" s="5" t="n"/>
      <c r="BX19" s="5" t="n"/>
      <c r="BY19" s="5" t="n"/>
      <c r="BZ19" s="5" t="n"/>
      <c r="CA19" s="5" t="n"/>
      <c r="CB19" s="5" t="n"/>
      <c r="CC19" s="5" t="n"/>
      <c r="CD19" s="5" t="n"/>
      <c r="CE19" s="5" t="n"/>
      <c r="CF19" s="5" t="n"/>
      <c r="CG19" s="5" t="n"/>
      <c r="CH19" s="5" t="n"/>
      <c r="CI19" s="5" t="n"/>
      <c r="CJ19" s="5" t="n"/>
      <c r="CK19" s="5" t="n"/>
      <c r="CL19" s="5" t="n"/>
      <c r="CM19" s="5" t="n"/>
      <c r="CN19" s="5" t="n"/>
      <c r="CO19" s="5" t="n"/>
      <c r="CP19" s="5" t="n"/>
      <c r="CQ19" s="5" t="n"/>
      <c r="CR19" s="5" t="n"/>
      <c r="CS19" s="5" t="n"/>
      <c r="CT19" s="5" t="n"/>
      <c r="CU19" s="5">
        <f>IF('MAESTRO 1°'!B19="","",IFERROR(TRUNC(AVERAGE(BS19:CT19),1),""))</f>
        <v/>
      </c>
      <c r="CV19" s="220" t="n"/>
      <c r="CW19" s="92" t="n">
        <v>15</v>
      </c>
      <c r="DA19" s="148" t="n"/>
      <c r="DB19" s="148" t="n"/>
      <c r="DC19" s="148" t="n"/>
      <c r="DD19" s="148" t="n"/>
      <c r="DE19" s="148" t="n"/>
      <c r="DF19" s="148" t="n"/>
      <c r="DG19" s="148" t="n"/>
      <c r="DH19" s="148" t="n"/>
      <c r="DI19" s="148" t="n"/>
      <c r="DJ19" s="148" t="n"/>
      <c r="DK19" s="148" t="n"/>
      <c r="DL19" s="148" t="n"/>
      <c r="DM19" s="148" t="n"/>
      <c r="DN19" s="148" t="n"/>
      <c r="EB19" s="148" t="n"/>
      <c r="EC19" s="148" t="n"/>
    </row>
    <row r="20" ht="13.2" customHeight="1" s="147">
      <c r="A20" s="220" t="n">
        <v>16</v>
      </c>
      <c r="B20" s="9">
        <f>IF('MAESTRO 1°'!B20="","",'MAESTRO 1°'!B20)</f>
        <v/>
      </c>
      <c r="C20" s="5" t="n"/>
      <c r="D20" s="5" t="n"/>
      <c r="E20" s="5" t="n"/>
      <c r="F20" s="5" t="n"/>
      <c r="G20" s="5" t="n"/>
      <c r="H20" s="5" t="n"/>
      <c r="I20" s="5" t="n"/>
      <c r="J20" s="5" t="n"/>
      <c r="K20" s="5" t="n"/>
      <c r="L20" s="5" t="n"/>
      <c r="M20" s="5" t="n"/>
      <c r="N20" s="5" t="n"/>
      <c r="O20" s="5" t="n"/>
      <c r="P20" s="5" t="n"/>
      <c r="Q20" s="38" t="n"/>
      <c r="R20" s="20" t="n"/>
      <c r="S20" s="20" t="n"/>
      <c r="T20" s="20" t="n"/>
      <c r="U20" s="20" t="n"/>
      <c r="V20" s="20" t="n"/>
      <c r="W20" s="20" t="n"/>
      <c r="X20" s="20" t="n"/>
      <c r="Y20" s="20" t="n"/>
      <c r="Z20" s="20" t="n"/>
      <c r="AA20" s="20" t="n"/>
      <c r="AB20" s="20" t="n"/>
      <c r="AC20" s="40" t="n"/>
      <c r="AD20" s="40" t="n"/>
      <c r="AE20" s="42">
        <f>IF('MAESTRO 1°'!B20="","",IFERROR(TRUNC(AVERAGE(C20:AD20),1),""))</f>
        <v/>
      </c>
      <c r="AF20" s="220" t="n"/>
      <c r="AG20" s="220" t="n">
        <v>16</v>
      </c>
      <c r="AH20" s="220" t="n">
        <v>16</v>
      </c>
      <c r="AI20" s="220">
        <f>IF('MAESTRO 1°'!B20="","",'MAESTRO 1°'!B20)</f>
        <v/>
      </c>
      <c r="AJ20" s="145" t="n"/>
      <c r="AK20" s="55" t="n"/>
      <c r="AL20" s="55" t="n"/>
      <c r="AM20" s="55" t="n"/>
      <c r="AN20" s="55" t="n"/>
      <c r="AO20" s="55" t="n"/>
      <c r="AP20" s="55" t="n"/>
      <c r="AQ20" s="55" t="n"/>
      <c r="AR20" s="55" t="n"/>
      <c r="AS20" s="55" t="n"/>
      <c r="AT20" s="55" t="n"/>
      <c r="AU20" s="55" t="n"/>
      <c r="AV20" s="55" t="n"/>
      <c r="AW20" s="18" t="n"/>
      <c r="AX20" s="5" t="n"/>
      <c r="AY20" s="20" t="n"/>
      <c r="AZ20" s="20" t="n"/>
      <c r="BA20" s="20" t="n"/>
      <c r="BB20" s="20" t="n"/>
      <c r="BC20" s="20" t="n"/>
      <c r="BD20" s="20" t="n"/>
      <c r="BE20" s="20" t="n"/>
      <c r="BF20" s="20" t="n"/>
      <c r="BG20" s="20" t="n"/>
      <c r="BH20" s="49" t="n"/>
      <c r="BI20" s="5" t="n"/>
      <c r="BJ20" s="20" t="n"/>
      <c r="BK20" s="20" t="n"/>
      <c r="BL20" s="20" t="n"/>
      <c r="BM20" s="5">
        <f>IF('MAESTRO 1°'!B20="","",IFERROR(TRUNC(AVERAGE(AK20:BL20),1),""))</f>
        <v/>
      </c>
      <c r="BN20" s="220" t="n"/>
      <c r="BO20" s="220" t="n">
        <v>16</v>
      </c>
      <c r="BP20" s="220" t="n">
        <v>16</v>
      </c>
      <c r="BQ20" s="220">
        <f>IF('MAESTRO 1°'!B20="","",'MAESTRO 1°'!B20)</f>
        <v/>
      </c>
      <c r="BR20" s="145" t="n"/>
      <c r="BS20" s="5" t="n"/>
      <c r="BT20" s="5" t="n"/>
      <c r="BU20" s="5" t="n"/>
      <c r="BV20" s="5" t="n"/>
      <c r="BW20" s="5" t="n"/>
      <c r="BX20" s="5" t="n"/>
      <c r="BY20" s="5" t="n"/>
      <c r="BZ20" s="5" t="n"/>
      <c r="CA20" s="5" t="n"/>
      <c r="CB20" s="5" t="n"/>
      <c r="CC20" s="5" t="n"/>
      <c r="CD20" s="5" t="n"/>
      <c r="CE20" s="5" t="n"/>
      <c r="CF20" s="5" t="n"/>
      <c r="CG20" s="5" t="n"/>
      <c r="CH20" s="5" t="n"/>
      <c r="CI20" s="5" t="n"/>
      <c r="CJ20" s="5" t="n"/>
      <c r="CK20" s="5" t="n"/>
      <c r="CL20" s="5" t="n"/>
      <c r="CM20" s="5" t="n"/>
      <c r="CN20" s="5" t="n"/>
      <c r="CO20" s="5" t="n"/>
      <c r="CP20" s="5" t="n"/>
      <c r="CQ20" s="5" t="n"/>
      <c r="CR20" s="5" t="n"/>
      <c r="CS20" s="5" t="n"/>
      <c r="CT20" s="5" t="n"/>
      <c r="CU20" s="5">
        <f>IF('MAESTRO 1°'!B20="","",IFERROR(TRUNC(AVERAGE(BS20:CT20),1),""))</f>
        <v/>
      </c>
      <c r="CV20" s="220" t="n"/>
      <c r="CW20" s="92" t="n">
        <v>16</v>
      </c>
      <c r="DA20" s="148" t="n"/>
      <c r="DB20" s="148" t="n"/>
      <c r="DC20" s="148" t="n"/>
      <c r="DD20" s="148" t="n"/>
      <c r="DE20" s="148" t="n"/>
      <c r="DF20" s="148" t="n"/>
      <c r="DG20" s="148" t="n"/>
      <c r="DH20" s="148" t="n"/>
      <c r="DI20" s="148" t="n"/>
      <c r="DJ20" s="148" t="n"/>
      <c r="DK20" s="148" t="n"/>
      <c r="DL20" s="148" t="n"/>
      <c r="DM20" s="148" t="n"/>
      <c r="DN20" s="148" t="n"/>
      <c r="EB20" s="148" t="n"/>
      <c r="EC20" s="148" t="n"/>
    </row>
    <row r="21" ht="13.2" customHeight="1" s="147">
      <c r="A21" s="220" t="n">
        <v>17</v>
      </c>
      <c r="B21" s="9">
        <f>IF('MAESTRO 1°'!B21="","",'MAESTRO 1°'!B21)</f>
        <v/>
      </c>
      <c r="C21" s="5" t="n"/>
      <c r="D21" s="5" t="n"/>
      <c r="E21" s="5" t="n"/>
      <c r="F21" s="5" t="n"/>
      <c r="G21" s="5" t="n"/>
      <c r="H21" s="5" t="n"/>
      <c r="I21" s="5" t="n"/>
      <c r="J21" s="5" t="n"/>
      <c r="K21" s="5" t="n"/>
      <c r="L21" s="5" t="n"/>
      <c r="M21" s="5" t="n"/>
      <c r="N21" s="5" t="n"/>
      <c r="O21" s="5" t="n"/>
      <c r="P21" s="5" t="n"/>
      <c r="Q21" s="38" t="n"/>
      <c r="R21" s="20" t="n"/>
      <c r="S21" s="20" t="n"/>
      <c r="T21" s="20" t="n"/>
      <c r="U21" s="20" t="n"/>
      <c r="V21" s="20" t="n"/>
      <c r="W21" s="20" t="n"/>
      <c r="X21" s="20" t="n"/>
      <c r="Y21" s="20" t="n"/>
      <c r="Z21" s="20" t="n"/>
      <c r="AA21" s="20" t="n"/>
      <c r="AB21" s="20" t="n"/>
      <c r="AC21" s="40" t="n"/>
      <c r="AD21" s="40" t="n"/>
      <c r="AE21" s="42">
        <f>IF('MAESTRO 1°'!B21="","",IFERROR(TRUNC(AVERAGE(C21:AD21),1),""))</f>
        <v/>
      </c>
      <c r="AF21" s="220" t="n"/>
      <c r="AG21" s="220" t="n">
        <v>17</v>
      </c>
      <c r="AH21" s="220" t="n">
        <v>17</v>
      </c>
      <c r="AI21" s="220">
        <f>IF('MAESTRO 1°'!B21="","",'MAESTRO 1°'!B21)</f>
        <v/>
      </c>
      <c r="AJ21" s="145" t="n"/>
      <c r="AK21" s="55" t="n"/>
      <c r="AL21" s="55" t="n"/>
      <c r="AM21" s="55" t="n"/>
      <c r="AN21" s="55" t="n"/>
      <c r="AO21" s="55" t="n"/>
      <c r="AP21" s="55" t="n"/>
      <c r="AQ21" s="55" t="n"/>
      <c r="AR21" s="55" t="n"/>
      <c r="AS21" s="55" t="n"/>
      <c r="AT21" s="55" t="n"/>
      <c r="AU21" s="55" t="n"/>
      <c r="AV21" s="55" t="n"/>
      <c r="AW21" s="18" t="n"/>
      <c r="AX21" s="5" t="n"/>
      <c r="AY21" s="20" t="n"/>
      <c r="AZ21" s="20" t="n"/>
      <c r="BA21" s="20" t="n"/>
      <c r="BB21" s="20" t="n"/>
      <c r="BC21" s="20" t="n"/>
      <c r="BD21" s="20" t="n"/>
      <c r="BE21" s="20" t="n"/>
      <c r="BF21" s="20" t="n"/>
      <c r="BG21" s="20" t="n"/>
      <c r="BH21" s="49" t="n"/>
      <c r="BI21" s="5" t="n"/>
      <c r="BJ21" s="20" t="n"/>
      <c r="BK21" s="20" t="n"/>
      <c r="BL21" s="20" t="n"/>
      <c r="BM21" s="5">
        <f>IF('MAESTRO 1°'!B21="","",IFERROR(TRUNC(AVERAGE(AK21:BL21),1),""))</f>
        <v/>
      </c>
      <c r="BN21" s="220" t="n"/>
      <c r="BO21" s="220" t="n">
        <v>17</v>
      </c>
      <c r="BP21" s="220" t="n">
        <v>17</v>
      </c>
      <c r="BQ21" s="220">
        <f>IF('MAESTRO 1°'!B21="","",'MAESTRO 1°'!B21)</f>
        <v/>
      </c>
      <c r="BR21" s="145" t="n"/>
      <c r="BS21" s="5" t="n"/>
      <c r="BT21" s="5" t="n"/>
      <c r="BU21" s="5" t="n"/>
      <c r="BV21" s="5" t="n"/>
      <c r="BW21" s="5" t="n"/>
      <c r="BX21" s="5" t="n"/>
      <c r="BY21" s="5" t="n"/>
      <c r="BZ21" s="5" t="n"/>
      <c r="CA21" s="5" t="n"/>
      <c r="CB21" s="5" t="n"/>
      <c r="CC21" s="5" t="n"/>
      <c r="CD21" s="5" t="n"/>
      <c r="CE21" s="5" t="n"/>
      <c r="CF21" s="5" t="n"/>
      <c r="CG21" s="5" t="n"/>
      <c r="CH21" s="5" t="n"/>
      <c r="CI21" s="5" t="n"/>
      <c r="CJ21" s="5" t="n"/>
      <c r="CK21" s="5" t="n"/>
      <c r="CL21" s="5" t="n"/>
      <c r="CM21" s="5" t="n"/>
      <c r="CN21" s="5" t="n"/>
      <c r="CO21" s="5" t="n"/>
      <c r="CP21" s="5" t="n"/>
      <c r="CQ21" s="5" t="n"/>
      <c r="CR21" s="5" t="n"/>
      <c r="CS21" s="5" t="n"/>
      <c r="CT21" s="5" t="n"/>
      <c r="CU21" s="5">
        <f>IF('MAESTRO 1°'!B21="","",IFERROR(TRUNC(AVERAGE(BS21:CT21),1),""))</f>
        <v/>
      </c>
      <c r="CV21" s="220" t="n"/>
      <c r="CW21" s="92" t="n">
        <v>17</v>
      </c>
      <c r="DA21" s="148" t="n"/>
      <c r="DB21" s="148" t="n"/>
      <c r="DC21" s="148" t="n"/>
      <c r="DD21" s="148" t="n"/>
      <c r="DE21" s="148" t="n"/>
      <c r="DF21" s="148" t="n"/>
      <c r="DG21" s="148" t="n"/>
      <c r="DH21" s="148" t="n"/>
      <c r="DI21" s="148" t="n"/>
      <c r="DJ21" s="148" t="n"/>
      <c r="DK21" s="148" t="n"/>
      <c r="DL21" s="148" t="n"/>
      <c r="DM21" s="148" t="n"/>
      <c r="DN21" s="148" t="n"/>
      <c r="EB21" s="148" t="n"/>
      <c r="EC21" s="148" t="n"/>
    </row>
    <row r="22" ht="13.5" customHeight="1" s="147">
      <c r="A22" s="220" t="n">
        <v>18</v>
      </c>
      <c r="B22" s="9">
        <f>IF('MAESTRO 1°'!B22="","",'MAESTRO 1°'!B22)</f>
        <v/>
      </c>
      <c r="C22" s="5" t="n"/>
      <c r="D22" s="5" t="n"/>
      <c r="E22" s="5" t="n"/>
      <c r="F22" s="5" t="n"/>
      <c r="G22" s="5" t="n"/>
      <c r="H22" s="5" t="n"/>
      <c r="I22" s="5" t="n"/>
      <c r="J22" s="5" t="n"/>
      <c r="K22" s="5" t="n"/>
      <c r="L22" s="5" t="n"/>
      <c r="M22" s="5" t="n"/>
      <c r="N22" s="5" t="n"/>
      <c r="O22" s="5" t="n"/>
      <c r="P22" s="5" t="n"/>
      <c r="Q22" s="38" t="n"/>
      <c r="R22" s="20" t="n"/>
      <c r="S22" s="20" t="n"/>
      <c r="T22" s="20" t="n"/>
      <c r="U22" s="20" t="n"/>
      <c r="V22" s="20" t="n"/>
      <c r="W22" s="20" t="n"/>
      <c r="X22" s="20" t="n"/>
      <c r="Y22" s="20" t="n"/>
      <c r="Z22" s="20" t="n"/>
      <c r="AA22" s="20" t="n"/>
      <c r="AB22" s="20" t="n"/>
      <c r="AC22" s="40" t="n"/>
      <c r="AD22" s="40" t="n"/>
      <c r="AE22" s="42">
        <f>IF('MAESTRO 1°'!B22="","",IFERROR(TRUNC(AVERAGE(C22:AD22),1),""))</f>
        <v/>
      </c>
      <c r="AF22" s="220" t="n"/>
      <c r="AG22" s="220" t="n">
        <v>18</v>
      </c>
      <c r="AH22" s="220" t="n">
        <v>18</v>
      </c>
      <c r="AI22" s="220">
        <f>IF('MAESTRO 1°'!B22="","",'MAESTRO 1°'!B22)</f>
        <v/>
      </c>
      <c r="AJ22" s="145" t="n"/>
      <c r="AK22" s="55" t="n"/>
      <c r="AL22" s="56" t="n"/>
      <c r="AM22" s="55" t="n"/>
      <c r="AN22" s="55" t="n"/>
      <c r="AO22" s="55" t="n"/>
      <c r="AP22" s="55" t="n"/>
      <c r="AQ22" s="55" t="n"/>
      <c r="AR22" s="55" t="n"/>
      <c r="AS22" s="55" t="n"/>
      <c r="AT22" s="55" t="n"/>
      <c r="AU22" s="55" t="n"/>
      <c r="AV22" s="55" t="n"/>
      <c r="AW22" s="18" t="n"/>
      <c r="AX22" s="5" t="n"/>
      <c r="AY22" s="20" t="n"/>
      <c r="AZ22" s="20" t="n"/>
      <c r="BA22" s="20" t="n"/>
      <c r="BB22" s="20" t="n"/>
      <c r="BC22" s="20" t="n"/>
      <c r="BD22" s="20" t="n"/>
      <c r="BE22" s="20" t="n"/>
      <c r="BF22" s="20" t="n"/>
      <c r="BG22" s="20" t="n"/>
      <c r="BH22" s="49" t="n"/>
      <c r="BI22" s="5" t="n"/>
      <c r="BJ22" s="20" t="n"/>
      <c r="BK22" s="20" t="n"/>
      <c r="BL22" s="20" t="n"/>
      <c r="BM22" s="5">
        <f>IF('MAESTRO 1°'!B22="","",IFERROR(TRUNC(AVERAGE(AK22:BL22),1),""))</f>
        <v/>
      </c>
      <c r="BN22" s="220" t="n"/>
      <c r="BO22" s="220" t="n">
        <v>18</v>
      </c>
      <c r="BP22" s="220" t="n">
        <v>18</v>
      </c>
      <c r="BQ22" s="220">
        <f>IF('MAESTRO 1°'!B22="","",'MAESTRO 1°'!B22)</f>
        <v/>
      </c>
      <c r="BR22" s="145" t="n"/>
      <c r="BS22" s="5" t="n"/>
      <c r="BT22" s="5" t="n"/>
      <c r="BU22" s="5" t="n"/>
      <c r="BV22" s="5" t="n"/>
      <c r="BW22" s="5" t="n"/>
      <c r="BX22" s="5" t="n"/>
      <c r="BY22" s="5" t="n"/>
      <c r="BZ22" s="5" t="n"/>
      <c r="CA22" s="5" t="n"/>
      <c r="CB22" s="5" t="n"/>
      <c r="CC22" s="5" t="n"/>
      <c r="CD22" s="5" t="n"/>
      <c r="CE22" s="5" t="n"/>
      <c r="CF22" s="5" t="n"/>
      <c r="CG22" s="5" t="n"/>
      <c r="CH22" s="5" t="n"/>
      <c r="CI22" s="5" t="n"/>
      <c r="CJ22" s="5" t="n"/>
      <c r="CK22" s="5" t="n"/>
      <c r="CL22" s="5" t="n"/>
      <c r="CM22" s="5" t="n"/>
      <c r="CN22" s="5" t="n"/>
      <c r="CO22" s="5" t="n"/>
      <c r="CP22" s="5" t="n"/>
      <c r="CQ22" s="5" t="n"/>
      <c r="CR22" s="5" t="n"/>
      <c r="CS22" s="5" t="n"/>
      <c r="CT22" s="5" t="n"/>
      <c r="CU22" s="5">
        <f>IF('MAESTRO 1°'!B22="","",IFERROR(TRUNC(AVERAGE(BS22:CT22),1),""))</f>
        <v/>
      </c>
      <c r="CV22" s="220" t="n"/>
      <c r="CW22" s="92" t="n">
        <v>18</v>
      </c>
      <c r="DA22" s="148" t="n"/>
      <c r="DB22" s="148" t="n"/>
      <c r="DC22" s="148" t="n"/>
      <c r="DD22" s="148" t="n"/>
      <c r="DE22" s="148" t="n"/>
      <c r="DF22" s="148" t="n"/>
      <c r="DG22" s="148" t="n"/>
      <c r="DH22" s="148" t="n"/>
      <c r="DI22" s="148" t="n"/>
      <c r="DJ22" s="148" t="n"/>
      <c r="DK22" s="148" t="n"/>
      <c r="DL22" s="148" t="n"/>
      <c r="DM22" s="148" t="n"/>
      <c r="DN22" s="148" t="n"/>
      <c r="EB22" s="148" t="n"/>
      <c r="EC22" s="148" t="n"/>
    </row>
    <row r="23" ht="13.5" customHeight="1" s="147">
      <c r="A23" s="220" t="n">
        <v>19</v>
      </c>
      <c r="B23" s="9">
        <f>IF('MAESTRO 1°'!B23="","",'MAESTRO 1°'!B23)</f>
        <v/>
      </c>
      <c r="C23" s="5" t="n"/>
      <c r="D23" s="5" t="n"/>
      <c r="E23" s="5" t="n"/>
      <c r="F23" s="5" t="n"/>
      <c r="G23" s="5" t="n"/>
      <c r="H23" s="5" t="n"/>
      <c r="I23" s="5" t="n"/>
      <c r="J23" s="5" t="n"/>
      <c r="K23" s="5" t="n"/>
      <c r="L23" s="5" t="n"/>
      <c r="M23" s="5" t="n"/>
      <c r="N23" s="5" t="n"/>
      <c r="O23" s="5" t="n"/>
      <c r="P23" s="5" t="n"/>
      <c r="Q23" s="38" t="n"/>
      <c r="R23" s="20" t="n"/>
      <c r="S23" s="20" t="n"/>
      <c r="T23" s="20" t="n"/>
      <c r="U23" s="20" t="n"/>
      <c r="V23" s="20" t="n"/>
      <c r="W23" s="20" t="n"/>
      <c r="X23" s="20" t="n"/>
      <c r="Y23" s="20" t="n"/>
      <c r="Z23" s="20" t="n"/>
      <c r="AA23" s="20" t="n"/>
      <c r="AB23" s="20" t="n"/>
      <c r="AC23" s="40" t="n"/>
      <c r="AD23" s="40" t="n"/>
      <c r="AE23" s="42">
        <f>IF('MAESTRO 1°'!B23="","",IFERROR(TRUNC(AVERAGE(C23:AD23),1),""))</f>
        <v/>
      </c>
      <c r="AF23" s="220" t="n"/>
      <c r="AG23" s="220" t="n">
        <v>19</v>
      </c>
      <c r="AH23" s="220" t="n">
        <v>19</v>
      </c>
      <c r="AI23" s="220">
        <f>IF('MAESTRO 1°'!B23="","",'MAESTRO 1°'!B23)</f>
        <v/>
      </c>
      <c r="AJ23" s="145" t="n"/>
      <c r="AK23" s="56" t="n"/>
      <c r="AL23" s="55" t="n"/>
      <c r="AM23" s="81" t="n"/>
      <c r="AN23" s="55" t="n"/>
      <c r="AO23" s="55" t="n"/>
      <c r="AP23" s="55" t="n"/>
      <c r="AQ23" s="55" t="n"/>
      <c r="AR23" s="55" t="n"/>
      <c r="AS23" s="55" t="n"/>
      <c r="AT23" s="55" t="n"/>
      <c r="AU23" s="55" t="n"/>
      <c r="AV23" s="55" t="n"/>
      <c r="AW23" s="18" t="n"/>
      <c r="AX23" s="5" t="n"/>
      <c r="AY23" s="20" t="n"/>
      <c r="AZ23" s="20" t="n"/>
      <c r="BA23" s="20" t="n"/>
      <c r="BB23" s="20" t="n"/>
      <c r="BC23" s="20" t="n"/>
      <c r="BD23" s="20" t="n"/>
      <c r="BE23" s="20" t="n"/>
      <c r="BF23" s="20" t="n"/>
      <c r="BG23" s="20" t="n"/>
      <c r="BH23" s="49" t="n"/>
      <c r="BI23" s="5" t="n"/>
      <c r="BJ23" s="20" t="n"/>
      <c r="BK23" s="20" t="n"/>
      <c r="BL23" s="20" t="n"/>
      <c r="BM23" s="5">
        <f>IF('MAESTRO 1°'!B23="","",IFERROR(TRUNC(AVERAGE(AK23:BL23),1),""))</f>
        <v/>
      </c>
      <c r="BN23" s="220" t="n"/>
      <c r="BO23" s="220" t="n">
        <v>19</v>
      </c>
      <c r="BP23" s="220" t="n">
        <v>19</v>
      </c>
      <c r="BQ23" s="220">
        <f>IF('MAESTRO 1°'!B23="","",'MAESTRO 1°'!B23)</f>
        <v/>
      </c>
      <c r="BR23" s="145" t="n"/>
      <c r="BS23" s="5" t="n"/>
      <c r="BT23" s="5" t="n"/>
      <c r="BU23" s="5" t="n"/>
      <c r="BV23" s="5" t="n"/>
      <c r="BW23" s="5" t="n"/>
      <c r="BX23" s="5" t="n"/>
      <c r="BY23" s="5" t="n"/>
      <c r="BZ23" s="5" t="n"/>
      <c r="CA23" s="5" t="n"/>
      <c r="CB23" s="5" t="n"/>
      <c r="CC23" s="5" t="n"/>
      <c r="CD23" s="5" t="n"/>
      <c r="CE23" s="5" t="n"/>
      <c r="CF23" s="5" t="n"/>
      <c r="CG23" s="5" t="n"/>
      <c r="CH23" s="5" t="n"/>
      <c r="CI23" s="5" t="n"/>
      <c r="CJ23" s="5" t="n"/>
      <c r="CK23" s="5" t="n"/>
      <c r="CL23" s="5" t="n"/>
      <c r="CM23" s="5" t="n"/>
      <c r="CN23" s="5" t="n"/>
      <c r="CO23" s="5" t="n"/>
      <c r="CP23" s="5" t="n"/>
      <c r="CQ23" s="5" t="n"/>
      <c r="CR23" s="5" t="n"/>
      <c r="CS23" s="5" t="n"/>
      <c r="CT23" s="5" t="n"/>
      <c r="CU23" s="5">
        <f>IF('MAESTRO 1°'!B23="","",IFERROR(TRUNC(AVERAGE(BS23:CT23),1),""))</f>
        <v/>
      </c>
      <c r="CV23" s="220" t="n"/>
      <c r="CW23" s="92" t="n">
        <v>19</v>
      </c>
      <c r="DA23" s="148" t="n"/>
      <c r="DB23" s="148" t="n"/>
      <c r="DC23" s="148" t="n"/>
      <c r="DD23" s="148" t="n"/>
      <c r="DE23" s="148" t="n"/>
      <c r="DF23" s="148" t="n"/>
      <c r="DG23" s="148" t="n"/>
      <c r="DH23" s="148" t="n"/>
      <c r="DI23" s="148" t="n"/>
      <c r="DJ23" s="148" t="n"/>
      <c r="DK23" s="148" t="n"/>
      <c r="DL23" s="148" t="n"/>
      <c r="DM23" s="148" t="n"/>
      <c r="DN23" s="148" t="n"/>
      <c r="EB23" s="148" t="n"/>
      <c r="EC23" s="148" t="n"/>
    </row>
    <row r="24" ht="13.5" customHeight="1" s="147">
      <c r="A24" s="220" t="n">
        <v>20</v>
      </c>
      <c r="B24" s="9">
        <f>IF('MAESTRO 1°'!B24="","",'MAESTRO 1°'!B24)</f>
        <v/>
      </c>
      <c r="C24" s="5" t="n"/>
      <c r="D24" s="5" t="n"/>
      <c r="E24" s="5" t="n"/>
      <c r="F24" s="5" t="n"/>
      <c r="G24" s="5" t="n"/>
      <c r="H24" s="5" t="n"/>
      <c r="I24" s="5" t="n"/>
      <c r="J24" s="5" t="n"/>
      <c r="K24" s="5" t="n"/>
      <c r="L24" s="5" t="n"/>
      <c r="M24" s="5" t="n"/>
      <c r="N24" s="5" t="n"/>
      <c r="O24" s="5" t="n"/>
      <c r="P24" s="5" t="n"/>
      <c r="Q24" s="38" t="n"/>
      <c r="R24" s="20" t="n"/>
      <c r="S24" s="20" t="n"/>
      <c r="T24" s="20" t="n"/>
      <c r="U24" s="20" t="n"/>
      <c r="V24" s="20" t="n"/>
      <c r="W24" s="20" t="n"/>
      <c r="X24" s="20" t="n"/>
      <c r="Y24" s="20" t="n"/>
      <c r="Z24" s="20" t="n"/>
      <c r="AA24" s="20" t="n"/>
      <c r="AB24" s="20" t="n"/>
      <c r="AC24" s="40" t="n"/>
      <c r="AD24" s="40" t="n"/>
      <c r="AE24" s="42">
        <f>IF('MAESTRO 1°'!B24="","",IFERROR(TRUNC(AVERAGE(C24:AD24),1),""))</f>
        <v/>
      </c>
      <c r="AF24" s="220" t="n"/>
      <c r="AG24" s="220" t="n">
        <v>20</v>
      </c>
      <c r="AH24" s="220" t="n">
        <v>20</v>
      </c>
      <c r="AI24" s="220">
        <f>IF('MAESTRO 1°'!B24="","",'MAESTRO 1°'!B24)</f>
        <v/>
      </c>
      <c r="AJ24" s="145" t="n"/>
      <c r="AK24" s="55" t="n"/>
      <c r="AL24" s="55" t="n"/>
      <c r="AM24" s="81" t="n"/>
      <c r="AN24" s="55" t="n"/>
      <c r="AO24" s="55" t="n"/>
      <c r="AP24" s="55" t="n"/>
      <c r="AQ24" s="55" t="n"/>
      <c r="AR24" s="55" t="n"/>
      <c r="AS24" s="55" t="n"/>
      <c r="AT24" s="55" t="n"/>
      <c r="AU24" s="55" t="n"/>
      <c r="AV24" s="55" t="n"/>
      <c r="AW24" s="18" t="n"/>
      <c r="AX24" s="5" t="n"/>
      <c r="AY24" s="20" t="n"/>
      <c r="AZ24" s="20" t="n"/>
      <c r="BA24" s="20" t="n"/>
      <c r="BB24" s="20" t="n"/>
      <c r="BC24" s="20" t="n"/>
      <c r="BD24" s="20" t="n"/>
      <c r="BE24" s="20" t="n"/>
      <c r="BF24" s="20" t="n"/>
      <c r="BG24" s="20" t="n"/>
      <c r="BH24" s="49" t="n"/>
      <c r="BI24" s="5" t="n"/>
      <c r="BJ24" s="20" t="n"/>
      <c r="BK24" s="20" t="n"/>
      <c r="BL24" s="20" t="n"/>
      <c r="BM24" s="5">
        <f>IF('MAESTRO 1°'!B24="","",IFERROR(TRUNC(AVERAGE(AK24:BL24),1),""))</f>
        <v/>
      </c>
      <c r="BN24" s="220" t="n"/>
      <c r="BO24" s="220" t="n">
        <v>20</v>
      </c>
      <c r="BP24" s="220" t="n">
        <v>20</v>
      </c>
      <c r="BQ24" s="220">
        <f>IF('MAESTRO 1°'!B24="","",'MAESTRO 1°'!B24)</f>
        <v/>
      </c>
      <c r="BR24" s="145" t="n"/>
      <c r="BS24" s="5" t="n"/>
      <c r="BT24" s="5" t="n"/>
      <c r="BU24" s="5" t="n"/>
      <c r="BV24" s="5" t="n"/>
      <c r="BW24" s="5" t="n"/>
      <c r="BX24" s="5" t="n"/>
      <c r="BY24" s="5" t="n"/>
      <c r="BZ24" s="5" t="n"/>
      <c r="CA24" s="5" t="n"/>
      <c r="CB24" s="5" t="n"/>
      <c r="CC24" s="5" t="n"/>
      <c r="CD24" s="5" t="n"/>
      <c r="CE24" s="5" t="n"/>
      <c r="CF24" s="5" t="n"/>
      <c r="CG24" s="5" t="n"/>
      <c r="CH24" s="5" t="n"/>
      <c r="CI24" s="5" t="n"/>
      <c r="CJ24" s="5" t="n"/>
      <c r="CK24" s="5" t="n"/>
      <c r="CL24" s="5" t="n"/>
      <c r="CM24" s="5" t="n"/>
      <c r="CN24" s="5" t="n"/>
      <c r="CO24" s="5" t="n"/>
      <c r="CP24" s="5" t="n"/>
      <c r="CQ24" s="5" t="n"/>
      <c r="CR24" s="5" t="n"/>
      <c r="CS24" s="5" t="n"/>
      <c r="CT24" s="5" t="n"/>
      <c r="CU24" s="5">
        <f>IF('MAESTRO 1°'!B24="","",IFERROR(TRUNC(AVERAGE(BS24:CT24),1),""))</f>
        <v/>
      </c>
      <c r="CV24" s="220" t="n"/>
      <c r="CW24" s="92" t="n">
        <v>20</v>
      </c>
      <c r="DA24" s="148" t="n"/>
      <c r="DB24" s="148" t="n"/>
      <c r="DC24" s="148" t="n"/>
      <c r="DD24" s="148" t="n"/>
      <c r="DE24" s="148" t="n"/>
      <c r="DF24" s="148" t="n"/>
      <c r="DG24" s="148" t="n"/>
      <c r="DH24" s="148" t="n"/>
      <c r="DI24" s="148" t="n"/>
      <c r="DJ24" s="148" t="n"/>
      <c r="DK24" s="148" t="n"/>
      <c r="DL24" s="148" t="n"/>
      <c r="DM24" s="148" t="n"/>
      <c r="DN24" s="148" t="n"/>
      <c r="EB24" s="148" t="n"/>
      <c r="EC24" s="148" t="n"/>
    </row>
    <row r="25" ht="13.5" customHeight="1" s="147">
      <c r="A25" s="220" t="n">
        <v>21</v>
      </c>
      <c r="B25" s="9">
        <f>IF('MAESTRO 1°'!B25="","",'MAESTRO 1°'!B25)</f>
        <v/>
      </c>
      <c r="C25" s="5" t="n"/>
      <c r="D25" s="5" t="n"/>
      <c r="E25" s="5" t="n"/>
      <c r="F25" s="5" t="n"/>
      <c r="G25" s="5" t="n"/>
      <c r="H25" s="5" t="n"/>
      <c r="I25" s="5" t="n"/>
      <c r="J25" s="5" t="n"/>
      <c r="K25" s="5" t="n"/>
      <c r="L25" s="5" t="n"/>
      <c r="M25" s="5" t="n"/>
      <c r="N25" s="5" t="n"/>
      <c r="O25" s="5" t="n"/>
      <c r="P25" s="5" t="n"/>
      <c r="Q25" s="38" t="n"/>
      <c r="R25" s="20" t="n"/>
      <c r="S25" s="20" t="n"/>
      <c r="T25" s="20" t="n"/>
      <c r="U25" s="20" t="n"/>
      <c r="V25" s="20" t="n"/>
      <c r="W25" s="20" t="n"/>
      <c r="X25" s="20" t="n"/>
      <c r="Y25" s="20" t="n"/>
      <c r="Z25" s="20" t="n"/>
      <c r="AA25" s="20" t="n"/>
      <c r="AB25" s="20" t="n"/>
      <c r="AC25" s="40" t="n"/>
      <c r="AD25" s="40" t="n"/>
      <c r="AE25" s="42">
        <f>IF('MAESTRO 1°'!B25="","",IFERROR(TRUNC(AVERAGE(C25:AD25),1),""))</f>
        <v/>
      </c>
      <c r="AF25" s="220" t="n"/>
      <c r="AG25" s="220" t="n">
        <v>21</v>
      </c>
      <c r="AH25" s="220" t="n">
        <v>21</v>
      </c>
      <c r="AI25" s="220">
        <f>IF('MAESTRO 1°'!B25="","",'MAESTRO 1°'!B25)</f>
        <v/>
      </c>
      <c r="AJ25" s="145" t="n"/>
      <c r="AK25" s="55" t="n"/>
      <c r="AL25" s="55" t="n"/>
      <c r="AM25" s="81" t="n"/>
      <c r="AN25" s="55" t="n"/>
      <c r="AO25" s="55" t="n"/>
      <c r="AP25" s="55" t="n"/>
      <c r="AQ25" s="55" t="n"/>
      <c r="AR25" s="55" t="n"/>
      <c r="AS25" s="55" t="n"/>
      <c r="AT25" s="55" t="n"/>
      <c r="AU25" s="55" t="n"/>
      <c r="AV25" s="55" t="n"/>
      <c r="AW25" s="18" t="n"/>
      <c r="AX25" s="5" t="n"/>
      <c r="AY25" s="20" t="n"/>
      <c r="AZ25" s="82" t="n"/>
      <c r="BA25" s="20" t="n"/>
      <c r="BB25" s="20" t="n"/>
      <c r="BC25" s="20" t="n"/>
      <c r="BD25" s="20" t="n"/>
      <c r="BE25" s="20" t="n"/>
      <c r="BF25" s="20" t="n"/>
      <c r="BG25" s="20" t="n"/>
      <c r="BH25" s="49" t="n"/>
      <c r="BI25" s="5" t="n"/>
      <c r="BJ25" s="20" t="n"/>
      <c r="BK25" s="20" t="n"/>
      <c r="BL25" s="20" t="n"/>
      <c r="BM25" s="5">
        <f>IF('MAESTRO 1°'!B25="","",IFERROR(TRUNC(AVERAGE(AK25:BL25),1),""))</f>
        <v/>
      </c>
      <c r="BN25" s="220" t="n"/>
      <c r="BO25" s="220" t="n">
        <v>21</v>
      </c>
      <c r="BP25" s="220" t="n">
        <v>21</v>
      </c>
      <c r="BQ25" s="220">
        <f>IF('MAESTRO 1°'!B25="","",'MAESTRO 1°'!B25)</f>
        <v/>
      </c>
      <c r="BR25" s="145" t="n"/>
      <c r="BS25" s="5" t="n"/>
      <c r="BT25" s="5" t="n"/>
      <c r="BU25" s="5" t="n"/>
      <c r="BV25" s="5" t="n"/>
      <c r="BW25" s="5" t="n"/>
      <c r="BX25" s="5" t="n"/>
      <c r="BY25" s="5" t="n"/>
      <c r="BZ25" s="5" t="n"/>
      <c r="CA25" s="5" t="n"/>
      <c r="CB25" s="5" t="n"/>
      <c r="CC25" s="5" t="n"/>
      <c r="CD25" s="5" t="n"/>
      <c r="CE25" s="5" t="n"/>
      <c r="CF25" s="5" t="n"/>
      <c r="CG25" s="5" t="n"/>
      <c r="CH25" s="5" t="n"/>
      <c r="CI25" s="5" t="n"/>
      <c r="CJ25" s="5" t="n"/>
      <c r="CK25" s="5" t="n"/>
      <c r="CL25" s="5" t="n"/>
      <c r="CM25" s="5" t="n"/>
      <c r="CN25" s="5" t="n"/>
      <c r="CO25" s="5" t="n"/>
      <c r="CP25" s="5" t="n"/>
      <c r="CQ25" s="5" t="n"/>
      <c r="CR25" s="5" t="n"/>
      <c r="CS25" s="5" t="n"/>
      <c r="CT25" s="5" t="n"/>
      <c r="CU25" s="5">
        <f>IF('MAESTRO 1°'!B25="","",IFERROR(TRUNC(AVERAGE(BS25:CT25),1),""))</f>
        <v/>
      </c>
      <c r="CV25" s="220" t="n"/>
      <c r="CW25" s="92" t="n">
        <v>21</v>
      </c>
      <c r="DA25" s="148" t="n"/>
      <c r="DB25" s="148" t="n"/>
      <c r="DC25" s="148" t="n"/>
      <c r="DD25" s="148" t="n"/>
      <c r="DE25" s="148" t="n"/>
      <c r="DF25" s="148" t="n"/>
      <c r="DG25" s="148" t="n"/>
      <c r="DH25" s="148" t="n"/>
      <c r="DI25" s="148" t="n"/>
      <c r="DJ25" s="148" t="n"/>
      <c r="DK25" s="148" t="n"/>
      <c r="DL25" s="148" t="n"/>
      <c r="DM25" s="148" t="n"/>
      <c r="DN25" s="148" t="n"/>
      <c r="EB25" s="148" t="n"/>
      <c r="EC25" s="148" t="n"/>
    </row>
    <row r="26" ht="13.5" customHeight="1" s="147">
      <c r="A26" s="220" t="n">
        <v>22</v>
      </c>
      <c r="B26" s="9">
        <f>IF('MAESTRO 1°'!B26="","",'MAESTRO 1°'!B26)</f>
        <v/>
      </c>
      <c r="C26" s="5" t="n"/>
      <c r="D26" s="5" t="n"/>
      <c r="E26" s="5" t="n"/>
      <c r="F26" s="5" t="n"/>
      <c r="G26" s="5" t="n"/>
      <c r="H26" s="5" t="n"/>
      <c r="I26" s="5" t="n"/>
      <c r="J26" s="5" t="n"/>
      <c r="K26" s="5" t="n"/>
      <c r="L26" s="5" t="n"/>
      <c r="M26" s="5" t="n"/>
      <c r="N26" s="5" t="n"/>
      <c r="O26" s="5" t="n"/>
      <c r="P26" s="5" t="n"/>
      <c r="Q26" s="38" t="n"/>
      <c r="R26" s="20" t="n"/>
      <c r="S26" s="20" t="n"/>
      <c r="T26" s="20" t="n"/>
      <c r="U26" s="20" t="n"/>
      <c r="V26" s="20" t="n"/>
      <c r="W26" s="20" t="n"/>
      <c r="X26" s="20" t="n"/>
      <c r="Y26" s="20" t="n"/>
      <c r="Z26" s="20" t="n"/>
      <c r="AA26" s="20" t="n"/>
      <c r="AB26" s="20" t="n"/>
      <c r="AC26" s="40" t="n"/>
      <c r="AD26" s="40" t="n"/>
      <c r="AE26" s="42">
        <f>IF('MAESTRO 1°'!B26="","",IFERROR(TRUNC(AVERAGE(C26:AD26),1),""))</f>
        <v/>
      </c>
      <c r="AF26" s="220" t="n"/>
      <c r="AG26" s="220" t="n">
        <v>22</v>
      </c>
      <c r="AH26" s="220" t="n">
        <v>22</v>
      </c>
      <c r="AI26" s="220">
        <f>IF('MAESTRO 1°'!B26="","",'MAESTRO 1°'!B26)</f>
        <v/>
      </c>
      <c r="AJ26" s="145" t="n"/>
      <c r="AK26" s="55" t="n"/>
      <c r="AL26" s="55" t="n"/>
      <c r="AM26" s="81" t="n"/>
      <c r="AN26" s="55" t="n"/>
      <c r="AO26" s="55" t="n"/>
      <c r="AP26" s="55" t="n"/>
      <c r="AQ26" s="55" t="n"/>
      <c r="AR26" s="55" t="n"/>
      <c r="AS26" s="55" t="n"/>
      <c r="AT26" s="55" t="n"/>
      <c r="AU26" s="55" t="n"/>
      <c r="AV26" s="55" t="n"/>
      <c r="AW26" s="18" t="n"/>
      <c r="AX26" s="5" t="n"/>
      <c r="AY26" s="20" t="n"/>
      <c r="AZ26" s="82" t="n"/>
      <c r="BA26" s="20" t="n"/>
      <c r="BB26" s="20" t="n"/>
      <c r="BC26" s="20" t="n"/>
      <c r="BD26" s="20" t="n"/>
      <c r="BE26" s="20" t="n"/>
      <c r="BF26" s="20" t="n"/>
      <c r="BG26" s="20" t="n"/>
      <c r="BH26" s="49" t="n"/>
      <c r="BI26" s="5" t="n"/>
      <c r="BJ26" s="20" t="n"/>
      <c r="BK26" s="20" t="n"/>
      <c r="BL26" s="20" t="n"/>
      <c r="BM26" s="5">
        <f>IF('MAESTRO 1°'!B26="","",IFERROR(TRUNC(AVERAGE(AK26:BL26),1),""))</f>
        <v/>
      </c>
      <c r="BN26" s="220" t="n"/>
      <c r="BO26" s="220" t="n">
        <v>22</v>
      </c>
      <c r="BP26" s="220" t="n">
        <v>22</v>
      </c>
      <c r="BQ26" s="220">
        <f>IF('MAESTRO 1°'!B26="","",'MAESTRO 1°'!B26)</f>
        <v/>
      </c>
      <c r="BR26" s="145" t="n"/>
      <c r="BS26" s="5" t="n"/>
      <c r="BT26" s="5" t="n"/>
      <c r="BU26" s="5" t="n"/>
      <c r="BV26" s="5" t="n"/>
      <c r="BW26" s="5" t="n"/>
      <c r="BX26" s="5" t="n"/>
      <c r="BY26" s="5" t="n"/>
      <c r="BZ26" s="5" t="n"/>
      <c r="CA26" s="5" t="n"/>
      <c r="CB26" s="5" t="n"/>
      <c r="CC26" s="5" t="n"/>
      <c r="CD26" s="5" t="n"/>
      <c r="CE26" s="5" t="n"/>
      <c r="CF26" s="5" t="n"/>
      <c r="CG26" s="5" t="n"/>
      <c r="CH26" s="5" t="n"/>
      <c r="CI26" s="5" t="n"/>
      <c r="CJ26" s="5" t="n"/>
      <c r="CK26" s="5" t="n"/>
      <c r="CL26" s="5" t="n"/>
      <c r="CM26" s="5" t="n"/>
      <c r="CN26" s="5" t="n"/>
      <c r="CO26" s="5" t="n"/>
      <c r="CP26" s="5" t="n"/>
      <c r="CQ26" s="5" t="n"/>
      <c r="CR26" s="5" t="n"/>
      <c r="CS26" s="5" t="n"/>
      <c r="CT26" s="5" t="n"/>
      <c r="CU26" s="5">
        <f>IF('MAESTRO 1°'!B26="","",IFERROR(TRUNC(AVERAGE(BS26:CT26),1),""))</f>
        <v/>
      </c>
      <c r="CV26" s="220" t="n"/>
      <c r="CW26" s="92" t="n">
        <v>22</v>
      </c>
      <c r="DA26" s="148" t="n"/>
      <c r="DB26" s="148" t="n"/>
      <c r="DC26" s="148" t="n"/>
      <c r="DD26" s="148" t="n"/>
      <c r="DE26" s="148" t="n"/>
      <c r="DF26" s="148" t="n"/>
      <c r="DG26" s="148" t="n"/>
      <c r="DH26" s="148" t="n"/>
      <c r="DI26" s="148" t="n"/>
      <c r="DJ26" s="148" t="n"/>
      <c r="DK26" s="148" t="n"/>
      <c r="DL26" s="148" t="n"/>
      <c r="DM26" s="148" t="n"/>
      <c r="DN26" s="148" t="n"/>
      <c r="EB26" s="148" t="n"/>
      <c r="EC26" s="148" t="n"/>
    </row>
    <row r="27" ht="13.5" customHeight="1" s="147">
      <c r="A27" s="220" t="n">
        <v>23</v>
      </c>
      <c r="B27" s="9">
        <f>IF('MAESTRO 1°'!B27="","",'MAESTRO 1°'!B27)</f>
        <v/>
      </c>
      <c r="C27" s="5" t="n"/>
      <c r="D27" s="5" t="n"/>
      <c r="E27" s="5" t="n"/>
      <c r="F27" s="5" t="n"/>
      <c r="G27" s="5" t="n"/>
      <c r="H27" s="5" t="n"/>
      <c r="I27" s="5" t="n"/>
      <c r="J27" s="5" t="n"/>
      <c r="K27" s="5" t="n"/>
      <c r="L27" s="5" t="n"/>
      <c r="M27" s="5" t="n"/>
      <c r="N27" s="5" t="n"/>
      <c r="O27" s="5" t="n"/>
      <c r="P27" s="5" t="n"/>
      <c r="Q27" s="38" t="n"/>
      <c r="R27" s="20" t="n"/>
      <c r="S27" s="20" t="n"/>
      <c r="T27" s="20" t="n"/>
      <c r="U27" s="20" t="n"/>
      <c r="V27" s="20" t="n"/>
      <c r="W27" s="20" t="n"/>
      <c r="X27" s="20" t="n"/>
      <c r="Y27" s="20" t="n"/>
      <c r="Z27" s="20" t="n"/>
      <c r="AA27" s="20" t="n"/>
      <c r="AB27" s="20" t="n"/>
      <c r="AC27" s="40" t="n"/>
      <c r="AD27" s="40" t="n"/>
      <c r="AE27" s="42">
        <f>IF('MAESTRO 1°'!B27="","",IFERROR(TRUNC(AVERAGE(C27:AD27),1),""))</f>
        <v/>
      </c>
      <c r="AF27" s="220" t="n"/>
      <c r="AG27" s="220" t="n">
        <v>23</v>
      </c>
      <c r="AH27" s="220" t="n">
        <v>23</v>
      </c>
      <c r="AI27" s="220">
        <f>IF('MAESTRO 1°'!B27="","",'MAESTRO 1°'!B27)</f>
        <v/>
      </c>
      <c r="AJ27" s="145" t="n"/>
      <c r="AK27" s="55" t="n"/>
      <c r="AL27" s="55" t="n"/>
      <c r="AM27" s="81" t="n"/>
      <c r="AN27" s="55" t="n"/>
      <c r="AO27" s="55" t="n"/>
      <c r="AP27" s="55" t="n"/>
      <c r="AQ27" s="55" t="n"/>
      <c r="AR27" s="55" t="n"/>
      <c r="AS27" s="55" t="n"/>
      <c r="AT27" s="55" t="n"/>
      <c r="AU27" s="55" t="n"/>
      <c r="AV27" s="55" t="n"/>
      <c r="AW27" s="18" t="n"/>
      <c r="AX27" s="5" t="n"/>
      <c r="AY27" s="20" t="n"/>
      <c r="AZ27" s="82" t="n"/>
      <c r="BA27" s="20" t="n"/>
      <c r="BB27" s="20" t="n"/>
      <c r="BC27" s="20" t="n"/>
      <c r="BD27" s="20" t="n"/>
      <c r="BE27" s="20" t="n"/>
      <c r="BF27" s="20" t="n"/>
      <c r="BG27" s="20" t="n"/>
      <c r="BH27" s="49" t="n"/>
      <c r="BI27" s="5" t="n"/>
      <c r="BJ27" s="20" t="n"/>
      <c r="BK27" s="20" t="n"/>
      <c r="BL27" s="20" t="n"/>
      <c r="BM27" s="5">
        <f>IF('MAESTRO 1°'!B27="","",IFERROR(TRUNC(AVERAGE(AK27:BL27),1),""))</f>
        <v/>
      </c>
      <c r="BN27" s="220" t="n"/>
      <c r="BO27" s="220" t="n">
        <v>23</v>
      </c>
      <c r="BP27" s="220" t="n">
        <v>23</v>
      </c>
      <c r="BQ27" s="220">
        <f>IF('MAESTRO 1°'!B27="","",'MAESTRO 1°'!B27)</f>
        <v/>
      </c>
      <c r="BR27" s="145" t="n"/>
      <c r="BS27" s="5" t="n"/>
      <c r="BT27" s="5" t="n"/>
      <c r="BU27" s="5" t="n"/>
      <c r="BV27" s="5" t="n"/>
      <c r="BW27" s="5" t="n"/>
      <c r="BX27" s="5" t="n"/>
      <c r="BY27" s="5" t="n"/>
      <c r="BZ27" s="5" t="n"/>
      <c r="CA27" s="5" t="n"/>
      <c r="CB27" s="5" t="n"/>
      <c r="CC27" s="5" t="n"/>
      <c r="CD27" s="5" t="n"/>
      <c r="CE27" s="5" t="n"/>
      <c r="CF27" s="5" t="n"/>
      <c r="CG27" s="5" t="n"/>
      <c r="CH27" s="5" t="n"/>
      <c r="CI27" s="5" t="n"/>
      <c r="CJ27" s="5" t="n"/>
      <c r="CK27" s="5" t="n"/>
      <c r="CL27" s="5" t="n"/>
      <c r="CM27" s="5" t="n"/>
      <c r="CN27" s="5" t="n"/>
      <c r="CO27" s="5" t="n"/>
      <c r="CP27" s="5" t="n"/>
      <c r="CQ27" s="5" t="n"/>
      <c r="CR27" s="5" t="n"/>
      <c r="CS27" s="5" t="n"/>
      <c r="CT27" s="5" t="n"/>
      <c r="CU27" s="5">
        <f>IF('MAESTRO 1°'!B27="","",IFERROR(TRUNC(AVERAGE(BS27:CT27),1),""))</f>
        <v/>
      </c>
      <c r="CV27" s="220" t="n"/>
      <c r="CW27" s="92" t="n">
        <v>23</v>
      </c>
      <c r="DA27" s="148" t="n"/>
      <c r="DB27" s="148" t="n"/>
      <c r="DC27" s="148" t="n"/>
      <c r="DD27" s="148" t="n"/>
      <c r="DE27" s="148" t="n"/>
      <c r="DF27" s="148" t="n"/>
      <c r="DG27" s="148" t="n"/>
      <c r="DH27" s="148" t="n"/>
      <c r="DI27" s="148" t="n"/>
      <c r="DJ27" s="148" t="n"/>
      <c r="DK27" s="148" t="n"/>
      <c r="DL27" s="148" t="n"/>
      <c r="DM27" s="148" t="n"/>
      <c r="DN27" s="148" t="n"/>
      <c r="EB27" s="148" t="n"/>
      <c r="EC27" s="148" t="n"/>
    </row>
    <row r="28" ht="13.5" customHeight="1" s="147">
      <c r="A28" s="220" t="n">
        <v>24</v>
      </c>
      <c r="B28" s="9">
        <f>IF('MAESTRO 1°'!B28="","",'MAESTRO 1°'!B28)</f>
        <v/>
      </c>
      <c r="C28" s="5" t="n"/>
      <c r="D28" s="5" t="n"/>
      <c r="E28" s="5" t="n"/>
      <c r="F28" s="5" t="n"/>
      <c r="G28" s="5" t="n"/>
      <c r="H28" s="5" t="n"/>
      <c r="I28" s="5" t="n"/>
      <c r="J28" s="5" t="n"/>
      <c r="K28" s="5" t="n"/>
      <c r="L28" s="5" t="n"/>
      <c r="M28" s="5" t="n"/>
      <c r="N28" s="5" t="n"/>
      <c r="O28" s="5" t="n"/>
      <c r="P28" s="5" t="n"/>
      <c r="Q28" s="38" t="n"/>
      <c r="R28" s="20" t="n"/>
      <c r="S28" s="20" t="n"/>
      <c r="T28" s="20" t="n"/>
      <c r="U28" s="20" t="n"/>
      <c r="V28" s="20" t="n"/>
      <c r="W28" s="20" t="n"/>
      <c r="X28" s="20" t="n"/>
      <c r="Y28" s="20" t="n"/>
      <c r="Z28" s="20" t="n"/>
      <c r="AA28" s="20" t="n"/>
      <c r="AB28" s="20" t="n"/>
      <c r="AC28" s="40" t="n"/>
      <c r="AD28" s="40" t="n"/>
      <c r="AE28" s="42">
        <f>IF('MAESTRO 1°'!B28="","",IFERROR(TRUNC(AVERAGE(C28:AD28),1),""))</f>
        <v/>
      </c>
      <c r="AF28" s="220" t="n"/>
      <c r="AG28" s="220" t="n">
        <v>24</v>
      </c>
      <c r="AH28" s="220" t="n">
        <v>24</v>
      </c>
      <c r="AI28" s="220">
        <f>IF('MAESTRO 1°'!B28="","",'MAESTRO 1°'!B28)</f>
        <v/>
      </c>
      <c r="AJ28" s="145" t="n"/>
      <c r="AK28" s="55" t="n"/>
      <c r="AL28" s="55" t="n"/>
      <c r="AM28" s="81" t="n"/>
      <c r="AN28" s="55" t="n"/>
      <c r="AO28" s="55" t="n"/>
      <c r="AP28" s="55" t="n"/>
      <c r="AQ28" s="55" t="n"/>
      <c r="AR28" s="55" t="n"/>
      <c r="AS28" s="55" t="n"/>
      <c r="AT28" s="55" t="n"/>
      <c r="AU28" s="55" t="n"/>
      <c r="AV28" s="55" t="n"/>
      <c r="AW28" s="18" t="n"/>
      <c r="AX28" s="5" t="n"/>
      <c r="AY28" s="20" t="n"/>
      <c r="AZ28" s="82" t="n"/>
      <c r="BA28" s="20" t="n"/>
      <c r="BB28" s="20" t="n"/>
      <c r="BC28" s="20" t="n"/>
      <c r="BD28" s="20" t="n"/>
      <c r="BE28" s="20" t="n"/>
      <c r="BF28" s="20" t="n"/>
      <c r="BG28" s="20" t="n"/>
      <c r="BH28" s="49" t="n"/>
      <c r="BI28" s="5" t="n"/>
      <c r="BJ28" s="20" t="n"/>
      <c r="BK28" s="20" t="n"/>
      <c r="BL28" s="20" t="n"/>
      <c r="BM28" s="5">
        <f>IF('MAESTRO 1°'!B28="","",IFERROR(TRUNC(AVERAGE(AK28:BL28),1),""))</f>
        <v/>
      </c>
      <c r="BN28" s="220" t="n"/>
      <c r="BO28" s="220" t="n">
        <v>24</v>
      </c>
      <c r="BP28" s="220" t="n">
        <v>24</v>
      </c>
      <c r="BQ28" s="220">
        <f>IF('MAESTRO 1°'!B28="","",'MAESTRO 1°'!B28)</f>
        <v/>
      </c>
      <c r="BR28" s="145" t="n"/>
      <c r="BS28" s="5" t="n"/>
      <c r="BT28" s="5" t="n"/>
      <c r="BU28" s="5" t="n"/>
      <c r="BV28" s="5" t="n"/>
      <c r="BW28" s="5" t="n"/>
      <c r="BX28" s="5" t="n"/>
      <c r="BY28" s="5" t="n"/>
      <c r="BZ28" s="5" t="n"/>
      <c r="CA28" s="5" t="n"/>
      <c r="CB28" s="5" t="n"/>
      <c r="CC28" s="5" t="n"/>
      <c r="CD28" s="5" t="n"/>
      <c r="CE28" s="5" t="n"/>
      <c r="CF28" s="5" t="n"/>
      <c r="CG28" s="5" t="n"/>
      <c r="CH28" s="5" t="n"/>
      <c r="CI28" s="5" t="n"/>
      <c r="CJ28" s="5" t="n"/>
      <c r="CK28" s="5" t="n"/>
      <c r="CL28" s="5" t="n"/>
      <c r="CM28" s="5" t="n"/>
      <c r="CN28" s="5" t="n"/>
      <c r="CO28" s="5" t="n"/>
      <c r="CP28" s="5" t="n"/>
      <c r="CQ28" s="5" t="n"/>
      <c r="CR28" s="5" t="n"/>
      <c r="CS28" s="5" t="n"/>
      <c r="CT28" s="5" t="n"/>
      <c r="CU28" s="5">
        <f>IF('MAESTRO 1°'!B28="","",IFERROR(TRUNC(AVERAGE(BS28:CT28),1),""))</f>
        <v/>
      </c>
      <c r="CV28" s="220" t="n"/>
      <c r="CW28" s="92" t="n">
        <v>24</v>
      </c>
      <c r="DA28" s="148" t="n"/>
      <c r="DB28" s="148" t="n"/>
      <c r="DC28" s="148" t="n"/>
      <c r="DD28" s="148" t="n"/>
      <c r="DE28" s="148" t="n"/>
      <c r="DF28" s="148" t="n"/>
      <c r="DG28" s="148" t="n"/>
      <c r="DH28" s="148" t="n"/>
      <c r="DI28" s="148" t="n"/>
      <c r="DJ28" s="148" t="n"/>
      <c r="DK28" s="148" t="n"/>
      <c r="DL28" s="148" t="n"/>
      <c r="DM28" s="148" t="n"/>
      <c r="DN28" s="148" t="n"/>
      <c r="EB28" s="148" t="n"/>
      <c r="EC28" s="148" t="n"/>
    </row>
    <row r="29" ht="13.5" customHeight="1" s="147">
      <c r="A29" s="220" t="n">
        <v>25</v>
      </c>
      <c r="B29" s="9">
        <f>IF('MAESTRO 1°'!B29="","",'MAESTRO 1°'!B29)</f>
        <v/>
      </c>
      <c r="C29" s="5" t="n"/>
      <c r="D29" s="5" t="n"/>
      <c r="E29" s="5" t="n"/>
      <c r="F29" s="5" t="n"/>
      <c r="G29" s="5" t="n"/>
      <c r="H29" s="5" t="n"/>
      <c r="I29" s="5" t="n"/>
      <c r="J29" s="5" t="n"/>
      <c r="K29" s="5" t="n"/>
      <c r="L29" s="5" t="n"/>
      <c r="M29" s="5" t="n"/>
      <c r="N29" s="5" t="n"/>
      <c r="O29" s="5" t="n"/>
      <c r="P29" s="5" t="n"/>
      <c r="Q29" s="38" t="n"/>
      <c r="R29" s="20" t="n"/>
      <c r="S29" s="20" t="n"/>
      <c r="T29" s="20" t="n"/>
      <c r="U29" s="20" t="n"/>
      <c r="V29" s="20" t="n"/>
      <c r="W29" s="20" t="n"/>
      <c r="X29" s="20" t="n"/>
      <c r="Y29" s="20" t="n"/>
      <c r="Z29" s="20" t="n"/>
      <c r="AA29" s="20" t="n"/>
      <c r="AB29" s="20" t="n"/>
      <c r="AC29" s="40" t="n"/>
      <c r="AD29" s="40" t="n"/>
      <c r="AE29" s="42">
        <f>IF('MAESTRO 1°'!B29="","",IFERROR(TRUNC(AVERAGE(C29:AD29),1),""))</f>
        <v/>
      </c>
      <c r="AF29" s="220" t="n"/>
      <c r="AG29" s="220" t="n">
        <v>25</v>
      </c>
      <c r="AH29" s="220" t="n">
        <v>25</v>
      </c>
      <c r="AI29" s="220">
        <f>IF('MAESTRO 1°'!B29="","",'MAESTRO 1°'!B29)</f>
        <v/>
      </c>
      <c r="AJ29" s="145" t="n"/>
      <c r="AK29" s="55" t="n"/>
      <c r="AL29" s="55" t="n"/>
      <c r="AM29" s="81" t="n"/>
      <c r="AN29" s="55" t="n"/>
      <c r="AO29" s="55" t="n"/>
      <c r="AP29" s="81" t="n"/>
      <c r="AQ29" s="81" t="n"/>
      <c r="AR29" s="55" t="n"/>
      <c r="AS29" s="55" t="n"/>
      <c r="AT29" s="55" t="n"/>
      <c r="AU29" s="55" t="n"/>
      <c r="AV29" s="55" t="n"/>
      <c r="AW29" s="18" t="n"/>
      <c r="AX29" s="5" t="n"/>
      <c r="AY29" s="57" t="n"/>
      <c r="AZ29" s="82" t="n"/>
      <c r="BA29" s="82" t="n"/>
      <c r="BB29" s="82" t="n"/>
      <c r="BC29" s="82" t="n"/>
      <c r="BD29" s="57" t="n"/>
      <c r="BE29" s="57" t="n"/>
      <c r="BF29" s="57" t="n"/>
      <c r="BG29" s="57" t="n"/>
      <c r="BH29" s="49" t="n"/>
      <c r="BI29" s="5" t="n"/>
      <c r="BJ29" s="20" t="n"/>
      <c r="BK29" s="20" t="n"/>
      <c r="BL29" s="20" t="n"/>
      <c r="BM29" s="5">
        <f>IF('MAESTRO 1°'!B29="","",IFERROR(TRUNC(AVERAGE(AK29:BL29),1),""))</f>
        <v/>
      </c>
      <c r="BN29" s="220" t="n"/>
      <c r="BO29" s="220" t="n">
        <v>25</v>
      </c>
      <c r="BP29" s="220" t="n">
        <v>25</v>
      </c>
      <c r="BQ29" s="220">
        <f>IF('MAESTRO 1°'!B29="","",'MAESTRO 1°'!B29)</f>
        <v/>
      </c>
      <c r="BR29" s="145" t="n"/>
      <c r="BS29" s="5" t="n"/>
      <c r="BT29" s="5" t="n"/>
      <c r="BU29" s="5" t="n"/>
      <c r="BV29" s="5" t="n"/>
      <c r="BW29" s="5" t="n"/>
      <c r="BX29" s="5" t="n"/>
      <c r="BY29" s="5" t="n"/>
      <c r="BZ29" s="5" t="n"/>
      <c r="CA29" s="5" t="n"/>
      <c r="CB29" s="5" t="n"/>
      <c r="CC29" s="5" t="n"/>
      <c r="CD29" s="5" t="n"/>
      <c r="CE29" s="5" t="n"/>
      <c r="CF29" s="5" t="n"/>
      <c r="CG29" s="5" t="n"/>
      <c r="CH29" s="5" t="n"/>
      <c r="CI29" s="5" t="n"/>
      <c r="CJ29" s="5" t="n"/>
      <c r="CK29" s="5" t="n"/>
      <c r="CL29" s="5" t="n"/>
      <c r="CM29" s="5" t="n"/>
      <c r="CN29" s="5" t="n"/>
      <c r="CO29" s="5" t="n"/>
      <c r="CP29" s="5" t="n"/>
      <c r="CQ29" s="5" t="n"/>
      <c r="CR29" s="5" t="n"/>
      <c r="CS29" s="5" t="n"/>
      <c r="CT29" s="5" t="n"/>
      <c r="CU29" s="5">
        <f>IF('MAESTRO 1°'!B29="","",IFERROR(TRUNC(AVERAGE(BS29:CT29),1),""))</f>
        <v/>
      </c>
      <c r="CV29" s="220" t="n"/>
      <c r="CW29" s="92" t="n">
        <v>25</v>
      </c>
      <c r="DA29" s="148" t="n"/>
      <c r="DB29" s="148" t="n"/>
      <c r="DC29" s="148" t="n"/>
      <c r="DD29" s="148" t="n"/>
      <c r="DE29" s="148" t="n"/>
      <c r="DF29" s="148" t="n"/>
      <c r="DG29" s="148" t="n"/>
      <c r="DH29" s="148" t="n"/>
      <c r="DI29" s="148" t="n"/>
      <c r="DJ29" s="148" t="n"/>
      <c r="DK29" s="148" t="n"/>
      <c r="DL29" s="148" t="n"/>
      <c r="DM29" s="148" t="n"/>
      <c r="DN29" s="148" t="n"/>
      <c r="EB29" s="148" t="n"/>
      <c r="EC29" s="148" t="n"/>
    </row>
    <row r="30" ht="13.5" customHeight="1" s="147">
      <c r="A30" s="220" t="n">
        <v>26</v>
      </c>
      <c r="B30" s="9">
        <f>IF('MAESTRO 1°'!B30="","",'MAESTRO 1°'!B30)</f>
        <v/>
      </c>
      <c r="C30" s="5" t="n"/>
      <c r="D30" s="5" t="n"/>
      <c r="E30" s="5" t="n"/>
      <c r="F30" s="5" t="n"/>
      <c r="G30" s="5" t="n"/>
      <c r="H30" s="5" t="n"/>
      <c r="I30" s="5" t="n"/>
      <c r="J30" s="5" t="n"/>
      <c r="K30" s="5" t="n"/>
      <c r="L30" s="5" t="n"/>
      <c r="M30" s="5" t="n"/>
      <c r="N30" s="5" t="n"/>
      <c r="O30" s="5" t="n"/>
      <c r="P30" s="5" t="n"/>
      <c r="Q30" s="38" t="n"/>
      <c r="R30" s="20" t="n"/>
      <c r="S30" s="20" t="n"/>
      <c r="T30" s="20" t="n"/>
      <c r="U30" s="20" t="n"/>
      <c r="V30" s="20" t="n"/>
      <c r="W30" s="20" t="n"/>
      <c r="X30" s="20" t="n"/>
      <c r="Y30" s="20" t="n"/>
      <c r="Z30" s="20" t="n"/>
      <c r="AA30" s="20" t="n"/>
      <c r="AB30" s="20" t="n"/>
      <c r="AC30" s="40" t="n"/>
      <c r="AD30" s="40" t="n"/>
      <c r="AE30" s="42">
        <f>IF('MAESTRO 1°'!B30="","",IFERROR(TRUNC(AVERAGE(C30:AD30),1),""))</f>
        <v/>
      </c>
      <c r="AF30" s="220" t="n"/>
      <c r="AG30" s="220" t="n">
        <v>26</v>
      </c>
      <c r="AH30" s="220" t="n">
        <v>26</v>
      </c>
      <c r="AI30" s="220">
        <f>IF('MAESTRO 1°'!B30="","",'MAESTRO 1°'!B30)</f>
        <v/>
      </c>
      <c r="AJ30" s="145" t="n"/>
      <c r="AK30" s="55" t="n"/>
      <c r="AL30" s="55" t="n"/>
      <c r="AM30" s="81" t="n"/>
      <c r="AN30" s="55" t="n"/>
      <c r="AO30" s="55" t="n"/>
      <c r="AP30" s="81" t="n"/>
      <c r="AQ30" s="81" t="n"/>
      <c r="AR30" s="55" t="n"/>
      <c r="AS30" s="55" t="n"/>
      <c r="AT30" s="55" t="n"/>
      <c r="AU30" s="55" t="n"/>
      <c r="AV30" s="55" t="n"/>
      <c r="AW30" s="18" t="n"/>
      <c r="AX30" s="5" t="n"/>
      <c r="AY30" s="20" t="n"/>
      <c r="AZ30" s="82" t="n"/>
      <c r="BA30" s="82" t="n"/>
      <c r="BB30" s="82" t="n"/>
      <c r="BC30" s="82" t="n"/>
      <c r="BD30" s="20" t="n"/>
      <c r="BE30" s="20" t="n"/>
      <c r="BF30" s="20" t="n"/>
      <c r="BG30" s="20" t="n"/>
      <c r="BH30" s="49" t="n"/>
      <c r="BI30" s="5" t="n"/>
      <c r="BJ30" s="20" t="n"/>
      <c r="BK30" s="20" t="n"/>
      <c r="BL30" s="20" t="n"/>
      <c r="BM30" s="5">
        <f>IF('MAESTRO 1°'!B30="","",IFERROR(TRUNC(AVERAGE(AK30:BL30),1),""))</f>
        <v/>
      </c>
      <c r="BN30" s="220" t="n"/>
      <c r="BO30" s="220" t="n">
        <v>26</v>
      </c>
      <c r="BP30" s="220" t="n">
        <v>26</v>
      </c>
      <c r="BQ30" s="220">
        <f>IF('MAESTRO 1°'!B30="","",'MAESTRO 1°'!B30)</f>
        <v/>
      </c>
      <c r="BR30" s="145" t="n"/>
      <c r="BS30" s="5" t="n"/>
      <c r="BT30" s="5" t="n"/>
      <c r="BU30" s="5" t="n"/>
      <c r="BV30" s="5" t="n"/>
      <c r="BW30" s="5" t="n"/>
      <c r="BX30" s="5" t="n"/>
      <c r="BY30" s="5" t="n"/>
      <c r="BZ30" s="5" t="n"/>
      <c r="CA30" s="5" t="n"/>
      <c r="CB30" s="5" t="n"/>
      <c r="CC30" s="5" t="n"/>
      <c r="CD30" s="5" t="n"/>
      <c r="CE30" s="5" t="n"/>
      <c r="CF30" s="5" t="n"/>
      <c r="CG30" s="5" t="n"/>
      <c r="CH30" s="5" t="n"/>
      <c r="CI30" s="5" t="n"/>
      <c r="CJ30" s="5" t="n"/>
      <c r="CK30" s="5" t="n"/>
      <c r="CL30" s="5" t="n"/>
      <c r="CM30" s="5" t="n"/>
      <c r="CN30" s="5" t="n"/>
      <c r="CO30" s="5" t="n"/>
      <c r="CP30" s="5" t="n"/>
      <c r="CQ30" s="5" t="n"/>
      <c r="CR30" s="5" t="n"/>
      <c r="CS30" s="5" t="n"/>
      <c r="CT30" s="5" t="n"/>
      <c r="CU30" s="5">
        <f>IF('MAESTRO 1°'!B30="","",IFERROR(TRUNC(AVERAGE(BS30:CT30),1),""))</f>
        <v/>
      </c>
      <c r="CV30" s="220" t="n"/>
      <c r="CW30" s="92" t="n">
        <v>26</v>
      </c>
      <c r="DA30" s="148" t="n"/>
      <c r="DB30" s="148" t="n"/>
      <c r="DC30" s="148" t="n"/>
      <c r="DD30" s="148" t="n"/>
      <c r="DE30" s="148" t="n"/>
      <c r="DF30" s="148" t="n"/>
      <c r="DG30" s="148" t="n"/>
      <c r="DH30" s="148" t="n"/>
      <c r="DI30" s="148" t="n"/>
      <c r="DJ30" s="148" t="n"/>
      <c r="DK30" s="148" t="n"/>
      <c r="DL30" s="148" t="n"/>
      <c r="DM30" s="148" t="n"/>
      <c r="DN30" s="148" t="n"/>
      <c r="EB30" s="148" t="n"/>
      <c r="EC30" s="148" t="n"/>
    </row>
    <row r="31" ht="13.5" customHeight="1" s="147">
      <c r="A31" s="220" t="n">
        <v>27</v>
      </c>
      <c r="B31" s="9">
        <f>IF('MAESTRO 1°'!B31="","",'MAESTRO 1°'!B31)</f>
        <v/>
      </c>
      <c r="C31" s="79" t="n"/>
      <c r="D31" s="80" t="n"/>
      <c r="E31" s="79" t="n"/>
      <c r="F31" s="79" t="n"/>
      <c r="G31" s="79" t="n"/>
      <c r="H31" s="5" t="n"/>
      <c r="I31" s="5" t="n"/>
      <c r="J31" s="5" t="n"/>
      <c r="K31" s="5" t="n"/>
      <c r="L31" s="5" t="n"/>
      <c r="M31" s="5" t="n"/>
      <c r="N31" s="5" t="n"/>
      <c r="O31" s="5" t="n"/>
      <c r="P31" s="5" t="n"/>
      <c r="Q31" s="38" t="n"/>
      <c r="R31" s="80" t="n"/>
      <c r="S31" s="80" t="n"/>
      <c r="T31" s="20" t="n"/>
      <c r="U31" s="20" t="n"/>
      <c r="V31" s="20" t="n"/>
      <c r="W31" s="20" t="n"/>
      <c r="X31" s="20" t="n"/>
      <c r="Y31" s="20" t="n"/>
      <c r="Z31" s="20" t="n"/>
      <c r="AA31" s="20" t="n"/>
      <c r="AB31" s="20" t="n"/>
      <c r="AC31" s="40" t="n"/>
      <c r="AD31" s="40" t="n"/>
      <c r="AE31" s="42">
        <f>IF('MAESTRO 1°'!B31="","",IFERROR(TRUNC(AVERAGE(C31:AD31),1),""))</f>
        <v/>
      </c>
      <c r="AF31" s="220" t="n"/>
      <c r="AG31" s="220" t="n">
        <v>27</v>
      </c>
      <c r="AH31" s="220" t="n">
        <v>27</v>
      </c>
      <c r="AI31" s="220">
        <f>IF('MAESTRO 1°'!B31="","",'MAESTRO 1°'!B31)</f>
        <v/>
      </c>
      <c r="AJ31" s="145" t="n"/>
      <c r="AK31" s="55" t="n"/>
      <c r="AL31" s="55" t="n"/>
      <c r="AM31" s="81" t="n"/>
      <c r="AN31" s="55" t="n"/>
      <c r="AO31" s="55" t="n"/>
      <c r="AP31" s="81" t="n"/>
      <c r="AQ31" s="81" t="n"/>
      <c r="AR31" s="55" t="n"/>
      <c r="AS31" s="55" t="n"/>
      <c r="AT31" s="55" t="n"/>
      <c r="AU31" s="55" t="n"/>
      <c r="AV31" s="55" t="n"/>
      <c r="AW31" s="18" t="n"/>
      <c r="AX31" s="5" t="n"/>
      <c r="AY31" s="20" t="n"/>
      <c r="AZ31" s="82" t="n"/>
      <c r="BA31" s="82" t="n"/>
      <c r="BB31" s="82" t="n"/>
      <c r="BC31" s="82" t="n"/>
      <c r="BD31" s="20" t="n"/>
      <c r="BE31" s="20" t="n"/>
      <c r="BF31" s="20" t="n"/>
      <c r="BG31" s="20" t="n"/>
      <c r="BH31" s="49" t="n"/>
      <c r="BI31" s="5" t="n"/>
      <c r="BJ31" s="20" t="n"/>
      <c r="BK31" s="20" t="n"/>
      <c r="BL31" s="20" t="n"/>
      <c r="BM31" s="5">
        <f>IF('MAESTRO 1°'!B31="","",IFERROR(TRUNC(AVERAGE(AK31:BL31),1),""))</f>
        <v/>
      </c>
      <c r="BN31" s="220" t="n"/>
      <c r="BO31" s="220" t="n">
        <v>27</v>
      </c>
      <c r="BP31" s="220" t="n">
        <v>27</v>
      </c>
      <c r="BQ31" s="220">
        <f>IF('MAESTRO 1°'!B31="","",'MAESTRO 1°'!B31)</f>
        <v/>
      </c>
      <c r="BR31" s="145" t="n"/>
      <c r="BS31" s="5" t="n"/>
      <c r="BT31" s="5" t="n"/>
      <c r="BU31" s="5" t="n"/>
      <c r="BV31" s="5" t="n"/>
      <c r="BW31" s="5" t="n"/>
      <c r="BX31" s="5" t="n"/>
      <c r="BY31" s="5" t="n"/>
      <c r="BZ31" s="5" t="n"/>
      <c r="CA31" s="5" t="n"/>
      <c r="CB31" s="5" t="n"/>
      <c r="CC31" s="5" t="n"/>
      <c r="CD31" s="5" t="n"/>
      <c r="CE31" s="5" t="n"/>
      <c r="CF31" s="5" t="n"/>
      <c r="CG31" s="5" t="n"/>
      <c r="CH31" s="5" t="n"/>
      <c r="CI31" s="5" t="n"/>
      <c r="CJ31" s="5" t="n"/>
      <c r="CK31" s="5" t="n"/>
      <c r="CL31" s="5" t="n"/>
      <c r="CM31" s="5" t="n"/>
      <c r="CN31" s="5" t="n"/>
      <c r="CO31" s="5" t="n"/>
      <c r="CP31" s="5" t="n"/>
      <c r="CQ31" s="5" t="n"/>
      <c r="CR31" s="5" t="n"/>
      <c r="CS31" s="5" t="n"/>
      <c r="CT31" s="5" t="n"/>
      <c r="CU31" s="5">
        <f>IF('MAESTRO 1°'!B31="","",IFERROR(TRUNC(AVERAGE(BS31:CT31),1),""))</f>
        <v/>
      </c>
      <c r="CV31" s="220" t="n"/>
      <c r="CW31" s="92" t="n">
        <v>27</v>
      </c>
      <c r="DA31" s="148" t="n"/>
      <c r="DB31" s="148" t="n"/>
      <c r="DC31" s="148" t="n"/>
      <c r="DD31" s="148" t="n"/>
      <c r="DE31" s="148" t="n"/>
      <c r="DF31" s="148" t="n"/>
      <c r="DG31" s="148" t="n"/>
      <c r="DH31" s="148" t="n"/>
      <c r="DI31" s="148" t="n"/>
      <c r="DJ31" s="148" t="n"/>
      <c r="DK31" s="148" t="n"/>
      <c r="DL31" s="148" t="n"/>
      <c r="DM31" s="148" t="n"/>
      <c r="DN31" s="148" t="n"/>
      <c r="EB31" s="148" t="n"/>
      <c r="EC31" s="148" t="n"/>
    </row>
    <row r="32" ht="13.5" customHeight="1" s="147">
      <c r="A32" s="220" t="n">
        <v>28</v>
      </c>
      <c r="B32" s="9">
        <f>IF('MAESTRO 1°'!B32="","",'MAESTRO 1°'!B32)</f>
        <v/>
      </c>
      <c r="C32" s="79" t="n"/>
      <c r="D32" s="80" t="n"/>
      <c r="E32" s="79" t="n"/>
      <c r="F32" s="79" t="n"/>
      <c r="G32" s="79" t="n"/>
      <c r="H32" s="5" t="n"/>
      <c r="I32" s="5" t="n"/>
      <c r="J32" s="5" t="n"/>
      <c r="K32" s="5" t="n"/>
      <c r="L32" s="5" t="n"/>
      <c r="M32" s="5" t="n"/>
      <c r="N32" s="5" t="n"/>
      <c r="O32" s="5" t="n"/>
      <c r="P32" s="5" t="n"/>
      <c r="Q32" s="38" t="n"/>
      <c r="R32" s="80" t="n"/>
      <c r="S32" s="80" t="n"/>
      <c r="T32" s="20" t="n"/>
      <c r="U32" s="20" t="n"/>
      <c r="V32" s="20" t="n"/>
      <c r="W32" s="20" t="n"/>
      <c r="X32" s="20" t="n"/>
      <c r="Y32" s="20" t="n"/>
      <c r="Z32" s="20" t="n"/>
      <c r="AA32" s="20" t="n"/>
      <c r="AB32" s="20" t="n"/>
      <c r="AC32" s="40" t="n"/>
      <c r="AD32" s="40" t="n"/>
      <c r="AE32" s="42">
        <f>IF('MAESTRO 1°'!B32="","",IFERROR(TRUNC(AVERAGE(C32:AD32),1),""))</f>
        <v/>
      </c>
      <c r="AF32" s="220" t="n"/>
      <c r="AG32" s="220" t="n">
        <v>28</v>
      </c>
      <c r="AH32" s="220" t="n">
        <v>28</v>
      </c>
      <c r="AI32" s="220">
        <f>IF('MAESTRO 1°'!B32="","",'MAESTRO 1°'!B32)</f>
        <v/>
      </c>
      <c r="AJ32" s="145" t="n"/>
      <c r="AK32" s="55" t="n"/>
      <c r="AL32" s="55" t="n"/>
      <c r="AM32" s="81" t="n"/>
      <c r="AN32" s="55" t="n"/>
      <c r="AO32" s="55" t="n"/>
      <c r="AP32" s="81" t="n"/>
      <c r="AQ32" s="81" t="n"/>
      <c r="AR32" s="55" t="n"/>
      <c r="AS32" s="55" t="n"/>
      <c r="AT32" s="55" t="n"/>
      <c r="AU32" s="55" t="n"/>
      <c r="AV32" s="55" t="n"/>
      <c r="AW32" s="18" t="n"/>
      <c r="AX32" s="5" t="n"/>
      <c r="AY32" s="82" t="n"/>
      <c r="AZ32" s="82" t="n"/>
      <c r="BA32" s="82" t="n"/>
      <c r="BB32" s="82" t="n"/>
      <c r="BC32" s="82" t="n"/>
      <c r="BD32" s="20" t="n"/>
      <c r="BE32" s="20" t="n"/>
      <c r="BF32" s="20" t="n"/>
      <c r="BG32" s="20" t="n"/>
      <c r="BH32" s="49" t="n"/>
      <c r="BI32" s="5" t="n"/>
      <c r="BJ32" s="20" t="n"/>
      <c r="BK32" s="20" t="n"/>
      <c r="BL32" s="20" t="n"/>
      <c r="BM32" s="5">
        <f>IF('MAESTRO 1°'!B32="","",IFERROR(TRUNC(AVERAGE(AK32:BL32),1),""))</f>
        <v/>
      </c>
      <c r="BN32" s="220" t="n"/>
      <c r="BO32" s="220" t="n">
        <v>28</v>
      </c>
      <c r="BP32" s="220" t="n">
        <v>28</v>
      </c>
      <c r="BQ32" s="220">
        <f>IF('MAESTRO 1°'!B32="","",'MAESTRO 1°'!B32)</f>
        <v/>
      </c>
      <c r="BR32" s="145" t="n"/>
      <c r="BS32" s="5" t="n"/>
      <c r="BT32" s="5" t="n"/>
      <c r="BU32" s="5" t="n"/>
      <c r="BV32" s="5" t="n"/>
      <c r="BW32" s="5" t="n"/>
      <c r="BX32" s="5" t="n"/>
      <c r="BY32" s="5" t="n"/>
      <c r="BZ32" s="5" t="n"/>
      <c r="CA32" s="5" t="n"/>
      <c r="CB32" s="5" t="n"/>
      <c r="CC32" s="5" t="n"/>
      <c r="CD32" s="5" t="n"/>
      <c r="CE32" s="5" t="n"/>
      <c r="CF32" s="5" t="n"/>
      <c r="CG32" s="5" t="n"/>
      <c r="CH32" s="5" t="n"/>
      <c r="CI32" s="5" t="n"/>
      <c r="CJ32" s="5" t="n"/>
      <c r="CK32" s="5" t="n"/>
      <c r="CL32" s="5" t="n"/>
      <c r="CM32" s="5" t="n"/>
      <c r="CN32" s="5" t="n"/>
      <c r="CO32" s="5" t="n"/>
      <c r="CP32" s="5" t="n"/>
      <c r="CQ32" s="5" t="n"/>
      <c r="CR32" s="5" t="n"/>
      <c r="CS32" s="5" t="n"/>
      <c r="CT32" s="5" t="n"/>
      <c r="CU32" s="5">
        <f>IF('MAESTRO 1°'!B32="","",IFERROR(TRUNC(AVERAGE(BS32:CT32),1),""))</f>
        <v/>
      </c>
      <c r="CV32" s="220" t="n"/>
      <c r="CW32" s="92" t="n">
        <v>28</v>
      </c>
      <c r="DA32" s="148" t="n"/>
      <c r="DB32" s="148" t="n"/>
      <c r="DC32" s="148" t="n"/>
      <c r="DD32" s="148" t="n"/>
      <c r="DE32" s="148" t="n"/>
      <c r="DF32" s="148" t="n"/>
      <c r="DG32" s="148" t="n"/>
      <c r="DH32" s="148" t="n"/>
      <c r="DI32" s="148" t="n"/>
      <c r="DJ32" s="148" t="n"/>
      <c r="DK32" s="148" t="n"/>
      <c r="DL32" s="148" t="n"/>
      <c r="DM32" s="148" t="n"/>
      <c r="DN32" s="148" t="n"/>
      <c r="EB32" s="148" t="n"/>
      <c r="EC32" s="148" t="n"/>
    </row>
    <row r="33" ht="13.5" customHeight="1" s="147">
      <c r="A33" s="220" t="n">
        <v>29</v>
      </c>
      <c r="B33" s="9">
        <f>IF('MAESTRO 1°'!B33="","",'MAESTRO 1°'!B33)</f>
        <v/>
      </c>
      <c r="C33" s="79" t="n"/>
      <c r="D33" s="80" t="n"/>
      <c r="E33" s="79" t="n"/>
      <c r="F33" s="79" t="n"/>
      <c r="G33" s="79" t="n"/>
      <c r="H33" s="5" t="n"/>
      <c r="I33" s="5" t="n"/>
      <c r="J33" s="5" t="n"/>
      <c r="K33" s="5" t="n"/>
      <c r="L33" s="5" t="n"/>
      <c r="M33" s="5" t="n"/>
      <c r="N33" s="5" t="n"/>
      <c r="O33" s="5" t="n"/>
      <c r="P33" s="5" t="n"/>
      <c r="Q33" s="38" t="n"/>
      <c r="R33" s="80" t="n"/>
      <c r="S33" s="80" t="n"/>
      <c r="T33" s="20" t="n"/>
      <c r="U33" s="20" t="n"/>
      <c r="V33" s="20" t="n"/>
      <c r="W33" s="20" t="n"/>
      <c r="X33" s="20" t="n"/>
      <c r="Y33" s="20" t="n"/>
      <c r="Z33" s="20" t="n"/>
      <c r="AA33" s="20" t="n"/>
      <c r="AB33" s="20" t="n"/>
      <c r="AC33" s="40" t="n"/>
      <c r="AD33" s="40" t="n"/>
      <c r="AE33" s="42">
        <f>IF('MAESTRO 1°'!B33="","",IFERROR(TRUNC(AVERAGE(C33:AD33),1),""))</f>
        <v/>
      </c>
      <c r="AF33" s="220" t="n"/>
      <c r="AG33" s="220" t="n">
        <v>29</v>
      </c>
      <c r="AH33" s="220" t="n">
        <v>29</v>
      </c>
      <c r="AI33" s="220">
        <f>IF('MAESTRO 1°'!B33="","",'MAESTRO 1°'!B33)</f>
        <v/>
      </c>
      <c r="AJ33" s="145" t="n"/>
      <c r="AK33" s="55" t="n"/>
      <c r="AL33" s="55" t="n"/>
      <c r="AM33" s="81" t="n"/>
      <c r="AN33" s="55" t="n"/>
      <c r="AO33" s="81" t="n"/>
      <c r="AP33" s="81" t="n"/>
      <c r="AQ33" s="81" t="n"/>
      <c r="AR33" s="55" t="n"/>
      <c r="AS33" s="55" t="n"/>
      <c r="AT33" s="55" t="n"/>
      <c r="AU33" s="55" t="n"/>
      <c r="AV33" s="55" t="n"/>
      <c r="AW33" s="18" t="n"/>
      <c r="AX33" s="5" t="n"/>
      <c r="AY33" s="82" t="n"/>
      <c r="AZ33" s="82" t="n"/>
      <c r="BA33" s="82" t="n"/>
      <c r="BB33" s="82" t="n"/>
      <c r="BC33" s="82" t="n"/>
      <c r="BD33" s="20" t="n"/>
      <c r="BE33" s="20" t="n"/>
      <c r="BF33" s="20" t="n"/>
      <c r="BG33" s="20" t="n"/>
      <c r="BH33" s="49" t="n"/>
      <c r="BI33" s="5" t="n"/>
      <c r="BJ33" s="20" t="n"/>
      <c r="BK33" s="20" t="n"/>
      <c r="BL33" s="20" t="n"/>
      <c r="BM33" s="5">
        <f>IF('MAESTRO 1°'!B33="","",IFERROR(TRUNC(AVERAGE(AK33:BL33),1),""))</f>
        <v/>
      </c>
      <c r="BN33" s="220" t="n"/>
      <c r="BO33" s="220" t="n">
        <v>29</v>
      </c>
      <c r="BP33" s="220" t="n">
        <v>29</v>
      </c>
      <c r="BQ33" s="220">
        <f>IF('MAESTRO 1°'!B33="","",'MAESTRO 1°'!B33)</f>
        <v/>
      </c>
      <c r="BR33" s="145" t="n"/>
      <c r="BS33" s="5" t="n"/>
      <c r="BT33" s="5" t="n"/>
      <c r="BU33" s="5" t="n"/>
      <c r="BV33" s="5" t="n"/>
      <c r="BW33" s="5" t="n"/>
      <c r="BX33" s="5" t="n"/>
      <c r="BY33" s="5" t="n"/>
      <c r="BZ33" s="5" t="n"/>
      <c r="CA33" s="5" t="n"/>
      <c r="CB33" s="5" t="n"/>
      <c r="CC33" s="5" t="n"/>
      <c r="CD33" s="5" t="n"/>
      <c r="CE33" s="5" t="n"/>
      <c r="CF33" s="5" t="n"/>
      <c r="CG33" s="5" t="n"/>
      <c r="CH33" s="5" t="n"/>
      <c r="CI33" s="5" t="n"/>
      <c r="CJ33" s="5" t="n"/>
      <c r="CK33" s="5" t="n"/>
      <c r="CL33" s="5" t="n"/>
      <c r="CM33" s="5" t="n"/>
      <c r="CN33" s="5" t="n"/>
      <c r="CO33" s="5" t="n"/>
      <c r="CP33" s="5" t="n"/>
      <c r="CQ33" s="5" t="n"/>
      <c r="CR33" s="5" t="n"/>
      <c r="CS33" s="5" t="n"/>
      <c r="CT33" s="5" t="n"/>
      <c r="CU33" s="5">
        <f>IF('MAESTRO 1°'!B33="","",IFERROR(TRUNC(AVERAGE(BS33:CT33),1),""))</f>
        <v/>
      </c>
      <c r="CV33" s="220" t="n"/>
      <c r="CW33" s="92" t="n">
        <v>29</v>
      </c>
      <c r="DA33" s="148" t="n"/>
      <c r="DB33" s="148" t="n"/>
      <c r="DC33" s="148" t="n"/>
      <c r="DD33" s="148" t="n"/>
      <c r="DE33" s="148" t="n"/>
      <c r="DF33" s="148" t="n"/>
      <c r="DG33" s="148" t="n"/>
      <c r="DH33" s="148" t="n"/>
      <c r="DI33" s="148" t="n"/>
      <c r="DJ33" s="148" t="n"/>
      <c r="DK33" s="148" t="n"/>
      <c r="DL33" s="148" t="n"/>
      <c r="DM33" s="148" t="n"/>
      <c r="DN33" s="148" t="n"/>
      <c r="EB33" s="148" t="n"/>
      <c r="EC33" s="148" t="n"/>
    </row>
    <row r="34" ht="13.5" customHeight="1" s="147">
      <c r="A34" s="220" t="n">
        <v>30</v>
      </c>
      <c r="B34" s="9">
        <f>IF('MAESTRO 1°'!B34="","",'MAESTRO 1°'!B34)</f>
        <v/>
      </c>
      <c r="C34" s="79" t="n"/>
      <c r="D34" s="80" t="n"/>
      <c r="E34" s="79" t="n"/>
      <c r="F34" s="79" t="n"/>
      <c r="G34" s="79" t="n"/>
      <c r="H34" s="5" t="n"/>
      <c r="I34" s="5" t="n"/>
      <c r="J34" s="5" t="n"/>
      <c r="K34" s="5" t="n"/>
      <c r="L34" s="5" t="n"/>
      <c r="M34" s="5" t="n"/>
      <c r="N34" s="5" t="n"/>
      <c r="O34" s="5" t="n"/>
      <c r="P34" s="5" t="n"/>
      <c r="Q34" s="38" t="n"/>
      <c r="R34" s="80" t="n"/>
      <c r="S34" s="80" t="n"/>
      <c r="T34" s="20" t="n"/>
      <c r="U34" s="20" t="n"/>
      <c r="V34" s="20" t="n"/>
      <c r="W34" s="20" t="n"/>
      <c r="X34" s="20" t="n"/>
      <c r="Y34" s="20" t="n"/>
      <c r="Z34" s="20" t="n"/>
      <c r="AA34" s="20" t="n"/>
      <c r="AB34" s="20" t="n"/>
      <c r="AC34" s="40" t="n"/>
      <c r="AD34" s="40" t="n"/>
      <c r="AE34" s="42">
        <f>IF('MAESTRO 1°'!B34="","",IFERROR(TRUNC(AVERAGE(C34:AD34),1),""))</f>
        <v/>
      </c>
      <c r="AF34" s="220" t="n"/>
      <c r="AG34" s="220" t="n">
        <v>30</v>
      </c>
      <c r="AH34" s="220" t="n">
        <v>30</v>
      </c>
      <c r="AI34" s="220">
        <f>IF('MAESTRO 1°'!B34="","",'MAESTRO 1°'!B34)</f>
        <v/>
      </c>
      <c r="AJ34" s="145" t="n"/>
      <c r="AK34" s="55" t="n"/>
      <c r="AL34" s="55" t="n"/>
      <c r="AM34" s="81" t="n"/>
      <c r="AN34" s="55" t="n"/>
      <c r="AO34" s="81" t="n"/>
      <c r="AP34" s="81" t="n"/>
      <c r="AQ34" s="81" t="n"/>
      <c r="AR34" s="55" t="n"/>
      <c r="AS34" s="55" t="n"/>
      <c r="AT34" s="55" t="n"/>
      <c r="AU34" s="55" t="n"/>
      <c r="AV34" s="55" t="n"/>
      <c r="AW34" s="18" t="n"/>
      <c r="AX34" s="5" t="n"/>
      <c r="AY34" s="82" t="n"/>
      <c r="AZ34" s="82" t="n"/>
      <c r="BA34" s="82" t="n"/>
      <c r="BB34" s="82" t="n"/>
      <c r="BC34" s="82" t="n"/>
      <c r="BD34" s="20" t="n"/>
      <c r="BE34" s="20" t="n"/>
      <c r="BF34" s="20" t="n"/>
      <c r="BG34" s="20" t="n"/>
      <c r="BH34" s="49" t="n"/>
      <c r="BI34" s="5" t="n"/>
      <c r="BJ34" s="20" t="n"/>
      <c r="BK34" s="20" t="n"/>
      <c r="BL34" s="20" t="n"/>
      <c r="BM34" s="5">
        <f>IF('MAESTRO 1°'!B34="","",IFERROR(TRUNC(AVERAGE(AK34:BL34),1),""))</f>
        <v/>
      </c>
      <c r="BN34" s="220" t="n"/>
      <c r="BO34" s="220" t="n">
        <v>30</v>
      </c>
      <c r="BP34" s="220" t="n">
        <v>30</v>
      </c>
      <c r="BQ34" s="220">
        <f>IF('MAESTRO 1°'!B34="","",'MAESTRO 1°'!B34)</f>
        <v/>
      </c>
      <c r="BR34" s="145" t="n"/>
      <c r="BS34" s="5" t="n"/>
      <c r="BT34" s="5" t="n"/>
      <c r="BU34" s="5" t="n"/>
      <c r="BV34" s="5" t="n"/>
      <c r="BW34" s="5" t="n"/>
      <c r="BX34" s="5" t="n"/>
      <c r="BY34" s="5" t="n"/>
      <c r="BZ34" s="5" t="n"/>
      <c r="CA34" s="5" t="n"/>
      <c r="CB34" s="5" t="n"/>
      <c r="CC34" s="5" t="n"/>
      <c r="CD34" s="5" t="n"/>
      <c r="CE34" s="5" t="n"/>
      <c r="CF34" s="5" t="n"/>
      <c r="CG34" s="5" t="n"/>
      <c r="CH34" s="5" t="n"/>
      <c r="CI34" s="5" t="n"/>
      <c r="CJ34" s="5" t="n"/>
      <c r="CK34" s="5" t="n"/>
      <c r="CL34" s="5" t="n"/>
      <c r="CM34" s="5" t="n"/>
      <c r="CN34" s="5" t="n"/>
      <c r="CO34" s="5" t="n"/>
      <c r="CP34" s="5" t="n"/>
      <c r="CQ34" s="5" t="n"/>
      <c r="CR34" s="5" t="n"/>
      <c r="CS34" s="5" t="n"/>
      <c r="CT34" s="5" t="n"/>
      <c r="CU34" s="5">
        <f>IF('MAESTRO 1°'!B34="","",IFERROR(TRUNC(AVERAGE(BS34:CT34),1),""))</f>
        <v/>
      </c>
      <c r="CV34" s="220" t="n"/>
      <c r="CW34" s="92" t="n">
        <v>30</v>
      </c>
      <c r="DA34" s="148" t="n"/>
      <c r="DB34" s="148" t="n"/>
      <c r="DC34" s="148" t="n"/>
      <c r="DD34" s="148" t="n"/>
      <c r="DE34" s="148" t="n"/>
      <c r="DF34" s="148" t="n"/>
      <c r="DG34" s="148" t="n"/>
      <c r="DH34" s="148" t="n"/>
      <c r="DI34" s="148" t="n"/>
      <c r="DJ34" s="148" t="n"/>
      <c r="DK34" s="148" t="n"/>
      <c r="DL34" s="148" t="n"/>
      <c r="DM34" s="148" t="n"/>
      <c r="DN34" s="148" t="n"/>
      <c r="EB34" s="148" t="n"/>
      <c r="EC34" s="148" t="n"/>
    </row>
    <row r="35" ht="13.5" customHeight="1" s="147">
      <c r="A35" s="220" t="n">
        <v>31</v>
      </c>
      <c r="B35" s="9">
        <f>IF('MAESTRO 1°'!B35="","",'MAESTRO 1°'!B35)</f>
        <v/>
      </c>
      <c r="C35" s="79" t="n"/>
      <c r="D35" s="80" t="n"/>
      <c r="E35" s="79" t="n"/>
      <c r="F35" s="79" t="n"/>
      <c r="G35" s="79" t="n"/>
      <c r="H35" s="5" t="n"/>
      <c r="I35" s="5" t="n"/>
      <c r="J35" s="5" t="n"/>
      <c r="K35" s="5" t="n"/>
      <c r="L35" s="5" t="n"/>
      <c r="M35" s="5" t="n"/>
      <c r="N35" s="5" t="n"/>
      <c r="O35" s="5" t="n"/>
      <c r="P35" s="5" t="n"/>
      <c r="Q35" s="38" t="n"/>
      <c r="R35" s="80" t="n"/>
      <c r="S35" s="80" t="n"/>
      <c r="T35" s="20" t="n"/>
      <c r="U35" s="20" t="n"/>
      <c r="V35" s="20" t="n"/>
      <c r="W35" s="20" t="n"/>
      <c r="X35" s="20" t="n"/>
      <c r="Y35" s="20" t="n"/>
      <c r="Z35" s="20" t="n"/>
      <c r="AA35" s="20" t="n"/>
      <c r="AB35" s="20" t="n"/>
      <c r="AC35" s="40" t="n"/>
      <c r="AD35" s="40" t="n"/>
      <c r="AE35" s="42">
        <f>IF('MAESTRO 1°'!B35="","",IFERROR(TRUNC(AVERAGE(C35:AD35),1),""))</f>
        <v/>
      </c>
      <c r="AF35" s="220" t="n"/>
      <c r="AG35" s="220" t="n">
        <v>31</v>
      </c>
      <c r="AH35" s="220" t="n">
        <v>31</v>
      </c>
      <c r="AI35" s="220">
        <f>IF('MAESTRO 1°'!B35="","",'MAESTRO 1°'!B35)</f>
        <v/>
      </c>
      <c r="AJ35" s="145" t="n"/>
      <c r="AK35" s="55" t="n"/>
      <c r="AL35" s="55" t="n"/>
      <c r="AM35" s="81" t="n"/>
      <c r="AN35" s="81" t="n"/>
      <c r="AO35" s="81" t="n"/>
      <c r="AP35" s="81" t="n"/>
      <c r="AQ35" s="81" t="n"/>
      <c r="AR35" s="55" t="n"/>
      <c r="AS35" s="55" t="n"/>
      <c r="AT35" s="55" t="n"/>
      <c r="AU35" s="55" t="n"/>
      <c r="AV35" s="55" t="n"/>
      <c r="AW35" s="18" t="n"/>
      <c r="AX35" s="5" t="n"/>
      <c r="AY35" s="82" t="n"/>
      <c r="AZ35" s="82" t="n"/>
      <c r="BA35" s="82" t="n"/>
      <c r="BB35" s="82" t="n"/>
      <c r="BC35" s="82" t="n"/>
      <c r="BD35" s="20" t="n"/>
      <c r="BE35" s="20" t="n"/>
      <c r="BF35" s="20" t="n"/>
      <c r="BG35" s="20" t="n"/>
      <c r="BH35" s="49" t="n"/>
      <c r="BI35" s="5" t="n"/>
      <c r="BJ35" s="20" t="n"/>
      <c r="BK35" s="20" t="n"/>
      <c r="BL35" s="20" t="n"/>
      <c r="BM35" s="5">
        <f>IF('MAESTRO 1°'!B35="","",IFERROR(TRUNC(AVERAGE(AK35:BL35),1),""))</f>
        <v/>
      </c>
      <c r="BN35" s="220" t="n"/>
      <c r="BO35" s="220" t="n">
        <v>31</v>
      </c>
      <c r="BP35" s="220" t="n">
        <v>31</v>
      </c>
      <c r="BQ35" s="220">
        <f>IF('MAESTRO 1°'!B35="","",'MAESTRO 1°'!B35)</f>
        <v/>
      </c>
      <c r="BR35" s="145" t="n"/>
      <c r="BS35" s="5" t="n"/>
      <c r="BT35" s="5" t="n"/>
      <c r="BU35" s="5" t="n"/>
      <c r="BV35" s="5" t="n"/>
      <c r="BW35" s="5" t="n"/>
      <c r="BX35" s="5" t="n"/>
      <c r="BY35" s="5" t="n"/>
      <c r="BZ35" s="5" t="n"/>
      <c r="CA35" s="5" t="n"/>
      <c r="CB35" s="5" t="n"/>
      <c r="CC35" s="5" t="n"/>
      <c r="CD35" s="5" t="n"/>
      <c r="CE35" s="5" t="n"/>
      <c r="CF35" s="5" t="n"/>
      <c r="CG35" s="5" t="n"/>
      <c r="CH35" s="5" t="n"/>
      <c r="CI35" s="5" t="n"/>
      <c r="CJ35" s="5" t="n"/>
      <c r="CK35" s="5" t="n"/>
      <c r="CL35" s="5" t="n"/>
      <c r="CM35" s="5" t="n"/>
      <c r="CN35" s="5" t="n"/>
      <c r="CO35" s="5" t="n"/>
      <c r="CP35" s="5" t="n"/>
      <c r="CQ35" s="5" t="n"/>
      <c r="CR35" s="5" t="n"/>
      <c r="CS35" s="5" t="n"/>
      <c r="CT35" s="5" t="n"/>
      <c r="CU35" s="5">
        <f>IF('MAESTRO 1°'!B35="","",IFERROR(TRUNC(AVERAGE(BS35:CT35),1),""))</f>
        <v/>
      </c>
      <c r="CV35" s="220" t="n"/>
      <c r="CW35" s="92" t="n">
        <v>31</v>
      </c>
      <c r="DA35" s="148" t="n"/>
      <c r="DB35" s="148" t="n"/>
      <c r="DC35" s="148" t="n"/>
      <c r="DD35" s="148" t="n"/>
      <c r="DE35" s="148" t="n"/>
      <c r="DF35" s="148" t="n"/>
      <c r="DG35" s="148" t="n"/>
      <c r="DH35" s="148" t="n"/>
      <c r="DI35" s="148" t="n"/>
      <c r="DJ35" s="148" t="n"/>
      <c r="DK35" s="148" t="n"/>
      <c r="DL35" s="148" t="n"/>
      <c r="DM35" s="148" t="n"/>
      <c r="DN35" s="148" t="n"/>
      <c r="EB35" s="148" t="n"/>
      <c r="EC35" s="148" t="n"/>
    </row>
    <row r="36" ht="13.5" customHeight="1" s="147">
      <c r="A36" s="220" t="n">
        <v>32</v>
      </c>
      <c r="B36" s="9">
        <f>IF('MAESTRO 1°'!B36="","",'MAESTRO 1°'!B36)</f>
        <v/>
      </c>
      <c r="C36" s="79" t="n"/>
      <c r="D36" s="80" t="n"/>
      <c r="E36" s="79" t="n"/>
      <c r="F36" s="79" t="n"/>
      <c r="G36" s="79" t="n"/>
      <c r="H36" s="5" t="n"/>
      <c r="I36" s="5" t="n"/>
      <c r="J36" s="5" t="n"/>
      <c r="K36" s="5" t="n"/>
      <c r="L36" s="5" t="n"/>
      <c r="M36" s="5" t="n"/>
      <c r="N36" s="5" t="n"/>
      <c r="O36" s="5" t="n"/>
      <c r="P36" s="5" t="n"/>
      <c r="Q36" s="38" t="n"/>
      <c r="R36" s="80" t="n"/>
      <c r="S36" s="80" t="n"/>
      <c r="T36" s="20" t="n"/>
      <c r="U36" s="20" t="n"/>
      <c r="V36" s="20" t="n"/>
      <c r="W36" s="20" t="n"/>
      <c r="X36" s="20" t="n"/>
      <c r="Y36" s="20" t="n"/>
      <c r="Z36" s="20" t="n"/>
      <c r="AA36" s="20" t="n"/>
      <c r="AB36" s="20" t="n"/>
      <c r="AC36" s="40" t="n"/>
      <c r="AD36" s="40" t="n"/>
      <c r="AE36" s="42">
        <f>IF('MAESTRO 1°'!B36="","",IFERROR(TRUNC(AVERAGE(C36:AD36),1),""))</f>
        <v/>
      </c>
      <c r="AF36" s="220" t="n"/>
      <c r="AG36" s="220" t="n">
        <v>32</v>
      </c>
      <c r="AH36" s="220" t="n">
        <v>32</v>
      </c>
      <c r="AI36" s="220">
        <f>IF('MAESTRO 1°'!B36="","",'MAESTRO 1°'!B36)</f>
        <v/>
      </c>
      <c r="AJ36" s="145" t="n"/>
      <c r="AK36" s="81" t="n"/>
      <c r="AL36" s="81" t="n"/>
      <c r="AM36" s="81" t="n"/>
      <c r="AN36" s="81" t="n"/>
      <c r="AO36" s="81" t="n"/>
      <c r="AP36" s="81" t="n"/>
      <c r="AQ36" s="81" t="n"/>
      <c r="AR36" s="55" t="n"/>
      <c r="AS36" s="55" t="n"/>
      <c r="AT36" s="55" t="n"/>
      <c r="AU36" s="55" t="n"/>
      <c r="AV36" s="55" t="n"/>
      <c r="AW36" s="18" t="n"/>
      <c r="AX36" s="5" t="n"/>
      <c r="AY36" s="82" t="n"/>
      <c r="AZ36" s="82" t="n"/>
      <c r="BA36" s="82" t="n"/>
      <c r="BB36" s="82" t="n"/>
      <c r="BC36" s="82" t="n"/>
      <c r="BD36" s="20" t="n"/>
      <c r="BE36" s="20" t="n"/>
      <c r="BF36" s="20" t="n"/>
      <c r="BG36" s="20" t="n"/>
      <c r="BH36" s="49" t="n"/>
      <c r="BI36" s="5" t="n"/>
      <c r="BJ36" s="20" t="n"/>
      <c r="BK36" s="20" t="n"/>
      <c r="BL36" s="20" t="n"/>
      <c r="BM36" s="5">
        <f>IF('MAESTRO 1°'!B36="","",IFERROR(TRUNC(AVERAGE(AK36:BL36),1),""))</f>
        <v/>
      </c>
      <c r="BN36" s="220" t="n"/>
      <c r="BO36" s="220" t="n">
        <v>32</v>
      </c>
      <c r="BP36" s="220" t="n">
        <v>32</v>
      </c>
      <c r="BQ36" s="220">
        <f>IF('MAESTRO 1°'!B36="","",'MAESTRO 1°'!B36)</f>
        <v/>
      </c>
      <c r="BR36" s="145" t="n"/>
      <c r="BS36" s="5" t="n"/>
      <c r="BT36" s="5" t="n"/>
      <c r="BU36" s="5" t="n"/>
      <c r="BV36" s="5" t="n"/>
      <c r="BW36" s="5" t="n"/>
      <c r="BX36" s="5" t="n"/>
      <c r="BY36" s="5" t="n"/>
      <c r="BZ36" s="5" t="n"/>
      <c r="CA36" s="5" t="n"/>
      <c r="CB36" s="5" t="n"/>
      <c r="CC36" s="5" t="n"/>
      <c r="CD36" s="5" t="n"/>
      <c r="CE36" s="5" t="n"/>
      <c r="CF36" s="5" t="n"/>
      <c r="CG36" s="5" t="n"/>
      <c r="CH36" s="5" t="n"/>
      <c r="CI36" s="5" t="n"/>
      <c r="CJ36" s="5" t="n"/>
      <c r="CK36" s="5" t="n"/>
      <c r="CL36" s="5" t="n"/>
      <c r="CM36" s="5" t="n"/>
      <c r="CN36" s="5" t="n"/>
      <c r="CO36" s="5" t="n"/>
      <c r="CP36" s="5" t="n"/>
      <c r="CQ36" s="5" t="n"/>
      <c r="CR36" s="5" t="n"/>
      <c r="CS36" s="5" t="n"/>
      <c r="CT36" s="5" t="n"/>
      <c r="CU36" s="5">
        <f>IF('MAESTRO 1°'!B36="","",IFERROR(TRUNC(AVERAGE(BS36:CT36),1),""))</f>
        <v/>
      </c>
      <c r="CV36" s="220" t="n"/>
      <c r="CW36" s="92" t="n">
        <v>32</v>
      </c>
      <c r="DA36" s="148" t="n"/>
      <c r="DB36" s="148" t="n"/>
      <c r="DC36" s="148" t="n"/>
      <c r="DD36" s="148" t="n"/>
      <c r="DE36" s="148" t="n"/>
      <c r="DF36" s="148" t="n"/>
      <c r="DG36" s="148" t="n"/>
      <c r="DH36" s="148" t="n"/>
      <c r="DI36" s="148" t="n"/>
      <c r="DJ36" s="148" t="n"/>
      <c r="DK36" s="148" t="n"/>
      <c r="DL36" s="148" t="n"/>
      <c r="DM36" s="148" t="n"/>
      <c r="DN36" s="148" t="n"/>
      <c r="EB36" s="148" t="n"/>
      <c r="EC36" s="148" t="n"/>
    </row>
    <row r="37" ht="13.5" customHeight="1" s="147">
      <c r="A37" s="220" t="n">
        <v>33</v>
      </c>
      <c r="B37" s="9">
        <f>IF('MAESTRO 1°'!B37="","",'MAESTRO 1°'!B37)</f>
        <v/>
      </c>
      <c r="C37" s="79" t="n"/>
      <c r="D37" s="80" t="n"/>
      <c r="E37" s="79" t="n"/>
      <c r="F37" s="79" t="n"/>
      <c r="G37" s="79" t="n"/>
      <c r="H37" s="5" t="n"/>
      <c r="I37" s="5" t="n"/>
      <c r="J37" s="5" t="n"/>
      <c r="K37" s="5" t="n"/>
      <c r="L37" s="5" t="n"/>
      <c r="M37" s="5" t="n"/>
      <c r="N37" s="5" t="n"/>
      <c r="O37" s="5" t="n"/>
      <c r="P37" s="5" t="n"/>
      <c r="Q37" s="38" t="n"/>
      <c r="R37" s="80" t="n"/>
      <c r="S37" s="80" t="n"/>
      <c r="T37" s="20" t="n"/>
      <c r="U37" s="20" t="n"/>
      <c r="V37" s="20" t="n"/>
      <c r="W37" s="20" t="n"/>
      <c r="X37" s="20" t="n"/>
      <c r="Y37" s="20" t="n"/>
      <c r="Z37" s="20" t="n"/>
      <c r="AA37" s="20" t="n"/>
      <c r="AB37" s="20" t="n"/>
      <c r="AC37" s="40" t="n"/>
      <c r="AD37" s="40" t="n"/>
      <c r="AE37" s="42">
        <f>IF('MAESTRO 1°'!B37="","",IFERROR(TRUNC(AVERAGE(C37:AD37),1),""))</f>
        <v/>
      </c>
      <c r="AF37" s="220" t="n"/>
      <c r="AG37" s="220" t="n">
        <v>33</v>
      </c>
      <c r="AH37" s="220" t="n">
        <v>33</v>
      </c>
      <c r="AI37" s="220">
        <f>IF('MAESTRO 1°'!B37="","",'MAESTRO 1°'!B37)</f>
        <v/>
      </c>
      <c r="AJ37" s="145" t="n"/>
      <c r="AK37" s="81" t="n"/>
      <c r="AL37" s="81" t="n"/>
      <c r="AM37" s="81" t="n"/>
      <c r="AN37" s="81" t="n"/>
      <c r="AO37" s="81" t="n"/>
      <c r="AP37" s="81" t="n"/>
      <c r="AQ37" s="81" t="n"/>
      <c r="AR37" s="55" t="n"/>
      <c r="AS37" s="55" t="n"/>
      <c r="AT37" s="55" t="n"/>
      <c r="AU37" s="55" t="n"/>
      <c r="AV37" s="55" t="n"/>
      <c r="AW37" s="18" t="n"/>
      <c r="AX37" s="5" t="n"/>
      <c r="AY37" s="82" t="n"/>
      <c r="AZ37" s="82" t="n"/>
      <c r="BA37" s="82" t="n"/>
      <c r="BB37" s="82" t="n"/>
      <c r="BC37" s="82" t="n"/>
      <c r="BD37" s="20" t="n"/>
      <c r="BE37" s="20" t="n"/>
      <c r="BF37" s="20" t="n"/>
      <c r="BG37" s="20" t="n"/>
      <c r="BH37" s="49" t="n"/>
      <c r="BI37" s="5" t="n"/>
      <c r="BJ37" s="20" t="n"/>
      <c r="BK37" s="20" t="n"/>
      <c r="BL37" s="20" t="n"/>
      <c r="BM37" s="5">
        <f>IF('MAESTRO 1°'!B37="","",IFERROR(TRUNC(AVERAGE(AK37:BL37),1),""))</f>
        <v/>
      </c>
      <c r="BN37" s="220" t="n"/>
      <c r="BO37" s="220" t="n">
        <v>33</v>
      </c>
      <c r="BP37" s="220" t="n">
        <v>33</v>
      </c>
      <c r="BQ37" s="220">
        <f>IF('MAESTRO 1°'!B37="","",'MAESTRO 1°'!B37)</f>
        <v/>
      </c>
      <c r="BR37" s="145" t="n"/>
      <c r="BS37" s="5" t="n"/>
      <c r="BT37" s="5" t="n"/>
      <c r="BU37" s="5" t="n"/>
      <c r="BV37" s="5" t="n"/>
      <c r="BW37" s="5" t="n"/>
      <c r="BX37" s="5" t="n"/>
      <c r="BY37" s="5" t="n"/>
      <c r="BZ37" s="5" t="n"/>
      <c r="CA37" s="5" t="n"/>
      <c r="CB37" s="5" t="n"/>
      <c r="CC37" s="5" t="n"/>
      <c r="CD37" s="5" t="n"/>
      <c r="CE37" s="5" t="n"/>
      <c r="CF37" s="5" t="n"/>
      <c r="CG37" s="5" t="n"/>
      <c r="CH37" s="5" t="n"/>
      <c r="CI37" s="5" t="n"/>
      <c r="CJ37" s="5" t="n"/>
      <c r="CK37" s="5" t="n"/>
      <c r="CL37" s="5" t="n"/>
      <c r="CM37" s="5" t="n"/>
      <c r="CN37" s="5" t="n"/>
      <c r="CO37" s="5" t="n"/>
      <c r="CP37" s="5" t="n"/>
      <c r="CQ37" s="5" t="n"/>
      <c r="CR37" s="5" t="n"/>
      <c r="CS37" s="5" t="n"/>
      <c r="CT37" s="5" t="n"/>
      <c r="CU37" s="5">
        <f>IF('MAESTRO 1°'!B37="","",IFERROR(TRUNC(AVERAGE(BS37:CT37),1),""))</f>
        <v/>
      </c>
      <c r="CV37" s="220" t="n"/>
      <c r="CW37" s="92" t="n">
        <v>33</v>
      </c>
      <c r="DA37" s="148" t="n"/>
      <c r="DB37" s="148" t="n"/>
      <c r="DC37" s="148" t="n"/>
      <c r="DD37" s="148" t="n"/>
      <c r="DE37" s="148" t="n"/>
      <c r="DF37" s="148" t="n"/>
      <c r="DG37" s="148" t="n"/>
      <c r="DH37" s="148" t="n"/>
      <c r="DI37" s="148" t="n"/>
      <c r="DJ37" s="148" t="n"/>
      <c r="DK37" s="148" t="n"/>
      <c r="DL37" s="148" t="n"/>
      <c r="DM37" s="148" t="n"/>
      <c r="DN37" s="148" t="n"/>
      <c r="EB37" s="148" t="n"/>
      <c r="EC37" s="148" t="n"/>
    </row>
    <row r="38" ht="13.5" customHeight="1" s="147">
      <c r="A38" s="220" t="n">
        <v>34</v>
      </c>
      <c r="B38" s="9">
        <f>IF('MAESTRO 1°'!B38="","",'MAESTRO 1°'!B38)</f>
        <v/>
      </c>
      <c r="C38" s="79" t="n"/>
      <c r="D38" s="80" t="n"/>
      <c r="E38" s="79" t="n"/>
      <c r="F38" s="79" t="n"/>
      <c r="G38" s="79" t="n"/>
      <c r="H38" s="5" t="n"/>
      <c r="I38" s="5" t="n"/>
      <c r="J38" s="5" t="n"/>
      <c r="K38" s="5" t="n"/>
      <c r="L38" s="5" t="n"/>
      <c r="M38" s="5" t="n"/>
      <c r="N38" s="5" t="n"/>
      <c r="O38" s="5" t="n"/>
      <c r="P38" s="5" t="n"/>
      <c r="Q38" s="38" t="n"/>
      <c r="R38" s="80" t="n"/>
      <c r="S38" s="80" t="n"/>
      <c r="T38" s="20" t="n"/>
      <c r="U38" s="20" t="n"/>
      <c r="V38" s="20" t="n"/>
      <c r="W38" s="20" t="n"/>
      <c r="X38" s="20" t="n"/>
      <c r="Y38" s="20" t="n"/>
      <c r="Z38" s="20" t="n"/>
      <c r="AA38" s="20" t="n"/>
      <c r="AB38" s="20" t="n"/>
      <c r="AC38" s="40" t="n"/>
      <c r="AD38" s="40" t="n"/>
      <c r="AE38" s="42">
        <f>IF('MAESTRO 1°'!B38="","",IFERROR(TRUNC(AVERAGE(C38:AD38),1),""))</f>
        <v/>
      </c>
      <c r="AF38" s="220" t="n"/>
      <c r="AG38" s="220" t="n">
        <v>34</v>
      </c>
      <c r="AH38" s="220" t="n">
        <v>34</v>
      </c>
      <c r="AI38" s="220">
        <f>IF('MAESTRO 1°'!B38="","",'MAESTRO 1°'!B38)</f>
        <v/>
      </c>
      <c r="AJ38" s="145" t="n"/>
      <c r="AK38" s="81" t="n"/>
      <c r="AL38" s="81" t="n"/>
      <c r="AM38" s="81" t="n"/>
      <c r="AN38" s="81" t="n"/>
      <c r="AO38" s="81" t="n"/>
      <c r="AP38" s="81" t="n"/>
      <c r="AQ38" s="81" t="n"/>
      <c r="AR38" s="55" t="n"/>
      <c r="AS38" s="55" t="n"/>
      <c r="AT38" s="55" t="n"/>
      <c r="AU38" s="55" t="n"/>
      <c r="AV38" s="55" t="n"/>
      <c r="AW38" s="18" t="n"/>
      <c r="AX38" s="5" t="n"/>
      <c r="AY38" s="82" t="n"/>
      <c r="AZ38" s="82" t="n"/>
      <c r="BA38" s="82" t="n"/>
      <c r="BB38" s="82" t="n"/>
      <c r="BC38" s="82" t="n"/>
      <c r="BD38" s="20" t="n"/>
      <c r="BE38" s="20" t="n"/>
      <c r="BF38" s="20" t="n"/>
      <c r="BG38" s="20" t="n"/>
      <c r="BH38" s="49" t="n"/>
      <c r="BI38" s="5" t="n"/>
      <c r="BJ38" s="20" t="n"/>
      <c r="BK38" s="20" t="n"/>
      <c r="BL38" s="20" t="n"/>
      <c r="BM38" s="5">
        <f>IF('MAESTRO 1°'!B38="","",IFERROR(TRUNC(AVERAGE(AK38:BL38),1),""))</f>
        <v/>
      </c>
      <c r="BN38" s="220" t="n"/>
      <c r="BO38" s="220" t="n">
        <v>34</v>
      </c>
      <c r="BP38" s="220" t="n">
        <v>34</v>
      </c>
      <c r="BQ38" s="220">
        <f>IF('MAESTRO 1°'!B38="","",'MAESTRO 1°'!B38)</f>
        <v/>
      </c>
      <c r="BR38" s="145" t="n"/>
      <c r="BS38" s="5" t="n"/>
      <c r="BT38" s="5" t="n"/>
      <c r="BU38" s="5" t="n"/>
      <c r="BV38" s="5" t="n"/>
      <c r="BW38" s="5" t="n"/>
      <c r="BX38" s="5" t="n"/>
      <c r="BY38" s="5" t="n"/>
      <c r="BZ38" s="5" t="n"/>
      <c r="CA38" s="5" t="n"/>
      <c r="CB38" s="5" t="n"/>
      <c r="CC38" s="5" t="n"/>
      <c r="CD38" s="5" t="n"/>
      <c r="CE38" s="5" t="n"/>
      <c r="CF38" s="5" t="n"/>
      <c r="CG38" s="5" t="n"/>
      <c r="CH38" s="5" t="n"/>
      <c r="CI38" s="5" t="n"/>
      <c r="CJ38" s="5" t="n"/>
      <c r="CK38" s="5" t="n"/>
      <c r="CL38" s="5" t="n"/>
      <c r="CM38" s="5" t="n"/>
      <c r="CN38" s="5" t="n"/>
      <c r="CO38" s="5" t="n"/>
      <c r="CP38" s="5" t="n"/>
      <c r="CQ38" s="5" t="n"/>
      <c r="CR38" s="5" t="n"/>
      <c r="CS38" s="5" t="n"/>
      <c r="CT38" s="5" t="n"/>
      <c r="CU38" s="5">
        <f>IF('MAESTRO 1°'!B38="","",IFERROR(TRUNC(AVERAGE(BS38:CT38),1),""))</f>
        <v/>
      </c>
      <c r="CV38" s="220" t="n"/>
      <c r="CW38" s="92" t="n">
        <v>34</v>
      </c>
      <c r="DA38" s="148" t="n"/>
      <c r="DB38" s="148" t="n"/>
      <c r="DC38" s="148" t="n"/>
      <c r="DD38" s="148" t="n"/>
      <c r="DE38" s="148" t="n"/>
      <c r="DF38" s="148" t="n"/>
      <c r="DG38" s="148" t="n"/>
      <c r="DH38" s="148" t="n"/>
      <c r="DI38" s="148" t="n"/>
      <c r="DJ38" s="148" t="n"/>
      <c r="DK38" s="148" t="n"/>
      <c r="DL38" s="148" t="n"/>
      <c r="DM38" s="148" t="n"/>
      <c r="DN38" s="148" t="n"/>
      <c r="EB38" s="148" t="n"/>
      <c r="EC38" s="148" t="n"/>
    </row>
    <row r="39" ht="13.5" customHeight="1" s="147">
      <c r="A39" s="220" t="n">
        <v>35</v>
      </c>
      <c r="B39" s="9">
        <f>IF('MAESTRO 1°'!B39="","",'MAESTRO 1°'!B39)</f>
        <v/>
      </c>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c r="AA39" s="96" t="n"/>
      <c r="AB39" s="96" t="n"/>
      <c r="AC39" s="96" t="n"/>
      <c r="AD39" s="96" t="n"/>
      <c r="AE39" s="42">
        <f>IF('MAESTRO 1°'!B39="","",IFERROR(TRUNC(AVERAGE(C39:AD39),1),""))</f>
        <v/>
      </c>
      <c r="AF39" s="220" t="n"/>
      <c r="AG39" s="220" t="n">
        <v>35</v>
      </c>
      <c r="AH39" s="220" t="n">
        <v>35</v>
      </c>
      <c r="AI39" s="220">
        <f>IF('MAESTRO 1°'!B39="","",'MAESTRO 1°'!B39)</f>
        <v/>
      </c>
      <c r="AJ39" s="145" t="n"/>
      <c r="AK39" s="97" t="inlineStr">
        <is>
          <t>Actividad 37</t>
        </is>
      </c>
      <c r="AL39" s="97" t="inlineStr">
        <is>
          <t>Actividad 38</t>
        </is>
      </c>
      <c r="AM39" s="97" t="inlineStr">
        <is>
          <t>Actividad 39</t>
        </is>
      </c>
      <c r="AN39" s="97" t="n"/>
      <c r="AO39" s="97" t="n"/>
      <c r="AP39" s="97" t="n"/>
      <c r="AQ39" s="97" t="n"/>
      <c r="AR39" s="97" t="n"/>
      <c r="AS39" s="97" t="n"/>
      <c r="AT39" s="97" t="n"/>
      <c r="AU39" s="97" t="n"/>
      <c r="AV39" s="97" t="n"/>
      <c r="AW39" s="97" t="n"/>
      <c r="AX39" s="97" t="n"/>
      <c r="AY39" s="97" t="inlineStr">
        <is>
          <t>Actividad 51</t>
        </is>
      </c>
      <c r="AZ39" s="97" t="inlineStr">
        <is>
          <t>Actividad 52</t>
        </is>
      </c>
      <c r="BA39" s="97" t="inlineStr">
        <is>
          <t>Actividad 53</t>
        </is>
      </c>
      <c r="BB39" s="97" t="n"/>
      <c r="BC39" s="97" t="n"/>
      <c r="BD39" s="97" t="n"/>
      <c r="BE39" s="97" t="n"/>
      <c r="BF39" s="97" t="n"/>
      <c r="BG39" s="97" t="n"/>
      <c r="BH39" s="97" t="n"/>
      <c r="BI39" s="97" t="n"/>
      <c r="BJ39" s="97" t="n"/>
      <c r="BK39" s="97" t="n"/>
      <c r="BL39" s="97" t="n"/>
      <c r="BM39" s="5">
        <f>IF('MAESTRO 1°'!B39="","",IFERROR(TRUNC(AVERAGE(AK39:BL39),1),""))</f>
        <v/>
      </c>
      <c r="BN39" s="220" t="n"/>
      <c r="BO39" s="220" t="n">
        <v>35</v>
      </c>
      <c r="BP39" s="220" t="n">
        <v>35</v>
      </c>
      <c r="BQ39" s="220">
        <f>IF('MAESTRO 1°'!B39="","",'MAESTRO 1°'!B39)</f>
        <v/>
      </c>
      <c r="BR39" s="145" t="n"/>
      <c r="BS39" s="5" t="inlineStr">
        <is>
          <t>Actividad 71</t>
        </is>
      </c>
      <c r="BT39" s="5" t="inlineStr">
        <is>
          <t>Actividad 72</t>
        </is>
      </c>
      <c r="BU39" s="5" t="inlineStr">
        <is>
          <t>Actividad 73</t>
        </is>
      </c>
      <c r="BV39" s="5" t="n"/>
      <c r="BW39" s="5" t="n"/>
      <c r="BX39" s="5" t="n"/>
      <c r="BY39" s="5" t="n"/>
      <c r="BZ39" s="5" t="n"/>
      <c r="CA39" s="5" t="n"/>
      <c r="CB39" s="5" t="n"/>
      <c r="CC39" s="5" t="n"/>
      <c r="CD39" s="5" t="n"/>
      <c r="CE39" s="5" t="n"/>
      <c r="CF39" s="5" t="n"/>
      <c r="CG39" s="5" t="inlineStr">
        <is>
          <t>Actividad 85</t>
        </is>
      </c>
      <c r="CH39" s="5" t="inlineStr">
        <is>
          <t>Actividad 86</t>
        </is>
      </c>
      <c r="CI39" s="5" t="inlineStr">
        <is>
          <t>Actividad 87</t>
        </is>
      </c>
      <c r="CJ39" s="5" t="n"/>
      <c r="CK39" s="5" t="n"/>
      <c r="CL39" s="5" t="n"/>
      <c r="CM39" s="5" t="n"/>
      <c r="CN39" s="5" t="n"/>
      <c r="CO39" s="5" t="n"/>
      <c r="CP39" s="5" t="n"/>
      <c r="CQ39" s="5" t="n"/>
      <c r="CR39" s="5" t="n"/>
      <c r="CS39" s="5" t="n"/>
      <c r="CT39" s="5" t="n"/>
      <c r="CU39" s="5">
        <f>IF('MAESTRO 1°'!B39="","",IFERROR(TRUNC(AVERAGE(BS39:CT39),1),""))</f>
        <v/>
      </c>
      <c r="CV39" s="220" t="n"/>
      <c r="CW39" s="92" t="n">
        <v>35</v>
      </c>
      <c r="DA39" s="148" t="n"/>
      <c r="DB39" s="148" t="n"/>
      <c r="DC39" s="148" t="n"/>
      <c r="DD39" s="148" t="n"/>
      <c r="DE39" s="148" t="n"/>
      <c r="DF39" s="148" t="n"/>
      <c r="DG39" s="148" t="n"/>
      <c r="DH39" s="148" t="n"/>
      <c r="DI39" s="148" t="n"/>
      <c r="DJ39" s="148" t="n"/>
      <c r="DK39" s="148" t="n"/>
      <c r="DL39" s="148" t="n"/>
      <c r="DM39" s="148" t="n"/>
      <c r="DN39" s="148" t="n"/>
      <c r="EB39" s="148" t="n"/>
      <c r="EC39" s="148" t="n"/>
    </row>
    <row r="40" ht="13.5" customHeight="1" s="147">
      <c r="A40" s="220" t="n">
        <v>36</v>
      </c>
      <c r="B40" s="9" t="n"/>
      <c r="C40" s="264" t="inlineStr">
        <is>
          <t>Actividad 3</t>
        </is>
      </c>
      <c r="D40" s="264" t="inlineStr">
        <is>
          <t>Actividad 4</t>
        </is>
      </c>
      <c r="E40" s="264" t="inlineStr">
        <is>
          <t>Actividad 5</t>
        </is>
      </c>
      <c r="F40" s="227" t="n"/>
      <c r="G40" s="227" t="n"/>
      <c r="H40" s="227" t="n"/>
      <c r="I40" s="227" t="n"/>
      <c r="J40" s="227" t="n"/>
      <c r="K40" s="227" t="n"/>
      <c r="L40" s="227" t="n"/>
      <c r="M40" s="227" t="n"/>
      <c r="N40" s="227" t="n"/>
      <c r="O40" s="227" t="n"/>
      <c r="P40" s="227" t="n"/>
      <c r="Q40" s="227" t="n"/>
      <c r="R40" s="227" t="inlineStr">
        <is>
          <t>Actividad 18</t>
        </is>
      </c>
      <c r="S40" s="227" t="inlineStr">
        <is>
          <t>Actividad 19</t>
        </is>
      </c>
      <c r="T40" s="227" t="inlineStr">
        <is>
          <t>Actividad 20</t>
        </is>
      </c>
      <c r="U40" s="227" t="n"/>
      <c r="V40" s="227" t="n"/>
      <c r="W40" s="227" t="n"/>
      <c r="X40" s="227" t="n"/>
      <c r="Y40" s="227" t="n"/>
      <c r="Z40" s="227" t="n"/>
      <c r="AA40" s="227" t="n"/>
      <c r="AB40" s="227" t="n"/>
      <c r="AC40" s="227" t="n"/>
      <c r="AD40" s="227" t="n"/>
      <c r="AE40" s="42" t="n"/>
      <c r="AF40" s="220" t="n"/>
      <c r="AG40" s="220" t="n">
        <v>36</v>
      </c>
      <c r="AH40" s="220" t="n">
        <v>36</v>
      </c>
      <c r="AI40" s="220" t="n"/>
      <c r="AJ40" s="145" t="n"/>
      <c r="AK40" s="221" t="n"/>
      <c r="AL40" s="221" t="n"/>
      <c r="AM40" s="221" t="n"/>
      <c r="AN40" s="221" t="n"/>
      <c r="AO40" s="221" t="n"/>
      <c r="AP40" s="221" t="n"/>
      <c r="AQ40" s="221" t="n"/>
      <c r="AR40" s="221" t="n"/>
      <c r="AS40" s="221" t="n"/>
      <c r="AT40" s="221" t="n"/>
      <c r="AU40" s="221" t="n"/>
      <c r="AV40" s="221" t="n"/>
      <c r="AW40" s="221" t="n"/>
      <c r="AX40" s="221" t="n"/>
      <c r="AY40" s="221" t="n"/>
      <c r="AZ40" s="221" t="n"/>
      <c r="BA40" s="221" t="n"/>
      <c r="BB40" s="221" t="n"/>
      <c r="BC40" s="221" t="n"/>
      <c r="BD40" s="221" t="n"/>
      <c r="BE40" s="221" t="n"/>
      <c r="BF40" s="221" t="n"/>
      <c r="BG40" s="221" t="n"/>
      <c r="BH40" s="221" t="n"/>
      <c r="BI40" s="221" t="n"/>
      <c r="BJ40" s="221" t="n"/>
      <c r="BK40" s="221" t="n"/>
      <c r="BL40" s="221" t="n"/>
      <c r="BM40" s="20" t="n"/>
      <c r="BN40" s="220" t="n"/>
      <c r="BO40" s="220" t="n">
        <v>36</v>
      </c>
      <c r="BP40" s="220" t="n">
        <v>36</v>
      </c>
      <c r="BQ40" s="220">
        <f>IF('MAESTRO 1°'!B40="","",'MAESTRO 1°'!B40)</f>
        <v/>
      </c>
      <c r="BR40" s="145" t="n"/>
      <c r="BS40" s="219" t="n"/>
      <c r="BT40" s="219" t="n"/>
      <c r="BU40" s="219" t="n"/>
      <c r="BV40" s="219" t="n"/>
      <c r="BW40" s="219" t="n"/>
      <c r="BX40" s="219" t="n"/>
      <c r="BY40" s="219" t="n"/>
      <c r="BZ40" s="219" t="n"/>
      <c r="CA40" s="219" t="n"/>
      <c r="CB40" s="219" t="n"/>
      <c r="CC40" s="219" t="n"/>
      <c r="CD40" s="219" t="n"/>
      <c r="CE40" s="219" t="n"/>
      <c r="CF40" s="219" t="n"/>
      <c r="CG40" s="219" t="n"/>
      <c r="CH40" s="219" t="n"/>
      <c r="CI40" s="219" t="n"/>
      <c r="CJ40" s="219" t="n"/>
      <c r="CK40" s="219" t="n"/>
      <c r="CL40" s="219" t="n"/>
      <c r="CM40" s="219" t="n"/>
      <c r="CN40" s="219" t="n"/>
      <c r="CO40" s="219" t="n"/>
      <c r="CP40" s="219" t="n"/>
      <c r="CQ40" s="219" t="n"/>
      <c r="CR40" s="219" t="n"/>
      <c r="CS40" s="219" t="n"/>
      <c r="CT40" s="219" t="n"/>
      <c r="CU40" s="5" t="n"/>
      <c r="CV40" s="220" t="n"/>
      <c r="CW40" s="92" t="n">
        <v>36</v>
      </c>
      <c r="DA40" s="148" t="n"/>
      <c r="DB40" s="148" t="n"/>
      <c r="DC40" s="148" t="n"/>
      <c r="DD40" s="148" t="n"/>
      <c r="DE40" s="148" t="n"/>
      <c r="DF40" s="148" t="n"/>
      <c r="DG40" s="148" t="n"/>
      <c r="DH40" s="148" t="n"/>
      <c r="DI40" s="148" t="n"/>
      <c r="DJ40" s="148" t="n"/>
      <c r="DK40" s="148" t="n"/>
      <c r="DL40" s="148" t="n"/>
      <c r="DM40" s="148" t="n"/>
      <c r="DN40" s="148" t="n"/>
      <c r="EB40" s="148" t="n"/>
      <c r="EC40" s="148" t="n"/>
    </row>
    <row r="41" ht="13.5" customHeight="1" s="147">
      <c r="A41" s="220" t="n">
        <v>37</v>
      </c>
      <c r="B41" s="9" t="n"/>
      <c r="C41" s="162" t="n"/>
      <c r="D41" s="162" t="n"/>
      <c r="E41" s="162" t="n"/>
      <c r="F41" s="222" t="n"/>
      <c r="G41" s="222" t="n"/>
      <c r="H41" s="222" t="n"/>
      <c r="I41" s="222" t="n"/>
      <c r="J41" s="222" t="n"/>
      <c r="K41" s="222" t="n"/>
      <c r="L41" s="222" t="n"/>
      <c r="M41" s="222" t="n"/>
      <c r="N41" s="222" t="n"/>
      <c r="O41" s="222" t="n"/>
      <c r="P41" s="222" t="n"/>
      <c r="Q41" s="222" t="n"/>
      <c r="R41" s="222" t="n"/>
      <c r="S41" s="222" t="n"/>
      <c r="T41" s="222" t="n"/>
      <c r="U41" s="222" t="n"/>
      <c r="V41" s="222" t="n"/>
      <c r="W41" s="222" t="n"/>
      <c r="X41" s="222" t="n"/>
      <c r="Y41" s="222" t="n"/>
      <c r="Z41" s="222" t="n"/>
      <c r="AA41" s="222" t="n"/>
      <c r="AB41" s="222" t="n"/>
      <c r="AC41" s="222" t="n"/>
      <c r="AD41" s="222" t="n"/>
      <c r="AE41" s="42" t="n"/>
      <c r="AF41" s="220" t="n"/>
      <c r="AG41" s="220" t="n">
        <v>37</v>
      </c>
      <c r="AH41" s="220" t="n">
        <v>37</v>
      </c>
      <c r="AI41" s="220" t="n"/>
      <c r="AJ41" s="145" t="n"/>
      <c r="AK41" s="222" t="n"/>
      <c r="AL41" s="222" t="n"/>
      <c r="AM41" s="222" t="n"/>
      <c r="AN41" s="222" t="n"/>
      <c r="AO41" s="222" t="n"/>
      <c r="AP41" s="222" t="n"/>
      <c r="AQ41" s="222" t="n"/>
      <c r="AR41" s="222" t="n"/>
      <c r="AS41" s="222" t="n"/>
      <c r="AT41" s="222" t="n"/>
      <c r="AU41" s="222" t="n"/>
      <c r="AV41" s="222" t="n"/>
      <c r="AW41" s="222" t="n"/>
      <c r="AX41" s="222" t="n"/>
      <c r="AY41" s="222" t="n"/>
      <c r="AZ41" s="222" t="n"/>
      <c r="BA41" s="222" t="n"/>
      <c r="BB41" s="222" t="n"/>
      <c r="BC41" s="222" t="n"/>
      <c r="BD41" s="222" t="n"/>
      <c r="BE41" s="222" t="n"/>
      <c r="BF41" s="222" t="n"/>
      <c r="BG41" s="222" t="n"/>
      <c r="BH41" s="222" t="n"/>
      <c r="BI41" s="222" t="n"/>
      <c r="BJ41" s="222" t="n"/>
      <c r="BK41" s="222" t="n"/>
      <c r="BL41" s="222" t="n"/>
      <c r="BM41" s="20" t="n"/>
      <c r="BN41" s="220" t="n"/>
      <c r="BO41" s="220" t="n">
        <v>37</v>
      </c>
      <c r="BP41" s="220" t="n">
        <v>37</v>
      </c>
      <c r="BQ41" s="220">
        <f>IF('MAESTRO 1°'!B41="","",'MAESTRO 1°'!B41)</f>
        <v/>
      </c>
      <c r="BR41" s="145" t="n"/>
      <c r="BS41" s="162" t="n"/>
      <c r="BT41" s="162" t="n"/>
      <c r="BU41" s="162" t="n"/>
      <c r="BV41" s="162" t="n"/>
      <c r="BW41" s="162" t="n"/>
      <c r="BX41" s="162" t="n"/>
      <c r="BY41" s="162" t="n"/>
      <c r="BZ41" s="162" t="n"/>
      <c r="CA41" s="162" t="n"/>
      <c r="CB41" s="162" t="n"/>
      <c r="CC41" s="162" t="n"/>
      <c r="CD41" s="162" t="n"/>
      <c r="CE41" s="162" t="n"/>
      <c r="CF41" s="162" t="n"/>
      <c r="CG41" s="162" t="n"/>
      <c r="CH41" s="162" t="n"/>
      <c r="CI41" s="162" t="n"/>
      <c r="CJ41" s="162" t="n"/>
      <c r="CK41" s="162" t="n"/>
      <c r="CL41" s="162" t="n"/>
      <c r="CM41" s="162" t="n"/>
      <c r="CN41" s="162" t="n"/>
      <c r="CO41" s="162" t="n"/>
      <c r="CP41" s="162" t="n"/>
      <c r="CQ41" s="162" t="n"/>
      <c r="CR41" s="162" t="n"/>
      <c r="CS41" s="162" t="n"/>
      <c r="CT41" s="162" t="n"/>
      <c r="CU41" s="5" t="n"/>
      <c r="CV41" s="220" t="n"/>
      <c r="CW41" s="92" t="n">
        <v>37</v>
      </c>
      <c r="DA41" s="148" t="n"/>
      <c r="DB41" s="148" t="n"/>
      <c r="DC41" s="148" t="n"/>
      <c r="DD41" s="148" t="n"/>
      <c r="DE41" s="148" t="n"/>
      <c r="DF41" s="148" t="n"/>
      <c r="DG41" s="148" t="n"/>
      <c r="DH41" s="148" t="n"/>
      <c r="DI41" s="148" t="n"/>
      <c r="DJ41" s="148" t="n"/>
      <c r="DK41" s="148" t="n"/>
      <c r="DL41" s="148" t="n"/>
      <c r="DM41" s="148" t="n"/>
      <c r="DN41" s="148" t="n"/>
      <c r="EB41" s="148" t="n"/>
      <c r="EC41" s="148" t="n"/>
    </row>
    <row r="42" ht="13.5" customHeight="1" s="147">
      <c r="A42" s="220" t="n">
        <v>38</v>
      </c>
      <c r="B42" s="9" t="n"/>
      <c r="C42" s="162" t="n"/>
      <c r="D42" s="162" t="n"/>
      <c r="E42" s="16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42" t="n"/>
      <c r="AF42" s="220" t="n"/>
      <c r="AG42" s="220" t="n">
        <v>38</v>
      </c>
      <c r="AH42" s="220" t="n">
        <v>38</v>
      </c>
      <c r="AI42" s="220" t="n"/>
      <c r="AJ42" s="145" t="n"/>
      <c r="AK42" s="222" t="n"/>
      <c r="AL42" s="222" t="n"/>
      <c r="AM42" s="222" t="n"/>
      <c r="AN42" s="222" t="n"/>
      <c r="AO42" s="222" t="n"/>
      <c r="AP42" s="222" t="n"/>
      <c r="AQ42" s="222" t="n"/>
      <c r="AR42" s="222" t="n"/>
      <c r="AS42" s="222" t="n"/>
      <c r="AT42" s="222" t="n"/>
      <c r="AU42" s="222" t="n"/>
      <c r="AV42" s="222" t="n"/>
      <c r="AW42" s="222" t="n"/>
      <c r="AX42" s="222" t="n"/>
      <c r="AY42" s="222" t="n"/>
      <c r="AZ42" s="222" t="n"/>
      <c r="BA42" s="222" t="n"/>
      <c r="BB42" s="222" t="n"/>
      <c r="BC42" s="222" t="n"/>
      <c r="BD42" s="222" t="n"/>
      <c r="BE42" s="222" t="n"/>
      <c r="BF42" s="222" t="n"/>
      <c r="BG42" s="222" t="n"/>
      <c r="BH42" s="222" t="n"/>
      <c r="BI42" s="222" t="n"/>
      <c r="BJ42" s="222" t="n"/>
      <c r="BK42" s="222" t="n"/>
      <c r="BL42" s="222" t="n"/>
      <c r="BM42" s="20" t="n"/>
      <c r="BN42" s="220" t="n"/>
      <c r="BO42" s="220" t="n">
        <v>38</v>
      </c>
      <c r="BP42" s="220" t="n">
        <v>38</v>
      </c>
      <c r="BQ42" s="220">
        <f>IF('MAESTRO 1°'!B42="","",'MAESTRO 1°'!B42)</f>
        <v/>
      </c>
      <c r="BR42" s="145" t="n"/>
      <c r="BS42" s="162" t="n"/>
      <c r="BT42" s="162" t="n"/>
      <c r="BU42" s="162" t="n"/>
      <c r="BV42" s="162" t="n"/>
      <c r="BW42" s="162" t="n"/>
      <c r="BX42" s="162" t="n"/>
      <c r="BY42" s="162" t="n"/>
      <c r="BZ42" s="162" t="n"/>
      <c r="CA42" s="162" t="n"/>
      <c r="CB42" s="162" t="n"/>
      <c r="CC42" s="162" t="n"/>
      <c r="CD42" s="162" t="n"/>
      <c r="CE42" s="162" t="n"/>
      <c r="CF42" s="162" t="n"/>
      <c r="CG42" s="162" t="n"/>
      <c r="CH42" s="162" t="n"/>
      <c r="CI42" s="162" t="n"/>
      <c r="CJ42" s="162" t="n"/>
      <c r="CK42" s="162" t="n"/>
      <c r="CL42" s="162" t="n"/>
      <c r="CM42" s="162" t="n"/>
      <c r="CN42" s="162" t="n"/>
      <c r="CO42" s="162" t="n"/>
      <c r="CP42" s="162" t="n"/>
      <c r="CQ42" s="162" t="n"/>
      <c r="CR42" s="162" t="n"/>
      <c r="CS42" s="162" t="n"/>
      <c r="CT42" s="162" t="n"/>
      <c r="CU42" s="5" t="n"/>
      <c r="CV42" s="220" t="n"/>
      <c r="CW42" s="92" t="n">
        <v>38</v>
      </c>
      <c r="DA42" s="148" t="n"/>
      <c r="DB42" s="148" t="n"/>
      <c r="DC42" s="148" t="n"/>
      <c r="DD42" s="148" t="n"/>
      <c r="DE42" s="148" t="n"/>
      <c r="DF42" s="148" t="n"/>
      <c r="DG42" s="148" t="n"/>
      <c r="DH42" s="148" t="n"/>
      <c r="DI42" s="148" t="n"/>
      <c r="DJ42" s="148" t="n"/>
      <c r="DK42" s="148" t="n"/>
      <c r="DL42" s="148" t="n"/>
      <c r="DM42" s="148" t="n"/>
      <c r="DN42" s="148" t="n"/>
      <c r="EB42" s="148" t="n"/>
      <c r="EC42" s="148" t="n"/>
    </row>
    <row r="43" ht="13.5" customHeight="1" s="147">
      <c r="A43" s="220" t="n">
        <v>39</v>
      </c>
      <c r="B43" s="9" t="n"/>
      <c r="C43" s="162" t="n"/>
      <c r="D43" s="162" t="n"/>
      <c r="E43" s="162" t="n"/>
      <c r="F43" s="222" t="n"/>
      <c r="G43" s="222" t="n"/>
      <c r="H43" s="222" t="n"/>
      <c r="I43" s="222" t="n"/>
      <c r="J43" s="222" t="n"/>
      <c r="K43" s="222" t="n"/>
      <c r="L43" s="222" t="n"/>
      <c r="M43" s="222" t="n"/>
      <c r="N43" s="222" t="n"/>
      <c r="O43" s="222" t="n"/>
      <c r="P43" s="222" t="n"/>
      <c r="Q43" s="222" t="n"/>
      <c r="R43" s="222" t="n"/>
      <c r="S43" s="222" t="n"/>
      <c r="T43" s="222" t="n"/>
      <c r="U43" s="222" t="n"/>
      <c r="V43" s="222" t="n"/>
      <c r="W43" s="222" t="n"/>
      <c r="X43" s="222" t="n"/>
      <c r="Y43" s="222" t="n"/>
      <c r="Z43" s="222" t="n"/>
      <c r="AA43" s="222" t="n"/>
      <c r="AB43" s="222" t="n"/>
      <c r="AC43" s="222" t="n"/>
      <c r="AD43" s="222" t="n"/>
      <c r="AE43" s="42" t="n"/>
      <c r="AF43" s="220" t="n"/>
      <c r="AG43" s="220" t="n">
        <v>39</v>
      </c>
      <c r="AH43" s="220" t="n">
        <v>39</v>
      </c>
      <c r="AI43" s="220" t="n"/>
      <c r="AJ43" s="145" t="n"/>
      <c r="AK43" s="222" t="n"/>
      <c r="AL43" s="222" t="n"/>
      <c r="AM43" s="222" t="n"/>
      <c r="AN43" s="222" t="n"/>
      <c r="AO43" s="222" t="n"/>
      <c r="AP43" s="222" t="n"/>
      <c r="AQ43" s="222" t="n"/>
      <c r="AR43" s="222" t="n"/>
      <c r="AS43" s="222" t="n"/>
      <c r="AT43" s="222" t="n"/>
      <c r="AU43" s="222" t="n"/>
      <c r="AV43" s="222" t="n"/>
      <c r="AW43" s="222" t="n"/>
      <c r="AX43" s="222" t="n"/>
      <c r="AY43" s="222" t="n"/>
      <c r="AZ43" s="222" t="n"/>
      <c r="BA43" s="222" t="n"/>
      <c r="BB43" s="222" t="n"/>
      <c r="BC43" s="222" t="n"/>
      <c r="BD43" s="222" t="n"/>
      <c r="BE43" s="222" t="n"/>
      <c r="BF43" s="222" t="n"/>
      <c r="BG43" s="222" t="n"/>
      <c r="BH43" s="222" t="n"/>
      <c r="BI43" s="222" t="n"/>
      <c r="BJ43" s="222" t="n"/>
      <c r="BK43" s="222" t="n"/>
      <c r="BL43" s="222" t="n"/>
      <c r="BM43" s="20" t="n"/>
      <c r="BN43" s="220" t="n"/>
      <c r="BO43" s="220" t="n">
        <v>39</v>
      </c>
      <c r="BP43" s="220" t="n">
        <v>39</v>
      </c>
      <c r="BQ43" s="220">
        <f>IF('MAESTRO 1°'!B43="","",'MAESTRO 1°'!B43)</f>
        <v/>
      </c>
      <c r="BR43" s="145" t="n"/>
      <c r="BS43" s="162" t="n"/>
      <c r="BT43" s="162" t="n"/>
      <c r="BU43" s="162" t="n"/>
      <c r="BV43" s="162" t="n"/>
      <c r="BW43" s="162" t="n"/>
      <c r="BX43" s="162" t="n"/>
      <c r="BY43" s="162" t="n"/>
      <c r="BZ43" s="162" t="n"/>
      <c r="CA43" s="162" t="n"/>
      <c r="CB43" s="162" t="n"/>
      <c r="CC43" s="162" t="n"/>
      <c r="CD43" s="162" t="n"/>
      <c r="CE43" s="162" t="n"/>
      <c r="CF43" s="162" t="n"/>
      <c r="CG43" s="162" t="n"/>
      <c r="CH43" s="162" t="n"/>
      <c r="CI43" s="162" t="n"/>
      <c r="CJ43" s="162" t="n"/>
      <c r="CK43" s="162" t="n"/>
      <c r="CL43" s="162" t="n"/>
      <c r="CM43" s="162" t="n"/>
      <c r="CN43" s="162" t="n"/>
      <c r="CO43" s="162" t="n"/>
      <c r="CP43" s="162" t="n"/>
      <c r="CQ43" s="162" t="n"/>
      <c r="CR43" s="162" t="n"/>
      <c r="CS43" s="162" t="n"/>
      <c r="CT43" s="162" t="n"/>
      <c r="CU43" s="5" t="n"/>
      <c r="CV43" s="220" t="n"/>
      <c r="CW43" s="92" t="n">
        <v>39</v>
      </c>
      <c r="DA43" s="148" t="n"/>
      <c r="DB43" s="148" t="n"/>
      <c r="DC43" s="148" t="n"/>
      <c r="DD43" s="148" t="n"/>
      <c r="DE43" s="148" t="n"/>
      <c r="DF43" s="148" t="n"/>
      <c r="DG43" s="148" t="n"/>
      <c r="DH43" s="148" t="n"/>
      <c r="DI43" s="148" t="n"/>
      <c r="DJ43" s="148" t="n"/>
      <c r="DK43" s="148" t="n"/>
      <c r="DL43" s="148" t="n"/>
      <c r="DM43" s="148" t="n"/>
      <c r="DN43" s="148" t="n"/>
      <c r="EB43" s="148" t="n"/>
      <c r="EC43" s="148" t="n"/>
    </row>
    <row r="44" ht="13.5" customHeight="1" s="147">
      <c r="A44" s="220" t="n">
        <v>40</v>
      </c>
      <c r="B44" s="9" t="n"/>
      <c r="C44" s="162" t="n"/>
      <c r="D44" s="162" t="n"/>
      <c r="E44" s="162" t="n"/>
      <c r="F44" s="222" t="n"/>
      <c r="G44" s="222" t="n"/>
      <c r="H44" s="222" t="n"/>
      <c r="I44" s="222" t="n"/>
      <c r="J44" s="222" t="n"/>
      <c r="K44" s="222" t="n"/>
      <c r="L44" s="222" t="n"/>
      <c r="M44" s="222" t="n"/>
      <c r="N44" s="222" t="n"/>
      <c r="O44" s="222" t="n"/>
      <c r="P44" s="222" t="n"/>
      <c r="Q44" s="222" t="n"/>
      <c r="R44" s="222" t="n"/>
      <c r="S44" s="222" t="n"/>
      <c r="T44" s="222" t="n"/>
      <c r="U44" s="222" t="n"/>
      <c r="V44" s="222" t="n"/>
      <c r="W44" s="222" t="n"/>
      <c r="X44" s="222" t="n"/>
      <c r="Y44" s="222" t="n"/>
      <c r="Z44" s="222" t="n"/>
      <c r="AA44" s="222" t="n"/>
      <c r="AB44" s="222" t="n"/>
      <c r="AC44" s="222" t="n"/>
      <c r="AD44" s="222" t="n"/>
      <c r="AE44" s="20" t="n"/>
      <c r="AF44" s="220" t="n"/>
      <c r="AG44" s="220" t="n">
        <v>40</v>
      </c>
      <c r="AH44" s="220" t="n">
        <v>40</v>
      </c>
      <c r="AI44" s="220" t="n"/>
      <c r="AJ44" s="145" t="n"/>
      <c r="AK44" s="222" t="n"/>
      <c r="AL44" s="222" t="n"/>
      <c r="AM44" s="222" t="n"/>
      <c r="AN44" s="222" t="n"/>
      <c r="AO44" s="222" t="n"/>
      <c r="AP44" s="222" t="n"/>
      <c r="AQ44" s="222" t="n"/>
      <c r="AR44" s="222" t="n"/>
      <c r="AS44" s="222" t="n"/>
      <c r="AT44" s="222" t="n"/>
      <c r="AU44" s="222" t="n"/>
      <c r="AV44" s="222" t="n"/>
      <c r="AW44" s="222" t="n"/>
      <c r="AX44" s="222" t="n"/>
      <c r="AY44" s="222" t="n"/>
      <c r="AZ44" s="222" t="n"/>
      <c r="BA44" s="222" t="n"/>
      <c r="BB44" s="222" t="n"/>
      <c r="BC44" s="222" t="n"/>
      <c r="BD44" s="222" t="n"/>
      <c r="BE44" s="222" t="n"/>
      <c r="BF44" s="222" t="n"/>
      <c r="BG44" s="222" t="n"/>
      <c r="BH44" s="222" t="n"/>
      <c r="BI44" s="222" t="n"/>
      <c r="BJ44" s="222" t="n"/>
      <c r="BK44" s="222" t="n"/>
      <c r="BL44" s="222" t="n"/>
      <c r="BM44" s="20" t="n"/>
      <c r="BN44" s="220" t="n"/>
      <c r="BO44" s="220" t="n">
        <v>40</v>
      </c>
      <c r="BP44" s="220" t="n">
        <v>40</v>
      </c>
      <c r="BQ44" s="220">
        <f>IF('MAESTRO 1°'!B44="","",'MAESTRO 1°'!B44)</f>
        <v/>
      </c>
      <c r="BR44" s="145" t="n"/>
      <c r="BS44" s="162" t="n"/>
      <c r="BT44" s="162" t="n"/>
      <c r="BU44" s="162" t="n"/>
      <c r="BV44" s="162" t="n"/>
      <c r="BW44" s="162" t="n"/>
      <c r="BX44" s="162" t="n"/>
      <c r="BY44" s="162" t="n"/>
      <c r="BZ44" s="162" t="n"/>
      <c r="CA44" s="162" t="n"/>
      <c r="CB44" s="162" t="n"/>
      <c r="CC44" s="162" t="n"/>
      <c r="CD44" s="162" t="n"/>
      <c r="CE44" s="162" t="n"/>
      <c r="CF44" s="162" t="n"/>
      <c r="CG44" s="162" t="n"/>
      <c r="CH44" s="162" t="n"/>
      <c r="CI44" s="162" t="n"/>
      <c r="CJ44" s="162" t="n"/>
      <c r="CK44" s="162" t="n"/>
      <c r="CL44" s="162" t="n"/>
      <c r="CM44" s="162" t="n"/>
      <c r="CN44" s="162" t="n"/>
      <c r="CO44" s="162" t="n"/>
      <c r="CP44" s="162" t="n"/>
      <c r="CQ44" s="162" t="n"/>
      <c r="CR44" s="162" t="n"/>
      <c r="CS44" s="162" t="n"/>
      <c r="CT44" s="162" t="n"/>
      <c r="CU44" s="5" t="n"/>
      <c r="CV44" s="220" t="n"/>
      <c r="CW44" s="92" t="n">
        <v>40</v>
      </c>
      <c r="DA44" s="148" t="n"/>
      <c r="DB44" s="148" t="n"/>
      <c r="DC44" s="148" t="n"/>
      <c r="DD44" s="148" t="n"/>
      <c r="DE44" s="148" t="n"/>
      <c r="DF44" s="148" t="n"/>
      <c r="DG44" s="148" t="n"/>
      <c r="DH44" s="148" t="n"/>
      <c r="DI44" s="148" t="n"/>
      <c r="DJ44" s="148" t="n"/>
      <c r="DK44" s="148" t="n"/>
      <c r="DL44" s="148" t="n"/>
      <c r="DM44" s="148" t="n"/>
      <c r="DN44" s="148" t="n"/>
      <c r="EB44" s="148" t="n"/>
      <c r="EC44" s="148" t="n"/>
    </row>
    <row r="45" ht="13.5" customHeight="1" s="147">
      <c r="A45" s="220" t="n">
        <v>41</v>
      </c>
      <c r="B45" s="9" t="n"/>
      <c r="C45" s="162" t="n"/>
      <c r="D45" s="162" t="n"/>
      <c r="E45" s="162" t="n"/>
      <c r="F45" s="222" t="n"/>
      <c r="G45" s="222" t="n"/>
      <c r="H45" s="222" t="n"/>
      <c r="I45" s="222" t="n"/>
      <c r="J45" s="222" t="n"/>
      <c r="K45" s="222" t="n"/>
      <c r="L45" s="222" t="n"/>
      <c r="M45" s="222" t="n"/>
      <c r="N45" s="222" t="n"/>
      <c r="O45" s="222" t="n"/>
      <c r="P45" s="222" t="n"/>
      <c r="Q45" s="222" t="n"/>
      <c r="R45" s="222" t="n"/>
      <c r="S45" s="222" t="n"/>
      <c r="T45" s="222" t="n"/>
      <c r="U45" s="222" t="n"/>
      <c r="V45" s="222" t="n"/>
      <c r="W45" s="222" t="n"/>
      <c r="X45" s="222" t="n"/>
      <c r="Y45" s="222" t="n"/>
      <c r="Z45" s="222" t="n"/>
      <c r="AA45" s="222" t="n"/>
      <c r="AB45" s="222" t="n"/>
      <c r="AC45" s="222" t="n"/>
      <c r="AD45" s="222" t="n"/>
      <c r="AE45" s="20" t="n"/>
      <c r="AF45" s="220" t="n"/>
      <c r="AG45" s="220" t="n">
        <v>41</v>
      </c>
      <c r="AH45" s="220" t="n">
        <v>41</v>
      </c>
      <c r="AI45" s="220" t="n"/>
      <c r="AJ45" s="145" t="n"/>
      <c r="AK45" s="222" t="n"/>
      <c r="AL45" s="222" t="n"/>
      <c r="AM45" s="222" t="n"/>
      <c r="AN45" s="222" t="n"/>
      <c r="AO45" s="222" t="n"/>
      <c r="AP45" s="222" t="n"/>
      <c r="AQ45" s="222" t="n"/>
      <c r="AR45" s="222" t="n"/>
      <c r="AS45" s="222" t="n"/>
      <c r="AT45" s="222" t="n"/>
      <c r="AU45" s="222" t="n"/>
      <c r="AV45" s="222" t="n"/>
      <c r="AW45" s="222" t="n"/>
      <c r="AX45" s="222" t="n"/>
      <c r="AY45" s="222" t="n"/>
      <c r="AZ45" s="222" t="n"/>
      <c r="BA45" s="222" t="n"/>
      <c r="BB45" s="222" t="n"/>
      <c r="BC45" s="222" t="n"/>
      <c r="BD45" s="222" t="n"/>
      <c r="BE45" s="222" t="n"/>
      <c r="BF45" s="222" t="n"/>
      <c r="BG45" s="222" t="n"/>
      <c r="BH45" s="222" t="n"/>
      <c r="BI45" s="222" t="n"/>
      <c r="BJ45" s="222" t="n"/>
      <c r="BK45" s="222" t="n"/>
      <c r="BL45" s="222" t="n"/>
      <c r="BM45" s="20" t="n"/>
      <c r="BN45" s="220" t="n"/>
      <c r="BO45" s="220" t="n">
        <v>41</v>
      </c>
      <c r="BP45" s="220" t="n">
        <v>41</v>
      </c>
      <c r="BQ45" s="220" t="n"/>
      <c r="BR45" s="145" t="n"/>
      <c r="BS45" s="162" t="n"/>
      <c r="BT45" s="162" t="n"/>
      <c r="BU45" s="162" t="n"/>
      <c r="BV45" s="162" t="n"/>
      <c r="BW45" s="162" t="n"/>
      <c r="BX45" s="162" t="n"/>
      <c r="BY45" s="162" t="n"/>
      <c r="BZ45" s="162" t="n"/>
      <c r="CA45" s="162" t="n"/>
      <c r="CB45" s="162" t="n"/>
      <c r="CC45" s="162" t="n"/>
      <c r="CD45" s="162" t="n"/>
      <c r="CE45" s="162" t="n"/>
      <c r="CF45" s="162" t="n"/>
      <c r="CG45" s="162" t="n"/>
      <c r="CH45" s="162" t="n"/>
      <c r="CI45" s="162" t="n"/>
      <c r="CJ45" s="162" t="n"/>
      <c r="CK45" s="162" t="n"/>
      <c r="CL45" s="162" t="n"/>
      <c r="CM45" s="162" t="n"/>
      <c r="CN45" s="162" t="n"/>
      <c r="CO45" s="162" t="n"/>
      <c r="CP45" s="162" t="n"/>
      <c r="CQ45" s="162" t="n"/>
      <c r="CR45" s="162" t="n"/>
      <c r="CS45" s="162" t="n"/>
      <c r="CT45" s="162" t="n"/>
      <c r="CU45" s="5" t="n"/>
      <c r="CV45" s="220" t="n"/>
      <c r="CW45" s="92" t="n">
        <v>41</v>
      </c>
      <c r="DA45" s="148" t="n"/>
      <c r="DB45" s="148" t="n"/>
      <c r="DC45" s="148" t="n"/>
      <c r="DD45" s="148" t="n"/>
      <c r="DE45" s="148" t="n"/>
      <c r="DF45" s="148" t="n"/>
      <c r="DG45" s="148" t="n"/>
      <c r="DH45" s="148" t="n"/>
      <c r="DI45" s="148" t="n"/>
      <c r="DJ45" s="148" t="n"/>
      <c r="DK45" s="148" t="n"/>
      <c r="DL45" s="148" t="n"/>
      <c r="DM45" s="148" t="n"/>
      <c r="DN45" s="148" t="n"/>
      <c r="EB45" s="148" t="n"/>
      <c r="EC45" s="148" t="n"/>
    </row>
    <row r="46" ht="13.5" customHeight="1" s="147">
      <c r="A46" s="220" t="n">
        <v>42</v>
      </c>
      <c r="B46" s="9" t="n"/>
      <c r="C46" s="162" t="n"/>
      <c r="D46" s="162" t="n"/>
      <c r="E46" s="16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0" t="n"/>
      <c r="AF46" s="220" t="n"/>
      <c r="AG46" s="220" t="n">
        <v>42</v>
      </c>
      <c r="AH46" s="220" t="n">
        <v>42</v>
      </c>
      <c r="AI46" s="220" t="n"/>
      <c r="AJ46" s="145" t="n"/>
      <c r="AK46" s="222" t="n"/>
      <c r="AL46" s="222" t="n"/>
      <c r="AM46" s="222" t="n"/>
      <c r="AN46" s="222" t="n"/>
      <c r="AO46" s="222" t="n"/>
      <c r="AP46" s="222" t="n"/>
      <c r="AQ46" s="222" t="n"/>
      <c r="AR46" s="222" t="n"/>
      <c r="AS46" s="222" t="n"/>
      <c r="AT46" s="222" t="n"/>
      <c r="AU46" s="222" t="n"/>
      <c r="AV46" s="222" t="n"/>
      <c r="AW46" s="222" t="n"/>
      <c r="AX46" s="222" t="n"/>
      <c r="AY46" s="222" t="n"/>
      <c r="AZ46" s="222" t="n"/>
      <c r="BA46" s="222" t="n"/>
      <c r="BB46" s="222" t="n"/>
      <c r="BC46" s="222" t="n"/>
      <c r="BD46" s="222" t="n"/>
      <c r="BE46" s="222" t="n"/>
      <c r="BF46" s="222" t="n"/>
      <c r="BG46" s="222" t="n"/>
      <c r="BH46" s="222" t="n"/>
      <c r="BI46" s="222" t="n"/>
      <c r="BJ46" s="222" t="n"/>
      <c r="BK46" s="222" t="n"/>
      <c r="BL46" s="222" t="n"/>
      <c r="BM46" s="20" t="n"/>
      <c r="BN46" s="220" t="n"/>
      <c r="BO46" s="220" t="n">
        <v>42</v>
      </c>
      <c r="BP46" s="220" t="n">
        <v>42</v>
      </c>
      <c r="BQ46" s="220" t="n"/>
      <c r="BR46" s="145" t="n"/>
      <c r="BS46" s="162" t="n"/>
      <c r="BT46" s="162" t="n"/>
      <c r="BU46" s="162" t="n"/>
      <c r="BV46" s="162" t="n"/>
      <c r="BW46" s="162" t="n"/>
      <c r="BX46" s="162" t="n"/>
      <c r="BY46" s="162" t="n"/>
      <c r="BZ46" s="162" t="n"/>
      <c r="CA46" s="162" t="n"/>
      <c r="CB46" s="162" t="n"/>
      <c r="CC46" s="162" t="n"/>
      <c r="CD46" s="162" t="n"/>
      <c r="CE46" s="162" t="n"/>
      <c r="CF46" s="162" t="n"/>
      <c r="CG46" s="162" t="n"/>
      <c r="CH46" s="162" t="n"/>
      <c r="CI46" s="162" t="n"/>
      <c r="CJ46" s="162" t="n"/>
      <c r="CK46" s="162" t="n"/>
      <c r="CL46" s="162" t="n"/>
      <c r="CM46" s="162" t="n"/>
      <c r="CN46" s="162" t="n"/>
      <c r="CO46" s="162" t="n"/>
      <c r="CP46" s="162" t="n"/>
      <c r="CQ46" s="162" t="n"/>
      <c r="CR46" s="162" t="n"/>
      <c r="CS46" s="162" t="n"/>
      <c r="CT46" s="162" t="n"/>
      <c r="CU46" s="5" t="n"/>
      <c r="CV46" s="220" t="n"/>
      <c r="CW46" s="92" t="n">
        <v>42</v>
      </c>
      <c r="DA46" s="148" t="n"/>
      <c r="DB46" s="148" t="n"/>
      <c r="DC46" s="148" t="n"/>
      <c r="DD46" s="148" t="n"/>
      <c r="DE46" s="148" t="n"/>
      <c r="DF46" s="148" t="n"/>
      <c r="DG46" s="148" t="n"/>
      <c r="DH46" s="148" t="n"/>
      <c r="DI46" s="148" t="n"/>
      <c r="DJ46" s="148" t="n"/>
      <c r="DK46" s="148" t="n"/>
      <c r="DL46" s="148" t="n"/>
      <c r="DM46" s="148" t="n"/>
      <c r="DN46" s="148" t="n"/>
      <c r="EB46" s="148" t="n"/>
      <c r="EC46" s="148" t="n"/>
    </row>
    <row r="47" ht="13.5" customHeight="1" s="147">
      <c r="A47" s="220" t="n">
        <v>43</v>
      </c>
      <c r="B47" s="9" t="n"/>
      <c r="C47" s="162" t="n"/>
      <c r="D47" s="162" t="n"/>
      <c r="E47" s="162" t="n"/>
      <c r="F47" s="222" t="n"/>
      <c r="G47" s="222" t="n"/>
      <c r="H47" s="222" t="n"/>
      <c r="I47" s="222" t="n"/>
      <c r="J47" s="222" t="n"/>
      <c r="K47" s="222" t="n"/>
      <c r="L47" s="222" t="n"/>
      <c r="M47" s="222" t="n"/>
      <c r="N47" s="222" t="n"/>
      <c r="O47" s="222" t="n"/>
      <c r="P47" s="222" t="n"/>
      <c r="Q47" s="222" t="n"/>
      <c r="R47" s="222" t="n"/>
      <c r="S47" s="222" t="n"/>
      <c r="T47" s="222" t="n"/>
      <c r="U47" s="222" t="n"/>
      <c r="V47" s="222" t="n"/>
      <c r="W47" s="222" t="n"/>
      <c r="X47" s="222" t="n"/>
      <c r="Y47" s="222" t="n"/>
      <c r="Z47" s="222" t="n"/>
      <c r="AA47" s="222" t="n"/>
      <c r="AB47" s="222" t="n"/>
      <c r="AC47" s="222" t="n"/>
      <c r="AD47" s="222" t="n"/>
      <c r="AE47" s="20" t="n"/>
      <c r="AF47" s="220" t="n"/>
      <c r="AG47" s="220" t="n">
        <v>43</v>
      </c>
      <c r="AH47" s="220" t="n">
        <v>43</v>
      </c>
      <c r="AI47" s="220" t="n"/>
      <c r="AJ47" s="145" t="n"/>
      <c r="AK47" s="222" t="n"/>
      <c r="AL47" s="222" t="n"/>
      <c r="AM47" s="222" t="n"/>
      <c r="AN47" s="222" t="n"/>
      <c r="AO47" s="222" t="n"/>
      <c r="AP47" s="222" t="n"/>
      <c r="AQ47" s="222" t="n"/>
      <c r="AR47" s="222" t="n"/>
      <c r="AS47" s="222" t="n"/>
      <c r="AT47" s="222" t="n"/>
      <c r="AU47" s="222" t="n"/>
      <c r="AV47" s="222" t="n"/>
      <c r="AW47" s="222" t="n"/>
      <c r="AX47" s="222" t="n"/>
      <c r="AY47" s="222" t="n"/>
      <c r="AZ47" s="222" t="n"/>
      <c r="BA47" s="222" t="n"/>
      <c r="BB47" s="222" t="n"/>
      <c r="BC47" s="222" t="n"/>
      <c r="BD47" s="222" t="n"/>
      <c r="BE47" s="222" t="n"/>
      <c r="BF47" s="222" t="n"/>
      <c r="BG47" s="222" t="n"/>
      <c r="BH47" s="222" t="n"/>
      <c r="BI47" s="222" t="n"/>
      <c r="BJ47" s="222" t="n"/>
      <c r="BK47" s="222" t="n"/>
      <c r="BL47" s="222" t="n"/>
      <c r="BM47" s="20" t="n"/>
      <c r="BN47" s="220" t="n"/>
      <c r="BO47" s="220" t="n">
        <v>43</v>
      </c>
      <c r="BP47" s="220" t="n">
        <v>43</v>
      </c>
      <c r="BQ47" s="220" t="n"/>
      <c r="BR47" s="145" t="n"/>
      <c r="BS47" s="162" t="n"/>
      <c r="BT47" s="162" t="n"/>
      <c r="BU47" s="162" t="n"/>
      <c r="BV47" s="162" t="n"/>
      <c r="BW47" s="162" t="n"/>
      <c r="BX47" s="162" t="n"/>
      <c r="BY47" s="162" t="n"/>
      <c r="BZ47" s="162" t="n"/>
      <c r="CA47" s="162" t="n"/>
      <c r="CB47" s="162" t="n"/>
      <c r="CC47" s="162" t="n"/>
      <c r="CD47" s="162" t="n"/>
      <c r="CE47" s="162" t="n"/>
      <c r="CF47" s="162" t="n"/>
      <c r="CG47" s="162" t="n"/>
      <c r="CH47" s="162" t="n"/>
      <c r="CI47" s="162" t="n"/>
      <c r="CJ47" s="162" t="n"/>
      <c r="CK47" s="162" t="n"/>
      <c r="CL47" s="162" t="n"/>
      <c r="CM47" s="162" t="n"/>
      <c r="CN47" s="162" t="n"/>
      <c r="CO47" s="162" t="n"/>
      <c r="CP47" s="162" t="n"/>
      <c r="CQ47" s="162" t="n"/>
      <c r="CR47" s="162" t="n"/>
      <c r="CS47" s="162" t="n"/>
      <c r="CT47" s="162" t="n"/>
      <c r="CU47" s="5" t="n"/>
      <c r="CV47" s="220" t="n"/>
      <c r="CW47" s="92" t="n">
        <v>43</v>
      </c>
      <c r="DA47" s="148" t="n"/>
      <c r="DB47" s="148" t="n"/>
      <c r="DC47" s="148" t="n"/>
      <c r="DD47" s="148" t="n"/>
      <c r="DE47" s="148" t="n"/>
      <c r="DF47" s="148" t="n"/>
      <c r="DG47" s="148" t="n"/>
      <c r="DH47" s="148" t="n"/>
      <c r="DI47" s="148" t="n"/>
      <c r="DJ47" s="148" t="n"/>
      <c r="DK47" s="148" t="n"/>
      <c r="DL47" s="148" t="n"/>
      <c r="DM47" s="148" t="n"/>
      <c r="DN47" s="148" t="n"/>
      <c r="EB47" s="148" t="n"/>
      <c r="EC47" s="148" t="n"/>
    </row>
    <row r="48" ht="13.5" customHeight="1" s="147">
      <c r="A48" s="220" t="n">
        <v>44</v>
      </c>
      <c r="B48" s="9" t="n"/>
      <c r="C48" s="265" t="n"/>
      <c r="D48" s="265" t="n"/>
      <c r="E48" s="265" t="n"/>
      <c r="F48" s="223" t="n"/>
      <c r="G48" s="223" t="n"/>
      <c r="H48" s="223" t="n"/>
      <c r="I48" s="223" t="n"/>
      <c r="J48" s="223" t="n"/>
      <c r="K48" s="223" t="n"/>
      <c r="L48" s="223" t="n"/>
      <c r="M48" s="223" t="n"/>
      <c r="N48" s="223" t="n"/>
      <c r="O48" s="223" t="n"/>
      <c r="P48" s="223" t="n"/>
      <c r="Q48" s="223" t="n"/>
      <c r="R48" s="223" t="n"/>
      <c r="S48" s="223" t="n"/>
      <c r="T48" s="223" t="n"/>
      <c r="U48" s="223" t="n"/>
      <c r="V48" s="223" t="n"/>
      <c r="W48" s="223" t="n"/>
      <c r="X48" s="223" t="n"/>
      <c r="Y48" s="223" t="n"/>
      <c r="Z48" s="223" t="n"/>
      <c r="AA48" s="223" t="n"/>
      <c r="AB48" s="223" t="n"/>
      <c r="AC48" s="223" t="n"/>
      <c r="AD48" s="223" t="n"/>
      <c r="AE48" s="20" t="n"/>
      <c r="AF48" s="220" t="n"/>
      <c r="AG48" s="220" t="n">
        <v>44</v>
      </c>
      <c r="AH48" s="220" t="n">
        <v>44</v>
      </c>
      <c r="AI48" s="220" t="n"/>
      <c r="AJ48" s="145" t="n"/>
      <c r="AK48" s="223" t="n"/>
      <c r="AL48" s="223" t="n"/>
      <c r="AM48" s="223" t="n"/>
      <c r="AN48" s="223" t="n"/>
      <c r="AO48" s="223" t="n"/>
      <c r="AP48" s="223" t="n"/>
      <c r="AQ48" s="223" t="n"/>
      <c r="AR48" s="223" t="n"/>
      <c r="AS48" s="223" t="n"/>
      <c r="AT48" s="223" t="n"/>
      <c r="AU48" s="223" t="n"/>
      <c r="AV48" s="223" t="n"/>
      <c r="AW48" s="223" t="n"/>
      <c r="AX48" s="223" t="n"/>
      <c r="AY48" s="223" t="n"/>
      <c r="AZ48" s="223" t="n"/>
      <c r="BA48" s="223" t="n"/>
      <c r="BB48" s="223" t="n"/>
      <c r="BC48" s="223" t="n"/>
      <c r="BD48" s="223" t="n"/>
      <c r="BE48" s="223" t="n"/>
      <c r="BF48" s="223" t="n"/>
      <c r="BG48" s="223" t="n"/>
      <c r="BH48" s="223" t="n"/>
      <c r="BI48" s="223" t="n"/>
      <c r="BJ48" s="223" t="n"/>
      <c r="BK48" s="223" t="n"/>
      <c r="BL48" s="223" t="n"/>
      <c r="BM48" s="20" t="n"/>
      <c r="BN48" s="220" t="n"/>
      <c r="BO48" s="220" t="n">
        <v>44</v>
      </c>
      <c r="BP48" s="7" t="n">
        <v>44</v>
      </c>
      <c r="BQ48" s="220" t="n"/>
      <c r="BR48" s="145" t="n"/>
      <c r="BS48" s="154" t="n"/>
      <c r="BT48" s="154" t="n"/>
      <c r="BU48" s="154" t="n"/>
      <c r="BV48" s="154" t="n"/>
      <c r="BW48" s="154" t="n"/>
      <c r="BX48" s="154" t="n"/>
      <c r="BY48" s="154" t="n"/>
      <c r="BZ48" s="154" t="n"/>
      <c r="CA48" s="154" t="n"/>
      <c r="CB48" s="154" t="n"/>
      <c r="CC48" s="154" t="n"/>
      <c r="CD48" s="154" t="n"/>
      <c r="CE48" s="154" t="n"/>
      <c r="CF48" s="154" t="n"/>
      <c r="CG48" s="154" t="n"/>
      <c r="CH48" s="154" t="n"/>
      <c r="CI48" s="154" t="n"/>
      <c r="CJ48" s="154" t="n"/>
      <c r="CK48" s="154" t="n"/>
      <c r="CL48" s="154" t="n"/>
      <c r="CM48" s="154" t="n"/>
      <c r="CN48" s="154" t="n"/>
      <c r="CO48" s="154" t="n"/>
      <c r="CP48" s="154" t="n"/>
      <c r="CQ48" s="154" t="n"/>
      <c r="CR48" s="154" t="n"/>
      <c r="CS48" s="154" t="n"/>
      <c r="CT48" s="154" t="n"/>
      <c r="CU48" s="5" t="n"/>
      <c r="CV48" s="220" t="n"/>
      <c r="CW48" s="92" t="n">
        <v>44</v>
      </c>
      <c r="DA48" s="148" t="n"/>
      <c r="DB48" s="148" t="n"/>
      <c r="DC48" s="148" t="n"/>
      <c r="DD48" s="148" t="n"/>
      <c r="DE48" s="148" t="n"/>
      <c r="DF48" s="148" t="n"/>
      <c r="DG48" s="148" t="n"/>
      <c r="DH48" s="148" t="n"/>
      <c r="DI48" s="148" t="n"/>
      <c r="DJ48" s="148" t="n"/>
      <c r="DK48" s="148" t="n"/>
      <c r="DL48" s="148" t="n"/>
      <c r="DM48" s="148" t="n"/>
      <c r="DN48" s="148" t="n"/>
      <c r="EB48" s="148" t="n"/>
      <c r="EC48" s="148" t="n"/>
    </row>
  </sheetData>
  <mergeCells count="260">
    <mergeCell ref="CA40:CA48"/>
    <mergeCell ref="CC40:CC48"/>
    <mergeCell ref="AI13:AJ13"/>
    <mergeCell ref="BQ13:BR13"/>
    <mergeCell ref="AM40:AM48"/>
    <mergeCell ref="BQ44:BR44"/>
    <mergeCell ref="R3:AD3"/>
    <mergeCell ref="DO1:EE1"/>
    <mergeCell ref="CM40:CM48"/>
    <mergeCell ref="CO40:CO48"/>
    <mergeCell ref="AY3:BL3"/>
    <mergeCell ref="CY33:CZ33"/>
    <mergeCell ref="BQ6:BR6"/>
    <mergeCell ref="BS3:CF3"/>
    <mergeCell ref="BQ15:BR15"/>
    <mergeCell ref="AB40:AB48"/>
    <mergeCell ref="CY14:CZ14"/>
    <mergeCell ref="DY3:DY4"/>
    <mergeCell ref="AD40:AD48"/>
    <mergeCell ref="T40:T48"/>
    <mergeCell ref="EB3:EB4"/>
    <mergeCell ref="CY48:CZ48"/>
    <mergeCell ref="BX40:BX48"/>
    <mergeCell ref="AP40:AP48"/>
    <mergeCell ref="BQ30:BR30"/>
    <mergeCell ref="AR40:AR48"/>
    <mergeCell ref="CR40:CR48"/>
    <mergeCell ref="BQ45:BR45"/>
    <mergeCell ref="BQ32:BR32"/>
    <mergeCell ref="AI27:AJ27"/>
    <mergeCell ref="DZ3:EA4"/>
    <mergeCell ref="AT40:AT48"/>
    <mergeCell ref="L40:L48"/>
    <mergeCell ref="AI41:AJ41"/>
    <mergeCell ref="AV40:AV48"/>
    <mergeCell ref="N40:N48"/>
    <mergeCell ref="AI35:AJ35"/>
    <mergeCell ref="BQ41:BR41"/>
    <mergeCell ref="BQ47:BR47"/>
    <mergeCell ref="BH40:BH48"/>
    <mergeCell ref="BZ40:BZ48"/>
    <mergeCell ref="AI25:AJ25"/>
    <mergeCell ref="CY26:CZ26"/>
    <mergeCell ref="CB40:CB48"/>
    <mergeCell ref="AY2:BO2"/>
    <mergeCell ref="BQ27:BR27"/>
    <mergeCell ref="BQ18:BR18"/>
    <mergeCell ref="G40:G48"/>
    <mergeCell ref="CU3:CU4"/>
    <mergeCell ref="CX1:DN1"/>
    <mergeCell ref="I40:I48"/>
    <mergeCell ref="BP1:CF1"/>
    <mergeCell ref="BI40:BI48"/>
    <mergeCell ref="BQ8:BR8"/>
    <mergeCell ref="CY8:CZ8"/>
    <mergeCell ref="BK40:BK48"/>
    <mergeCell ref="CF40:CF48"/>
    <mergeCell ref="BQ17:BR17"/>
    <mergeCell ref="CY17:CZ17"/>
    <mergeCell ref="AH2:AX2"/>
    <mergeCell ref="CY38:CZ38"/>
    <mergeCell ref="W40:W48"/>
    <mergeCell ref="BQ10:BR10"/>
    <mergeCell ref="AI5:AJ5"/>
    <mergeCell ref="BM3:BM4"/>
    <mergeCell ref="AI39:AJ39"/>
    <mergeCell ref="CY19:CZ19"/>
    <mergeCell ref="BQ19:BR19"/>
    <mergeCell ref="AI48:AJ48"/>
    <mergeCell ref="BQ28:BR28"/>
    <mergeCell ref="CI40:CI48"/>
    <mergeCell ref="CK40:CK48"/>
    <mergeCell ref="AS40:AS48"/>
    <mergeCell ref="AU40:AU48"/>
    <mergeCell ref="AI29:AJ29"/>
    <mergeCell ref="BQ9:BR9"/>
    <mergeCell ref="B3:B4"/>
    <mergeCell ref="AI38:AJ38"/>
    <mergeCell ref="CY39:CZ39"/>
    <mergeCell ref="BQ3:BR4"/>
    <mergeCell ref="CY36:CZ36"/>
    <mergeCell ref="CY18:CZ18"/>
    <mergeCell ref="BP3:BP4"/>
    <mergeCell ref="BQ5:BR5"/>
    <mergeCell ref="O40:O48"/>
    <mergeCell ref="Q40:Q48"/>
    <mergeCell ref="AI40:AJ40"/>
    <mergeCell ref="BS40:BS48"/>
    <mergeCell ref="AI15:AJ15"/>
    <mergeCell ref="BU40:BU48"/>
    <mergeCell ref="BQ29:BR29"/>
    <mergeCell ref="AI24:AJ24"/>
    <mergeCell ref="R1:AG1"/>
    <mergeCell ref="CG3:CT3"/>
    <mergeCell ref="CY6:CZ6"/>
    <mergeCell ref="CY44:CZ44"/>
    <mergeCell ref="CY15:CZ15"/>
    <mergeCell ref="DA3:DM3"/>
    <mergeCell ref="BB40:BB48"/>
    <mergeCell ref="CG2:CW2"/>
    <mergeCell ref="BQ31:BR31"/>
    <mergeCell ref="BD40:BD48"/>
    <mergeCell ref="AI26:AJ26"/>
    <mergeCell ref="AF3:AG4"/>
    <mergeCell ref="A1:P1"/>
    <mergeCell ref="CY3:CZ4"/>
    <mergeCell ref="CY12:CZ12"/>
    <mergeCell ref="AI7:AJ7"/>
    <mergeCell ref="BQ21:BR21"/>
    <mergeCell ref="CY21:CZ21"/>
    <mergeCell ref="AI16:AJ16"/>
    <mergeCell ref="X40:X48"/>
    <mergeCell ref="CV3:CW4"/>
    <mergeCell ref="Z40:Z48"/>
    <mergeCell ref="CY41:CZ41"/>
    <mergeCell ref="CY23:CZ23"/>
    <mergeCell ref="AL40:AL48"/>
    <mergeCell ref="AI43:AJ43"/>
    <mergeCell ref="BQ23:BR23"/>
    <mergeCell ref="AN40:AN48"/>
    <mergeCell ref="BQ46:BR46"/>
    <mergeCell ref="AI18:AJ18"/>
    <mergeCell ref="BF40:BF48"/>
    <mergeCell ref="BT40:BT48"/>
    <mergeCell ref="CN40:CN48"/>
    <mergeCell ref="CY13:CZ13"/>
    <mergeCell ref="CP40:CP48"/>
    <mergeCell ref="BQ7:BR7"/>
    <mergeCell ref="AI33:AJ33"/>
    <mergeCell ref="CY7:CZ7"/>
    <mergeCell ref="AI42:AJ42"/>
    <mergeCell ref="CY43:CZ43"/>
    <mergeCell ref="BQ48:BR48"/>
    <mergeCell ref="CY40:CZ40"/>
    <mergeCell ref="CY27:CZ27"/>
    <mergeCell ref="CT40:CT48"/>
    <mergeCell ref="AI44:AJ44"/>
    <mergeCell ref="BV40:BV48"/>
    <mergeCell ref="AE3:AE4"/>
    <mergeCell ref="BQ34:BR34"/>
    <mergeCell ref="AI34:AJ34"/>
    <mergeCell ref="AI28:AJ28"/>
    <mergeCell ref="K40:K48"/>
    <mergeCell ref="M40:M48"/>
    <mergeCell ref="C40:C48"/>
    <mergeCell ref="E40:E48"/>
    <mergeCell ref="BE40:BE48"/>
    <mergeCell ref="BQ36:BR36"/>
    <mergeCell ref="BG40:BG48"/>
    <mergeCell ref="Y40:Y48"/>
    <mergeCell ref="AI30:AJ30"/>
    <mergeCell ref="BQ33:BR33"/>
    <mergeCell ref="AI6:AJ6"/>
    <mergeCell ref="AK3:AX3"/>
    <mergeCell ref="BQ20:BR20"/>
    <mergeCell ref="AI11:AJ11"/>
    <mergeCell ref="CY25:CZ25"/>
    <mergeCell ref="CY30:CZ30"/>
    <mergeCell ref="AC40:AC48"/>
    <mergeCell ref="BQ35:BR35"/>
    <mergeCell ref="CY5:CZ5"/>
    <mergeCell ref="CE40:CE48"/>
    <mergeCell ref="CY34:CZ34"/>
    <mergeCell ref="DO3:DX3"/>
    <mergeCell ref="AO40:AO48"/>
    <mergeCell ref="BQ22:BR22"/>
    <mergeCell ref="CG40:CG48"/>
    <mergeCell ref="AQ40:AQ48"/>
    <mergeCell ref="CQ40:CQ48"/>
    <mergeCell ref="A2:P2"/>
    <mergeCell ref="CS40:CS48"/>
    <mergeCell ref="AI32:AJ32"/>
    <mergeCell ref="BQ12:BR12"/>
    <mergeCell ref="CY11:CZ11"/>
    <mergeCell ref="AI46:AJ46"/>
    <mergeCell ref="EC3:EC4"/>
    <mergeCell ref="C3:Q3"/>
    <mergeCell ref="AI47:AJ47"/>
    <mergeCell ref="DN3:DN4"/>
    <mergeCell ref="CG1:CW1"/>
    <mergeCell ref="CY32:CZ32"/>
    <mergeCell ref="BQ39:BR39"/>
    <mergeCell ref="BQ14:BR14"/>
    <mergeCell ref="BN3:BO4"/>
    <mergeCell ref="CY42:CZ42"/>
    <mergeCell ref="AH3:AH4"/>
    <mergeCell ref="CY47:CZ47"/>
    <mergeCell ref="BQ38:BR38"/>
    <mergeCell ref="ED3:EE4"/>
    <mergeCell ref="AI8:AJ8"/>
    <mergeCell ref="AX40:AX48"/>
    <mergeCell ref="P40:P48"/>
    <mergeCell ref="AZ40:AZ48"/>
    <mergeCell ref="H40:H48"/>
    <mergeCell ref="R40:R48"/>
    <mergeCell ref="J40:J48"/>
    <mergeCell ref="AI17:AJ17"/>
    <mergeCell ref="CX3:CX4"/>
    <mergeCell ref="BJ40:BJ48"/>
    <mergeCell ref="BQ40:BR40"/>
    <mergeCell ref="BL40:BL48"/>
    <mergeCell ref="CY28:CZ28"/>
    <mergeCell ref="CD40:CD48"/>
    <mergeCell ref="BQ37:BR37"/>
    <mergeCell ref="CY37:CZ37"/>
    <mergeCell ref="AI10:AJ10"/>
    <mergeCell ref="BQ24:BR24"/>
    <mergeCell ref="CY24:CZ24"/>
    <mergeCell ref="AI19:AJ19"/>
    <mergeCell ref="V40:V48"/>
    <mergeCell ref="AI9:AJ9"/>
    <mergeCell ref="CY10:CZ10"/>
    <mergeCell ref="CH40:CH48"/>
    <mergeCell ref="R2:AG2"/>
    <mergeCell ref="DO2:EE2"/>
    <mergeCell ref="CJ40:CJ48"/>
    <mergeCell ref="AI3:AJ4"/>
    <mergeCell ref="BQ26:BR26"/>
    <mergeCell ref="CL40:CL48"/>
    <mergeCell ref="CY29:CZ29"/>
    <mergeCell ref="A3:A4"/>
    <mergeCell ref="AI36:AJ36"/>
    <mergeCell ref="BQ16:BR16"/>
    <mergeCell ref="CY16:CZ16"/>
    <mergeCell ref="AI45:AJ45"/>
    <mergeCell ref="AH1:AX1"/>
    <mergeCell ref="BQ25:BR25"/>
    <mergeCell ref="S40:S48"/>
    <mergeCell ref="AK40:AK48"/>
    <mergeCell ref="CX2:DN2"/>
    <mergeCell ref="BP2:CF2"/>
    <mergeCell ref="AI20:AJ20"/>
    <mergeCell ref="CY9:CZ9"/>
    <mergeCell ref="AW40:AW48"/>
    <mergeCell ref="AY40:AY48"/>
    <mergeCell ref="CY45:CZ45"/>
    <mergeCell ref="CY20:CZ20"/>
    <mergeCell ref="AI22:AJ22"/>
    <mergeCell ref="BQ42:BR42"/>
    <mergeCell ref="AI37:AJ37"/>
    <mergeCell ref="BQ11:BR11"/>
    <mergeCell ref="AI31:AJ31"/>
    <mergeCell ref="BA40:BA48"/>
    <mergeCell ref="BQ43:BR43"/>
    <mergeCell ref="CY35:CZ35"/>
    <mergeCell ref="BC40:BC48"/>
    <mergeCell ref="U40:U48"/>
    <mergeCell ref="AI12:AJ12"/>
    <mergeCell ref="AY1:BO1"/>
    <mergeCell ref="AI21:AJ21"/>
    <mergeCell ref="CY22:CZ22"/>
    <mergeCell ref="BW40:BW48"/>
    <mergeCell ref="CY31:CZ31"/>
    <mergeCell ref="BY40:BY48"/>
    <mergeCell ref="AI14:AJ14"/>
    <mergeCell ref="CY46:CZ46"/>
    <mergeCell ref="AI23:AJ23"/>
    <mergeCell ref="D40:D48"/>
    <mergeCell ref="AA40:AA48"/>
    <mergeCell ref="F40:F48"/>
  </mergeCells>
  <conditionalFormatting sqref="AE1:AE39 AE49:AE1048576">
    <cfRule type="cellIs" priority="4" operator="lessThan" dxfId="0">
      <formula>3</formula>
    </cfRule>
  </conditionalFormatting>
  <conditionalFormatting sqref="BM3:BM4">
    <cfRule type="cellIs" priority="1" operator="lessThan" dxfId="0">
      <formula>3</formula>
    </cfRule>
  </conditionalFormatting>
  <pageMargins left="0.7" right="0.7" top="0.75" bottom="0.75" header="0.3" footer="0.3"/>
  <pageSetup orientation="portrait" horizontalDpi="4294967293"/>
  <headerFooter>
    <oddHeader>&amp;LINGLES&amp;CGRUPO 1°</oddHeader>
    <oddFooter/>
    <evenHeader/>
    <evenFooter/>
    <firstHeader/>
    <firstFooter/>
  </headerFooter>
</worksheet>
</file>

<file path=xl/worksheets/sheet10.xml><?xml version="1.0" encoding="utf-8"?>
<worksheet xmlns="http://schemas.openxmlformats.org/spreadsheetml/2006/main">
  <sheetPr codeName="Hoja8">
    <tabColor rgb="FF70A0D4"/>
    <outlinePr summaryBelow="1" summaryRight="1"/>
    <pageSetUpPr/>
  </sheetPr>
  <dimension ref="B3:Q56"/>
  <sheetViews>
    <sheetView view="pageLayout" topLeftCell="A2" zoomScale="70" zoomScaleNormal="100" zoomScalePageLayoutView="70" workbookViewId="0">
      <selection activeCell="V30" sqref="V30"/>
    </sheetView>
  </sheetViews>
  <sheetFormatPr baseColWidth="10" defaultRowHeight="14.4"/>
  <cols>
    <col width="0.44140625" customWidth="1" style="147" min="1" max="1"/>
    <col width="3.44140625" customWidth="1" style="147" min="2" max="2"/>
    <col width="17.44140625" customWidth="1" style="147" min="3" max="3"/>
    <col width="6.44140625" customWidth="1" style="147" min="4" max="4"/>
    <col width="13.44140625" customWidth="1" style="147" min="5" max="5"/>
    <col width="5.6640625" customWidth="1" style="147" min="6" max="6"/>
    <col width="6" customWidth="1" style="147" min="7" max="7"/>
    <col width="4.6640625" customWidth="1" style="147" min="8" max="8"/>
    <col width="7.44140625" customWidth="1" style="148" min="9" max="9"/>
    <col width="4.6640625" customWidth="1" style="147" min="10" max="13"/>
    <col width="4.44140625" customWidth="1" style="147" min="14" max="14"/>
    <col width="4.6640625" customWidth="1" style="147" min="15" max="15"/>
    <col width="4.109375" customWidth="1" style="147" min="16" max="16"/>
    <col width="4" customWidth="1" style="147" min="17" max="17"/>
  </cols>
  <sheetData>
    <row r="3" ht="18" customHeight="1" s="147">
      <c r="B3" s="160" t="inlineStr">
        <is>
          <t xml:space="preserve">MINISTERIO DE EDUCACION </t>
        </is>
      </c>
    </row>
    <row r="4">
      <c r="B4" s="12" t="n"/>
      <c r="C4" s="12" t="n"/>
      <c r="D4" s="12" t="n"/>
      <c r="E4" s="12" t="n"/>
      <c r="F4" s="12" t="n"/>
      <c r="G4" s="12" t="n"/>
      <c r="H4" s="12" t="n"/>
      <c r="I4" s="43" t="n"/>
      <c r="J4" s="12" t="n"/>
      <c r="K4" s="12" t="n"/>
      <c r="L4" s="12" t="n"/>
      <c r="M4" s="12" t="n"/>
      <c r="N4" s="12" t="n"/>
      <c r="O4" s="12" t="n"/>
      <c r="P4" s="12" t="n"/>
      <c r="Q4" s="12" t="n"/>
    </row>
    <row r="5">
      <c r="B5" s="146" t="inlineStr">
        <is>
          <t>ESCUELA CERRO CACICON</t>
        </is>
      </c>
    </row>
    <row r="6">
      <c r="B6" s="146" t="inlineStr">
        <is>
          <t>CACICON, COMARCA NGABE BUGLE</t>
        </is>
      </c>
    </row>
    <row r="7">
      <c r="B7" s="146" t="inlineStr">
        <is>
          <t>INFORME DE CALIFICACIONES, AUSENCIAS Y TARDANZAS</t>
        </is>
      </c>
    </row>
    <row r="8">
      <c r="B8" s="12" t="n"/>
      <c r="C8" s="13" t="n"/>
      <c r="D8" s="13" t="n"/>
      <c r="E8" s="13" t="n"/>
      <c r="F8" s="12" t="n"/>
      <c r="G8" s="12" t="n"/>
      <c r="H8" s="12" t="n"/>
      <c r="I8" s="43" t="n"/>
      <c r="J8" s="12" t="n"/>
      <c r="K8" s="12" t="n"/>
      <c r="L8" s="12" t="n"/>
      <c r="M8" s="12" t="n"/>
      <c r="N8" s="12" t="n"/>
      <c r="O8" s="12" t="n"/>
      <c r="P8" s="12" t="n"/>
      <c r="Q8" s="12" t="n"/>
    </row>
    <row r="9">
      <c r="B9" s="155" t="inlineStr">
        <is>
          <t>AÑO LECTIVO:</t>
        </is>
      </c>
      <c r="C9" s="156" t="n"/>
      <c r="D9" s="168" t="n">
        <v>2026</v>
      </c>
      <c r="E9" s="156" t="n"/>
      <c r="F9" s="12" t="n"/>
      <c r="G9" s="12" t="n"/>
      <c r="H9" s="12" t="n"/>
      <c r="I9" s="166" t="inlineStr">
        <is>
          <t xml:space="preserve">GRUPO: </t>
        </is>
      </c>
      <c r="J9" s="157" t="n"/>
      <c r="K9" s="145" t="n"/>
      <c r="L9" s="159" t="inlineStr">
        <is>
          <t>1°</t>
        </is>
      </c>
      <c r="M9" s="157" t="n"/>
      <c r="N9" s="157" t="n"/>
      <c r="O9" s="157" t="n"/>
      <c r="P9" s="157" t="n"/>
      <c r="Q9" s="145" t="n"/>
    </row>
    <row r="10">
      <c r="B10" s="164" t="n"/>
      <c r="C10" s="165" t="n"/>
      <c r="D10" s="94" t="n"/>
      <c r="E10" s="93" t="n"/>
      <c r="F10" s="12" t="n"/>
      <c r="G10" s="12" t="n"/>
      <c r="H10" s="12" t="n"/>
      <c r="I10" s="43" t="n"/>
      <c r="J10" s="12" t="n"/>
      <c r="K10" s="12" t="n"/>
      <c r="L10" s="12" t="n"/>
      <c r="M10" s="12" t="n"/>
      <c r="N10" s="12" t="n"/>
      <c r="O10" s="12" t="n"/>
      <c r="P10" s="12" t="n"/>
      <c r="Q10" s="12" t="n"/>
    </row>
    <row r="11">
      <c r="B11" s="155" t="inlineStr">
        <is>
          <t xml:space="preserve">ASIGNATURA: </t>
        </is>
      </c>
      <c r="C11" s="156" t="n"/>
      <c r="D11" s="158" t="inlineStr">
        <is>
          <t>INGLES</t>
        </is>
      </c>
      <c r="E11" s="156" t="n"/>
      <c r="F11" s="12" t="n"/>
      <c r="G11" s="12" t="n"/>
      <c r="H11" s="12" t="n"/>
      <c r="I11" s="166" t="inlineStr">
        <is>
          <t>PROFESOR:</t>
        </is>
      </c>
      <c r="J11" s="157" t="n"/>
      <c r="K11" s="145" t="n"/>
      <c r="L11" s="163" t="inlineStr">
        <is>
          <t>ELMER TUGRI</t>
        </is>
      </c>
      <c r="M11" s="157" t="n"/>
      <c r="N11" s="157" t="n"/>
      <c r="O11" s="157" t="n"/>
      <c r="P11" s="157" t="n"/>
      <c r="Q11" s="145" t="n"/>
    </row>
    <row r="12">
      <c r="B12" s="12" t="n"/>
      <c r="C12" s="12" t="n"/>
      <c r="D12" s="12" t="n"/>
      <c r="E12" s="12" t="n"/>
      <c r="F12" s="12" t="n"/>
      <c r="G12" s="12" t="n"/>
      <c r="H12" s="12" t="n"/>
      <c r="I12" s="43" t="n"/>
      <c r="J12" s="12" t="n"/>
      <c r="K12" s="12" t="n"/>
      <c r="L12" s="12" t="n"/>
      <c r="M12" s="12" t="n"/>
      <c r="N12" s="12" t="n"/>
      <c r="O12" s="12" t="n"/>
      <c r="P12" s="12" t="n"/>
      <c r="Q12" s="12" t="n"/>
    </row>
    <row r="13" ht="15" customHeight="1" s="147">
      <c r="B13" s="12" t="n"/>
      <c r="C13" s="12" t="n"/>
      <c r="D13" s="12" t="n"/>
      <c r="E13" s="12" t="n"/>
      <c r="F13" s="144" t="inlineStr">
        <is>
          <t>TRIMESTRES</t>
        </is>
      </c>
      <c r="G13" s="157" t="n"/>
      <c r="H13" s="145" t="n"/>
      <c r="I13" s="43" t="n"/>
      <c r="J13" s="144" t="inlineStr">
        <is>
          <t>AUSENCIAS/TARDANZAS</t>
        </is>
      </c>
      <c r="K13" s="157" t="n"/>
      <c r="L13" s="157" t="n"/>
      <c r="M13" s="157" t="n"/>
      <c r="N13" s="157" t="n"/>
      <c r="O13" s="145" t="n"/>
      <c r="P13" s="149" t="inlineStr">
        <is>
          <t xml:space="preserve">TOTAL FINAL </t>
        </is>
      </c>
      <c r="Q13" s="150" t="n"/>
    </row>
    <row r="14" ht="15" customHeight="1" s="147">
      <c r="B14" s="153" t="inlineStr">
        <is>
          <t>No</t>
        </is>
      </c>
      <c r="C14" s="167" t="inlineStr">
        <is>
          <t>APELLIDO, NOMBRE</t>
        </is>
      </c>
      <c r="D14" s="150" t="n"/>
      <c r="E14" s="169" t="inlineStr">
        <is>
          <t xml:space="preserve"> CEDULA</t>
        </is>
      </c>
      <c r="F14" s="153" t="inlineStr">
        <is>
          <t>I</t>
        </is>
      </c>
      <c r="G14" s="153" t="inlineStr">
        <is>
          <t>II</t>
        </is>
      </c>
      <c r="H14" s="153" t="inlineStr">
        <is>
          <t>III</t>
        </is>
      </c>
      <c r="I14" s="161" t="inlineStr">
        <is>
          <t>NOTA FINAL</t>
        </is>
      </c>
      <c r="J14" s="144" t="inlineStr">
        <is>
          <t>I</t>
        </is>
      </c>
      <c r="K14" s="145" t="n"/>
      <c r="L14" s="144" t="inlineStr">
        <is>
          <t>II</t>
        </is>
      </c>
      <c r="M14" s="145" t="n"/>
      <c r="N14" s="144" t="inlineStr">
        <is>
          <t>III</t>
        </is>
      </c>
      <c r="O14" s="145" t="n"/>
      <c r="P14" s="151" t="n"/>
      <c r="Q14" s="152" t="n"/>
    </row>
    <row r="15">
      <c r="B15" s="154" t="n"/>
      <c r="C15" s="151" t="n"/>
      <c r="D15" s="152" t="n"/>
      <c r="E15" s="154" t="n"/>
      <c r="F15" s="154" t="n"/>
      <c r="G15" s="154" t="n"/>
      <c r="H15" s="154" t="n"/>
      <c r="I15" s="162" t="n"/>
      <c r="J15" s="14" t="inlineStr">
        <is>
          <t>A</t>
        </is>
      </c>
      <c r="K15" s="14" t="inlineStr">
        <is>
          <t>T</t>
        </is>
      </c>
      <c r="L15" s="14" t="inlineStr">
        <is>
          <t>A</t>
        </is>
      </c>
      <c r="M15" s="14" t="inlineStr">
        <is>
          <t>T</t>
        </is>
      </c>
      <c r="N15" s="14" t="inlineStr">
        <is>
          <t>A</t>
        </is>
      </c>
      <c r="O15" s="14" t="inlineStr">
        <is>
          <t>T</t>
        </is>
      </c>
      <c r="P15" s="14" t="inlineStr">
        <is>
          <t>A</t>
        </is>
      </c>
      <c r="Q15" s="14" t="inlineStr">
        <is>
          <t>T</t>
        </is>
      </c>
    </row>
    <row r="16">
      <c r="B16" s="9" t="n">
        <v>1</v>
      </c>
      <c r="C16" s="11">
        <f>IF('MAESTRO 1°'!B5="","",'MAESTRO 1°'!B5)</f>
        <v/>
      </c>
      <c r="D16" s="15" t="n"/>
      <c r="E16" s="11">
        <f>IF('MAESTRO 1°'!D5="","",'MAESTRO 1°'!E5)</f>
        <v/>
      </c>
      <c r="F16" s="46">
        <f>IF('MAESTRO 1°'!B5="","",IFERROR('PROM (Ingles 1°)'!AE5,""))</f>
        <v/>
      </c>
      <c r="G16" s="46">
        <f>IF('MAESTRO 1°'!B5="","",IFERROR('PROM (Ingles 1°)'!BM5,""))</f>
        <v/>
      </c>
      <c r="H16" s="46">
        <f>IF('MAESTRO 1°'!B5="","",IFERROR('PROM (Ingles 1°)'!CU5,""))</f>
        <v/>
      </c>
      <c r="I16" s="46">
        <f>IF('MAESTRO 1°'!B5="","",IFERROR(TRUNC(AVERAGE(F16,G16,H16),1),""))</f>
        <v/>
      </c>
      <c r="J16" s="163">
        <f>IF('MAESTRO 1°'!B5="","",IFERROR('Asistencia 1° '!BI3,""))</f>
        <v/>
      </c>
      <c r="K16" s="163">
        <f>IF('MAESTRO 1°'!B5="","",IFERROR('Asistencia 1° '!BJ3,""))</f>
        <v/>
      </c>
      <c r="L16" s="163">
        <f>IF('MAESTRO 1°'!B5="","",IFERROR('Asistencia 1° '!BI46,""))</f>
        <v/>
      </c>
      <c r="M16" s="163">
        <f>IF('MAESTRO 1°'!B5="","",IFERROR('Asistencia 1° '!BJ46,""))</f>
        <v/>
      </c>
      <c r="N16" s="163">
        <f>IF('MAESTRO 1°'!B5="","",IFERROR('Asistencia 1° '!BI89,""))</f>
        <v/>
      </c>
      <c r="O16" s="163">
        <f>IF('MAESTRO 1°'!B5="","",IFERROR('Asistencia 1° '!BJ89,""))</f>
        <v/>
      </c>
      <c r="P16" s="159">
        <f>SUM(J16,L16,N16)</f>
        <v/>
      </c>
      <c r="Q16" s="159">
        <f>SUM(K16,M16,O16)</f>
        <v/>
      </c>
    </row>
    <row r="17">
      <c r="B17" s="9" t="n">
        <v>2</v>
      </c>
      <c r="C17" s="11">
        <f>IF('MAESTRO 1°'!B6="","",'MAESTRO 1°'!B6)</f>
        <v/>
      </c>
      <c r="D17" s="15" t="n"/>
      <c r="E17" s="11">
        <f>IF('MAESTRO 1°'!D6="","",'MAESTRO 1°'!E6)</f>
        <v/>
      </c>
      <c r="F17" s="46">
        <f>IF('MAESTRO 1°'!B6="","",IFERROR('PROM (Ingles 1°)'!AE6,""))</f>
        <v/>
      </c>
      <c r="G17" s="46">
        <f>IF('MAESTRO 1°'!B6="","",IFERROR('PROM (Ingles 1°)'!BM6,""))</f>
        <v/>
      </c>
      <c r="H17" s="46">
        <f>IF('MAESTRO 1°'!B6="","",IFERROR('PROM (Ingles 1°)'!CU6,""))</f>
        <v/>
      </c>
      <c r="I17" s="46">
        <f>IF('MAESTRO 1°'!B6="","",IFERROR(TRUNC(AVERAGE(F17,G17,H17),1),""))</f>
        <v/>
      </c>
      <c r="J17" s="163">
        <f>IF('MAESTRO 1°'!B6="","",IFERROR('Asistencia 1° '!BI4,""))</f>
        <v/>
      </c>
      <c r="K17" s="163">
        <f>IF('MAESTRO 1°'!B6="","",IFERROR('Asistencia 1° '!BJ4,""))</f>
        <v/>
      </c>
      <c r="L17" s="163">
        <f>IF('MAESTRO 1°'!B6="","",IFERROR('Asistencia 1° '!BI47,""))</f>
        <v/>
      </c>
      <c r="M17" s="163">
        <f>IF('MAESTRO 1°'!B6="","",IFERROR('Asistencia 1° '!BJ47,""))</f>
        <v/>
      </c>
      <c r="N17" s="163">
        <f>IF('MAESTRO 1°'!B6="","",IFERROR('Asistencia 1° '!BI90,""))</f>
        <v/>
      </c>
      <c r="O17" s="163">
        <f>IF('MAESTRO 1°'!B6="","",IFERROR('Asistencia 1° '!BJ90,""))</f>
        <v/>
      </c>
      <c r="P17" s="159">
        <f>SUM(J17,L17,N17)</f>
        <v/>
      </c>
      <c r="Q17" s="159">
        <f>SUM(K17,M17,O17)</f>
        <v/>
      </c>
    </row>
    <row r="18">
      <c r="B18" s="9" t="n">
        <v>3</v>
      </c>
      <c r="C18" s="11">
        <f>IF('MAESTRO 1°'!B7="","",'MAESTRO 1°'!B7)</f>
        <v/>
      </c>
      <c r="D18" s="15" t="n"/>
      <c r="E18" s="11">
        <f>IF('MAESTRO 1°'!D7="","",'MAESTRO 1°'!E7)</f>
        <v/>
      </c>
      <c r="F18" s="46">
        <f>IF('MAESTRO 1°'!B7="","",IFERROR('PROM (Ingles 1°)'!AE7,""))</f>
        <v/>
      </c>
      <c r="G18" s="46">
        <f>IF('MAESTRO 1°'!B7="","",IFERROR('PROM (Ingles 1°)'!BM7,""))</f>
        <v/>
      </c>
      <c r="H18" s="46">
        <f>IF('MAESTRO 1°'!B7="","",IFERROR('PROM (Ingles 1°)'!CU7,""))</f>
        <v/>
      </c>
      <c r="I18" s="46">
        <f>IF('MAESTRO 1°'!B7="","",IFERROR(TRUNC(AVERAGE(F18,G18,H18),1),""))</f>
        <v/>
      </c>
      <c r="J18" s="163">
        <f>IF('MAESTRO 1°'!B7="","",IFERROR('Asistencia 1° '!BI5,""))</f>
        <v/>
      </c>
      <c r="K18" s="163">
        <f>IF('MAESTRO 1°'!B7="","",IFERROR('Asistencia 1° '!BJ5,""))</f>
        <v/>
      </c>
      <c r="L18" s="163">
        <f>IF('MAESTRO 1°'!B7="","",IFERROR('Asistencia 1° '!BI48,""))</f>
        <v/>
      </c>
      <c r="M18" s="163">
        <f>IF('MAESTRO 1°'!B7="","",IFERROR('Asistencia 1° '!BJ48,""))</f>
        <v/>
      </c>
      <c r="N18" s="163">
        <f>IF('MAESTRO 1°'!B7="","",IFERROR('Asistencia 1° '!BI91,""))</f>
        <v/>
      </c>
      <c r="O18" s="163">
        <f>IF('MAESTRO 1°'!B7="","",IFERROR('Asistencia 1° '!BJ91,""))</f>
        <v/>
      </c>
      <c r="P18" s="159">
        <f>SUM(J18,L18,N18)</f>
        <v/>
      </c>
      <c r="Q18" s="159">
        <f>SUM(K18,M18,O18)</f>
        <v/>
      </c>
    </row>
    <row r="19">
      <c r="B19" s="9" t="n">
        <v>4</v>
      </c>
      <c r="C19" s="11">
        <f>IF('MAESTRO 1°'!B8="","",'MAESTRO 1°'!B8)</f>
        <v/>
      </c>
      <c r="D19" s="15" t="n"/>
      <c r="E19" s="11">
        <f>IF('MAESTRO 1°'!D8="","",'MAESTRO 1°'!E8)</f>
        <v/>
      </c>
      <c r="F19" s="46">
        <f>IF('MAESTRO 1°'!B8="","",IFERROR('PROM (Ingles 1°)'!AE8,""))</f>
        <v/>
      </c>
      <c r="G19" s="46">
        <f>IF('MAESTRO 1°'!B8="","",IFERROR('PROM (Ingles 1°)'!BM8,""))</f>
        <v/>
      </c>
      <c r="H19" s="46">
        <f>IF('MAESTRO 1°'!B8="","",IFERROR('PROM (Ingles 1°)'!CU8,""))</f>
        <v/>
      </c>
      <c r="I19" s="46">
        <f>IF('MAESTRO 1°'!B8="","",IFERROR(TRUNC(AVERAGE(F19,G19,H19),1),""))</f>
        <v/>
      </c>
      <c r="J19" s="163">
        <f>IF('MAESTRO 1°'!B8="","",IFERROR('Asistencia 1° '!BI6,""))</f>
        <v/>
      </c>
      <c r="K19" s="163">
        <f>IF('MAESTRO 1°'!B8="","",IFERROR('Asistencia 1° '!BJ6,""))</f>
        <v/>
      </c>
      <c r="L19" s="163">
        <f>IF('MAESTRO 1°'!B8="","",IFERROR('Asistencia 1° '!BI49,""))</f>
        <v/>
      </c>
      <c r="M19" s="163">
        <f>IF('MAESTRO 1°'!B8="","",IFERROR('Asistencia 1° '!BJ49,""))</f>
        <v/>
      </c>
      <c r="N19" s="163">
        <f>IF('MAESTRO 1°'!B8="","",IFERROR('Asistencia 1° '!BI92,""))</f>
        <v/>
      </c>
      <c r="O19" s="163">
        <f>IF('MAESTRO 1°'!B8="","",IFERROR('Asistencia 1° '!BJ92,""))</f>
        <v/>
      </c>
      <c r="P19" s="159">
        <f>SUM(J19,L19,N19)</f>
        <v/>
      </c>
      <c r="Q19" s="159">
        <f>SUM(K19,M19,O19)</f>
        <v/>
      </c>
    </row>
    <row r="20">
      <c r="B20" s="9" t="n">
        <v>5</v>
      </c>
      <c r="C20" s="11">
        <f>IF('MAESTRO 1°'!B9="","",'MAESTRO 1°'!B9)</f>
        <v/>
      </c>
      <c r="D20" s="15" t="n"/>
      <c r="E20" s="11">
        <f>IF('MAESTRO 1°'!D9="","",'MAESTRO 1°'!E9)</f>
        <v/>
      </c>
      <c r="F20" s="46">
        <f>IF('MAESTRO 1°'!B9="","",IFERROR('PROM (Ingles 1°)'!AE9,""))</f>
        <v/>
      </c>
      <c r="G20" s="46">
        <f>IF('MAESTRO 1°'!B9="","",IFERROR('PROM (Ingles 1°)'!BM9,""))</f>
        <v/>
      </c>
      <c r="H20" s="46">
        <f>IF('MAESTRO 1°'!B9="","",IFERROR('PROM (Ingles 1°)'!CU9,""))</f>
        <v/>
      </c>
      <c r="I20" s="46">
        <f>IF('MAESTRO 1°'!B9="","",IFERROR(TRUNC(AVERAGE(F20,G20,H20),1),""))</f>
        <v/>
      </c>
      <c r="J20" s="163">
        <f>IF('MAESTRO 1°'!B9="","",IFERROR('Asistencia 1° '!BI7,""))</f>
        <v/>
      </c>
      <c r="K20" s="163">
        <f>IF('MAESTRO 1°'!B9="","",IFERROR('Asistencia 1° '!BJ7,""))</f>
        <v/>
      </c>
      <c r="L20" s="163">
        <f>IF('MAESTRO 1°'!B9="","",IFERROR('Asistencia 1° '!BI50,""))</f>
        <v/>
      </c>
      <c r="M20" s="163">
        <f>IF('MAESTRO 1°'!B9="","",IFERROR('Asistencia 1° '!BJ50,""))</f>
        <v/>
      </c>
      <c r="N20" s="163">
        <f>IF('MAESTRO 1°'!B9="","",IFERROR('Asistencia 1° '!BI93,""))</f>
        <v/>
      </c>
      <c r="O20" s="163">
        <f>IF('MAESTRO 1°'!B9="","",IFERROR('Asistencia 1° '!BJ93,""))</f>
        <v/>
      </c>
      <c r="P20" s="159">
        <f>SUM(J20,L20,N20)</f>
        <v/>
      </c>
      <c r="Q20" s="159">
        <f>SUM(K20,M20,O20)</f>
        <v/>
      </c>
    </row>
    <row r="21">
      <c r="B21" s="9" t="n">
        <v>6</v>
      </c>
      <c r="C21" s="11">
        <f>IF('MAESTRO 1°'!B10="","",'MAESTRO 1°'!B10)</f>
        <v/>
      </c>
      <c r="D21" s="15" t="n"/>
      <c r="E21" s="11">
        <f>IF('MAESTRO 1°'!D10="","",'MAESTRO 1°'!E10)</f>
        <v/>
      </c>
      <c r="F21" s="46">
        <f>IF('MAESTRO 1°'!B10="","",IFERROR('PROM (Ingles 1°)'!AE10,""))</f>
        <v/>
      </c>
      <c r="G21" s="46">
        <f>IF('MAESTRO 1°'!B10="","",IFERROR('PROM (Ingles 1°)'!BM10,""))</f>
        <v/>
      </c>
      <c r="H21" s="46">
        <f>IF('MAESTRO 1°'!B10="","",IFERROR('PROM (Ingles 1°)'!CU10,""))</f>
        <v/>
      </c>
      <c r="I21" s="46">
        <f>IF('MAESTRO 1°'!B10="","",IFERROR(TRUNC(AVERAGE(F21,G21,H21),1),""))</f>
        <v/>
      </c>
      <c r="J21" s="163">
        <f>IF('MAESTRO 1°'!B10="","",IFERROR('Asistencia 1° '!BI8,""))</f>
        <v/>
      </c>
      <c r="K21" s="163">
        <f>IF('MAESTRO 1°'!B10="","",IFERROR('Asistencia 1° '!BJ8,""))</f>
        <v/>
      </c>
      <c r="L21" s="163">
        <f>IF('MAESTRO 1°'!B10="","",IFERROR('Asistencia 1° '!BI51,""))</f>
        <v/>
      </c>
      <c r="M21" s="163">
        <f>IF('MAESTRO 1°'!B10="","",IFERROR('Asistencia 1° '!BJ51,""))</f>
        <v/>
      </c>
      <c r="N21" s="163">
        <f>IF('MAESTRO 1°'!B10="","",IFERROR('Asistencia 1° '!BI94,""))</f>
        <v/>
      </c>
      <c r="O21" s="163">
        <f>IF('MAESTRO 1°'!B10="","",IFERROR('Asistencia 1° '!BJ94,""))</f>
        <v/>
      </c>
      <c r="P21" s="159">
        <f>SUM(J21,L21,N21)</f>
        <v/>
      </c>
      <c r="Q21" s="159">
        <f>SUM(K21,M21,O21)</f>
        <v/>
      </c>
    </row>
    <row r="22">
      <c r="B22" s="9" t="n">
        <v>7</v>
      </c>
      <c r="C22" s="11">
        <f>IF('MAESTRO 1°'!B11="","",'MAESTRO 1°'!B11)</f>
        <v/>
      </c>
      <c r="D22" s="15" t="n"/>
      <c r="E22" s="11">
        <f>IF('MAESTRO 1°'!D11="","",'MAESTRO 1°'!E11)</f>
        <v/>
      </c>
      <c r="F22" s="46">
        <f>IF('MAESTRO 1°'!B11="","",IFERROR('PROM (Ingles 1°)'!AE11,""))</f>
        <v/>
      </c>
      <c r="G22" s="46">
        <f>IF('MAESTRO 1°'!B11="","",IFERROR('PROM (Ingles 1°)'!BM11,""))</f>
        <v/>
      </c>
      <c r="H22" s="46">
        <f>IF('MAESTRO 1°'!B11="","",IFERROR('PROM (Ingles 1°)'!CU11,""))</f>
        <v/>
      </c>
      <c r="I22" s="46">
        <f>IF('MAESTRO 1°'!B11="","",IFERROR(TRUNC(AVERAGE(F22,G22,H22),1),""))</f>
        <v/>
      </c>
      <c r="J22" s="163">
        <f>IF('MAESTRO 1°'!B11="","",IFERROR('Asistencia 1° '!BI9,""))</f>
        <v/>
      </c>
      <c r="K22" s="163">
        <f>IF('MAESTRO 1°'!B11="","",IFERROR('Asistencia 1° '!BJ9,""))</f>
        <v/>
      </c>
      <c r="L22" s="163">
        <f>IF('MAESTRO 1°'!B11="","",IFERROR('Asistencia 1° '!BI52,""))</f>
        <v/>
      </c>
      <c r="M22" s="163">
        <f>IF('MAESTRO 1°'!B11="","",IFERROR('Asistencia 1° '!BJ52,""))</f>
        <v/>
      </c>
      <c r="N22" s="163">
        <f>IF('MAESTRO 1°'!B11="","",IFERROR('Asistencia 1° '!BI95,""))</f>
        <v/>
      </c>
      <c r="O22" s="163">
        <f>IF('MAESTRO 1°'!B11="","",IFERROR('Asistencia 1° '!BJ95,""))</f>
        <v/>
      </c>
      <c r="P22" s="159">
        <f>SUM(J22,L22,N22)</f>
        <v/>
      </c>
      <c r="Q22" s="159">
        <f>SUM(K22,M22,O22)</f>
        <v/>
      </c>
    </row>
    <row r="23">
      <c r="B23" s="9" t="n">
        <v>8</v>
      </c>
      <c r="C23" s="11">
        <f>IF('MAESTRO 1°'!B12="","",'MAESTRO 1°'!B12)</f>
        <v/>
      </c>
      <c r="D23" s="15" t="n"/>
      <c r="E23" s="11">
        <f>IF('MAESTRO 1°'!D12="","",'MAESTRO 1°'!E12)</f>
        <v/>
      </c>
      <c r="F23" s="46">
        <f>IF('MAESTRO 1°'!B12="","",IFERROR('PROM (Ingles 1°)'!AE12,""))</f>
        <v/>
      </c>
      <c r="G23" s="46">
        <f>IF('MAESTRO 1°'!B12="","",IFERROR('PROM (Ingles 1°)'!BM12,""))</f>
        <v/>
      </c>
      <c r="H23" s="46">
        <f>IF('MAESTRO 1°'!B12="","",IFERROR('PROM (Ingles 1°)'!CU12,""))</f>
        <v/>
      </c>
      <c r="I23" s="46">
        <f>IF('MAESTRO 1°'!B12="","",IFERROR(TRUNC(AVERAGE(F23,G23,H23),1),""))</f>
        <v/>
      </c>
      <c r="J23" s="163">
        <f>IF('MAESTRO 1°'!B12="","",IFERROR('Asistencia 1° '!BI10,""))</f>
        <v/>
      </c>
      <c r="K23" s="163">
        <f>IF('MAESTRO 1°'!B12="","",IFERROR('Asistencia 1° '!BJ10,""))</f>
        <v/>
      </c>
      <c r="L23" s="163">
        <f>IF('MAESTRO 1°'!B12="","",IFERROR('Asistencia 1° '!BI53,""))</f>
        <v/>
      </c>
      <c r="M23" s="163">
        <f>IF('MAESTRO 1°'!B12="","",IFERROR('Asistencia 1° '!BJ53,""))</f>
        <v/>
      </c>
      <c r="N23" s="163">
        <f>IF('MAESTRO 1°'!B12="","",IFERROR('Asistencia 1° '!BI96,""))</f>
        <v/>
      </c>
      <c r="O23" s="163">
        <f>IF('MAESTRO 1°'!B12="","",IFERROR('Asistencia 1° '!BJ96,""))</f>
        <v/>
      </c>
      <c r="P23" s="159">
        <f>SUM(J23,L23,N23)</f>
        <v/>
      </c>
      <c r="Q23" s="159">
        <f>SUM(K23,M23,O23)</f>
        <v/>
      </c>
    </row>
    <row r="24">
      <c r="B24" s="9" t="n">
        <v>9</v>
      </c>
      <c r="C24" s="11">
        <f>IF('MAESTRO 1°'!B13="","",'MAESTRO 1°'!B13)</f>
        <v/>
      </c>
      <c r="D24" s="15" t="n"/>
      <c r="E24" s="11">
        <f>IF('MAESTRO 1°'!D13="","",'MAESTRO 1°'!E13)</f>
        <v/>
      </c>
      <c r="F24" s="46">
        <f>IF('MAESTRO 1°'!B13="","",IFERROR('PROM (Ingles 1°)'!AE13,""))</f>
        <v/>
      </c>
      <c r="G24" s="46">
        <f>IF('MAESTRO 1°'!B13="","",IFERROR('PROM (Ingles 1°)'!BM13,""))</f>
        <v/>
      </c>
      <c r="H24" s="46">
        <f>IF('MAESTRO 1°'!B13="","",IFERROR('PROM (Ingles 1°)'!CU13,""))</f>
        <v/>
      </c>
      <c r="I24" s="46">
        <f>IF('MAESTRO 1°'!B13="","",IFERROR(TRUNC(AVERAGE(F24,G24,H24),1),""))</f>
        <v/>
      </c>
      <c r="J24" s="163">
        <f>IF('MAESTRO 1°'!B13="","",IFERROR('Asistencia 1° '!BI11,""))</f>
        <v/>
      </c>
      <c r="K24" s="163">
        <f>IF('MAESTRO 1°'!B13="","",IFERROR('Asistencia 1° '!BJ11,""))</f>
        <v/>
      </c>
      <c r="L24" s="163">
        <f>IF('MAESTRO 1°'!B13="","",IFERROR('Asistencia 1° '!BI54,""))</f>
        <v/>
      </c>
      <c r="M24" s="163">
        <f>IF('MAESTRO 1°'!B13="","",IFERROR('Asistencia 1° '!BJ54,""))</f>
        <v/>
      </c>
      <c r="N24" s="163">
        <f>IF('MAESTRO 1°'!B13="","",IFERROR('Asistencia 1° '!BI97,""))</f>
        <v/>
      </c>
      <c r="O24" s="163">
        <f>IF('MAESTRO 1°'!B13="","",IFERROR('Asistencia 1° '!BJ97,""))</f>
        <v/>
      </c>
      <c r="P24" s="159">
        <f>SUM(J24,L24,N24)</f>
        <v/>
      </c>
      <c r="Q24" s="159">
        <f>SUM(K24,M24,O24)</f>
        <v/>
      </c>
    </row>
    <row r="25">
      <c r="B25" s="9" t="n">
        <v>10</v>
      </c>
      <c r="C25" s="11">
        <f>IF('MAESTRO 1°'!B14="","",'MAESTRO 1°'!B14)</f>
        <v/>
      </c>
      <c r="D25" s="15" t="n"/>
      <c r="E25" s="11">
        <f>IF('MAESTRO 1°'!D14="","",'MAESTRO 1°'!E14)</f>
        <v/>
      </c>
      <c r="F25" s="46">
        <f>IF('MAESTRO 1°'!B14="","",IFERROR('PROM (Ingles 1°)'!AE14,""))</f>
        <v/>
      </c>
      <c r="G25" s="46">
        <f>IF('MAESTRO 1°'!B14="","",IFERROR('PROM (Ingles 1°)'!BM14,""))</f>
        <v/>
      </c>
      <c r="H25" s="46">
        <f>IF('MAESTRO 1°'!B14="","",IFERROR('PROM (Ingles 1°)'!CU14,""))</f>
        <v/>
      </c>
      <c r="I25" s="46">
        <f>IF('MAESTRO 1°'!B14="","",IFERROR(TRUNC(AVERAGE(F25,G25,H25),1),""))</f>
        <v/>
      </c>
      <c r="J25" s="163">
        <f>IF('MAESTRO 1°'!B14="","",IFERROR('Asistencia 1° '!BI12,""))</f>
        <v/>
      </c>
      <c r="K25" s="163">
        <f>IF('MAESTRO 1°'!B14="","",IFERROR('Asistencia 1° '!BJ12,""))</f>
        <v/>
      </c>
      <c r="L25" s="163">
        <f>IF('MAESTRO 1°'!B14="","",IFERROR('Asistencia 1° '!BI55,""))</f>
        <v/>
      </c>
      <c r="M25" s="163">
        <f>IF('MAESTRO 1°'!B14="","",IFERROR('Asistencia 1° '!BJ55,""))</f>
        <v/>
      </c>
      <c r="N25" s="163">
        <f>IF('MAESTRO 1°'!B14="","",IFERROR('Asistencia 1° '!BI98,""))</f>
        <v/>
      </c>
      <c r="O25" s="163">
        <f>IF('MAESTRO 1°'!B14="","",IFERROR('Asistencia 1° '!BJ98,""))</f>
        <v/>
      </c>
      <c r="P25" s="159">
        <f>SUM(J25,L25,N25)</f>
        <v/>
      </c>
      <c r="Q25" s="159">
        <f>SUM(K25,M25,O25)</f>
        <v/>
      </c>
    </row>
    <row r="26">
      <c r="B26" s="9" t="n">
        <v>11</v>
      </c>
      <c r="C26" s="11">
        <f>IF('MAESTRO 1°'!B15="","",'MAESTRO 1°'!B15)</f>
        <v/>
      </c>
      <c r="D26" s="15" t="n"/>
      <c r="E26" s="11">
        <f>IF('MAESTRO 1°'!D15="","",'MAESTRO 1°'!E15)</f>
        <v/>
      </c>
      <c r="F26" s="46">
        <f>IF('MAESTRO 1°'!B15="","",IFERROR('PROM (Ingles 1°)'!AE15,""))</f>
        <v/>
      </c>
      <c r="G26" s="46">
        <f>IF('MAESTRO 1°'!B15="","",IFERROR('PROM (Ingles 1°)'!BM15,""))</f>
        <v/>
      </c>
      <c r="H26" s="46">
        <f>IF('MAESTRO 1°'!B15="","",IFERROR('PROM (Ingles 1°)'!CU15,""))</f>
        <v/>
      </c>
      <c r="I26" s="46">
        <f>IF('MAESTRO 1°'!B15="","",IFERROR(TRUNC(AVERAGE(F26,G26,H26),1),""))</f>
        <v/>
      </c>
      <c r="J26" s="163">
        <f>IF('MAESTRO 1°'!B15="","",IFERROR('Asistencia 1° '!BI13,""))</f>
        <v/>
      </c>
      <c r="K26" s="163">
        <f>IF('MAESTRO 1°'!B15="","",IFERROR('Asistencia 1° '!BJ13,""))</f>
        <v/>
      </c>
      <c r="L26" s="163">
        <f>IF('MAESTRO 1°'!B15="","",IFERROR('Asistencia 1° '!BI56,""))</f>
        <v/>
      </c>
      <c r="M26" s="163">
        <f>IF('MAESTRO 1°'!B15="","",IFERROR('Asistencia 1° '!BJ56,""))</f>
        <v/>
      </c>
      <c r="N26" s="163">
        <f>IF('MAESTRO 1°'!B15="","",IFERROR('Asistencia 1° '!BI99,""))</f>
        <v/>
      </c>
      <c r="O26" s="163">
        <f>IF('MAESTRO 1°'!B15="","",IFERROR('Asistencia 1° '!BJ99,""))</f>
        <v/>
      </c>
      <c r="P26" s="159">
        <f>SUM(J26,L26,N26)</f>
        <v/>
      </c>
      <c r="Q26" s="159">
        <f>SUM(K26,M26,O26)</f>
        <v/>
      </c>
    </row>
    <row r="27">
      <c r="B27" s="9" t="n">
        <v>12</v>
      </c>
      <c r="C27" s="11">
        <f>IF('MAESTRO 1°'!B16="","",'MAESTRO 1°'!B16)</f>
        <v/>
      </c>
      <c r="D27" s="15" t="n"/>
      <c r="E27" s="11">
        <f>IF('MAESTRO 1°'!D16="","",'MAESTRO 1°'!E16)</f>
        <v/>
      </c>
      <c r="F27" s="46">
        <f>IF('MAESTRO 1°'!B16="","",IFERROR('PROM (Ingles 1°)'!AE16,""))</f>
        <v/>
      </c>
      <c r="G27" s="46">
        <f>IF('MAESTRO 1°'!B16="","",IFERROR('PROM (Ingles 1°)'!BM16,""))</f>
        <v/>
      </c>
      <c r="H27" s="46">
        <f>IF('MAESTRO 1°'!B16="","",IFERROR('PROM (Ingles 1°)'!CU16,""))</f>
        <v/>
      </c>
      <c r="I27" s="46">
        <f>IF('MAESTRO 1°'!B16="","",IFERROR(TRUNC(AVERAGE(F27,G27,H27),1),""))</f>
        <v/>
      </c>
      <c r="J27" s="163">
        <f>IF('MAESTRO 1°'!B16="","",IFERROR('Asistencia 1° '!BI14,""))</f>
        <v/>
      </c>
      <c r="K27" s="163">
        <f>IF('MAESTRO 1°'!B16="","",IFERROR('Asistencia 1° '!BJ14,""))</f>
        <v/>
      </c>
      <c r="L27" s="163">
        <f>IF('MAESTRO 1°'!B16="","",IFERROR('Asistencia 1° '!BI57,""))</f>
        <v/>
      </c>
      <c r="M27" s="163">
        <f>IF('MAESTRO 1°'!B16="","",IFERROR('Asistencia 1° '!BJ57,""))</f>
        <v/>
      </c>
      <c r="N27" s="163">
        <f>IF('MAESTRO 1°'!B16="","",IFERROR('Asistencia 1° '!BI100,""))</f>
        <v/>
      </c>
      <c r="O27" s="163">
        <f>IF('MAESTRO 1°'!B16="","",IFERROR('Asistencia 1° '!BJ100,""))</f>
        <v/>
      </c>
      <c r="P27" s="159">
        <f>SUM(J27,L27,N27)</f>
        <v/>
      </c>
      <c r="Q27" s="159">
        <f>SUM(K27,M27,O27)</f>
        <v/>
      </c>
    </row>
    <row r="28">
      <c r="B28" s="9" t="n">
        <v>13</v>
      </c>
      <c r="C28" s="11">
        <f>IF('MAESTRO 1°'!B17="","",'MAESTRO 1°'!B17)</f>
        <v/>
      </c>
      <c r="D28" s="15" t="n"/>
      <c r="E28" s="11">
        <f>IF('MAESTRO 1°'!D17="","",'MAESTRO 1°'!E17)</f>
        <v/>
      </c>
      <c r="F28" s="46">
        <f>IF('MAESTRO 1°'!B17="","",IFERROR('PROM (Ingles 1°)'!AE17,""))</f>
        <v/>
      </c>
      <c r="G28" s="46">
        <f>IF('MAESTRO 1°'!B17="","",IFERROR('PROM (Ingles 1°)'!BM17,""))</f>
        <v/>
      </c>
      <c r="H28" s="46">
        <f>IF('MAESTRO 1°'!B17="","",IFERROR('PROM (Ingles 1°)'!CU17,""))</f>
        <v/>
      </c>
      <c r="I28" s="46">
        <f>IF('MAESTRO 1°'!B17="","",IFERROR(TRUNC(AVERAGE(F28,G28,H28),1),""))</f>
        <v/>
      </c>
      <c r="J28" s="163">
        <f>IF('MAESTRO 1°'!B17="","",IFERROR('Asistencia 1° '!BI15,""))</f>
        <v/>
      </c>
      <c r="K28" s="163">
        <f>IF('MAESTRO 1°'!B17="","",IFERROR('Asistencia 1° '!BJ15,""))</f>
        <v/>
      </c>
      <c r="L28" s="163">
        <f>IF('MAESTRO 1°'!B17="","",IFERROR('Asistencia 1° '!BI58,""))</f>
        <v/>
      </c>
      <c r="M28" s="163">
        <f>IF('MAESTRO 1°'!B17="","",IFERROR('Asistencia 1° '!BJ58,""))</f>
        <v/>
      </c>
      <c r="N28" s="163">
        <f>IF('MAESTRO 1°'!B17="","",IFERROR('Asistencia 1° '!BI101,""))</f>
        <v/>
      </c>
      <c r="O28" s="163">
        <f>IF('MAESTRO 1°'!B17="","",IFERROR('Asistencia 1° '!BJ101,""))</f>
        <v/>
      </c>
      <c r="P28" s="159">
        <f>SUM(J28,L28,N28)</f>
        <v/>
      </c>
      <c r="Q28" s="159">
        <f>SUM(K28,M28,O28)</f>
        <v/>
      </c>
    </row>
    <row r="29">
      <c r="B29" s="9" t="n">
        <v>14</v>
      </c>
      <c r="C29" s="11">
        <f>IF('MAESTRO 1°'!B18="","",'MAESTRO 1°'!B18)</f>
        <v/>
      </c>
      <c r="D29" s="15" t="n"/>
      <c r="E29" s="11">
        <f>IF('MAESTRO 1°'!D18="","",'MAESTRO 1°'!E18)</f>
        <v/>
      </c>
      <c r="F29" s="46">
        <f>IF('MAESTRO 1°'!B18="","",IFERROR('PROM (Ingles 1°)'!AE18,""))</f>
        <v/>
      </c>
      <c r="G29" s="46">
        <f>IF('MAESTRO 1°'!B18="","",IFERROR('PROM (Ingles 1°)'!BM18,""))</f>
        <v/>
      </c>
      <c r="H29" s="46">
        <f>IF('MAESTRO 1°'!B18="","",IFERROR('PROM (Ingles 1°)'!CU18,""))</f>
        <v/>
      </c>
      <c r="I29" s="46">
        <f>IF('MAESTRO 1°'!B18="","",IFERROR(TRUNC(AVERAGE(F29,G29,H29),1),""))</f>
        <v/>
      </c>
      <c r="J29" s="163">
        <f>IF('MAESTRO 1°'!B18="","",IFERROR('Asistencia 1° '!BI16,""))</f>
        <v/>
      </c>
      <c r="K29" s="163">
        <f>IF('MAESTRO 1°'!B18="","",IFERROR('Asistencia 1° '!BJ16,""))</f>
        <v/>
      </c>
      <c r="L29" s="163">
        <f>IF('MAESTRO 1°'!B18="","",IFERROR('Asistencia 1° '!BI59,""))</f>
        <v/>
      </c>
      <c r="M29" s="163">
        <f>IF('MAESTRO 1°'!B18="","",IFERROR('Asistencia 1° '!BJ59,""))</f>
        <v/>
      </c>
      <c r="N29" s="163">
        <f>IF('MAESTRO 1°'!B18="","",IFERROR('Asistencia 1° '!BI102,""))</f>
        <v/>
      </c>
      <c r="O29" s="163">
        <f>IF('MAESTRO 1°'!B18="","",IFERROR('Asistencia 1° '!BJ102,""))</f>
        <v/>
      </c>
      <c r="P29" s="159">
        <f>SUM(J29,L29,N29)</f>
        <v/>
      </c>
      <c r="Q29" s="159">
        <f>SUM(K29,M29,O29)</f>
        <v/>
      </c>
    </row>
    <row r="30">
      <c r="B30" s="9" t="n">
        <v>15</v>
      </c>
      <c r="C30" s="11">
        <f>IF('MAESTRO 1°'!B19="","",'MAESTRO 1°'!B19)</f>
        <v/>
      </c>
      <c r="D30" s="15" t="n"/>
      <c r="E30" s="11">
        <f>IF('MAESTRO 1°'!D19="","",'MAESTRO 1°'!E19)</f>
        <v/>
      </c>
      <c r="F30" s="46">
        <f>IF('MAESTRO 1°'!B19="","",IFERROR('PROM (Ingles 1°)'!AE19,""))</f>
        <v/>
      </c>
      <c r="G30" s="46">
        <f>IF('MAESTRO 1°'!B19="","",IFERROR('PROM (Ingles 1°)'!BM19,""))</f>
        <v/>
      </c>
      <c r="H30" s="46">
        <f>IF('MAESTRO 1°'!B19="","",IFERROR('PROM (Ingles 1°)'!CU19,""))</f>
        <v/>
      </c>
      <c r="I30" s="46">
        <f>IF('MAESTRO 1°'!B19="","",IFERROR(TRUNC(AVERAGE(F30,G30,H30),1),""))</f>
        <v/>
      </c>
      <c r="J30" s="163">
        <f>IF('MAESTRO 1°'!B19="","",IFERROR('Asistencia 1° '!BI17,""))</f>
        <v/>
      </c>
      <c r="K30" s="163">
        <f>IF('MAESTRO 1°'!B19="","",IFERROR('Asistencia 1° '!BJ17,""))</f>
        <v/>
      </c>
      <c r="L30" s="163">
        <f>IF('MAESTRO 1°'!B19="","",IFERROR('Asistencia 1° '!BI60,""))</f>
        <v/>
      </c>
      <c r="M30" s="163">
        <f>IF('MAESTRO 1°'!B19="","",IFERROR('Asistencia 1° '!BJ60,""))</f>
        <v/>
      </c>
      <c r="N30" s="163">
        <f>IF('MAESTRO 1°'!B19="","",IFERROR('Asistencia 1° '!BI103,""))</f>
        <v/>
      </c>
      <c r="O30" s="163">
        <f>IF('MAESTRO 1°'!B19="","",IFERROR('Asistencia 1° '!BJ103,""))</f>
        <v/>
      </c>
      <c r="P30" s="159">
        <f>SUM(J30,L30,N30)</f>
        <v/>
      </c>
      <c r="Q30" s="159">
        <f>SUM(K30,M30,O30)</f>
        <v/>
      </c>
    </row>
    <row r="31">
      <c r="B31" s="9" t="n">
        <v>16</v>
      </c>
      <c r="C31" s="11">
        <f>IF('MAESTRO 1°'!B20="","",'MAESTRO 1°'!B20)</f>
        <v/>
      </c>
      <c r="D31" s="15" t="n"/>
      <c r="E31" s="11">
        <f>IF('MAESTRO 1°'!D20="","",'MAESTRO 1°'!E20)</f>
        <v/>
      </c>
      <c r="F31" s="46">
        <f>IF('MAESTRO 1°'!B20="","",IFERROR('PROM (Ingles 1°)'!AE20,""))</f>
        <v/>
      </c>
      <c r="G31" s="46">
        <f>IF('MAESTRO 1°'!B20="","",IFERROR('PROM (Ingles 1°)'!BM20,""))</f>
        <v/>
      </c>
      <c r="H31" s="46">
        <f>IF('MAESTRO 1°'!B20="","",IFERROR('PROM (Ingles 1°)'!CU20,""))</f>
        <v/>
      </c>
      <c r="I31" s="46">
        <f>IF('MAESTRO 1°'!B20="","",IFERROR(TRUNC(AVERAGE(F31,G31,H31),1),""))</f>
        <v/>
      </c>
      <c r="J31" s="163">
        <f>IF('MAESTRO 1°'!B20="","",IFERROR('Asistencia 1° '!BI18,""))</f>
        <v/>
      </c>
      <c r="K31" s="163">
        <f>IF('MAESTRO 1°'!B20="","",IFERROR('Asistencia 1° '!BJ18,""))</f>
        <v/>
      </c>
      <c r="L31" s="163">
        <f>IF('MAESTRO 1°'!B20="","",IFERROR('Asistencia 1° '!BI61,""))</f>
        <v/>
      </c>
      <c r="M31" s="163">
        <f>IF('MAESTRO 1°'!B20="","",IFERROR('Asistencia 1° '!BJ61,""))</f>
        <v/>
      </c>
      <c r="N31" s="163">
        <f>IF('MAESTRO 1°'!B20="","",IFERROR('Asistencia 1° '!BI104,""))</f>
        <v/>
      </c>
      <c r="O31" s="163">
        <f>IF('MAESTRO 1°'!B20="","",IFERROR('Asistencia 1° '!BJ104,""))</f>
        <v/>
      </c>
      <c r="P31" s="159">
        <f>SUM(J31,L31,N31)</f>
        <v/>
      </c>
      <c r="Q31" s="159">
        <f>SUM(K31,M31,O31)</f>
        <v/>
      </c>
    </row>
    <row r="32">
      <c r="B32" s="9" t="n">
        <v>17</v>
      </c>
      <c r="C32" s="11">
        <f>IF('MAESTRO 1°'!B21="","",'MAESTRO 1°'!B21)</f>
        <v/>
      </c>
      <c r="D32" s="15" t="n"/>
      <c r="E32" s="11">
        <f>IF('MAESTRO 1°'!D21="","",'MAESTRO 1°'!E21)</f>
        <v/>
      </c>
      <c r="F32" s="46">
        <f>IF('MAESTRO 1°'!B21="","",IFERROR('PROM (Ingles 1°)'!AE21,""))</f>
        <v/>
      </c>
      <c r="G32" s="46">
        <f>IF('MAESTRO 1°'!B21="","",IFERROR('PROM (Ingles 1°)'!BM21,""))</f>
        <v/>
      </c>
      <c r="H32" s="46">
        <f>IF('MAESTRO 1°'!B21="","",IFERROR('PROM (Ingles 1°)'!CU21,""))</f>
        <v/>
      </c>
      <c r="I32" s="46">
        <f>IF('MAESTRO 1°'!B21="","",IFERROR(TRUNC(AVERAGE(F32,G32,H32),1),""))</f>
        <v/>
      </c>
      <c r="J32" s="163">
        <f>IF('MAESTRO 1°'!B21="","",IFERROR('Asistencia 1° '!BI19,""))</f>
        <v/>
      </c>
      <c r="K32" s="163">
        <f>IF('MAESTRO 1°'!B21="","",IFERROR('Asistencia 1° '!BJ19,""))</f>
        <v/>
      </c>
      <c r="L32" s="163">
        <f>IF('MAESTRO 1°'!B21="","",IFERROR('Asistencia 1° '!BI62,""))</f>
        <v/>
      </c>
      <c r="M32" s="163">
        <f>IF('MAESTRO 1°'!B21="","",IFERROR('Asistencia 1° '!BJ62,""))</f>
        <v/>
      </c>
      <c r="N32" s="163">
        <f>IF('MAESTRO 1°'!B21="","",IFERROR('Asistencia 1° '!BI105,""))</f>
        <v/>
      </c>
      <c r="O32" s="163">
        <f>IF('MAESTRO 1°'!B21="","",IFERROR('Asistencia 1° '!BJ105,""))</f>
        <v/>
      </c>
      <c r="P32" s="159">
        <f>SUM(J32,L32,N32)</f>
        <v/>
      </c>
      <c r="Q32" s="159">
        <f>SUM(K32,M32,O32)</f>
        <v/>
      </c>
    </row>
    <row r="33">
      <c r="B33" s="9" t="n">
        <v>18</v>
      </c>
      <c r="C33" s="11">
        <f>IF('MAESTRO 1°'!B22="","",'MAESTRO 1°'!B22)</f>
        <v/>
      </c>
      <c r="D33" s="15" t="n"/>
      <c r="E33" s="11">
        <f>IF('MAESTRO 1°'!D22="","",'MAESTRO 1°'!E22)</f>
        <v/>
      </c>
      <c r="F33" s="46">
        <f>IF('MAESTRO 1°'!B22="","",IFERROR('PROM (Ingles 1°)'!AE22,""))</f>
        <v/>
      </c>
      <c r="G33" s="46">
        <f>IF('MAESTRO 1°'!B22="","",IFERROR('PROM (Ingles 1°)'!BM22,""))</f>
        <v/>
      </c>
      <c r="H33" s="46">
        <f>IF('MAESTRO 1°'!B22="","",IFERROR('PROM (Ingles 1°)'!CU22,""))</f>
        <v/>
      </c>
      <c r="I33" s="46">
        <f>IF('MAESTRO 1°'!B22="","",IFERROR(TRUNC(AVERAGE(F33,G33,H33),1),""))</f>
        <v/>
      </c>
      <c r="J33" s="163">
        <f>IF('MAESTRO 1°'!B22="","",IFERROR('Asistencia 1° '!BI20,""))</f>
        <v/>
      </c>
      <c r="K33" s="163">
        <f>IF('MAESTRO 1°'!B22="","",IFERROR('Asistencia 1° '!BJ20,""))</f>
        <v/>
      </c>
      <c r="L33" s="163">
        <f>IF('MAESTRO 1°'!B22="","",IFERROR('Asistencia 1° '!BI63,""))</f>
        <v/>
      </c>
      <c r="M33" s="163">
        <f>IF('MAESTRO 1°'!B22="","",IFERROR('Asistencia 1° '!BJ63,""))</f>
        <v/>
      </c>
      <c r="N33" s="163">
        <f>IF('MAESTRO 1°'!B22="","",IFERROR('Asistencia 1° '!BI106,""))</f>
        <v/>
      </c>
      <c r="O33" s="163">
        <f>IF('MAESTRO 1°'!B22="","",IFERROR('Asistencia 1° '!BJ106,""))</f>
        <v/>
      </c>
      <c r="P33" s="159">
        <f>SUM(J33,L33,N33)</f>
        <v/>
      </c>
      <c r="Q33" s="159">
        <f>SUM(K33,M33,O33)</f>
        <v/>
      </c>
    </row>
    <row r="34">
      <c r="B34" s="9" t="n">
        <v>19</v>
      </c>
      <c r="C34" s="11">
        <f>IF('MAESTRO 1°'!B23="","",'MAESTRO 1°'!B23)</f>
        <v/>
      </c>
      <c r="D34" s="15" t="n"/>
      <c r="E34" s="11">
        <f>IF('MAESTRO 1°'!D23="","",'MAESTRO 1°'!E23)</f>
        <v/>
      </c>
      <c r="F34" s="46">
        <f>IF('MAESTRO 1°'!B23="","",IFERROR('PROM (Ingles 1°)'!AE23,""))</f>
        <v/>
      </c>
      <c r="G34" s="46">
        <f>IF('MAESTRO 1°'!B23="","",IFERROR('PROM (Ingles 1°)'!BM23,""))</f>
        <v/>
      </c>
      <c r="H34" s="46">
        <f>IF('MAESTRO 1°'!B23="","",IFERROR('PROM (Ingles 1°)'!CU23,""))</f>
        <v/>
      </c>
      <c r="I34" s="46">
        <f>IF('MAESTRO 1°'!B23="","",IFERROR(TRUNC(AVERAGE(F34,G34,H34),1),""))</f>
        <v/>
      </c>
      <c r="J34" s="163">
        <f>IF('MAESTRO 1°'!B23="","",IFERROR('Asistencia 1° '!BI21,""))</f>
        <v/>
      </c>
      <c r="K34" s="163">
        <f>IF('MAESTRO 1°'!B23="","",IFERROR('Asistencia 1° '!BJ21,""))</f>
        <v/>
      </c>
      <c r="L34" s="163">
        <f>IF('MAESTRO 1°'!B23="","",IFERROR('Asistencia 1° '!BI64,""))</f>
        <v/>
      </c>
      <c r="M34" s="163">
        <f>IF('MAESTRO 1°'!B23="","",IFERROR('Asistencia 1° '!BJ64,""))</f>
        <v/>
      </c>
      <c r="N34" s="163">
        <f>IF('MAESTRO 1°'!B23="","",IFERROR('Asistencia 1° '!BI107,""))</f>
        <v/>
      </c>
      <c r="O34" s="163">
        <f>IF('MAESTRO 1°'!B23="","",IFERROR('Asistencia 1° '!BJ107,""))</f>
        <v/>
      </c>
      <c r="P34" s="159">
        <f>SUM(J34,L34,N34)</f>
        <v/>
      </c>
      <c r="Q34" s="159">
        <f>SUM(K34,M34,O34)</f>
        <v/>
      </c>
    </row>
    <row r="35">
      <c r="B35" s="9" t="n">
        <v>20</v>
      </c>
      <c r="C35" s="11">
        <f>IF('MAESTRO 1°'!B24="","",'MAESTRO 1°'!B24)</f>
        <v/>
      </c>
      <c r="D35" s="15" t="n"/>
      <c r="E35" s="11">
        <f>IF('MAESTRO 1°'!D24="","",'MAESTRO 1°'!E24)</f>
        <v/>
      </c>
      <c r="F35" s="46">
        <f>IF('MAESTRO 1°'!B24="","",IFERROR('PROM (Ingles 1°)'!AE24,""))</f>
        <v/>
      </c>
      <c r="G35" s="46">
        <f>IF('MAESTRO 1°'!B24="","",IFERROR('PROM (Ingles 1°)'!BM24,""))</f>
        <v/>
      </c>
      <c r="H35" s="46">
        <f>IF('MAESTRO 1°'!B24="","",IFERROR('PROM (Ingles 1°)'!CU24,""))</f>
        <v/>
      </c>
      <c r="I35" s="46">
        <f>IF('MAESTRO 1°'!B24="","",IFERROR(TRUNC(AVERAGE(F35,G35,H35),1),""))</f>
        <v/>
      </c>
      <c r="J35" s="163">
        <f>IF('MAESTRO 1°'!B24="","",IFERROR('Asistencia 1° '!BI22,""))</f>
        <v/>
      </c>
      <c r="K35" s="163">
        <f>IF('MAESTRO 1°'!B24="","",IFERROR('Asistencia 1° '!BJ22,""))</f>
        <v/>
      </c>
      <c r="L35" s="163">
        <f>IF('MAESTRO 1°'!B24="","",IFERROR('Asistencia 1° '!BI65,""))</f>
        <v/>
      </c>
      <c r="M35" s="163">
        <f>IF('MAESTRO 1°'!B24="","",IFERROR('Asistencia 1° '!BJ65,""))</f>
        <v/>
      </c>
      <c r="N35" s="163">
        <f>IF('MAESTRO 1°'!B24="","",IFERROR('Asistencia 1° '!BI108,""))</f>
        <v/>
      </c>
      <c r="O35" s="163">
        <f>IF('MAESTRO 1°'!B24="","",IFERROR('Asistencia 1° '!BJ108,""))</f>
        <v/>
      </c>
      <c r="P35" s="159">
        <f>SUM(J35,L35,N35)</f>
        <v/>
      </c>
      <c r="Q35" s="159">
        <f>SUM(K35,M35,O35)</f>
        <v/>
      </c>
    </row>
    <row r="36">
      <c r="B36" s="9" t="n">
        <v>21</v>
      </c>
      <c r="C36" s="11">
        <f>IF('MAESTRO 1°'!B25="","",'MAESTRO 1°'!B25)</f>
        <v/>
      </c>
      <c r="D36" s="15" t="n"/>
      <c r="E36" s="11">
        <f>IF('MAESTRO 1°'!D25="","",'MAESTRO 1°'!E25)</f>
        <v/>
      </c>
      <c r="F36" s="46">
        <f>IF('MAESTRO 1°'!B25="","",IFERROR('PROM (Ingles 1°)'!AE25,""))</f>
        <v/>
      </c>
      <c r="G36" s="46">
        <f>IF('MAESTRO 1°'!B25="","",IFERROR('PROM (Ingles 1°)'!BM25,""))</f>
        <v/>
      </c>
      <c r="H36" s="46">
        <f>IF('MAESTRO 1°'!B25="","",IFERROR('PROM (Ingles 1°)'!CU25,""))</f>
        <v/>
      </c>
      <c r="I36" s="46">
        <f>IF('MAESTRO 1°'!B25="","",IFERROR(TRUNC(AVERAGE(F36,G36,H36),1),""))</f>
        <v/>
      </c>
      <c r="J36" s="163">
        <f>IF('MAESTRO 1°'!B25="","",IFERROR('Asistencia 1° '!BI23,""))</f>
        <v/>
      </c>
      <c r="K36" s="163">
        <f>IF('MAESTRO 1°'!B25="","",IFERROR('Asistencia 1° '!BJ23,""))</f>
        <v/>
      </c>
      <c r="L36" s="163">
        <f>IF('MAESTRO 1°'!B25="","",IFERROR('Asistencia 1° '!BI66,""))</f>
        <v/>
      </c>
      <c r="M36" s="163">
        <f>IF('MAESTRO 1°'!B25="","",IFERROR('Asistencia 1° '!BJ66,""))</f>
        <v/>
      </c>
      <c r="N36" s="163">
        <f>IF('MAESTRO 1°'!B25="","",IFERROR('Asistencia 1° '!BI109,""))</f>
        <v/>
      </c>
      <c r="O36" s="163">
        <f>IF('MAESTRO 1°'!B25="","",IFERROR('Asistencia 1° '!BJ109,""))</f>
        <v/>
      </c>
      <c r="P36" s="159">
        <f>SUM(J36,L36,N36)</f>
        <v/>
      </c>
      <c r="Q36" s="159">
        <f>SUM(K36,M36,O36)</f>
        <v/>
      </c>
    </row>
    <row r="37">
      <c r="B37" s="9" t="n">
        <v>22</v>
      </c>
      <c r="C37" s="11">
        <f>IF('MAESTRO 1°'!B26="","",'MAESTRO 1°'!B26)</f>
        <v/>
      </c>
      <c r="D37" s="15" t="n"/>
      <c r="E37" s="11">
        <f>IF('MAESTRO 1°'!D26="","",'MAESTRO 1°'!E26)</f>
        <v/>
      </c>
      <c r="F37" s="46">
        <f>IF('MAESTRO 1°'!B26="","",IFERROR('PROM (Ingles 1°)'!AE26,""))</f>
        <v/>
      </c>
      <c r="G37" s="46">
        <f>IF('MAESTRO 1°'!B26="","",IFERROR('PROM (Ingles 1°)'!BM26,""))</f>
        <v/>
      </c>
      <c r="H37" s="46">
        <f>IF('MAESTRO 1°'!B26="","",IFERROR('PROM (Ingles 1°)'!CU26,""))</f>
        <v/>
      </c>
      <c r="I37" s="46">
        <f>IF('MAESTRO 1°'!B26="","",IFERROR(TRUNC(AVERAGE(F37,G37,H37),1),""))</f>
        <v/>
      </c>
      <c r="J37" s="163">
        <f>IF('MAESTRO 1°'!B26="","",IFERROR('Asistencia 1° '!BI24,""))</f>
        <v/>
      </c>
      <c r="K37" s="163">
        <f>IF('MAESTRO 1°'!B26="","",IFERROR('Asistencia 1° '!BJ24,""))</f>
        <v/>
      </c>
      <c r="L37" s="163">
        <f>IF('MAESTRO 1°'!B26="","",IFERROR('Asistencia 1° '!BI67,""))</f>
        <v/>
      </c>
      <c r="M37" s="163">
        <f>IF('MAESTRO 1°'!B26="","",IFERROR('Asistencia 1° '!BJ67,""))</f>
        <v/>
      </c>
      <c r="N37" s="163">
        <f>IF('MAESTRO 1°'!B26="","",IFERROR('Asistencia 1° '!BI110,""))</f>
        <v/>
      </c>
      <c r="O37" s="163">
        <f>IF('MAESTRO 1°'!B26="","",IFERROR('Asistencia 1° '!BJ110,""))</f>
        <v/>
      </c>
      <c r="P37" s="159">
        <f>SUM(J37,L37,N37)</f>
        <v/>
      </c>
      <c r="Q37" s="159">
        <f>SUM(K37,M37,O37)</f>
        <v/>
      </c>
    </row>
    <row r="38">
      <c r="B38" s="9" t="n">
        <v>23</v>
      </c>
      <c r="C38" s="11">
        <f>IF('MAESTRO 1°'!B27="","",'MAESTRO 1°'!B27)</f>
        <v/>
      </c>
      <c r="D38" s="15" t="n"/>
      <c r="E38" s="11">
        <f>IF('MAESTRO 1°'!D27="","",'MAESTRO 1°'!E27)</f>
        <v/>
      </c>
      <c r="F38" s="46">
        <f>IF('MAESTRO 1°'!B27="","",IFERROR('PROM (Ingles 1°)'!AE27,""))</f>
        <v/>
      </c>
      <c r="G38" s="46">
        <f>IF('MAESTRO 1°'!B27="","",IFERROR('PROM (Ingles 1°)'!BM27,""))</f>
        <v/>
      </c>
      <c r="H38" s="46">
        <f>IF('MAESTRO 1°'!B27="","",IFERROR('PROM (Ingles 1°)'!CU27,""))</f>
        <v/>
      </c>
      <c r="I38" s="46">
        <f>IF('MAESTRO 1°'!B27="","",IFERROR(TRUNC(AVERAGE(F38,G38,H38),1),""))</f>
        <v/>
      </c>
      <c r="J38" s="163">
        <f>IF('MAESTRO 1°'!B27="","",IFERROR('Asistencia 1° '!BI25,""))</f>
        <v/>
      </c>
      <c r="K38" s="163">
        <f>IF('MAESTRO 1°'!B27="","",IFERROR('Asistencia 1° '!BJ25,""))</f>
        <v/>
      </c>
      <c r="L38" s="163">
        <f>IF('MAESTRO 1°'!B27="","",IFERROR('Asistencia 1° '!BI68,""))</f>
        <v/>
      </c>
      <c r="M38" s="163">
        <f>IF('MAESTRO 1°'!B27="","",IFERROR('Asistencia 1° '!BJ68,""))</f>
        <v/>
      </c>
      <c r="N38" s="163">
        <f>IF('MAESTRO 1°'!B27="","",IFERROR('Asistencia 1° '!BI111,""))</f>
        <v/>
      </c>
      <c r="O38" s="163">
        <f>IF('MAESTRO 1°'!B27="","",IFERROR('Asistencia 1° '!BJ111,""))</f>
        <v/>
      </c>
      <c r="P38" s="159">
        <f>SUM(J38,L38,N38)</f>
        <v/>
      </c>
      <c r="Q38" s="159">
        <f>SUM(K38,M38,O38)</f>
        <v/>
      </c>
    </row>
    <row r="39">
      <c r="B39" s="9" t="n">
        <v>24</v>
      </c>
      <c r="C39" s="11">
        <f>IF('MAESTRO 1°'!B28="","",'MAESTRO 1°'!B28)</f>
        <v/>
      </c>
      <c r="D39" s="15" t="n"/>
      <c r="E39" s="11">
        <f>IF('MAESTRO 1°'!D28="","",'MAESTRO 1°'!E28)</f>
        <v/>
      </c>
      <c r="F39" s="46">
        <f>IF('MAESTRO 1°'!B28="","",IFERROR('PROM (Ingles 1°)'!AE28,""))</f>
        <v/>
      </c>
      <c r="G39" s="46">
        <f>IF('MAESTRO 1°'!B28="","",IFERROR('PROM (Ingles 1°)'!BM28,""))</f>
        <v/>
      </c>
      <c r="H39" s="46">
        <f>IF('MAESTRO 1°'!B28="","",IFERROR('PROM (Ingles 1°)'!CU28,""))</f>
        <v/>
      </c>
      <c r="I39" s="46">
        <f>IF('MAESTRO 1°'!B28="","",IFERROR(TRUNC(AVERAGE(F39,G39,H39),1),""))</f>
        <v/>
      </c>
      <c r="J39" s="163">
        <f>IF('MAESTRO 1°'!B28="","",IFERROR('Asistencia 1° '!BI26,""))</f>
        <v/>
      </c>
      <c r="K39" s="163">
        <f>IF('MAESTRO 1°'!B28="","",IFERROR('Asistencia 1° '!BJ26,""))</f>
        <v/>
      </c>
      <c r="L39" s="163">
        <f>IF('MAESTRO 1°'!B28="","",IFERROR('Asistencia 1° '!BI69,""))</f>
        <v/>
      </c>
      <c r="M39" s="163">
        <f>IF('MAESTRO 1°'!B28="","",IFERROR('Asistencia 1° '!BJ69,""))</f>
        <v/>
      </c>
      <c r="N39" s="163">
        <f>IF('MAESTRO 1°'!B28="","",IFERROR('Asistencia 1° '!BI112,""))</f>
        <v/>
      </c>
      <c r="O39" s="163">
        <f>IF('MAESTRO 1°'!B28="","",IFERROR('Asistencia 1° '!BJ112,""))</f>
        <v/>
      </c>
      <c r="P39" s="159">
        <f>SUM(J39,L39,N39)</f>
        <v/>
      </c>
      <c r="Q39" s="159">
        <f>SUM(K39,M39,O39)</f>
        <v/>
      </c>
    </row>
    <row r="40">
      <c r="B40" s="9" t="n">
        <v>25</v>
      </c>
      <c r="C40" s="11">
        <f>IF('MAESTRO 1°'!B29="","",'MAESTRO 1°'!B29)</f>
        <v/>
      </c>
      <c r="D40" s="15" t="n"/>
      <c r="E40" s="11">
        <f>IF('MAESTRO 1°'!D29="","",'MAESTRO 1°'!E29)</f>
        <v/>
      </c>
      <c r="F40" s="46">
        <f>IF('MAESTRO 1°'!B29="","",IFERROR('PROM (Ingles 1°)'!AE29,""))</f>
        <v/>
      </c>
      <c r="G40" s="46">
        <f>IF('MAESTRO 1°'!B29="","",IFERROR('PROM (Ingles 1°)'!BM29,""))</f>
        <v/>
      </c>
      <c r="H40" s="46">
        <f>IF('MAESTRO 1°'!B29="","",IFERROR('PROM (Ingles 1°)'!CU29,""))</f>
        <v/>
      </c>
      <c r="I40" s="46">
        <f>IF('MAESTRO 1°'!B29="","",IFERROR(TRUNC(AVERAGE(F40,G40,H40),1),""))</f>
        <v/>
      </c>
      <c r="J40" s="163">
        <f>IF('MAESTRO 1°'!B29="","",IFERROR('Asistencia 1° '!BI27,""))</f>
        <v/>
      </c>
      <c r="K40" s="163">
        <f>IF('MAESTRO 1°'!B29="","",IFERROR('Asistencia 1° '!BJ27,""))</f>
        <v/>
      </c>
      <c r="L40" s="163">
        <f>IF('MAESTRO 1°'!B29="","",IFERROR('Asistencia 1° '!BI70,""))</f>
        <v/>
      </c>
      <c r="M40" s="163">
        <f>IF('MAESTRO 1°'!B29="","",IFERROR('Asistencia 1° '!BJ70,""))</f>
        <v/>
      </c>
      <c r="N40" s="163">
        <f>IF('MAESTRO 1°'!B29="","",IFERROR('Asistencia 1° '!BI113,""))</f>
        <v/>
      </c>
      <c r="O40" s="163">
        <f>IF('MAESTRO 1°'!B29="","",IFERROR('Asistencia 1° '!BJ113,""))</f>
        <v/>
      </c>
      <c r="P40" s="159">
        <f>SUM(J40,L40,N40)</f>
        <v/>
      </c>
      <c r="Q40" s="159">
        <f>SUM(K40,M40,O40)</f>
        <v/>
      </c>
    </row>
    <row r="41">
      <c r="B41" s="9" t="n">
        <v>26</v>
      </c>
      <c r="C41" s="11">
        <f>IF('MAESTRO 1°'!B30="","",'MAESTRO 1°'!B30)</f>
        <v/>
      </c>
      <c r="D41" s="15" t="n"/>
      <c r="E41" s="11">
        <f>IF('MAESTRO 1°'!D30="","",'MAESTRO 1°'!E30)</f>
        <v/>
      </c>
      <c r="F41" s="46">
        <f>IF('MAESTRO 1°'!B30="","",IFERROR('PROM (Ingles 1°)'!AE30,""))</f>
        <v/>
      </c>
      <c r="G41" s="46">
        <f>IF('MAESTRO 1°'!B30="","",IFERROR('PROM (Ingles 1°)'!BM30,""))</f>
        <v/>
      </c>
      <c r="H41" s="46">
        <f>IF('MAESTRO 1°'!B30="","",IFERROR('PROM (Ingles 1°)'!CU30,""))</f>
        <v/>
      </c>
      <c r="I41" s="46">
        <f>IF('MAESTRO 1°'!B30="","",IFERROR(TRUNC(AVERAGE(F41,G41,H41),1),""))</f>
        <v/>
      </c>
      <c r="J41" s="163">
        <f>IF('MAESTRO 1°'!B30="","",IFERROR('Asistencia 1° '!BI28,""))</f>
        <v/>
      </c>
      <c r="K41" s="163">
        <f>IF('MAESTRO 1°'!B30="","",IFERROR('Asistencia 1° '!BJ28,""))</f>
        <v/>
      </c>
      <c r="L41" s="163">
        <f>IF('MAESTRO 1°'!B30="","",IFERROR('Asistencia 1° '!BI71,""))</f>
        <v/>
      </c>
      <c r="M41" s="163">
        <f>IF('MAESTRO 1°'!B30="","",IFERROR('Asistencia 1° '!BJ71,""))</f>
        <v/>
      </c>
      <c r="N41" s="163">
        <f>IF('MAESTRO 1°'!B30="","",IFERROR('Asistencia 1° '!BI114,""))</f>
        <v/>
      </c>
      <c r="O41" s="163">
        <f>IF('MAESTRO 1°'!B30="","",IFERROR('Asistencia 1° '!BJ114,""))</f>
        <v/>
      </c>
      <c r="P41" s="159">
        <f>SUM(J41,L41,N41)</f>
        <v/>
      </c>
      <c r="Q41" s="159">
        <f>SUM(K41,M41,O41)</f>
        <v/>
      </c>
    </row>
    <row r="42">
      <c r="B42" s="9" t="n">
        <v>27</v>
      </c>
      <c r="C42" s="11">
        <f>IF('MAESTRO 1°'!B31="","",'MAESTRO 1°'!B31)</f>
        <v/>
      </c>
      <c r="D42" s="15" t="n"/>
      <c r="E42" s="11">
        <f>IF('MAESTRO 1°'!D31="","",'MAESTRO 1°'!E31)</f>
        <v/>
      </c>
      <c r="F42" s="46">
        <f>IF('MAESTRO 1°'!B31="","",IFERROR('PROM (Ingles 1°)'!AE31,""))</f>
        <v/>
      </c>
      <c r="G42" s="46">
        <f>IF('MAESTRO 1°'!B31="","",IFERROR('PROM (Ingles 1°)'!BM31,""))</f>
        <v/>
      </c>
      <c r="H42" s="46">
        <f>IF('MAESTRO 1°'!B31="","",IFERROR('PROM (Ingles 1°)'!CU31,""))</f>
        <v/>
      </c>
      <c r="I42" s="46">
        <f>IF('MAESTRO 1°'!B31="","",IFERROR(TRUNC(AVERAGE(F42,G42,H42),1),""))</f>
        <v/>
      </c>
      <c r="J42" s="163">
        <f>IF('MAESTRO 1°'!B31="","",IFERROR('Asistencia 1° '!BI29,""))</f>
        <v/>
      </c>
      <c r="K42" s="163">
        <f>IF('MAESTRO 1°'!B31="","",IFERROR('Asistencia 1° '!BJ29,""))</f>
        <v/>
      </c>
      <c r="L42" s="163">
        <f>IF('MAESTRO 1°'!B31="","",IFERROR('Asistencia 1° '!BI72,""))</f>
        <v/>
      </c>
      <c r="M42" s="163">
        <f>IF('MAESTRO 1°'!B31="","",IFERROR('Asistencia 1° '!BJ72,""))</f>
        <v/>
      </c>
      <c r="N42" s="163">
        <f>IF('MAESTRO 1°'!B31="","",IFERROR('Asistencia 1° '!BI115,""))</f>
        <v/>
      </c>
      <c r="O42" s="163">
        <f>IF('MAESTRO 1°'!B31="","",IFERROR('Asistencia 1° '!BJ115,""))</f>
        <v/>
      </c>
      <c r="P42" s="159">
        <f>SUM(J42,L42,N42)</f>
        <v/>
      </c>
      <c r="Q42" s="159">
        <f>SUM(K42,M42,O42)</f>
        <v/>
      </c>
    </row>
    <row r="43">
      <c r="B43" s="9" t="n">
        <v>28</v>
      </c>
      <c r="C43" s="11">
        <f>IF('MAESTRO 1°'!B32="","",'MAESTRO 1°'!B32)</f>
        <v/>
      </c>
      <c r="D43" s="15" t="n"/>
      <c r="E43" s="11">
        <f>IF('MAESTRO 1°'!D32="","",'MAESTRO 1°'!E32)</f>
        <v/>
      </c>
      <c r="F43" s="46">
        <f>IF('MAESTRO 1°'!B32="","",IFERROR('PROM (Ingles 1°)'!AE32,""))</f>
        <v/>
      </c>
      <c r="G43" s="46">
        <f>IF('MAESTRO 1°'!B32="","",IFERROR('PROM (Ingles 1°)'!BM32,""))</f>
        <v/>
      </c>
      <c r="H43" s="46">
        <f>IF('MAESTRO 1°'!B32="","",IFERROR('PROM (Ingles 1°)'!CU32,""))</f>
        <v/>
      </c>
      <c r="I43" s="46">
        <f>IF('MAESTRO 1°'!B32="","",IFERROR(TRUNC(AVERAGE(F43,G43,H43),1),""))</f>
        <v/>
      </c>
      <c r="J43" s="163">
        <f>IF('MAESTRO 1°'!B32="","",IFERROR('Asistencia 1° '!BI30,""))</f>
        <v/>
      </c>
      <c r="K43" s="163">
        <f>IF('MAESTRO 1°'!B32="","",IFERROR('Asistencia 1° '!BJ30,""))</f>
        <v/>
      </c>
      <c r="L43" s="163">
        <f>IF('MAESTRO 1°'!B32="","",IFERROR('Asistencia 1° '!BI73,""))</f>
        <v/>
      </c>
      <c r="M43" s="163">
        <f>IF('MAESTRO 1°'!B32="","",IFERROR('Asistencia 1° '!BJ73,""))</f>
        <v/>
      </c>
      <c r="N43" s="163">
        <f>IF('MAESTRO 1°'!B32="","",IFERROR('Asistencia 1° '!BI116,""))</f>
        <v/>
      </c>
      <c r="O43" s="163">
        <f>IF('MAESTRO 1°'!B32="","",IFERROR('Asistencia 1° '!BJ116,""))</f>
        <v/>
      </c>
      <c r="P43" s="159">
        <f>SUM(J43,L43,N43)</f>
        <v/>
      </c>
      <c r="Q43" s="159">
        <f>SUM(K43,M43,O43)</f>
        <v/>
      </c>
    </row>
    <row r="44">
      <c r="B44" s="9" t="n">
        <v>29</v>
      </c>
      <c r="C44" s="11">
        <f>IF('MAESTRO 1°'!B33="","",'MAESTRO 1°'!B33)</f>
        <v/>
      </c>
      <c r="D44" s="15" t="n"/>
      <c r="E44" s="11">
        <f>IF('MAESTRO 1°'!D33="","",'MAESTRO 1°'!E33)</f>
        <v/>
      </c>
      <c r="F44" s="46">
        <f>IF('MAESTRO 1°'!B33="","",IFERROR('PROM (Ingles 1°)'!AE33,""))</f>
        <v/>
      </c>
      <c r="G44" s="46">
        <f>IF('MAESTRO 1°'!B33="","",IFERROR('PROM (Ingles 1°)'!BM33,""))</f>
        <v/>
      </c>
      <c r="H44" s="46">
        <f>IF('MAESTRO 1°'!B33="","",IFERROR('PROM (Ingles 1°)'!CU33,""))</f>
        <v/>
      </c>
      <c r="I44" s="46">
        <f>IF('MAESTRO 1°'!B33="","",IFERROR(TRUNC(AVERAGE(F44,G44,H44),1),""))</f>
        <v/>
      </c>
      <c r="J44" s="163">
        <f>IF('MAESTRO 1°'!B33="","",IFERROR('Asistencia 1° '!BI31,""))</f>
        <v/>
      </c>
      <c r="K44" s="163">
        <f>IF('MAESTRO 1°'!B33="","",IFERROR('Asistencia 1° '!BJ31,""))</f>
        <v/>
      </c>
      <c r="L44" s="163">
        <f>IF('MAESTRO 1°'!B33="","",IFERROR('Asistencia 1° '!BI74,""))</f>
        <v/>
      </c>
      <c r="M44" s="163">
        <f>IF('MAESTRO 1°'!B33="","",IFERROR('Asistencia 1° '!BJ74,""))</f>
        <v/>
      </c>
      <c r="N44" s="163">
        <f>IF('MAESTRO 1°'!B33="","",IFERROR('Asistencia 1° '!BI117,""))</f>
        <v/>
      </c>
      <c r="O44" s="163">
        <f>IF('MAESTRO 1°'!B33="","",IFERROR('Asistencia 1° '!BJ117,""))</f>
        <v/>
      </c>
      <c r="P44" s="159">
        <f>SUM(J44,L44,N44)</f>
        <v/>
      </c>
      <c r="Q44" s="159">
        <f>SUM(K44,M44,O44)</f>
        <v/>
      </c>
    </row>
    <row r="45">
      <c r="B45" s="9" t="n">
        <v>30</v>
      </c>
      <c r="C45" s="11">
        <f>IF('MAESTRO 1°'!B34="","",'MAESTRO 1°'!B34)</f>
        <v/>
      </c>
      <c r="D45" s="15" t="n"/>
      <c r="E45" s="11">
        <f>IF('MAESTRO 1°'!D34="","",'MAESTRO 1°'!E34)</f>
        <v/>
      </c>
      <c r="F45" s="46">
        <f>IF('MAESTRO 1°'!B34="","",IFERROR('PROM (Ingles 1°)'!AE34,""))</f>
        <v/>
      </c>
      <c r="G45" s="46">
        <f>IF('MAESTRO 1°'!B34="","",IFERROR('PROM (Ingles 1°)'!BM34,""))</f>
        <v/>
      </c>
      <c r="H45" s="46">
        <f>IF('MAESTRO 1°'!B34="","",IFERROR('PROM (Ingles 1°)'!CU34,""))</f>
        <v/>
      </c>
      <c r="I45" s="46">
        <f>IF('MAESTRO 1°'!B34="","",IFERROR(TRUNC(AVERAGE(F45,G45,H45),1),""))</f>
        <v/>
      </c>
      <c r="J45" s="163">
        <f>IF('MAESTRO 1°'!B34="","",IFERROR('Asistencia 1° '!BI32,""))</f>
        <v/>
      </c>
      <c r="K45" s="163">
        <f>IF('MAESTRO 1°'!B34="","",IFERROR('Asistencia 1° '!BJ32,""))</f>
        <v/>
      </c>
      <c r="L45" s="163">
        <f>IF('MAESTRO 1°'!B34="","",IFERROR('Asistencia 1° '!BI75,""))</f>
        <v/>
      </c>
      <c r="M45" s="163">
        <f>IF('MAESTRO 1°'!B34="","",IFERROR('Asistencia 1° '!BJ75,""))</f>
        <v/>
      </c>
      <c r="N45" s="163">
        <f>IF('MAESTRO 1°'!B34="","",IFERROR('Asistencia 1° '!BI118,""))</f>
        <v/>
      </c>
      <c r="O45" s="163">
        <f>IF('MAESTRO 1°'!B34="","",IFERROR('Asistencia 1° '!BJ118,""))</f>
        <v/>
      </c>
      <c r="P45" s="159">
        <f>SUM(J45,L45,N45)</f>
        <v/>
      </c>
      <c r="Q45" s="159">
        <f>SUM(K45,M45,O45)</f>
        <v/>
      </c>
    </row>
    <row r="46">
      <c r="B46" s="9" t="n">
        <v>31</v>
      </c>
      <c r="C46" s="11">
        <f>IF('MAESTRO 1°'!B35="","",'MAESTRO 1°'!B35)</f>
        <v/>
      </c>
      <c r="D46" s="15" t="n"/>
      <c r="E46" s="11">
        <f>IF('MAESTRO 1°'!D35="","",'MAESTRO 1°'!E35)</f>
        <v/>
      </c>
      <c r="F46" s="46">
        <f>IF('MAESTRO 1°'!B35="","",IFERROR('PROM (Ingles 1°)'!AE35,""))</f>
        <v/>
      </c>
      <c r="G46" s="46">
        <f>IF('MAESTRO 1°'!B35="","",IFERROR('PROM (Ingles 1°)'!BM35,""))</f>
        <v/>
      </c>
      <c r="H46" s="46">
        <f>IF('MAESTRO 1°'!B35="","",IFERROR('PROM (Ingles 1°)'!CU35,""))</f>
        <v/>
      </c>
      <c r="I46" s="46">
        <f>IF('MAESTRO 1°'!B35="","",IFERROR(TRUNC(AVERAGE(F46,G46,H46),1),""))</f>
        <v/>
      </c>
      <c r="J46" s="163">
        <f>IF('MAESTRO 1°'!B35="","",IFERROR('Asistencia 1° '!BI33,""))</f>
        <v/>
      </c>
      <c r="K46" s="163">
        <f>IF('MAESTRO 1°'!B35="","",IFERROR('Asistencia 1° '!BJ33,""))</f>
        <v/>
      </c>
      <c r="L46" s="163">
        <f>IF('MAESTRO 1°'!B35="","",IFERROR('Asistencia 1° '!BI76,""))</f>
        <v/>
      </c>
      <c r="M46" s="163">
        <f>IF('MAESTRO 1°'!B35="","",IFERROR('Asistencia 1° '!BJ76,""))</f>
        <v/>
      </c>
      <c r="N46" s="163">
        <f>IF('MAESTRO 1°'!B35="","",IFERROR('Asistencia 1° '!BI119,""))</f>
        <v/>
      </c>
      <c r="O46" s="163">
        <f>IF('MAESTRO 1°'!B35="","",IFERROR('Asistencia 1° '!BJ119,""))</f>
        <v/>
      </c>
      <c r="P46" s="159">
        <f>SUM(J46,L46,N46)</f>
        <v/>
      </c>
      <c r="Q46" s="159">
        <f>SUM(K46,M46,O46)</f>
        <v/>
      </c>
    </row>
    <row r="47">
      <c r="B47" s="9" t="n">
        <v>32</v>
      </c>
      <c r="C47" s="11">
        <f>IF('MAESTRO 1°'!B36="","",'MAESTRO 1°'!B36)</f>
        <v/>
      </c>
      <c r="D47" s="15" t="n"/>
      <c r="E47" s="11">
        <f>IF('MAESTRO 1°'!D36="","",'MAESTRO 1°'!E36)</f>
        <v/>
      </c>
      <c r="F47" s="46">
        <f>IF('MAESTRO 1°'!B36="","",IFERROR('PROM (Ingles 1°)'!AE36,""))</f>
        <v/>
      </c>
      <c r="G47" s="46">
        <f>IF('MAESTRO 1°'!B36="","",IFERROR('PROM (Ingles 1°)'!BM36,""))</f>
        <v/>
      </c>
      <c r="H47" s="46">
        <f>IF('MAESTRO 1°'!B36="","",IFERROR('PROM (Ingles 1°)'!CU36,""))</f>
        <v/>
      </c>
      <c r="I47" s="46">
        <f>IF('MAESTRO 1°'!B36="","",IFERROR(TRUNC(AVERAGE(F47,G47,H47),1),""))</f>
        <v/>
      </c>
      <c r="J47" s="163">
        <f>IF('MAESTRO 1°'!B36="","",IFERROR('Asistencia 1° '!BI34,""))</f>
        <v/>
      </c>
      <c r="K47" s="163">
        <f>IF('MAESTRO 1°'!B36="","",IFERROR('Asistencia 1° '!BJ34,""))</f>
        <v/>
      </c>
      <c r="L47" s="163">
        <f>IF('MAESTRO 1°'!B36="","",IFERROR('Asistencia 1° '!BI77,""))</f>
        <v/>
      </c>
      <c r="M47" s="163">
        <f>IF('MAESTRO 1°'!B36="","",IFERROR('Asistencia 1° '!BJ77,""))</f>
        <v/>
      </c>
      <c r="N47" s="163">
        <f>IF('MAESTRO 1°'!B36="","",IFERROR('Asistencia 1° '!BI120,""))</f>
        <v/>
      </c>
      <c r="O47" s="163">
        <f>IF('MAESTRO 1°'!B36="","",IFERROR('Asistencia 1° '!BJ120,""))</f>
        <v/>
      </c>
      <c r="P47" s="159">
        <f>SUM(J47,L47,N47)</f>
        <v/>
      </c>
      <c r="Q47" s="159">
        <f>SUM(K47,M47,O47)</f>
        <v/>
      </c>
    </row>
    <row r="48">
      <c r="B48" s="9" t="n">
        <v>33</v>
      </c>
      <c r="C48" s="11">
        <f>IF('MAESTRO 1°'!B37="","",'MAESTRO 1°'!B37)</f>
        <v/>
      </c>
      <c r="D48" s="15" t="n"/>
      <c r="E48" s="11">
        <f>IF('MAESTRO 1°'!D37="","",'MAESTRO 1°'!E37)</f>
        <v/>
      </c>
      <c r="F48" s="46">
        <f>IF('MAESTRO 1°'!B37="","",IFERROR('PROM (Ingles 1°)'!AE37,""))</f>
        <v/>
      </c>
      <c r="G48" s="46">
        <f>IF('MAESTRO 1°'!B37="","",IFERROR('PROM (Ingles 1°)'!BM37,""))</f>
        <v/>
      </c>
      <c r="H48" s="46">
        <f>IF('MAESTRO 1°'!B37="","",IFERROR('PROM (Ingles 1°)'!CU37,""))</f>
        <v/>
      </c>
      <c r="I48" s="46">
        <f>IF('MAESTRO 1°'!B37="","",IFERROR(TRUNC(AVERAGE(F48,G48,H48),1),""))</f>
        <v/>
      </c>
      <c r="J48" s="163">
        <f>IF('MAESTRO 1°'!B37="","",IFERROR('Asistencia 1° '!BI35,""))</f>
        <v/>
      </c>
      <c r="K48" s="163">
        <f>IF('MAESTRO 1°'!B37="","",IFERROR('Asistencia 1° '!BJ35,""))</f>
        <v/>
      </c>
      <c r="L48" s="163">
        <f>IF('MAESTRO 1°'!B37="","",IFERROR('Asistencia 1° '!BI78,""))</f>
        <v/>
      </c>
      <c r="M48" s="163">
        <f>IF('MAESTRO 1°'!B37="","",IFERROR('Asistencia 1° '!BJ78,""))</f>
        <v/>
      </c>
      <c r="N48" s="163">
        <f>IF('MAESTRO 1°'!B37="","",IFERROR('Asistencia 1° '!BI121,""))</f>
        <v/>
      </c>
      <c r="O48" s="163">
        <f>IF('MAESTRO 1°'!B37="","",IFERROR('Asistencia 1° '!BJ121,""))</f>
        <v/>
      </c>
      <c r="P48" s="159">
        <f>SUM(J48,L48,N48)</f>
        <v/>
      </c>
      <c r="Q48" s="159">
        <f>SUM(K48,M48,O48)</f>
        <v/>
      </c>
    </row>
    <row r="49">
      <c r="B49" s="9" t="n">
        <v>34</v>
      </c>
      <c r="C49" s="11">
        <f>IF('MAESTRO 1°'!B38="","",'MAESTRO 1°'!B38)</f>
        <v/>
      </c>
      <c r="D49" s="15" t="n"/>
      <c r="E49" s="11">
        <f>IF('MAESTRO 1°'!D38="","",'MAESTRO 1°'!E38)</f>
        <v/>
      </c>
      <c r="F49" s="46">
        <f>IF('MAESTRO 1°'!B38="","",IFERROR('PROM (Ingles 1°)'!AE38,""))</f>
        <v/>
      </c>
      <c r="G49" s="46">
        <f>IF('MAESTRO 1°'!B38="","",IFERROR('PROM (Ingles 1°)'!BM38,""))</f>
        <v/>
      </c>
      <c r="H49" s="46">
        <f>IF('MAESTRO 1°'!B38="","",IFERROR('PROM (Ingles 1°)'!CU38,""))</f>
        <v/>
      </c>
      <c r="I49" s="46">
        <f>IF('MAESTRO 1°'!B38="","",IFERROR(TRUNC(AVERAGE(F49,G49,H49),1),""))</f>
        <v/>
      </c>
      <c r="J49" s="163">
        <f>IF('MAESTRO 1°'!B38="","",IFERROR('Asistencia 1° '!BI36,""))</f>
        <v/>
      </c>
      <c r="K49" s="163">
        <f>IF('MAESTRO 1°'!B38="","",IFERROR('Asistencia 1° '!BJ36,""))</f>
        <v/>
      </c>
      <c r="L49" s="163">
        <f>IF('MAESTRO 1°'!B38="","",IFERROR('Asistencia 1° '!BI79,""))</f>
        <v/>
      </c>
      <c r="M49" s="163">
        <f>IF('MAESTRO 1°'!B38="","",IFERROR('Asistencia 1° '!BJ79,""))</f>
        <v/>
      </c>
      <c r="N49" s="163">
        <f>IF('MAESTRO 1°'!B38="","",IFERROR('Asistencia 1° '!BI122,""))</f>
        <v/>
      </c>
      <c r="O49" s="163">
        <f>IF('MAESTRO 1°'!B38="","",IFERROR('Asistencia 1° '!BJ122,""))</f>
        <v/>
      </c>
      <c r="P49" s="159">
        <f>SUM(J49,L49,N49)</f>
        <v/>
      </c>
      <c r="Q49" s="159">
        <f>SUM(K49,M49,O49)</f>
        <v/>
      </c>
    </row>
    <row r="50">
      <c r="B50" s="9" t="n">
        <v>35</v>
      </c>
      <c r="C50" s="11">
        <f>IF('MAESTRO 1°'!B39="","",'MAESTRO 1°'!B39)</f>
        <v/>
      </c>
      <c r="D50" s="15" t="n"/>
      <c r="E50" s="11">
        <f>IF('MAESTRO 1°'!D39="","",'MAESTRO 1°'!E39)</f>
        <v/>
      </c>
      <c r="F50" s="46">
        <f>IF('MAESTRO 1°'!B39="","",IFERROR('PROM (Ingles 1°)'!AE39,""))</f>
        <v/>
      </c>
      <c r="G50" s="46">
        <f>IF('MAESTRO 1°'!B39="","",IFERROR('PROM (Ingles 1°)'!BM39,""))</f>
        <v/>
      </c>
      <c r="H50" s="46">
        <f>IF('MAESTRO 1°'!B39="","",IFERROR('PROM (Ingles 1°)'!CU39,""))</f>
        <v/>
      </c>
      <c r="I50" s="46">
        <f>IF('MAESTRO 1°'!B39="","",IFERROR(TRUNC(AVERAGE(F50,G50,H50),1),""))</f>
        <v/>
      </c>
      <c r="J50" s="163">
        <f>IF('MAESTRO 1°'!B39="","",IFERROR('Asistencia 1° '!BI37,""))</f>
        <v/>
      </c>
      <c r="K50" s="163">
        <f>IF('MAESTRO 1°'!B39="","",IFERROR('Asistencia 1° '!BJ37,""))</f>
        <v/>
      </c>
      <c r="L50" s="163">
        <f>IF('MAESTRO 1°'!B39="","",IFERROR('Asistencia 1° '!BI80,""))</f>
        <v/>
      </c>
      <c r="M50" s="163">
        <f>IF('MAESTRO 1°'!B39="","",IFERROR('Asistencia 1° '!BJ80,""))</f>
        <v/>
      </c>
      <c r="N50" s="163">
        <f>IF('MAESTRO 1°'!B39="","",IFERROR('Asistencia 1° '!BI123,""))</f>
        <v/>
      </c>
      <c r="O50" s="163">
        <f>IF('MAESTRO 1°'!B39="","",IFERROR('Asistencia 1° '!BJ123,""))</f>
        <v/>
      </c>
      <c r="P50" s="159">
        <f>SUM(J50,L50,N50)</f>
        <v/>
      </c>
      <c r="Q50" s="159">
        <f>SUM(K50,M50,O50)</f>
        <v/>
      </c>
    </row>
    <row r="51">
      <c r="B51" s="9" t="n">
        <v>36</v>
      </c>
      <c r="C51" s="11">
        <f>IF('MAESTRO 1°'!B40="","",'MAESTRO 1°'!B40)</f>
        <v/>
      </c>
      <c r="D51" s="15" t="n"/>
      <c r="E51" s="11">
        <f>IF('MAESTRO 1°'!D40="","",'MAESTRO 1°'!E40)</f>
        <v/>
      </c>
      <c r="F51" s="46">
        <f>IF('MAESTRO 1°'!B40="","",IFERROR('PROM (Ingles 1°)'!AE40,""))</f>
        <v/>
      </c>
      <c r="G51" s="46">
        <f>IF('MAESTRO 1°'!B40="","",IFERROR('PROM (Ingles 1°)'!BM40,""))</f>
        <v/>
      </c>
      <c r="H51" s="46">
        <f>IF('MAESTRO 1°'!B40="","",IFERROR('PROM (Ingles 1°)'!CU40,""))</f>
        <v/>
      </c>
      <c r="I51" s="46">
        <f>IF('MAESTRO 1°'!B40="","",IFERROR(TRUNC(AVERAGE(F51,G51,H51),1),""))</f>
        <v/>
      </c>
      <c r="J51" s="163">
        <f>IF('MAESTRO 1°'!B40="","",IFERROR('Asistencia 1° '!BI38,""))</f>
        <v/>
      </c>
      <c r="K51" s="163">
        <f>IF('MAESTRO 1°'!B40="","",IFERROR('Asistencia 1° '!BJ38,""))</f>
        <v/>
      </c>
      <c r="L51" s="163">
        <f>IF('MAESTRO 1°'!B40="","",IFERROR('Asistencia 1° '!BI81,""))</f>
        <v/>
      </c>
      <c r="M51" s="163">
        <f>IF('MAESTRO 1°'!B40="","",IFERROR('Asistencia 1° '!BJ81,""))</f>
        <v/>
      </c>
      <c r="N51" s="163">
        <f>IF('MAESTRO 1°'!B40="","",IFERROR('Asistencia 1° '!BI124,""))</f>
        <v/>
      </c>
      <c r="O51" s="163">
        <f>IF('MAESTRO 1°'!B40="","",IFERROR('Asistencia 1° '!BJ124,""))</f>
        <v/>
      </c>
      <c r="P51" s="159">
        <f>SUM(J51,L51,N51)</f>
        <v/>
      </c>
      <c r="Q51" s="159">
        <f>SUM(K51,M51,O51)</f>
        <v/>
      </c>
    </row>
    <row r="52">
      <c r="B52" s="9" t="n">
        <v>37</v>
      </c>
      <c r="C52" s="11">
        <f>IF('MAESTRO 1°'!B41="","",'MAESTRO 1°'!B41)</f>
        <v/>
      </c>
      <c r="D52" s="15" t="n"/>
      <c r="E52" s="11">
        <f>IF('MAESTRO 1°'!D41="","",'MAESTRO 1°'!E41)</f>
        <v/>
      </c>
      <c r="F52" s="46">
        <f>IF('MAESTRO 1°'!B41="","",IFERROR('PROM (Ingles 1°)'!AE41,""))</f>
        <v/>
      </c>
      <c r="G52" s="46">
        <f>IF('MAESTRO 1°'!B41="","",IFERROR('PROM (Ingles 1°)'!BM41,""))</f>
        <v/>
      </c>
      <c r="H52" s="46">
        <f>IF('MAESTRO 1°'!B41="","",IFERROR('PROM (Ingles 1°)'!CU41,""))</f>
        <v/>
      </c>
      <c r="I52" s="46">
        <f>IF('MAESTRO 1°'!B41="","",IFERROR(TRUNC(AVERAGE(F52,G52,H52),1),""))</f>
        <v/>
      </c>
      <c r="J52" s="163">
        <f>IF('MAESTRO 1°'!B41="","",IFERROR('Asistencia 1° '!BI39,""))</f>
        <v/>
      </c>
      <c r="K52" s="163">
        <f>IF('MAESTRO 1°'!B41="","",IFERROR('Asistencia 1° '!BJ39,""))</f>
        <v/>
      </c>
      <c r="L52" s="163">
        <f>IF('MAESTRO 1°'!B41="","",IFERROR('Asistencia 1° '!BI82,""))</f>
        <v/>
      </c>
      <c r="M52" s="163">
        <f>IF('MAESTRO 1°'!B41="","",IFERROR('Asistencia 1° '!BJ82,""))</f>
        <v/>
      </c>
      <c r="N52" s="163">
        <f>IF('MAESTRO 1°'!B41="","",IFERROR('Asistencia 1° '!BI125,""))</f>
        <v/>
      </c>
      <c r="O52" s="163">
        <f>IF('MAESTRO 1°'!B41="","",IFERROR('Asistencia 1° '!BJ125,""))</f>
        <v/>
      </c>
      <c r="P52" s="159">
        <f>SUM(J52,L52,N52)</f>
        <v/>
      </c>
      <c r="Q52" s="159">
        <f>SUM(K52,M52,O52)</f>
        <v/>
      </c>
    </row>
    <row r="53">
      <c r="B53" s="9" t="n">
        <v>38</v>
      </c>
      <c r="C53" s="11">
        <f>IF('MAESTRO 1°'!B42="","",'MAESTRO 1°'!B42)</f>
        <v/>
      </c>
      <c r="D53" s="15" t="n"/>
      <c r="E53" s="11">
        <f>IF('MAESTRO 1°'!D42="","",'MAESTRO 1°'!E42)</f>
        <v/>
      </c>
      <c r="F53" s="46">
        <f>IF('MAESTRO 1°'!B42="","",IFERROR('PROM (Ingles 1°)'!AE42,""))</f>
        <v/>
      </c>
      <c r="G53" s="46">
        <f>IF('MAESTRO 1°'!B42="","",IFERROR('PROM (Ingles 1°)'!BM42,""))</f>
        <v/>
      </c>
      <c r="H53" s="46">
        <f>IF('MAESTRO 1°'!B42="","",IFERROR('PROM (Ingles 1°)'!CU42,""))</f>
        <v/>
      </c>
      <c r="I53" s="46">
        <f>IF('MAESTRO 1°'!B42="","",IFERROR(TRUNC(AVERAGE(F53,G53,H53),1),""))</f>
        <v/>
      </c>
      <c r="J53" s="163">
        <f>IF('MAESTRO 1°'!B42="","",IFERROR('Asistencia 1° '!BI40,""))</f>
        <v/>
      </c>
      <c r="K53" s="163">
        <f>IF('MAESTRO 1°'!B42="","",IFERROR('Asistencia 1° '!BJ40,""))</f>
        <v/>
      </c>
      <c r="L53" s="163">
        <f>IF('MAESTRO 1°'!B42="","",IFERROR('Asistencia 1° '!BI83,""))</f>
        <v/>
      </c>
      <c r="M53" s="163">
        <f>IF('MAESTRO 1°'!B42="","",IFERROR('Asistencia 1° '!BJ83,""))</f>
        <v/>
      </c>
      <c r="N53" s="163">
        <f>IF('MAESTRO 1°'!B42="","",IFERROR('Asistencia 1° '!BI126,""))</f>
        <v/>
      </c>
      <c r="O53" s="163">
        <f>IF('MAESTRO 1°'!B42="","",IFERROR('Asistencia 1° '!BJ126,""))</f>
        <v/>
      </c>
      <c r="P53" s="159">
        <f>SUM(J53,L53,N53)</f>
        <v/>
      </c>
      <c r="Q53" s="159">
        <f>SUM(K53,M53,O53)</f>
        <v/>
      </c>
    </row>
    <row r="54">
      <c r="B54" s="9" t="n">
        <v>39</v>
      </c>
      <c r="C54" s="11">
        <f>IF('MAESTRO 1°'!B43="","",'MAESTRO 1°'!B43)</f>
        <v/>
      </c>
      <c r="D54" s="15" t="n"/>
      <c r="E54" s="11">
        <f>IF('MAESTRO 1°'!D43="","",'MAESTRO 1°'!E43)</f>
        <v/>
      </c>
      <c r="F54" s="46">
        <f>IF('MAESTRO 1°'!B43="","",IFERROR('PROM (Ingles 1°)'!AE43,""))</f>
        <v/>
      </c>
      <c r="G54" s="46">
        <f>IF('MAESTRO 1°'!B43="","",IFERROR('PROM (Ingles 1°)'!BM43,""))</f>
        <v/>
      </c>
      <c r="H54" s="46">
        <f>IF('MAESTRO 1°'!B43="","",IFERROR('PROM (Ingles 1°)'!CU43,""))</f>
        <v/>
      </c>
      <c r="I54" s="46">
        <f>IF('MAESTRO 1°'!B43="","",IFERROR(TRUNC(AVERAGE(F54,G54,H54),1),""))</f>
        <v/>
      </c>
      <c r="J54" s="163">
        <f>IF('MAESTRO 1°'!B43="","",IFERROR('Asistencia 1° '!BI41,""))</f>
        <v/>
      </c>
      <c r="K54" s="163">
        <f>IF('MAESTRO 1°'!B43="","",IFERROR('Asistencia 1° '!BJ41,""))</f>
        <v/>
      </c>
      <c r="L54" s="163">
        <f>IF('MAESTRO 1°'!B43="","",IFERROR('Asistencia 1° '!BI84,""))</f>
        <v/>
      </c>
      <c r="M54" s="163">
        <f>IF('MAESTRO 1°'!B43="","",IFERROR('Asistencia 1° '!BJ84,""))</f>
        <v/>
      </c>
      <c r="N54" s="163">
        <f>IF('MAESTRO 1°'!B43="","",IFERROR('Asistencia 1° '!BI127,""))</f>
        <v/>
      </c>
      <c r="O54" s="163">
        <f>IF('MAESTRO 1°'!B43="","",IFERROR('Asistencia 1° '!BJ127,""))</f>
        <v/>
      </c>
      <c r="P54" s="159">
        <f>SUM(J54,L54,N54)</f>
        <v/>
      </c>
      <c r="Q54" s="159">
        <f>SUM(K54,M54,O54)</f>
        <v/>
      </c>
    </row>
    <row r="55">
      <c r="B55" s="9" t="n">
        <v>40</v>
      </c>
      <c r="C55" s="11">
        <f>IF('MAESTRO 1°'!B44="","",'MAESTRO 1°'!B44)</f>
        <v/>
      </c>
      <c r="D55" s="15" t="n"/>
      <c r="E55" s="11">
        <f>IF('MAESTRO 1°'!D44="","",'MAESTRO 1°'!E44)</f>
        <v/>
      </c>
      <c r="F55" s="46">
        <f>IF('MAESTRO 1°'!B44="","",IFERROR('PROM (Ingles 1°)'!AE44,""))</f>
        <v/>
      </c>
      <c r="G55" s="46">
        <f>IF('MAESTRO 1°'!B44="","",IFERROR('PROM (Ingles 1°)'!BM44,""))</f>
        <v/>
      </c>
      <c r="H55" s="46">
        <f>IF('MAESTRO 1°'!B44="","",IFERROR('PROM (Ingles 1°)'!CU44,""))</f>
        <v/>
      </c>
      <c r="I55" s="46">
        <f>IF('MAESTRO 1°'!B44="","",IFERROR(TRUNC(AVERAGE(F55,G55,H55),1),""))</f>
        <v/>
      </c>
      <c r="J55" s="163">
        <f>IF('MAESTRO 1°'!B44="","",IFERROR('Asistencia 1° '!BI42,""))</f>
        <v/>
      </c>
      <c r="K55" s="163">
        <f>IF('MAESTRO 1°'!B44="","",IFERROR('Asistencia 1° '!BJ42,""))</f>
        <v/>
      </c>
      <c r="L55" s="163">
        <f>IF('MAESTRO 1°'!B44="","",IFERROR('Asistencia 1° '!BI85,""))</f>
        <v/>
      </c>
      <c r="M55" s="163">
        <f>IF('MAESTRO 1°'!B44="","",IFERROR('Asistencia 1° '!BJ85,""))</f>
        <v/>
      </c>
      <c r="N55" s="163">
        <f>IF('MAESTRO 1°'!B44="","",IFERROR('Asistencia 1° '!BI128,""))</f>
        <v/>
      </c>
      <c r="O55" s="163">
        <f>IF('MAESTRO 1°'!B44="","",IFERROR('Asistencia 1° '!BJ128,""))</f>
        <v/>
      </c>
      <c r="P55" s="159">
        <f>SUM(J55,L55,N55)</f>
        <v/>
      </c>
      <c r="Q55" s="159">
        <f>SUM(K55,M55,O55)</f>
        <v/>
      </c>
    </row>
    <row r="56">
      <c r="B56" s="12" t="n"/>
      <c r="C56" s="12" t="n"/>
      <c r="D56" s="12" t="n"/>
      <c r="E56" s="12" t="n"/>
      <c r="F56" s="51" t="n"/>
      <c r="G56" s="51" t="n"/>
      <c r="H56" s="51" t="n"/>
      <c r="I56" s="44" t="n"/>
      <c r="J56" s="51" t="n"/>
      <c r="K56" s="51" t="n"/>
      <c r="L56" s="51" t="n"/>
      <c r="M56" s="51" t="n"/>
      <c r="N56" s="51" t="n"/>
      <c r="O56" s="51" t="n"/>
      <c r="P56" s="51" t="n"/>
      <c r="Q56" s="51" t="n"/>
    </row>
  </sheetData>
  <mergeCells count="26">
    <mergeCell ref="J14:K14"/>
    <mergeCell ref="B6:Q6"/>
    <mergeCell ref="P13:Q14"/>
    <mergeCell ref="B14:B15"/>
    <mergeCell ref="B5:Q5"/>
    <mergeCell ref="B11:C11"/>
    <mergeCell ref="F13:H13"/>
    <mergeCell ref="D11:E11"/>
    <mergeCell ref="L9:Q9"/>
    <mergeCell ref="L14:M14"/>
    <mergeCell ref="B7:Q7"/>
    <mergeCell ref="N14:O14"/>
    <mergeCell ref="G14:G15"/>
    <mergeCell ref="B3:Q3"/>
    <mergeCell ref="I14:I15"/>
    <mergeCell ref="L11:Q11"/>
    <mergeCell ref="I9:K9"/>
    <mergeCell ref="B10:C10"/>
    <mergeCell ref="C14:D15"/>
    <mergeCell ref="B9:C9"/>
    <mergeCell ref="D9:E9"/>
    <mergeCell ref="F14:F15"/>
    <mergeCell ref="H14:H15"/>
    <mergeCell ref="I11:K11"/>
    <mergeCell ref="J13:O13"/>
    <mergeCell ref="E14:E15"/>
  </mergeCells>
  <conditionalFormatting sqref="F16:I55">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R137"/>
  <sheetViews>
    <sheetView workbookViewId="0">
      <selection activeCell="E5" sqref="E5"/>
    </sheetView>
  </sheetViews>
  <sheetFormatPr baseColWidth="10" defaultColWidth="8.88671875" defaultRowHeight="14.4"/>
  <cols>
    <col width="28.77734375" customWidth="1" style="147" min="1" max="1"/>
    <col width="45.77734375" customWidth="1" style="147" min="2" max="2"/>
    <col width="28" customWidth="1" style="147" min="3" max="3"/>
    <col width="18.77734375" customWidth="1" style="147" min="4" max="4"/>
    <col width="10" customWidth="1" style="147" min="6" max="6"/>
    <col width="20.77734375" customWidth="1" style="147" min="7" max="7"/>
  </cols>
  <sheetData>
    <row r="1" ht="30" customHeight="1" s="147">
      <c r="A1" s="245" t="inlineStr">
        <is>
          <t>DASHBOARD ACADEMICO</t>
        </is>
      </c>
    </row>
    <row r="2" ht="13.95" customHeight="1" s="147">
      <c r="A2" s="98" t="n"/>
      <c r="B2" s="98" t="n"/>
      <c r="C2" s="98" t="n"/>
      <c r="D2" s="98" t="n"/>
      <c r="E2" s="98" t="n"/>
      <c r="F2" s="98" t="n"/>
      <c r="G2" s="98" t="n"/>
      <c r="H2" s="98" t="n"/>
      <c r="I2" s="98" t="n"/>
      <c r="J2" s="98" t="n"/>
      <c r="K2" s="98" t="n"/>
      <c r="L2" s="98" t="n"/>
      <c r="M2" s="98" t="n"/>
      <c r="N2" s="98" t="n"/>
    </row>
    <row r="3">
      <c r="A3" s="98" t="n"/>
      <c r="B3" s="98" t="n"/>
      <c r="C3" s="98" t="n"/>
      <c r="D3" s="98" t="n"/>
      <c r="E3" s="98" t="n"/>
      <c r="F3" s="98" t="n"/>
      <c r="G3" s="98" t="n"/>
      <c r="H3" s="98" t="n"/>
      <c r="I3" s="98" t="n"/>
      <c r="J3" s="98" t="n"/>
      <c r="K3" s="98" t="n"/>
      <c r="L3" s="98" t="n"/>
      <c r="M3" s="98" t="n"/>
      <c r="N3" s="98" t="n"/>
    </row>
    <row r="4" ht="19.95" customHeight="1" s="147">
      <c r="A4" s="99" t="n"/>
      <c r="B4" s="99" t="n"/>
      <c r="C4" s="99" t="n"/>
      <c r="D4" s="99" t="n"/>
      <c r="E4" s="99" t="n"/>
      <c r="F4" s="99" t="n"/>
      <c r="G4" s="99" t="n"/>
      <c r="H4" s="99" t="n"/>
      <c r="I4" s="99" t="n"/>
      <c r="J4" s="99" t="n"/>
      <c r="K4" s="99" t="n"/>
      <c r="L4" s="99" t="n"/>
      <c r="M4" s="99" t="n"/>
      <c r="N4" s="99" t="n"/>
      <c r="O4" s="248" t="n"/>
      <c r="Q4" s="249" t="n"/>
    </row>
    <row r="5" ht="18" customHeight="1" s="147">
      <c r="A5" s="102" t="inlineStr">
        <is>
          <t>Indicador</t>
        </is>
      </c>
      <c r="B5" s="102" t="inlineStr">
        <is>
          <t>Valor</t>
        </is>
      </c>
      <c r="C5" s="99" t="n"/>
      <c r="D5" s="103" t="inlineStr">
        <is>
          <t>Grado</t>
        </is>
      </c>
      <c r="E5" s="103" t="inlineStr">
        <is>
          <t>Riesgo Academico</t>
        </is>
      </c>
      <c r="F5" s="99" t="n"/>
      <c r="G5" s="104" t="inlineStr">
        <is>
          <t>Grado</t>
        </is>
      </c>
      <c r="H5" s="104" t="inlineStr">
        <is>
          <t>Riesgo Inasistencia</t>
        </is>
      </c>
      <c r="I5" s="99" t="n"/>
      <c r="J5" s="99" t="n"/>
      <c r="K5" s="99" t="n"/>
      <c r="L5" s="99" t="n"/>
      <c r="M5" s="99" t="n"/>
      <c r="N5" s="99" t="n"/>
      <c r="O5" s="249" t="n"/>
      <c r="Q5" s="249" t="n"/>
    </row>
    <row r="6" ht="18" customHeight="1" s="147">
      <c r="A6" s="99" t="inlineStr">
        <is>
          <t>Total estudiantes 1°</t>
        </is>
      </c>
      <c r="B6" s="99">
        <f>IFERROR(COUNTA('MAESTRO 1°'!B5:B48),0)</f>
        <v/>
      </c>
      <c r="C6" s="99" t="n"/>
      <c r="D6" s="99" t="inlineStr">
        <is>
          <t>1°</t>
        </is>
      </c>
      <c r="E6" s="99">
        <f>IFERROR(MAX(COUNTIF('PROM (Ingles 1°)'!AE5:AE48,"&lt;3")),"")</f>
        <v/>
      </c>
      <c r="F6" s="99" t="n"/>
      <c r="G6" s="99" t="inlineStr">
        <is>
          <t>1°</t>
        </is>
      </c>
      <c r="H6" s="99">
        <f>IFERROR(SUMPRODUCT(('Asistencia 1° '!C3:BH46="-")*1)+SUMPRODUCT(('Asistencia 1° '!C50:BH93="-")*1)+SUMPRODUCT(('Asistencia 1° '!C97:BH140="-")*1),"")</f>
        <v/>
      </c>
      <c r="I6" s="99" t="n"/>
      <c r="J6" s="99" t="n"/>
      <c r="K6" s="99" t="n"/>
      <c r="L6" s="99" t="n"/>
      <c r="M6" s="99" t="n"/>
      <c r="N6" s="99" t="n"/>
      <c r="O6" s="249" t="n"/>
      <c r="Q6" s="249" t="n"/>
    </row>
    <row r="7" ht="18" customHeight="1" s="147">
      <c r="A7" s="99" t="n"/>
      <c r="B7" s="99" t="n"/>
      <c r="C7" s="99" t="n"/>
      <c r="D7" s="99" t="n"/>
      <c r="E7" s="99" t="n"/>
      <c r="F7" s="99" t="n"/>
      <c r="G7" s="99" t="n"/>
      <c r="H7" s="99" t="n"/>
      <c r="I7" s="99" t="n"/>
      <c r="J7" s="99" t="n"/>
      <c r="K7" s="99" t="n"/>
      <c r="L7" s="99" t="n"/>
      <c r="M7" s="99" t="n"/>
      <c r="N7" s="99" t="n"/>
      <c r="O7" s="249" t="n"/>
      <c r="Q7" s="249" t="n"/>
    </row>
    <row r="8" ht="18" customHeight="1" s="147">
      <c r="A8" s="99" t="n"/>
      <c r="B8" s="99" t="n"/>
      <c r="C8" s="99" t="n"/>
      <c r="D8" s="99" t="n"/>
      <c r="E8" s="99" t="n"/>
      <c r="F8" s="99" t="n"/>
      <c r="G8" s="99" t="n"/>
      <c r="H8" s="99" t="n"/>
      <c r="I8" s="99" t="n"/>
      <c r="J8" s="99" t="n"/>
      <c r="K8" s="99" t="n"/>
      <c r="L8" s="99" t="n"/>
      <c r="M8" s="99" t="n"/>
      <c r="N8" s="99" t="n"/>
      <c r="O8" s="249" t="n"/>
      <c r="Q8" s="249" t="n"/>
    </row>
    <row r="9">
      <c r="A9" s="99" t="inlineStr">
        <is>
          <t>Total general</t>
        </is>
      </c>
      <c r="B9" s="99">
        <f>SUM(B6:B6)</f>
        <v/>
      </c>
      <c r="C9" s="99" t="n"/>
      <c r="D9" s="99" t="n"/>
      <c r="E9" s="99" t="n"/>
      <c r="F9" s="99" t="n"/>
      <c r="G9" s="99" t="n"/>
      <c r="H9" s="99" t="n"/>
      <c r="I9" s="99" t="n"/>
      <c r="J9" s="99" t="n"/>
      <c r="K9" s="99" t="n"/>
      <c r="L9" s="99" t="n"/>
      <c r="M9" s="99" t="n"/>
      <c r="N9" s="99" t="n"/>
    </row>
    <row r="10" ht="18" customHeight="1" s="147">
      <c r="A10" s="99" t="n"/>
      <c r="B10" s="99" t="n"/>
      <c r="C10" s="99" t="n"/>
      <c r="D10" s="99" t="n"/>
      <c r="E10" s="99" t="n"/>
      <c r="F10" s="99" t="n"/>
      <c r="G10" s="99" t="n"/>
      <c r="H10" s="99" t="n"/>
      <c r="I10" s="99" t="n"/>
      <c r="J10" s="99" t="n"/>
      <c r="K10" s="99" t="n"/>
      <c r="L10" s="99" t="n"/>
      <c r="M10" s="99" t="n"/>
      <c r="N10" s="99" t="n"/>
      <c r="O10" s="248" t="n"/>
      <c r="Q10" s="248" t="n"/>
      <c r="R10" s="249" t="n"/>
    </row>
    <row r="11" ht="16.05" customHeight="1" s="147">
      <c r="A11" s="99" t="n"/>
      <c r="B11" s="99" t="n"/>
      <c r="C11" s="99" t="n"/>
      <c r="D11" s="99" t="n"/>
      <c r="E11" s="99" t="n"/>
      <c r="F11" s="99" t="n"/>
      <c r="G11" s="99" t="n"/>
      <c r="H11" s="99" t="n"/>
      <c r="I11" s="99" t="n"/>
      <c r="J11" s="99" t="n"/>
      <c r="K11" s="99" t="n"/>
      <c r="L11" s="99" t="n"/>
      <c r="M11" s="99" t="n"/>
      <c r="N11" s="99" t="n"/>
      <c r="O11" s="248" t="n"/>
      <c r="Q11" s="248" t="n"/>
      <c r="R11" s="249" t="n"/>
    </row>
    <row r="12" ht="16.05" customHeight="1" s="147">
      <c r="A12" s="105" t="inlineStr">
        <is>
          <t>Prioridad</t>
        </is>
      </c>
      <c r="B12" s="105" t="inlineStr">
        <is>
          <t>Descripcion</t>
        </is>
      </c>
      <c r="C12" s="99" t="n"/>
      <c r="D12" s="99" t="n"/>
      <c r="E12" s="99" t="n"/>
      <c r="F12" s="99" t="n"/>
      <c r="G12" s="99" t="n"/>
      <c r="H12" s="99" t="n"/>
      <c r="I12" s="99" t="n"/>
      <c r="J12" s="99" t="n"/>
      <c r="K12" s="99" t="n"/>
      <c r="L12" s="99" t="n"/>
      <c r="M12" s="99" t="n"/>
      <c r="N12" s="99" t="n"/>
      <c r="O12" s="248" t="n"/>
      <c r="P12" s="248" t="n"/>
      <c r="Q12" s="248" t="n"/>
      <c r="R12" s="249" t="n"/>
    </row>
    <row r="13" ht="16.05" customHeight="1" s="147">
      <c r="A13" s="99" t="inlineStr">
        <is>
          <t>Atencion academica</t>
        </is>
      </c>
      <c r="B13" s="99">
        <f>IF(MAX(E6:E6)&gt;0,"Reforzar grado "&amp;IFERROR(INDEX(D6:D6,MATCH(MAX(E6:E6),E6:E6,0)),"")&amp;" ("&amp;MAX(E6:E6)&amp;" estudiantes bajo 3.0)","✓ Sin alertas académicas")</f>
        <v/>
      </c>
      <c r="C13" s="99" t="n"/>
      <c r="D13" s="99" t="n"/>
      <c r="E13" s="99" t="n"/>
      <c r="F13" s="99" t="n"/>
      <c r="G13" s="99" t="n"/>
      <c r="H13" s="99" t="n"/>
      <c r="I13" s="99" t="n"/>
      <c r="J13" s="99" t="n"/>
      <c r="K13" s="99" t="n"/>
      <c r="L13" s="99" t="n"/>
      <c r="M13" s="99" t="n"/>
      <c r="N13" s="99" t="n"/>
      <c r="O13" s="248" t="n"/>
      <c r="P13" s="248" t="n"/>
      <c r="Q13" s="248" t="n"/>
      <c r="R13" s="249" t="n"/>
    </row>
    <row r="14" ht="16.05" customHeight="1" s="147">
      <c r="A14" s="99" t="inlineStr">
        <is>
          <t>Atencion asistencia</t>
        </is>
      </c>
      <c r="B14" s="99">
        <f>IF(MAX(H6:H6)&gt;0,"Revisar ausencias en grado "&amp;IFERROR(INDEX(G6:G6,MATCH(MAX(H6:H6),H6:H6,0)),"")&amp;" ("&amp;MAX(H6:H6)&amp;" ausencias)","✓ Sin alertas de asistencia")</f>
        <v/>
      </c>
      <c r="C14" s="99" t="n"/>
      <c r="D14" s="99" t="n"/>
      <c r="E14" s="99" t="n"/>
      <c r="F14" s="99" t="n"/>
      <c r="G14" s="99" t="n"/>
      <c r="H14" s="99" t="n"/>
      <c r="I14" s="99" t="n"/>
      <c r="J14" s="99" t="n"/>
      <c r="K14" s="99" t="n"/>
      <c r="L14" s="99" t="n"/>
      <c r="M14" s="99" t="n"/>
      <c r="N14" s="99" t="n"/>
      <c r="O14" s="248" t="n"/>
      <c r="P14" s="248" t="n"/>
      <c r="Q14" s="248" t="n"/>
      <c r="R14" s="249" t="n"/>
    </row>
    <row r="15">
      <c r="A15" s="99" t="n"/>
      <c r="B15" s="99" t="n"/>
      <c r="C15" s="99" t="n"/>
      <c r="D15" s="99" t="n"/>
      <c r="E15" s="99" t="n"/>
      <c r="F15" s="99" t="n"/>
      <c r="G15" s="99" t="n"/>
      <c r="H15" s="99" t="n"/>
      <c r="I15" s="99" t="n"/>
      <c r="J15" s="99" t="n"/>
      <c r="K15" s="99" t="n"/>
      <c r="L15" s="99" t="n"/>
      <c r="M15" s="99" t="n"/>
      <c r="N15" s="99" t="n"/>
    </row>
    <row r="16" ht="19.95" customHeight="1" s="147">
      <c r="A16" s="244" t="n"/>
      <c r="I16" s="99" t="n"/>
      <c r="J16" s="99" t="n"/>
      <c r="K16" s="99" t="n"/>
      <c r="L16" s="99" t="n"/>
      <c r="M16" s="99" t="n"/>
      <c r="N16" s="99" t="n"/>
      <c r="O16" s="248" t="n"/>
      <c r="P16" s="248" t="n"/>
      <c r="Q16" s="248" t="n"/>
      <c r="R16" s="249" t="n"/>
    </row>
    <row r="17" ht="18" customHeight="1" s="147">
      <c r="I17" s="99" t="n"/>
      <c r="J17" s="99" t="n"/>
      <c r="K17" s="99" t="n"/>
      <c r="L17" s="99" t="n"/>
      <c r="M17" s="99" t="n"/>
      <c r="N17" s="99" t="n"/>
    </row>
    <row r="18" ht="13.95" customHeight="1" s="147">
      <c r="I18" s="99" t="n"/>
      <c r="J18" s="99" t="n"/>
      <c r="K18" s="99" t="n"/>
      <c r="L18" s="99" t="n"/>
      <c r="M18" s="99" t="n"/>
      <c r="N18" s="99" t="n"/>
    </row>
    <row r="19" ht="13.95" customHeight="1" s="147">
      <c r="A19" s="99" t="n"/>
      <c r="B19" s="99" t="n"/>
      <c r="C19" s="99" t="n"/>
      <c r="D19" s="99" t="n"/>
      <c r="E19" s="99" t="n"/>
      <c r="F19" s="99" t="n"/>
      <c r="G19" s="99" t="n"/>
      <c r="H19" s="99" t="n"/>
      <c r="I19" s="99" t="n"/>
      <c r="J19" s="99" t="n"/>
      <c r="K19" s="99" t="n"/>
      <c r="L19" s="99" t="n"/>
      <c r="M19" s="99" t="n"/>
      <c r="N19" s="99" t="n"/>
    </row>
    <row r="20" ht="13.95" customHeight="1" s="147">
      <c r="A20" s="99" t="n"/>
      <c r="B20" s="99" t="n"/>
      <c r="C20" s="99" t="n"/>
      <c r="D20" s="99" t="n"/>
      <c r="E20" s="99" t="n"/>
      <c r="F20" s="99" t="n"/>
      <c r="G20" s="99" t="n"/>
      <c r="H20" s="99" t="n"/>
      <c r="I20" s="99" t="n"/>
      <c r="J20" s="99" t="n"/>
      <c r="K20" s="99" t="n"/>
      <c r="L20" s="99" t="n"/>
      <c r="M20" s="99" t="n"/>
      <c r="N20" s="99" t="n"/>
    </row>
    <row r="21" ht="13.95" customHeight="1" s="147">
      <c r="A21" s="99" t="n"/>
      <c r="B21" s="99" t="n"/>
      <c r="C21" s="99" t="n"/>
      <c r="D21" s="99" t="n"/>
      <c r="E21" s="99" t="n"/>
      <c r="F21" s="99" t="n"/>
      <c r="G21" s="99" t="n"/>
      <c r="H21" s="99" t="n"/>
      <c r="I21" s="99" t="n"/>
      <c r="J21" s="99" t="n"/>
      <c r="K21" s="99" t="n"/>
      <c r="L21" s="99" t="n"/>
      <c r="M21" s="99" t="n"/>
      <c r="N21" s="99" t="n"/>
    </row>
    <row r="22" ht="13.95" customHeight="1" s="147">
      <c r="A22" s="99" t="n"/>
      <c r="B22" s="99" t="n"/>
      <c r="C22" s="99" t="n"/>
      <c r="D22" s="99" t="n"/>
      <c r="E22" s="99" t="n"/>
      <c r="F22" s="99" t="n"/>
      <c r="G22" s="99" t="n"/>
      <c r="H22" s="99" t="n"/>
      <c r="I22" s="99" t="n"/>
      <c r="J22" s="99" t="n"/>
      <c r="K22" s="99" t="n"/>
      <c r="L22" s="99" t="n"/>
      <c r="M22" s="99" t="n"/>
      <c r="N22" s="99" t="n"/>
    </row>
    <row r="23" ht="13.95" customHeight="1" s="147">
      <c r="A23" s="99" t="n"/>
      <c r="B23" s="99" t="n"/>
      <c r="C23" s="99" t="n"/>
      <c r="D23" s="99" t="n"/>
      <c r="E23" s="99" t="n"/>
      <c r="F23" s="99" t="n"/>
      <c r="G23" s="99" t="n"/>
      <c r="H23" s="99" t="n"/>
      <c r="I23" s="99" t="n"/>
      <c r="J23" s="99" t="n"/>
      <c r="K23" s="99" t="n"/>
      <c r="L23" s="99" t="n"/>
      <c r="M23" s="99" t="n"/>
      <c r="N23" s="99" t="n"/>
    </row>
    <row r="24" ht="13.95" customHeight="1" s="147">
      <c r="A24" s="99" t="n"/>
      <c r="B24" s="99" t="n"/>
      <c r="C24" s="99" t="n"/>
      <c r="D24" s="99" t="n"/>
      <c r="E24" s="99" t="n"/>
      <c r="F24" s="99" t="n"/>
      <c r="G24" s="99" t="n"/>
      <c r="H24" s="99" t="n"/>
      <c r="I24" s="99" t="n"/>
      <c r="J24" s="99" t="n"/>
      <c r="K24" s="99" t="n"/>
      <c r="L24" s="99" t="n"/>
      <c r="M24" s="99" t="n"/>
      <c r="N24" s="99" t="n"/>
    </row>
    <row r="25" ht="13.95" customHeight="1" s="147">
      <c r="A25" s="99" t="n"/>
      <c r="B25" s="99" t="n"/>
      <c r="C25" s="99" t="n"/>
      <c r="D25" s="99" t="n"/>
      <c r="E25" s="99" t="n"/>
      <c r="F25" s="99" t="n"/>
      <c r="G25" s="99" t="n"/>
      <c r="H25" s="99" t="n"/>
      <c r="I25" s="99" t="n"/>
      <c r="J25" s="99" t="n"/>
      <c r="K25" s="99" t="n"/>
      <c r="L25" s="99" t="n"/>
      <c r="M25" s="99" t="n"/>
      <c r="N25" s="99" t="n"/>
    </row>
    <row r="26" ht="13.95" customHeight="1" s="147">
      <c r="A26" s="99" t="n"/>
      <c r="B26" s="99" t="n"/>
      <c r="C26" s="99" t="n"/>
      <c r="D26" s="99" t="n"/>
      <c r="E26" s="99" t="n"/>
      <c r="F26" s="99" t="n"/>
      <c r="G26" s="99" t="n"/>
      <c r="H26" s="99" t="n"/>
      <c r="I26" s="99" t="n"/>
      <c r="J26" s="99" t="n"/>
      <c r="K26" s="99" t="n"/>
      <c r="L26" s="99" t="n"/>
      <c r="M26" s="99" t="n"/>
      <c r="N26" s="99" t="n"/>
    </row>
    <row r="27" ht="13.95" customHeight="1" s="147">
      <c r="A27" s="99" t="n"/>
      <c r="B27" s="99" t="n"/>
      <c r="C27" s="99" t="n"/>
      <c r="D27" s="99" t="n"/>
      <c r="E27" s="99" t="n"/>
      <c r="F27" s="99" t="n"/>
      <c r="G27" s="99" t="n"/>
      <c r="H27" s="99" t="n"/>
      <c r="I27" s="99" t="n"/>
      <c r="J27" s="99" t="n"/>
      <c r="K27" s="99" t="n"/>
      <c r="L27" s="99" t="n"/>
      <c r="M27" s="99" t="n"/>
      <c r="N27" s="99" t="n"/>
    </row>
    <row r="28" ht="13.95" customHeight="1" s="147">
      <c r="A28" s="99" t="n"/>
      <c r="B28" s="99" t="n"/>
      <c r="C28" s="99" t="n"/>
      <c r="D28" s="99" t="n"/>
      <c r="E28" s="99" t="n"/>
      <c r="F28" s="99" t="n"/>
      <c r="G28" s="99" t="n"/>
      <c r="H28" s="99" t="n"/>
      <c r="I28" s="99" t="n"/>
      <c r="J28" s="99" t="n"/>
      <c r="K28" s="99" t="n"/>
      <c r="L28" s="99" t="n"/>
      <c r="M28" s="99" t="n"/>
      <c r="N28" s="99" t="n"/>
    </row>
    <row r="29" ht="13.95" customHeight="1" s="147">
      <c r="A29" s="99" t="n"/>
      <c r="B29" s="99" t="n"/>
      <c r="C29" s="99" t="n"/>
      <c r="D29" s="99" t="n"/>
      <c r="E29" s="99" t="n"/>
      <c r="F29" s="99" t="n"/>
      <c r="G29" s="99" t="n"/>
      <c r="H29" s="99" t="n"/>
      <c r="I29" s="99" t="n"/>
      <c r="J29" s="99" t="n"/>
      <c r="K29" s="99" t="n"/>
      <c r="L29" s="99" t="n"/>
      <c r="M29" s="99" t="n"/>
      <c r="N29" s="99" t="n"/>
    </row>
    <row r="30" ht="13.95" customHeight="1" s="147">
      <c r="A30" s="99" t="n"/>
      <c r="B30" s="99" t="n"/>
      <c r="C30" s="99" t="n"/>
      <c r="D30" s="99" t="n"/>
      <c r="E30" s="99" t="n"/>
      <c r="F30" s="99" t="n"/>
      <c r="G30" s="99" t="n"/>
      <c r="H30" s="99" t="n"/>
      <c r="I30" s="99" t="n"/>
      <c r="J30" s="99" t="n"/>
      <c r="K30" s="99" t="n"/>
      <c r="L30" s="99" t="n"/>
      <c r="M30" s="99" t="n"/>
      <c r="N30" s="99" t="n"/>
    </row>
    <row r="31" ht="13.95" customHeight="1" s="147">
      <c r="A31" s="99" t="n"/>
      <c r="B31" s="99" t="n"/>
      <c r="C31" s="99" t="n"/>
      <c r="D31" s="99" t="n"/>
      <c r="E31" s="99" t="n"/>
      <c r="F31" s="99" t="n"/>
      <c r="G31" s="99" t="n"/>
      <c r="H31" s="99" t="n"/>
      <c r="I31" s="99" t="n"/>
      <c r="J31" s="99" t="n"/>
      <c r="K31" s="99" t="n"/>
      <c r="L31" s="99" t="n"/>
      <c r="M31" s="99" t="n"/>
      <c r="N31" s="99" t="n"/>
    </row>
    <row r="32" ht="13.95" customHeight="1" s="147">
      <c r="A32" s="99" t="n"/>
      <c r="B32" s="99" t="n"/>
      <c r="C32" s="99" t="n"/>
      <c r="D32" s="99" t="n"/>
      <c r="E32" s="99" t="n"/>
      <c r="F32" s="99" t="n"/>
      <c r="G32" s="99" t="n"/>
      <c r="H32" s="99" t="n"/>
      <c r="I32" s="99" t="n"/>
      <c r="J32" s="99" t="n"/>
      <c r="K32" s="99" t="n"/>
      <c r="L32" s="99" t="n"/>
      <c r="M32" s="99" t="n"/>
      <c r="N32" s="99" t="n"/>
    </row>
    <row r="33" ht="13.95" customHeight="1" s="147">
      <c r="A33" s="99" t="n"/>
      <c r="B33" s="99" t="n"/>
      <c r="C33" s="99" t="n"/>
      <c r="D33" s="99" t="n"/>
      <c r="E33" s="99" t="n"/>
      <c r="F33" s="99" t="n"/>
      <c r="G33" s="99" t="n"/>
      <c r="H33" s="99" t="n"/>
      <c r="I33" s="99" t="n"/>
      <c r="J33" s="99" t="n"/>
      <c r="K33" s="99" t="n"/>
      <c r="L33" s="99" t="n"/>
      <c r="M33" s="99" t="n"/>
      <c r="N33" s="99" t="n"/>
    </row>
    <row r="34" ht="13.95" customHeight="1" s="147">
      <c r="A34" s="99" t="n"/>
      <c r="B34" s="99" t="n"/>
      <c r="C34" s="99" t="n"/>
      <c r="D34" s="99" t="n"/>
      <c r="E34" s="99" t="n"/>
      <c r="F34" s="99" t="n"/>
      <c r="G34" s="99" t="n"/>
      <c r="H34" s="99" t="n"/>
      <c r="I34" s="99" t="n"/>
      <c r="J34" s="99" t="n"/>
      <c r="K34" s="99" t="n"/>
      <c r="L34" s="99" t="n"/>
      <c r="M34" s="99" t="n"/>
      <c r="N34" s="99" t="n"/>
    </row>
    <row r="35" ht="13.95" customHeight="1" s="147">
      <c r="A35" s="99" t="n"/>
      <c r="B35" s="99" t="n"/>
      <c r="C35" s="99" t="n"/>
      <c r="D35" s="99" t="n"/>
      <c r="E35" s="99" t="n"/>
      <c r="F35" s="99" t="n"/>
      <c r="G35" s="99" t="n"/>
      <c r="H35" s="99" t="n"/>
      <c r="I35" s="99" t="n"/>
      <c r="J35" s="99" t="n"/>
      <c r="K35" s="99" t="n"/>
      <c r="L35" s="99" t="n"/>
      <c r="M35" s="99" t="n"/>
      <c r="N35" s="99" t="n"/>
    </row>
    <row r="36" ht="13.95" customHeight="1" s="147">
      <c r="A36" s="99" t="n"/>
      <c r="B36" s="99" t="n"/>
      <c r="C36" s="99" t="n"/>
      <c r="D36" s="99" t="n"/>
      <c r="E36" s="99" t="n"/>
      <c r="F36" s="99" t="n"/>
      <c r="G36" s="99" t="n"/>
      <c r="H36" s="99" t="n"/>
      <c r="I36" s="99" t="n"/>
      <c r="J36" s="99" t="n"/>
      <c r="K36" s="99" t="n"/>
      <c r="L36" s="99" t="n"/>
      <c r="M36" s="99" t="n"/>
      <c r="N36" s="99" t="n"/>
    </row>
    <row r="37" ht="13.95" customHeight="1" s="147">
      <c r="A37" s="99" t="n"/>
      <c r="B37" s="99" t="n"/>
      <c r="C37" s="99" t="n"/>
      <c r="D37" s="99" t="n"/>
      <c r="E37" s="99" t="n"/>
      <c r="F37" s="99" t="n"/>
      <c r="G37" s="99" t="n"/>
      <c r="H37" s="99" t="n"/>
      <c r="I37" s="99" t="n"/>
      <c r="J37" s="99" t="n"/>
      <c r="K37" s="99" t="n"/>
      <c r="L37" s="99" t="n"/>
      <c r="M37" s="99" t="n"/>
      <c r="N37" s="99" t="n"/>
    </row>
    <row r="38" ht="13.95" customHeight="1" s="147">
      <c r="A38" s="99" t="n"/>
      <c r="B38" s="99" t="n"/>
      <c r="C38" s="99" t="n"/>
      <c r="D38" s="99" t="n"/>
      <c r="E38" s="99" t="n"/>
      <c r="F38" s="99" t="n"/>
      <c r="G38" s="99" t="n"/>
      <c r="H38" s="99" t="n"/>
      <c r="I38" s="99" t="n"/>
      <c r="J38" s="99" t="n"/>
      <c r="K38" s="99" t="n"/>
      <c r="L38" s="99" t="n"/>
      <c r="M38" s="99" t="n"/>
      <c r="N38" s="99" t="n"/>
    </row>
    <row r="39" ht="13.95" customHeight="1" s="147">
      <c r="A39" s="99" t="n"/>
      <c r="B39" s="99" t="n"/>
      <c r="C39" s="99" t="n"/>
      <c r="D39" s="99" t="n"/>
      <c r="E39" s="99" t="n"/>
      <c r="F39" s="99" t="n"/>
      <c r="G39" s="99" t="n"/>
      <c r="H39" s="99" t="n"/>
      <c r="I39" s="99" t="n"/>
      <c r="J39" s="99" t="n"/>
      <c r="K39" s="99" t="n"/>
      <c r="L39" s="99" t="n"/>
      <c r="M39" s="99" t="n"/>
      <c r="N39" s="99" t="n"/>
    </row>
    <row r="40" ht="13.95" customHeight="1" s="147">
      <c r="A40" s="99" t="n"/>
      <c r="B40" s="99" t="n"/>
      <c r="C40" s="99" t="n"/>
      <c r="D40" s="99" t="n"/>
      <c r="E40" s="99" t="n"/>
      <c r="F40" s="99" t="n"/>
      <c r="G40" s="99" t="n"/>
      <c r="H40" s="99" t="n"/>
      <c r="I40" s="99" t="n"/>
      <c r="J40" s="99" t="n"/>
      <c r="K40" s="99" t="n"/>
      <c r="L40" s="99" t="n"/>
      <c r="M40" s="99" t="n"/>
      <c r="N40" s="99" t="n"/>
    </row>
    <row r="41" ht="13.95" customHeight="1" s="147">
      <c r="A41" s="99" t="n"/>
      <c r="B41" s="99" t="n"/>
      <c r="C41" s="99" t="n"/>
      <c r="D41" s="99" t="n"/>
      <c r="E41" s="99" t="n"/>
      <c r="F41" s="99" t="n"/>
      <c r="G41" s="99" t="n"/>
      <c r="H41" s="99" t="n"/>
      <c r="I41" s="99" t="n"/>
      <c r="J41" s="99" t="n"/>
      <c r="K41" s="99" t="n"/>
      <c r="L41" s="99" t="n"/>
      <c r="M41" s="99" t="n"/>
      <c r="N41" s="99" t="n"/>
    </row>
    <row r="42" ht="13.95" customHeight="1" s="147">
      <c r="A42" s="99" t="n"/>
      <c r="B42" s="99" t="n"/>
      <c r="C42" s="99" t="n"/>
      <c r="D42" s="99" t="n"/>
      <c r="E42" s="99" t="n"/>
      <c r="F42" s="99" t="n"/>
      <c r="G42" s="99" t="n"/>
      <c r="H42" s="99" t="n"/>
      <c r="I42" s="99" t="n"/>
      <c r="J42" s="99" t="n"/>
      <c r="K42" s="99" t="n"/>
      <c r="L42" s="99" t="n"/>
      <c r="M42" s="99" t="n"/>
      <c r="N42" s="99" t="n"/>
    </row>
    <row r="43" ht="13.95" customHeight="1" s="147">
      <c r="A43" s="99" t="n"/>
      <c r="B43" s="99" t="n"/>
      <c r="C43" s="99" t="n"/>
      <c r="D43" s="99" t="n"/>
      <c r="E43" s="99" t="n"/>
      <c r="F43" s="99" t="n"/>
      <c r="G43" s="99" t="n"/>
      <c r="H43" s="99" t="n"/>
      <c r="I43" s="99" t="n"/>
      <c r="J43" s="99" t="n"/>
      <c r="K43" s="99" t="n"/>
      <c r="L43" s="99" t="n"/>
      <c r="M43" s="99" t="n"/>
      <c r="N43" s="99" t="n"/>
    </row>
    <row r="44" ht="13.95" customHeight="1" s="147">
      <c r="A44" s="99" t="n"/>
      <c r="B44" s="99" t="n"/>
      <c r="C44" s="99" t="n"/>
      <c r="D44" s="99" t="n"/>
      <c r="E44" s="99" t="n"/>
      <c r="F44" s="99" t="n"/>
      <c r="G44" s="99" t="n"/>
      <c r="H44" s="99" t="n"/>
      <c r="I44" s="99" t="n"/>
      <c r="J44" s="99" t="n"/>
      <c r="K44" s="99" t="n"/>
      <c r="L44" s="99" t="n"/>
      <c r="M44" s="99" t="n"/>
      <c r="N44" s="99" t="n"/>
    </row>
    <row r="45" ht="13.95" customHeight="1" s="147">
      <c r="A45" s="99" t="n"/>
      <c r="B45" s="99" t="n"/>
      <c r="C45" s="99" t="n"/>
      <c r="D45" s="99" t="n"/>
      <c r="E45" s="99" t="n"/>
      <c r="F45" s="99" t="n"/>
      <c r="G45" s="99" t="n"/>
      <c r="H45" s="99" t="n"/>
      <c r="I45" s="99" t="n"/>
      <c r="J45" s="99" t="n"/>
      <c r="K45" s="99" t="n"/>
      <c r="L45" s="99" t="n"/>
      <c r="M45" s="99" t="n"/>
      <c r="N45" s="99" t="n"/>
    </row>
    <row r="46" ht="13.95" customHeight="1" s="147">
      <c r="A46" s="99" t="n"/>
      <c r="B46" s="99" t="n"/>
      <c r="C46" s="99" t="n"/>
      <c r="D46" s="99" t="n"/>
      <c r="E46" s="99" t="n"/>
      <c r="F46" s="99" t="n"/>
      <c r="G46" s="99" t="n"/>
      <c r="H46" s="99" t="n"/>
      <c r="I46" s="99" t="n"/>
      <c r="J46" s="99" t="n"/>
      <c r="K46" s="99" t="n"/>
      <c r="L46" s="99" t="n"/>
      <c r="M46" s="99" t="n"/>
      <c r="N46" s="99" t="n"/>
    </row>
    <row r="47" ht="13.95" customHeight="1" s="147">
      <c r="A47" s="99" t="n"/>
      <c r="B47" s="99" t="n"/>
      <c r="C47" s="99" t="n"/>
      <c r="D47" s="99" t="n"/>
      <c r="E47" s="99" t="n"/>
      <c r="F47" s="99" t="n"/>
      <c r="G47" s="99" t="n"/>
      <c r="H47" s="99" t="n"/>
      <c r="I47" s="99" t="n"/>
      <c r="J47" s="99" t="n"/>
      <c r="K47" s="99" t="n"/>
      <c r="L47" s="99" t="n"/>
      <c r="M47" s="99" t="n"/>
      <c r="N47" s="99" t="n"/>
    </row>
    <row r="48" ht="13.95" customHeight="1" s="147">
      <c r="A48" s="99" t="n"/>
      <c r="B48" s="99" t="n"/>
      <c r="C48" s="99" t="n"/>
      <c r="D48" s="99" t="n"/>
      <c r="E48" s="99" t="n"/>
      <c r="F48" s="99" t="n"/>
      <c r="G48" s="99" t="n"/>
      <c r="H48" s="99" t="n"/>
      <c r="I48" s="99" t="n"/>
      <c r="J48" s="99" t="n"/>
      <c r="K48" s="99" t="n"/>
      <c r="L48" s="99" t="n"/>
      <c r="M48" s="99" t="n"/>
      <c r="N48" s="99" t="n"/>
    </row>
    <row r="49" ht="13.95" customHeight="1" s="147">
      <c r="A49" s="99" t="n"/>
      <c r="B49" s="99" t="n"/>
      <c r="C49" s="99" t="n"/>
      <c r="D49" s="99" t="n"/>
      <c r="E49" s="99" t="n"/>
      <c r="F49" s="99" t="n"/>
      <c r="G49" s="99" t="n"/>
      <c r="H49" s="99" t="n"/>
      <c r="I49" s="99" t="n"/>
      <c r="J49" s="99" t="n"/>
      <c r="K49" s="99" t="n"/>
      <c r="L49" s="99" t="n"/>
      <c r="M49" s="99" t="n"/>
      <c r="N49" s="99" t="n"/>
    </row>
    <row r="50" ht="13.95" customHeight="1" s="147">
      <c r="A50" s="99" t="n"/>
      <c r="B50" s="99" t="n"/>
      <c r="C50" s="99" t="n"/>
      <c r="D50" s="99" t="n"/>
      <c r="E50" s="99" t="n"/>
      <c r="F50" s="99" t="n"/>
      <c r="G50" s="99" t="n"/>
      <c r="H50" s="99" t="n"/>
      <c r="I50" s="99" t="n"/>
      <c r="J50" s="99" t="n"/>
      <c r="K50" s="99" t="n"/>
      <c r="L50" s="99" t="n"/>
      <c r="M50" s="99" t="n"/>
      <c r="N50" s="99" t="n"/>
    </row>
    <row r="51" ht="13.95" customHeight="1" s="147">
      <c r="A51" s="106" t="inlineStr">
        <is>
          <t>7°</t>
        </is>
      </c>
      <c r="B51" s="106">
        <f>IF([1]MAESTRO!B39="","",IFERROR([2]RESUMEN_7°!A38,""))</f>
        <v/>
      </c>
      <c r="C51" s="107">
        <f>IF([1]MAESTRO!B39="","",IFERROR([2]RESUMEN_7°!B38,""))</f>
        <v/>
      </c>
      <c r="D51" s="106">
        <f>IF([2]RESUMEN_7°!B39="","",IFERROR([2]RESUMEN_7°!F39,""))</f>
        <v/>
      </c>
      <c r="E51" s="106">
        <f>IF([2]RESUMEN_7°!B39="","",IFERROR([2]RESUMEN_7°!R39,""))</f>
        <v/>
      </c>
      <c r="F51" s="106">
        <f>IF([2]RESUMEN_7°!B39="","",IFERROR('[3]Asistencia (7°)'!BI37+'[3]Asistencia (7°)'!BI80+'[3]Asistencia (7°)'!BI123,""))</f>
        <v/>
      </c>
      <c r="G51" s="106">
        <f>IF(AND([2]RESUMEN_7°!B38=""),"",IF(OR(IFERROR([2]RESUMEN_7°!F38,0)&lt;3,IFERROR([2]RESUMEN_7°!R38,0)&lt;3),"⚠ REVISAR","OK"))</f>
        <v/>
      </c>
    </row>
    <row r="52" ht="13.95" customHeight="1" s="147">
      <c r="A52" s="108" t="inlineStr">
        <is>
          <t>7°</t>
        </is>
      </c>
      <c r="B52" s="108">
        <f>IF([1]MAESTRO!B40="","",IFERROR([2]RESUMEN_7°!A39,""))</f>
        <v/>
      </c>
      <c r="C52" s="109">
        <f>IF([1]MAESTRO!B40="","",IFERROR([2]RESUMEN_7°!B39,""))</f>
        <v/>
      </c>
      <c r="D52" s="108">
        <f>IF([2]RESUMEN_7°!B40="","",IFERROR([2]RESUMEN_7°!F40,""))</f>
        <v/>
      </c>
      <c r="E52" s="108">
        <f>IF([2]RESUMEN_7°!B40="","",IFERROR([2]RESUMEN_7°!R40,""))</f>
        <v/>
      </c>
      <c r="F52" s="108">
        <f>IF([2]RESUMEN_7°!B40="","",IFERROR('[3]Asistencia (7°)'!BI38+'[3]Asistencia (7°)'!BI81+'[3]Asistencia (7°)'!BI124,""))</f>
        <v/>
      </c>
      <c r="G52" s="108">
        <f>IF(AND([2]RESUMEN_7°!B39=""),"",IF(OR(IFERROR([2]RESUMEN_7°!F39,0)&lt;3,IFERROR([2]RESUMEN_7°!R39,0)&lt;3),"⚠ REVISAR","OK"))</f>
        <v/>
      </c>
    </row>
    <row r="53" ht="13.95" customHeight="1" s="147">
      <c r="A53" s="106" t="inlineStr">
        <is>
          <t>7°</t>
        </is>
      </c>
      <c r="B53" s="106">
        <f>IF([1]MAESTRO!B41="","",IFERROR([2]RESUMEN_7°!A40,""))</f>
        <v/>
      </c>
      <c r="C53" s="107">
        <f>IF([1]MAESTRO!B41="","",IFERROR([2]RESUMEN_7°!B40,""))</f>
        <v/>
      </c>
      <c r="D53" s="106">
        <f>IF([2]RESUMEN_7°!B41="","",IFERROR([2]RESUMEN_7°!F41,""))</f>
        <v/>
      </c>
      <c r="E53" s="106">
        <f>IF([2]RESUMEN_7°!B41="","",IFERROR([2]RESUMEN_7°!R41,""))</f>
        <v/>
      </c>
      <c r="F53" s="106">
        <f>IF([2]RESUMEN_7°!B41="","",IFERROR('[3]Asistencia (7°)'!BI39+'[3]Asistencia (7°)'!BI82+'[3]Asistencia (7°)'!BI125,""))</f>
        <v/>
      </c>
      <c r="G53" s="106">
        <f>IF(AND([2]RESUMEN_7°!B40=""),"",IF(OR(IFERROR([2]RESUMEN_7°!F40,0)&lt;3,IFERROR([2]RESUMEN_7°!R40,0)&lt;3),"⚠ REVISAR","OK"))</f>
        <v/>
      </c>
    </row>
    <row r="54" ht="13.95" customHeight="1" s="147">
      <c r="A54" s="108" t="inlineStr">
        <is>
          <t>7°</t>
        </is>
      </c>
      <c r="B54" s="108">
        <f>IF([1]MAESTRO!B42="","",IFERROR([2]RESUMEN_7°!A41,""))</f>
        <v/>
      </c>
      <c r="C54" s="109">
        <f>IF([1]MAESTRO!B42="","",IFERROR([2]RESUMEN_7°!B41,""))</f>
        <v/>
      </c>
      <c r="D54" s="108">
        <f>IF([2]RESUMEN_7°!B42="","",IFERROR([2]RESUMEN_7°!F42,""))</f>
        <v/>
      </c>
      <c r="E54" s="108">
        <f>IF([2]RESUMEN_7°!B42="","",IFERROR([2]RESUMEN_7°!R42,""))</f>
        <v/>
      </c>
      <c r="F54" s="108">
        <f>IF([2]RESUMEN_7°!B42="","",IFERROR('[3]Asistencia (7°)'!BI40+'[3]Asistencia (7°)'!BI83+'[3]Asistencia (7°)'!BI126,""))</f>
        <v/>
      </c>
      <c r="G54" s="108">
        <f>IF(AND([2]RESUMEN_7°!B41=""),"",IF(OR(IFERROR([2]RESUMEN_7°!F41,0)&lt;3,IFERROR([2]RESUMEN_7°!R41,0)&lt;3),"⚠ REVISAR","OK"))</f>
        <v/>
      </c>
    </row>
    <row r="55" ht="13.95" customHeight="1" s="147">
      <c r="A55" s="106" t="inlineStr">
        <is>
          <t>7°</t>
        </is>
      </c>
      <c r="B55" s="106">
        <f>IF([1]MAESTRO!B43="","",IFERROR([2]RESUMEN_7°!A42,""))</f>
        <v/>
      </c>
      <c r="C55" s="107">
        <f>IF([1]MAESTRO!B43="","",IFERROR([2]RESUMEN_7°!B42,""))</f>
        <v/>
      </c>
      <c r="D55" s="106">
        <f>IF([2]RESUMEN_7°!B43="","",IFERROR([2]RESUMEN_7°!F43,""))</f>
        <v/>
      </c>
      <c r="E55" s="106">
        <f>IF([2]RESUMEN_7°!B43="","",IFERROR([2]RESUMEN_7°!R43,""))</f>
        <v/>
      </c>
      <c r="F55" s="106">
        <f>IF([2]RESUMEN_7°!B43="","",IFERROR('[3]Asistencia (7°)'!BI41+'[3]Asistencia (7°)'!BI84+'[3]Asistencia (7°)'!BI127,""))</f>
        <v/>
      </c>
      <c r="G55" s="106">
        <f>IF(AND([2]RESUMEN_7°!B42=""),"",IF(OR(IFERROR([2]RESUMEN_7°!F42,0)&lt;3,IFERROR([2]RESUMEN_7°!R42,0)&lt;3),"⚠ REVISAR","OK"))</f>
        <v/>
      </c>
    </row>
    <row r="56" ht="13.95" customHeight="1" s="147">
      <c r="A56" s="108" t="inlineStr">
        <is>
          <t>7°</t>
        </is>
      </c>
      <c r="B56" s="108">
        <f>IF([1]MAESTRO!B44="","",IFERROR([2]RESUMEN_7°!A43,""))</f>
        <v/>
      </c>
      <c r="C56" s="109">
        <f>IF([1]MAESTRO!B44="","",IFERROR([2]RESUMEN_7°!B43,""))</f>
        <v/>
      </c>
      <c r="D56" s="108">
        <f>IF([2]RESUMEN_7°!B44="","",IFERROR([2]RESUMEN_7°!F44,""))</f>
        <v/>
      </c>
      <c r="E56" s="108">
        <f>IF([2]RESUMEN_7°!B44="","",IFERROR([2]RESUMEN_7°!R44,""))</f>
        <v/>
      </c>
      <c r="F56" s="108">
        <f>IF([2]RESUMEN_7°!B44="","",IFERROR('[3]Asistencia (7°)'!BI42+'[3]Asistencia (7°)'!BI85+'[3]Asistencia (7°)'!BI128,""))</f>
        <v/>
      </c>
      <c r="G56" s="108">
        <f>IF(AND([2]RESUMEN_7°!B43=""),"",IF(OR(IFERROR([2]RESUMEN_7°!F43,0)&lt;3,IFERROR([2]RESUMEN_7°!R43,0)&lt;3),"⚠ REVISAR","OK"))</f>
        <v/>
      </c>
    </row>
    <row r="57" ht="13.95" customHeight="1" s="147">
      <c r="A57" s="106" t="inlineStr">
        <is>
          <t>7°</t>
        </is>
      </c>
      <c r="B57" s="106">
        <f>[2]RESUMEN_7°!A44</f>
        <v/>
      </c>
      <c r="C57" s="107">
        <f>[2]RESUMEN_7°!B44</f>
        <v/>
      </c>
      <c r="D57" s="106">
        <f>IF(C57="","",IFERROR([2]RESUMEN_7°!F44,""))</f>
        <v/>
      </c>
      <c r="E57" s="106">
        <f>IF(C57="","",IFERROR([2]RESUMEN_7°!R44,""))</f>
        <v/>
      </c>
      <c r="F57" s="106">
        <f>IF(C57="","",IFERROR('[3]Asistencia (7°)'!BI42,""))</f>
        <v/>
      </c>
      <c r="G57" s="106">
        <f>IF(AND([2]RESUMEN_7°!B44=""),"",IF(OR(IFERROR([2]RESUMEN_7°!F44,0)&lt;3,IFERROR([2]RESUMEN_7°!R44,0)&lt;3),"⚠ REVISAR","OK"))</f>
        <v/>
      </c>
    </row>
    <row r="58" ht="13.95" customHeight="1" s="147">
      <c r="A58" s="110" t="inlineStr">
        <is>
          <t>8°</t>
        </is>
      </c>
      <c r="B58" s="110">
        <f>IF([1]MAESTRO!D5="","",IFERROR([4]RESUMEN_8°!A5,""))</f>
        <v/>
      </c>
      <c r="C58" s="111">
        <f>IF([1]MAESTRO!D5="","",IFERROR([4]RESUMEN_8°!B5,""))</f>
        <v/>
      </c>
      <c r="D58" s="110">
        <f>IF([4]RESUMEN_8°!B5="","",IFERROR([4]RESUMEN_8°!F5,""))</f>
        <v/>
      </c>
      <c r="E58" s="110">
        <f>IF([4]RESUMEN_8°!B5="","",IFERROR([4]RESUMEN_8°!R5,""))</f>
        <v/>
      </c>
      <c r="F58" s="110">
        <f>IF([4]RESUMEN_8°!B5="","",IFERROR('[5]Asistencia (8°)'!BI3+'[5]Asistencia (8°)'!BI46+'[5]Asistencia (8°)'!BI89,""))</f>
        <v/>
      </c>
      <c r="G58" s="110">
        <f>IF(AND([4]RESUMEN_8°!B5=""),"",IF(OR(IFERROR([4]RESUMEN_8°!F5,0)&lt;3,IFERROR([4]RESUMEN_8°!R5,0)&lt;3),"⚠ REVISAR","OK"))</f>
        <v/>
      </c>
    </row>
    <row r="59" ht="13.95" customHeight="1" s="147">
      <c r="A59" s="106" t="inlineStr">
        <is>
          <t>8°</t>
        </is>
      </c>
      <c r="B59" s="106">
        <f>IF([1]MAESTRO!D6="","",IFERROR([4]RESUMEN_8°!A6,""))</f>
        <v/>
      </c>
      <c r="C59" s="107">
        <f>IF([1]MAESTRO!D6="","",IFERROR([4]RESUMEN_8°!B6,""))</f>
        <v/>
      </c>
      <c r="D59" s="106">
        <f>IF([4]RESUMEN_8°!B6="","",IFERROR([4]RESUMEN_8°!F6,""))</f>
        <v/>
      </c>
      <c r="E59" s="106">
        <f>IF([4]RESUMEN_8°!B6="","",IFERROR([4]RESUMEN_8°!R6,""))</f>
        <v/>
      </c>
      <c r="F59" s="106">
        <f>IF([4]RESUMEN_8°!B6="","",IFERROR('[5]Asistencia (8°)'!BI4+'[5]Asistencia (8°)'!BI47+'[5]Asistencia (8°)'!BI90,""))</f>
        <v/>
      </c>
      <c r="G59" s="106">
        <f>IF(AND([4]RESUMEN_8°!B6=""),"",IF(OR(IFERROR([4]RESUMEN_8°!F6,0)&lt;3,IFERROR([4]RESUMEN_8°!R6,0)&lt;3),"⚠ REVISAR","OK"))</f>
        <v/>
      </c>
    </row>
    <row r="60" ht="13.95" customHeight="1" s="147">
      <c r="A60" s="110" t="inlineStr">
        <is>
          <t>8°</t>
        </is>
      </c>
      <c r="B60" s="110">
        <f>IF([1]MAESTRO!D7="","",IFERROR([4]RESUMEN_8°!A7,""))</f>
        <v/>
      </c>
      <c r="C60" s="111">
        <f>IF([1]MAESTRO!D7="","",IFERROR([4]RESUMEN_8°!B7,""))</f>
        <v/>
      </c>
      <c r="D60" s="110">
        <f>IF([4]RESUMEN_8°!B7="","",IFERROR([4]RESUMEN_8°!F7,""))</f>
        <v/>
      </c>
      <c r="E60" s="110">
        <f>IF([4]RESUMEN_8°!B7="","",IFERROR([4]RESUMEN_8°!R7,""))</f>
        <v/>
      </c>
      <c r="F60" s="110">
        <f>IF([4]RESUMEN_8°!B7="","",IFERROR('[5]Asistencia (8°)'!BI5+'[5]Asistencia (8°)'!BI48+'[5]Asistencia (8°)'!BI91,""))</f>
        <v/>
      </c>
      <c r="G60" s="110">
        <f>IF(AND([4]RESUMEN_8°!B7=""),"",IF(OR(IFERROR([4]RESUMEN_8°!F7,0)&lt;3,IFERROR([4]RESUMEN_8°!R7,0)&lt;3),"⚠ REVISAR","OK"))</f>
        <v/>
      </c>
    </row>
    <row r="61" ht="13.95" customHeight="1" s="147">
      <c r="A61" s="106" t="inlineStr">
        <is>
          <t>8°</t>
        </is>
      </c>
      <c r="B61" s="106">
        <f>IF([1]MAESTRO!D8="","",IFERROR([4]RESUMEN_8°!A8,""))</f>
        <v/>
      </c>
      <c r="C61" s="107">
        <f>IF([1]MAESTRO!D8="","",IFERROR([4]RESUMEN_8°!B8,""))</f>
        <v/>
      </c>
      <c r="D61" s="106">
        <f>IF([4]RESUMEN_8°!B8="","",IFERROR([4]RESUMEN_8°!F8,""))</f>
        <v/>
      </c>
      <c r="E61" s="106">
        <f>IF([4]RESUMEN_8°!B8="","",IFERROR([4]RESUMEN_8°!R8,""))</f>
        <v/>
      </c>
      <c r="F61" s="106">
        <f>IF([4]RESUMEN_8°!B8="","",IFERROR('[5]Asistencia (8°)'!BI6+'[5]Asistencia (8°)'!BI49+'[5]Asistencia (8°)'!BI92,""))</f>
        <v/>
      </c>
      <c r="G61" s="106">
        <f>IF(AND([4]RESUMEN_8°!B8=""),"",IF(OR(IFERROR([4]RESUMEN_8°!F8,0)&lt;3,IFERROR([4]RESUMEN_8°!R8,0)&lt;3),"⚠ REVISAR","OK"))</f>
        <v/>
      </c>
    </row>
    <row r="62" ht="13.95" customHeight="1" s="147">
      <c r="A62" s="110" t="inlineStr">
        <is>
          <t>8°</t>
        </is>
      </c>
      <c r="B62" s="110">
        <f>IF([1]MAESTRO!D9="","",IFERROR([4]RESUMEN_8°!A9,""))</f>
        <v/>
      </c>
      <c r="C62" s="111">
        <f>IF([1]MAESTRO!D9="","",IFERROR([4]RESUMEN_8°!B9,""))</f>
        <v/>
      </c>
      <c r="D62" s="110">
        <f>IF([4]RESUMEN_8°!B9="","",IFERROR([4]RESUMEN_8°!F9,""))</f>
        <v/>
      </c>
      <c r="E62" s="110">
        <f>IF([4]RESUMEN_8°!B9="","",IFERROR([4]RESUMEN_8°!R9,""))</f>
        <v/>
      </c>
      <c r="F62" s="110">
        <f>IF([4]RESUMEN_8°!B9="","",IFERROR('[5]Asistencia (8°)'!BI7+'[5]Asistencia (8°)'!BI50+'[5]Asistencia (8°)'!BI93,""))</f>
        <v/>
      </c>
      <c r="G62" s="110">
        <f>IF(AND([4]RESUMEN_8°!B9=""),"",IF(OR(IFERROR([4]RESUMEN_8°!F9,0)&lt;3,IFERROR([4]RESUMEN_8°!R9,0)&lt;3),"⚠ REVISAR","OK"))</f>
        <v/>
      </c>
    </row>
    <row r="63" ht="13.95" customHeight="1" s="147">
      <c r="A63" s="106" t="inlineStr">
        <is>
          <t>8°</t>
        </is>
      </c>
      <c r="B63" s="106">
        <f>IF([1]MAESTRO!D10="","",IFERROR([4]RESUMEN_8°!A10,""))</f>
        <v/>
      </c>
      <c r="C63" s="107">
        <f>IF([1]MAESTRO!D10="","",IFERROR([4]RESUMEN_8°!B10,""))</f>
        <v/>
      </c>
      <c r="D63" s="106">
        <f>IF([4]RESUMEN_8°!B10="","",IFERROR([4]RESUMEN_8°!F10,""))</f>
        <v/>
      </c>
      <c r="E63" s="106">
        <f>IF([4]RESUMEN_8°!B10="","",IFERROR([4]RESUMEN_8°!R10,""))</f>
        <v/>
      </c>
      <c r="F63" s="106">
        <f>IF([4]RESUMEN_8°!B10="","",IFERROR('[5]Asistencia (8°)'!BI8+'[5]Asistencia (8°)'!BI51+'[5]Asistencia (8°)'!BI94,""))</f>
        <v/>
      </c>
      <c r="G63" s="106">
        <f>IF(AND([4]RESUMEN_8°!B10=""),"",IF(OR(IFERROR([4]RESUMEN_8°!F10,0)&lt;3,IFERROR([4]RESUMEN_8°!R10,0)&lt;3),"⚠ REVISAR","OK"))</f>
        <v/>
      </c>
    </row>
    <row r="64" ht="13.95" customHeight="1" s="147">
      <c r="A64" s="110" t="inlineStr">
        <is>
          <t>8°</t>
        </is>
      </c>
      <c r="B64" s="110">
        <f>IF([1]MAESTRO!D11="","",IFERROR([4]RESUMEN_8°!A11,""))</f>
        <v/>
      </c>
      <c r="C64" s="111">
        <f>IF([1]MAESTRO!D11="","",IFERROR([4]RESUMEN_8°!B11,""))</f>
        <v/>
      </c>
      <c r="D64" s="110">
        <f>IF([4]RESUMEN_8°!B11="","",IFERROR([4]RESUMEN_8°!F11,""))</f>
        <v/>
      </c>
      <c r="E64" s="110">
        <f>IF([4]RESUMEN_8°!B11="","",IFERROR([4]RESUMEN_8°!R11,""))</f>
        <v/>
      </c>
      <c r="F64" s="110">
        <f>IF([4]RESUMEN_8°!B11="","",IFERROR('[5]Asistencia (8°)'!BI9+'[5]Asistencia (8°)'!BI52+'[5]Asistencia (8°)'!BI95,""))</f>
        <v/>
      </c>
      <c r="G64" s="110">
        <f>IF(AND([4]RESUMEN_8°!B11=""),"",IF(OR(IFERROR([4]RESUMEN_8°!F11,0)&lt;3,IFERROR([4]RESUMEN_8°!R11,0)&lt;3),"⚠ REVISAR","OK"))</f>
        <v/>
      </c>
    </row>
    <row r="65" ht="13.95" customHeight="1" s="147">
      <c r="A65" s="106" t="inlineStr">
        <is>
          <t>8°</t>
        </is>
      </c>
      <c r="B65" s="106">
        <f>IF([1]MAESTRO!D12="","",IFERROR([4]RESUMEN_8°!A12,""))</f>
        <v/>
      </c>
      <c r="C65" s="107">
        <f>IF([1]MAESTRO!D12="","",IFERROR([4]RESUMEN_8°!B12,""))</f>
        <v/>
      </c>
      <c r="D65" s="106">
        <f>IF([4]RESUMEN_8°!B12="","",IFERROR([4]RESUMEN_8°!F12,""))</f>
        <v/>
      </c>
      <c r="E65" s="106">
        <f>IF([4]RESUMEN_8°!B12="","",IFERROR([4]RESUMEN_8°!R12,""))</f>
        <v/>
      </c>
      <c r="F65" s="106">
        <f>IF([4]RESUMEN_8°!B12="","",IFERROR('[5]Asistencia (8°)'!BI10+'[5]Asistencia (8°)'!BI53+'[5]Asistencia (8°)'!BI96,""))</f>
        <v/>
      </c>
      <c r="G65" s="106">
        <f>IF(AND([4]RESUMEN_8°!B12=""),"",IF(OR(IFERROR([4]RESUMEN_8°!F12,0)&lt;3,IFERROR([4]RESUMEN_8°!R12,0)&lt;3),"⚠ REVISAR","OK"))</f>
        <v/>
      </c>
    </row>
    <row r="66" ht="13.95" customHeight="1" s="147">
      <c r="A66" s="110" t="inlineStr">
        <is>
          <t>8°</t>
        </is>
      </c>
      <c r="B66" s="110">
        <f>IF([1]MAESTRO!D13="","",IFERROR([4]RESUMEN_8°!A13,""))</f>
        <v/>
      </c>
      <c r="C66" s="111">
        <f>IF([1]MAESTRO!D13="","",IFERROR([4]RESUMEN_8°!B13,""))</f>
        <v/>
      </c>
      <c r="D66" s="110">
        <f>IF([4]RESUMEN_8°!B13="","",IFERROR([4]RESUMEN_8°!F13,""))</f>
        <v/>
      </c>
      <c r="E66" s="110">
        <f>IF([4]RESUMEN_8°!B13="","",IFERROR([4]RESUMEN_8°!R13,""))</f>
        <v/>
      </c>
      <c r="F66" s="110">
        <f>IF([4]RESUMEN_8°!B13="","",IFERROR('[5]Asistencia (8°)'!BI11+'[5]Asistencia (8°)'!BI54+'[5]Asistencia (8°)'!BI97,""))</f>
        <v/>
      </c>
      <c r="G66" s="110">
        <f>IF(AND([4]RESUMEN_8°!B13=""),"",IF(OR(IFERROR([4]RESUMEN_8°!F13,0)&lt;3,IFERROR([4]RESUMEN_8°!R13,0)&lt;3),"⚠ REVISAR","OK"))</f>
        <v/>
      </c>
    </row>
    <row r="67" ht="13.95" customHeight="1" s="147">
      <c r="A67" s="106" t="inlineStr">
        <is>
          <t>8°</t>
        </is>
      </c>
      <c r="B67" s="106">
        <f>IF([1]MAESTRO!D14="","",IFERROR([4]RESUMEN_8°!A14,""))</f>
        <v/>
      </c>
      <c r="C67" s="107">
        <f>IF([1]MAESTRO!D14="","",IFERROR([4]RESUMEN_8°!B14,""))</f>
        <v/>
      </c>
      <c r="D67" s="106">
        <f>IF([4]RESUMEN_8°!B14="","",IFERROR([4]RESUMEN_8°!F14,""))</f>
        <v/>
      </c>
      <c r="E67" s="106">
        <f>IF([4]RESUMEN_8°!B14="","",IFERROR([4]RESUMEN_8°!R14,""))</f>
        <v/>
      </c>
      <c r="F67" s="106">
        <f>IF([4]RESUMEN_8°!B14="","",IFERROR('[5]Asistencia (8°)'!BI12+'[5]Asistencia (8°)'!BI55+'[5]Asistencia (8°)'!BI98,""))</f>
        <v/>
      </c>
      <c r="G67" s="106">
        <f>IF(AND([4]RESUMEN_8°!B14=""),"",IF(OR(IFERROR([4]RESUMEN_8°!F14,0)&lt;3,IFERROR([4]RESUMEN_8°!R14,0)&lt;3),"⚠ REVISAR","OK"))</f>
        <v/>
      </c>
    </row>
    <row r="68" ht="13.95" customHeight="1" s="147">
      <c r="A68" s="110" t="inlineStr">
        <is>
          <t>8°</t>
        </is>
      </c>
      <c r="B68" s="110">
        <f>IF([1]MAESTRO!D15="","",IFERROR([4]RESUMEN_8°!A15,""))</f>
        <v/>
      </c>
      <c r="C68" s="111">
        <f>IF([1]MAESTRO!D15="","",IFERROR([4]RESUMEN_8°!B15,""))</f>
        <v/>
      </c>
      <c r="D68" s="110">
        <f>IF([4]RESUMEN_8°!B15="","",IFERROR([4]RESUMEN_8°!F15,""))</f>
        <v/>
      </c>
      <c r="E68" s="110">
        <f>IF([4]RESUMEN_8°!B15="","",IFERROR([4]RESUMEN_8°!R15,""))</f>
        <v/>
      </c>
      <c r="F68" s="110">
        <f>IF([4]RESUMEN_8°!B15="","",IFERROR('[5]Asistencia (8°)'!BI13+'[5]Asistencia (8°)'!BI56+'[5]Asistencia (8°)'!BI99,""))</f>
        <v/>
      </c>
      <c r="G68" s="110">
        <f>IF(AND([4]RESUMEN_8°!B15=""),"",IF(OR(IFERROR([4]RESUMEN_8°!F15,0)&lt;3,IFERROR([4]RESUMEN_8°!R15,0)&lt;3),"⚠ REVISAR","OK"))</f>
        <v/>
      </c>
    </row>
    <row r="69" ht="13.95" customHeight="1" s="147">
      <c r="A69" s="106" t="inlineStr">
        <is>
          <t>8°</t>
        </is>
      </c>
      <c r="B69" s="106">
        <f>IF([1]MAESTRO!D16="","",IFERROR([4]RESUMEN_8°!A16,""))</f>
        <v/>
      </c>
      <c r="C69" s="107">
        <f>IF([1]MAESTRO!D16="","",IFERROR([4]RESUMEN_8°!B16,""))</f>
        <v/>
      </c>
      <c r="D69" s="106">
        <f>IF([4]RESUMEN_8°!B16="","",IFERROR([4]RESUMEN_8°!F16,""))</f>
        <v/>
      </c>
      <c r="E69" s="106">
        <f>IF([4]RESUMEN_8°!B16="","",IFERROR([4]RESUMEN_8°!R16,""))</f>
        <v/>
      </c>
      <c r="F69" s="106">
        <f>IF([4]RESUMEN_8°!B16="","",IFERROR('[5]Asistencia (8°)'!BI14+'[5]Asistencia (8°)'!BI57+'[5]Asistencia (8°)'!BI100,""))</f>
        <v/>
      </c>
      <c r="G69" s="106">
        <f>IF(AND([4]RESUMEN_8°!B16=""),"",IF(OR(IFERROR([4]RESUMEN_8°!F16,0)&lt;3,IFERROR([4]RESUMEN_8°!R16,0)&lt;3),"⚠ REVISAR","OK"))</f>
        <v/>
      </c>
    </row>
    <row r="70" ht="13.95" customHeight="1" s="147">
      <c r="A70" s="110" t="inlineStr">
        <is>
          <t>8°</t>
        </is>
      </c>
      <c r="B70" s="110">
        <f>IF([1]MAESTRO!D17="","",IFERROR([4]RESUMEN_8°!A17,""))</f>
        <v/>
      </c>
      <c r="C70" s="111">
        <f>IF([1]MAESTRO!D17="","",IFERROR([4]RESUMEN_8°!B17,""))</f>
        <v/>
      </c>
      <c r="D70" s="110">
        <f>IF([4]RESUMEN_8°!B17="","",IFERROR([4]RESUMEN_8°!F17,""))</f>
        <v/>
      </c>
      <c r="E70" s="110">
        <f>IF([4]RESUMEN_8°!B17="","",IFERROR([4]RESUMEN_8°!R17,""))</f>
        <v/>
      </c>
      <c r="F70" s="110">
        <f>IF([4]RESUMEN_8°!B17="","",IFERROR('[5]Asistencia (8°)'!BI15+'[5]Asistencia (8°)'!BI58+'[5]Asistencia (8°)'!BI101,""))</f>
        <v/>
      </c>
      <c r="G70" s="110">
        <f>IF(AND([4]RESUMEN_8°!B17=""),"",IF(OR(IFERROR([4]RESUMEN_8°!F17,0)&lt;3,IFERROR([4]RESUMEN_8°!R17,0)&lt;3),"⚠ REVISAR","OK"))</f>
        <v/>
      </c>
    </row>
    <row r="71" ht="13.95" customHeight="1" s="147">
      <c r="A71" s="106" t="inlineStr">
        <is>
          <t>8°</t>
        </is>
      </c>
      <c r="B71" s="106">
        <f>IF([1]MAESTRO!D18="","",IFERROR([4]RESUMEN_8°!A18,""))</f>
        <v/>
      </c>
      <c r="C71" s="107">
        <f>IF([1]MAESTRO!D18="","",IFERROR([4]RESUMEN_8°!B18,""))</f>
        <v/>
      </c>
      <c r="D71" s="106">
        <f>IF([4]RESUMEN_8°!B18="","",IFERROR([4]RESUMEN_8°!F18,""))</f>
        <v/>
      </c>
      <c r="E71" s="106">
        <f>IF([4]RESUMEN_8°!B18="","",IFERROR([4]RESUMEN_8°!R18,""))</f>
        <v/>
      </c>
      <c r="F71" s="106">
        <f>IF([4]RESUMEN_8°!B18="","",IFERROR('[5]Asistencia (8°)'!BI16+'[5]Asistencia (8°)'!BI59+'[5]Asistencia (8°)'!BI102,""))</f>
        <v/>
      </c>
      <c r="G71" s="106">
        <f>IF(AND([4]RESUMEN_8°!B18=""),"",IF(OR(IFERROR([4]RESUMEN_8°!F18,0)&lt;3,IFERROR([4]RESUMEN_8°!R18,0)&lt;3),"⚠ REVISAR","OK"))</f>
        <v/>
      </c>
    </row>
    <row r="72" ht="13.95" customHeight="1" s="147">
      <c r="A72" s="110" t="inlineStr">
        <is>
          <t>8°</t>
        </is>
      </c>
      <c r="B72" s="110">
        <f>IF([1]MAESTRO!D19="","",IFERROR([4]RESUMEN_8°!A19,""))</f>
        <v/>
      </c>
      <c r="C72" s="111">
        <f>IF([1]MAESTRO!D19="","",IFERROR([4]RESUMEN_8°!B19,""))</f>
        <v/>
      </c>
      <c r="D72" s="110">
        <f>IF([4]RESUMEN_8°!B19="","",IFERROR([4]RESUMEN_8°!F19,""))</f>
        <v/>
      </c>
      <c r="E72" s="110">
        <f>IF([4]RESUMEN_8°!B19="","",IFERROR([4]RESUMEN_8°!R19,""))</f>
        <v/>
      </c>
      <c r="F72" s="110">
        <f>IF([4]RESUMEN_8°!B19="","",IFERROR('[5]Asistencia (8°)'!BI17+'[5]Asistencia (8°)'!BI60+'[5]Asistencia (8°)'!BI103,""))</f>
        <v/>
      </c>
      <c r="G72" s="110">
        <f>IF(AND([4]RESUMEN_8°!B19=""),"",IF(OR(IFERROR([4]RESUMEN_8°!F19,0)&lt;3,IFERROR([4]RESUMEN_8°!R19,0)&lt;3),"⚠ REVISAR","OK"))</f>
        <v/>
      </c>
    </row>
    <row r="73" ht="13.95" customHeight="1" s="147">
      <c r="A73" s="106" t="inlineStr">
        <is>
          <t>8°</t>
        </is>
      </c>
      <c r="B73" s="106">
        <f>IF([1]MAESTRO!D20="","",IFERROR([4]RESUMEN_8°!A20,""))</f>
        <v/>
      </c>
      <c r="C73" s="107">
        <f>IF([1]MAESTRO!D20="","",IFERROR([4]RESUMEN_8°!B20,""))</f>
        <v/>
      </c>
      <c r="D73" s="106">
        <f>IF([4]RESUMEN_8°!B20="","",IFERROR([4]RESUMEN_8°!F20,""))</f>
        <v/>
      </c>
      <c r="E73" s="106">
        <f>IF([4]RESUMEN_8°!B20="","",IFERROR([4]RESUMEN_8°!R20,""))</f>
        <v/>
      </c>
      <c r="F73" s="106">
        <f>IF([4]RESUMEN_8°!B20="","",IFERROR('[5]Asistencia (8°)'!BI18+'[5]Asistencia (8°)'!BI61+'[5]Asistencia (8°)'!BI104,""))</f>
        <v/>
      </c>
      <c r="G73" s="106">
        <f>IF(AND([4]RESUMEN_8°!B20=""),"",IF(OR(IFERROR([4]RESUMEN_8°!F20,0)&lt;3,IFERROR([4]RESUMEN_8°!R20,0)&lt;3),"⚠ REVISAR","OK"))</f>
        <v/>
      </c>
    </row>
    <row r="74" ht="13.95" customHeight="1" s="147">
      <c r="A74" s="110" t="inlineStr">
        <is>
          <t>8°</t>
        </is>
      </c>
      <c r="B74" s="110">
        <f>IF([1]MAESTRO!D21="","",IFERROR([4]RESUMEN_8°!A21,""))</f>
        <v/>
      </c>
      <c r="C74" s="111">
        <f>IF([1]MAESTRO!D21="","",IFERROR([4]RESUMEN_8°!B21,""))</f>
        <v/>
      </c>
      <c r="D74" s="110">
        <f>IF([4]RESUMEN_8°!B21="","",IFERROR([4]RESUMEN_8°!F21,""))</f>
        <v/>
      </c>
      <c r="E74" s="110">
        <f>IF([4]RESUMEN_8°!B21="","",IFERROR([4]RESUMEN_8°!R21,""))</f>
        <v/>
      </c>
      <c r="F74" s="110">
        <f>IF([4]RESUMEN_8°!B21="","",IFERROR('[5]Asistencia (8°)'!BI19+'[5]Asistencia (8°)'!BI62+'[5]Asistencia (8°)'!BI105,""))</f>
        <v/>
      </c>
      <c r="G74" s="110">
        <f>IF(AND([4]RESUMEN_8°!B21=""),"",IF(OR(IFERROR([4]RESUMEN_8°!F21,0)&lt;3,IFERROR([4]RESUMEN_8°!R21,0)&lt;3),"⚠ REVISAR","OK"))</f>
        <v/>
      </c>
    </row>
    <row r="75" ht="13.95" customHeight="1" s="147">
      <c r="A75" s="106" t="inlineStr">
        <is>
          <t>8°</t>
        </is>
      </c>
      <c r="B75" s="106">
        <f>IF([1]MAESTRO!D22="","",IFERROR([4]RESUMEN_8°!A22,""))</f>
        <v/>
      </c>
      <c r="C75" s="107">
        <f>IF([1]MAESTRO!D22="","",IFERROR([4]RESUMEN_8°!B22,""))</f>
        <v/>
      </c>
      <c r="D75" s="106">
        <f>IF([4]RESUMEN_8°!B22="","",IFERROR([4]RESUMEN_8°!F22,""))</f>
        <v/>
      </c>
      <c r="E75" s="106">
        <f>IF([4]RESUMEN_8°!B22="","",IFERROR([4]RESUMEN_8°!R22,""))</f>
        <v/>
      </c>
      <c r="F75" s="106">
        <f>IF([4]RESUMEN_8°!B22="","",IFERROR('[5]Asistencia (8°)'!BI20+'[5]Asistencia (8°)'!BI63+'[5]Asistencia (8°)'!BI106,""))</f>
        <v/>
      </c>
      <c r="G75" s="106">
        <f>IF(AND([4]RESUMEN_8°!B22=""),"",IF(OR(IFERROR([4]RESUMEN_8°!F22,0)&lt;3,IFERROR([4]RESUMEN_8°!R22,0)&lt;3),"⚠ REVISAR","OK"))</f>
        <v/>
      </c>
    </row>
    <row r="76" ht="13.95" customHeight="1" s="147">
      <c r="A76" s="110" t="inlineStr">
        <is>
          <t>8°</t>
        </is>
      </c>
      <c r="B76" s="110">
        <f>IF([1]MAESTRO!D23="","",IFERROR([4]RESUMEN_8°!A23,""))</f>
        <v/>
      </c>
      <c r="C76" s="111">
        <f>IF([1]MAESTRO!D23="","",IFERROR([4]RESUMEN_8°!B23,""))</f>
        <v/>
      </c>
      <c r="D76" s="110">
        <f>IF([4]RESUMEN_8°!B23="","",IFERROR([4]RESUMEN_8°!F23,""))</f>
        <v/>
      </c>
      <c r="E76" s="110">
        <f>IF([4]RESUMEN_8°!B23="","",IFERROR([4]RESUMEN_8°!R23,""))</f>
        <v/>
      </c>
      <c r="F76" s="110">
        <f>IF([4]RESUMEN_8°!B23="","",IFERROR('[5]Asistencia (8°)'!BI21+'[5]Asistencia (8°)'!BI64+'[5]Asistencia (8°)'!BI107,""))</f>
        <v/>
      </c>
      <c r="G76" s="110">
        <f>IF(AND([4]RESUMEN_8°!B23=""),"",IF(OR(IFERROR([4]RESUMEN_8°!F23,0)&lt;3,IFERROR([4]RESUMEN_8°!R23,0)&lt;3),"⚠ REVISAR","OK"))</f>
        <v/>
      </c>
    </row>
    <row r="77" ht="13.95" customHeight="1" s="147">
      <c r="A77" s="106" t="inlineStr">
        <is>
          <t>8°</t>
        </is>
      </c>
      <c r="B77" s="106">
        <f>IF([1]MAESTRO!D24="","",IFERROR([4]RESUMEN_8°!A24,""))</f>
        <v/>
      </c>
      <c r="C77" s="107">
        <f>IF([1]MAESTRO!D24="","",IFERROR([4]RESUMEN_8°!B24,""))</f>
        <v/>
      </c>
      <c r="D77" s="106">
        <f>IF([4]RESUMEN_8°!B24="","",IFERROR([4]RESUMEN_8°!F24,""))</f>
        <v/>
      </c>
      <c r="E77" s="106">
        <f>IF([4]RESUMEN_8°!B24="","",IFERROR([4]RESUMEN_8°!R24,""))</f>
        <v/>
      </c>
      <c r="F77" s="106">
        <f>IF([4]RESUMEN_8°!B24="","",IFERROR('[5]Asistencia (8°)'!BI22+'[5]Asistencia (8°)'!BI65+'[5]Asistencia (8°)'!BI108,""))</f>
        <v/>
      </c>
      <c r="G77" s="106">
        <f>IF(AND([4]RESUMEN_8°!B24=""),"",IF(OR(IFERROR([4]RESUMEN_8°!F24,0)&lt;3,IFERROR([4]RESUMEN_8°!R24,0)&lt;3),"⚠ REVISAR","OK"))</f>
        <v/>
      </c>
    </row>
    <row r="78" ht="13.95" customHeight="1" s="147">
      <c r="A78" s="110" t="inlineStr">
        <is>
          <t>8°</t>
        </is>
      </c>
      <c r="B78" s="110">
        <f>IF([1]MAESTRO!D25="","",IFERROR([4]RESUMEN_8°!A25,""))</f>
        <v/>
      </c>
      <c r="C78" s="111">
        <f>IF([1]MAESTRO!D25="","",IFERROR([4]RESUMEN_8°!B25,""))</f>
        <v/>
      </c>
      <c r="D78" s="110">
        <f>IF([4]RESUMEN_8°!B25="","",IFERROR([4]RESUMEN_8°!F25,""))</f>
        <v/>
      </c>
      <c r="E78" s="110">
        <f>IF([4]RESUMEN_8°!B25="","",IFERROR([4]RESUMEN_8°!R25,""))</f>
        <v/>
      </c>
      <c r="F78" s="110">
        <f>IF([4]RESUMEN_8°!B25="","",IFERROR('[5]Asistencia (8°)'!BI23+'[5]Asistencia (8°)'!BI66+'[5]Asistencia (8°)'!BI109,""))</f>
        <v/>
      </c>
      <c r="G78" s="110">
        <f>IF(AND([4]RESUMEN_8°!B25=""),"",IF(OR(IFERROR([4]RESUMEN_8°!F25,0)&lt;3,IFERROR([4]RESUMEN_8°!R25,0)&lt;3),"⚠ REVISAR","OK"))</f>
        <v/>
      </c>
    </row>
    <row r="79" ht="13.95" customHeight="1" s="147">
      <c r="A79" s="106" t="inlineStr">
        <is>
          <t>8°</t>
        </is>
      </c>
      <c r="B79" s="106">
        <f>IF([1]MAESTRO!D26="","",IFERROR([4]RESUMEN_8°!A26,""))</f>
        <v/>
      </c>
      <c r="C79" s="107">
        <f>IF([1]MAESTRO!D26="","",IFERROR([4]RESUMEN_8°!B26,""))</f>
        <v/>
      </c>
      <c r="D79" s="106">
        <f>IF([4]RESUMEN_8°!B26="","",IFERROR([4]RESUMEN_8°!F26,""))</f>
        <v/>
      </c>
      <c r="E79" s="106">
        <f>IF([4]RESUMEN_8°!B26="","",IFERROR([4]RESUMEN_8°!R26,""))</f>
        <v/>
      </c>
      <c r="F79" s="106">
        <f>IF([4]RESUMEN_8°!B26="","",IFERROR('[5]Asistencia (8°)'!BI24+'[5]Asistencia (8°)'!BI67+'[5]Asistencia (8°)'!BI110,""))</f>
        <v/>
      </c>
      <c r="G79" s="106">
        <f>IF(AND([4]RESUMEN_8°!B26=""),"",IF(OR(IFERROR([4]RESUMEN_8°!F26,0)&lt;3,IFERROR([4]RESUMEN_8°!R26,0)&lt;3),"⚠ REVISAR","OK"))</f>
        <v/>
      </c>
    </row>
    <row r="80" ht="13.95" customHeight="1" s="147">
      <c r="A80" s="110" t="inlineStr">
        <is>
          <t>8°</t>
        </is>
      </c>
      <c r="B80" s="110">
        <f>IF([1]MAESTRO!D27="","",IFERROR([4]RESUMEN_8°!A27,""))</f>
        <v/>
      </c>
      <c r="C80" s="111">
        <f>IF([1]MAESTRO!D27="","",IFERROR([4]RESUMEN_8°!B27,""))</f>
        <v/>
      </c>
      <c r="D80" s="110">
        <f>IF([4]RESUMEN_8°!B27="","",IFERROR([4]RESUMEN_8°!F27,""))</f>
        <v/>
      </c>
      <c r="E80" s="110">
        <f>IF([4]RESUMEN_8°!B27="","",IFERROR([4]RESUMEN_8°!R27,""))</f>
        <v/>
      </c>
      <c r="F80" s="110">
        <f>IF([4]RESUMEN_8°!B27="","",IFERROR('[5]Asistencia (8°)'!BI25+'[5]Asistencia (8°)'!BI68+'[5]Asistencia (8°)'!BI111,""))</f>
        <v/>
      </c>
      <c r="G80" s="110">
        <f>IF(AND([4]RESUMEN_8°!B27=""),"",IF(OR(IFERROR([4]RESUMEN_8°!F27,0)&lt;3,IFERROR([4]RESUMEN_8°!R27,0)&lt;3),"⚠ REVISAR","OK"))</f>
        <v/>
      </c>
    </row>
    <row r="81" ht="13.95" customHeight="1" s="147">
      <c r="A81" s="106" t="inlineStr">
        <is>
          <t>8°</t>
        </is>
      </c>
      <c r="B81" s="106">
        <f>IF([1]MAESTRO!D28="","",IFERROR([4]RESUMEN_8°!A28,""))</f>
        <v/>
      </c>
      <c r="C81" s="107">
        <f>IF([1]MAESTRO!D28="","",IFERROR([4]RESUMEN_8°!B28,""))</f>
        <v/>
      </c>
      <c r="D81" s="106">
        <f>IF([4]RESUMEN_8°!B28="","",IFERROR([4]RESUMEN_8°!F28,""))</f>
        <v/>
      </c>
      <c r="E81" s="106">
        <f>IF([4]RESUMEN_8°!B28="","",IFERROR([4]RESUMEN_8°!R28,""))</f>
        <v/>
      </c>
      <c r="F81" s="106">
        <f>IF([4]RESUMEN_8°!B28="","",IFERROR('[5]Asistencia (8°)'!BI26+'[5]Asistencia (8°)'!BI69+'[5]Asistencia (8°)'!BI112,""))</f>
        <v/>
      </c>
      <c r="G81" s="106">
        <f>IF(AND([4]RESUMEN_8°!B28=""),"",IF(OR(IFERROR([4]RESUMEN_8°!F28,0)&lt;3,IFERROR([4]RESUMEN_8°!R28,0)&lt;3),"⚠ REVISAR","OK"))</f>
        <v/>
      </c>
    </row>
    <row r="82" ht="13.95" customHeight="1" s="147">
      <c r="A82" s="110" t="inlineStr">
        <is>
          <t>8°</t>
        </is>
      </c>
      <c r="B82" s="110">
        <f>IF([1]MAESTRO!D29="","",IFERROR([4]RESUMEN_8°!A29,""))</f>
        <v/>
      </c>
      <c r="C82" s="111">
        <f>IF([1]MAESTRO!D29="","",IFERROR([4]RESUMEN_8°!B29,""))</f>
        <v/>
      </c>
      <c r="D82" s="110">
        <f>IF([4]RESUMEN_8°!B29="","",IFERROR([4]RESUMEN_8°!F29,""))</f>
        <v/>
      </c>
      <c r="E82" s="110">
        <f>IF([4]RESUMEN_8°!B29="","",IFERROR([4]RESUMEN_8°!R29,""))</f>
        <v/>
      </c>
      <c r="F82" s="110">
        <f>IF([4]RESUMEN_8°!B29="","",IFERROR('[5]Asistencia (8°)'!BI27+'[5]Asistencia (8°)'!BI70+'[5]Asistencia (8°)'!BI113,""))</f>
        <v/>
      </c>
      <c r="G82" s="110">
        <f>IF(AND([4]RESUMEN_8°!B29=""),"",IF(OR(IFERROR([4]RESUMEN_8°!F29,0)&lt;3,IFERROR([4]RESUMEN_8°!R29,0)&lt;3),"⚠ REVISAR","OK"))</f>
        <v/>
      </c>
    </row>
    <row r="83" ht="13.95" customHeight="1" s="147">
      <c r="A83" s="106" t="inlineStr">
        <is>
          <t>8°</t>
        </is>
      </c>
      <c r="B83" s="106">
        <f>IF([1]MAESTRO!D30="","",IFERROR([4]RESUMEN_8°!A30,""))</f>
        <v/>
      </c>
      <c r="C83" s="107">
        <f>IF([1]MAESTRO!D30="","",IFERROR([4]RESUMEN_8°!B30,""))</f>
        <v/>
      </c>
      <c r="D83" s="106">
        <f>IF([4]RESUMEN_8°!B30="","",IFERROR([4]RESUMEN_8°!F30,""))</f>
        <v/>
      </c>
      <c r="E83" s="106">
        <f>IF([4]RESUMEN_8°!B30="","",IFERROR([4]RESUMEN_8°!R30,""))</f>
        <v/>
      </c>
      <c r="F83" s="106">
        <f>IF([4]RESUMEN_8°!B30="","",IFERROR('[5]Asistencia (8°)'!BI28+'[5]Asistencia (8°)'!BI71+'[5]Asistencia (8°)'!BI114,""))</f>
        <v/>
      </c>
      <c r="G83" s="106">
        <f>IF(AND([4]RESUMEN_8°!B30=""),"",IF(OR(IFERROR([4]RESUMEN_8°!F30,0)&lt;3,IFERROR([4]RESUMEN_8°!R30,0)&lt;3),"⚠ REVISAR","OK"))</f>
        <v/>
      </c>
    </row>
    <row r="84" ht="13.95" customHeight="1" s="147">
      <c r="A84" s="110" t="inlineStr">
        <is>
          <t>8°</t>
        </is>
      </c>
      <c r="B84" s="110">
        <f>IF([1]MAESTRO!D31="","",IFERROR([4]RESUMEN_8°!A31,""))</f>
        <v/>
      </c>
      <c r="C84" s="111">
        <f>IF([1]MAESTRO!D31="","",IFERROR([4]RESUMEN_8°!B31,""))</f>
        <v/>
      </c>
      <c r="D84" s="110">
        <f>IF([4]RESUMEN_8°!B31="","",IFERROR([4]RESUMEN_8°!F31,""))</f>
        <v/>
      </c>
      <c r="E84" s="110">
        <f>IF([4]RESUMEN_8°!B31="","",IFERROR([4]RESUMEN_8°!R31,""))</f>
        <v/>
      </c>
      <c r="F84" s="110">
        <f>IF([4]RESUMEN_8°!B31="","",IFERROR('[5]Asistencia (8°)'!BI29+'[5]Asistencia (8°)'!BI72+'[5]Asistencia (8°)'!BI115,""))</f>
        <v/>
      </c>
      <c r="G84" s="110">
        <f>IF(AND([4]RESUMEN_8°!B31=""),"",IF(OR(IFERROR([4]RESUMEN_8°!F31,0)&lt;3,IFERROR([4]RESUMEN_8°!R31,0)&lt;3),"⚠ REVISAR","OK"))</f>
        <v/>
      </c>
    </row>
    <row r="85" ht="13.95" customHeight="1" s="147">
      <c r="A85" s="106" t="inlineStr">
        <is>
          <t>8°</t>
        </is>
      </c>
      <c r="B85" s="106">
        <f>IF([1]MAESTRO!D32="","",IFERROR([4]RESUMEN_8°!A32,""))</f>
        <v/>
      </c>
      <c r="C85" s="107">
        <f>IF([1]MAESTRO!D32="","",IFERROR([4]RESUMEN_8°!B32,""))</f>
        <v/>
      </c>
      <c r="D85" s="106">
        <f>IF([4]RESUMEN_8°!B32="","",IFERROR([4]RESUMEN_8°!F32,""))</f>
        <v/>
      </c>
      <c r="E85" s="106">
        <f>IF([4]RESUMEN_8°!B32="","",IFERROR([4]RESUMEN_8°!R32,""))</f>
        <v/>
      </c>
      <c r="F85" s="106">
        <f>IF([4]RESUMEN_8°!B32="","",IFERROR('[5]Asistencia (8°)'!BI30+'[5]Asistencia (8°)'!BI73+'[5]Asistencia (8°)'!BI116,""))</f>
        <v/>
      </c>
      <c r="G85" s="106">
        <f>IF(AND([4]RESUMEN_8°!B32=""),"",IF(OR(IFERROR([4]RESUMEN_8°!F32,0)&lt;3,IFERROR([4]RESUMEN_8°!R32,0)&lt;3),"⚠ REVISAR","OK"))</f>
        <v/>
      </c>
    </row>
    <row r="86" ht="13.95" customHeight="1" s="147">
      <c r="A86" s="110" t="inlineStr">
        <is>
          <t>8°</t>
        </is>
      </c>
      <c r="B86" s="110">
        <f>IF([1]MAESTRO!D33="","",IFERROR([4]RESUMEN_8°!A33,""))</f>
        <v/>
      </c>
      <c r="C86" s="111">
        <f>IF([1]MAESTRO!D33="","",IFERROR([4]RESUMEN_8°!B33,""))</f>
        <v/>
      </c>
      <c r="D86" s="110">
        <f>IF([4]RESUMEN_8°!B33="","",IFERROR([4]RESUMEN_8°!F33,""))</f>
        <v/>
      </c>
      <c r="E86" s="110">
        <f>IF([4]RESUMEN_8°!B33="","",IFERROR([4]RESUMEN_8°!R33,""))</f>
        <v/>
      </c>
      <c r="F86" s="110">
        <f>IF([4]RESUMEN_8°!B33="","",IFERROR('[5]Asistencia (8°)'!BI31+'[5]Asistencia (8°)'!BI74+'[5]Asistencia (8°)'!BI117,""))</f>
        <v/>
      </c>
      <c r="G86" s="110">
        <f>IF(AND([4]RESUMEN_8°!B33=""),"",IF(OR(IFERROR([4]RESUMEN_8°!F33,0)&lt;3,IFERROR([4]RESUMEN_8°!R33,0)&lt;3),"⚠ REVISAR","OK"))</f>
        <v/>
      </c>
    </row>
    <row r="87" ht="13.95" customHeight="1" s="147">
      <c r="A87" s="106" t="inlineStr">
        <is>
          <t>8°</t>
        </is>
      </c>
      <c r="B87" s="106">
        <f>IF([1]MAESTRO!D34="","",IFERROR([4]RESUMEN_8°!A34,""))</f>
        <v/>
      </c>
      <c r="C87" s="107">
        <f>IF([1]MAESTRO!D34="","",IFERROR([4]RESUMEN_8°!B34,""))</f>
        <v/>
      </c>
      <c r="D87" s="106">
        <f>IF([4]RESUMEN_8°!B34="","",IFERROR([4]RESUMEN_8°!F34,""))</f>
        <v/>
      </c>
      <c r="E87" s="106">
        <f>IF([4]RESUMEN_8°!B34="","",IFERROR([4]RESUMEN_8°!R34,""))</f>
        <v/>
      </c>
      <c r="F87" s="106">
        <f>IF([4]RESUMEN_8°!B34="","",IFERROR('[5]Asistencia (8°)'!BI32+'[5]Asistencia (8°)'!BI75+'[5]Asistencia (8°)'!BI118,""))</f>
        <v/>
      </c>
      <c r="G87" s="106">
        <f>IF(AND([4]RESUMEN_8°!B34=""),"",IF(OR(IFERROR([4]RESUMEN_8°!F34,0)&lt;3,IFERROR([4]RESUMEN_8°!R34,0)&lt;3),"⚠ REVISAR","OK"))</f>
        <v/>
      </c>
    </row>
    <row r="88" ht="13.95" customHeight="1" s="147">
      <c r="A88" s="110" t="inlineStr">
        <is>
          <t>8°</t>
        </is>
      </c>
      <c r="B88" s="110">
        <f>IF([1]MAESTRO!D35="","",IFERROR([4]RESUMEN_8°!A35,""))</f>
        <v/>
      </c>
      <c r="C88" s="111">
        <f>IF([1]MAESTRO!D35="","",IFERROR([4]RESUMEN_8°!B35,""))</f>
        <v/>
      </c>
      <c r="D88" s="110">
        <f>IF([4]RESUMEN_8°!B35="","",IFERROR([4]RESUMEN_8°!F35,""))</f>
        <v/>
      </c>
      <c r="E88" s="110">
        <f>IF([4]RESUMEN_8°!B35="","",IFERROR([4]RESUMEN_8°!R35,""))</f>
        <v/>
      </c>
      <c r="F88" s="110">
        <f>IF([4]RESUMEN_8°!B35="","",IFERROR('[5]Asistencia (8°)'!BI33+'[5]Asistencia (8°)'!BI76+'[5]Asistencia (8°)'!BI119,""))</f>
        <v/>
      </c>
      <c r="G88" s="110">
        <f>IF(AND([4]RESUMEN_8°!B35=""),"",IF(OR(IFERROR([4]RESUMEN_8°!F35,0)&lt;3,IFERROR([4]RESUMEN_8°!R35,0)&lt;3),"⚠ REVISAR","OK"))</f>
        <v/>
      </c>
    </row>
    <row r="89" ht="13.95" customHeight="1" s="147">
      <c r="A89" s="106" t="inlineStr">
        <is>
          <t>8°</t>
        </is>
      </c>
      <c r="B89" s="106">
        <f>IF([1]MAESTRO!D36="","",IFERROR([4]RESUMEN_8°!A36,""))</f>
        <v/>
      </c>
      <c r="C89" s="107">
        <f>IF([1]MAESTRO!D36="","",IFERROR([4]RESUMEN_8°!B36,""))</f>
        <v/>
      </c>
      <c r="D89" s="106">
        <f>IF([4]RESUMEN_8°!B36="","",IFERROR([4]RESUMEN_8°!F36,""))</f>
        <v/>
      </c>
      <c r="E89" s="106">
        <f>IF([4]RESUMEN_8°!B36="","",IFERROR([4]RESUMEN_8°!R36,""))</f>
        <v/>
      </c>
      <c r="F89" s="106">
        <f>IF([4]RESUMEN_8°!B36="","",IFERROR('[5]Asistencia (8°)'!BI34+'[5]Asistencia (8°)'!BI77+'[5]Asistencia (8°)'!BI120,""))</f>
        <v/>
      </c>
      <c r="G89" s="106">
        <f>IF(AND([4]RESUMEN_8°!B36=""),"",IF(OR(IFERROR([4]RESUMEN_8°!F36,0)&lt;3,IFERROR([4]RESUMEN_8°!R36,0)&lt;3),"⚠ REVISAR","OK"))</f>
        <v/>
      </c>
    </row>
    <row r="90" ht="13.95" customHeight="1" s="147">
      <c r="A90" s="110" t="inlineStr">
        <is>
          <t>8°</t>
        </is>
      </c>
      <c r="B90" s="110">
        <f>IF([1]MAESTRO!D37="","",IFERROR([4]RESUMEN_8°!A37,""))</f>
        <v/>
      </c>
      <c r="C90" s="111">
        <f>IF([1]MAESTRO!D37="","",IFERROR([4]RESUMEN_8°!B37,""))</f>
        <v/>
      </c>
      <c r="D90" s="110">
        <f>IF([4]RESUMEN_8°!B37="","",IFERROR([4]RESUMEN_8°!F37,""))</f>
        <v/>
      </c>
      <c r="E90" s="110">
        <f>IF([4]RESUMEN_8°!B37="","",IFERROR([4]RESUMEN_8°!R37,""))</f>
        <v/>
      </c>
      <c r="F90" s="110">
        <f>IF([4]RESUMEN_8°!B37="","",IFERROR('[5]Asistencia (8°)'!BI35+'[5]Asistencia (8°)'!BI78+'[5]Asistencia (8°)'!BI121,""))</f>
        <v/>
      </c>
      <c r="G90" s="110">
        <f>IF(AND([4]RESUMEN_8°!B37=""),"",IF(OR(IFERROR([4]RESUMEN_8°!F37,0)&lt;3,IFERROR([4]RESUMEN_8°!R37,0)&lt;3),"⚠ REVISAR","OK"))</f>
        <v/>
      </c>
    </row>
    <row r="91" ht="13.95" customHeight="1" s="147">
      <c r="A91" s="106" t="inlineStr">
        <is>
          <t>8°</t>
        </is>
      </c>
      <c r="B91" s="106">
        <f>IF([1]MAESTRO!D38="","",IFERROR([4]RESUMEN_8°!A38,""))</f>
        <v/>
      </c>
      <c r="C91" s="107">
        <f>IF([1]MAESTRO!D38="","",IFERROR([4]RESUMEN_8°!B38,""))</f>
        <v/>
      </c>
      <c r="D91" s="106">
        <f>IF([4]RESUMEN_8°!B38="","",IFERROR([4]RESUMEN_8°!F38,""))</f>
        <v/>
      </c>
      <c r="E91" s="106">
        <f>IF([4]RESUMEN_8°!B38="","",IFERROR([4]RESUMEN_8°!R38,""))</f>
        <v/>
      </c>
      <c r="F91" s="106">
        <f>IF([4]RESUMEN_8°!B38="","",IFERROR('[5]Asistencia (8°)'!BI36+'[5]Asistencia (8°)'!BI79+'[5]Asistencia (8°)'!BI122,""))</f>
        <v/>
      </c>
      <c r="G91" s="106">
        <f>IF(AND([4]RESUMEN_8°!B38=""),"",IF(OR(IFERROR([4]RESUMEN_8°!F38,0)&lt;3,IFERROR([4]RESUMEN_8°!R38,0)&lt;3),"⚠ REVISAR","OK"))</f>
        <v/>
      </c>
    </row>
    <row r="92" ht="13.95" customHeight="1" s="147">
      <c r="A92" s="110" t="inlineStr">
        <is>
          <t>8°</t>
        </is>
      </c>
      <c r="B92" s="110">
        <f>IF([1]MAESTRO!D39="","",IFERROR([4]RESUMEN_8°!A39,""))</f>
        <v/>
      </c>
      <c r="C92" s="111">
        <f>IF([1]MAESTRO!D39="","",IFERROR([4]RESUMEN_8°!B39,""))</f>
        <v/>
      </c>
      <c r="D92" s="110">
        <f>IF([4]RESUMEN_8°!B39="","",IFERROR([4]RESUMEN_8°!F39,""))</f>
        <v/>
      </c>
      <c r="E92" s="110">
        <f>IF([4]RESUMEN_8°!B39="","",IFERROR([4]RESUMEN_8°!R39,""))</f>
        <v/>
      </c>
      <c r="F92" s="110">
        <f>IF([4]RESUMEN_8°!B39="","",IFERROR('[5]Asistencia (8°)'!BI37+'[5]Asistencia (8°)'!BI80+'[5]Asistencia (8°)'!BI123,""))</f>
        <v/>
      </c>
      <c r="G92" s="110">
        <f>IF(AND([4]RESUMEN_8°!B39=""),"",IF(OR(IFERROR([4]RESUMEN_8°!F39,0)&lt;3,IFERROR([4]RESUMEN_8°!R39,0)&lt;3),"⚠ REVISAR","OK"))</f>
        <v/>
      </c>
    </row>
    <row r="93" ht="13.95" customHeight="1" s="147">
      <c r="A93" s="106" t="inlineStr">
        <is>
          <t>8°</t>
        </is>
      </c>
      <c r="B93" s="106">
        <f>IF([1]MAESTRO!D40="","",IFERROR([4]RESUMEN_8°!A40,""))</f>
        <v/>
      </c>
      <c r="C93" s="107">
        <f>IF([1]MAESTRO!D40="","",IFERROR([4]RESUMEN_8°!B40,""))</f>
        <v/>
      </c>
      <c r="D93" s="106">
        <f>IF([4]RESUMEN_8°!B40="","",IFERROR([4]RESUMEN_8°!F40,""))</f>
        <v/>
      </c>
      <c r="E93" s="106">
        <f>IF([4]RESUMEN_8°!B40="","",IFERROR([4]RESUMEN_8°!R40,""))</f>
        <v/>
      </c>
      <c r="F93" s="106">
        <f>IF([4]RESUMEN_8°!B40="","",IFERROR('[5]Asistencia (8°)'!BI38+'[5]Asistencia (8°)'!BI81+'[5]Asistencia (8°)'!BI124,""))</f>
        <v/>
      </c>
      <c r="G93" s="106">
        <f>IF(AND([4]RESUMEN_8°!B40=""),"",IF(OR(IFERROR([4]RESUMEN_8°!F40,0)&lt;3,IFERROR([4]RESUMEN_8°!R40,0)&lt;3),"⚠ REVISAR","OK"))</f>
        <v/>
      </c>
    </row>
    <row r="94" ht="13.95" customHeight="1" s="147">
      <c r="A94" s="110" t="inlineStr">
        <is>
          <t>8°</t>
        </is>
      </c>
      <c r="B94" s="110">
        <f>IF([1]MAESTRO!D41="","",IFERROR([4]RESUMEN_8°!A41,""))</f>
        <v/>
      </c>
      <c r="C94" s="111">
        <f>IF([1]MAESTRO!D41="","",IFERROR([4]RESUMEN_8°!B41,""))</f>
        <v/>
      </c>
      <c r="D94" s="110">
        <f>IF([4]RESUMEN_8°!B41="","",IFERROR([4]RESUMEN_8°!F41,""))</f>
        <v/>
      </c>
      <c r="E94" s="110">
        <f>IF([4]RESUMEN_8°!B41="","",IFERROR([4]RESUMEN_8°!R41,""))</f>
        <v/>
      </c>
      <c r="F94" s="110">
        <f>IF([4]RESUMEN_8°!B41="","",IFERROR('[5]Asistencia (8°)'!BI39+'[5]Asistencia (8°)'!BI82+'[5]Asistencia (8°)'!BI125,""))</f>
        <v/>
      </c>
      <c r="G94" s="110">
        <f>IF(AND([4]RESUMEN_8°!B41=""),"",IF(OR(IFERROR([4]RESUMEN_8°!F41,0)&lt;3,IFERROR([4]RESUMEN_8°!R41,0)&lt;3),"⚠ REVISAR","OK"))</f>
        <v/>
      </c>
    </row>
    <row r="95" ht="13.95" customHeight="1" s="147">
      <c r="A95" s="106" t="inlineStr">
        <is>
          <t>8°</t>
        </is>
      </c>
      <c r="B95" s="106">
        <f>IF([1]MAESTRO!D42="","",IFERROR([4]RESUMEN_8°!A42,""))</f>
        <v/>
      </c>
      <c r="C95" s="107">
        <f>IF([1]MAESTRO!D42="","",IFERROR([4]RESUMEN_8°!B42,""))</f>
        <v/>
      </c>
      <c r="D95" s="106">
        <f>IF([4]RESUMEN_8°!B42="","",IFERROR([4]RESUMEN_8°!F42,""))</f>
        <v/>
      </c>
      <c r="E95" s="106">
        <f>IF([4]RESUMEN_8°!B42="","",IFERROR([4]RESUMEN_8°!R42,""))</f>
        <v/>
      </c>
      <c r="F95" s="106">
        <f>IF([4]RESUMEN_8°!B42="","",IFERROR('[5]Asistencia (8°)'!BI40+'[5]Asistencia (8°)'!BI83+'[5]Asistencia (8°)'!BI126,""))</f>
        <v/>
      </c>
      <c r="G95" s="106">
        <f>IF(AND([4]RESUMEN_8°!B42=""),"",IF(OR(IFERROR([4]RESUMEN_8°!F42,0)&lt;3,IFERROR([4]RESUMEN_8°!R42,0)&lt;3),"⚠ REVISAR","OK"))</f>
        <v/>
      </c>
    </row>
    <row r="96" ht="13.95" customHeight="1" s="147">
      <c r="A96" s="110" t="inlineStr">
        <is>
          <t>8°</t>
        </is>
      </c>
      <c r="B96" s="110">
        <f>IF([1]MAESTRO!D43="","",IFERROR([4]RESUMEN_8°!A43,""))</f>
        <v/>
      </c>
      <c r="C96" s="111">
        <f>IF([1]MAESTRO!D43="","",IFERROR([4]RESUMEN_8°!B43,""))</f>
        <v/>
      </c>
      <c r="D96" s="110">
        <f>IF([4]RESUMEN_8°!B43="","",IFERROR([4]RESUMEN_8°!F43,""))</f>
        <v/>
      </c>
      <c r="E96" s="110">
        <f>IF([4]RESUMEN_8°!B43="","",IFERROR([4]RESUMEN_8°!R43,""))</f>
        <v/>
      </c>
      <c r="F96" s="110">
        <f>IF([4]RESUMEN_8°!B43="","",IFERROR('[5]Asistencia (8°)'!BI41+'[5]Asistencia (8°)'!BI84+'[5]Asistencia (8°)'!BI127,""))</f>
        <v/>
      </c>
      <c r="G96" s="110">
        <f>IF(AND([4]RESUMEN_8°!B43=""),"",IF(OR(IFERROR([4]RESUMEN_8°!F43,0)&lt;3,IFERROR([4]RESUMEN_8°!R43,0)&lt;3),"⚠ REVISAR","OK"))</f>
        <v/>
      </c>
    </row>
    <row r="97" ht="13.95" customHeight="1" s="147">
      <c r="A97" s="106" t="inlineStr">
        <is>
          <t>8°</t>
        </is>
      </c>
      <c r="B97" s="106">
        <f>IF([1]MAESTRO!D44="","",IFERROR([4]RESUMEN_8°!A44,""))</f>
        <v/>
      </c>
      <c r="C97" s="107">
        <f>IF([1]MAESTRO!D44="","",IFERROR([4]RESUMEN_8°!B44,""))</f>
        <v/>
      </c>
      <c r="D97" s="106">
        <f>IF([4]RESUMEN_8°!B44="","",IFERROR([4]RESUMEN_8°!F44,""))</f>
        <v/>
      </c>
      <c r="E97" s="106">
        <f>IF([4]RESUMEN_8°!B44="","",IFERROR([4]RESUMEN_8°!R44,""))</f>
        <v/>
      </c>
      <c r="F97" s="106">
        <f>IF([4]RESUMEN_8°!B44="","",IFERROR('[5]Asistencia (8°)'!BI42+'[5]Asistencia (8°)'!BI85+'[5]Asistencia (8°)'!BI128,""))</f>
        <v/>
      </c>
      <c r="G97" s="106">
        <f>IF(AND([4]RESUMEN_8°!B44=""),"",IF(OR(IFERROR([4]RESUMEN_8°!F44,0)&lt;3,IFERROR([4]RESUMEN_8°!R44,0)&lt;3),"⚠ REVISAR","OK"))</f>
        <v/>
      </c>
    </row>
    <row r="98" ht="13.95" customHeight="1" s="147">
      <c r="A98" s="112" t="inlineStr">
        <is>
          <t>9°</t>
        </is>
      </c>
      <c r="B98" s="112">
        <f>IF([1]MAESTRO!F5="","",IFERROR([6]RESUMEN_9°!A5,""))</f>
        <v/>
      </c>
      <c r="C98" s="113">
        <f>IF([1]MAESTRO!F5="","",IFERROR([6]RESUMEN_9°!B5,""))</f>
        <v/>
      </c>
      <c r="D98" s="112">
        <f>IF([6]RESUMEN_9°!B5="","",IFERROR([6]RESUMEN_9°!F5,""))</f>
        <v/>
      </c>
      <c r="E98" s="112">
        <f>IF([6]RESUMEN_9°!B5="","",IFERROR([6]RESUMEN_9°!R5,""))</f>
        <v/>
      </c>
      <c r="F98" s="112">
        <f>IF([6]RESUMEN_9°!B5="","",IFERROR('[7]Asistencia (9°)'!BI3+'[7]Asistencia (9°)'!BI46+'[7]Asistencia (9°)'!BI89,""))</f>
        <v/>
      </c>
      <c r="G98" s="112">
        <f>IF(AND([6]RESUMEN_9°!B5=""),"",IF(OR(IFERROR([6]RESUMEN_9°!F5,0)&lt;3,IFERROR([6]RESUMEN_9°!V5,0)&lt;3),"⚠ REVISAR","OK"))</f>
        <v/>
      </c>
    </row>
    <row r="99" ht="13.95" customHeight="1" s="147">
      <c r="A99" s="106" t="inlineStr">
        <is>
          <t>9°</t>
        </is>
      </c>
      <c r="B99" s="106">
        <f>IF([1]MAESTRO!F6="","",IFERROR([6]RESUMEN_9°!A6,""))</f>
        <v/>
      </c>
      <c r="C99" s="107">
        <f>IF([1]MAESTRO!F6="","",IFERROR([6]RESUMEN_9°!B6,""))</f>
        <v/>
      </c>
      <c r="D99" s="106">
        <f>IF([6]RESUMEN_9°!B6="","",IFERROR([6]RESUMEN_9°!F6,""))</f>
        <v/>
      </c>
      <c r="E99" s="106">
        <f>IF([6]RESUMEN_9°!B6="","",IFERROR([6]RESUMEN_9°!R6,""))</f>
        <v/>
      </c>
      <c r="F99" s="106">
        <f>IF([6]RESUMEN_9°!B6="","",IFERROR('[7]Asistencia (9°)'!BI4+'[7]Asistencia (9°)'!BI47+'[7]Asistencia (9°)'!BI90,""))</f>
        <v/>
      </c>
      <c r="G99" s="106">
        <f>IF(AND([6]RESUMEN_9°!B6=""),"",IF(OR(IFERROR([6]RESUMEN_9°!F6,0)&lt;3,IFERROR([6]RESUMEN_9°!V6,0)&lt;3),"⚠ REVISAR","OK"))</f>
        <v/>
      </c>
    </row>
    <row r="100" ht="13.95" customHeight="1" s="147">
      <c r="A100" s="112" t="inlineStr">
        <is>
          <t>9°</t>
        </is>
      </c>
      <c r="B100" s="112">
        <f>IF([1]MAESTRO!F7="","",IFERROR([6]RESUMEN_9°!A7,""))</f>
        <v/>
      </c>
      <c r="C100" s="113">
        <f>IF([1]MAESTRO!F7="","",IFERROR([6]RESUMEN_9°!B7,""))</f>
        <v/>
      </c>
      <c r="D100" s="112">
        <f>IF([6]RESUMEN_9°!B7="","",IFERROR([6]RESUMEN_9°!F7,""))</f>
        <v/>
      </c>
      <c r="E100" s="112">
        <f>IF([6]RESUMEN_9°!B7="","",IFERROR([6]RESUMEN_9°!R7,""))</f>
        <v/>
      </c>
      <c r="F100" s="112">
        <f>IF([6]RESUMEN_9°!B7="","",IFERROR('[7]Asistencia (9°)'!BI5+'[7]Asistencia (9°)'!BI48+'[7]Asistencia (9°)'!BI91,""))</f>
        <v/>
      </c>
      <c r="G100" s="112">
        <f>IF(AND([6]RESUMEN_9°!B7=""),"",IF(OR(IFERROR([6]RESUMEN_9°!F7,0)&lt;3,IFERROR([6]RESUMEN_9°!V7,0)&lt;3),"⚠ REVISAR","OK"))</f>
        <v/>
      </c>
    </row>
    <row r="101" ht="13.95" customHeight="1" s="147">
      <c r="A101" s="106" t="inlineStr">
        <is>
          <t>9°</t>
        </is>
      </c>
      <c r="B101" s="106">
        <f>IF([1]MAESTRO!F8="","",IFERROR([6]RESUMEN_9°!A8,""))</f>
        <v/>
      </c>
      <c r="C101" s="107">
        <f>IF([1]MAESTRO!F8="","",IFERROR([6]RESUMEN_9°!B8,""))</f>
        <v/>
      </c>
      <c r="D101" s="106">
        <f>IF([6]RESUMEN_9°!B8="","",IFERROR([6]RESUMEN_9°!F8,""))</f>
        <v/>
      </c>
      <c r="E101" s="106">
        <f>IF([6]RESUMEN_9°!B8="","",IFERROR([6]RESUMEN_9°!R8,""))</f>
        <v/>
      </c>
      <c r="F101" s="106">
        <f>IF([6]RESUMEN_9°!B8="","",IFERROR('[7]Asistencia (9°)'!BI6+'[7]Asistencia (9°)'!BI49+'[7]Asistencia (9°)'!BI92,""))</f>
        <v/>
      </c>
      <c r="G101" s="106">
        <f>IF(AND([6]RESUMEN_9°!B8=""),"",IF(OR(IFERROR([6]RESUMEN_9°!F8,0)&lt;3,IFERROR([6]RESUMEN_9°!V8,0)&lt;3),"⚠ REVISAR","OK"))</f>
        <v/>
      </c>
    </row>
    <row r="102" ht="13.95" customHeight="1" s="147">
      <c r="A102" s="112" t="inlineStr">
        <is>
          <t>9°</t>
        </is>
      </c>
      <c r="B102" s="112">
        <f>IF([1]MAESTRO!F9="","",IFERROR([6]RESUMEN_9°!A9,""))</f>
        <v/>
      </c>
      <c r="C102" s="113">
        <f>IF([1]MAESTRO!F9="","",IFERROR([6]RESUMEN_9°!B9,""))</f>
        <v/>
      </c>
      <c r="D102" s="112">
        <f>IF([6]RESUMEN_9°!B9="","",IFERROR([6]RESUMEN_9°!F9,""))</f>
        <v/>
      </c>
      <c r="E102" s="112">
        <f>IF([6]RESUMEN_9°!B9="","",IFERROR([6]RESUMEN_9°!R9,""))</f>
        <v/>
      </c>
      <c r="F102" s="112">
        <f>IF([6]RESUMEN_9°!B9="","",IFERROR('[7]Asistencia (9°)'!BI7+'[7]Asistencia (9°)'!BI50+'[7]Asistencia (9°)'!BI93,""))</f>
        <v/>
      </c>
      <c r="G102" s="112">
        <f>IF(AND([6]RESUMEN_9°!B9=""),"",IF(OR(IFERROR([6]RESUMEN_9°!F9,0)&lt;3,IFERROR([6]RESUMEN_9°!V9,0)&lt;3),"⚠ REVISAR","OK"))</f>
        <v/>
      </c>
    </row>
    <row r="103" ht="13.95" customHeight="1" s="147">
      <c r="A103" s="106" t="inlineStr">
        <is>
          <t>9°</t>
        </is>
      </c>
      <c r="B103" s="106">
        <f>IF([1]MAESTRO!F10="","",IFERROR([6]RESUMEN_9°!A10,""))</f>
        <v/>
      </c>
      <c r="C103" s="107">
        <f>IF([1]MAESTRO!F10="","",IFERROR([6]RESUMEN_9°!B10,""))</f>
        <v/>
      </c>
      <c r="D103" s="106">
        <f>IF([6]RESUMEN_9°!B10="","",IFERROR([6]RESUMEN_9°!F10,""))</f>
        <v/>
      </c>
      <c r="E103" s="106">
        <f>IF([6]RESUMEN_9°!B10="","",IFERROR([6]RESUMEN_9°!R10,""))</f>
        <v/>
      </c>
      <c r="F103" s="106">
        <f>IF([6]RESUMEN_9°!B10="","",IFERROR('[7]Asistencia (9°)'!BI8+'[7]Asistencia (9°)'!BI51+'[7]Asistencia (9°)'!BI94,""))</f>
        <v/>
      </c>
      <c r="G103" s="106">
        <f>IF(AND([6]RESUMEN_9°!B10=""),"",IF(OR(IFERROR([6]RESUMEN_9°!F10,0)&lt;3,IFERROR([6]RESUMEN_9°!V10,0)&lt;3),"⚠ REVISAR","OK"))</f>
        <v/>
      </c>
    </row>
    <row r="104" ht="13.95" customHeight="1" s="147">
      <c r="A104" s="112" t="inlineStr">
        <is>
          <t>9°</t>
        </is>
      </c>
      <c r="B104" s="112">
        <f>IF([1]MAESTRO!F11="","",IFERROR([6]RESUMEN_9°!A11,""))</f>
        <v/>
      </c>
      <c r="C104" s="113">
        <f>IF([1]MAESTRO!F11="","",IFERROR([6]RESUMEN_9°!B11,""))</f>
        <v/>
      </c>
      <c r="D104" s="112">
        <f>IF([6]RESUMEN_9°!B11="","",IFERROR([6]RESUMEN_9°!F11,""))</f>
        <v/>
      </c>
      <c r="E104" s="112">
        <f>IF([6]RESUMEN_9°!B11="","",IFERROR([6]RESUMEN_9°!R11,""))</f>
        <v/>
      </c>
      <c r="F104" s="112">
        <f>IF([6]RESUMEN_9°!B11="","",IFERROR('[7]Asistencia (9°)'!BI9+'[7]Asistencia (9°)'!BI52+'[7]Asistencia (9°)'!BI95,""))</f>
        <v/>
      </c>
      <c r="G104" s="112">
        <f>IF(AND([6]RESUMEN_9°!B11=""),"",IF(OR(IFERROR([6]RESUMEN_9°!F11,0)&lt;3,IFERROR([6]RESUMEN_9°!V11,0)&lt;3),"⚠ REVISAR","OK"))</f>
        <v/>
      </c>
    </row>
    <row r="105" ht="13.95" customHeight="1" s="147">
      <c r="A105" s="106" t="inlineStr">
        <is>
          <t>9°</t>
        </is>
      </c>
      <c r="B105" s="106">
        <f>IF([1]MAESTRO!F12="","",IFERROR([6]RESUMEN_9°!A12,""))</f>
        <v/>
      </c>
      <c r="C105" s="107">
        <f>IF([1]MAESTRO!F12="","",IFERROR([6]RESUMEN_9°!B12,""))</f>
        <v/>
      </c>
      <c r="D105" s="106">
        <f>IF([6]RESUMEN_9°!B12="","",IFERROR([6]RESUMEN_9°!F12,""))</f>
        <v/>
      </c>
      <c r="E105" s="106">
        <f>IF([6]RESUMEN_9°!B12="","",IFERROR([6]RESUMEN_9°!R12,""))</f>
        <v/>
      </c>
      <c r="F105" s="106">
        <f>IF([6]RESUMEN_9°!B12="","",IFERROR('[7]Asistencia (9°)'!BI10+'[7]Asistencia (9°)'!BI53+'[7]Asistencia (9°)'!BI96,""))</f>
        <v/>
      </c>
      <c r="G105" s="106">
        <f>IF(AND([6]RESUMEN_9°!B12=""),"",IF(OR(IFERROR([6]RESUMEN_9°!F12,0)&lt;3,IFERROR([6]RESUMEN_9°!V12,0)&lt;3),"⚠ REVISAR","OK"))</f>
        <v/>
      </c>
    </row>
    <row r="106" ht="13.95" customHeight="1" s="147">
      <c r="A106" s="112" t="inlineStr">
        <is>
          <t>9°</t>
        </is>
      </c>
      <c r="B106" s="112">
        <f>IF([1]MAESTRO!F13="","",IFERROR([6]RESUMEN_9°!A13,""))</f>
        <v/>
      </c>
      <c r="C106" s="113">
        <f>IF([1]MAESTRO!F13="","",IFERROR([6]RESUMEN_9°!B13,""))</f>
        <v/>
      </c>
      <c r="D106" s="112">
        <f>IF([6]RESUMEN_9°!B13="","",IFERROR([6]RESUMEN_9°!F13,""))</f>
        <v/>
      </c>
      <c r="E106" s="112">
        <f>IF([6]RESUMEN_9°!B13="","",IFERROR([6]RESUMEN_9°!R13,""))</f>
        <v/>
      </c>
      <c r="F106" s="112">
        <f>IF([6]RESUMEN_9°!B13="","",IFERROR('[7]Asistencia (9°)'!BI11+'[7]Asistencia (9°)'!BI54+'[7]Asistencia (9°)'!BI97,""))</f>
        <v/>
      </c>
      <c r="G106" s="112">
        <f>IF(AND([6]RESUMEN_9°!B13=""),"",IF(OR(IFERROR([6]RESUMEN_9°!F13,0)&lt;3,IFERROR([6]RESUMEN_9°!V13,0)&lt;3),"⚠ REVISAR","OK"))</f>
        <v/>
      </c>
    </row>
    <row r="107" ht="13.95" customHeight="1" s="147">
      <c r="A107" s="106" t="inlineStr">
        <is>
          <t>9°</t>
        </is>
      </c>
      <c r="B107" s="106">
        <f>IF([1]MAESTRO!F14="","",IFERROR([6]RESUMEN_9°!A14,""))</f>
        <v/>
      </c>
      <c r="C107" s="107">
        <f>IF([1]MAESTRO!F14="","",IFERROR([6]RESUMEN_9°!B14,""))</f>
        <v/>
      </c>
      <c r="D107" s="106">
        <f>IF([6]RESUMEN_9°!B14="","",IFERROR([6]RESUMEN_9°!F14,""))</f>
        <v/>
      </c>
      <c r="E107" s="106">
        <f>IF([6]RESUMEN_9°!B14="","",IFERROR([6]RESUMEN_9°!R14,""))</f>
        <v/>
      </c>
      <c r="F107" s="106">
        <f>IF([6]RESUMEN_9°!B14="","",IFERROR('[7]Asistencia (9°)'!BI12+'[7]Asistencia (9°)'!BI55+'[7]Asistencia (9°)'!BI98,""))</f>
        <v/>
      </c>
      <c r="G107" s="106">
        <f>IF(AND([6]RESUMEN_9°!B14=""),"",IF(OR(IFERROR([6]RESUMEN_9°!F14,0)&lt;3,IFERROR([6]RESUMEN_9°!V14,0)&lt;3),"⚠ REVISAR","OK"))</f>
        <v/>
      </c>
    </row>
    <row r="108" ht="13.95" customHeight="1" s="147">
      <c r="A108" s="112" t="inlineStr">
        <is>
          <t>9°</t>
        </is>
      </c>
      <c r="B108" s="112">
        <f>IF([1]MAESTRO!F15="","",IFERROR([6]RESUMEN_9°!A15,""))</f>
        <v/>
      </c>
      <c r="C108" s="113">
        <f>IF([1]MAESTRO!F15="","",IFERROR([6]RESUMEN_9°!B15,""))</f>
        <v/>
      </c>
      <c r="D108" s="112">
        <f>IF([6]RESUMEN_9°!B15="","",IFERROR([6]RESUMEN_9°!F15,""))</f>
        <v/>
      </c>
      <c r="E108" s="112">
        <f>IF([6]RESUMEN_9°!B15="","",IFERROR([6]RESUMEN_9°!R15,""))</f>
        <v/>
      </c>
      <c r="F108" s="112">
        <f>IF([6]RESUMEN_9°!B15="","",IFERROR('[7]Asistencia (9°)'!BI13+'[7]Asistencia (9°)'!BI56+'[7]Asistencia (9°)'!BI99,""))</f>
        <v/>
      </c>
      <c r="G108" s="112">
        <f>IF(AND([6]RESUMEN_9°!B15=""),"",IF(OR(IFERROR([6]RESUMEN_9°!F15,0)&lt;3,IFERROR([6]RESUMEN_9°!V15,0)&lt;3),"⚠ REVISAR","OK"))</f>
        <v/>
      </c>
    </row>
    <row r="109" ht="13.95" customHeight="1" s="147">
      <c r="A109" s="106" t="inlineStr">
        <is>
          <t>9°</t>
        </is>
      </c>
      <c r="B109" s="106">
        <f>IF([1]MAESTRO!F16="","",IFERROR([6]RESUMEN_9°!A16,""))</f>
        <v/>
      </c>
      <c r="C109" s="107">
        <f>IF([1]MAESTRO!F16="","",IFERROR([6]RESUMEN_9°!B16,""))</f>
        <v/>
      </c>
      <c r="D109" s="106">
        <f>IF([6]RESUMEN_9°!B16="","",IFERROR([6]RESUMEN_9°!F16,""))</f>
        <v/>
      </c>
      <c r="E109" s="106">
        <f>IF([6]RESUMEN_9°!B16="","",IFERROR([6]RESUMEN_9°!R16,""))</f>
        <v/>
      </c>
      <c r="F109" s="106">
        <f>IF([6]RESUMEN_9°!B16="","",IFERROR('[7]Asistencia (9°)'!BI14+'[7]Asistencia (9°)'!BI57+'[7]Asistencia (9°)'!BI100,""))</f>
        <v/>
      </c>
      <c r="G109" s="106">
        <f>IF(AND([6]RESUMEN_9°!B16=""),"",IF(OR(IFERROR([6]RESUMEN_9°!F16,0)&lt;3,IFERROR([6]RESUMEN_9°!V16,0)&lt;3),"⚠ REVISAR","OK"))</f>
        <v/>
      </c>
    </row>
    <row r="110" ht="13.95" customHeight="1" s="147">
      <c r="A110" s="112" t="inlineStr">
        <is>
          <t>9°</t>
        </is>
      </c>
      <c r="B110" s="112">
        <f>IF([1]MAESTRO!F17="","",IFERROR([6]RESUMEN_9°!A17,""))</f>
        <v/>
      </c>
      <c r="C110" s="113">
        <f>IF([1]MAESTRO!F17="","",IFERROR([6]RESUMEN_9°!B17,""))</f>
        <v/>
      </c>
      <c r="D110" s="112">
        <f>IF([6]RESUMEN_9°!B17="","",IFERROR([6]RESUMEN_9°!F17,""))</f>
        <v/>
      </c>
      <c r="E110" s="112">
        <f>IF([6]RESUMEN_9°!B17="","",IFERROR([6]RESUMEN_9°!R17,""))</f>
        <v/>
      </c>
      <c r="F110" s="112">
        <f>IF([6]RESUMEN_9°!B17="","",IFERROR('[7]Asistencia (9°)'!BI15+'[7]Asistencia (9°)'!BI58+'[7]Asistencia (9°)'!BI101,""))</f>
        <v/>
      </c>
      <c r="G110" s="112">
        <f>IF(AND([6]RESUMEN_9°!B17=""),"",IF(OR(IFERROR([6]RESUMEN_9°!F17,0)&lt;3,IFERROR([6]RESUMEN_9°!V17,0)&lt;3),"⚠ REVISAR","OK"))</f>
        <v/>
      </c>
    </row>
    <row r="111" ht="13.95" customHeight="1" s="147">
      <c r="A111" s="106" t="inlineStr">
        <is>
          <t>9°</t>
        </is>
      </c>
      <c r="B111" s="106">
        <f>IF([1]MAESTRO!F18="","",IFERROR([6]RESUMEN_9°!A18,""))</f>
        <v/>
      </c>
      <c r="C111" s="107">
        <f>IF([1]MAESTRO!F18="","",IFERROR([6]RESUMEN_9°!B18,""))</f>
        <v/>
      </c>
      <c r="D111" s="106">
        <f>IF([6]RESUMEN_9°!B18="","",IFERROR([6]RESUMEN_9°!F18,""))</f>
        <v/>
      </c>
      <c r="E111" s="106">
        <f>IF([6]RESUMEN_9°!B18="","",IFERROR([6]RESUMEN_9°!R18,""))</f>
        <v/>
      </c>
      <c r="F111" s="106">
        <f>IF([6]RESUMEN_9°!B18="","",IFERROR('[7]Asistencia (9°)'!BI16+'[7]Asistencia (9°)'!BI59+'[7]Asistencia (9°)'!BI102,""))</f>
        <v/>
      </c>
      <c r="G111" s="106">
        <f>IF(AND([6]RESUMEN_9°!B18=""),"",IF(OR(IFERROR([6]RESUMEN_9°!F18,0)&lt;3,IFERROR([6]RESUMEN_9°!V18,0)&lt;3),"⚠ REVISAR","OK"))</f>
        <v/>
      </c>
    </row>
    <row r="112" ht="13.95" customHeight="1" s="147">
      <c r="A112" s="112" t="inlineStr">
        <is>
          <t>9°</t>
        </is>
      </c>
      <c r="B112" s="112">
        <f>IF([1]MAESTRO!F19="","",IFERROR([6]RESUMEN_9°!A19,""))</f>
        <v/>
      </c>
      <c r="C112" s="113">
        <f>IF([1]MAESTRO!F19="","",IFERROR([6]RESUMEN_9°!B19,""))</f>
        <v/>
      </c>
      <c r="D112" s="112">
        <f>IF([6]RESUMEN_9°!B19="","",IFERROR([6]RESUMEN_9°!F19,""))</f>
        <v/>
      </c>
      <c r="E112" s="112">
        <f>IF([6]RESUMEN_9°!B19="","",IFERROR([6]RESUMEN_9°!R19,""))</f>
        <v/>
      </c>
      <c r="F112" s="112">
        <f>IF([6]RESUMEN_9°!B19="","",IFERROR('[7]Asistencia (9°)'!BI17+'[7]Asistencia (9°)'!BI60+'[7]Asistencia (9°)'!BI103,""))</f>
        <v/>
      </c>
      <c r="G112" s="112">
        <f>IF(AND([6]RESUMEN_9°!B19=""),"",IF(OR(IFERROR([6]RESUMEN_9°!F19,0)&lt;3,IFERROR([6]RESUMEN_9°!V19,0)&lt;3),"⚠ REVISAR","OK"))</f>
        <v/>
      </c>
    </row>
    <row r="113" ht="13.95" customHeight="1" s="147">
      <c r="A113" s="106" t="inlineStr">
        <is>
          <t>9°</t>
        </is>
      </c>
      <c r="B113" s="106">
        <f>IF([1]MAESTRO!F20="","",IFERROR([6]RESUMEN_9°!A20,""))</f>
        <v/>
      </c>
      <c r="C113" s="107">
        <f>IF([1]MAESTRO!F20="","",IFERROR([6]RESUMEN_9°!B20,""))</f>
        <v/>
      </c>
      <c r="D113" s="106">
        <f>IF([6]RESUMEN_9°!B20="","",IFERROR([6]RESUMEN_9°!F20,""))</f>
        <v/>
      </c>
      <c r="E113" s="106">
        <f>IF([6]RESUMEN_9°!B20="","",IFERROR([6]RESUMEN_9°!R20,""))</f>
        <v/>
      </c>
      <c r="F113" s="106">
        <f>IF([6]RESUMEN_9°!B20="","",IFERROR('[7]Asistencia (9°)'!BI18+'[7]Asistencia (9°)'!BI61+'[7]Asistencia (9°)'!BI104,""))</f>
        <v/>
      </c>
      <c r="G113" s="106">
        <f>IF(AND([6]RESUMEN_9°!B20=""),"",IF(OR(IFERROR([6]RESUMEN_9°!F20,0)&lt;3,IFERROR([6]RESUMEN_9°!V20,0)&lt;3),"⚠ REVISAR","OK"))</f>
        <v/>
      </c>
    </row>
    <row r="114" ht="13.95" customHeight="1" s="147">
      <c r="A114" s="112" t="inlineStr">
        <is>
          <t>9°</t>
        </is>
      </c>
      <c r="B114" s="112">
        <f>IF([1]MAESTRO!F21="","",IFERROR([6]RESUMEN_9°!A21,""))</f>
        <v/>
      </c>
      <c r="C114" s="113">
        <f>IF([1]MAESTRO!F21="","",IFERROR([6]RESUMEN_9°!B21,""))</f>
        <v/>
      </c>
      <c r="D114" s="112">
        <f>IF([6]RESUMEN_9°!B21="","",IFERROR([6]RESUMEN_9°!F21,""))</f>
        <v/>
      </c>
      <c r="E114" s="112">
        <f>IF([6]RESUMEN_9°!B21="","",IFERROR([6]RESUMEN_9°!R21,""))</f>
        <v/>
      </c>
      <c r="F114" s="112">
        <f>IF([6]RESUMEN_9°!B21="","",IFERROR('[7]Asistencia (9°)'!BI19+'[7]Asistencia (9°)'!BI62+'[7]Asistencia (9°)'!BI105,""))</f>
        <v/>
      </c>
      <c r="G114" s="112">
        <f>IF(AND([6]RESUMEN_9°!B21=""),"",IF(OR(IFERROR([6]RESUMEN_9°!F21,0)&lt;3,IFERROR([6]RESUMEN_9°!V21,0)&lt;3),"⚠ REVISAR","OK"))</f>
        <v/>
      </c>
    </row>
    <row r="115" ht="13.95" customHeight="1" s="147">
      <c r="A115" s="106" t="inlineStr">
        <is>
          <t>9°</t>
        </is>
      </c>
      <c r="B115" s="106">
        <f>IF([1]MAESTRO!F22="","",IFERROR([6]RESUMEN_9°!A22,""))</f>
        <v/>
      </c>
      <c r="C115" s="107">
        <f>IF([1]MAESTRO!F22="","",IFERROR([6]RESUMEN_9°!B22,""))</f>
        <v/>
      </c>
      <c r="D115" s="106">
        <f>IF([6]RESUMEN_9°!B22="","",IFERROR([6]RESUMEN_9°!F22,""))</f>
        <v/>
      </c>
      <c r="E115" s="106">
        <f>IF([6]RESUMEN_9°!B22="","",IFERROR([6]RESUMEN_9°!R22,""))</f>
        <v/>
      </c>
      <c r="F115" s="106">
        <f>IF([6]RESUMEN_9°!B22="","",IFERROR('[7]Asistencia (9°)'!BI20+'[7]Asistencia (9°)'!BI63+'[7]Asistencia (9°)'!BI106,""))</f>
        <v/>
      </c>
      <c r="G115" s="106">
        <f>IF(AND([6]RESUMEN_9°!B22=""),"",IF(OR(IFERROR([6]RESUMEN_9°!F22,0)&lt;3,IFERROR([6]RESUMEN_9°!V22,0)&lt;3),"⚠ REVISAR","OK"))</f>
        <v/>
      </c>
    </row>
    <row r="116" ht="13.95" customHeight="1" s="147">
      <c r="A116" s="112" t="inlineStr">
        <is>
          <t>9°</t>
        </is>
      </c>
      <c r="B116" s="112">
        <f>IF([1]MAESTRO!F23="","",IFERROR([6]RESUMEN_9°!A23,""))</f>
        <v/>
      </c>
      <c r="C116" s="113">
        <f>IF([1]MAESTRO!F23="","",IFERROR([6]RESUMEN_9°!B23,""))</f>
        <v/>
      </c>
      <c r="D116" s="112">
        <f>IF([6]RESUMEN_9°!B23="","",IFERROR([6]RESUMEN_9°!F23,""))</f>
        <v/>
      </c>
      <c r="E116" s="112">
        <f>IF([6]RESUMEN_9°!B23="","",IFERROR([6]RESUMEN_9°!R23,""))</f>
        <v/>
      </c>
      <c r="F116" s="112">
        <f>IF([6]RESUMEN_9°!B23="","",IFERROR('[7]Asistencia (9°)'!BI21+'[7]Asistencia (9°)'!BI64+'[7]Asistencia (9°)'!BI107,""))</f>
        <v/>
      </c>
      <c r="G116" s="112">
        <f>IF(AND([6]RESUMEN_9°!B23=""),"",IF(OR(IFERROR([6]RESUMEN_9°!F23,0)&lt;3,IFERROR([6]RESUMEN_9°!V23,0)&lt;3),"⚠ REVISAR","OK"))</f>
        <v/>
      </c>
    </row>
    <row r="117" ht="13.95" customHeight="1" s="147">
      <c r="A117" s="106" t="inlineStr">
        <is>
          <t>9°</t>
        </is>
      </c>
      <c r="B117" s="106">
        <f>IF([1]MAESTRO!F24="","",IFERROR([6]RESUMEN_9°!A24,""))</f>
        <v/>
      </c>
      <c r="C117" s="107">
        <f>IF([1]MAESTRO!F24="","",IFERROR([6]RESUMEN_9°!B24,""))</f>
        <v/>
      </c>
      <c r="D117" s="106">
        <f>IF([6]RESUMEN_9°!B24="","",IFERROR([6]RESUMEN_9°!F24,""))</f>
        <v/>
      </c>
      <c r="E117" s="106">
        <f>IF([6]RESUMEN_9°!B24="","",IFERROR([6]RESUMEN_9°!R24,""))</f>
        <v/>
      </c>
      <c r="F117" s="106">
        <f>IF([6]RESUMEN_9°!B24="","",IFERROR('[7]Asistencia (9°)'!BI22+'[7]Asistencia (9°)'!BI65+'[7]Asistencia (9°)'!BI108,""))</f>
        <v/>
      </c>
      <c r="G117" s="106">
        <f>IF(AND([6]RESUMEN_9°!B24=""),"",IF(OR(IFERROR([6]RESUMEN_9°!F24,0)&lt;3,IFERROR([6]RESUMEN_9°!V24,0)&lt;3),"⚠ REVISAR","OK"))</f>
        <v/>
      </c>
    </row>
    <row r="118" ht="13.95" customHeight="1" s="147">
      <c r="A118" s="112" t="inlineStr">
        <is>
          <t>9°</t>
        </is>
      </c>
      <c r="B118" s="112">
        <f>IF([1]MAESTRO!F25="","",IFERROR([6]RESUMEN_9°!A25,""))</f>
        <v/>
      </c>
      <c r="C118" s="113">
        <f>IF([1]MAESTRO!F25="","",IFERROR([6]RESUMEN_9°!B25,""))</f>
        <v/>
      </c>
      <c r="D118" s="112">
        <f>IF([6]RESUMEN_9°!B25="","",IFERROR([6]RESUMEN_9°!F25,""))</f>
        <v/>
      </c>
      <c r="E118" s="112">
        <f>IF([6]RESUMEN_9°!B25="","",IFERROR([6]RESUMEN_9°!R25,""))</f>
        <v/>
      </c>
      <c r="F118" s="112">
        <f>IF([6]RESUMEN_9°!B25="","",IFERROR('[7]Asistencia (9°)'!BI23+'[7]Asistencia (9°)'!BI66+'[7]Asistencia (9°)'!BI109,""))</f>
        <v/>
      </c>
      <c r="G118" s="112">
        <f>IF(AND([6]RESUMEN_9°!B25=""),"",IF(OR(IFERROR([6]RESUMEN_9°!F25,0)&lt;3,IFERROR([6]RESUMEN_9°!V25,0)&lt;3),"⚠ REVISAR","OK"))</f>
        <v/>
      </c>
    </row>
    <row r="119" ht="13.95" customHeight="1" s="147">
      <c r="A119" s="106" t="inlineStr">
        <is>
          <t>9°</t>
        </is>
      </c>
      <c r="B119" s="106">
        <f>IF([1]MAESTRO!F26="","",IFERROR([6]RESUMEN_9°!A26,""))</f>
        <v/>
      </c>
      <c r="C119" s="107">
        <f>IF([1]MAESTRO!F26="","",IFERROR([6]RESUMEN_9°!B26,""))</f>
        <v/>
      </c>
      <c r="D119" s="106">
        <f>IF([6]RESUMEN_9°!B26="","",IFERROR([6]RESUMEN_9°!F26,""))</f>
        <v/>
      </c>
      <c r="E119" s="106">
        <f>IF([6]RESUMEN_9°!B26="","",IFERROR([6]RESUMEN_9°!R26,""))</f>
        <v/>
      </c>
      <c r="F119" s="106">
        <f>IF([6]RESUMEN_9°!B26="","",IFERROR('[7]Asistencia (9°)'!BI24+'[7]Asistencia (9°)'!BI67+'[7]Asistencia (9°)'!BI110,""))</f>
        <v/>
      </c>
      <c r="G119" s="106">
        <f>IF(AND([6]RESUMEN_9°!B26=""),"",IF(OR(IFERROR([6]RESUMEN_9°!F26,0)&lt;3,IFERROR([6]RESUMEN_9°!V26,0)&lt;3),"⚠ REVISAR","OK"))</f>
        <v/>
      </c>
    </row>
    <row r="120" ht="13.95" customHeight="1" s="147">
      <c r="A120" s="112" t="inlineStr">
        <is>
          <t>9°</t>
        </is>
      </c>
      <c r="B120" s="112">
        <f>IF([1]MAESTRO!F27="","",IFERROR([6]RESUMEN_9°!A27,""))</f>
        <v/>
      </c>
      <c r="C120" s="113">
        <f>IF([1]MAESTRO!F27="","",IFERROR([6]RESUMEN_9°!B27,""))</f>
        <v/>
      </c>
      <c r="D120" s="112">
        <f>IF([6]RESUMEN_9°!B27="","",IFERROR([6]RESUMEN_9°!F27,""))</f>
        <v/>
      </c>
      <c r="E120" s="112">
        <f>IF([6]RESUMEN_9°!B27="","",IFERROR([6]RESUMEN_9°!R27,""))</f>
        <v/>
      </c>
      <c r="F120" s="112">
        <f>IF([6]RESUMEN_9°!B27="","",IFERROR('[7]Asistencia (9°)'!BI25+'[7]Asistencia (9°)'!BI68+'[7]Asistencia (9°)'!BI111,""))</f>
        <v/>
      </c>
      <c r="G120" s="112">
        <f>IF(AND([6]RESUMEN_9°!B27=""),"",IF(OR(IFERROR([6]RESUMEN_9°!F27,0)&lt;3,IFERROR([6]RESUMEN_9°!V27,0)&lt;3),"⚠ REVISAR","OK"))</f>
        <v/>
      </c>
    </row>
    <row r="121" ht="13.95" customHeight="1" s="147">
      <c r="A121" s="106" t="inlineStr">
        <is>
          <t>9°</t>
        </is>
      </c>
      <c r="B121" s="106">
        <f>IF([1]MAESTRO!F28="","",IFERROR([6]RESUMEN_9°!A28,""))</f>
        <v/>
      </c>
      <c r="C121" s="107">
        <f>IF([1]MAESTRO!F28="","",IFERROR([6]RESUMEN_9°!B28,""))</f>
        <v/>
      </c>
      <c r="D121" s="106">
        <f>IF([6]RESUMEN_9°!B28="","",IFERROR([6]RESUMEN_9°!F28,""))</f>
        <v/>
      </c>
      <c r="E121" s="106">
        <f>IF([6]RESUMEN_9°!B28="","",IFERROR([6]RESUMEN_9°!R28,""))</f>
        <v/>
      </c>
      <c r="F121" s="106">
        <f>IF([6]RESUMEN_9°!B28="","",IFERROR('[7]Asistencia (9°)'!BI26+'[7]Asistencia (9°)'!BI69+'[7]Asistencia (9°)'!BI112,""))</f>
        <v/>
      </c>
      <c r="G121" s="106">
        <f>IF(AND([6]RESUMEN_9°!B28=""),"",IF(OR(IFERROR([6]RESUMEN_9°!F28,0)&lt;3,IFERROR([6]RESUMEN_9°!V28,0)&lt;3),"⚠ REVISAR","OK"))</f>
        <v/>
      </c>
    </row>
    <row r="122" ht="13.95" customHeight="1" s="147">
      <c r="A122" s="112" t="inlineStr">
        <is>
          <t>9°</t>
        </is>
      </c>
      <c r="B122" s="112">
        <f>IF([1]MAESTRO!F29="","",IFERROR([6]RESUMEN_9°!A29,""))</f>
        <v/>
      </c>
      <c r="C122" s="113">
        <f>IF([1]MAESTRO!F29="","",IFERROR([6]RESUMEN_9°!B29,""))</f>
        <v/>
      </c>
      <c r="D122" s="112">
        <f>IF([6]RESUMEN_9°!B29="","",IFERROR([6]RESUMEN_9°!F29,""))</f>
        <v/>
      </c>
      <c r="E122" s="112">
        <f>IF([6]RESUMEN_9°!B29="","",IFERROR([6]RESUMEN_9°!R29,""))</f>
        <v/>
      </c>
      <c r="F122" s="112">
        <f>IF([6]RESUMEN_9°!B29="","",IFERROR('[7]Asistencia (9°)'!BI27+'[7]Asistencia (9°)'!BI70+'[7]Asistencia (9°)'!BI113,""))</f>
        <v/>
      </c>
      <c r="G122" s="112">
        <f>IF(AND([6]RESUMEN_9°!B29=""),"",IF(OR(IFERROR([6]RESUMEN_9°!F29,0)&lt;3,IFERROR([6]RESUMEN_9°!V29,0)&lt;3),"⚠ REVISAR","OK"))</f>
        <v/>
      </c>
    </row>
    <row r="123" ht="13.95" customHeight="1" s="147">
      <c r="A123" s="106" t="inlineStr">
        <is>
          <t>9°</t>
        </is>
      </c>
      <c r="B123" s="106">
        <f>IF([1]MAESTRO!F30="","",IFERROR([6]RESUMEN_9°!A30,""))</f>
        <v/>
      </c>
      <c r="C123" s="107">
        <f>IF([1]MAESTRO!F30="","",IFERROR([6]RESUMEN_9°!B30,""))</f>
        <v/>
      </c>
      <c r="D123" s="106">
        <f>IF([6]RESUMEN_9°!B30="","",IFERROR([6]RESUMEN_9°!F30,""))</f>
        <v/>
      </c>
      <c r="E123" s="106">
        <f>IF([6]RESUMEN_9°!B30="","",IFERROR([6]RESUMEN_9°!R30,""))</f>
        <v/>
      </c>
      <c r="F123" s="106">
        <f>IF([6]RESUMEN_9°!B30="","",IFERROR('[7]Asistencia (9°)'!BI28+'[7]Asistencia (9°)'!BI71+'[7]Asistencia (9°)'!BI114,""))</f>
        <v/>
      </c>
      <c r="G123" s="106">
        <f>IF(AND([6]RESUMEN_9°!B30=""),"",IF(OR(IFERROR([6]RESUMEN_9°!F30,0)&lt;3,IFERROR([6]RESUMEN_9°!V30,0)&lt;3),"⚠ REVISAR","OK"))</f>
        <v/>
      </c>
    </row>
    <row r="124" ht="13.95" customHeight="1" s="147">
      <c r="A124" s="112" t="inlineStr">
        <is>
          <t>9°</t>
        </is>
      </c>
      <c r="B124" s="112">
        <f>IF([1]MAESTRO!F31="","",IFERROR([6]RESUMEN_9°!A31,""))</f>
        <v/>
      </c>
      <c r="C124" s="113">
        <f>IF([1]MAESTRO!F31="","",IFERROR([6]RESUMEN_9°!B31,""))</f>
        <v/>
      </c>
      <c r="D124" s="112">
        <f>IF([6]RESUMEN_9°!B31="","",IFERROR([6]RESUMEN_9°!F31,""))</f>
        <v/>
      </c>
      <c r="E124" s="112">
        <f>IF([6]RESUMEN_9°!B31="","",IFERROR([6]RESUMEN_9°!R31,""))</f>
        <v/>
      </c>
      <c r="F124" s="112">
        <f>IF([6]RESUMEN_9°!B31="","",IFERROR('[7]Asistencia (9°)'!BI29+'[7]Asistencia (9°)'!BI72+'[7]Asistencia (9°)'!BI115,""))</f>
        <v/>
      </c>
      <c r="G124" s="112">
        <f>IF(AND([6]RESUMEN_9°!B31=""),"",IF(OR(IFERROR([6]RESUMEN_9°!F31,0)&lt;3,IFERROR([6]RESUMEN_9°!V31,0)&lt;3),"⚠ REVISAR","OK"))</f>
        <v/>
      </c>
    </row>
    <row r="125" ht="13.95" customHeight="1" s="147">
      <c r="A125" s="106" t="inlineStr">
        <is>
          <t>9°</t>
        </is>
      </c>
      <c r="B125" s="106">
        <f>IF([1]MAESTRO!F32="","",IFERROR([6]RESUMEN_9°!A32,""))</f>
        <v/>
      </c>
      <c r="C125" s="107">
        <f>IF([1]MAESTRO!F32="","",IFERROR([6]RESUMEN_9°!B32,""))</f>
        <v/>
      </c>
      <c r="D125" s="106">
        <f>IF([6]RESUMEN_9°!B32="","",IFERROR([6]RESUMEN_9°!F32,""))</f>
        <v/>
      </c>
      <c r="E125" s="106">
        <f>IF([6]RESUMEN_9°!B32="","",IFERROR([6]RESUMEN_9°!R32,""))</f>
        <v/>
      </c>
      <c r="F125" s="106">
        <f>IF([6]RESUMEN_9°!B32="","",IFERROR('[7]Asistencia (9°)'!BI30+'[7]Asistencia (9°)'!BI73+'[7]Asistencia (9°)'!BI116,""))</f>
        <v/>
      </c>
      <c r="G125" s="106">
        <f>IF(AND([6]RESUMEN_9°!B32=""),"",IF(OR(IFERROR([6]RESUMEN_9°!F32,0)&lt;3,IFERROR([6]RESUMEN_9°!V32,0)&lt;3),"⚠ REVISAR","OK"))</f>
        <v/>
      </c>
    </row>
    <row r="126" ht="13.95" customHeight="1" s="147">
      <c r="A126" s="112" t="inlineStr">
        <is>
          <t>9°</t>
        </is>
      </c>
      <c r="B126" s="112">
        <f>IF([1]MAESTRO!F33="","",IFERROR([6]RESUMEN_9°!A33,""))</f>
        <v/>
      </c>
      <c r="C126" s="113">
        <f>IF([1]MAESTRO!F33="","",IFERROR([6]RESUMEN_9°!B33,""))</f>
        <v/>
      </c>
      <c r="D126" s="112">
        <f>IF([6]RESUMEN_9°!B33="","",IFERROR([6]RESUMEN_9°!F33,""))</f>
        <v/>
      </c>
      <c r="E126" s="112">
        <f>IF([6]RESUMEN_9°!B33="","",IFERROR([6]RESUMEN_9°!R33,""))</f>
        <v/>
      </c>
      <c r="F126" s="112">
        <f>IF([6]RESUMEN_9°!B33="","",IFERROR('[7]Asistencia (9°)'!BI31+'[7]Asistencia (9°)'!BI74+'[7]Asistencia (9°)'!BI117,""))</f>
        <v/>
      </c>
      <c r="G126" s="112">
        <f>IF(AND([6]RESUMEN_9°!B33=""),"",IF(OR(IFERROR([6]RESUMEN_9°!F33,0)&lt;3,IFERROR([6]RESUMEN_9°!V33,0)&lt;3),"⚠ REVISAR","OK"))</f>
        <v/>
      </c>
    </row>
    <row r="127" ht="13.95" customHeight="1" s="147">
      <c r="A127" s="106" t="inlineStr">
        <is>
          <t>9°</t>
        </is>
      </c>
      <c r="B127" s="106">
        <f>IF([1]MAESTRO!F34="","",IFERROR([6]RESUMEN_9°!A34,""))</f>
        <v/>
      </c>
      <c r="C127" s="107">
        <f>IF([1]MAESTRO!F34="","",IFERROR([6]RESUMEN_9°!B34,""))</f>
        <v/>
      </c>
      <c r="D127" s="106">
        <f>IF([6]RESUMEN_9°!B34="","",IFERROR([6]RESUMEN_9°!F34,""))</f>
        <v/>
      </c>
      <c r="E127" s="106">
        <f>IF([6]RESUMEN_9°!B34="","",IFERROR([6]RESUMEN_9°!R34,""))</f>
        <v/>
      </c>
      <c r="F127" s="106">
        <f>IF([6]RESUMEN_9°!B34="","",IFERROR('[7]Asistencia (9°)'!BI32+'[7]Asistencia (9°)'!BI75+'[7]Asistencia (9°)'!BI118,""))</f>
        <v/>
      </c>
      <c r="G127" s="106">
        <f>IF(AND([6]RESUMEN_9°!B34=""),"",IF(OR(IFERROR([6]RESUMEN_9°!F34,0)&lt;3,IFERROR([6]RESUMEN_9°!V34,0)&lt;3),"⚠ REVISAR","OK"))</f>
        <v/>
      </c>
    </row>
    <row r="128" ht="13.95" customHeight="1" s="147">
      <c r="A128" s="112" t="inlineStr">
        <is>
          <t>9°</t>
        </is>
      </c>
      <c r="B128" s="112">
        <f>IF([1]MAESTRO!F35="","",IFERROR([6]RESUMEN_9°!A35,""))</f>
        <v/>
      </c>
      <c r="C128" s="113">
        <f>IF([1]MAESTRO!F35="","",IFERROR([6]RESUMEN_9°!B35,""))</f>
        <v/>
      </c>
      <c r="D128" s="112">
        <f>IF([6]RESUMEN_9°!B35="","",IFERROR([6]RESUMEN_9°!F35,""))</f>
        <v/>
      </c>
      <c r="E128" s="112">
        <f>IF([6]RESUMEN_9°!B35="","",IFERROR([6]RESUMEN_9°!R35,""))</f>
        <v/>
      </c>
      <c r="F128" s="112">
        <f>IF([6]RESUMEN_9°!B35="","",IFERROR('[7]Asistencia (9°)'!BI33+'[7]Asistencia (9°)'!BI76+'[7]Asistencia (9°)'!BI119,""))</f>
        <v/>
      </c>
      <c r="G128" s="112">
        <f>IF(AND([6]RESUMEN_9°!B35=""),"",IF(OR(IFERROR([6]RESUMEN_9°!F35,0)&lt;3,IFERROR([6]RESUMEN_9°!V35,0)&lt;3),"⚠ REVISAR","OK"))</f>
        <v/>
      </c>
    </row>
    <row r="129" ht="13.95" customHeight="1" s="147">
      <c r="A129" s="106" t="inlineStr">
        <is>
          <t>9°</t>
        </is>
      </c>
      <c r="B129" s="106">
        <f>IF([1]MAESTRO!F36="","",IFERROR([6]RESUMEN_9°!A36,""))</f>
        <v/>
      </c>
      <c r="C129" s="107">
        <f>IF([1]MAESTRO!F36="","",IFERROR([6]RESUMEN_9°!B36,""))</f>
        <v/>
      </c>
      <c r="D129" s="106">
        <f>IF([6]RESUMEN_9°!B36="","",IFERROR([6]RESUMEN_9°!F36,""))</f>
        <v/>
      </c>
      <c r="E129" s="106">
        <f>IF([6]RESUMEN_9°!B36="","",IFERROR([6]RESUMEN_9°!R36,""))</f>
        <v/>
      </c>
      <c r="F129" s="106">
        <f>IF([6]RESUMEN_9°!B36="","",IFERROR('[7]Asistencia (9°)'!BI34+'[7]Asistencia (9°)'!BI77+'[7]Asistencia (9°)'!BI120,""))</f>
        <v/>
      </c>
      <c r="G129" s="106">
        <f>IF(AND([6]RESUMEN_9°!B36=""),"",IF(OR(IFERROR([6]RESUMEN_9°!F36,0)&lt;3,IFERROR([6]RESUMEN_9°!V36,0)&lt;3),"⚠ REVISAR","OK"))</f>
        <v/>
      </c>
    </row>
    <row r="130" ht="13.95" customHeight="1" s="147">
      <c r="A130" s="112" t="inlineStr">
        <is>
          <t>9°</t>
        </is>
      </c>
      <c r="B130" s="112">
        <f>IF([1]MAESTRO!F37="","",IFERROR([6]RESUMEN_9°!A37,""))</f>
        <v/>
      </c>
      <c r="C130" s="113">
        <f>IF([1]MAESTRO!F37="","",IFERROR([6]RESUMEN_9°!B37,""))</f>
        <v/>
      </c>
      <c r="D130" s="112">
        <f>IF([6]RESUMEN_9°!B37="","",IFERROR([6]RESUMEN_9°!F37,""))</f>
        <v/>
      </c>
      <c r="E130" s="112">
        <f>IF([6]RESUMEN_9°!B37="","",IFERROR([6]RESUMEN_9°!R37,""))</f>
        <v/>
      </c>
      <c r="F130" s="112">
        <f>IF([6]RESUMEN_9°!B37="","",IFERROR('[7]Asistencia (9°)'!BI35+'[7]Asistencia (9°)'!BI78+'[7]Asistencia (9°)'!BI121,""))</f>
        <v/>
      </c>
      <c r="G130" s="112">
        <f>IF(AND([6]RESUMEN_9°!B37=""),"",IF(OR(IFERROR([6]RESUMEN_9°!F37,0)&lt;3,IFERROR([6]RESUMEN_9°!V37,0)&lt;3),"⚠ REVISAR","OK"))</f>
        <v/>
      </c>
    </row>
    <row r="131" ht="13.95" customHeight="1" s="147">
      <c r="A131" s="106" t="inlineStr">
        <is>
          <t>9°</t>
        </is>
      </c>
      <c r="B131" s="106">
        <f>IF([1]MAESTRO!F38="","",IFERROR([6]RESUMEN_9°!A38,""))</f>
        <v/>
      </c>
      <c r="C131" s="107">
        <f>IF([1]MAESTRO!F38="","",IFERROR([6]RESUMEN_9°!B38,""))</f>
        <v/>
      </c>
      <c r="D131" s="106">
        <f>IF([6]RESUMEN_9°!B38="","",IFERROR([6]RESUMEN_9°!F38,""))</f>
        <v/>
      </c>
      <c r="E131" s="106">
        <f>IF([6]RESUMEN_9°!B38="","",IFERROR([6]RESUMEN_9°!R38,""))</f>
        <v/>
      </c>
      <c r="F131" s="106">
        <f>IF([6]RESUMEN_9°!B38="","",IFERROR('[7]Asistencia (9°)'!BI36+'[7]Asistencia (9°)'!BI79+'[7]Asistencia (9°)'!BI122,""))</f>
        <v/>
      </c>
      <c r="G131" s="106">
        <f>IF(AND([6]RESUMEN_9°!B38=""),"",IF(OR(IFERROR([6]RESUMEN_9°!F38,0)&lt;3,IFERROR([6]RESUMEN_9°!V38,0)&lt;3),"⚠ REVISAR","OK"))</f>
        <v/>
      </c>
    </row>
    <row r="132" ht="13.95" customHeight="1" s="147">
      <c r="A132" s="112" t="inlineStr">
        <is>
          <t>9°</t>
        </is>
      </c>
      <c r="B132" s="112">
        <f>IF([1]MAESTRO!F39="","",IFERROR([6]RESUMEN_9°!A39,""))</f>
        <v/>
      </c>
      <c r="C132" s="113">
        <f>IF([1]MAESTRO!F39="","",IFERROR([6]RESUMEN_9°!B39,""))</f>
        <v/>
      </c>
      <c r="D132" s="112">
        <f>IF([6]RESUMEN_9°!B39="","",IFERROR([6]RESUMEN_9°!F39,""))</f>
        <v/>
      </c>
      <c r="E132" s="112">
        <f>IF([6]RESUMEN_9°!B39="","",IFERROR([6]RESUMEN_9°!R39,""))</f>
        <v/>
      </c>
      <c r="F132" s="112">
        <f>IF([6]RESUMEN_9°!B39="","",IFERROR('[7]Asistencia (9°)'!BI37+'[7]Asistencia (9°)'!BI80+'[7]Asistencia (9°)'!BI123,""))</f>
        <v/>
      </c>
      <c r="G132" s="112">
        <f>IF(AND([6]RESUMEN_9°!B39=""),"",IF(OR(IFERROR([6]RESUMEN_9°!F39,0)&lt;3,IFERROR([6]RESUMEN_9°!V39,0)&lt;3),"⚠ REVISAR","OK"))</f>
        <v/>
      </c>
    </row>
    <row r="133" ht="13.95" customHeight="1" s="147">
      <c r="A133" s="106" t="inlineStr">
        <is>
          <t>9°</t>
        </is>
      </c>
      <c r="B133" s="106">
        <f>IF([1]MAESTRO!F40="","",IFERROR([6]RESUMEN_9°!A40,""))</f>
        <v/>
      </c>
      <c r="C133" s="107">
        <f>IF([1]MAESTRO!F40="","",IFERROR([6]RESUMEN_9°!B40,""))</f>
        <v/>
      </c>
      <c r="D133" s="106">
        <f>IF([6]RESUMEN_9°!B40="","",IFERROR([6]RESUMEN_9°!F40,""))</f>
        <v/>
      </c>
      <c r="E133" s="106">
        <f>IF([6]RESUMEN_9°!B40="","",IFERROR([6]RESUMEN_9°!R40,""))</f>
        <v/>
      </c>
      <c r="F133" s="106">
        <f>IF([6]RESUMEN_9°!B40="","",IFERROR('[7]Asistencia (9°)'!BI38+'[7]Asistencia (9°)'!BI81+'[7]Asistencia (9°)'!BI124,""))</f>
        <v/>
      </c>
      <c r="G133" s="106">
        <f>IF(AND([6]RESUMEN_9°!B40=""),"",IF(OR(IFERROR([6]RESUMEN_9°!F40,0)&lt;3,IFERROR([6]RESUMEN_9°!V40,0)&lt;3),"⚠ REVISAR","OK"))</f>
        <v/>
      </c>
    </row>
    <row r="134" ht="13.95" customHeight="1" s="147">
      <c r="A134" s="112" t="inlineStr">
        <is>
          <t>9°</t>
        </is>
      </c>
      <c r="B134" s="112">
        <f>IF([1]MAESTRO!F41="","",IFERROR([6]RESUMEN_9°!A41,""))</f>
        <v/>
      </c>
      <c r="C134" s="113">
        <f>IF([1]MAESTRO!F41="","",IFERROR([6]RESUMEN_9°!B41,""))</f>
        <v/>
      </c>
      <c r="D134" s="112">
        <f>IF([6]RESUMEN_9°!B41="","",IFERROR([6]RESUMEN_9°!F41,""))</f>
        <v/>
      </c>
      <c r="E134" s="112">
        <f>IF([6]RESUMEN_9°!B41="","",IFERROR([6]RESUMEN_9°!R41,""))</f>
        <v/>
      </c>
      <c r="F134" s="112">
        <f>IF([6]RESUMEN_9°!B41="","",IFERROR('[7]Asistencia (9°)'!BI39+'[7]Asistencia (9°)'!BI82+'[7]Asistencia (9°)'!BI125,""))</f>
        <v/>
      </c>
      <c r="G134" s="112">
        <f>IF(AND([6]RESUMEN_9°!B41=""),"",IF(OR(IFERROR([6]RESUMEN_9°!F41,0)&lt;3,IFERROR([6]RESUMEN_9°!V41,0)&lt;3),"⚠ REVISAR","OK"))</f>
        <v/>
      </c>
    </row>
    <row r="135" ht="13.95" customHeight="1" s="147">
      <c r="A135" s="106" t="inlineStr">
        <is>
          <t>9°</t>
        </is>
      </c>
      <c r="B135" s="106">
        <f>IF([1]MAESTRO!F42="","",IFERROR([6]RESUMEN_9°!A42,""))</f>
        <v/>
      </c>
      <c r="C135" s="107">
        <f>IF([1]MAESTRO!F42="","",IFERROR([6]RESUMEN_9°!B42,""))</f>
        <v/>
      </c>
      <c r="D135" s="106">
        <f>IF([6]RESUMEN_9°!B42="","",IFERROR([6]RESUMEN_9°!F42,""))</f>
        <v/>
      </c>
      <c r="E135" s="106">
        <f>IF([6]RESUMEN_9°!B42="","",IFERROR([6]RESUMEN_9°!R42,""))</f>
        <v/>
      </c>
      <c r="F135" s="106">
        <f>IF([6]RESUMEN_9°!B42="","",IFERROR('[7]Asistencia (9°)'!BI40+'[7]Asistencia (9°)'!BI83+'[7]Asistencia (9°)'!BI126,""))</f>
        <v/>
      </c>
      <c r="G135" s="106">
        <f>IF(AND([6]RESUMEN_9°!B42=""),"",IF(OR(IFERROR([6]RESUMEN_9°!F42,0)&lt;3,IFERROR([6]RESUMEN_9°!V42,0)&lt;3),"⚠ REVISAR","OK"))</f>
        <v/>
      </c>
    </row>
    <row r="136" ht="13.95" customHeight="1" s="147">
      <c r="A136" s="112" t="inlineStr">
        <is>
          <t>9°</t>
        </is>
      </c>
      <c r="B136" s="112">
        <f>IF([1]MAESTRO!F43="","",IFERROR([6]RESUMEN_9°!A43,""))</f>
        <v/>
      </c>
      <c r="C136" s="113">
        <f>IF([1]MAESTRO!F43="","",IFERROR([6]RESUMEN_9°!B43,""))</f>
        <v/>
      </c>
      <c r="D136" s="112">
        <f>IF([6]RESUMEN_9°!B43="","",IFERROR([6]RESUMEN_9°!F43,""))</f>
        <v/>
      </c>
      <c r="E136" s="112">
        <f>IF([6]RESUMEN_9°!B43="","",IFERROR([6]RESUMEN_9°!R43,""))</f>
        <v/>
      </c>
      <c r="F136" s="112">
        <f>IF([6]RESUMEN_9°!B43="","",IFERROR('[7]Asistencia (9°)'!BI41+'[7]Asistencia (9°)'!BI84+'[7]Asistencia (9°)'!BI127,""))</f>
        <v/>
      </c>
      <c r="G136" s="112">
        <f>IF(AND([6]RESUMEN_9°!B43=""),"",IF(OR(IFERROR([6]RESUMEN_9°!F43,0)&lt;3,IFERROR([6]RESUMEN_9°!V43,0)&lt;3),"⚠ REVISAR","OK"))</f>
        <v/>
      </c>
    </row>
    <row r="137" ht="13.95" customHeight="1" s="147">
      <c r="A137" s="106" t="inlineStr">
        <is>
          <t>9°</t>
        </is>
      </c>
      <c r="B137" s="106">
        <f>IF([1]MAESTRO!F44="","",IFERROR([6]RESUMEN_9°!A44,""))</f>
        <v/>
      </c>
      <c r="C137" s="107">
        <f>IF([1]MAESTRO!F44="","",IFERROR([6]RESUMEN_9°!B44,""))</f>
        <v/>
      </c>
      <c r="D137" s="106">
        <f>IF([6]RESUMEN_9°!B44="","",IFERROR([6]RESUMEN_9°!F44,""))</f>
        <v/>
      </c>
      <c r="E137" s="106">
        <f>IF([6]RESUMEN_9°!B44="","",IFERROR([6]RESUMEN_9°!R44,""))</f>
        <v/>
      </c>
      <c r="F137" s="106">
        <f>IF([6]RESUMEN_9°!B44="","",IFERROR('[7]Asistencia (9°)'!BI42+'[7]Asistencia (9°)'!BI85+'[7]Asistencia (9°)'!BI128,""))</f>
        <v/>
      </c>
      <c r="G137" s="106">
        <f>IF(AND([6]RESUMEN_9°!B44=""),"",IF(OR(IFERROR([6]RESUMEN_9°!F44,0)&lt;3,IFERROR([6]RESUMEN_9°!V44,0)&lt;3),"⚠ REVISAR","OK"))</f>
        <v/>
      </c>
    </row>
  </sheetData>
  <mergeCells count="2">
    <mergeCell ref="A16:H18"/>
    <mergeCell ref="A1:N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52"/>
  <sheetViews>
    <sheetView workbookViewId="0">
      <selection activeCell="A1" sqref="A1"/>
    </sheetView>
  </sheetViews>
  <sheetFormatPr baseColWidth="10" defaultColWidth="8.88671875" defaultRowHeight="14.4"/>
  <cols>
    <col width="5" customWidth="1" style="147" min="1" max="1"/>
    <col width="8" customWidth="1" style="147" min="2" max="2"/>
    <col width="30" customWidth="1" style="147" min="3" max="3"/>
    <col width="10" customWidth="1" style="147" min="4" max="4"/>
    <col width="12" customWidth="1" style="147" min="5" max="5"/>
    <col width="25" customWidth="1" style="147" min="6" max="6"/>
  </cols>
  <sheetData>
    <row r="1" ht="24" customHeight="1" s="147">
      <c r="A1" s="250" t="inlineStr">
        <is>
          <t>MINISTERIO DE EDUCACIÓN DE PANAMÁ</t>
        </is>
      </c>
      <c r="B1" s="193" t="n"/>
      <c r="C1" s="193" t="n"/>
      <c r="D1" s="193" t="n"/>
      <c r="E1" s="193" t="n"/>
      <c r="F1" s="193" t="n"/>
      <c r="G1" s="193" t="n"/>
      <c r="H1" s="193" t="n"/>
      <c r="I1" s="193" t="n"/>
      <c r="J1" s="193" t="n"/>
      <c r="K1" s="193" t="n"/>
      <c r="L1" s="193" t="n"/>
      <c r="M1" s="193" t="n"/>
      <c r="N1" s="193" t="n"/>
      <c r="O1" s="193" t="n"/>
      <c r="P1" s="194" t="n"/>
    </row>
    <row r="2" ht="19.95" customHeight="1" s="147">
      <c r="A2" s="254" t="inlineStr">
        <is>
          <t>ESCUELA CERRO CACICÓN — COMARCA NGÄBE BUGLÉ</t>
        </is>
      </c>
      <c r="B2" s="193" t="n"/>
      <c r="C2" s="193" t="n"/>
      <c r="D2" s="193" t="n"/>
      <c r="E2" s="193" t="n"/>
      <c r="F2" s="193" t="n"/>
      <c r="G2" s="193" t="n"/>
      <c r="H2" s="193" t="n"/>
      <c r="I2" s="193" t="n"/>
      <c r="J2" s="193" t="n"/>
      <c r="K2" s="193" t="n"/>
      <c r="L2" s="193" t="n"/>
      <c r="M2" s="193" t="n"/>
      <c r="N2" s="193" t="n"/>
      <c r="O2" s="193" t="n"/>
      <c r="P2" s="194" t="n"/>
    </row>
    <row r="3" ht="19.95" customHeight="1" s="147">
      <c r="A3" s="253" t="inlineStr">
        <is>
          <t>INFORME ACADÉMICO GENERAL — AÑO LECTIVO 2026</t>
        </is>
      </c>
      <c r="B3" s="193" t="n"/>
      <c r="C3" s="193" t="n"/>
      <c r="D3" s="193" t="n"/>
      <c r="E3" s="193" t="n"/>
      <c r="F3" s="193" t="n"/>
      <c r="G3" s="193" t="n"/>
      <c r="H3" s="193" t="n"/>
      <c r="I3" s="193" t="n"/>
      <c r="J3" s="193" t="n"/>
      <c r="K3" s="193" t="n"/>
      <c r="L3" s="193" t="n"/>
      <c r="M3" s="193" t="n"/>
      <c r="N3" s="193" t="n"/>
      <c r="O3" s="193" t="n"/>
      <c r="P3" s="194" t="n"/>
    </row>
    <row r="4" ht="16.05" customHeight="1" s="147">
      <c r="A4" s="252" t="inlineStr">
        <is>
          <t>Docente: Elmer Tugri  |  Primaria Multigrado  |  Fecha: =TEXT(TODAY(),"DD/MM/YYYY")</t>
        </is>
      </c>
      <c r="B4" s="193" t="n"/>
      <c r="C4" s="193" t="n"/>
      <c r="D4" s="193" t="n"/>
      <c r="E4" s="193" t="n"/>
      <c r="F4" s="193" t="n"/>
      <c r="G4" s="193" t="n"/>
      <c r="H4" s="193" t="n"/>
      <c r="I4" s="193" t="n"/>
      <c r="J4" s="193" t="n"/>
      <c r="K4" s="193" t="n"/>
      <c r="L4" s="193" t="n"/>
      <c r="M4" s="193" t="n"/>
      <c r="N4" s="193" t="n"/>
      <c r="O4" s="193" t="n"/>
      <c r="P4" s="194" t="n"/>
    </row>
    <row r="6" ht="19.95" customHeight="1" s="147">
      <c r="A6" s="247" t="inlineStr">
        <is>
          <t>1. MATRÍCULA GENERAL</t>
        </is>
      </c>
      <c r="B6" s="193" t="n"/>
      <c r="C6" s="193" t="n"/>
      <c r="D6" s="193" t="n"/>
      <c r="E6" s="193" t="n"/>
      <c r="F6" s="193" t="n"/>
      <c r="G6" s="193" t="n"/>
      <c r="H6" s="193" t="n"/>
      <c r="I6" s="193" t="n"/>
      <c r="J6" s="193" t="n"/>
      <c r="K6" s="193" t="n"/>
      <c r="L6" s="193" t="n"/>
      <c r="M6" s="193" t="n"/>
      <c r="N6" s="193" t="n"/>
      <c r="O6" s="193" t="n"/>
      <c r="P6" s="194" t="n"/>
    </row>
    <row r="7" ht="18" customHeight="1" s="147">
      <c r="A7" s="114" t="inlineStr">
        <is>
          <t>GRADO</t>
        </is>
      </c>
      <c r="B7" s="114" t="inlineStr">
        <is>
          <t>TOTAL MATRICULADOS</t>
        </is>
      </c>
      <c r="C7" s="114" t="inlineStr">
        <is>
          <t>HOMBRES</t>
        </is>
      </c>
      <c r="D7" s="114" t="inlineStr">
        <is>
          <t>MUJERES</t>
        </is>
      </c>
    </row>
    <row r="8" ht="16.05" customHeight="1" s="147">
      <c r="A8" s="115" t="inlineStr">
        <is>
          <t>1°</t>
        </is>
      </c>
      <c r="B8" s="116">
        <f>IFERROR(COUNTA('MAESTRO 1°'!B5:B48),"")</f>
        <v/>
      </c>
      <c r="C8" s="259" t="n"/>
      <c r="D8" s="259" t="n"/>
    </row>
    <row r="9" ht="16.05" customHeight="1" s="147">
      <c r="A9" s="118" t="n"/>
      <c r="B9" s="119" t="n"/>
      <c r="C9" s="260" t="n"/>
      <c r="D9" s="260" t="n"/>
    </row>
    <row r="10" ht="16.05" customHeight="1" s="147">
      <c r="A10" s="115" t="n"/>
      <c r="B10" s="116" t="n"/>
      <c r="C10" s="259" t="n"/>
      <c r="D10" s="259" t="n"/>
    </row>
    <row r="11" ht="18" customHeight="1" s="147">
      <c r="A11" s="90" t="inlineStr">
        <is>
          <t>TOTAL GENERAL</t>
        </is>
      </c>
      <c r="B11" s="121">
        <f>IFERROR(COUNTA('MAESTRO 1°'!B5:B48),"")</f>
        <v/>
      </c>
      <c r="C11" s="122" t="n"/>
      <c r="D11" s="122" t="n"/>
    </row>
    <row r="13" ht="19.95" customHeight="1" s="147">
      <c r="A13" s="247" t="inlineStr">
        <is>
          <t>2. RENDIMIENTO ACADÉMICO POR GRADO</t>
        </is>
      </c>
      <c r="B13" s="193" t="n"/>
      <c r="C13" s="193" t="n"/>
      <c r="D13" s="193" t="n"/>
      <c r="E13" s="193" t="n"/>
      <c r="F13" s="193" t="n"/>
      <c r="G13" s="193" t="n"/>
      <c r="H13" s="193" t="n"/>
      <c r="I13" s="193" t="n"/>
      <c r="J13" s="193" t="n"/>
      <c r="K13" s="193" t="n"/>
      <c r="L13" s="193" t="n"/>
      <c r="M13" s="193" t="n"/>
      <c r="N13" s="193" t="n"/>
      <c r="O13" s="193" t="n"/>
      <c r="P13" s="194" t="n"/>
    </row>
    <row r="14" ht="30" customHeight="1" s="147">
      <c r="A14" s="114" t="inlineStr">
        <is>
          <t>GRADO</t>
        </is>
      </c>
      <c r="B14" s="114" t="inlineStr">
        <is>
          <t>MATRICULADOS</t>
        </is>
      </c>
      <c r="C14" s="114" t="inlineStr">
        <is>
          <t>APROBADOS</t>
        </is>
      </c>
      <c r="D14" s="114" t="inlineStr">
        <is>
          <t>REPROBADOS</t>
        </is>
      </c>
      <c r="E14" s="114" t="inlineStr">
        <is>
          <t>% APROBACIÓN</t>
        </is>
      </c>
      <c r="F14" s="114" t="inlineStr">
        <is>
          <t>PROMEDIO INGLÉS</t>
        </is>
      </c>
      <c r="G14" s="114" t="inlineStr">
        <is>
          <t>PROMEDIO TECNOLOGÍA</t>
        </is>
      </c>
    </row>
    <row r="15" ht="16.05" customHeight="1" s="147">
      <c r="A15" s="115" t="inlineStr">
        <is>
          <t>1°</t>
        </is>
      </c>
      <c r="B15" s="123">
        <f>IFERROR(COUNTA('MAESTRO 1°'!B5:B48),"")</f>
        <v/>
      </c>
      <c r="C15" s="123">
        <f>COUNTIF(RESUMEN_1°!L5:L48,"✓ APROBADO")</f>
        <v/>
      </c>
      <c r="D15" s="123">
        <f>COUNTIF(RESUMEN_1°!L5:L48,"✗ REPROBADO")</f>
        <v/>
      </c>
      <c r="E15" s="192">
        <f>IFERROR(ROUND(C15/B15*100,1)&amp;"%","")</f>
        <v/>
      </c>
      <c r="F15" s="192">
        <f>IFERROR(ROUND(AVERAGEIF('PROM (Ingles 1°)'!AE5:AE48,"&lt;&gt;"&amp;""),1),"")</f>
        <v/>
      </c>
      <c r="G15" s="192" t="n"/>
    </row>
    <row r="16" ht="16.05" customHeight="1" s="147">
      <c r="A16" s="118" t="n"/>
      <c r="B16" s="124" t="n"/>
      <c r="C16" s="124" t="n"/>
      <c r="D16" s="124" t="n"/>
      <c r="E16" s="196" t="n"/>
      <c r="F16" s="196" t="n"/>
      <c r="G16" s="196" t="n"/>
    </row>
    <row r="17" ht="16.05" customHeight="1" s="147">
      <c r="A17" s="115" t="n"/>
      <c r="B17" s="123" t="n"/>
      <c r="C17" s="123" t="n"/>
      <c r="D17" s="123" t="n"/>
      <c r="E17" s="192" t="n"/>
      <c r="F17" s="192" t="n"/>
      <c r="G17" s="192" t="n"/>
    </row>
    <row r="19" ht="19.95" customHeight="1" s="147">
      <c r="A19" s="253" t="inlineStr">
        <is>
          <t>3. ESTUDIANTES CON DEFICIENCIAS (NOTA FINAL &lt;3.0)</t>
        </is>
      </c>
      <c r="B19" s="193" t="n"/>
      <c r="C19" s="193" t="n"/>
      <c r="D19" s="193" t="n"/>
      <c r="E19" s="193" t="n"/>
      <c r="F19" s="193" t="n"/>
      <c r="G19" s="193" t="n"/>
      <c r="H19" s="193" t="n"/>
      <c r="I19" s="193" t="n"/>
      <c r="J19" s="193" t="n"/>
      <c r="K19" s="193" t="n"/>
      <c r="L19" s="193" t="n"/>
      <c r="M19" s="193" t="n"/>
      <c r="N19" s="193" t="n"/>
      <c r="O19" s="193" t="n"/>
      <c r="P19" s="194" t="n"/>
    </row>
    <row r="20" ht="18" customHeight="1" s="147">
      <c r="A20" s="125" t="inlineStr">
        <is>
          <t>No.</t>
        </is>
      </c>
      <c r="B20" s="125" t="inlineStr">
        <is>
          <t>GRADO</t>
        </is>
      </c>
      <c r="C20" s="125" t="inlineStr">
        <is>
          <t>APELLIDO, NOMBRE</t>
        </is>
      </c>
      <c r="D20" s="125" t="inlineStr">
        <is>
          <t>INGLÉS</t>
        </is>
      </c>
      <c r="E20" s="125" t="inlineStr">
        <is>
          <t>TECNOLOGÍA</t>
        </is>
      </c>
      <c r="F20" s="125" t="inlineStr">
        <is>
          <t>OBSERVACIONES</t>
        </is>
      </c>
    </row>
    <row r="21" ht="13.95" customHeight="1" s="147">
      <c r="A21" s="192">
        <f>IF(DASHBOARD!G19="⚠ REVISAR",1,"")</f>
        <v/>
      </c>
      <c r="B21" s="192">
        <f>IF(DASHBOARD!G19="⚠ REVISAR",DASHBOARD!A19,"")</f>
        <v/>
      </c>
      <c r="C21" s="85">
        <f>IF(DASHBOARD!G19="⚠ REVISAR",DASHBOARD!C19,"")</f>
        <v/>
      </c>
      <c r="D21" s="192">
        <f>IF(DASHBOARD!G19="⚠ REVISAR",DASHBOARD!D19,"")</f>
        <v/>
      </c>
      <c r="E21" s="192">
        <f>IF(DASHBOARD!G19="⚠ REVISAR",DASHBOARD!E19,"")</f>
        <v/>
      </c>
      <c r="F21" s="192" t="n"/>
    </row>
    <row r="22" ht="13.95" customHeight="1" s="147">
      <c r="A22" s="196">
        <f>IF(DASHBOARD!G20="⚠ REVISAR",2,"")</f>
        <v/>
      </c>
      <c r="B22" s="196">
        <f>IF(DASHBOARD!G20="⚠ REVISAR",DASHBOARD!A20,"")</f>
        <v/>
      </c>
      <c r="C22" s="87">
        <f>IF(DASHBOARD!G20="⚠ REVISAR",DASHBOARD!C20,"")</f>
        <v/>
      </c>
      <c r="D22" s="196">
        <f>IF(DASHBOARD!G20="⚠ REVISAR",DASHBOARD!D20,"")</f>
        <v/>
      </c>
      <c r="E22" s="196">
        <f>IF(DASHBOARD!G20="⚠ REVISAR",DASHBOARD!E20,"")</f>
        <v/>
      </c>
      <c r="F22" s="196" t="n"/>
    </row>
    <row r="23" ht="13.95" customHeight="1" s="147">
      <c r="A23" s="192">
        <f>IF(DASHBOARD!G21="⚠ REVISAR",3,"")</f>
        <v/>
      </c>
      <c r="B23" s="192">
        <f>IF(DASHBOARD!G21="⚠ REVISAR",DASHBOARD!A21,"")</f>
        <v/>
      </c>
      <c r="C23" s="85">
        <f>IF(DASHBOARD!G21="⚠ REVISAR",DASHBOARD!C21,"")</f>
        <v/>
      </c>
      <c r="D23" s="192">
        <f>IF(DASHBOARD!G21="⚠ REVISAR",DASHBOARD!D21,"")</f>
        <v/>
      </c>
      <c r="E23" s="192">
        <f>IF(DASHBOARD!G21="⚠ REVISAR",DASHBOARD!E21,"")</f>
        <v/>
      </c>
      <c r="F23" s="192" t="n"/>
    </row>
    <row r="24" ht="13.95" customHeight="1" s="147">
      <c r="A24" s="196">
        <f>IF(DASHBOARD!G22="⚠ REVISAR",4,"")</f>
        <v/>
      </c>
      <c r="B24" s="196">
        <f>IF(DASHBOARD!G22="⚠ REVISAR",DASHBOARD!A22,"")</f>
        <v/>
      </c>
      <c r="C24" s="87">
        <f>IF(DASHBOARD!G22="⚠ REVISAR",DASHBOARD!C22,"")</f>
        <v/>
      </c>
      <c r="D24" s="196">
        <f>IF(DASHBOARD!G22="⚠ REVISAR",DASHBOARD!D22,"")</f>
        <v/>
      </c>
      <c r="E24" s="196">
        <f>IF(DASHBOARD!G22="⚠ REVISAR",DASHBOARD!E22,"")</f>
        <v/>
      </c>
      <c r="F24" s="196" t="n"/>
    </row>
    <row r="25" ht="13.95" customHeight="1" s="147">
      <c r="A25" s="192">
        <f>IF(DASHBOARD!G23="⚠ REVISAR",5,"")</f>
        <v/>
      </c>
      <c r="B25" s="192">
        <f>IF(DASHBOARD!G23="⚠ REVISAR",DASHBOARD!A23,"")</f>
        <v/>
      </c>
      <c r="C25" s="85">
        <f>IF(DASHBOARD!G23="⚠ REVISAR",DASHBOARD!C23,"")</f>
        <v/>
      </c>
      <c r="D25" s="192">
        <f>IF(DASHBOARD!G23="⚠ REVISAR",DASHBOARD!D23,"")</f>
        <v/>
      </c>
      <c r="E25" s="192">
        <f>IF(DASHBOARD!G23="⚠ REVISAR",DASHBOARD!E23,"")</f>
        <v/>
      </c>
      <c r="F25" s="192" t="n"/>
    </row>
    <row r="26" ht="13.95" customHeight="1" s="147">
      <c r="A26" s="196">
        <f>IF(DASHBOARD!G24="⚠ REVISAR",6,"")</f>
        <v/>
      </c>
      <c r="B26" s="196">
        <f>IF(DASHBOARD!G24="⚠ REVISAR",DASHBOARD!A24,"")</f>
        <v/>
      </c>
      <c r="C26" s="87">
        <f>IF(DASHBOARD!G24="⚠ REVISAR",DASHBOARD!C24,"")</f>
        <v/>
      </c>
      <c r="D26" s="196">
        <f>IF(DASHBOARD!G24="⚠ REVISAR",DASHBOARD!D24,"")</f>
        <v/>
      </c>
      <c r="E26" s="196">
        <f>IF(DASHBOARD!G24="⚠ REVISAR",DASHBOARD!E24,"")</f>
        <v/>
      </c>
      <c r="F26" s="196" t="n"/>
    </row>
    <row r="27" ht="13.95" customHeight="1" s="147">
      <c r="A27" s="192">
        <f>IF(DASHBOARD!G25="⚠ REVISAR",7,"")</f>
        <v/>
      </c>
      <c r="B27" s="192">
        <f>IF(DASHBOARD!G25="⚠ REVISAR",DASHBOARD!A25,"")</f>
        <v/>
      </c>
      <c r="C27" s="85">
        <f>IF(DASHBOARD!G25="⚠ REVISAR",DASHBOARD!C25,"")</f>
        <v/>
      </c>
      <c r="D27" s="192">
        <f>IF(DASHBOARD!G25="⚠ REVISAR",DASHBOARD!D25,"")</f>
        <v/>
      </c>
      <c r="E27" s="192">
        <f>IF(DASHBOARD!G25="⚠ REVISAR",DASHBOARD!E25,"")</f>
        <v/>
      </c>
      <c r="F27" s="192" t="n"/>
    </row>
    <row r="28" ht="13.95" customHeight="1" s="147">
      <c r="A28" s="196">
        <f>IF(DASHBOARD!G26="⚠ REVISAR",8,"")</f>
        <v/>
      </c>
      <c r="B28" s="196">
        <f>IF(DASHBOARD!G26="⚠ REVISAR",DASHBOARD!A26,"")</f>
        <v/>
      </c>
      <c r="C28" s="87">
        <f>IF(DASHBOARD!G26="⚠ REVISAR",DASHBOARD!C26,"")</f>
        <v/>
      </c>
      <c r="D28" s="196">
        <f>IF(DASHBOARD!G26="⚠ REVISAR",DASHBOARD!D26,"")</f>
        <v/>
      </c>
      <c r="E28" s="196">
        <f>IF(DASHBOARD!G26="⚠ REVISAR",DASHBOARD!E26,"")</f>
        <v/>
      </c>
      <c r="F28" s="196" t="n"/>
    </row>
    <row r="29" ht="13.95" customHeight="1" s="147">
      <c r="A29" s="192">
        <f>IF(DASHBOARD!G27="⚠ REVISAR",9,"")</f>
        <v/>
      </c>
      <c r="B29" s="192">
        <f>IF(DASHBOARD!G27="⚠ REVISAR",DASHBOARD!A27,"")</f>
        <v/>
      </c>
      <c r="C29" s="85">
        <f>IF(DASHBOARD!G27="⚠ REVISAR",DASHBOARD!C27,"")</f>
        <v/>
      </c>
      <c r="D29" s="192">
        <f>IF(DASHBOARD!G27="⚠ REVISAR",DASHBOARD!D27,"")</f>
        <v/>
      </c>
      <c r="E29" s="192">
        <f>IF(DASHBOARD!G27="⚠ REVISAR",DASHBOARD!E27,"")</f>
        <v/>
      </c>
      <c r="F29" s="192" t="n"/>
    </row>
    <row r="30" ht="13.95" customHeight="1" s="147">
      <c r="A30" s="196">
        <f>IF(DASHBOARD!G28="⚠ REVISAR",10,"")</f>
        <v/>
      </c>
      <c r="B30" s="196">
        <f>IF(DASHBOARD!G28="⚠ REVISAR",DASHBOARD!A28,"")</f>
        <v/>
      </c>
      <c r="C30" s="87">
        <f>IF(DASHBOARD!G28="⚠ REVISAR",DASHBOARD!C28,"")</f>
        <v/>
      </c>
      <c r="D30" s="196">
        <f>IF(DASHBOARD!G28="⚠ REVISAR",DASHBOARD!D28,"")</f>
        <v/>
      </c>
      <c r="E30" s="196">
        <f>IF(DASHBOARD!G28="⚠ REVISAR",DASHBOARD!E28,"")</f>
        <v/>
      </c>
      <c r="F30" s="196" t="n"/>
    </row>
    <row r="31" ht="13.95" customHeight="1" s="147">
      <c r="A31" s="192">
        <f>IF(DASHBOARD!G29="⚠ REVISAR",11,"")</f>
        <v/>
      </c>
      <c r="B31" s="192">
        <f>IF(DASHBOARD!G29="⚠ REVISAR",DASHBOARD!A29,"")</f>
        <v/>
      </c>
      <c r="C31" s="85">
        <f>IF(DASHBOARD!G29="⚠ REVISAR",DASHBOARD!C29,"")</f>
        <v/>
      </c>
      <c r="D31" s="192">
        <f>IF(DASHBOARD!G29="⚠ REVISAR",DASHBOARD!D29,"")</f>
        <v/>
      </c>
      <c r="E31" s="192">
        <f>IF(DASHBOARD!G29="⚠ REVISAR",DASHBOARD!E29,"")</f>
        <v/>
      </c>
      <c r="F31" s="192" t="n"/>
    </row>
    <row r="32" ht="13.95" customHeight="1" s="147">
      <c r="A32" s="196">
        <f>IF(DASHBOARD!G30="⚠ REVISAR",12,"")</f>
        <v/>
      </c>
      <c r="B32" s="196">
        <f>IF(DASHBOARD!G30="⚠ REVISAR",DASHBOARD!A30,"")</f>
        <v/>
      </c>
      <c r="C32" s="87">
        <f>IF(DASHBOARD!G30="⚠ REVISAR",DASHBOARD!C30,"")</f>
        <v/>
      </c>
      <c r="D32" s="196">
        <f>IF(DASHBOARD!G30="⚠ REVISAR",DASHBOARD!D30,"")</f>
        <v/>
      </c>
      <c r="E32" s="196">
        <f>IF(DASHBOARD!G30="⚠ REVISAR",DASHBOARD!E30,"")</f>
        <v/>
      </c>
      <c r="F32" s="196" t="n"/>
    </row>
    <row r="33" ht="13.95" customHeight="1" s="147">
      <c r="A33" s="192">
        <f>IF(DASHBOARD!G31="⚠ REVISAR",13,"")</f>
        <v/>
      </c>
      <c r="B33" s="192">
        <f>IF(DASHBOARD!G31="⚠ REVISAR",DASHBOARD!A31,"")</f>
        <v/>
      </c>
      <c r="C33" s="85">
        <f>IF(DASHBOARD!G31="⚠ REVISAR",DASHBOARD!C31,"")</f>
        <v/>
      </c>
      <c r="D33" s="192">
        <f>IF(DASHBOARD!G31="⚠ REVISAR",DASHBOARD!D31,"")</f>
        <v/>
      </c>
      <c r="E33" s="192">
        <f>IF(DASHBOARD!G31="⚠ REVISAR",DASHBOARD!E31,"")</f>
        <v/>
      </c>
      <c r="F33" s="192" t="n"/>
    </row>
    <row r="34" ht="13.95" customHeight="1" s="147">
      <c r="A34" s="196">
        <f>IF(DASHBOARD!G32="⚠ REVISAR",14,"")</f>
        <v/>
      </c>
      <c r="B34" s="196">
        <f>IF(DASHBOARD!G32="⚠ REVISAR",DASHBOARD!A32,"")</f>
        <v/>
      </c>
      <c r="C34" s="87">
        <f>IF(DASHBOARD!G32="⚠ REVISAR",DASHBOARD!C32,"")</f>
        <v/>
      </c>
      <c r="D34" s="196">
        <f>IF(DASHBOARD!G32="⚠ REVISAR",DASHBOARD!D32,"")</f>
        <v/>
      </c>
      <c r="E34" s="196">
        <f>IF(DASHBOARD!G32="⚠ REVISAR",DASHBOARD!E32,"")</f>
        <v/>
      </c>
      <c r="F34" s="196" t="n"/>
    </row>
    <row r="35" ht="13.95" customHeight="1" s="147">
      <c r="A35" s="192">
        <f>IF(DASHBOARD!G33="⚠ REVISAR",15,"")</f>
        <v/>
      </c>
      <c r="B35" s="192">
        <f>IF(DASHBOARD!G33="⚠ REVISAR",DASHBOARD!A33,"")</f>
        <v/>
      </c>
      <c r="C35" s="85">
        <f>IF(DASHBOARD!G33="⚠ REVISAR",DASHBOARD!C33,"")</f>
        <v/>
      </c>
      <c r="D35" s="192">
        <f>IF(DASHBOARD!G33="⚠ REVISAR",DASHBOARD!D33,"")</f>
        <v/>
      </c>
      <c r="E35" s="192">
        <f>IF(DASHBOARD!G33="⚠ REVISAR",DASHBOARD!E33,"")</f>
        <v/>
      </c>
      <c r="F35" s="192" t="n"/>
    </row>
    <row r="36" ht="13.95" customHeight="1" s="147">
      <c r="A36" s="196">
        <f>IF(DASHBOARD!G34="⚠ REVISAR",16,"")</f>
        <v/>
      </c>
      <c r="B36" s="196">
        <f>IF(DASHBOARD!G34="⚠ REVISAR",DASHBOARD!A34,"")</f>
        <v/>
      </c>
      <c r="C36" s="87">
        <f>IF(DASHBOARD!G34="⚠ REVISAR",DASHBOARD!C34,"")</f>
        <v/>
      </c>
      <c r="D36" s="196">
        <f>IF(DASHBOARD!G34="⚠ REVISAR",DASHBOARD!D34,"")</f>
        <v/>
      </c>
      <c r="E36" s="196">
        <f>IF(DASHBOARD!G34="⚠ REVISAR",DASHBOARD!E34,"")</f>
        <v/>
      </c>
      <c r="F36" s="196" t="n"/>
    </row>
    <row r="37" ht="13.95" customHeight="1" s="147">
      <c r="A37" s="192">
        <f>IF(DASHBOARD!G35="⚠ REVISAR",17,"")</f>
        <v/>
      </c>
      <c r="B37" s="192">
        <f>IF(DASHBOARD!G35="⚠ REVISAR",DASHBOARD!A35,"")</f>
        <v/>
      </c>
      <c r="C37" s="85">
        <f>IF(DASHBOARD!G35="⚠ REVISAR",DASHBOARD!C35,"")</f>
        <v/>
      </c>
      <c r="D37" s="192">
        <f>IF(DASHBOARD!G35="⚠ REVISAR",DASHBOARD!D35,"")</f>
        <v/>
      </c>
      <c r="E37" s="192">
        <f>IF(DASHBOARD!G35="⚠ REVISAR",DASHBOARD!E35,"")</f>
        <v/>
      </c>
      <c r="F37" s="192" t="n"/>
    </row>
    <row r="38" ht="13.95" customHeight="1" s="147">
      <c r="A38" s="196">
        <f>IF(DASHBOARD!G36="⚠ REVISAR",18,"")</f>
        <v/>
      </c>
      <c r="B38" s="196">
        <f>IF(DASHBOARD!G36="⚠ REVISAR",DASHBOARD!A36,"")</f>
        <v/>
      </c>
      <c r="C38" s="87">
        <f>IF(DASHBOARD!G36="⚠ REVISAR",DASHBOARD!C36,"")</f>
        <v/>
      </c>
      <c r="D38" s="196">
        <f>IF(DASHBOARD!G36="⚠ REVISAR",DASHBOARD!D36,"")</f>
        <v/>
      </c>
      <c r="E38" s="196">
        <f>IF(DASHBOARD!G36="⚠ REVISAR",DASHBOARD!E36,"")</f>
        <v/>
      </c>
      <c r="F38" s="196" t="n"/>
    </row>
    <row r="39" ht="13.95" customHeight="1" s="147">
      <c r="A39" s="192">
        <f>IF(DASHBOARD!G37="⚠ REVISAR",19,"")</f>
        <v/>
      </c>
      <c r="B39" s="192">
        <f>IF(DASHBOARD!G37="⚠ REVISAR",DASHBOARD!A37,"")</f>
        <v/>
      </c>
      <c r="C39" s="85">
        <f>IF(DASHBOARD!G37="⚠ REVISAR",DASHBOARD!C37,"")</f>
        <v/>
      </c>
      <c r="D39" s="192">
        <f>IF(DASHBOARD!G37="⚠ REVISAR",DASHBOARD!D37,"")</f>
        <v/>
      </c>
      <c r="E39" s="192">
        <f>IF(DASHBOARD!G37="⚠ REVISAR",DASHBOARD!E37,"")</f>
        <v/>
      </c>
      <c r="F39" s="192" t="n"/>
    </row>
    <row r="40" ht="13.95" customHeight="1" s="147">
      <c r="A40" s="196">
        <f>IF(DASHBOARD!G38="⚠ REVISAR",20,"")</f>
        <v/>
      </c>
      <c r="B40" s="196">
        <f>IF(DASHBOARD!G38="⚠ REVISAR",DASHBOARD!A38,"")</f>
        <v/>
      </c>
      <c r="C40" s="87">
        <f>IF(DASHBOARD!G38="⚠ REVISAR",DASHBOARD!C38,"")</f>
        <v/>
      </c>
      <c r="D40" s="196">
        <f>IF(DASHBOARD!G38="⚠ REVISAR",DASHBOARD!D38,"")</f>
        <v/>
      </c>
      <c r="E40" s="196">
        <f>IF(DASHBOARD!G38="⚠ REVISAR",DASHBOARD!E38,"")</f>
        <v/>
      </c>
      <c r="F40" s="196" t="n"/>
    </row>
    <row r="41" ht="13.95" customHeight="1" s="147">
      <c r="A41" s="192">
        <f>IF(DASHBOARD!G39="⚠ REVISAR",21,"")</f>
        <v/>
      </c>
      <c r="B41" s="192">
        <f>IF(DASHBOARD!G39="⚠ REVISAR",DASHBOARD!A39,"")</f>
        <v/>
      </c>
      <c r="C41" s="85">
        <f>IF(DASHBOARD!G39="⚠ REVISAR",DASHBOARD!C39,"")</f>
        <v/>
      </c>
      <c r="D41" s="192">
        <f>IF(DASHBOARD!G39="⚠ REVISAR",DASHBOARD!D39,"")</f>
        <v/>
      </c>
      <c r="E41" s="192">
        <f>IF(DASHBOARD!G39="⚠ REVISAR",DASHBOARD!E39,"")</f>
        <v/>
      </c>
      <c r="F41" s="192" t="n"/>
    </row>
    <row r="42" ht="13.95" customHeight="1" s="147">
      <c r="A42" s="196">
        <f>IF(DASHBOARD!G40="⚠ REVISAR",22,"")</f>
        <v/>
      </c>
      <c r="B42" s="196">
        <f>IF(DASHBOARD!G40="⚠ REVISAR",DASHBOARD!A40,"")</f>
        <v/>
      </c>
      <c r="C42" s="87">
        <f>IF(DASHBOARD!G40="⚠ REVISAR",DASHBOARD!C40,"")</f>
        <v/>
      </c>
      <c r="D42" s="196">
        <f>IF(DASHBOARD!G40="⚠ REVISAR",DASHBOARD!D40,"")</f>
        <v/>
      </c>
      <c r="E42" s="196">
        <f>IF(DASHBOARD!G40="⚠ REVISAR",DASHBOARD!E40,"")</f>
        <v/>
      </c>
      <c r="F42" s="196" t="n"/>
    </row>
    <row r="43" ht="13.95" customHeight="1" s="147">
      <c r="A43" s="192">
        <f>IF(DASHBOARD!G41="⚠ REVISAR",23,"")</f>
        <v/>
      </c>
      <c r="B43" s="192">
        <f>IF(DASHBOARD!G41="⚠ REVISAR",DASHBOARD!A41,"")</f>
        <v/>
      </c>
      <c r="C43" s="85">
        <f>IF(DASHBOARD!G41="⚠ REVISAR",DASHBOARD!C41,"")</f>
        <v/>
      </c>
      <c r="D43" s="192">
        <f>IF(DASHBOARD!G41="⚠ REVISAR",DASHBOARD!D41,"")</f>
        <v/>
      </c>
      <c r="E43" s="192">
        <f>IF(DASHBOARD!G41="⚠ REVISAR",DASHBOARD!E41,"")</f>
        <v/>
      </c>
      <c r="F43" s="192" t="n"/>
    </row>
    <row r="44" ht="13.95" customHeight="1" s="147">
      <c r="A44" s="196">
        <f>IF(DASHBOARD!G42="⚠ REVISAR",24,"")</f>
        <v/>
      </c>
      <c r="B44" s="196">
        <f>IF(DASHBOARD!G42="⚠ REVISAR",DASHBOARD!A42,"")</f>
        <v/>
      </c>
      <c r="C44" s="87">
        <f>IF(DASHBOARD!G42="⚠ REVISAR",DASHBOARD!C42,"")</f>
        <v/>
      </c>
      <c r="D44" s="196">
        <f>IF(DASHBOARD!G42="⚠ REVISAR",DASHBOARD!D42,"")</f>
        <v/>
      </c>
      <c r="E44" s="196">
        <f>IF(DASHBOARD!G42="⚠ REVISAR",DASHBOARD!E42,"")</f>
        <v/>
      </c>
      <c r="F44" s="196" t="n"/>
    </row>
    <row r="45" ht="13.95" customHeight="1" s="147">
      <c r="A45" s="192">
        <f>IF(DASHBOARD!G43="⚠ REVISAR",25,"")</f>
        <v/>
      </c>
      <c r="B45" s="192">
        <f>IF(DASHBOARD!G43="⚠ REVISAR",DASHBOARD!A43,"")</f>
        <v/>
      </c>
      <c r="C45" s="85">
        <f>IF(DASHBOARD!G43="⚠ REVISAR",DASHBOARD!C43,"")</f>
        <v/>
      </c>
      <c r="D45" s="192">
        <f>IF(DASHBOARD!G43="⚠ REVISAR",DASHBOARD!D43,"")</f>
        <v/>
      </c>
      <c r="E45" s="192">
        <f>IF(DASHBOARD!G43="⚠ REVISAR",DASHBOARD!E43,"")</f>
        <v/>
      </c>
      <c r="F45" s="192" t="n"/>
    </row>
    <row r="46" ht="13.95" customHeight="1" s="147">
      <c r="A46" s="196">
        <f>IF(DASHBOARD!G44="⚠ REVISAR",26,"")</f>
        <v/>
      </c>
      <c r="B46" s="196">
        <f>IF(DASHBOARD!G44="⚠ REVISAR",DASHBOARD!A44,"")</f>
        <v/>
      </c>
      <c r="C46" s="87">
        <f>IF(DASHBOARD!G44="⚠ REVISAR",DASHBOARD!C44,"")</f>
        <v/>
      </c>
      <c r="D46" s="196">
        <f>IF(DASHBOARD!G44="⚠ REVISAR",DASHBOARD!D44,"")</f>
        <v/>
      </c>
      <c r="E46" s="196">
        <f>IF(DASHBOARD!G44="⚠ REVISAR",DASHBOARD!E44,"")</f>
        <v/>
      </c>
      <c r="F46" s="196" t="n"/>
    </row>
    <row r="47" ht="13.95" customHeight="1" s="147">
      <c r="A47" s="192">
        <f>IF(DASHBOARD!G45="⚠ REVISAR",27,"")</f>
        <v/>
      </c>
      <c r="B47" s="192">
        <f>IF(DASHBOARD!G45="⚠ REVISAR",DASHBOARD!A45,"")</f>
        <v/>
      </c>
      <c r="C47" s="85">
        <f>IF(DASHBOARD!G45="⚠ REVISAR",DASHBOARD!C45,"")</f>
        <v/>
      </c>
      <c r="D47" s="192">
        <f>IF(DASHBOARD!G45="⚠ REVISAR",DASHBOARD!D45,"")</f>
        <v/>
      </c>
      <c r="E47" s="192">
        <f>IF(DASHBOARD!G45="⚠ REVISAR",DASHBOARD!E45,"")</f>
        <v/>
      </c>
      <c r="F47" s="192" t="n"/>
    </row>
    <row r="48" ht="13.95" customHeight="1" s="147">
      <c r="A48" s="196">
        <f>IF(DASHBOARD!G46="⚠ REVISAR",28,"")</f>
        <v/>
      </c>
      <c r="B48" s="196">
        <f>IF(DASHBOARD!G46="⚠ REVISAR",DASHBOARD!A46,"")</f>
        <v/>
      </c>
      <c r="C48" s="87">
        <f>IF(DASHBOARD!G46="⚠ REVISAR",DASHBOARD!C46,"")</f>
        <v/>
      </c>
      <c r="D48" s="196">
        <f>IF(DASHBOARD!G46="⚠ REVISAR",DASHBOARD!D46,"")</f>
        <v/>
      </c>
      <c r="E48" s="196">
        <f>IF(DASHBOARD!G46="⚠ REVISAR",DASHBOARD!E46,"")</f>
        <v/>
      </c>
      <c r="F48" s="196" t="n"/>
    </row>
    <row r="49" ht="13.95" customHeight="1" s="147">
      <c r="A49" s="192">
        <f>IF(DASHBOARD!G47="⚠ REVISAR",29,"")</f>
        <v/>
      </c>
      <c r="B49" s="192">
        <f>IF(DASHBOARD!G47="⚠ REVISAR",DASHBOARD!A47,"")</f>
        <v/>
      </c>
      <c r="C49" s="85">
        <f>IF(DASHBOARD!G47="⚠ REVISAR",DASHBOARD!C47,"")</f>
        <v/>
      </c>
      <c r="D49" s="192">
        <f>IF(DASHBOARD!G47="⚠ REVISAR",DASHBOARD!D47,"")</f>
        <v/>
      </c>
      <c r="E49" s="192">
        <f>IF(DASHBOARD!G47="⚠ REVISAR",DASHBOARD!E47,"")</f>
        <v/>
      </c>
      <c r="F49" s="192" t="n"/>
    </row>
    <row r="50" ht="13.95" customHeight="1" s="147">
      <c r="A50" s="196">
        <f>IF(DASHBOARD!G48="⚠ REVISAR",30,"")</f>
        <v/>
      </c>
      <c r="B50" s="196">
        <f>IF(DASHBOARD!G48="⚠ REVISAR",DASHBOARD!A48,"")</f>
        <v/>
      </c>
      <c r="C50" s="87">
        <f>IF(DASHBOARD!G48="⚠ REVISAR",DASHBOARD!C48,"")</f>
        <v/>
      </c>
      <c r="D50" s="196">
        <f>IF(DASHBOARD!G48="⚠ REVISAR",DASHBOARD!D48,"")</f>
        <v/>
      </c>
      <c r="E50" s="196">
        <f>IF(DASHBOARD!G48="⚠ REVISAR",DASHBOARD!E48,"")</f>
        <v/>
      </c>
      <c r="F50" s="196" t="n"/>
    </row>
    <row r="51" ht="13.95" customHeight="1" s="147">
      <c r="A51" s="192">
        <f>IF(DASHBOARD!G49="⚠ REVISAR",31,"")</f>
        <v/>
      </c>
      <c r="B51" s="192">
        <f>IF(DASHBOARD!G49="⚠ REVISAR",DASHBOARD!A49,"")</f>
        <v/>
      </c>
      <c r="C51" s="85">
        <f>IF(DASHBOARD!G49="⚠ REVISAR",DASHBOARD!C49,"")</f>
        <v/>
      </c>
      <c r="D51" s="192">
        <f>IF(DASHBOARD!G49="⚠ REVISAR",DASHBOARD!D49,"")</f>
        <v/>
      </c>
      <c r="E51" s="192">
        <f>IF(DASHBOARD!G49="⚠ REVISAR",DASHBOARD!E49,"")</f>
        <v/>
      </c>
      <c r="F51" s="192" t="n"/>
    </row>
    <row r="52" ht="13.95" customHeight="1" s="147">
      <c r="A52" s="196">
        <f>IF(DASHBOARD!G50="⚠ REVISAR",32,"")</f>
        <v/>
      </c>
      <c r="B52" s="196">
        <f>IF(DASHBOARD!G50="⚠ REVISAR",DASHBOARD!A50,"")</f>
        <v/>
      </c>
      <c r="C52" s="87">
        <f>IF(DASHBOARD!G50="⚠ REVISAR",DASHBOARD!C50,"")</f>
        <v/>
      </c>
      <c r="D52" s="196">
        <f>IF(DASHBOARD!G50="⚠ REVISAR",DASHBOARD!D50,"")</f>
        <v/>
      </c>
      <c r="E52" s="196">
        <f>IF(DASHBOARD!G50="⚠ REVISAR",DASHBOARD!E50,"")</f>
        <v/>
      </c>
      <c r="F52" s="196" t="n"/>
    </row>
    <row r="53" ht="13.95" customHeight="1" s="147">
      <c r="A53" s="192">
        <f>IF(DASHBOARD!G51="⚠ REVISAR",33,"")</f>
        <v/>
      </c>
      <c r="B53" s="192">
        <f>IF(DASHBOARD!G51="⚠ REVISAR",DASHBOARD!A51,"")</f>
        <v/>
      </c>
      <c r="C53" s="85">
        <f>IF(DASHBOARD!G51="⚠ REVISAR",DASHBOARD!C51,"")</f>
        <v/>
      </c>
      <c r="D53" s="192">
        <f>IF(DASHBOARD!G51="⚠ REVISAR",DASHBOARD!D51,"")</f>
        <v/>
      </c>
      <c r="E53" s="192">
        <f>IF(DASHBOARD!G51="⚠ REVISAR",DASHBOARD!E51,"")</f>
        <v/>
      </c>
      <c r="F53" s="192" t="n"/>
    </row>
    <row r="54" ht="13.95" customHeight="1" s="147">
      <c r="A54" s="196">
        <f>IF(DASHBOARD!G52="⚠ REVISAR",34,"")</f>
        <v/>
      </c>
      <c r="B54" s="196">
        <f>IF(DASHBOARD!G52="⚠ REVISAR",DASHBOARD!A52,"")</f>
        <v/>
      </c>
      <c r="C54" s="87">
        <f>IF(DASHBOARD!G52="⚠ REVISAR",DASHBOARD!C52,"")</f>
        <v/>
      </c>
      <c r="D54" s="196">
        <f>IF(DASHBOARD!G52="⚠ REVISAR",DASHBOARD!D52,"")</f>
        <v/>
      </c>
      <c r="E54" s="196">
        <f>IF(DASHBOARD!G52="⚠ REVISAR",DASHBOARD!E52,"")</f>
        <v/>
      </c>
      <c r="F54" s="196" t="n"/>
    </row>
    <row r="55" ht="13.95" customHeight="1" s="147">
      <c r="A55" s="192">
        <f>IF(DASHBOARD!G53="⚠ REVISAR",35,"")</f>
        <v/>
      </c>
      <c r="B55" s="192">
        <f>IF(DASHBOARD!G53="⚠ REVISAR",DASHBOARD!A53,"")</f>
        <v/>
      </c>
      <c r="C55" s="85">
        <f>IF(DASHBOARD!G53="⚠ REVISAR",DASHBOARD!C53,"")</f>
        <v/>
      </c>
      <c r="D55" s="192">
        <f>IF(DASHBOARD!G53="⚠ REVISAR",DASHBOARD!D53,"")</f>
        <v/>
      </c>
      <c r="E55" s="192">
        <f>IF(DASHBOARD!G53="⚠ REVISAR",DASHBOARD!E53,"")</f>
        <v/>
      </c>
      <c r="F55" s="192" t="n"/>
    </row>
    <row r="56" ht="13.95" customHeight="1" s="147">
      <c r="A56" s="196">
        <f>IF(DASHBOARD!G54="⚠ REVISAR",36,"")</f>
        <v/>
      </c>
      <c r="B56" s="196">
        <f>IF(DASHBOARD!G54="⚠ REVISAR",DASHBOARD!A54,"")</f>
        <v/>
      </c>
      <c r="C56" s="87">
        <f>IF(DASHBOARD!G54="⚠ REVISAR",DASHBOARD!C54,"")</f>
        <v/>
      </c>
      <c r="D56" s="196">
        <f>IF(DASHBOARD!G54="⚠ REVISAR",DASHBOARD!D54,"")</f>
        <v/>
      </c>
      <c r="E56" s="196">
        <f>IF(DASHBOARD!G54="⚠ REVISAR",DASHBOARD!E54,"")</f>
        <v/>
      </c>
      <c r="F56" s="196" t="n"/>
    </row>
    <row r="57" ht="13.95" customHeight="1" s="147">
      <c r="A57" s="192">
        <f>IF(DASHBOARD!G55="⚠ REVISAR",37,"")</f>
        <v/>
      </c>
      <c r="B57" s="192">
        <f>IF(DASHBOARD!G55="⚠ REVISAR",DASHBOARD!A55,"")</f>
        <v/>
      </c>
      <c r="C57" s="85">
        <f>IF(DASHBOARD!G55="⚠ REVISAR",DASHBOARD!C55,"")</f>
        <v/>
      </c>
      <c r="D57" s="192">
        <f>IF(DASHBOARD!G55="⚠ REVISAR",DASHBOARD!D55,"")</f>
        <v/>
      </c>
      <c r="E57" s="192">
        <f>IF(DASHBOARD!G55="⚠ REVISAR",DASHBOARD!E55,"")</f>
        <v/>
      </c>
      <c r="F57" s="192" t="n"/>
    </row>
    <row r="58" ht="13.95" customHeight="1" s="147">
      <c r="A58" s="196">
        <f>IF(DASHBOARD!G56="⚠ REVISAR",38,"")</f>
        <v/>
      </c>
      <c r="B58" s="196">
        <f>IF(DASHBOARD!G56="⚠ REVISAR",DASHBOARD!A56,"")</f>
        <v/>
      </c>
      <c r="C58" s="87">
        <f>IF(DASHBOARD!G56="⚠ REVISAR",DASHBOARD!C56,"")</f>
        <v/>
      </c>
      <c r="D58" s="196">
        <f>IF(DASHBOARD!G56="⚠ REVISAR",DASHBOARD!D56,"")</f>
        <v/>
      </c>
      <c r="E58" s="196">
        <f>IF(DASHBOARD!G56="⚠ REVISAR",DASHBOARD!E56,"")</f>
        <v/>
      </c>
      <c r="F58" s="196" t="n"/>
    </row>
    <row r="59" ht="13.95" customHeight="1" s="147">
      <c r="A59" s="192">
        <f>IF(DASHBOARD!G57="⚠ REVISAR",39,"")</f>
        <v/>
      </c>
      <c r="B59" s="192">
        <f>IF(DASHBOARD!G57="⚠ REVISAR",DASHBOARD!A57,"")</f>
        <v/>
      </c>
      <c r="C59" s="85">
        <f>IF(DASHBOARD!G57="⚠ REVISAR",DASHBOARD!C57,"")</f>
        <v/>
      </c>
      <c r="D59" s="192">
        <f>IF(DASHBOARD!G57="⚠ REVISAR",DASHBOARD!D57,"")</f>
        <v/>
      </c>
      <c r="E59" s="192">
        <f>IF(DASHBOARD!G57="⚠ REVISAR",DASHBOARD!E57,"")</f>
        <v/>
      </c>
      <c r="F59" s="192" t="n"/>
    </row>
    <row r="60" ht="13.95" customHeight="1" s="147">
      <c r="A60" s="196">
        <f>IF(DASHBOARD!G58="⚠ REVISAR",40,"")</f>
        <v/>
      </c>
      <c r="B60" s="196">
        <f>IF(DASHBOARD!G58="⚠ REVISAR",DASHBOARD!A58,"")</f>
        <v/>
      </c>
      <c r="C60" s="87">
        <f>IF(DASHBOARD!G58="⚠ REVISAR",DASHBOARD!C58,"")</f>
        <v/>
      </c>
      <c r="D60" s="196">
        <f>IF(DASHBOARD!G58="⚠ REVISAR",DASHBOARD!D58,"")</f>
        <v/>
      </c>
      <c r="E60" s="196">
        <f>IF(DASHBOARD!G58="⚠ REVISAR",DASHBOARD!E58,"")</f>
        <v/>
      </c>
      <c r="F60" s="196" t="n"/>
    </row>
    <row r="61" ht="13.95" customHeight="1" s="147">
      <c r="A61" s="192">
        <f>IF(DASHBOARD!G59="⚠ REVISAR",41,"")</f>
        <v/>
      </c>
      <c r="B61" s="192">
        <f>IF(DASHBOARD!G59="⚠ REVISAR",DASHBOARD!A59,"")</f>
        <v/>
      </c>
      <c r="C61" s="85">
        <f>IF(DASHBOARD!G59="⚠ REVISAR",DASHBOARD!C59,"")</f>
        <v/>
      </c>
      <c r="D61" s="192">
        <f>IF(DASHBOARD!G59="⚠ REVISAR",DASHBOARD!D59,"")</f>
        <v/>
      </c>
      <c r="E61" s="192">
        <f>IF(DASHBOARD!G59="⚠ REVISAR",DASHBOARD!E59,"")</f>
        <v/>
      </c>
      <c r="F61" s="192" t="n"/>
    </row>
    <row r="62" ht="13.95" customHeight="1" s="147">
      <c r="A62" s="196">
        <f>IF(DASHBOARD!G60="⚠ REVISAR",42,"")</f>
        <v/>
      </c>
      <c r="B62" s="196">
        <f>IF(DASHBOARD!G60="⚠ REVISAR",DASHBOARD!A60,"")</f>
        <v/>
      </c>
      <c r="C62" s="87">
        <f>IF(DASHBOARD!G60="⚠ REVISAR",DASHBOARD!C60,"")</f>
        <v/>
      </c>
      <c r="D62" s="196">
        <f>IF(DASHBOARD!G60="⚠ REVISAR",DASHBOARD!D60,"")</f>
        <v/>
      </c>
      <c r="E62" s="196">
        <f>IF(DASHBOARD!G60="⚠ REVISAR",DASHBOARD!E60,"")</f>
        <v/>
      </c>
      <c r="F62" s="196" t="n"/>
    </row>
    <row r="63" ht="13.95" customHeight="1" s="147">
      <c r="A63" s="192">
        <f>IF(DASHBOARD!G61="⚠ REVISAR",43,"")</f>
        <v/>
      </c>
      <c r="B63" s="192">
        <f>IF(DASHBOARD!G61="⚠ REVISAR",DASHBOARD!A61,"")</f>
        <v/>
      </c>
      <c r="C63" s="85">
        <f>IF(DASHBOARD!G61="⚠ REVISAR",DASHBOARD!C61,"")</f>
        <v/>
      </c>
      <c r="D63" s="192">
        <f>IF(DASHBOARD!G61="⚠ REVISAR",DASHBOARD!D61,"")</f>
        <v/>
      </c>
      <c r="E63" s="192">
        <f>IF(DASHBOARD!G61="⚠ REVISAR",DASHBOARD!E61,"")</f>
        <v/>
      </c>
      <c r="F63" s="192" t="n"/>
    </row>
    <row r="64" ht="13.95" customHeight="1" s="147">
      <c r="A64" s="196">
        <f>IF(DASHBOARD!G62="⚠ REVISAR",44,"")</f>
        <v/>
      </c>
      <c r="B64" s="196">
        <f>IF(DASHBOARD!G62="⚠ REVISAR",DASHBOARD!A62,"")</f>
        <v/>
      </c>
      <c r="C64" s="87">
        <f>IF(DASHBOARD!G62="⚠ REVISAR",DASHBOARD!C62,"")</f>
        <v/>
      </c>
      <c r="D64" s="196">
        <f>IF(DASHBOARD!G62="⚠ REVISAR",DASHBOARD!D62,"")</f>
        <v/>
      </c>
      <c r="E64" s="196">
        <f>IF(DASHBOARD!G62="⚠ REVISAR",DASHBOARD!E62,"")</f>
        <v/>
      </c>
      <c r="F64" s="196" t="n"/>
    </row>
    <row r="65" ht="13.95" customHeight="1" s="147">
      <c r="A65" s="192">
        <f>IF(DASHBOARD!G63="⚠ REVISAR",45,"")</f>
        <v/>
      </c>
      <c r="B65" s="192">
        <f>IF(DASHBOARD!G63="⚠ REVISAR",DASHBOARD!A63,"")</f>
        <v/>
      </c>
      <c r="C65" s="85">
        <f>IF(DASHBOARD!G63="⚠ REVISAR",DASHBOARD!C63,"")</f>
        <v/>
      </c>
      <c r="D65" s="192">
        <f>IF(DASHBOARD!G63="⚠ REVISAR",DASHBOARD!D63,"")</f>
        <v/>
      </c>
      <c r="E65" s="192">
        <f>IF(DASHBOARD!G63="⚠ REVISAR",DASHBOARD!E63,"")</f>
        <v/>
      </c>
      <c r="F65" s="192" t="n"/>
    </row>
    <row r="66" ht="13.95" customHeight="1" s="147">
      <c r="A66" s="196">
        <f>IF(DASHBOARD!G64="⚠ REVISAR",46,"")</f>
        <v/>
      </c>
      <c r="B66" s="196">
        <f>IF(DASHBOARD!G64="⚠ REVISAR",DASHBOARD!A64,"")</f>
        <v/>
      </c>
      <c r="C66" s="87">
        <f>IF(DASHBOARD!G64="⚠ REVISAR",DASHBOARD!C64,"")</f>
        <v/>
      </c>
      <c r="D66" s="196">
        <f>IF(DASHBOARD!G64="⚠ REVISAR",DASHBOARD!D64,"")</f>
        <v/>
      </c>
      <c r="E66" s="196">
        <f>IF(DASHBOARD!G64="⚠ REVISAR",DASHBOARD!E64,"")</f>
        <v/>
      </c>
      <c r="F66" s="196" t="n"/>
    </row>
    <row r="67" ht="13.95" customHeight="1" s="147">
      <c r="A67" s="192">
        <f>IF(DASHBOARD!G65="⚠ REVISAR",47,"")</f>
        <v/>
      </c>
      <c r="B67" s="192">
        <f>IF(DASHBOARD!G65="⚠ REVISAR",DASHBOARD!A65,"")</f>
        <v/>
      </c>
      <c r="C67" s="85">
        <f>IF(DASHBOARD!G65="⚠ REVISAR",DASHBOARD!C65,"")</f>
        <v/>
      </c>
      <c r="D67" s="192">
        <f>IF(DASHBOARD!G65="⚠ REVISAR",DASHBOARD!D65,"")</f>
        <v/>
      </c>
      <c r="E67" s="192">
        <f>IF(DASHBOARD!G65="⚠ REVISAR",DASHBOARD!E65,"")</f>
        <v/>
      </c>
      <c r="F67" s="192" t="n"/>
    </row>
    <row r="68" ht="13.95" customHeight="1" s="147">
      <c r="A68" s="196">
        <f>IF(DASHBOARD!G66="⚠ REVISAR",48,"")</f>
        <v/>
      </c>
      <c r="B68" s="196">
        <f>IF(DASHBOARD!G66="⚠ REVISAR",DASHBOARD!A66,"")</f>
        <v/>
      </c>
      <c r="C68" s="87">
        <f>IF(DASHBOARD!G66="⚠ REVISAR",DASHBOARD!C66,"")</f>
        <v/>
      </c>
      <c r="D68" s="196">
        <f>IF(DASHBOARD!G66="⚠ REVISAR",DASHBOARD!D66,"")</f>
        <v/>
      </c>
      <c r="E68" s="196">
        <f>IF(DASHBOARD!G66="⚠ REVISAR",DASHBOARD!E66,"")</f>
        <v/>
      </c>
      <c r="F68" s="196" t="n"/>
    </row>
    <row r="69" ht="13.95" customHeight="1" s="147">
      <c r="A69" s="192">
        <f>IF(DASHBOARD!G67="⚠ REVISAR",49,"")</f>
        <v/>
      </c>
      <c r="B69" s="192">
        <f>IF(DASHBOARD!G67="⚠ REVISAR",DASHBOARD!A67,"")</f>
        <v/>
      </c>
      <c r="C69" s="85">
        <f>IF(DASHBOARD!G67="⚠ REVISAR",DASHBOARD!C67,"")</f>
        <v/>
      </c>
      <c r="D69" s="192">
        <f>IF(DASHBOARD!G67="⚠ REVISAR",DASHBOARD!D67,"")</f>
        <v/>
      </c>
      <c r="E69" s="192">
        <f>IF(DASHBOARD!G67="⚠ REVISAR",DASHBOARD!E67,"")</f>
        <v/>
      </c>
      <c r="F69" s="192" t="n"/>
    </row>
    <row r="70" ht="13.95" customHeight="1" s="147">
      <c r="A70" s="196">
        <f>IF(DASHBOARD!G68="⚠ REVISAR",50,"")</f>
        <v/>
      </c>
      <c r="B70" s="196">
        <f>IF(DASHBOARD!G68="⚠ REVISAR",DASHBOARD!A68,"")</f>
        <v/>
      </c>
      <c r="C70" s="87">
        <f>IF(DASHBOARD!G68="⚠ REVISAR",DASHBOARD!C68,"")</f>
        <v/>
      </c>
      <c r="D70" s="196">
        <f>IF(DASHBOARD!G68="⚠ REVISAR",DASHBOARD!D68,"")</f>
        <v/>
      </c>
      <c r="E70" s="196">
        <f>IF(DASHBOARD!G68="⚠ REVISAR",DASHBOARD!E68,"")</f>
        <v/>
      </c>
      <c r="F70" s="196" t="n"/>
    </row>
    <row r="71" ht="13.95" customHeight="1" s="147">
      <c r="A71" s="192">
        <f>IF(DASHBOARD!G69="⚠ REVISAR",51,"")</f>
        <v/>
      </c>
      <c r="B71" s="192">
        <f>IF(DASHBOARD!G69="⚠ REVISAR",DASHBOARD!A69,"")</f>
        <v/>
      </c>
      <c r="C71" s="85">
        <f>IF(DASHBOARD!G69="⚠ REVISAR",DASHBOARD!C69,"")</f>
        <v/>
      </c>
      <c r="D71" s="192">
        <f>IF(DASHBOARD!G69="⚠ REVISAR",DASHBOARD!D69,"")</f>
        <v/>
      </c>
      <c r="E71" s="192">
        <f>IF(DASHBOARD!G69="⚠ REVISAR",DASHBOARD!E69,"")</f>
        <v/>
      </c>
      <c r="F71" s="192" t="n"/>
    </row>
    <row r="72" ht="13.95" customHeight="1" s="147">
      <c r="A72" s="196">
        <f>IF(DASHBOARD!G70="⚠ REVISAR",52,"")</f>
        <v/>
      </c>
      <c r="B72" s="196">
        <f>IF(DASHBOARD!G70="⚠ REVISAR",DASHBOARD!A70,"")</f>
        <v/>
      </c>
      <c r="C72" s="87">
        <f>IF(DASHBOARD!G70="⚠ REVISAR",DASHBOARD!C70,"")</f>
        <v/>
      </c>
      <c r="D72" s="196">
        <f>IF(DASHBOARD!G70="⚠ REVISAR",DASHBOARD!D70,"")</f>
        <v/>
      </c>
      <c r="E72" s="196">
        <f>IF(DASHBOARD!G70="⚠ REVISAR",DASHBOARD!E70,"")</f>
        <v/>
      </c>
      <c r="F72" s="196" t="n"/>
    </row>
    <row r="73" ht="13.95" customHeight="1" s="147">
      <c r="A73" s="192">
        <f>IF(DASHBOARD!G71="⚠ REVISAR",53,"")</f>
        <v/>
      </c>
      <c r="B73" s="192">
        <f>IF(DASHBOARD!G71="⚠ REVISAR",DASHBOARD!A71,"")</f>
        <v/>
      </c>
      <c r="C73" s="85">
        <f>IF(DASHBOARD!G71="⚠ REVISAR",DASHBOARD!C71,"")</f>
        <v/>
      </c>
      <c r="D73" s="192">
        <f>IF(DASHBOARD!G71="⚠ REVISAR",DASHBOARD!D71,"")</f>
        <v/>
      </c>
      <c r="E73" s="192">
        <f>IF(DASHBOARD!G71="⚠ REVISAR",DASHBOARD!E71,"")</f>
        <v/>
      </c>
      <c r="F73" s="192" t="n"/>
    </row>
    <row r="74" ht="13.95" customHeight="1" s="147">
      <c r="A74" s="196">
        <f>IF(DASHBOARD!G72="⚠ REVISAR",54,"")</f>
        <v/>
      </c>
      <c r="B74" s="196">
        <f>IF(DASHBOARD!G72="⚠ REVISAR",DASHBOARD!A72,"")</f>
        <v/>
      </c>
      <c r="C74" s="87">
        <f>IF(DASHBOARD!G72="⚠ REVISAR",DASHBOARD!C72,"")</f>
        <v/>
      </c>
      <c r="D74" s="196">
        <f>IF(DASHBOARD!G72="⚠ REVISAR",DASHBOARD!D72,"")</f>
        <v/>
      </c>
      <c r="E74" s="196">
        <f>IF(DASHBOARD!G72="⚠ REVISAR",DASHBOARD!E72,"")</f>
        <v/>
      </c>
      <c r="F74" s="196" t="n"/>
    </row>
    <row r="75" ht="13.95" customHeight="1" s="147">
      <c r="A75" s="192">
        <f>IF(DASHBOARD!G73="⚠ REVISAR",55,"")</f>
        <v/>
      </c>
      <c r="B75" s="192">
        <f>IF(DASHBOARD!G73="⚠ REVISAR",DASHBOARD!A73,"")</f>
        <v/>
      </c>
      <c r="C75" s="85">
        <f>IF(DASHBOARD!G73="⚠ REVISAR",DASHBOARD!C73,"")</f>
        <v/>
      </c>
      <c r="D75" s="192">
        <f>IF(DASHBOARD!G73="⚠ REVISAR",DASHBOARD!D73,"")</f>
        <v/>
      </c>
      <c r="E75" s="192">
        <f>IF(DASHBOARD!G73="⚠ REVISAR",DASHBOARD!E73,"")</f>
        <v/>
      </c>
      <c r="F75" s="192" t="n"/>
    </row>
    <row r="76" ht="13.95" customHeight="1" s="147">
      <c r="A76" s="196">
        <f>IF(DASHBOARD!G74="⚠ REVISAR",56,"")</f>
        <v/>
      </c>
      <c r="B76" s="196">
        <f>IF(DASHBOARD!G74="⚠ REVISAR",DASHBOARD!A74,"")</f>
        <v/>
      </c>
      <c r="C76" s="87">
        <f>IF(DASHBOARD!G74="⚠ REVISAR",DASHBOARD!C74,"")</f>
        <v/>
      </c>
      <c r="D76" s="196">
        <f>IF(DASHBOARD!G74="⚠ REVISAR",DASHBOARD!D74,"")</f>
        <v/>
      </c>
      <c r="E76" s="196">
        <f>IF(DASHBOARD!G74="⚠ REVISAR",DASHBOARD!E74,"")</f>
        <v/>
      </c>
      <c r="F76" s="196" t="n"/>
    </row>
    <row r="77" ht="13.95" customHeight="1" s="147">
      <c r="A77" s="192">
        <f>IF(DASHBOARD!G75="⚠ REVISAR",57,"")</f>
        <v/>
      </c>
      <c r="B77" s="192">
        <f>IF(DASHBOARD!G75="⚠ REVISAR",DASHBOARD!A75,"")</f>
        <v/>
      </c>
      <c r="C77" s="85">
        <f>IF(DASHBOARD!G75="⚠ REVISAR",DASHBOARD!C75,"")</f>
        <v/>
      </c>
      <c r="D77" s="192">
        <f>IF(DASHBOARD!G75="⚠ REVISAR",DASHBOARD!D75,"")</f>
        <v/>
      </c>
      <c r="E77" s="192">
        <f>IF(DASHBOARD!G75="⚠ REVISAR",DASHBOARD!E75,"")</f>
        <v/>
      </c>
      <c r="F77" s="192" t="n"/>
    </row>
    <row r="78" ht="13.95" customHeight="1" s="147">
      <c r="A78" s="196">
        <f>IF(DASHBOARD!G76="⚠ REVISAR",58,"")</f>
        <v/>
      </c>
      <c r="B78" s="196">
        <f>IF(DASHBOARD!G76="⚠ REVISAR",DASHBOARD!A76,"")</f>
        <v/>
      </c>
      <c r="C78" s="87">
        <f>IF(DASHBOARD!G76="⚠ REVISAR",DASHBOARD!C76,"")</f>
        <v/>
      </c>
      <c r="D78" s="196">
        <f>IF(DASHBOARD!G76="⚠ REVISAR",DASHBOARD!D76,"")</f>
        <v/>
      </c>
      <c r="E78" s="196">
        <f>IF(DASHBOARD!G76="⚠ REVISAR",DASHBOARD!E76,"")</f>
        <v/>
      </c>
      <c r="F78" s="196" t="n"/>
    </row>
    <row r="79" ht="13.95" customHeight="1" s="147">
      <c r="A79" s="192">
        <f>IF(DASHBOARD!G77="⚠ REVISAR",59,"")</f>
        <v/>
      </c>
      <c r="B79" s="192">
        <f>IF(DASHBOARD!G77="⚠ REVISAR",DASHBOARD!A77,"")</f>
        <v/>
      </c>
      <c r="C79" s="85">
        <f>IF(DASHBOARD!G77="⚠ REVISAR",DASHBOARD!C77,"")</f>
        <v/>
      </c>
      <c r="D79" s="192">
        <f>IF(DASHBOARD!G77="⚠ REVISAR",DASHBOARD!D77,"")</f>
        <v/>
      </c>
      <c r="E79" s="192">
        <f>IF(DASHBOARD!G77="⚠ REVISAR",DASHBOARD!E77,"")</f>
        <v/>
      </c>
      <c r="F79" s="192" t="n"/>
    </row>
    <row r="80" ht="13.95" customHeight="1" s="147">
      <c r="A80" s="196">
        <f>IF(DASHBOARD!G78="⚠ REVISAR",60,"")</f>
        <v/>
      </c>
      <c r="B80" s="196">
        <f>IF(DASHBOARD!G78="⚠ REVISAR",DASHBOARD!A78,"")</f>
        <v/>
      </c>
      <c r="C80" s="87">
        <f>IF(DASHBOARD!G78="⚠ REVISAR",DASHBOARD!C78,"")</f>
        <v/>
      </c>
      <c r="D80" s="196">
        <f>IF(DASHBOARD!G78="⚠ REVISAR",DASHBOARD!D78,"")</f>
        <v/>
      </c>
      <c r="E80" s="196">
        <f>IF(DASHBOARD!G78="⚠ REVISAR",DASHBOARD!E78,"")</f>
        <v/>
      </c>
      <c r="F80" s="196" t="n"/>
    </row>
    <row r="81" ht="13.95" customHeight="1" s="147">
      <c r="A81" s="192">
        <f>IF(DASHBOARD!G79="⚠ REVISAR",61,"")</f>
        <v/>
      </c>
      <c r="B81" s="192">
        <f>IF(DASHBOARD!G79="⚠ REVISAR",DASHBOARD!A79,"")</f>
        <v/>
      </c>
      <c r="C81" s="85">
        <f>IF(DASHBOARD!G79="⚠ REVISAR",DASHBOARD!C79,"")</f>
        <v/>
      </c>
      <c r="D81" s="192">
        <f>IF(DASHBOARD!G79="⚠ REVISAR",DASHBOARD!D79,"")</f>
        <v/>
      </c>
      <c r="E81" s="192">
        <f>IF(DASHBOARD!G79="⚠ REVISAR",DASHBOARD!E79,"")</f>
        <v/>
      </c>
      <c r="F81" s="192" t="n"/>
    </row>
    <row r="82" ht="13.95" customHeight="1" s="147">
      <c r="A82" s="196">
        <f>IF(DASHBOARD!G80="⚠ REVISAR",62,"")</f>
        <v/>
      </c>
      <c r="B82" s="196">
        <f>IF(DASHBOARD!G80="⚠ REVISAR",DASHBOARD!A80,"")</f>
        <v/>
      </c>
      <c r="C82" s="87">
        <f>IF(DASHBOARD!G80="⚠ REVISAR",DASHBOARD!C80,"")</f>
        <v/>
      </c>
      <c r="D82" s="196">
        <f>IF(DASHBOARD!G80="⚠ REVISAR",DASHBOARD!D80,"")</f>
        <v/>
      </c>
      <c r="E82" s="196">
        <f>IF(DASHBOARD!G80="⚠ REVISAR",DASHBOARD!E80,"")</f>
        <v/>
      </c>
      <c r="F82" s="196" t="n"/>
    </row>
    <row r="83" ht="13.95" customHeight="1" s="147">
      <c r="A83" s="192">
        <f>IF(DASHBOARD!G81="⚠ REVISAR",63,"")</f>
        <v/>
      </c>
      <c r="B83" s="192">
        <f>IF(DASHBOARD!G81="⚠ REVISAR",DASHBOARD!A81,"")</f>
        <v/>
      </c>
      <c r="C83" s="85">
        <f>IF(DASHBOARD!G81="⚠ REVISAR",DASHBOARD!C81,"")</f>
        <v/>
      </c>
      <c r="D83" s="192">
        <f>IF(DASHBOARD!G81="⚠ REVISAR",DASHBOARD!D81,"")</f>
        <v/>
      </c>
      <c r="E83" s="192">
        <f>IF(DASHBOARD!G81="⚠ REVISAR",DASHBOARD!E81,"")</f>
        <v/>
      </c>
      <c r="F83" s="192" t="n"/>
    </row>
    <row r="84" ht="13.95" customHeight="1" s="147">
      <c r="A84" s="196">
        <f>IF(DASHBOARD!G82="⚠ REVISAR",64,"")</f>
        <v/>
      </c>
      <c r="B84" s="196">
        <f>IF(DASHBOARD!G82="⚠ REVISAR",DASHBOARD!A82,"")</f>
        <v/>
      </c>
      <c r="C84" s="87">
        <f>IF(DASHBOARD!G82="⚠ REVISAR",DASHBOARD!C82,"")</f>
        <v/>
      </c>
      <c r="D84" s="196">
        <f>IF(DASHBOARD!G82="⚠ REVISAR",DASHBOARD!D82,"")</f>
        <v/>
      </c>
      <c r="E84" s="196">
        <f>IF(DASHBOARD!G82="⚠ REVISAR",DASHBOARD!E82,"")</f>
        <v/>
      </c>
      <c r="F84" s="196" t="n"/>
    </row>
    <row r="85" ht="13.95" customHeight="1" s="147">
      <c r="A85" s="192">
        <f>IF(DASHBOARD!G83="⚠ REVISAR",65,"")</f>
        <v/>
      </c>
      <c r="B85" s="192">
        <f>IF(DASHBOARD!G83="⚠ REVISAR",DASHBOARD!A83,"")</f>
        <v/>
      </c>
      <c r="C85" s="85">
        <f>IF(DASHBOARD!G83="⚠ REVISAR",DASHBOARD!C83,"")</f>
        <v/>
      </c>
      <c r="D85" s="192">
        <f>IF(DASHBOARD!G83="⚠ REVISAR",DASHBOARD!D83,"")</f>
        <v/>
      </c>
      <c r="E85" s="192">
        <f>IF(DASHBOARD!G83="⚠ REVISAR",DASHBOARD!E83,"")</f>
        <v/>
      </c>
      <c r="F85" s="192" t="n"/>
    </row>
    <row r="86" ht="13.95" customHeight="1" s="147">
      <c r="A86" s="196">
        <f>IF(DASHBOARD!G84="⚠ REVISAR",66,"")</f>
        <v/>
      </c>
      <c r="B86" s="196">
        <f>IF(DASHBOARD!G84="⚠ REVISAR",DASHBOARD!A84,"")</f>
        <v/>
      </c>
      <c r="C86" s="87">
        <f>IF(DASHBOARD!G84="⚠ REVISAR",DASHBOARD!C84,"")</f>
        <v/>
      </c>
      <c r="D86" s="196">
        <f>IF(DASHBOARD!G84="⚠ REVISAR",DASHBOARD!D84,"")</f>
        <v/>
      </c>
      <c r="E86" s="196">
        <f>IF(DASHBOARD!G84="⚠ REVISAR",DASHBOARD!E84,"")</f>
        <v/>
      </c>
      <c r="F86" s="196" t="n"/>
    </row>
    <row r="87" ht="13.95" customHeight="1" s="147">
      <c r="A87" s="192">
        <f>IF(DASHBOARD!G85="⚠ REVISAR",67,"")</f>
        <v/>
      </c>
      <c r="B87" s="192">
        <f>IF(DASHBOARD!G85="⚠ REVISAR",DASHBOARD!A85,"")</f>
        <v/>
      </c>
      <c r="C87" s="85">
        <f>IF(DASHBOARD!G85="⚠ REVISAR",DASHBOARD!C85,"")</f>
        <v/>
      </c>
      <c r="D87" s="192">
        <f>IF(DASHBOARD!G85="⚠ REVISAR",DASHBOARD!D85,"")</f>
        <v/>
      </c>
      <c r="E87" s="192">
        <f>IF(DASHBOARD!G85="⚠ REVISAR",DASHBOARD!E85,"")</f>
        <v/>
      </c>
      <c r="F87" s="192" t="n"/>
    </row>
    <row r="88" ht="13.95" customHeight="1" s="147">
      <c r="A88" s="196">
        <f>IF(DASHBOARD!G86="⚠ REVISAR",68,"")</f>
        <v/>
      </c>
      <c r="B88" s="196">
        <f>IF(DASHBOARD!G86="⚠ REVISAR",DASHBOARD!A86,"")</f>
        <v/>
      </c>
      <c r="C88" s="87">
        <f>IF(DASHBOARD!G86="⚠ REVISAR",DASHBOARD!C86,"")</f>
        <v/>
      </c>
      <c r="D88" s="196">
        <f>IF(DASHBOARD!G86="⚠ REVISAR",DASHBOARD!D86,"")</f>
        <v/>
      </c>
      <c r="E88" s="196">
        <f>IF(DASHBOARD!G86="⚠ REVISAR",DASHBOARD!E86,"")</f>
        <v/>
      </c>
      <c r="F88" s="196" t="n"/>
    </row>
    <row r="89" ht="13.95" customHeight="1" s="147">
      <c r="A89" s="192">
        <f>IF(DASHBOARD!G87="⚠ REVISAR",69,"")</f>
        <v/>
      </c>
      <c r="B89" s="192">
        <f>IF(DASHBOARD!G87="⚠ REVISAR",DASHBOARD!A87,"")</f>
        <v/>
      </c>
      <c r="C89" s="85">
        <f>IF(DASHBOARD!G87="⚠ REVISAR",DASHBOARD!C87,"")</f>
        <v/>
      </c>
      <c r="D89" s="192">
        <f>IF(DASHBOARD!G87="⚠ REVISAR",DASHBOARD!D87,"")</f>
        <v/>
      </c>
      <c r="E89" s="192">
        <f>IF(DASHBOARD!G87="⚠ REVISAR",DASHBOARD!E87,"")</f>
        <v/>
      </c>
      <c r="F89" s="192" t="n"/>
    </row>
    <row r="90" ht="13.95" customHeight="1" s="147">
      <c r="A90" s="196">
        <f>IF(DASHBOARD!G88="⚠ REVISAR",70,"")</f>
        <v/>
      </c>
      <c r="B90" s="196">
        <f>IF(DASHBOARD!G88="⚠ REVISAR",DASHBOARD!A88,"")</f>
        <v/>
      </c>
      <c r="C90" s="87">
        <f>IF(DASHBOARD!G88="⚠ REVISAR",DASHBOARD!C88,"")</f>
        <v/>
      </c>
      <c r="D90" s="196">
        <f>IF(DASHBOARD!G88="⚠ REVISAR",DASHBOARD!D88,"")</f>
        <v/>
      </c>
      <c r="E90" s="196">
        <f>IF(DASHBOARD!G88="⚠ REVISAR",DASHBOARD!E88,"")</f>
        <v/>
      </c>
      <c r="F90" s="196" t="n"/>
    </row>
    <row r="91" ht="13.95" customHeight="1" s="147">
      <c r="A91" s="192">
        <f>IF(DASHBOARD!G89="⚠ REVISAR",71,"")</f>
        <v/>
      </c>
      <c r="B91" s="192">
        <f>IF(DASHBOARD!G89="⚠ REVISAR",DASHBOARD!A89,"")</f>
        <v/>
      </c>
      <c r="C91" s="85">
        <f>IF(DASHBOARD!G89="⚠ REVISAR",DASHBOARD!C89,"")</f>
        <v/>
      </c>
      <c r="D91" s="192">
        <f>IF(DASHBOARD!G89="⚠ REVISAR",DASHBOARD!D89,"")</f>
        <v/>
      </c>
      <c r="E91" s="192">
        <f>IF(DASHBOARD!G89="⚠ REVISAR",DASHBOARD!E89,"")</f>
        <v/>
      </c>
      <c r="F91" s="192" t="n"/>
    </row>
    <row r="92" ht="13.95" customHeight="1" s="147">
      <c r="A92" s="196">
        <f>IF(DASHBOARD!G90="⚠ REVISAR",72,"")</f>
        <v/>
      </c>
      <c r="B92" s="196">
        <f>IF(DASHBOARD!G90="⚠ REVISAR",DASHBOARD!A90,"")</f>
        <v/>
      </c>
      <c r="C92" s="87">
        <f>IF(DASHBOARD!G90="⚠ REVISAR",DASHBOARD!C90,"")</f>
        <v/>
      </c>
      <c r="D92" s="196">
        <f>IF(DASHBOARD!G90="⚠ REVISAR",DASHBOARD!D90,"")</f>
        <v/>
      </c>
      <c r="E92" s="196">
        <f>IF(DASHBOARD!G90="⚠ REVISAR",DASHBOARD!E90,"")</f>
        <v/>
      </c>
      <c r="F92" s="196" t="n"/>
    </row>
    <row r="93" ht="13.95" customHeight="1" s="147">
      <c r="A93" s="192">
        <f>IF(DASHBOARD!G91="⚠ REVISAR",73,"")</f>
        <v/>
      </c>
      <c r="B93" s="192">
        <f>IF(DASHBOARD!G91="⚠ REVISAR",DASHBOARD!A91,"")</f>
        <v/>
      </c>
      <c r="C93" s="85">
        <f>IF(DASHBOARD!G91="⚠ REVISAR",DASHBOARD!C91,"")</f>
        <v/>
      </c>
      <c r="D93" s="192">
        <f>IF(DASHBOARD!G91="⚠ REVISAR",DASHBOARD!D91,"")</f>
        <v/>
      </c>
      <c r="E93" s="192">
        <f>IF(DASHBOARD!G91="⚠ REVISAR",DASHBOARD!E91,"")</f>
        <v/>
      </c>
      <c r="F93" s="192" t="n"/>
    </row>
    <row r="94" ht="13.95" customHeight="1" s="147">
      <c r="A94" s="196">
        <f>IF(DASHBOARD!G92="⚠ REVISAR",74,"")</f>
        <v/>
      </c>
      <c r="B94" s="196">
        <f>IF(DASHBOARD!G92="⚠ REVISAR",DASHBOARD!A92,"")</f>
        <v/>
      </c>
      <c r="C94" s="87">
        <f>IF(DASHBOARD!G92="⚠ REVISAR",DASHBOARD!C92,"")</f>
        <v/>
      </c>
      <c r="D94" s="196">
        <f>IF(DASHBOARD!G92="⚠ REVISAR",DASHBOARD!D92,"")</f>
        <v/>
      </c>
      <c r="E94" s="196">
        <f>IF(DASHBOARD!G92="⚠ REVISAR",DASHBOARD!E92,"")</f>
        <v/>
      </c>
      <c r="F94" s="196" t="n"/>
    </row>
    <row r="95" ht="13.95" customHeight="1" s="147">
      <c r="A95" s="192">
        <f>IF(DASHBOARD!G93="⚠ REVISAR",75,"")</f>
        <v/>
      </c>
      <c r="B95" s="192">
        <f>IF(DASHBOARD!G93="⚠ REVISAR",DASHBOARD!A93,"")</f>
        <v/>
      </c>
      <c r="C95" s="85">
        <f>IF(DASHBOARD!G93="⚠ REVISAR",DASHBOARD!C93,"")</f>
        <v/>
      </c>
      <c r="D95" s="192">
        <f>IF(DASHBOARD!G93="⚠ REVISAR",DASHBOARD!D93,"")</f>
        <v/>
      </c>
      <c r="E95" s="192">
        <f>IF(DASHBOARD!G93="⚠ REVISAR",DASHBOARD!E93,"")</f>
        <v/>
      </c>
      <c r="F95" s="192" t="n"/>
    </row>
    <row r="96" ht="13.95" customHeight="1" s="147">
      <c r="A96" s="196">
        <f>IF(DASHBOARD!G94="⚠ REVISAR",76,"")</f>
        <v/>
      </c>
      <c r="B96" s="196">
        <f>IF(DASHBOARD!G94="⚠ REVISAR",DASHBOARD!A94,"")</f>
        <v/>
      </c>
      <c r="C96" s="87">
        <f>IF(DASHBOARD!G94="⚠ REVISAR",DASHBOARD!C94,"")</f>
        <v/>
      </c>
      <c r="D96" s="196">
        <f>IF(DASHBOARD!G94="⚠ REVISAR",DASHBOARD!D94,"")</f>
        <v/>
      </c>
      <c r="E96" s="196">
        <f>IF(DASHBOARD!G94="⚠ REVISAR",DASHBOARD!E94,"")</f>
        <v/>
      </c>
      <c r="F96" s="196" t="n"/>
    </row>
    <row r="97" ht="13.95" customHeight="1" s="147">
      <c r="A97" s="192">
        <f>IF(DASHBOARD!G95="⚠ REVISAR",77,"")</f>
        <v/>
      </c>
      <c r="B97" s="192">
        <f>IF(DASHBOARD!G95="⚠ REVISAR",DASHBOARD!A95,"")</f>
        <v/>
      </c>
      <c r="C97" s="85">
        <f>IF(DASHBOARD!G95="⚠ REVISAR",DASHBOARD!C95,"")</f>
        <v/>
      </c>
      <c r="D97" s="192">
        <f>IF(DASHBOARD!G95="⚠ REVISAR",DASHBOARD!D95,"")</f>
        <v/>
      </c>
      <c r="E97" s="192">
        <f>IF(DASHBOARD!G95="⚠ REVISAR",DASHBOARD!E95,"")</f>
        <v/>
      </c>
      <c r="F97" s="192" t="n"/>
    </row>
    <row r="98" ht="13.95" customHeight="1" s="147">
      <c r="A98" s="196">
        <f>IF(DASHBOARD!G96="⚠ REVISAR",78,"")</f>
        <v/>
      </c>
      <c r="B98" s="196">
        <f>IF(DASHBOARD!G96="⚠ REVISAR",DASHBOARD!A96,"")</f>
        <v/>
      </c>
      <c r="C98" s="87">
        <f>IF(DASHBOARD!G96="⚠ REVISAR",DASHBOARD!C96,"")</f>
        <v/>
      </c>
      <c r="D98" s="196">
        <f>IF(DASHBOARD!G96="⚠ REVISAR",DASHBOARD!D96,"")</f>
        <v/>
      </c>
      <c r="E98" s="196">
        <f>IF(DASHBOARD!G96="⚠ REVISAR",DASHBOARD!E96,"")</f>
        <v/>
      </c>
      <c r="F98" s="196" t="n"/>
    </row>
    <row r="99" ht="13.95" customHeight="1" s="147">
      <c r="A99" s="192">
        <f>IF(DASHBOARD!G97="⚠ REVISAR",79,"")</f>
        <v/>
      </c>
      <c r="B99" s="192">
        <f>IF(DASHBOARD!G97="⚠ REVISAR",DASHBOARD!A97,"")</f>
        <v/>
      </c>
      <c r="C99" s="85">
        <f>IF(DASHBOARD!G97="⚠ REVISAR",DASHBOARD!C97,"")</f>
        <v/>
      </c>
      <c r="D99" s="192">
        <f>IF(DASHBOARD!G97="⚠ REVISAR",DASHBOARD!D97,"")</f>
        <v/>
      </c>
      <c r="E99" s="192">
        <f>IF(DASHBOARD!G97="⚠ REVISAR",DASHBOARD!E97,"")</f>
        <v/>
      </c>
      <c r="F99" s="192" t="n"/>
    </row>
    <row r="100" ht="13.95" customHeight="1" s="147">
      <c r="A100" s="196">
        <f>IF(DASHBOARD!G98="⚠ REVISAR",80,"")</f>
        <v/>
      </c>
      <c r="B100" s="196">
        <f>IF(DASHBOARD!G98="⚠ REVISAR",DASHBOARD!A98,"")</f>
        <v/>
      </c>
      <c r="C100" s="87">
        <f>IF(DASHBOARD!G98="⚠ REVISAR",DASHBOARD!C98,"")</f>
        <v/>
      </c>
      <c r="D100" s="196">
        <f>IF(DASHBOARD!G98="⚠ REVISAR",DASHBOARD!D98,"")</f>
        <v/>
      </c>
      <c r="E100" s="196">
        <f>IF(DASHBOARD!G98="⚠ REVISAR",DASHBOARD!E98,"")</f>
        <v/>
      </c>
      <c r="F100" s="196" t="n"/>
    </row>
    <row r="101" ht="13.95" customHeight="1" s="147">
      <c r="A101" s="192">
        <f>IF(DASHBOARD!G99="⚠ REVISAR",81,"")</f>
        <v/>
      </c>
      <c r="B101" s="192">
        <f>IF(DASHBOARD!G99="⚠ REVISAR",DASHBOARD!A99,"")</f>
        <v/>
      </c>
      <c r="C101" s="85">
        <f>IF(DASHBOARD!G99="⚠ REVISAR",DASHBOARD!C99,"")</f>
        <v/>
      </c>
      <c r="D101" s="192">
        <f>IF(DASHBOARD!G99="⚠ REVISAR",DASHBOARD!D99,"")</f>
        <v/>
      </c>
      <c r="E101" s="192">
        <f>IF(DASHBOARD!G99="⚠ REVISAR",DASHBOARD!E99,"")</f>
        <v/>
      </c>
      <c r="F101" s="192" t="n"/>
    </row>
    <row r="102" ht="13.95" customHeight="1" s="147">
      <c r="A102" s="196">
        <f>IF(DASHBOARD!G100="⚠ REVISAR",82,"")</f>
        <v/>
      </c>
      <c r="B102" s="196">
        <f>IF(DASHBOARD!G100="⚠ REVISAR",DASHBOARD!A100,"")</f>
        <v/>
      </c>
      <c r="C102" s="87">
        <f>IF(DASHBOARD!G100="⚠ REVISAR",DASHBOARD!C100,"")</f>
        <v/>
      </c>
      <c r="D102" s="196">
        <f>IF(DASHBOARD!G100="⚠ REVISAR",DASHBOARD!D100,"")</f>
        <v/>
      </c>
      <c r="E102" s="196">
        <f>IF(DASHBOARD!G100="⚠ REVISAR",DASHBOARD!E100,"")</f>
        <v/>
      </c>
      <c r="F102" s="196" t="n"/>
    </row>
    <row r="103" ht="13.95" customHeight="1" s="147">
      <c r="A103" s="192">
        <f>IF(DASHBOARD!G101="⚠ REVISAR",83,"")</f>
        <v/>
      </c>
      <c r="B103" s="192">
        <f>IF(DASHBOARD!G101="⚠ REVISAR",DASHBOARD!A101,"")</f>
        <v/>
      </c>
      <c r="C103" s="85">
        <f>IF(DASHBOARD!G101="⚠ REVISAR",DASHBOARD!C101,"")</f>
        <v/>
      </c>
      <c r="D103" s="192">
        <f>IF(DASHBOARD!G101="⚠ REVISAR",DASHBOARD!D101,"")</f>
        <v/>
      </c>
      <c r="E103" s="192">
        <f>IF(DASHBOARD!G101="⚠ REVISAR",DASHBOARD!E101,"")</f>
        <v/>
      </c>
      <c r="F103" s="192" t="n"/>
    </row>
    <row r="104" ht="13.95" customHeight="1" s="147">
      <c r="A104" s="196">
        <f>IF(DASHBOARD!G102="⚠ REVISAR",84,"")</f>
        <v/>
      </c>
      <c r="B104" s="196">
        <f>IF(DASHBOARD!G102="⚠ REVISAR",DASHBOARD!A102,"")</f>
        <v/>
      </c>
      <c r="C104" s="87">
        <f>IF(DASHBOARD!G102="⚠ REVISAR",DASHBOARD!C102,"")</f>
        <v/>
      </c>
      <c r="D104" s="196">
        <f>IF(DASHBOARD!G102="⚠ REVISAR",DASHBOARD!D102,"")</f>
        <v/>
      </c>
      <c r="E104" s="196">
        <f>IF(DASHBOARD!G102="⚠ REVISAR",DASHBOARD!E102,"")</f>
        <v/>
      </c>
      <c r="F104" s="196" t="n"/>
    </row>
    <row r="105" ht="13.95" customHeight="1" s="147">
      <c r="A105" s="192">
        <f>IF(DASHBOARD!G103="⚠ REVISAR",85,"")</f>
        <v/>
      </c>
      <c r="B105" s="192">
        <f>IF(DASHBOARD!G103="⚠ REVISAR",DASHBOARD!A103,"")</f>
        <v/>
      </c>
      <c r="C105" s="85">
        <f>IF(DASHBOARD!G103="⚠ REVISAR",DASHBOARD!C103,"")</f>
        <v/>
      </c>
      <c r="D105" s="192">
        <f>IF(DASHBOARD!G103="⚠ REVISAR",DASHBOARD!D103,"")</f>
        <v/>
      </c>
      <c r="E105" s="192">
        <f>IF(DASHBOARD!G103="⚠ REVISAR",DASHBOARD!E103,"")</f>
        <v/>
      </c>
      <c r="F105" s="192" t="n"/>
    </row>
    <row r="106" ht="13.95" customHeight="1" s="147">
      <c r="A106" s="196">
        <f>IF(DASHBOARD!G104="⚠ REVISAR",86,"")</f>
        <v/>
      </c>
      <c r="B106" s="196">
        <f>IF(DASHBOARD!G104="⚠ REVISAR",DASHBOARD!A104,"")</f>
        <v/>
      </c>
      <c r="C106" s="87">
        <f>IF(DASHBOARD!G104="⚠ REVISAR",DASHBOARD!C104,"")</f>
        <v/>
      </c>
      <c r="D106" s="196">
        <f>IF(DASHBOARD!G104="⚠ REVISAR",DASHBOARD!D104,"")</f>
        <v/>
      </c>
      <c r="E106" s="196">
        <f>IF(DASHBOARD!G104="⚠ REVISAR",DASHBOARD!E104,"")</f>
        <v/>
      </c>
      <c r="F106" s="196" t="n"/>
    </row>
    <row r="107" ht="13.95" customHeight="1" s="147">
      <c r="A107" s="192">
        <f>IF(DASHBOARD!G105="⚠ REVISAR",87,"")</f>
        <v/>
      </c>
      <c r="B107" s="192">
        <f>IF(DASHBOARD!G105="⚠ REVISAR",DASHBOARD!A105,"")</f>
        <v/>
      </c>
      <c r="C107" s="85">
        <f>IF(DASHBOARD!G105="⚠ REVISAR",DASHBOARD!C105,"")</f>
        <v/>
      </c>
      <c r="D107" s="192">
        <f>IF(DASHBOARD!G105="⚠ REVISAR",DASHBOARD!D105,"")</f>
        <v/>
      </c>
      <c r="E107" s="192">
        <f>IF(DASHBOARD!G105="⚠ REVISAR",DASHBOARD!E105,"")</f>
        <v/>
      </c>
      <c r="F107" s="192" t="n"/>
    </row>
    <row r="108" ht="13.95" customHeight="1" s="147">
      <c r="A108" s="196">
        <f>IF(DASHBOARD!G106="⚠ REVISAR",88,"")</f>
        <v/>
      </c>
      <c r="B108" s="196">
        <f>IF(DASHBOARD!G106="⚠ REVISAR",DASHBOARD!A106,"")</f>
        <v/>
      </c>
      <c r="C108" s="87">
        <f>IF(DASHBOARD!G106="⚠ REVISAR",DASHBOARD!C106,"")</f>
        <v/>
      </c>
      <c r="D108" s="196">
        <f>IF(DASHBOARD!G106="⚠ REVISAR",DASHBOARD!D106,"")</f>
        <v/>
      </c>
      <c r="E108" s="196">
        <f>IF(DASHBOARD!G106="⚠ REVISAR",DASHBOARD!E106,"")</f>
        <v/>
      </c>
      <c r="F108" s="196" t="n"/>
    </row>
    <row r="109" ht="13.95" customHeight="1" s="147">
      <c r="A109" s="192">
        <f>IF(DASHBOARD!G107="⚠ REVISAR",89,"")</f>
        <v/>
      </c>
      <c r="B109" s="192">
        <f>IF(DASHBOARD!G107="⚠ REVISAR",DASHBOARD!A107,"")</f>
        <v/>
      </c>
      <c r="C109" s="85">
        <f>IF(DASHBOARD!G107="⚠ REVISAR",DASHBOARD!C107,"")</f>
        <v/>
      </c>
      <c r="D109" s="192">
        <f>IF(DASHBOARD!G107="⚠ REVISAR",DASHBOARD!D107,"")</f>
        <v/>
      </c>
      <c r="E109" s="192">
        <f>IF(DASHBOARD!G107="⚠ REVISAR",DASHBOARD!E107,"")</f>
        <v/>
      </c>
      <c r="F109" s="192" t="n"/>
    </row>
    <row r="110" ht="13.95" customHeight="1" s="147">
      <c r="A110" s="196">
        <f>IF(DASHBOARD!G108="⚠ REVISAR",90,"")</f>
        <v/>
      </c>
      <c r="B110" s="196">
        <f>IF(DASHBOARD!G108="⚠ REVISAR",DASHBOARD!A108,"")</f>
        <v/>
      </c>
      <c r="C110" s="87">
        <f>IF(DASHBOARD!G108="⚠ REVISAR",DASHBOARD!C108,"")</f>
        <v/>
      </c>
      <c r="D110" s="196">
        <f>IF(DASHBOARD!G108="⚠ REVISAR",DASHBOARD!D108,"")</f>
        <v/>
      </c>
      <c r="E110" s="196">
        <f>IF(DASHBOARD!G108="⚠ REVISAR",DASHBOARD!E108,"")</f>
        <v/>
      </c>
      <c r="F110" s="196" t="n"/>
    </row>
    <row r="111" ht="13.95" customHeight="1" s="147">
      <c r="A111" s="192">
        <f>IF(DASHBOARD!G109="⚠ REVISAR",91,"")</f>
        <v/>
      </c>
      <c r="B111" s="192">
        <f>IF(DASHBOARD!G109="⚠ REVISAR",DASHBOARD!A109,"")</f>
        <v/>
      </c>
      <c r="C111" s="85">
        <f>IF(DASHBOARD!G109="⚠ REVISAR",DASHBOARD!C109,"")</f>
        <v/>
      </c>
      <c r="D111" s="192">
        <f>IF(DASHBOARD!G109="⚠ REVISAR",DASHBOARD!D109,"")</f>
        <v/>
      </c>
      <c r="E111" s="192">
        <f>IF(DASHBOARD!G109="⚠ REVISAR",DASHBOARD!E109,"")</f>
        <v/>
      </c>
      <c r="F111" s="192" t="n"/>
    </row>
    <row r="112" ht="13.95" customHeight="1" s="147">
      <c r="A112" s="196">
        <f>IF(DASHBOARD!G110="⚠ REVISAR",92,"")</f>
        <v/>
      </c>
      <c r="B112" s="196">
        <f>IF(DASHBOARD!G110="⚠ REVISAR",DASHBOARD!A110,"")</f>
        <v/>
      </c>
      <c r="C112" s="87">
        <f>IF(DASHBOARD!G110="⚠ REVISAR",DASHBOARD!C110,"")</f>
        <v/>
      </c>
      <c r="D112" s="196">
        <f>IF(DASHBOARD!G110="⚠ REVISAR",DASHBOARD!D110,"")</f>
        <v/>
      </c>
      <c r="E112" s="196">
        <f>IF(DASHBOARD!G110="⚠ REVISAR",DASHBOARD!E110,"")</f>
        <v/>
      </c>
      <c r="F112" s="196" t="n"/>
    </row>
    <row r="113" ht="13.95" customHeight="1" s="147">
      <c r="A113" s="192">
        <f>IF(DASHBOARD!G111="⚠ REVISAR",93,"")</f>
        <v/>
      </c>
      <c r="B113" s="192">
        <f>IF(DASHBOARD!G111="⚠ REVISAR",DASHBOARD!A111,"")</f>
        <v/>
      </c>
      <c r="C113" s="85">
        <f>IF(DASHBOARD!G111="⚠ REVISAR",DASHBOARD!C111,"")</f>
        <v/>
      </c>
      <c r="D113" s="192">
        <f>IF(DASHBOARD!G111="⚠ REVISAR",DASHBOARD!D111,"")</f>
        <v/>
      </c>
      <c r="E113" s="192">
        <f>IF(DASHBOARD!G111="⚠ REVISAR",DASHBOARD!E111,"")</f>
        <v/>
      </c>
      <c r="F113" s="192" t="n"/>
    </row>
    <row r="114" ht="13.95" customHeight="1" s="147">
      <c r="A114" s="196">
        <f>IF(DASHBOARD!G112="⚠ REVISAR",94,"")</f>
        <v/>
      </c>
      <c r="B114" s="196">
        <f>IF(DASHBOARD!G112="⚠ REVISAR",DASHBOARD!A112,"")</f>
        <v/>
      </c>
      <c r="C114" s="87">
        <f>IF(DASHBOARD!G112="⚠ REVISAR",DASHBOARD!C112,"")</f>
        <v/>
      </c>
      <c r="D114" s="196">
        <f>IF(DASHBOARD!G112="⚠ REVISAR",DASHBOARD!D112,"")</f>
        <v/>
      </c>
      <c r="E114" s="196">
        <f>IF(DASHBOARD!G112="⚠ REVISAR",DASHBOARD!E112,"")</f>
        <v/>
      </c>
      <c r="F114" s="196" t="n"/>
    </row>
    <row r="115" ht="13.95" customHeight="1" s="147">
      <c r="A115" s="192">
        <f>IF(DASHBOARD!G113="⚠ REVISAR",95,"")</f>
        <v/>
      </c>
      <c r="B115" s="192">
        <f>IF(DASHBOARD!G113="⚠ REVISAR",DASHBOARD!A113,"")</f>
        <v/>
      </c>
      <c r="C115" s="85">
        <f>IF(DASHBOARD!G113="⚠ REVISAR",DASHBOARD!C113,"")</f>
        <v/>
      </c>
      <c r="D115" s="192">
        <f>IF(DASHBOARD!G113="⚠ REVISAR",DASHBOARD!D113,"")</f>
        <v/>
      </c>
      <c r="E115" s="192">
        <f>IF(DASHBOARD!G113="⚠ REVISAR",DASHBOARD!E113,"")</f>
        <v/>
      </c>
      <c r="F115" s="192" t="n"/>
    </row>
    <row r="116" ht="13.95" customHeight="1" s="147">
      <c r="A116" s="196">
        <f>IF(DASHBOARD!G114="⚠ REVISAR",96,"")</f>
        <v/>
      </c>
      <c r="B116" s="196">
        <f>IF(DASHBOARD!G114="⚠ REVISAR",DASHBOARD!A114,"")</f>
        <v/>
      </c>
      <c r="C116" s="87">
        <f>IF(DASHBOARD!G114="⚠ REVISAR",DASHBOARD!C114,"")</f>
        <v/>
      </c>
      <c r="D116" s="196">
        <f>IF(DASHBOARD!G114="⚠ REVISAR",DASHBOARD!D114,"")</f>
        <v/>
      </c>
      <c r="E116" s="196">
        <f>IF(DASHBOARD!G114="⚠ REVISAR",DASHBOARD!E114,"")</f>
        <v/>
      </c>
      <c r="F116" s="196" t="n"/>
    </row>
    <row r="117" ht="13.95" customHeight="1" s="147">
      <c r="A117" s="192">
        <f>IF(DASHBOARD!G115="⚠ REVISAR",97,"")</f>
        <v/>
      </c>
      <c r="B117" s="192">
        <f>IF(DASHBOARD!G115="⚠ REVISAR",DASHBOARD!A115,"")</f>
        <v/>
      </c>
      <c r="C117" s="85">
        <f>IF(DASHBOARD!G115="⚠ REVISAR",DASHBOARD!C115,"")</f>
        <v/>
      </c>
      <c r="D117" s="192">
        <f>IF(DASHBOARD!G115="⚠ REVISAR",DASHBOARD!D115,"")</f>
        <v/>
      </c>
      <c r="E117" s="192">
        <f>IF(DASHBOARD!G115="⚠ REVISAR",DASHBOARD!E115,"")</f>
        <v/>
      </c>
      <c r="F117" s="192" t="n"/>
    </row>
    <row r="118" ht="13.95" customHeight="1" s="147">
      <c r="A118" s="196">
        <f>IF(DASHBOARD!G116="⚠ REVISAR",98,"")</f>
        <v/>
      </c>
      <c r="B118" s="196">
        <f>IF(DASHBOARD!G116="⚠ REVISAR",DASHBOARD!A116,"")</f>
        <v/>
      </c>
      <c r="C118" s="87">
        <f>IF(DASHBOARD!G116="⚠ REVISAR",DASHBOARD!C116,"")</f>
        <v/>
      </c>
      <c r="D118" s="196">
        <f>IF(DASHBOARD!G116="⚠ REVISAR",DASHBOARD!D116,"")</f>
        <v/>
      </c>
      <c r="E118" s="196">
        <f>IF(DASHBOARD!G116="⚠ REVISAR",DASHBOARD!E116,"")</f>
        <v/>
      </c>
      <c r="F118" s="196" t="n"/>
    </row>
    <row r="119" ht="13.95" customHeight="1" s="147">
      <c r="A119" s="192">
        <f>IF(DASHBOARD!G117="⚠ REVISAR",99,"")</f>
        <v/>
      </c>
      <c r="B119" s="192">
        <f>IF(DASHBOARD!G117="⚠ REVISAR",DASHBOARD!A117,"")</f>
        <v/>
      </c>
      <c r="C119" s="85">
        <f>IF(DASHBOARD!G117="⚠ REVISAR",DASHBOARD!C117,"")</f>
        <v/>
      </c>
      <c r="D119" s="192">
        <f>IF(DASHBOARD!G117="⚠ REVISAR",DASHBOARD!D117,"")</f>
        <v/>
      </c>
      <c r="E119" s="192">
        <f>IF(DASHBOARD!G117="⚠ REVISAR",DASHBOARD!E117,"")</f>
        <v/>
      </c>
      <c r="F119" s="192" t="n"/>
    </row>
    <row r="120" ht="13.95" customHeight="1" s="147">
      <c r="A120" s="196">
        <f>IF(DASHBOARD!G118="⚠ REVISAR",100,"")</f>
        <v/>
      </c>
      <c r="B120" s="196">
        <f>IF(DASHBOARD!G118="⚠ REVISAR",DASHBOARD!A118,"")</f>
        <v/>
      </c>
      <c r="C120" s="87">
        <f>IF(DASHBOARD!G118="⚠ REVISAR",DASHBOARD!C118,"")</f>
        <v/>
      </c>
      <c r="D120" s="196">
        <f>IF(DASHBOARD!G118="⚠ REVISAR",DASHBOARD!D118,"")</f>
        <v/>
      </c>
      <c r="E120" s="196">
        <f>IF(DASHBOARD!G118="⚠ REVISAR",DASHBOARD!E118,"")</f>
        <v/>
      </c>
      <c r="F120" s="196" t="n"/>
    </row>
    <row r="121" ht="13.95" customHeight="1" s="147">
      <c r="A121" s="192">
        <f>IF(DASHBOARD!G119="⚠ REVISAR",101,"")</f>
        <v/>
      </c>
      <c r="B121" s="192">
        <f>IF(DASHBOARD!G119="⚠ REVISAR",DASHBOARD!A119,"")</f>
        <v/>
      </c>
      <c r="C121" s="85">
        <f>IF(DASHBOARD!G119="⚠ REVISAR",DASHBOARD!C119,"")</f>
        <v/>
      </c>
      <c r="D121" s="192">
        <f>IF(DASHBOARD!G119="⚠ REVISAR",DASHBOARD!D119,"")</f>
        <v/>
      </c>
      <c r="E121" s="192">
        <f>IF(DASHBOARD!G119="⚠ REVISAR",DASHBOARD!E119,"")</f>
        <v/>
      </c>
      <c r="F121" s="192" t="n"/>
    </row>
    <row r="122" ht="13.95" customHeight="1" s="147">
      <c r="A122" s="196">
        <f>IF(DASHBOARD!G120="⚠ REVISAR",102,"")</f>
        <v/>
      </c>
      <c r="B122" s="196">
        <f>IF(DASHBOARD!G120="⚠ REVISAR",DASHBOARD!A120,"")</f>
        <v/>
      </c>
      <c r="C122" s="87">
        <f>IF(DASHBOARD!G120="⚠ REVISAR",DASHBOARD!C120,"")</f>
        <v/>
      </c>
      <c r="D122" s="196">
        <f>IF(DASHBOARD!G120="⚠ REVISAR",DASHBOARD!D120,"")</f>
        <v/>
      </c>
      <c r="E122" s="196">
        <f>IF(DASHBOARD!G120="⚠ REVISAR",DASHBOARD!E120,"")</f>
        <v/>
      </c>
      <c r="F122" s="196" t="n"/>
    </row>
    <row r="123" ht="13.95" customHeight="1" s="147">
      <c r="A123" s="192">
        <f>IF(DASHBOARD!G121="⚠ REVISAR",103,"")</f>
        <v/>
      </c>
      <c r="B123" s="192">
        <f>IF(DASHBOARD!G121="⚠ REVISAR",DASHBOARD!A121,"")</f>
        <v/>
      </c>
      <c r="C123" s="85">
        <f>IF(DASHBOARD!G121="⚠ REVISAR",DASHBOARD!C121,"")</f>
        <v/>
      </c>
      <c r="D123" s="192">
        <f>IF(DASHBOARD!G121="⚠ REVISAR",DASHBOARD!D121,"")</f>
        <v/>
      </c>
      <c r="E123" s="192">
        <f>IF(DASHBOARD!G121="⚠ REVISAR",DASHBOARD!E121,"")</f>
        <v/>
      </c>
      <c r="F123" s="192" t="n"/>
    </row>
    <row r="124" ht="13.95" customHeight="1" s="147">
      <c r="A124" s="196">
        <f>IF(DASHBOARD!G122="⚠ REVISAR",104,"")</f>
        <v/>
      </c>
      <c r="B124" s="196">
        <f>IF(DASHBOARD!G122="⚠ REVISAR",DASHBOARD!A122,"")</f>
        <v/>
      </c>
      <c r="C124" s="87">
        <f>IF(DASHBOARD!G122="⚠ REVISAR",DASHBOARD!C122,"")</f>
        <v/>
      </c>
      <c r="D124" s="196">
        <f>IF(DASHBOARD!G122="⚠ REVISAR",DASHBOARD!D122,"")</f>
        <v/>
      </c>
      <c r="E124" s="196">
        <f>IF(DASHBOARD!G122="⚠ REVISAR",DASHBOARD!E122,"")</f>
        <v/>
      </c>
      <c r="F124" s="196" t="n"/>
    </row>
    <row r="125" ht="13.95" customHeight="1" s="147">
      <c r="A125" s="192">
        <f>IF(DASHBOARD!G123="⚠ REVISAR",105,"")</f>
        <v/>
      </c>
      <c r="B125" s="192">
        <f>IF(DASHBOARD!G123="⚠ REVISAR",DASHBOARD!A123,"")</f>
        <v/>
      </c>
      <c r="C125" s="85">
        <f>IF(DASHBOARD!G123="⚠ REVISAR",DASHBOARD!C123,"")</f>
        <v/>
      </c>
      <c r="D125" s="192">
        <f>IF(DASHBOARD!G123="⚠ REVISAR",DASHBOARD!D123,"")</f>
        <v/>
      </c>
      <c r="E125" s="192">
        <f>IF(DASHBOARD!G123="⚠ REVISAR",DASHBOARD!E123,"")</f>
        <v/>
      </c>
      <c r="F125" s="192" t="n"/>
    </row>
    <row r="126" ht="13.95" customHeight="1" s="147">
      <c r="A126" s="196">
        <f>IF(DASHBOARD!G124="⚠ REVISAR",106,"")</f>
        <v/>
      </c>
      <c r="B126" s="196">
        <f>IF(DASHBOARD!G124="⚠ REVISAR",DASHBOARD!A124,"")</f>
        <v/>
      </c>
      <c r="C126" s="87">
        <f>IF(DASHBOARD!G124="⚠ REVISAR",DASHBOARD!C124,"")</f>
        <v/>
      </c>
      <c r="D126" s="196">
        <f>IF(DASHBOARD!G124="⚠ REVISAR",DASHBOARD!D124,"")</f>
        <v/>
      </c>
      <c r="E126" s="196">
        <f>IF(DASHBOARD!G124="⚠ REVISAR",DASHBOARD!E124,"")</f>
        <v/>
      </c>
      <c r="F126" s="196" t="n"/>
    </row>
    <row r="127" ht="13.95" customHeight="1" s="147">
      <c r="A127" s="192">
        <f>IF(DASHBOARD!G125="⚠ REVISAR",107,"")</f>
        <v/>
      </c>
      <c r="B127" s="192">
        <f>IF(DASHBOARD!G125="⚠ REVISAR",DASHBOARD!A125,"")</f>
        <v/>
      </c>
      <c r="C127" s="85">
        <f>IF(DASHBOARD!G125="⚠ REVISAR",DASHBOARD!C125,"")</f>
        <v/>
      </c>
      <c r="D127" s="192">
        <f>IF(DASHBOARD!G125="⚠ REVISAR",DASHBOARD!D125,"")</f>
        <v/>
      </c>
      <c r="E127" s="192">
        <f>IF(DASHBOARD!G125="⚠ REVISAR",DASHBOARD!E125,"")</f>
        <v/>
      </c>
      <c r="F127" s="192" t="n"/>
    </row>
    <row r="128" ht="13.95" customHeight="1" s="147">
      <c r="A128" s="196">
        <f>IF(DASHBOARD!G126="⚠ REVISAR",108,"")</f>
        <v/>
      </c>
      <c r="B128" s="196">
        <f>IF(DASHBOARD!G126="⚠ REVISAR",DASHBOARD!A126,"")</f>
        <v/>
      </c>
      <c r="C128" s="87">
        <f>IF(DASHBOARD!G126="⚠ REVISAR",DASHBOARD!C126,"")</f>
        <v/>
      </c>
      <c r="D128" s="196">
        <f>IF(DASHBOARD!G126="⚠ REVISAR",DASHBOARD!D126,"")</f>
        <v/>
      </c>
      <c r="E128" s="196">
        <f>IF(DASHBOARD!G126="⚠ REVISAR",DASHBOARD!E126,"")</f>
        <v/>
      </c>
      <c r="F128" s="196" t="n"/>
    </row>
    <row r="129" ht="13.95" customHeight="1" s="147">
      <c r="A129" s="192">
        <f>IF(DASHBOARD!G127="⚠ REVISAR",109,"")</f>
        <v/>
      </c>
      <c r="B129" s="192">
        <f>IF(DASHBOARD!G127="⚠ REVISAR",DASHBOARD!A127,"")</f>
        <v/>
      </c>
      <c r="C129" s="85">
        <f>IF(DASHBOARD!G127="⚠ REVISAR",DASHBOARD!C127,"")</f>
        <v/>
      </c>
      <c r="D129" s="192">
        <f>IF(DASHBOARD!G127="⚠ REVISAR",DASHBOARD!D127,"")</f>
        <v/>
      </c>
      <c r="E129" s="192">
        <f>IF(DASHBOARD!G127="⚠ REVISAR",DASHBOARD!E127,"")</f>
        <v/>
      </c>
      <c r="F129" s="192" t="n"/>
    </row>
    <row r="130" ht="13.95" customHeight="1" s="147">
      <c r="A130" s="196">
        <f>IF(DASHBOARD!G128="⚠ REVISAR",110,"")</f>
        <v/>
      </c>
      <c r="B130" s="196">
        <f>IF(DASHBOARD!G128="⚠ REVISAR",DASHBOARD!A128,"")</f>
        <v/>
      </c>
      <c r="C130" s="87">
        <f>IF(DASHBOARD!G128="⚠ REVISAR",DASHBOARD!C128,"")</f>
        <v/>
      </c>
      <c r="D130" s="196">
        <f>IF(DASHBOARD!G128="⚠ REVISAR",DASHBOARD!D128,"")</f>
        <v/>
      </c>
      <c r="E130" s="196">
        <f>IF(DASHBOARD!G128="⚠ REVISAR",DASHBOARD!E128,"")</f>
        <v/>
      </c>
      <c r="F130" s="196" t="n"/>
    </row>
    <row r="131" ht="13.95" customHeight="1" s="147">
      <c r="A131" s="192">
        <f>IF(DASHBOARD!G129="⚠ REVISAR",111,"")</f>
        <v/>
      </c>
      <c r="B131" s="192">
        <f>IF(DASHBOARD!G129="⚠ REVISAR",DASHBOARD!A129,"")</f>
        <v/>
      </c>
      <c r="C131" s="85">
        <f>IF(DASHBOARD!G129="⚠ REVISAR",DASHBOARD!C129,"")</f>
        <v/>
      </c>
      <c r="D131" s="192">
        <f>IF(DASHBOARD!G129="⚠ REVISAR",DASHBOARD!D129,"")</f>
        <v/>
      </c>
      <c r="E131" s="192">
        <f>IF(DASHBOARD!G129="⚠ REVISAR",DASHBOARD!E129,"")</f>
        <v/>
      </c>
      <c r="F131" s="192" t="n"/>
    </row>
    <row r="132" ht="13.95" customHeight="1" s="147">
      <c r="A132" s="196">
        <f>IF(DASHBOARD!G130="⚠ REVISAR",112,"")</f>
        <v/>
      </c>
      <c r="B132" s="196">
        <f>IF(DASHBOARD!G130="⚠ REVISAR",DASHBOARD!A130,"")</f>
        <v/>
      </c>
      <c r="C132" s="87">
        <f>IF(DASHBOARD!G130="⚠ REVISAR",DASHBOARD!C130,"")</f>
        <v/>
      </c>
      <c r="D132" s="196">
        <f>IF(DASHBOARD!G130="⚠ REVISAR",DASHBOARD!D130,"")</f>
        <v/>
      </c>
      <c r="E132" s="196">
        <f>IF(DASHBOARD!G130="⚠ REVISAR",DASHBOARD!E130,"")</f>
        <v/>
      </c>
      <c r="F132" s="196" t="n"/>
    </row>
    <row r="133" ht="13.95" customHeight="1" s="147">
      <c r="A133" s="192">
        <f>IF(DASHBOARD!G131="⚠ REVISAR",113,"")</f>
        <v/>
      </c>
      <c r="B133" s="192">
        <f>IF(DASHBOARD!G131="⚠ REVISAR",DASHBOARD!A131,"")</f>
        <v/>
      </c>
      <c r="C133" s="85">
        <f>IF(DASHBOARD!G131="⚠ REVISAR",DASHBOARD!C131,"")</f>
        <v/>
      </c>
      <c r="D133" s="192">
        <f>IF(DASHBOARD!G131="⚠ REVISAR",DASHBOARD!D131,"")</f>
        <v/>
      </c>
      <c r="E133" s="192">
        <f>IF(DASHBOARD!G131="⚠ REVISAR",DASHBOARD!E131,"")</f>
        <v/>
      </c>
      <c r="F133" s="192" t="n"/>
    </row>
    <row r="134" ht="13.95" customHeight="1" s="147">
      <c r="A134" s="196">
        <f>IF(DASHBOARD!G132="⚠ REVISAR",114,"")</f>
        <v/>
      </c>
      <c r="B134" s="196">
        <f>IF(DASHBOARD!G132="⚠ REVISAR",DASHBOARD!A132,"")</f>
        <v/>
      </c>
      <c r="C134" s="87">
        <f>IF(DASHBOARD!G132="⚠ REVISAR",DASHBOARD!C132,"")</f>
        <v/>
      </c>
      <c r="D134" s="196">
        <f>IF(DASHBOARD!G132="⚠ REVISAR",DASHBOARD!D132,"")</f>
        <v/>
      </c>
      <c r="E134" s="196">
        <f>IF(DASHBOARD!G132="⚠ REVISAR",DASHBOARD!E132,"")</f>
        <v/>
      </c>
      <c r="F134" s="196" t="n"/>
    </row>
    <row r="135" ht="13.95" customHeight="1" s="147">
      <c r="A135" s="192">
        <f>IF(DASHBOARD!G133="⚠ REVISAR",115,"")</f>
        <v/>
      </c>
      <c r="B135" s="192">
        <f>IF(DASHBOARD!G133="⚠ REVISAR",DASHBOARD!A133,"")</f>
        <v/>
      </c>
      <c r="C135" s="85">
        <f>IF(DASHBOARD!G133="⚠ REVISAR",DASHBOARD!C133,"")</f>
        <v/>
      </c>
      <c r="D135" s="192">
        <f>IF(DASHBOARD!G133="⚠ REVISAR",DASHBOARD!D133,"")</f>
        <v/>
      </c>
      <c r="E135" s="192">
        <f>IF(DASHBOARD!G133="⚠ REVISAR",DASHBOARD!E133,"")</f>
        <v/>
      </c>
      <c r="F135" s="192" t="n"/>
    </row>
    <row r="136" ht="13.95" customHeight="1" s="147">
      <c r="A136" s="196">
        <f>IF(DASHBOARD!G134="⚠ REVISAR",116,"")</f>
        <v/>
      </c>
      <c r="B136" s="196">
        <f>IF(DASHBOARD!G134="⚠ REVISAR",DASHBOARD!A134,"")</f>
        <v/>
      </c>
      <c r="C136" s="87">
        <f>IF(DASHBOARD!G134="⚠ REVISAR",DASHBOARD!C134,"")</f>
        <v/>
      </c>
      <c r="D136" s="196">
        <f>IF(DASHBOARD!G134="⚠ REVISAR",DASHBOARD!D134,"")</f>
        <v/>
      </c>
      <c r="E136" s="196">
        <f>IF(DASHBOARD!G134="⚠ REVISAR",DASHBOARD!E134,"")</f>
        <v/>
      </c>
      <c r="F136" s="196" t="n"/>
    </row>
    <row r="137" ht="13.95" customHeight="1" s="147">
      <c r="A137" s="192">
        <f>IF(DASHBOARD!G135="⚠ REVISAR",117,"")</f>
        <v/>
      </c>
      <c r="B137" s="192">
        <f>IF(DASHBOARD!G135="⚠ REVISAR",DASHBOARD!A135,"")</f>
        <v/>
      </c>
      <c r="C137" s="85">
        <f>IF(DASHBOARD!G135="⚠ REVISAR",DASHBOARD!C135,"")</f>
        <v/>
      </c>
      <c r="D137" s="192">
        <f>IF(DASHBOARD!G135="⚠ REVISAR",DASHBOARD!D135,"")</f>
        <v/>
      </c>
      <c r="E137" s="192">
        <f>IF(DASHBOARD!G135="⚠ REVISAR",DASHBOARD!E135,"")</f>
        <v/>
      </c>
      <c r="F137" s="192" t="n"/>
    </row>
    <row r="138" ht="13.95" customHeight="1" s="147">
      <c r="A138" s="196">
        <f>IF(DASHBOARD!G136="⚠ REVISAR",118,"")</f>
        <v/>
      </c>
      <c r="B138" s="196">
        <f>IF(DASHBOARD!G136="⚠ REVISAR",DASHBOARD!A136,"")</f>
        <v/>
      </c>
      <c r="C138" s="87">
        <f>IF(DASHBOARD!G136="⚠ REVISAR",DASHBOARD!C136,"")</f>
        <v/>
      </c>
      <c r="D138" s="196">
        <f>IF(DASHBOARD!G136="⚠ REVISAR",DASHBOARD!D136,"")</f>
        <v/>
      </c>
      <c r="E138" s="196">
        <f>IF(DASHBOARD!G136="⚠ REVISAR",DASHBOARD!E136,"")</f>
        <v/>
      </c>
      <c r="F138" s="196" t="n"/>
    </row>
    <row r="139" ht="13.95" customHeight="1" s="147">
      <c r="A139" s="192">
        <f>IF(DASHBOARD!G137="⚠ REVISAR",119,"")</f>
        <v/>
      </c>
      <c r="B139" s="192">
        <f>IF(DASHBOARD!G137="⚠ REVISAR",DASHBOARD!A137,"")</f>
        <v/>
      </c>
      <c r="C139" s="85">
        <f>IF(DASHBOARD!G137="⚠ REVISAR",DASHBOARD!C137,"")</f>
        <v/>
      </c>
      <c r="D139" s="192">
        <f>IF(DASHBOARD!G137="⚠ REVISAR",DASHBOARD!D137,"")</f>
        <v/>
      </c>
      <c r="E139" s="192">
        <f>IF(DASHBOARD!G137="⚠ REVISAR",DASHBOARD!E137,"")</f>
        <v/>
      </c>
      <c r="F139" s="192" t="n"/>
    </row>
    <row r="140" ht="13.95" customHeight="1" s="147">
      <c r="A140" s="196">
        <f>IF(DASHBOARD!G138="⚠ REVISAR",120,"")</f>
        <v/>
      </c>
      <c r="B140" s="196">
        <f>IF(DASHBOARD!G138="⚠ REVISAR",DASHBOARD!A138,"")</f>
        <v/>
      </c>
      <c r="C140" s="87">
        <f>IF(DASHBOARD!G138="⚠ REVISAR",DASHBOARD!C138,"")</f>
        <v/>
      </c>
      <c r="D140" s="196">
        <f>IF(DASHBOARD!G138="⚠ REVISAR",DASHBOARD!D138,"")</f>
        <v/>
      </c>
      <c r="E140" s="196">
        <f>IF(DASHBOARD!G138="⚠ REVISAR",DASHBOARD!E138,"")</f>
        <v/>
      </c>
      <c r="F140" s="196" t="n"/>
    </row>
    <row r="143" ht="18" customHeight="1" s="147">
      <c r="A143" s="247" t="inlineStr">
        <is>
          <t>4. FIRMAS Y APROBACIÓN</t>
        </is>
      </c>
      <c r="B143" s="193" t="n"/>
      <c r="C143" s="193" t="n"/>
      <c r="D143" s="193" t="n"/>
      <c r="E143" s="193" t="n"/>
      <c r="F143" s="193" t="n"/>
      <c r="G143" s="193" t="n"/>
      <c r="H143" s="193" t="n"/>
      <c r="I143" s="193" t="n"/>
      <c r="J143" s="193" t="n"/>
      <c r="K143" s="193" t="n"/>
      <c r="L143" s="193" t="n"/>
      <c r="M143" s="193" t="n"/>
      <c r="N143" s="193" t="n"/>
      <c r="O143" s="193" t="n"/>
      <c r="P143" s="194" t="n"/>
    </row>
    <row r="145">
      <c r="A145" s="246" t="inlineStr">
        <is>
          <t>Docente:  Elmer Tugri</t>
        </is>
      </c>
    </row>
    <row r="146">
      <c r="A146" s="251" t="inlineStr">
        <is>
          <t>Firma: _________________________________</t>
        </is>
      </c>
    </row>
    <row r="148">
      <c r="A148" s="246" t="inlineStr">
        <is>
          <t xml:space="preserve">Director(a):  </t>
        </is>
      </c>
    </row>
    <row r="149">
      <c r="A149" s="251" t="inlineStr">
        <is>
          <t>Firma: _________________________________</t>
        </is>
      </c>
    </row>
    <row r="151">
      <c r="A151" s="246" t="inlineStr">
        <is>
          <t xml:space="preserve">Fecha de entrega:  </t>
        </is>
      </c>
    </row>
    <row r="152">
      <c r="A152" s="251" t="inlineStr">
        <is>
          <t>Firma: _________________________________</t>
        </is>
      </c>
    </row>
  </sheetData>
  <mergeCells count="17">
    <mergeCell ref="C151:E152"/>
    <mergeCell ref="A148:B148"/>
    <mergeCell ref="A13:P13"/>
    <mergeCell ref="A1:P1"/>
    <mergeCell ref="A152:B152"/>
    <mergeCell ref="A151:B151"/>
    <mergeCell ref="A2:P2"/>
    <mergeCell ref="A6:P6"/>
    <mergeCell ref="C145:E146"/>
    <mergeCell ref="A4:P4"/>
    <mergeCell ref="A143:P143"/>
    <mergeCell ref="A3:P3"/>
    <mergeCell ref="A149:B149"/>
    <mergeCell ref="A146:B146"/>
    <mergeCell ref="C148:E149"/>
    <mergeCell ref="A19:P19"/>
    <mergeCell ref="A145:B14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134"/>
  <sheetViews>
    <sheetView workbookViewId="0">
      <selection activeCell="A1" sqref="A1"/>
    </sheetView>
  </sheetViews>
  <sheetFormatPr baseColWidth="10" defaultColWidth="8.88671875" defaultRowHeight="14.4"/>
  <cols>
    <col width="6" customWidth="1" style="147" min="1" max="1"/>
    <col width="32" customWidth="1" style="147" min="2" max="2"/>
    <col width="14" customWidth="1" style="147" min="3" max="3"/>
    <col width="16" customWidth="1" style="147" min="4" max="4"/>
    <col width="14" customWidth="1" style="147" min="5" max="5"/>
  </cols>
  <sheetData>
    <row r="1" ht="24" customHeight="1" s="147">
      <c r="A1" s="257" t="inlineStr">
        <is>
          <t>LISTA DE ESTUDIANTES APROBADOS — AÑO LECTIVO 2026</t>
        </is>
      </c>
      <c r="B1" s="193" t="n"/>
      <c r="C1" s="193" t="n"/>
      <c r="D1" s="193" t="n"/>
      <c r="E1" s="193" t="n"/>
      <c r="F1" s="193" t="n"/>
      <c r="G1" s="193" t="n"/>
      <c r="H1" s="193" t="n"/>
      <c r="I1" s="193" t="n"/>
      <c r="J1" s="193" t="n"/>
      <c r="K1" s="193" t="n"/>
      <c r="L1" s="194" t="n"/>
    </row>
    <row r="2" ht="16.05" customHeight="1" s="147">
      <c r="A2" s="255" t="inlineStr">
        <is>
          <t>Escuela Cerro Cacicón · Prof. Elmer Tugri · Premedia Multigrado</t>
        </is>
      </c>
      <c r="B2" s="193" t="n"/>
      <c r="C2" s="193" t="n"/>
      <c r="D2" s="193" t="n"/>
      <c r="E2" s="193" t="n"/>
      <c r="F2" s="193" t="n"/>
      <c r="G2" s="193" t="n"/>
      <c r="H2" s="193" t="n"/>
      <c r="I2" s="193" t="n"/>
      <c r="J2" s="193" t="n"/>
      <c r="K2" s="193" t="n"/>
      <c r="L2" s="194" t="n"/>
    </row>
    <row r="4" ht="19.95" customHeight="1" s="147">
      <c r="A4" s="247" t="inlineStr">
        <is>
          <t>ESTUDIANTES APROBADOS — 1° GRADO</t>
        </is>
      </c>
      <c r="B4" s="193" t="n"/>
      <c r="C4" s="193" t="n"/>
      <c r="D4" s="193" t="n"/>
      <c r="E4" s="193" t="n"/>
      <c r="F4" s="193" t="n"/>
      <c r="G4" s="193" t="n"/>
      <c r="H4" s="193" t="n"/>
      <c r="I4" s="193" t="n"/>
      <c r="J4" s="193" t="n"/>
      <c r="K4" s="193" t="n"/>
      <c r="L4" s="194" t="n"/>
    </row>
    <row r="5" ht="18" customHeight="1" s="147">
      <c r="A5" s="126" t="inlineStr">
        <is>
          <t>No.</t>
        </is>
      </c>
      <c r="B5" s="126" t="inlineStr">
        <is>
          <t>APELLIDO, NOMBRE</t>
        </is>
      </c>
      <c r="C5" s="126" t="inlineStr">
        <is>
          <t>INGLÉS FINAL</t>
        </is>
      </c>
      <c r="D5" s="126" t="inlineStr">
        <is>
          <t>TECNOLOGÍA FINAL</t>
        </is>
      </c>
      <c r="E5" s="126" t="inlineStr">
        <is>
          <t>NOTA PROMEDIO</t>
        </is>
      </c>
    </row>
    <row r="6" ht="13.95" customHeight="1" s="147">
      <c r="A6" s="127">
        <f>IF(RESUMEN_1°!L5="✓ APROBADO",1,"")</f>
        <v/>
      </c>
      <c r="B6" s="128">
        <f>IF(RESUMEN_1°!L5="✓ APROBADO",RESUMEN_1°!B5,"")</f>
        <v/>
      </c>
      <c r="C6" s="127">
        <f>IF(RESUMEN_1°!L5="✓ APROBADO",RESUMEN_1°!C5,"")</f>
        <v/>
      </c>
      <c r="D6" s="127">
        <f>IF(RESUMEN_1°!L5="✓ APROBADO",RESUMEN_1°!J5,"")</f>
        <v/>
      </c>
      <c r="E6" s="127">
        <f>IF(RESUMEN_1°!L5="✓ APROBADO",IFERROR(ROUND(AVERAGE(RESUMEN_1°!C5,RESUMEN_1°!J5),1),""),"")</f>
        <v/>
      </c>
    </row>
    <row r="7" ht="13.95" customHeight="1" s="147">
      <c r="A7" s="192">
        <f>IF(RESUMEN_1°!L6="✓ APROBADO",2,"")</f>
        <v/>
      </c>
      <c r="B7" s="85">
        <f>IF(RESUMEN_1°!L6="✓ APROBADO",RESUMEN_1°!B6,"")</f>
        <v/>
      </c>
      <c r="C7" s="192">
        <f>IF(RESUMEN_1°!L6="✓ APROBADO",RESUMEN_1°!C6,"")</f>
        <v/>
      </c>
      <c r="D7" s="192">
        <f>IF(RESUMEN_1°!L6="✓ APROBADO",RESUMEN_1°!J6,"")</f>
        <v/>
      </c>
      <c r="E7" s="192">
        <f>IF(RESUMEN_1°!L6="✓ APROBADO",IFERROR(ROUND(AVERAGE(RESUMEN_1°!C6,RESUMEN_1°!J6),1),""),"")</f>
        <v/>
      </c>
    </row>
    <row r="8" ht="13.95" customHeight="1" s="147">
      <c r="A8" s="127">
        <f>IF(RESUMEN_1°!L7="✓ APROBADO",3,"")</f>
        <v/>
      </c>
      <c r="B8" s="128">
        <f>IF(RESUMEN_1°!L7="✓ APROBADO",RESUMEN_1°!B7,"")</f>
        <v/>
      </c>
      <c r="C8" s="127">
        <f>IF(RESUMEN_1°!L7="✓ APROBADO",RESUMEN_1°!C7,"")</f>
        <v/>
      </c>
      <c r="D8" s="127">
        <f>IF(RESUMEN_1°!L7="✓ APROBADO",RESUMEN_1°!J7,"")</f>
        <v/>
      </c>
      <c r="E8" s="127">
        <f>IF(RESUMEN_1°!L7="✓ APROBADO",IFERROR(ROUND(AVERAGE(RESUMEN_1°!C7,RESUMEN_1°!J7),1),""),"")</f>
        <v/>
      </c>
    </row>
    <row r="9" ht="13.95" customHeight="1" s="147">
      <c r="A9" s="192">
        <f>IF(RESUMEN_1°!L8="✓ APROBADO",4,"")</f>
        <v/>
      </c>
      <c r="B9" s="85">
        <f>IF(RESUMEN_1°!L8="✓ APROBADO",RESUMEN_1°!B8,"")</f>
        <v/>
      </c>
      <c r="C9" s="192">
        <f>IF(RESUMEN_1°!L8="✓ APROBADO",RESUMEN_1°!C8,"")</f>
        <v/>
      </c>
      <c r="D9" s="192">
        <f>IF(RESUMEN_1°!L8="✓ APROBADO",RESUMEN_1°!J8,"")</f>
        <v/>
      </c>
      <c r="E9" s="192">
        <f>IF(RESUMEN_1°!L8="✓ APROBADO",IFERROR(ROUND(AVERAGE(RESUMEN_1°!C8,RESUMEN_1°!J8),1),""),"")</f>
        <v/>
      </c>
    </row>
    <row r="10" ht="13.95" customHeight="1" s="147">
      <c r="A10" s="127">
        <f>IF(RESUMEN_1°!L9="✓ APROBADO",5,"")</f>
        <v/>
      </c>
      <c r="B10" s="128">
        <f>IF(RESUMEN_1°!L9="✓ APROBADO",RESUMEN_1°!B9,"")</f>
        <v/>
      </c>
      <c r="C10" s="127">
        <f>IF(RESUMEN_1°!L9="✓ APROBADO",RESUMEN_1°!C9,"")</f>
        <v/>
      </c>
      <c r="D10" s="127">
        <f>IF(RESUMEN_1°!L9="✓ APROBADO",RESUMEN_1°!J9,"")</f>
        <v/>
      </c>
      <c r="E10" s="127">
        <f>IF(RESUMEN_1°!L9="✓ APROBADO",IFERROR(ROUND(AVERAGE(RESUMEN_1°!C9,RESUMEN_1°!J9),1),""),"")</f>
        <v/>
      </c>
    </row>
    <row r="11" ht="13.95" customHeight="1" s="147">
      <c r="A11" s="192">
        <f>IF(RESUMEN_1°!L10="✓ APROBADO",6,"")</f>
        <v/>
      </c>
      <c r="B11" s="85">
        <f>IF(RESUMEN_1°!L10="✓ APROBADO",RESUMEN_1°!B10,"")</f>
        <v/>
      </c>
      <c r="C11" s="192">
        <f>IF(RESUMEN_1°!L10="✓ APROBADO",RESUMEN_1°!C10,"")</f>
        <v/>
      </c>
      <c r="D11" s="192">
        <f>IF(RESUMEN_1°!L10="✓ APROBADO",RESUMEN_1°!J10,"")</f>
        <v/>
      </c>
      <c r="E11" s="192">
        <f>IF(RESUMEN_1°!L10="✓ APROBADO",IFERROR(ROUND(AVERAGE(RESUMEN_1°!C10,RESUMEN_1°!J10),1),""),"")</f>
        <v/>
      </c>
    </row>
    <row r="12" ht="13.95" customHeight="1" s="147">
      <c r="A12" s="127">
        <f>IF(RESUMEN_1°!L11="✓ APROBADO",7,"")</f>
        <v/>
      </c>
      <c r="B12" s="128">
        <f>IF(RESUMEN_1°!L11="✓ APROBADO",RESUMEN_1°!B11,"")</f>
        <v/>
      </c>
      <c r="C12" s="127">
        <f>IF(RESUMEN_1°!L11="✓ APROBADO",RESUMEN_1°!C11,"")</f>
        <v/>
      </c>
      <c r="D12" s="127">
        <f>IF(RESUMEN_1°!L11="✓ APROBADO",RESUMEN_1°!J11,"")</f>
        <v/>
      </c>
      <c r="E12" s="127">
        <f>IF(RESUMEN_1°!L11="✓ APROBADO",IFERROR(ROUND(AVERAGE(RESUMEN_1°!C11,RESUMEN_1°!J11),1),""),"")</f>
        <v/>
      </c>
    </row>
    <row r="13" ht="13.95" customHeight="1" s="147">
      <c r="A13" s="192">
        <f>IF(RESUMEN_1°!L12="✓ APROBADO",8,"")</f>
        <v/>
      </c>
      <c r="B13" s="85">
        <f>IF(RESUMEN_1°!L12="✓ APROBADO",RESUMEN_1°!B12,"")</f>
        <v/>
      </c>
      <c r="C13" s="192">
        <f>IF(RESUMEN_1°!L12="✓ APROBADO",RESUMEN_1°!C12,"")</f>
        <v/>
      </c>
      <c r="D13" s="192">
        <f>IF(RESUMEN_1°!L12="✓ APROBADO",RESUMEN_1°!J12,"")</f>
        <v/>
      </c>
      <c r="E13" s="192">
        <f>IF(RESUMEN_1°!L12="✓ APROBADO",IFERROR(ROUND(AVERAGE(RESUMEN_1°!C12,RESUMEN_1°!J12),1),""),"")</f>
        <v/>
      </c>
    </row>
    <row r="14" ht="13.95" customHeight="1" s="147">
      <c r="A14" s="127">
        <f>IF(RESUMEN_1°!L13="✓ APROBADO",9,"")</f>
        <v/>
      </c>
      <c r="B14" s="128">
        <f>IF(RESUMEN_1°!L13="✓ APROBADO",RESUMEN_1°!B13,"")</f>
        <v/>
      </c>
      <c r="C14" s="127">
        <f>IF(RESUMEN_1°!L13="✓ APROBADO",RESUMEN_1°!C13,"")</f>
        <v/>
      </c>
      <c r="D14" s="127">
        <f>IF(RESUMEN_1°!L13="✓ APROBADO",RESUMEN_1°!J13,"")</f>
        <v/>
      </c>
      <c r="E14" s="127">
        <f>IF(RESUMEN_1°!L13="✓ APROBADO",IFERROR(ROUND(AVERAGE(RESUMEN_1°!C13,RESUMEN_1°!J13),1),""),"")</f>
        <v/>
      </c>
    </row>
    <row r="15" ht="13.95" customHeight="1" s="147">
      <c r="A15" s="192">
        <f>IF(RESUMEN_1°!L14="✓ APROBADO",10,"")</f>
        <v/>
      </c>
      <c r="B15" s="85">
        <f>IF(RESUMEN_1°!L14="✓ APROBADO",RESUMEN_1°!B14,"")</f>
        <v/>
      </c>
      <c r="C15" s="192">
        <f>IF(RESUMEN_1°!L14="✓ APROBADO",RESUMEN_1°!C14,"")</f>
        <v/>
      </c>
      <c r="D15" s="192">
        <f>IF(RESUMEN_1°!L14="✓ APROBADO",RESUMEN_1°!J14,"")</f>
        <v/>
      </c>
      <c r="E15" s="192">
        <f>IF(RESUMEN_1°!L14="✓ APROBADO",IFERROR(ROUND(AVERAGE(RESUMEN_1°!C14,RESUMEN_1°!J14),1),""),"")</f>
        <v/>
      </c>
    </row>
    <row r="16" ht="13.95" customHeight="1" s="147">
      <c r="A16" s="127">
        <f>IF(RESUMEN_1°!L15="✓ APROBADO",11,"")</f>
        <v/>
      </c>
      <c r="B16" s="128">
        <f>IF(RESUMEN_1°!L15="✓ APROBADO",RESUMEN_1°!B15,"")</f>
        <v/>
      </c>
      <c r="C16" s="127">
        <f>IF(RESUMEN_1°!L15="✓ APROBADO",RESUMEN_1°!C15,"")</f>
        <v/>
      </c>
      <c r="D16" s="127">
        <f>IF(RESUMEN_1°!L15="✓ APROBADO",RESUMEN_1°!J15,"")</f>
        <v/>
      </c>
      <c r="E16" s="127">
        <f>IF(RESUMEN_1°!L15="✓ APROBADO",IFERROR(ROUND(AVERAGE(RESUMEN_1°!C15,RESUMEN_1°!J15),1),""),"")</f>
        <v/>
      </c>
    </row>
    <row r="17" ht="13.95" customHeight="1" s="147">
      <c r="A17" s="192">
        <f>IF(RESUMEN_1°!L16="✓ APROBADO",12,"")</f>
        <v/>
      </c>
      <c r="B17" s="85">
        <f>IF(RESUMEN_1°!L16="✓ APROBADO",RESUMEN_1°!B16,"")</f>
        <v/>
      </c>
      <c r="C17" s="192">
        <f>IF(RESUMEN_1°!L16="✓ APROBADO",RESUMEN_1°!C16,"")</f>
        <v/>
      </c>
      <c r="D17" s="192">
        <f>IF(RESUMEN_1°!L16="✓ APROBADO",RESUMEN_1°!J16,"")</f>
        <v/>
      </c>
      <c r="E17" s="192">
        <f>IF(RESUMEN_1°!L16="✓ APROBADO",IFERROR(ROUND(AVERAGE(RESUMEN_1°!C16,RESUMEN_1°!J16),1),""),"")</f>
        <v/>
      </c>
    </row>
    <row r="18" ht="13.95" customHeight="1" s="147">
      <c r="A18" s="127">
        <f>IF(RESUMEN_1°!L17="✓ APROBADO",13,"")</f>
        <v/>
      </c>
      <c r="B18" s="128">
        <f>IF(RESUMEN_1°!L17="✓ APROBADO",RESUMEN_1°!B17,"")</f>
        <v/>
      </c>
      <c r="C18" s="127">
        <f>IF(RESUMEN_1°!L17="✓ APROBADO",RESUMEN_1°!C17,"")</f>
        <v/>
      </c>
      <c r="D18" s="127">
        <f>IF(RESUMEN_1°!L17="✓ APROBADO",RESUMEN_1°!J17,"")</f>
        <v/>
      </c>
      <c r="E18" s="127">
        <f>IF(RESUMEN_1°!L17="✓ APROBADO",IFERROR(ROUND(AVERAGE(RESUMEN_1°!C17,RESUMEN_1°!J17),1),""),"")</f>
        <v/>
      </c>
    </row>
    <row r="19" ht="13.95" customHeight="1" s="147">
      <c r="A19" s="192">
        <f>IF(RESUMEN_1°!L18="✓ APROBADO",14,"")</f>
        <v/>
      </c>
      <c r="B19" s="85">
        <f>IF(RESUMEN_1°!L18="✓ APROBADO",RESUMEN_1°!B18,"")</f>
        <v/>
      </c>
      <c r="C19" s="192">
        <f>IF(RESUMEN_1°!L18="✓ APROBADO",RESUMEN_1°!C18,"")</f>
        <v/>
      </c>
      <c r="D19" s="192">
        <f>IF(RESUMEN_1°!L18="✓ APROBADO",RESUMEN_1°!J18,"")</f>
        <v/>
      </c>
      <c r="E19" s="192">
        <f>IF(RESUMEN_1°!L18="✓ APROBADO",IFERROR(ROUND(AVERAGE(RESUMEN_1°!C18,RESUMEN_1°!J18),1),""),"")</f>
        <v/>
      </c>
    </row>
    <row r="20" ht="13.95" customHeight="1" s="147">
      <c r="A20" s="127">
        <f>IF(RESUMEN_1°!L19="✓ APROBADO",15,"")</f>
        <v/>
      </c>
      <c r="B20" s="128">
        <f>IF(RESUMEN_1°!L19="✓ APROBADO",RESUMEN_1°!B19,"")</f>
        <v/>
      </c>
      <c r="C20" s="127">
        <f>IF(RESUMEN_1°!L19="✓ APROBADO",RESUMEN_1°!C19,"")</f>
        <v/>
      </c>
      <c r="D20" s="127">
        <f>IF(RESUMEN_1°!L19="✓ APROBADO",RESUMEN_1°!J19,"")</f>
        <v/>
      </c>
      <c r="E20" s="127">
        <f>IF(RESUMEN_1°!L19="✓ APROBADO",IFERROR(ROUND(AVERAGE(RESUMEN_1°!C19,RESUMEN_1°!J19),1),""),"")</f>
        <v/>
      </c>
    </row>
    <row r="21" ht="13.95" customHeight="1" s="147">
      <c r="A21" s="192">
        <f>IF(RESUMEN_1°!L20="✓ APROBADO",16,"")</f>
        <v/>
      </c>
      <c r="B21" s="85">
        <f>IF(RESUMEN_1°!L20="✓ APROBADO",RESUMEN_1°!B20,"")</f>
        <v/>
      </c>
      <c r="C21" s="192">
        <f>IF(RESUMEN_1°!L20="✓ APROBADO",RESUMEN_1°!C20,"")</f>
        <v/>
      </c>
      <c r="D21" s="192">
        <f>IF(RESUMEN_1°!L20="✓ APROBADO",RESUMEN_1°!J20,"")</f>
        <v/>
      </c>
      <c r="E21" s="192">
        <f>IF(RESUMEN_1°!L20="✓ APROBADO",IFERROR(ROUND(AVERAGE(RESUMEN_1°!C20,RESUMEN_1°!J20),1),""),"")</f>
        <v/>
      </c>
    </row>
    <row r="22" ht="13.95" customHeight="1" s="147">
      <c r="A22" s="127">
        <f>IF(RESUMEN_1°!L21="✓ APROBADO",17,"")</f>
        <v/>
      </c>
      <c r="B22" s="128">
        <f>IF(RESUMEN_1°!L21="✓ APROBADO",RESUMEN_1°!B21,"")</f>
        <v/>
      </c>
      <c r="C22" s="127">
        <f>IF(RESUMEN_1°!L21="✓ APROBADO",RESUMEN_1°!C21,"")</f>
        <v/>
      </c>
      <c r="D22" s="127">
        <f>IF(RESUMEN_1°!L21="✓ APROBADO",RESUMEN_1°!J21,"")</f>
        <v/>
      </c>
      <c r="E22" s="127">
        <f>IF(RESUMEN_1°!L21="✓ APROBADO",IFERROR(ROUND(AVERAGE(RESUMEN_1°!C21,RESUMEN_1°!J21),1),""),"")</f>
        <v/>
      </c>
    </row>
    <row r="23" ht="13.95" customHeight="1" s="147">
      <c r="A23" s="192">
        <f>IF(RESUMEN_1°!L22="✓ APROBADO",18,"")</f>
        <v/>
      </c>
      <c r="B23" s="85">
        <f>IF(RESUMEN_1°!L22="✓ APROBADO",RESUMEN_1°!B22,"")</f>
        <v/>
      </c>
      <c r="C23" s="192">
        <f>IF(RESUMEN_1°!L22="✓ APROBADO",RESUMEN_1°!C22,"")</f>
        <v/>
      </c>
      <c r="D23" s="192">
        <f>IF(RESUMEN_1°!L22="✓ APROBADO",RESUMEN_1°!J22,"")</f>
        <v/>
      </c>
      <c r="E23" s="192">
        <f>IF(RESUMEN_1°!L22="✓ APROBADO",IFERROR(ROUND(AVERAGE(RESUMEN_1°!C22,RESUMEN_1°!J22),1),""),"")</f>
        <v/>
      </c>
    </row>
    <row r="24" ht="13.95" customHeight="1" s="147">
      <c r="A24" s="127">
        <f>IF(RESUMEN_1°!L23="✓ APROBADO",19,"")</f>
        <v/>
      </c>
      <c r="B24" s="128">
        <f>IF(RESUMEN_1°!L23="✓ APROBADO",RESUMEN_1°!B23,"")</f>
        <v/>
      </c>
      <c r="C24" s="127">
        <f>IF(RESUMEN_1°!L23="✓ APROBADO",RESUMEN_1°!C23,"")</f>
        <v/>
      </c>
      <c r="D24" s="127">
        <f>IF(RESUMEN_1°!L23="✓ APROBADO",RESUMEN_1°!J23,"")</f>
        <v/>
      </c>
      <c r="E24" s="127">
        <f>IF(RESUMEN_1°!L23="✓ APROBADO",IFERROR(ROUND(AVERAGE(RESUMEN_1°!C23,RESUMEN_1°!J23),1),""),"")</f>
        <v/>
      </c>
    </row>
    <row r="25" ht="13.95" customHeight="1" s="147">
      <c r="A25" s="192">
        <f>IF(RESUMEN_1°!L24="✓ APROBADO",20,"")</f>
        <v/>
      </c>
      <c r="B25" s="85">
        <f>IF(RESUMEN_1°!L24="✓ APROBADO",RESUMEN_1°!B24,"")</f>
        <v/>
      </c>
      <c r="C25" s="192">
        <f>IF(RESUMEN_1°!L24="✓ APROBADO",RESUMEN_1°!C24,"")</f>
        <v/>
      </c>
      <c r="D25" s="192">
        <f>IF(RESUMEN_1°!L24="✓ APROBADO",RESUMEN_1°!J24,"")</f>
        <v/>
      </c>
      <c r="E25" s="192">
        <f>IF(RESUMEN_1°!L24="✓ APROBADO",IFERROR(ROUND(AVERAGE(RESUMEN_1°!C24,RESUMEN_1°!J24),1),""),"")</f>
        <v/>
      </c>
    </row>
    <row r="26" ht="13.95" customHeight="1" s="147">
      <c r="A26" s="127">
        <f>IF(RESUMEN_1°!L25="✓ APROBADO",21,"")</f>
        <v/>
      </c>
      <c r="B26" s="128">
        <f>IF(RESUMEN_1°!L25="✓ APROBADO",RESUMEN_1°!B25,"")</f>
        <v/>
      </c>
      <c r="C26" s="127">
        <f>IF(RESUMEN_1°!L25="✓ APROBADO",RESUMEN_1°!C25,"")</f>
        <v/>
      </c>
      <c r="D26" s="127">
        <f>IF(RESUMEN_1°!L25="✓ APROBADO",RESUMEN_1°!J25,"")</f>
        <v/>
      </c>
      <c r="E26" s="127">
        <f>IF(RESUMEN_1°!L25="✓ APROBADO",IFERROR(ROUND(AVERAGE(RESUMEN_1°!C25,RESUMEN_1°!J25),1),""),"")</f>
        <v/>
      </c>
    </row>
    <row r="27" ht="13.95" customHeight="1" s="147">
      <c r="A27" s="192">
        <f>IF(RESUMEN_1°!L26="✓ APROBADO",22,"")</f>
        <v/>
      </c>
      <c r="B27" s="85">
        <f>IF(RESUMEN_1°!L26="✓ APROBADO",RESUMEN_1°!B26,"")</f>
        <v/>
      </c>
      <c r="C27" s="192">
        <f>IF(RESUMEN_1°!L26="✓ APROBADO",RESUMEN_1°!C26,"")</f>
        <v/>
      </c>
      <c r="D27" s="192">
        <f>IF(RESUMEN_1°!L26="✓ APROBADO",RESUMEN_1°!J26,"")</f>
        <v/>
      </c>
      <c r="E27" s="192">
        <f>IF(RESUMEN_1°!L26="✓ APROBADO",IFERROR(ROUND(AVERAGE(RESUMEN_1°!C26,RESUMEN_1°!J26),1),""),"")</f>
        <v/>
      </c>
    </row>
    <row r="28" ht="13.95" customHeight="1" s="147">
      <c r="A28" s="127">
        <f>IF(RESUMEN_1°!L27="✓ APROBADO",23,"")</f>
        <v/>
      </c>
      <c r="B28" s="128">
        <f>IF(RESUMEN_1°!L27="✓ APROBADO",RESUMEN_1°!B27,"")</f>
        <v/>
      </c>
      <c r="C28" s="127">
        <f>IF(RESUMEN_1°!L27="✓ APROBADO",RESUMEN_1°!C27,"")</f>
        <v/>
      </c>
      <c r="D28" s="127">
        <f>IF(RESUMEN_1°!L27="✓ APROBADO",RESUMEN_1°!J27,"")</f>
        <v/>
      </c>
      <c r="E28" s="127">
        <f>IF(RESUMEN_1°!L27="✓ APROBADO",IFERROR(ROUND(AVERAGE(RESUMEN_1°!C27,RESUMEN_1°!J27),1),""),"")</f>
        <v/>
      </c>
    </row>
    <row r="29" ht="13.95" customHeight="1" s="147">
      <c r="A29" s="192">
        <f>IF(RESUMEN_1°!L28="✓ APROBADO",24,"")</f>
        <v/>
      </c>
      <c r="B29" s="85">
        <f>IF(RESUMEN_1°!L28="✓ APROBADO",RESUMEN_1°!B28,"")</f>
        <v/>
      </c>
      <c r="C29" s="192">
        <f>IF(RESUMEN_1°!L28="✓ APROBADO",RESUMEN_1°!C28,"")</f>
        <v/>
      </c>
      <c r="D29" s="192">
        <f>IF(RESUMEN_1°!L28="✓ APROBADO",RESUMEN_1°!J28,"")</f>
        <v/>
      </c>
      <c r="E29" s="192">
        <f>IF(RESUMEN_1°!L28="✓ APROBADO",IFERROR(ROUND(AVERAGE(RESUMEN_1°!C28,RESUMEN_1°!J28),1),""),"")</f>
        <v/>
      </c>
    </row>
    <row r="30" ht="13.95" customHeight="1" s="147">
      <c r="A30" s="127">
        <f>IF(RESUMEN_1°!L29="✓ APROBADO",25,"")</f>
        <v/>
      </c>
      <c r="B30" s="128">
        <f>IF(RESUMEN_1°!L29="✓ APROBADO",RESUMEN_1°!B29,"")</f>
        <v/>
      </c>
      <c r="C30" s="127">
        <f>IF(RESUMEN_1°!L29="✓ APROBADO",RESUMEN_1°!C29,"")</f>
        <v/>
      </c>
      <c r="D30" s="127">
        <f>IF(RESUMEN_1°!L29="✓ APROBADO",RESUMEN_1°!J29,"")</f>
        <v/>
      </c>
      <c r="E30" s="127">
        <f>IF(RESUMEN_1°!L29="✓ APROBADO",IFERROR(ROUND(AVERAGE(RESUMEN_1°!C29,RESUMEN_1°!J29),1),""),"")</f>
        <v/>
      </c>
    </row>
    <row r="31" ht="13.95" customHeight="1" s="147">
      <c r="A31" s="192">
        <f>IF(RESUMEN_1°!L30="✓ APROBADO",26,"")</f>
        <v/>
      </c>
      <c r="B31" s="85">
        <f>IF(RESUMEN_1°!L30="✓ APROBADO",RESUMEN_1°!B30,"")</f>
        <v/>
      </c>
      <c r="C31" s="192">
        <f>IF(RESUMEN_1°!L30="✓ APROBADO",RESUMEN_1°!C30,"")</f>
        <v/>
      </c>
      <c r="D31" s="192">
        <f>IF(RESUMEN_1°!L30="✓ APROBADO",RESUMEN_1°!J30,"")</f>
        <v/>
      </c>
      <c r="E31" s="192">
        <f>IF(RESUMEN_1°!L30="✓ APROBADO",IFERROR(ROUND(AVERAGE(RESUMEN_1°!C30,RESUMEN_1°!J30),1),""),"")</f>
        <v/>
      </c>
    </row>
    <row r="32" ht="13.95" customHeight="1" s="147">
      <c r="A32" s="127">
        <f>IF(RESUMEN_1°!L31="✓ APROBADO",27,"")</f>
        <v/>
      </c>
      <c r="B32" s="128">
        <f>IF(RESUMEN_1°!L31="✓ APROBADO",RESUMEN_1°!B31,"")</f>
        <v/>
      </c>
      <c r="C32" s="127">
        <f>IF(RESUMEN_1°!L31="✓ APROBADO",RESUMEN_1°!C31,"")</f>
        <v/>
      </c>
      <c r="D32" s="127">
        <f>IF(RESUMEN_1°!L31="✓ APROBADO",RESUMEN_1°!J31,"")</f>
        <v/>
      </c>
      <c r="E32" s="127">
        <f>IF(RESUMEN_1°!L31="✓ APROBADO",IFERROR(ROUND(AVERAGE(RESUMEN_1°!C31,RESUMEN_1°!J31),1),""),"")</f>
        <v/>
      </c>
    </row>
    <row r="33" ht="13.95" customHeight="1" s="147">
      <c r="A33" s="192">
        <f>IF(RESUMEN_1°!L32="✓ APROBADO",28,"")</f>
        <v/>
      </c>
      <c r="B33" s="85">
        <f>IF(RESUMEN_1°!L32="✓ APROBADO",RESUMEN_1°!B32,"")</f>
        <v/>
      </c>
      <c r="C33" s="192">
        <f>IF(RESUMEN_1°!L32="✓ APROBADO",RESUMEN_1°!C32,"")</f>
        <v/>
      </c>
      <c r="D33" s="192">
        <f>IF(RESUMEN_1°!L32="✓ APROBADO",RESUMEN_1°!J32,"")</f>
        <v/>
      </c>
      <c r="E33" s="192">
        <f>IF(RESUMEN_1°!L32="✓ APROBADO",IFERROR(ROUND(AVERAGE(RESUMEN_1°!C32,RESUMEN_1°!J32),1),""),"")</f>
        <v/>
      </c>
    </row>
    <row r="34" ht="13.95" customHeight="1" s="147">
      <c r="A34" s="127">
        <f>IF(RESUMEN_1°!L33="✓ APROBADO",29,"")</f>
        <v/>
      </c>
      <c r="B34" s="128">
        <f>IF(RESUMEN_1°!L33="✓ APROBADO",RESUMEN_1°!B33,"")</f>
        <v/>
      </c>
      <c r="C34" s="127">
        <f>IF(RESUMEN_1°!L33="✓ APROBADO",RESUMEN_1°!C33,"")</f>
        <v/>
      </c>
      <c r="D34" s="127">
        <f>IF(RESUMEN_1°!L33="✓ APROBADO",RESUMEN_1°!J33,"")</f>
        <v/>
      </c>
      <c r="E34" s="127">
        <f>IF(RESUMEN_1°!L33="✓ APROBADO",IFERROR(ROUND(AVERAGE(RESUMEN_1°!C33,RESUMEN_1°!J33),1),""),"")</f>
        <v/>
      </c>
    </row>
    <row r="35" ht="13.95" customHeight="1" s="147">
      <c r="A35" s="192">
        <f>IF(RESUMEN_1°!L34="✓ APROBADO",30,"")</f>
        <v/>
      </c>
      <c r="B35" s="85">
        <f>IF(RESUMEN_1°!L34="✓ APROBADO",RESUMEN_1°!B34,"")</f>
        <v/>
      </c>
      <c r="C35" s="192">
        <f>IF(RESUMEN_1°!L34="✓ APROBADO",RESUMEN_1°!C34,"")</f>
        <v/>
      </c>
      <c r="D35" s="192">
        <f>IF(RESUMEN_1°!L34="✓ APROBADO",RESUMEN_1°!J34,"")</f>
        <v/>
      </c>
      <c r="E35" s="192">
        <f>IF(RESUMEN_1°!L34="✓ APROBADO",IFERROR(ROUND(AVERAGE(RESUMEN_1°!C34,RESUMEN_1°!J34),1),""),"")</f>
        <v/>
      </c>
    </row>
    <row r="36" ht="13.95" customHeight="1" s="147">
      <c r="A36" s="127">
        <f>IF(RESUMEN_1°!L35="✓ APROBADO",31,"")</f>
        <v/>
      </c>
      <c r="B36" s="128">
        <f>IF(RESUMEN_1°!L35="✓ APROBADO",RESUMEN_1°!B35,"")</f>
        <v/>
      </c>
      <c r="C36" s="127">
        <f>IF(RESUMEN_1°!L35="✓ APROBADO",RESUMEN_1°!C35,"")</f>
        <v/>
      </c>
      <c r="D36" s="127">
        <f>IF(RESUMEN_1°!L35="✓ APROBADO",RESUMEN_1°!J35,"")</f>
        <v/>
      </c>
      <c r="E36" s="127">
        <f>IF(RESUMEN_1°!L35="✓ APROBADO",IFERROR(ROUND(AVERAGE(RESUMEN_1°!C35,RESUMEN_1°!J35),1),""),"")</f>
        <v/>
      </c>
    </row>
    <row r="37" ht="13.95" customHeight="1" s="147">
      <c r="A37" s="192">
        <f>IF(RESUMEN_1°!L36="✓ APROBADO",32,"")</f>
        <v/>
      </c>
      <c r="B37" s="85">
        <f>IF(RESUMEN_1°!L36="✓ APROBADO",RESUMEN_1°!B36,"")</f>
        <v/>
      </c>
      <c r="C37" s="192">
        <f>IF(RESUMEN_1°!L36="✓ APROBADO",RESUMEN_1°!C36,"")</f>
        <v/>
      </c>
      <c r="D37" s="192">
        <f>IF(RESUMEN_1°!L36="✓ APROBADO",RESUMEN_1°!J36,"")</f>
        <v/>
      </c>
      <c r="E37" s="192">
        <f>IF(RESUMEN_1°!L36="✓ APROBADO",IFERROR(ROUND(AVERAGE(RESUMEN_1°!C36,RESUMEN_1°!J36),1),""),"")</f>
        <v/>
      </c>
    </row>
    <row r="38" ht="13.95" customHeight="1" s="147">
      <c r="A38" s="127">
        <f>IF(RESUMEN_1°!L37="✓ APROBADO",33,"")</f>
        <v/>
      </c>
      <c r="B38" s="128">
        <f>IF(RESUMEN_1°!L37="✓ APROBADO",RESUMEN_1°!B37,"")</f>
        <v/>
      </c>
      <c r="C38" s="127">
        <f>IF(RESUMEN_1°!L37="✓ APROBADO",RESUMEN_1°!C37,"")</f>
        <v/>
      </c>
      <c r="D38" s="127">
        <f>IF(RESUMEN_1°!L37="✓ APROBADO",RESUMEN_1°!J37,"")</f>
        <v/>
      </c>
      <c r="E38" s="127">
        <f>IF(RESUMEN_1°!L37="✓ APROBADO",IFERROR(ROUND(AVERAGE(RESUMEN_1°!C37,RESUMEN_1°!J37),1),""),"")</f>
        <v/>
      </c>
    </row>
    <row r="39" ht="13.95" customHeight="1" s="147">
      <c r="A39" s="192">
        <f>IF(RESUMEN_1°!L38="✓ APROBADO",34,"")</f>
        <v/>
      </c>
      <c r="B39" s="85">
        <f>IF(RESUMEN_1°!L38="✓ APROBADO",RESUMEN_1°!B38,"")</f>
        <v/>
      </c>
      <c r="C39" s="192">
        <f>IF(RESUMEN_1°!L38="✓ APROBADO",RESUMEN_1°!C38,"")</f>
        <v/>
      </c>
      <c r="D39" s="192">
        <f>IF(RESUMEN_1°!L38="✓ APROBADO",RESUMEN_1°!J38,"")</f>
        <v/>
      </c>
      <c r="E39" s="192">
        <f>IF(RESUMEN_1°!L38="✓ APROBADO",IFERROR(ROUND(AVERAGE(RESUMEN_1°!C38,RESUMEN_1°!J38),1),""),"")</f>
        <v/>
      </c>
    </row>
    <row r="40" ht="13.95" customHeight="1" s="147">
      <c r="A40" s="127">
        <f>IF(RESUMEN_1°!L39="✓ APROBADO",35,"")</f>
        <v/>
      </c>
      <c r="B40" s="128">
        <f>IF(RESUMEN_1°!L39="✓ APROBADO",RESUMEN_1°!B39,"")</f>
        <v/>
      </c>
      <c r="C40" s="127">
        <f>IF(RESUMEN_1°!L39="✓ APROBADO",RESUMEN_1°!C39,"")</f>
        <v/>
      </c>
      <c r="D40" s="127">
        <f>IF(RESUMEN_1°!L39="✓ APROBADO",RESUMEN_1°!J39,"")</f>
        <v/>
      </c>
      <c r="E40" s="127">
        <f>IF(RESUMEN_1°!L39="✓ APROBADO",IFERROR(ROUND(AVERAGE(RESUMEN_1°!C39,RESUMEN_1°!J39),1),""),"")</f>
        <v/>
      </c>
    </row>
    <row r="41" ht="13.95" customHeight="1" s="147">
      <c r="A41" s="192">
        <f>IF(RESUMEN_1°!L40="✓ APROBADO",36,"")</f>
        <v/>
      </c>
      <c r="B41" s="85">
        <f>IF(RESUMEN_1°!L40="✓ APROBADO",RESUMEN_1°!B40,"")</f>
        <v/>
      </c>
      <c r="C41" s="192">
        <f>IF(RESUMEN_1°!L40="✓ APROBADO",RESUMEN_1°!C40,"")</f>
        <v/>
      </c>
      <c r="D41" s="192">
        <f>IF(RESUMEN_1°!L40="✓ APROBADO",RESUMEN_1°!J40,"")</f>
        <v/>
      </c>
      <c r="E41" s="192">
        <f>IF(RESUMEN_1°!L40="✓ APROBADO",IFERROR(ROUND(AVERAGE(RESUMEN_1°!C40,RESUMEN_1°!J40),1),""),"")</f>
        <v/>
      </c>
    </row>
    <row r="42" ht="13.95" customHeight="1" s="147">
      <c r="A42" s="127">
        <f>IF(RESUMEN_1°!L41="✓ APROBADO",37,"")</f>
        <v/>
      </c>
      <c r="B42" s="128">
        <f>IF(RESUMEN_1°!L41="✓ APROBADO",RESUMEN_1°!B41,"")</f>
        <v/>
      </c>
      <c r="C42" s="127">
        <f>IF(RESUMEN_1°!L41="✓ APROBADO",RESUMEN_1°!C41,"")</f>
        <v/>
      </c>
      <c r="D42" s="127">
        <f>IF(RESUMEN_1°!L41="✓ APROBADO",RESUMEN_1°!J41,"")</f>
        <v/>
      </c>
      <c r="E42" s="127">
        <f>IF(RESUMEN_1°!L41="✓ APROBADO",IFERROR(ROUND(AVERAGE(RESUMEN_1°!C41,RESUMEN_1°!J41),1),""),"")</f>
        <v/>
      </c>
    </row>
    <row r="43" ht="13.95" customHeight="1" s="147">
      <c r="A43" s="192">
        <f>IF(RESUMEN_1°!L42="✓ APROBADO",38,"")</f>
        <v/>
      </c>
      <c r="B43" s="85">
        <f>IF(RESUMEN_1°!L42="✓ APROBADO",RESUMEN_1°!B42,"")</f>
        <v/>
      </c>
      <c r="C43" s="192">
        <f>IF(RESUMEN_1°!L42="✓ APROBADO",RESUMEN_1°!C42,"")</f>
        <v/>
      </c>
      <c r="D43" s="192">
        <f>IF(RESUMEN_1°!L42="✓ APROBADO",RESUMEN_1°!J42,"")</f>
        <v/>
      </c>
      <c r="E43" s="192">
        <f>IF(RESUMEN_1°!L42="✓ APROBADO",IFERROR(ROUND(AVERAGE(RESUMEN_1°!C42,RESUMEN_1°!J42),1),""),"")</f>
        <v/>
      </c>
    </row>
    <row r="44" ht="13.95" customHeight="1" s="147">
      <c r="A44" s="127">
        <f>IF(RESUMEN_1°!L43="✓ APROBADO",39,"")</f>
        <v/>
      </c>
      <c r="B44" s="128">
        <f>IF(RESUMEN_1°!L43="✓ APROBADO",RESUMEN_1°!B43,"")</f>
        <v/>
      </c>
      <c r="C44" s="127">
        <f>IF(RESUMEN_1°!L43="✓ APROBADO",RESUMEN_1°!C43,"")</f>
        <v/>
      </c>
      <c r="D44" s="127">
        <f>IF(RESUMEN_1°!L43="✓ APROBADO",RESUMEN_1°!J43,"")</f>
        <v/>
      </c>
      <c r="E44" s="127">
        <f>IF(RESUMEN_1°!L43="✓ APROBADO",IFERROR(ROUND(AVERAGE(RESUMEN_1°!C43,RESUMEN_1°!J43),1),""),"")</f>
        <v/>
      </c>
    </row>
    <row r="45" ht="13.95" customHeight="1" s="147">
      <c r="A45" s="192">
        <f>IF(RESUMEN_1°!L44="✓ APROBADO",40,"")</f>
        <v/>
      </c>
      <c r="B45" s="85">
        <f>IF(RESUMEN_1°!L44="✓ APROBADO",RESUMEN_1°!B44,"")</f>
        <v/>
      </c>
      <c r="C45" s="192">
        <f>IF(RESUMEN_1°!L44="✓ APROBADO",RESUMEN_1°!C44,"")</f>
        <v/>
      </c>
      <c r="D45" s="192">
        <f>IF(RESUMEN_1°!L44="✓ APROBADO",RESUMEN_1°!J44,"")</f>
        <v/>
      </c>
      <c r="E45" s="192">
        <f>IF(RESUMEN_1°!L44="✓ APROBADO",IFERROR(ROUND(AVERAGE(RESUMEN_1°!C44,RESUMEN_1°!J44),1),""),"")</f>
        <v/>
      </c>
    </row>
    <row r="46" ht="18" customHeight="1" s="147">
      <c r="A46" s="256" t="n"/>
      <c r="B46" s="194" t="n"/>
      <c r="C46" s="129" t="n"/>
      <c r="D46" s="130" t="n"/>
      <c r="E46" s="130" t="n"/>
    </row>
    <row r="48" ht="19.95" customHeight="1" s="147">
      <c r="A48" s="258" t="n"/>
      <c r="B48" s="193" t="n"/>
      <c r="C48" s="193" t="n"/>
      <c r="D48" s="193" t="n"/>
      <c r="E48" s="193" t="n"/>
      <c r="F48" s="193" t="n"/>
      <c r="G48" s="193" t="n"/>
      <c r="H48" s="193" t="n"/>
      <c r="I48" s="193" t="n"/>
      <c r="J48" s="193" t="n"/>
      <c r="K48" s="193" t="n"/>
      <c r="L48" s="194" t="n"/>
    </row>
    <row r="49" ht="18" customHeight="1" s="147">
      <c r="A49" s="131" t="n"/>
      <c r="B49" s="131" t="n"/>
      <c r="C49" s="131" t="n"/>
      <c r="D49" s="131" t="n"/>
      <c r="E49" s="131" t="n"/>
    </row>
    <row r="50" ht="13.95" customHeight="1" s="147">
      <c r="A50" s="127" t="n"/>
      <c r="B50" s="128" t="n"/>
      <c r="C50" s="127" t="n"/>
      <c r="D50" s="127" t="n"/>
      <c r="E50" s="127" t="n"/>
    </row>
    <row r="51" ht="13.95" customHeight="1" s="147">
      <c r="A51" s="192" t="n"/>
      <c r="B51" s="85" t="n"/>
      <c r="C51" s="192" t="n"/>
      <c r="D51" s="192" t="n"/>
      <c r="E51" s="192" t="n"/>
    </row>
    <row r="52" ht="13.95" customHeight="1" s="147">
      <c r="A52" s="127" t="n"/>
      <c r="B52" s="128" t="n"/>
      <c r="C52" s="127" t="n"/>
      <c r="D52" s="127" t="n"/>
      <c r="E52" s="127" t="n"/>
    </row>
    <row r="53" ht="13.95" customHeight="1" s="147">
      <c r="A53" s="192" t="n"/>
      <c r="B53" s="85" t="n"/>
      <c r="C53" s="192" t="n"/>
      <c r="D53" s="192" t="n"/>
      <c r="E53" s="192" t="n"/>
    </row>
    <row r="54" ht="13.95" customHeight="1" s="147">
      <c r="A54" s="127" t="n"/>
      <c r="B54" s="128" t="n"/>
      <c r="C54" s="127" t="n"/>
      <c r="D54" s="127" t="n"/>
      <c r="E54" s="127" t="n"/>
    </row>
    <row r="55" ht="13.95" customHeight="1" s="147">
      <c r="A55" s="192" t="n"/>
      <c r="B55" s="85" t="n"/>
      <c r="C55" s="192" t="n"/>
      <c r="D55" s="192" t="n"/>
      <c r="E55" s="192" t="n"/>
    </row>
    <row r="56" ht="13.95" customHeight="1" s="147">
      <c r="A56" s="127" t="n"/>
      <c r="B56" s="128" t="n"/>
      <c r="C56" s="127" t="n"/>
      <c r="D56" s="127" t="n"/>
      <c r="E56" s="127" t="n"/>
    </row>
    <row r="57" ht="13.95" customHeight="1" s="147">
      <c r="A57" s="192" t="n"/>
      <c r="B57" s="85" t="n"/>
      <c r="C57" s="192" t="n"/>
      <c r="D57" s="192" t="n"/>
      <c r="E57" s="192" t="n"/>
    </row>
    <row r="58" ht="13.95" customHeight="1" s="147">
      <c r="A58" s="127" t="n"/>
      <c r="B58" s="128" t="n"/>
      <c r="C58" s="127" t="n"/>
      <c r="D58" s="127" t="n"/>
      <c r="E58" s="127" t="n"/>
    </row>
    <row r="59" ht="13.95" customHeight="1" s="147">
      <c r="A59" s="192" t="n"/>
      <c r="B59" s="85" t="n"/>
      <c r="C59" s="192" t="n"/>
      <c r="D59" s="192" t="n"/>
      <c r="E59" s="192" t="n"/>
    </row>
    <row r="60" ht="13.95" customHeight="1" s="147">
      <c r="A60" s="127" t="n"/>
      <c r="B60" s="128" t="n"/>
      <c r="C60" s="127" t="n"/>
      <c r="D60" s="127" t="n"/>
      <c r="E60" s="127" t="n"/>
    </row>
    <row r="61" ht="13.95" customHeight="1" s="147">
      <c r="A61" s="192" t="n"/>
      <c r="B61" s="85" t="n"/>
      <c r="C61" s="192" t="n"/>
      <c r="D61" s="192" t="n"/>
      <c r="E61" s="192" t="n"/>
    </row>
    <row r="62" ht="13.95" customHeight="1" s="147">
      <c r="A62" s="127" t="n"/>
      <c r="B62" s="128" t="n"/>
      <c r="C62" s="127" t="n"/>
      <c r="D62" s="127" t="n"/>
      <c r="E62" s="127" t="n"/>
    </row>
    <row r="63" ht="13.95" customHeight="1" s="147">
      <c r="A63" s="192" t="n"/>
      <c r="B63" s="85" t="n"/>
      <c r="C63" s="192" t="n"/>
      <c r="D63" s="192" t="n"/>
      <c r="E63" s="192" t="n"/>
    </row>
    <row r="64" ht="13.95" customHeight="1" s="147">
      <c r="A64" s="127" t="n"/>
      <c r="B64" s="128" t="n"/>
      <c r="C64" s="127" t="n"/>
      <c r="D64" s="127" t="n"/>
      <c r="E64" s="127" t="n"/>
    </row>
    <row r="65" ht="13.95" customHeight="1" s="147">
      <c r="A65" s="192" t="n"/>
      <c r="B65" s="85" t="n"/>
      <c r="C65" s="192" t="n"/>
      <c r="D65" s="192" t="n"/>
      <c r="E65" s="192" t="n"/>
    </row>
    <row r="66" ht="13.95" customHeight="1" s="147">
      <c r="A66" s="127" t="n"/>
      <c r="B66" s="128" t="n"/>
      <c r="C66" s="127" t="n"/>
      <c r="D66" s="127" t="n"/>
      <c r="E66" s="127" t="n"/>
    </row>
    <row r="67" ht="13.95" customHeight="1" s="147">
      <c r="A67" s="192" t="n"/>
      <c r="B67" s="85" t="n"/>
      <c r="C67" s="192" t="n"/>
      <c r="D67" s="192" t="n"/>
      <c r="E67" s="192" t="n"/>
    </row>
    <row r="68" ht="13.95" customHeight="1" s="147">
      <c r="A68" s="127" t="n"/>
      <c r="B68" s="128" t="n"/>
      <c r="C68" s="127" t="n"/>
      <c r="D68" s="127" t="n"/>
      <c r="E68" s="127" t="n"/>
    </row>
    <row r="69" ht="13.95" customHeight="1" s="147">
      <c r="A69" s="192" t="n"/>
      <c r="B69" s="85" t="n"/>
      <c r="C69" s="192" t="n"/>
      <c r="D69" s="192" t="n"/>
      <c r="E69" s="192" t="n"/>
    </row>
    <row r="70" ht="13.95" customHeight="1" s="147">
      <c r="A70" s="127" t="n"/>
      <c r="B70" s="128" t="n"/>
      <c r="C70" s="127" t="n"/>
      <c r="D70" s="127" t="n"/>
      <c r="E70" s="127" t="n"/>
    </row>
    <row r="71" ht="13.95" customHeight="1" s="147">
      <c r="A71" s="192" t="n"/>
      <c r="B71" s="85" t="n"/>
      <c r="C71" s="192" t="n"/>
      <c r="D71" s="192" t="n"/>
      <c r="E71" s="192" t="n"/>
    </row>
    <row r="72" ht="13.95" customHeight="1" s="147">
      <c r="A72" s="127" t="n"/>
      <c r="B72" s="128" t="n"/>
      <c r="C72" s="127" t="n"/>
      <c r="D72" s="127" t="n"/>
      <c r="E72" s="127" t="n"/>
    </row>
    <row r="73" ht="13.95" customHeight="1" s="147">
      <c r="A73" s="192" t="n"/>
      <c r="B73" s="85" t="n"/>
      <c r="C73" s="192" t="n"/>
      <c r="D73" s="192" t="n"/>
      <c r="E73" s="192" t="n"/>
    </row>
    <row r="74" ht="13.95" customHeight="1" s="147">
      <c r="A74" s="127" t="n"/>
      <c r="B74" s="128" t="n"/>
      <c r="C74" s="127" t="n"/>
      <c r="D74" s="127" t="n"/>
      <c r="E74" s="127" t="n"/>
    </row>
    <row r="75" ht="13.95" customHeight="1" s="147">
      <c r="A75" s="192" t="n"/>
      <c r="B75" s="85" t="n"/>
      <c r="C75" s="192" t="n"/>
      <c r="D75" s="192" t="n"/>
      <c r="E75" s="192" t="n"/>
    </row>
    <row r="76" ht="13.95" customHeight="1" s="147">
      <c r="A76" s="127" t="n"/>
      <c r="B76" s="128" t="n"/>
      <c r="C76" s="127" t="n"/>
      <c r="D76" s="127" t="n"/>
      <c r="E76" s="127" t="n"/>
    </row>
    <row r="77" ht="13.95" customHeight="1" s="147">
      <c r="A77" s="192" t="n"/>
      <c r="B77" s="85" t="n"/>
      <c r="C77" s="192" t="n"/>
      <c r="D77" s="192" t="n"/>
      <c r="E77" s="192" t="n"/>
    </row>
    <row r="78" ht="13.95" customHeight="1" s="147">
      <c r="A78" s="127" t="n"/>
      <c r="B78" s="128" t="n"/>
      <c r="C78" s="127" t="n"/>
      <c r="D78" s="127" t="n"/>
      <c r="E78" s="127" t="n"/>
    </row>
    <row r="79" ht="13.95" customHeight="1" s="147">
      <c r="A79" s="192" t="n"/>
      <c r="B79" s="85" t="n"/>
      <c r="C79" s="192" t="n"/>
      <c r="D79" s="192" t="n"/>
      <c r="E79" s="192" t="n"/>
    </row>
    <row r="80" ht="13.95" customHeight="1" s="147">
      <c r="A80" s="127" t="n"/>
      <c r="B80" s="128" t="n"/>
      <c r="C80" s="127" t="n"/>
      <c r="D80" s="127" t="n"/>
      <c r="E80" s="127" t="n"/>
    </row>
    <row r="81" ht="13.95" customHeight="1" s="147">
      <c r="A81" s="192" t="n"/>
      <c r="B81" s="85" t="n"/>
      <c r="C81" s="192" t="n"/>
      <c r="D81" s="192" t="n"/>
      <c r="E81" s="192" t="n"/>
    </row>
    <row r="82" ht="13.95" customHeight="1" s="147">
      <c r="A82" s="127" t="n"/>
      <c r="B82" s="128" t="n"/>
      <c r="C82" s="127" t="n"/>
      <c r="D82" s="127" t="n"/>
      <c r="E82" s="127" t="n"/>
    </row>
    <row r="83" ht="13.95" customHeight="1" s="147">
      <c r="A83" s="192" t="n"/>
      <c r="B83" s="85" t="n"/>
      <c r="C83" s="192" t="n"/>
      <c r="D83" s="192" t="n"/>
      <c r="E83" s="192" t="n"/>
    </row>
    <row r="84" ht="13.95" customHeight="1" s="147">
      <c r="A84" s="127" t="n"/>
      <c r="B84" s="128" t="n"/>
      <c r="C84" s="127" t="n"/>
      <c r="D84" s="127" t="n"/>
      <c r="E84" s="127" t="n"/>
    </row>
    <row r="85" ht="13.95" customHeight="1" s="147">
      <c r="A85" s="192" t="n"/>
      <c r="B85" s="85" t="n"/>
      <c r="C85" s="192" t="n"/>
      <c r="D85" s="192" t="n"/>
      <c r="E85" s="192" t="n"/>
    </row>
    <row r="86" ht="13.95" customHeight="1" s="147">
      <c r="A86" s="127" t="n"/>
      <c r="B86" s="128" t="n"/>
      <c r="C86" s="127" t="n"/>
      <c r="D86" s="127" t="n"/>
      <c r="E86" s="127" t="n"/>
    </row>
    <row r="87" ht="13.95" customHeight="1" s="147">
      <c r="A87" s="192" t="n"/>
      <c r="B87" s="85" t="n"/>
      <c r="C87" s="192" t="n"/>
      <c r="D87" s="192" t="n"/>
      <c r="E87" s="192" t="n"/>
    </row>
    <row r="88" ht="13.95" customHeight="1" s="147">
      <c r="A88" s="127" t="n"/>
      <c r="B88" s="128" t="n"/>
      <c r="C88" s="127" t="n"/>
      <c r="D88" s="127" t="n"/>
      <c r="E88" s="127" t="n"/>
    </row>
    <row r="89" ht="13.95" customHeight="1" s="147">
      <c r="A89" s="192" t="n"/>
      <c r="B89" s="85" t="n"/>
      <c r="C89" s="192" t="n"/>
      <c r="D89" s="192" t="n"/>
      <c r="E89" s="192" t="n"/>
    </row>
    <row r="90" ht="18" customHeight="1" s="147">
      <c r="A90" s="256" t="n"/>
      <c r="B90" s="194" t="n"/>
      <c r="C90" s="129" t="n"/>
      <c r="D90" s="130" t="n"/>
      <c r="E90" s="130" t="n"/>
    </row>
    <row r="92" ht="19.95" customHeight="1" s="147">
      <c r="A92" s="253" t="n"/>
      <c r="B92" s="193" t="n"/>
      <c r="C92" s="193" t="n"/>
      <c r="D92" s="193" t="n"/>
      <c r="E92" s="193" t="n"/>
      <c r="F92" s="193" t="n"/>
      <c r="G92" s="193" t="n"/>
      <c r="H92" s="193" t="n"/>
      <c r="I92" s="193" t="n"/>
      <c r="J92" s="193" t="n"/>
      <c r="K92" s="193" t="n"/>
      <c r="L92" s="194" t="n"/>
    </row>
    <row r="93" ht="18" customHeight="1" s="147">
      <c r="A93" s="125" t="n"/>
      <c r="B93" s="125" t="n"/>
      <c r="C93" s="125" t="n"/>
      <c r="D93" s="125" t="n"/>
      <c r="E93" s="125" t="n"/>
    </row>
    <row r="94" ht="13.95" customHeight="1" s="147">
      <c r="A94" s="127" t="n"/>
      <c r="B94" s="128" t="n"/>
      <c r="C94" s="127" t="n"/>
      <c r="D94" s="127" t="n"/>
      <c r="E94" s="127" t="n"/>
    </row>
    <row r="95" ht="13.95" customHeight="1" s="147">
      <c r="A95" s="192" t="n"/>
      <c r="B95" s="85" t="n"/>
      <c r="C95" s="192" t="n"/>
      <c r="D95" s="192" t="n"/>
      <c r="E95" s="192" t="n"/>
    </row>
    <row r="96" ht="13.95" customHeight="1" s="147">
      <c r="A96" s="127" t="n"/>
      <c r="B96" s="128" t="n"/>
      <c r="C96" s="127" t="n"/>
      <c r="D96" s="127" t="n"/>
      <c r="E96" s="127" t="n"/>
    </row>
    <row r="97" ht="13.95" customHeight="1" s="147">
      <c r="A97" s="192" t="n"/>
      <c r="B97" s="85" t="n"/>
      <c r="C97" s="192" t="n"/>
      <c r="D97" s="192" t="n"/>
      <c r="E97" s="192" t="n"/>
    </row>
    <row r="98" ht="13.95" customHeight="1" s="147">
      <c r="A98" s="127" t="n"/>
      <c r="B98" s="128" t="n"/>
      <c r="C98" s="127" t="n"/>
      <c r="D98" s="127" t="n"/>
      <c r="E98" s="127" t="n"/>
    </row>
    <row r="99" ht="13.95" customHeight="1" s="147">
      <c r="A99" s="192" t="n"/>
      <c r="B99" s="85" t="n"/>
      <c r="C99" s="192" t="n"/>
      <c r="D99" s="192" t="n"/>
      <c r="E99" s="192" t="n"/>
    </row>
    <row r="100" ht="13.95" customHeight="1" s="147">
      <c r="A100" s="127" t="n"/>
      <c r="B100" s="128" t="n"/>
      <c r="C100" s="127" t="n"/>
      <c r="D100" s="127" t="n"/>
      <c r="E100" s="127" t="n"/>
    </row>
    <row r="101" ht="13.95" customHeight="1" s="147">
      <c r="A101" s="192" t="n"/>
      <c r="B101" s="85" t="n"/>
      <c r="C101" s="192" t="n"/>
      <c r="D101" s="192" t="n"/>
      <c r="E101" s="192" t="n"/>
    </row>
    <row r="102" ht="13.95" customHeight="1" s="147">
      <c r="A102" s="127" t="n"/>
      <c r="B102" s="128" t="n"/>
      <c r="C102" s="127" t="n"/>
      <c r="D102" s="127" t="n"/>
      <c r="E102" s="127" t="n"/>
    </row>
    <row r="103" ht="13.95" customHeight="1" s="147">
      <c r="A103" s="192" t="n"/>
      <c r="B103" s="85" t="n"/>
      <c r="C103" s="192" t="n"/>
      <c r="D103" s="192" t="n"/>
      <c r="E103" s="192" t="n"/>
    </row>
    <row r="104" ht="13.95" customHeight="1" s="147">
      <c r="A104" s="127" t="n"/>
      <c r="B104" s="128" t="n"/>
      <c r="C104" s="127" t="n"/>
      <c r="D104" s="127" t="n"/>
      <c r="E104" s="127" t="n"/>
    </row>
    <row r="105" ht="13.95" customHeight="1" s="147">
      <c r="A105" s="192" t="n"/>
      <c r="B105" s="85" t="n"/>
      <c r="C105" s="192" t="n"/>
      <c r="D105" s="192" t="n"/>
      <c r="E105" s="192" t="n"/>
    </row>
    <row r="106" ht="13.95" customHeight="1" s="147">
      <c r="A106" s="127" t="n"/>
      <c r="B106" s="128" t="n"/>
      <c r="C106" s="127" t="n"/>
      <c r="D106" s="127" t="n"/>
      <c r="E106" s="127" t="n"/>
    </row>
    <row r="107" ht="13.95" customHeight="1" s="147">
      <c r="A107" s="192" t="n"/>
      <c r="B107" s="85" t="n"/>
      <c r="C107" s="192" t="n"/>
      <c r="D107" s="192" t="n"/>
      <c r="E107" s="192" t="n"/>
    </row>
    <row r="108" ht="13.95" customHeight="1" s="147">
      <c r="A108" s="127" t="n"/>
      <c r="B108" s="128" t="n"/>
      <c r="C108" s="127" t="n"/>
      <c r="D108" s="127" t="n"/>
      <c r="E108" s="127" t="n"/>
    </row>
    <row r="109" ht="13.95" customHeight="1" s="147">
      <c r="A109" s="192" t="n"/>
      <c r="B109" s="85" t="n"/>
      <c r="C109" s="192" t="n"/>
      <c r="D109" s="192" t="n"/>
      <c r="E109" s="192" t="n"/>
    </row>
    <row r="110" ht="13.95" customHeight="1" s="147">
      <c r="A110" s="127" t="n"/>
      <c r="B110" s="128" t="n"/>
      <c r="C110" s="127" t="n"/>
      <c r="D110" s="127" t="n"/>
      <c r="E110" s="127" t="n"/>
    </row>
    <row r="111" ht="13.95" customHeight="1" s="147">
      <c r="A111" s="192" t="n"/>
      <c r="B111" s="85" t="n"/>
      <c r="C111" s="192" t="n"/>
      <c r="D111" s="192" t="n"/>
      <c r="E111" s="192" t="n"/>
    </row>
    <row r="112" ht="13.95" customHeight="1" s="147">
      <c r="A112" s="127" t="n"/>
      <c r="B112" s="128" t="n"/>
      <c r="C112" s="127" t="n"/>
      <c r="D112" s="127" t="n"/>
      <c r="E112" s="127" t="n"/>
    </row>
    <row r="113" ht="13.95" customHeight="1" s="147">
      <c r="A113" s="192" t="n"/>
      <c r="B113" s="85" t="n"/>
      <c r="C113" s="192" t="n"/>
      <c r="D113" s="192" t="n"/>
      <c r="E113" s="192" t="n"/>
    </row>
    <row r="114" ht="13.95" customHeight="1" s="147">
      <c r="A114" s="127" t="n"/>
      <c r="B114" s="128" t="n"/>
      <c r="C114" s="127" t="n"/>
      <c r="D114" s="127" t="n"/>
      <c r="E114" s="127" t="n"/>
    </row>
    <row r="115" ht="13.95" customHeight="1" s="147">
      <c r="A115" s="192" t="n"/>
      <c r="B115" s="85" t="n"/>
      <c r="C115" s="192" t="n"/>
      <c r="D115" s="192" t="n"/>
      <c r="E115" s="192" t="n"/>
    </row>
    <row r="116" ht="13.95" customHeight="1" s="147">
      <c r="A116" s="127" t="n"/>
      <c r="B116" s="128" t="n"/>
      <c r="C116" s="127" t="n"/>
      <c r="D116" s="127" t="n"/>
      <c r="E116" s="127" t="n"/>
    </row>
    <row r="117" ht="13.95" customHeight="1" s="147">
      <c r="A117" s="192" t="n"/>
      <c r="B117" s="85" t="n"/>
      <c r="C117" s="192" t="n"/>
      <c r="D117" s="192" t="n"/>
      <c r="E117" s="192" t="n"/>
    </row>
    <row r="118" ht="13.95" customHeight="1" s="147">
      <c r="A118" s="127" t="n"/>
      <c r="B118" s="128" t="n"/>
      <c r="C118" s="127" t="n"/>
      <c r="D118" s="127" t="n"/>
      <c r="E118" s="127" t="n"/>
    </row>
    <row r="119" ht="13.95" customHeight="1" s="147">
      <c r="A119" s="192" t="n"/>
      <c r="B119" s="85" t="n"/>
      <c r="C119" s="192" t="n"/>
      <c r="D119" s="192" t="n"/>
      <c r="E119" s="192" t="n"/>
    </row>
    <row r="120" ht="13.95" customHeight="1" s="147">
      <c r="A120" s="127" t="n"/>
      <c r="B120" s="128" t="n"/>
      <c r="C120" s="127" t="n"/>
      <c r="D120" s="127" t="n"/>
      <c r="E120" s="127" t="n"/>
    </row>
    <row r="121" ht="13.95" customHeight="1" s="147">
      <c r="A121" s="192" t="n"/>
      <c r="B121" s="85" t="n"/>
      <c r="C121" s="192" t="n"/>
      <c r="D121" s="192" t="n"/>
      <c r="E121" s="192" t="n"/>
    </row>
    <row r="122" ht="13.95" customHeight="1" s="147">
      <c r="A122" s="127" t="n"/>
      <c r="B122" s="128" t="n"/>
      <c r="C122" s="127" t="n"/>
      <c r="D122" s="127" t="n"/>
      <c r="E122" s="127" t="n"/>
    </row>
    <row r="123" ht="13.95" customHeight="1" s="147">
      <c r="A123" s="192" t="n"/>
      <c r="B123" s="85" t="n"/>
      <c r="C123" s="192" t="n"/>
      <c r="D123" s="192" t="n"/>
      <c r="E123" s="192" t="n"/>
    </row>
    <row r="124" ht="13.95" customHeight="1" s="147">
      <c r="A124" s="127" t="n"/>
      <c r="B124" s="128" t="n"/>
      <c r="C124" s="127" t="n"/>
      <c r="D124" s="127" t="n"/>
      <c r="E124" s="127" t="n"/>
    </row>
    <row r="125" ht="13.95" customHeight="1" s="147">
      <c r="A125" s="192" t="n"/>
      <c r="B125" s="85" t="n"/>
      <c r="C125" s="192" t="n"/>
      <c r="D125" s="192" t="n"/>
      <c r="E125" s="192" t="n"/>
    </row>
    <row r="126" ht="13.95" customHeight="1" s="147">
      <c r="A126" s="127" t="n"/>
      <c r="B126" s="128" t="n"/>
      <c r="C126" s="127" t="n"/>
      <c r="D126" s="127" t="n"/>
      <c r="E126" s="127" t="n"/>
    </row>
    <row r="127" ht="13.95" customHeight="1" s="147">
      <c r="A127" s="192" t="n"/>
      <c r="B127" s="85" t="n"/>
      <c r="C127" s="192" t="n"/>
      <c r="D127" s="192" t="n"/>
      <c r="E127" s="192" t="n"/>
    </row>
    <row r="128" ht="13.95" customHeight="1" s="147">
      <c r="A128" s="127" t="n"/>
      <c r="B128" s="128" t="n"/>
      <c r="C128" s="127" t="n"/>
      <c r="D128" s="127" t="n"/>
      <c r="E128" s="127" t="n"/>
    </row>
    <row r="129" ht="13.95" customHeight="1" s="147">
      <c r="A129" s="192" t="n"/>
      <c r="B129" s="85" t="n"/>
      <c r="C129" s="192" t="n"/>
      <c r="D129" s="192" t="n"/>
      <c r="E129" s="192" t="n"/>
    </row>
    <row r="130" ht="13.95" customHeight="1" s="147">
      <c r="A130" s="127" t="n"/>
      <c r="B130" s="128" t="n"/>
      <c r="C130" s="127" t="n"/>
      <c r="D130" s="127" t="n"/>
      <c r="E130" s="127" t="n"/>
    </row>
    <row r="131" ht="13.95" customHeight="1" s="147">
      <c r="A131" s="192" t="n"/>
      <c r="B131" s="85" t="n"/>
      <c r="C131" s="192" t="n"/>
      <c r="D131" s="192" t="n"/>
      <c r="E131" s="192" t="n"/>
    </row>
    <row r="132" ht="13.95" customHeight="1" s="147">
      <c r="A132" s="127" t="n"/>
      <c r="B132" s="128" t="n"/>
      <c r="C132" s="127" t="n"/>
      <c r="D132" s="127" t="n"/>
      <c r="E132" s="127" t="n"/>
    </row>
    <row r="133" ht="13.95" customHeight="1" s="147">
      <c r="A133" s="192" t="n"/>
      <c r="B133" s="85" t="n"/>
      <c r="C133" s="192" t="n"/>
      <c r="D133" s="192" t="n"/>
      <c r="E133" s="192" t="n"/>
    </row>
    <row r="134" ht="18" customHeight="1" s="147">
      <c r="A134" s="256" t="n"/>
      <c r="B134" s="194" t="n"/>
      <c r="C134" s="129" t="n"/>
      <c r="D134" s="130" t="n"/>
      <c r="E134" s="130" t="n"/>
    </row>
  </sheetData>
  <mergeCells count="8">
    <mergeCell ref="A92:L92"/>
    <mergeCell ref="A2:L2"/>
    <mergeCell ref="A134:B134"/>
    <mergeCell ref="A90:B90"/>
    <mergeCell ref="A1:L1"/>
    <mergeCell ref="A46:B46"/>
    <mergeCell ref="A4:L4"/>
    <mergeCell ref="A48:L4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10" defaultColWidth="8.88671875" defaultRowHeight="14.4"/>
  <cols>
    <col width="22" customWidth="1" style="147" min="1" max="1"/>
    <col width="14" customWidth="1" style="147" min="2" max="2"/>
    <col width="12" customWidth="1" style="147" min="5" max="5"/>
  </cols>
  <sheetData>
    <row r="1" ht="25.95" customHeight="1" s="147">
      <c r="A1" s="253" t="inlineStr">
        <is>
          <t>MI REPORTE DOCENTE — CONTROL PERSONAL 2026</t>
        </is>
      </c>
      <c r="B1" s="193" t="n"/>
      <c r="C1" s="193" t="n"/>
      <c r="D1" s="193" t="n"/>
      <c r="E1" s="193" t="n"/>
      <c r="F1" s="193" t="n"/>
      <c r="G1" s="193" t="n"/>
      <c r="H1" s="193" t="n"/>
      <c r="I1" s="193" t="n"/>
      <c r="J1" s="193" t="n"/>
      <c r="K1" s="193" t="n"/>
      <c r="L1" s="193" t="n"/>
      <c r="M1" s="193" t="n"/>
      <c r="N1" s="194" t="n"/>
    </row>
    <row r="2" ht="16.05" customHeight="1" s="147">
      <c r="A2" s="261" t="inlineStr">
        <is>
          <t>Prof. Elmer Tugri · Escuela Cerro Cacicón · Actualización automática</t>
        </is>
      </c>
      <c r="B2" s="193" t="n"/>
      <c r="C2" s="193" t="n"/>
      <c r="D2" s="193" t="n"/>
      <c r="E2" s="193" t="n"/>
      <c r="F2" s="193" t="n"/>
      <c r="G2" s="193" t="n"/>
      <c r="H2" s="193" t="n"/>
      <c r="I2" s="193" t="n"/>
      <c r="J2" s="193" t="n"/>
      <c r="K2" s="193" t="n"/>
      <c r="L2" s="193" t="n"/>
      <c r="M2" s="193" t="n"/>
      <c r="N2" s="194" t="n"/>
    </row>
    <row r="4" ht="19.95" customHeight="1" s="147">
      <c r="A4" s="247" t="inlineStr">
        <is>
          <t>RESUMEN RÁPIDO</t>
        </is>
      </c>
      <c r="B4" s="193" t="n"/>
      <c r="C4" s="193" t="n"/>
      <c r="D4" s="193" t="n"/>
      <c r="E4" s="193" t="n"/>
      <c r="F4" s="193" t="n"/>
      <c r="G4" s="193" t="n"/>
      <c r="H4" s="193" t="n"/>
      <c r="I4" s="193" t="n"/>
      <c r="J4" s="193" t="n"/>
      <c r="K4" s="193" t="n"/>
      <c r="L4" s="193" t="n"/>
      <c r="M4" s="193" t="n"/>
      <c r="N4" s="194" t="n"/>
    </row>
    <row r="5" ht="18" customHeight="1" s="147">
      <c r="A5" s="202" t="n"/>
      <c r="B5" s="202" t="inlineStr">
        <is>
          <t>1° GRADO</t>
        </is>
      </c>
      <c r="C5" s="202" t="n"/>
      <c r="D5" s="202" t="n"/>
      <c r="E5" s="202" t="inlineStr">
        <is>
          <t>TOTAL</t>
        </is>
      </c>
    </row>
    <row r="6" ht="18" customHeight="1" s="147">
      <c r="A6" s="132" t="inlineStr">
        <is>
          <t>Matriculados</t>
        </is>
      </c>
      <c r="B6" s="133">
        <f>IFERROR(COUNTA('MAESTRO 1°'!B5:B48),"")</f>
        <v/>
      </c>
      <c r="C6" s="133" t="n"/>
      <c r="D6" s="133" t="n"/>
      <c r="E6" s="134">
        <f>B6</f>
        <v/>
      </c>
    </row>
    <row r="7" ht="18" customHeight="1" s="147">
      <c r="A7" s="135" t="inlineStr">
        <is>
          <t>Aprobados</t>
        </is>
      </c>
      <c r="B7" s="136">
        <f>COUNTIF(RESUMEN_1°!L5:L48,"✓ APROBADO")</f>
        <v/>
      </c>
      <c r="C7" s="136" t="n"/>
      <c r="D7" s="136" t="n"/>
      <c r="E7" s="137">
        <f>B7</f>
        <v/>
      </c>
    </row>
    <row r="8" ht="18" customHeight="1" s="147">
      <c r="A8" s="138" t="inlineStr">
        <is>
          <t>Reprobados</t>
        </is>
      </c>
      <c r="B8" s="139">
        <f>COUNTIF(RESUMEN_1°!L5:L48,"✗ REPROBADO")</f>
        <v/>
      </c>
      <c r="C8" s="139" t="n"/>
      <c r="D8" s="139" t="n"/>
      <c r="E8" s="140">
        <f>B8</f>
        <v/>
      </c>
    </row>
    <row r="9" ht="18" customHeight="1" s="147">
      <c r="A9" s="141" t="inlineStr">
        <is>
          <t>Con ausencias &gt;5</t>
        </is>
      </c>
      <c r="B9" s="142">
        <f>COUNTIF('Asistencia 1° '!BI3:BI46,"&gt;5")</f>
        <v/>
      </c>
      <c r="C9" s="142" t="n"/>
      <c r="D9" s="142" t="n"/>
      <c r="E9" s="143">
        <f>B9</f>
        <v/>
      </c>
    </row>
    <row r="10" ht="18" customHeight="1" s="147">
      <c r="A10" s="132" t="inlineStr">
        <is>
          <t>Prom. Inglés</t>
        </is>
      </c>
      <c r="B10" s="133">
        <f>IFERROR(ROUND(AVERAGEIF('PROM (Ingles 1°)'!AE5:AE48,"&lt;&gt;"&amp;""),1),"")</f>
        <v/>
      </c>
      <c r="C10" s="133" t="n"/>
      <c r="D10" s="133" t="n"/>
      <c r="E10" s="134">
        <f>B10</f>
        <v/>
      </c>
    </row>
    <row r="11" ht="18" customHeight="1" s="147">
      <c r="A11" s="132" t="inlineStr">
        <is>
          <t>Prom. Tecnología</t>
        </is>
      </c>
      <c r="B11" s="133" t="n"/>
      <c r="C11" s="133" t="n"/>
      <c r="D11" s="133" t="n"/>
      <c r="E11" s="134">
        <f>B11</f>
        <v/>
      </c>
    </row>
    <row r="14" ht="18" customHeight="1" s="147">
      <c r="A14" s="247" t="inlineStr">
        <is>
          <t>NOTAS Y SEGUIMIENTO PERSONAL (escribe aquí lo que necesites)</t>
        </is>
      </c>
      <c r="B14" s="193" t="n"/>
      <c r="C14" s="193" t="n"/>
      <c r="D14" s="193" t="n"/>
      <c r="E14" s="193" t="n"/>
      <c r="F14" s="193" t="n"/>
      <c r="G14" s="193" t="n"/>
      <c r="H14" s="193" t="n"/>
      <c r="I14" s="193" t="n"/>
      <c r="J14" s="193" t="n"/>
      <c r="K14" s="193" t="n"/>
      <c r="L14" s="193" t="n"/>
      <c r="M14" s="193" t="n"/>
      <c r="N14" s="194" t="n"/>
    </row>
    <row r="15" ht="18" customHeight="1" s="147">
      <c r="A15" s="260" t="n"/>
      <c r="B15" s="193" t="n"/>
      <c r="C15" s="193" t="n"/>
      <c r="D15" s="193" t="n"/>
      <c r="E15" s="193" t="n"/>
      <c r="F15" s="193" t="n"/>
      <c r="G15" s="193" t="n"/>
      <c r="H15" s="193" t="n"/>
      <c r="I15" s="193" t="n"/>
      <c r="J15" s="193" t="n"/>
      <c r="K15" s="193" t="n"/>
      <c r="L15" s="193" t="n"/>
      <c r="M15" s="193" t="n"/>
      <c r="N15" s="194" t="n"/>
    </row>
    <row r="16" ht="18" customHeight="1" s="147">
      <c r="A16" s="259" t="n"/>
      <c r="B16" s="193" t="n"/>
      <c r="C16" s="193" t="n"/>
      <c r="D16" s="193" t="n"/>
      <c r="E16" s="193" t="n"/>
      <c r="F16" s="193" t="n"/>
      <c r="G16" s="193" t="n"/>
      <c r="H16" s="193" t="n"/>
      <c r="I16" s="193" t="n"/>
      <c r="J16" s="193" t="n"/>
      <c r="K16" s="193" t="n"/>
      <c r="L16" s="193" t="n"/>
      <c r="M16" s="193" t="n"/>
      <c r="N16" s="194" t="n"/>
    </row>
    <row r="17" ht="18" customHeight="1" s="147">
      <c r="A17" s="260" t="n"/>
      <c r="B17" s="193" t="n"/>
      <c r="C17" s="193" t="n"/>
      <c r="D17" s="193" t="n"/>
      <c r="E17" s="193" t="n"/>
      <c r="F17" s="193" t="n"/>
      <c r="G17" s="193" t="n"/>
      <c r="H17" s="193" t="n"/>
      <c r="I17" s="193" t="n"/>
      <c r="J17" s="193" t="n"/>
      <c r="K17" s="193" t="n"/>
      <c r="L17" s="193" t="n"/>
      <c r="M17" s="193" t="n"/>
      <c r="N17" s="194" t="n"/>
    </row>
    <row r="18" ht="18" customHeight="1" s="147">
      <c r="A18" s="259" t="n"/>
      <c r="B18" s="193" t="n"/>
      <c r="C18" s="193" t="n"/>
      <c r="D18" s="193" t="n"/>
      <c r="E18" s="193" t="n"/>
      <c r="F18" s="193" t="n"/>
      <c r="G18" s="193" t="n"/>
      <c r="H18" s="193" t="n"/>
      <c r="I18" s="193" t="n"/>
      <c r="J18" s="193" t="n"/>
      <c r="K18" s="193" t="n"/>
      <c r="L18" s="193" t="n"/>
      <c r="M18" s="193" t="n"/>
      <c r="N18" s="194" t="n"/>
    </row>
    <row r="19" ht="18" customHeight="1" s="147">
      <c r="A19" s="260" t="n"/>
      <c r="B19" s="193" t="n"/>
      <c r="C19" s="193" t="n"/>
      <c r="D19" s="193" t="n"/>
      <c r="E19" s="193" t="n"/>
      <c r="F19" s="193" t="n"/>
      <c r="G19" s="193" t="n"/>
      <c r="H19" s="193" t="n"/>
      <c r="I19" s="193" t="n"/>
      <c r="J19" s="193" t="n"/>
      <c r="K19" s="193" t="n"/>
      <c r="L19" s="193" t="n"/>
      <c r="M19" s="193" t="n"/>
      <c r="N19" s="194" t="n"/>
    </row>
    <row r="20" ht="18" customHeight="1" s="147">
      <c r="A20" s="259" t="n"/>
      <c r="B20" s="193" t="n"/>
      <c r="C20" s="193" t="n"/>
      <c r="D20" s="193" t="n"/>
      <c r="E20" s="193" t="n"/>
      <c r="F20" s="193" t="n"/>
      <c r="G20" s="193" t="n"/>
      <c r="H20" s="193" t="n"/>
      <c r="I20" s="193" t="n"/>
      <c r="J20" s="193" t="n"/>
      <c r="K20" s="193" t="n"/>
      <c r="L20" s="193" t="n"/>
      <c r="M20" s="193" t="n"/>
      <c r="N20" s="194" t="n"/>
    </row>
    <row r="21" ht="18" customHeight="1" s="147">
      <c r="A21" s="260" t="n"/>
      <c r="B21" s="193" t="n"/>
      <c r="C21" s="193" t="n"/>
      <c r="D21" s="193" t="n"/>
      <c r="E21" s="193" t="n"/>
      <c r="F21" s="193" t="n"/>
      <c r="G21" s="193" t="n"/>
      <c r="H21" s="193" t="n"/>
      <c r="I21" s="193" t="n"/>
      <c r="J21" s="193" t="n"/>
      <c r="K21" s="193" t="n"/>
      <c r="L21" s="193" t="n"/>
      <c r="M21" s="193" t="n"/>
      <c r="N21" s="194" t="n"/>
    </row>
    <row r="22" ht="18" customHeight="1" s="147">
      <c r="A22" s="259" t="n"/>
      <c r="B22" s="193" t="n"/>
      <c r="C22" s="193" t="n"/>
      <c r="D22" s="193" t="n"/>
      <c r="E22" s="193" t="n"/>
      <c r="F22" s="193" t="n"/>
      <c r="G22" s="193" t="n"/>
      <c r="H22" s="193" t="n"/>
      <c r="I22" s="193" t="n"/>
      <c r="J22" s="193" t="n"/>
      <c r="K22" s="193" t="n"/>
      <c r="L22" s="193" t="n"/>
      <c r="M22" s="193" t="n"/>
      <c r="N22" s="194" t="n"/>
    </row>
    <row r="23" ht="18" customHeight="1" s="147">
      <c r="A23" s="260" t="n"/>
      <c r="B23" s="193" t="n"/>
      <c r="C23" s="193" t="n"/>
      <c r="D23" s="193" t="n"/>
      <c r="E23" s="193" t="n"/>
      <c r="F23" s="193" t="n"/>
      <c r="G23" s="193" t="n"/>
      <c r="H23" s="193" t="n"/>
      <c r="I23" s="193" t="n"/>
      <c r="J23" s="193" t="n"/>
      <c r="K23" s="193" t="n"/>
      <c r="L23" s="193" t="n"/>
      <c r="M23" s="193" t="n"/>
      <c r="N23" s="194" t="n"/>
    </row>
    <row r="24" ht="18" customHeight="1" s="147">
      <c r="A24" s="259" t="n"/>
      <c r="B24" s="193" t="n"/>
      <c r="C24" s="193" t="n"/>
      <c r="D24" s="193" t="n"/>
      <c r="E24" s="193" t="n"/>
      <c r="F24" s="193" t="n"/>
      <c r="G24" s="193" t="n"/>
      <c r="H24" s="193" t="n"/>
      <c r="I24" s="193" t="n"/>
      <c r="J24" s="193" t="n"/>
      <c r="K24" s="193" t="n"/>
      <c r="L24" s="193" t="n"/>
      <c r="M24" s="193" t="n"/>
      <c r="N24" s="194" t="n"/>
    </row>
    <row r="25" ht="18" customHeight="1" s="147">
      <c r="A25" s="260" t="n"/>
      <c r="B25" s="193" t="n"/>
      <c r="C25" s="193" t="n"/>
      <c r="D25" s="193" t="n"/>
      <c r="E25" s="193" t="n"/>
      <c r="F25" s="193" t="n"/>
      <c r="G25" s="193" t="n"/>
      <c r="H25" s="193" t="n"/>
      <c r="I25" s="193" t="n"/>
      <c r="J25" s="193" t="n"/>
      <c r="K25" s="193" t="n"/>
      <c r="L25" s="193" t="n"/>
      <c r="M25" s="193" t="n"/>
      <c r="N25" s="194" t="n"/>
    </row>
    <row r="26" ht="18" customHeight="1" s="147">
      <c r="A26" s="259" t="n"/>
      <c r="B26" s="193" t="n"/>
      <c r="C26" s="193" t="n"/>
      <c r="D26" s="193" t="n"/>
      <c r="E26" s="193" t="n"/>
      <c r="F26" s="193" t="n"/>
      <c r="G26" s="193" t="n"/>
      <c r="H26" s="193" t="n"/>
      <c r="I26" s="193" t="n"/>
      <c r="J26" s="193" t="n"/>
      <c r="K26" s="193" t="n"/>
      <c r="L26" s="193" t="n"/>
      <c r="M26" s="193" t="n"/>
      <c r="N26" s="194" t="n"/>
    </row>
    <row r="27" ht="18" customHeight="1" s="147">
      <c r="A27" s="260" t="n"/>
      <c r="B27" s="193" t="n"/>
      <c r="C27" s="193" t="n"/>
      <c r="D27" s="193" t="n"/>
      <c r="E27" s="193" t="n"/>
      <c r="F27" s="193" t="n"/>
      <c r="G27" s="193" t="n"/>
      <c r="H27" s="193" t="n"/>
      <c r="I27" s="193" t="n"/>
      <c r="J27" s="193" t="n"/>
      <c r="K27" s="193" t="n"/>
      <c r="L27" s="193" t="n"/>
      <c r="M27" s="193" t="n"/>
      <c r="N27" s="194" t="n"/>
    </row>
    <row r="28" ht="18" customHeight="1" s="147">
      <c r="A28" s="259" t="n"/>
      <c r="B28" s="193" t="n"/>
      <c r="C28" s="193" t="n"/>
      <c r="D28" s="193" t="n"/>
      <c r="E28" s="193" t="n"/>
      <c r="F28" s="193" t="n"/>
      <c r="G28" s="193" t="n"/>
      <c r="H28" s="193" t="n"/>
      <c r="I28" s="193" t="n"/>
      <c r="J28" s="193" t="n"/>
      <c r="K28" s="193" t="n"/>
      <c r="L28" s="193" t="n"/>
      <c r="M28" s="193" t="n"/>
      <c r="N28" s="194" t="n"/>
    </row>
    <row r="29" ht="18" customHeight="1" s="147">
      <c r="A29" s="260" t="n"/>
      <c r="B29" s="193" t="n"/>
      <c r="C29" s="193" t="n"/>
      <c r="D29" s="193" t="n"/>
      <c r="E29" s="193" t="n"/>
      <c r="F29" s="193" t="n"/>
      <c r="G29" s="193" t="n"/>
      <c r="H29" s="193" t="n"/>
      <c r="I29" s="193" t="n"/>
      <c r="J29" s="193" t="n"/>
      <c r="K29" s="193" t="n"/>
      <c r="L29" s="193" t="n"/>
      <c r="M29" s="193" t="n"/>
      <c r="N29" s="194" t="n"/>
    </row>
  </sheetData>
  <mergeCells count="19">
    <mergeCell ref="A24:N24"/>
    <mergeCell ref="A15:N15"/>
    <mergeCell ref="A1:N1"/>
    <mergeCell ref="A16:N16"/>
    <mergeCell ref="A25:N25"/>
    <mergeCell ref="A18:N18"/>
    <mergeCell ref="A27:N27"/>
    <mergeCell ref="A26:N26"/>
    <mergeCell ref="A21:N21"/>
    <mergeCell ref="A2:N2"/>
    <mergeCell ref="A23:N23"/>
    <mergeCell ref="A14:N14"/>
    <mergeCell ref="A17:N17"/>
    <mergeCell ref="A22:N22"/>
    <mergeCell ref="A4:N4"/>
    <mergeCell ref="A20:N20"/>
    <mergeCell ref="A29:N29"/>
    <mergeCell ref="A19:N19"/>
    <mergeCell ref="A28:N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Elmer</dc:creator>
  <dcterms:created xmlns:dcterms="http://purl.org/dc/terms/" xmlns:xsi="http://www.w3.org/2001/XMLSchema-instance" xsi:type="dcterms:W3CDTF">2008-12-01T04:09:55Z</dcterms:created>
  <dcterms:modified xmlns:dcterms="http://purl.org/dc/terms/" xmlns:xsi="http://www.w3.org/2001/XMLSchema-instance" xsi:type="dcterms:W3CDTF">2026-05-29T03:53:55Z</dcterms:modified>
  <cp:lastModifiedBy>elmer tugri</cp:lastModifiedBy>
  <cp:lastPrinted>2026-04-12T23:39:12Z</cp:lastPrinted>
</cp:coreProperties>
</file>