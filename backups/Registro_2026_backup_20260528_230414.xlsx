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8" activeTab="18"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1">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19">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0" fontId="5" fillId="0" borderId="0" applyAlignment="1" pivotButton="0" quotePrefix="0" xfId="0">
      <alignment horizontal="center" vertical="center" textRotation="90"/>
    </xf>
    <xf numFmtId="0" fontId="0" fillId="0" borderId="0" pivotButton="0" quotePrefix="0" xfId="0"/>
    <xf numFmtId="0" fontId="0" fillId="0" borderId="2" pivotButton="0" quotePrefix="0" xfId="0"/>
    <xf numFmtId="0" fontId="0" fillId="0" borderId="10" pivotButton="0" quotePrefix="0" xfId="0"/>
    <xf numFmtId="164" fontId="4" fillId="0" borderId="2" applyAlignment="1" pivotButton="0" quotePrefix="0" xfId="0">
      <alignment horizontal="center" textRotation="90"/>
    </xf>
    <xf numFmtId="0" fontId="0" fillId="0" borderId="5" pivotButton="0" quotePrefix="0" xfId="0"/>
    <xf numFmtId="0" fontId="0" fillId="0" borderId="11" pivotButton="0" quotePrefix="0" xfId="0"/>
    <xf numFmtId="0" fontId="1" fillId="0" borderId="0" applyAlignment="1" pivotButton="0" quotePrefix="0" xfId="0">
      <alignment horizontal="distributed" vertical="distributed" textRotation="90" shrinkToFit="1"/>
    </xf>
    <xf numFmtId="0" fontId="4" fillId="0" borderId="0" applyAlignment="1" pivotButton="0" quotePrefix="0" xfId="0">
      <alignment horizontal="center"/>
    </xf>
    <xf numFmtId="0" fontId="1" fillId="0" borderId="2"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2" fillId="0" borderId="0" applyAlignment="1" pivotButton="0" quotePrefix="0" xfId="0">
      <alignment horizontal="center" vertical="center"/>
    </xf>
    <xf numFmtId="164" fontId="4" fillId="0" borderId="2" applyAlignment="1" pivotButton="0" quotePrefix="0" xfId="0">
      <alignment horizontal="center" textRotation="90" wrapText="1"/>
    </xf>
    <xf numFmtId="164" fontId="1" fillId="0" borderId="2" applyAlignment="1" pivotButton="0" quotePrefix="0" xfId="0">
      <alignment horizontal="distributed" vertical="distributed" textRotation="90" shrinkToFit="1"/>
    </xf>
    <xf numFmtId="14" fontId="2" fillId="0" borderId="0" applyAlignment="1" pivotButton="0" quotePrefix="0" xfId="0">
      <alignment horizontal="center" vertical="center" wrapText="1"/>
    </xf>
    <xf numFmtId="0" fontId="0" fillId="0" borderId="2" applyAlignment="1" pivotButton="0" quotePrefix="0" xfId="0">
      <alignment horizontal="center"/>
    </xf>
    <xf numFmtId="0" fontId="0" fillId="0" borderId="0" applyAlignment="1" pivotButton="0" quotePrefix="0" xfId="0">
      <alignment horizontal="center"/>
    </xf>
    <xf numFmtId="166" fontId="0" fillId="0" borderId="0" pivotButton="0" quotePrefix="0" xfId="1"/>
    <xf numFmtId="164" fontId="0" fillId="0" borderId="0" pivotButton="0" quotePrefix="0" xfId="1"/>
    <xf numFmtId="164" fontId="0" fillId="0" borderId="0" pivotButton="0" quotePrefix="0" xfId="0"/>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5" fillId="0" borderId="2" applyAlignment="1" pivotButton="0" quotePrefix="0" xfId="0">
      <alignment horizontal="center" vertical="center" textRotation="90"/>
    </xf>
    <xf numFmtId="14" fontId="3" fillId="0" borderId="2" applyAlignment="1" pivotButton="0" quotePrefix="0" xfId="0">
      <alignment horizontal="center" vertical="center" wrapText="1"/>
    </xf>
    <xf numFmtId="14" fontId="3" fillId="0" borderId="0" applyAlignment="1" pivotButton="0" quotePrefix="0" xfId="0">
      <alignment horizontal="center" vertical="center" wrapText="1"/>
    </xf>
    <xf numFmtId="0" fontId="4" fillId="0" borderId="2" applyAlignment="1" pivotButton="0" quotePrefix="0" xfId="0">
      <alignment horizontal="center" vertical="center"/>
    </xf>
    <xf numFmtId="0" fontId="0" fillId="0" borderId="12" pivotButton="0" quotePrefix="0" xfId="0"/>
    <xf numFmtId="164" fontId="5" fillId="0" borderId="2" applyAlignment="1" pivotButton="0" quotePrefix="0" xfId="0">
      <alignment horizontal="center" vertical="center" textRotation="90"/>
    </xf>
    <xf numFmtId="0" fontId="2" fillId="0" borderId="2" applyAlignment="1" pivotButton="0" quotePrefix="0" xfId="0">
      <alignment horizontal="center" vertical="center"/>
    </xf>
    <xf numFmtId="0" fontId="1" fillId="0" borderId="0" applyAlignment="1" pivotButton="0" quotePrefix="0" xfId="0">
      <alignment horizontal="center" vertical="center" wrapText="1"/>
    </xf>
    <xf numFmtId="0" fontId="4" fillId="0" borderId="2" applyAlignment="1" pivotButton="0" quotePrefix="0" xfId="0">
      <alignment horizontal="center"/>
    </xf>
    <xf numFmtId="166" fontId="4" fillId="0" borderId="2" applyAlignment="1" pivotButton="0" quotePrefix="0" xfId="1">
      <alignment horizontal="center"/>
    </xf>
    <xf numFmtId="164" fontId="4" fillId="0" borderId="2" applyAlignment="1" pivotButton="0" quotePrefix="0" xfId="0">
      <alignment horizontal="center"/>
    </xf>
    <xf numFmtId="164" fontId="0" fillId="0" borderId="0" applyAlignment="1" pivotButton="0" quotePrefix="0" xfId="1">
      <alignment horizontal="center"/>
    </xf>
    <xf numFmtId="0" fontId="4" fillId="0" borderId="0" applyAlignment="1" pivotButton="0" quotePrefix="0" xfId="0">
      <alignment horizontal="center" vertical="center"/>
    </xf>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pivotButton="0" quotePrefix="0" xfId="0"/>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2" fillId="8" borderId="20" applyAlignment="1" pivotButton="0" quotePrefix="0" xfId="0">
      <alignment horizontal="center" vertical="center"/>
    </xf>
    <xf numFmtId="0" fontId="30" fillId="8" borderId="0" applyAlignment="1" pivotButton="0" quotePrefix="0" xfId="0">
      <alignment horizontal="center" vertical="center"/>
    </xf>
    <xf numFmtId="0" fontId="37" fillId="15" borderId="0" applyAlignment="1" pivotButton="0" quotePrefix="0" xfId="0">
      <alignment horizontal="center" vertical="center"/>
    </xf>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14" fontId="2" fillId="0" borderId="2" applyAlignment="1" pivotButton="0" quotePrefix="0" xfId="0">
      <alignment horizontal="center" vertical="center" wrapText="1"/>
    </xf>
    <xf numFmtId="14" fontId="3" fillId="0" borderId="3"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19" pivotButton="0" quotePrefix="0" xfId="0"/>
    <xf numFmtId="164" fontId="4" fillId="3" borderId="25" applyAlignment="1" pivotButton="0" quotePrefix="0" xfId="0">
      <alignment horizontal="left" vertical="top" wrapText="1"/>
    </xf>
    <xf numFmtId="0" fontId="0" fillId="0" borderId="26" pivotButton="0" quotePrefix="0" xfId="0"/>
    <xf numFmtId="0" fontId="0" fillId="0" borderId="27" pivotButton="0" quotePrefix="0" xfId="0"/>
    <xf numFmtId="165" fontId="4" fillId="3" borderId="25" applyAlignment="1" pivotButton="0" quotePrefix="0" xfId="1">
      <alignment horizontal="left" vertical="top" wrapText="1"/>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0" fontId="0" fillId="3" borderId="2" applyAlignment="1" pivotButton="0" quotePrefix="0" xfId="0">
      <alignment horizontal="left" vertical="top" wrapText="1"/>
    </xf>
    <xf numFmtId="164" fontId="13" fillId="3" borderId="25" applyAlignment="1" pivotButton="0" quotePrefix="0" xfId="1">
      <alignment horizontal="left" vertical="top" wrapText="1"/>
    </xf>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0" fontId="0" fillId="3" borderId="25" applyAlignment="1" pivotButton="0" quotePrefix="0" xfId="0">
      <alignment horizontal="left" vertical="top"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164" fontId="0" fillId="3" borderId="2" applyAlignment="1" pivotButton="0" quotePrefix="0" xfId="0">
      <alignment horizontal="left" vertical="top" wrapText="1"/>
    </xf>
    <xf numFmtId="164" fontId="4" fillId="3" borderId="25" applyAlignment="1" pivotButton="0" quotePrefix="0" xfId="0">
      <alignment horizontal="center" vertical="top" textRotation="90" wrapText="1"/>
    </xf>
    <xf numFmtId="165" fontId="0" fillId="3" borderId="25" applyAlignment="1" pivotButton="0" quotePrefix="0" xfId="1">
      <alignment horizontal="left" vertical="top" wrapText="1"/>
    </xf>
    <xf numFmtId="0" fontId="4" fillId="0" borderId="2" applyAlignment="1" pivotButton="0" quotePrefix="0" xfId="0">
      <alignment horizontal="center" textRotation="90"/>
    </xf>
    <xf numFmtId="0" fontId="4" fillId="0" borderId="5" applyAlignment="1" pivotButton="0" quotePrefix="0" xfId="0">
      <alignment textRotation="90"/>
    </xf>
    <xf numFmtId="0" fontId="4" fillId="0" borderId="11" applyAlignment="1" pivotButton="0" quotePrefix="0" xfId="0">
      <alignment textRotation="90"/>
    </xf>
    <xf numFmtId="164" fontId="4" fillId="0" borderId="2" applyAlignment="1" pivotButton="0" quotePrefix="0" xfId="1">
      <alignment horizontal="center" textRotation="90"/>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76" min="1" max="11"/>
  </cols>
  <sheetData>
    <row r="1" ht="37.95" customHeight="1" s="176">
      <c r="A1" s="218" t="inlineStr">
        <is>
          <t>REGISTRODOC MULTIGRADO</t>
        </is>
      </c>
    </row>
    <row r="2" ht="21" customHeight="1" s="176">
      <c r="A2" s="217" t="inlineStr">
        <is>
          <t>PORTADA ACADEMICA</t>
        </is>
      </c>
    </row>
    <row r="3" ht="15.6" customHeight="1" s="176">
      <c r="A3" s="216" t="inlineStr">
        <is>
          <t>Control de notas y asistencia</t>
        </is>
      </c>
    </row>
    <row r="4">
      <c r="A4" s="153" t="n"/>
      <c r="B4" s="153" t="n"/>
      <c r="C4" s="153" t="n"/>
      <c r="D4" s="153" t="n"/>
      <c r="E4" s="153" t="n"/>
      <c r="F4" s="153" t="n"/>
      <c r="G4" s="153" t="n"/>
      <c r="H4" s="153" t="n"/>
      <c r="I4" s="153" t="n"/>
      <c r="J4" s="153" t="n"/>
      <c r="K4" s="153" t="n"/>
    </row>
    <row r="5">
      <c r="A5" s="152" t="n"/>
      <c r="B5" s="152" t="n"/>
      <c r="C5" s="152" t="n"/>
      <c r="D5" s="152" t="n"/>
      <c r="E5" s="152" t="n"/>
      <c r="F5" s="152" t="n"/>
      <c r="G5" s="152" t="n"/>
      <c r="H5" s="152" t="n"/>
      <c r="I5" s="152" t="n"/>
      <c r="J5" s="152" t="n"/>
      <c r="K5" s="152" t="n"/>
    </row>
    <row r="6">
      <c r="A6" s="152" t="n"/>
      <c r="B6" s="152" t="n"/>
      <c r="C6" s="152" t="n"/>
      <c r="D6" s="152" t="n"/>
      <c r="E6" s="152" t="n"/>
      <c r="F6" s="152" t="n"/>
      <c r="G6" s="152" t="n"/>
      <c r="H6" s="152" t="n"/>
      <c r="I6" s="152" t="n"/>
      <c r="J6" s="152" t="n"/>
      <c r="K6" s="152" t="n"/>
    </row>
    <row r="7" ht="18" customHeight="1" s="176">
      <c r="A7" s="152" t="n"/>
      <c r="B7" s="214" t="inlineStr">
        <is>
          <t>INFORMACION INSTITUCIONAL</t>
        </is>
      </c>
      <c r="C7" s="215" t="n"/>
      <c r="D7" s="215" t="n"/>
      <c r="E7" s="215" t="n"/>
      <c r="F7" s="215" t="n"/>
      <c r="G7" s="215" t="n"/>
      <c r="H7" s="215" t="n"/>
      <c r="I7" s="215" t="n"/>
      <c r="J7" s="185" t="n"/>
      <c r="K7" s="152" t="n"/>
    </row>
    <row r="8">
      <c r="A8" s="152" t="n"/>
      <c r="B8" s="154" t="n"/>
      <c r="C8" s="155" t="n"/>
      <c r="D8" s="155" t="n"/>
      <c r="E8" s="155" t="n"/>
      <c r="F8" s="155" t="n"/>
      <c r="G8" s="155" t="n"/>
      <c r="H8" s="155" t="n"/>
      <c r="I8" s="155" t="n"/>
      <c r="J8" s="159" t="n"/>
      <c r="K8" s="152" t="n"/>
    </row>
    <row r="9">
      <c r="A9" s="152" t="n"/>
      <c r="B9" s="156" t="inlineStr">
        <is>
          <t>Escuela</t>
        </is>
      </c>
      <c r="C9" s="155" t="inlineStr">
        <is>
          <t>Escuela Cerro Cacicon</t>
        </is>
      </c>
      <c r="D9" s="155" t="n"/>
      <c r="E9" s="155" t="n"/>
      <c r="F9" s="155" t="n"/>
      <c r="G9" s="155" t="n"/>
      <c r="H9" s="155" t="n"/>
      <c r="I9" s="155" t="n"/>
      <c r="J9" s="159" t="n"/>
      <c r="K9" s="152" t="n"/>
    </row>
    <row r="10">
      <c r="A10" s="152" t="n"/>
      <c r="B10" s="156" t="inlineStr">
        <is>
          <t>Docente</t>
        </is>
      </c>
      <c r="C10" s="155" t="inlineStr">
        <is>
          <t>Elmer Tugri</t>
        </is>
      </c>
      <c r="D10" s="155" t="n"/>
      <c r="E10" s="155" t="n"/>
      <c r="F10" s="155" t="n"/>
      <c r="G10" s="155" t="n"/>
      <c r="H10" s="155" t="n"/>
      <c r="I10" s="155" t="n"/>
      <c r="J10" s="159" t="n"/>
      <c r="K10" s="152" t="n"/>
    </row>
    <row r="11">
      <c r="A11" s="152" t="n"/>
      <c r="B11" s="156" t="inlineStr">
        <is>
          <t>Ano lectivo</t>
        </is>
      </c>
      <c r="C11" s="155" t="n">
        <v>2026</v>
      </c>
      <c r="D11" s="155" t="n"/>
      <c r="E11" s="155" t="n"/>
      <c r="F11" s="155" t="n"/>
      <c r="G11" s="155" t="n"/>
      <c r="H11" s="155" t="n"/>
      <c r="I11" s="155" t="n"/>
      <c r="J11" s="159" t="n"/>
      <c r="K11" s="152" t="n"/>
    </row>
    <row r="12">
      <c r="A12" s="152" t="n"/>
      <c r="B12" s="156" t="inlineStr">
        <is>
          <t>Grados</t>
        </is>
      </c>
      <c r="C12" s="155" t="inlineStr">
        <is>
          <t>7°, 8° y 9°</t>
        </is>
      </c>
      <c r="D12" s="155" t="n"/>
      <c r="E12" s="155" t="n"/>
      <c r="F12" s="155" t="n"/>
      <c r="G12" s="155" t="n"/>
      <c r="H12" s="155" t="n"/>
      <c r="I12" s="155" t="n"/>
      <c r="J12" s="159" t="n"/>
      <c r="K12" s="152" t="n"/>
    </row>
    <row r="13">
      <c r="A13" s="152" t="n"/>
      <c r="B13" s="156" t="inlineStr">
        <is>
          <t>Materias</t>
        </is>
      </c>
      <c r="C13" s="155" t="inlineStr">
        <is>
          <t>Ingles, Agropecuaria, Comercio, Hogar y Desarrollo, Artistica</t>
        </is>
      </c>
      <c r="D13" s="155" t="n"/>
      <c r="E13" s="155" t="n"/>
      <c r="F13" s="155" t="n"/>
      <c r="G13" s="155" t="n"/>
      <c r="H13" s="155" t="n"/>
      <c r="I13" s="155" t="n"/>
      <c r="J13" s="159" t="n"/>
      <c r="K13" s="152" t="n"/>
    </row>
    <row r="14">
      <c r="A14" s="152" t="n"/>
      <c r="B14" s="154" t="n"/>
      <c r="C14" s="155" t="n"/>
      <c r="D14" s="155" t="n"/>
      <c r="E14" s="155" t="n"/>
      <c r="F14" s="155" t="n"/>
      <c r="G14" s="155" t="n"/>
      <c r="H14" s="155" t="n"/>
      <c r="I14" s="155" t="n"/>
      <c r="J14" s="159" t="n"/>
      <c r="K14" s="152" t="n"/>
    </row>
    <row r="15">
      <c r="A15" s="152" t="n"/>
      <c r="B15" s="157" t="n"/>
      <c r="C15" s="158" t="n"/>
      <c r="D15" s="158" t="n"/>
      <c r="E15" s="158" t="n"/>
      <c r="F15" s="158" t="n"/>
      <c r="G15" s="158" t="n"/>
      <c r="H15" s="158" t="n"/>
      <c r="I15" s="158" t="n"/>
      <c r="J15" s="160" t="n"/>
      <c r="K15" s="152" t="n"/>
    </row>
    <row r="16">
      <c r="A16" s="152" t="n"/>
      <c r="B16" s="152" t="n"/>
      <c r="C16" s="152" t="n"/>
      <c r="D16" s="152" t="n"/>
      <c r="E16" s="152" t="n"/>
      <c r="F16" s="152" t="n"/>
      <c r="G16" s="152" t="n"/>
      <c r="H16" s="152" t="n"/>
      <c r="I16" s="152" t="n"/>
      <c r="J16" s="152" t="n"/>
      <c r="K16" s="152" t="n"/>
    </row>
    <row r="17">
      <c r="A17" s="152" t="n"/>
      <c r="B17" s="152" t="n"/>
      <c r="C17" s="152" t="n"/>
      <c r="D17" s="152" t="n"/>
      <c r="E17" s="152" t="n"/>
      <c r="F17" s="152" t="n"/>
      <c r="G17" s="152" t="n"/>
      <c r="H17" s="152" t="n"/>
      <c r="I17" s="152" t="n"/>
      <c r="J17" s="152" t="n"/>
      <c r="K17" s="152" t="n"/>
    </row>
    <row r="18" ht="18" customHeight="1" s="176">
      <c r="A18" s="152" t="n"/>
      <c r="B18" s="214" t="inlineStr">
        <is>
          <t>HOJAS CLAVE DEL LIBRO</t>
        </is>
      </c>
      <c r="C18" s="215" t="n"/>
      <c r="D18" s="215" t="n"/>
      <c r="E18" s="215" t="n"/>
      <c r="F18" s="215" t="n"/>
      <c r="G18" s="215" t="n"/>
      <c r="H18" s="215" t="n"/>
      <c r="I18" s="215" t="n"/>
      <c r="J18" s="185" t="n"/>
      <c r="K18" s="152" t="n"/>
    </row>
    <row r="19">
      <c r="A19" s="152" t="n"/>
      <c r="B19" s="154" t="n"/>
      <c r="C19" s="155" t="n"/>
      <c r="D19" s="155" t="n"/>
      <c r="E19" s="155" t="n"/>
      <c r="F19" s="155" t="n"/>
      <c r="G19" s="155" t="n"/>
      <c r="H19" s="155" t="n"/>
      <c r="I19" s="155" t="n"/>
      <c r="J19" s="159" t="n"/>
      <c r="K19" s="152" t="n"/>
    </row>
    <row r="20">
      <c r="A20" s="152" t="n"/>
      <c r="B20" s="161" t="inlineStr">
        <is>
          <t>MAESTRO</t>
        </is>
      </c>
      <c r="C20" s="155" t="inlineStr">
        <is>
          <t>Lista base de estudiantes por grado</t>
        </is>
      </c>
      <c r="D20" s="155" t="n"/>
      <c r="E20" s="155" t="n"/>
      <c r="F20" s="155" t="n"/>
      <c r="G20" s="155" t="n"/>
      <c r="H20" s="155" t="n"/>
      <c r="I20" s="155" t="n"/>
      <c r="J20" s="159" t="n"/>
      <c r="K20" s="152" t="n"/>
    </row>
    <row r="21">
      <c r="A21" s="152" t="n"/>
      <c r="B21" s="161" t="inlineStr">
        <is>
          <t>DASHBOARD</t>
        </is>
      </c>
      <c r="C21" s="155" t="inlineStr">
        <is>
          <t>Resumen visual con graficas</t>
        </is>
      </c>
      <c r="D21" s="155" t="n"/>
      <c r="E21" s="155" t="n"/>
      <c r="F21" s="155" t="n"/>
      <c r="G21" s="155" t="n"/>
      <c r="H21" s="155" t="n"/>
      <c r="I21" s="155" t="n"/>
      <c r="J21" s="159" t="n"/>
      <c r="K21" s="152" t="n"/>
    </row>
    <row r="22">
      <c r="A22" s="152" t="n"/>
      <c r="B22" s="161" t="inlineStr">
        <is>
          <t>Asistencia 7/8/9</t>
        </is>
      </c>
      <c r="C22" s="155" t="inlineStr">
        <is>
          <t>Registro directo por hoja de grado</t>
        </is>
      </c>
      <c r="D22" s="155" t="n"/>
      <c r="E22" s="155" t="n"/>
      <c r="F22" s="155" t="n"/>
      <c r="G22" s="155" t="n"/>
      <c r="H22" s="155" t="n"/>
      <c r="I22" s="155" t="n"/>
      <c r="J22" s="159" t="n"/>
      <c r="K22" s="152" t="n"/>
    </row>
    <row r="23">
      <c r="A23" s="152" t="n"/>
      <c r="B23" s="161" t="inlineStr">
        <is>
          <t>PROM y PLANILLAS</t>
        </is>
      </c>
      <c r="C23" s="155" t="inlineStr">
        <is>
          <t>Calificaciones por materia y grado</t>
        </is>
      </c>
      <c r="D23" s="155" t="n"/>
      <c r="E23" s="155" t="n"/>
      <c r="F23" s="155" t="n"/>
      <c r="G23" s="155" t="n"/>
      <c r="H23" s="155" t="n"/>
      <c r="I23" s="155" t="n"/>
      <c r="J23" s="159" t="n"/>
      <c r="K23" s="152" t="n"/>
    </row>
    <row r="24">
      <c r="A24" s="152" t="n"/>
      <c r="B24" s="154" t="n"/>
      <c r="C24" s="155" t="n"/>
      <c r="D24" s="155" t="n"/>
      <c r="E24" s="155" t="n"/>
      <c r="F24" s="155" t="n"/>
      <c r="G24" s="155" t="n"/>
      <c r="H24" s="155" t="n"/>
      <c r="I24" s="155" t="n"/>
      <c r="J24" s="159" t="n"/>
      <c r="K24" s="152" t="n"/>
    </row>
    <row r="25">
      <c r="A25" s="152" t="n"/>
      <c r="B25" s="154" t="n"/>
      <c r="C25" s="155" t="n"/>
      <c r="D25" s="155" t="n"/>
      <c r="E25" s="155" t="n"/>
      <c r="F25" s="155" t="n"/>
      <c r="G25" s="155" t="n"/>
      <c r="H25" s="155" t="n"/>
      <c r="I25" s="155" t="n"/>
      <c r="J25" s="159" t="n"/>
      <c r="K25" s="152" t="n"/>
    </row>
    <row r="26">
      <c r="A26" s="152" t="n"/>
      <c r="B26" s="154" t="n"/>
      <c r="C26" s="155" t="n"/>
      <c r="D26" s="155" t="n"/>
      <c r="E26" s="155" t="n"/>
      <c r="F26" s="155" t="n"/>
      <c r="G26" s="155" t="n"/>
      <c r="H26" s="155" t="n"/>
      <c r="I26" s="155" t="n"/>
      <c r="J26" s="159" t="n"/>
      <c r="K26" s="152" t="n"/>
    </row>
    <row r="27">
      <c r="A27" s="152" t="n"/>
      <c r="B27" s="154" t="n"/>
      <c r="C27" s="155" t="n"/>
      <c r="D27" s="155" t="n"/>
      <c r="E27" s="155" t="n"/>
      <c r="F27" s="155" t="n"/>
      <c r="G27" s="155" t="n"/>
      <c r="H27" s="155" t="n"/>
      <c r="I27" s="155" t="n"/>
      <c r="J27" s="159" t="n"/>
      <c r="K27" s="152" t="n"/>
    </row>
    <row r="28">
      <c r="A28" s="152" t="n"/>
      <c r="B28" s="154" t="n"/>
      <c r="C28" s="155" t="n"/>
      <c r="D28" s="155" t="n"/>
      <c r="E28" s="155" t="n"/>
      <c r="F28" s="155" t="n"/>
      <c r="G28" s="155" t="n"/>
      <c r="H28" s="155" t="n"/>
      <c r="I28" s="155" t="n"/>
      <c r="J28" s="159" t="n"/>
      <c r="K28" s="152" t="n"/>
    </row>
    <row r="29">
      <c r="A29" s="152" t="n"/>
      <c r="B29" s="154" t="n"/>
      <c r="C29" s="155" t="n"/>
      <c r="D29" s="155" t="n"/>
      <c r="E29" s="155" t="n"/>
      <c r="F29" s="155" t="n"/>
      <c r="G29" s="155" t="n"/>
      <c r="H29" s="155" t="n"/>
      <c r="I29" s="155" t="n"/>
      <c r="J29" s="159" t="n"/>
      <c r="K29" s="152" t="n"/>
    </row>
    <row r="30">
      <c r="A30" s="152" t="n"/>
      <c r="B30" s="157" t="n"/>
      <c r="C30" s="158" t="n"/>
      <c r="D30" s="158" t="n"/>
      <c r="E30" s="158" t="n"/>
      <c r="F30" s="158" t="n"/>
      <c r="G30" s="158" t="n"/>
      <c r="H30" s="158" t="n"/>
      <c r="I30" s="158" t="n"/>
      <c r="J30" s="160" t="n"/>
      <c r="K30" s="152" t="n"/>
    </row>
    <row r="31">
      <c r="A31" s="152" t="n"/>
      <c r="B31" s="152" t="n"/>
      <c r="C31" s="152" t="n"/>
      <c r="D31" s="152" t="n"/>
      <c r="E31" s="152" t="n"/>
      <c r="F31" s="152" t="n"/>
      <c r="G31" s="152" t="n"/>
      <c r="H31" s="152" t="n"/>
      <c r="I31" s="152" t="n"/>
      <c r="J31" s="152" t="n"/>
      <c r="K31" s="152" t="n"/>
    </row>
    <row r="32">
      <c r="A32" s="152" t="n"/>
      <c r="B32" s="152" t="n"/>
      <c r="C32" s="152" t="n"/>
      <c r="D32" s="152" t="n"/>
      <c r="E32" s="152" t="n"/>
      <c r="F32" s="152" t="n"/>
      <c r="G32" s="152" t="n"/>
      <c r="H32" s="152" t="n"/>
      <c r="I32" s="152" t="n"/>
      <c r="J32" s="152" t="n"/>
      <c r="K32" s="152" t="n"/>
    </row>
    <row r="33">
      <c r="A33" s="152" t="n"/>
      <c r="B33" s="152" t="n"/>
      <c r="C33" s="152" t="n"/>
      <c r="D33" s="152" t="n"/>
      <c r="E33" s="152" t="n"/>
      <c r="F33" s="152" t="n"/>
      <c r="G33" s="152" t="n"/>
      <c r="H33" s="152" t="n"/>
      <c r="I33" s="152" t="n"/>
      <c r="J33" s="152" t="n"/>
      <c r="K33" s="152" t="n"/>
    </row>
    <row r="34">
      <c r="A34" s="152" t="n"/>
      <c r="B34" s="152" t="n"/>
      <c r="C34" s="152" t="n"/>
      <c r="D34" s="152" t="n"/>
      <c r="E34" s="152" t="n"/>
      <c r="F34" s="152" t="n"/>
      <c r="G34" s="152" t="n"/>
      <c r="H34" s="152" t="n"/>
      <c r="I34" s="152" t="n"/>
      <c r="J34" s="152" t="n"/>
      <c r="K34" s="152" t="n"/>
    </row>
    <row r="35">
      <c r="A35" s="152" t="n"/>
      <c r="B35" s="152" t="n"/>
      <c r="C35" s="152" t="n"/>
      <c r="D35" s="152" t="n"/>
      <c r="E35" s="152" t="n"/>
      <c r="F35" s="152" t="n"/>
      <c r="G35" s="152" t="n"/>
      <c r="H35" s="152" t="n"/>
      <c r="I35" s="152" t="n"/>
      <c r="J35" s="152" t="n"/>
      <c r="K35" s="152" t="n"/>
    </row>
    <row r="36">
      <c r="A36" s="152" t="n"/>
      <c r="B36" s="152" t="n"/>
      <c r="C36" s="152" t="n"/>
      <c r="D36" s="152" t="n"/>
      <c r="E36" s="152" t="n"/>
      <c r="F36" s="152" t="n"/>
      <c r="G36" s="152" t="n"/>
      <c r="H36" s="152" t="n"/>
      <c r="I36" s="152" t="n"/>
      <c r="J36" s="152" t="n"/>
      <c r="K36" s="152" t="n"/>
    </row>
    <row r="37">
      <c r="A37" s="152" t="n"/>
      <c r="B37" s="152" t="n"/>
      <c r="C37" s="152" t="n"/>
      <c r="D37" s="152" t="n"/>
      <c r="E37" s="152" t="n"/>
      <c r="F37" s="152" t="n"/>
      <c r="G37" s="152" t="n"/>
      <c r="H37" s="152" t="n"/>
      <c r="I37" s="152" t="n"/>
      <c r="J37" s="152" t="n"/>
      <c r="K37" s="152" t="n"/>
    </row>
    <row r="38">
      <c r="A38" s="152" t="n"/>
      <c r="B38" s="152" t="n"/>
      <c r="C38" s="152" t="n"/>
      <c r="D38" s="152" t="n"/>
      <c r="E38" s="152" t="n"/>
      <c r="F38" s="152" t="n"/>
      <c r="G38" s="152" t="n"/>
      <c r="H38" s="152" t="n"/>
      <c r="I38" s="152" t="n"/>
      <c r="J38" s="152" t="n"/>
      <c r="K38" s="152" t="n"/>
    </row>
    <row r="39">
      <c r="A39" s="152" t="n"/>
      <c r="B39" s="152" t="n"/>
      <c r="C39" s="152" t="n"/>
      <c r="D39" s="152" t="n"/>
      <c r="E39" s="152" t="n"/>
      <c r="F39" s="152" t="n"/>
      <c r="G39" s="152" t="n"/>
      <c r="H39" s="152" t="n"/>
      <c r="I39" s="152" t="n"/>
      <c r="J39" s="152" t="n"/>
      <c r="K39" s="152" t="n"/>
    </row>
    <row r="40">
      <c r="A40" s="152" t="n"/>
      <c r="B40" s="152" t="n"/>
      <c r="C40" s="152" t="n"/>
      <c r="D40" s="152" t="n"/>
      <c r="E40" s="152" t="n"/>
      <c r="F40" s="152" t="n"/>
      <c r="G40" s="152" t="n"/>
      <c r="H40" s="152" t="n"/>
      <c r="I40" s="152" t="n"/>
      <c r="J40" s="152" t="n"/>
      <c r="K40" s="152"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76" min="1" max="39"/>
  </cols>
  <sheetData>
    <row r="7">
      <c r="L7" s="219" t="n"/>
    </row>
    <row r="15" ht="31.8" customHeight="1" s="176">
      <c r="A15" s="220" t="inlineStr">
        <is>
          <t>Registro de Asistencia</t>
        </is>
      </c>
    </row>
    <row r="16" ht="31.8" customHeight="1" s="176">
      <c r="A16" s="220" t="inlineStr">
        <is>
          <t>y Evaluación</t>
        </is>
      </c>
    </row>
    <row r="17" ht="31.8" customHeight="1" s="176">
      <c r="A17" s="220" t="inlineStr">
        <is>
          <t>para Docentes de Centros</t>
        </is>
      </c>
    </row>
    <row r="18" ht="31.8" customHeight="1" s="176">
      <c r="A18" s="220" t="inlineStr">
        <is>
          <t>Educativos Oficiales</t>
        </is>
      </c>
    </row>
    <row r="23" ht="17.4" customHeight="1" s="176">
      <c r="Q23" s="221" t="inlineStr">
        <is>
          <t xml:space="preserve">Prof.  Elmer Tugri </t>
        </is>
      </c>
    </row>
    <row r="24" ht="17.4" customHeight="1" s="176">
      <c r="Q24" s="221" t="inlineStr">
        <is>
          <t xml:space="preserve"> Instructor Vocacional Pre-Media</t>
        </is>
      </c>
    </row>
    <row r="25" ht="17.4" customHeight="1" s="176">
      <c r="Q25" s="221"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76" min="1" max="1"/>
    <col width="1.6640625" customWidth="1" style="176" min="2" max="63"/>
  </cols>
  <sheetData>
    <row r="4" ht="18" customHeight="1" s="176">
      <c r="A4" s="224" t="inlineStr">
        <is>
          <t>REGISTRO DE ASISTENCIA Y EVALUACIÓN</t>
        </is>
      </c>
    </row>
    <row r="5" ht="18" customHeight="1" s="176">
      <c r="A5" s="224" t="inlineStr">
        <is>
          <t xml:space="preserve">PARA PROFESORES DE LOS CENTROS </t>
        </is>
      </c>
    </row>
    <row r="6" ht="18" customHeight="1" s="176">
      <c r="A6" s="224" t="inlineStr">
        <is>
          <t>EDUCATIVOS OFICIALES</t>
        </is>
      </c>
    </row>
    <row r="7" ht="18" customHeight="1" s="176"/>
    <row r="8">
      <c r="A8" t="inlineStr">
        <is>
          <t>Año lectivo:</t>
        </is>
      </c>
      <c r="E8" s="222" t="n"/>
      <c r="F8" s="222" t="n"/>
      <c r="G8" s="222" t="n"/>
      <c r="H8" s="222" t="n"/>
      <c r="I8" s="222" t="n"/>
      <c r="J8" s="222" t="n"/>
      <c r="K8" s="222" t="n"/>
      <c r="L8" s="222" t="n"/>
      <c r="M8" s="222" t="n"/>
      <c r="N8" s="222" t="n"/>
      <c r="O8" s="222" t="n"/>
      <c r="P8" s="222" t="n">
        <v>2026</v>
      </c>
      <c r="Q8" s="223" t="n"/>
      <c r="R8" s="223" t="n"/>
      <c r="S8" s="223" t="n"/>
      <c r="T8" s="223" t="n"/>
      <c r="U8" s="223" t="n"/>
      <c r="V8" s="223" t="n"/>
      <c r="W8" s="223" t="n"/>
      <c r="X8" s="223" t="n"/>
      <c r="Y8" s="223" t="n"/>
      <c r="Z8" s="223" t="n"/>
      <c r="AA8" s="223" t="n"/>
      <c r="AB8" s="223" t="n"/>
      <c r="AC8" s="223" t="n"/>
      <c r="AD8" s="223" t="n"/>
      <c r="AE8" s="223" t="n"/>
      <c r="AF8" s="223" t="n"/>
      <c r="AG8" s="222" t="n"/>
      <c r="AH8" s="222" t="n"/>
      <c r="AI8" s="222" t="n"/>
      <c r="AJ8" s="222" t="n"/>
      <c r="AK8" s="222" t="n"/>
      <c r="AL8" s="222" t="n"/>
      <c r="AM8" s="222" t="n"/>
      <c r="AN8" s="222" t="n"/>
      <c r="AO8" s="222" t="n"/>
      <c r="AP8" s="222" t="n"/>
      <c r="AQ8" s="222" t="n"/>
      <c r="AR8" s="222" t="n"/>
      <c r="AS8" s="222" t="n"/>
      <c r="AT8" s="222" t="n"/>
      <c r="AU8" s="222" t="n"/>
      <c r="AV8" s="222" t="n"/>
      <c r="AW8" s="222" t="n"/>
      <c r="AX8" s="222" t="n"/>
      <c r="AY8" s="222" t="n"/>
    </row>
    <row r="10" ht="19.5" customHeight="1" s="176">
      <c r="A10" t="inlineStr">
        <is>
          <t>Grado:</t>
        </is>
      </c>
      <c r="B10" s="222" t="n"/>
      <c r="C10" s="222" t="n"/>
      <c r="D10" s="222" t="n"/>
      <c r="E10" s="222" t="n"/>
      <c r="F10" s="222" t="n"/>
      <c r="G10" s="222" t="n"/>
      <c r="H10" s="222" t="n"/>
      <c r="I10" s="222" t="n"/>
      <c r="J10" s="222" t="n"/>
      <c r="K10" s="222" t="n"/>
      <c r="L10" s="222" t="n"/>
      <c r="M10" s="222" t="n"/>
      <c r="N10" s="222" t="n"/>
      <c r="O10" s="222" t="n"/>
      <c r="P10" s="222" t="n"/>
      <c r="Q10" s="222" t="n"/>
      <c r="R10" s="222" t="n"/>
      <c r="S10" s="223" t="n"/>
      <c r="T10" s="223" t="n"/>
      <c r="U10" s="223" t="n"/>
      <c r="V10" s="223" t="n"/>
      <c r="W10" s="223" t="n"/>
      <c r="X10" s="223" t="n"/>
      <c r="Y10" s="223" t="n"/>
      <c r="Z10" s="223" t="n"/>
      <c r="AA10" s="223" t="n"/>
      <c r="AB10" s="223" t="n"/>
      <c r="AC10" s="223" t="n"/>
      <c r="AD10" s="223" t="n"/>
      <c r="AE10" s="223" t="n"/>
      <c r="AF10" s="223" t="n"/>
      <c r="AG10" s="222" t="n"/>
      <c r="AH10" s="222" t="n"/>
      <c r="AI10" s="222" t="n"/>
      <c r="AJ10" s="222" t="n"/>
      <c r="AK10" s="222" t="n"/>
      <c r="AL10" s="222" t="n"/>
      <c r="AM10" s="222" t="n"/>
      <c r="AN10" s="222" t="n"/>
      <c r="AO10" s="222" t="n"/>
      <c r="AP10" s="222" t="n"/>
      <c r="AQ10" s="222" t="n"/>
      <c r="AR10" s="222" t="n"/>
      <c r="AS10" s="222" t="n"/>
      <c r="AT10" s="222" t="n"/>
      <c r="AU10" s="222" t="n"/>
      <c r="AV10" s="222" t="n"/>
      <c r="AW10" s="222" t="n"/>
      <c r="AX10" s="222" t="n"/>
      <c r="AY10" s="222" t="n"/>
    </row>
    <row r="11" ht="18" customHeight="1" s="176"/>
    <row r="12" ht="18" customHeight="1" s="176">
      <c r="A12" t="inlineStr">
        <is>
          <t>Área Curricular:</t>
        </is>
      </c>
      <c r="G12" s="223" t="n"/>
      <c r="H12" s="223" t="n"/>
      <c r="I12" s="223" t="n"/>
      <c r="J12" s="223" t="n"/>
      <c r="K12" s="223" t="n"/>
      <c r="L12" s="223" t="n"/>
      <c r="M12" s="223" t="n"/>
      <c r="N12" s="223" t="n"/>
      <c r="O12" s="222" t="inlineStr">
        <is>
          <t>PREMEDIA MULTIGRADO</t>
        </is>
      </c>
      <c r="P12" s="223" t="n"/>
      <c r="Q12" s="223" t="n"/>
      <c r="R12" s="223" t="n"/>
      <c r="S12" s="223" t="n"/>
      <c r="T12" s="223" t="n"/>
      <c r="U12" s="223" t="n"/>
      <c r="V12" s="223" t="n"/>
      <c r="W12" s="223" t="n"/>
      <c r="X12" s="223" t="n"/>
      <c r="Y12" s="223" t="n"/>
      <c r="Z12" s="223" t="n"/>
      <c r="AA12" s="223" t="n"/>
      <c r="AB12" s="223" t="n"/>
      <c r="AC12" s="223" t="n"/>
      <c r="AD12" s="223" t="n"/>
      <c r="AE12" s="223" t="n"/>
      <c r="AF12" s="223" t="n"/>
      <c r="AG12" s="223" t="n"/>
      <c r="AH12" s="223" t="n"/>
      <c r="AI12" s="223" t="n"/>
      <c r="AJ12" s="223" t="n"/>
      <c r="AK12" s="223" t="n"/>
      <c r="AL12" s="223" t="n"/>
      <c r="AM12" s="223" t="n"/>
      <c r="AN12" s="223" t="n"/>
      <c r="AO12" s="223" t="n"/>
      <c r="AP12" s="223" t="n"/>
      <c r="AQ12" s="223" t="n"/>
      <c r="AR12" s="223" t="n"/>
      <c r="AS12" s="223" t="n"/>
      <c r="AT12" s="223" t="n"/>
      <c r="AU12" s="223" t="n"/>
      <c r="AV12" s="223" t="n"/>
      <c r="AW12" s="223" t="n"/>
      <c r="AX12" s="223" t="n"/>
      <c r="AY12" s="223" t="n"/>
    </row>
    <row r="13" ht="18" customHeight="1" s="176"/>
    <row r="14" ht="18" customHeight="1" s="176">
      <c r="A14" t="inlineStr">
        <is>
          <t>Nombre del Docente:</t>
        </is>
      </c>
      <c r="J14" s="222" t="n"/>
      <c r="K14" s="222" t="n"/>
      <c r="L14" s="222" t="n"/>
      <c r="M14" s="222" t="n"/>
      <c r="N14" s="222" t="n"/>
      <c r="O14" s="222" t="n"/>
      <c r="P14" s="222" t="inlineStr">
        <is>
          <t xml:space="preserve">Elmer Tugri </t>
        </is>
      </c>
      <c r="Q14" s="223" t="n"/>
      <c r="R14" s="223" t="n"/>
      <c r="S14" s="223" t="n"/>
      <c r="T14" s="223" t="n"/>
      <c r="U14" s="223" t="n"/>
      <c r="V14" s="223" t="n"/>
      <c r="W14" s="223" t="n"/>
      <c r="X14" s="223" t="n"/>
      <c r="Y14" s="223" t="n"/>
      <c r="Z14" s="223" t="n"/>
      <c r="AA14" s="223" t="n"/>
      <c r="AB14" s="223" t="n"/>
      <c r="AC14" s="223" t="n"/>
      <c r="AD14" s="223" t="n"/>
      <c r="AE14" s="223" t="n"/>
      <c r="AF14" s="223" t="n"/>
      <c r="AG14" s="223" t="n"/>
      <c r="AH14" s="223" t="n"/>
      <c r="AI14" s="223" t="n"/>
      <c r="AJ14" s="223" t="n"/>
      <c r="AK14" s="223" t="n"/>
      <c r="AL14" s="223" t="n"/>
      <c r="AM14" s="223" t="n"/>
      <c r="AN14" s="223" t="n"/>
      <c r="AO14" s="223" t="n"/>
      <c r="AP14" s="222" t="n"/>
      <c r="AQ14" s="222" t="n"/>
      <c r="AR14" s="222" t="n"/>
      <c r="AS14" s="222" t="n"/>
      <c r="AT14" s="222" t="n"/>
      <c r="AU14" s="222" t="n"/>
      <c r="AV14" s="222" t="n"/>
      <c r="AW14" s="222" t="n"/>
      <c r="AX14" s="222" t="n"/>
      <c r="AY14" s="222" t="n"/>
    </row>
    <row r="15" ht="18" customHeight="1" s="176"/>
    <row r="16" ht="18" customHeight="1" s="176">
      <c r="A16" s="232" t="inlineStr">
        <is>
          <t>N° de Cédula:</t>
        </is>
      </c>
      <c r="F16" s="223" t="n"/>
      <c r="G16" s="222" t="n"/>
      <c r="H16" s="222" t="inlineStr">
        <is>
          <t>4-785-823</t>
        </is>
      </c>
      <c r="I16" s="223" t="n"/>
      <c r="J16" s="223" t="n"/>
      <c r="K16" s="223" t="n"/>
      <c r="L16" s="223" t="n"/>
      <c r="M16" s="223" t="n"/>
      <c r="N16" s="223" t="n"/>
      <c r="O16" s="223" t="n"/>
      <c r="P16" s="223" t="n"/>
      <c r="Q16" s="223" t="n"/>
      <c r="R16" s="223" t="n"/>
      <c r="S16" s="222" t="n"/>
      <c r="T16" s="222" t="n"/>
      <c r="V16" t="inlineStr">
        <is>
          <t>N° S. S.</t>
        </is>
      </c>
      <c r="Z16" s="223" t="n"/>
      <c r="AA16" s="223" t="n"/>
      <c r="AB16" s="223" t="n"/>
      <c r="AC16" s="223" t="n"/>
      <c r="AD16" s="223" t="n"/>
      <c r="AE16" s="223" t="n"/>
      <c r="AF16" s="223" t="n"/>
      <c r="AG16" s="223" t="n"/>
      <c r="AI16" t="inlineStr">
        <is>
          <t>N° de Pos.:</t>
        </is>
      </c>
      <c r="AJ16" s="223" t="n"/>
      <c r="AO16" s="223" t="n"/>
      <c r="AP16" s="223" t="n"/>
      <c r="AQ16" s="222" t="n"/>
      <c r="AR16" s="223" t="n"/>
      <c r="AS16" s="223" t="n"/>
      <c r="AT16" s="223" t="n"/>
      <c r="AU16" s="223" t="n"/>
      <c r="AV16" s="223" t="n"/>
      <c r="AW16" s="223" t="n"/>
      <c r="AX16" s="223" t="n"/>
      <c r="AY16" s="223" t="n"/>
    </row>
    <row r="17" ht="18" customHeight="1" s="176">
      <c r="A17" s="232" t="n"/>
    </row>
    <row r="18" ht="18" customHeight="1" s="176">
      <c r="A18" s="232" t="inlineStr">
        <is>
          <t>Condición de Nombramiento:</t>
        </is>
      </c>
      <c r="O18" s="223" t="n"/>
      <c r="P18" s="222" t="n"/>
      <c r="Q18" s="222" t="n"/>
      <c r="R18" s="222" t="n"/>
      <c r="S18" s="222" t="n"/>
      <c r="T18" s="222" t="n"/>
      <c r="U18" s="222" t="inlineStr">
        <is>
          <t>Instructor Vocacional</t>
        </is>
      </c>
      <c r="V18" s="223" t="n"/>
      <c r="W18" s="223" t="n"/>
      <c r="X18" s="223" t="n"/>
      <c r="Y18" s="223" t="n"/>
      <c r="Z18" s="223" t="n"/>
      <c r="AA18" s="223" t="n"/>
      <c r="AB18" s="223" t="n"/>
      <c r="AC18" s="223" t="n"/>
      <c r="AD18" s="223" t="n"/>
      <c r="AE18" s="223" t="n"/>
      <c r="AF18" s="223" t="n"/>
      <c r="AG18" s="223" t="n"/>
      <c r="AH18" s="223" t="n"/>
      <c r="AI18" s="223" t="n"/>
      <c r="AJ18" s="223" t="n"/>
      <c r="AK18" s="223" t="n"/>
      <c r="AL18" s="223" t="n"/>
      <c r="AM18" s="223" t="n"/>
      <c r="AN18" s="223" t="n"/>
      <c r="AO18" s="223" t="n"/>
      <c r="AP18" s="223" t="n"/>
      <c r="AQ18" s="222" t="n"/>
      <c r="AR18" s="222" t="n"/>
      <c r="AS18" s="222" t="n"/>
      <c r="AT18" s="222" t="n"/>
      <c r="AU18" s="222" t="n"/>
      <c r="AV18" s="222" t="n"/>
      <c r="AW18" s="222" t="n"/>
      <c r="AX18" s="222" t="n"/>
      <c r="AY18" s="223" t="n"/>
    </row>
    <row r="19" ht="18" customHeight="1" s="176">
      <c r="A19" s="232" t="n"/>
    </row>
    <row r="20" ht="18" customHeight="1" s="176">
      <c r="A20" s="232" t="inlineStr">
        <is>
          <t>Jornada:</t>
        </is>
      </c>
      <c r="C20" s="223" t="n"/>
      <c r="D20" s="222" t="n"/>
      <c r="E20" s="222" t="n"/>
      <c r="F20" s="222" t="n"/>
      <c r="G20" s="222" t="n"/>
      <c r="H20" s="222" t="inlineStr">
        <is>
          <t>Matutina</t>
        </is>
      </c>
      <c r="I20" s="223" t="n"/>
      <c r="J20" s="223" t="n"/>
      <c r="K20" s="223" t="n"/>
      <c r="L20" s="223" t="n"/>
      <c r="M20" s="223" t="n"/>
      <c r="N20" s="223" t="n"/>
      <c r="O20" s="223" t="n"/>
      <c r="P20" s="223" t="n"/>
      <c r="Q20" s="222" t="n"/>
      <c r="R20" s="222" t="n"/>
      <c r="S20" s="222" t="n"/>
      <c r="T20" s="222" t="n"/>
      <c r="U20" s="222" t="n"/>
      <c r="V20" s="222" t="n"/>
      <c r="W20" s="223" t="n"/>
      <c r="X20" t="inlineStr">
        <is>
          <t>Asignatura:</t>
        </is>
      </c>
      <c r="AD20" s="222" t="inlineStr">
        <is>
          <t>Tecnología - Expresiones Artísticas - Ingles</t>
        </is>
      </c>
      <c r="AE20" s="223" t="n"/>
      <c r="AF20" s="223" t="n"/>
      <c r="AG20" s="223" t="n"/>
      <c r="AH20" s="223" t="n"/>
      <c r="AI20" s="223" t="n"/>
      <c r="AJ20" s="223" t="n"/>
      <c r="AK20" s="223" t="n"/>
      <c r="AL20" s="223" t="n"/>
      <c r="AM20" s="223" t="n"/>
      <c r="AN20" s="223" t="n"/>
      <c r="AO20" s="223" t="n"/>
      <c r="AP20" s="223" t="n"/>
      <c r="AQ20" s="223" t="n"/>
      <c r="AR20" s="223" t="n"/>
      <c r="AS20" s="223" t="n"/>
      <c r="AT20" s="223" t="n"/>
      <c r="AU20" s="223" t="n"/>
      <c r="AV20" s="223" t="n"/>
      <c r="AW20" s="223" t="n"/>
      <c r="AX20" s="223" t="n"/>
      <c r="AY20" s="223" t="n"/>
    </row>
    <row r="21" ht="18" customHeight="1" s="176">
      <c r="A21" s="232" t="n"/>
    </row>
    <row r="22" ht="18" customHeight="1" s="176">
      <c r="A22" s="232" t="inlineStr">
        <is>
          <t>Nombre del Director(ar):</t>
        </is>
      </c>
      <c r="J22" s="223" t="n"/>
      <c r="K22" s="223" t="n"/>
      <c r="L22" s="223" t="n"/>
      <c r="M22" s="223" t="n"/>
      <c r="N22" s="223" t="n"/>
      <c r="O22" s="223" t="n"/>
      <c r="P22" s="223" t="n"/>
      <c r="Q22" s="223" t="n"/>
      <c r="R22" s="223" t="n"/>
      <c r="S22" s="222" t="inlineStr">
        <is>
          <t>Mardel Camarena</t>
        </is>
      </c>
      <c r="T22" s="223" t="n"/>
      <c r="U22" s="223" t="n"/>
      <c r="V22" s="223" t="n"/>
      <c r="W22" s="223" t="n"/>
      <c r="X22" s="223" t="n"/>
      <c r="Y22" s="223" t="n"/>
      <c r="Z22" s="223" t="n"/>
      <c r="AA22" s="223" t="n"/>
      <c r="AB22" s="223" t="n"/>
      <c r="AC22" s="223" t="n"/>
      <c r="AD22" s="223" t="n"/>
      <c r="AE22" s="223" t="n"/>
      <c r="AF22" s="223" t="n"/>
      <c r="AG22" s="223" t="n"/>
      <c r="AH22" s="223" t="n"/>
      <c r="AI22" s="223" t="n"/>
      <c r="AJ22" s="223" t="n"/>
      <c r="AK22" s="223" t="n"/>
      <c r="AL22" s="223" t="n"/>
      <c r="AM22" s="223" t="n"/>
      <c r="AN22" s="223" t="n"/>
      <c r="AO22" s="223" t="n"/>
      <c r="AP22" s="223" t="n"/>
      <c r="AQ22" s="223" t="n"/>
      <c r="AR22" s="223" t="n"/>
      <c r="AS22" s="223" t="n"/>
      <c r="AT22" s="223" t="n"/>
      <c r="AU22" s="223" t="n"/>
      <c r="AV22" s="223" t="n"/>
      <c r="AW22" s="223" t="n"/>
      <c r="AX22" s="223" t="n"/>
      <c r="AY22" s="223" t="n"/>
    </row>
    <row r="23" ht="18" customHeight="1" s="176">
      <c r="A23" s="232" t="n"/>
    </row>
    <row r="24" ht="18" customHeight="1" s="176">
      <c r="A24" s="232" t="inlineStr">
        <is>
          <t>Nombre del Subdirector(ar):</t>
        </is>
      </c>
      <c r="L24" s="223" t="n"/>
      <c r="M24" s="223" t="n"/>
      <c r="N24" s="223" t="n"/>
      <c r="O24" s="223" t="n"/>
      <c r="P24" s="223" t="n"/>
      <c r="Q24" s="223" t="n"/>
      <c r="R24" s="223" t="n"/>
      <c r="S24" s="223" t="n"/>
      <c r="T24" s="222" t="inlineStr">
        <is>
          <t xml:space="preserve">Jairo Marciaga </t>
        </is>
      </c>
      <c r="U24" s="223" t="n"/>
      <c r="V24" s="223" t="n"/>
      <c r="W24" s="223" t="n"/>
      <c r="X24" s="223" t="n"/>
      <c r="Y24" s="223" t="n"/>
      <c r="Z24" s="223" t="n"/>
      <c r="AA24" s="223" t="n"/>
      <c r="AB24" s="223" t="n"/>
      <c r="AC24" s="223" t="n"/>
      <c r="AD24" s="223" t="n"/>
      <c r="AE24" s="223" t="n"/>
      <c r="AF24" s="223" t="n"/>
      <c r="AG24" s="223" t="n"/>
      <c r="AH24" s="223" t="n"/>
      <c r="AI24" s="223" t="n"/>
      <c r="AJ24" s="223" t="n"/>
      <c r="AK24" s="223" t="n"/>
      <c r="AL24" s="223" t="n"/>
      <c r="AM24" s="223" t="n"/>
      <c r="AN24" s="223" t="n"/>
      <c r="AO24" s="223" t="n"/>
      <c r="AP24" s="223" t="n"/>
      <c r="AQ24" s="223" t="n"/>
      <c r="AR24" s="223" t="n"/>
      <c r="AS24" s="223" t="n"/>
      <c r="AT24" s="223" t="n"/>
      <c r="AU24" s="223" t="n"/>
      <c r="AV24" s="223" t="n"/>
      <c r="AW24" s="223" t="n"/>
      <c r="AX24" s="223" t="n"/>
      <c r="AY24" s="223" t="n"/>
    </row>
    <row r="25" ht="18" customHeight="1" s="176">
      <c r="A25" s="232" t="n"/>
    </row>
    <row r="26" ht="18" customHeight="1" s="176">
      <c r="A26" s="232" t="inlineStr">
        <is>
          <t>Nombre del Coordinador:</t>
        </is>
      </c>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row>
    <row r="27" ht="18" customHeight="1" s="176">
      <c r="A27" s="232" t="n"/>
    </row>
    <row r="28" ht="18" customHeight="1" s="176">
      <c r="A28" s="232" t="inlineStr">
        <is>
          <t>Centro Educativo:</t>
        </is>
      </c>
      <c r="H28" s="223" t="n"/>
      <c r="I28" s="223" t="n"/>
      <c r="J28" s="223" t="n"/>
      <c r="K28" s="223" t="n"/>
      <c r="L28" s="222" t="n"/>
      <c r="M28" s="222" t="n"/>
      <c r="N28" s="222" t="n"/>
      <c r="O28" s="222" t="n"/>
      <c r="P28" s="222" t="n"/>
      <c r="Q28" s="222" t="inlineStr">
        <is>
          <t>Escuela Cerro Cacicon</t>
        </is>
      </c>
      <c r="R28" s="223" t="n"/>
      <c r="S28" s="223" t="n"/>
      <c r="T28" s="223" t="n"/>
      <c r="U28" s="223" t="n"/>
      <c r="V28" s="223" t="n"/>
      <c r="W28" s="223" t="n"/>
      <c r="X28" s="223" t="n"/>
      <c r="Y28" s="223" t="n"/>
      <c r="Z28" s="223" t="n"/>
      <c r="AA28" s="223" t="n"/>
      <c r="AB28" s="223" t="n"/>
      <c r="AC28" s="223" t="n"/>
      <c r="AD28" s="223" t="n"/>
      <c r="AE28" s="223" t="n"/>
      <c r="AF28" s="223" t="n"/>
      <c r="AG28" s="223" t="n"/>
      <c r="AH28" s="223" t="n"/>
      <c r="AI28" s="223" t="n"/>
      <c r="AJ28" s="223" t="n"/>
      <c r="AK28" s="223" t="n"/>
      <c r="AL28" s="223" t="n"/>
      <c r="AM28" s="223" t="n"/>
      <c r="AN28" s="223" t="n"/>
      <c r="AO28" s="223" t="n"/>
      <c r="AP28" s="223" t="n"/>
      <c r="AQ28" s="223" t="n"/>
      <c r="AR28" s="222" t="n"/>
      <c r="AS28" s="223" t="n"/>
      <c r="AT28" s="223" t="n"/>
      <c r="AU28" s="223" t="n"/>
      <c r="AV28" s="223" t="n"/>
      <c r="AW28" s="223" t="n"/>
      <c r="AX28" s="223" t="n"/>
      <c r="AY28" s="223" t="n"/>
    </row>
    <row r="29" ht="18" customHeight="1" s="176">
      <c r="A29" s="232" t="n"/>
    </row>
    <row r="30" ht="18" customHeight="1" s="176">
      <c r="A30" s="232" t="inlineStr">
        <is>
          <t>Teléfono:</t>
        </is>
      </c>
      <c r="D30" s="223" t="n"/>
      <c r="E30" s="223" t="n"/>
      <c r="F30" s="222" t="n">
        <v>64185780</v>
      </c>
      <c r="G30" s="223" t="n"/>
      <c r="H30" s="223" t="n"/>
      <c r="I30" s="223" t="n"/>
      <c r="J30" s="223" t="n"/>
      <c r="K30" s="223" t="n"/>
      <c r="L30" s="223" t="n"/>
      <c r="M30" s="223" t="n"/>
      <c r="N30" s="223" t="n"/>
      <c r="O30" s="223" t="n"/>
      <c r="P30" s="223" t="n"/>
      <c r="Q30" s="222" t="n"/>
      <c r="R30" s="222" t="n"/>
      <c r="S30" s="223" t="n"/>
      <c r="U30" t="inlineStr">
        <is>
          <t>Correo Electrónico:</t>
        </is>
      </c>
      <c r="AE30" s="223" t="n"/>
      <c r="AF30" s="226" t="inlineStr">
        <is>
          <t>elmer.tugri7@meduca.edu.pa</t>
        </is>
      </c>
      <c r="AG30" s="223" t="n"/>
      <c r="AH30" s="223" t="n"/>
      <c r="AI30" s="223" t="n"/>
      <c r="AJ30" s="223" t="n"/>
      <c r="AK30" s="223" t="n"/>
      <c r="AL30" s="223" t="n"/>
      <c r="AM30" s="223" t="n"/>
      <c r="AN30" s="223" t="n"/>
      <c r="AO30" s="223" t="n"/>
      <c r="AP30" s="223" t="n"/>
      <c r="AQ30" s="223" t="n"/>
      <c r="AR30" s="223" t="n"/>
      <c r="AS30" s="223" t="n"/>
      <c r="AT30" s="223" t="n"/>
      <c r="AU30" s="223" t="n"/>
      <c r="AV30" s="223" t="n"/>
      <c r="AW30" s="223" t="n"/>
      <c r="AX30" s="223" t="n"/>
      <c r="AY30" s="223" t="n"/>
    </row>
    <row r="31" ht="18" customHeight="1" s="176">
      <c r="A31" s="232" t="n"/>
    </row>
    <row r="32" ht="18" customHeight="1" s="176">
      <c r="A32" s="232" t="inlineStr">
        <is>
          <t>Regional:</t>
        </is>
      </c>
      <c r="E32" s="223" t="n"/>
      <c r="F32" s="223" t="n"/>
      <c r="G32" s="222" t="n"/>
      <c r="H32" s="222" t="n"/>
      <c r="I32" s="222" t="n"/>
      <c r="J32" s="222" t="n"/>
      <c r="K32" s="222" t="n"/>
      <c r="L32" s="222" t="n"/>
      <c r="M32" s="222" t="inlineStr">
        <is>
          <t>Comarca Ngabe Bugle</t>
        </is>
      </c>
      <c r="N32" s="223" t="n"/>
      <c r="O32" s="223" t="n"/>
      <c r="P32" s="223" t="n"/>
      <c r="Q32" s="223" t="n"/>
      <c r="R32" s="223" t="n"/>
      <c r="S32" s="223" t="n"/>
      <c r="T32" s="223" t="n"/>
      <c r="U32" s="223" t="n"/>
      <c r="V32" s="223" t="n"/>
      <c r="W32" s="223" t="n"/>
      <c r="X32" s="223" t="n"/>
      <c r="Y32" s="223" t="n"/>
      <c r="Z32" s="223" t="n"/>
      <c r="AA32" s="223" t="n"/>
      <c r="AB32" s="223" t="n"/>
      <c r="AC32" s="223" t="n"/>
      <c r="AD32" s="223" t="n"/>
      <c r="AE32" s="223" t="n"/>
      <c r="AF32" s="223" t="n"/>
      <c r="AG32" s="223" t="n"/>
      <c r="AH32" s="223" t="n"/>
      <c r="AI32" s="223" t="n"/>
      <c r="AJ32" s="223" t="n"/>
      <c r="AK32" s="223" t="n"/>
      <c r="AL32" s="223" t="n"/>
      <c r="AM32" s="223" t="n"/>
      <c r="AN32" s="223" t="n"/>
      <c r="AO32" s="223" t="n"/>
      <c r="AP32" s="223" t="n"/>
      <c r="AQ32" s="222" t="n"/>
      <c r="AR32" s="222" t="n"/>
      <c r="AS32" s="222" t="n"/>
      <c r="AT32" s="222" t="n"/>
      <c r="AU32" s="222" t="n"/>
      <c r="AV32" s="222" t="n"/>
      <c r="AW32" s="222" t="n"/>
      <c r="AX32" s="223" t="n"/>
      <c r="AY32" s="223" t="n"/>
    </row>
    <row r="33" ht="18" customHeight="1" s="176">
      <c r="A33" s="232" t="n"/>
    </row>
    <row r="34" ht="18" customHeight="1" s="176">
      <c r="A34" s="232" t="inlineStr">
        <is>
          <t>Distrito de:</t>
        </is>
      </c>
      <c r="E34" s="223" t="n"/>
      <c r="F34" s="223" t="n"/>
      <c r="G34" s="223" t="n"/>
      <c r="H34" s="223" t="n"/>
      <c r="I34" s="223" t="n"/>
      <c r="J34" s="223" t="n"/>
      <c r="K34" s="223" t="n"/>
      <c r="L34" s="222" t="inlineStr">
        <is>
          <t>MÜNA</t>
        </is>
      </c>
      <c r="M34" s="223" t="n"/>
      <c r="N34" s="223" t="n"/>
      <c r="O34" s="223" t="n"/>
      <c r="P34" s="223" t="n"/>
      <c r="Q34" s="223" t="n"/>
      <c r="R34" s="223" t="n"/>
      <c r="S34" s="223" t="n"/>
      <c r="T34" s="223" t="n"/>
      <c r="U34" s="223" t="n"/>
      <c r="V34" s="223" t="n"/>
      <c r="W34" s="223" t="n"/>
      <c r="X34" s="223" t="n"/>
      <c r="Y34" s="223" t="n"/>
      <c r="Z34" s="223" t="n"/>
      <c r="AA34" s="223" t="n"/>
      <c r="AB34" s="223" t="n"/>
      <c r="AC34" s="223" t="n"/>
      <c r="AD34" s="223" t="n"/>
      <c r="AE34" s="223" t="n"/>
      <c r="AF34" s="223" t="n"/>
      <c r="AG34" s="223" t="n"/>
      <c r="AH34" s="223" t="n"/>
      <c r="AI34" s="223" t="n"/>
      <c r="AJ34" s="223" t="n"/>
      <c r="AK34" s="223" t="n"/>
      <c r="AL34" s="223" t="n"/>
      <c r="AM34" s="223" t="n"/>
      <c r="AN34" s="223" t="n"/>
      <c r="AO34" s="223" t="n"/>
      <c r="AP34" s="223" t="n"/>
      <c r="AQ34" s="223" t="n"/>
      <c r="AR34" s="223" t="n"/>
      <c r="AS34" s="223" t="n"/>
      <c r="AT34" s="223" t="n"/>
      <c r="AU34" s="223" t="n"/>
      <c r="AV34" s="223" t="n"/>
      <c r="AW34" s="223" t="n"/>
      <c r="AX34" s="223" t="n"/>
      <c r="AY34" s="223" t="n"/>
    </row>
    <row r="35" ht="18" customHeight="1" s="176">
      <c r="A35" s="232" t="n"/>
    </row>
    <row r="36" ht="18" customHeight="1" s="176">
      <c r="A36" s="232" t="inlineStr">
        <is>
          <t>Corregimiento de:</t>
        </is>
      </c>
      <c r="I36" s="223" t="n"/>
      <c r="J36" s="223" t="n"/>
      <c r="K36" s="223" t="n"/>
      <c r="L36" s="223" t="n"/>
      <c r="M36" s="223" t="n"/>
      <c r="N36" s="223" t="n"/>
      <c r="O36" s="223" t="n"/>
      <c r="P36" s="223" t="n"/>
      <c r="Q36" s="222" t="inlineStr">
        <is>
          <t>MARACA</t>
        </is>
      </c>
      <c r="R36" s="223" t="n"/>
      <c r="S36" s="223" t="n"/>
      <c r="T36" s="223" t="n"/>
      <c r="U36" s="223" t="n"/>
      <c r="V36" s="223" t="n"/>
      <c r="W36" s="223" t="n"/>
      <c r="X36" s="223" t="n"/>
      <c r="Y36" s="223" t="n"/>
      <c r="Z36" s="223" t="n"/>
      <c r="AA36" s="223" t="n"/>
      <c r="AB36" s="223" t="n"/>
      <c r="AC36" s="223" t="n"/>
      <c r="AD36" s="223" t="n"/>
      <c r="AE36" s="223" t="n"/>
      <c r="AF36" s="223" t="n"/>
      <c r="AG36" s="223" t="n"/>
      <c r="AH36" s="223" t="n"/>
      <c r="AI36" s="223" t="n"/>
      <c r="AJ36" s="223" t="n"/>
      <c r="AK36" s="223" t="n"/>
      <c r="AL36" s="223" t="n"/>
      <c r="AM36" s="223" t="n"/>
      <c r="AN36" s="223" t="n"/>
      <c r="AO36" s="223" t="n"/>
      <c r="AP36" s="223" t="n"/>
      <c r="AQ36" s="223" t="n"/>
      <c r="AR36" s="223" t="n"/>
      <c r="AS36" s="223" t="n"/>
      <c r="AT36" s="223" t="n"/>
      <c r="AU36" s="223" t="n"/>
      <c r="AV36" s="223" t="n"/>
      <c r="AW36" s="223" t="n"/>
      <c r="AX36" s="223" t="n"/>
      <c r="AY36" s="223" t="n"/>
    </row>
    <row r="37" ht="18" customHeight="1" s="176">
      <c r="A37" s="232" t="n"/>
    </row>
    <row r="38" ht="18" customHeight="1" s="176">
      <c r="A38" s="232" t="inlineStr">
        <is>
          <t>Zona Escolar:</t>
        </is>
      </c>
      <c r="F38" s="223" t="n"/>
      <c r="G38" s="83" t="n"/>
      <c r="H38" s="83" t="n"/>
      <c r="I38" s="83" t="n"/>
      <c r="J38" s="83" t="n"/>
      <c r="K38" s="83" t="n"/>
      <c r="L38" s="83" t="n"/>
      <c r="M38" s="83" t="n"/>
      <c r="N38" s="83" t="n"/>
      <c r="O38" s="225" t="n">
        <v>31</v>
      </c>
      <c r="P38" s="223" t="n"/>
      <c r="Q38" s="223" t="n"/>
      <c r="R38" s="223" t="n"/>
      <c r="S38" s="223" t="n"/>
      <c r="T38" s="223" t="n"/>
      <c r="U38" s="223" t="n"/>
      <c r="V38" s="223" t="n"/>
      <c r="W38" s="223" t="n"/>
      <c r="X38" s="223" t="n"/>
      <c r="Y38" s="223" t="n"/>
      <c r="Z38" s="223" t="n"/>
      <c r="AA38" s="223" t="n"/>
      <c r="AB38" s="223" t="n"/>
      <c r="AC38" s="223" t="n"/>
      <c r="AD38" s="223" t="n"/>
      <c r="AE38" s="223" t="n"/>
      <c r="AF38" s="223" t="n"/>
      <c r="AG38" s="223" t="n"/>
      <c r="AH38" s="223" t="n"/>
      <c r="AI38" s="223" t="n"/>
      <c r="AJ38" s="223" t="n"/>
      <c r="AK38" s="223" t="n"/>
      <c r="AL38" s="223" t="n"/>
      <c r="AM38" s="83" t="n"/>
      <c r="AN38" s="83" t="n"/>
      <c r="AO38" s="83" t="n"/>
      <c r="AP38" s="83" t="n"/>
      <c r="AQ38" s="83" t="n"/>
      <c r="AR38" s="83" t="n"/>
      <c r="AS38" s="83" t="n"/>
      <c r="AT38" s="83" t="n"/>
      <c r="AU38" s="83" t="n"/>
      <c r="AV38" s="83" t="n"/>
      <c r="AW38" s="83" t="n"/>
      <c r="AX38" s="83" t="n"/>
      <c r="AY38" s="83" t="n"/>
    </row>
    <row r="39" ht="18" customHeight="1" s="176"/>
    <row r="40" ht="18" customHeight="1" s="176"/>
    <row r="41" ht="18" customHeight="1" s="176"/>
    <row r="42" ht="15.6" customHeight="1" s="176">
      <c r="A42" s="232" t="n"/>
    </row>
    <row r="43" ht="15.6" customHeight="1" s="176">
      <c r="A43" s="232"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76" min="1" max="14"/>
    <col width="13.6640625" customWidth="1" style="176" min="15" max="19"/>
    <col width="1.6640625" customWidth="1" style="176" min="20" max="67"/>
  </cols>
  <sheetData>
    <row r="1" ht="18" customHeight="1" s="176"/>
    <row r="2" ht="16.05" customHeight="1" s="176">
      <c r="I2" t="inlineStr">
        <is>
          <t>Profesor:</t>
        </is>
      </c>
      <c r="N2" s="223" t="n"/>
      <c r="O2" s="222" t="inlineStr">
        <is>
          <t>Elmer Tugri</t>
        </is>
      </c>
      <c r="P2" s="223" t="n"/>
      <c r="Q2" s="223" t="n"/>
      <c r="R2" s="223" t="n"/>
    </row>
    <row r="3" ht="16.05" customHeight="1" s="176"/>
    <row r="4" ht="16.05" customHeight="1" s="176">
      <c r="C4" t="inlineStr">
        <is>
          <t>Jornada:</t>
        </is>
      </c>
      <c r="H4" s="222" t="inlineStr">
        <is>
          <t>MATUTINA</t>
        </is>
      </c>
      <c r="I4" s="223" t="n"/>
      <c r="J4" s="223" t="n"/>
      <c r="K4" s="223" t="n"/>
      <c r="L4" s="223" t="n"/>
      <c r="M4" s="223" t="n"/>
      <c r="N4" s="223" t="n"/>
      <c r="O4" s="223" t="n"/>
      <c r="P4" s="223" t="n"/>
      <c r="Q4" s="223" t="n"/>
      <c r="R4" s="223" t="n"/>
    </row>
    <row r="5" ht="16.05" customHeight="1" s="176"/>
    <row r="6" ht="16.05" customHeight="1" s="176">
      <c r="C6" t="inlineStr">
        <is>
          <t>Asignatura:</t>
        </is>
      </c>
      <c r="I6" s="222" t="inlineStr">
        <is>
          <t>Tecnología (7° a 9°) - Expresiones Artísticas (9°) - Ingles (7° a 9°)</t>
        </is>
      </c>
      <c r="J6" s="223" t="n"/>
      <c r="K6" s="223" t="n"/>
      <c r="L6" s="223" t="n"/>
      <c r="M6" s="223" t="n"/>
      <c r="N6" s="223" t="n"/>
      <c r="O6" s="223" t="n"/>
      <c r="P6" s="223" t="n"/>
      <c r="Q6" s="223" t="n"/>
      <c r="R6" s="223" t="n"/>
    </row>
    <row r="7" ht="16.05" customHeight="1" s="176"/>
    <row r="8" ht="16.05" customHeight="1" s="176">
      <c r="C8" t="inlineStr">
        <is>
          <t>Grados:</t>
        </is>
      </c>
      <c r="H8" s="223" t="n"/>
      <c r="I8" s="223" t="n"/>
      <c r="J8" s="223" t="n"/>
      <c r="K8" s="223" t="n"/>
      <c r="L8" s="223" t="n"/>
      <c r="M8" s="223" t="n"/>
      <c r="N8" s="223" t="n"/>
      <c r="O8" s="222" t="n"/>
      <c r="P8" s="223" t="n"/>
      <c r="Q8" s="223" t="n"/>
      <c r="R8" s="223" t="n"/>
    </row>
    <row r="9" ht="18" customHeight="1" s="176"/>
    <row r="10" ht="22.95" customFormat="1" customHeight="1" s="232">
      <c r="D10" s="207" t="inlineStr">
        <is>
          <t>PERIODO</t>
        </is>
      </c>
      <c r="E10" s="205" t="n"/>
      <c r="F10" s="205" t="n"/>
      <c r="G10" s="205" t="n"/>
      <c r="H10" s="205" t="n"/>
      <c r="I10" s="178" t="n"/>
      <c r="J10" s="71" t="inlineStr">
        <is>
          <t>HORAS</t>
        </is>
      </c>
      <c r="K10" s="71" t="n"/>
      <c r="L10" s="71" t="n"/>
      <c r="M10" s="71" t="n"/>
      <c r="N10" s="71" t="n"/>
      <c r="O10" s="207" t="inlineStr">
        <is>
          <t>LUNES</t>
        </is>
      </c>
      <c r="P10" s="207" t="inlineStr">
        <is>
          <t>MARTES</t>
        </is>
      </c>
      <c r="Q10" s="207" t="inlineStr">
        <is>
          <t>MIERCOLES</t>
        </is>
      </c>
      <c r="R10" s="207" t="inlineStr">
        <is>
          <t>JUEVES</t>
        </is>
      </c>
      <c r="S10" s="207" t="inlineStr">
        <is>
          <t>VIERNES</t>
        </is>
      </c>
      <c r="T10" s="75" t="n"/>
      <c r="U10" s="76" t="n"/>
      <c r="V10" s="76" t="n"/>
      <c r="W10" s="76" t="n"/>
      <c r="X10" s="76" t="n"/>
    </row>
    <row r="11" ht="22.95" customHeight="1" s="176">
      <c r="D11" s="227" t="inlineStr">
        <is>
          <t>I</t>
        </is>
      </c>
      <c r="E11" s="205" t="n"/>
      <c r="F11" s="205" t="n"/>
      <c r="G11" s="205" t="n"/>
      <c r="H11" s="205" t="n"/>
      <c r="I11" s="178" t="n"/>
      <c r="J11" s="228" t="inlineStr">
        <is>
          <t>8:00 -8:35</t>
        </is>
      </c>
      <c r="K11" s="205" t="n"/>
      <c r="L11" s="205" t="n"/>
      <c r="M11" s="205" t="n"/>
      <c r="N11" s="178" t="n"/>
      <c r="O11" s="227" t="inlineStr">
        <is>
          <t xml:space="preserve">ACTO CIVO </t>
        </is>
      </c>
      <c r="P11" s="231" t="inlineStr">
        <is>
          <t>TECNOLOGIA 9°</t>
        </is>
      </c>
      <c r="Q11" s="231" t="inlineStr">
        <is>
          <t>TECNOLOGIA 9°</t>
        </is>
      </c>
      <c r="R11" s="227" t="n"/>
      <c r="S11" s="79" t="n"/>
      <c r="T11" s="73" t="n"/>
      <c r="U11" s="74" t="n"/>
      <c r="V11" s="74" t="n"/>
      <c r="W11" s="74" t="n"/>
      <c r="X11" s="74" t="n"/>
    </row>
    <row r="12" ht="22.95" customHeight="1" s="176">
      <c r="D12" s="227" t="inlineStr">
        <is>
          <t>II</t>
        </is>
      </c>
      <c r="E12" s="205" t="n"/>
      <c r="F12" s="205" t="n"/>
      <c r="G12" s="205" t="n"/>
      <c r="H12" s="205" t="n"/>
      <c r="I12" s="178" t="n"/>
      <c r="J12" s="228" t="inlineStr">
        <is>
          <t>8:35 - 9:10</t>
        </is>
      </c>
      <c r="K12" s="205" t="n"/>
      <c r="L12" s="205" t="n"/>
      <c r="M12" s="205" t="n"/>
      <c r="N12" s="178" t="n"/>
      <c r="O12" s="227" t="inlineStr">
        <is>
          <t>TECNOLOGIA 7°</t>
        </is>
      </c>
      <c r="P12" s="227" t="inlineStr">
        <is>
          <t>INGLES 9°</t>
        </is>
      </c>
      <c r="Q12" s="227" t="inlineStr">
        <is>
          <t>INGLES 8°</t>
        </is>
      </c>
      <c r="R12" s="227" t="n"/>
      <c r="S12" s="79" t="n"/>
      <c r="T12" s="73" t="n"/>
      <c r="U12" s="74" t="n"/>
      <c r="V12" s="74" t="n"/>
      <c r="W12" s="74" t="n"/>
      <c r="X12" s="74" t="n"/>
    </row>
    <row r="13" ht="22.95" customHeight="1" s="176">
      <c r="D13" s="227" t="inlineStr">
        <is>
          <t>III</t>
        </is>
      </c>
      <c r="E13" s="205" t="n"/>
      <c r="F13" s="205" t="n"/>
      <c r="G13" s="205" t="n"/>
      <c r="H13" s="205" t="n"/>
      <c r="I13" s="178" t="n"/>
      <c r="J13" s="228" t="inlineStr">
        <is>
          <t>9:10 - 9:45</t>
        </is>
      </c>
      <c r="K13" s="205" t="n"/>
      <c r="L13" s="205" t="n"/>
      <c r="M13" s="205" t="n"/>
      <c r="N13" s="178" t="n"/>
      <c r="O13" s="181" t="n"/>
      <c r="P13" s="181" t="n"/>
      <c r="Q13" s="181" t="n"/>
      <c r="R13" s="227" t="inlineStr">
        <is>
          <t>INGLES 7°</t>
        </is>
      </c>
      <c r="S13" s="227" t="n"/>
      <c r="T13" s="73" t="n"/>
      <c r="U13" s="74" t="n"/>
      <c r="V13" s="74" t="n"/>
      <c r="W13" s="74" t="n"/>
      <c r="X13" s="74" t="n"/>
    </row>
    <row r="14" ht="22.95" customHeight="1" s="176">
      <c r="D14" s="231" t="inlineStr">
        <is>
          <t>IV</t>
        </is>
      </c>
      <c r="E14" s="215" t="n"/>
      <c r="F14" s="215" t="n"/>
      <c r="G14" s="215" t="n"/>
      <c r="H14" s="215" t="n"/>
      <c r="I14" s="185" t="n"/>
      <c r="J14" s="228" t="inlineStr">
        <is>
          <t>9:45 - 10:20</t>
        </is>
      </c>
      <c r="K14" s="205" t="n"/>
      <c r="L14" s="205" t="n"/>
      <c r="M14" s="205" t="n"/>
      <c r="N14" s="178" t="n"/>
      <c r="O14" s="231" t="inlineStr">
        <is>
          <t>TECNOLOGIA 8°</t>
        </is>
      </c>
      <c r="P14" s="231" t="n"/>
      <c r="Q14" s="231" t="inlineStr">
        <is>
          <t>INGLES 7°</t>
        </is>
      </c>
      <c r="R14" s="181" t="n"/>
      <c r="S14" s="79" t="inlineStr">
        <is>
          <t>Artística 9°</t>
        </is>
      </c>
      <c r="T14" s="73" t="n"/>
      <c r="U14" s="74" t="n"/>
      <c r="V14" s="74" t="n"/>
      <c r="W14" s="74" t="n"/>
      <c r="X14" s="74" t="n"/>
    </row>
    <row r="15" ht="22.95" customHeight="1" s="176">
      <c r="A15" s="74" t="n"/>
      <c r="B15" s="77" t="n"/>
      <c r="C15" s="77" t="n"/>
      <c r="D15" s="230" t="inlineStr">
        <is>
          <t>RECESO ACADÉMICO</t>
        </is>
      </c>
      <c r="E15" s="205" t="n"/>
      <c r="F15" s="205" t="n"/>
      <c r="G15" s="205" t="n"/>
      <c r="H15" s="205" t="n"/>
      <c r="I15" s="205" t="n"/>
      <c r="J15" s="205" t="n"/>
      <c r="K15" s="205" t="n"/>
      <c r="L15" s="205" t="n"/>
      <c r="M15" s="205" t="n"/>
      <c r="N15" s="205" t="n"/>
      <c r="O15" s="205" t="n"/>
      <c r="P15" s="205" t="n"/>
      <c r="Q15" s="205" t="n"/>
      <c r="R15" s="205" t="n"/>
      <c r="S15" s="178" t="n"/>
    </row>
    <row r="16" ht="22.95" customHeight="1" s="176">
      <c r="B16" s="74" t="n"/>
      <c r="C16" s="74" t="n"/>
      <c r="D16" s="227" t="inlineStr">
        <is>
          <t>V</t>
        </is>
      </c>
      <c r="E16" s="205" t="n"/>
      <c r="F16" s="205" t="n"/>
      <c r="G16" s="205" t="n"/>
      <c r="H16" s="205" t="n"/>
      <c r="I16" s="178" t="n"/>
      <c r="J16" s="228" t="inlineStr">
        <is>
          <t>10:40 - 11:15</t>
        </is>
      </c>
      <c r="K16" s="205" t="n"/>
      <c r="L16" s="205" t="n"/>
      <c r="M16" s="205" t="n"/>
      <c r="N16" s="178" t="n"/>
      <c r="O16" s="231" t="inlineStr">
        <is>
          <t>TECNOLOGIA 8°</t>
        </is>
      </c>
      <c r="P16" s="79" t="n"/>
      <c r="Q16" s="79" t="inlineStr">
        <is>
          <t>INGLES 7°</t>
        </is>
      </c>
      <c r="R16" s="227" t="inlineStr">
        <is>
          <t>Artística 9°</t>
        </is>
      </c>
      <c r="S16" s="79" t="inlineStr">
        <is>
          <t>Artística 9°</t>
        </is>
      </c>
    </row>
    <row r="17" ht="22.95" customHeight="1" s="176">
      <c r="B17" s="74" t="n"/>
      <c r="C17" s="74" t="n"/>
      <c r="D17" s="227" t="inlineStr">
        <is>
          <t>VI</t>
        </is>
      </c>
      <c r="E17" s="205" t="n"/>
      <c r="F17" s="205" t="n"/>
      <c r="G17" s="205" t="n"/>
      <c r="H17" s="205" t="n"/>
      <c r="I17" s="178" t="n"/>
      <c r="J17" s="228" t="inlineStr">
        <is>
          <t>11:15 - 11:50</t>
        </is>
      </c>
      <c r="K17" s="205" t="n"/>
      <c r="L17" s="205" t="n"/>
      <c r="M17" s="205" t="n"/>
      <c r="N17" s="178" t="n"/>
      <c r="O17" s="227" t="inlineStr">
        <is>
          <t>INGLES 8°</t>
        </is>
      </c>
      <c r="P17" s="227" t="n"/>
      <c r="Q17" s="227" t="inlineStr">
        <is>
          <t>TECNOLOGIA 8°</t>
        </is>
      </c>
      <c r="R17" s="181" t="n"/>
      <c r="S17" s="231" t="inlineStr">
        <is>
          <t>TECNOLOGIA 9°</t>
        </is>
      </c>
    </row>
    <row r="18" ht="22.95" customHeight="1" s="176">
      <c r="B18" s="74" t="n"/>
      <c r="C18" s="74" t="n"/>
      <c r="D18" s="227" t="inlineStr">
        <is>
          <t>VII</t>
        </is>
      </c>
      <c r="E18" s="205" t="n"/>
      <c r="F18" s="205" t="n"/>
      <c r="G18" s="205" t="n"/>
      <c r="H18" s="205" t="n"/>
      <c r="I18" s="178" t="n"/>
      <c r="J18" s="228" t="inlineStr">
        <is>
          <t>11:50 - 12:25</t>
        </is>
      </c>
      <c r="K18" s="205" t="n"/>
      <c r="L18" s="205" t="n"/>
      <c r="M18" s="205" t="n"/>
      <c r="N18" s="178" t="n"/>
      <c r="O18" s="181" t="n"/>
      <c r="P18" s="227" t="inlineStr">
        <is>
          <t>TECNOLOGIA 7°</t>
        </is>
      </c>
      <c r="Q18" s="181" t="n"/>
      <c r="R18" s="227" t="inlineStr">
        <is>
          <t>INGLES 9°</t>
        </is>
      </c>
      <c r="S18" s="227" t="inlineStr">
        <is>
          <t>PROYECTOS</t>
        </is>
      </c>
    </row>
    <row r="19" ht="22.95" customHeight="1" s="176">
      <c r="B19" s="74" t="n"/>
      <c r="C19" s="74" t="n"/>
      <c r="D19" s="227" t="inlineStr">
        <is>
          <t>VIII</t>
        </is>
      </c>
      <c r="E19" s="205" t="n"/>
      <c r="F19" s="205" t="n"/>
      <c r="G19" s="205" t="n"/>
      <c r="H19" s="205" t="n"/>
      <c r="I19" s="178" t="n"/>
      <c r="J19" s="228" t="inlineStr">
        <is>
          <t>12:25 - 1:00</t>
        </is>
      </c>
      <c r="K19" s="205" t="n"/>
      <c r="L19" s="205" t="n"/>
      <c r="M19" s="205" t="n"/>
      <c r="N19" s="178" t="n"/>
      <c r="O19" s="84" t="n"/>
      <c r="P19" s="181" t="n"/>
      <c r="Q19" s="227" t="inlineStr">
        <is>
          <t>TECNOLOGIA 9°</t>
        </is>
      </c>
      <c r="R19" s="181" t="n"/>
      <c r="S19" s="181" t="n"/>
    </row>
    <row r="20" ht="18" customHeight="1" s="176">
      <c r="A20" s="229" t="n"/>
      <c r="B20" s="229" t="n"/>
      <c r="C20" s="229" t="n"/>
      <c r="D20" s="229" t="n"/>
      <c r="E20" s="229" t="n"/>
      <c r="F20" s="229" t="n"/>
      <c r="G20" s="229" t="n"/>
      <c r="H20" s="229" t="n"/>
      <c r="I20" s="229" t="n"/>
      <c r="J20" s="229" t="n"/>
      <c r="K20" s="229" t="n"/>
      <c r="L20" s="229" t="n"/>
      <c r="M20" s="229" t="n"/>
      <c r="N20" s="229" t="n"/>
      <c r="O20" s="229" t="n"/>
      <c r="P20" s="229" t="n"/>
      <c r="Q20" s="229" t="n"/>
      <c r="R20" s="229" t="n"/>
      <c r="S20" s="229" t="n"/>
    </row>
    <row r="21" ht="18" customHeight="1" s="176">
      <c r="A21" s="224" t="n"/>
    </row>
    <row r="22" ht="18" customHeight="1" s="176">
      <c r="A22" s="224" t="n"/>
    </row>
    <row r="23" ht="18" customHeight="1" s="176"/>
    <row r="24" ht="22.95" customFormat="1" customHeight="1" s="232">
      <c r="A24" s="188" t="n"/>
      <c r="G24" s="188" t="n"/>
      <c r="O24" s="188" t="n"/>
      <c r="P24" s="188" t="n"/>
      <c r="Q24" s="188" t="n"/>
      <c r="R24" s="188" t="n"/>
      <c r="S24" s="188" t="n"/>
    </row>
    <row r="25" ht="22.95" customHeight="1" s="176">
      <c r="A25" s="229" t="n"/>
      <c r="G25" s="229" t="n"/>
      <c r="O25" s="229" t="n"/>
      <c r="P25" s="229" t="n"/>
      <c r="Q25" s="229" t="n"/>
      <c r="R25" s="229" t="n"/>
      <c r="S25" s="229" t="n"/>
    </row>
    <row r="26" ht="22.95" customHeight="1" s="176">
      <c r="A26" s="229" t="n"/>
      <c r="G26" s="229" t="n"/>
      <c r="O26" s="229" t="n"/>
      <c r="P26" s="229" t="n"/>
      <c r="Q26" s="229" t="n"/>
      <c r="R26" s="229" t="n"/>
      <c r="S26" s="229" t="n"/>
    </row>
    <row r="27" ht="22.95" customHeight="1" s="176">
      <c r="A27" s="229" t="n"/>
      <c r="G27" s="229" t="n"/>
      <c r="O27" s="229" t="n"/>
      <c r="P27" s="229" t="n"/>
      <c r="Q27" s="229" t="n"/>
      <c r="R27" s="229" t="n"/>
      <c r="S27" s="229" t="n"/>
    </row>
    <row r="28" ht="22.95" customHeight="1" s="176">
      <c r="A28" s="229" t="n"/>
      <c r="G28" s="229" t="n"/>
      <c r="O28" s="229" t="n"/>
      <c r="P28" s="229" t="n"/>
      <c r="Q28" s="229" t="n"/>
      <c r="R28" s="229" t="n"/>
      <c r="S28" s="229" t="n"/>
    </row>
    <row r="29" ht="22.95" customHeight="1" s="176">
      <c r="A29" s="224" t="n"/>
    </row>
    <row r="30" ht="22.95" customHeight="1" s="176">
      <c r="A30" s="229" t="n"/>
      <c r="G30" s="229" t="n"/>
      <c r="O30" s="229" t="n"/>
      <c r="P30" s="229" t="n"/>
      <c r="Q30" s="229" t="n"/>
      <c r="R30" s="229" t="n"/>
      <c r="S30" s="229" t="n"/>
    </row>
    <row r="31" ht="22.95" customHeight="1" s="176">
      <c r="A31" s="229" t="n"/>
      <c r="G31" s="229" t="n"/>
      <c r="O31" s="229" t="n"/>
      <c r="P31" s="229" t="n"/>
      <c r="Q31" s="229" t="n"/>
      <c r="R31" s="229" t="n"/>
      <c r="S31" s="229" t="n"/>
    </row>
    <row r="32" ht="22.95" customHeight="1" s="176">
      <c r="A32" s="229" t="n"/>
      <c r="G32" s="229" t="n"/>
      <c r="O32" s="229" t="n"/>
      <c r="P32" s="229" t="n"/>
      <c r="Q32" s="229" t="n"/>
      <c r="R32" s="229" t="n"/>
      <c r="S32" s="229" t="n"/>
    </row>
    <row r="33" ht="22.95" customHeight="1" s="176">
      <c r="A33" s="229" t="n"/>
      <c r="G33" s="229" t="n"/>
      <c r="O33" s="229" t="n"/>
      <c r="P33" s="229" t="n"/>
      <c r="Q33" s="229" t="n"/>
      <c r="R33" s="229" t="n"/>
      <c r="S33" s="229" t="n"/>
    </row>
    <row r="34" ht="18" customHeight="1" s="176"/>
    <row r="35" ht="18" customHeight="1" s="176"/>
    <row r="36" ht="18" customHeight="1" s="176"/>
    <row r="37" ht="18" customHeight="1" s="176"/>
    <row r="38" ht="18" customHeight="1" s="176"/>
    <row r="39" ht="18" customHeight="1" s="176"/>
    <row r="40" ht="18" customHeight="1" s="176"/>
    <row r="41" ht="18" customHeight="1" s="176"/>
    <row r="42" ht="18" customHeight="1" s="176"/>
    <row r="43" ht="18" customHeight="1" s="176"/>
    <row r="44" ht="18" customHeight="1" s="176"/>
    <row r="45" ht="18" customHeight="1" s="176"/>
    <row r="46" ht="18" customHeight="1" s="176"/>
    <row r="47" ht="18" customHeight="1" s="176"/>
    <row r="48" ht="18" customHeight="1" s="176"/>
    <row r="49" ht="18" customHeight="1" s="176"/>
    <row r="50" ht="18" customHeight="1" s="176"/>
    <row r="51" ht="18" customHeight="1" s="176"/>
    <row r="52" ht="18" customHeight="1" s="176"/>
    <row r="53" ht="18" customHeight="1" s="176"/>
    <row r="54" ht="18" customHeight="1" s="176"/>
    <row r="55" ht="18" customHeight="1" s="176"/>
    <row r="56" ht="18" customHeight="1" s="176"/>
    <row r="57" ht="18" customHeight="1" s="176"/>
    <row r="58" ht="18" customHeight="1" s="176"/>
    <row r="59" ht="18" customHeight="1" s="176"/>
    <row r="60" ht="18" customHeight="1" s="176"/>
    <row r="61" ht="18" customHeight="1" s="176"/>
    <row r="62" ht="18" customHeight="1" s="176"/>
    <row r="63" ht="18" customHeight="1" s="176"/>
    <row r="64" ht="18" customHeight="1" s="176"/>
    <row r="65" ht="18" customHeight="1" s="176"/>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76" min="1" max="1"/>
    <col width="6.33203125" customWidth="1" style="176" min="2" max="2"/>
    <col width="46.109375" customWidth="1" style="176" min="3" max="3"/>
  </cols>
  <sheetData>
    <row r="1" ht="28.8" customHeight="1" s="176">
      <c r="A1" s="31" t="inlineStr">
        <is>
          <t>GUÍA PARA EL CORRECTO MANEJO DEL                     REGISTRO ESCOLAR</t>
        </is>
      </c>
      <c r="C1" s="233" t="inlineStr">
        <is>
          <t>.  Debe anotarse toda la información relacionada con el nombre y apellido.</t>
        </is>
      </c>
    </row>
    <row r="2" ht="13.05" customHeight="1" s="176">
      <c r="A2" s="33" t="n"/>
      <c r="C2" s="233" t="inlineStr">
        <is>
          <t>.  En caso de retiros, no se debe tachar el nombre, sino hacer la correspondiente anotación en el espacio previsto para ello al final de cada grupo.</t>
        </is>
      </c>
    </row>
    <row r="3">
      <c r="A3" s="23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76"/>
    <row r="5" ht="55.2" customHeight="1" s="176">
      <c r="C5" s="233" t="inlineStr">
        <is>
          <t>.  En la sección para observaciones, debe aparecer el nombre de la profesora o del profesor consejero así como el grupo de consejería a que pertenece la estudiante o el estudiante.</t>
        </is>
      </c>
    </row>
    <row r="6">
      <c r="C6" s="233" t="n"/>
    </row>
    <row r="7" ht="15.6" customHeight="1" s="176">
      <c r="A7" s="37" t="n"/>
      <c r="C7" s="34" t="inlineStr">
        <is>
          <t>SIMBOLOGÍA RECOMENDADA</t>
        </is>
      </c>
    </row>
    <row r="8">
      <c r="A8" s="37" t="n"/>
      <c r="C8" s="233" t="n"/>
    </row>
    <row r="9" ht="13.05" customHeight="1" s="176">
      <c r="A9" s="35" t="n"/>
      <c r="C9" s="23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76">
      <c r="A10" s="233" t="inlineStr">
        <is>
          <t>Para asegurar el correcto reistro, tanto de la asistencia como las calificaciones, el docente debe guiarse por el nombre del estudiante como por el número de casilla que le corresponde.</t>
        </is>
      </c>
    </row>
    <row r="11"/>
    <row r="12"/>
    <row r="13" ht="8.25" customHeight="1" s="176"/>
    <row r="14" ht="13.05" customHeight="1" s="176">
      <c r="C14" s="233" t="n"/>
    </row>
    <row r="15" ht="14.4" customHeight="1" s="176">
      <c r="A15" s="233" t="inlineStr">
        <is>
          <t>Al finalizar el año lectivo, todos los docentes deben devolver el Registro Escolar a la Dirección del Plantel.</t>
        </is>
      </c>
      <c r="C15" s="233" t="inlineStr">
        <is>
          <t>1. Registrar la asistencia diariamente, anotando la fecha correspondiente (día: número arábigo; mes: número arabigo). Utilizar la siguiente simbología:</t>
        </is>
      </c>
    </row>
    <row r="16"/>
    <row r="17" ht="13.05" customHeight="1" s="176"/>
    <row r="18" ht="14.4" customHeight="1" s="176">
      <c r="A18" s="233" t="inlineStr">
        <is>
          <t>Esperamos que los señalamientos aquí presentados sean considerados por los docentes quienes oportunamente deberán presentar opiniones o nuevas ideas relacionadas con el manejo del Registro Escolar.</t>
        </is>
      </c>
      <c r="C18" s="233" t="inlineStr">
        <is>
          <t>a. Asistencia: un punto (.)</t>
        </is>
      </c>
    </row>
    <row r="19">
      <c r="C19" s="233" t="inlineStr">
        <is>
          <t>b. Ausencia: una raya horizontal (-)</t>
        </is>
      </c>
    </row>
    <row r="20">
      <c r="C20" s="233" t="inlineStr">
        <is>
          <t>c. Ausencia justificada (excusa): la letra mayúscula €</t>
        </is>
      </c>
    </row>
    <row r="21">
      <c r="C21" s="233" t="inlineStr">
        <is>
          <t>d. Tardanza: La letra mayúscula (T)</t>
        </is>
      </c>
    </row>
    <row r="22" ht="13.05" customHeight="1" s="176">
      <c r="A22" s="233" t="n"/>
      <c r="C22" s="233" t="inlineStr">
        <is>
          <t>e. Fuga: la letra (F)</t>
        </is>
      </c>
    </row>
    <row r="23">
      <c r="A23" s="36" t="inlineStr">
        <is>
          <t>PRESENTACIÓN</t>
        </is>
      </c>
      <c r="C23" s="233" t="inlineStr">
        <is>
          <t>f. Sin nota: las letras (S/N)</t>
        </is>
      </c>
    </row>
    <row r="24" ht="13.05" customHeight="1" s="176">
      <c r="A24" s="36" t="n"/>
      <c r="C24" s="233" t="inlineStr">
        <is>
          <t>g. Sin profesor: las letras (S/P)</t>
        </is>
      </c>
    </row>
    <row r="25" ht="14.4" customHeight="1" s="176">
      <c r="A25" s="233" t="inlineStr">
        <is>
          <t>El Registro Escolar refleja la personalidad de la docente o del docente, por lo tanto, se debe tener especial cuidado con su aspecto físico.</t>
        </is>
      </c>
      <c r="C25" s="233" t="inlineStr">
        <is>
          <t>h. Alumno retirado: La letra (R) mayúscula.</t>
        </is>
      </c>
    </row>
    <row r="26">
      <c r="C26" s="233" t="n"/>
    </row>
    <row r="27" ht="10.5" customHeight="1" s="176">
      <c r="C27" s="235" t="inlineStr">
        <is>
          <t>CONSIDERACIONES FINALES</t>
        </is>
      </c>
    </row>
    <row r="28" ht="10.5" customHeight="1" s="176">
      <c r="A28" s="233" t="n"/>
    </row>
    <row r="29" ht="14.4" customHeight="1" s="176">
      <c r="A29" s="233" t="inlineStr">
        <is>
          <t>En cuanto a su presentación se tendrá en cuenta lo siguiente:</t>
        </is>
      </c>
      <c r="C29" s="233" t="n"/>
    </row>
    <row r="30">
      <c r="C30" s="233" t="inlineStr">
        <is>
          <t>El registro de notas o calificaciones es importante por su trascendencia en la determinación cuantitativa y cualitativa del aprovechamiento escolar. Por eso debemos:</t>
        </is>
      </c>
    </row>
    <row r="31" ht="13.05" customHeight="1" s="176">
      <c r="A31" s="37" t="n"/>
    </row>
    <row r="32" ht="14.4" customHeight="1" s="176">
      <c r="A32" s="233" t="inlineStr">
        <is>
          <t>1. Debe estar forrado con sobriedad; si es posible, encuadernado o empastado.</t>
        </is>
      </c>
    </row>
    <row r="33" ht="12" customHeight="1" s="176"/>
    <row r="34" ht="14.4" customHeight="1" s="176">
      <c r="A34" s="233" t="inlineStr">
        <is>
          <t>2. La información se anotará con tinta sin exagerar el uso de los colores.</t>
        </is>
      </c>
      <c r="C34" s="233" t="n"/>
    </row>
    <row r="35" ht="12" customHeight="1" s="176">
      <c r="C35" s="233" t="inlineStr">
        <is>
          <t>.    Utilizar la escala numérica de 1 a 5 (incluye decimales con números arábigos).</t>
        </is>
      </c>
    </row>
    <row r="36" ht="14.4" customHeight="1" s="176">
      <c r="A36" s="233" t="inlineStr">
        <is>
          <t>3. Al escribir en él puede usar la letra de imprenta o cursiva legible.</t>
        </is>
      </c>
    </row>
    <row r="37" ht="12" customHeight="1" s="176">
      <c r="C37" s="233" t="inlineStr">
        <is>
          <t>.    Recordar que el cero (0) no existe dentro de esta escala.</t>
        </is>
      </c>
    </row>
    <row r="38" ht="14.4" customHeight="1" s="176">
      <c r="A38" s="233" t="inlineStr">
        <is>
          <t>4. Debe conservarse en forma nítida, sin manchas, sin borrones y sin tachaduras.</t>
        </is>
      </c>
    </row>
    <row r="39" ht="12" customHeight="1" s="176">
      <c r="C39" s="233" t="inlineStr">
        <is>
          <t>.  No utilizar ganchos, equis ni otros símbolos.</t>
        </is>
      </c>
    </row>
    <row r="40" ht="14.4" customHeight="1" s="176">
      <c r="A40" s="233" t="inlineStr">
        <is>
          <t>5. La libreta no debe contener información ajena a sus propósitos.</t>
        </is>
      </c>
      <c r="C40" s="233" t="inlineStr">
        <is>
          <t>.  Registrar las notas con tinta, sin borrones ni tachaduras. Evitar escribir un número sobre otro.</t>
        </is>
      </c>
    </row>
    <row r="41"/>
    <row r="42" ht="13.05" customHeight="1" s="176">
      <c r="A42" s="233" t="n"/>
      <c r="C42" s="233" t="inlineStr">
        <is>
          <t>.  Se debe registrar según la carga horaria, un mínimo de pruebas y actividades.</t>
        </is>
      </c>
    </row>
    <row r="43" ht="14.4" customHeight="1" s="176">
      <c r="A43" s="236" t="inlineStr">
        <is>
          <t>CONFECCIÓN DEL LISTADO DE LAS ESTUDIANTES Y LOS ESTUDIANTES.</t>
        </is>
      </c>
    </row>
    <row r="44">
      <c r="C44" s="233" t="inlineStr">
        <is>
          <t>.  Debemos recordar que el trabajo en la libreta debe ser exacto, completo, claro y legible.</t>
        </is>
      </c>
    </row>
    <row r="45" ht="13.05" customHeight="1" s="176">
      <c r="A45" s="233" t="n"/>
    </row>
    <row r="46" ht="27.6" customHeight="1" s="176">
      <c r="A46" s="233" t="inlineStr">
        <is>
          <t>.  El listado debe hacerse por apellidos, en orden alfabético, sin distinción de género.</t>
        </is>
      </c>
      <c r="C46" s="233" t="n"/>
    </row>
    <row r="47" ht="27.6" customHeight="1" s="176">
      <c r="A47" s="38" t="inlineStr">
        <is>
          <t>Según el Resuelto No.1840 de 1 de noviembre de 2000.</t>
        </is>
      </c>
      <c r="C47" s="233" t="n"/>
    </row>
    <row r="48">
      <c r="A48" s="233" t="n"/>
      <c r="C48" s="233" t="n"/>
    </row>
    <row r="49">
      <c r="A49" s="233" t="n"/>
      <c r="C49" s="233" t="n"/>
    </row>
    <row r="50">
      <c r="A50" s="233" t="n"/>
      <c r="C50" s="233" t="n"/>
    </row>
    <row r="51" ht="12.75" customHeight="1" s="176">
      <c r="C51" s="233" t="n"/>
    </row>
    <row r="52" ht="30" customHeight="1" s="176">
      <c r="C52" s="233" t="n"/>
    </row>
    <row r="53" ht="11.25" customHeight="1" s="176">
      <c r="A53" s="233" t="n"/>
      <c r="C53" s="233" t="n"/>
    </row>
    <row r="54">
      <c r="C54" s="233" t="n"/>
    </row>
    <row r="55">
      <c r="C55" s="233" t="n"/>
    </row>
    <row r="56">
      <c r="A56" s="233" t="n"/>
      <c r="C56" s="233" t="n"/>
    </row>
    <row r="57">
      <c r="A57" s="233" t="n"/>
      <c r="C57" s="233" t="n"/>
    </row>
    <row r="58">
      <c r="A58" s="233" t="n"/>
      <c r="C58" s="233" t="n"/>
    </row>
    <row r="59">
      <c r="A59" s="233" t="n"/>
      <c r="C59" s="233" t="n"/>
    </row>
    <row r="60">
      <c r="A60" s="233" t="n"/>
      <c r="C60" s="233" t="n"/>
    </row>
    <row r="61">
      <c r="A61" s="233" t="n"/>
      <c r="C61" s="233" t="n"/>
    </row>
    <row r="62">
      <c r="A62" s="233" t="n"/>
      <c r="C62" s="233" t="n"/>
    </row>
    <row r="63">
      <c r="A63" s="233" t="n"/>
      <c r="C63" s="233" t="n"/>
    </row>
    <row r="64">
      <c r="A64" s="233" t="n"/>
      <c r="C64" s="233" t="n"/>
    </row>
    <row r="65">
      <c r="A65" s="233" t="n"/>
      <c r="C65" s="233" t="n"/>
    </row>
    <row r="66">
      <c r="A66" s="233" t="n"/>
      <c r="C66" s="233" t="n"/>
    </row>
    <row r="67">
      <c r="A67" s="233" t="n"/>
      <c r="C67" s="233" t="n"/>
    </row>
    <row r="68">
      <c r="A68" s="233" t="n"/>
      <c r="C68" s="233" t="n"/>
    </row>
    <row r="69">
      <c r="A69" s="233" t="n"/>
      <c r="C69" s="233" t="n"/>
    </row>
    <row r="70">
      <c r="A70" s="233" t="n"/>
      <c r="C70" s="233" t="n"/>
    </row>
    <row r="71">
      <c r="A71" s="233" t="n"/>
      <c r="C71" s="233" t="n"/>
    </row>
    <row r="72">
      <c r="A72" s="233" t="n"/>
      <c r="C72" s="233" t="n"/>
    </row>
    <row r="73">
      <c r="A73" s="233" t="n"/>
      <c r="C73" s="233" t="n"/>
    </row>
    <row r="74">
      <c r="A74" s="233" t="n"/>
      <c r="C74" s="233" t="n"/>
    </row>
    <row r="75">
      <c r="A75" s="233" t="n"/>
      <c r="C75" s="233" t="n"/>
    </row>
    <row r="76">
      <c r="A76" s="233" t="n"/>
      <c r="C76" s="233" t="n"/>
    </row>
    <row r="77">
      <c r="A77" s="233" t="n"/>
      <c r="C77" s="233" t="n"/>
    </row>
    <row r="78">
      <c r="A78" s="233" t="n"/>
      <c r="C78" s="233" t="n"/>
    </row>
    <row r="79">
      <c r="A79" s="233" t="n"/>
      <c r="C79" s="233" t="n"/>
    </row>
    <row r="80">
      <c r="A80" s="233" t="n"/>
      <c r="C80" s="233" t="n"/>
    </row>
    <row r="81">
      <c r="A81" s="233" t="n"/>
      <c r="C81" s="233" t="n"/>
    </row>
    <row r="82">
      <c r="A82" s="233" t="n"/>
      <c r="C82" s="233" t="n"/>
    </row>
    <row r="83">
      <c r="A83" s="233" t="n"/>
      <c r="C83" s="233" t="n"/>
    </row>
    <row r="84">
      <c r="A84" s="233" t="n"/>
      <c r="C84" s="233" t="n"/>
    </row>
    <row r="85">
      <c r="A85" s="233" t="n"/>
      <c r="C85" s="233" t="n"/>
    </row>
    <row r="86">
      <c r="A86" s="233" t="n"/>
      <c r="C86" s="233" t="n"/>
    </row>
    <row r="87">
      <c r="A87" s="233" t="n"/>
    </row>
    <row r="88">
      <c r="A88" s="233" t="n"/>
    </row>
    <row r="89">
      <c r="A89" s="233" t="n"/>
    </row>
    <row r="90">
      <c r="A90" s="233" t="n"/>
    </row>
    <row r="91">
      <c r="A91" s="233" t="n"/>
    </row>
    <row r="92">
      <c r="A92" s="233" t="n"/>
    </row>
    <row r="93">
      <c r="A93" s="233" t="n"/>
    </row>
    <row r="94">
      <c r="A94" s="233" t="n"/>
    </row>
    <row r="95">
      <c r="A95" s="233" t="n"/>
    </row>
    <row r="96">
      <c r="A96" s="233" t="n"/>
    </row>
    <row r="97">
      <c r="A97" s="233" t="n"/>
    </row>
    <row r="98">
      <c r="A98" s="233" t="n"/>
    </row>
    <row r="99">
      <c r="A99" s="233" t="n"/>
    </row>
    <row r="100">
      <c r="A100" s="233" t="n"/>
    </row>
    <row r="101">
      <c r="A101" s="233" t="n"/>
    </row>
    <row r="102">
      <c r="A102" s="233" t="n"/>
    </row>
    <row r="103">
      <c r="A103" s="233" t="n"/>
    </row>
    <row r="104">
      <c r="A104" s="233" t="n"/>
    </row>
    <row r="105">
      <c r="A105" s="233" t="n"/>
    </row>
    <row r="106">
      <c r="A106" s="233" t="n"/>
    </row>
    <row r="107">
      <c r="A107" s="233" t="n"/>
    </row>
    <row r="108">
      <c r="A108" s="233" t="n"/>
    </row>
    <row r="109">
      <c r="A109" s="233" t="n"/>
    </row>
    <row r="110">
      <c r="A110" s="233" t="n"/>
    </row>
    <row r="111">
      <c r="A111" s="233" t="n"/>
    </row>
    <row r="112">
      <c r="A112" s="233" t="n"/>
    </row>
    <row r="113">
      <c r="A113" s="233" t="n"/>
    </row>
    <row r="114">
      <c r="A114" s="233" t="n"/>
    </row>
    <row r="115">
      <c r="A115" s="233" t="n"/>
    </row>
    <row r="116">
      <c r="A116" s="233" t="n"/>
    </row>
    <row r="117">
      <c r="A117" s="233" t="n"/>
    </row>
    <row r="118">
      <c r="A118" s="233" t="n"/>
    </row>
    <row r="119">
      <c r="A119" s="233" t="n"/>
    </row>
    <row r="120">
      <c r="A120" s="233" t="n"/>
    </row>
    <row r="121">
      <c r="A121" s="233" t="n"/>
    </row>
    <row r="122">
      <c r="A122" s="233" t="n"/>
    </row>
    <row r="123">
      <c r="A123" s="233" t="n"/>
    </row>
    <row r="124">
      <c r="A124" s="23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76">
      <c r="A4" s="237" t="inlineStr">
        <is>
          <t>OBSERVACIONES</t>
        </is>
      </c>
    </row>
    <row r="7" ht="25.05" customHeight="1" s="176">
      <c r="A7" s="223" t="n"/>
      <c r="B7" s="223" t="n"/>
      <c r="C7" s="223" t="n"/>
      <c r="D7" s="223" t="n"/>
      <c r="E7" s="223" t="n"/>
      <c r="F7" s="223" t="n"/>
      <c r="G7" s="223" t="n"/>
    </row>
    <row r="8" ht="25.05" customHeight="1" s="176">
      <c r="A8" s="223" t="n"/>
      <c r="B8" s="223" t="n"/>
      <c r="C8" s="223" t="n"/>
      <c r="D8" s="223" t="n"/>
      <c r="E8" s="223" t="n"/>
      <c r="F8" s="223" t="n"/>
      <c r="G8" s="223" t="n"/>
    </row>
    <row r="9" ht="25.05" customHeight="1" s="176">
      <c r="A9" s="223" t="n"/>
      <c r="B9" s="223" t="n"/>
      <c r="C9" s="223" t="n"/>
      <c r="D9" s="223" t="n"/>
      <c r="E9" s="223" t="n"/>
      <c r="F9" s="223" t="n"/>
      <c r="G9" s="223" t="n"/>
    </row>
    <row r="10" ht="25.05" customHeight="1" s="176">
      <c r="A10" s="223" t="n"/>
      <c r="B10" s="223" t="n"/>
      <c r="C10" s="223" t="n"/>
      <c r="D10" s="223" t="n"/>
      <c r="E10" s="223" t="n"/>
      <c r="F10" s="223" t="n"/>
      <c r="G10" s="223" t="n"/>
    </row>
    <row r="11" ht="25.05" customHeight="1" s="176">
      <c r="A11" s="223" t="n"/>
      <c r="B11" s="223" t="n"/>
      <c r="C11" s="223" t="n"/>
      <c r="D11" s="223" t="n"/>
      <c r="E11" s="223" t="n"/>
      <c r="F11" s="223" t="n"/>
      <c r="G11" s="223" t="n"/>
    </row>
    <row r="12" ht="25.05" customHeight="1" s="176">
      <c r="A12" s="223" t="n"/>
      <c r="B12" s="223" t="n"/>
      <c r="C12" s="223" t="n"/>
      <c r="D12" s="223" t="n"/>
      <c r="E12" s="223" t="n"/>
      <c r="F12" s="223" t="n"/>
      <c r="G12" s="223" t="n"/>
    </row>
    <row r="13" ht="25.05" customHeight="1" s="176">
      <c r="A13" s="223" t="n"/>
      <c r="B13" s="223" t="n"/>
      <c r="C13" s="223" t="n"/>
      <c r="D13" s="223" t="n"/>
      <c r="E13" s="223" t="n"/>
      <c r="F13" s="223" t="n"/>
      <c r="G13" s="223" t="n"/>
    </row>
    <row r="14" ht="25.05" customHeight="1" s="176">
      <c r="A14" s="223" t="n"/>
      <c r="B14" s="223" t="n"/>
      <c r="C14" s="223" t="n"/>
      <c r="D14" s="223" t="n"/>
      <c r="E14" s="223" t="n"/>
      <c r="F14" s="223" t="n"/>
      <c r="G14" s="223" t="n"/>
    </row>
    <row r="15" ht="25.05" customHeight="1" s="176">
      <c r="A15" s="223" t="n"/>
      <c r="B15" s="223" t="n"/>
      <c r="C15" s="223" t="n"/>
      <c r="D15" s="223" t="n"/>
      <c r="E15" s="223" t="n"/>
      <c r="F15" s="223" t="n"/>
      <c r="G15" s="223" t="n"/>
    </row>
    <row r="16" ht="25.05" customHeight="1" s="176">
      <c r="A16" s="223" t="n"/>
      <c r="B16" s="223" t="n"/>
      <c r="C16" s="223" t="n"/>
      <c r="D16" s="223" t="n"/>
      <c r="E16" s="223" t="n"/>
      <c r="F16" s="223" t="n"/>
      <c r="G16" s="223" t="n"/>
    </row>
    <row r="17" ht="25.05" customHeight="1" s="176">
      <c r="A17" s="223" t="n"/>
      <c r="B17" s="223" t="n"/>
      <c r="C17" s="223" t="n"/>
      <c r="D17" s="223" t="n"/>
      <c r="E17" s="223" t="n"/>
      <c r="F17" s="223" t="n"/>
      <c r="G17" s="223" t="n"/>
    </row>
    <row r="18" ht="25.05" customHeight="1" s="176">
      <c r="A18" s="223" t="n"/>
      <c r="B18" s="223" t="n"/>
      <c r="C18" s="223" t="n"/>
      <c r="D18" s="223" t="n"/>
      <c r="E18" s="223" t="n"/>
      <c r="F18" s="223" t="n"/>
      <c r="G18" s="223" t="n"/>
    </row>
    <row r="19" ht="25.05" customHeight="1" s="176">
      <c r="A19" s="223" t="n"/>
      <c r="B19" s="223" t="n"/>
      <c r="C19" s="223" t="n"/>
      <c r="D19" s="223" t="n"/>
      <c r="E19" s="223" t="n"/>
      <c r="F19" s="223" t="n"/>
      <c r="G19" s="223" t="n"/>
    </row>
    <row r="20" ht="25.05" customHeight="1" s="176">
      <c r="A20" s="223" t="n"/>
      <c r="B20" s="223" t="n"/>
      <c r="C20" s="223" t="n"/>
      <c r="D20" s="223" t="n"/>
      <c r="E20" s="223" t="n"/>
      <c r="F20" s="223" t="n"/>
      <c r="G20" s="223" t="n"/>
    </row>
    <row r="21" ht="25.05" customHeight="1" s="176">
      <c r="A21" s="223" t="n"/>
      <c r="B21" s="223" t="n"/>
      <c r="C21" s="223" t="n"/>
      <c r="D21" s="223" t="n"/>
      <c r="E21" s="223" t="n"/>
      <c r="F21" s="223" t="n"/>
      <c r="G21" s="223" t="n"/>
    </row>
    <row r="22" ht="25.05" customHeight="1" s="176">
      <c r="A22" s="223" t="n"/>
      <c r="B22" s="223" t="n"/>
      <c r="C22" s="223" t="n"/>
      <c r="D22" s="223" t="n"/>
      <c r="E22" s="223" t="n"/>
      <c r="F22" s="223" t="n"/>
      <c r="G22" s="223" t="n"/>
    </row>
    <row r="23" ht="25.05" customHeight="1" s="176">
      <c r="A23" s="223" t="n"/>
      <c r="B23" s="223" t="n"/>
      <c r="C23" s="223" t="n"/>
      <c r="D23" s="223" t="n"/>
      <c r="E23" s="223" t="n"/>
      <c r="F23" s="223" t="n"/>
      <c r="G23" s="223" t="n"/>
    </row>
    <row r="24" ht="25.05" customHeight="1" s="176">
      <c r="A24" s="223" t="n"/>
      <c r="B24" s="223" t="n"/>
      <c r="C24" s="223" t="n"/>
      <c r="D24" s="223" t="n"/>
      <c r="E24" s="223" t="n"/>
      <c r="F24" s="223" t="n"/>
      <c r="G24" s="223" t="n"/>
    </row>
    <row r="25" ht="25.05" customHeight="1" s="176">
      <c r="A25" s="223" t="n"/>
      <c r="B25" s="223" t="n"/>
      <c r="C25" s="223" t="n"/>
      <c r="D25" s="223" t="n"/>
      <c r="E25" s="223" t="n"/>
      <c r="F25" s="223" t="n"/>
      <c r="G25" s="223" t="n"/>
    </row>
    <row r="26" ht="25.05" customHeight="1" s="176">
      <c r="A26" s="223" t="n"/>
      <c r="B26" s="223" t="n"/>
      <c r="C26" s="223" t="n"/>
      <c r="D26" s="223" t="n"/>
      <c r="E26" s="223" t="n"/>
      <c r="F26" s="223" t="n"/>
      <c r="G26" s="223" t="n"/>
    </row>
    <row r="27" ht="25.05" customHeight="1" s="176">
      <c r="A27" s="223" t="n"/>
      <c r="B27" s="223" t="n"/>
      <c r="C27" s="223" t="n"/>
      <c r="D27" s="223" t="n"/>
      <c r="E27" s="223" t="n"/>
      <c r="F27" s="223" t="n"/>
      <c r="G27" s="223" t="n"/>
    </row>
    <row r="28" ht="25.05" customHeight="1" s="176">
      <c r="A28" s="223" t="n"/>
      <c r="B28" s="223" t="n"/>
      <c r="C28" s="223" t="n"/>
      <c r="D28" s="223" t="n"/>
      <c r="E28" s="223" t="n"/>
      <c r="F28" s="223" t="n"/>
      <c r="G28" s="223" t="n"/>
    </row>
    <row r="29" ht="25.05" customHeight="1" s="176"/>
    <row r="30" ht="25.05" customHeight="1" s="17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3" workbookViewId="0">
      <selection activeCell="I20" sqref="I20"/>
    </sheetView>
  </sheetViews>
  <sheetFormatPr baseColWidth="10" defaultColWidth="8.88671875" defaultRowHeight="14.4"/>
  <cols>
    <col width="5" customWidth="1" style="176" min="1" max="1"/>
    <col width="35" customWidth="1" style="176" min="2" max="2"/>
    <col width="5" customWidth="1" style="176" min="3" max="3"/>
    <col width="35" customWidth="1" style="176" min="4" max="4"/>
    <col width="5" customWidth="1" style="176" min="5" max="5"/>
    <col width="35" customWidth="1" style="176" min="6" max="6"/>
    <col width="3" customWidth="1" style="176" min="7" max="7"/>
  </cols>
  <sheetData>
    <row r="1" ht="30" customHeight="1" s="176">
      <c r="A1" s="238" t="inlineStr">
        <is>
          <t>HOJA MAESTRO — ESCUELA CERRO CACICÓN · AÑO LECTIVO 2026</t>
        </is>
      </c>
    </row>
    <row r="2" ht="18" customHeight="1" s="176">
      <c r="A2" s="240" t="inlineStr">
        <is>
          <t>Ingresa aquí los nombres de cada grado. Se copiarán automáticamente a TODAS las hojas.</t>
        </is>
      </c>
    </row>
    <row r="3" ht="22.05" customHeight="1" s="176">
      <c r="A3" s="243" t="inlineStr">
        <is>
          <t>7° GRADO</t>
        </is>
      </c>
      <c r="B3" s="242" t="n"/>
      <c r="C3" s="241" t="inlineStr">
        <is>
          <t>8° GRADO</t>
        </is>
      </c>
      <c r="D3" s="242" t="n"/>
      <c r="E3" s="244" t="inlineStr">
        <is>
          <t>9° GRADO</t>
        </is>
      </c>
      <c r="F3" s="242" t="n"/>
    </row>
    <row r="4" ht="18" customHeight="1" s="176">
      <c r="A4" s="99" t="inlineStr">
        <is>
          <t>No.</t>
        </is>
      </c>
      <c r="B4" s="99" t="inlineStr">
        <is>
          <t>APELLIDO, NOMBRE</t>
        </is>
      </c>
      <c r="C4" s="100" t="inlineStr">
        <is>
          <t>No.</t>
        </is>
      </c>
      <c r="D4" s="100" t="inlineStr">
        <is>
          <t>APELLIDO, NOMBRE</t>
        </is>
      </c>
      <c r="E4" s="101" t="inlineStr">
        <is>
          <t>No.</t>
        </is>
      </c>
      <c r="F4" s="101" t="inlineStr">
        <is>
          <t>APELLIDO, NOMBRE</t>
        </is>
      </c>
    </row>
    <row r="5" ht="16.05" customHeight="1" s="176">
      <c r="A5" s="102" t="n">
        <v>1</v>
      </c>
      <c r="B5" s="103" t="inlineStr">
        <is>
          <t xml:space="preserve">Abrigo Yuleika </t>
        </is>
      </c>
      <c r="C5" s="102" t="n">
        <v>1</v>
      </c>
      <c r="D5" t="inlineStr">
        <is>
          <t>Bejerano Yeika</t>
        </is>
      </c>
      <c r="E5" s="102" t="n">
        <v>1</v>
      </c>
      <c r="F5" t="inlineStr">
        <is>
          <t xml:space="preserve">Abrego Yosselih </t>
        </is>
      </c>
    </row>
    <row r="6" ht="16.05" customHeight="1" s="176">
      <c r="A6" s="104" t="n">
        <v>2</v>
      </c>
      <c r="B6" s="105" t="inlineStr">
        <is>
          <t>Bejerano Yohana</t>
        </is>
      </c>
      <c r="C6" s="104" t="n">
        <v>2</v>
      </c>
      <c r="D6" s="105" t="inlineStr">
        <is>
          <t>Camarena Khathia</t>
        </is>
      </c>
      <c r="E6" s="104" t="n">
        <v>2</v>
      </c>
      <c r="F6" s="105" t="inlineStr">
        <is>
          <t>Abrigo Sheldry</t>
        </is>
      </c>
    </row>
    <row r="7" ht="16.05" customHeight="1" s="176">
      <c r="A7" s="102" t="n">
        <v>3</v>
      </c>
      <c r="B7" s="103" t="inlineStr">
        <is>
          <t>Cedeño Carol</t>
        </is>
      </c>
      <c r="C7" s="102" t="n">
        <v>3</v>
      </c>
      <c r="D7" s="103" t="inlineStr">
        <is>
          <t xml:space="preserve">Case Yarixell </t>
        </is>
      </c>
      <c r="E7" s="102" t="n">
        <v>3</v>
      </c>
      <c r="F7" s="103" t="inlineStr">
        <is>
          <t>Caballero Edimael</t>
        </is>
      </c>
    </row>
    <row r="8" ht="16.05" customHeight="1" s="176">
      <c r="A8" s="104" t="n">
        <v>4</v>
      </c>
      <c r="B8" s="105" t="inlineStr">
        <is>
          <t>Gallardo Ivan</t>
        </is>
      </c>
      <c r="C8" s="104" t="n">
        <v>4</v>
      </c>
      <c r="D8" s="105" t="inlineStr">
        <is>
          <t xml:space="preserve">Gallardo Alvaro </t>
        </is>
      </c>
      <c r="E8" s="104" t="n">
        <v>4</v>
      </c>
      <c r="F8" s="105" t="inlineStr">
        <is>
          <t>Carrera Meliza</t>
        </is>
      </c>
    </row>
    <row r="9" ht="16.05" customHeight="1" s="176">
      <c r="A9" s="102" t="n">
        <v>5</v>
      </c>
      <c r="B9" s="103" t="inlineStr">
        <is>
          <t xml:space="preserve">Gallardo Maritzenia </t>
        </is>
      </c>
      <c r="C9" s="102" t="n">
        <v>5</v>
      </c>
      <c r="D9" s="103" t="inlineStr">
        <is>
          <t>Gallardo Cornelio</t>
        </is>
      </c>
      <c r="E9" s="102" t="n">
        <v>5</v>
      </c>
      <c r="F9" s="103" t="inlineStr">
        <is>
          <t xml:space="preserve">Case Noriel </t>
        </is>
      </c>
    </row>
    <row r="10" ht="16.05" customHeight="1" s="176">
      <c r="A10" s="104" t="n">
        <v>6</v>
      </c>
      <c r="B10" s="105" t="inlineStr">
        <is>
          <t>Guerra Maria</t>
        </is>
      </c>
      <c r="C10" s="104" t="n">
        <v>6</v>
      </c>
      <c r="D10" s="105" t="inlineStr">
        <is>
          <t>Gallardo Doritza</t>
        </is>
      </c>
      <c r="E10" s="104" t="n">
        <v>6</v>
      </c>
      <c r="F10" s="105" t="inlineStr">
        <is>
          <t>Cire Marina</t>
        </is>
      </c>
    </row>
    <row r="11" ht="16.05" customHeight="1" s="176">
      <c r="A11" s="102" t="n">
        <v>7</v>
      </c>
      <c r="B11" s="103" t="inlineStr">
        <is>
          <t>Guerra Yanelis</t>
        </is>
      </c>
      <c r="C11" s="102" t="n">
        <v>7</v>
      </c>
      <c r="D11" s="103" t="inlineStr">
        <is>
          <t>Gallardo Henry</t>
        </is>
      </c>
      <c r="E11" s="102" t="n">
        <v>7</v>
      </c>
      <c r="F11" s="103" t="inlineStr">
        <is>
          <t xml:space="preserve">Cire Saul </t>
        </is>
      </c>
    </row>
    <row r="12" ht="16.05" customHeight="1" s="176">
      <c r="A12" s="104" t="n">
        <v>8</v>
      </c>
      <c r="B12" s="105" t="inlineStr">
        <is>
          <t>Javilla Manuel</t>
        </is>
      </c>
      <c r="C12" s="104" t="n">
        <v>8</v>
      </c>
      <c r="D12" s="105" t="inlineStr">
        <is>
          <t xml:space="preserve">Gallardo Yaquelin </t>
        </is>
      </c>
      <c r="E12" s="104" t="n">
        <v>8</v>
      </c>
      <c r="F12" s="105" t="inlineStr">
        <is>
          <t>Fuentes Isabela</t>
        </is>
      </c>
    </row>
    <row r="13" ht="16.05" customHeight="1" s="176">
      <c r="A13" s="102" t="n">
        <v>9</v>
      </c>
      <c r="B13" s="103" t="inlineStr">
        <is>
          <t>Jiménez Hernan</t>
        </is>
      </c>
      <c r="C13" s="102" t="n">
        <v>9</v>
      </c>
      <c r="D13" s="103" t="inlineStr">
        <is>
          <t>Jimenez Abner</t>
        </is>
      </c>
      <c r="E13" s="102" t="n">
        <v>9</v>
      </c>
      <c r="F13" s="103" t="inlineStr">
        <is>
          <t>Garcia Kimberly</t>
        </is>
      </c>
    </row>
    <row r="14" ht="16.05" customHeight="1" s="176">
      <c r="A14" s="104" t="n">
        <v>10</v>
      </c>
      <c r="B14" s="105" t="inlineStr">
        <is>
          <t xml:space="preserve">Montero Rebeca </t>
        </is>
      </c>
      <c r="C14" s="104" t="n">
        <v>10</v>
      </c>
      <c r="D14" s="105" t="inlineStr">
        <is>
          <t>Jimenez Jancarlo</t>
        </is>
      </c>
      <c r="E14" s="104" t="n">
        <v>10</v>
      </c>
      <c r="F14" s="105" t="inlineStr">
        <is>
          <t>Guerra Yeni</t>
        </is>
      </c>
    </row>
    <row r="15" ht="16.05" customHeight="1" s="176">
      <c r="A15" s="102" t="n">
        <v>11</v>
      </c>
      <c r="B15" s="103" t="inlineStr">
        <is>
          <t>Pinto Arasely</t>
        </is>
      </c>
      <c r="C15" s="102" t="n">
        <v>11</v>
      </c>
      <c r="D15" s="103" t="inlineStr">
        <is>
          <t>Mariano Herenia</t>
        </is>
      </c>
      <c r="E15" s="102" t="n">
        <v>11</v>
      </c>
      <c r="F15" s="103" t="inlineStr">
        <is>
          <t>Jimenez Orlando</t>
        </is>
      </c>
    </row>
    <row r="16" ht="16.05" customHeight="1" s="176">
      <c r="A16" s="104" t="n">
        <v>12</v>
      </c>
      <c r="B16" s="105" t="inlineStr">
        <is>
          <t>Pinto Elodia</t>
        </is>
      </c>
      <c r="C16" s="104" t="n">
        <v>12</v>
      </c>
      <c r="D16" s="105" t="inlineStr">
        <is>
          <t>Montezuma Edison</t>
        </is>
      </c>
      <c r="E16" s="104" t="n">
        <v>12</v>
      </c>
      <c r="F16" s="105" t="inlineStr">
        <is>
          <t>Jimenez YanCarlos</t>
        </is>
      </c>
    </row>
    <row r="17" ht="16.05" customHeight="1" s="176">
      <c r="A17" s="102" t="n">
        <v>13</v>
      </c>
      <c r="B17" s="103" t="inlineStr">
        <is>
          <t>Pinto Olmerys</t>
        </is>
      </c>
      <c r="C17" s="102" t="n">
        <v>13</v>
      </c>
      <c r="D17" s="103" t="inlineStr">
        <is>
          <t>Pinto Domilka</t>
        </is>
      </c>
      <c r="E17" s="102" t="n">
        <v>13</v>
      </c>
      <c r="F17" s="103" t="inlineStr">
        <is>
          <t>Montero César</t>
        </is>
      </c>
    </row>
    <row r="18" ht="16.05" customHeight="1" s="176">
      <c r="A18" s="104" t="n">
        <v>14</v>
      </c>
      <c r="B18" s="105" t="inlineStr">
        <is>
          <t xml:space="preserve">Pinto Yarelys </t>
        </is>
      </c>
      <c r="C18" s="104" t="n">
        <v>14</v>
      </c>
      <c r="D18" s="105" t="inlineStr">
        <is>
          <t xml:space="preserve">Pinto Miguel </t>
        </is>
      </c>
      <c r="E18" s="104" t="n">
        <v>14</v>
      </c>
      <c r="F18" s="105" t="inlineStr">
        <is>
          <t>Pinto Deiny</t>
        </is>
      </c>
    </row>
    <row r="19" ht="16.05" customHeight="1" s="176">
      <c r="A19" s="102" t="n">
        <v>15</v>
      </c>
      <c r="B19" s="103" t="inlineStr">
        <is>
          <t>Saldaña Leida</t>
        </is>
      </c>
      <c r="C19" s="102" t="n">
        <v>15</v>
      </c>
      <c r="D19" s="103" t="inlineStr">
        <is>
          <t>Pinto Mixila</t>
        </is>
      </c>
      <c r="E19" s="102" t="n">
        <v>15</v>
      </c>
      <c r="F19" s="103" t="inlineStr">
        <is>
          <t xml:space="preserve">Pinto Ezequiel </t>
        </is>
      </c>
    </row>
    <row r="20" ht="16.05" customHeight="1" s="176">
      <c r="A20" s="104" t="n">
        <v>16</v>
      </c>
      <c r="B20" s="105" t="inlineStr">
        <is>
          <t>Salina Evelin</t>
        </is>
      </c>
      <c r="C20" s="104" t="n">
        <v>16</v>
      </c>
      <c r="D20" s="105" t="inlineStr">
        <is>
          <t xml:space="preserve">Pinto Pedro </t>
        </is>
      </c>
      <c r="E20" s="104" t="n">
        <v>16</v>
      </c>
      <c r="F20" s="105" t="inlineStr">
        <is>
          <t>Pinto Neptali</t>
        </is>
      </c>
    </row>
    <row r="21" ht="16.05" customHeight="1" s="176">
      <c r="A21" s="102" t="n">
        <v>17</v>
      </c>
      <c r="B21" s="103" t="inlineStr">
        <is>
          <t>Santo Eligio</t>
        </is>
      </c>
      <c r="C21" s="102" t="n">
        <v>17</v>
      </c>
      <c r="D21" s="103" t="inlineStr">
        <is>
          <t>Pinto Rossibell</t>
        </is>
      </c>
      <c r="E21" s="102" t="n">
        <v>17</v>
      </c>
      <c r="F21" s="103" t="inlineStr">
        <is>
          <t>Pintos Minerva</t>
        </is>
      </c>
    </row>
    <row r="22" ht="16.05" customHeight="1" s="176">
      <c r="A22" s="104" t="n">
        <v>18</v>
      </c>
      <c r="B22" s="105" t="inlineStr">
        <is>
          <t xml:space="preserve">Santos Emilyz </t>
        </is>
      </c>
      <c r="C22" s="104" t="n">
        <v>18</v>
      </c>
      <c r="D22" s="105" t="inlineStr">
        <is>
          <t>Pionto Lideyka</t>
        </is>
      </c>
      <c r="E22" s="104" t="n">
        <v>18</v>
      </c>
      <c r="F22" s="105" t="inlineStr">
        <is>
          <t>Prado Aris</t>
        </is>
      </c>
    </row>
    <row r="23" ht="16.05" customHeight="1" s="176">
      <c r="A23" s="102" t="n">
        <v>19</v>
      </c>
      <c r="B23" s="103" t="inlineStr">
        <is>
          <t>Santos Madelen</t>
        </is>
      </c>
      <c r="C23" s="102" t="n">
        <v>19</v>
      </c>
      <c r="D23" s="103" t="inlineStr">
        <is>
          <t>Salina Ana Maria</t>
        </is>
      </c>
      <c r="E23" s="102" t="n">
        <v>19</v>
      </c>
      <c r="F23" s="103" t="inlineStr">
        <is>
          <t>Prado Noriel</t>
        </is>
      </c>
    </row>
    <row r="24" ht="16.05" customHeight="1" s="176">
      <c r="A24" s="104" t="n">
        <v>20</v>
      </c>
      <c r="B24" s="105" t="inlineStr">
        <is>
          <t>Santos Nataly</t>
        </is>
      </c>
      <c r="C24" s="104" t="n">
        <v>20</v>
      </c>
      <c r="D24" s="105" t="inlineStr">
        <is>
          <t>Salina Aureliano</t>
        </is>
      </c>
      <c r="E24" s="104" t="n">
        <v>20</v>
      </c>
      <c r="F24" s="105" t="inlineStr">
        <is>
          <t>Rodriguez Carmen</t>
        </is>
      </c>
    </row>
    <row r="25" ht="16.05" customHeight="1" s="176">
      <c r="A25" s="102" t="n">
        <v>21</v>
      </c>
      <c r="B25" s="103" t="inlineStr">
        <is>
          <t>Santos Yulisa</t>
        </is>
      </c>
      <c r="C25" s="102" t="n">
        <v>21</v>
      </c>
      <c r="D25" s="103" t="inlineStr">
        <is>
          <t>Santo David</t>
        </is>
      </c>
      <c r="E25" s="102" t="n">
        <v>21</v>
      </c>
      <c r="F25" s="103" t="inlineStr">
        <is>
          <t>Rodriguez Yeylin</t>
        </is>
      </c>
    </row>
    <row r="26" ht="16.05" customHeight="1" s="176">
      <c r="A26" s="104" t="n">
        <v>22</v>
      </c>
      <c r="B26" s="105" t="inlineStr">
        <is>
          <t>Tugri Clemente - Se lo llevaron</t>
        </is>
      </c>
      <c r="C26" s="104" t="n">
        <v>22</v>
      </c>
      <c r="D26" s="105" t="inlineStr">
        <is>
          <t>Santo Dionisia</t>
        </is>
      </c>
      <c r="E26" s="104" t="n">
        <v>22</v>
      </c>
      <c r="F26" s="105" t="inlineStr">
        <is>
          <t>Salina Herminio</t>
        </is>
      </c>
    </row>
    <row r="27" ht="16.05" customHeight="1" s="176">
      <c r="A27" s="102" t="n">
        <v>23</v>
      </c>
      <c r="B27" s="103" t="inlineStr">
        <is>
          <t>Tugri Rony</t>
        </is>
      </c>
      <c r="C27" s="102" t="n">
        <v>23</v>
      </c>
      <c r="D27" s="103" t="inlineStr">
        <is>
          <t xml:space="preserve">Santo Francisco </t>
        </is>
      </c>
      <c r="E27" s="102" t="n">
        <v>23</v>
      </c>
      <c r="F27" s="103" t="inlineStr">
        <is>
          <t xml:space="preserve">Santo Edilberto </t>
        </is>
      </c>
    </row>
    <row r="28" ht="16.05" customHeight="1" s="176">
      <c r="A28" s="104" t="n">
        <v>24</v>
      </c>
      <c r="B28" s="105" t="inlineStr">
        <is>
          <t>Venado Viir Kenedy</t>
        </is>
      </c>
      <c r="C28" s="104" t="n">
        <v>24</v>
      </c>
      <c r="D28" s="105" t="inlineStr">
        <is>
          <t xml:space="preserve">Santo Ivandenfilio </t>
        </is>
      </c>
      <c r="E28" s="104" t="n">
        <v>24</v>
      </c>
      <c r="F28" s="105" t="inlineStr">
        <is>
          <t>Santo Edwin</t>
        </is>
      </c>
    </row>
    <row r="29" ht="16.05" customHeight="1" s="176">
      <c r="A29" s="102" t="n">
        <v>25</v>
      </c>
      <c r="B29" s="103" t="inlineStr">
        <is>
          <t>Zurdo Luz Dairis</t>
        </is>
      </c>
      <c r="C29" s="102" t="n">
        <v>25</v>
      </c>
      <c r="D29" s="103" t="inlineStr">
        <is>
          <t>Santo Roxana</t>
        </is>
      </c>
      <c r="E29" s="102" t="n">
        <v>25</v>
      </c>
      <c r="F29" s="103" t="inlineStr">
        <is>
          <t>Santo Yuliana</t>
        </is>
      </c>
    </row>
    <row r="30" ht="16.05" customHeight="1" s="176">
      <c r="A30" s="104" t="n">
        <v>26</v>
      </c>
      <c r="B30" s="105" t="n"/>
      <c r="C30" s="104" t="n">
        <v>26</v>
      </c>
      <c r="D30" s="105" t="inlineStr">
        <is>
          <t>Santo Yuliana</t>
        </is>
      </c>
      <c r="E30" s="104" t="n">
        <v>26</v>
      </c>
      <c r="F30" s="105" t="inlineStr">
        <is>
          <t>Santos Camila</t>
        </is>
      </c>
    </row>
    <row r="31" ht="16.05" customHeight="1" s="176">
      <c r="A31" s="102" t="n">
        <v>27</v>
      </c>
      <c r="B31" s="103" t="n"/>
      <c r="C31" s="102" t="n">
        <v>27</v>
      </c>
      <c r="D31" s="103" t="inlineStr">
        <is>
          <t>Santo Zaira</t>
        </is>
      </c>
      <c r="E31" s="102" t="n">
        <v>27</v>
      </c>
      <c r="F31" s="103" t="inlineStr">
        <is>
          <t>Santos Daylin</t>
        </is>
      </c>
    </row>
    <row r="32" ht="16.05" customHeight="1" s="176">
      <c r="A32" s="104" t="n">
        <v>28</v>
      </c>
      <c r="B32" s="105" t="n"/>
      <c r="C32" s="104" t="n">
        <v>28</v>
      </c>
      <c r="D32" s="105" t="inlineStr">
        <is>
          <t>Santos Dalila</t>
        </is>
      </c>
      <c r="E32" s="104" t="n">
        <v>28</v>
      </c>
      <c r="F32" s="105" t="inlineStr">
        <is>
          <t>Santos Diomedes</t>
        </is>
      </c>
    </row>
    <row r="33" ht="16.05" customHeight="1" s="176">
      <c r="A33" s="102" t="n">
        <v>29</v>
      </c>
      <c r="B33" s="103" t="n"/>
      <c r="C33" s="102" t="n">
        <v>29</v>
      </c>
      <c r="D33" s="103" t="inlineStr">
        <is>
          <t xml:space="preserve">Santos Ermenegildo </t>
        </is>
      </c>
      <c r="E33" s="102" t="n">
        <v>29</v>
      </c>
      <c r="F33" s="103" t="inlineStr">
        <is>
          <t>Santos Elvin</t>
        </is>
      </c>
    </row>
    <row r="34" ht="16.05" customHeight="1" s="176">
      <c r="A34" s="104" t="n">
        <v>30</v>
      </c>
      <c r="B34" s="105" t="n"/>
      <c r="C34" s="104" t="n">
        <v>30</v>
      </c>
      <c r="D34" s="105" t="inlineStr">
        <is>
          <t xml:space="preserve">Santos Kerlyn </t>
        </is>
      </c>
      <c r="E34" s="104" t="n">
        <v>30</v>
      </c>
      <c r="F34" s="105" t="inlineStr">
        <is>
          <t xml:space="preserve">Santos Evelyn </t>
        </is>
      </c>
    </row>
    <row r="35" ht="16.05" customHeight="1" s="176">
      <c r="A35" s="102" t="n">
        <v>31</v>
      </c>
      <c r="B35" s="103" t="n"/>
      <c r="C35" s="102" t="n">
        <v>31</v>
      </c>
      <c r="D35" s="103" t="inlineStr">
        <is>
          <t>Santos Yosenith</t>
        </is>
      </c>
      <c r="E35" s="102" t="n">
        <v>31</v>
      </c>
      <c r="F35" s="103" t="inlineStr">
        <is>
          <t>Santos Fidel</t>
        </is>
      </c>
    </row>
    <row r="36" ht="16.05" customHeight="1" s="176">
      <c r="A36" s="104" t="n">
        <v>32</v>
      </c>
      <c r="B36" s="105" t="n"/>
      <c r="C36" s="104" t="n">
        <v>32</v>
      </c>
      <c r="D36" s="105" t="n"/>
      <c r="E36" s="104" t="n">
        <v>32</v>
      </c>
      <c r="F36" s="105" t="inlineStr">
        <is>
          <t>Santos Henry</t>
        </is>
      </c>
    </row>
    <row r="37" ht="16.05" customHeight="1" s="176">
      <c r="A37" s="102" t="n">
        <v>33</v>
      </c>
      <c r="B37" s="103" t="n"/>
      <c r="C37" s="102" t="n">
        <v>33</v>
      </c>
      <c r="D37" s="103" t="n"/>
      <c r="E37" s="102" t="n">
        <v>33</v>
      </c>
      <c r="F37" s="103" t="inlineStr">
        <is>
          <t>Santos Metdy</t>
        </is>
      </c>
    </row>
    <row r="38" ht="16.05" customHeight="1" s="176">
      <c r="A38" s="104" t="n">
        <v>34</v>
      </c>
      <c r="B38" s="105" t="n"/>
      <c r="C38" s="104" t="n">
        <v>34</v>
      </c>
      <c r="D38" s="105" t="n"/>
      <c r="E38" s="104" t="n">
        <v>34</v>
      </c>
      <c r="F38" s="105" t="inlineStr">
        <is>
          <t>Santos Mitzila</t>
        </is>
      </c>
    </row>
    <row r="39" ht="16.05" customHeight="1" s="176">
      <c r="A39" s="102" t="n">
        <v>35</v>
      </c>
      <c r="B39" s="103" t="n"/>
      <c r="C39" s="102" t="n">
        <v>35</v>
      </c>
      <c r="D39" s="103" t="n"/>
      <c r="E39" s="102" t="n">
        <v>35</v>
      </c>
      <c r="F39" s="103" t="inlineStr">
        <is>
          <t>Santos Omar</t>
        </is>
      </c>
    </row>
    <row r="40" ht="16.05" customHeight="1" s="176">
      <c r="A40" s="104" t="n">
        <v>36</v>
      </c>
      <c r="B40" s="105" t="n"/>
      <c r="C40" s="104" t="n">
        <v>36</v>
      </c>
      <c r="D40" s="105" t="n"/>
      <c r="E40" s="104" t="n">
        <v>36</v>
      </c>
      <c r="F40" s="105" t="inlineStr">
        <is>
          <t>Watson Edgar</t>
        </is>
      </c>
    </row>
    <row r="41" ht="16.05" customHeight="1" s="176">
      <c r="A41" s="102" t="n">
        <v>37</v>
      </c>
      <c r="B41" s="103" t="n"/>
      <c r="C41" s="102" t="n">
        <v>37</v>
      </c>
      <c r="D41" s="103" t="n"/>
      <c r="E41" s="102" t="n">
        <v>37</v>
      </c>
      <c r="F41" s="103" t="n"/>
    </row>
    <row r="42" ht="16.05" customHeight="1" s="176">
      <c r="A42" s="104" t="n">
        <v>38</v>
      </c>
      <c r="B42" s="105" t="n"/>
      <c r="C42" s="104" t="n">
        <v>38</v>
      </c>
      <c r="D42" s="105" t="n"/>
      <c r="E42" s="104" t="n">
        <v>38</v>
      </c>
      <c r="F42" s="105" t="n"/>
    </row>
    <row r="43" ht="16.05" customHeight="1" s="176">
      <c r="A43" s="102" t="n">
        <v>39</v>
      </c>
      <c r="B43" s="103" t="n"/>
      <c r="C43" s="102" t="n">
        <v>39</v>
      </c>
      <c r="D43" s="103" t="n"/>
      <c r="E43" s="102" t="n">
        <v>39</v>
      </c>
      <c r="F43" s="103" t="n"/>
    </row>
    <row r="44" ht="16.05" customHeight="1" s="176">
      <c r="A44" s="104" t="n">
        <v>40</v>
      </c>
      <c r="B44" s="105" t="n"/>
      <c r="C44" s="104" t="n">
        <v>40</v>
      </c>
      <c r="D44" s="105" t="n"/>
      <c r="E44" s="104" t="n">
        <v>40</v>
      </c>
      <c r="F44" s="105" t="n"/>
    </row>
    <row r="46">
      <c r="A46" s="239" t="inlineStr">
        <is>
          <t>⚠ IMPORTANTE: Solo edita esta hoja para nombres. Todas las demás hojas se actualizan automáticamente.</t>
        </is>
      </c>
    </row>
  </sheetData>
  <mergeCells count="5">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76" min="1" max="1"/>
    <col width="45.77734375" customWidth="1" style="176" min="2" max="2"/>
    <col width="28" customWidth="1" style="176" min="3" max="3"/>
    <col width="18.77734375" customWidth="1" style="176" min="4" max="5"/>
    <col width="10" customWidth="1" style="176" min="6" max="6"/>
    <col width="20.77734375" customWidth="1" style="176" min="7" max="8"/>
  </cols>
  <sheetData>
    <row r="1" ht="30" customHeight="1" s="176">
      <c r="A1" s="246" t="inlineStr">
        <is>
          <t>DASHBOARD ACADEMICO</t>
        </is>
      </c>
    </row>
    <row r="2" ht="13.95" customHeight="1" s="176">
      <c r="A2" s="153" t="n"/>
      <c r="B2" s="153" t="n"/>
      <c r="C2" s="153" t="n"/>
      <c r="D2" s="153" t="n"/>
      <c r="E2" s="153" t="n"/>
      <c r="F2" s="153" t="n"/>
      <c r="G2" s="153" t="n"/>
      <c r="H2" s="153" t="n"/>
      <c r="I2" s="153" t="n"/>
      <c r="J2" s="153" t="n"/>
      <c r="K2" s="153" t="n"/>
      <c r="L2" s="153" t="n"/>
      <c r="M2" s="153" t="n"/>
      <c r="N2" s="153" t="n"/>
    </row>
    <row r="3">
      <c r="A3" s="153" t="n"/>
      <c r="B3" s="153" t="n"/>
      <c r="C3" s="153" t="n"/>
      <c r="D3" s="153" t="n"/>
      <c r="E3" s="153" t="n"/>
      <c r="F3" s="153" t="n"/>
      <c r="G3" s="153" t="n"/>
      <c r="H3" s="153" t="n"/>
      <c r="I3" s="153" t="n"/>
      <c r="J3" s="153" t="n"/>
      <c r="K3" s="153" t="n"/>
      <c r="L3" s="153" t="n"/>
      <c r="M3" s="153" t="n"/>
      <c r="N3" s="153" t="n"/>
    </row>
    <row r="4" ht="19.95" customHeight="1" s="176">
      <c r="A4" s="162" t="n"/>
      <c r="B4" s="162" t="n"/>
      <c r="C4" s="162" t="n"/>
      <c r="D4" s="162" t="n"/>
      <c r="E4" s="162" t="n"/>
      <c r="F4" s="162" t="n"/>
      <c r="G4" s="162" t="n"/>
      <c r="H4" s="162" t="n"/>
      <c r="I4" s="162" t="n"/>
      <c r="J4" s="162" t="n"/>
      <c r="K4" s="162" t="n"/>
      <c r="L4" s="162" t="n"/>
      <c r="M4" s="162" t="n"/>
      <c r="N4" s="162" t="n"/>
      <c r="O4" s="250" t="n"/>
      <c r="Q4" s="242" t="n"/>
    </row>
    <row r="5" ht="18" customHeight="1" s="176">
      <c r="A5" s="163" t="inlineStr">
        <is>
          <t>Indicador</t>
        </is>
      </c>
      <c r="B5" s="163" t="inlineStr">
        <is>
          <t>Valor</t>
        </is>
      </c>
      <c r="C5" s="162" t="n"/>
      <c r="D5" s="164" t="inlineStr">
        <is>
          <t>Grado</t>
        </is>
      </c>
      <c r="E5" s="164" t="inlineStr">
        <is>
          <t>Riesgo Academico</t>
        </is>
      </c>
      <c r="F5" s="162" t="n"/>
      <c r="G5" s="165" t="inlineStr">
        <is>
          <t>Grado</t>
        </is>
      </c>
      <c r="H5" s="165" t="inlineStr">
        <is>
          <t>Riesgo Inasistencia</t>
        </is>
      </c>
      <c r="I5" s="162" t="n"/>
      <c r="J5" s="162" t="n"/>
      <c r="K5" s="162" t="n"/>
      <c r="L5" s="162" t="n"/>
      <c r="M5" s="162" t="n"/>
      <c r="N5" s="162" t="n"/>
      <c r="O5" s="242" t="n"/>
      <c r="Q5" s="242" t="n"/>
    </row>
    <row r="6" ht="18" customHeight="1" s="176">
      <c r="A6" s="162" t="inlineStr">
        <is>
          <t>Total estudiantes 7°</t>
        </is>
      </c>
      <c r="B6" s="162">
        <f>IFERROR(COUNTA(MAESTRO!B5:B44),0)</f>
        <v/>
      </c>
      <c r="C6" s="162" t="n"/>
      <c r="D6" s="162" t="inlineStr">
        <is>
          <t>7°</t>
        </is>
      </c>
      <c r="E6" s="162">
        <f>IFERROR(MAX(COUNTIF('PROM (Ingles 7°)'!AE5:AE44,"&lt;3"),COUNTIF('PROM (Agropecuaria 7°)'!AE5:AE44,"&lt;3"),COUNTIF('PROM (Hogar y Desarrollo 7°)'!AE5:AE44,"&lt;3")),"")</f>
        <v/>
      </c>
      <c r="F6" s="162" t="n"/>
      <c r="G6" s="162" t="inlineStr">
        <is>
          <t>7°</t>
        </is>
      </c>
      <c r="H6" s="162">
        <f>IFERROR(SUMPRODUCT(('Asistencia (7°)'!C3:BH42="-")*1)+SUMPRODUCT(('Asistencia (7°)'!C46:BH85="-")*1)+SUMPRODUCT(('Asistencia (7°)'!C89:BH128="-")*1),"")</f>
        <v/>
      </c>
      <c r="I6" s="162" t="n"/>
      <c r="J6" s="162" t="n"/>
      <c r="K6" s="162" t="n"/>
      <c r="L6" s="162" t="n"/>
      <c r="M6" s="162" t="n"/>
      <c r="N6" s="162" t="n"/>
      <c r="O6" s="242" t="n"/>
      <c r="Q6" s="242" t="n"/>
    </row>
    <row r="7" ht="18" customHeight="1" s="176">
      <c r="A7" s="162" t="inlineStr">
        <is>
          <t>Total estudiantes 8°</t>
        </is>
      </c>
      <c r="B7" s="162">
        <f>IFERROR(COUNTA(MAESTRO!D5:D44),0)</f>
        <v/>
      </c>
      <c r="C7" s="162" t="n"/>
      <c r="D7" s="162" t="inlineStr">
        <is>
          <t>8°</t>
        </is>
      </c>
      <c r="E7" s="162">
        <f>IFERROR(MAX(COUNTIF('PROM (Ingles 8°)'!AE5:AE44,"&lt;3"),COUNTIF('PROM (Agropecuaria 8°)'!AF5:AF44,"&lt;3"),COUNTIF('PROM (Comercio 8°)'!AE5:AE44,"&lt;3")),"")</f>
        <v/>
      </c>
      <c r="F7" s="162" t="n"/>
      <c r="G7" s="162" t="inlineStr">
        <is>
          <t>8°</t>
        </is>
      </c>
      <c r="H7" s="162">
        <f>IFERROR(SUMPRODUCT(('Asistencia (8°)'!C3:BH42="-")*1)+SUMPRODUCT(('Asistencia (8°)'!C46:BH85="-")*1)+SUMPRODUCT(('Asistencia (8°)'!C89:BH128="-")*1),"")</f>
        <v/>
      </c>
      <c r="I7" s="162" t="n"/>
      <c r="J7" s="162" t="n"/>
      <c r="K7" s="162" t="n"/>
      <c r="L7" s="162" t="n"/>
      <c r="M7" s="162" t="n"/>
      <c r="N7" s="162" t="n"/>
      <c r="O7" s="242" t="n"/>
      <c r="Q7" s="242" t="n"/>
    </row>
    <row r="8" ht="18" customHeight="1" s="176">
      <c r="A8" s="162" t="inlineStr">
        <is>
          <t>Total estudiantes 9°</t>
        </is>
      </c>
      <c r="B8" s="162">
        <f>IFERROR(COUNTA(MAESTRO!F5:F44),0)</f>
        <v/>
      </c>
      <c r="C8" s="162" t="n"/>
      <c r="D8" s="162" t="inlineStr">
        <is>
          <t>9°</t>
        </is>
      </c>
      <c r="E8" s="162">
        <f>IFERROR(MAX(COUNTIF('PROM (Ingles 9°)'!AE5:AE44,"&lt;3"),COUNTIF('PROM (Agropecuaria 9°)'!AE5:AE44,"&lt;3"),COUNTIF('PROM (Comercio 9°)'!AE5:AE44,"&lt;3"),COUNTIF('PROM (Artistica 9°)'!AE5:AE44,"&lt;3")),"")</f>
        <v/>
      </c>
      <c r="F8" s="162" t="n"/>
      <c r="G8" s="162" t="inlineStr">
        <is>
          <t>9°</t>
        </is>
      </c>
      <c r="H8" s="162">
        <f>IFERROR(SUMPRODUCT(('Asistencia (9°)'!C3:BH42="-")*1)+SUMPRODUCT(('Asistencia (9°)'!C46:BH85="-")*1)+SUMPRODUCT(('Asistencia (9°)'!C89:BH128="-")*1),"")</f>
        <v/>
      </c>
      <c r="I8" s="162" t="n"/>
      <c r="J8" s="162" t="n"/>
      <c r="K8" s="162" t="n"/>
      <c r="L8" s="162" t="n"/>
      <c r="M8" s="162" t="n"/>
      <c r="N8" s="162" t="n"/>
      <c r="O8" s="242" t="n"/>
      <c r="Q8" s="242" t="n"/>
    </row>
    <row r="9">
      <c r="A9" s="162" t="inlineStr">
        <is>
          <t>Total general</t>
        </is>
      </c>
      <c r="B9" s="162">
        <f>SUM(B6:B8)</f>
        <v/>
      </c>
      <c r="C9" s="162" t="n"/>
      <c r="D9" s="162" t="n"/>
      <c r="E9" s="162" t="n"/>
      <c r="F9" s="162" t="n"/>
      <c r="G9" s="162" t="n"/>
      <c r="H9" s="162" t="n"/>
      <c r="I9" s="162" t="n"/>
      <c r="J9" s="162" t="n"/>
      <c r="K9" s="162" t="n"/>
      <c r="L9" s="162" t="n"/>
      <c r="M9" s="162" t="n"/>
      <c r="N9" s="162" t="n"/>
    </row>
    <row r="10" ht="18" customHeight="1" s="176">
      <c r="A10" s="162" t="n"/>
      <c r="B10" s="162" t="n"/>
      <c r="C10" s="162" t="n"/>
      <c r="D10" s="162" t="n"/>
      <c r="E10" s="162" t="n"/>
      <c r="F10" s="162" t="n"/>
      <c r="G10" s="162" t="n"/>
      <c r="H10" s="162" t="n"/>
      <c r="I10" s="162" t="n"/>
      <c r="J10" s="162" t="n"/>
      <c r="K10" s="162" t="n"/>
      <c r="L10" s="162" t="n"/>
      <c r="M10" s="162" t="n"/>
      <c r="N10" s="162" t="n"/>
      <c r="O10" s="250" t="n"/>
      <c r="Q10" s="250" t="n"/>
      <c r="R10" s="242" t="n"/>
    </row>
    <row r="11" ht="16.05" customHeight="1" s="176">
      <c r="A11" s="162" t="n"/>
      <c r="B11" s="162" t="n"/>
      <c r="C11" s="162" t="n"/>
      <c r="D11" s="162" t="n"/>
      <c r="E11" s="162" t="n"/>
      <c r="F11" s="162" t="n"/>
      <c r="G11" s="162" t="n"/>
      <c r="H11" s="162" t="n"/>
      <c r="I11" s="162" t="n"/>
      <c r="J11" s="162" t="n"/>
      <c r="K11" s="162" t="n"/>
      <c r="L11" s="162" t="n"/>
      <c r="M11" s="162" t="n"/>
      <c r="N11" s="162" t="n"/>
      <c r="O11" s="250" t="n"/>
      <c r="Q11" s="250" t="n"/>
      <c r="R11" s="242" t="n"/>
    </row>
    <row r="12" ht="16.05" customHeight="1" s="176">
      <c r="A12" s="166" t="inlineStr">
        <is>
          <t>Prioridad</t>
        </is>
      </c>
      <c r="B12" s="166" t="inlineStr">
        <is>
          <t>Descripcion</t>
        </is>
      </c>
      <c r="C12" s="162" t="n"/>
      <c r="D12" s="162" t="n"/>
      <c r="E12" s="162" t="n"/>
      <c r="F12" s="162" t="n"/>
      <c r="G12" s="162" t="n"/>
      <c r="H12" s="162" t="n"/>
      <c r="I12" s="162" t="n"/>
      <c r="J12" s="162" t="n"/>
      <c r="K12" s="162" t="n"/>
      <c r="L12" s="162" t="n"/>
      <c r="M12" s="162" t="n"/>
      <c r="N12" s="162" t="n"/>
      <c r="O12" s="250" t="n"/>
      <c r="P12" s="250" t="n"/>
      <c r="Q12" s="250" t="n"/>
      <c r="R12" s="242" t="n"/>
    </row>
    <row r="13" ht="16.05" customHeight="1" s="176">
      <c r="A13" s="162" t="inlineStr">
        <is>
          <t>Atencion academica</t>
        </is>
      </c>
      <c r="B13" s="162">
        <f>IF(MAX(E6:E8)&gt;0,"Reforzar grado "&amp;IFERROR(INDEX(D6:D8,MATCH(MAX(E6:E8),E6:E8,0)),"")&amp;" ("&amp;MAX(E6:E8)&amp;" estudiantes bajo 3.0)","✓ Sin alertas académicas")</f>
        <v/>
      </c>
      <c r="C13" s="162" t="n"/>
      <c r="D13" s="162" t="n"/>
      <c r="E13" s="162" t="n"/>
      <c r="F13" s="162" t="n"/>
      <c r="G13" s="162" t="n"/>
      <c r="H13" s="162" t="n"/>
      <c r="I13" s="162" t="n"/>
      <c r="J13" s="162" t="n"/>
      <c r="K13" s="162" t="n"/>
      <c r="L13" s="162" t="n"/>
      <c r="M13" s="162" t="n"/>
      <c r="N13" s="162" t="n"/>
      <c r="O13" s="250" t="n"/>
      <c r="P13" s="250" t="n"/>
      <c r="Q13" s="250" t="n"/>
      <c r="R13" s="242" t="n"/>
    </row>
    <row r="14" ht="16.05" customHeight="1" s="176">
      <c r="A14" s="162" t="inlineStr">
        <is>
          <t>Atencion asistencia</t>
        </is>
      </c>
      <c r="B14" s="162">
        <f>IF(MAX(H6:H8)&gt;0,"Revisar ausencias en grado "&amp;IFERROR(INDEX(G6:G8,MATCH(MAX(H6:H8),H6:H8,0)),"")&amp;" ("&amp;MAX(H6:H8)&amp;" ausencias)","✓ Sin alertas de asistencia")</f>
        <v/>
      </c>
      <c r="C14" s="162" t="n"/>
      <c r="D14" s="162" t="n"/>
      <c r="E14" s="162" t="n"/>
      <c r="F14" s="162" t="n"/>
      <c r="G14" s="162" t="n"/>
      <c r="H14" s="162" t="n"/>
      <c r="I14" s="162" t="n"/>
      <c r="J14" s="162" t="n"/>
      <c r="K14" s="162" t="n"/>
      <c r="L14" s="162" t="n"/>
      <c r="M14" s="162" t="n"/>
      <c r="N14" s="162" t="n"/>
      <c r="O14" s="250" t="n"/>
      <c r="P14" s="250" t="n"/>
      <c r="Q14" s="250" t="n"/>
      <c r="R14" s="242" t="n"/>
    </row>
    <row r="15">
      <c r="A15" s="162" t="n"/>
      <c r="B15" s="162" t="n"/>
      <c r="C15" s="162" t="n"/>
      <c r="D15" s="162" t="n"/>
      <c r="E15" s="162" t="n"/>
      <c r="F15" s="162" t="n"/>
      <c r="G15" s="162" t="n"/>
      <c r="H15" s="162" t="n"/>
      <c r="I15" s="162" t="n"/>
      <c r="J15" s="162" t="n"/>
      <c r="K15" s="162" t="n"/>
      <c r="L15" s="162" t="n"/>
      <c r="M15" s="162" t="n"/>
      <c r="N15" s="162" t="n"/>
    </row>
    <row r="16" ht="19.95" customHeight="1" s="176">
      <c r="A16" s="245" t="n"/>
      <c r="I16" s="162" t="n"/>
      <c r="J16" s="162" t="n"/>
      <c r="K16" s="162" t="n"/>
      <c r="L16" s="162" t="n"/>
      <c r="M16" s="162" t="n"/>
      <c r="N16" s="162" t="n"/>
      <c r="O16" s="250" t="n"/>
      <c r="P16" s="250" t="n"/>
      <c r="Q16" s="250" t="n"/>
      <c r="R16" s="242" t="n"/>
    </row>
    <row r="17" ht="18" customHeight="1" s="176">
      <c r="I17" s="162" t="n"/>
      <c r="J17" s="162" t="n"/>
      <c r="K17" s="162" t="n"/>
      <c r="L17" s="162" t="n"/>
      <c r="M17" s="162" t="n"/>
      <c r="N17" s="162" t="n"/>
    </row>
    <row r="18" ht="13.95" customHeight="1" s="176">
      <c r="I18" s="162" t="n"/>
      <c r="J18" s="162" t="n"/>
      <c r="K18" s="162" t="n"/>
      <c r="L18" s="162" t="n"/>
      <c r="M18" s="162" t="n"/>
      <c r="N18" s="162" t="n"/>
    </row>
    <row r="19" ht="13.95" customHeight="1" s="176">
      <c r="A19" s="162" t="n"/>
      <c r="B19" s="162" t="n"/>
      <c r="C19" s="162" t="n"/>
      <c r="D19" s="162" t="n"/>
      <c r="E19" s="162" t="n"/>
      <c r="F19" s="162" t="n"/>
      <c r="G19" s="162" t="n"/>
      <c r="H19" s="162" t="n"/>
      <c r="I19" s="162" t="n"/>
      <c r="J19" s="162" t="n"/>
      <c r="K19" s="162" t="n"/>
      <c r="L19" s="162" t="n"/>
      <c r="M19" s="162" t="n"/>
      <c r="N19" s="162" t="n"/>
    </row>
    <row r="20" ht="13.95" customHeight="1" s="176">
      <c r="A20" s="162" t="n"/>
      <c r="B20" s="162" t="n"/>
      <c r="C20" s="162" t="n"/>
      <c r="D20" s="162" t="n"/>
      <c r="E20" s="162" t="n"/>
      <c r="F20" s="162" t="n"/>
      <c r="G20" s="162" t="n"/>
      <c r="H20" s="162" t="n"/>
      <c r="I20" s="162" t="n"/>
      <c r="J20" s="162" t="n"/>
      <c r="K20" s="162" t="n"/>
      <c r="L20" s="162" t="n"/>
      <c r="M20" s="162" t="n"/>
      <c r="N20" s="162" t="n"/>
    </row>
    <row r="21" ht="13.95" customHeight="1" s="176">
      <c r="A21" s="162" t="n"/>
      <c r="B21" s="162" t="n"/>
      <c r="C21" s="162" t="n"/>
      <c r="D21" s="162" t="n"/>
      <c r="E21" s="162" t="n"/>
      <c r="F21" s="162" t="n"/>
      <c r="G21" s="162" t="n"/>
      <c r="H21" s="162" t="n"/>
      <c r="I21" s="162" t="n"/>
      <c r="J21" s="162" t="n"/>
      <c r="K21" s="162" t="n"/>
      <c r="L21" s="162" t="n"/>
      <c r="M21" s="162" t="n"/>
      <c r="N21" s="162" t="n"/>
    </row>
    <row r="22" ht="13.95" customHeight="1" s="176">
      <c r="A22" s="162" t="n"/>
      <c r="B22" s="162" t="n"/>
      <c r="C22" s="162" t="n"/>
      <c r="D22" s="162" t="n"/>
      <c r="E22" s="162" t="n"/>
      <c r="F22" s="162" t="n"/>
      <c r="G22" s="162" t="n"/>
      <c r="H22" s="162" t="n"/>
      <c r="I22" s="162" t="n"/>
      <c r="J22" s="162" t="n"/>
      <c r="K22" s="162" t="n"/>
      <c r="L22" s="162" t="n"/>
      <c r="M22" s="162" t="n"/>
      <c r="N22" s="162" t="n"/>
    </row>
    <row r="23" ht="13.95" customHeight="1" s="176">
      <c r="A23" s="162" t="n"/>
      <c r="B23" s="162" t="n"/>
      <c r="C23" s="162" t="n"/>
      <c r="D23" s="162" t="n"/>
      <c r="E23" s="162" t="n"/>
      <c r="F23" s="162" t="n"/>
      <c r="G23" s="162" t="n"/>
      <c r="H23" s="162" t="n"/>
      <c r="I23" s="162" t="n"/>
      <c r="J23" s="162" t="n"/>
      <c r="K23" s="162" t="n"/>
      <c r="L23" s="162" t="n"/>
      <c r="M23" s="162" t="n"/>
      <c r="N23" s="162" t="n"/>
    </row>
    <row r="24" ht="13.95" customHeight="1" s="176">
      <c r="A24" s="162" t="n"/>
      <c r="B24" s="162" t="n"/>
      <c r="C24" s="162" t="n"/>
      <c r="D24" s="162" t="n"/>
      <c r="E24" s="162" t="n"/>
      <c r="F24" s="162" t="n"/>
      <c r="G24" s="162" t="n"/>
      <c r="H24" s="162" t="n"/>
      <c r="I24" s="162" t="n"/>
      <c r="J24" s="162" t="n"/>
      <c r="K24" s="162" t="n"/>
      <c r="L24" s="162" t="n"/>
      <c r="M24" s="162" t="n"/>
      <c r="N24" s="162" t="n"/>
    </row>
    <row r="25" ht="13.95" customHeight="1" s="176">
      <c r="A25" s="162" t="n"/>
      <c r="B25" s="162" t="n"/>
      <c r="C25" s="162" t="n"/>
      <c r="D25" s="162" t="n"/>
      <c r="E25" s="162" t="n"/>
      <c r="F25" s="162" t="n"/>
      <c r="G25" s="162" t="n"/>
      <c r="H25" s="162" t="n"/>
      <c r="I25" s="162" t="n"/>
      <c r="J25" s="162" t="n"/>
      <c r="K25" s="162" t="n"/>
      <c r="L25" s="162" t="n"/>
      <c r="M25" s="162" t="n"/>
      <c r="N25" s="162" t="n"/>
    </row>
    <row r="26" ht="13.95" customHeight="1" s="176">
      <c r="A26" s="162" t="n"/>
      <c r="B26" s="162" t="n"/>
      <c r="C26" s="162" t="n"/>
      <c r="D26" s="162" t="n"/>
      <c r="E26" s="162" t="n"/>
      <c r="F26" s="162" t="n"/>
      <c r="G26" s="162" t="n"/>
      <c r="H26" s="162" t="n"/>
      <c r="I26" s="162" t="n"/>
      <c r="J26" s="162" t="n"/>
      <c r="K26" s="162" t="n"/>
      <c r="L26" s="162" t="n"/>
      <c r="M26" s="162" t="n"/>
      <c r="N26" s="162" t="n"/>
    </row>
    <row r="27" ht="13.95" customHeight="1" s="176">
      <c r="A27" s="162" t="n"/>
      <c r="B27" s="162" t="n"/>
      <c r="C27" s="162" t="n"/>
      <c r="D27" s="162" t="n"/>
      <c r="E27" s="162" t="n"/>
      <c r="F27" s="162" t="n"/>
      <c r="G27" s="162" t="n"/>
      <c r="H27" s="162" t="n"/>
      <c r="I27" s="162" t="n"/>
      <c r="J27" s="162" t="n"/>
      <c r="K27" s="162" t="n"/>
      <c r="L27" s="162" t="n"/>
      <c r="M27" s="162" t="n"/>
      <c r="N27" s="162" t="n"/>
    </row>
    <row r="28" ht="13.95" customHeight="1" s="176">
      <c r="A28" s="162" t="n"/>
      <c r="B28" s="162" t="n"/>
      <c r="C28" s="162" t="n"/>
      <c r="D28" s="162" t="n"/>
      <c r="E28" s="162" t="n"/>
      <c r="F28" s="162" t="n"/>
      <c r="G28" s="162" t="n"/>
      <c r="H28" s="162" t="n"/>
      <c r="I28" s="162" t="n"/>
      <c r="J28" s="162" t="n"/>
      <c r="K28" s="162" t="n"/>
      <c r="L28" s="162" t="n"/>
      <c r="M28" s="162" t="n"/>
      <c r="N28" s="162" t="n"/>
    </row>
    <row r="29" ht="13.95" customHeight="1" s="176">
      <c r="A29" s="162" t="n"/>
      <c r="B29" s="162" t="n"/>
      <c r="C29" s="162" t="n"/>
      <c r="D29" s="162" t="n"/>
      <c r="E29" s="162" t="n"/>
      <c r="F29" s="162" t="n"/>
      <c r="G29" s="162" t="n"/>
      <c r="H29" s="162" t="n"/>
      <c r="I29" s="162" t="n"/>
      <c r="J29" s="162" t="n"/>
      <c r="K29" s="162" t="n"/>
      <c r="L29" s="162" t="n"/>
      <c r="M29" s="162" t="n"/>
      <c r="N29" s="162" t="n"/>
    </row>
    <row r="30" ht="13.95" customHeight="1" s="176">
      <c r="A30" s="162" t="n"/>
      <c r="B30" s="162" t="n"/>
      <c r="C30" s="162" t="n"/>
      <c r="D30" s="162" t="n"/>
      <c r="E30" s="162" t="n"/>
      <c r="F30" s="162" t="n"/>
      <c r="G30" s="162" t="n"/>
      <c r="H30" s="162" t="n"/>
      <c r="I30" s="162" t="n"/>
      <c r="J30" s="162" t="n"/>
      <c r="K30" s="162" t="n"/>
      <c r="L30" s="162" t="n"/>
      <c r="M30" s="162" t="n"/>
      <c r="N30" s="162" t="n"/>
    </row>
    <row r="31" ht="13.95" customHeight="1" s="176">
      <c r="A31" s="162" t="n"/>
      <c r="B31" s="162" t="n"/>
      <c r="C31" s="162" t="n"/>
      <c r="D31" s="162" t="n"/>
      <c r="E31" s="162" t="n"/>
      <c r="F31" s="162" t="n"/>
      <c r="G31" s="162" t="n"/>
      <c r="H31" s="162" t="n"/>
      <c r="I31" s="162" t="n"/>
      <c r="J31" s="162" t="n"/>
      <c r="K31" s="162" t="n"/>
      <c r="L31" s="162" t="n"/>
      <c r="M31" s="162" t="n"/>
      <c r="N31" s="162" t="n"/>
    </row>
    <row r="32" ht="13.95" customHeight="1" s="176">
      <c r="A32" s="162" t="n"/>
      <c r="B32" s="162" t="n"/>
      <c r="C32" s="162" t="n"/>
      <c r="D32" s="162" t="n"/>
      <c r="E32" s="162" t="n"/>
      <c r="F32" s="162" t="n"/>
      <c r="G32" s="162" t="n"/>
      <c r="H32" s="162" t="n"/>
      <c r="I32" s="162" t="n"/>
      <c r="J32" s="162" t="n"/>
      <c r="K32" s="162" t="n"/>
      <c r="L32" s="162" t="n"/>
      <c r="M32" s="162" t="n"/>
      <c r="N32" s="162" t="n"/>
    </row>
    <row r="33" ht="13.95" customHeight="1" s="176">
      <c r="A33" s="162" t="n"/>
      <c r="B33" s="162" t="n"/>
      <c r="C33" s="162" t="n"/>
      <c r="D33" s="162" t="n"/>
      <c r="E33" s="162" t="n"/>
      <c r="F33" s="162" t="n"/>
      <c r="G33" s="162" t="n"/>
      <c r="H33" s="162" t="n"/>
      <c r="I33" s="162" t="n"/>
      <c r="J33" s="162" t="n"/>
      <c r="K33" s="162" t="n"/>
      <c r="L33" s="162" t="n"/>
      <c r="M33" s="162" t="n"/>
      <c r="N33" s="162" t="n"/>
    </row>
    <row r="34" ht="13.95" customHeight="1" s="176">
      <c r="A34" s="162" t="n"/>
      <c r="B34" s="162" t="n"/>
      <c r="C34" s="162" t="n"/>
      <c r="D34" s="162" t="n"/>
      <c r="E34" s="162" t="n"/>
      <c r="F34" s="162" t="n"/>
      <c r="G34" s="162" t="n"/>
      <c r="H34" s="162" t="n"/>
      <c r="I34" s="162" t="n"/>
      <c r="J34" s="162" t="n"/>
      <c r="K34" s="162" t="n"/>
      <c r="L34" s="162" t="n"/>
      <c r="M34" s="162" t="n"/>
      <c r="N34" s="162" t="n"/>
    </row>
    <row r="35" ht="13.95" customHeight="1" s="176">
      <c r="A35" s="162" t="n"/>
      <c r="B35" s="162" t="n"/>
      <c r="C35" s="162" t="n"/>
      <c r="D35" s="162" t="n"/>
      <c r="E35" s="162" t="n"/>
      <c r="F35" s="162" t="n"/>
      <c r="G35" s="162" t="n"/>
      <c r="H35" s="162" t="n"/>
      <c r="I35" s="162" t="n"/>
      <c r="J35" s="162" t="n"/>
      <c r="K35" s="162" t="n"/>
      <c r="L35" s="162" t="n"/>
      <c r="M35" s="162" t="n"/>
      <c r="N35" s="162" t="n"/>
    </row>
    <row r="36" ht="13.95" customHeight="1" s="176">
      <c r="A36" s="162" t="n"/>
      <c r="B36" s="162" t="n"/>
      <c r="C36" s="162" t="n"/>
      <c r="D36" s="162" t="n"/>
      <c r="E36" s="162" t="n"/>
      <c r="F36" s="162" t="n"/>
      <c r="G36" s="162" t="n"/>
      <c r="H36" s="162" t="n"/>
      <c r="I36" s="162" t="n"/>
      <c r="J36" s="162" t="n"/>
      <c r="K36" s="162" t="n"/>
      <c r="L36" s="162" t="n"/>
      <c r="M36" s="162" t="n"/>
      <c r="N36" s="162" t="n"/>
    </row>
    <row r="37" ht="13.95" customHeight="1" s="176">
      <c r="A37" s="162" t="n"/>
      <c r="B37" s="162" t="n"/>
      <c r="C37" s="162" t="n"/>
      <c r="D37" s="162" t="n"/>
      <c r="E37" s="162" t="n"/>
      <c r="F37" s="162" t="n"/>
      <c r="G37" s="162" t="n"/>
      <c r="H37" s="162" t="n"/>
      <c r="I37" s="162" t="n"/>
      <c r="J37" s="162" t="n"/>
      <c r="K37" s="162" t="n"/>
      <c r="L37" s="162" t="n"/>
      <c r="M37" s="162" t="n"/>
      <c r="N37" s="162" t="n"/>
    </row>
    <row r="38" ht="13.95" customHeight="1" s="176">
      <c r="A38" s="162" t="n"/>
      <c r="B38" s="162" t="n"/>
      <c r="C38" s="162" t="n"/>
      <c r="D38" s="162" t="n"/>
      <c r="E38" s="162" t="n"/>
      <c r="F38" s="162" t="n"/>
      <c r="G38" s="162" t="n"/>
      <c r="H38" s="162" t="n"/>
      <c r="I38" s="162" t="n"/>
      <c r="J38" s="162" t="n"/>
      <c r="K38" s="162" t="n"/>
      <c r="L38" s="162" t="n"/>
      <c r="M38" s="162" t="n"/>
      <c r="N38" s="162" t="n"/>
    </row>
    <row r="39" ht="13.95" customHeight="1" s="176">
      <c r="A39" s="162" t="n"/>
      <c r="B39" s="162" t="n"/>
      <c r="C39" s="162" t="n"/>
      <c r="D39" s="162" t="n"/>
      <c r="E39" s="162" t="n"/>
      <c r="F39" s="162" t="n"/>
      <c r="G39" s="162" t="n"/>
      <c r="H39" s="162" t="n"/>
      <c r="I39" s="162" t="n"/>
      <c r="J39" s="162" t="n"/>
      <c r="K39" s="162" t="n"/>
      <c r="L39" s="162" t="n"/>
      <c r="M39" s="162" t="n"/>
      <c r="N39" s="162" t="n"/>
    </row>
    <row r="40" ht="13.95" customHeight="1" s="176">
      <c r="A40" s="162" t="n"/>
      <c r="B40" s="162" t="n"/>
      <c r="C40" s="162" t="n"/>
      <c r="D40" s="162" t="n"/>
      <c r="E40" s="162" t="n"/>
      <c r="F40" s="162" t="n"/>
      <c r="G40" s="162" t="n"/>
      <c r="H40" s="162" t="n"/>
      <c r="I40" s="162" t="n"/>
      <c r="J40" s="162" t="n"/>
      <c r="K40" s="162" t="n"/>
      <c r="L40" s="162" t="n"/>
      <c r="M40" s="162" t="n"/>
      <c r="N40" s="162" t="n"/>
    </row>
    <row r="41" ht="13.95" customHeight="1" s="176">
      <c r="A41" s="162" t="n"/>
      <c r="B41" s="162" t="n"/>
      <c r="C41" s="162" t="n"/>
      <c r="D41" s="162" t="n"/>
      <c r="E41" s="162" t="n"/>
      <c r="F41" s="162" t="n"/>
      <c r="G41" s="162" t="n"/>
      <c r="H41" s="162" t="n"/>
      <c r="I41" s="162" t="n"/>
      <c r="J41" s="162" t="n"/>
      <c r="K41" s="162" t="n"/>
      <c r="L41" s="162" t="n"/>
      <c r="M41" s="162" t="n"/>
      <c r="N41" s="162" t="n"/>
    </row>
    <row r="42" ht="13.95" customHeight="1" s="176">
      <c r="A42" s="162" t="n"/>
      <c r="B42" s="162" t="n"/>
      <c r="C42" s="162" t="n"/>
      <c r="D42" s="162" t="n"/>
      <c r="E42" s="162" t="n"/>
      <c r="F42" s="162" t="n"/>
      <c r="G42" s="162" t="n"/>
      <c r="H42" s="162" t="n"/>
      <c r="I42" s="162" t="n"/>
      <c r="J42" s="162" t="n"/>
      <c r="K42" s="162" t="n"/>
      <c r="L42" s="162" t="n"/>
      <c r="M42" s="162" t="n"/>
      <c r="N42" s="162" t="n"/>
    </row>
    <row r="43" ht="13.95" customHeight="1" s="176">
      <c r="A43" s="162" t="n"/>
      <c r="B43" s="162" t="n"/>
      <c r="C43" s="162" t="n"/>
      <c r="D43" s="162" t="n"/>
      <c r="E43" s="162" t="n"/>
      <c r="F43" s="162" t="n"/>
      <c r="G43" s="162" t="n"/>
      <c r="H43" s="162" t="n"/>
      <c r="I43" s="162" t="n"/>
      <c r="J43" s="162" t="n"/>
      <c r="K43" s="162" t="n"/>
      <c r="L43" s="162" t="n"/>
      <c r="M43" s="162" t="n"/>
      <c r="N43" s="162" t="n"/>
    </row>
    <row r="44" ht="13.95" customHeight="1" s="176">
      <c r="A44" s="162" t="n"/>
      <c r="B44" s="162" t="n"/>
      <c r="C44" s="162" t="n"/>
      <c r="D44" s="162" t="n"/>
      <c r="E44" s="162" t="n"/>
      <c r="F44" s="162" t="n"/>
      <c r="G44" s="162" t="n"/>
      <c r="H44" s="162" t="n"/>
      <c r="I44" s="162" t="n"/>
      <c r="J44" s="162" t="n"/>
      <c r="K44" s="162" t="n"/>
      <c r="L44" s="162" t="n"/>
      <c r="M44" s="162" t="n"/>
      <c r="N44" s="162" t="n"/>
    </row>
    <row r="45" ht="13.95" customHeight="1" s="176">
      <c r="A45" s="162" t="n"/>
      <c r="B45" s="162" t="n"/>
      <c r="C45" s="162" t="n"/>
      <c r="D45" s="162" t="n"/>
      <c r="E45" s="162" t="n"/>
      <c r="F45" s="162" t="n"/>
      <c r="G45" s="162" t="n"/>
      <c r="H45" s="162" t="n"/>
      <c r="I45" s="162" t="n"/>
      <c r="J45" s="162" t="n"/>
      <c r="K45" s="162" t="n"/>
      <c r="L45" s="162" t="n"/>
      <c r="M45" s="162" t="n"/>
      <c r="N45" s="162" t="n"/>
    </row>
    <row r="46" ht="13.95" customHeight="1" s="176">
      <c r="A46" s="162" t="n"/>
      <c r="B46" s="162" t="n"/>
      <c r="C46" s="162" t="n"/>
      <c r="D46" s="162" t="n"/>
      <c r="E46" s="162" t="n"/>
      <c r="F46" s="162" t="n"/>
      <c r="G46" s="162" t="n"/>
      <c r="H46" s="162" t="n"/>
      <c r="I46" s="162" t="n"/>
      <c r="J46" s="162" t="n"/>
      <c r="K46" s="162" t="n"/>
      <c r="L46" s="162" t="n"/>
      <c r="M46" s="162" t="n"/>
      <c r="N46" s="162" t="n"/>
    </row>
    <row r="47" ht="13.95" customHeight="1" s="176">
      <c r="A47" s="162" t="n"/>
      <c r="B47" s="162" t="n"/>
      <c r="C47" s="162" t="n"/>
      <c r="D47" s="162" t="n"/>
      <c r="E47" s="162" t="n"/>
      <c r="F47" s="162" t="n"/>
      <c r="G47" s="162" t="n"/>
      <c r="H47" s="162" t="n"/>
      <c r="I47" s="162" t="n"/>
      <c r="J47" s="162" t="n"/>
      <c r="K47" s="162" t="n"/>
      <c r="L47" s="162" t="n"/>
      <c r="M47" s="162" t="n"/>
      <c r="N47" s="162" t="n"/>
    </row>
    <row r="48" ht="13.95" customHeight="1" s="176">
      <c r="A48" s="162" t="n"/>
      <c r="B48" s="162" t="n"/>
      <c r="C48" s="162" t="n"/>
      <c r="D48" s="162" t="n"/>
      <c r="E48" s="162" t="n"/>
      <c r="F48" s="162" t="n"/>
      <c r="G48" s="162" t="n"/>
      <c r="H48" s="162" t="n"/>
      <c r="I48" s="162" t="n"/>
      <c r="J48" s="162" t="n"/>
      <c r="K48" s="162" t="n"/>
      <c r="L48" s="162" t="n"/>
      <c r="M48" s="162" t="n"/>
      <c r="N48" s="162" t="n"/>
    </row>
    <row r="49" ht="13.95" customHeight="1" s="176">
      <c r="A49" s="162" t="n"/>
      <c r="B49" s="162" t="n"/>
      <c r="C49" s="162" t="n"/>
      <c r="D49" s="162" t="n"/>
      <c r="E49" s="162" t="n"/>
      <c r="F49" s="162" t="n"/>
      <c r="G49" s="162" t="n"/>
      <c r="H49" s="162" t="n"/>
      <c r="I49" s="162" t="n"/>
      <c r="J49" s="162" t="n"/>
      <c r="K49" s="162" t="n"/>
      <c r="L49" s="162" t="n"/>
      <c r="M49" s="162" t="n"/>
      <c r="N49" s="162" t="n"/>
    </row>
    <row r="50" ht="13.95" customHeight="1" s="176">
      <c r="A50" s="162" t="n"/>
      <c r="B50" s="162" t="n"/>
      <c r="C50" s="162" t="n"/>
      <c r="D50" s="162" t="n"/>
      <c r="E50" s="162" t="n"/>
      <c r="F50" s="162" t="n"/>
      <c r="G50" s="162" t="n"/>
      <c r="H50" s="162" t="n"/>
      <c r="I50" s="162" t="n"/>
      <c r="J50" s="162" t="n"/>
      <c r="K50" s="162" t="n"/>
      <c r="L50" s="162" t="n"/>
      <c r="M50" s="162" t="n"/>
      <c r="N50" s="162" t="n"/>
    </row>
    <row r="51" ht="13.95" customHeight="1" s="176">
      <c r="A51" s="119" t="inlineStr">
        <is>
          <t>7°</t>
        </is>
      </c>
      <c r="B51" s="119">
        <f>IF(MAESTRO!B39="","",IFERROR(RESUMEN_7°!A38,""))</f>
        <v/>
      </c>
      <c r="C51" s="120">
        <f>IF(MAESTRO!B39="","",IFERROR(RESUMEN_7°!B38,""))</f>
        <v/>
      </c>
      <c r="D51" s="119">
        <f>IF(RESUMEN_7°!B39="","",IFERROR(RESUMEN_7°!F39,""))</f>
        <v/>
      </c>
      <c r="E51" s="119">
        <f>IF(RESUMEN_7°!B39="","",IFERROR(RESUMEN_7°!R39,""))</f>
        <v/>
      </c>
      <c r="F51" s="119">
        <f>IF(RESUMEN_7°!B39="","",IFERROR('Asistencia (7°)'!BI37+'Asistencia (7°)'!BI80+'Asistencia (7°)'!BI123,""))</f>
        <v/>
      </c>
      <c r="G51" s="119">
        <f>IF(AND(RESUMEN_7°!B38=""),"",IF(OR(IFERROR(RESUMEN_7°!F38,0)&lt;3,IFERROR(RESUMEN_7°!R38,0)&lt;3),"⚠ REVISAR","OK"))</f>
        <v/>
      </c>
    </row>
    <row r="52" ht="13.95" customHeight="1" s="176">
      <c r="A52" s="117" t="inlineStr">
        <is>
          <t>7°</t>
        </is>
      </c>
      <c r="B52" s="117">
        <f>IF(MAESTRO!B40="","",IFERROR(RESUMEN_7°!A39,""))</f>
        <v/>
      </c>
      <c r="C52" s="118">
        <f>IF(MAESTRO!B40="","",IFERROR(RESUMEN_7°!B39,""))</f>
        <v/>
      </c>
      <c r="D52" s="117">
        <f>IF(RESUMEN_7°!B40="","",IFERROR(RESUMEN_7°!F40,""))</f>
        <v/>
      </c>
      <c r="E52" s="117">
        <f>IF(RESUMEN_7°!B40="","",IFERROR(RESUMEN_7°!R40,""))</f>
        <v/>
      </c>
      <c r="F52" s="117">
        <f>IF(RESUMEN_7°!B40="","",IFERROR('Asistencia (7°)'!BI38+'Asistencia (7°)'!BI81+'Asistencia (7°)'!BI124,""))</f>
        <v/>
      </c>
      <c r="G52" s="117">
        <f>IF(AND(RESUMEN_7°!B39=""),"",IF(OR(IFERROR(RESUMEN_7°!F39,0)&lt;3,IFERROR(RESUMEN_7°!R39,0)&lt;3),"⚠ REVISAR","OK"))</f>
        <v/>
      </c>
    </row>
    <row r="53" ht="13.95" customHeight="1" s="176">
      <c r="A53" s="119" t="inlineStr">
        <is>
          <t>7°</t>
        </is>
      </c>
      <c r="B53" s="119">
        <f>IF(MAESTRO!B41="","",IFERROR(RESUMEN_7°!A40,""))</f>
        <v/>
      </c>
      <c r="C53" s="120">
        <f>IF(MAESTRO!B41="","",IFERROR(RESUMEN_7°!B40,""))</f>
        <v/>
      </c>
      <c r="D53" s="119">
        <f>IF(RESUMEN_7°!B41="","",IFERROR(RESUMEN_7°!F41,""))</f>
        <v/>
      </c>
      <c r="E53" s="119">
        <f>IF(RESUMEN_7°!B41="","",IFERROR(RESUMEN_7°!R41,""))</f>
        <v/>
      </c>
      <c r="F53" s="119">
        <f>IF(RESUMEN_7°!B41="","",IFERROR('Asistencia (7°)'!BI39+'Asistencia (7°)'!BI82+'Asistencia (7°)'!BI125,""))</f>
        <v/>
      </c>
      <c r="G53" s="119">
        <f>IF(AND(RESUMEN_7°!B40=""),"",IF(OR(IFERROR(RESUMEN_7°!F40,0)&lt;3,IFERROR(RESUMEN_7°!R40,0)&lt;3),"⚠ REVISAR","OK"))</f>
        <v/>
      </c>
    </row>
    <row r="54" ht="13.95" customHeight="1" s="176">
      <c r="A54" s="117" t="inlineStr">
        <is>
          <t>7°</t>
        </is>
      </c>
      <c r="B54" s="117">
        <f>IF(MAESTRO!B42="","",IFERROR(RESUMEN_7°!A41,""))</f>
        <v/>
      </c>
      <c r="C54" s="118">
        <f>IF(MAESTRO!B42="","",IFERROR(RESUMEN_7°!B41,""))</f>
        <v/>
      </c>
      <c r="D54" s="117">
        <f>IF(RESUMEN_7°!B42="","",IFERROR(RESUMEN_7°!F42,""))</f>
        <v/>
      </c>
      <c r="E54" s="117">
        <f>IF(RESUMEN_7°!B42="","",IFERROR(RESUMEN_7°!R42,""))</f>
        <v/>
      </c>
      <c r="F54" s="117">
        <f>IF(RESUMEN_7°!B42="","",IFERROR('Asistencia (7°)'!BI40+'Asistencia (7°)'!BI83+'Asistencia (7°)'!BI126,""))</f>
        <v/>
      </c>
      <c r="G54" s="117">
        <f>IF(AND(RESUMEN_7°!B41=""),"",IF(OR(IFERROR(RESUMEN_7°!F41,0)&lt;3,IFERROR(RESUMEN_7°!R41,0)&lt;3),"⚠ REVISAR","OK"))</f>
        <v/>
      </c>
    </row>
    <row r="55" ht="13.95" customHeight="1" s="176">
      <c r="A55" s="119" t="inlineStr">
        <is>
          <t>7°</t>
        </is>
      </c>
      <c r="B55" s="119">
        <f>IF(MAESTRO!B43="","",IFERROR(RESUMEN_7°!A42,""))</f>
        <v/>
      </c>
      <c r="C55" s="120">
        <f>IF(MAESTRO!B43="","",IFERROR(RESUMEN_7°!B42,""))</f>
        <v/>
      </c>
      <c r="D55" s="119">
        <f>IF(RESUMEN_7°!B43="","",IFERROR(RESUMEN_7°!F43,""))</f>
        <v/>
      </c>
      <c r="E55" s="119">
        <f>IF(RESUMEN_7°!B43="","",IFERROR(RESUMEN_7°!R43,""))</f>
        <v/>
      </c>
      <c r="F55" s="119">
        <f>IF(RESUMEN_7°!B43="","",IFERROR('Asistencia (7°)'!BI41+'Asistencia (7°)'!BI84+'Asistencia (7°)'!BI127,""))</f>
        <v/>
      </c>
      <c r="G55" s="119">
        <f>IF(AND(RESUMEN_7°!B42=""),"",IF(OR(IFERROR(RESUMEN_7°!F42,0)&lt;3,IFERROR(RESUMEN_7°!R42,0)&lt;3),"⚠ REVISAR","OK"))</f>
        <v/>
      </c>
    </row>
    <row r="56" ht="13.95" customHeight="1" s="176">
      <c r="A56" s="117" t="inlineStr">
        <is>
          <t>7°</t>
        </is>
      </c>
      <c r="B56" s="117">
        <f>IF(MAESTRO!B44="","",IFERROR(RESUMEN_7°!A43,""))</f>
        <v/>
      </c>
      <c r="C56" s="118">
        <f>IF(MAESTRO!B44="","",IFERROR(RESUMEN_7°!B43,""))</f>
        <v/>
      </c>
      <c r="D56" s="117">
        <f>IF(RESUMEN_7°!B44="","",IFERROR(RESUMEN_7°!F44,""))</f>
        <v/>
      </c>
      <c r="E56" s="117">
        <f>IF(RESUMEN_7°!B44="","",IFERROR(RESUMEN_7°!R44,""))</f>
        <v/>
      </c>
      <c r="F56" s="117">
        <f>IF(RESUMEN_7°!B44="","",IFERROR('Asistencia (7°)'!BI42+'Asistencia (7°)'!BI85+'Asistencia (7°)'!BI128,""))</f>
        <v/>
      </c>
      <c r="G56" s="117">
        <f>IF(AND(RESUMEN_7°!B43=""),"",IF(OR(IFERROR(RESUMEN_7°!F43,0)&lt;3,IFERROR(RESUMEN_7°!R43,0)&lt;3),"⚠ REVISAR","OK"))</f>
        <v/>
      </c>
    </row>
    <row r="57" ht="13.95" customHeight="1" s="176">
      <c r="A57" s="119" t="inlineStr">
        <is>
          <t>7°</t>
        </is>
      </c>
      <c r="B57" s="119">
        <f>RESUMEN_7°!A44</f>
        <v/>
      </c>
      <c r="C57" s="120">
        <f>RESUMEN_7°!B44</f>
        <v/>
      </c>
      <c r="D57" s="119">
        <f>IF(C57="","",IFERROR(RESUMEN_7°!F44,""))</f>
        <v/>
      </c>
      <c r="E57" s="119">
        <f>IF(C57="","",IFERROR(RESUMEN_7°!R44,""))</f>
        <v/>
      </c>
      <c r="F57" s="119">
        <f>IF(C57="","",IFERROR('Asistencia (7°)'!BI42,""))</f>
        <v/>
      </c>
      <c r="G57" s="119">
        <f>IF(AND(RESUMEN_7°!B44=""),"",IF(OR(IFERROR(RESUMEN_7°!F44,0)&lt;3,IFERROR(RESUMEN_7°!R44,0)&lt;3),"⚠ REVISAR","OK"))</f>
        <v/>
      </c>
    </row>
    <row r="58" ht="13.95" customHeight="1" s="176">
      <c r="A58" s="121" t="inlineStr">
        <is>
          <t>8°</t>
        </is>
      </c>
      <c r="B58" s="121">
        <f>IF(MAESTRO!D5="","",IFERROR(RESUMEN_8°!A5,""))</f>
        <v/>
      </c>
      <c r="C58" s="122">
        <f>IF(MAESTRO!D5="","",IFERROR(RESUMEN_8°!B5,""))</f>
        <v/>
      </c>
      <c r="D58" s="121">
        <f>IF(RESUMEN_8°!B5="","",IFERROR(RESUMEN_8°!F5,""))</f>
        <v/>
      </c>
      <c r="E58" s="121">
        <f>IF(RESUMEN_8°!B5="","",IFERROR(RESUMEN_8°!R5,""))</f>
        <v/>
      </c>
      <c r="F58" s="121">
        <f>IF(RESUMEN_8°!B5="","",IFERROR('Asistencia (8°)'!BI3+'Asistencia (8°)'!BI46+'Asistencia (8°)'!BI89,""))</f>
        <v/>
      </c>
      <c r="G58" s="121">
        <f>IF(AND(RESUMEN_8°!B5=""),"",IF(OR(IFERROR(RESUMEN_8°!F5,0)&lt;3,IFERROR(RESUMEN_8°!R5,0)&lt;3),"⚠ REVISAR","OK"))</f>
        <v/>
      </c>
    </row>
    <row r="59" ht="13.95" customHeight="1" s="176">
      <c r="A59" s="119" t="inlineStr">
        <is>
          <t>8°</t>
        </is>
      </c>
      <c r="B59" s="119">
        <f>IF(MAESTRO!D6="","",IFERROR(RESUMEN_8°!A6,""))</f>
        <v/>
      </c>
      <c r="C59" s="120">
        <f>IF(MAESTRO!D6="","",IFERROR(RESUMEN_8°!B6,""))</f>
        <v/>
      </c>
      <c r="D59" s="119">
        <f>IF(RESUMEN_8°!B6="","",IFERROR(RESUMEN_8°!F6,""))</f>
        <v/>
      </c>
      <c r="E59" s="119">
        <f>IF(RESUMEN_8°!B6="","",IFERROR(RESUMEN_8°!R6,""))</f>
        <v/>
      </c>
      <c r="F59" s="119">
        <f>IF(RESUMEN_8°!B6="","",IFERROR('Asistencia (8°)'!BI4+'Asistencia (8°)'!BI47+'Asistencia (8°)'!BI90,""))</f>
        <v/>
      </c>
      <c r="G59" s="119">
        <f>IF(AND(RESUMEN_8°!B6=""),"",IF(OR(IFERROR(RESUMEN_8°!F6,0)&lt;3,IFERROR(RESUMEN_8°!R6,0)&lt;3),"⚠ REVISAR","OK"))</f>
        <v/>
      </c>
    </row>
    <row r="60" ht="13.95" customHeight="1" s="176">
      <c r="A60" s="121" t="inlineStr">
        <is>
          <t>8°</t>
        </is>
      </c>
      <c r="B60" s="121">
        <f>IF(MAESTRO!D7="","",IFERROR(RESUMEN_8°!A7,""))</f>
        <v/>
      </c>
      <c r="C60" s="122">
        <f>IF(MAESTRO!D7="","",IFERROR(RESUMEN_8°!B7,""))</f>
        <v/>
      </c>
      <c r="D60" s="121">
        <f>IF(RESUMEN_8°!B7="","",IFERROR(RESUMEN_8°!F7,""))</f>
        <v/>
      </c>
      <c r="E60" s="121">
        <f>IF(RESUMEN_8°!B7="","",IFERROR(RESUMEN_8°!R7,""))</f>
        <v/>
      </c>
      <c r="F60" s="121">
        <f>IF(RESUMEN_8°!B7="","",IFERROR('Asistencia (8°)'!BI5+'Asistencia (8°)'!BI48+'Asistencia (8°)'!BI91,""))</f>
        <v/>
      </c>
      <c r="G60" s="121">
        <f>IF(AND(RESUMEN_8°!B7=""),"",IF(OR(IFERROR(RESUMEN_8°!F7,0)&lt;3,IFERROR(RESUMEN_8°!R7,0)&lt;3),"⚠ REVISAR","OK"))</f>
        <v/>
      </c>
    </row>
    <row r="61" ht="13.95" customHeight="1" s="176">
      <c r="A61" s="119" t="inlineStr">
        <is>
          <t>8°</t>
        </is>
      </c>
      <c r="B61" s="119">
        <f>IF(MAESTRO!D8="","",IFERROR(RESUMEN_8°!A8,""))</f>
        <v/>
      </c>
      <c r="C61" s="120">
        <f>IF(MAESTRO!D8="","",IFERROR(RESUMEN_8°!B8,""))</f>
        <v/>
      </c>
      <c r="D61" s="119">
        <f>IF(RESUMEN_8°!B8="","",IFERROR(RESUMEN_8°!F8,""))</f>
        <v/>
      </c>
      <c r="E61" s="119">
        <f>IF(RESUMEN_8°!B8="","",IFERROR(RESUMEN_8°!R8,""))</f>
        <v/>
      </c>
      <c r="F61" s="119">
        <f>IF(RESUMEN_8°!B8="","",IFERROR('Asistencia (8°)'!BI6+'Asistencia (8°)'!BI49+'Asistencia (8°)'!BI92,""))</f>
        <v/>
      </c>
      <c r="G61" s="119">
        <f>IF(AND(RESUMEN_8°!B8=""),"",IF(OR(IFERROR(RESUMEN_8°!F8,0)&lt;3,IFERROR(RESUMEN_8°!R8,0)&lt;3),"⚠ REVISAR","OK"))</f>
        <v/>
      </c>
    </row>
    <row r="62" ht="13.95" customHeight="1" s="176">
      <c r="A62" s="121" t="inlineStr">
        <is>
          <t>8°</t>
        </is>
      </c>
      <c r="B62" s="121">
        <f>IF(MAESTRO!D9="","",IFERROR(RESUMEN_8°!A9,""))</f>
        <v/>
      </c>
      <c r="C62" s="122">
        <f>IF(MAESTRO!D9="","",IFERROR(RESUMEN_8°!B9,""))</f>
        <v/>
      </c>
      <c r="D62" s="121">
        <f>IF(RESUMEN_8°!B9="","",IFERROR(RESUMEN_8°!F9,""))</f>
        <v/>
      </c>
      <c r="E62" s="121">
        <f>IF(RESUMEN_8°!B9="","",IFERROR(RESUMEN_8°!R9,""))</f>
        <v/>
      </c>
      <c r="F62" s="121">
        <f>IF(RESUMEN_8°!B9="","",IFERROR('Asistencia (8°)'!BI7+'Asistencia (8°)'!BI50+'Asistencia (8°)'!BI93,""))</f>
        <v/>
      </c>
      <c r="G62" s="121">
        <f>IF(AND(RESUMEN_8°!B9=""),"",IF(OR(IFERROR(RESUMEN_8°!F9,0)&lt;3,IFERROR(RESUMEN_8°!R9,0)&lt;3),"⚠ REVISAR","OK"))</f>
        <v/>
      </c>
    </row>
    <row r="63" ht="13.95" customHeight="1" s="176">
      <c r="A63" s="119" t="inlineStr">
        <is>
          <t>8°</t>
        </is>
      </c>
      <c r="B63" s="119">
        <f>IF(MAESTRO!D10="","",IFERROR(RESUMEN_8°!A10,""))</f>
        <v/>
      </c>
      <c r="C63" s="120">
        <f>IF(MAESTRO!D10="","",IFERROR(RESUMEN_8°!B10,""))</f>
        <v/>
      </c>
      <c r="D63" s="119">
        <f>IF(RESUMEN_8°!B10="","",IFERROR(RESUMEN_8°!F10,""))</f>
        <v/>
      </c>
      <c r="E63" s="119">
        <f>IF(RESUMEN_8°!B10="","",IFERROR(RESUMEN_8°!R10,""))</f>
        <v/>
      </c>
      <c r="F63" s="119">
        <f>IF(RESUMEN_8°!B10="","",IFERROR('Asistencia (8°)'!BI8+'Asistencia (8°)'!BI51+'Asistencia (8°)'!BI94,""))</f>
        <v/>
      </c>
      <c r="G63" s="119">
        <f>IF(AND(RESUMEN_8°!B10=""),"",IF(OR(IFERROR(RESUMEN_8°!F10,0)&lt;3,IFERROR(RESUMEN_8°!R10,0)&lt;3),"⚠ REVISAR","OK"))</f>
        <v/>
      </c>
    </row>
    <row r="64" ht="13.95" customHeight="1" s="176">
      <c r="A64" s="121" t="inlineStr">
        <is>
          <t>8°</t>
        </is>
      </c>
      <c r="B64" s="121">
        <f>IF(MAESTRO!D11="","",IFERROR(RESUMEN_8°!A11,""))</f>
        <v/>
      </c>
      <c r="C64" s="122">
        <f>IF(MAESTRO!D11="","",IFERROR(RESUMEN_8°!B11,""))</f>
        <v/>
      </c>
      <c r="D64" s="121">
        <f>IF(RESUMEN_8°!B11="","",IFERROR(RESUMEN_8°!F11,""))</f>
        <v/>
      </c>
      <c r="E64" s="121">
        <f>IF(RESUMEN_8°!B11="","",IFERROR(RESUMEN_8°!R11,""))</f>
        <v/>
      </c>
      <c r="F64" s="121">
        <f>IF(RESUMEN_8°!B11="","",IFERROR('Asistencia (8°)'!BI9+'Asistencia (8°)'!BI52+'Asistencia (8°)'!BI95,""))</f>
        <v/>
      </c>
      <c r="G64" s="121">
        <f>IF(AND(RESUMEN_8°!B11=""),"",IF(OR(IFERROR(RESUMEN_8°!F11,0)&lt;3,IFERROR(RESUMEN_8°!R11,0)&lt;3),"⚠ REVISAR","OK"))</f>
        <v/>
      </c>
    </row>
    <row r="65" ht="13.95" customHeight="1" s="176">
      <c r="A65" s="119" t="inlineStr">
        <is>
          <t>8°</t>
        </is>
      </c>
      <c r="B65" s="119">
        <f>IF(MAESTRO!D12="","",IFERROR(RESUMEN_8°!A12,""))</f>
        <v/>
      </c>
      <c r="C65" s="120">
        <f>IF(MAESTRO!D12="","",IFERROR(RESUMEN_8°!B12,""))</f>
        <v/>
      </c>
      <c r="D65" s="119">
        <f>IF(RESUMEN_8°!B12="","",IFERROR(RESUMEN_8°!F12,""))</f>
        <v/>
      </c>
      <c r="E65" s="119">
        <f>IF(RESUMEN_8°!B12="","",IFERROR(RESUMEN_8°!R12,""))</f>
        <v/>
      </c>
      <c r="F65" s="119">
        <f>IF(RESUMEN_8°!B12="","",IFERROR('Asistencia (8°)'!BI10+'Asistencia (8°)'!BI53+'Asistencia (8°)'!BI96,""))</f>
        <v/>
      </c>
      <c r="G65" s="119">
        <f>IF(AND(RESUMEN_8°!B12=""),"",IF(OR(IFERROR(RESUMEN_8°!F12,0)&lt;3,IFERROR(RESUMEN_8°!R12,0)&lt;3),"⚠ REVISAR","OK"))</f>
        <v/>
      </c>
    </row>
    <row r="66" ht="13.95" customHeight="1" s="176">
      <c r="A66" s="121" t="inlineStr">
        <is>
          <t>8°</t>
        </is>
      </c>
      <c r="B66" s="121">
        <f>IF(MAESTRO!D13="","",IFERROR(RESUMEN_8°!A13,""))</f>
        <v/>
      </c>
      <c r="C66" s="122">
        <f>IF(MAESTRO!D13="","",IFERROR(RESUMEN_8°!B13,""))</f>
        <v/>
      </c>
      <c r="D66" s="121">
        <f>IF(RESUMEN_8°!B13="","",IFERROR(RESUMEN_8°!F13,""))</f>
        <v/>
      </c>
      <c r="E66" s="121">
        <f>IF(RESUMEN_8°!B13="","",IFERROR(RESUMEN_8°!R13,""))</f>
        <v/>
      </c>
      <c r="F66" s="121">
        <f>IF(RESUMEN_8°!B13="","",IFERROR('Asistencia (8°)'!BI11+'Asistencia (8°)'!BI54+'Asistencia (8°)'!BI97,""))</f>
        <v/>
      </c>
      <c r="G66" s="121">
        <f>IF(AND(RESUMEN_8°!B13=""),"",IF(OR(IFERROR(RESUMEN_8°!F13,0)&lt;3,IFERROR(RESUMEN_8°!R13,0)&lt;3),"⚠ REVISAR","OK"))</f>
        <v/>
      </c>
    </row>
    <row r="67" ht="13.95" customHeight="1" s="176">
      <c r="A67" s="119" t="inlineStr">
        <is>
          <t>8°</t>
        </is>
      </c>
      <c r="B67" s="119">
        <f>IF(MAESTRO!D14="","",IFERROR(RESUMEN_8°!A14,""))</f>
        <v/>
      </c>
      <c r="C67" s="120">
        <f>IF(MAESTRO!D14="","",IFERROR(RESUMEN_8°!B14,""))</f>
        <v/>
      </c>
      <c r="D67" s="119">
        <f>IF(RESUMEN_8°!B14="","",IFERROR(RESUMEN_8°!F14,""))</f>
        <v/>
      </c>
      <c r="E67" s="119">
        <f>IF(RESUMEN_8°!B14="","",IFERROR(RESUMEN_8°!R14,""))</f>
        <v/>
      </c>
      <c r="F67" s="119">
        <f>IF(RESUMEN_8°!B14="","",IFERROR('Asistencia (8°)'!BI12+'Asistencia (8°)'!BI55+'Asistencia (8°)'!BI98,""))</f>
        <v/>
      </c>
      <c r="G67" s="119">
        <f>IF(AND(RESUMEN_8°!B14=""),"",IF(OR(IFERROR(RESUMEN_8°!F14,0)&lt;3,IFERROR(RESUMEN_8°!R14,0)&lt;3),"⚠ REVISAR","OK"))</f>
        <v/>
      </c>
    </row>
    <row r="68" ht="13.95" customHeight="1" s="176">
      <c r="A68" s="121" t="inlineStr">
        <is>
          <t>8°</t>
        </is>
      </c>
      <c r="B68" s="121">
        <f>IF(MAESTRO!D15="","",IFERROR(RESUMEN_8°!A15,""))</f>
        <v/>
      </c>
      <c r="C68" s="122">
        <f>IF(MAESTRO!D15="","",IFERROR(RESUMEN_8°!B15,""))</f>
        <v/>
      </c>
      <c r="D68" s="121">
        <f>IF(RESUMEN_8°!B15="","",IFERROR(RESUMEN_8°!F15,""))</f>
        <v/>
      </c>
      <c r="E68" s="121">
        <f>IF(RESUMEN_8°!B15="","",IFERROR(RESUMEN_8°!R15,""))</f>
        <v/>
      </c>
      <c r="F68" s="121">
        <f>IF(RESUMEN_8°!B15="","",IFERROR('Asistencia (8°)'!BI13+'Asistencia (8°)'!BI56+'Asistencia (8°)'!BI99,""))</f>
        <v/>
      </c>
      <c r="G68" s="121">
        <f>IF(AND(RESUMEN_8°!B15=""),"",IF(OR(IFERROR(RESUMEN_8°!F15,0)&lt;3,IFERROR(RESUMEN_8°!R15,0)&lt;3),"⚠ REVISAR","OK"))</f>
        <v/>
      </c>
    </row>
    <row r="69" ht="13.95" customHeight="1" s="176">
      <c r="A69" s="119" t="inlineStr">
        <is>
          <t>8°</t>
        </is>
      </c>
      <c r="B69" s="119">
        <f>IF(MAESTRO!D16="","",IFERROR(RESUMEN_8°!A16,""))</f>
        <v/>
      </c>
      <c r="C69" s="120">
        <f>IF(MAESTRO!D16="","",IFERROR(RESUMEN_8°!B16,""))</f>
        <v/>
      </c>
      <c r="D69" s="119">
        <f>IF(RESUMEN_8°!B16="","",IFERROR(RESUMEN_8°!F16,""))</f>
        <v/>
      </c>
      <c r="E69" s="119">
        <f>IF(RESUMEN_8°!B16="","",IFERROR(RESUMEN_8°!R16,""))</f>
        <v/>
      </c>
      <c r="F69" s="119">
        <f>IF(RESUMEN_8°!B16="","",IFERROR('Asistencia (8°)'!BI14+'Asistencia (8°)'!BI57+'Asistencia (8°)'!BI100,""))</f>
        <v/>
      </c>
      <c r="G69" s="119">
        <f>IF(AND(RESUMEN_8°!B16=""),"",IF(OR(IFERROR(RESUMEN_8°!F16,0)&lt;3,IFERROR(RESUMEN_8°!R16,0)&lt;3),"⚠ REVISAR","OK"))</f>
        <v/>
      </c>
    </row>
    <row r="70" ht="13.95" customHeight="1" s="176">
      <c r="A70" s="121" t="inlineStr">
        <is>
          <t>8°</t>
        </is>
      </c>
      <c r="B70" s="121">
        <f>IF(MAESTRO!D17="","",IFERROR(RESUMEN_8°!A17,""))</f>
        <v/>
      </c>
      <c r="C70" s="122">
        <f>IF(MAESTRO!D17="","",IFERROR(RESUMEN_8°!B17,""))</f>
        <v/>
      </c>
      <c r="D70" s="121">
        <f>IF(RESUMEN_8°!B17="","",IFERROR(RESUMEN_8°!F17,""))</f>
        <v/>
      </c>
      <c r="E70" s="121">
        <f>IF(RESUMEN_8°!B17="","",IFERROR(RESUMEN_8°!R17,""))</f>
        <v/>
      </c>
      <c r="F70" s="121">
        <f>IF(RESUMEN_8°!B17="","",IFERROR('Asistencia (8°)'!BI15+'Asistencia (8°)'!BI58+'Asistencia (8°)'!BI101,""))</f>
        <v/>
      </c>
      <c r="G70" s="121">
        <f>IF(AND(RESUMEN_8°!B17=""),"",IF(OR(IFERROR(RESUMEN_8°!F17,0)&lt;3,IFERROR(RESUMEN_8°!R17,0)&lt;3),"⚠ REVISAR","OK"))</f>
        <v/>
      </c>
    </row>
    <row r="71" ht="13.95" customHeight="1" s="176">
      <c r="A71" s="119" t="inlineStr">
        <is>
          <t>8°</t>
        </is>
      </c>
      <c r="B71" s="119">
        <f>IF(MAESTRO!D18="","",IFERROR(RESUMEN_8°!A18,""))</f>
        <v/>
      </c>
      <c r="C71" s="120">
        <f>IF(MAESTRO!D18="","",IFERROR(RESUMEN_8°!B18,""))</f>
        <v/>
      </c>
      <c r="D71" s="119">
        <f>IF(RESUMEN_8°!B18="","",IFERROR(RESUMEN_8°!F18,""))</f>
        <v/>
      </c>
      <c r="E71" s="119">
        <f>IF(RESUMEN_8°!B18="","",IFERROR(RESUMEN_8°!R18,""))</f>
        <v/>
      </c>
      <c r="F71" s="119">
        <f>IF(RESUMEN_8°!B18="","",IFERROR('Asistencia (8°)'!BI16+'Asistencia (8°)'!BI59+'Asistencia (8°)'!BI102,""))</f>
        <v/>
      </c>
      <c r="G71" s="119">
        <f>IF(AND(RESUMEN_8°!B18=""),"",IF(OR(IFERROR(RESUMEN_8°!F18,0)&lt;3,IFERROR(RESUMEN_8°!R18,0)&lt;3),"⚠ REVISAR","OK"))</f>
        <v/>
      </c>
    </row>
    <row r="72" ht="13.95" customHeight="1" s="176">
      <c r="A72" s="121" t="inlineStr">
        <is>
          <t>8°</t>
        </is>
      </c>
      <c r="B72" s="121">
        <f>IF(MAESTRO!D19="","",IFERROR(RESUMEN_8°!A19,""))</f>
        <v/>
      </c>
      <c r="C72" s="122">
        <f>IF(MAESTRO!D19="","",IFERROR(RESUMEN_8°!B19,""))</f>
        <v/>
      </c>
      <c r="D72" s="121">
        <f>IF(RESUMEN_8°!B19="","",IFERROR(RESUMEN_8°!F19,""))</f>
        <v/>
      </c>
      <c r="E72" s="121">
        <f>IF(RESUMEN_8°!B19="","",IFERROR(RESUMEN_8°!R19,""))</f>
        <v/>
      </c>
      <c r="F72" s="121">
        <f>IF(RESUMEN_8°!B19="","",IFERROR('Asistencia (8°)'!BI17+'Asistencia (8°)'!BI60+'Asistencia (8°)'!BI103,""))</f>
        <v/>
      </c>
      <c r="G72" s="121">
        <f>IF(AND(RESUMEN_8°!B19=""),"",IF(OR(IFERROR(RESUMEN_8°!F19,0)&lt;3,IFERROR(RESUMEN_8°!R19,0)&lt;3),"⚠ REVISAR","OK"))</f>
        <v/>
      </c>
    </row>
    <row r="73" ht="13.95" customHeight="1" s="176">
      <c r="A73" s="119" t="inlineStr">
        <is>
          <t>8°</t>
        </is>
      </c>
      <c r="B73" s="119">
        <f>IF(MAESTRO!D20="","",IFERROR(RESUMEN_8°!A20,""))</f>
        <v/>
      </c>
      <c r="C73" s="120">
        <f>IF(MAESTRO!D20="","",IFERROR(RESUMEN_8°!B20,""))</f>
        <v/>
      </c>
      <c r="D73" s="119">
        <f>IF(RESUMEN_8°!B20="","",IFERROR(RESUMEN_8°!F20,""))</f>
        <v/>
      </c>
      <c r="E73" s="119">
        <f>IF(RESUMEN_8°!B20="","",IFERROR(RESUMEN_8°!R20,""))</f>
        <v/>
      </c>
      <c r="F73" s="119">
        <f>IF(RESUMEN_8°!B20="","",IFERROR('Asistencia (8°)'!BI18+'Asistencia (8°)'!BI61+'Asistencia (8°)'!BI104,""))</f>
        <v/>
      </c>
      <c r="G73" s="119">
        <f>IF(AND(RESUMEN_8°!B20=""),"",IF(OR(IFERROR(RESUMEN_8°!F20,0)&lt;3,IFERROR(RESUMEN_8°!R20,0)&lt;3),"⚠ REVISAR","OK"))</f>
        <v/>
      </c>
    </row>
    <row r="74" ht="13.95" customHeight="1" s="176">
      <c r="A74" s="121" t="inlineStr">
        <is>
          <t>8°</t>
        </is>
      </c>
      <c r="B74" s="121">
        <f>IF(MAESTRO!D21="","",IFERROR(RESUMEN_8°!A21,""))</f>
        <v/>
      </c>
      <c r="C74" s="122">
        <f>IF(MAESTRO!D21="","",IFERROR(RESUMEN_8°!B21,""))</f>
        <v/>
      </c>
      <c r="D74" s="121">
        <f>IF(RESUMEN_8°!B21="","",IFERROR(RESUMEN_8°!F21,""))</f>
        <v/>
      </c>
      <c r="E74" s="121">
        <f>IF(RESUMEN_8°!B21="","",IFERROR(RESUMEN_8°!R21,""))</f>
        <v/>
      </c>
      <c r="F74" s="121">
        <f>IF(RESUMEN_8°!B21="","",IFERROR('Asistencia (8°)'!BI19+'Asistencia (8°)'!BI62+'Asistencia (8°)'!BI105,""))</f>
        <v/>
      </c>
      <c r="G74" s="121">
        <f>IF(AND(RESUMEN_8°!B21=""),"",IF(OR(IFERROR(RESUMEN_8°!F21,0)&lt;3,IFERROR(RESUMEN_8°!R21,0)&lt;3),"⚠ REVISAR","OK"))</f>
        <v/>
      </c>
    </row>
    <row r="75" ht="13.95" customHeight="1" s="176">
      <c r="A75" s="119" t="inlineStr">
        <is>
          <t>8°</t>
        </is>
      </c>
      <c r="B75" s="119">
        <f>IF(MAESTRO!D22="","",IFERROR(RESUMEN_8°!A22,""))</f>
        <v/>
      </c>
      <c r="C75" s="120">
        <f>IF(MAESTRO!D22="","",IFERROR(RESUMEN_8°!B22,""))</f>
        <v/>
      </c>
      <c r="D75" s="119">
        <f>IF(RESUMEN_8°!B22="","",IFERROR(RESUMEN_8°!F22,""))</f>
        <v/>
      </c>
      <c r="E75" s="119">
        <f>IF(RESUMEN_8°!B22="","",IFERROR(RESUMEN_8°!R22,""))</f>
        <v/>
      </c>
      <c r="F75" s="119">
        <f>IF(RESUMEN_8°!B22="","",IFERROR('Asistencia (8°)'!BI20+'Asistencia (8°)'!BI63+'Asistencia (8°)'!BI106,""))</f>
        <v/>
      </c>
      <c r="G75" s="119">
        <f>IF(AND(RESUMEN_8°!B22=""),"",IF(OR(IFERROR(RESUMEN_8°!F22,0)&lt;3,IFERROR(RESUMEN_8°!R22,0)&lt;3),"⚠ REVISAR","OK"))</f>
        <v/>
      </c>
    </row>
    <row r="76" ht="13.95" customHeight="1" s="176">
      <c r="A76" s="121" t="inlineStr">
        <is>
          <t>8°</t>
        </is>
      </c>
      <c r="B76" s="121">
        <f>IF(MAESTRO!D23="","",IFERROR(RESUMEN_8°!A23,""))</f>
        <v/>
      </c>
      <c r="C76" s="122">
        <f>IF(MAESTRO!D23="","",IFERROR(RESUMEN_8°!B23,""))</f>
        <v/>
      </c>
      <c r="D76" s="121">
        <f>IF(RESUMEN_8°!B23="","",IFERROR(RESUMEN_8°!F23,""))</f>
        <v/>
      </c>
      <c r="E76" s="121">
        <f>IF(RESUMEN_8°!B23="","",IFERROR(RESUMEN_8°!R23,""))</f>
        <v/>
      </c>
      <c r="F76" s="121">
        <f>IF(RESUMEN_8°!B23="","",IFERROR('Asistencia (8°)'!BI21+'Asistencia (8°)'!BI64+'Asistencia (8°)'!BI107,""))</f>
        <v/>
      </c>
      <c r="G76" s="121">
        <f>IF(AND(RESUMEN_8°!B23=""),"",IF(OR(IFERROR(RESUMEN_8°!F23,0)&lt;3,IFERROR(RESUMEN_8°!R23,0)&lt;3),"⚠ REVISAR","OK"))</f>
        <v/>
      </c>
    </row>
    <row r="77" ht="13.95" customHeight="1" s="176">
      <c r="A77" s="119" t="inlineStr">
        <is>
          <t>8°</t>
        </is>
      </c>
      <c r="B77" s="119">
        <f>IF(MAESTRO!D24="","",IFERROR(RESUMEN_8°!A24,""))</f>
        <v/>
      </c>
      <c r="C77" s="120">
        <f>IF(MAESTRO!D24="","",IFERROR(RESUMEN_8°!B24,""))</f>
        <v/>
      </c>
      <c r="D77" s="119">
        <f>IF(RESUMEN_8°!B24="","",IFERROR(RESUMEN_8°!F24,""))</f>
        <v/>
      </c>
      <c r="E77" s="119">
        <f>IF(RESUMEN_8°!B24="","",IFERROR(RESUMEN_8°!R24,""))</f>
        <v/>
      </c>
      <c r="F77" s="119">
        <f>IF(RESUMEN_8°!B24="","",IFERROR('Asistencia (8°)'!BI22+'Asistencia (8°)'!BI65+'Asistencia (8°)'!BI108,""))</f>
        <v/>
      </c>
      <c r="G77" s="119">
        <f>IF(AND(RESUMEN_8°!B24=""),"",IF(OR(IFERROR(RESUMEN_8°!F24,0)&lt;3,IFERROR(RESUMEN_8°!R24,0)&lt;3),"⚠ REVISAR","OK"))</f>
        <v/>
      </c>
    </row>
    <row r="78" ht="13.95" customHeight="1" s="176">
      <c r="A78" s="121" t="inlineStr">
        <is>
          <t>8°</t>
        </is>
      </c>
      <c r="B78" s="121">
        <f>IF(MAESTRO!D25="","",IFERROR(RESUMEN_8°!A25,""))</f>
        <v/>
      </c>
      <c r="C78" s="122">
        <f>IF(MAESTRO!D25="","",IFERROR(RESUMEN_8°!B25,""))</f>
        <v/>
      </c>
      <c r="D78" s="121">
        <f>IF(RESUMEN_8°!B25="","",IFERROR(RESUMEN_8°!F25,""))</f>
        <v/>
      </c>
      <c r="E78" s="121">
        <f>IF(RESUMEN_8°!B25="","",IFERROR(RESUMEN_8°!R25,""))</f>
        <v/>
      </c>
      <c r="F78" s="121">
        <f>IF(RESUMEN_8°!B25="","",IFERROR('Asistencia (8°)'!BI23+'Asistencia (8°)'!BI66+'Asistencia (8°)'!BI109,""))</f>
        <v/>
      </c>
      <c r="G78" s="121">
        <f>IF(AND(RESUMEN_8°!B25=""),"",IF(OR(IFERROR(RESUMEN_8°!F25,0)&lt;3,IFERROR(RESUMEN_8°!R25,0)&lt;3),"⚠ REVISAR","OK"))</f>
        <v/>
      </c>
    </row>
    <row r="79" ht="13.95" customHeight="1" s="176">
      <c r="A79" s="119" t="inlineStr">
        <is>
          <t>8°</t>
        </is>
      </c>
      <c r="B79" s="119">
        <f>IF(MAESTRO!D26="","",IFERROR(RESUMEN_8°!A26,""))</f>
        <v/>
      </c>
      <c r="C79" s="120">
        <f>IF(MAESTRO!D26="","",IFERROR(RESUMEN_8°!B26,""))</f>
        <v/>
      </c>
      <c r="D79" s="119">
        <f>IF(RESUMEN_8°!B26="","",IFERROR(RESUMEN_8°!F26,""))</f>
        <v/>
      </c>
      <c r="E79" s="119">
        <f>IF(RESUMEN_8°!B26="","",IFERROR(RESUMEN_8°!R26,""))</f>
        <v/>
      </c>
      <c r="F79" s="119">
        <f>IF(RESUMEN_8°!B26="","",IFERROR('Asistencia (8°)'!BI24+'Asistencia (8°)'!BI67+'Asistencia (8°)'!BI110,""))</f>
        <v/>
      </c>
      <c r="G79" s="119">
        <f>IF(AND(RESUMEN_8°!B26=""),"",IF(OR(IFERROR(RESUMEN_8°!F26,0)&lt;3,IFERROR(RESUMEN_8°!R26,0)&lt;3),"⚠ REVISAR","OK"))</f>
        <v/>
      </c>
    </row>
    <row r="80" ht="13.95" customHeight="1" s="176">
      <c r="A80" s="121" t="inlineStr">
        <is>
          <t>8°</t>
        </is>
      </c>
      <c r="B80" s="121">
        <f>IF(MAESTRO!D27="","",IFERROR(RESUMEN_8°!A27,""))</f>
        <v/>
      </c>
      <c r="C80" s="122">
        <f>IF(MAESTRO!D27="","",IFERROR(RESUMEN_8°!B27,""))</f>
        <v/>
      </c>
      <c r="D80" s="121">
        <f>IF(RESUMEN_8°!B27="","",IFERROR(RESUMEN_8°!F27,""))</f>
        <v/>
      </c>
      <c r="E80" s="121">
        <f>IF(RESUMEN_8°!B27="","",IFERROR(RESUMEN_8°!R27,""))</f>
        <v/>
      </c>
      <c r="F80" s="121">
        <f>IF(RESUMEN_8°!B27="","",IFERROR('Asistencia (8°)'!BI25+'Asistencia (8°)'!BI68+'Asistencia (8°)'!BI111,""))</f>
        <v/>
      </c>
      <c r="G80" s="121">
        <f>IF(AND(RESUMEN_8°!B27=""),"",IF(OR(IFERROR(RESUMEN_8°!F27,0)&lt;3,IFERROR(RESUMEN_8°!R27,0)&lt;3),"⚠ REVISAR","OK"))</f>
        <v/>
      </c>
    </row>
    <row r="81" ht="13.95" customHeight="1" s="176">
      <c r="A81" s="119" t="inlineStr">
        <is>
          <t>8°</t>
        </is>
      </c>
      <c r="B81" s="119">
        <f>IF(MAESTRO!D28="","",IFERROR(RESUMEN_8°!A28,""))</f>
        <v/>
      </c>
      <c r="C81" s="120">
        <f>IF(MAESTRO!D28="","",IFERROR(RESUMEN_8°!B28,""))</f>
        <v/>
      </c>
      <c r="D81" s="119">
        <f>IF(RESUMEN_8°!B28="","",IFERROR(RESUMEN_8°!F28,""))</f>
        <v/>
      </c>
      <c r="E81" s="119">
        <f>IF(RESUMEN_8°!B28="","",IFERROR(RESUMEN_8°!R28,""))</f>
        <v/>
      </c>
      <c r="F81" s="119">
        <f>IF(RESUMEN_8°!B28="","",IFERROR('Asistencia (8°)'!BI26+'Asistencia (8°)'!BI69+'Asistencia (8°)'!BI112,""))</f>
        <v/>
      </c>
      <c r="G81" s="119">
        <f>IF(AND(RESUMEN_8°!B28=""),"",IF(OR(IFERROR(RESUMEN_8°!F28,0)&lt;3,IFERROR(RESUMEN_8°!R28,0)&lt;3),"⚠ REVISAR","OK"))</f>
        <v/>
      </c>
    </row>
    <row r="82" ht="13.95" customHeight="1" s="176">
      <c r="A82" s="121" t="inlineStr">
        <is>
          <t>8°</t>
        </is>
      </c>
      <c r="B82" s="121">
        <f>IF(MAESTRO!D29="","",IFERROR(RESUMEN_8°!A29,""))</f>
        <v/>
      </c>
      <c r="C82" s="122">
        <f>IF(MAESTRO!D29="","",IFERROR(RESUMEN_8°!B29,""))</f>
        <v/>
      </c>
      <c r="D82" s="121">
        <f>IF(RESUMEN_8°!B29="","",IFERROR(RESUMEN_8°!F29,""))</f>
        <v/>
      </c>
      <c r="E82" s="121">
        <f>IF(RESUMEN_8°!B29="","",IFERROR(RESUMEN_8°!R29,""))</f>
        <v/>
      </c>
      <c r="F82" s="121">
        <f>IF(RESUMEN_8°!B29="","",IFERROR('Asistencia (8°)'!BI27+'Asistencia (8°)'!BI70+'Asistencia (8°)'!BI113,""))</f>
        <v/>
      </c>
      <c r="G82" s="121">
        <f>IF(AND(RESUMEN_8°!B29=""),"",IF(OR(IFERROR(RESUMEN_8°!F29,0)&lt;3,IFERROR(RESUMEN_8°!R29,0)&lt;3),"⚠ REVISAR","OK"))</f>
        <v/>
      </c>
    </row>
    <row r="83" ht="13.95" customHeight="1" s="176">
      <c r="A83" s="119" t="inlineStr">
        <is>
          <t>8°</t>
        </is>
      </c>
      <c r="B83" s="119">
        <f>IF(MAESTRO!D30="","",IFERROR(RESUMEN_8°!A30,""))</f>
        <v/>
      </c>
      <c r="C83" s="120">
        <f>IF(MAESTRO!D30="","",IFERROR(RESUMEN_8°!B30,""))</f>
        <v/>
      </c>
      <c r="D83" s="119">
        <f>IF(RESUMEN_8°!B30="","",IFERROR(RESUMEN_8°!F30,""))</f>
        <v/>
      </c>
      <c r="E83" s="119">
        <f>IF(RESUMEN_8°!B30="","",IFERROR(RESUMEN_8°!R30,""))</f>
        <v/>
      </c>
      <c r="F83" s="119">
        <f>IF(RESUMEN_8°!B30="","",IFERROR('Asistencia (8°)'!BI28+'Asistencia (8°)'!BI71+'Asistencia (8°)'!BI114,""))</f>
        <v/>
      </c>
      <c r="G83" s="119">
        <f>IF(AND(RESUMEN_8°!B30=""),"",IF(OR(IFERROR(RESUMEN_8°!F30,0)&lt;3,IFERROR(RESUMEN_8°!R30,0)&lt;3),"⚠ REVISAR","OK"))</f>
        <v/>
      </c>
    </row>
    <row r="84" ht="13.95" customHeight="1" s="176">
      <c r="A84" s="121" t="inlineStr">
        <is>
          <t>8°</t>
        </is>
      </c>
      <c r="B84" s="121">
        <f>IF(MAESTRO!D31="","",IFERROR(RESUMEN_8°!A31,""))</f>
        <v/>
      </c>
      <c r="C84" s="122">
        <f>IF(MAESTRO!D31="","",IFERROR(RESUMEN_8°!B31,""))</f>
        <v/>
      </c>
      <c r="D84" s="121">
        <f>IF(RESUMEN_8°!B31="","",IFERROR(RESUMEN_8°!F31,""))</f>
        <v/>
      </c>
      <c r="E84" s="121">
        <f>IF(RESUMEN_8°!B31="","",IFERROR(RESUMEN_8°!R31,""))</f>
        <v/>
      </c>
      <c r="F84" s="121">
        <f>IF(RESUMEN_8°!B31="","",IFERROR('Asistencia (8°)'!BI29+'Asistencia (8°)'!BI72+'Asistencia (8°)'!BI115,""))</f>
        <v/>
      </c>
      <c r="G84" s="121">
        <f>IF(AND(RESUMEN_8°!B31=""),"",IF(OR(IFERROR(RESUMEN_8°!F31,0)&lt;3,IFERROR(RESUMEN_8°!R31,0)&lt;3),"⚠ REVISAR","OK"))</f>
        <v/>
      </c>
    </row>
    <row r="85" ht="13.95" customHeight="1" s="176">
      <c r="A85" s="119" t="inlineStr">
        <is>
          <t>8°</t>
        </is>
      </c>
      <c r="B85" s="119">
        <f>IF(MAESTRO!D32="","",IFERROR(RESUMEN_8°!A32,""))</f>
        <v/>
      </c>
      <c r="C85" s="120">
        <f>IF(MAESTRO!D32="","",IFERROR(RESUMEN_8°!B32,""))</f>
        <v/>
      </c>
      <c r="D85" s="119">
        <f>IF(RESUMEN_8°!B32="","",IFERROR(RESUMEN_8°!F32,""))</f>
        <v/>
      </c>
      <c r="E85" s="119">
        <f>IF(RESUMEN_8°!B32="","",IFERROR(RESUMEN_8°!R32,""))</f>
        <v/>
      </c>
      <c r="F85" s="119">
        <f>IF(RESUMEN_8°!B32="","",IFERROR('Asistencia (8°)'!BI30+'Asistencia (8°)'!BI73+'Asistencia (8°)'!BI116,""))</f>
        <v/>
      </c>
      <c r="G85" s="119">
        <f>IF(AND(RESUMEN_8°!B32=""),"",IF(OR(IFERROR(RESUMEN_8°!F32,0)&lt;3,IFERROR(RESUMEN_8°!R32,0)&lt;3),"⚠ REVISAR","OK"))</f>
        <v/>
      </c>
    </row>
    <row r="86" ht="13.95" customHeight="1" s="176">
      <c r="A86" s="121" t="inlineStr">
        <is>
          <t>8°</t>
        </is>
      </c>
      <c r="B86" s="121">
        <f>IF(MAESTRO!D33="","",IFERROR(RESUMEN_8°!A33,""))</f>
        <v/>
      </c>
      <c r="C86" s="122">
        <f>IF(MAESTRO!D33="","",IFERROR(RESUMEN_8°!B33,""))</f>
        <v/>
      </c>
      <c r="D86" s="121">
        <f>IF(RESUMEN_8°!B33="","",IFERROR(RESUMEN_8°!F33,""))</f>
        <v/>
      </c>
      <c r="E86" s="121">
        <f>IF(RESUMEN_8°!B33="","",IFERROR(RESUMEN_8°!R33,""))</f>
        <v/>
      </c>
      <c r="F86" s="121">
        <f>IF(RESUMEN_8°!B33="","",IFERROR('Asistencia (8°)'!BI31+'Asistencia (8°)'!BI74+'Asistencia (8°)'!BI117,""))</f>
        <v/>
      </c>
      <c r="G86" s="121">
        <f>IF(AND(RESUMEN_8°!B33=""),"",IF(OR(IFERROR(RESUMEN_8°!F33,0)&lt;3,IFERROR(RESUMEN_8°!R33,0)&lt;3),"⚠ REVISAR","OK"))</f>
        <v/>
      </c>
    </row>
    <row r="87" ht="13.95" customHeight="1" s="176">
      <c r="A87" s="119" t="inlineStr">
        <is>
          <t>8°</t>
        </is>
      </c>
      <c r="B87" s="119">
        <f>IF(MAESTRO!D34="","",IFERROR(RESUMEN_8°!A34,""))</f>
        <v/>
      </c>
      <c r="C87" s="120">
        <f>IF(MAESTRO!D34="","",IFERROR(RESUMEN_8°!B34,""))</f>
        <v/>
      </c>
      <c r="D87" s="119">
        <f>IF(RESUMEN_8°!B34="","",IFERROR(RESUMEN_8°!F34,""))</f>
        <v/>
      </c>
      <c r="E87" s="119">
        <f>IF(RESUMEN_8°!B34="","",IFERROR(RESUMEN_8°!R34,""))</f>
        <v/>
      </c>
      <c r="F87" s="119">
        <f>IF(RESUMEN_8°!B34="","",IFERROR('Asistencia (8°)'!BI32+'Asistencia (8°)'!BI75+'Asistencia (8°)'!BI118,""))</f>
        <v/>
      </c>
      <c r="G87" s="119">
        <f>IF(AND(RESUMEN_8°!B34=""),"",IF(OR(IFERROR(RESUMEN_8°!F34,0)&lt;3,IFERROR(RESUMEN_8°!R34,0)&lt;3),"⚠ REVISAR","OK"))</f>
        <v/>
      </c>
    </row>
    <row r="88" ht="13.95" customHeight="1" s="176">
      <c r="A88" s="121" t="inlineStr">
        <is>
          <t>8°</t>
        </is>
      </c>
      <c r="B88" s="121">
        <f>IF(MAESTRO!D35="","",IFERROR(RESUMEN_8°!A35,""))</f>
        <v/>
      </c>
      <c r="C88" s="122">
        <f>IF(MAESTRO!D35="","",IFERROR(RESUMEN_8°!B35,""))</f>
        <v/>
      </c>
      <c r="D88" s="121">
        <f>IF(RESUMEN_8°!B35="","",IFERROR(RESUMEN_8°!F35,""))</f>
        <v/>
      </c>
      <c r="E88" s="121">
        <f>IF(RESUMEN_8°!B35="","",IFERROR(RESUMEN_8°!R35,""))</f>
        <v/>
      </c>
      <c r="F88" s="121">
        <f>IF(RESUMEN_8°!B35="","",IFERROR('Asistencia (8°)'!BI33+'Asistencia (8°)'!BI76+'Asistencia (8°)'!BI119,""))</f>
        <v/>
      </c>
      <c r="G88" s="121">
        <f>IF(AND(RESUMEN_8°!B35=""),"",IF(OR(IFERROR(RESUMEN_8°!F35,0)&lt;3,IFERROR(RESUMEN_8°!R35,0)&lt;3),"⚠ REVISAR","OK"))</f>
        <v/>
      </c>
    </row>
    <row r="89" ht="13.95" customHeight="1" s="176">
      <c r="A89" s="119" t="inlineStr">
        <is>
          <t>8°</t>
        </is>
      </c>
      <c r="B89" s="119">
        <f>IF(MAESTRO!D36="","",IFERROR(RESUMEN_8°!A36,""))</f>
        <v/>
      </c>
      <c r="C89" s="120">
        <f>IF(MAESTRO!D36="","",IFERROR(RESUMEN_8°!B36,""))</f>
        <v/>
      </c>
      <c r="D89" s="119">
        <f>IF(RESUMEN_8°!B36="","",IFERROR(RESUMEN_8°!F36,""))</f>
        <v/>
      </c>
      <c r="E89" s="119">
        <f>IF(RESUMEN_8°!B36="","",IFERROR(RESUMEN_8°!R36,""))</f>
        <v/>
      </c>
      <c r="F89" s="119">
        <f>IF(RESUMEN_8°!B36="","",IFERROR('Asistencia (8°)'!BI34+'Asistencia (8°)'!BI77+'Asistencia (8°)'!BI120,""))</f>
        <v/>
      </c>
      <c r="G89" s="119">
        <f>IF(AND(RESUMEN_8°!B36=""),"",IF(OR(IFERROR(RESUMEN_8°!F36,0)&lt;3,IFERROR(RESUMEN_8°!R36,0)&lt;3),"⚠ REVISAR","OK"))</f>
        <v/>
      </c>
    </row>
    <row r="90" ht="13.95" customHeight="1" s="176">
      <c r="A90" s="121" t="inlineStr">
        <is>
          <t>8°</t>
        </is>
      </c>
      <c r="B90" s="121">
        <f>IF(MAESTRO!D37="","",IFERROR(RESUMEN_8°!A37,""))</f>
        <v/>
      </c>
      <c r="C90" s="122">
        <f>IF(MAESTRO!D37="","",IFERROR(RESUMEN_8°!B37,""))</f>
        <v/>
      </c>
      <c r="D90" s="121">
        <f>IF(RESUMEN_8°!B37="","",IFERROR(RESUMEN_8°!F37,""))</f>
        <v/>
      </c>
      <c r="E90" s="121">
        <f>IF(RESUMEN_8°!B37="","",IFERROR(RESUMEN_8°!R37,""))</f>
        <v/>
      </c>
      <c r="F90" s="121">
        <f>IF(RESUMEN_8°!B37="","",IFERROR('Asistencia (8°)'!BI35+'Asistencia (8°)'!BI78+'Asistencia (8°)'!BI121,""))</f>
        <v/>
      </c>
      <c r="G90" s="121">
        <f>IF(AND(RESUMEN_8°!B37=""),"",IF(OR(IFERROR(RESUMEN_8°!F37,0)&lt;3,IFERROR(RESUMEN_8°!R37,0)&lt;3),"⚠ REVISAR","OK"))</f>
        <v/>
      </c>
    </row>
    <row r="91" ht="13.95" customHeight="1" s="176">
      <c r="A91" s="119" t="inlineStr">
        <is>
          <t>8°</t>
        </is>
      </c>
      <c r="B91" s="119">
        <f>IF(MAESTRO!D38="","",IFERROR(RESUMEN_8°!A38,""))</f>
        <v/>
      </c>
      <c r="C91" s="120">
        <f>IF(MAESTRO!D38="","",IFERROR(RESUMEN_8°!B38,""))</f>
        <v/>
      </c>
      <c r="D91" s="119">
        <f>IF(RESUMEN_8°!B38="","",IFERROR(RESUMEN_8°!F38,""))</f>
        <v/>
      </c>
      <c r="E91" s="119">
        <f>IF(RESUMEN_8°!B38="","",IFERROR(RESUMEN_8°!R38,""))</f>
        <v/>
      </c>
      <c r="F91" s="119">
        <f>IF(RESUMEN_8°!B38="","",IFERROR('Asistencia (8°)'!BI36+'Asistencia (8°)'!BI79+'Asistencia (8°)'!BI122,""))</f>
        <v/>
      </c>
      <c r="G91" s="119">
        <f>IF(AND(RESUMEN_8°!B38=""),"",IF(OR(IFERROR(RESUMEN_8°!F38,0)&lt;3,IFERROR(RESUMEN_8°!R38,0)&lt;3),"⚠ REVISAR","OK"))</f>
        <v/>
      </c>
    </row>
    <row r="92" ht="13.95" customHeight="1" s="176">
      <c r="A92" s="121" t="inlineStr">
        <is>
          <t>8°</t>
        </is>
      </c>
      <c r="B92" s="121">
        <f>IF(MAESTRO!D39="","",IFERROR(RESUMEN_8°!A39,""))</f>
        <v/>
      </c>
      <c r="C92" s="122">
        <f>IF(MAESTRO!D39="","",IFERROR(RESUMEN_8°!B39,""))</f>
        <v/>
      </c>
      <c r="D92" s="121">
        <f>IF(RESUMEN_8°!B39="","",IFERROR(RESUMEN_8°!F39,""))</f>
        <v/>
      </c>
      <c r="E92" s="121">
        <f>IF(RESUMEN_8°!B39="","",IFERROR(RESUMEN_8°!R39,""))</f>
        <v/>
      </c>
      <c r="F92" s="121">
        <f>IF(RESUMEN_8°!B39="","",IFERROR('Asistencia (8°)'!BI37+'Asistencia (8°)'!BI80+'Asistencia (8°)'!BI123,""))</f>
        <v/>
      </c>
      <c r="G92" s="121">
        <f>IF(AND(RESUMEN_8°!B39=""),"",IF(OR(IFERROR(RESUMEN_8°!F39,0)&lt;3,IFERROR(RESUMEN_8°!R39,0)&lt;3),"⚠ REVISAR","OK"))</f>
        <v/>
      </c>
    </row>
    <row r="93" ht="13.95" customHeight="1" s="176">
      <c r="A93" s="119" t="inlineStr">
        <is>
          <t>8°</t>
        </is>
      </c>
      <c r="B93" s="119">
        <f>IF(MAESTRO!D40="","",IFERROR(RESUMEN_8°!A40,""))</f>
        <v/>
      </c>
      <c r="C93" s="120">
        <f>IF(MAESTRO!D40="","",IFERROR(RESUMEN_8°!B40,""))</f>
        <v/>
      </c>
      <c r="D93" s="119">
        <f>IF(RESUMEN_8°!B40="","",IFERROR(RESUMEN_8°!F40,""))</f>
        <v/>
      </c>
      <c r="E93" s="119">
        <f>IF(RESUMEN_8°!B40="","",IFERROR(RESUMEN_8°!R40,""))</f>
        <v/>
      </c>
      <c r="F93" s="119">
        <f>IF(RESUMEN_8°!B40="","",IFERROR('Asistencia (8°)'!BI38+'Asistencia (8°)'!BI81+'Asistencia (8°)'!BI124,""))</f>
        <v/>
      </c>
      <c r="G93" s="119">
        <f>IF(AND(RESUMEN_8°!B40=""),"",IF(OR(IFERROR(RESUMEN_8°!F40,0)&lt;3,IFERROR(RESUMEN_8°!R40,0)&lt;3),"⚠ REVISAR","OK"))</f>
        <v/>
      </c>
    </row>
    <row r="94" ht="13.95" customHeight="1" s="176">
      <c r="A94" s="121" t="inlineStr">
        <is>
          <t>8°</t>
        </is>
      </c>
      <c r="B94" s="121">
        <f>IF(MAESTRO!D41="","",IFERROR(RESUMEN_8°!A41,""))</f>
        <v/>
      </c>
      <c r="C94" s="122">
        <f>IF(MAESTRO!D41="","",IFERROR(RESUMEN_8°!B41,""))</f>
        <v/>
      </c>
      <c r="D94" s="121">
        <f>IF(RESUMEN_8°!B41="","",IFERROR(RESUMEN_8°!F41,""))</f>
        <v/>
      </c>
      <c r="E94" s="121">
        <f>IF(RESUMEN_8°!B41="","",IFERROR(RESUMEN_8°!R41,""))</f>
        <v/>
      </c>
      <c r="F94" s="121">
        <f>IF(RESUMEN_8°!B41="","",IFERROR('Asistencia (8°)'!BI39+'Asistencia (8°)'!BI82+'Asistencia (8°)'!BI125,""))</f>
        <v/>
      </c>
      <c r="G94" s="121">
        <f>IF(AND(RESUMEN_8°!B41=""),"",IF(OR(IFERROR(RESUMEN_8°!F41,0)&lt;3,IFERROR(RESUMEN_8°!R41,0)&lt;3),"⚠ REVISAR","OK"))</f>
        <v/>
      </c>
    </row>
    <row r="95" ht="13.95" customHeight="1" s="176">
      <c r="A95" s="119" t="inlineStr">
        <is>
          <t>8°</t>
        </is>
      </c>
      <c r="B95" s="119">
        <f>IF(MAESTRO!D42="","",IFERROR(RESUMEN_8°!A42,""))</f>
        <v/>
      </c>
      <c r="C95" s="120">
        <f>IF(MAESTRO!D42="","",IFERROR(RESUMEN_8°!B42,""))</f>
        <v/>
      </c>
      <c r="D95" s="119">
        <f>IF(RESUMEN_8°!B42="","",IFERROR(RESUMEN_8°!F42,""))</f>
        <v/>
      </c>
      <c r="E95" s="119">
        <f>IF(RESUMEN_8°!B42="","",IFERROR(RESUMEN_8°!R42,""))</f>
        <v/>
      </c>
      <c r="F95" s="119">
        <f>IF(RESUMEN_8°!B42="","",IFERROR('Asistencia (8°)'!BI40+'Asistencia (8°)'!BI83+'Asistencia (8°)'!BI126,""))</f>
        <v/>
      </c>
      <c r="G95" s="119">
        <f>IF(AND(RESUMEN_8°!B42=""),"",IF(OR(IFERROR(RESUMEN_8°!F42,0)&lt;3,IFERROR(RESUMEN_8°!R42,0)&lt;3),"⚠ REVISAR","OK"))</f>
        <v/>
      </c>
    </row>
    <row r="96" ht="13.95" customHeight="1" s="176">
      <c r="A96" s="121" t="inlineStr">
        <is>
          <t>8°</t>
        </is>
      </c>
      <c r="B96" s="121">
        <f>IF(MAESTRO!D43="","",IFERROR(RESUMEN_8°!A43,""))</f>
        <v/>
      </c>
      <c r="C96" s="122">
        <f>IF(MAESTRO!D43="","",IFERROR(RESUMEN_8°!B43,""))</f>
        <v/>
      </c>
      <c r="D96" s="121">
        <f>IF(RESUMEN_8°!B43="","",IFERROR(RESUMEN_8°!F43,""))</f>
        <v/>
      </c>
      <c r="E96" s="121">
        <f>IF(RESUMEN_8°!B43="","",IFERROR(RESUMEN_8°!R43,""))</f>
        <v/>
      </c>
      <c r="F96" s="121">
        <f>IF(RESUMEN_8°!B43="","",IFERROR('Asistencia (8°)'!BI41+'Asistencia (8°)'!BI84+'Asistencia (8°)'!BI127,""))</f>
        <v/>
      </c>
      <c r="G96" s="121">
        <f>IF(AND(RESUMEN_8°!B43=""),"",IF(OR(IFERROR(RESUMEN_8°!F43,0)&lt;3,IFERROR(RESUMEN_8°!R43,0)&lt;3),"⚠ REVISAR","OK"))</f>
        <v/>
      </c>
    </row>
    <row r="97" ht="13.95" customHeight="1" s="176">
      <c r="A97" s="119" t="inlineStr">
        <is>
          <t>8°</t>
        </is>
      </c>
      <c r="B97" s="119">
        <f>IF(MAESTRO!D44="","",IFERROR(RESUMEN_8°!A44,""))</f>
        <v/>
      </c>
      <c r="C97" s="120">
        <f>IF(MAESTRO!D44="","",IFERROR(RESUMEN_8°!B44,""))</f>
        <v/>
      </c>
      <c r="D97" s="119">
        <f>IF(RESUMEN_8°!B44="","",IFERROR(RESUMEN_8°!F44,""))</f>
        <v/>
      </c>
      <c r="E97" s="119">
        <f>IF(RESUMEN_8°!B44="","",IFERROR(RESUMEN_8°!R44,""))</f>
        <v/>
      </c>
      <c r="F97" s="119">
        <f>IF(RESUMEN_8°!B44="","",IFERROR('Asistencia (8°)'!BI42+'Asistencia (8°)'!BI85+'Asistencia (8°)'!BI128,""))</f>
        <v/>
      </c>
      <c r="G97" s="119">
        <f>IF(AND(RESUMEN_8°!B44=""),"",IF(OR(IFERROR(RESUMEN_8°!F44,0)&lt;3,IFERROR(RESUMEN_8°!R44,0)&lt;3),"⚠ REVISAR","OK"))</f>
        <v/>
      </c>
    </row>
    <row r="98" ht="13.95" customHeight="1" s="176">
      <c r="A98" s="123" t="inlineStr">
        <is>
          <t>9°</t>
        </is>
      </c>
      <c r="B98" s="123">
        <f>IF(MAESTRO!F5="","",IFERROR(RESUMEN_9°!A5,""))</f>
        <v/>
      </c>
      <c r="C98" s="124">
        <f>IF(MAESTRO!F5="","",IFERROR(RESUMEN_9°!B5,""))</f>
        <v/>
      </c>
      <c r="D98" s="123">
        <f>IF(RESUMEN_9°!B5="","",IFERROR(RESUMEN_9°!F5,""))</f>
        <v/>
      </c>
      <c r="E98" s="123">
        <f>IF(RESUMEN_9°!B5="","",IFERROR(RESUMEN_9°!R5,""))</f>
        <v/>
      </c>
      <c r="F98" s="123">
        <f>IF(RESUMEN_9°!B5="","",IFERROR('Asistencia (9°)'!BI3+'Asistencia (9°)'!BI46+'Asistencia (9°)'!BI89,""))</f>
        <v/>
      </c>
      <c r="G98" s="123">
        <f>IF(AND(RESUMEN_9°!B5=""),"",IF(OR(IFERROR(RESUMEN_9°!F5,0)&lt;3,IFERROR(RESUMEN_9°!V5,0)&lt;3),"⚠ REVISAR","OK"))</f>
        <v/>
      </c>
    </row>
    <row r="99" ht="13.95" customHeight="1" s="176">
      <c r="A99" s="119" t="inlineStr">
        <is>
          <t>9°</t>
        </is>
      </c>
      <c r="B99" s="119">
        <f>IF(MAESTRO!F6="","",IFERROR(RESUMEN_9°!A6,""))</f>
        <v/>
      </c>
      <c r="C99" s="120">
        <f>IF(MAESTRO!F6="","",IFERROR(RESUMEN_9°!B6,""))</f>
        <v/>
      </c>
      <c r="D99" s="119">
        <f>IF(RESUMEN_9°!B6="","",IFERROR(RESUMEN_9°!F6,""))</f>
        <v/>
      </c>
      <c r="E99" s="119">
        <f>IF(RESUMEN_9°!B6="","",IFERROR(RESUMEN_9°!R6,""))</f>
        <v/>
      </c>
      <c r="F99" s="119">
        <f>IF(RESUMEN_9°!B6="","",IFERROR('Asistencia (9°)'!BI4+'Asistencia (9°)'!BI47+'Asistencia (9°)'!BI90,""))</f>
        <v/>
      </c>
      <c r="G99" s="119">
        <f>IF(AND(RESUMEN_9°!B6=""),"",IF(OR(IFERROR(RESUMEN_9°!F6,0)&lt;3,IFERROR(RESUMEN_9°!V6,0)&lt;3),"⚠ REVISAR","OK"))</f>
        <v/>
      </c>
    </row>
    <row r="100" ht="13.95" customHeight="1" s="176">
      <c r="A100" s="123" t="inlineStr">
        <is>
          <t>9°</t>
        </is>
      </c>
      <c r="B100" s="123">
        <f>IF(MAESTRO!F7="","",IFERROR(RESUMEN_9°!A7,""))</f>
        <v/>
      </c>
      <c r="C100" s="124">
        <f>IF(MAESTRO!F7="","",IFERROR(RESUMEN_9°!B7,""))</f>
        <v/>
      </c>
      <c r="D100" s="123">
        <f>IF(RESUMEN_9°!B7="","",IFERROR(RESUMEN_9°!F7,""))</f>
        <v/>
      </c>
      <c r="E100" s="123">
        <f>IF(RESUMEN_9°!B7="","",IFERROR(RESUMEN_9°!R7,""))</f>
        <v/>
      </c>
      <c r="F100" s="123">
        <f>IF(RESUMEN_9°!B7="","",IFERROR('Asistencia (9°)'!BI5+'Asistencia (9°)'!BI48+'Asistencia (9°)'!BI91,""))</f>
        <v/>
      </c>
      <c r="G100" s="123">
        <f>IF(AND(RESUMEN_9°!B7=""),"",IF(OR(IFERROR(RESUMEN_9°!F7,0)&lt;3,IFERROR(RESUMEN_9°!V7,0)&lt;3),"⚠ REVISAR","OK"))</f>
        <v/>
      </c>
    </row>
    <row r="101" ht="13.95" customHeight="1" s="176">
      <c r="A101" s="119" t="inlineStr">
        <is>
          <t>9°</t>
        </is>
      </c>
      <c r="B101" s="119">
        <f>IF(MAESTRO!F8="","",IFERROR(RESUMEN_9°!A8,""))</f>
        <v/>
      </c>
      <c r="C101" s="120">
        <f>IF(MAESTRO!F8="","",IFERROR(RESUMEN_9°!B8,""))</f>
        <v/>
      </c>
      <c r="D101" s="119">
        <f>IF(RESUMEN_9°!B8="","",IFERROR(RESUMEN_9°!F8,""))</f>
        <v/>
      </c>
      <c r="E101" s="119">
        <f>IF(RESUMEN_9°!B8="","",IFERROR(RESUMEN_9°!R8,""))</f>
        <v/>
      </c>
      <c r="F101" s="119">
        <f>IF(RESUMEN_9°!B8="","",IFERROR('Asistencia (9°)'!BI6+'Asistencia (9°)'!BI49+'Asistencia (9°)'!BI92,""))</f>
        <v/>
      </c>
      <c r="G101" s="119">
        <f>IF(AND(RESUMEN_9°!B8=""),"",IF(OR(IFERROR(RESUMEN_9°!F8,0)&lt;3,IFERROR(RESUMEN_9°!V8,0)&lt;3),"⚠ REVISAR","OK"))</f>
        <v/>
      </c>
    </row>
    <row r="102" ht="13.95" customHeight="1" s="176">
      <c r="A102" s="123" t="inlineStr">
        <is>
          <t>9°</t>
        </is>
      </c>
      <c r="B102" s="123">
        <f>IF(MAESTRO!F9="","",IFERROR(RESUMEN_9°!A9,""))</f>
        <v/>
      </c>
      <c r="C102" s="124">
        <f>IF(MAESTRO!F9="","",IFERROR(RESUMEN_9°!B9,""))</f>
        <v/>
      </c>
      <c r="D102" s="123">
        <f>IF(RESUMEN_9°!B9="","",IFERROR(RESUMEN_9°!F9,""))</f>
        <v/>
      </c>
      <c r="E102" s="123">
        <f>IF(RESUMEN_9°!B9="","",IFERROR(RESUMEN_9°!R9,""))</f>
        <v/>
      </c>
      <c r="F102" s="123">
        <f>IF(RESUMEN_9°!B9="","",IFERROR('Asistencia (9°)'!BI7+'Asistencia (9°)'!BI50+'Asistencia (9°)'!BI93,""))</f>
        <v/>
      </c>
      <c r="G102" s="123">
        <f>IF(AND(RESUMEN_9°!B9=""),"",IF(OR(IFERROR(RESUMEN_9°!F9,0)&lt;3,IFERROR(RESUMEN_9°!V9,0)&lt;3),"⚠ REVISAR","OK"))</f>
        <v/>
      </c>
    </row>
    <row r="103" ht="13.95" customHeight="1" s="176">
      <c r="A103" s="119" t="inlineStr">
        <is>
          <t>9°</t>
        </is>
      </c>
      <c r="B103" s="119">
        <f>IF(MAESTRO!F10="","",IFERROR(RESUMEN_9°!A10,""))</f>
        <v/>
      </c>
      <c r="C103" s="120">
        <f>IF(MAESTRO!F10="","",IFERROR(RESUMEN_9°!B10,""))</f>
        <v/>
      </c>
      <c r="D103" s="119">
        <f>IF(RESUMEN_9°!B10="","",IFERROR(RESUMEN_9°!F10,""))</f>
        <v/>
      </c>
      <c r="E103" s="119">
        <f>IF(RESUMEN_9°!B10="","",IFERROR(RESUMEN_9°!R10,""))</f>
        <v/>
      </c>
      <c r="F103" s="119">
        <f>IF(RESUMEN_9°!B10="","",IFERROR('Asistencia (9°)'!BI8+'Asistencia (9°)'!BI51+'Asistencia (9°)'!BI94,""))</f>
        <v/>
      </c>
      <c r="G103" s="119">
        <f>IF(AND(RESUMEN_9°!B10=""),"",IF(OR(IFERROR(RESUMEN_9°!F10,0)&lt;3,IFERROR(RESUMEN_9°!V10,0)&lt;3),"⚠ REVISAR","OK"))</f>
        <v/>
      </c>
    </row>
    <row r="104" ht="13.95" customHeight="1" s="176">
      <c r="A104" s="123" t="inlineStr">
        <is>
          <t>9°</t>
        </is>
      </c>
      <c r="B104" s="123">
        <f>IF(MAESTRO!F11="","",IFERROR(RESUMEN_9°!A11,""))</f>
        <v/>
      </c>
      <c r="C104" s="124">
        <f>IF(MAESTRO!F11="","",IFERROR(RESUMEN_9°!B11,""))</f>
        <v/>
      </c>
      <c r="D104" s="123">
        <f>IF(RESUMEN_9°!B11="","",IFERROR(RESUMEN_9°!F11,""))</f>
        <v/>
      </c>
      <c r="E104" s="123">
        <f>IF(RESUMEN_9°!B11="","",IFERROR(RESUMEN_9°!R11,""))</f>
        <v/>
      </c>
      <c r="F104" s="123">
        <f>IF(RESUMEN_9°!B11="","",IFERROR('Asistencia (9°)'!BI9+'Asistencia (9°)'!BI52+'Asistencia (9°)'!BI95,""))</f>
        <v/>
      </c>
      <c r="G104" s="123">
        <f>IF(AND(RESUMEN_9°!B11=""),"",IF(OR(IFERROR(RESUMEN_9°!F11,0)&lt;3,IFERROR(RESUMEN_9°!V11,0)&lt;3),"⚠ REVISAR","OK"))</f>
        <v/>
      </c>
    </row>
    <row r="105" ht="13.95" customHeight="1" s="176">
      <c r="A105" s="119" t="inlineStr">
        <is>
          <t>9°</t>
        </is>
      </c>
      <c r="B105" s="119">
        <f>IF(MAESTRO!F12="","",IFERROR(RESUMEN_9°!A12,""))</f>
        <v/>
      </c>
      <c r="C105" s="120">
        <f>IF(MAESTRO!F12="","",IFERROR(RESUMEN_9°!B12,""))</f>
        <v/>
      </c>
      <c r="D105" s="119">
        <f>IF(RESUMEN_9°!B12="","",IFERROR(RESUMEN_9°!F12,""))</f>
        <v/>
      </c>
      <c r="E105" s="119">
        <f>IF(RESUMEN_9°!B12="","",IFERROR(RESUMEN_9°!R12,""))</f>
        <v/>
      </c>
      <c r="F105" s="119">
        <f>IF(RESUMEN_9°!B12="","",IFERROR('Asistencia (9°)'!BI10+'Asistencia (9°)'!BI53+'Asistencia (9°)'!BI96,""))</f>
        <v/>
      </c>
      <c r="G105" s="119">
        <f>IF(AND(RESUMEN_9°!B12=""),"",IF(OR(IFERROR(RESUMEN_9°!F12,0)&lt;3,IFERROR(RESUMEN_9°!V12,0)&lt;3),"⚠ REVISAR","OK"))</f>
        <v/>
      </c>
    </row>
    <row r="106" ht="13.95" customHeight="1" s="176">
      <c r="A106" s="123" t="inlineStr">
        <is>
          <t>9°</t>
        </is>
      </c>
      <c r="B106" s="123">
        <f>IF(MAESTRO!F13="","",IFERROR(RESUMEN_9°!A13,""))</f>
        <v/>
      </c>
      <c r="C106" s="124">
        <f>IF(MAESTRO!F13="","",IFERROR(RESUMEN_9°!B13,""))</f>
        <v/>
      </c>
      <c r="D106" s="123">
        <f>IF(RESUMEN_9°!B13="","",IFERROR(RESUMEN_9°!F13,""))</f>
        <v/>
      </c>
      <c r="E106" s="123">
        <f>IF(RESUMEN_9°!B13="","",IFERROR(RESUMEN_9°!R13,""))</f>
        <v/>
      </c>
      <c r="F106" s="123">
        <f>IF(RESUMEN_9°!B13="","",IFERROR('Asistencia (9°)'!BI11+'Asistencia (9°)'!BI54+'Asistencia (9°)'!BI97,""))</f>
        <v/>
      </c>
      <c r="G106" s="123">
        <f>IF(AND(RESUMEN_9°!B13=""),"",IF(OR(IFERROR(RESUMEN_9°!F13,0)&lt;3,IFERROR(RESUMEN_9°!V13,0)&lt;3),"⚠ REVISAR","OK"))</f>
        <v/>
      </c>
    </row>
    <row r="107" ht="13.95" customHeight="1" s="176">
      <c r="A107" s="119" t="inlineStr">
        <is>
          <t>9°</t>
        </is>
      </c>
      <c r="B107" s="119">
        <f>IF(MAESTRO!F14="","",IFERROR(RESUMEN_9°!A14,""))</f>
        <v/>
      </c>
      <c r="C107" s="120">
        <f>IF(MAESTRO!F14="","",IFERROR(RESUMEN_9°!B14,""))</f>
        <v/>
      </c>
      <c r="D107" s="119">
        <f>IF(RESUMEN_9°!B14="","",IFERROR(RESUMEN_9°!F14,""))</f>
        <v/>
      </c>
      <c r="E107" s="119">
        <f>IF(RESUMEN_9°!B14="","",IFERROR(RESUMEN_9°!R14,""))</f>
        <v/>
      </c>
      <c r="F107" s="119">
        <f>IF(RESUMEN_9°!B14="","",IFERROR('Asistencia (9°)'!BI12+'Asistencia (9°)'!BI55+'Asistencia (9°)'!BI98,""))</f>
        <v/>
      </c>
      <c r="G107" s="119">
        <f>IF(AND(RESUMEN_9°!B14=""),"",IF(OR(IFERROR(RESUMEN_9°!F14,0)&lt;3,IFERROR(RESUMEN_9°!V14,0)&lt;3),"⚠ REVISAR","OK"))</f>
        <v/>
      </c>
    </row>
    <row r="108" ht="13.95" customHeight="1" s="176">
      <c r="A108" s="123" t="inlineStr">
        <is>
          <t>9°</t>
        </is>
      </c>
      <c r="B108" s="123">
        <f>IF(MAESTRO!F15="","",IFERROR(RESUMEN_9°!A15,""))</f>
        <v/>
      </c>
      <c r="C108" s="124">
        <f>IF(MAESTRO!F15="","",IFERROR(RESUMEN_9°!B15,""))</f>
        <v/>
      </c>
      <c r="D108" s="123">
        <f>IF(RESUMEN_9°!B15="","",IFERROR(RESUMEN_9°!F15,""))</f>
        <v/>
      </c>
      <c r="E108" s="123">
        <f>IF(RESUMEN_9°!B15="","",IFERROR(RESUMEN_9°!R15,""))</f>
        <v/>
      </c>
      <c r="F108" s="123">
        <f>IF(RESUMEN_9°!B15="","",IFERROR('Asistencia (9°)'!BI13+'Asistencia (9°)'!BI56+'Asistencia (9°)'!BI99,""))</f>
        <v/>
      </c>
      <c r="G108" s="123">
        <f>IF(AND(RESUMEN_9°!B15=""),"",IF(OR(IFERROR(RESUMEN_9°!F15,0)&lt;3,IFERROR(RESUMEN_9°!V15,0)&lt;3),"⚠ REVISAR","OK"))</f>
        <v/>
      </c>
    </row>
    <row r="109" ht="13.95" customHeight="1" s="176">
      <c r="A109" s="119" t="inlineStr">
        <is>
          <t>9°</t>
        </is>
      </c>
      <c r="B109" s="119">
        <f>IF(MAESTRO!F16="","",IFERROR(RESUMEN_9°!A16,""))</f>
        <v/>
      </c>
      <c r="C109" s="120">
        <f>IF(MAESTRO!F16="","",IFERROR(RESUMEN_9°!B16,""))</f>
        <v/>
      </c>
      <c r="D109" s="119">
        <f>IF(RESUMEN_9°!B16="","",IFERROR(RESUMEN_9°!F16,""))</f>
        <v/>
      </c>
      <c r="E109" s="119">
        <f>IF(RESUMEN_9°!B16="","",IFERROR(RESUMEN_9°!R16,""))</f>
        <v/>
      </c>
      <c r="F109" s="119">
        <f>IF(RESUMEN_9°!B16="","",IFERROR('Asistencia (9°)'!BI14+'Asistencia (9°)'!BI57+'Asistencia (9°)'!BI100,""))</f>
        <v/>
      </c>
      <c r="G109" s="119">
        <f>IF(AND(RESUMEN_9°!B16=""),"",IF(OR(IFERROR(RESUMEN_9°!F16,0)&lt;3,IFERROR(RESUMEN_9°!V16,0)&lt;3),"⚠ REVISAR","OK"))</f>
        <v/>
      </c>
    </row>
    <row r="110" ht="13.95" customHeight="1" s="176">
      <c r="A110" s="123" t="inlineStr">
        <is>
          <t>9°</t>
        </is>
      </c>
      <c r="B110" s="123">
        <f>IF(MAESTRO!F17="","",IFERROR(RESUMEN_9°!A17,""))</f>
        <v/>
      </c>
      <c r="C110" s="124">
        <f>IF(MAESTRO!F17="","",IFERROR(RESUMEN_9°!B17,""))</f>
        <v/>
      </c>
      <c r="D110" s="123">
        <f>IF(RESUMEN_9°!B17="","",IFERROR(RESUMEN_9°!F17,""))</f>
        <v/>
      </c>
      <c r="E110" s="123">
        <f>IF(RESUMEN_9°!B17="","",IFERROR(RESUMEN_9°!R17,""))</f>
        <v/>
      </c>
      <c r="F110" s="123">
        <f>IF(RESUMEN_9°!B17="","",IFERROR('Asistencia (9°)'!BI15+'Asistencia (9°)'!BI58+'Asistencia (9°)'!BI101,""))</f>
        <v/>
      </c>
      <c r="G110" s="123">
        <f>IF(AND(RESUMEN_9°!B17=""),"",IF(OR(IFERROR(RESUMEN_9°!F17,0)&lt;3,IFERROR(RESUMEN_9°!V17,0)&lt;3),"⚠ REVISAR","OK"))</f>
        <v/>
      </c>
    </row>
    <row r="111" ht="13.95" customHeight="1" s="176">
      <c r="A111" s="119" t="inlineStr">
        <is>
          <t>9°</t>
        </is>
      </c>
      <c r="B111" s="119">
        <f>IF(MAESTRO!F18="","",IFERROR(RESUMEN_9°!A18,""))</f>
        <v/>
      </c>
      <c r="C111" s="120">
        <f>IF(MAESTRO!F18="","",IFERROR(RESUMEN_9°!B18,""))</f>
        <v/>
      </c>
      <c r="D111" s="119">
        <f>IF(RESUMEN_9°!B18="","",IFERROR(RESUMEN_9°!F18,""))</f>
        <v/>
      </c>
      <c r="E111" s="119">
        <f>IF(RESUMEN_9°!B18="","",IFERROR(RESUMEN_9°!R18,""))</f>
        <v/>
      </c>
      <c r="F111" s="119">
        <f>IF(RESUMEN_9°!B18="","",IFERROR('Asistencia (9°)'!BI16+'Asistencia (9°)'!BI59+'Asistencia (9°)'!BI102,""))</f>
        <v/>
      </c>
      <c r="G111" s="119">
        <f>IF(AND(RESUMEN_9°!B18=""),"",IF(OR(IFERROR(RESUMEN_9°!F18,0)&lt;3,IFERROR(RESUMEN_9°!V18,0)&lt;3),"⚠ REVISAR","OK"))</f>
        <v/>
      </c>
    </row>
    <row r="112" ht="13.95" customHeight="1" s="176">
      <c r="A112" s="123" t="inlineStr">
        <is>
          <t>9°</t>
        </is>
      </c>
      <c r="B112" s="123">
        <f>IF(MAESTRO!F19="","",IFERROR(RESUMEN_9°!A19,""))</f>
        <v/>
      </c>
      <c r="C112" s="124">
        <f>IF(MAESTRO!F19="","",IFERROR(RESUMEN_9°!B19,""))</f>
        <v/>
      </c>
      <c r="D112" s="123">
        <f>IF(RESUMEN_9°!B19="","",IFERROR(RESUMEN_9°!F19,""))</f>
        <v/>
      </c>
      <c r="E112" s="123">
        <f>IF(RESUMEN_9°!B19="","",IFERROR(RESUMEN_9°!R19,""))</f>
        <v/>
      </c>
      <c r="F112" s="123">
        <f>IF(RESUMEN_9°!B19="","",IFERROR('Asistencia (9°)'!BI17+'Asistencia (9°)'!BI60+'Asistencia (9°)'!BI103,""))</f>
        <v/>
      </c>
      <c r="G112" s="123">
        <f>IF(AND(RESUMEN_9°!B19=""),"",IF(OR(IFERROR(RESUMEN_9°!F19,0)&lt;3,IFERROR(RESUMEN_9°!V19,0)&lt;3),"⚠ REVISAR","OK"))</f>
        <v/>
      </c>
    </row>
    <row r="113" ht="13.95" customHeight="1" s="176">
      <c r="A113" s="119" t="inlineStr">
        <is>
          <t>9°</t>
        </is>
      </c>
      <c r="B113" s="119">
        <f>IF(MAESTRO!F20="","",IFERROR(RESUMEN_9°!A20,""))</f>
        <v/>
      </c>
      <c r="C113" s="120">
        <f>IF(MAESTRO!F20="","",IFERROR(RESUMEN_9°!B20,""))</f>
        <v/>
      </c>
      <c r="D113" s="119">
        <f>IF(RESUMEN_9°!B20="","",IFERROR(RESUMEN_9°!F20,""))</f>
        <v/>
      </c>
      <c r="E113" s="119">
        <f>IF(RESUMEN_9°!B20="","",IFERROR(RESUMEN_9°!R20,""))</f>
        <v/>
      </c>
      <c r="F113" s="119">
        <f>IF(RESUMEN_9°!B20="","",IFERROR('Asistencia (9°)'!BI18+'Asistencia (9°)'!BI61+'Asistencia (9°)'!BI104,""))</f>
        <v/>
      </c>
      <c r="G113" s="119">
        <f>IF(AND(RESUMEN_9°!B20=""),"",IF(OR(IFERROR(RESUMEN_9°!F20,0)&lt;3,IFERROR(RESUMEN_9°!V20,0)&lt;3),"⚠ REVISAR","OK"))</f>
        <v/>
      </c>
    </row>
    <row r="114" ht="13.95" customHeight="1" s="176">
      <c r="A114" s="123" t="inlineStr">
        <is>
          <t>9°</t>
        </is>
      </c>
      <c r="B114" s="123">
        <f>IF(MAESTRO!F21="","",IFERROR(RESUMEN_9°!A21,""))</f>
        <v/>
      </c>
      <c r="C114" s="124">
        <f>IF(MAESTRO!F21="","",IFERROR(RESUMEN_9°!B21,""))</f>
        <v/>
      </c>
      <c r="D114" s="123">
        <f>IF(RESUMEN_9°!B21="","",IFERROR(RESUMEN_9°!F21,""))</f>
        <v/>
      </c>
      <c r="E114" s="123">
        <f>IF(RESUMEN_9°!B21="","",IFERROR(RESUMEN_9°!R21,""))</f>
        <v/>
      </c>
      <c r="F114" s="123">
        <f>IF(RESUMEN_9°!B21="","",IFERROR('Asistencia (9°)'!BI19+'Asistencia (9°)'!BI62+'Asistencia (9°)'!BI105,""))</f>
        <v/>
      </c>
      <c r="G114" s="123">
        <f>IF(AND(RESUMEN_9°!B21=""),"",IF(OR(IFERROR(RESUMEN_9°!F21,0)&lt;3,IFERROR(RESUMEN_9°!V21,0)&lt;3),"⚠ REVISAR","OK"))</f>
        <v/>
      </c>
    </row>
    <row r="115" ht="13.95" customHeight="1" s="176">
      <c r="A115" s="119" t="inlineStr">
        <is>
          <t>9°</t>
        </is>
      </c>
      <c r="B115" s="119">
        <f>IF(MAESTRO!F22="","",IFERROR(RESUMEN_9°!A22,""))</f>
        <v/>
      </c>
      <c r="C115" s="120">
        <f>IF(MAESTRO!F22="","",IFERROR(RESUMEN_9°!B22,""))</f>
        <v/>
      </c>
      <c r="D115" s="119">
        <f>IF(RESUMEN_9°!B22="","",IFERROR(RESUMEN_9°!F22,""))</f>
        <v/>
      </c>
      <c r="E115" s="119">
        <f>IF(RESUMEN_9°!B22="","",IFERROR(RESUMEN_9°!R22,""))</f>
        <v/>
      </c>
      <c r="F115" s="119">
        <f>IF(RESUMEN_9°!B22="","",IFERROR('Asistencia (9°)'!BI20+'Asistencia (9°)'!BI63+'Asistencia (9°)'!BI106,""))</f>
        <v/>
      </c>
      <c r="G115" s="119">
        <f>IF(AND(RESUMEN_9°!B22=""),"",IF(OR(IFERROR(RESUMEN_9°!F22,0)&lt;3,IFERROR(RESUMEN_9°!V22,0)&lt;3),"⚠ REVISAR","OK"))</f>
        <v/>
      </c>
    </row>
    <row r="116" ht="13.95" customHeight="1" s="176">
      <c r="A116" s="123" t="inlineStr">
        <is>
          <t>9°</t>
        </is>
      </c>
      <c r="B116" s="123">
        <f>IF(MAESTRO!F23="","",IFERROR(RESUMEN_9°!A23,""))</f>
        <v/>
      </c>
      <c r="C116" s="124">
        <f>IF(MAESTRO!F23="","",IFERROR(RESUMEN_9°!B23,""))</f>
        <v/>
      </c>
      <c r="D116" s="123">
        <f>IF(RESUMEN_9°!B23="","",IFERROR(RESUMEN_9°!F23,""))</f>
        <v/>
      </c>
      <c r="E116" s="123">
        <f>IF(RESUMEN_9°!B23="","",IFERROR(RESUMEN_9°!R23,""))</f>
        <v/>
      </c>
      <c r="F116" s="123">
        <f>IF(RESUMEN_9°!B23="","",IFERROR('Asistencia (9°)'!BI21+'Asistencia (9°)'!BI64+'Asistencia (9°)'!BI107,""))</f>
        <v/>
      </c>
      <c r="G116" s="123">
        <f>IF(AND(RESUMEN_9°!B23=""),"",IF(OR(IFERROR(RESUMEN_9°!F23,0)&lt;3,IFERROR(RESUMEN_9°!V23,0)&lt;3),"⚠ REVISAR","OK"))</f>
        <v/>
      </c>
    </row>
    <row r="117" ht="13.95" customHeight="1" s="176">
      <c r="A117" s="119" t="inlineStr">
        <is>
          <t>9°</t>
        </is>
      </c>
      <c r="B117" s="119">
        <f>IF(MAESTRO!F24="","",IFERROR(RESUMEN_9°!A24,""))</f>
        <v/>
      </c>
      <c r="C117" s="120">
        <f>IF(MAESTRO!F24="","",IFERROR(RESUMEN_9°!B24,""))</f>
        <v/>
      </c>
      <c r="D117" s="119">
        <f>IF(RESUMEN_9°!B24="","",IFERROR(RESUMEN_9°!F24,""))</f>
        <v/>
      </c>
      <c r="E117" s="119">
        <f>IF(RESUMEN_9°!B24="","",IFERROR(RESUMEN_9°!R24,""))</f>
        <v/>
      </c>
      <c r="F117" s="119">
        <f>IF(RESUMEN_9°!B24="","",IFERROR('Asistencia (9°)'!BI22+'Asistencia (9°)'!BI65+'Asistencia (9°)'!BI108,""))</f>
        <v/>
      </c>
      <c r="G117" s="119">
        <f>IF(AND(RESUMEN_9°!B24=""),"",IF(OR(IFERROR(RESUMEN_9°!F24,0)&lt;3,IFERROR(RESUMEN_9°!V24,0)&lt;3),"⚠ REVISAR","OK"))</f>
        <v/>
      </c>
    </row>
    <row r="118" ht="13.95" customHeight="1" s="176">
      <c r="A118" s="123" t="inlineStr">
        <is>
          <t>9°</t>
        </is>
      </c>
      <c r="B118" s="123">
        <f>IF(MAESTRO!F25="","",IFERROR(RESUMEN_9°!A25,""))</f>
        <v/>
      </c>
      <c r="C118" s="124">
        <f>IF(MAESTRO!F25="","",IFERROR(RESUMEN_9°!B25,""))</f>
        <v/>
      </c>
      <c r="D118" s="123">
        <f>IF(RESUMEN_9°!B25="","",IFERROR(RESUMEN_9°!F25,""))</f>
        <v/>
      </c>
      <c r="E118" s="123">
        <f>IF(RESUMEN_9°!B25="","",IFERROR(RESUMEN_9°!R25,""))</f>
        <v/>
      </c>
      <c r="F118" s="123">
        <f>IF(RESUMEN_9°!B25="","",IFERROR('Asistencia (9°)'!BI23+'Asistencia (9°)'!BI66+'Asistencia (9°)'!BI109,""))</f>
        <v/>
      </c>
      <c r="G118" s="123">
        <f>IF(AND(RESUMEN_9°!B25=""),"",IF(OR(IFERROR(RESUMEN_9°!F25,0)&lt;3,IFERROR(RESUMEN_9°!V25,0)&lt;3),"⚠ REVISAR","OK"))</f>
        <v/>
      </c>
    </row>
    <row r="119" ht="13.95" customHeight="1" s="176">
      <c r="A119" s="119" t="inlineStr">
        <is>
          <t>9°</t>
        </is>
      </c>
      <c r="B119" s="119">
        <f>IF(MAESTRO!F26="","",IFERROR(RESUMEN_9°!A26,""))</f>
        <v/>
      </c>
      <c r="C119" s="120">
        <f>IF(MAESTRO!F26="","",IFERROR(RESUMEN_9°!B26,""))</f>
        <v/>
      </c>
      <c r="D119" s="119">
        <f>IF(RESUMEN_9°!B26="","",IFERROR(RESUMEN_9°!F26,""))</f>
        <v/>
      </c>
      <c r="E119" s="119">
        <f>IF(RESUMEN_9°!B26="","",IFERROR(RESUMEN_9°!R26,""))</f>
        <v/>
      </c>
      <c r="F119" s="119">
        <f>IF(RESUMEN_9°!B26="","",IFERROR('Asistencia (9°)'!BI24+'Asistencia (9°)'!BI67+'Asistencia (9°)'!BI110,""))</f>
        <v/>
      </c>
      <c r="G119" s="119">
        <f>IF(AND(RESUMEN_9°!B26=""),"",IF(OR(IFERROR(RESUMEN_9°!F26,0)&lt;3,IFERROR(RESUMEN_9°!V26,0)&lt;3),"⚠ REVISAR","OK"))</f>
        <v/>
      </c>
    </row>
    <row r="120" ht="13.95" customHeight="1" s="176">
      <c r="A120" s="123" t="inlineStr">
        <is>
          <t>9°</t>
        </is>
      </c>
      <c r="B120" s="123">
        <f>IF(MAESTRO!F27="","",IFERROR(RESUMEN_9°!A27,""))</f>
        <v/>
      </c>
      <c r="C120" s="124">
        <f>IF(MAESTRO!F27="","",IFERROR(RESUMEN_9°!B27,""))</f>
        <v/>
      </c>
      <c r="D120" s="123">
        <f>IF(RESUMEN_9°!B27="","",IFERROR(RESUMEN_9°!F27,""))</f>
        <v/>
      </c>
      <c r="E120" s="123">
        <f>IF(RESUMEN_9°!B27="","",IFERROR(RESUMEN_9°!R27,""))</f>
        <v/>
      </c>
      <c r="F120" s="123">
        <f>IF(RESUMEN_9°!B27="","",IFERROR('Asistencia (9°)'!BI25+'Asistencia (9°)'!BI68+'Asistencia (9°)'!BI111,""))</f>
        <v/>
      </c>
      <c r="G120" s="123">
        <f>IF(AND(RESUMEN_9°!B27=""),"",IF(OR(IFERROR(RESUMEN_9°!F27,0)&lt;3,IFERROR(RESUMEN_9°!V27,0)&lt;3),"⚠ REVISAR","OK"))</f>
        <v/>
      </c>
    </row>
    <row r="121" ht="13.95" customHeight="1" s="176">
      <c r="A121" s="119" t="inlineStr">
        <is>
          <t>9°</t>
        </is>
      </c>
      <c r="B121" s="119">
        <f>IF(MAESTRO!F28="","",IFERROR(RESUMEN_9°!A28,""))</f>
        <v/>
      </c>
      <c r="C121" s="120">
        <f>IF(MAESTRO!F28="","",IFERROR(RESUMEN_9°!B28,""))</f>
        <v/>
      </c>
      <c r="D121" s="119">
        <f>IF(RESUMEN_9°!B28="","",IFERROR(RESUMEN_9°!F28,""))</f>
        <v/>
      </c>
      <c r="E121" s="119">
        <f>IF(RESUMEN_9°!B28="","",IFERROR(RESUMEN_9°!R28,""))</f>
        <v/>
      </c>
      <c r="F121" s="119">
        <f>IF(RESUMEN_9°!B28="","",IFERROR('Asistencia (9°)'!BI26+'Asistencia (9°)'!BI69+'Asistencia (9°)'!BI112,""))</f>
        <v/>
      </c>
      <c r="G121" s="119">
        <f>IF(AND(RESUMEN_9°!B28=""),"",IF(OR(IFERROR(RESUMEN_9°!F28,0)&lt;3,IFERROR(RESUMEN_9°!V28,0)&lt;3),"⚠ REVISAR","OK"))</f>
        <v/>
      </c>
    </row>
    <row r="122" ht="13.95" customHeight="1" s="176">
      <c r="A122" s="123" t="inlineStr">
        <is>
          <t>9°</t>
        </is>
      </c>
      <c r="B122" s="123">
        <f>IF(MAESTRO!F29="","",IFERROR(RESUMEN_9°!A29,""))</f>
        <v/>
      </c>
      <c r="C122" s="124">
        <f>IF(MAESTRO!F29="","",IFERROR(RESUMEN_9°!B29,""))</f>
        <v/>
      </c>
      <c r="D122" s="123">
        <f>IF(RESUMEN_9°!B29="","",IFERROR(RESUMEN_9°!F29,""))</f>
        <v/>
      </c>
      <c r="E122" s="123">
        <f>IF(RESUMEN_9°!B29="","",IFERROR(RESUMEN_9°!R29,""))</f>
        <v/>
      </c>
      <c r="F122" s="123">
        <f>IF(RESUMEN_9°!B29="","",IFERROR('Asistencia (9°)'!BI27+'Asistencia (9°)'!BI70+'Asistencia (9°)'!BI113,""))</f>
        <v/>
      </c>
      <c r="G122" s="123">
        <f>IF(AND(RESUMEN_9°!B29=""),"",IF(OR(IFERROR(RESUMEN_9°!F29,0)&lt;3,IFERROR(RESUMEN_9°!V29,0)&lt;3),"⚠ REVISAR","OK"))</f>
        <v/>
      </c>
    </row>
    <row r="123" ht="13.95" customHeight="1" s="176">
      <c r="A123" s="119" t="inlineStr">
        <is>
          <t>9°</t>
        </is>
      </c>
      <c r="B123" s="119">
        <f>IF(MAESTRO!F30="","",IFERROR(RESUMEN_9°!A30,""))</f>
        <v/>
      </c>
      <c r="C123" s="120">
        <f>IF(MAESTRO!F30="","",IFERROR(RESUMEN_9°!B30,""))</f>
        <v/>
      </c>
      <c r="D123" s="119">
        <f>IF(RESUMEN_9°!B30="","",IFERROR(RESUMEN_9°!F30,""))</f>
        <v/>
      </c>
      <c r="E123" s="119">
        <f>IF(RESUMEN_9°!B30="","",IFERROR(RESUMEN_9°!R30,""))</f>
        <v/>
      </c>
      <c r="F123" s="119">
        <f>IF(RESUMEN_9°!B30="","",IFERROR('Asistencia (9°)'!BI28+'Asistencia (9°)'!BI71+'Asistencia (9°)'!BI114,""))</f>
        <v/>
      </c>
      <c r="G123" s="119">
        <f>IF(AND(RESUMEN_9°!B30=""),"",IF(OR(IFERROR(RESUMEN_9°!F30,0)&lt;3,IFERROR(RESUMEN_9°!V30,0)&lt;3),"⚠ REVISAR","OK"))</f>
        <v/>
      </c>
    </row>
    <row r="124" ht="13.95" customHeight="1" s="176">
      <c r="A124" s="123" t="inlineStr">
        <is>
          <t>9°</t>
        </is>
      </c>
      <c r="B124" s="123">
        <f>IF(MAESTRO!F31="","",IFERROR(RESUMEN_9°!A31,""))</f>
        <v/>
      </c>
      <c r="C124" s="124">
        <f>IF(MAESTRO!F31="","",IFERROR(RESUMEN_9°!B31,""))</f>
        <v/>
      </c>
      <c r="D124" s="123">
        <f>IF(RESUMEN_9°!B31="","",IFERROR(RESUMEN_9°!F31,""))</f>
        <v/>
      </c>
      <c r="E124" s="123">
        <f>IF(RESUMEN_9°!B31="","",IFERROR(RESUMEN_9°!R31,""))</f>
        <v/>
      </c>
      <c r="F124" s="123">
        <f>IF(RESUMEN_9°!B31="","",IFERROR('Asistencia (9°)'!BI29+'Asistencia (9°)'!BI72+'Asistencia (9°)'!BI115,""))</f>
        <v/>
      </c>
      <c r="G124" s="123">
        <f>IF(AND(RESUMEN_9°!B31=""),"",IF(OR(IFERROR(RESUMEN_9°!F31,0)&lt;3,IFERROR(RESUMEN_9°!V31,0)&lt;3),"⚠ REVISAR","OK"))</f>
        <v/>
      </c>
    </row>
    <row r="125" ht="13.95" customHeight="1" s="176">
      <c r="A125" s="119" t="inlineStr">
        <is>
          <t>9°</t>
        </is>
      </c>
      <c r="B125" s="119">
        <f>IF(MAESTRO!F32="","",IFERROR(RESUMEN_9°!A32,""))</f>
        <v/>
      </c>
      <c r="C125" s="120">
        <f>IF(MAESTRO!F32="","",IFERROR(RESUMEN_9°!B32,""))</f>
        <v/>
      </c>
      <c r="D125" s="119">
        <f>IF(RESUMEN_9°!B32="","",IFERROR(RESUMEN_9°!F32,""))</f>
        <v/>
      </c>
      <c r="E125" s="119">
        <f>IF(RESUMEN_9°!B32="","",IFERROR(RESUMEN_9°!R32,""))</f>
        <v/>
      </c>
      <c r="F125" s="119">
        <f>IF(RESUMEN_9°!B32="","",IFERROR('Asistencia (9°)'!BI30+'Asistencia (9°)'!BI73+'Asistencia (9°)'!BI116,""))</f>
        <v/>
      </c>
      <c r="G125" s="119">
        <f>IF(AND(RESUMEN_9°!B32=""),"",IF(OR(IFERROR(RESUMEN_9°!F32,0)&lt;3,IFERROR(RESUMEN_9°!V32,0)&lt;3),"⚠ REVISAR","OK"))</f>
        <v/>
      </c>
    </row>
    <row r="126" ht="13.95" customHeight="1" s="176">
      <c r="A126" s="123" t="inlineStr">
        <is>
          <t>9°</t>
        </is>
      </c>
      <c r="B126" s="123">
        <f>IF(MAESTRO!F33="","",IFERROR(RESUMEN_9°!A33,""))</f>
        <v/>
      </c>
      <c r="C126" s="124">
        <f>IF(MAESTRO!F33="","",IFERROR(RESUMEN_9°!B33,""))</f>
        <v/>
      </c>
      <c r="D126" s="123">
        <f>IF(RESUMEN_9°!B33="","",IFERROR(RESUMEN_9°!F33,""))</f>
        <v/>
      </c>
      <c r="E126" s="123">
        <f>IF(RESUMEN_9°!B33="","",IFERROR(RESUMEN_9°!R33,""))</f>
        <v/>
      </c>
      <c r="F126" s="123">
        <f>IF(RESUMEN_9°!B33="","",IFERROR('Asistencia (9°)'!BI31+'Asistencia (9°)'!BI74+'Asistencia (9°)'!BI117,""))</f>
        <v/>
      </c>
      <c r="G126" s="123">
        <f>IF(AND(RESUMEN_9°!B33=""),"",IF(OR(IFERROR(RESUMEN_9°!F33,0)&lt;3,IFERROR(RESUMEN_9°!V33,0)&lt;3),"⚠ REVISAR","OK"))</f>
        <v/>
      </c>
    </row>
    <row r="127" ht="13.95" customHeight="1" s="176">
      <c r="A127" s="119" t="inlineStr">
        <is>
          <t>9°</t>
        </is>
      </c>
      <c r="B127" s="119">
        <f>IF(MAESTRO!F34="","",IFERROR(RESUMEN_9°!A34,""))</f>
        <v/>
      </c>
      <c r="C127" s="120">
        <f>IF(MAESTRO!F34="","",IFERROR(RESUMEN_9°!B34,""))</f>
        <v/>
      </c>
      <c r="D127" s="119">
        <f>IF(RESUMEN_9°!B34="","",IFERROR(RESUMEN_9°!F34,""))</f>
        <v/>
      </c>
      <c r="E127" s="119">
        <f>IF(RESUMEN_9°!B34="","",IFERROR(RESUMEN_9°!R34,""))</f>
        <v/>
      </c>
      <c r="F127" s="119">
        <f>IF(RESUMEN_9°!B34="","",IFERROR('Asistencia (9°)'!BI32+'Asistencia (9°)'!BI75+'Asistencia (9°)'!BI118,""))</f>
        <v/>
      </c>
      <c r="G127" s="119">
        <f>IF(AND(RESUMEN_9°!B34=""),"",IF(OR(IFERROR(RESUMEN_9°!F34,0)&lt;3,IFERROR(RESUMEN_9°!V34,0)&lt;3),"⚠ REVISAR","OK"))</f>
        <v/>
      </c>
    </row>
    <row r="128" ht="13.95" customHeight="1" s="176">
      <c r="A128" s="123" t="inlineStr">
        <is>
          <t>9°</t>
        </is>
      </c>
      <c r="B128" s="123">
        <f>IF(MAESTRO!F35="","",IFERROR(RESUMEN_9°!A35,""))</f>
        <v/>
      </c>
      <c r="C128" s="124">
        <f>IF(MAESTRO!F35="","",IFERROR(RESUMEN_9°!B35,""))</f>
        <v/>
      </c>
      <c r="D128" s="123">
        <f>IF(RESUMEN_9°!B35="","",IFERROR(RESUMEN_9°!F35,""))</f>
        <v/>
      </c>
      <c r="E128" s="123">
        <f>IF(RESUMEN_9°!B35="","",IFERROR(RESUMEN_9°!R35,""))</f>
        <v/>
      </c>
      <c r="F128" s="123">
        <f>IF(RESUMEN_9°!B35="","",IFERROR('Asistencia (9°)'!BI33+'Asistencia (9°)'!BI76+'Asistencia (9°)'!BI119,""))</f>
        <v/>
      </c>
      <c r="G128" s="123">
        <f>IF(AND(RESUMEN_9°!B35=""),"",IF(OR(IFERROR(RESUMEN_9°!F35,0)&lt;3,IFERROR(RESUMEN_9°!V35,0)&lt;3),"⚠ REVISAR","OK"))</f>
        <v/>
      </c>
    </row>
    <row r="129" ht="13.95" customHeight="1" s="176">
      <c r="A129" s="119" t="inlineStr">
        <is>
          <t>9°</t>
        </is>
      </c>
      <c r="B129" s="119">
        <f>IF(MAESTRO!F36="","",IFERROR(RESUMEN_9°!A36,""))</f>
        <v/>
      </c>
      <c r="C129" s="120">
        <f>IF(MAESTRO!F36="","",IFERROR(RESUMEN_9°!B36,""))</f>
        <v/>
      </c>
      <c r="D129" s="119">
        <f>IF(RESUMEN_9°!B36="","",IFERROR(RESUMEN_9°!F36,""))</f>
        <v/>
      </c>
      <c r="E129" s="119">
        <f>IF(RESUMEN_9°!B36="","",IFERROR(RESUMEN_9°!R36,""))</f>
        <v/>
      </c>
      <c r="F129" s="119">
        <f>IF(RESUMEN_9°!B36="","",IFERROR('Asistencia (9°)'!BI34+'Asistencia (9°)'!BI77+'Asistencia (9°)'!BI120,""))</f>
        <v/>
      </c>
      <c r="G129" s="119">
        <f>IF(AND(RESUMEN_9°!B36=""),"",IF(OR(IFERROR(RESUMEN_9°!F36,0)&lt;3,IFERROR(RESUMEN_9°!V36,0)&lt;3),"⚠ REVISAR","OK"))</f>
        <v/>
      </c>
    </row>
    <row r="130" ht="13.95" customHeight="1" s="176">
      <c r="A130" s="123" t="inlineStr">
        <is>
          <t>9°</t>
        </is>
      </c>
      <c r="B130" s="123">
        <f>IF(MAESTRO!F37="","",IFERROR(RESUMEN_9°!A37,""))</f>
        <v/>
      </c>
      <c r="C130" s="124">
        <f>IF(MAESTRO!F37="","",IFERROR(RESUMEN_9°!B37,""))</f>
        <v/>
      </c>
      <c r="D130" s="123">
        <f>IF(RESUMEN_9°!B37="","",IFERROR(RESUMEN_9°!F37,""))</f>
        <v/>
      </c>
      <c r="E130" s="123">
        <f>IF(RESUMEN_9°!B37="","",IFERROR(RESUMEN_9°!R37,""))</f>
        <v/>
      </c>
      <c r="F130" s="123">
        <f>IF(RESUMEN_9°!B37="","",IFERROR('Asistencia (9°)'!BI35+'Asistencia (9°)'!BI78+'Asistencia (9°)'!BI121,""))</f>
        <v/>
      </c>
      <c r="G130" s="123">
        <f>IF(AND(RESUMEN_9°!B37=""),"",IF(OR(IFERROR(RESUMEN_9°!F37,0)&lt;3,IFERROR(RESUMEN_9°!V37,0)&lt;3),"⚠ REVISAR","OK"))</f>
        <v/>
      </c>
    </row>
    <row r="131" ht="13.95" customHeight="1" s="176">
      <c r="A131" s="119" t="inlineStr">
        <is>
          <t>9°</t>
        </is>
      </c>
      <c r="B131" s="119">
        <f>IF(MAESTRO!F38="","",IFERROR(RESUMEN_9°!A38,""))</f>
        <v/>
      </c>
      <c r="C131" s="120">
        <f>IF(MAESTRO!F38="","",IFERROR(RESUMEN_9°!B38,""))</f>
        <v/>
      </c>
      <c r="D131" s="119">
        <f>IF(RESUMEN_9°!B38="","",IFERROR(RESUMEN_9°!F38,""))</f>
        <v/>
      </c>
      <c r="E131" s="119">
        <f>IF(RESUMEN_9°!B38="","",IFERROR(RESUMEN_9°!R38,""))</f>
        <v/>
      </c>
      <c r="F131" s="119">
        <f>IF(RESUMEN_9°!B38="","",IFERROR('Asistencia (9°)'!BI36+'Asistencia (9°)'!BI79+'Asistencia (9°)'!BI122,""))</f>
        <v/>
      </c>
      <c r="G131" s="119">
        <f>IF(AND(RESUMEN_9°!B38=""),"",IF(OR(IFERROR(RESUMEN_9°!F38,0)&lt;3,IFERROR(RESUMEN_9°!V38,0)&lt;3),"⚠ REVISAR","OK"))</f>
        <v/>
      </c>
    </row>
    <row r="132" ht="13.95" customHeight="1" s="176">
      <c r="A132" s="123" t="inlineStr">
        <is>
          <t>9°</t>
        </is>
      </c>
      <c r="B132" s="123">
        <f>IF(MAESTRO!F39="","",IFERROR(RESUMEN_9°!A39,""))</f>
        <v/>
      </c>
      <c r="C132" s="124">
        <f>IF(MAESTRO!F39="","",IFERROR(RESUMEN_9°!B39,""))</f>
        <v/>
      </c>
      <c r="D132" s="123">
        <f>IF(RESUMEN_9°!B39="","",IFERROR(RESUMEN_9°!F39,""))</f>
        <v/>
      </c>
      <c r="E132" s="123">
        <f>IF(RESUMEN_9°!B39="","",IFERROR(RESUMEN_9°!R39,""))</f>
        <v/>
      </c>
      <c r="F132" s="123">
        <f>IF(RESUMEN_9°!B39="","",IFERROR('Asistencia (9°)'!BI37+'Asistencia (9°)'!BI80+'Asistencia (9°)'!BI123,""))</f>
        <v/>
      </c>
      <c r="G132" s="123">
        <f>IF(AND(RESUMEN_9°!B39=""),"",IF(OR(IFERROR(RESUMEN_9°!F39,0)&lt;3,IFERROR(RESUMEN_9°!V39,0)&lt;3),"⚠ REVISAR","OK"))</f>
        <v/>
      </c>
    </row>
    <row r="133" ht="13.95" customHeight="1" s="176">
      <c r="A133" s="119" t="inlineStr">
        <is>
          <t>9°</t>
        </is>
      </c>
      <c r="B133" s="119">
        <f>IF(MAESTRO!F40="","",IFERROR(RESUMEN_9°!A40,""))</f>
        <v/>
      </c>
      <c r="C133" s="120">
        <f>IF(MAESTRO!F40="","",IFERROR(RESUMEN_9°!B40,""))</f>
        <v/>
      </c>
      <c r="D133" s="119">
        <f>IF(RESUMEN_9°!B40="","",IFERROR(RESUMEN_9°!F40,""))</f>
        <v/>
      </c>
      <c r="E133" s="119">
        <f>IF(RESUMEN_9°!B40="","",IFERROR(RESUMEN_9°!R40,""))</f>
        <v/>
      </c>
      <c r="F133" s="119">
        <f>IF(RESUMEN_9°!B40="","",IFERROR('Asistencia (9°)'!BI38+'Asistencia (9°)'!BI81+'Asistencia (9°)'!BI124,""))</f>
        <v/>
      </c>
      <c r="G133" s="119">
        <f>IF(AND(RESUMEN_9°!B40=""),"",IF(OR(IFERROR(RESUMEN_9°!F40,0)&lt;3,IFERROR(RESUMEN_9°!V40,0)&lt;3),"⚠ REVISAR","OK"))</f>
        <v/>
      </c>
    </row>
    <row r="134" ht="13.95" customHeight="1" s="176">
      <c r="A134" s="123" t="inlineStr">
        <is>
          <t>9°</t>
        </is>
      </c>
      <c r="B134" s="123">
        <f>IF(MAESTRO!F41="","",IFERROR(RESUMEN_9°!A41,""))</f>
        <v/>
      </c>
      <c r="C134" s="124">
        <f>IF(MAESTRO!F41="","",IFERROR(RESUMEN_9°!B41,""))</f>
        <v/>
      </c>
      <c r="D134" s="123">
        <f>IF(RESUMEN_9°!B41="","",IFERROR(RESUMEN_9°!F41,""))</f>
        <v/>
      </c>
      <c r="E134" s="123">
        <f>IF(RESUMEN_9°!B41="","",IFERROR(RESUMEN_9°!R41,""))</f>
        <v/>
      </c>
      <c r="F134" s="123">
        <f>IF(RESUMEN_9°!B41="","",IFERROR('Asistencia (9°)'!BI39+'Asistencia (9°)'!BI82+'Asistencia (9°)'!BI125,""))</f>
        <v/>
      </c>
      <c r="G134" s="123">
        <f>IF(AND(RESUMEN_9°!B41=""),"",IF(OR(IFERROR(RESUMEN_9°!F41,0)&lt;3,IFERROR(RESUMEN_9°!V41,0)&lt;3),"⚠ REVISAR","OK"))</f>
        <v/>
      </c>
    </row>
    <row r="135" ht="13.95" customHeight="1" s="176">
      <c r="A135" s="119" t="inlineStr">
        <is>
          <t>9°</t>
        </is>
      </c>
      <c r="B135" s="119">
        <f>IF(MAESTRO!F42="","",IFERROR(RESUMEN_9°!A42,""))</f>
        <v/>
      </c>
      <c r="C135" s="120">
        <f>IF(MAESTRO!F42="","",IFERROR(RESUMEN_9°!B42,""))</f>
        <v/>
      </c>
      <c r="D135" s="119">
        <f>IF(RESUMEN_9°!B42="","",IFERROR(RESUMEN_9°!F42,""))</f>
        <v/>
      </c>
      <c r="E135" s="119">
        <f>IF(RESUMEN_9°!B42="","",IFERROR(RESUMEN_9°!R42,""))</f>
        <v/>
      </c>
      <c r="F135" s="119">
        <f>IF(RESUMEN_9°!B42="","",IFERROR('Asistencia (9°)'!BI40+'Asistencia (9°)'!BI83+'Asistencia (9°)'!BI126,""))</f>
        <v/>
      </c>
      <c r="G135" s="119">
        <f>IF(AND(RESUMEN_9°!B42=""),"",IF(OR(IFERROR(RESUMEN_9°!F42,0)&lt;3,IFERROR(RESUMEN_9°!V42,0)&lt;3),"⚠ REVISAR","OK"))</f>
        <v/>
      </c>
    </row>
    <row r="136" ht="13.95" customHeight="1" s="176">
      <c r="A136" s="123" t="inlineStr">
        <is>
          <t>9°</t>
        </is>
      </c>
      <c r="B136" s="123">
        <f>IF(MAESTRO!F43="","",IFERROR(RESUMEN_9°!A43,""))</f>
        <v/>
      </c>
      <c r="C136" s="124">
        <f>IF(MAESTRO!F43="","",IFERROR(RESUMEN_9°!B43,""))</f>
        <v/>
      </c>
      <c r="D136" s="123">
        <f>IF(RESUMEN_9°!B43="","",IFERROR(RESUMEN_9°!F43,""))</f>
        <v/>
      </c>
      <c r="E136" s="123">
        <f>IF(RESUMEN_9°!B43="","",IFERROR(RESUMEN_9°!R43,""))</f>
        <v/>
      </c>
      <c r="F136" s="123">
        <f>IF(RESUMEN_9°!B43="","",IFERROR('Asistencia (9°)'!BI41+'Asistencia (9°)'!BI84+'Asistencia (9°)'!BI127,""))</f>
        <v/>
      </c>
      <c r="G136" s="123">
        <f>IF(AND(RESUMEN_9°!B43=""),"",IF(OR(IFERROR(RESUMEN_9°!F43,0)&lt;3,IFERROR(RESUMEN_9°!V43,0)&lt;3),"⚠ REVISAR","OK"))</f>
        <v/>
      </c>
    </row>
    <row r="137" ht="13.95" customHeight="1" s="176">
      <c r="A137" s="119" t="inlineStr">
        <is>
          <t>9°</t>
        </is>
      </c>
      <c r="B137" s="119">
        <f>IF(MAESTRO!F44="","",IFERROR(RESUMEN_9°!A44,""))</f>
        <v/>
      </c>
      <c r="C137" s="120">
        <f>IF(MAESTRO!F44="","",IFERROR(RESUMEN_9°!B44,""))</f>
        <v/>
      </c>
      <c r="D137" s="119">
        <f>IF(RESUMEN_9°!B44="","",IFERROR(RESUMEN_9°!F44,""))</f>
        <v/>
      </c>
      <c r="E137" s="119">
        <f>IF(RESUMEN_9°!B44="","",IFERROR(RESUMEN_9°!R44,""))</f>
        <v/>
      </c>
      <c r="F137" s="119">
        <f>IF(RESUMEN_9°!B44="","",IFERROR('Asistencia (9°)'!BI42+'Asistencia (9°)'!BI85+'Asistencia (9°)'!BI128,""))</f>
        <v/>
      </c>
      <c r="G137" s="119">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76" min="1" max="1"/>
    <col width="6.77734375" customWidth="1" style="176" min="2" max="2"/>
    <col width="34.77734375" customWidth="1" style="176" min="3" max="3"/>
    <col width="14.77734375" customWidth="1" style="176" min="4" max="6"/>
    <col width="22.77734375" customWidth="1" style="176" min="8" max="8"/>
    <col width="32.77734375" customWidth="1" style="176" min="9" max="9"/>
    <col width="12.77734375" customWidth="1" style="176" min="10" max="10"/>
    <col width="15.77734375" customWidth="1" style="176" min="12" max="14"/>
  </cols>
  <sheetData>
    <row r="1" ht="28.8" customHeight="1" s="176">
      <c r="A1" s="248" t="inlineStr">
        <is>
          <t>GRAFICOS Y ALERTAS DE RENDIMIENTO</t>
        </is>
      </c>
    </row>
    <row r="2">
      <c r="A2" s="153" t="n"/>
      <c r="B2" s="153" t="n"/>
      <c r="C2" s="153" t="n"/>
      <c r="D2" s="153" t="n"/>
      <c r="E2" s="153" t="n"/>
      <c r="F2" s="153" t="n"/>
      <c r="G2" s="153" t="n"/>
      <c r="H2" s="153" t="n"/>
      <c r="I2" s="153" t="n"/>
      <c r="J2" s="153" t="n"/>
      <c r="K2" s="153" t="n"/>
      <c r="L2" s="153" t="n"/>
      <c r="M2" s="153" t="n"/>
      <c r="N2" s="153" t="n"/>
      <c r="O2" s="153" t="n"/>
      <c r="P2" s="153" t="n"/>
      <c r="Q2" s="153" t="n"/>
    </row>
    <row r="3">
      <c r="A3" s="153" t="n"/>
      <c r="B3" s="153" t="n"/>
      <c r="C3" s="153" t="n"/>
      <c r="D3" s="153" t="n"/>
      <c r="E3" s="153" t="n"/>
      <c r="F3" s="153" t="n"/>
      <c r="G3" s="153" t="n"/>
      <c r="H3" s="153" t="n"/>
      <c r="I3" s="153" t="n"/>
      <c r="J3" s="153" t="n"/>
      <c r="K3" s="153" t="n"/>
      <c r="L3" s="153" t="n"/>
      <c r="M3" s="153" t="n"/>
      <c r="N3" s="153" t="n"/>
      <c r="O3" s="153" t="n"/>
      <c r="P3" s="153" t="n"/>
      <c r="Q3" s="153" t="n"/>
    </row>
    <row r="4">
      <c r="A4" s="167" t="n"/>
      <c r="B4" s="167" t="n"/>
      <c r="C4" s="167" t="n"/>
      <c r="D4" s="167" t="n"/>
      <c r="E4" s="167" t="n"/>
      <c r="F4" s="167" t="n"/>
      <c r="G4" s="167" t="n"/>
      <c r="H4" s="167" t="n"/>
      <c r="I4" s="167" t="n"/>
      <c r="J4" s="167" t="n"/>
      <c r="K4" s="167" t="n"/>
      <c r="L4" s="167" t="n"/>
      <c r="M4" s="167" t="n"/>
      <c r="N4" s="167" t="n"/>
      <c r="O4" s="167" t="n"/>
      <c r="P4" s="167" t="n"/>
      <c r="Q4" s="167" t="n"/>
    </row>
    <row r="5">
      <c r="A5" s="168" t="inlineStr">
        <is>
          <t>Grado</t>
        </is>
      </c>
      <c r="B5" s="168" t="inlineStr">
        <is>
          <t>No</t>
        </is>
      </c>
      <c r="C5" s="168" t="inlineStr">
        <is>
          <t>Estudiante</t>
        </is>
      </c>
      <c r="D5" s="168" t="inlineStr">
        <is>
          <t>Ausencias</t>
        </is>
      </c>
      <c r="E5" s="168" t="inlineStr">
        <is>
          <t>NotaFinal</t>
        </is>
      </c>
      <c r="F5" s="168" t="inlineStr">
        <is>
          <t>TareasVacias</t>
        </is>
      </c>
      <c r="G5" s="167" t="n"/>
      <c r="H5" s="169" t="inlineStr">
        <is>
          <t>Indicador</t>
        </is>
      </c>
      <c r="I5" s="169" t="inlineStr">
        <is>
          <t>Estudiante</t>
        </is>
      </c>
      <c r="J5" s="169" t="inlineStr">
        <is>
          <t>Valor</t>
        </is>
      </c>
      <c r="K5" s="167" t="n"/>
      <c r="L5" s="170" t="inlineStr">
        <is>
          <t>Grado</t>
        </is>
      </c>
      <c r="M5" s="170" t="inlineStr">
        <is>
          <t>Ausencias</t>
        </is>
      </c>
      <c r="N5" s="170" t="inlineStr">
        <is>
          <t>RiesgoAcademico</t>
        </is>
      </c>
      <c r="O5" s="167" t="n"/>
      <c r="P5" s="167" t="n"/>
      <c r="Q5" s="167" t="n"/>
    </row>
    <row r="6">
      <c r="A6" s="167" t="inlineStr">
        <is>
          <t>7°</t>
        </is>
      </c>
      <c r="B6" s="167" t="n">
        <v>1</v>
      </c>
      <c r="C6" s="167">
        <f>IF(MAESTRO!B5="","",IFERROR(MAESTRO!B5,""))</f>
        <v/>
      </c>
      <c r="D6" s="167">
        <f>IF(MAESTRO!B5="","",IFERROR(COUNTIF('Asistencia (7°)'!C3:BH3,"-")+COUNTIF('Asistencia (7°)'!C46:BH46,"-")+COUNTIF('Asistencia (7°)'!C89:BH89,"-"),""))</f>
        <v/>
      </c>
      <c r="E6" s="167">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7">
        <f>IF(MAESTRO!B5="","",IFERROR(COUNTBLANK('PROM (Ingles 7°)'!C5:O5),""))</f>
        <v/>
      </c>
      <c r="G6" s="167" t="n"/>
      <c r="H6" s="167" t="inlineStr">
        <is>
          <t>Mas inasistencia</t>
        </is>
      </c>
      <c r="I6" s="167">
        <f>IFERROR(INDEX(C6:C125,MATCH(MAX(D6:D125),D6:D125,0)),"")</f>
        <v/>
      </c>
      <c r="J6" s="167">
        <f>IFERROR(MAX(D6:D125),"")</f>
        <v/>
      </c>
      <c r="K6" s="167" t="n"/>
      <c r="L6" s="167" t="inlineStr">
        <is>
          <t>7°</t>
        </is>
      </c>
      <c r="M6" s="167">
        <f>IFERROR(SUMIFS(D6:D125,A6:A125,"7°"),"")</f>
        <v/>
      </c>
      <c r="N6" s="167">
        <f>IFERROR(COUNTIFS(A6:A125,"7°",E6:E125,"&lt;3",E6:E125,"&gt;0"),"")</f>
        <v/>
      </c>
      <c r="O6" s="167" t="n"/>
      <c r="P6" s="167" t="n"/>
      <c r="Q6" s="167" t="n"/>
    </row>
    <row r="7">
      <c r="A7" s="167" t="inlineStr">
        <is>
          <t>7°</t>
        </is>
      </c>
      <c r="B7" s="167" t="n">
        <v>2</v>
      </c>
      <c r="C7" s="167">
        <f>IF(MAESTRO!B6="","",IFERROR(MAESTRO!B6,""))</f>
        <v/>
      </c>
      <c r="D7" s="167">
        <f>IF(MAESTRO!B6="","",IFERROR(COUNTIF('Asistencia (7°)'!C4:BH4,"-")+COUNTIF('Asistencia (7°)'!C47:BH47,"-")+COUNTIF('Asistencia (7°)'!C90:BH90,"-"),""))</f>
        <v/>
      </c>
      <c r="E7" s="167">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7">
        <f>IF(MAESTRO!B6="","",IFERROR(COUNTBLANK('PROM (Ingles 7°)'!C6:O6),""))</f>
        <v/>
      </c>
      <c r="G7" s="167" t="n"/>
      <c r="H7" s="167" t="inlineStr">
        <is>
          <t>Nota mas baja</t>
        </is>
      </c>
      <c r="I7" s="167">
        <f>IFERROR(INDEX(C6:C125,MATCH(MINIFS(E6:E125,E6:E125,"&gt;0"),E6:E125,0)),"")</f>
        <v/>
      </c>
      <c r="J7" s="167">
        <f>IFERROR(MINIFS(E6:E125,E6:E125,"&gt;0"),"")</f>
        <v/>
      </c>
      <c r="K7" s="167" t="n"/>
      <c r="L7" s="167" t="inlineStr">
        <is>
          <t>8°</t>
        </is>
      </c>
      <c r="M7" s="167">
        <f>IFERROR(SUMIFS(D6:D125,A6:A125,"8°"),"")</f>
        <v/>
      </c>
      <c r="N7" s="167">
        <f>IFERROR(COUNTIFS(A6:A125,"8°",E6:E125,"&lt;3",E6:E125,"&gt;0"),"")</f>
        <v/>
      </c>
      <c r="O7" s="167" t="n"/>
      <c r="P7" s="167" t="n"/>
      <c r="Q7" s="167" t="n"/>
    </row>
    <row r="8">
      <c r="A8" s="167" t="inlineStr">
        <is>
          <t>7°</t>
        </is>
      </c>
      <c r="B8" s="167" t="n">
        <v>3</v>
      </c>
      <c r="C8" s="167">
        <f>IF(MAESTRO!B7="","",IFERROR(MAESTRO!B7,""))</f>
        <v/>
      </c>
      <c r="D8" s="167">
        <f>IF(MAESTRO!B7="","",IFERROR(COUNTIF('Asistencia (7°)'!C5:BH5,"-")+COUNTIF('Asistencia (7°)'!C48:BH48,"-")+COUNTIF('Asistencia (7°)'!C91:BH91,"-"),""))</f>
        <v/>
      </c>
      <c r="E8" s="167">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7">
        <f>IF(MAESTRO!B7="","",IFERROR(COUNTBLANK('PROM (Ingles 7°)'!C7:O7),""))</f>
        <v/>
      </c>
      <c r="G8" s="167" t="n"/>
      <c r="H8" s="167" t="inlineStr">
        <is>
          <t>No entrega tareas</t>
        </is>
      </c>
      <c r="I8" s="167">
        <f>IFERROR(INDEX(C6:C125,MATCH(MAX(F6:F125),F6:F125,0)),"")</f>
        <v/>
      </c>
      <c r="J8" s="167">
        <f>IFERROR(MAX(F6:F125),"")</f>
        <v/>
      </c>
      <c r="K8" s="167" t="n"/>
      <c r="L8" s="167" t="inlineStr">
        <is>
          <t>9°</t>
        </is>
      </c>
      <c r="M8" s="167">
        <f>IFERROR(SUMIFS(D6:D125,A6:A125,"9°"),"")</f>
        <v/>
      </c>
      <c r="N8" s="167">
        <f>IFERROR(COUNTIFS(A6:A125,"9°",E6:E125,"&lt;3",E6:E125,"&gt;0"),"")</f>
        <v/>
      </c>
      <c r="O8" s="167" t="n"/>
      <c r="P8" s="167" t="n"/>
      <c r="Q8" s="167" t="n"/>
    </row>
    <row r="9">
      <c r="A9" s="167" t="inlineStr">
        <is>
          <t>7°</t>
        </is>
      </c>
      <c r="B9" s="167" t="n">
        <v>4</v>
      </c>
      <c r="C9" s="167">
        <f>IF(MAESTRO!B8="","",IFERROR(MAESTRO!B8,""))</f>
        <v/>
      </c>
      <c r="D9" s="167">
        <f>IF(MAESTRO!B8="","",IFERROR(COUNTIF('Asistencia (7°)'!C6:BH6,"-")+COUNTIF('Asistencia (7°)'!C49:BH49,"-")+COUNTIF('Asistencia (7°)'!C92:BH92,"-"),""))</f>
        <v/>
      </c>
      <c r="E9" s="167">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7">
        <f>IF(MAESTRO!B8="","",IFERROR(COUNTBLANK('PROM (Ingles 7°)'!C8:O8),""))</f>
        <v/>
      </c>
      <c r="G9" s="167" t="n"/>
      <c r="H9" s="167" t="inlineStr">
        <is>
          <t>Mejor estudiante</t>
        </is>
      </c>
      <c r="I9" s="167">
        <f>IFERROR(INDEX(C6:C125,MATCH(MAX(E6:E125),E6:E125,0)),"")</f>
        <v/>
      </c>
      <c r="J9" s="167">
        <f>IFERROR(MAX(E6:E125),"")</f>
        <v/>
      </c>
      <c r="K9" s="167" t="n"/>
      <c r="L9" s="167" t="n"/>
      <c r="M9" s="167" t="n"/>
      <c r="N9" s="167" t="n"/>
      <c r="O9" s="167" t="n"/>
      <c r="P9" s="167" t="n"/>
      <c r="Q9" s="167" t="n"/>
    </row>
    <row r="10">
      <c r="A10" s="167" t="inlineStr">
        <is>
          <t>7°</t>
        </is>
      </c>
      <c r="B10" s="167" t="n">
        <v>5</v>
      </c>
      <c r="C10" s="167">
        <f>IF(MAESTRO!B9="","",IFERROR(MAESTRO!B9,""))</f>
        <v/>
      </c>
      <c r="D10" s="167">
        <f>IF(MAESTRO!B9="","",IFERROR(COUNTIF('Asistencia (7°)'!C7:BH7,"-")+COUNTIF('Asistencia (7°)'!C50:BH50,"-")+COUNTIF('Asistencia (7°)'!C93:BH93,"-"),""))</f>
        <v/>
      </c>
      <c r="E10" s="167">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7">
        <f>IF(MAESTRO!B9="","",IFERROR(COUNTBLANK('PROM (Ingles 7°)'!C9:O9),""))</f>
        <v/>
      </c>
      <c r="G10" s="167" t="n"/>
      <c r="H10" s="167" t="n"/>
      <c r="I10" s="167" t="n"/>
      <c r="J10" s="167" t="n"/>
      <c r="K10" s="167" t="n"/>
      <c r="L10" s="167" t="n"/>
      <c r="M10" s="167" t="n"/>
      <c r="N10" s="167" t="n"/>
      <c r="O10" s="167" t="n"/>
      <c r="P10" s="167" t="n"/>
      <c r="Q10" s="167" t="n"/>
    </row>
    <row r="11">
      <c r="A11" s="167" t="inlineStr">
        <is>
          <t>7°</t>
        </is>
      </c>
      <c r="B11" s="167" t="n">
        <v>6</v>
      </c>
      <c r="C11" s="167">
        <f>IF(MAESTRO!B10="","",IFERROR(MAESTRO!B10,""))</f>
        <v/>
      </c>
      <c r="D11" s="167">
        <f>IF(MAESTRO!B10="","",IFERROR(COUNTIF('Asistencia (7°)'!C8:BH8,"-")+COUNTIF('Asistencia (7°)'!C51:BH51,"-")+COUNTIF('Asistencia (7°)'!C94:BH94,"-"),""))</f>
        <v/>
      </c>
      <c r="E11" s="167">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7">
        <f>IF(MAESTRO!B10="","",IFERROR(COUNTBLANK('PROM (Ingles 7°)'!C10:O10),""))</f>
        <v/>
      </c>
      <c r="G11" s="167" t="n"/>
      <c r="H11" s="167" t="n"/>
      <c r="I11" s="167" t="n"/>
      <c r="J11" s="167" t="n"/>
      <c r="K11" s="167" t="n"/>
      <c r="L11" s="167" t="n"/>
      <c r="M11" s="167" t="n"/>
      <c r="N11" s="167" t="n"/>
      <c r="O11" s="167" t="n"/>
      <c r="P11" s="167" t="n"/>
      <c r="Q11" s="167" t="n"/>
    </row>
    <row r="12">
      <c r="A12" s="167" t="inlineStr">
        <is>
          <t>7°</t>
        </is>
      </c>
      <c r="B12" s="167" t="n">
        <v>7</v>
      </c>
      <c r="C12" s="167">
        <f>IF(MAESTRO!B11="","",IFERROR(MAESTRO!B11,""))</f>
        <v/>
      </c>
      <c r="D12" s="167">
        <f>IF(MAESTRO!B11="","",IFERROR(COUNTIF('Asistencia (7°)'!C9:BH9,"-")+COUNTIF('Asistencia (7°)'!C52:BH52,"-")+COUNTIF('Asistencia (7°)'!C95:BH95,"-"),""))</f>
        <v/>
      </c>
      <c r="E12" s="167">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7">
        <f>IF(MAESTRO!B11="","",IFERROR(COUNTBLANK('PROM (Ingles 7°)'!C11:O11),""))</f>
        <v/>
      </c>
      <c r="G12" s="167" t="n"/>
      <c r="H12" s="167" t="n"/>
      <c r="I12" s="167" t="n"/>
      <c r="J12" s="167" t="n"/>
      <c r="K12" s="167" t="n"/>
      <c r="L12" s="167" t="n"/>
      <c r="M12" s="167" t="n"/>
      <c r="N12" s="167" t="n"/>
      <c r="O12" s="167" t="n"/>
      <c r="P12" s="167" t="n"/>
      <c r="Q12" s="167" t="n"/>
    </row>
    <row r="13">
      <c r="A13" s="167" t="inlineStr">
        <is>
          <t>7°</t>
        </is>
      </c>
      <c r="B13" s="167" t="n">
        <v>8</v>
      </c>
      <c r="C13" s="167">
        <f>IF(MAESTRO!B12="","",IFERROR(MAESTRO!B12,""))</f>
        <v/>
      </c>
      <c r="D13" s="167">
        <f>IF(MAESTRO!B12="","",IFERROR(COUNTIF('Asistencia (7°)'!C10:BH10,"-")+COUNTIF('Asistencia (7°)'!C53:BH53,"-")+COUNTIF('Asistencia (7°)'!C96:BH96,"-"),""))</f>
        <v/>
      </c>
      <c r="E13" s="167">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7">
        <f>IF(MAESTRO!B12="","",IFERROR(COUNTBLANK('PROM (Ingles 7°)'!C12:O12),""))</f>
        <v/>
      </c>
      <c r="G13" s="167" t="n"/>
      <c r="H13" s="167" t="n"/>
      <c r="I13" s="167" t="n"/>
      <c r="J13" s="167" t="n"/>
      <c r="K13" s="167" t="n"/>
      <c r="L13" s="167" t="n"/>
      <c r="M13" s="167" t="n"/>
      <c r="N13" s="167" t="n"/>
      <c r="O13" s="167" t="n"/>
      <c r="P13" s="167" t="n"/>
      <c r="Q13" s="167" t="n"/>
    </row>
    <row r="14">
      <c r="A14" s="167" t="inlineStr">
        <is>
          <t>7°</t>
        </is>
      </c>
      <c r="B14" s="167" t="n">
        <v>9</v>
      </c>
      <c r="C14" s="167">
        <f>IF(MAESTRO!B13="","",IFERROR(MAESTRO!B13,""))</f>
        <v/>
      </c>
      <c r="D14" s="167">
        <f>IF(MAESTRO!B13="","",IFERROR(COUNTIF('Asistencia (7°)'!C11:BH11,"-")+COUNTIF('Asistencia (7°)'!C54:BH54,"-")+COUNTIF('Asistencia (7°)'!C97:BH97,"-"),""))</f>
        <v/>
      </c>
      <c r="E14" s="167">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7">
        <f>IF(MAESTRO!B13="","",IFERROR(COUNTBLANK('PROM (Ingles 7°)'!C13:O13),""))</f>
        <v/>
      </c>
      <c r="G14" s="167" t="n"/>
      <c r="H14" s="167" t="n"/>
      <c r="I14" s="167" t="n"/>
      <c r="J14" s="167" t="n"/>
      <c r="K14" s="167" t="n"/>
      <c r="L14" s="167" t="n"/>
      <c r="M14" s="167" t="n"/>
      <c r="N14" s="167" t="n"/>
      <c r="O14" s="167" t="n"/>
      <c r="P14" s="167" t="n"/>
      <c r="Q14" s="167" t="n"/>
    </row>
    <row r="15">
      <c r="A15" s="167" t="inlineStr">
        <is>
          <t>7°</t>
        </is>
      </c>
      <c r="B15" s="167" t="n">
        <v>10</v>
      </c>
      <c r="C15" s="167">
        <f>IF(MAESTRO!B14="","",IFERROR(MAESTRO!B14,""))</f>
        <v/>
      </c>
      <c r="D15" s="167">
        <f>IF(MAESTRO!B14="","",IFERROR(COUNTIF('Asistencia (7°)'!C12:BH12,"-")+COUNTIF('Asistencia (7°)'!C55:BH55,"-")+COUNTIF('Asistencia (7°)'!C98:BH98,"-"),""))</f>
        <v/>
      </c>
      <c r="E15" s="167">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7">
        <f>IF(MAESTRO!B14="","",IFERROR(COUNTBLANK('PROM (Ingles 7°)'!C14:O14),""))</f>
        <v/>
      </c>
      <c r="G15" s="167" t="n"/>
      <c r="H15" s="167" t="n"/>
      <c r="I15" s="167" t="n"/>
      <c r="J15" s="167" t="n"/>
      <c r="K15" s="167" t="n"/>
      <c r="L15" s="167" t="n"/>
      <c r="M15" s="167" t="n"/>
      <c r="N15" s="167" t="n"/>
      <c r="O15" s="167" t="n"/>
      <c r="P15" s="167" t="n"/>
      <c r="Q15" s="167" t="n"/>
    </row>
    <row r="16">
      <c r="A16" s="167" t="inlineStr">
        <is>
          <t>7°</t>
        </is>
      </c>
      <c r="B16" s="167" t="n">
        <v>11</v>
      </c>
      <c r="C16" s="167">
        <f>IF(MAESTRO!B15="","",IFERROR(MAESTRO!B15,""))</f>
        <v/>
      </c>
      <c r="D16" s="167">
        <f>IF(MAESTRO!B15="","",IFERROR(COUNTIF('Asistencia (7°)'!C13:BH13,"-")+COUNTIF('Asistencia (7°)'!C56:BH56,"-")+COUNTIF('Asistencia (7°)'!C99:BH99,"-"),""))</f>
        <v/>
      </c>
      <c r="E16" s="167">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7">
        <f>IF(MAESTRO!B15="","",IFERROR(COUNTBLANK('PROM (Ingles 7°)'!C15:O15),""))</f>
        <v/>
      </c>
      <c r="G16" s="167" t="n"/>
      <c r="H16" s="167" t="n"/>
      <c r="I16" s="167" t="n"/>
      <c r="J16" s="167" t="n"/>
      <c r="K16" s="167" t="n"/>
      <c r="L16" s="167" t="n"/>
      <c r="M16" s="167" t="n"/>
      <c r="N16" s="167" t="n"/>
      <c r="O16" s="167" t="n"/>
      <c r="P16" s="167" t="n"/>
      <c r="Q16" s="167" t="n"/>
    </row>
    <row r="17">
      <c r="A17" s="167" t="inlineStr">
        <is>
          <t>7°</t>
        </is>
      </c>
      <c r="B17" s="167" t="n">
        <v>12</v>
      </c>
      <c r="C17" s="167">
        <f>IF(MAESTRO!B16="","",IFERROR(MAESTRO!B16,""))</f>
        <v/>
      </c>
      <c r="D17" s="167">
        <f>IF(MAESTRO!B16="","",IFERROR(COUNTIF('Asistencia (7°)'!C14:BH14,"-")+COUNTIF('Asistencia (7°)'!C57:BH57,"-")+COUNTIF('Asistencia (7°)'!C100:BH100,"-"),""))</f>
        <v/>
      </c>
      <c r="E17" s="167">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7">
        <f>IF(MAESTRO!B16="","",IFERROR(COUNTBLANK('PROM (Ingles 7°)'!C16:O16),""))</f>
        <v/>
      </c>
      <c r="G17" s="167" t="n"/>
      <c r="H17" s="167" t="n"/>
      <c r="I17" s="167" t="n"/>
      <c r="J17" s="167" t="n"/>
      <c r="K17" s="167" t="n"/>
      <c r="L17" s="167" t="n"/>
      <c r="M17" s="167" t="n"/>
      <c r="N17" s="167" t="n"/>
      <c r="O17" s="167" t="n"/>
      <c r="P17" s="167" t="n"/>
      <c r="Q17" s="167" t="n"/>
    </row>
    <row r="18">
      <c r="A18" s="167" t="inlineStr">
        <is>
          <t>7°</t>
        </is>
      </c>
      <c r="B18" s="167" t="n">
        <v>13</v>
      </c>
      <c r="C18" s="167">
        <f>IF(MAESTRO!B17="","",IFERROR(MAESTRO!B17,""))</f>
        <v/>
      </c>
      <c r="D18" s="167">
        <f>IF(MAESTRO!B17="","",IFERROR(COUNTIF('Asistencia (7°)'!C15:BH15,"-")+COUNTIF('Asistencia (7°)'!C58:BH58,"-")+COUNTIF('Asistencia (7°)'!C101:BH101,"-"),""))</f>
        <v/>
      </c>
      <c r="E18" s="167">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7">
        <f>IF(MAESTRO!B17="","",IFERROR(COUNTBLANK('PROM (Ingles 7°)'!C17:O17),""))</f>
        <v/>
      </c>
      <c r="G18" s="167" t="n"/>
      <c r="H18" s="167" t="n"/>
      <c r="I18" s="167" t="n"/>
      <c r="J18" s="167" t="n"/>
      <c r="K18" s="167" t="n"/>
      <c r="L18" s="167" t="n"/>
      <c r="M18" s="167" t="n"/>
      <c r="N18" s="167" t="n"/>
      <c r="O18" s="167" t="n"/>
      <c r="P18" s="167" t="n"/>
      <c r="Q18" s="167" t="n"/>
    </row>
    <row r="19">
      <c r="A19" s="167" t="inlineStr">
        <is>
          <t>7°</t>
        </is>
      </c>
      <c r="B19" s="167" t="n">
        <v>14</v>
      </c>
      <c r="C19" s="167">
        <f>IF(MAESTRO!B18="","",IFERROR(MAESTRO!B18,""))</f>
        <v/>
      </c>
      <c r="D19" s="167">
        <f>IF(MAESTRO!B18="","",IFERROR(COUNTIF('Asistencia (7°)'!C16:BH16,"-")+COUNTIF('Asistencia (7°)'!C59:BH59,"-")+COUNTIF('Asistencia (7°)'!C102:BH102,"-"),""))</f>
        <v/>
      </c>
      <c r="E19" s="167">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7">
        <f>IF(MAESTRO!B18="","",IFERROR(COUNTBLANK('PROM (Ingles 7°)'!C18:O18),""))</f>
        <v/>
      </c>
      <c r="G19" s="167" t="n"/>
      <c r="H19" s="167" t="n"/>
      <c r="I19" s="167" t="n"/>
      <c r="J19" s="167" t="n"/>
      <c r="K19" s="167" t="n"/>
      <c r="L19" s="167" t="n"/>
      <c r="M19" s="167" t="n"/>
      <c r="N19" s="167" t="n"/>
      <c r="O19" s="167" t="n"/>
      <c r="P19" s="167" t="n"/>
      <c r="Q19" s="167" t="n"/>
    </row>
    <row r="20">
      <c r="A20" s="167" t="inlineStr">
        <is>
          <t>7°</t>
        </is>
      </c>
      <c r="B20" s="167" t="n">
        <v>15</v>
      </c>
      <c r="C20" s="167">
        <f>IF(MAESTRO!B19="","",IFERROR(MAESTRO!B19,""))</f>
        <v/>
      </c>
      <c r="D20" s="167">
        <f>IF(MAESTRO!B19="","",IFERROR(COUNTIF('Asistencia (7°)'!C17:BH17,"-")+COUNTIF('Asistencia (7°)'!C60:BH60,"-")+COUNTIF('Asistencia (7°)'!C103:BH103,"-"),""))</f>
        <v/>
      </c>
      <c r="E20" s="167">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7">
        <f>IF(MAESTRO!B19="","",IFERROR(COUNTBLANK('PROM (Ingles 7°)'!C19:O19),""))</f>
        <v/>
      </c>
      <c r="G20" s="167" t="n"/>
      <c r="H20" s="167" t="n"/>
      <c r="I20" s="167" t="n"/>
      <c r="J20" s="167" t="n"/>
      <c r="K20" s="167" t="n"/>
      <c r="L20" s="167" t="n"/>
      <c r="M20" s="167" t="n"/>
      <c r="N20" s="167" t="n"/>
      <c r="O20" s="167" t="n"/>
      <c r="P20" s="167" t="n"/>
      <c r="Q20" s="167" t="n"/>
    </row>
    <row r="21">
      <c r="A21" s="167" t="inlineStr">
        <is>
          <t>7°</t>
        </is>
      </c>
      <c r="B21" s="167" t="n">
        <v>16</v>
      </c>
      <c r="C21" s="167">
        <f>IF(MAESTRO!B20="","",IFERROR(MAESTRO!B20,""))</f>
        <v/>
      </c>
      <c r="D21" s="167">
        <f>IF(MAESTRO!B20="","",IFERROR(COUNTIF('Asistencia (7°)'!C18:BH18,"-")+COUNTIF('Asistencia (7°)'!C61:BH61,"-")+COUNTIF('Asistencia (7°)'!C104:BH104,"-"),""))</f>
        <v/>
      </c>
      <c r="E21" s="167">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7">
        <f>IF(MAESTRO!B20="","",IFERROR(COUNTBLANK('PROM (Ingles 7°)'!C20:O20),""))</f>
        <v/>
      </c>
      <c r="G21" s="167" t="n"/>
      <c r="H21" s="167" t="n"/>
      <c r="I21" s="167" t="n"/>
      <c r="J21" s="167" t="n"/>
      <c r="K21" s="167" t="n"/>
      <c r="L21" s="167" t="n"/>
      <c r="M21" s="167" t="n"/>
      <c r="N21" s="167" t="n"/>
      <c r="O21" s="167" t="n"/>
      <c r="P21" s="167" t="n"/>
      <c r="Q21" s="167" t="n"/>
    </row>
    <row r="22">
      <c r="A22" s="167" t="inlineStr">
        <is>
          <t>7°</t>
        </is>
      </c>
      <c r="B22" s="167" t="n">
        <v>17</v>
      </c>
      <c r="C22" s="167">
        <f>IF(MAESTRO!B21="","",IFERROR(MAESTRO!B21,""))</f>
        <v/>
      </c>
      <c r="D22" s="167">
        <f>IF(MAESTRO!B21="","",IFERROR(COUNTIF('Asistencia (7°)'!C19:BH19,"-")+COUNTIF('Asistencia (7°)'!C62:BH62,"-")+COUNTIF('Asistencia (7°)'!C105:BH105,"-"),""))</f>
        <v/>
      </c>
      <c r="E22" s="167">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7">
        <f>IF(MAESTRO!B21="","",IFERROR(COUNTBLANK('PROM (Ingles 7°)'!C21:O21),""))</f>
        <v/>
      </c>
      <c r="G22" s="167" t="n"/>
      <c r="H22" s="167" t="n"/>
      <c r="I22" s="167" t="n"/>
      <c r="J22" s="167" t="n"/>
      <c r="K22" s="167" t="n"/>
      <c r="L22" s="167" t="n"/>
      <c r="M22" s="167" t="n"/>
      <c r="N22" s="167" t="n"/>
      <c r="O22" s="167" t="n"/>
      <c r="P22" s="167" t="n"/>
      <c r="Q22" s="167" t="n"/>
    </row>
    <row r="23">
      <c r="A23" s="167" t="inlineStr">
        <is>
          <t>7°</t>
        </is>
      </c>
      <c r="B23" s="167" t="n">
        <v>18</v>
      </c>
      <c r="C23" s="167">
        <f>IF(MAESTRO!B22="","",IFERROR(MAESTRO!B22,""))</f>
        <v/>
      </c>
      <c r="D23" s="167">
        <f>IF(MAESTRO!B22="","",IFERROR(COUNTIF('Asistencia (7°)'!C20:BH20,"-")+COUNTIF('Asistencia (7°)'!C63:BH63,"-")+COUNTIF('Asistencia (7°)'!C106:BH106,"-"),""))</f>
        <v/>
      </c>
      <c r="E23" s="167">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7">
        <f>IF(MAESTRO!B22="","",IFERROR(COUNTBLANK('PROM (Ingles 7°)'!C22:O22),""))</f>
        <v/>
      </c>
      <c r="G23" s="167" t="n"/>
      <c r="H23" s="167" t="n"/>
      <c r="I23" s="167" t="n"/>
      <c r="J23" s="167" t="n"/>
      <c r="K23" s="167" t="n"/>
      <c r="L23" s="167" t="n"/>
      <c r="M23" s="167" t="n"/>
      <c r="N23" s="167" t="n"/>
      <c r="O23" s="167" t="n"/>
      <c r="P23" s="167" t="n"/>
      <c r="Q23" s="167" t="n"/>
    </row>
    <row r="24">
      <c r="A24" s="167" t="inlineStr">
        <is>
          <t>7°</t>
        </is>
      </c>
      <c r="B24" s="167" t="n">
        <v>19</v>
      </c>
      <c r="C24" s="167">
        <f>IF(MAESTRO!B23="","",IFERROR(MAESTRO!B23,""))</f>
        <v/>
      </c>
      <c r="D24" s="167">
        <f>IF(MAESTRO!B23="","",IFERROR(COUNTIF('Asistencia (7°)'!C21:BH21,"-")+COUNTIF('Asistencia (7°)'!C64:BH64,"-")+COUNTIF('Asistencia (7°)'!C107:BH107,"-"),""))</f>
        <v/>
      </c>
      <c r="E24" s="167">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7">
        <f>IF(MAESTRO!B23="","",IFERROR(COUNTBLANK('PROM (Ingles 7°)'!C23:O23),""))</f>
        <v/>
      </c>
      <c r="G24" s="167" t="n"/>
      <c r="H24" s="167" t="n"/>
      <c r="I24" s="167" t="n"/>
      <c r="J24" s="167" t="n"/>
      <c r="K24" s="167" t="n"/>
      <c r="L24" s="167" t="n"/>
      <c r="M24" s="167" t="n"/>
      <c r="N24" s="167" t="n"/>
      <c r="O24" s="167" t="n"/>
      <c r="P24" s="167" t="n"/>
      <c r="Q24" s="167" t="n"/>
    </row>
    <row r="25">
      <c r="A25" s="167" t="inlineStr">
        <is>
          <t>7°</t>
        </is>
      </c>
      <c r="B25" s="167" t="n">
        <v>20</v>
      </c>
      <c r="C25" s="167">
        <f>IF(MAESTRO!B24="","",IFERROR(MAESTRO!B24,""))</f>
        <v/>
      </c>
      <c r="D25" s="167">
        <f>IF(MAESTRO!B24="","",IFERROR(COUNTIF('Asistencia (7°)'!C22:BH22,"-")+COUNTIF('Asistencia (7°)'!C65:BH65,"-")+COUNTIF('Asistencia (7°)'!C108:BH108,"-"),""))</f>
        <v/>
      </c>
      <c r="E25" s="167">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7">
        <f>IF(MAESTRO!B24="","",IFERROR(COUNTBLANK('PROM (Ingles 7°)'!C24:O24),""))</f>
        <v/>
      </c>
      <c r="G25" s="167" t="n"/>
      <c r="H25" s="167" t="n"/>
      <c r="I25" s="167" t="n"/>
      <c r="J25" s="167" t="n"/>
      <c r="K25" s="167" t="n"/>
      <c r="L25" s="167" t="n"/>
      <c r="M25" s="167" t="n"/>
      <c r="N25" s="167" t="n"/>
      <c r="O25" s="167" t="n"/>
      <c r="P25" s="167" t="n"/>
      <c r="Q25" s="167" t="n"/>
    </row>
    <row r="26">
      <c r="A26" s="167" t="inlineStr">
        <is>
          <t>7°</t>
        </is>
      </c>
      <c r="B26" s="167" t="n">
        <v>21</v>
      </c>
      <c r="C26" s="167">
        <f>IF(MAESTRO!B25="","",IFERROR(MAESTRO!B25,""))</f>
        <v/>
      </c>
      <c r="D26" s="167">
        <f>IF(MAESTRO!B25="","",IFERROR(COUNTIF('Asistencia (7°)'!C23:BH23,"-")+COUNTIF('Asistencia (7°)'!C66:BH66,"-")+COUNTIF('Asistencia (7°)'!C109:BH109,"-"),""))</f>
        <v/>
      </c>
      <c r="E26" s="167">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7">
        <f>IF(MAESTRO!B25="","",IFERROR(COUNTBLANK('PROM (Ingles 7°)'!C25:O25),""))</f>
        <v/>
      </c>
      <c r="G26" s="167" t="n"/>
      <c r="H26" s="167" t="n"/>
      <c r="I26" s="167" t="n"/>
      <c r="J26" s="167" t="n"/>
      <c r="K26" s="167" t="n"/>
      <c r="L26" s="167" t="n"/>
      <c r="M26" s="167" t="n"/>
      <c r="N26" s="167" t="n"/>
      <c r="O26" s="167" t="n"/>
      <c r="P26" s="167" t="n"/>
      <c r="Q26" s="167" t="n"/>
    </row>
    <row r="27">
      <c r="A27" s="167" t="inlineStr">
        <is>
          <t>7°</t>
        </is>
      </c>
      <c r="B27" s="167" t="n">
        <v>22</v>
      </c>
      <c r="C27" s="167">
        <f>IF(MAESTRO!B26="","",IFERROR(MAESTRO!B26,""))</f>
        <v/>
      </c>
      <c r="D27" s="167">
        <f>IF(MAESTRO!B26="","",IFERROR(COUNTIF('Asistencia (7°)'!C24:BH24,"-")+COUNTIF('Asistencia (7°)'!C67:BH67,"-")+COUNTIF('Asistencia (7°)'!C110:BH110,"-"),""))</f>
        <v/>
      </c>
      <c r="E27" s="167">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7">
        <f>IF(MAESTRO!B26="","",IFERROR(COUNTBLANK('PROM (Ingles 7°)'!C26:O26),""))</f>
        <v/>
      </c>
      <c r="G27" s="167" t="n"/>
      <c r="H27" s="167" t="n"/>
      <c r="I27" s="167" t="n"/>
      <c r="J27" s="167" t="n"/>
      <c r="K27" s="167" t="n"/>
      <c r="L27" s="167" t="n"/>
      <c r="M27" s="167" t="n"/>
      <c r="N27" s="167" t="n"/>
      <c r="O27" s="167" t="n"/>
      <c r="P27" s="167" t="n"/>
      <c r="Q27" s="167" t="n"/>
    </row>
    <row r="28">
      <c r="A28" s="167" t="inlineStr">
        <is>
          <t>7°</t>
        </is>
      </c>
      <c r="B28" s="167" t="n">
        <v>23</v>
      </c>
      <c r="C28" s="167">
        <f>IF(MAESTRO!B27="","",IFERROR(MAESTRO!B27,""))</f>
        <v/>
      </c>
      <c r="D28" s="167">
        <f>IF(MAESTRO!B27="","",IFERROR(COUNTIF('Asistencia (7°)'!C25:BH25,"-")+COUNTIF('Asistencia (7°)'!C68:BH68,"-")+COUNTIF('Asistencia (7°)'!C111:BH111,"-"),""))</f>
        <v/>
      </c>
      <c r="E28" s="167">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7">
        <f>IF(MAESTRO!B27="","",IFERROR(COUNTBLANK('PROM (Ingles 7°)'!C27:O27),""))</f>
        <v/>
      </c>
      <c r="G28" s="167" t="n"/>
      <c r="H28" s="167" t="n"/>
      <c r="I28" s="167" t="n"/>
      <c r="J28" s="167" t="n"/>
      <c r="K28" s="167" t="n"/>
      <c r="L28" s="167" t="n"/>
      <c r="M28" s="167" t="n"/>
      <c r="N28" s="167" t="n"/>
      <c r="O28" s="167" t="n"/>
      <c r="P28" s="167" t="n"/>
      <c r="Q28" s="167" t="n"/>
    </row>
    <row r="29">
      <c r="A29" s="167" t="inlineStr">
        <is>
          <t>7°</t>
        </is>
      </c>
      <c r="B29" s="167" t="n">
        <v>24</v>
      </c>
      <c r="C29" s="167">
        <f>IF(MAESTRO!B28="","",IFERROR(MAESTRO!B28,""))</f>
        <v/>
      </c>
      <c r="D29" s="167">
        <f>IF(MAESTRO!B28="","",IFERROR(COUNTIF('Asistencia (7°)'!C26:BH26,"-")+COUNTIF('Asistencia (7°)'!C69:BH69,"-")+COUNTIF('Asistencia (7°)'!C112:BH112,"-"),""))</f>
        <v/>
      </c>
      <c r="E29" s="167">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7">
        <f>IF(MAESTRO!B28="","",IFERROR(COUNTBLANK('PROM (Ingles 7°)'!C28:O28),""))</f>
        <v/>
      </c>
      <c r="G29" s="167" t="n"/>
      <c r="H29" s="167" t="n"/>
      <c r="I29" s="167" t="n"/>
      <c r="J29" s="167" t="n"/>
      <c r="K29" s="167" t="n"/>
      <c r="L29" s="167" t="n"/>
      <c r="M29" s="167" t="n"/>
      <c r="N29" s="167" t="n"/>
      <c r="O29" s="167" t="n"/>
      <c r="P29" s="167" t="n"/>
      <c r="Q29" s="167" t="n"/>
    </row>
    <row r="30">
      <c r="A30" s="167" t="inlineStr">
        <is>
          <t>7°</t>
        </is>
      </c>
      <c r="B30" s="167" t="n">
        <v>25</v>
      </c>
      <c r="C30" s="167">
        <f>IF(MAESTRO!B29="","",IFERROR(MAESTRO!B29,""))</f>
        <v/>
      </c>
      <c r="D30" s="167">
        <f>IF(MAESTRO!B29="","",IFERROR(COUNTIF('Asistencia (7°)'!C27:BH27,"-")+COUNTIF('Asistencia (7°)'!C70:BH70,"-")+COUNTIF('Asistencia (7°)'!C113:BH113,"-"),""))</f>
        <v/>
      </c>
      <c r="E30" s="167">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7">
        <f>IF(MAESTRO!B29="","",IFERROR(COUNTBLANK('PROM (Ingles 7°)'!C29:O29),""))</f>
        <v/>
      </c>
      <c r="G30" s="167" t="n"/>
      <c r="H30" s="167" t="n"/>
      <c r="I30" s="167" t="n"/>
      <c r="J30" s="167" t="n"/>
      <c r="K30" s="167" t="n"/>
      <c r="L30" s="167" t="n"/>
      <c r="M30" s="167" t="n"/>
      <c r="N30" s="167" t="n"/>
      <c r="O30" s="167" t="n"/>
      <c r="P30" s="167" t="n"/>
      <c r="Q30" s="167" t="n"/>
    </row>
    <row r="31">
      <c r="A31" s="167" t="inlineStr">
        <is>
          <t>7°</t>
        </is>
      </c>
      <c r="B31" s="167" t="n">
        <v>26</v>
      </c>
      <c r="C31" s="167">
        <f>IF(MAESTRO!B30="","",IFERROR(MAESTRO!B30,""))</f>
        <v/>
      </c>
      <c r="D31" s="167">
        <f>IF(MAESTRO!B30="","",IFERROR(COUNTIF('Asistencia (7°)'!C28:BH28,"-")+COUNTIF('Asistencia (7°)'!C71:BH71,"-")+COUNTIF('Asistencia (7°)'!C114:BH114,"-"),""))</f>
        <v/>
      </c>
      <c r="E31" s="167">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7">
        <f>IF(MAESTRO!B30="","",IFERROR(COUNTBLANK('PROM (Ingles 7°)'!C30:O30),""))</f>
        <v/>
      </c>
      <c r="G31" s="167" t="n"/>
      <c r="H31" s="167" t="n"/>
      <c r="I31" s="167" t="n"/>
      <c r="J31" s="167" t="n"/>
      <c r="K31" s="167" t="n"/>
      <c r="L31" s="167" t="n"/>
      <c r="M31" s="167" t="n"/>
      <c r="N31" s="167" t="n"/>
      <c r="O31" s="167" t="n"/>
      <c r="P31" s="167" t="n"/>
      <c r="Q31" s="167" t="n"/>
    </row>
    <row r="32">
      <c r="A32" s="167" t="inlineStr">
        <is>
          <t>7°</t>
        </is>
      </c>
      <c r="B32" s="167" t="n">
        <v>27</v>
      </c>
      <c r="C32" s="167">
        <f>IF(MAESTRO!B31="","",IFERROR(MAESTRO!B31,""))</f>
        <v/>
      </c>
      <c r="D32" s="167">
        <f>IF(MAESTRO!B31="","",IFERROR(COUNTIF('Asistencia (7°)'!C29:BH29,"-")+COUNTIF('Asistencia (7°)'!C72:BH72,"-")+COUNTIF('Asistencia (7°)'!C115:BH115,"-"),""))</f>
        <v/>
      </c>
      <c r="E32" s="167">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7">
        <f>IF(MAESTRO!B31="","",IFERROR(COUNTBLANK('PROM (Ingles 7°)'!C31:O31),""))</f>
        <v/>
      </c>
      <c r="G32" s="167" t="n"/>
      <c r="H32" s="167" t="n"/>
      <c r="I32" s="167" t="n"/>
      <c r="J32" s="167" t="n"/>
      <c r="K32" s="167" t="n"/>
      <c r="L32" s="167" t="n"/>
      <c r="M32" s="167" t="n"/>
      <c r="N32" s="167" t="n"/>
      <c r="O32" s="167" t="n"/>
      <c r="P32" s="167" t="n"/>
      <c r="Q32" s="167" t="n"/>
    </row>
    <row r="33">
      <c r="A33" s="167" t="inlineStr">
        <is>
          <t>7°</t>
        </is>
      </c>
      <c r="B33" s="167" t="n">
        <v>28</v>
      </c>
      <c r="C33" s="167">
        <f>IF(MAESTRO!B32="","",IFERROR(MAESTRO!B32,""))</f>
        <v/>
      </c>
      <c r="D33" s="167">
        <f>IF(MAESTRO!B32="","",IFERROR(COUNTIF('Asistencia (7°)'!C30:BH30,"-")+COUNTIF('Asistencia (7°)'!C73:BH73,"-")+COUNTIF('Asistencia (7°)'!C116:BH116,"-"),""))</f>
        <v/>
      </c>
      <c r="E33" s="167">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7">
        <f>IF(MAESTRO!B32="","",IFERROR(COUNTBLANK('PROM (Ingles 7°)'!C32:O32),""))</f>
        <v/>
      </c>
      <c r="G33" s="167" t="n"/>
      <c r="H33" s="167" t="n"/>
      <c r="I33" s="167" t="n"/>
      <c r="J33" s="167" t="n"/>
      <c r="K33" s="167" t="n"/>
      <c r="L33" s="167" t="n"/>
      <c r="M33" s="167" t="n"/>
      <c r="N33" s="167" t="n"/>
      <c r="O33" s="167" t="n"/>
      <c r="P33" s="167" t="n"/>
      <c r="Q33" s="167" t="n"/>
    </row>
    <row r="34">
      <c r="A34" s="167" t="inlineStr">
        <is>
          <t>7°</t>
        </is>
      </c>
      <c r="B34" s="167" t="n">
        <v>29</v>
      </c>
      <c r="C34" s="167">
        <f>IF(MAESTRO!B33="","",IFERROR(MAESTRO!B33,""))</f>
        <v/>
      </c>
      <c r="D34" s="167">
        <f>IF(MAESTRO!B33="","",IFERROR(COUNTIF('Asistencia (7°)'!C31:BH31,"-")+COUNTIF('Asistencia (7°)'!C74:BH74,"-")+COUNTIF('Asistencia (7°)'!C117:BH117,"-"),""))</f>
        <v/>
      </c>
      <c r="E34" s="167">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7">
        <f>IF(MAESTRO!B33="","",IFERROR(COUNTBLANK('PROM (Ingles 7°)'!C33:O33),""))</f>
        <v/>
      </c>
      <c r="G34" s="167" t="n"/>
      <c r="H34" s="167" t="n"/>
      <c r="I34" s="167" t="n"/>
      <c r="J34" s="167" t="n"/>
      <c r="K34" s="167" t="n"/>
      <c r="L34" s="167" t="n"/>
      <c r="M34" s="167" t="n"/>
      <c r="N34" s="167" t="n"/>
      <c r="O34" s="167" t="n"/>
      <c r="P34" s="167" t="n"/>
      <c r="Q34" s="167" t="n"/>
    </row>
    <row r="35">
      <c r="A35" s="167" t="inlineStr">
        <is>
          <t>7°</t>
        </is>
      </c>
      <c r="B35" s="167" t="n">
        <v>30</v>
      </c>
      <c r="C35" s="167">
        <f>IF(MAESTRO!B34="","",IFERROR(MAESTRO!B34,""))</f>
        <v/>
      </c>
      <c r="D35" s="167">
        <f>IF(MAESTRO!B34="","",IFERROR(COUNTIF('Asistencia (7°)'!C32:BH32,"-")+COUNTIF('Asistencia (7°)'!C75:BH75,"-")+COUNTIF('Asistencia (7°)'!C118:BH118,"-"),""))</f>
        <v/>
      </c>
      <c r="E35" s="167">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7">
        <f>IF(MAESTRO!B34="","",IFERROR(COUNTBLANK('PROM (Ingles 7°)'!C34:O34),""))</f>
        <v/>
      </c>
      <c r="G35" s="167" t="n"/>
      <c r="H35" s="247" t="n"/>
    </row>
    <row r="36">
      <c r="A36" s="167" t="inlineStr">
        <is>
          <t>7°</t>
        </is>
      </c>
      <c r="B36" s="167" t="n">
        <v>31</v>
      </c>
      <c r="C36" s="167">
        <f>IF(MAESTRO!B35="","",IFERROR(MAESTRO!B35,""))</f>
        <v/>
      </c>
      <c r="D36" s="167">
        <f>IF(MAESTRO!B35="","",IFERROR(COUNTIF('Asistencia (7°)'!C33:BH33,"-")+COUNTIF('Asistencia (7°)'!C76:BH76,"-")+COUNTIF('Asistencia (7°)'!C119:BH119,"-"),""))</f>
        <v/>
      </c>
      <c r="E36" s="167">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7">
        <f>IF(MAESTRO!B35="","",IFERROR(COUNTBLANK('PROM (Ingles 7°)'!C35:O35),""))</f>
        <v/>
      </c>
      <c r="G36" s="167" t="n"/>
    </row>
    <row r="37">
      <c r="A37" s="167" t="inlineStr">
        <is>
          <t>7°</t>
        </is>
      </c>
      <c r="B37" s="167" t="n">
        <v>32</v>
      </c>
      <c r="C37" s="167">
        <f>IF(MAESTRO!B36="","",IFERROR(MAESTRO!B36,""))</f>
        <v/>
      </c>
      <c r="D37" s="167">
        <f>IF(MAESTRO!B36="","",IFERROR(COUNTIF('Asistencia (7°)'!C34:BH34,"-")+COUNTIF('Asistencia (7°)'!C77:BH77,"-")+COUNTIF('Asistencia (7°)'!C120:BH120,"-"),""))</f>
        <v/>
      </c>
      <c r="E37" s="167">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7">
        <f>IF(MAESTRO!B36="","",IFERROR(COUNTBLANK('PROM (Ingles 7°)'!C36:O36),""))</f>
        <v/>
      </c>
      <c r="G37" s="167" t="n"/>
    </row>
    <row r="38">
      <c r="A38" s="167" t="inlineStr">
        <is>
          <t>7°</t>
        </is>
      </c>
      <c r="B38" s="167" t="n">
        <v>33</v>
      </c>
      <c r="C38" s="167">
        <f>IF(MAESTRO!B37="","",IFERROR(MAESTRO!B37,""))</f>
        <v/>
      </c>
      <c r="D38" s="167">
        <f>IF(MAESTRO!B37="","",IFERROR(COUNTIF('Asistencia (7°)'!C35:BH35,"-")+COUNTIF('Asistencia (7°)'!C78:BH78,"-")+COUNTIF('Asistencia (7°)'!C121:BH121,"-"),""))</f>
        <v/>
      </c>
      <c r="E38" s="167">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7">
        <f>IF(MAESTRO!B37="","",IFERROR(COUNTBLANK('PROM (Ingles 7°)'!C37:O37),""))</f>
        <v/>
      </c>
      <c r="G38" s="167" t="n"/>
    </row>
    <row r="39">
      <c r="A39" s="167" t="inlineStr">
        <is>
          <t>7°</t>
        </is>
      </c>
      <c r="B39" s="167" t="n">
        <v>34</v>
      </c>
      <c r="C39" s="167">
        <f>IF(MAESTRO!B38="","",IFERROR(MAESTRO!B38,""))</f>
        <v/>
      </c>
      <c r="D39" s="167">
        <f>IF(MAESTRO!B38="","",IFERROR(COUNTIF('Asistencia (7°)'!C36:BH36,"-")+COUNTIF('Asistencia (7°)'!C79:BH79,"-")+COUNTIF('Asistencia (7°)'!C122:BH122,"-"),""))</f>
        <v/>
      </c>
      <c r="E39" s="167">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7">
        <f>IF(MAESTRO!B38="","",IFERROR(COUNTBLANK('PROM (Ingles 7°)'!C38:O38),""))</f>
        <v/>
      </c>
      <c r="G39" s="167" t="n"/>
      <c r="H39" s="167" t="n"/>
      <c r="I39" s="167" t="n"/>
      <c r="J39" s="167" t="n"/>
      <c r="K39" s="167" t="n"/>
      <c r="L39" s="167" t="n"/>
      <c r="M39" s="167" t="n"/>
      <c r="N39" s="167" t="n"/>
      <c r="O39" s="167" t="n"/>
      <c r="P39" s="167" t="n"/>
      <c r="Q39" s="167" t="n"/>
    </row>
    <row r="40">
      <c r="A40" s="167" t="inlineStr">
        <is>
          <t>7°</t>
        </is>
      </c>
      <c r="B40" s="167" t="n">
        <v>35</v>
      </c>
      <c r="C40" s="167">
        <f>IF(MAESTRO!B39="","",IFERROR(MAESTRO!B39,""))</f>
        <v/>
      </c>
      <c r="D40" s="167">
        <f>IF(MAESTRO!B39="","",IFERROR(COUNTIF('Asistencia (7°)'!C37:BH37,"-")+COUNTIF('Asistencia (7°)'!C80:BH80,"-")+COUNTIF('Asistencia (7°)'!C123:BH123,"-"),""))</f>
        <v/>
      </c>
      <c r="E40" s="167">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7">
        <f>IF(MAESTRO!B39="","",IFERROR(COUNTBLANK('PROM (Ingles 7°)'!C39:O39),""))</f>
        <v/>
      </c>
      <c r="G40" s="167" t="n"/>
      <c r="H40" s="167" t="n"/>
      <c r="I40" s="167" t="n"/>
      <c r="J40" s="167" t="n"/>
      <c r="K40" s="167" t="n"/>
      <c r="L40" s="167" t="n"/>
      <c r="M40" s="167" t="n"/>
      <c r="N40" s="167" t="n"/>
      <c r="O40" s="167" t="n"/>
      <c r="P40" s="167" t="n"/>
      <c r="Q40" s="167" t="n"/>
    </row>
    <row r="41">
      <c r="A41" s="167" t="inlineStr">
        <is>
          <t>7°</t>
        </is>
      </c>
      <c r="B41" s="167" t="n">
        <v>36</v>
      </c>
      <c r="C41" s="167">
        <f>IF(MAESTRO!B40="","",IFERROR(MAESTRO!B40,""))</f>
        <v/>
      </c>
      <c r="D41" s="167">
        <f>IF(MAESTRO!B40="","",IFERROR(COUNTIF('Asistencia (7°)'!C38:BH38,"-")+COUNTIF('Asistencia (7°)'!C81:BH81,"-")+COUNTIF('Asistencia (7°)'!C124:BH124,"-"),""))</f>
        <v/>
      </c>
      <c r="E41" s="167">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7">
        <f>IF(MAESTRO!B40="","",IFERROR(COUNTBLANK('PROM (Ingles 7°)'!C40:O40),""))</f>
        <v/>
      </c>
      <c r="G41" s="167" t="n"/>
      <c r="H41" s="167" t="n"/>
      <c r="I41" s="167" t="n"/>
      <c r="J41" s="167" t="n"/>
      <c r="K41" s="167" t="n"/>
      <c r="L41" s="167" t="n"/>
      <c r="M41" s="167" t="n"/>
      <c r="N41" s="167" t="n"/>
      <c r="O41" s="167" t="n"/>
      <c r="P41" s="167" t="n"/>
      <c r="Q41" s="167" t="n"/>
    </row>
    <row r="42">
      <c r="A42" s="167" t="inlineStr">
        <is>
          <t>7°</t>
        </is>
      </c>
      <c r="B42" s="167" t="n">
        <v>37</v>
      </c>
      <c r="C42" s="167">
        <f>IF(MAESTRO!B41="","",IFERROR(MAESTRO!B41,""))</f>
        <v/>
      </c>
      <c r="D42" s="167">
        <f>IF(MAESTRO!B41="","",IFERROR(COUNTIF('Asistencia (7°)'!C39:BH39,"-")+COUNTIF('Asistencia (7°)'!C82:BH82,"-")+COUNTIF('Asistencia (7°)'!C125:BH125,"-"),""))</f>
        <v/>
      </c>
      <c r="E42" s="167">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7">
        <f>IF(MAESTRO!B41="","",IFERROR(COUNTBLANK('PROM (Ingles 7°)'!C41:O41),""))</f>
        <v/>
      </c>
      <c r="G42" s="167" t="n"/>
      <c r="H42" s="167" t="n"/>
      <c r="I42" s="167" t="n"/>
      <c r="J42" s="167" t="n"/>
      <c r="K42" s="167" t="n"/>
      <c r="L42" s="167" t="n"/>
      <c r="M42" s="167" t="n"/>
      <c r="N42" s="167" t="n"/>
      <c r="O42" s="167" t="n"/>
      <c r="P42" s="167" t="n"/>
      <c r="Q42" s="167" t="n"/>
    </row>
    <row r="43">
      <c r="A43" s="167" t="inlineStr">
        <is>
          <t>7°</t>
        </is>
      </c>
      <c r="B43" s="167" t="n">
        <v>38</v>
      </c>
      <c r="C43" s="167">
        <f>IF(MAESTRO!B42="","",IFERROR(MAESTRO!B42,""))</f>
        <v/>
      </c>
      <c r="D43" s="167">
        <f>IF(MAESTRO!B42="","",IFERROR(COUNTIF('Asistencia (7°)'!C40:BH40,"-")+COUNTIF('Asistencia (7°)'!C83:BH83,"-")+COUNTIF('Asistencia (7°)'!C126:BH126,"-"),""))</f>
        <v/>
      </c>
      <c r="E43" s="167">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7">
        <f>IF(MAESTRO!B42="","",IFERROR(COUNTBLANK('PROM (Ingles 7°)'!C42:O42),""))</f>
        <v/>
      </c>
      <c r="G43" s="167" t="n"/>
      <c r="H43" s="167" t="n"/>
      <c r="I43" s="167" t="n"/>
      <c r="J43" s="167" t="n"/>
      <c r="K43" s="167" t="n"/>
      <c r="L43" s="167" t="n"/>
      <c r="M43" s="167" t="n"/>
      <c r="N43" s="167" t="n"/>
      <c r="O43" s="167" t="n"/>
      <c r="P43" s="167" t="n"/>
      <c r="Q43" s="167" t="n"/>
    </row>
    <row r="44">
      <c r="A44" s="167" t="inlineStr">
        <is>
          <t>7°</t>
        </is>
      </c>
      <c r="B44" s="167" t="n">
        <v>39</v>
      </c>
      <c r="C44" s="167">
        <f>IF(MAESTRO!B43="","",IFERROR(MAESTRO!B43,""))</f>
        <v/>
      </c>
      <c r="D44" s="167">
        <f>IF(MAESTRO!B43="","",IFERROR(COUNTIF('Asistencia (7°)'!C41:BH41,"-")+COUNTIF('Asistencia (7°)'!C84:BH84,"-")+COUNTIF('Asistencia (7°)'!C127:BH127,"-"),""))</f>
        <v/>
      </c>
      <c r="E44" s="167">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7">
        <f>IF(MAESTRO!B43="","",IFERROR(COUNTBLANK('PROM (Ingles 7°)'!C43:O43),""))</f>
        <v/>
      </c>
      <c r="G44" s="167" t="n"/>
      <c r="H44" s="167" t="n"/>
      <c r="I44" s="167" t="n"/>
      <c r="J44" s="167" t="n"/>
      <c r="K44" s="167" t="n"/>
      <c r="L44" s="167" t="n"/>
      <c r="M44" s="167" t="n"/>
      <c r="N44" s="167" t="n"/>
      <c r="O44" s="167" t="n"/>
      <c r="P44" s="167" t="n"/>
      <c r="Q44" s="167" t="n"/>
    </row>
    <row r="45">
      <c r="A45" s="167" t="inlineStr">
        <is>
          <t>7°</t>
        </is>
      </c>
      <c r="B45" s="167" t="n">
        <v>40</v>
      </c>
      <c r="C45" s="167">
        <f>IF(MAESTRO!B44="","",IFERROR(MAESTRO!B44,""))</f>
        <v/>
      </c>
      <c r="D45" s="167">
        <f>IF(MAESTRO!B44="","",IFERROR(COUNTIF('Asistencia (7°)'!C42:BH42,"-")+COUNTIF('Asistencia (7°)'!C85:BH85,"-")+COUNTIF('Asistencia (7°)'!C128:BH128,"-"),""))</f>
        <v/>
      </c>
      <c r="E45" s="167">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7">
        <f>IF(MAESTRO!B44="","",IFERROR(COUNTBLANK('PROM (Ingles 7°)'!C44:O44),""))</f>
        <v/>
      </c>
      <c r="G45" s="167" t="n"/>
      <c r="H45" s="167" t="n"/>
      <c r="I45" s="167" t="n"/>
      <c r="J45" s="167" t="n"/>
      <c r="K45" s="167" t="n"/>
      <c r="L45" s="167" t="n"/>
      <c r="M45" s="167" t="n"/>
      <c r="N45" s="167" t="n"/>
      <c r="O45" s="167" t="n"/>
      <c r="P45" s="167" t="n"/>
      <c r="Q45" s="167" t="n"/>
    </row>
    <row r="46">
      <c r="A46" s="167" t="inlineStr">
        <is>
          <t>8°</t>
        </is>
      </c>
      <c r="B46" s="167" t="n">
        <v>1</v>
      </c>
      <c r="C46" s="167">
        <f>IF(MAESTRO!D5="","",IFERROR(MAESTRO!D5,""))</f>
        <v/>
      </c>
      <c r="D46" s="167">
        <f>IF(MAESTRO!D5="","",IFERROR(COUNTIF('Asistencia (8°)'!C3:BH3,"-")+COUNTIF('Asistencia (8°)'!C46:BH46,"-")+COUNTIF('Asistencia (8°)'!C89:BH89,"-"),""))</f>
        <v/>
      </c>
      <c r="E46" s="167">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7">
        <f>IF(MAESTRO!D5="","",IFERROR(COUNTBLANK('PROM (Ingles 8°)'!C5:O5),""))</f>
        <v/>
      </c>
      <c r="G46" s="167" t="n"/>
      <c r="H46" s="167" t="n"/>
      <c r="I46" s="167" t="n"/>
      <c r="J46" s="167" t="n"/>
      <c r="K46" s="167" t="n"/>
      <c r="L46" s="167" t="n"/>
      <c r="M46" s="167" t="n"/>
      <c r="N46" s="167" t="n"/>
      <c r="O46" s="167" t="n"/>
      <c r="P46" s="167" t="n"/>
      <c r="Q46" s="167" t="n"/>
    </row>
    <row r="47">
      <c r="A47" s="167" t="inlineStr">
        <is>
          <t>8°</t>
        </is>
      </c>
      <c r="B47" s="167" t="n">
        <v>2</v>
      </c>
      <c r="C47" s="167">
        <f>IF(MAESTRO!D6="","",IFERROR(MAESTRO!D6,""))</f>
        <v/>
      </c>
      <c r="D47" s="167">
        <f>IF(MAESTRO!D6="","",IFERROR(COUNTIF('Asistencia (8°)'!C4:BH4,"-")+COUNTIF('Asistencia (8°)'!C47:BH47,"-")+COUNTIF('Asistencia (8°)'!C90:BH90,"-"),""))</f>
        <v/>
      </c>
      <c r="E47" s="167">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7">
        <f>IF(MAESTRO!D6="","",IFERROR(COUNTBLANK('PROM (Ingles 8°)'!C6:O6),""))</f>
        <v/>
      </c>
      <c r="G47" s="167" t="n"/>
      <c r="H47" s="167" t="n"/>
      <c r="I47" s="167" t="n"/>
      <c r="J47" s="167" t="n"/>
      <c r="K47" s="167" t="n"/>
      <c r="L47" s="167" t="n"/>
      <c r="M47" s="167" t="n"/>
      <c r="N47" s="167" t="n"/>
      <c r="O47" s="167" t="n"/>
      <c r="P47" s="167" t="n"/>
      <c r="Q47" s="167" t="n"/>
    </row>
    <row r="48">
      <c r="A48" s="167" t="inlineStr">
        <is>
          <t>8°</t>
        </is>
      </c>
      <c r="B48" s="167" t="n">
        <v>3</v>
      </c>
      <c r="C48" s="167">
        <f>IF(MAESTRO!D7="","",IFERROR(MAESTRO!D7,""))</f>
        <v/>
      </c>
      <c r="D48" s="167">
        <f>IF(MAESTRO!D7="","",IFERROR(COUNTIF('Asistencia (8°)'!C5:BH5,"-")+COUNTIF('Asistencia (8°)'!C48:BH48,"-")+COUNTIF('Asistencia (8°)'!C91:BH91,"-"),""))</f>
        <v/>
      </c>
      <c r="E48" s="167">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7">
        <f>IF(MAESTRO!D7="","",IFERROR(COUNTBLANK('PROM (Ingles 8°)'!C7:O7),""))</f>
        <v/>
      </c>
      <c r="G48" s="167" t="n"/>
      <c r="H48" s="167" t="n"/>
      <c r="I48" s="167" t="n"/>
      <c r="J48" s="167" t="n"/>
      <c r="K48" s="167" t="n"/>
      <c r="L48" s="167" t="n"/>
      <c r="M48" s="167" t="n"/>
      <c r="N48" s="167" t="n"/>
      <c r="O48" s="167" t="n"/>
      <c r="P48" s="167" t="n"/>
      <c r="Q48" s="167" t="n"/>
    </row>
    <row r="49">
      <c r="A49" s="167" t="inlineStr">
        <is>
          <t>8°</t>
        </is>
      </c>
      <c r="B49" s="167" t="n">
        <v>4</v>
      </c>
      <c r="C49" s="167">
        <f>IF(MAESTRO!D8="","",IFERROR(MAESTRO!D8,""))</f>
        <v/>
      </c>
      <c r="D49" s="167">
        <f>IF(MAESTRO!D8="","",IFERROR(COUNTIF('Asistencia (8°)'!C6:BH6,"-")+COUNTIF('Asistencia (8°)'!C49:BH49,"-")+COUNTIF('Asistencia (8°)'!C92:BH92,"-"),""))</f>
        <v/>
      </c>
      <c r="E49" s="167">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7">
        <f>IF(MAESTRO!D8="","",IFERROR(COUNTBLANK('PROM (Ingles 8°)'!C8:O8),""))</f>
        <v/>
      </c>
      <c r="G49" s="167" t="n"/>
      <c r="H49" s="167" t="n"/>
      <c r="I49" s="167" t="n"/>
      <c r="J49" s="167" t="n"/>
      <c r="K49" s="167" t="n"/>
      <c r="L49" s="167" t="n"/>
      <c r="M49" s="167" t="n"/>
      <c r="N49" s="167" t="n"/>
      <c r="O49" s="167" t="n"/>
      <c r="P49" s="167" t="n"/>
      <c r="Q49" s="167" t="n"/>
    </row>
    <row r="50">
      <c r="A50" s="167" t="inlineStr">
        <is>
          <t>8°</t>
        </is>
      </c>
      <c r="B50" s="167" t="n">
        <v>5</v>
      </c>
      <c r="C50" s="167">
        <f>IF(MAESTRO!D9="","",IFERROR(MAESTRO!D9,""))</f>
        <v/>
      </c>
      <c r="D50" s="167">
        <f>IF(MAESTRO!D9="","",IFERROR(COUNTIF('Asistencia (8°)'!C7:BH7,"-")+COUNTIF('Asistencia (8°)'!C50:BH50,"-")+COUNTIF('Asistencia (8°)'!C93:BH93,"-"),""))</f>
        <v/>
      </c>
      <c r="E50" s="167">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7">
        <f>IF(MAESTRO!D9="","",IFERROR(COUNTBLANK('PROM (Ingles 8°)'!C9:O9),""))</f>
        <v/>
      </c>
      <c r="G50" s="167" t="n"/>
      <c r="H50" s="167" t="n"/>
      <c r="I50" s="167" t="n"/>
      <c r="J50" s="167" t="n"/>
      <c r="K50" s="167" t="n"/>
      <c r="L50" s="167" t="n"/>
      <c r="M50" s="167" t="n"/>
      <c r="N50" s="167" t="n"/>
      <c r="O50" s="167" t="n"/>
      <c r="P50" s="167" t="n"/>
      <c r="Q50" s="167" t="n"/>
    </row>
    <row r="51">
      <c r="A51" s="167" t="inlineStr">
        <is>
          <t>8°</t>
        </is>
      </c>
      <c r="B51" s="167" t="n">
        <v>6</v>
      </c>
      <c r="C51" s="167">
        <f>IF(MAESTRO!D10="","",IFERROR(MAESTRO!D10,""))</f>
        <v/>
      </c>
      <c r="D51" s="167">
        <f>IF(MAESTRO!D10="","",IFERROR(COUNTIF('Asistencia (8°)'!C8:BH8,"-")+COUNTIF('Asistencia (8°)'!C51:BH51,"-")+COUNTIF('Asistencia (8°)'!C94:BH94,"-"),""))</f>
        <v/>
      </c>
      <c r="E51" s="167">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7">
        <f>IF(MAESTRO!D10="","",IFERROR(COUNTBLANK('PROM (Ingles 8°)'!C10:O10),""))</f>
        <v/>
      </c>
      <c r="G51" s="167" t="n"/>
      <c r="H51" s="167" t="n"/>
      <c r="I51" s="167" t="n"/>
      <c r="J51" s="167" t="n"/>
      <c r="K51" s="167" t="n"/>
      <c r="L51" s="167" t="n"/>
      <c r="M51" s="167" t="n"/>
      <c r="N51" s="167" t="n"/>
      <c r="O51" s="167" t="n"/>
      <c r="P51" s="167" t="n"/>
      <c r="Q51" s="167" t="n"/>
    </row>
    <row r="52">
      <c r="A52" s="167" t="inlineStr">
        <is>
          <t>8°</t>
        </is>
      </c>
      <c r="B52" s="167" t="n">
        <v>7</v>
      </c>
      <c r="C52" s="167">
        <f>IF(MAESTRO!D11="","",IFERROR(MAESTRO!D11,""))</f>
        <v/>
      </c>
      <c r="D52" s="167">
        <f>IF(MAESTRO!D11="","",IFERROR(COUNTIF('Asistencia (8°)'!C9:BH9,"-")+COUNTIF('Asistencia (8°)'!C52:BH52,"-")+COUNTIF('Asistencia (8°)'!C95:BH95,"-"),""))</f>
        <v/>
      </c>
      <c r="E52" s="167">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7">
        <f>IF(MAESTRO!D11="","",IFERROR(COUNTBLANK('PROM (Ingles 8°)'!C11:O11),""))</f>
        <v/>
      </c>
      <c r="G52" s="167" t="n"/>
      <c r="H52" s="167" t="n"/>
      <c r="I52" s="167" t="n"/>
      <c r="J52" s="167" t="n"/>
      <c r="K52" s="167" t="n"/>
      <c r="L52" s="167" t="n"/>
      <c r="M52" s="167" t="n"/>
      <c r="N52" s="167" t="n"/>
      <c r="O52" s="167" t="n"/>
      <c r="P52" s="167" t="n"/>
      <c r="Q52" s="167" t="n"/>
    </row>
    <row r="53">
      <c r="A53" s="167" t="inlineStr">
        <is>
          <t>8°</t>
        </is>
      </c>
      <c r="B53" s="167" t="n">
        <v>8</v>
      </c>
      <c r="C53" s="167">
        <f>IF(MAESTRO!D12="","",IFERROR(MAESTRO!D12,""))</f>
        <v/>
      </c>
      <c r="D53" s="167">
        <f>IF(MAESTRO!D12="","",IFERROR(COUNTIF('Asistencia (8°)'!C10:BH10,"-")+COUNTIF('Asistencia (8°)'!C53:BH53,"-")+COUNTIF('Asistencia (8°)'!C96:BH96,"-"),""))</f>
        <v/>
      </c>
      <c r="E53" s="167">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7">
        <f>IF(MAESTRO!D12="","",IFERROR(COUNTBLANK('PROM (Ingles 8°)'!C12:O12),""))</f>
        <v/>
      </c>
      <c r="G53" s="167" t="n"/>
      <c r="H53" s="167" t="n"/>
      <c r="I53" s="167" t="n"/>
      <c r="J53" s="167" t="n"/>
      <c r="K53" s="167" t="n"/>
      <c r="L53" s="167" t="n"/>
      <c r="M53" s="167" t="n"/>
      <c r="N53" s="167" t="n"/>
      <c r="O53" s="167" t="n"/>
      <c r="P53" s="167" t="n"/>
      <c r="Q53" s="167" t="n"/>
    </row>
    <row r="54">
      <c r="A54" s="167" t="inlineStr">
        <is>
          <t>8°</t>
        </is>
      </c>
      <c r="B54" s="167" t="n">
        <v>9</v>
      </c>
      <c r="C54" s="167">
        <f>IF(MAESTRO!D13="","",IFERROR(MAESTRO!D13,""))</f>
        <v/>
      </c>
      <c r="D54" s="167">
        <f>IF(MAESTRO!D13="","",IFERROR(COUNTIF('Asistencia (8°)'!C11:BH11,"-")+COUNTIF('Asistencia (8°)'!C54:BH54,"-")+COUNTIF('Asistencia (8°)'!C97:BH97,"-"),""))</f>
        <v/>
      </c>
      <c r="E54" s="167">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7">
        <f>IF(MAESTRO!D13="","",IFERROR(COUNTBLANK('PROM (Ingles 8°)'!C13:O13),""))</f>
        <v/>
      </c>
      <c r="G54" s="167" t="n"/>
      <c r="H54" s="167" t="n"/>
      <c r="I54" s="167" t="n"/>
      <c r="J54" s="167" t="n"/>
      <c r="K54" s="167" t="n"/>
      <c r="L54" s="167" t="n"/>
      <c r="M54" s="167" t="n"/>
      <c r="N54" s="167" t="n"/>
      <c r="O54" s="167" t="n"/>
      <c r="P54" s="167" t="n"/>
      <c r="Q54" s="167" t="n"/>
    </row>
    <row r="55">
      <c r="A55" s="167" t="inlineStr">
        <is>
          <t>8°</t>
        </is>
      </c>
      <c r="B55" s="167" t="n">
        <v>10</v>
      </c>
      <c r="C55" s="167">
        <f>IF(MAESTRO!D14="","",IFERROR(MAESTRO!D14,""))</f>
        <v/>
      </c>
      <c r="D55" s="167">
        <f>IF(MAESTRO!D14="","",IFERROR(COUNTIF('Asistencia (8°)'!C12:BH12,"-")+COUNTIF('Asistencia (8°)'!C55:BH55,"-")+COUNTIF('Asistencia (8°)'!C98:BH98,"-"),""))</f>
        <v/>
      </c>
      <c r="E55" s="167">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7">
        <f>IF(MAESTRO!D14="","",IFERROR(COUNTBLANK('PROM (Ingles 8°)'!C14:O14),""))</f>
        <v/>
      </c>
      <c r="G55" s="167" t="n"/>
      <c r="H55" s="167" t="n"/>
      <c r="I55" s="167" t="n"/>
      <c r="J55" s="167" t="n"/>
      <c r="K55" s="167" t="n"/>
      <c r="L55" s="167" t="n"/>
      <c r="M55" s="167" t="n"/>
      <c r="N55" s="167" t="n"/>
      <c r="O55" s="167" t="n"/>
      <c r="P55" s="167" t="n"/>
      <c r="Q55" s="167" t="n"/>
    </row>
    <row r="56">
      <c r="A56" s="167" t="inlineStr">
        <is>
          <t>8°</t>
        </is>
      </c>
      <c r="B56" s="167" t="n">
        <v>11</v>
      </c>
      <c r="C56" s="167">
        <f>IF(MAESTRO!D15="","",IFERROR(MAESTRO!D15,""))</f>
        <v/>
      </c>
      <c r="D56" s="167">
        <f>IF(MAESTRO!D15="","",IFERROR(COUNTIF('Asistencia (8°)'!C13:BH13,"-")+COUNTIF('Asistencia (8°)'!C56:BH56,"-")+COUNTIF('Asistencia (8°)'!C99:BH99,"-"),""))</f>
        <v/>
      </c>
      <c r="E56" s="167">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7">
        <f>IF(MAESTRO!D15="","",IFERROR(COUNTBLANK('PROM (Ingles 8°)'!C15:O15),""))</f>
        <v/>
      </c>
      <c r="G56" s="167" t="n"/>
      <c r="H56" s="167" t="n"/>
      <c r="I56" s="167" t="n"/>
      <c r="J56" s="167" t="n"/>
      <c r="K56" s="167" t="n"/>
      <c r="L56" s="167" t="n"/>
      <c r="M56" s="167" t="n"/>
      <c r="N56" s="167" t="n"/>
      <c r="O56" s="167" t="n"/>
      <c r="P56" s="167" t="n"/>
      <c r="Q56" s="167" t="n"/>
    </row>
    <row r="57">
      <c r="A57" s="167" t="inlineStr">
        <is>
          <t>8°</t>
        </is>
      </c>
      <c r="B57" s="167" t="n">
        <v>12</v>
      </c>
      <c r="C57" s="167">
        <f>IF(MAESTRO!D16="","",IFERROR(MAESTRO!D16,""))</f>
        <v/>
      </c>
      <c r="D57" s="167">
        <f>IF(MAESTRO!D16="","",IFERROR(COUNTIF('Asistencia (8°)'!C14:BH14,"-")+COUNTIF('Asistencia (8°)'!C57:BH57,"-")+COUNTIF('Asistencia (8°)'!C100:BH100,"-"),""))</f>
        <v/>
      </c>
      <c r="E57" s="167">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7">
        <f>IF(MAESTRO!D16="","",IFERROR(COUNTBLANK('PROM (Ingles 8°)'!C16:O16),""))</f>
        <v/>
      </c>
      <c r="G57" s="167" t="n"/>
      <c r="H57" s="167" t="n"/>
      <c r="I57" s="167" t="n"/>
      <c r="J57" s="167" t="n"/>
      <c r="K57" s="167" t="n"/>
      <c r="L57" s="167" t="n"/>
      <c r="M57" s="167" t="n"/>
      <c r="N57" s="167" t="n"/>
      <c r="O57" s="167" t="n"/>
      <c r="P57" s="167" t="n"/>
      <c r="Q57" s="167" t="n"/>
    </row>
    <row r="58">
      <c r="A58" s="167" t="inlineStr">
        <is>
          <t>8°</t>
        </is>
      </c>
      <c r="B58" s="167" t="n">
        <v>13</v>
      </c>
      <c r="C58" s="167">
        <f>IF(MAESTRO!D17="","",IFERROR(MAESTRO!D17,""))</f>
        <v/>
      </c>
      <c r="D58" s="167">
        <f>IF(MAESTRO!D17="","",IFERROR(COUNTIF('Asistencia (8°)'!C15:BH15,"-")+COUNTIF('Asistencia (8°)'!C58:BH58,"-")+COUNTIF('Asistencia (8°)'!C101:BH101,"-"),""))</f>
        <v/>
      </c>
      <c r="E58" s="167">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7">
        <f>IF(MAESTRO!D17="","",IFERROR(COUNTBLANK('PROM (Ingles 8°)'!C17:O17),""))</f>
        <v/>
      </c>
      <c r="G58" s="167" t="n"/>
      <c r="H58" s="167" t="n"/>
      <c r="I58" s="167" t="n"/>
      <c r="J58" s="167" t="n"/>
      <c r="K58" s="167" t="n"/>
      <c r="L58" s="167" t="n"/>
      <c r="M58" s="167" t="n"/>
      <c r="N58" s="167" t="n"/>
      <c r="O58" s="167" t="n"/>
      <c r="P58" s="167" t="n"/>
      <c r="Q58" s="167" t="n"/>
    </row>
    <row r="59">
      <c r="A59" s="167" t="inlineStr">
        <is>
          <t>8°</t>
        </is>
      </c>
      <c r="B59" s="167" t="n">
        <v>14</v>
      </c>
      <c r="C59" s="167">
        <f>IF(MAESTRO!D18="","",IFERROR(MAESTRO!D18,""))</f>
        <v/>
      </c>
      <c r="D59" s="167">
        <f>IF(MAESTRO!D18="","",IFERROR(COUNTIF('Asistencia (8°)'!C16:BH16,"-")+COUNTIF('Asistencia (8°)'!C59:BH59,"-")+COUNTIF('Asistencia (8°)'!C102:BH102,"-"),""))</f>
        <v/>
      </c>
      <c r="E59" s="167">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7">
        <f>IF(MAESTRO!D18="","",IFERROR(COUNTBLANK('PROM (Ingles 8°)'!C18:O18),""))</f>
        <v/>
      </c>
      <c r="G59" s="167" t="n"/>
      <c r="H59" s="167" t="n"/>
      <c r="I59" s="167" t="n"/>
      <c r="J59" s="167" t="n"/>
      <c r="K59" s="167" t="n"/>
      <c r="L59" s="167" t="n"/>
      <c r="M59" s="167" t="n"/>
      <c r="N59" s="167" t="n"/>
      <c r="O59" s="167" t="n"/>
      <c r="P59" s="167" t="n"/>
      <c r="Q59" s="167" t="n"/>
    </row>
    <row r="60">
      <c r="A60" s="167" t="inlineStr">
        <is>
          <t>8°</t>
        </is>
      </c>
      <c r="B60" s="167" t="n">
        <v>15</v>
      </c>
      <c r="C60" s="167">
        <f>IF(MAESTRO!D19="","",IFERROR(MAESTRO!D19,""))</f>
        <v/>
      </c>
      <c r="D60" s="167">
        <f>IF(MAESTRO!D19="","",IFERROR(COUNTIF('Asistencia (8°)'!C17:BH17,"-")+COUNTIF('Asistencia (8°)'!C60:BH60,"-")+COUNTIF('Asistencia (8°)'!C103:BH103,"-"),""))</f>
        <v/>
      </c>
      <c r="E60" s="167">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7">
        <f>IF(MAESTRO!D19="","",IFERROR(COUNTBLANK('PROM (Ingles 8°)'!C19:O19),""))</f>
        <v/>
      </c>
      <c r="G60" s="167" t="n"/>
      <c r="H60" s="167" t="n"/>
      <c r="I60" s="167" t="n"/>
      <c r="J60" s="167" t="n"/>
      <c r="K60" s="167" t="n"/>
      <c r="L60" s="167" t="n"/>
      <c r="M60" s="167" t="n"/>
      <c r="N60" s="167" t="n"/>
      <c r="O60" s="167" t="n"/>
      <c r="P60" s="167" t="n"/>
      <c r="Q60" s="167" t="n"/>
    </row>
    <row r="61">
      <c r="A61" s="167" t="inlineStr">
        <is>
          <t>8°</t>
        </is>
      </c>
      <c r="B61" s="167" t="n">
        <v>16</v>
      </c>
      <c r="C61" s="167">
        <f>IF(MAESTRO!D20="","",IFERROR(MAESTRO!D20,""))</f>
        <v/>
      </c>
      <c r="D61" s="167">
        <f>IF(MAESTRO!D20="","",IFERROR(COUNTIF('Asistencia (8°)'!C18:BH18,"-")+COUNTIF('Asistencia (8°)'!C61:BH61,"-")+COUNTIF('Asistencia (8°)'!C104:BH104,"-"),""))</f>
        <v/>
      </c>
      <c r="E61" s="167">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7">
        <f>IF(MAESTRO!D20="","",IFERROR(COUNTBLANK('PROM (Ingles 8°)'!C20:O20),""))</f>
        <v/>
      </c>
      <c r="G61" s="167" t="n"/>
      <c r="H61" s="167" t="n"/>
      <c r="I61" s="167" t="n"/>
      <c r="J61" s="167" t="n"/>
      <c r="K61" s="167" t="n"/>
      <c r="L61" s="167" t="n"/>
      <c r="M61" s="167" t="n"/>
      <c r="N61" s="167" t="n"/>
      <c r="O61" s="167" t="n"/>
      <c r="P61" s="167" t="n"/>
      <c r="Q61" s="167" t="n"/>
    </row>
    <row r="62">
      <c r="A62" s="167" t="inlineStr">
        <is>
          <t>8°</t>
        </is>
      </c>
      <c r="B62" s="167" t="n">
        <v>17</v>
      </c>
      <c r="C62" s="167">
        <f>IF(MAESTRO!D21="","",IFERROR(MAESTRO!D21,""))</f>
        <v/>
      </c>
      <c r="D62" s="167">
        <f>IF(MAESTRO!D21="","",IFERROR(COUNTIF('Asistencia (8°)'!C19:BH19,"-")+COUNTIF('Asistencia (8°)'!C62:BH62,"-")+COUNTIF('Asistencia (8°)'!C105:BH105,"-"),""))</f>
        <v/>
      </c>
      <c r="E62" s="167">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7">
        <f>IF(MAESTRO!D21="","",IFERROR(COUNTBLANK('PROM (Ingles 8°)'!C21:O21),""))</f>
        <v/>
      </c>
      <c r="G62" s="167" t="n"/>
      <c r="H62" s="167" t="n"/>
      <c r="I62" s="167" t="n"/>
      <c r="J62" s="167" t="n"/>
      <c r="K62" s="167" t="n"/>
      <c r="L62" s="167" t="n"/>
      <c r="M62" s="167" t="n"/>
      <c r="N62" s="167" t="n"/>
      <c r="O62" s="167" t="n"/>
      <c r="P62" s="167" t="n"/>
      <c r="Q62" s="167" t="n"/>
    </row>
    <row r="63">
      <c r="A63" s="167" t="inlineStr">
        <is>
          <t>8°</t>
        </is>
      </c>
      <c r="B63" s="167" t="n">
        <v>18</v>
      </c>
      <c r="C63" s="167">
        <f>IF(MAESTRO!D22="","",IFERROR(MAESTRO!D22,""))</f>
        <v/>
      </c>
      <c r="D63" s="167">
        <f>IF(MAESTRO!D22="","",IFERROR(COUNTIF('Asistencia (8°)'!C20:BH20,"-")+COUNTIF('Asistencia (8°)'!C63:BH63,"-")+COUNTIF('Asistencia (8°)'!C106:BH106,"-"),""))</f>
        <v/>
      </c>
      <c r="E63" s="167">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7">
        <f>IF(MAESTRO!D22="","",IFERROR(COUNTBLANK('PROM (Ingles 8°)'!C22:O22),""))</f>
        <v/>
      </c>
      <c r="G63" s="167" t="n"/>
      <c r="H63" s="167" t="n"/>
      <c r="I63" s="167" t="n"/>
      <c r="J63" s="167" t="n"/>
      <c r="K63" s="167" t="n"/>
      <c r="L63" s="167" t="n"/>
      <c r="M63" s="167" t="n"/>
      <c r="N63" s="167" t="n"/>
      <c r="O63" s="167" t="n"/>
      <c r="P63" s="167" t="n"/>
      <c r="Q63" s="167" t="n"/>
    </row>
    <row r="64">
      <c r="A64" s="167" t="inlineStr">
        <is>
          <t>8°</t>
        </is>
      </c>
      <c r="B64" s="167" t="n">
        <v>19</v>
      </c>
      <c r="C64" s="167">
        <f>IF(MAESTRO!D23="","",IFERROR(MAESTRO!D23,""))</f>
        <v/>
      </c>
      <c r="D64" s="167">
        <f>IF(MAESTRO!D23="","",IFERROR(COUNTIF('Asistencia (8°)'!C21:BH21,"-")+COUNTIF('Asistencia (8°)'!C64:BH64,"-")+COUNTIF('Asistencia (8°)'!C107:BH107,"-"),""))</f>
        <v/>
      </c>
      <c r="E64" s="167">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7">
        <f>IF(MAESTRO!D23="","",IFERROR(COUNTBLANK('PROM (Ingles 8°)'!C23:O23),""))</f>
        <v/>
      </c>
      <c r="G64" s="167" t="n"/>
      <c r="H64" s="167" t="n"/>
      <c r="I64" s="167" t="n"/>
      <c r="J64" s="167" t="n"/>
      <c r="K64" s="167" t="n"/>
      <c r="L64" s="167" t="n"/>
      <c r="M64" s="167" t="n"/>
      <c r="N64" s="167" t="n"/>
      <c r="O64" s="167" t="n"/>
      <c r="P64" s="167" t="n"/>
      <c r="Q64" s="167" t="n"/>
    </row>
    <row r="65">
      <c r="A65" s="167" t="inlineStr">
        <is>
          <t>8°</t>
        </is>
      </c>
      <c r="B65" s="167" t="n">
        <v>20</v>
      </c>
      <c r="C65" s="167">
        <f>IF(MAESTRO!D24="","",IFERROR(MAESTRO!D24,""))</f>
        <v/>
      </c>
      <c r="D65" s="167">
        <f>IF(MAESTRO!D24="","",IFERROR(COUNTIF('Asistencia (8°)'!C22:BH22,"-")+COUNTIF('Asistencia (8°)'!C65:BH65,"-")+COUNTIF('Asistencia (8°)'!C108:BH108,"-"),""))</f>
        <v/>
      </c>
      <c r="E65" s="167">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7">
        <f>IF(MAESTRO!D24="","",IFERROR(COUNTBLANK('PROM (Ingles 8°)'!C24:O24),""))</f>
        <v/>
      </c>
      <c r="G65" s="167" t="n"/>
      <c r="H65" s="167" t="n"/>
      <c r="I65" s="167" t="n"/>
      <c r="J65" s="167" t="n"/>
      <c r="K65" s="167" t="n"/>
      <c r="L65" s="167" t="n"/>
      <c r="M65" s="167" t="n"/>
      <c r="N65" s="167" t="n"/>
      <c r="O65" s="167" t="n"/>
      <c r="P65" s="167" t="n"/>
      <c r="Q65" s="167" t="n"/>
    </row>
    <row r="66">
      <c r="A66" s="167" t="inlineStr">
        <is>
          <t>8°</t>
        </is>
      </c>
      <c r="B66" s="167" t="n">
        <v>21</v>
      </c>
      <c r="C66" s="167">
        <f>IF(MAESTRO!D25="","",IFERROR(MAESTRO!D25,""))</f>
        <v/>
      </c>
      <c r="D66" s="167">
        <f>IF(MAESTRO!D25="","",IFERROR(COUNTIF('Asistencia (8°)'!C23:BH23,"-")+COUNTIF('Asistencia (8°)'!C66:BH66,"-")+COUNTIF('Asistencia (8°)'!C109:BH109,"-"),""))</f>
        <v/>
      </c>
      <c r="E66" s="167">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7">
        <f>IF(MAESTRO!D25="","",IFERROR(COUNTBLANK('PROM (Ingles 8°)'!C25:O25),""))</f>
        <v/>
      </c>
      <c r="G66" s="167" t="n"/>
      <c r="H66" s="167" t="n"/>
      <c r="I66" s="167" t="n"/>
      <c r="J66" s="167" t="n"/>
      <c r="K66" s="167" t="n"/>
      <c r="L66" s="167" t="n"/>
      <c r="M66" s="167" t="n"/>
      <c r="N66" s="167" t="n"/>
      <c r="O66" s="167" t="n"/>
      <c r="P66" s="167" t="n"/>
      <c r="Q66" s="167" t="n"/>
    </row>
    <row r="67">
      <c r="A67" s="167" t="inlineStr">
        <is>
          <t>8°</t>
        </is>
      </c>
      <c r="B67" s="167" t="n">
        <v>22</v>
      </c>
      <c r="C67" s="167">
        <f>IF(MAESTRO!D26="","",IFERROR(MAESTRO!D26,""))</f>
        <v/>
      </c>
      <c r="D67" s="167">
        <f>IF(MAESTRO!D26="","",IFERROR(COUNTIF('Asistencia (8°)'!C24:BH24,"-")+COUNTIF('Asistencia (8°)'!C67:BH67,"-")+COUNTIF('Asistencia (8°)'!C110:BH110,"-"),""))</f>
        <v/>
      </c>
      <c r="E67" s="167">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7">
        <f>IF(MAESTRO!D26="","",IFERROR(COUNTBLANK('PROM (Ingles 8°)'!C26:O26),""))</f>
        <v/>
      </c>
      <c r="G67" s="167" t="n"/>
      <c r="H67" s="167" t="n"/>
      <c r="I67" s="167" t="n"/>
      <c r="J67" s="167" t="n"/>
      <c r="K67" s="167" t="n"/>
      <c r="L67" s="167" t="n"/>
      <c r="M67" s="167" t="n"/>
      <c r="N67" s="167" t="n"/>
      <c r="O67" s="167" t="n"/>
      <c r="P67" s="167" t="n"/>
      <c r="Q67" s="167" t="n"/>
    </row>
    <row r="68">
      <c r="A68" s="167" t="inlineStr">
        <is>
          <t>8°</t>
        </is>
      </c>
      <c r="B68" s="167" t="n">
        <v>23</v>
      </c>
      <c r="C68" s="167">
        <f>IF(MAESTRO!D27="","",IFERROR(MAESTRO!D27,""))</f>
        <v/>
      </c>
      <c r="D68" s="167">
        <f>IF(MAESTRO!D27="","",IFERROR(COUNTIF('Asistencia (8°)'!C25:BH25,"-")+COUNTIF('Asistencia (8°)'!C68:BH68,"-")+COUNTIF('Asistencia (8°)'!C111:BH111,"-"),""))</f>
        <v/>
      </c>
      <c r="E68" s="167">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7">
        <f>IF(MAESTRO!D27="","",IFERROR(COUNTBLANK('PROM (Ingles 8°)'!C27:O27),""))</f>
        <v/>
      </c>
      <c r="G68" s="167" t="n"/>
      <c r="H68" s="167" t="n"/>
      <c r="I68" s="167" t="n"/>
      <c r="J68" s="167" t="n"/>
      <c r="K68" s="167" t="n"/>
      <c r="L68" s="167" t="n"/>
      <c r="M68" s="167" t="n"/>
      <c r="N68" s="167" t="n"/>
      <c r="O68" s="167" t="n"/>
      <c r="P68" s="167" t="n"/>
      <c r="Q68" s="167" t="n"/>
    </row>
    <row r="69">
      <c r="A69" s="167" t="inlineStr">
        <is>
          <t>8°</t>
        </is>
      </c>
      <c r="B69" s="167" t="n">
        <v>24</v>
      </c>
      <c r="C69" s="167">
        <f>IF(MAESTRO!D28="","",IFERROR(MAESTRO!D28,""))</f>
        <v/>
      </c>
      <c r="D69" s="167">
        <f>IF(MAESTRO!D28="","",IFERROR(COUNTIF('Asistencia (8°)'!C26:BH26,"-")+COUNTIF('Asistencia (8°)'!C69:BH69,"-")+COUNTIF('Asistencia (8°)'!C112:BH112,"-"),""))</f>
        <v/>
      </c>
      <c r="E69" s="167">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7">
        <f>IF(MAESTRO!D28="","",IFERROR(COUNTBLANK('PROM (Ingles 8°)'!C28:O28),""))</f>
        <v/>
      </c>
      <c r="G69" s="167" t="n"/>
      <c r="H69" s="167" t="n"/>
      <c r="I69" s="167" t="n"/>
      <c r="J69" s="167" t="n"/>
      <c r="K69" s="167" t="n"/>
      <c r="L69" s="167" t="n"/>
      <c r="M69" s="167" t="n"/>
      <c r="N69" s="167" t="n"/>
      <c r="O69" s="167" t="n"/>
      <c r="P69" s="167" t="n"/>
      <c r="Q69" s="167" t="n"/>
    </row>
    <row r="70">
      <c r="A70" s="167" t="inlineStr">
        <is>
          <t>8°</t>
        </is>
      </c>
      <c r="B70" s="167" t="n">
        <v>25</v>
      </c>
      <c r="C70" s="167">
        <f>IF(MAESTRO!D29="","",IFERROR(MAESTRO!D29,""))</f>
        <v/>
      </c>
      <c r="D70" s="167">
        <f>IF(MAESTRO!D29="","",IFERROR(COUNTIF('Asistencia (8°)'!C27:BH27,"-")+COUNTIF('Asistencia (8°)'!C70:BH70,"-")+COUNTIF('Asistencia (8°)'!C113:BH113,"-"),""))</f>
        <v/>
      </c>
      <c r="E70" s="167">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7">
        <f>IF(MAESTRO!D29="","",IFERROR(COUNTBLANK('PROM (Ingles 8°)'!C29:O29),""))</f>
        <v/>
      </c>
      <c r="G70" s="167" t="n"/>
      <c r="H70" s="167" t="n"/>
      <c r="I70" s="167" t="n"/>
      <c r="J70" s="167" t="n"/>
      <c r="K70" s="167" t="n"/>
      <c r="L70" s="167" t="n"/>
      <c r="M70" s="167" t="n"/>
      <c r="N70" s="167" t="n"/>
      <c r="O70" s="167" t="n"/>
      <c r="P70" s="167" t="n"/>
      <c r="Q70" s="167" t="n"/>
    </row>
    <row r="71">
      <c r="A71" s="167" t="inlineStr">
        <is>
          <t>8°</t>
        </is>
      </c>
      <c r="B71" s="167" t="n">
        <v>26</v>
      </c>
      <c r="C71" s="167">
        <f>IF(MAESTRO!D30="","",IFERROR(MAESTRO!D30,""))</f>
        <v/>
      </c>
      <c r="D71" s="167">
        <f>IF(MAESTRO!D30="","",IFERROR(COUNTIF('Asistencia (8°)'!C28:BH28,"-")+COUNTIF('Asistencia (8°)'!C71:BH71,"-")+COUNTIF('Asistencia (8°)'!C114:BH114,"-"),""))</f>
        <v/>
      </c>
      <c r="E71" s="167">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7">
        <f>IF(MAESTRO!D30="","",IFERROR(COUNTBLANK('PROM (Ingles 8°)'!C30:O30),""))</f>
        <v/>
      </c>
      <c r="G71" s="167" t="n"/>
      <c r="H71" s="167" t="n"/>
      <c r="I71" s="167" t="n"/>
      <c r="J71" s="167" t="n"/>
      <c r="K71" s="167" t="n"/>
      <c r="L71" s="167" t="n"/>
      <c r="M71" s="167" t="n"/>
      <c r="N71" s="167" t="n"/>
      <c r="O71" s="167" t="n"/>
      <c r="P71" s="167" t="n"/>
      <c r="Q71" s="167" t="n"/>
    </row>
    <row r="72">
      <c r="A72" s="167" t="inlineStr">
        <is>
          <t>8°</t>
        </is>
      </c>
      <c r="B72" s="167" t="n">
        <v>27</v>
      </c>
      <c r="C72" s="167">
        <f>IF(MAESTRO!D31="","",IFERROR(MAESTRO!D31,""))</f>
        <v/>
      </c>
      <c r="D72" s="167">
        <f>IF(MAESTRO!D31="","",IFERROR(COUNTIF('Asistencia (8°)'!C29:BH29,"-")+COUNTIF('Asistencia (8°)'!C72:BH72,"-")+COUNTIF('Asistencia (8°)'!C115:BH115,"-"),""))</f>
        <v/>
      </c>
      <c r="E72" s="167">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7">
        <f>IF(MAESTRO!D31="","",IFERROR(COUNTBLANK('PROM (Ingles 8°)'!C31:O31),""))</f>
        <v/>
      </c>
      <c r="G72" s="167" t="n"/>
      <c r="H72" s="167" t="n"/>
      <c r="I72" s="167" t="n"/>
      <c r="J72" s="167" t="n"/>
      <c r="K72" s="167" t="n"/>
      <c r="L72" s="167" t="n"/>
      <c r="M72" s="167" t="n"/>
      <c r="N72" s="167" t="n"/>
      <c r="O72" s="167" t="n"/>
      <c r="P72" s="167" t="n"/>
      <c r="Q72" s="167" t="n"/>
    </row>
    <row r="73">
      <c r="A73" s="167" t="inlineStr">
        <is>
          <t>8°</t>
        </is>
      </c>
      <c r="B73" s="167" t="n">
        <v>28</v>
      </c>
      <c r="C73" s="167">
        <f>IF(MAESTRO!D32="","",IFERROR(MAESTRO!D32,""))</f>
        <v/>
      </c>
      <c r="D73" s="167">
        <f>IF(MAESTRO!D32="","",IFERROR(COUNTIF('Asistencia (8°)'!C30:BH30,"-")+COUNTIF('Asistencia (8°)'!C73:BH73,"-")+COUNTIF('Asistencia (8°)'!C116:BH116,"-"),""))</f>
        <v/>
      </c>
      <c r="E73" s="167">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7">
        <f>IF(MAESTRO!D32="","",IFERROR(COUNTBLANK('PROM (Ingles 8°)'!C32:O32),""))</f>
        <v/>
      </c>
      <c r="G73" s="167" t="n"/>
      <c r="H73" s="167" t="n"/>
      <c r="I73" s="167" t="n"/>
      <c r="J73" s="167" t="n"/>
      <c r="K73" s="167" t="n"/>
      <c r="L73" s="167" t="n"/>
      <c r="M73" s="167" t="n"/>
      <c r="N73" s="167" t="n"/>
      <c r="O73" s="167" t="n"/>
      <c r="P73" s="167" t="n"/>
      <c r="Q73" s="167" t="n"/>
    </row>
    <row r="74">
      <c r="A74" s="167" t="inlineStr">
        <is>
          <t>8°</t>
        </is>
      </c>
      <c r="B74" s="167" t="n">
        <v>29</v>
      </c>
      <c r="C74" s="167">
        <f>IF(MAESTRO!D33="","",IFERROR(MAESTRO!D33,""))</f>
        <v/>
      </c>
      <c r="D74" s="167">
        <f>IF(MAESTRO!D33="","",IFERROR(COUNTIF('Asistencia (8°)'!C31:BH31,"-")+COUNTIF('Asistencia (8°)'!C74:BH74,"-")+COUNTIF('Asistencia (8°)'!C117:BH117,"-"),""))</f>
        <v/>
      </c>
      <c r="E74" s="167">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7">
        <f>IF(MAESTRO!D33="","",IFERROR(COUNTBLANK('PROM (Ingles 8°)'!C33:O33),""))</f>
        <v/>
      </c>
      <c r="G74" s="167" t="n"/>
      <c r="H74" s="167" t="n"/>
      <c r="I74" s="167" t="n"/>
      <c r="J74" s="167" t="n"/>
      <c r="K74" s="167" t="n"/>
      <c r="L74" s="167" t="n"/>
      <c r="M74" s="167" t="n"/>
      <c r="N74" s="167" t="n"/>
      <c r="O74" s="167" t="n"/>
      <c r="P74" s="167" t="n"/>
      <c r="Q74" s="167" t="n"/>
    </row>
    <row r="75">
      <c r="A75" s="167" t="inlineStr">
        <is>
          <t>8°</t>
        </is>
      </c>
      <c r="B75" s="167" t="n">
        <v>30</v>
      </c>
      <c r="C75" s="167">
        <f>IF(MAESTRO!D34="","",IFERROR(MAESTRO!D34,""))</f>
        <v/>
      </c>
      <c r="D75" s="167">
        <f>IF(MAESTRO!D34="","",IFERROR(COUNTIF('Asistencia (8°)'!C32:BH32,"-")+COUNTIF('Asistencia (8°)'!C75:BH75,"-")+COUNTIF('Asistencia (8°)'!C118:BH118,"-"),""))</f>
        <v/>
      </c>
      <c r="E75" s="167">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7">
        <f>IF(MAESTRO!D34="","",IFERROR(COUNTBLANK('PROM (Ingles 8°)'!C34:O34),""))</f>
        <v/>
      </c>
      <c r="G75" s="167" t="n"/>
      <c r="H75" s="167" t="n"/>
      <c r="I75" s="167" t="n"/>
      <c r="J75" s="167" t="n"/>
      <c r="K75" s="167" t="n"/>
      <c r="L75" s="167" t="n"/>
      <c r="M75" s="167" t="n"/>
      <c r="N75" s="167" t="n"/>
      <c r="O75" s="167" t="n"/>
      <c r="P75" s="167" t="n"/>
      <c r="Q75" s="167" t="n"/>
    </row>
    <row r="76">
      <c r="A76" s="167" t="inlineStr">
        <is>
          <t>8°</t>
        </is>
      </c>
      <c r="B76" s="167" t="n">
        <v>31</v>
      </c>
      <c r="C76" s="167">
        <f>IF(MAESTRO!D35="","",IFERROR(MAESTRO!D35,""))</f>
        <v/>
      </c>
      <c r="D76" s="167">
        <f>IF(MAESTRO!D35="","",IFERROR(COUNTIF('Asistencia (8°)'!C33:BH33,"-")+COUNTIF('Asistencia (8°)'!C76:BH76,"-")+COUNTIF('Asistencia (8°)'!C119:BH119,"-"),""))</f>
        <v/>
      </c>
      <c r="E76" s="167">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7">
        <f>IF(MAESTRO!D35="","",IFERROR(COUNTBLANK('PROM (Ingles 8°)'!C35:O35),""))</f>
        <v/>
      </c>
      <c r="G76" s="167" t="n"/>
      <c r="H76" s="167" t="n"/>
      <c r="I76" s="167" t="n"/>
      <c r="J76" s="167" t="n"/>
      <c r="K76" s="167" t="n"/>
      <c r="L76" s="167" t="n"/>
      <c r="M76" s="167" t="n"/>
      <c r="N76" s="167" t="n"/>
      <c r="O76" s="167" t="n"/>
      <c r="P76" s="167" t="n"/>
      <c r="Q76" s="167" t="n"/>
    </row>
    <row r="77">
      <c r="A77" s="167" t="inlineStr">
        <is>
          <t>8°</t>
        </is>
      </c>
      <c r="B77" s="167" t="n">
        <v>32</v>
      </c>
      <c r="C77" s="167">
        <f>IF(MAESTRO!D36="","",IFERROR(MAESTRO!D36,""))</f>
        <v/>
      </c>
      <c r="D77" s="167">
        <f>IF(MAESTRO!D36="","",IFERROR(COUNTIF('Asistencia (8°)'!C34:BH34,"-")+COUNTIF('Asistencia (8°)'!C77:BH77,"-")+COUNTIF('Asistencia (8°)'!C120:BH120,"-"),""))</f>
        <v/>
      </c>
      <c r="E77" s="167">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7">
        <f>IF(MAESTRO!D36="","",IFERROR(COUNTBLANK('PROM (Ingles 8°)'!C36:O36),""))</f>
        <v/>
      </c>
      <c r="G77" s="167" t="n"/>
      <c r="H77" s="167" t="n"/>
      <c r="I77" s="167" t="n"/>
      <c r="J77" s="167" t="n"/>
      <c r="K77" s="167" t="n"/>
      <c r="L77" s="167" t="n"/>
      <c r="M77" s="167" t="n"/>
      <c r="N77" s="167" t="n"/>
      <c r="O77" s="167" t="n"/>
      <c r="P77" s="167" t="n"/>
      <c r="Q77" s="167" t="n"/>
    </row>
    <row r="78">
      <c r="A78" s="167" t="inlineStr">
        <is>
          <t>8°</t>
        </is>
      </c>
      <c r="B78" s="167" t="n">
        <v>33</v>
      </c>
      <c r="C78" s="167">
        <f>IF(MAESTRO!D37="","",IFERROR(MAESTRO!D37,""))</f>
        <v/>
      </c>
      <c r="D78" s="167">
        <f>IF(MAESTRO!D37="","",IFERROR(COUNTIF('Asistencia (8°)'!C35:BH35,"-")+COUNTIF('Asistencia (8°)'!C78:BH78,"-")+COUNTIF('Asistencia (8°)'!C121:BH121,"-"),""))</f>
        <v/>
      </c>
      <c r="E78" s="167">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7">
        <f>IF(MAESTRO!D37="","",IFERROR(COUNTBLANK('PROM (Ingles 8°)'!C37:O37),""))</f>
        <v/>
      </c>
      <c r="G78" s="167" t="n"/>
      <c r="H78" s="167" t="n"/>
      <c r="I78" s="167" t="n"/>
      <c r="J78" s="167" t="n"/>
      <c r="K78" s="167" t="n"/>
      <c r="L78" s="167" t="n"/>
      <c r="M78" s="167" t="n"/>
      <c r="N78" s="167" t="n"/>
      <c r="O78" s="167" t="n"/>
      <c r="P78" s="167" t="n"/>
      <c r="Q78" s="167" t="n"/>
    </row>
    <row r="79">
      <c r="A79" s="167" t="inlineStr">
        <is>
          <t>8°</t>
        </is>
      </c>
      <c r="B79" s="167" t="n">
        <v>34</v>
      </c>
      <c r="C79" s="167">
        <f>IF(MAESTRO!D38="","",IFERROR(MAESTRO!D38,""))</f>
        <v/>
      </c>
      <c r="D79" s="167">
        <f>IF(MAESTRO!D38="","",IFERROR(COUNTIF('Asistencia (8°)'!C36:BH36,"-")+COUNTIF('Asistencia (8°)'!C79:BH79,"-")+COUNTIF('Asistencia (8°)'!C122:BH122,"-"),""))</f>
        <v/>
      </c>
      <c r="E79" s="167">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7">
        <f>IF(MAESTRO!D38="","",IFERROR(COUNTBLANK('PROM (Ingles 8°)'!C38:O38),""))</f>
        <v/>
      </c>
      <c r="G79" s="167" t="n"/>
      <c r="H79" s="167" t="n"/>
      <c r="I79" s="167" t="n"/>
      <c r="J79" s="167" t="n"/>
      <c r="K79" s="167" t="n"/>
      <c r="L79" s="167" t="n"/>
      <c r="M79" s="167" t="n"/>
      <c r="N79" s="167" t="n"/>
      <c r="O79" s="167" t="n"/>
      <c r="P79" s="167" t="n"/>
      <c r="Q79" s="167" t="n"/>
    </row>
    <row r="80">
      <c r="A80" s="167" t="inlineStr">
        <is>
          <t>8°</t>
        </is>
      </c>
      <c r="B80" s="167" t="n">
        <v>35</v>
      </c>
      <c r="C80" s="167">
        <f>IF(MAESTRO!D39="","",IFERROR(MAESTRO!D39,""))</f>
        <v/>
      </c>
      <c r="D80" s="167">
        <f>IF(MAESTRO!D39="","",IFERROR(COUNTIF('Asistencia (8°)'!C37:BH37,"-")+COUNTIF('Asistencia (8°)'!C80:BH80,"-")+COUNTIF('Asistencia (8°)'!C123:BH123,"-"),""))</f>
        <v/>
      </c>
      <c r="E80" s="167">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7">
        <f>IF(MAESTRO!D39="","",IFERROR(COUNTBLANK('PROM (Ingles 8°)'!C39:O39),""))</f>
        <v/>
      </c>
      <c r="G80" s="167" t="n"/>
      <c r="H80" s="167" t="n"/>
      <c r="I80" s="167" t="n"/>
      <c r="J80" s="167" t="n"/>
      <c r="K80" s="167" t="n"/>
      <c r="L80" s="167" t="n"/>
      <c r="M80" s="167" t="n"/>
      <c r="N80" s="167" t="n"/>
      <c r="O80" s="167" t="n"/>
      <c r="P80" s="167" t="n"/>
      <c r="Q80" s="167" t="n"/>
    </row>
    <row r="81">
      <c r="A81" s="167" t="inlineStr">
        <is>
          <t>8°</t>
        </is>
      </c>
      <c r="B81" s="167" t="n">
        <v>36</v>
      </c>
      <c r="C81" s="167">
        <f>IF(MAESTRO!D40="","",IFERROR(MAESTRO!D40,""))</f>
        <v/>
      </c>
      <c r="D81" s="167">
        <f>IF(MAESTRO!D40="","",IFERROR(COUNTIF('Asistencia (8°)'!C38:BH38,"-")+COUNTIF('Asistencia (8°)'!C81:BH81,"-")+COUNTIF('Asistencia (8°)'!C124:BH124,"-"),""))</f>
        <v/>
      </c>
      <c r="E81" s="167">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7">
        <f>IF(MAESTRO!D40="","",IFERROR(COUNTBLANK('PROM (Ingles 8°)'!C40:O40),""))</f>
        <v/>
      </c>
      <c r="G81" s="167" t="n"/>
      <c r="H81" s="167" t="n"/>
      <c r="I81" s="167" t="n"/>
      <c r="J81" s="167" t="n"/>
      <c r="K81" s="167" t="n"/>
      <c r="L81" s="167" t="n"/>
      <c r="M81" s="167" t="n"/>
      <c r="N81" s="167" t="n"/>
      <c r="O81" s="167" t="n"/>
      <c r="P81" s="167" t="n"/>
      <c r="Q81" s="167" t="n"/>
    </row>
    <row r="82">
      <c r="A82" s="167" t="inlineStr">
        <is>
          <t>8°</t>
        </is>
      </c>
      <c r="B82" s="167" t="n">
        <v>37</v>
      </c>
      <c r="C82" s="167">
        <f>IF(MAESTRO!D41="","",IFERROR(MAESTRO!D41,""))</f>
        <v/>
      </c>
      <c r="D82" s="167">
        <f>IF(MAESTRO!D41="","",IFERROR(COUNTIF('Asistencia (8°)'!C39:BH39,"-")+COUNTIF('Asistencia (8°)'!C82:BH82,"-")+COUNTIF('Asistencia (8°)'!C125:BH125,"-"),""))</f>
        <v/>
      </c>
      <c r="E82" s="167">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7">
        <f>IF(MAESTRO!D41="","",IFERROR(COUNTBLANK('PROM (Ingles 8°)'!C41:O41),""))</f>
        <v/>
      </c>
      <c r="G82" s="167" t="n"/>
      <c r="H82" s="167" t="n"/>
      <c r="I82" s="167" t="n"/>
      <c r="J82" s="167" t="n"/>
      <c r="K82" s="167" t="n"/>
      <c r="L82" s="167" t="n"/>
      <c r="M82" s="167" t="n"/>
      <c r="N82" s="167" t="n"/>
      <c r="O82" s="167" t="n"/>
      <c r="P82" s="167" t="n"/>
      <c r="Q82" s="167" t="n"/>
    </row>
    <row r="83">
      <c r="A83" s="167" t="inlineStr">
        <is>
          <t>8°</t>
        </is>
      </c>
      <c r="B83" s="167" t="n">
        <v>38</v>
      </c>
      <c r="C83" s="167">
        <f>IF(MAESTRO!D42="","",IFERROR(MAESTRO!D42,""))</f>
        <v/>
      </c>
      <c r="D83" s="167">
        <f>IF(MAESTRO!D42="","",IFERROR(COUNTIF('Asistencia (8°)'!C40:BH40,"-")+COUNTIF('Asistencia (8°)'!C83:BH83,"-")+COUNTIF('Asistencia (8°)'!C126:BH126,"-"),""))</f>
        <v/>
      </c>
      <c r="E83" s="167">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7">
        <f>IF(MAESTRO!D42="","",IFERROR(COUNTBLANK('PROM (Ingles 8°)'!C42:O42),""))</f>
        <v/>
      </c>
      <c r="G83" s="167" t="n"/>
      <c r="H83" s="167" t="n"/>
      <c r="I83" s="167" t="n"/>
      <c r="J83" s="167" t="n"/>
      <c r="K83" s="167" t="n"/>
      <c r="L83" s="167" t="n"/>
      <c r="M83" s="167" t="n"/>
      <c r="N83" s="167" t="n"/>
      <c r="O83" s="167" t="n"/>
      <c r="P83" s="167" t="n"/>
      <c r="Q83" s="167" t="n"/>
    </row>
    <row r="84">
      <c r="A84" s="167" t="inlineStr">
        <is>
          <t>8°</t>
        </is>
      </c>
      <c r="B84" s="167" t="n">
        <v>39</v>
      </c>
      <c r="C84" s="167">
        <f>IF(MAESTRO!D43="","",IFERROR(MAESTRO!D43,""))</f>
        <v/>
      </c>
      <c r="D84" s="167">
        <f>IF(MAESTRO!D43="","",IFERROR(COUNTIF('Asistencia (8°)'!C41:BH41,"-")+COUNTIF('Asistencia (8°)'!C84:BH84,"-")+COUNTIF('Asistencia (8°)'!C127:BH127,"-"),""))</f>
        <v/>
      </c>
      <c r="E84" s="167">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7">
        <f>IF(MAESTRO!D43="","",IFERROR(COUNTBLANK('PROM (Ingles 8°)'!C43:O43),""))</f>
        <v/>
      </c>
      <c r="G84" s="167" t="n"/>
      <c r="H84" s="167" t="n"/>
      <c r="I84" s="167" t="n"/>
      <c r="J84" s="167" t="n"/>
      <c r="K84" s="167" t="n"/>
      <c r="L84" s="167" t="n"/>
      <c r="M84" s="167" t="n"/>
      <c r="N84" s="167" t="n"/>
      <c r="O84" s="167" t="n"/>
      <c r="P84" s="167" t="n"/>
      <c r="Q84" s="167" t="n"/>
    </row>
    <row r="85">
      <c r="A85" s="167" t="inlineStr">
        <is>
          <t>8°</t>
        </is>
      </c>
      <c r="B85" s="167" t="n">
        <v>40</v>
      </c>
      <c r="C85" s="167">
        <f>IF(MAESTRO!D44="","",IFERROR(MAESTRO!D44,""))</f>
        <v/>
      </c>
      <c r="D85" s="167">
        <f>IF(MAESTRO!D44="","",IFERROR(COUNTIF('Asistencia (8°)'!C42:BH42,"-")+COUNTIF('Asistencia (8°)'!C85:BH85,"-")+COUNTIF('Asistencia (8°)'!C128:BH128,"-"),""))</f>
        <v/>
      </c>
      <c r="E85" s="167">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7">
        <f>IF(MAESTRO!D44="","",IFERROR(COUNTBLANK('PROM (Ingles 8°)'!C44:O44),""))</f>
        <v/>
      </c>
      <c r="G85" s="167" t="n"/>
      <c r="H85" s="167" t="n"/>
      <c r="I85" s="167" t="n"/>
      <c r="J85" s="167" t="n"/>
      <c r="K85" s="167" t="n"/>
      <c r="L85" s="167" t="n"/>
      <c r="M85" s="167" t="n"/>
      <c r="N85" s="167" t="n"/>
      <c r="O85" s="167" t="n"/>
      <c r="P85" s="167" t="n"/>
      <c r="Q85" s="167" t="n"/>
    </row>
    <row r="86">
      <c r="A86" s="167" t="inlineStr">
        <is>
          <t>9°</t>
        </is>
      </c>
      <c r="B86" s="167" t="n">
        <v>1</v>
      </c>
      <c r="C86" s="167">
        <f>IF(MAESTRO!F5="","",IFERROR(MAESTRO!F5,""))</f>
        <v/>
      </c>
      <c r="D86" s="167">
        <f>IF(MAESTRO!F5="","",IFERROR(COUNTIF('Asistencia (9°)'!C3:BH3,"-")+COUNTIF('Asistencia (9°)'!C46:BH46,"-")+COUNTIF('Asistencia (9°)'!C89:BH89,"-"),""))</f>
        <v/>
      </c>
      <c r="E86" s="167">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7">
        <f>IF(MAESTRO!F5="","",IFERROR(COUNTBLANK('PROM (Ingles 9°)'!C5:O5),""))</f>
        <v/>
      </c>
      <c r="G86" s="167" t="n"/>
      <c r="H86" s="167" t="n"/>
      <c r="I86" s="167" t="n"/>
      <c r="J86" s="167" t="n"/>
      <c r="K86" s="167" t="n"/>
      <c r="L86" s="167" t="n"/>
      <c r="M86" s="167" t="n"/>
      <c r="N86" s="167" t="n"/>
      <c r="O86" s="167" t="n"/>
      <c r="P86" s="167" t="n"/>
      <c r="Q86" s="167" t="n"/>
    </row>
    <row r="87">
      <c r="A87" s="167" t="inlineStr">
        <is>
          <t>9°</t>
        </is>
      </c>
      <c r="B87" s="167" t="n">
        <v>2</v>
      </c>
      <c r="C87" s="167">
        <f>IF(MAESTRO!F6="","",IFERROR(MAESTRO!F6,""))</f>
        <v/>
      </c>
      <c r="D87" s="167">
        <f>IF(MAESTRO!F6="","",IFERROR(COUNTIF('Asistencia (9°)'!C4:BH4,"-")+COUNTIF('Asistencia (9°)'!C47:BH47,"-")+COUNTIF('Asistencia (9°)'!C90:BH90,"-"),""))</f>
        <v/>
      </c>
      <c r="E87" s="167">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7">
        <f>IF(MAESTRO!F6="","",IFERROR(COUNTBLANK('PROM (Ingles 9°)'!C6:O6),""))</f>
        <v/>
      </c>
      <c r="G87" s="167" t="n"/>
      <c r="H87" s="167" t="n"/>
      <c r="I87" s="167" t="n"/>
      <c r="J87" s="167" t="n"/>
      <c r="K87" s="167" t="n"/>
      <c r="L87" s="167" t="n"/>
      <c r="M87" s="167" t="n"/>
      <c r="N87" s="167" t="n"/>
      <c r="O87" s="167" t="n"/>
      <c r="P87" s="167" t="n"/>
      <c r="Q87" s="167" t="n"/>
    </row>
    <row r="88">
      <c r="A88" s="167" t="inlineStr">
        <is>
          <t>9°</t>
        </is>
      </c>
      <c r="B88" s="167" t="n">
        <v>3</v>
      </c>
      <c r="C88" s="167">
        <f>IF(MAESTRO!F7="","",IFERROR(MAESTRO!F7,""))</f>
        <v/>
      </c>
      <c r="D88" s="167">
        <f>IF(MAESTRO!F7="","",IFERROR(COUNTIF('Asistencia (9°)'!C5:BH5,"-")+COUNTIF('Asistencia (9°)'!C48:BH48,"-")+COUNTIF('Asistencia (9°)'!C91:BH91,"-"),""))</f>
        <v/>
      </c>
      <c r="E88" s="167">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7">
        <f>IF(MAESTRO!F7="","",IFERROR(COUNTBLANK('PROM (Ingles 9°)'!C7:O7),""))</f>
        <v/>
      </c>
      <c r="G88" s="167" t="n"/>
      <c r="H88" s="167" t="n"/>
      <c r="I88" s="167" t="n"/>
      <c r="J88" s="167" t="n"/>
      <c r="K88" s="167" t="n"/>
      <c r="L88" s="167" t="n"/>
      <c r="M88" s="167" t="n"/>
      <c r="N88" s="167" t="n"/>
      <c r="O88" s="167" t="n"/>
      <c r="P88" s="167" t="n"/>
      <c r="Q88" s="167" t="n"/>
    </row>
    <row r="89">
      <c r="A89" s="167" t="inlineStr">
        <is>
          <t>9°</t>
        </is>
      </c>
      <c r="B89" s="167" t="n">
        <v>4</v>
      </c>
      <c r="C89" s="167">
        <f>IF(MAESTRO!F8="","",IFERROR(MAESTRO!F8,""))</f>
        <v/>
      </c>
      <c r="D89" s="167">
        <f>IF(MAESTRO!F8="","",IFERROR(COUNTIF('Asistencia (9°)'!C6:BH6,"-")+COUNTIF('Asistencia (9°)'!C49:BH49,"-")+COUNTIF('Asistencia (9°)'!C92:BH92,"-"),""))</f>
        <v/>
      </c>
      <c r="E89" s="167">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7">
        <f>IF(MAESTRO!F8="","",IFERROR(COUNTBLANK('PROM (Ingles 9°)'!C8:O8),""))</f>
        <v/>
      </c>
      <c r="G89" s="167" t="n"/>
      <c r="H89" s="167" t="n"/>
      <c r="I89" s="167" t="n"/>
      <c r="J89" s="167" t="n"/>
      <c r="K89" s="167" t="n"/>
      <c r="L89" s="167" t="n"/>
      <c r="M89" s="167" t="n"/>
      <c r="N89" s="167" t="n"/>
      <c r="O89" s="167" t="n"/>
      <c r="P89" s="167" t="n"/>
      <c r="Q89" s="167" t="n"/>
    </row>
    <row r="90">
      <c r="A90" s="167" t="inlineStr">
        <is>
          <t>9°</t>
        </is>
      </c>
      <c r="B90" s="167" t="n">
        <v>5</v>
      </c>
      <c r="C90" s="167">
        <f>IF(MAESTRO!F9="","",IFERROR(MAESTRO!F9,""))</f>
        <v/>
      </c>
      <c r="D90" s="167">
        <f>IF(MAESTRO!F9="","",IFERROR(COUNTIF('Asistencia (9°)'!C7:BH7,"-")+COUNTIF('Asistencia (9°)'!C50:BH50,"-")+COUNTIF('Asistencia (9°)'!C93:BH93,"-"),""))</f>
        <v/>
      </c>
      <c r="E90" s="167">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7">
        <f>IF(MAESTRO!F9="","",IFERROR(COUNTBLANK('PROM (Ingles 9°)'!C9:O9),""))</f>
        <v/>
      </c>
      <c r="G90" s="167" t="n"/>
      <c r="H90" s="167" t="n"/>
      <c r="I90" s="167" t="n"/>
      <c r="J90" s="167" t="n"/>
      <c r="K90" s="167" t="n"/>
      <c r="L90" s="167" t="n"/>
      <c r="M90" s="167" t="n"/>
      <c r="N90" s="167" t="n"/>
      <c r="O90" s="167" t="n"/>
      <c r="P90" s="167" t="n"/>
      <c r="Q90" s="167" t="n"/>
    </row>
    <row r="91">
      <c r="A91" s="167" t="inlineStr">
        <is>
          <t>9°</t>
        </is>
      </c>
      <c r="B91" s="167" t="n">
        <v>6</v>
      </c>
      <c r="C91" s="167">
        <f>IF(MAESTRO!F10="","",IFERROR(MAESTRO!F10,""))</f>
        <v/>
      </c>
      <c r="D91" s="167">
        <f>IF(MAESTRO!F10="","",IFERROR(COUNTIF('Asistencia (9°)'!C8:BH8,"-")+COUNTIF('Asistencia (9°)'!C51:BH51,"-")+COUNTIF('Asistencia (9°)'!C94:BH94,"-"),""))</f>
        <v/>
      </c>
      <c r="E91" s="167">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7">
        <f>IF(MAESTRO!F10="","",IFERROR(COUNTBLANK('PROM (Ingles 9°)'!C10:O10),""))</f>
        <v/>
      </c>
      <c r="G91" s="167" t="n"/>
      <c r="H91" s="167" t="n"/>
      <c r="I91" s="167" t="n"/>
      <c r="J91" s="167" t="n"/>
      <c r="K91" s="167" t="n"/>
      <c r="L91" s="167" t="n"/>
      <c r="M91" s="167" t="n"/>
      <c r="N91" s="167" t="n"/>
      <c r="O91" s="167" t="n"/>
      <c r="P91" s="167" t="n"/>
      <c r="Q91" s="167" t="n"/>
    </row>
    <row r="92">
      <c r="A92" s="167" t="inlineStr">
        <is>
          <t>9°</t>
        </is>
      </c>
      <c r="B92" s="167" t="n">
        <v>7</v>
      </c>
      <c r="C92" s="167">
        <f>IF(MAESTRO!F11="","",IFERROR(MAESTRO!F11,""))</f>
        <v/>
      </c>
      <c r="D92" s="167">
        <f>IF(MAESTRO!F11="","",IFERROR(COUNTIF('Asistencia (9°)'!C9:BH9,"-")+COUNTIF('Asistencia (9°)'!C52:BH52,"-")+COUNTIF('Asistencia (9°)'!C95:BH95,"-"),""))</f>
        <v/>
      </c>
      <c r="E92" s="167">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7">
        <f>IF(MAESTRO!F11="","",IFERROR(COUNTBLANK('PROM (Ingles 9°)'!C11:O11),""))</f>
        <v/>
      </c>
      <c r="G92" s="167" t="n"/>
      <c r="H92" s="167" t="n"/>
      <c r="I92" s="167" t="n"/>
      <c r="J92" s="167" t="n"/>
      <c r="K92" s="167" t="n"/>
      <c r="L92" s="167" t="n"/>
      <c r="M92" s="167" t="n"/>
      <c r="N92" s="167" t="n"/>
      <c r="O92" s="167" t="n"/>
      <c r="P92" s="167" t="n"/>
      <c r="Q92" s="167" t="n"/>
    </row>
    <row r="93">
      <c r="A93" s="167" t="inlineStr">
        <is>
          <t>9°</t>
        </is>
      </c>
      <c r="B93" s="167" t="n">
        <v>8</v>
      </c>
      <c r="C93" s="167">
        <f>IF(MAESTRO!F12="","",IFERROR(MAESTRO!F12,""))</f>
        <v/>
      </c>
      <c r="D93" s="167">
        <f>IF(MAESTRO!F12="","",IFERROR(COUNTIF('Asistencia (9°)'!C10:BH10,"-")+COUNTIF('Asistencia (9°)'!C53:BH53,"-")+COUNTIF('Asistencia (9°)'!C96:BH96,"-"),""))</f>
        <v/>
      </c>
      <c r="E93" s="167">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7">
        <f>IF(MAESTRO!F12="","",IFERROR(COUNTBLANK('PROM (Ingles 9°)'!C12:O12),""))</f>
        <v/>
      </c>
      <c r="G93" s="167" t="n"/>
      <c r="H93" s="167" t="n"/>
      <c r="I93" s="167" t="n"/>
      <c r="J93" s="167" t="n"/>
      <c r="K93" s="167" t="n"/>
      <c r="L93" s="167" t="n"/>
      <c r="M93" s="167" t="n"/>
      <c r="N93" s="167" t="n"/>
      <c r="O93" s="167" t="n"/>
      <c r="P93" s="167" t="n"/>
      <c r="Q93" s="167" t="n"/>
    </row>
    <row r="94">
      <c r="A94" s="167" t="inlineStr">
        <is>
          <t>9°</t>
        </is>
      </c>
      <c r="B94" s="167" t="n">
        <v>9</v>
      </c>
      <c r="C94" s="167">
        <f>IF(MAESTRO!F13="","",IFERROR(MAESTRO!F13,""))</f>
        <v/>
      </c>
      <c r="D94" s="167">
        <f>IF(MAESTRO!F13="","",IFERROR(COUNTIF('Asistencia (9°)'!C11:BH11,"-")+COUNTIF('Asistencia (9°)'!C54:BH54,"-")+COUNTIF('Asistencia (9°)'!C97:BH97,"-"),""))</f>
        <v/>
      </c>
      <c r="E94" s="167">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7">
        <f>IF(MAESTRO!F13="","",IFERROR(COUNTBLANK('PROM (Ingles 9°)'!C13:O13),""))</f>
        <v/>
      </c>
      <c r="G94" s="167" t="n"/>
      <c r="H94" s="167" t="n"/>
      <c r="I94" s="167" t="n"/>
      <c r="J94" s="167" t="n"/>
      <c r="K94" s="167" t="n"/>
      <c r="L94" s="167" t="n"/>
      <c r="M94" s="167" t="n"/>
      <c r="N94" s="167" t="n"/>
      <c r="O94" s="167" t="n"/>
      <c r="P94" s="167" t="n"/>
      <c r="Q94" s="167" t="n"/>
    </row>
    <row r="95">
      <c r="A95" s="167" t="inlineStr">
        <is>
          <t>9°</t>
        </is>
      </c>
      <c r="B95" s="167" t="n">
        <v>10</v>
      </c>
      <c r="C95" s="167">
        <f>IF(MAESTRO!F14="","",IFERROR(MAESTRO!F14,""))</f>
        <v/>
      </c>
      <c r="D95" s="167">
        <f>IF(MAESTRO!F14="","",IFERROR(COUNTIF('Asistencia (9°)'!C12:BH12,"-")+COUNTIF('Asistencia (9°)'!C55:BH55,"-")+COUNTIF('Asistencia (9°)'!C98:BH98,"-"),""))</f>
        <v/>
      </c>
      <c r="E95" s="167">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7">
        <f>IF(MAESTRO!F14="","",IFERROR(COUNTBLANK('PROM (Ingles 9°)'!C14:O14),""))</f>
        <v/>
      </c>
      <c r="G95" s="167" t="n"/>
      <c r="H95" s="167" t="n"/>
      <c r="I95" s="167" t="n"/>
      <c r="J95" s="167" t="n"/>
      <c r="K95" s="167" t="n"/>
      <c r="L95" s="167" t="n"/>
      <c r="M95" s="167" t="n"/>
      <c r="N95" s="167" t="n"/>
      <c r="O95" s="167" t="n"/>
      <c r="P95" s="167" t="n"/>
      <c r="Q95" s="167" t="n"/>
    </row>
    <row r="96">
      <c r="A96" s="167" t="inlineStr">
        <is>
          <t>9°</t>
        </is>
      </c>
      <c r="B96" s="167" t="n">
        <v>11</v>
      </c>
      <c r="C96" s="167">
        <f>IF(MAESTRO!F15="","",IFERROR(MAESTRO!F15,""))</f>
        <v/>
      </c>
      <c r="D96" s="167">
        <f>IF(MAESTRO!F15="","",IFERROR(COUNTIF('Asistencia (9°)'!C13:BH13,"-")+COUNTIF('Asistencia (9°)'!C56:BH56,"-")+COUNTIF('Asistencia (9°)'!C99:BH99,"-"),""))</f>
        <v/>
      </c>
      <c r="E96" s="167">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7">
        <f>IF(MAESTRO!F15="","",IFERROR(COUNTBLANK('PROM (Ingles 9°)'!C15:O15),""))</f>
        <v/>
      </c>
      <c r="G96" s="167" t="n"/>
      <c r="H96" s="167" t="n"/>
      <c r="I96" s="167" t="n"/>
      <c r="J96" s="167" t="n"/>
      <c r="K96" s="167" t="n"/>
      <c r="L96" s="167" t="n"/>
      <c r="M96" s="167" t="n"/>
      <c r="N96" s="167" t="n"/>
      <c r="O96" s="167" t="n"/>
      <c r="P96" s="167" t="n"/>
      <c r="Q96" s="167" t="n"/>
    </row>
    <row r="97">
      <c r="A97" s="167" t="inlineStr">
        <is>
          <t>9°</t>
        </is>
      </c>
      <c r="B97" s="167" t="n">
        <v>12</v>
      </c>
      <c r="C97" s="167">
        <f>IF(MAESTRO!F16="","",IFERROR(MAESTRO!F16,""))</f>
        <v/>
      </c>
      <c r="D97" s="167">
        <f>IF(MAESTRO!F16="","",IFERROR(COUNTIF('Asistencia (9°)'!C14:BH14,"-")+COUNTIF('Asistencia (9°)'!C57:BH57,"-")+COUNTIF('Asistencia (9°)'!C100:BH100,"-"),""))</f>
        <v/>
      </c>
      <c r="E97" s="167">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7">
        <f>IF(MAESTRO!F16="","",IFERROR(COUNTBLANK('PROM (Ingles 9°)'!C16:O16),""))</f>
        <v/>
      </c>
      <c r="G97" s="167" t="n"/>
      <c r="H97" s="167" t="n"/>
      <c r="I97" s="167" t="n"/>
      <c r="J97" s="167" t="n"/>
      <c r="K97" s="167" t="n"/>
      <c r="L97" s="167" t="n"/>
      <c r="M97" s="167" t="n"/>
      <c r="N97" s="167" t="n"/>
      <c r="O97" s="167" t="n"/>
      <c r="P97" s="167" t="n"/>
      <c r="Q97" s="167" t="n"/>
    </row>
    <row r="98">
      <c r="A98" s="167" t="inlineStr">
        <is>
          <t>9°</t>
        </is>
      </c>
      <c r="B98" s="167" t="n">
        <v>13</v>
      </c>
      <c r="C98" s="167">
        <f>IF(MAESTRO!F17="","",IFERROR(MAESTRO!F17,""))</f>
        <v/>
      </c>
      <c r="D98" s="167">
        <f>IF(MAESTRO!F17="","",IFERROR(COUNTIF('Asistencia (9°)'!C15:BH15,"-")+COUNTIF('Asistencia (9°)'!C58:BH58,"-")+COUNTIF('Asistencia (9°)'!C101:BH101,"-"),""))</f>
        <v/>
      </c>
      <c r="E98" s="167">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7">
        <f>IF(MAESTRO!F17="","",IFERROR(COUNTBLANK('PROM (Ingles 9°)'!C17:O17),""))</f>
        <v/>
      </c>
      <c r="G98" s="167" t="n"/>
      <c r="H98" s="167" t="n"/>
      <c r="I98" s="167" t="n"/>
      <c r="J98" s="167" t="n"/>
      <c r="K98" s="167" t="n"/>
      <c r="L98" s="167" t="n"/>
      <c r="M98" s="167" t="n"/>
      <c r="N98" s="167" t="n"/>
      <c r="O98" s="167" t="n"/>
      <c r="P98" s="167" t="n"/>
      <c r="Q98" s="167" t="n"/>
    </row>
    <row r="99">
      <c r="A99" s="167" t="inlineStr">
        <is>
          <t>9°</t>
        </is>
      </c>
      <c r="B99" s="167" t="n">
        <v>14</v>
      </c>
      <c r="C99" s="167">
        <f>IF(MAESTRO!F18="","",IFERROR(MAESTRO!F18,""))</f>
        <v/>
      </c>
      <c r="D99" s="167">
        <f>IF(MAESTRO!F18="","",IFERROR(COUNTIF('Asistencia (9°)'!C16:BH16,"-")+COUNTIF('Asistencia (9°)'!C59:BH59,"-")+COUNTIF('Asistencia (9°)'!C102:BH102,"-"),""))</f>
        <v/>
      </c>
      <c r="E99" s="167">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7">
        <f>IF(MAESTRO!F18="","",IFERROR(COUNTBLANK('PROM (Ingles 9°)'!C18:O18),""))</f>
        <v/>
      </c>
      <c r="G99" s="167" t="n"/>
      <c r="H99" s="167" t="n"/>
      <c r="I99" s="167" t="n"/>
      <c r="J99" s="167" t="n"/>
      <c r="K99" s="167" t="n"/>
      <c r="L99" s="167" t="n"/>
      <c r="M99" s="167" t="n"/>
      <c r="N99" s="167" t="n"/>
      <c r="O99" s="167" t="n"/>
      <c r="P99" s="167" t="n"/>
      <c r="Q99" s="167" t="n"/>
    </row>
    <row r="100">
      <c r="A100" s="167" t="inlineStr">
        <is>
          <t>9°</t>
        </is>
      </c>
      <c r="B100" s="167" t="n">
        <v>15</v>
      </c>
      <c r="C100" s="167">
        <f>IF(MAESTRO!F19="","",IFERROR(MAESTRO!F19,""))</f>
        <v/>
      </c>
      <c r="D100" s="167">
        <f>IF(MAESTRO!F19="","",IFERROR(COUNTIF('Asistencia (9°)'!C17:BH17,"-")+COUNTIF('Asistencia (9°)'!C60:BH60,"-")+COUNTIF('Asistencia (9°)'!C103:BH103,"-"),""))</f>
        <v/>
      </c>
      <c r="E100" s="167">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7">
        <f>IF(MAESTRO!F19="","",IFERROR(COUNTBLANK('PROM (Ingles 9°)'!C19:O19),""))</f>
        <v/>
      </c>
      <c r="G100" s="167" t="n"/>
      <c r="H100" s="167" t="n"/>
      <c r="I100" s="167" t="n"/>
      <c r="J100" s="167" t="n"/>
      <c r="K100" s="167" t="n"/>
      <c r="L100" s="167" t="n"/>
      <c r="M100" s="167" t="n"/>
      <c r="N100" s="167" t="n"/>
      <c r="O100" s="167" t="n"/>
      <c r="P100" s="167" t="n"/>
      <c r="Q100" s="167" t="n"/>
    </row>
    <row r="101">
      <c r="A101" s="167" t="inlineStr">
        <is>
          <t>9°</t>
        </is>
      </c>
      <c r="B101" s="167" t="n">
        <v>16</v>
      </c>
      <c r="C101" s="167">
        <f>IF(MAESTRO!F20="","",IFERROR(MAESTRO!F20,""))</f>
        <v/>
      </c>
      <c r="D101" s="167">
        <f>IF(MAESTRO!F20="","",IFERROR(COUNTIF('Asistencia (9°)'!C18:BH18,"-")+COUNTIF('Asistencia (9°)'!C61:BH61,"-")+COUNTIF('Asistencia (9°)'!C104:BH104,"-"),""))</f>
        <v/>
      </c>
      <c r="E101" s="167">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7">
        <f>IF(MAESTRO!F20="","",IFERROR(COUNTBLANK('PROM (Ingles 9°)'!C20:O20),""))</f>
        <v/>
      </c>
      <c r="G101" s="167" t="n"/>
      <c r="H101" s="167" t="n"/>
      <c r="I101" s="167" t="n"/>
      <c r="J101" s="167" t="n"/>
      <c r="K101" s="167" t="n"/>
      <c r="L101" s="167" t="n"/>
      <c r="M101" s="167" t="n"/>
      <c r="N101" s="167" t="n"/>
      <c r="O101" s="167" t="n"/>
      <c r="P101" s="167" t="n"/>
      <c r="Q101" s="167" t="n"/>
    </row>
    <row r="102">
      <c r="A102" s="167" t="inlineStr">
        <is>
          <t>9°</t>
        </is>
      </c>
      <c r="B102" s="167" t="n">
        <v>17</v>
      </c>
      <c r="C102" s="167">
        <f>IF(MAESTRO!F21="","",IFERROR(MAESTRO!F21,""))</f>
        <v/>
      </c>
      <c r="D102" s="167">
        <f>IF(MAESTRO!F21="","",IFERROR(COUNTIF('Asistencia (9°)'!C19:BH19,"-")+COUNTIF('Asistencia (9°)'!C62:BH62,"-")+COUNTIF('Asistencia (9°)'!C105:BH105,"-"),""))</f>
        <v/>
      </c>
      <c r="E102" s="167">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7">
        <f>IF(MAESTRO!F21="","",IFERROR(COUNTBLANK('PROM (Ingles 9°)'!C21:O21),""))</f>
        <v/>
      </c>
      <c r="G102" s="167" t="n"/>
      <c r="H102" s="167" t="n"/>
      <c r="I102" s="167" t="n"/>
      <c r="J102" s="167" t="n"/>
      <c r="K102" s="167" t="n"/>
      <c r="L102" s="167" t="n"/>
      <c r="M102" s="167" t="n"/>
      <c r="N102" s="167" t="n"/>
      <c r="O102" s="167" t="n"/>
      <c r="P102" s="167" t="n"/>
      <c r="Q102" s="167" t="n"/>
    </row>
    <row r="103">
      <c r="A103" s="167" t="inlineStr">
        <is>
          <t>9°</t>
        </is>
      </c>
      <c r="B103" s="167" t="n">
        <v>18</v>
      </c>
      <c r="C103" s="167">
        <f>IF(MAESTRO!F22="","",IFERROR(MAESTRO!F22,""))</f>
        <v/>
      </c>
      <c r="D103" s="167">
        <f>IF(MAESTRO!F22="","",IFERROR(COUNTIF('Asistencia (9°)'!C20:BH20,"-")+COUNTIF('Asistencia (9°)'!C63:BH63,"-")+COUNTIF('Asistencia (9°)'!C106:BH106,"-"),""))</f>
        <v/>
      </c>
      <c r="E103" s="167">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7">
        <f>IF(MAESTRO!F22="","",IFERROR(COUNTBLANK('PROM (Ingles 9°)'!C22:O22),""))</f>
        <v/>
      </c>
      <c r="G103" s="167" t="n"/>
      <c r="H103" s="167" t="n"/>
      <c r="I103" s="167" t="n"/>
      <c r="J103" s="167" t="n"/>
      <c r="K103" s="167" t="n"/>
      <c r="L103" s="167" t="n"/>
      <c r="M103" s="167" t="n"/>
      <c r="N103" s="167" t="n"/>
      <c r="O103" s="167" t="n"/>
      <c r="P103" s="167" t="n"/>
      <c r="Q103" s="167" t="n"/>
    </row>
    <row r="104">
      <c r="A104" s="167" t="inlineStr">
        <is>
          <t>9°</t>
        </is>
      </c>
      <c r="B104" s="167" t="n">
        <v>19</v>
      </c>
      <c r="C104" s="167">
        <f>IF(MAESTRO!F23="","",IFERROR(MAESTRO!F23,""))</f>
        <v/>
      </c>
      <c r="D104" s="167">
        <f>IF(MAESTRO!F23="","",IFERROR(COUNTIF('Asistencia (9°)'!C21:BH21,"-")+COUNTIF('Asistencia (9°)'!C64:BH64,"-")+COUNTIF('Asistencia (9°)'!C107:BH107,"-"),""))</f>
        <v/>
      </c>
      <c r="E104" s="167">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7">
        <f>IF(MAESTRO!F23="","",IFERROR(COUNTBLANK('PROM (Ingles 9°)'!C23:O23),""))</f>
        <v/>
      </c>
      <c r="G104" s="167" t="n"/>
      <c r="H104" s="167" t="n"/>
      <c r="I104" s="167" t="n"/>
      <c r="J104" s="167" t="n"/>
      <c r="K104" s="167" t="n"/>
      <c r="L104" s="167" t="n"/>
      <c r="M104" s="167" t="n"/>
      <c r="N104" s="167" t="n"/>
      <c r="O104" s="167" t="n"/>
      <c r="P104" s="167" t="n"/>
      <c r="Q104" s="167" t="n"/>
    </row>
    <row r="105">
      <c r="A105" s="167" t="inlineStr">
        <is>
          <t>9°</t>
        </is>
      </c>
      <c r="B105" s="167" t="n">
        <v>20</v>
      </c>
      <c r="C105" s="167">
        <f>IF(MAESTRO!F24="","",IFERROR(MAESTRO!F24,""))</f>
        <v/>
      </c>
      <c r="D105" s="167">
        <f>IF(MAESTRO!F24="","",IFERROR(COUNTIF('Asistencia (9°)'!C22:BH22,"-")+COUNTIF('Asistencia (9°)'!C65:BH65,"-")+COUNTIF('Asistencia (9°)'!C108:BH108,"-"),""))</f>
        <v/>
      </c>
      <c r="E105" s="167">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7">
        <f>IF(MAESTRO!F24="","",IFERROR(COUNTBLANK('PROM (Ingles 9°)'!C24:O24),""))</f>
        <v/>
      </c>
      <c r="G105" s="167" t="n"/>
      <c r="H105" s="167" t="n"/>
      <c r="I105" s="167" t="n"/>
      <c r="J105" s="167" t="n"/>
      <c r="K105" s="167" t="n"/>
      <c r="L105" s="167" t="n"/>
      <c r="M105" s="167" t="n"/>
      <c r="N105" s="167" t="n"/>
      <c r="O105" s="167" t="n"/>
      <c r="P105" s="167" t="n"/>
      <c r="Q105" s="167" t="n"/>
    </row>
    <row r="106">
      <c r="A106" s="167" t="inlineStr">
        <is>
          <t>9°</t>
        </is>
      </c>
      <c r="B106" s="167" t="n">
        <v>21</v>
      </c>
      <c r="C106" s="167">
        <f>IF(MAESTRO!F25="","",IFERROR(MAESTRO!F25,""))</f>
        <v/>
      </c>
      <c r="D106" s="167">
        <f>IF(MAESTRO!F25="","",IFERROR(COUNTIF('Asistencia (9°)'!C23:BH23,"-")+COUNTIF('Asistencia (9°)'!C66:BH66,"-")+COUNTIF('Asistencia (9°)'!C109:BH109,"-"),""))</f>
        <v/>
      </c>
      <c r="E106" s="167">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7">
        <f>IF(MAESTRO!F25="","",IFERROR(COUNTBLANK('PROM (Ingles 9°)'!C25:O25),""))</f>
        <v/>
      </c>
      <c r="G106" s="167" t="n"/>
      <c r="H106" s="167" t="n"/>
      <c r="I106" s="167" t="n"/>
      <c r="J106" s="167" t="n"/>
      <c r="K106" s="167" t="n"/>
      <c r="L106" s="167" t="n"/>
      <c r="M106" s="167" t="n"/>
      <c r="N106" s="167" t="n"/>
      <c r="O106" s="167" t="n"/>
      <c r="P106" s="167" t="n"/>
      <c r="Q106" s="167" t="n"/>
    </row>
    <row r="107">
      <c r="A107" s="167" t="inlineStr">
        <is>
          <t>9°</t>
        </is>
      </c>
      <c r="B107" s="167" t="n">
        <v>22</v>
      </c>
      <c r="C107" s="167">
        <f>IF(MAESTRO!F26="","",IFERROR(MAESTRO!F26,""))</f>
        <v/>
      </c>
      <c r="D107" s="167">
        <f>IF(MAESTRO!F26="","",IFERROR(COUNTIF('Asistencia (9°)'!C24:BH24,"-")+COUNTIF('Asistencia (9°)'!C67:BH67,"-")+COUNTIF('Asistencia (9°)'!C110:BH110,"-"),""))</f>
        <v/>
      </c>
      <c r="E107" s="167">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7">
        <f>IF(MAESTRO!F26="","",IFERROR(COUNTBLANK('PROM (Ingles 9°)'!C26:O26),""))</f>
        <v/>
      </c>
      <c r="G107" s="167" t="n"/>
      <c r="H107" s="167" t="n"/>
      <c r="I107" s="167" t="n"/>
      <c r="J107" s="167" t="n"/>
      <c r="K107" s="167" t="n"/>
      <c r="L107" s="167" t="n"/>
      <c r="M107" s="167" t="n"/>
      <c r="N107" s="167" t="n"/>
      <c r="O107" s="167" t="n"/>
      <c r="P107" s="167" t="n"/>
      <c r="Q107" s="167" t="n"/>
    </row>
    <row r="108">
      <c r="A108" s="167" t="inlineStr">
        <is>
          <t>9°</t>
        </is>
      </c>
      <c r="B108" s="167" t="n">
        <v>23</v>
      </c>
      <c r="C108" s="167">
        <f>IF(MAESTRO!F27="","",IFERROR(MAESTRO!F27,""))</f>
        <v/>
      </c>
      <c r="D108" s="167">
        <f>IF(MAESTRO!F27="","",IFERROR(COUNTIF('Asistencia (9°)'!C25:BH25,"-")+COUNTIF('Asistencia (9°)'!C68:BH68,"-")+COUNTIF('Asistencia (9°)'!C111:BH111,"-"),""))</f>
        <v/>
      </c>
      <c r="E108" s="167">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7">
        <f>IF(MAESTRO!F27="","",IFERROR(COUNTBLANK('PROM (Ingles 9°)'!C27:O27),""))</f>
        <v/>
      </c>
      <c r="G108" s="167" t="n"/>
      <c r="H108" s="167" t="n"/>
      <c r="I108" s="167" t="n"/>
      <c r="J108" s="167" t="n"/>
      <c r="K108" s="167" t="n"/>
      <c r="L108" s="167" t="n"/>
      <c r="M108" s="167" t="n"/>
      <c r="N108" s="167" t="n"/>
      <c r="O108" s="167" t="n"/>
      <c r="P108" s="167" t="n"/>
      <c r="Q108" s="167" t="n"/>
    </row>
    <row r="109">
      <c r="A109" s="167" t="inlineStr">
        <is>
          <t>9°</t>
        </is>
      </c>
      <c r="B109" s="167" t="n">
        <v>24</v>
      </c>
      <c r="C109" s="167">
        <f>IF(MAESTRO!F28="","",IFERROR(MAESTRO!F28,""))</f>
        <v/>
      </c>
      <c r="D109" s="167">
        <f>IF(MAESTRO!F28="","",IFERROR(COUNTIF('Asistencia (9°)'!C26:BH26,"-")+COUNTIF('Asistencia (9°)'!C69:BH69,"-")+COUNTIF('Asistencia (9°)'!C112:BH112,"-"),""))</f>
        <v/>
      </c>
      <c r="E109" s="167">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7">
        <f>IF(MAESTRO!F28="","",IFERROR(COUNTBLANK('PROM (Ingles 9°)'!C28:O28),""))</f>
        <v/>
      </c>
      <c r="G109" s="167" t="n"/>
      <c r="H109" s="167" t="n"/>
      <c r="I109" s="167" t="n"/>
      <c r="J109" s="167" t="n"/>
      <c r="K109" s="167" t="n"/>
      <c r="L109" s="167" t="n"/>
      <c r="M109" s="167" t="n"/>
      <c r="N109" s="167" t="n"/>
      <c r="O109" s="167" t="n"/>
      <c r="P109" s="167" t="n"/>
      <c r="Q109" s="167" t="n"/>
    </row>
    <row r="110">
      <c r="A110" s="167" t="inlineStr">
        <is>
          <t>9°</t>
        </is>
      </c>
      <c r="B110" s="167" t="n">
        <v>25</v>
      </c>
      <c r="C110" s="167">
        <f>IF(MAESTRO!F29="","",IFERROR(MAESTRO!F29,""))</f>
        <v/>
      </c>
      <c r="D110" s="167">
        <f>IF(MAESTRO!F29="","",IFERROR(COUNTIF('Asistencia (9°)'!C27:BH27,"-")+COUNTIF('Asistencia (9°)'!C70:BH70,"-")+COUNTIF('Asistencia (9°)'!C113:BH113,"-"),""))</f>
        <v/>
      </c>
      <c r="E110" s="167">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7">
        <f>IF(MAESTRO!F29="","",IFERROR(COUNTBLANK('PROM (Ingles 9°)'!C29:O29),""))</f>
        <v/>
      </c>
      <c r="G110" s="167" t="n"/>
      <c r="H110" s="167" t="n"/>
      <c r="I110" s="167" t="n"/>
      <c r="J110" s="167" t="n"/>
      <c r="K110" s="167" t="n"/>
      <c r="L110" s="167" t="n"/>
      <c r="M110" s="167" t="n"/>
      <c r="N110" s="167" t="n"/>
      <c r="O110" s="167" t="n"/>
      <c r="P110" s="167" t="n"/>
      <c r="Q110" s="167" t="n"/>
    </row>
    <row r="111">
      <c r="A111" s="167" t="inlineStr">
        <is>
          <t>9°</t>
        </is>
      </c>
      <c r="B111" s="167" t="n">
        <v>26</v>
      </c>
      <c r="C111" s="167">
        <f>IF(MAESTRO!F30="","",IFERROR(MAESTRO!F30,""))</f>
        <v/>
      </c>
      <c r="D111" s="167">
        <f>IF(MAESTRO!F30="","",IFERROR(COUNTIF('Asistencia (9°)'!C28:BH28,"-")+COUNTIF('Asistencia (9°)'!C71:BH71,"-")+COUNTIF('Asistencia (9°)'!C114:BH114,"-"),""))</f>
        <v/>
      </c>
      <c r="E111" s="167">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7">
        <f>IF(MAESTRO!F30="","",IFERROR(COUNTBLANK('PROM (Ingles 9°)'!C30:O30),""))</f>
        <v/>
      </c>
      <c r="G111" s="167" t="n"/>
      <c r="H111" s="167" t="n"/>
      <c r="I111" s="167" t="n"/>
      <c r="J111" s="167" t="n"/>
      <c r="K111" s="167" t="n"/>
      <c r="L111" s="167" t="n"/>
      <c r="M111" s="167" t="n"/>
      <c r="N111" s="167" t="n"/>
      <c r="O111" s="167" t="n"/>
      <c r="P111" s="167" t="n"/>
      <c r="Q111" s="167" t="n"/>
    </row>
    <row r="112">
      <c r="A112" s="167" t="inlineStr">
        <is>
          <t>9°</t>
        </is>
      </c>
      <c r="B112" s="167" t="n">
        <v>27</v>
      </c>
      <c r="C112" s="167">
        <f>IF(MAESTRO!F31="","",IFERROR(MAESTRO!F31,""))</f>
        <v/>
      </c>
      <c r="D112" s="167">
        <f>IF(MAESTRO!F31="","",IFERROR(COUNTIF('Asistencia (9°)'!C29:BH29,"-")+COUNTIF('Asistencia (9°)'!C72:BH72,"-")+COUNTIF('Asistencia (9°)'!C115:BH115,"-"),""))</f>
        <v/>
      </c>
      <c r="E112" s="167">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7">
        <f>IF(MAESTRO!F31="","",IFERROR(COUNTBLANK('PROM (Ingles 9°)'!C31:O31),""))</f>
        <v/>
      </c>
      <c r="G112" s="167" t="n"/>
      <c r="H112" s="167" t="n"/>
      <c r="I112" s="167" t="n"/>
      <c r="J112" s="167" t="n"/>
      <c r="K112" s="167" t="n"/>
      <c r="L112" s="167" t="n"/>
      <c r="M112" s="167" t="n"/>
      <c r="N112" s="167" t="n"/>
      <c r="O112" s="167" t="n"/>
      <c r="P112" s="167" t="n"/>
      <c r="Q112" s="167" t="n"/>
    </row>
    <row r="113">
      <c r="A113" s="167" t="inlineStr">
        <is>
          <t>9°</t>
        </is>
      </c>
      <c r="B113" s="167" t="n">
        <v>28</v>
      </c>
      <c r="C113" s="167">
        <f>IF(MAESTRO!F32="","",IFERROR(MAESTRO!F32,""))</f>
        <v/>
      </c>
      <c r="D113" s="167">
        <f>IF(MAESTRO!F32="","",IFERROR(COUNTIF('Asistencia (9°)'!C30:BH30,"-")+COUNTIF('Asistencia (9°)'!C73:BH73,"-")+COUNTIF('Asistencia (9°)'!C116:BH116,"-"),""))</f>
        <v/>
      </c>
      <c r="E113" s="167">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7">
        <f>IF(MAESTRO!F32="","",IFERROR(COUNTBLANK('PROM (Ingles 9°)'!C32:O32),""))</f>
        <v/>
      </c>
      <c r="G113" s="167" t="n"/>
      <c r="H113" s="167" t="n"/>
      <c r="I113" s="167" t="n"/>
      <c r="J113" s="167" t="n"/>
      <c r="K113" s="167" t="n"/>
      <c r="L113" s="167" t="n"/>
      <c r="M113" s="167" t="n"/>
      <c r="N113" s="167" t="n"/>
      <c r="O113" s="167" t="n"/>
      <c r="P113" s="167" t="n"/>
      <c r="Q113" s="167" t="n"/>
    </row>
    <row r="114">
      <c r="A114" s="167" t="inlineStr">
        <is>
          <t>9°</t>
        </is>
      </c>
      <c r="B114" s="167" t="n">
        <v>29</v>
      </c>
      <c r="C114" s="167">
        <f>IF(MAESTRO!F33="","",IFERROR(MAESTRO!F33,""))</f>
        <v/>
      </c>
      <c r="D114" s="167">
        <f>IF(MAESTRO!F33="","",IFERROR(COUNTIF('Asistencia (9°)'!C31:BH31,"-")+COUNTIF('Asistencia (9°)'!C74:BH74,"-")+COUNTIF('Asistencia (9°)'!C117:BH117,"-"),""))</f>
        <v/>
      </c>
      <c r="E114" s="167">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7">
        <f>IF(MAESTRO!F33="","",IFERROR(COUNTBLANK('PROM (Ingles 9°)'!C33:O33),""))</f>
        <v/>
      </c>
      <c r="G114" s="167" t="n"/>
      <c r="H114" s="167" t="n"/>
      <c r="I114" s="167" t="n"/>
      <c r="J114" s="167" t="n"/>
      <c r="K114" s="167" t="n"/>
      <c r="L114" s="167" t="n"/>
      <c r="M114" s="167" t="n"/>
      <c r="N114" s="167" t="n"/>
      <c r="O114" s="167" t="n"/>
      <c r="P114" s="167" t="n"/>
      <c r="Q114" s="167" t="n"/>
    </row>
    <row r="115">
      <c r="A115" s="167" t="inlineStr">
        <is>
          <t>9°</t>
        </is>
      </c>
      <c r="B115" s="167" t="n">
        <v>30</v>
      </c>
      <c r="C115" s="167">
        <f>IF(MAESTRO!F34="","",IFERROR(MAESTRO!F34,""))</f>
        <v/>
      </c>
      <c r="D115" s="167">
        <f>IF(MAESTRO!F34="","",IFERROR(COUNTIF('Asistencia (9°)'!C32:BH32,"-")+COUNTIF('Asistencia (9°)'!C75:BH75,"-")+COUNTIF('Asistencia (9°)'!C118:BH118,"-"),""))</f>
        <v/>
      </c>
      <c r="E115" s="167">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7">
        <f>IF(MAESTRO!F34="","",IFERROR(COUNTBLANK('PROM (Ingles 9°)'!C34:O34),""))</f>
        <v/>
      </c>
      <c r="G115" s="167" t="n"/>
      <c r="H115" s="167" t="n"/>
      <c r="I115" s="167" t="n"/>
      <c r="J115" s="167" t="n"/>
      <c r="K115" s="167" t="n"/>
      <c r="L115" s="167" t="n"/>
      <c r="M115" s="167" t="n"/>
      <c r="N115" s="167" t="n"/>
      <c r="O115" s="167" t="n"/>
      <c r="P115" s="167" t="n"/>
      <c r="Q115" s="167" t="n"/>
    </row>
    <row r="116">
      <c r="A116" s="167" t="inlineStr">
        <is>
          <t>9°</t>
        </is>
      </c>
      <c r="B116" s="167" t="n">
        <v>31</v>
      </c>
      <c r="C116" s="167">
        <f>IF(MAESTRO!F35="","",IFERROR(MAESTRO!F35,""))</f>
        <v/>
      </c>
      <c r="D116" s="167">
        <f>IF(MAESTRO!F35="","",IFERROR(COUNTIF('Asistencia (9°)'!C33:BH33,"-")+COUNTIF('Asistencia (9°)'!C76:BH76,"-")+COUNTIF('Asistencia (9°)'!C119:BH119,"-"),""))</f>
        <v/>
      </c>
      <c r="E116" s="167">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7">
        <f>IF(MAESTRO!F35="","",IFERROR(COUNTBLANK('PROM (Ingles 9°)'!C35:O35),""))</f>
        <v/>
      </c>
      <c r="G116" s="167" t="n"/>
      <c r="H116" s="167" t="n"/>
      <c r="I116" s="167" t="n"/>
      <c r="J116" s="167" t="n"/>
      <c r="K116" s="167" t="n"/>
      <c r="L116" s="167" t="n"/>
      <c r="M116" s="167" t="n"/>
      <c r="N116" s="167" t="n"/>
      <c r="O116" s="167" t="n"/>
      <c r="P116" s="167" t="n"/>
      <c r="Q116" s="167" t="n"/>
    </row>
    <row r="117">
      <c r="A117" s="167" t="inlineStr">
        <is>
          <t>9°</t>
        </is>
      </c>
      <c r="B117" s="167" t="n">
        <v>32</v>
      </c>
      <c r="C117" s="167">
        <f>IF(MAESTRO!F36="","",IFERROR(MAESTRO!F36,""))</f>
        <v/>
      </c>
      <c r="D117" s="167">
        <f>IF(MAESTRO!F36="","",IFERROR(COUNTIF('Asistencia (9°)'!C34:BH34,"-")+COUNTIF('Asistencia (9°)'!C77:BH77,"-")+COUNTIF('Asistencia (9°)'!C120:BH120,"-"),""))</f>
        <v/>
      </c>
      <c r="E117" s="167">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7">
        <f>IF(MAESTRO!F36="","",IFERROR(COUNTBLANK('PROM (Ingles 9°)'!C36:O36),""))</f>
        <v/>
      </c>
      <c r="G117" s="167" t="n"/>
      <c r="H117" s="167" t="n"/>
      <c r="I117" s="167" t="n"/>
      <c r="J117" s="167" t="n"/>
      <c r="K117" s="167" t="n"/>
      <c r="L117" s="167" t="n"/>
      <c r="M117" s="167" t="n"/>
      <c r="N117" s="167" t="n"/>
      <c r="O117" s="167" t="n"/>
      <c r="P117" s="167" t="n"/>
      <c r="Q117" s="167" t="n"/>
    </row>
    <row r="118">
      <c r="A118" s="167" t="inlineStr">
        <is>
          <t>9°</t>
        </is>
      </c>
      <c r="B118" s="167" t="n">
        <v>33</v>
      </c>
      <c r="C118" s="167">
        <f>IF(MAESTRO!F37="","",IFERROR(MAESTRO!F37,""))</f>
        <v/>
      </c>
      <c r="D118" s="167">
        <f>IF(MAESTRO!F37="","",IFERROR(COUNTIF('Asistencia (9°)'!C35:BH35,"-")+COUNTIF('Asistencia (9°)'!C78:BH78,"-")+COUNTIF('Asistencia (9°)'!C121:BH121,"-"),""))</f>
        <v/>
      </c>
      <c r="E118" s="167">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7">
        <f>IF(MAESTRO!F37="","",IFERROR(COUNTBLANK('PROM (Ingles 9°)'!C37:O37),""))</f>
        <v/>
      </c>
      <c r="G118" s="167" t="n"/>
      <c r="H118" s="167" t="n"/>
      <c r="I118" s="167" t="n"/>
      <c r="J118" s="167" t="n"/>
      <c r="K118" s="167" t="n"/>
      <c r="L118" s="167" t="n"/>
      <c r="M118" s="167" t="n"/>
      <c r="N118" s="167" t="n"/>
      <c r="O118" s="167" t="n"/>
      <c r="P118" s="167" t="n"/>
      <c r="Q118" s="167" t="n"/>
    </row>
    <row r="119">
      <c r="A119" s="167" t="inlineStr">
        <is>
          <t>9°</t>
        </is>
      </c>
      <c r="B119" s="167" t="n">
        <v>34</v>
      </c>
      <c r="C119" s="167">
        <f>IF(MAESTRO!F38="","",IFERROR(MAESTRO!F38,""))</f>
        <v/>
      </c>
      <c r="D119" s="167">
        <f>IF(MAESTRO!F38="","",IFERROR(COUNTIF('Asistencia (9°)'!C36:BH36,"-")+COUNTIF('Asistencia (9°)'!C79:BH79,"-")+COUNTIF('Asistencia (9°)'!C122:BH122,"-"),""))</f>
        <v/>
      </c>
      <c r="E119" s="167">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7">
        <f>IF(MAESTRO!F38="","",IFERROR(COUNTBLANK('PROM (Ingles 9°)'!C38:O38),""))</f>
        <v/>
      </c>
      <c r="G119" s="167" t="n"/>
      <c r="H119" s="167" t="n"/>
      <c r="I119" s="167" t="n"/>
      <c r="J119" s="167" t="n"/>
      <c r="K119" s="167" t="n"/>
      <c r="L119" s="167" t="n"/>
      <c r="M119" s="167" t="n"/>
      <c r="N119" s="167" t="n"/>
      <c r="O119" s="167" t="n"/>
      <c r="P119" s="167" t="n"/>
      <c r="Q119" s="167" t="n"/>
    </row>
    <row r="120">
      <c r="A120" s="167" t="inlineStr">
        <is>
          <t>9°</t>
        </is>
      </c>
      <c r="B120" s="167" t="n">
        <v>35</v>
      </c>
      <c r="C120" s="167">
        <f>IF(MAESTRO!F39="","",IFERROR(MAESTRO!F39,""))</f>
        <v/>
      </c>
      <c r="D120" s="167">
        <f>IF(MAESTRO!F39="","",IFERROR(COUNTIF('Asistencia (9°)'!C37:BH37,"-")+COUNTIF('Asistencia (9°)'!C80:BH80,"-")+COUNTIF('Asistencia (9°)'!C123:BH123,"-"),""))</f>
        <v/>
      </c>
      <c r="E120" s="167">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7">
        <f>IF(MAESTRO!F39="","",IFERROR(COUNTBLANK('PROM (Ingles 9°)'!C39:O39),""))</f>
        <v/>
      </c>
      <c r="G120" s="167" t="n"/>
      <c r="H120" s="167" t="n"/>
      <c r="I120" s="167" t="n"/>
      <c r="J120" s="167" t="n"/>
      <c r="K120" s="167" t="n"/>
      <c r="L120" s="167" t="n"/>
      <c r="M120" s="167" t="n"/>
      <c r="N120" s="167" t="n"/>
      <c r="O120" s="167" t="n"/>
      <c r="P120" s="167" t="n"/>
      <c r="Q120" s="167" t="n"/>
    </row>
    <row r="121">
      <c r="A121" s="167" t="inlineStr">
        <is>
          <t>9°</t>
        </is>
      </c>
      <c r="B121" s="167" t="n">
        <v>36</v>
      </c>
      <c r="C121" s="167">
        <f>IF(MAESTRO!F40="","",IFERROR(MAESTRO!F40,""))</f>
        <v/>
      </c>
      <c r="D121" s="167">
        <f>IF(MAESTRO!F40="","",IFERROR(COUNTIF('Asistencia (9°)'!C38:BH38,"-")+COUNTIF('Asistencia (9°)'!C81:BH81,"-")+COUNTIF('Asistencia (9°)'!C124:BH124,"-"),""))</f>
        <v/>
      </c>
      <c r="E121" s="167">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7">
        <f>IF(MAESTRO!F40="","",IFERROR(COUNTBLANK('PROM (Ingles 9°)'!C40:O40),""))</f>
        <v/>
      </c>
      <c r="G121" s="167" t="n"/>
      <c r="H121" s="167" t="n"/>
      <c r="I121" s="167" t="n"/>
      <c r="J121" s="167" t="n"/>
      <c r="K121" s="167" t="n"/>
      <c r="L121" s="167" t="n"/>
      <c r="M121" s="167" t="n"/>
      <c r="N121" s="167" t="n"/>
      <c r="O121" s="167" t="n"/>
      <c r="P121" s="167" t="n"/>
      <c r="Q121" s="167" t="n"/>
    </row>
    <row r="122">
      <c r="A122" s="167" t="inlineStr">
        <is>
          <t>9°</t>
        </is>
      </c>
      <c r="B122" s="167" t="n">
        <v>37</v>
      </c>
      <c r="C122" s="167">
        <f>IF(MAESTRO!F41="","",IFERROR(MAESTRO!F41,""))</f>
        <v/>
      </c>
      <c r="D122" s="167">
        <f>IF(MAESTRO!F41="","",IFERROR(COUNTIF('Asistencia (9°)'!C39:BH39,"-")+COUNTIF('Asistencia (9°)'!C82:BH82,"-")+COUNTIF('Asistencia (9°)'!C125:BH125,"-"),""))</f>
        <v/>
      </c>
      <c r="E122" s="167">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7">
        <f>IF(MAESTRO!F41="","",IFERROR(COUNTBLANK('PROM (Ingles 9°)'!C41:O41),""))</f>
        <v/>
      </c>
      <c r="G122" s="167" t="n"/>
      <c r="H122" s="167" t="n"/>
      <c r="I122" s="167" t="n"/>
      <c r="J122" s="167" t="n"/>
      <c r="K122" s="167" t="n"/>
      <c r="L122" s="167" t="n"/>
      <c r="M122" s="167" t="n"/>
      <c r="N122" s="167" t="n"/>
      <c r="O122" s="167" t="n"/>
      <c r="P122" s="167" t="n"/>
      <c r="Q122" s="167" t="n"/>
    </row>
    <row r="123">
      <c r="A123" s="167" t="inlineStr">
        <is>
          <t>9°</t>
        </is>
      </c>
      <c r="B123" s="167" t="n">
        <v>38</v>
      </c>
      <c r="C123" s="167">
        <f>IF(MAESTRO!F42="","",IFERROR(MAESTRO!F42,""))</f>
        <v/>
      </c>
      <c r="D123" s="167">
        <f>IF(MAESTRO!F42="","",IFERROR(COUNTIF('Asistencia (9°)'!C40:BH40,"-")+COUNTIF('Asistencia (9°)'!C83:BH83,"-")+COUNTIF('Asistencia (9°)'!C126:BH126,"-"),""))</f>
        <v/>
      </c>
      <c r="E123" s="167">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7">
        <f>IF(MAESTRO!F42="","",IFERROR(COUNTBLANK('PROM (Ingles 9°)'!C42:O42),""))</f>
        <v/>
      </c>
      <c r="G123" s="167" t="n"/>
      <c r="H123" s="167" t="n"/>
      <c r="I123" s="167" t="n"/>
      <c r="J123" s="167" t="n"/>
      <c r="K123" s="167" t="n"/>
      <c r="L123" s="167" t="n"/>
      <c r="M123" s="167" t="n"/>
      <c r="N123" s="167" t="n"/>
      <c r="O123" s="167" t="n"/>
      <c r="P123" s="167" t="n"/>
      <c r="Q123" s="167" t="n"/>
    </row>
    <row r="124">
      <c r="A124" s="167" t="inlineStr">
        <is>
          <t>9°</t>
        </is>
      </c>
      <c r="B124" s="167" t="n">
        <v>39</v>
      </c>
      <c r="C124" s="167">
        <f>IF(MAESTRO!F43="","",IFERROR(MAESTRO!F43,""))</f>
        <v/>
      </c>
      <c r="D124" s="167">
        <f>IF(MAESTRO!F43="","",IFERROR(COUNTIF('Asistencia (9°)'!C41:BH41,"-")+COUNTIF('Asistencia (9°)'!C84:BH84,"-")+COUNTIF('Asistencia (9°)'!C127:BH127,"-"),""))</f>
        <v/>
      </c>
      <c r="E124" s="167">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7">
        <f>IF(MAESTRO!F43="","",IFERROR(COUNTBLANK('PROM (Ingles 9°)'!C43:O43),""))</f>
        <v/>
      </c>
      <c r="G124" s="167" t="n"/>
      <c r="H124" s="167" t="n"/>
      <c r="I124" s="167" t="n"/>
      <c r="J124" s="167" t="n"/>
      <c r="K124" s="167" t="n"/>
      <c r="L124" s="167" t="n"/>
      <c r="M124" s="167" t="n"/>
      <c r="N124" s="167" t="n"/>
      <c r="O124" s="167" t="n"/>
      <c r="P124" s="167" t="n"/>
      <c r="Q124" s="167" t="n"/>
    </row>
    <row r="125">
      <c r="A125" s="167" t="inlineStr">
        <is>
          <t>9°</t>
        </is>
      </c>
      <c r="B125" s="167" t="n">
        <v>40</v>
      </c>
      <c r="C125" s="167">
        <f>IF(MAESTRO!F44="","",IFERROR(MAESTRO!F44,""))</f>
        <v/>
      </c>
      <c r="D125" s="167">
        <f>IF(MAESTRO!F44="","",IFERROR(COUNTIF('Asistencia (9°)'!C42:BH42,"-")+COUNTIF('Asistencia (9°)'!C85:BH85,"-")+COUNTIF('Asistencia (9°)'!C128:BH128,"-"),""))</f>
        <v/>
      </c>
      <c r="E125" s="167">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7">
        <f>IF(MAESTRO!F44="","",IFERROR(COUNTBLANK('PROM (Ingles 9°)'!C44:O44),""))</f>
        <v/>
      </c>
      <c r="G125" s="167" t="n"/>
      <c r="H125" s="167" t="n"/>
      <c r="I125" s="167" t="n"/>
      <c r="J125" s="167" t="n"/>
      <c r="K125" s="167" t="n"/>
      <c r="L125" s="167" t="n"/>
      <c r="M125" s="167" t="n"/>
      <c r="N125" s="167" t="n"/>
      <c r="O125" s="167" t="n"/>
      <c r="P125" s="167" t="n"/>
      <c r="Q125" s="167" t="n"/>
    </row>
    <row r="126">
      <c r="A126" s="167" t="n"/>
      <c r="B126" s="167" t="n"/>
      <c r="C126" s="167" t="n"/>
      <c r="D126" s="167" t="n"/>
      <c r="E126" s="167" t="n"/>
      <c r="F126" s="167" t="n"/>
      <c r="G126" s="167" t="n"/>
      <c r="H126" s="167" t="n"/>
      <c r="I126" s="167" t="n"/>
      <c r="J126" s="167" t="n"/>
      <c r="K126" s="167" t="n"/>
      <c r="L126" s="167" t="n"/>
      <c r="M126" s="167" t="n"/>
      <c r="N126" s="167" t="n"/>
      <c r="O126" s="167" t="n"/>
      <c r="P126" s="167" t="n"/>
      <c r="Q126" s="167" t="n"/>
    </row>
    <row r="127">
      <c r="A127" s="167" t="n"/>
      <c r="B127" s="167" t="n"/>
      <c r="C127" s="167" t="n"/>
      <c r="D127" s="167" t="n"/>
      <c r="E127" s="167" t="n"/>
      <c r="F127" s="167" t="n"/>
      <c r="G127" s="167" t="n"/>
      <c r="H127" s="167" t="n"/>
      <c r="I127" s="167" t="n"/>
      <c r="J127" s="167" t="n"/>
      <c r="K127" s="167" t="n"/>
      <c r="L127" s="167" t="n"/>
      <c r="M127" s="167" t="n"/>
      <c r="N127" s="167" t="n"/>
      <c r="O127" s="167" t="n"/>
      <c r="P127" s="167" t="n"/>
      <c r="Q127" s="167" t="n"/>
    </row>
    <row r="128">
      <c r="A128" s="167" t="n"/>
      <c r="B128" s="167" t="n"/>
      <c r="C128" s="167" t="n"/>
      <c r="D128" s="167" t="n"/>
      <c r="E128" s="167" t="n"/>
      <c r="F128" s="167" t="n"/>
      <c r="G128" s="167" t="n"/>
      <c r="H128" s="167" t="n"/>
      <c r="I128" s="167" t="n"/>
      <c r="J128" s="167" t="n"/>
      <c r="K128" s="167" t="n"/>
      <c r="L128" s="167" t="n"/>
      <c r="M128" s="167" t="n"/>
      <c r="N128" s="167" t="n"/>
      <c r="O128" s="167" t="n"/>
      <c r="P128" s="167" t="n"/>
      <c r="Q128" s="167" t="n"/>
    </row>
    <row r="129">
      <c r="A129" s="167" t="n"/>
      <c r="B129" s="167" t="n"/>
      <c r="C129" s="167" t="n"/>
      <c r="D129" s="167" t="n"/>
      <c r="E129" s="167" t="n"/>
      <c r="F129" s="167" t="n"/>
      <c r="G129" s="167" t="n"/>
      <c r="H129" s="167" t="n"/>
      <c r="I129" s="167" t="n"/>
      <c r="J129" s="167" t="n"/>
      <c r="K129" s="167" t="n"/>
      <c r="L129" s="167" t="n"/>
      <c r="M129" s="167" t="n"/>
      <c r="N129" s="167" t="n"/>
      <c r="O129" s="167" t="n"/>
      <c r="P129" s="167" t="n"/>
      <c r="Q129" s="167" t="n"/>
    </row>
    <row r="130">
      <c r="A130" s="167" t="n"/>
      <c r="B130" s="167" t="n"/>
      <c r="C130" s="167" t="n"/>
      <c r="D130" s="167" t="n"/>
      <c r="E130" s="167" t="n"/>
      <c r="F130" s="167" t="n"/>
      <c r="G130" s="167" t="n"/>
      <c r="H130" s="167" t="n"/>
      <c r="I130" s="167" t="n"/>
      <c r="J130" s="167" t="n"/>
      <c r="K130" s="167" t="n"/>
      <c r="L130" s="167" t="n"/>
      <c r="M130" s="167" t="n"/>
      <c r="N130" s="167" t="n"/>
      <c r="O130" s="167" t="n"/>
      <c r="P130" s="167" t="n"/>
      <c r="Q130" s="167" t="n"/>
    </row>
    <row r="131">
      <c r="A131" s="167" t="n"/>
      <c r="B131" s="167" t="n"/>
      <c r="C131" s="167" t="n"/>
      <c r="D131" s="167" t="n"/>
      <c r="E131" s="167" t="n"/>
      <c r="F131" s="167" t="n"/>
      <c r="G131" s="167" t="n"/>
      <c r="H131" s="167" t="n"/>
      <c r="I131" s="167" t="n"/>
      <c r="J131" s="167" t="n"/>
      <c r="K131" s="167" t="n"/>
      <c r="L131" s="167" t="n"/>
      <c r="M131" s="167" t="n"/>
      <c r="N131" s="167" t="n"/>
      <c r="O131" s="167" t="n"/>
      <c r="P131" s="167" t="n"/>
      <c r="Q131" s="167" t="n"/>
    </row>
    <row r="132">
      <c r="A132" s="167" t="n"/>
      <c r="B132" s="167" t="n"/>
      <c r="C132" s="167" t="n"/>
      <c r="D132" s="167" t="n"/>
      <c r="E132" s="167" t="n"/>
      <c r="F132" s="167" t="n"/>
      <c r="G132" s="167" t="n"/>
      <c r="H132" s="167" t="n"/>
      <c r="I132" s="167" t="n"/>
      <c r="J132" s="167" t="n"/>
      <c r="K132" s="167" t="n"/>
      <c r="L132" s="167" t="n"/>
      <c r="M132" s="167" t="n"/>
      <c r="N132" s="167" t="n"/>
      <c r="O132" s="167" t="n"/>
      <c r="P132" s="167" t="n"/>
      <c r="Q132" s="167" t="n"/>
    </row>
    <row r="133">
      <c r="A133" s="167" t="n"/>
      <c r="B133" s="167" t="n"/>
      <c r="C133" s="167" t="n"/>
      <c r="D133" s="167" t="n"/>
      <c r="E133" s="167" t="n"/>
      <c r="F133" s="167" t="n"/>
      <c r="G133" s="167" t="n"/>
      <c r="H133" s="167" t="n"/>
      <c r="I133" s="167" t="n"/>
      <c r="J133" s="167" t="n"/>
      <c r="K133" s="167" t="n"/>
      <c r="L133" s="167" t="n"/>
      <c r="M133" s="167" t="n"/>
      <c r="N133" s="167" t="n"/>
      <c r="O133" s="167" t="n"/>
      <c r="P133" s="167" t="n"/>
      <c r="Q133" s="167" t="n"/>
    </row>
    <row r="134">
      <c r="A134" s="167" t="n"/>
      <c r="B134" s="167" t="n"/>
      <c r="C134" s="167" t="n"/>
      <c r="D134" s="167" t="n"/>
      <c r="E134" s="167" t="n"/>
      <c r="F134" s="167" t="n"/>
      <c r="G134" s="167" t="n"/>
      <c r="H134" s="167" t="n"/>
      <c r="I134" s="167" t="n"/>
      <c r="J134" s="167" t="n"/>
      <c r="K134" s="167" t="n"/>
      <c r="L134" s="167" t="n"/>
      <c r="M134" s="167" t="n"/>
      <c r="N134" s="167" t="n"/>
      <c r="O134" s="167" t="n"/>
      <c r="P134" s="167" t="n"/>
      <c r="Q134" s="167" t="n"/>
    </row>
    <row r="135">
      <c r="A135" s="167" t="n"/>
      <c r="B135" s="167" t="n"/>
      <c r="C135" s="167" t="n"/>
      <c r="D135" s="167" t="n"/>
      <c r="E135" s="167" t="n"/>
      <c r="F135" s="167" t="n"/>
      <c r="G135" s="167" t="n"/>
      <c r="H135" s="167" t="n"/>
      <c r="I135" s="167" t="n"/>
      <c r="J135" s="167" t="n"/>
      <c r="K135" s="167" t="n"/>
      <c r="L135" s="167" t="n"/>
      <c r="M135" s="167" t="n"/>
      <c r="N135" s="167" t="n"/>
      <c r="O135" s="167" t="n"/>
      <c r="P135" s="167" t="n"/>
      <c r="Q135" s="167" t="n"/>
    </row>
    <row r="136">
      <c r="A136" s="167" t="n"/>
      <c r="B136" s="167" t="n"/>
      <c r="C136" s="167" t="n"/>
      <c r="D136" s="167" t="n"/>
      <c r="E136" s="167" t="n"/>
      <c r="F136" s="167" t="n"/>
      <c r="G136" s="167" t="n"/>
      <c r="H136" s="167" t="n"/>
      <c r="I136" s="167" t="n"/>
      <c r="J136" s="167" t="n"/>
      <c r="K136" s="167" t="n"/>
      <c r="L136" s="167" t="n"/>
      <c r="M136" s="167" t="n"/>
      <c r="N136" s="167" t="n"/>
      <c r="O136" s="167" t="n"/>
      <c r="P136" s="167" t="n"/>
      <c r="Q136" s="167" t="n"/>
    </row>
    <row r="137">
      <c r="A137" s="167" t="n"/>
      <c r="B137" s="167" t="n"/>
      <c r="C137" s="167" t="n"/>
      <c r="D137" s="167" t="n"/>
      <c r="E137" s="167" t="n"/>
      <c r="F137" s="167" t="n"/>
      <c r="G137" s="167" t="n"/>
      <c r="H137" s="167" t="n"/>
      <c r="I137" s="167" t="n"/>
      <c r="J137" s="167" t="n"/>
      <c r="K137" s="167" t="n"/>
      <c r="L137" s="167" t="n"/>
      <c r="M137" s="167" t="n"/>
      <c r="N137" s="167" t="n"/>
      <c r="O137" s="167" t="n"/>
      <c r="P137" s="167" t="n"/>
      <c r="Q137" s="167" t="n"/>
    </row>
    <row r="138">
      <c r="A138" s="167" t="n"/>
      <c r="B138" s="167" t="n"/>
      <c r="C138" s="167" t="n"/>
      <c r="D138" s="167" t="n"/>
      <c r="E138" s="167" t="n"/>
      <c r="F138" s="167" t="n"/>
      <c r="G138" s="167" t="n"/>
      <c r="H138" s="167" t="n"/>
      <c r="I138" s="167" t="n"/>
      <c r="J138" s="167" t="n"/>
      <c r="K138" s="167" t="n"/>
      <c r="L138" s="167" t="n"/>
      <c r="M138" s="167" t="n"/>
      <c r="N138" s="167" t="n"/>
      <c r="O138" s="167" t="n"/>
      <c r="P138" s="167" t="n"/>
      <c r="Q138" s="167" t="n"/>
    </row>
    <row r="139">
      <c r="A139" s="167" t="n"/>
      <c r="B139" s="167" t="n"/>
      <c r="C139" s="167" t="n"/>
      <c r="D139" s="167" t="n"/>
      <c r="E139" s="167" t="n"/>
      <c r="F139" s="167" t="n"/>
      <c r="G139" s="167" t="n"/>
      <c r="H139" s="167" t="n"/>
      <c r="I139" s="167" t="n"/>
      <c r="J139" s="167" t="n"/>
      <c r="K139" s="167" t="n"/>
      <c r="L139" s="167" t="n"/>
      <c r="M139" s="167" t="n"/>
      <c r="N139" s="167" t="n"/>
      <c r="O139" s="167" t="n"/>
      <c r="P139" s="167" t="n"/>
      <c r="Q139" s="167" t="n"/>
    </row>
    <row r="140">
      <c r="A140" s="167" t="n"/>
      <c r="B140" s="167" t="n"/>
      <c r="C140" s="167" t="n"/>
      <c r="D140" s="167" t="n"/>
      <c r="E140" s="167" t="n"/>
      <c r="F140" s="167" t="n"/>
      <c r="G140" s="167" t="n"/>
      <c r="H140" s="167" t="n"/>
      <c r="I140" s="167" t="n"/>
      <c r="J140" s="167" t="n"/>
      <c r="K140" s="167" t="n"/>
      <c r="L140" s="167" t="n"/>
      <c r="M140" s="167" t="n"/>
      <c r="N140" s="167" t="n"/>
      <c r="O140" s="167" t="n"/>
      <c r="P140" s="167" t="n"/>
      <c r="Q140" s="167" t="n"/>
    </row>
    <row r="141">
      <c r="A141" s="167" t="n"/>
      <c r="B141" s="167" t="n"/>
      <c r="C141" s="167" t="n"/>
      <c r="D141" s="167" t="n"/>
      <c r="E141" s="167" t="n"/>
      <c r="F141" s="167" t="n"/>
      <c r="G141" s="167" t="n"/>
      <c r="H141" s="167" t="n"/>
      <c r="I141" s="167" t="n"/>
      <c r="J141" s="167" t="n"/>
      <c r="K141" s="167" t="n"/>
      <c r="L141" s="167" t="n"/>
      <c r="M141" s="167" t="n"/>
      <c r="N141" s="167" t="n"/>
      <c r="O141" s="167" t="n"/>
      <c r="P141" s="167" t="n"/>
      <c r="Q141" s="167" t="n"/>
    </row>
    <row r="142">
      <c r="A142" s="167" t="n"/>
      <c r="B142" s="167" t="n"/>
      <c r="C142" s="167" t="n"/>
      <c r="D142" s="167" t="n"/>
      <c r="E142" s="167" t="n"/>
      <c r="F142" s="167" t="n"/>
      <c r="G142" s="167" t="n"/>
      <c r="H142" s="167" t="n"/>
      <c r="I142" s="167" t="n"/>
      <c r="J142" s="167" t="n"/>
      <c r="K142" s="167" t="n"/>
      <c r="L142" s="167" t="n"/>
      <c r="M142" s="167" t="n"/>
      <c r="N142" s="167" t="n"/>
      <c r="O142" s="167" t="n"/>
      <c r="P142" s="167" t="n"/>
      <c r="Q142" s="167" t="n"/>
    </row>
    <row r="143">
      <c r="A143" s="167" t="n"/>
      <c r="B143" s="167" t="n"/>
      <c r="C143" s="167" t="n"/>
      <c r="D143" s="167" t="n"/>
      <c r="E143" s="167" t="n"/>
      <c r="F143" s="167" t="n"/>
      <c r="G143" s="167" t="n"/>
      <c r="H143" s="167" t="n"/>
      <c r="I143" s="167" t="n"/>
      <c r="J143" s="167" t="n"/>
      <c r="K143" s="167" t="n"/>
      <c r="L143" s="167" t="n"/>
      <c r="M143" s="167" t="n"/>
      <c r="N143" s="167" t="n"/>
      <c r="O143" s="167" t="n"/>
      <c r="P143" s="167" t="n"/>
      <c r="Q143" s="167" t="n"/>
    </row>
    <row r="144">
      <c r="A144" s="167" t="n"/>
      <c r="B144" s="167" t="n"/>
      <c r="C144" s="167" t="n"/>
      <c r="D144" s="167" t="n"/>
      <c r="E144" s="167" t="n"/>
      <c r="F144" s="167" t="n"/>
      <c r="G144" s="167" t="n"/>
      <c r="H144" s="167" t="n"/>
      <c r="I144" s="167" t="n"/>
      <c r="J144" s="167" t="n"/>
      <c r="K144" s="167" t="n"/>
      <c r="L144" s="167" t="n"/>
      <c r="M144" s="167" t="n"/>
      <c r="N144" s="167" t="n"/>
      <c r="O144" s="167" t="n"/>
      <c r="P144" s="167" t="n"/>
      <c r="Q144" s="167" t="n"/>
    </row>
    <row r="145">
      <c r="A145" s="167" t="n"/>
      <c r="B145" s="167" t="n"/>
      <c r="C145" s="167" t="n"/>
      <c r="D145" s="167" t="n"/>
      <c r="E145" s="167" t="n"/>
      <c r="F145" s="167" t="n"/>
      <c r="G145" s="167" t="n"/>
      <c r="H145" s="167" t="n"/>
      <c r="I145" s="167" t="n"/>
      <c r="J145" s="167" t="n"/>
      <c r="K145" s="167" t="n"/>
      <c r="L145" s="167" t="n"/>
      <c r="M145" s="167" t="n"/>
      <c r="N145" s="167" t="n"/>
      <c r="O145" s="167" t="n"/>
      <c r="P145" s="167" t="n"/>
      <c r="Q145" s="167" t="n"/>
    </row>
    <row r="146">
      <c r="A146" s="167" t="n"/>
      <c r="B146" s="167" t="n"/>
      <c r="C146" s="167" t="n"/>
      <c r="D146" s="167" t="n"/>
      <c r="E146" s="167" t="n"/>
      <c r="F146" s="167" t="n"/>
      <c r="G146" s="167" t="n"/>
      <c r="H146" s="167" t="n"/>
      <c r="I146" s="167" t="n"/>
      <c r="J146" s="167" t="n"/>
      <c r="K146" s="167" t="n"/>
      <c r="L146" s="167" t="n"/>
      <c r="M146" s="167" t="n"/>
      <c r="N146" s="167" t="n"/>
      <c r="O146" s="167" t="n"/>
      <c r="P146" s="167" t="n"/>
      <c r="Q146" s="167" t="n"/>
    </row>
    <row r="147">
      <c r="A147" s="167" t="n"/>
      <c r="B147" s="167" t="n"/>
      <c r="C147" s="167" t="n"/>
      <c r="D147" s="167" t="n"/>
      <c r="E147" s="167" t="n"/>
      <c r="F147" s="167" t="n"/>
      <c r="G147" s="167" t="n"/>
      <c r="H147" s="167" t="n"/>
      <c r="I147" s="167" t="n"/>
      <c r="J147" s="167" t="n"/>
      <c r="K147" s="167" t="n"/>
      <c r="L147" s="167" t="n"/>
      <c r="M147" s="167" t="n"/>
      <c r="N147" s="167" t="n"/>
      <c r="O147" s="167" t="n"/>
      <c r="P147" s="167" t="n"/>
      <c r="Q147" s="167" t="n"/>
    </row>
    <row r="148">
      <c r="A148" s="167" t="n"/>
      <c r="B148" s="167" t="n"/>
      <c r="C148" s="167" t="n"/>
      <c r="D148" s="167" t="n"/>
      <c r="E148" s="167" t="n"/>
      <c r="F148" s="167" t="n"/>
      <c r="G148" s="167" t="n"/>
      <c r="H148" s="167" t="n"/>
      <c r="I148" s="167" t="n"/>
      <c r="J148" s="167" t="n"/>
      <c r="K148" s="167" t="n"/>
      <c r="L148" s="167" t="n"/>
      <c r="M148" s="167" t="n"/>
      <c r="N148" s="167" t="n"/>
      <c r="O148" s="167" t="n"/>
      <c r="P148" s="167" t="n"/>
      <c r="Q148" s="167" t="n"/>
    </row>
    <row r="149">
      <c r="A149" s="167" t="n"/>
      <c r="B149" s="167" t="n"/>
      <c r="C149" s="167" t="n"/>
      <c r="D149" s="167" t="n"/>
      <c r="E149" s="167" t="n"/>
      <c r="F149" s="167" t="n"/>
      <c r="G149" s="167" t="n"/>
      <c r="H149" s="167" t="n"/>
      <c r="I149" s="167" t="n"/>
      <c r="J149" s="167" t="n"/>
      <c r="K149" s="167" t="n"/>
      <c r="L149" s="167" t="n"/>
      <c r="M149" s="167" t="n"/>
      <c r="N149" s="167" t="n"/>
      <c r="O149" s="167" t="n"/>
      <c r="P149" s="167" t="n"/>
      <c r="Q149" s="167" t="n"/>
    </row>
    <row r="150">
      <c r="A150" s="167" t="n"/>
      <c r="B150" s="167" t="n"/>
      <c r="C150" s="167" t="n"/>
      <c r="D150" s="167" t="n"/>
      <c r="E150" s="167" t="n"/>
      <c r="F150" s="167" t="n"/>
      <c r="G150" s="167" t="n"/>
      <c r="H150" s="167" t="n"/>
      <c r="I150" s="167" t="n"/>
      <c r="J150" s="167" t="n"/>
      <c r="K150" s="167" t="n"/>
      <c r="L150" s="167" t="n"/>
      <c r="M150" s="167" t="n"/>
      <c r="N150" s="167" t="n"/>
      <c r="O150" s="167" t="n"/>
      <c r="P150" s="167" t="n"/>
      <c r="Q150" s="167" t="n"/>
    </row>
    <row r="151">
      <c r="A151" s="167" t="n"/>
      <c r="B151" s="167" t="n"/>
      <c r="C151" s="167" t="n"/>
      <c r="D151" s="167" t="n"/>
      <c r="E151" s="167" t="n"/>
      <c r="F151" s="167" t="n"/>
      <c r="G151" s="167" t="n"/>
      <c r="H151" s="167" t="n"/>
      <c r="I151" s="167" t="n"/>
      <c r="J151" s="167" t="n"/>
      <c r="K151" s="167" t="n"/>
      <c r="L151" s="167" t="n"/>
      <c r="M151" s="167" t="n"/>
      <c r="N151" s="167" t="n"/>
      <c r="O151" s="167" t="n"/>
      <c r="P151" s="167" t="n"/>
      <c r="Q151" s="167" t="n"/>
    </row>
    <row r="152">
      <c r="A152" s="167" t="n"/>
      <c r="B152" s="167" t="n"/>
      <c r="C152" s="167" t="n"/>
      <c r="D152" s="167" t="n"/>
      <c r="E152" s="167" t="n"/>
      <c r="F152" s="167" t="n"/>
      <c r="G152" s="167" t="n"/>
      <c r="H152" s="167" t="n"/>
      <c r="I152" s="167" t="n"/>
      <c r="J152" s="167" t="n"/>
      <c r="K152" s="167" t="n"/>
      <c r="L152" s="167" t="n"/>
      <c r="M152" s="167" t="n"/>
      <c r="N152" s="167" t="n"/>
      <c r="O152" s="167" t="n"/>
      <c r="P152" s="167" t="n"/>
      <c r="Q152" s="167" t="n"/>
    </row>
    <row r="153">
      <c r="A153" s="167" t="n"/>
      <c r="B153" s="167" t="n"/>
      <c r="C153" s="167" t="n"/>
      <c r="D153" s="167" t="n"/>
      <c r="E153" s="167" t="n"/>
      <c r="F153" s="167" t="n"/>
      <c r="G153" s="167" t="n"/>
      <c r="H153" s="167" t="n"/>
      <c r="I153" s="167" t="n"/>
      <c r="J153" s="167" t="n"/>
      <c r="K153" s="167" t="n"/>
      <c r="L153" s="167" t="n"/>
      <c r="M153" s="167" t="n"/>
      <c r="N153" s="167" t="n"/>
      <c r="O153" s="167" t="n"/>
      <c r="P153" s="167" t="n"/>
      <c r="Q153" s="167" t="n"/>
    </row>
    <row r="154">
      <c r="A154" s="167" t="n"/>
      <c r="B154" s="167" t="n"/>
      <c r="C154" s="167" t="n"/>
      <c r="D154" s="167" t="n"/>
      <c r="E154" s="167" t="n"/>
      <c r="F154" s="167" t="n"/>
      <c r="G154" s="167" t="n"/>
      <c r="H154" s="167" t="n"/>
      <c r="I154" s="167" t="n"/>
      <c r="J154" s="167" t="n"/>
      <c r="K154" s="167" t="n"/>
      <c r="L154" s="167" t="n"/>
      <c r="M154" s="167" t="n"/>
      <c r="N154" s="167" t="n"/>
      <c r="O154" s="167" t="n"/>
      <c r="P154" s="167" t="n"/>
      <c r="Q154" s="167" t="n"/>
    </row>
    <row r="155">
      <c r="A155" s="167" t="n"/>
      <c r="B155" s="167" t="n"/>
      <c r="C155" s="167" t="n"/>
      <c r="D155" s="167" t="n"/>
      <c r="E155" s="167" t="n"/>
      <c r="F155" s="167" t="n"/>
      <c r="G155" s="167" t="n"/>
      <c r="H155" s="167" t="n"/>
      <c r="I155" s="167" t="n"/>
      <c r="J155" s="167" t="n"/>
      <c r="K155" s="167" t="n"/>
      <c r="L155" s="167" t="n"/>
      <c r="M155" s="167" t="n"/>
      <c r="N155" s="167" t="n"/>
      <c r="O155" s="167" t="n"/>
      <c r="P155" s="167" t="n"/>
      <c r="Q155" s="167" t="n"/>
    </row>
    <row r="156">
      <c r="A156" s="167" t="n"/>
      <c r="B156" s="167" t="n"/>
      <c r="C156" s="167" t="n"/>
      <c r="D156" s="167" t="n"/>
      <c r="E156" s="167" t="n"/>
      <c r="F156" s="167" t="n"/>
      <c r="G156" s="167" t="n"/>
      <c r="H156" s="167" t="n"/>
      <c r="I156" s="167" t="n"/>
      <c r="J156" s="167" t="n"/>
      <c r="K156" s="167" t="n"/>
      <c r="L156" s="167" t="n"/>
      <c r="M156" s="167" t="n"/>
      <c r="N156" s="167" t="n"/>
      <c r="O156" s="167" t="n"/>
      <c r="P156" s="167" t="n"/>
      <c r="Q156" s="167" t="n"/>
    </row>
    <row r="157">
      <c r="A157" s="167" t="n"/>
      <c r="B157" s="167" t="n"/>
      <c r="C157" s="167" t="n"/>
      <c r="D157" s="167" t="n"/>
      <c r="E157" s="167" t="n"/>
      <c r="F157" s="167" t="n"/>
      <c r="G157" s="167" t="n"/>
      <c r="H157" s="167" t="n"/>
      <c r="I157" s="167" t="n"/>
      <c r="J157" s="167" t="n"/>
      <c r="K157" s="167" t="n"/>
      <c r="L157" s="167" t="n"/>
      <c r="M157" s="167" t="n"/>
      <c r="N157" s="167" t="n"/>
      <c r="O157" s="167" t="n"/>
      <c r="P157" s="167" t="n"/>
      <c r="Q157" s="167" t="n"/>
    </row>
    <row r="158">
      <c r="A158" s="167" t="n"/>
      <c r="B158" s="167" t="n"/>
      <c r="C158" s="167" t="n"/>
      <c r="D158" s="167" t="n"/>
      <c r="E158" s="167" t="n"/>
      <c r="F158" s="167" t="n"/>
      <c r="G158" s="167" t="n"/>
      <c r="H158" s="167" t="n"/>
      <c r="I158" s="167" t="n"/>
      <c r="J158" s="167" t="n"/>
      <c r="K158" s="167" t="n"/>
      <c r="L158" s="167" t="n"/>
      <c r="M158" s="167" t="n"/>
      <c r="N158" s="167" t="n"/>
      <c r="O158" s="167" t="n"/>
      <c r="P158" s="167" t="n"/>
      <c r="Q158" s="167" t="n"/>
    </row>
    <row r="159">
      <c r="A159" s="167" t="n"/>
      <c r="B159" s="167" t="n"/>
      <c r="C159" s="167" t="n"/>
      <c r="D159" s="167" t="n"/>
      <c r="E159" s="167" t="n"/>
      <c r="F159" s="167" t="n"/>
      <c r="G159" s="167" t="n"/>
      <c r="H159" s="167" t="n"/>
      <c r="I159" s="167" t="n"/>
      <c r="J159" s="167" t="n"/>
      <c r="K159" s="167" t="n"/>
      <c r="L159" s="167" t="n"/>
      <c r="M159" s="167" t="n"/>
      <c r="N159" s="167" t="n"/>
      <c r="O159" s="167" t="n"/>
      <c r="P159" s="167" t="n"/>
      <c r="Q159" s="167" t="n"/>
    </row>
    <row r="160">
      <c r="A160" s="167" t="n"/>
      <c r="B160" s="167" t="n"/>
      <c r="C160" s="167" t="n"/>
      <c r="D160" s="167" t="n"/>
      <c r="E160" s="167" t="n"/>
      <c r="F160" s="167" t="n"/>
      <c r="G160" s="167" t="n"/>
      <c r="H160" s="167" t="n"/>
      <c r="I160" s="167" t="n"/>
      <c r="J160" s="167" t="n"/>
      <c r="K160" s="167" t="n"/>
      <c r="L160" s="167" t="n"/>
      <c r="M160" s="167" t="n"/>
      <c r="N160" s="167" t="n"/>
      <c r="O160" s="167" t="n"/>
      <c r="P160" s="167" t="n"/>
      <c r="Q160" s="167" t="n"/>
    </row>
    <row r="161">
      <c r="A161" s="167" t="n"/>
      <c r="B161" s="167" t="n"/>
      <c r="C161" s="167" t="n"/>
      <c r="D161" s="167" t="n"/>
      <c r="E161" s="167" t="n"/>
      <c r="F161" s="167" t="n"/>
      <c r="G161" s="167" t="n"/>
      <c r="H161" s="167" t="n"/>
      <c r="I161" s="167" t="n"/>
      <c r="J161" s="167" t="n"/>
      <c r="K161" s="167" t="n"/>
      <c r="L161" s="167" t="n"/>
      <c r="M161" s="167" t="n"/>
      <c r="N161" s="167" t="n"/>
      <c r="O161" s="167" t="n"/>
      <c r="P161" s="167" t="n"/>
      <c r="Q161" s="167" t="n"/>
    </row>
    <row r="162">
      <c r="A162" s="167" t="n"/>
      <c r="B162" s="167" t="n"/>
      <c r="C162" s="167" t="n"/>
      <c r="D162" s="167" t="n"/>
      <c r="E162" s="167" t="n"/>
      <c r="F162" s="167" t="n"/>
      <c r="G162" s="167" t="n"/>
      <c r="H162" s="167" t="n"/>
      <c r="I162" s="167" t="n"/>
      <c r="J162" s="167" t="n"/>
      <c r="K162" s="167" t="n"/>
      <c r="L162" s="167" t="n"/>
      <c r="M162" s="167" t="n"/>
      <c r="N162" s="167" t="n"/>
      <c r="O162" s="167" t="n"/>
      <c r="P162" s="167" t="n"/>
      <c r="Q162" s="167" t="n"/>
    </row>
    <row r="163">
      <c r="A163" s="167" t="n"/>
      <c r="B163" s="167" t="n"/>
      <c r="C163" s="167" t="n"/>
      <c r="D163" s="167" t="n"/>
      <c r="E163" s="167" t="n"/>
      <c r="F163" s="167" t="n"/>
      <c r="G163" s="167" t="n"/>
      <c r="H163" s="167" t="n"/>
      <c r="I163" s="167" t="n"/>
      <c r="J163" s="167" t="n"/>
      <c r="K163" s="167" t="n"/>
      <c r="L163" s="167" t="n"/>
      <c r="M163" s="167" t="n"/>
      <c r="N163" s="167" t="n"/>
      <c r="O163" s="167" t="n"/>
      <c r="P163" s="167" t="n"/>
      <c r="Q163" s="167" t="n"/>
    </row>
    <row r="164">
      <c r="A164" s="167" t="n"/>
      <c r="B164" s="167" t="n"/>
      <c r="C164" s="167" t="n"/>
      <c r="D164" s="167" t="n"/>
      <c r="E164" s="167" t="n"/>
      <c r="F164" s="167" t="n"/>
      <c r="G164" s="167" t="n"/>
      <c r="H164" s="167" t="n"/>
      <c r="I164" s="167" t="n"/>
      <c r="J164" s="167" t="n"/>
      <c r="K164" s="167" t="n"/>
      <c r="L164" s="167" t="n"/>
      <c r="M164" s="167" t="n"/>
      <c r="N164" s="167" t="n"/>
      <c r="O164" s="167" t="n"/>
      <c r="P164" s="167" t="n"/>
      <c r="Q164" s="167" t="n"/>
    </row>
    <row r="165">
      <c r="A165" s="167" t="n"/>
      <c r="B165" s="167" t="n"/>
      <c r="C165" s="167" t="n"/>
      <c r="D165" s="167" t="n"/>
      <c r="E165" s="167" t="n"/>
      <c r="F165" s="167" t="n"/>
      <c r="G165" s="167" t="n"/>
      <c r="H165" s="167" t="n"/>
      <c r="I165" s="167" t="n"/>
      <c r="J165" s="167" t="n"/>
      <c r="K165" s="167" t="n"/>
      <c r="L165" s="167" t="n"/>
      <c r="M165" s="167" t="n"/>
      <c r="N165" s="167" t="n"/>
      <c r="O165" s="167" t="n"/>
      <c r="P165" s="167" t="n"/>
      <c r="Q165" s="167" t="n"/>
    </row>
    <row r="166">
      <c r="A166" s="167" t="n"/>
      <c r="B166" s="167" t="n"/>
      <c r="C166" s="167" t="n"/>
      <c r="D166" s="167" t="n"/>
      <c r="E166" s="167" t="n"/>
      <c r="F166" s="167" t="n"/>
      <c r="G166" s="167" t="n"/>
      <c r="H166" s="167" t="n"/>
      <c r="I166" s="167" t="n"/>
      <c r="J166" s="167" t="n"/>
      <c r="K166" s="167" t="n"/>
      <c r="L166" s="167" t="n"/>
      <c r="M166" s="167" t="n"/>
      <c r="N166" s="167" t="n"/>
      <c r="O166" s="167" t="n"/>
      <c r="P166" s="167" t="n"/>
      <c r="Q166" s="167" t="n"/>
    </row>
    <row r="167">
      <c r="A167" s="167" t="n"/>
      <c r="B167" s="167" t="n"/>
      <c r="C167" s="167" t="n"/>
      <c r="D167" s="167" t="n"/>
      <c r="E167" s="167" t="n"/>
      <c r="F167" s="167" t="n"/>
      <c r="G167" s="167" t="n"/>
      <c r="H167" s="167" t="n"/>
      <c r="I167" s="167" t="n"/>
      <c r="J167" s="167" t="n"/>
      <c r="K167" s="167" t="n"/>
      <c r="L167" s="167" t="n"/>
      <c r="M167" s="167" t="n"/>
      <c r="N167" s="167" t="n"/>
      <c r="O167" s="167" t="n"/>
      <c r="P167" s="167" t="n"/>
      <c r="Q167" s="167" t="n"/>
    </row>
    <row r="168">
      <c r="A168" s="167" t="n"/>
      <c r="B168" s="167" t="n"/>
      <c r="C168" s="167" t="n"/>
      <c r="D168" s="167" t="n"/>
      <c r="E168" s="167" t="n"/>
      <c r="F168" s="167" t="n"/>
      <c r="G168" s="167" t="n"/>
      <c r="H168" s="167" t="n"/>
      <c r="I168" s="167" t="n"/>
      <c r="J168" s="167" t="n"/>
      <c r="K168" s="167" t="n"/>
      <c r="L168" s="167" t="n"/>
      <c r="M168" s="167" t="n"/>
      <c r="N168" s="167" t="n"/>
      <c r="O168" s="167" t="n"/>
      <c r="P168" s="167" t="n"/>
      <c r="Q168" s="167" t="n"/>
    </row>
    <row r="169">
      <c r="A169" s="167" t="n"/>
      <c r="B169" s="167" t="n"/>
      <c r="C169" s="167" t="n"/>
      <c r="D169" s="167" t="n"/>
      <c r="E169" s="167" t="n"/>
      <c r="F169" s="167" t="n"/>
      <c r="G169" s="167" t="n"/>
      <c r="H169" s="167" t="n"/>
      <c r="I169" s="167" t="n"/>
      <c r="J169" s="167" t="n"/>
      <c r="K169" s="167" t="n"/>
      <c r="L169" s="167" t="n"/>
      <c r="M169" s="167" t="n"/>
      <c r="N169" s="167" t="n"/>
      <c r="O169" s="167" t="n"/>
      <c r="P169" s="167" t="n"/>
      <c r="Q169" s="167" t="n"/>
    </row>
    <row r="170">
      <c r="A170" s="167" t="n"/>
      <c r="B170" s="167" t="n"/>
      <c r="C170" s="167" t="n"/>
      <c r="D170" s="167" t="n"/>
      <c r="E170" s="167" t="n"/>
      <c r="F170" s="167" t="n"/>
      <c r="G170" s="167" t="n"/>
      <c r="H170" s="167" t="n"/>
      <c r="I170" s="167" t="n"/>
      <c r="J170" s="167" t="n"/>
      <c r="K170" s="167" t="n"/>
      <c r="L170" s="167" t="n"/>
      <c r="M170" s="167" t="n"/>
      <c r="N170" s="167" t="n"/>
      <c r="O170" s="167" t="n"/>
      <c r="P170" s="167" t="n"/>
      <c r="Q170" s="167" t="n"/>
    </row>
    <row r="171">
      <c r="A171" s="167" t="n"/>
      <c r="B171" s="167" t="n"/>
      <c r="C171" s="167" t="n"/>
      <c r="D171" s="167" t="n"/>
      <c r="E171" s="167" t="n"/>
      <c r="F171" s="167" t="n"/>
      <c r="G171" s="167" t="n"/>
      <c r="H171" s="167" t="n"/>
      <c r="I171" s="167" t="n"/>
      <c r="J171" s="167" t="n"/>
      <c r="K171" s="167" t="n"/>
      <c r="L171" s="167" t="n"/>
      <c r="M171" s="167" t="n"/>
      <c r="N171" s="167" t="n"/>
      <c r="O171" s="167" t="n"/>
      <c r="P171" s="167" t="n"/>
      <c r="Q171" s="167" t="n"/>
    </row>
    <row r="172">
      <c r="A172" s="167" t="n"/>
      <c r="B172" s="167" t="n"/>
      <c r="C172" s="167" t="n"/>
      <c r="D172" s="167" t="n"/>
      <c r="E172" s="167" t="n"/>
      <c r="F172" s="167" t="n"/>
      <c r="G172" s="167" t="n"/>
      <c r="H172" s="167" t="n"/>
      <c r="I172" s="167" t="n"/>
      <c r="J172" s="167" t="n"/>
      <c r="K172" s="167" t="n"/>
      <c r="L172" s="167" t="n"/>
      <c r="M172" s="167" t="n"/>
      <c r="N172" s="167" t="n"/>
      <c r="O172" s="167" t="n"/>
      <c r="P172" s="167" t="n"/>
      <c r="Q172" s="167" t="n"/>
    </row>
    <row r="173">
      <c r="A173" s="167" t="n"/>
      <c r="B173" s="167" t="n"/>
      <c r="C173" s="167" t="n"/>
      <c r="D173" s="167" t="n"/>
      <c r="E173" s="167" t="n"/>
      <c r="F173" s="167" t="n"/>
      <c r="G173" s="167" t="n"/>
      <c r="H173" s="167" t="n"/>
      <c r="I173" s="167" t="n"/>
      <c r="J173" s="167" t="n"/>
      <c r="K173" s="167" t="n"/>
      <c r="L173" s="167" t="n"/>
      <c r="M173" s="167" t="n"/>
      <c r="N173" s="167" t="n"/>
      <c r="O173" s="167" t="n"/>
      <c r="P173" s="167" t="n"/>
      <c r="Q173" s="167" t="n"/>
    </row>
    <row r="174">
      <c r="A174" s="167" t="n"/>
      <c r="B174" s="167" t="n"/>
      <c r="C174" s="167" t="n"/>
      <c r="D174" s="167" t="n"/>
      <c r="E174" s="167" t="n"/>
      <c r="F174" s="167" t="n"/>
      <c r="G174" s="167" t="n"/>
      <c r="H174" s="167" t="n"/>
      <c r="I174" s="167" t="n"/>
      <c r="J174" s="167" t="n"/>
      <c r="K174" s="167" t="n"/>
      <c r="L174" s="167" t="n"/>
      <c r="M174" s="167" t="n"/>
      <c r="N174" s="167" t="n"/>
      <c r="O174" s="167" t="n"/>
      <c r="P174" s="167" t="n"/>
      <c r="Q174" s="167" t="n"/>
    </row>
    <row r="175">
      <c r="A175" s="167" t="n"/>
      <c r="B175" s="167" t="n"/>
      <c r="C175" s="167" t="n"/>
      <c r="D175" s="167" t="n"/>
      <c r="E175" s="167" t="n"/>
      <c r="F175" s="167" t="n"/>
      <c r="G175" s="167" t="n"/>
      <c r="H175" s="167" t="n"/>
      <c r="I175" s="167" t="n"/>
      <c r="J175" s="167" t="n"/>
      <c r="K175" s="167" t="n"/>
      <c r="L175" s="167" t="n"/>
      <c r="M175" s="167" t="n"/>
      <c r="N175" s="167" t="n"/>
      <c r="O175" s="167" t="n"/>
      <c r="P175" s="167" t="n"/>
      <c r="Q175" s="167" t="n"/>
    </row>
    <row r="176">
      <c r="A176" s="167" t="n"/>
      <c r="B176" s="167" t="n"/>
      <c r="C176" s="167" t="n"/>
      <c r="D176" s="167" t="n"/>
      <c r="E176" s="167" t="n"/>
      <c r="F176" s="167" t="n"/>
      <c r="G176" s="167" t="n"/>
      <c r="H176" s="167" t="n"/>
      <c r="I176" s="167" t="n"/>
      <c r="J176" s="167" t="n"/>
      <c r="K176" s="167" t="n"/>
      <c r="L176" s="167" t="n"/>
      <c r="M176" s="167" t="n"/>
      <c r="N176" s="167" t="n"/>
      <c r="O176" s="167" t="n"/>
      <c r="P176" s="167" t="n"/>
      <c r="Q176" s="167" t="n"/>
    </row>
    <row r="177">
      <c r="A177" s="167" t="n"/>
      <c r="B177" s="167" t="n"/>
      <c r="C177" s="167" t="n"/>
      <c r="D177" s="167" t="n"/>
      <c r="E177" s="167" t="n"/>
      <c r="F177" s="167" t="n"/>
      <c r="G177" s="167" t="n"/>
      <c r="H177" s="167" t="n"/>
      <c r="I177" s="167" t="n"/>
      <c r="J177" s="167" t="n"/>
      <c r="K177" s="167" t="n"/>
      <c r="L177" s="167" t="n"/>
      <c r="M177" s="167" t="n"/>
      <c r="N177" s="167" t="n"/>
      <c r="O177" s="167" t="n"/>
      <c r="P177" s="167" t="n"/>
      <c r="Q177" s="167" t="n"/>
    </row>
    <row r="178">
      <c r="A178" s="167" t="n"/>
      <c r="B178" s="167" t="n"/>
      <c r="C178" s="167" t="n"/>
      <c r="D178" s="167" t="n"/>
      <c r="E178" s="167" t="n"/>
      <c r="F178" s="167" t="n"/>
      <c r="G178" s="167" t="n"/>
      <c r="H178" s="167" t="n"/>
      <c r="I178" s="167" t="n"/>
      <c r="J178" s="167" t="n"/>
      <c r="K178" s="167" t="n"/>
      <c r="L178" s="167" t="n"/>
      <c r="M178" s="167" t="n"/>
      <c r="N178" s="167" t="n"/>
      <c r="O178" s="167" t="n"/>
      <c r="P178" s="167" t="n"/>
      <c r="Q178" s="167" t="n"/>
    </row>
    <row r="179">
      <c r="A179" s="167" t="n"/>
      <c r="B179" s="167" t="n"/>
      <c r="C179" s="167" t="n"/>
      <c r="D179" s="167" t="n"/>
      <c r="E179" s="167" t="n"/>
      <c r="F179" s="167" t="n"/>
      <c r="G179" s="167" t="n"/>
      <c r="H179" s="167" t="n"/>
      <c r="I179" s="167" t="n"/>
      <c r="J179" s="167" t="n"/>
      <c r="K179" s="167" t="n"/>
      <c r="L179" s="167" t="n"/>
      <c r="M179" s="167" t="n"/>
      <c r="N179" s="167" t="n"/>
      <c r="O179" s="167" t="n"/>
      <c r="P179" s="167" t="n"/>
      <c r="Q179" s="167" t="n"/>
    </row>
    <row r="180">
      <c r="A180" s="167" t="n"/>
      <c r="B180" s="167" t="n"/>
      <c r="C180" s="167" t="n"/>
      <c r="D180" s="167" t="n"/>
      <c r="E180" s="167" t="n"/>
      <c r="F180" s="167" t="n"/>
      <c r="G180" s="167" t="n"/>
      <c r="H180" s="167" t="n"/>
      <c r="I180" s="167" t="n"/>
      <c r="J180" s="167" t="n"/>
      <c r="K180" s="167" t="n"/>
      <c r="L180" s="167" t="n"/>
      <c r="M180" s="167" t="n"/>
      <c r="N180" s="167" t="n"/>
      <c r="O180" s="167" t="n"/>
      <c r="P180" s="167" t="n"/>
      <c r="Q180" s="167" t="n"/>
    </row>
    <row r="181">
      <c r="A181" s="167" t="n"/>
      <c r="B181" s="167" t="n"/>
      <c r="C181" s="167" t="n"/>
      <c r="D181" s="167" t="n"/>
      <c r="E181" s="167" t="n"/>
      <c r="F181" s="167" t="n"/>
      <c r="G181" s="167" t="n"/>
      <c r="H181" s="167" t="n"/>
      <c r="I181" s="167" t="n"/>
      <c r="J181" s="167" t="n"/>
      <c r="K181" s="167" t="n"/>
      <c r="L181" s="167" t="n"/>
      <c r="M181" s="167" t="n"/>
      <c r="N181" s="167" t="n"/>
      <c r="O181" s="167" t="n"/>
      <c r="P181" s="167" t="n"/>
      <c r="Q181" s="167" t="n"/>
    </row>
    <row r="182">
      <c r="A182" s="167" t="n"/>
      <c r="B182" s="167" t="n"/>
      <c r="C182" s="167" t="n"/>
      <c r="D182" s="167" t="n"/>
      <c r="E182" s="167" t="n"/>
      <c r="F182" s="167" t="n"/>
      <c r="G182" s="167" t="n"/>
      <c r="H182" s="167" t="n"/>
      <c r="I182" s="167" t="n"/>
      <c r="J182" s="167" t="n"/>
      <c r="K182" s="167" t="n"/>
      <c r="L182" s="167" t="n"/>
      <c r="M182" s="167" t="n"/>
      <c r="N182" s="167" t="n"/>
      <c r="O182" s="167" t="n"/>
      <c r="P182" s="167" t="n"/>
      <c r="Q182" s="167" t="n"/>
    </row>
    <row r="183">
      <c r="A183" s="167" t="n"/>
      <c r="B183" s="167" t="n"/>
      <c r="C183" s="167" t="n"/>
      <c r="D183" s="167" t="n"/>
      <c r="E183" s="167" t="n"/>
      <c r="F183" s="167" t="n"/>
      <c r="G183" s="167" t="n"/>
      <c r="H183" s="167" t="n"/>
      <c r="I183" s="167" t="n"/>
      <c r="J183" s="167" t="n"/>
      <c r="K183" s="167" t="n"/>
      <c r="L183" s="167" t="n"/>
      <c r="M183" s="167" t="n"/>
      <c r="N183" s="167" t="n"/>
      <c r="O183" s="167" t="n"/>
      <c r="P183" s="167" t="n"/>
      <c r="Q183" s="167" t="n"/>
    </row>
    <row r="184">
      <c r="A184" s="167" t="n"/>
      <c r="B184" s="167" t="n"/>
      <c r="C184" s="167" t="n"/>
      <c r="D184" s="167" t="n"/>
      <c r="E184" s="167" t="n"/>
      <c r="F184" s="167" t="n"/>
      <c r="G184" s="167" t="n"/>
      <c r="H184" s="167" t="n"/>
      <c r="I184" s="167" t="n"/>
      <c r="J184" s="167" t="n"/>
      <c r="K184" s="167" t="n"/>
      <c r="L184" s="167" t="n"/>
      <c r="M184" s="167" t="n"/>
      <c r="N184" s="167" t="n"/>
      <c r="O184" s="167" t="n"/>
      <c r="P184" s="167" t="n"/>
      <c r="Q184" s="167" t="n"/>
    </row>
    <row r="185">
      <c r="A185" s="167" t="n"/>
      <c r="B185" s="167" t="n"/>
      <c r="C185" s="167" t="n"/>
      <c r="D185" s="167" t="n"/>
      <c r="E185" s="167" t="n"/>
      <c r="F185" s="167" t="n"/>
      <c r="G185" s="167" t="n"/>
      <c r="H185" s="167" t="n"/>
      <c r="I185" s="167" t="n"/>
      <c r="J185" s="167" t="n"/>
      <c r="K185" s="167" t="n"/>
      <c r="L185" s="167" t="n"/>
      <c r="M185" s="167" t="n"/>
      <c r="N185" s="167" t="n"/>
      <c r="O185" s="167" t="n"/>
      <c r="P185" s="167" t="n"/>
      <c r="Q185" s="167" t="n"/>
    </row>
    <row r="186">
      <c r="A186" s="167" t="n"/>
      <c r="B186" s="167" t="n"/>
      <c r="C186" s="167" t="n"/>
      <c r="D186" s="167" t="n"/>
      <c r="E186" s="167" t="n"/>
      <c r="F186" s="167" t="n"/>
      <c r="G186" s="167" t="n"/>
      <c r="H186" s="167" t="n"/>
      <c r="I186" s="167" t="n"/>
      <c r="J186" s="167" t="n"/>
      <c r="K186" s="167" t="n"/>
      <c r="L186" s="167" t="n"/>
      <c r="M186" s="167" t="n"/>
      <c r="N186" s="167" t="n"/>
      <c r="O186" s="167" t="n"/>
      <c r="P186" s="167" t="n"/>
      <c r="Q186" s="167" t="n"/>
    </row>
    <row r="187">
      <c r="A187" s="167" t="n"/>
      <c r="B187" s="167" t="n"/>
      <c r="C187" s="167" t="n"/>
      <c r="D187" s="167" t="n"/>
      <c r="E187" s="167" t="n"/>
      <c r="F187" s="167" t="n"/>
      <c r="G187" s="167" t="n"/>
      <c r="H187" s="167" t="n"/>
      <c r="I187" s="167" t="n"/>
      <c r="J187" s="167" t="n"/>
      <c r="K187" s="167" t="n"/>
      <c r="L187" s="167" t="n"/>
      <c r="M187" s="167" t="n"/>
      <c r="N187" s="167" t="n"/>
      <c r="O187" s="167" t="n"/>
      <c r="P187" s="167" t="n"/>
      <c r="Q187" s="167" t="n"/>
    </row>
    <row r="188">
      <c r="A188" s="167" t="n"/>
      <c r="B188" s="167" t="n"/>
      <c r="C188" s="167" t="n"/>
      <c r="D188" s="167" t="n"/>
      <c r="E188" s="167" t="n"/>
      <c r="F188" s="167" t="n"/>
      <c r="G188" s="167" t="n"/>
      <c r="H188" s="167" t="n"/>
      <c r="I188" s="167" t="n"/>
      <c r="J188" s="167" t="n"/>
      <c r="K188" s="167" t="n"/>
      <c r="L188" s="167" t="n"/>
      <c r="M188" s="167" t="n"/>
      <c r="N188" s="167" t="n"/>
      <c r="O188" s="167" t="n"/>
      <c r="P188" s="167" t="n"/>
      <c r="Q188" s="167" t="n"/>
    </row>
    <row r="189">
      <c r="A189" s="167" t="n"/>
      <c r="B189" s="167" t="n"/>
      <c r="C189" s="167" t="n"/>
      <c r="D189" s="167" t="n"/>
      <c r="E189" s="167" t="n"/>
      <c r="F189" s="167" t="n"/>
      <c r="G189" s="167" t="n"/>
      <c r="H189" s="167" t="n"/>
      <c r="I189" s="167" t="n"/>
      <c r="J189" s="167" t="n"/>
      <c r="K189" s="167" t="n"/>
      <c r="L189" s="167" t="n"/>
      <c r="M189" s="167" t="n"/>
      <c r="N189" s="167" t="n"/>
      <c r="O189" s="167" t="n"/>
      <c r="P189" s="167" t="n"/>
      <c r="Q189" s="167" t="n"/>
    </row>
    <row r="190">
      <c r="A190" s="167" t="n"/>
      <c r="B190" s="167" t="n"/>
      <c r="C190" s="167" t="n"/>
      <c r="D190" s="167" t="n"/>
      <c r="E190" s="167" t="n"/>
      <c r="F190" s="167" t="n"/>
      <c r="G190" s="167" t="n"/>
      <c r="H190" s="167" t="n"/>
      <c r="I190" s="167" t="n"/>
      <c r="J190" s="167" t="n"/>
      <c r="K190" s="167" t="n"/>
      <c r="L190" s="167" t="n"/>
      <c r="M190" s="167" t="n"/>
      <c r="N190" s="167" t="n"/>
      <c r="O190" s="167" t="n"/>
      <c r="P190" s="167" t="n"/>
      <c r="Q190" s="167" t="n"/>
    </row>
    <row r="191">
      <c r="A191" s="167" t="n"/>
      <c r="B191" s="167" t="n"/>
      <c r="C191" s="167" t="n"/>
      <c r="D191" s="167" t="n"/>
      <c r="E191" s="167" t="n"/>
      <c r="F191" s="167" t="n"/>
      <c r="G191" s="167" t="n"/>
      <c r="H191" s="167" t="n"/>
      <c r="I191" s="167" t="n"/>
      <c r="J191" s="167" t="n"/>
      <c r="K191" s="167" t="n"/>
      <c r="L191" s="167" t="n"/>
      <c r="M191" s="167" t="n"/>
      <c r="N191" s="167" t="n"/>
      <c r="O191" s="167" t="n"/>
      <c r="P191" s="167" t="n"/>
      <c r="Q191" s="167" t="n"/>
    </row>
    <row r="192">
      <c r="A192" s="167" t="n"/>
      <c r="B192" s="167" t="n"/>
      <c r="C192" s="167" t="n"/>
      <c r="D192" s="167" t="n"/>
      <c r="E192" s="167" t="n"/>
      <c r="F192" s="167" t="n"/>
      <c r="G192" s="167" t="n"/>
      <c r="H192" s="167" t="n"/>
      <c r="I192" s="167" t="n"/>
      <c r="J192" s="167" t="n"/>
      <c r="K192" s="167" t="n"/>
      <c r="L192" s="167" t="n"/>
      <c r="M192" s="167" t="n"/>
      <c r="N192" s="167" t="n"/>
      <c r="O192" s="167" t="n"/>
      <c r="P192" s="167" t="n"/>
      <c r="Q192" s="167" t="n"/>
    </row>
    <row r="193">
      <c r="A193" s="167" t="n"/>
      <c r="B193" s="167" t="n"/>
      <c r="C193" s="167" t="n"/>
      <c r="D193" s="167" t="n"/>
      <c r="E193" s="167" t="n"/>
      <c r="F193" s="167" t="n"/>
      <c r="G193" s="167" t="n"/>
      <c r="H193" s="167" t="n"/>
      <c r="I193" s="167" t="n"/>
      <c r="J193" s="167" t="n"/>
      <c r="K193" s="167" t="n"/>
      <c r="L193" s="167" t="n"/>
      <c r="M193" s="167" t="n"/>
      <c r="N193" s="167" t="n"/>
      <c r="O193" s="167" t="n"/>
      <c r="P193" s="167" t="n"/>
      <c r="Q193" s="167" t="n"/>
    </row>
    <row r="194">
      <c r="A194" s="167" t="n"/>
      <c r="B194" s="167" t="n"/>
      <c r="C194" s="167" t="n"/>
      <c r="D194" s="167" t="n"/>
      <c r="E194" s="167" t="n"/>
      <c r="F194" s="167" t="n"/>
      <c r="G194" s="167" t="n"/>
      <c r="H194" s="167" t="n"/>
      <c r="I194" s="167" t="n"/>
      <c r="J194" s="167" t="n"/>
      <c r="K194" s="167" t="n"/>
      <c r="L194" s="167" t="n"/>
      <c r="M194" s="167" t="n"/>
      <c r="N194" s="167" t="n"/>
      <c r="O194" s="167" t="n"/>
      <c r="P194" s="167" t="n"/>
      <c r="Q194" s="167" t="n"/>
    </row>
    <row r="195">
      <c r="A195" s="167" t="n"/>
      <c r="B195" s="167" t="n"/>
      <c r="C195" s="167" t="n"/>
      <c r="D195" s="167" t="n"/>
      <c r="E195" s="167" t="n"/>
      <c r="F195" s="167" t="n"/>
      <c r="G195" s="167" t="n"/>
      <c r="H195" s="167" t="n"/>
      <c r="I195" s="167" t="n"/>
      <c r="J195" s="167" t="n"/>
      <c r="K195" s="167" t="n"/>
      <c r="L195" s="167" t="n"/>
      <c r="M195" s="167" t="n"/>
      <c r="N195" s="167" t="n"/>
      <c r="O195" s="167" t="n"/>
      <c r="P195" s="167" t="n"/>
      <c r="Q195" s="167" t="n"/>
    </row>
    <row r="196">
      <c r="A196" s="167" t="n"/>
      <c r="B196" s="167" t="n"/>
      <c r="C196" s="167" t="n"/>
      <c r="D196" s="167" t="n"/>
      <c r="E196" s="167" t="n"/>
      <c r="F196" s="167" t="n"/>
      <c r="G196" s="167" t="n"/>
      <c r="H196" s="167" t="n"/>
      <c r="I196" s="167" t="n"/>
      <c r="J196" s="167" t="n"/>
      <c r="K196" s="167" t="n"/>
      <c r="L196" s="167" t="n"/>
      <c r="M196" s="167" t="n"/>
      <c r="N196" s="167" t="n"/>
      <c r="O196" s="167" t="n"/>
      <c r="P196" s="167" t="n"/>
      <c r="Q196" s="167" t="n"/>
    </row>
    <row r="197">
      <c r="A197" s="167" t="n"/>
      <c r="B197" s="167" t="n"/>
      <c r="C197" s="167" t="n"/>
      <c r="D197" s="167" t="n"/>
      <c r="E197" s="167" t="n"/>
      <c r="F197" s="167" t="n"/>
      <c r="G197" s="167" t="n"/>
      <c r="H197" s="167" t="n"/>
      <c r="I197" s="167" t="n"/>
      <c r="J197" s="167" t="n"/>
      <c r="K197" s="167" t="n"/>
      <c r="L197" s="167" t="n"/>
      <c r="M197" s="167" t="n"/>
      <c r="N197" s="167" t="n"/>
      <c r="O197" s="167" t="n"/>
      <c r="P197" s="167" t="n"/>
      <c r="Q197" s="167" t="n"/>
    </row>
    <row r="198">
      <c r="A198" s="167" t="n"/>
      <c r="B198" s="167" t="n"/>
      <c r="C198" s="167" t="n"/>
      <c r="D198" s="167" t="n"/>
      <c r="E198" s="167" t="n"/>
      <c r="F198" s="167" t="n"/>
      <c r="G198" s="167" t="n"/>
      <c r="H198" s="167" t="n"/>
      <c r="I198" s="167" t="n"/>
      <c r="J198" s="167" t="n"/>
      <c r="K198" s="167" t="n"/>
      <c r="L198" s="167" t="n"/>
      <c r="M198" s="167" t="n"/>
      <c r="N198" s="167" t="n"/>
      <c r="O198" s="167" t="n"/>
      <c r="P198" s="167" t="n"/>
      <c r="Q198" s="167" t="n"/>
    </row>
    <row r="199">
      <c r="A199" s="167" t="n"/>
      <c r="B199" s="167" t="n"/>
      <c r="C199" s="167" t="n"/>
      <c r="D199" s="167" t="n"/>
      <c r="E199" s="167" t="n"/>
      <c r="F199" s="167" t="n"/>
      <c r="G199" s="167" t="n"/>
      <c r="H199" s="167" t="n"/>
      <c r="I199" s="167" t="n"/>
      <c r="J199" s="167" t="n"/>
      <c r="K199" s="167" t="n"/>
      <c r="L199" s="167" t="n"/>
      <c r="M199" s="167" t="n"/>
      <c r="N199" s="167" t="n"/>
      <c r="O199" s="167" t="n"/>
      <c r="P199" s="167" t="n"/>
      <c r="Q199" s="167" t="n"/>
    </row>
    <row r="200">
      <c r="A200" s="167" t="n"/>
      <c r="B200" s="167" t="n"/>
      <c r="C200" s="167" t="n"/>
      <c r="D200" s="167" t="n"/>
      <c r="E200" s="167" t="n"/>
      <c r="F200" s="167" t="n"/>
      <c r="G200" s="167" t="n"/>
      <c r="H200" s="167" t="n"/>
      <c r="I200" s="167" t="n"/>
      <c r="J200" s="167" t="n"/>
      <c r="K200" s="167" t="n"/>
      <c r="L200" s="167" t="n"/>
      <c r="M200" s="167" t="n"/>
      <c r="N200" s="167" t="n"/>
      <c r="O200" s="167" t="n"/>
      <c r="P200" s="167" t="n"/>
      <c r="Q200" s="167"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1" t="inlineStr">
        <is>
          <t>CUADRO DE NOTAS FINALES — 7° GRADO · ESCUELA CERRO CACICÓN 2026</t>
        </is>
      </c>
    </row>
    <row r="2" ht="15" customHeight="1" s="176">
      <c r="A2" s="256" t="inlineStr">
        <is>
          <t>Nota: Las calificaciones se obtienen automáticamente de las hojas PROM de cada materia</t>
        </is>
      </c>
    </row>
    <row r="3" ht="22.05" customHeight="1" s="176">
      <c r="A3" s="249" t="inlineStr">
        <is>
          <t>No.</t>
        </is>
      </c>
      <c r="B3" s="249" t="inlineStr">
        <is>
          <t>APELLIDO, NOMBRE</t>
        </is>
      </c>
      <c r="C3" s="249" t="inlineStr">
        <is>
          <t>INGLÉS</t>
        </is>
      </c>
      <c r="D3" s="250" t="n"/>
      <c r="E3" s="250" t="n"/>
      <c r="F3" s="242" t="n"/>
      <c r="G3" s="249" t="inlineStr">
        <is>
          <t>AGROPECUARIA</t>
        </is>
      </c>
      <c r="H3" s="250" t="n"/>
      <c r="I3" s="250" t="n"/>
      <c r="J3" s="242" t="n"/>
      <c r="K3" s="249" t="inlineStr">
        <is>
          <t>HOGAR Y DESARROLLO</t>
        </is>
      </c>
      <c r="L3" s="250" t="n"/>
      <c r="M3" s="250" t="n"/>
      <c r="N3" s="242" t="n"/>
      <c r="O3" s="253" t="inlineStr">
        <is>
          <t>TECNOLOGÍA</t>
        </is>
      </c>
      <c r="P3" s="250" t="n"/>
      <c r="Q3" s="250" t="n"/>
      <c r="R3" s="242" t="n"/>
      <c r="S3" s="255" t="inlineStr">
        <is>
          <t>ESTADO</t>
        </is>
      </c>
    </row>
    <row r="4" ht="18" customHeight="1" s="176">
      <c r="A4" s="252" t="n"/>
      <c r="B4" s="252" t="n"/>
      <c r="C4" s="106" t="inlineStr">
        <is>
          <t>T1</t>
        </is>
      </c>
      <c r="D4" s="106" t="inlineStr">
        <is>
          <t>T2</t>
        </is>
      </c>
      <c r="E4" s="106" t="inlineStr">
        <is>
          <t>T3</t>
        </is>
      </c>
      <c r="F4" s="99" t="inlineStr">
        <is>
          <t>FINAL</t>
        </is>
      </c>
      <c r="G4" s="106" t="inlineStr">
        <is>
          <t>T1</t>
        </is>
      </c>
      <c r="H4" s="106" t="inlineStr">
        <is>
          <t>T2</t>
        </is>
      </c>
      <c r="I4" s="106" t="inlineStr">
        <is>
          <t>T3</t>
        </is>
      </c>
      <c r="J4" s="99" t="inlineStr">
        <is>
          <t>FINAL</t>
        </is>
      </c>
      <c r="K4" s="106" t="inlineStr">
        <is>
          <t>T1</t>
        </is>
      </c>
      <c r="L4" s="106" t="inlineStr">
        <is>
          <t>T2</t>
        </is>
      </c>
      <c r="M4" s="106"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IF(MAESTRO!B5="","",MAESTRO!B5)</f>
        <v/>
      </c>
      <c r="C5" s="108">
        <f>IF(MAESTRO!B5="","",IFERROR('Planilla (Ingles 7°) '!F16,""))</f>
        <v/>
      </c>
      <c r="D5" s="108">
        <f>IF(MAESTRO!B5="","",IFERROR('Planilla (Ingles 7°) '!G16,""))</f>
        <v/>
      </c>
      <c r="E5" s="108">
        <f>IF(MAESTRO!B5="","",IFERROR('Planilla (Ingles 7°) '!H16,""))</f>
        <v/>
      </c>
      <c r="F5" s="109">
        <f>IF(MAESTRO!B5="","",IFERROR('Planilla (Ingles 7°) '!I16,""))</f>
        <v/>
      </c>
      <c r="G5" s="108">
        <f>IF(MAESTRO!B5="","",IFERROR('Planilla (Agropecuaria 7°)'!F16,""))</f>
        <v/>
      </c>
      <c r="H5" s="108">
        <f>IF(MAESTRO!B5="","",IFERROR('Planilla (Agropecuaria 7°)'!G16,""))</f>
        <v/>
      </c>
      <c r="I5" s="108">
        <f>IF(MAESTRO!B5="","",IFERROR('Planilla (Agropecuaria 7°)'!H16,""))</f>
        <v/>
      </c>
      <c r="J5" s="109">
        <f>IF(MAESTRO!B5="","",IFERROR('Planilla (Agropecuaria 7°)'!I16,""))</f>
        <v/>
      </c>
      <c r="K5" s="108">
        <f>IF(MAESTRO!B5="","",IFERROR('Planilla (Hogar y Desarrollo 7)'!F16,""))</f>
        <v/>
      </c>
      <c r="L5" s="108">
        <f>IF(MAESTRO!B5="","",IFERROR('Planilla (Hogar y Desarrollo 7)'!G16,""))</f>
        <v/>
      </c>
      <c r="M5" s="108">
        <f>IF(MAESTRO!B5="","",IFERROR('Planilla (Hogar y Desarrollo 7)'!H16,""))</f>
        <v/>
      </c>
      <c r="N5" s="109">
        <f>IF(MAESTRO!B5="","",IFERROR('Planilla (Hogar y Desarrollo 7)'!I16,""))</f>
        <v/>
      </c>
      <c r="O5" s="110">
        <f>IF(MAESTRO!B5="","",IFERROR(AVERAGE(G5,K5),""))</f>
        <v/>
      </c>
      <c r="P5" s="110">
        <f>IF(MAESTRO!B5="","",IFERROR(AVERAGE(H5,L5),""))</f>
        <v/>
      </c>
      <c r="Q5" s="110">
        <f>IF(MAESTRO!B5="","",IFERROR(AVERAGE(I5,M5),""))</f>
        <v/>
      </c>
      <c r="R5" s="110">
        <f>IF(MAESTRO!B5="","",IFERROR(TRUNC(AVERAGE(O5,P5,Q5),1),""))</f>
        <v/>
      </c>
      <c r="S5" s="109">
        <f>IF(MAESTRO!B5="","",IF(AND(F5="",J5="",N5="",R5=""),"",IF(Y(OR(F5="",F5&gt;=3),OR(J5="",J5&gt;=3),OR(N5="",N5&gt;=3),OR(R5="",R5&gt;=3)),"✓ APROBADO","✗ REPROBADO")))</f>
        <v/>
      </c>
    </row>
    <row r="6" ht="16.05" customHeight="1" s="176">
      <c r="A6" s="102" t="n">
        <v>2</v>
      </c>
      <c r="B6" s="103">
        <f>IF(MAESTRO!B6="","",MAESTRO!B6)</f>
        <v/>
      </c>
      <c r="C6" s="111">
        <f>IF(MAESTRO!B6="","",IFERROR('Planilla (Ingles 7°) '!F17,""))</f>
        <v/>
      </c>
      <c r="D6" s="111">
        <f>IF(MAESTRO!B6="","",IFERROR('Planilla (Ingles 7°) '!G17,""))</f>
        <v/>
      </c>
      <c r="E6" s="111">
        <f>IF(MAESTRO!B6="","",IFERROR('Planilla (Ingles 7°) '!H17,""))</f>
        <v/>
      </c>
      <c r="F6" s="112">
        <f>IF(MAESTRO!B6="","",IFERROR('Planilla (Ingles 7°) '!I17,""))</f>
        <v/>
      </c>
      <c r="G6" s="111">
        <f>IF(MAESTRO!B6="","",IFERROR('Planilla (Agropecuaria 7°)'!F17,""))</f>
        <v/>
      </c>
      <c r="H6" s="111">
        <f>IF(MAESTRO!B6="","",IFERROR('Planilla (Agropecuaria 7°)'!G17,""))</f>
        <v/>
      </c>
      <c r="I6" s="111">
        <f>IF(MAESTRO!B6="","",IFERROR('Planilla (Agropecuaria 7°)'!H17,""))</f>
        <v/>
      </c>
      <c r="J6" s="112">
        <f>IF(MAESTRO!B6="","",IFERROR('Planilla (Agropecuaria 7°)'!I17,""))</f>
        <v/>
      </c>
      <c r="K6" s="111">
        <f>IF(MAESTRO!B6="","",IFERROR('Planilla (Hogar y Desarrollo 7)'!F17,""))</f>
        <v/>
      </c>
      <c r="L6" s="111">
        <f>IF(MAESTRO!B6="","",IFERROR('Planilla (Hogar y Desarrollo 7)'!G17,""))</f>
        <v/>
      </c>
      <c r="M6" s="111">
        <f>IF(MAESTRO!B6="","",IFERROR('Planilla (Hogar y Desarrollo 7)'!H17,""))</f>
        <v/>
      </c>
      <c r="N6" s="112">
        <f>IF(MAESTRO!B6="","",IFERROR('Planilla (Hogar y Desarrollo 7)'!I17,""))</f>
        <v/>
      </c>
      <c r="O6" s="110">
        <f>IF(MAESTRO!B6="","",IFERROR(AVERAGE(G6,K6),""))</f>
        <v/>
      </c>
      <c r="P6" s="110">
        <f>IF(MAESTRO!B6="","",IFERROR(AVERAGE(H6,L6),""))</f>
        <v/>
      </c>
      <c r="Q6" s="110">
        <f>IF(MAESTRO!B6="","",IFERROR(AVERAGE(I6,M6),""))</f>
        <v/>
      </c>
      <c r="R6" s="110">
        <f>IF(MAESTRO!B6="","",IFERROR(TRUNC(AVERAGE(O6,P6,Q6),1),""))</f>
        <v/>
      </c>
      <c r="S6" s="112">
        <f>IF(MAESTRO!B6="","",IF(AND(F6="",J6="",N6="",R6=""),"",IF(Y(OR(F6="",F6&gt;=3),OR(J6="",J6&gt;=3),OR(N6="",N6&gt;=3),OR(R6="",R6&gt;=3)),"✓ APROBADO","✗ REPROBADO")))</f>
        <v/>
      </c>
    </row>
    <row r="7" ht="16.05" customHeight="1" s="176">
      <c r="A7" s="104" t="n">
        <v>3</v>
      </c>
      <c r="B7" s="105">
        <f>IF(MAESTRO!B7="","",MAESTRO!B7)</f>
        <v/>
      </c>
      <c r="C7" s="108">
        <f>IF(MAESTRO!B7="","",IFERROR('Planilla (Ingles 7°) '!F18,""))</f>
        <v/>
      </c>
      <c r="D7" s="108">
        <f>IF(MAESTRO!B7="","",IFERROR('Planilla (Ingles 7°) '!G18,""))</f>
        <v/>
      </c>
      <c r="E7" s="108">
        <f>IF(MAESTRO!B7="","",IFERROR('Planilla (Ingles 7°) '!H18,""))</f>
        <v/>
      </c>
      <c r="F7" s="109">
        <f>IF(MAESTRO!B7="","",IFERROR('Planilla (Ingles 7°) '!I18,""))</f>
        <v/>
      </c>
      <c r="G7" s="108">
        <f>IF(MAESTRO!B7="","",IFERROR('Planilla (Agropecuaria 7°)'!F18,""))</f>
        <v/>
      </c>
      <c r="H7" s="108">
        <f>IF(MAESTRO!B7="","",IFERROR('Planilla (Agropecuaria 7°)'!G18,""))</f>
        <v/>
      </c>
      <c r="I7" s="108">
        <f>IF(MAESTRO!B7="","",IFERROR('Planilla (Agropecuaria 7°)'!H18,""))</f>
        <v/>
      </c>
      <c r="J7" s="109">
        <f>IF(MAESTRO!B7="","",IFERROR('Planilla (Agropecuaria 7°)'!I18,""))</f>
        <v/>
      </c>
      <c r="K7" s="108">
        <f>IF(MAESTRO!B7="","",IFERROR('Planilla (Hogar y Desarrollo 7)'!F18,""))</f>
        <v/>
      </c>
      <c r="L7" s="108">
        <f>IF(MAESTRO!B7="","",IFERROR('Planilla (Hogar y Desarrollo 7)'!G18,""))</f>
        <v/>
      </c>
      <c r="M7" s="108">
        <f>IF(MAESTRO!B7="","",IFERROR('Planilla (Hogar y Desarrollo 7)'!H18,""))</f>
        <v/>
      </c>
      <c r="N7" s="109">
        <f>IF(MAESTRO!B7="","",IFERROR('Planilla (Hogar y Desarrollo 7)'!I18,""))</f>
        <v/>
      </c>
      <c r="O7" s="110">
        <f>IF(MAESTRO!B7="","",IFERROR(AVERAGE(G7,K7),""))</f>
        <v/>
      </c>
      <c r="P7" s="110">
        <f>IF(MAESTRO!B7="","",IFERROR(AVERAGE(H7,L7),""))</f>
        <v/>
      </c>
      <c r="Q7" s="110">
        <f>IF(MAESTRO!B7="","",IFERROR(AVERAGE(I7,M7),""))</f>
        <v/>
      </c>
      <c r="R7" s="110">
        <f>IF(MAESTRO!B7="","",IFERROR(TRUNC(AVERAGE(O7,P7,Q7),1),""))</f>
        <v/>
      </c>
      <c r="S7" s="109">
        <f>IF(MAESTRO!B7="","",IF(AND(F7="",J7="",N7="",R7=""),"",IF(Y(OR(F7="",F7&gt;=3),OR(J7="",J7&gt;=3),OR(N7="",N7&gt;=3),OR(R7="",R7&gt;=3)),"✓ APROBADO","✗ REPROBADO")))</f>
        <v/>
      </c>
    </row>
    <row r="8" ht="16.05" customHeight="1" s="176">
      <c r="A8" s="102" t="n">
        <v>4</v>
      </c>
      <c r="B8" s="103">
        <f>IF(MAESTRO!B8="","",MAESTRO!B8)</f>
        <v/>
      </c>
      <c r="C8" s="111">
        <f>IF(MAESTRO!B8="","",IFERROR('Planilla (Ingles 7°) '!F19,""))</f>
        <v/>
      </c>
      <c r="D8" s="111">
        <f>IF(MAESTRO!B8="","",IFERROR('Planilla (Ingles 7°) '!G19,""))</f>
        <v/>
      </c>
      <c r="E8" s="111">
        <f>IF(MAESTRO!B8="","",IFERROR('Planilla (Ingles 7°) '!H19,""))</f>
        <v/>
      </c>
      <c r="F8" s="112">
        <f>IF(MAESTRO!B8="","",IFERROR('Planilla (Ingles 7°) '!I19,""))</f>
        <v/>
      </c>
      <c r="G8" s="111">
        <f>IF(MAESTRO!B8="","",IFERROR('Planilla (Agropecuaria 7°)'!F19,""))</f>
        <v/>
      </c>
      <c r="H8" s="111">
        <f>IF(MAESTRO!B8="","",IFERROR('Planilla (Agropecuaria 7°)'!G19,""))</f>
        <v/>
      </c>
      <c r="I8" s="111">
        <f>IF(MAESTRO!B8="","",IFERROR('Planilla (Agropecuaria 7°)'!H19,""))</f>
        <v/>
      </c>
      <c r="J8" s="112">
        <f>IF(MAESTRO!B8="","",IFERROR('Planilla (Agropecuaria 7°)'!I19,""))</f>
        <v/>
      </c>
      <c r="K8" s="111">
        <f>IF(MAESTRO!B8="","",IFERROR('Planilla (Hogar y Desarrollo 7)'!F19,""))</f>
        <v/>
      </c>
      <c r="L8" s="111">
        <f>IF(MAESTRO!B8="","",IFERROR('Planilla (Hogar y Desarrollo 7)'!G19,""))</f>
        <v/>
      </c>
      <c r="M8" s="111">
        <f>IF(MAESTRO!B8="","",IFERROR('Planilla (Hogar y Desarrollo 7)'!H19,""))</f>
        <v/>
      </c>
      <c r="N8" s="112">
        <f>IF(MAESTRO!B8="","",IFERROR('Planilla (Hogar y Desarrollo 7)'!I19,""))</f>
        <v/>
      </c>
      <c r="O8" s="110">
        <f>IF(MAESTRO!B8="","",IFERROR(AVERAGE(G8,K8),""))</f>
        <v/>
      </c>
      <c r="P8" s="110">
        <f>IF(MAESTRO!B8="","",IFERROR(AVERAGE(H8,L8),""))</f>
        <v/>
      </c>
      <c r="Q8" s="110">
        <f>IF(MAESTRO!B8="","",IFERROR(AVERAGE(I8,M8),""))</f>
        <v/>
      </c>
      <c r="R8" s="110">
        <f>IF(MAESTRO!B8="","",IFERROR(TRUNC(AVERAGE(O8,P8,Q8),1),""))</f>
        <v/>
      </c>
      <c r="S8" s="112">
        <f>IF(MAESTRO!B8="","",IF(AND(F8="",J8="",N8="",R8=""),"",IF(Y(OR(F8="",F8&gt;=3),OR(J8="",J8&gt;=3),OR(N8="",N8&gt;=3),OR(R8="",R8&gt;=3)),"✓ APROBADO","✗ REPROBADO")))</f>
        <v/>
      </c>
    </row>
    <row r="9" ht="16.05" customHeight="1" s="176">
      <c r="A9" s="104" t="n">
        <v>5</v>
      </c>
      <c r="B9" s="105">
        <f>IF(MAESTRO!B9="","",MAESTRO!B9)</f>
        <v/>
      </c>
      <c r="C9" s="108">
        <f>IF(MAESTRO!B9="","",IFERROR('Planilla (Ingles 7°) '!F20,""))</f>
        <v/>
      </c>
      <c r="D9" s="108">
        <f>IF(MAESTRO!B9="","",IFERROR('Planilla (Ingles 7°) '!G20,""))</f>
        <v/>
      </c>
      <c r="E9" s="108">
        <f>IF(MAESTRO!B9="","",IFERROR('Planilla (Ingles 7°) '!H20,""))</f>
        <v/>
      </c>
      <c r="F9" s="109">
        <f>IF(MAESTRO!B9="","",IFERROR('Planilla (Ingles 7°) '!I20,""))</f>
        <v/>
      </c>
      <c r="G9" s="108">
        <f>IF(MAESTRO!B9="","",IFERROR('Planilla (Agropecuaria 7°)'!F20,""))</f>
        <v/>
      </c>
      <c r="H9" s="108">
        <f>IF(MAESTRO!B9="","",IFERROR('Planilla (Agropecuaria 7°)'!G20,""))</f>
        <v/>
      </c>
      <c r="I9" s="108">
        <f>IF(MAESTRO!B9="","",IFERROR('Planilla (Agropecuaria 7°)'!H20,""))</f>
        <v/>
      </c>
      <c r="J9" s="109">
        <f>IF(MAESTRO!B9="","",IFERROR('Planilla (Agropecuaria 7°)'!I20,""))</f>
        <v/>
      </c>
      <c r="K9" s="108">
        <f>IF(MAESTRO!B9="","",IFERROR('Planilla (Hogar y Desarrollo 7)'!F20,""))</f>
        <v/>
      </c>
      <c r="L9" s="108">
        <f>IF(MAESTRO!B9="","",IFERROR('Planilla (Hogar y Desarrollo 7)'!G20,""))</f>
        <v/>
      </c>
      <c r="M9" s="108">
        <f>IF(MAESTRO!B9="","",IFERROR('Planilla (Hogar y Desarrollo 7)'!H20,""))</f>
        <v/>
      </c>
      <c r="N9" s="109">
        <f>IF(MAESTRO!B9="","",IFERROR('Planilla (Hogar y Desarrollo 7)'!I20,""))</f>
        <v/>
      </c>
      <c r="O9" s="110">
        <f>IF(MAESTRO!B9="","",IFERROR(AVERAGE(G9,K9),""))</f>
        <v/>
      </c>
      <c r="P9" s="110">
        <f>IF(MAESTRO!B9="","",IFERROR(AVERAGE(H9,L9),""))</f>
        <v/>
      </c>
      <c r="Q9" s="110">
        <f>IF(MAESTRO!B9="","",IFERROR(AVERAGE(I9,M9),""))</f>
        <v/>
      </c>
      <c r="R9" s="110">
        <f>IF(MAESTRO!B9="","",IFERROR(TRUNC(AVERAGE(O9,P9,Q9),1),""))</f>
        <v/>
      </c>
      <c r="S9" s="109">
        <f>IF(MAESTRO!B9="","",IF(AND(F9="",J9="",N9="",R9=""),"",IF(Y(OR(F9="",F9&gt;=3),OR(J9="",J9&gt;=3),OR(N9="",N9&gt;=3),OR(R9="",R9&gt;=3)),"✓ APROBADO","✗ REPROBADO")))</f>
        <v/>
      </c>
    </row>
    <row r="10" ht="16.05" customHeight="1" s="176">
      <c r="A10" s="102" t="n">
        <v>6</v>
      </c>
      <c r="B10" s="103">
        <f>IF(MAESTRO!B10="","",MAESTRO!B10)</f>
        <v/>
      </c>
      <c r="C10" s="111">
        <f>IF(MAESTRO!B10="","",IFERROR('Planilla (Ingles 7°) '!F21,""))</f>
        <v/>
      </c>
      <c r="D10" s="111">
        <f>IF(MAESTRO!B10="","",IFERROR('Planilla (Ingles 7°) '!G21,""))</f>
        <v/>
      </c>
      <c r="E10" s="111">
        <f>IF(MAESTRO!B10="","",IFERROR('Planilla (Ingles 7°) '!H21,""))</f>
        <v/>
      </c>
      <c r="F10" s="112">
        <f>IF(MAESTRO!B10="","",IFERROR('Planilla (Ingles 7°) '!I21,""))</f>
        <v/>
      </c>
      <c r="G10" s="111">
        <f>IF(MAESTRO!B10="","",IFERROR('Planilla (Agropecuaria 7°)'!F21,""))</f>
        <v/>
      </c>
      <c r="H10" s="111">
        <f>IF(MAESTRO!B10="","",IFERROR('Planilla (Agropecuaria 7°)'!G21,""))</f>
        <v/>
      </c>
      <c r="I10" s="111">
        <f>IF(MAESTRO!B10="","",IFERROR('Planilla (Agropecuaria 7°)'!H21,""))</f>
        <v/>
      </c>
      <c r="J10" s="112">
        <f>IF(MAESTRO!B10="","",IFERROR('Planilla (Agropecuaria 7°)'!I21,""))</f>
        <v/>
      </c>
      <c r="K10" s="111">
        <f>IF(MAESTRO!B10="","",IFERROR('Planilla (Hogar y Desarrollo 7)'!F21,""))</f>
        <v/>
      </c>
      <c r="L10" s="111">
        <f>IF(MAESTRO!B10="","",IFERROR('Planilla (Hogar y Desarrollo 7)'!G21,""))</f>
        <v/>
      </c>
      <c r="M10" s="111">
        <f>IF(MAESTRO!B10="","",IFERROR('Planilla (Hogar y Desarrollo 7)'!H21,""))</f>
        <v/>
      </c>
      <c r="N10" s="112">
        <f>IF(MAESTRO!B10="","",IFERROR('Planilla (Hogar y Desarrollo 7)'!I21,""))</f>
        <v/>
      </c>
      <c r="O10" s="110">
        <f>IF(MAESTRO!B10="","",IFERROR(AVERAGE(G10,K10),""))</f>
        <v/>
      </c>
      <c r="P10" s="110">
        <f>IF(MAESTRO!B10="","",IFERROR(AVERAGE(H10,L10),""))</f>
        <v/>
      </c>
      <c r="Q10" s="110">
        <f>IF(MAESTRO!B10="","",IFERROR(AVERAGE(I10,M10),""))</f>
        <v/>
      </c>
      <c r="R10" s="110">
        <f>IF(MAESTRO!B10="","",IFERROR(TRUNC(AVERAGE(O10,P10,Q10),1),""))</f>
        <v/>
      </c>
      <c r="S10" s="112">
        <f>IF(MAESTRO!B10="","",IF(AND(F10="",J10="",N10="",R10=""),"",IF(Y(OR(F10="",F10&gt;=3),OR(J10="",J10&gt;=3),OR(N10="",N10&gt;=3),OR(R10="",R10&gt;=3)),"✓ APROBADO","✗ REPROBADO")))</f>
        <v/>
      </c>
    </row>
    <row r="11" ht="16.05" customHeight="1" s="176">
      <c r="A11" s="104" t="n">
        <v>7</v>
      </c>
      <c r="B11" s="105">
        <f>IF(MAESTRO!B11="","",MAESTRO!B11)</f>
        <v/>
      </c>
      <c r="C11" s="108">
        <f>IF(MAESTRO!B11="","",IFERROR('Planilla (Ingles 7°) '!F22,""))</f>
        <v/>
      </c>
      <c r="D11" s="108">
        <f>IF(MAESTRO!B11="","",IFERROR('Planilla (Ingles 7°) '!G22,""))</f>
        <v/>
      </c>
      <c r="E11" s="108">
        <f>IF(MAESTRO!B11="","",IFERROR('Planilla (Ingles 7°) '!H22,""))</f>
        <v/>
      </c>
      <c r="F11" s="109">
        <f>IF(MAESTRO!B11="","",IFERROR('Planilla (Ingles 7°) '!I22,""))</f>
        <v/>
      </c>
      <c r="G11" s="108">
        <f>IF(MAESTRO!B11="","",IFERROR('Planilla (Agropecuaria 7°)'!F22,""))</f>
        <v/>
      </c>
      <c r="H11" s="108">
        <f>IF(MAESTRO!B11="","",IFERROR('Planilla (Agropecuaria 7°)'!G22,""))</f>
        <v/>
      </c>
      <c r="I11" s="108">
        <f>IF(MAESTRO!B11="","",IFERROR('Planilla (Agropecuaria 7°)'!H22,""))</f>
        <v/>
      </c>
      <c r="J11" s="109">
        <f>IF(MAESTRO!B11="","",IFERROR('Planilla (Agropecuaria 7°)'!I22,""))</f>
        <v/>
      </c>
      <c r="K11" s="108">
        <f>IF(MAESTRO!B11="","",IFERROR('Planilla (Hogar y Desarrollo 7)'!F22,""))</f>
        <v/>
      </c>
      <c r="L11" s="108">
        <f>IF(MAESTRO!B11="","",IFERROR('Planilla (Hogar y Desarrollo 7)'!G22,""))</f>
        <v/>
      </c>
      <c r="M11" s="108">
        <f>IF(MAESTRO!B11="","",IFERROR('Planilla (Hogar y Desarrollo 7)'!H22,""))</f>
        <v/>
      </c>
      <c r="N11" s="109">
        <f>IF(MAESTRO!B11="","",IFERROR('Planilla (Hogar y Desarrollo 7)'!I22,""))</f>
        <v/>
      </c>
      <c r="O11" s="110">
        <f>IF(MAESTRO!B11="","",IFERROR(AVERAGE(G11,K11),""))</f>
        <v/>
      </c>
      <c r="P11" s="110">
        <f>IF(MAESTRO!B11="","",IFERROR(AVERAGE(H11,L11),""))</f>
        <v/>
      </c>
      <c r="Q11" s="110">
        <f>IF(MAESTRO!B11="","",IFERROR(AVERAGE(I11,M11),""))</f>
        <v/>
      </c>
      <c r="R11" s="110">
        <f>IF(MAESTRO!B11="","",IFERROR(TRUNC(AVERAGE(O11,P11,Q11),1),""))</f>
        <v/>
      </c>
      <c r="S11" s="109">
        <f>IF(MAESTRO!B11="","",IF(AND(F11="",J11="",N11="",R11=""),"",IF(Y(OR(F11="",F11&gt;=3),OR(J11="",J11&gt;=3),OR(N11="",N11&gt;=3),OR(R11="",R11&gt;=3)),"✓ APROBADO","✗ REPROBADO")))</f>
        <v/>
      </c>
    </row>
    <row r="12" ht="16.05" customHeight="1" s="176">
      <c r="A12" s="102" t="n">
        <v>8</v>
      </c>
      <c r="B12" s="103">
        <f>IF(MAESTRO!B12="","",MAESTRO!B12)</f>
        <v/>
      </c>
      <c r="C12" s="111">
        <f>IF(MAESTRO!B12="","",IFERROR('Planilla (Ingles 7°) '!F23,""))</f>
        <v/>
      </c>
      <c r="D12" s="111">
        <f>IF(MAESTRO!B12="","",IFERROR('Planilla (Ingles 7°) '!G23,""))</f>
        <v/>
      </c>
      <c r="E12" s="111">
        <f>IF(MAESTRO!B12="","",IFERROR('Planilla (Ingles 7°) '!H23,""))</f>
        <v/>
      </c>
      <c r="F12" s="112">
        <f>IF(MAESTRO!B12="","",IFERROR('Planilla (Ingles 7°) '!I23,""))</f>
        <v/>
      </c>
      <c r="G12" s="111">
        <f>IF(MAESTRO!B12="","",IFERROR('Planilla (Agropecuaria 7°)'!F23,""))</f>
        <v/>
      </c>
      <c r="H12" s="111">
        <f>IF(MAESTRO!B12="","",IFERROR('Planilla (Agropecuaria 7°)'!G23,""))</f>
        <v/>
      </c>
      <c r="I12" s="111">
        <f>IF(MAESTRO!B12="","",IFERROR('Planilla (Agropecuaria 7°)'!H23,""))</f>
        <v/>
      </c>
      <c r="J12" s="112">
        <f>IF(MAESTRO!B12="","",IFERROR('Planilla (Agropecuaria 7°)'!I23,""))</f>
        <v/>
      </c>
      <c r="K12" s="111">
        <f>IF(MAESTRO!B12="","",IFERROR('Planilla (Hogar y Desarrollo 7)'!F23,""))</f>
        <v/>
      </c>
      <c r="L12" s="111">
        <f>IF(MAESTRO!B12="","",IFERROR('Planilla (Hogar y Desarrollo 7)'!G23,""))</f>
        <v/>
      </c>
      <c r="M12" s="111">
        <f>IF(MAESTRO!B12="","",IFERROR('Planilla (Hogar y Desarrollo 7)'!H23,""))</f>
        <v/>
      </c>
      <c r="N12" s="112">
        <f>IF(MAESTRO!B12="","",IFERROR('Planilla (Hogar y Desarrollo 7)'!I23,""))</f>
        <v/>
      </c>
      <c r="O12" s="110">
        <f>IF(MAESTRO!B12="","",IFERROR(AVERAGE(G12,K12),""))</f>
        <v/>
      </c>
      <c r="P12" s="110">
        <f>IF(MAESTRO!B12="","",IFERROR(AVERAGE(H12,L12),""))</f>
        <v/>
      </c>
      <c r="Q12" s="110">
        <f>IF(MAESTRO!B12="","",IFERROR(AVERAGE(I12,M12),""))</f>
        <v/>
      </c>
      <c r="R12" s="110">
        <f>IF(MAESTRO!B12="","",IFERROR(TRUNC(AVERAGE(O12,P12,Q12),1),""))</f>
        <v/>
      </c>
      <c r="S12" s="112">
        <f>IF(MAESTRO!B12="","",IF(AND(F12="",J12="",N12="",R12=""),"",IF(Y(OR(F12="",F12&gt;=3),OR(J12="",J12&gt;=3),OR(N12="",N12&gt;=3),OR(R12="",R12&gt;=3)),"✓ APROBADO","✗ REPROBADO")))</f>
        <v/>
      </c>
    </row>
    <row r="13" ht="16.05" customHeight="1" s="176">
      <c r="A13" s="104" t="n">
        <v>9</v>
      </c>
      <c r="B13" s="105">
        <f>IF(MAESTRO!B13="","",MAESTRO!B13)</f>
        <v/>
      </c>
      <c r="C13" s="108">
        <f>IF(MAESTRO!B13="","",IFERROR('Planilla (Ingles 7°) '!F24,""))</f>
        <v/>
      </c>
      <c r="D13" s="108">
        <f>IF(MAESTRO!B13="","",IFERROR('Planilla (Ingles 7°) '!G24,""))</f>
        <v/>
      </c>
      <c r="E13" s="108">
        <f>IF(MAESTRO!B13="","",IFERROR('Planilla (Ingles 7°) '!H24,""))</f>
        <v/>
      </c>
      <c r="F13" s="109">
        <f>IF(MAESTRO!B13="","",IFERROR('Planilla (Ingles 7°) '!I24,""))</f>
        <v/>
      </c>
      <c r="G13" s="108">
        <f>IF(MAESTRO!B13="","",IFERROR('Planilla (Agropecuaria 7°)'!F24,""))</f>
        <v/>
      </c>
      <c r="H13" s="108">
        <f>IF(MAESTRO!B13="","",IFERROR('Planilla (Agropecuaria 7°)'!G24,""))</f>
        <v/>
      </c>
      <c r="I13" s="108">
        <f>IF(MAESTRO!B13="","",IFERROR('Planilla (Agropecuaria 7°)'!H24,""))</f>
        <v/>
      </c>
      <c r="J13" s="109">
        <f>IF(MAESTRO!B13="","",IFERROR('Planilla (Agropecuaria 7°)'!I24,""))</f>
        <v/>
      </c>
      <c r="K13" s="108">
        <f>IF(MAESTRO!B13="","",IFERROR('Planilla (Hogar y Desarrollo 7)'!F24,""))</f>
        <v/>
      </c>
      <c r="L13" s="108">
        <f>IF(MAESTRO!B13="","",IFERROR('Planilla (Hogar y Desarrollo 7)'!G24,""))</f>
        <v/>
      </c>
      <c r="M13" s="108">
        <f>IF(MAESTRO!B13="","",IFERROR('Planilla (Hogar y Desarrollo 7)'!H24,""))</f>
        <v/>
      </c>
      <c r="N13" s="109">
        <f>IF(MAESTRO!B13="","",IFERROR('Planilla (Hogar y Desarrollo 7)'!I24,""))</f>
        <v/>
      </c>
      <c r="O13" s="110">
        <f>IF(MAESTRO!B13="","",IFERROR(AVERAGE(G13,K13),""))</f>
        <v/>
      </c>
      <c r="P13" s="110">
        <f>IF(MAESTRO!B13="","",IFERROR(AVERAGE(H13,L13),""))</f>
        <v/>
      </c>
      <c r="Q13" s="110">
        <f>IF(MAESTRO!B13="","",IFERROR(AVERAGE(I13,M13),""))</f>
        <v/>
      </c>
      <c r="R13" s="110">
        <f>IF(MAESTRO!B13="","",IFERROR(TRUNC(AVERAGE(O13,P13,Q13),1),""))</f>
        <v/>
      </c>
      <c r="S13" s="109">
        <f>IF(MAESTRO!B13="","",IF(AND(F13="",J13="",N13="",R13=""),"",IF(Y(OR(F13="",F13&gt;=3),OR(J13="",J13&gt;=3),OR(N13="",N13&gt;=3),OR(R13="",R13&gt;=3)),"✓ APROBADO","✗ REPROBADO")))</f>
        <v/>
      </c>
    </row>
    <row r="14" ht="16.05" customHeight="1" s="176">
      <c r="A14" s="102" t="n">
        <v>10</v>
      </c>
      <c r="B14" s="103">
        <f>IF(MAESTRO!B14="","",MAESTRO!B14)</f>
        <v/>
      </c>
      <c r="C14" s="111">
        <f>IF(MAESTRO!B14="","",IFERROR('Planilla (Ingles 7°) '!F25,""))</f>
        <v/>
      </c>
      <c r="D14" s="111">
        <f>IF(MAESTRO!B14="","",IFERROR('Planilla (Ingles 7°) '!G25,""))</f>
        <v/>
      </c>
      <c r="E14" s="111">
        <f>IF(MAESTRO!B14="","",IFERROR('Planilla (Ingles 7°) '!H25,""))</f>
        <v/>
      </c>
      <c r="F14" s="112">
        <f>IF(MAESTRO!B14="","",IFERROR('Planilla (Ingles 7°) '!I25,""))</f>
        <v/>
      </c>
      <c r="G14" s="111">
        <f>IF(MAESTRO!B14="","",IFERROR('Planilla (Agropecuaria 7°)'!F25,""))</f>
        <v/>
      </c>
      <c r="H14" s="111">
        <f>IF(MAESTRO!B14="","",IFERROR('Planilla (Agropecuaria 7°)'!G25,""))</f>
        <v/>
      </c>
      <c r="I14" s="111">
        <f>IF(MAESTRO!B14="","",IFERROR('Planilla (Agropecuaria 7°)'!H25,""))</f>
        <v/>
      </c>
      <c r="J14" s="112">
        <f>IF(MAESTRO!B14="","",IFERROR('Planilla (Agropecuaria 7°)'!I25,""))</f>
        <v/>
      </c>
      <c r="K14" s="111">
        <f>IF(MAESTRO!B14="","",IFERROR('Planilla (Hogar y Desarrollo 7)'!F25,""))</f>
        <v/>
      </c>
      <c r="L14" s="111">
        <f>IF(MAESTRO!B14="","",IFERROR('Planilla (Hogar y Desarrollo 7)'!G25,""))</f>
        <v/>
      </c>
      <c r="M14" s="111">
        <f>IF(MAESTRO!B14="","",IFERROR('Planilla (Hogar y Desarrollo 7)'!H25,""))</f>
        <v/>
      </c>
      <c r="N14" s="112">
        <f>IF(MAESTRO!B14="","",IFERROR('Planilla (Hogar y Desarrollo 7)'!I25,""))</f>
        <v/>
      </c>
      <c r="O14" s="110">
        <f>IF(MAESTRO!B14="","",IFERROR(AVERAGE(G14,K14),""))</f>
        <v/>
      </c>
      <c r="P14" s="110">
        <f>IF(MAESTRO!B14="","",IFERROR(AVERAGE(H14,L14),""))</f>
        <v/>
      </c>
      <c r="Q14" s="110">
        <f>IF(MAESTRO!B14="","",IFERROR(AVERAGE(I14,M14),""))</f>
        <v/>
      </c>
      <c r="R14" s="110">
        <f>IF(MAESTRO!B14="","",IFERROR(TRUNC(AVERAGE(O14,P14,Q14),1),""))</f>
        <v/>
      </c>
      <c r="S14" s="112">
        <f>IF(MAESTRO!B14="","",IF(AND(F14="",J14="",N14="",R14=""),"",IF(Y(OR(F14="",F14&gt;=3),OR(J14="",J14&gt;=3),OR(N14="",N14&gt;=3),OR(R14="",R14&gt;=3)),"✓ APROBADO","✗ REPROBADO")))</f>
        <v/>
      </c>
    </row>
    <row r="15" ht="16.05" customHeight="1" s="176">
      <c r="A15" s="104" t="n">
        <v>11</v>
      </c>
      <c r="B15" s="105">
        <f>IF(MAESTRO!B15="","",MAESTRO!B15)</f>
        <v/>
      </c>
      <c r="C15" s="108">
        <f>IF(MAESTRO!B15="","",IFERROR('Planilla (Ingles 7°) '!F26,""))</f>
        <v/>
      </c>
      <c r="D15" s="108">
        <f>IF(MAESTRO!B15="","",IFERROR('Planilla (Ingles 7°) '!G26,""))</f>
        <v/>
      </c>
      <c r="E15" s="108">
        <f>IF(MAESTRO!B15="","",IFERROR('Planilla (Ingles 7°) '!H26,""))</f>
        <v/>
      </c>
      <c r="F15" s="109">
        <f>IF(MAESTRO!B15="","",IFERROR('Planilla (Ingles 7°) '!I26,""))</f>
        <v/>
      </c>
      <c r="G15" s="108">
        <f>IF(MAESTRO!B15="","",IFERROR('Planilla (Agropecuaria 7°)'!F26,""))</f>
        <v/>
      </c>
      <c r="H15" s="108">
        <f>IF(MAESTRO!B15="","",IFERROR('Planilla (Agropecuaria 7°)'!G26,""))</f>
        <v/>
      </c>
      <c r="I15" s="108">
        <f>IF(MAESTRO!B15="","",IFERROR('Planilla (Agropecuaria 7°)'!H26,""))</f>
        <v/>
      </c>
      <c r="J15" s="109">
        <f>IF(MAESTRO!B15="","",IFERROR('Planilla (Agropecuaria 7°)'!I26,""))</f>
        <v/>
      </c>
      <c r="K15" s="108">
        <f>IF(MAESTRO!B15="","",IFERROR('Planilla (Hogar y Desarrollo 7)'!F26,""))</f>
        <v/>
      </c>
      <c r="L15" s="108">
        <f>IF(MAESTRO!B15="","",IFERROR('Planilla (Hogar y Desarrollo 7)'!G26,""))</f>
        <v/>
      </c>
      <c r="M15" s="108">
        <f>IF(MAESTRO!B15="","",IFERROR('Planilla (Hogar y Desarrollo 7)'!H26,""))</f>
        <v/>
      </c>
      <c r="N15" s="109">
        <f>IF(MAESTRO!B15="","",IFERROR('Planilla (Hogar y Desarrollo 7)'!I26,""))</f>
        <v/>
      </c>
      <c r="O15" s="110">
        <f>IF(MAESTRO!B15="","",IFERROR(AVERAGE(G15,K15),""))</f>
        <v/>
      </c>
      <c r="P15" s="110">
        <f>IF(MAESTRO!B15="","",IFERROR(AVERAGE(H15,L15),""))</f>
        <v/>
      </c>
      <c r="Q15" s="110">
        <f>IF(MAESTRO!B15="","",IFERROR(AVERAGE(I15,M15),""))</f>
        <v/>
      </c>
      <c r="R15" s="110">
        <f>IF(MAESTRO!B15="","",IFERROR(TRUNC(AVERAGE(O15,P15,Q15),1),""))</f>
        <v/>
      </c>
      <c r="S15" s="109">
        <f>IF(MAESTRO!B15="","",IF(AND(F15="",J15="",N15="",R15=""),"",IF(Y(OR(F15="",F15&gt;=3),OR(J15="",J15&gt;=3),OR(N15="",N15&gt;=3),OR(R15="",R15&gt;=3)),"✓ APROBADO","✗ REPROBADO")))</f>
        <v/>
      </c>
    </row>
    <row r="16" ht="16.05" customHeight="1" s="176">
      <c r="A16" s="102" t="n">
        <v>12</v>
      </c>
      <c r="B16" s="103">
        <f>IF(MAESTRO!B16="","",MAESTRO!B16)</f>
        <v/>
      </c>
      <c r="C16" s="111">
        <f>IF(MAESTRO!B16="","",IFERROR('Planilla (Ingles 7°) '!F27,""))</f>
        <v/>
      </c>
      <c r="D16" s="111">
        <f>IF(MAESTRO!B16="","",IFERROR('Planilla (Ingles 7°) '!G27,""))</f>
        <v/>
      </c>
      <c r="E16" s="111">
        <f>IF(MAESTRO!B16="","",IFERROR('Planilla (Ingles 7°) '!H27,""))</f>
        <v/>
      </c>
      <c r="F16" s="112">
        <f>IF(MAESTRO!B16="","",IFERROR('Planilla (Ingles 7°) '!I27,""))</f>
        <v/>
      </c>
      <c r="G16" s="111">
        <f>IF(MAESTRO!B16="","",IFERROR('Planilla (Agropecuaria 7°)'!F27,""))</f>
        <v/>
      </c>
      <c r="H16" s="111">
        <f>IF(MAESTRO!B16="","",IFERROR('Planilla (Agropecuaria 7°)'!G27,""))</f>
        <v/>
      </c>
      <c r="I16" s="111">
        <f>IF(MAESTRO!B16="","",IFERROR('Planilla (Agropecuaria 7°)'!H27,""))</f>
        <v/>
      </c>
      <c r="J16" s="112">
        <f>IF(MAESTRO!B16="","",IFERROR('Planilla (Agropecuaria 7°)'!I27,""))</f>
        <v/>
      </c>
      <c r="K16" s="111">
        <f>IF(MAESTRO!B16="","",IFERROR('Planilla (Hogar y Desarrollo 7)'!F27,""))</f>
        <v/>
      </c>
      <c r="L16" s="111">
        <f>IF(MAESTRO!B16="","",IFERROR('Planilla (Hogar y Desarrollo 7)'!G27,""))</f>
        <v/>
      </c>
      <c r="M16" s="111">
        <f>IF(MAESTRO!B16="","",IFERROR('Planilla (Hogar y Desarrollo 7)'!H27,""))</f>
        <v/>
      </c>
      <c r="N16" s="112">
        <f>IF(MAESTRO!B16="","",IFERROR('Planilla (Hogar y Desarrollo 7)'!I27,""))</f>
        <v/>
      </c>
      <c r="O16" s="110">
        <f>IF(MAESTRO!B16="","",IFERROR(AVERAGE(G16,K16),""))</f>
        <v/>
      </c>
      <c r="P16" s="110">
        <f>IF(MAESTRO!B16="","",IFERROR(AVERAGE(H16,L16),""))</f>
        <v/>
      </c>
      <c r="Q16" s="110">
        <f>IF(MAESTRO!B16="","",IFERROR(AVERAGE(I16,M16),""))</f>
        <v/>
      </c>
      <c r="R16" s="110">
        <f>IF(MAESTRO!B16="","",IFERROR(TRUNC(AVERAGE(O16,P16,Q16),1),""))</f>
        <v/>
      </c>
      <c r="S16" s="112">
        <f>IF(MAESTRO!B16="","",IF(AND(F16="",J16="",N16="",R16=""),"",IF(Y(OR(F16="",F16&gt;=3),OR(J16="",J16&gt;=3),OR(N16="",N16&gt;=3),OR(R16="",R16&gt;=3)),"✓ APROBADO","✗ REPROBADO")))</f>
        <v/>
      </c>
    </row>
    <row r="17" ht="16.05" customHeight="1" s="176">
      <c r="A17" s="104" t="n">
        <v>13</v>
      </c>
      <c r="B17" s="105">
        <f>IF(MAESTRO!B17="","",MAESTRO!B17)</f>
        <v/>
      </c>
      <c r="C17" s="108">
        <f>IF(MAESTRO!B17="","",IFERROR('Planilla (Ingles 7°) '!F28,""))</f>
        <v/>
      </c>
      <c r="D17" s="108">
        <f>IF(MAESTRO!B17="","",IFERROR('Planilla (Ingles 7°) '!G28,""))</f>
        <v/>
      </c>
      <c r="E17" s="108">
        <f>IF(MAESTRO!B17="","",IFERROR('Planilla (Ingles 7°) '!H28,""))</f>
        <v/>
      </c>
      <c r="F17" s="109">
        <f>IF(MAESTRO!B17="","",IFERROR('Planilla (Ingles 7°) '!I28,""))</f>
        <v/>
      </c>
      <c r="G17" s="108">
        <f>IF(MAESTRO!B17="","",IFERROR('Planilla (Agropecuaria 7°)'!F28,""))</f>
        <v/>
      </c>
      <c r="H17" s="108">
        <f>IF(MAESTRO!B17="","",IFERROR('Planilla (Agropecuaria 7°)'!G28,""))</f>
        <v/>
      </c>
      <c r="I17" s="108">
        <f>IF(MAESTRO!B17="","",IFERROR('Planilla (Agropecuaria 7°)'!H28,""))</f>
        <v/>
      </c>
      <c r="J17" s="109">
        <f>IF(MAESTRO!B17="","",IFERROR('Planilla (Agropecuaria 7°)'!I28,""))</f>
        <v/>
      </c>
      <c r="K17" s="108">
        <f>IF(MAESTRO!B17="","",IFERROR('Planilla (Hogar y Desarrollo 7)'!F28,""))</f>
        <v/>
      </c>
      <c r="L17" s="108">
        <f>IF(MAESTRO!B17="","",IFERROR('Planilla (Hogar y Desarrollo 7)'!G28,""))</f>
        <v/>
      </c>
      <c r="M17" s="108">
        <f>IF(MAESTRO!B17="","",IFERROR('Planilla (Hogar y Desarrollo 7)'!H28,""))</f>
        <v/>
      </c>
      <c r="N17" s="109">
        <f>IF(MAESTRO!B17="","",IFERROR('Planilla (Hogar y Desarrollo 7)'!I28,""))</f>
        <v/>
      </c>
      <c r="O17" s="110">
        <f>IF(MAESTRO!B17="","",IFERROR(AVERAGE(G17,K17),""))</f>
        <v/>
      </c>
      <c r="P17" s="110">
        <f>IF(MAESTRO!B17="","",IFERROR(AVERAGE(H17,L17),""))</f>
        <v/>
      </c>
      <c r="Q17" s="110">
        <f>IF(MAESTRO!B17="","",IFERROR(AVERAGE(I17,M17),""))</f>
        <v/>
      </c>
      <c r="R17" s="110">
        <f>IF(MAESTRO!B17="","",IFERROR(TRUNC(AVERAGE(O17,P17,Q17),1),""))</f>
        <v/>
      </c>
      <c r="S17" s="109">
        <f>IF(MAESTRO!B17="","",IF(AND(F17="",J17="",N17="",R17=""),"",IF(Y(OR(F17="",F17&gt;=3),OR(J17="",J17&gt;=3),OR(N17="",N17&gt;=3),OR(R17="",R17&gt;=3)),"✓ APROBADO","✗ REPROBADO")))</f>
        <v/>
      </c>
    </row>
    <row r="18" ht="16.05" customHeight="1" s="176">
      <c r="A18" s="102" t="n">
        <v>14</v>
      </c>
      <c r="B18" s="103">
        <f>IF(MAESTRO!B18="","",MAESTRO!B18)</f>
        <v/>
      </c>
      <c r="C18" s="111">
        <f>IF(MAESTRO!B18="","",IFERROR('Planilla (Ingles 7°) '!F29,""))</f>
        <v/>
      </c>
      <c r="D18" s="111">
        <f>IF(MAESTRO!B18="","",IFERROR('Planilla (Ingles 7°) '!G29,""))</f>
        <v/>
      </c>
      <c r="E18" s="111">
        <f>IF(MAESTRO!B18="","",IFERROR('Planilla (Ingles 7°) '!H29,""))</f>
        <v/>
      </c>
      <c r="F18" s="112">
        <f>IF(MAESTRO!B18="","",IFERROR('Planilla (Ingles 7°) '!I29,""))</f>
        <v/>
      </c>
      <c r="G18" s="111">
        <f>IF(MAESTRO!B18="","",IFERROR('Planilla (Agropecuaria 7°)'!F29,""))</f>
        <v/>
      </c>
      <c r="H18" s="111">
        <f>IF(MAESTRO!B18="","",IFERROR('Planilla (Agropecuaria 7°)'!G29,""))</f>
        <v/>
      </c>
      <c r="I18" s="111">
        <f>IF(MAESTRO!B18="","",IFERROR('Planilla (Agropecuaria 7°)'!H29,""))</f>
        <v/>
      </c>
      <c r="J18" s="112">
        <f>IF(MAESTRO!B18="","",IFERROR('Planilla (Agropecuaria 7°)'!I29,""))</f>
        <v/>
      </c>
      <c r="K18" s="111">
        <f>IF(MAESTRO!B18="","",IFERROR('Planilla (Hogar y Desarrollo 7)'!F29,""))</f>
        <v/>
      </c>
      <c r="L18" s="111">
        <f>IF(MAESTRO!B18="","",IFERROR('Planilla (Hogar y Desarrollo 7)'!G29,""))</f>
        <v/>
      </c>
      <c r="M18" s="111">
        <f>IF(MAESTRO!B18="","",IFERROR('Planilla (Hogar y Desarrollo 7)'!H29,""))</f>
        <v/>
      </c>
      <c r="N18" s="112">
        <f>IF(MAESTRO!B18="","",IFERROR('Planilla (Hogar y Desarrollo 7)'!I29,""))</f>
        <v/>
      </c>
      <c r="O18" s="110">
        <f>IF(MAESTRO!B18="","",IFERROR(AVERAGE(G18,K18),""))</f>
        <v/>
      </c>
      <c r="P18" s="110">
        <f>IF(MAESTRO!B18="","",IFERROR(AVERAGE(H18,L18),""))</f>
        <v/>
      </c>
      <c r="Q18" s="110">
        <f>IF(MAESTRO!B18="","",IFERROR(AVERAGE(I18,M18),""))</f>
        <v/>
      </c>
      <c r="R18" s="110">
        <f>IF(MAESTRO!B18="","",IFERROR(TRUNC(AVERAGE(O18,P18,Q18),1),""))</f>
        <v/>
      </c>
      <c r="S18" s="112">
        <f>IF(MAESTRO!B18="","",IF(AND(F18="",J18="",N18="",R18=""),"",IF(Y(OR(F18="",F18&gt;=3),OR(J18="",J18&gt;=3),OR(N18="",N18&gt;=3),OR(R18="",R18&gt;=3)),"✓ APROBADO","✗ REPROBADO")))</f>
        <v/>
      </c>
    </row>
    <row r="19" ht="16.05" customHeight="1" s="176">
      <c r="A19" s="104" t="n">
        <v>15</v>
      </c>
      <c r="B19" s="105">
        <f>IF(MAESTRO!B19="","",MAESTRO!B19)</f>
        <v/>
      </c>
      <c r="C19" s="108">
        <f>IF(MAESTRO!B19="","",IFERROR('Planilla (Ingles 7°) '!F30,""))</f>
        <v/>
      </c>
      <c r="D19" s="108">
        <f>IF(MAESTRO!B19="","",IFERROR('Planilla (Ingles 7°) '!G30,""))</f>
        <v/>
      </c>
      <c r="E19" s="108">
        <f>IF(MAESTRO!B19="","",IFERROR('Planilla (Ingles 7°) '!H30,""))</f>
        <v/>
      </c>
      <c r="F19" s="109">
        <f>IF(MAESTRO!B19="","",IFERROR('Planilla (Ingles 7°) '!I30,""))</f>
        <v/>
      </c>
      <c r="G19" s="108">
        <f>IF(MAESTRO!B19="","",IFERROR('Planilla (Agropecuaria 7°)'!F30,""))</f>
        <v/>
      </c>
      <c r="H19" s="108">
        <f>IF(MAESTRO!B19="","",IFERROR('Planilla (Agropecuaria 7°)'!G30,""))</f>
        <v/>
      </c>
      <c r="I19" s="108">
        <f>IF(MAESTRO!B19="","",IFERROR('Planilla (Agropecuaria 7°)'!H30,""))</f>
        <v/>
      </c>
      <c r="J19" s="109">
        <f>IF(MAESTRO!B19="","",IFERROR('Planilla (Agropecuaria 7°)'!I30,""))</f>
        <v/>
      </c>
      <c r="K19" s="108">
        <f>IF(MAESTRO!B19="","",IFERROR('Planilla (Hogar y Desarrollo 7)'!F30,""))</f>
        <v/>
      </c>
      <c r="L19" s="108">
        <f>IF(MAESTRO!B19="","",IFERROR('Planilla (Hogar y Desarrollo 7)'!G30,""))</f>
        <v/>
      </c>
      <c r="M19" s="108">
        <f>IF(MAESTRO!B19="","",IFERROR('Planilla (Hogar y Desarrollo 7)'!H30,""))</f>
        <v/>
      </c>
      <c r="N19" s="109">
        <f>IF(MAESTRO!B19="","",IFERROR('Planilla (Hogar y Desarrollo 7)'!I30,""))</f>
        <v/>
      </c>
      <c r="O19" s="110">
        <f>IF(MAESTRO!B19="","",IFERROR(AVERAGE(G19,K19),""))</f>
        <v/>
      </c>
      <c r="P19" s="110">
        <f>IF(MAESTRO!B19="","",IFERROR(AVERAGE(H19,L19),""))</f>
        <v/>
      </c>
      <c r="Q19" s="110">
        <f>IF(MAESTRO!B19="","",IFERROR(AVERAGE(I19,M19),""))</f>
        <v/>
      </c>
      <c r="R19" s="110">
        <f>IF(MAESTRO!B19="","",IFERROR(TRUNC(AVERAGE(O19,P19,Q19),1),""))</f>
        <v/>
      </c>
      <c r="S19" s="109">
        <f>IF(MAESTRO!B19="","",IF(AND(F19="",J19="",N19="",R19=""),"",IF(Y(OR(F19="",F19&gt;=3),OR(J19="",J19&gt;=3),OR(N19="",N19&gt;=3),OR(R19="",R19&gt;=3)),"✓ APROBADO","✗ REPROBADO")))</f>
        <v/>
      </c>
    </row>
    <row r="20" ht="16.05" customHeight="1" s="176">
      <c r="A20" s="102" t="n">
        <v>16</v>
      </c>
      <c r="B20" s="103">
        <f>IF(MAESTRO!B20="","",MAESTRO!B20)</f>
        <v/>
      </c>
      <c r="C20" s="111">
        <f>IF(MAESTRO!B20="","",IFERROR('Planilla (Ingles 7°) '!F31,""))</f>
        <v/>
      </c>
      <c r="D20" s="111">
        <f>IF(MAESTRO!B20="","",IFERROR('Planilla (Ingles 7°) '!G31,""))</f>
        <v/>
      </c>
      <c r="E20" s="111">
        <f>IF(MAESTRO!B20="","",IFERROR('Planilla (Ingles 7°) '!H31,""))</f>
        <v/>
      </c>
      <c r="F20" s="112">
        <f>IF(MAESTRO!B20="","",IFERROR('Planilla (Ingles 7°) '!I31,""))</f>
        <v/>
      </c>
      <c r="G20" s="111">
        <f>IF(MAESTRO!B20="","",IFERROR('Planilla (Agropecuaria 7°)'!F31,""))</f>
        <v/>
      </c>
      <c r="H20" s="111">
        <f>IF(MAESTRO!B20="","",IFERROR('Planilla (Agropecuaria 7°)'!G31,""))</f>
        <v/>
      </c>
      <c r="I20" s="111">
        <f>IF(MAESTRO!B20="","",IFERROR('Planilla (Agropecuaria 7°)'!H31,""))</f>
        <v/>
      </c>
      <c r="J20" s="112">
        <f>IF(MAESTRO!B20="","",IFERROR('Planilla (Agropecuaria 7°)'!I31,""))</f>
        <v/>
      </c>
      <c r="K20" s="111">
        <f>IF(MAESTRO!B20="","",IFERROR('Planilla (Hogar y Desarrollo 7)'!F31,""))</f>
        <v/>
      </c>
      <c r="L20" s="111">
        <f>IF(MAESTRO!B20="","",IFERROR('Planilla (Hogar y Desarrollo 7)'!G31,""))</f>
        <v/>
      </c>
      <c r="M20" s="111">
        <f>IF(MAESTRO!B20="","",IFERROR('Planilla (Hogar y Desarrollo 7)'!H31,""))</f>
        <v/>
      </c>
      <c r="N20" s="112">
        <f>IF(MAESTRO!B20="","",IFERROR('Planilla (Hogar y Desarrollo 7)'!I31,""))</f>
        <v/>
      </c>
      <c r="O20" s="110">
        <f>IF(MAESTRO!B20="","",IFERROR(AVERAGE(G20,K20),""))</f>
        <v/>
      </c>
      <c r="P20" s="110">
        <f>IF(MAESTRO!B20="","",IFERROR(AVERAGE(H20,L20),""))</f>
        <v/>
      </c>
      <c r="Q20" s="110">
        <f>IF(MAESTRO!B20="","",IFERROR(AVERAGE(I20,M20),""))</f>
        <v/>
      </c>
      <c r="R20" s="110">
        <f>IF(MAESTRO!B20="","",IFERROR(TRUNC(AVERAGE(O20,P20,Q20),1),""))</f>
        <v/>
      </c>
      <c r="S20" s="112">
        <f>IF(MAESTRO!B20="","",IF(AND(F20="",J20="",N20="",R20=""),"",IF(Y(OR(F20="",F20&gt;=3),OR(J20="",J20&gt;=3),OR(N20="",N20&gt;=3),OR(R20="",R20&gt;=3)),"✓ APROBADO","✗ REPROBADO")))</f>
        <v/>
      </c>
    </row>
    <row r="21" ht="16.05" customHeight="1" s="176">
      <c r="A21" s="104" t="n">
        <v>17</v>
      </c>
      <c r="B21" s="105">
        <f>IF(MAESTRO!B21="","",MAESTRO!B21)</f>
        <v/>
      </c>
      <c r="C21" s="108">
        <f>IF(MAESTRO!B21="","",IFERROR('Planilla (Ingles 7°) '!F32,""))</f>
        <v/>
      </c>
      <c r="D21" s="108">
        <f>IF(MAESTRO!B21="","",IFERROR('Planilla (Ingles 7°) '!G32,""))</f>
        <v/>
      </c>
      <c r="E21" s="108">
        <f>IF(MAESTRO!B21="","",IFERROR('Planilla (Ingles 7°) '!H32,""))</f>
        <v/>
      </c>
      <c r="F21" s="109">
        <f>IF(MAESTRO!B21="","",IFERROR('Planilla (Ingles 7°) '!I32,""))</f>
        <v/>
      </c>
      <c r="G21" s="108">
        <f>IF(MAESTRO!B21="","",IFERROR('Planilla (Agropecuaria 7°)'!F32,""))</f>
        <v/>
      </c>
      <c r="H21" s="108">
        <f>IF(MAESTRO!B21="","",IFERROR('Planilla (Agropecuaria 7°)'!G32,""))</f>
        <v/>
      </c>
      <c r="I21" s="108">
        <f>IF(MAESTRO!B21="","",IFERROR('Planilla (Agropecuaria 7°)'!H32,""))</f>
        <v/>
      </c>
      <c r="J21" s="109">
        <f>IF(MAESTRO!B21="","",IFERROR('Planilla (Agropecuaria 7°)'!I32,""))</f>
        <v/>
      </c>
      <c r="K21" s="108">
        <f>IF(MAESTRO!B21="","",IFERROR('Planilla (Hogar y Desarrollo 7)'!F32,""))</f>
        <v/>
      </c>
      <c r="L21" s="108">
        <f>IF(MAESTRO!B21="","",IFERROR('Planilla (Hogar y Desarrollo 7)'!G32,""))</f>
        <v/>
      </c>
      <c r="M21" s="108">
        <f>IF(MAESTRO!B21="","",IFERROR('Planilla (Hogar y Desarrollo 7)'!H32,""))</f>
        <v/>
      </c>
      <c r="N21" s="109">
        <f>IF(MAESTRO!B21="","",IFERROR('Planilla (Hogar y Desarrollo 7)'!I32,""))</f>
        <v/>
      </c>
      <c r="O21" s="110">
        <f>IF(MAESTRO!B21="","",IFERROR(AVERAGE(G21,K21),""))</f>
        <v/>
      </c>
      <c r="P21" s="110">
        <f>IF(MAESTRO!B21="","",IFERROR(AVERAGE(H21,L21),""))</f>
        <v/>
      </c>
      <c r="Q21" s="110">
        <f>IF(MAESTRO!B21="","",IFERROR(AVERAGE(I21,M21),""))</f>
        <v/>
      </c>
      <c r="R21" s="110">
        <f>IF(MAESTRO!B21="","",IFERROR(TRUNC(AVERAGE(O21,P21,Q21),1),""))</f>
        <v/>
      </c>
      <c r="S21" s="109">
        <f>IF(MAESTRO!B21="","",IF(AND(F21="",J21="",N21="",R21=""),"",IF(Y(OR(F21="",F21&gt;=3),OR(J21="",J21&gt;=3),OR(N21="",N21&gt;=3),OR(R21="",R21&gt;=3)),"✓ APROBADO","✗ REPROBADO")))</f>
        <v/>
      </c>
    </row>
    <row r="22" ht="16.05" customHeight="1" s="176">
      <c r="A22" s="102" t="n">
        <v>18</v>
      </c>
      <c r="B22" s="103">
        <f>IF(MAESTRO!B22="","",MAESTRO!B22)</f>
        <v/>
      </c>
      <c r="C22" s="111">
        <f>IF(MAESTRO!B22="","",IFERROR('Planilla (Ingles 7°) '!F33,""))</f>
        <v/>
      </c>
      <c r="D22" s="111">
        <f>IF(MAESTRO!B22="","",IFERROR('Planilla (Ingles 7°) '!G33,""))</f>
        <v/>
      </c>
      <c r="E22" s="111">
        <f>IF(MAESTRO!B22="","",IFERROR('Planilla (Ingles 7°) '!H33,""))</f>
        <v/>
      </c>
      <c r="F22" s="112">
        <f>IF(MAESTRO!B22="","",IFERROR('Planilla (Ingles 7°) '!I33,""))</f>
        <v/>
      </c>
      <c r="G22" s="111">
        <f>IF(MAESTRO!B22="","",IFERROR('Planilla (Agropecuaria 7°)'!F33,""))</f>
        <v/>
      </c>
      <c r="H22" s="111">
        <f>IF(MAESTRO!B22="","",IFERROR('Planilla (Agropecuaria 7°)'!G33,""))</f>
        <v/>
      </c>
      <c r="I22" s="111">
        <f>IF(MAESTRO!B22="","",IFERROR('Planilla (Agropecuaria 7°)'!H33,""))</f>
        <v/>
      </c>
      <c r="J22" s="112">
        <f>IF(MAESTRO!B22="","",IFERROR('Planilla (Agropecuaria 7°)'!I33,""))</f>
        <v/>
      </c>
      <c r="K22" s="111">
        <f>IF(MAESTRO!B22="","",IFERROR('Planilla (Hogar y Desarrollo 7)'!F33,""))</f>
        <v/>
      </c>
      <c r="L22" s="111">
        <f>IF(MAESTRO!B22="","",IFERROR('Planilla (Hogar y Desarrollo 7)'!G33,""))</f>
        <v/>
      </c>
      <c r="M22" s="111">
        <f>IF(MAESTRO!B22="","",IFERROR('Planilla (Hogar y Desarrollo 7)'!H33,""))</f>
        <v/>
      </c>
      <c r="N22" s="112">
        <f>IF(MAESTRO!B22="","",IFERROR('Planilla (Hogar y Desarrollo 7)'!I33,""))</f>
        <v/>
      </c>
      <c r="O22" s="110">
        <f>IF(MAESTRO!B22="","",IFERROR(AVERAGE(G22,K22),""))</f>
        <v/>
      </c>
      <c r="P22" s="110">
        <f>IF(MAESTRO!B22="","",IFERROR(AVERAGE(H22,L22),""))</f>
        <v/>
      </c>
      <c r="Q22" s="110">
        <f>IF(MAESTRO!B22="","",IFERROR(AVERAGE(I22,M22),""))</f>
        <v/>
      </c>
      <c r="R22" s="110">
        <f>IF(MAESTRO!B22="","",IFERROR(TRUNC(AVERAGE(O22,P22,Q22),1),""))</f>
        <v/>
      </c>
      <c r="S22" s="112">
        <f>IF(MAESTRO!B22="","",IF(AND(F22="",J22="",N22="",R22=""),"",IF(Y(OR(F22="",F22&gt;=3),OR(J22="",J22&gt;=3),OR(N22="",N22&gt;=3),OR(R22="",R22&gt;=3)),"✓ APROBADO","✗ REPROBADO")))</f>
        <v/>
      </c>
    </row>
    <row r="23" ht="16.05" customHeight="1" s="176">
      <c r="A23" s="104" t="n">
        <v>19</v>
      </c>
      <c r="B23" s="105">
        <f>IF(MAESTRO!B23="","",MAESTRO!B23)</f>
        <v/>
      </c>
      <c r="C23" s="108">
        <f>IF(MAESTRO!B23="","",IFERROR('Planilla (Ingles 7°) '!F34,""))</f>
        <v/>
      </c>
      <c r="D23" s="108">
        <f>IF(MAESTRO!B23="","",IFERROR('Planilla (Ingles 7°) '!G34,""))</f>
        <v/>
      </c>
      <c r="E23" s="108">
        <f>IF(MAESTRO!B23="","",IFERROR('Planilla (Ingles 7°) '!H34,""))</f>
        <v/>
      </c>
      <c r="F23" s="109">
        <f>IF(MAESTRO!B23="","",IFERROR('Planilla (Ingles 7°) '!I34,""))</f>
        <v/>
      </c>
      <c r="G23" s="108">
        <f>IF(MAESTRO!B23="","",IFERROR('Planilla (Agropecuaria 7°)'!F34,""))</f>
        <v/>
      </c>
      <c r="H23" s="108">
        <f>IF(MAESTRO!B23="","",IFERROR('Planilla (Agropecuaria 7°)'!G34,""))</f>
        <v/>
      </c>
      <c r="I23" s="108">
        <f>IF(MAESTRO!B23="","",IFERROR('Planilla (Agropecuaria 7°)'!H34,""))</f>
        <v/>
      </c>
      <c r="J23" s="109">
        <f>IF(MAESTRO!B23="","",IFERROR('Planilla (Agropecuaria 7°)'!I34,""))</f>
        <v/>
      </c>
      <c r="K23" s="108">
        <f>IF(MAESTRO!B23="","",IFERROR('Planilla (Hogar y Desarrollo 7)'!F34,""))</f>
        <v/>
      </c>
      <c r="L23" s="108">
        <f>IF(MAESTRO!B23="","",IFERROR('Planilla (Hogar y Desarrollo 7)'!G34,""))</f>
        <v/>
      </c>
      <c r="M23" s="108">
        <f>IF(MAESTRO!B23="","",IFERROR('Planilla (Hogar y Desarrollo 7)'!H34,""))</f>
        <v/>
      </c>
      <c r="N23" s="109">
        <f>IF(MAESTRO!B23="","",IFERROR('Planilla (Hogar y Desarrollo 7)'!I34,""))</f>
        <v/>
      </c>
      <c r="O23" s="110">
        <f>IF(MAESTRO!B23="","",IFERROR(AVERAGE(G23,K23),""))</f>
        <v/>
      </c>
      <c r="P23" s="110">
        <f>IF(MAESTRO!B23="","",IFERROR(AVERAGE(H23,L23),""))</f>
        <v/>
      </c>
      <c r="Q23" s="110">
        <f>IF(MAESTRO!B23="","",IFERROR(AVERAGE(I23,M23),""))</f>
        <v/>
      </c>
      <c r="R23" s="110">
        <f>IF(MAESTRO!B23="","",IFERROR(TRUNC(AVERAGE(O23,P23,Q23),1),""))</f>
        <v/>
      </c>
      <c r="S23" s="109">
        <f>IF(MAESTRO!B23="","",IF(AND(F23="",J23="",N23="",R23=""),"",IF(Y(OR(F23="",F23&gt;=3),OR(J23="",J23&gt;=3),OR(N23="",N23&gt;=3),OR(R23="",R23&gt;=3)),"✓ APROBADO","✗ REPROBADO")))</f>
        <v/>
      </c>
    </row>
    <row r="24" ht="16.05" customHeight="1" s="176">
      <c r="A24" s="102" t="n">
        <v>20</v>
      </c>
      <c r="B24" s="103">
        <f>IF(MAESTRO!B24="","",MAESTRO!B24)</f>
        <v/>
      </c>
      <c r="C24" s="111">
        <f>IF(MAESTRO!B24="","",IFERROR('Planilla (Ingles 7°) '!F35,""))</f>
        <v/>
      </c>
      <c r="D24" s="111">
        <f>IF(MAESTRO!B24="","",IFERROR('Planilla (Ingles 7°) '!G35,""))</f>
        <v/>
      </c>
      <c r="E24" s="111">
        <f>IF(MAESTRO!B24="","",IFERROR('Planilla (Ingles 7°) '!H35,""))</f>
        <v/>
      </c>
      <c r="F24" s="112">
        <f>IF(MAESTRO!B24="","",IFERROR('Planilla (Ingles 7°) '!I35,""))</f>
        <v/>
      </c>
      <c r="G24" s="111">
        <f>IF(MAESTRO!B24="","",IFERROR('Planilla (Agropecuaria 7°)'!F35,""))</f>
        <v/>
      </c>
      <c r="H24" s="111">
        <f>IF(MAESTRO!B24="","",IFERROR('Planilla (Agropecuaria 7°)'!G35,""))</f>
        <v/>
      </c>
      <c r="I24" s="111">
        <f>IF(MAESTRO!B24="","",IFERROR('Planilla (Agropecuaria 7°)'!H35,""))</f>
        <v/>
      </c>
      <c r="J24" s="112">
        <f>IF(MAESTRO!B24="","",IFERROR('Planilla (Agropecuaria 7°)'!I35,""))</f>
        <v/>
      </c>
      <c r="K24" s="111">
        <f>IF(MAESTRO!B24="","",IFERROR('Planilla (Hogar y Desarrollo 7)'!F35,""))</f>
        <v/>
      </c>
      <c r="L24" s="111">
        <f>IF(MAESTRO!B24="","",IFERROR('Planilla (Hogar y Desarrollo 7)'!G35,""))</f>
        <v/>
      </c>
      <c r="M24" s="111">
        <f>IF(MAESTRO!B24="","",IFERROR('Planilla (Hogar y Desarrollo 7)'!H35,""))</f>
        <v/>
      </c>
      <c r="N24" s="112">
        <f>IF(MAESTRO!B24="","",IFERROR('Planilla (Hogar y Desarrollo 7)'!I35,""))</f>
        <v/>
      </c>
      <c r="O24" s="110">
        <f>IF(MAESTRO!B24="","",IFERROR(AVERAGE(G24,K24),""))</f>
        <v/>
      </c>
      <c r="P24" s="110">
        <f>IF(MAESTRO!B24="","",IFERROR(AVERAGE(H24,L24),""))</f>
        <v/>
      </c>
      <c r="Q24" s="110">
        <f>IF(MAESTRO!B24="","",IFERROR(AVERAGE(I24,M24),""))</f>
        <v/>
      </c>
      <c r="R24" s="110">
        <f>IF(MAESTRO!B24="","",IFERROR(TRUNC(AVERAGE(O24,P24,Q24),1),""))</f>
        <v/>
      </c>
      <c r="S24" s="112">
        <f>IF(MAESTRO!B24="","",IF(AND(F24="",J24="",N24="",R24=""),"",IF(Y(OR(F24="",F24&gt;=3),OR(J24="",J24&gt;=3),OR(N24="",N24&gt;=3),OR(R24="",R24&gt;=3)),"✓ APROBADO","✗ REPROBADO")))</f>
        <v/>
      </c>
    </row>
    <row r="25" ht="16.05" customHeight="1" s="176">
      <c r="A25" s="104" t="n">
        <v>21</v>
      </c>
      <c r="B25" s="105">
        <f>IF(MAESTRO!B25="","",MAESTRO!B25)</f>
        <v/>
      </c>
      <c r="C25" s="108">
        <f>IF(MAESTRO!B25="","",IFERROR('Planilla (Ingles 7°) '!F36,""))</f>
        <v/>
      </c>
      <c r="D25" s="108">
        <f>IF(MAESTRO!B25="","",IFERROR('Planilla (Ingles 7°) '!G36,""))</f>
        <v/>
      </c>
      <c r="E25" s="108">
        <f>IF(MAESTRO!B25="","",IFERROR('Planilla (Ingles 7°) '!H36,""))</f>
        <v/>
      </c>
      <c r="F25" s="109">
        <f>IF(MAESTRO!B25="","",IFERROR('Planilla (Ingles 7°) '!I36,""))</f>
        <v/>
      </c>
      <c r="G25" s="108">
        <f>IF(MAESTRO!B25="","",IFERROR('Planilla (Agropecuaria 7°)'!F36,""))</f>
        <v/>
      </c>
      <c r="H25" s="108">
        <f>IF(MAESTRO!B25="","",IFERROR('Planilla (Agropecuaria 7°)'!G36,""))</f>
        <v/>
      </c>
      <c r="I25" s="108">
        <f>IF(MAESTRO!B25="","",IFERROR('Planilla (Agropecuaria 7°)'!H36,""))</f>
        <v/>
      </c>
      <c r="J25" s="109">
        <f>IF(MAESTRO!B25="","",IFERROR('Planilla (Agropecuaria 7°)'!I36,""))</f>
        <v/>
      </c>
      <c r="K25" s="108">
        <f>IF(MAESTRO!B25="","",IFERROR('Planilla (Hogar y Desarrollo 7)'!F36,""))</f>
        <v/>
      </c>
      <c r="L25" s="108">
        <f>IF(MAESTRO!B25="","",IFERROR('Planilla (Hogar y Desarrollo 7)'!G36,""))</f>
        <v/>
      </c>
      <c r="M25" s="108">
        <f>IF(MAESTRO!B25="","",IFERROR('Planilla (Hogar y Desarrollo 7)'!H36,""))</f>
        <v/>
      </c>
      <c r="N25" s="109">
        <f>IF(MAESTRO!B25="","",IFERROR('Planilla (Hogar y Desarrollo 7)'!I36,""))</f>
        <v/>
      </c>
      <c r="O25" s="110">
        <f>IF(MAESTRO!B25="","",IFERROR(AVERAGE(G25,K25),""))</f>
        <v/>
      </c>
      <c r="P25" s="110">
        <f>IF(MAESTRO!B25="","",IFERROR(AVERAGE(H25,L25),""))</f>
        <v/>
      </c>
      <c r="Q25" s="110">
        <f>IF(MAESTRO!B25="","",IFERROR(AVERAGE(I25,M25),""))</f>
        <v/>
      </c>
      <c r="R25" s="110">
        <f>IF(MAESTRO!B25="","",IFERROR(TRUNC(AVERAGE(O25,P25,Q25),1),""))</f>
        <v/>
      </c>
      <c r="S25" s="109">
        <f>IF(MAESTRO!B25="","",IF(AND(F25="",J25="",N25="",R25=""),"",IF(Y(OR(F25="",F25&gt;=3),OR(J25="",J25&gt;=3),OR(N25="",N25&gt;=3),OR(R25="",R25&gt;=3)),"✓ APROBADO","✗ REPROBADO")))</f>
        <v/>
      </c>
    </row>
    <row r="26" ht="16.05" customHeight="1" s="176">
      <c r="A26" s="102" t="n">
        <v>22</v>
      </c>
      <c r="B26" s="103">
        <f>IF(MAESTRO!B26="","",MAESTRO!B26)</f>
        <v/>
      </c>
      <c r="C26" s="111">
        <f>IF(MAESTRO!B26="","",IFERROR('Planilla (Ingles 7°) '!F37,""))</f>
        <v/>
      </c>
      <c r="D26" s="111">
        <f>IF(MAESTRO!B26="","",IFERROR('Planilla (Ingles 7°) '!G37,""))</f>
        <v/>
      </c>
      <c r="E26" s="111">
        <f>IF(MAESTRO!B26="","",IFERROR('Planilla (Ingles 7°) '!H37,""))</f>
        <v/>
      </c>
      <c r="F26" s="112">
        <f>IF(MAESTRO!B26="","",IFERROR('Planilla (Ingles 7°) '!I37,""))</f>
        <v/>
      </c>
      <c r="G26" s="111">
        <f>IF(MAESTRO!B26="","",IFERROR('Planilla (Agropecuaria 7°)'!F37,""))</f>
        <v/>
      </c>
      <c r="H26" s="111">
        <f>IF(MAESTRO!B26="","",IFERROR('Planilla (Agropecuaria 7°)'!G37,""))</f>
        <v/>
      </c>
      <c r="I26" s="111">
        <f>IF(MAESTRO!B26="","",IFERROR('Planilla (Agropecuaria 7°)'!H37,""))</f>
        <v/>
      </c>
      <c r="J26" s="112">
        <f>IF(MAESTRO!B26="","",IFERROR('Planilla (Agropecuaria 7°)'!I37,""))</f>
        <v/>
      </c>
      <c r="K26" s="111">
        <f>IF(MAESTRO!B26="","",IFERROR('Planilla (Hogar y Desarrollo 7)'!F37,""))</f>
        <v/>
      </c>
      <c r="L26" s="111">
        <f>IF(MAESTRO!B26="","",IFERROR('Planilla (Hogar y Desarrollo 7)'!G37,""))</f>
        <v/>
      </c>
      <c r="M26" s="111">
        <f>IF(MAESTRO!B26="","",IFERROR('Planilla (Hogar y Desarrollo 7)'!H37,""))</f>
        <v/>
      </c>
      <c r="N26" s="112">
        <f>IF(MAESTRO!B26="","",IFERROR('Planilla (Hogar y Desarrollo 7)'!I37,""))</f>
        <v/>
      </c>
      <c r="O26" s="110">
        <f>IF(MAESTRO!B26="","",IFERROR(AVERAGE(G26,K26),""))</f>
        <v/>
      </c>
      <c r="P26" s="110">
        <f>IF(MAESTRO!B26="","",IFERROR(AVERAGE(H26,L26),""))</f>
        <v/>
      </c>
      <c r="Q26" s="110">
        <f>IF(MAESTRO!B26="","",IFERROR(AVERAGE(I26,M26),""))</f>
        <v/>
      </c>
      <c r="R26" s="110">
        <f>IF(MAESTRO!B26="","",IFERROR(TRUNC(AVERAGE(O26,P26,Q26),1),""))</f>
        <v/>
      </c>
      <c r="S26" s="112">
        <f>IF(MAESTRO!B26="","",IF(AND(F26="",J26="",N26="",R26=""),"",IF(Y(OR(F26="",F26&gt;=3),OR(J26="",J26&gt;=3),OR(N26="",N26&gt;=3),OR(R26="",R26&gt;=3)),"✓ APROBADO","✗ REPROBADO")))</f>
        <v/>
      </c>
    </row>
    <row r="27" ht="16.05" customHeight="1" s="176">
      <c r="A27" s="104" t="n">
        <v>23</v>
      </c>
      <c r="B27" s="105">
        <f>IF(MAESTRO!B27="","",MAESTRO!B27)</f>
        <v/>
      </c>
      <c r="C27" s="108">
        <f>IF(MAESTRO!B27="","",IFERROR('Planilla (Ingles 7°) '!F38,""))</f>
        <v/>
      </c>
      <c r="D27" s="108">
        <f>IF(MAESTRO!B27="","",IFERROR('Planilla (Ingles 7°) '!G38,""))</f>
        <v/>
      </c>
      <c r="E27" s="108">
        <f>IF(MAESTRO!B27="","",IFERROR('Planilla (Ingles 7°) '!H38,""))</f>
        <v/>
      </c>
      <c r="F27" s="109">
        <f>IF(MAESTRO!B27="","",IFERROR('Planilla (Ingles 7°) '!I38,""))</f>
        <v/>
      </c>
      <c r="G27" s="108">
        <f>IF(MAESTRO!B27="","",IFERROR('Planilla (Agropecuaria 7°)'!F38,""))</f>
        <v/>
      </c>
      <c r="H27" s="108">
        <f>IF(MAESTRO!B27="","",IFERROR('Planilla (Agropecuaria 7°)'!G38,""))</f>
        <v/>
      </c>
      <c r="I27" s="108">
        <f>IF(MAESTRO!B27="","",IFERROR('Planilla (Agropecuaria 7°)'!H38,""))</f>
        <v/>
      </c>
      <c r="J27" s="109">
        <f>IF(MAESTRO!B27="","",IFERROR('Planilla (Agropecuaria 7°)'!I38,""))</f>
        <v/>
      </c>
      <c r="K27" s="108">
        <f>IF(MAESTRO!B27="","",IFERROR('Planilla (Hogar y Desarrollo 7)'!F38,""))</f>
        <v/>
      </c>
      <c r="L27" s="108">
        <f>IF(MAESTRO!B27="","",IFERROR('Planilla (Hogar y Desarrollo 7)'!G38,""))</f>
        <v/>
      </c>
      <c r="M27" s="108">
        <f>IF(MAESTRO!B27="","",IFERROR('Planilla (Hogar y Desarrollo 7)'!H38,""))</f>
        <v/>
      </c>
      <c r="N27" s="109">
        <f>IF(MAESTRO!B27="","",IFERROR('Planilla (Hogar y Desarrollo 7)'!I38,""))</f>
        <v/>
      </c>
      <c r="O27" s="110">
        <f>IF(MAESTRO!B27="","",IFERROR(AVERAGE(G27,K27),""))</f>
        <v/>
      </c>
      <c r="P27" s="110">
        <f>IF(MAESTRO!B27="","",IFERROR(AVERAGE(H27,L27),""))</f>
        <v/>
      </c>
      <c r="Q27" s="110">
        <f>IF(MAESTRO!B27="","",IFERROR(AVERAGE(I27,M27),""))</f>
        <v/>
      </c>
      <c r="R27" s="110">
        <f>IF(MAESTRO!B27="","",IFERROR(TRUNC(AVERAGE(O27,P27,Q27),1),""))</f>
        <v/>
      </c>
      <c r="S27" s="109">
        <f>IF(MAESTRO!B27="","",IF(AND(F27="",J27="",N27="",R27=""),"",IF(Y(OR(F27="",F27&gt;=3),OR(J27="",J27&gt;=3),OR(N27="",N27&gt;=3),OR(R27="",R27&gt;=3)),"✓ APROBADO","✗ REPROBADO")))</f>
        <v/>
      </c>
    </row>
    <row r="28" ht="16.05" customHeight="1" s="176">
      <c r="A28" s="102" t="n">
        <v>24</v>
      </c>
      <c r="B28" s="103">
        <f>IF(MAESTRO!B28="","",MAESTRO!B28)</f>
        <v/>
      </c>
      <c r="C28" s="111">
        <f>IF(MAESTRO!B28="","",IFERROR('Planilla (Ingles 7°) '!F39,""))</f>
        <v/>
      </c>
      <c r="D28" s="111">
        <f>IF(MAESTRO!B28="","",IFERROR('Planilla (Ingles 7°) '!G39,""))</f>
        <v/>
      </c>
      <c r="E28" s="111">
        <f>IF(MAESTRO!B28="","",IFERROR('Planilla (Ingles 7°) '!H39,""))</f>
        <v/>
      </c>
      <c r="F28" s="112">
        <f>IF(MAESTRO!B28="","",IFERROR('Planilla (Ingles 7°) '!I39,""))</f>
        <v/>
      </c>
      <c r="G28" s="111">
        <f>IF(MAESTRO!B28="","",IFERROR('Planilla (Agropecuaria 7°)'!F39,""))</f>
        <v/>
      </c>
      <c r="H28" s="111">
        <f>IF(MAESTRO!B28="","",IFERROR('Planilla (Agropecuaria 7°)'!G39,""))</f>
        <v/>
      </c>
      <c r="I28" s="111">
        <f>IF(MAESTRO!B28="","",IFERROR('Planilla (Agropecuaria 7°)'!H39,""))</f>
        <v/>
      </c>
      <c r="J28" s="112">
        <f>IF(MAESTRO!B28="","",IFERROR('Planilla (Agropecuaria 7°)'!I39,""))</f>
        <v/>
      </c>
      <c r="K28" s="111">
        <f>IF(MAESTRO!B28="","",IFERROR('Planilla (Hogar y Desarrollo 7)'!F39,""))</f>
        <v/>
      </c>
      <c r="L28" s="111">
        <f>IF(MAESTRO!B28="","",IFERROR('Planilla (Hogar y Desarrollo 7)'!G39,""))</f>
        <v/>
      </c>
      <c r="M28" s="111">
        <f>IF(MAESTRO!B28="","",IFERROR('Planilla (Hogar y Desarrollo 7)'!H39,""))</f>
        <v/>
      </c>
      <c r="N28" s="112">
        <f>IF(MAESTRO!B28="","",IFERROR('Planilla (Hogar y Desarrollo 7)'!I39,""))</f>
        <v/>
      </c>
      <c r="O28" s="110">
        <f>IF(MAESTRO!B28="","",IFERROR(AVERAGE(G28,K28),""))</f>
        <v/>
      </c>
      <c r="P28" s="110">
        <f>IF(MAESTRO!B28="","",IFERROR(AVERAGE(H28,L28),""))</f>
        <v/>
      </c>
      <c r="Q28" s="110">
        <f>IF(MAESTRO!B28="","",IFERROR(AVERAGE(I28,M28),""))</f>
        <v/>
      </c>
      <c r="R28" s="110">
        <f>IF(MAESTRO!B28="","",IFERROR(TRUNC(AVERAGE(O28,P28,Q28),1),""))</f>
        <v/>
      </c>
      <c r="S28" s="112">
        <f>IF(MAESTRO!B28="","",IF(AND(F28="",J28="",N28="",R28=""),"",IF(Y(OR(F28="",F28&gt;=3),OR(J28="",J28&gt;=3),OR(N28="",N28&gt;=3),OR(R28="",R28&gt;=3)),"✓ APROBADO","✗ REPROBADO")))</f>
        <v/>
      </c>
    </row>
    <row r="29" ht="16.05" customHeight="1" s="176">
      <c r="A29" s="104" t="n">
        <v>25</v>
      </c>
      <c r="B29" s="105">
        <f>IF(MAESTRO!B29="","",MAESTRO!B29)</f>
        <v/>
      </c>
      <c r="C29" s="108">
        <f>IF(MAESTRO!B29="","",IFERROR('Planilla (Ingles 7°) '!F40,""))</f>
        <v/>
      </c>
      <c r="D29" s="108">
        <f>IF(MAESTRO!B29="","",IFERROR('Planilla (Ingles 7°) '!G40,""))</f>
        <v/>
      </c>
      <c r="E29" s="108">
        <f>IF(MAESTRO!B29="","",IFERROR('Planilla (Ingles 7°) '!H40,""))</f>
        <v/>
      </c>
      <c r="F29" s="109">
        <f>IF(MAESTRO!B29="","",IFERROR('Planilla (Ingles 7°) '!I40,""))</f>
        <v/>
      </c>
      <c r="G29" s="108">
        <f>IF(MAESTRO!B29="","",IFERROR('Planilla (Agropecuaria 7°)'!F40,""))</f>
        <v/>
      </c>
      <c r="H29" s="108">
        <f>IF(MAESTRO!B29="","",IFERROR('Planilla (Agropecuaria 7°)'!G40,""))</f>
        <v/>
      </c>
      <c r="I29" s="108">
        <f>IF(MAESTRO!B29="","",IFERROR('Planilla (Agropecuaria 7°)'!H40,""))</f>
        <v/>
      </c>
      <c r="J29" s="109">
        <f>IF(MAESTRO!B29="","",IFERROR('Planilla (Agropecuaria 7°)'!I40,""))</f>
        <v/>
      </c>
      <c r="K29" s="108">
        <f>IF(MAESTRO!B29="","",IFERROR('Planilla (Hogar y Desarrollo 7)'!F40,""))</f>
        <v/>
      </c>
      <c r="L29" s="108">
        <f>IF(MAESTRO!B29="","",IFERROR('Planilla (Hogar y Desarrollo 7)'!G40,""))</f>
        <v/>
      </c>
      <c r="M29" s="108">
        <f>IF(MAESTRO!B29="","",IFERROR('Planilla (Hogar y Desarrollo 7)'!H40,""))</f>
        <v/>
      </c>
      <c r="N29" s="109">
        <f>IF(MAESTRO!B29="","",IFERROR('Planilla (Hogar y Desarrollo 7)'!I40,""))</f>
        <v/>
      </c>
      <c r="O29" s="110">
        <f>IF(MAESTRO!B29="","",IFERROR(AVERAGE(G29,K29),""))</f>
        <v/>
      </c>
      <c r="P29" s="110">
        <f>IF(MAESTRO!B29="","",IFERROR(AVERAGE(H29,L29),""))</f>
        <v/>
      </c>
      <c r="Q29" s="110">
        <f>IF(MAESTRO!B29="","",IFERROR(AVERAGE(I29,M29),""))</f>
        <v/>
      </c>
      <c r="R29" s="110">
        <f>IF(MAESTRO!B29="","",IFERROR(TRUNC(AVERAGE(O29,P29,Q29),1),""))</f>
        <v/>
      </c>
      <c r="S29" s="109">
        <f>IF(MAESTRO!B29="","",IF(AND(F29="",J29="",N29="",R29=""),"",IF(Y(OR(F29="",F29&gt;=3),OR(J29="",J29&gt;=3),OR(N29="",N29&gt;=3),OR(R29="",R29&gt;=3)),"✓ APROBADO","✗ REPROBADO")))</f>
        <v/>
      </c>
    </row>
    <row r="30" ht="16.05" customHeight="1" s="176">
      <c r="A30" s="102" t="n">
        <v>26</v>
      </c>
      <c r="B30" s="103">
        <f>IF(MAESTRO!B30="","",MAESTRO!B30)</f>
        <v/>
      </c>
      <c r="C30" s="111">
        <f>IF(MAESTRO!B30="","",IFERROR('Planilla (Ingles 7°) '!F41,""))</f>
        <v/>
      </c>
      <c r="D30" s="111">
        <f>IF(MAESTRO!B30="","",IFERROR('Planilla (Ingles 7°) '!G41,""))</f>
        <v/>
      </c>
      <c r="E30" s="111">
        <f>IF(MAESTRO!B30="","",IFERROR('Planilla (Ingles 7°) '!H41,""))</f>
        <v/>
      </c>
      <c r="F30" s="112">
        <f>IF(MAESTRO!B30="","",IFERROR('Planilla (Ingles 7°) '!I41,""))</f>
        <v/>
      </c>
      <c r="G30" s="111">
        <f>IF(MAESTRO!B30="","",IFERROR('Planilla (Agropecuaria 7°)'!F41,""))</f>
        <v/>
      </c>
      <c r="H30" s="111">
        <f>IF(MAESTRO!B30="","",IFERROR('Planilla (Agropecuaria 7°)'!G41,""))</f>
        <v/>
      </c>
      <c r="I30" s="111">
        <f>IF(MAESTRO!B30="","",IFERROR('Planilla (Agropecuaria 7°)'!H41,""))</f>
        <v/>
      </c>
      <c r="J30" s="112">
        <f>IF(MAESTRO!B30="","",IFERROR('Planilla (Agropecuaria 7°)'!I41,""))</f>
        <v/>
      </c>
      <c r="K30" s="111">
        <f>IF(MAESTRO!B30="","",IFERROR('Planilla (Hogar y Desarrollo 7)'!F41,""))</f>
        <v/>
      </c>
      <c r="L30" s="111">
        <f>IF(MAESTRO!B30="","",IFERROR('Planilla (Hogar y Desarrollo 7)'!G41,""))</f>
        <v/>
      </c>
      <c r="M30" s="111">
        <f>IF(MAESTRO!B30="","",IFERROR('Planilla (Hogar y Desarrollo 7)'!H41,""))</f>
        <v/>
      </c>
      <c r="N30" s="112">
        <f>IF(MAESTRO!B30="","",IFERROR('Planilla (Hogar y Desarrollo 7)'!I41,""))</f>
        <v/>
      </c>
      <c r="O30" s="110">
        <f>IF(MAESTRO!B30="","",IFERROR(AVERAGE(G30,K30),""))</f>
        <v/>
      </c>
      <c r="P30" s="110">
        <f>IF(MAESTRO!B30="","",IFERROR(AVERAGE(H30,L30),""))</f>
        <v/>
      </c>
      <c r="Q30" s="110">
        <f>IF(MAESTRO!B30="","",IFERROR(AVERAGE(I30,M30),""))</f>
        <v/>
      </c>
      <c r="R30" s="110">
        <f>IF(MAESTRO!B30="","",IFERROR(TRUNC(AVERAGE(O30,P30,Q30),1),""))</f>
        <v/>
      </c>
      <c r="S30" s="112">
        <f>IF(MAESTRO!B30="","",IF(AND(F30="",J30="",N30="",R30=""),"",IF(Y(OR(F30="",F30&gt;=3),OR(J30="",J30&gt;=3),OR(N30="",N30&gt;=3),OR(R30="",R30&gt;=3)),"✓ APROBADO","✗ REPROBADO")))</f>
        <v/>
      </c>
    </row>
    <row r="31" ht="16.05" customHeight="1" s="176">
      <c r="A31" s="104" t="n">
        <v>27</v>
      </c>
      <c r="B31" s="105">
        <f>IF(MAESTRO!B31="","",MAESTRO!B31)</f>
        <v/>
      </c>
      <c r="C31" s="108">
        <f>IF(MAESTRO!B31="","",IFERROR('Planilla (Ingles 7°) '!F42,""))</f>
        <v/>
      </c>
      <c r="D31" s="108">
        <f>IF(MAESTRO!B31="","",IFERROR('Planilla (Ingles 7°) '!G42,""))</f>
        <v/>
      </c>
      <c r="E31" s="108">
        <f>IF(MAESTRO!B31="","",IFERROR('Planilla (Ingles 7°) '!H42,""))</f>
        <v/>
      </c>
      <c r="F31" s="109">
        <f>IF(MAESTRO!B31="","",IFERROR('Planilla (Ingles 7°) '!I42,""))</f>
        <v/>
      </c>
      <c r="G31" s="108">
        <f>IF(MAESTRO!B31="","",IFERROR('Planilla (Agropecuaria 7°)'!F42,""))</f>
        <v/>
      </c>
      <c r="H31" s="108">
        <f>IF(MAESTRO!B31="","",IFERROR('Planilla (Agropecuaria 7°)'!G42,""))</f>
        <v/>
      </c>
      <c r="I31" s="108">
        <f>IF(MAESTRO!B31="","",IFERROR('Planilla (Agropecuaria 7°)'!H42,""))</f>
        <v/>
      </c>
      <c r="J31" s="109">
        <f>IF(MAESTRO!B31="","",IFERROR('Planilla (Agropecuaria 7°)'!I42,""))</f>
        <v/>
      </c>
      <c r="K31" s="108">
        <f>IF(MAESTRO!B31="","",IFERROR('Planilla (Hogar y Desarrollo 7)'!F42,""))</f>
        <v/>
      </c>
      <c r="L31" s="108">
        <f>IF(MAESTRO!B31="","",IFERROR('Planilla (Hogar y Desarrollo 7)'!G42,""))</f>
        <v/>
      </c>
      <c r="M31" s="108">
        <f>IF(MAESTRO!B31="","",IFERROR('Planilla (Hogar y Desarrollo 7)'!H42,""))</f>
        <v/>
      </c>
      <c r="N31" s="109">
        <f>IF(MAESTRO!B31="","",IFERROR('Planilla (Hogar y Desarrollo 7)'!I42,""))</f>
        <v/>
      </c>
      <c r="O31" s="110">
        <f>IF(MAESTRO!B31="","",IFERROR(AVERAGE(G31,K31),""))</f>
        <v/>
      </c>
      <c r="P31" s="110">
        <f>IF(MAESTRO!B31="","",IFERROR(AVERAGE(H31,L31),""))</f>
        <v/>
      </c>
      <c r="Q31" s="110">
        <f>IF(MAESTRO!B31="","",IFERROR(AVERAGE(I31,M31),""))</f>
        <v/>
      </c>
      <c r="R31" s="110">
        <f>IF(MAESTRO!B31="","",IFERROR(TRUNC(AVERAGE(O31,P31,Q31),1),""))</f>
        <v/>
      </c>
      <c r="S31" s="109">
        <f>IF(MAESTRO!B31="","",IF(AND(F31="",J31="",N31="",R31=""),"",IF(Y(OR(F31="",F31&gt;=3),OR(J31="",J31&gt;=3),OR(N31="",N31&gt;=3),OR(R31="",R31&gt;=3)),"✓ APROBADO","✗ REPROBADO")))</f>
        <v/>
      </c>
    </row>
    <row r="32" ht="16.05" customHeight="1" s="176">
      <c r="A32" s="102" t="n">
        <v>28</v>
      </c>
      <c r="B32" s="103">
        <f>IF(MAESTRO!B32="","",MAESTRO!B32)</f>
        <v/>
      </c>
      <c r="C32" s="111">
        <f>IF(MAESTRO!B32="","",IFERROR('Planilla (Ingles 7°) '!F43,""))</f>
        <v/>
      </c>
      <c r="D32" s="111">
        <f>IF(MAESTRO!B32="","",IFERROR('Planilla (Ingles 7°) '!G43,""))</f>
        <v/>
      </c>
      <c r="E32" s="111">
        <f>IF(MAESTRO!B32="","",IFERROR('Planilla (Ingles 7°) '!H43,""))</f>
        <v/>
      </c>
      <c r="F32" s="112">
        <f>IF(MAESTRO!B32="","",IFERROR('Planilla (Ingles 7°) '!I43,""))</f>
        <v/>
      </c>
      <c r="G32" s="111">
        <f>IF(MAESTRO!B32="","",IFERROR('Planilla (Agropecuaria 7°)'!F43,""))</f>
        <v/>
      </c>
      <c r="H32" s="111">
        <f>IF(MAESTRO!B32="","",IFERROR('Planilla (Agropecuaria 7°)'!G43,""))</f>
        <v/>
      </c>
      <c r="I32" s="111">
        <f>IF(MAESTRO!B32="","",IFERROR('Planilla (Agropecuaria 7°)'!H43,""))</f>
        <v/>
      </c>
      <c r="J32" s="112">
        <f>IF(MAESTRO!B32="","",IFERROR('Planilla (Agropecuaria 7°)'!I43,""))</f>
        <v/>
      </c>
      <c r="K32" s="111">
        <f>IF(MAESTRO!B32="","",IFERROR('Planilla (Hogar y Desarrollo 7)'!F43,""))</f>
        <v/>
      </c>
      <c r="L32" s="111">
        <f>IF(MAESTRO!B32="","",IFERROR('Planilla (Hogar y Desarrollo 7)'!G43,""))</f>
        <v/>
      </c>
      <c r="M32" s="111">
        <f>IF(MAESTRO!B32="","",IFERROR('Planilla (Hogar y Desarrollo 7)'!H43,""))</f>
        <v/>
      </c>
      <c r="N32" s="112">
        <f>IF(MAESTRO!B32="","",IFERROR('Planilla (Hogar y Desarrollo 7)'!I43,""))</f>
        <v/>
      </c>
      <c r="O32" s="110">
        <f>IF(MAESTRO!B32="","",IFERROR(AVERAGE(G32,K32),""))</f>
        <v/>
      </c>
      <c r="P32" s="110">
        <f>IF(MAESTRO!B32="","",IFERROR(AVERAGE(H32,L32),""))</f>
        <v/>
      </c>
      <c r="Q32" s="110">
        <f>IF(MAESTRO!B32="","",IFERROR(AVERAGE(I32,M32),""))</f>
        <v/>
      </c>
      <c r="R32" s="110">
        <f>IF(MAESTRO!B32="","",IFERROR(TRUNC(AVERAGE(O32,P32,Q32),1),""))</f>
        <v/>
      </c>
      <c r="S32" s="112">
        <f>IF(MAESTRO!B32="","",IF(AND(F32="",J32="",N32="",R32=""),"",IF(Y(OR(F32="",F32&gt;=3),OR(J32="",J32&gt;=3),OR(N32="",N32&gt;=3),OR(R32="",R32&gt;=3)),"✓ APROBADO","✗ REPROBADO")))</f>
        <v/>
      </c>
    </row>
    <row r="33" ht="16.05" customHeight="1" s="176">
      <c r="A33" s="104" t="n">
        <v>29</v>
      </c>
      <c r="B33" s="105">
        <f>IF(MAESTRO!B33="","",MAESTRO!B33)</f>
        <v/>
      </c>
      <c r="C33" s="108">
        <f>IF(MAESTRO!B33="","",IFERROR('Planilla (Ingles 7°) '!F44,""))</f>
        <v/>
      </c>
      <c r="D33" s="108">
        <f>IF(MAESTRO!B33="","",IFERROR('Planilla (Ingles 7°) '!G44,""))</f>
        <v/>
      </c>
      <c r="E33" s="108">
        <f>IF(MAESTRO!B33="","",IFERROR('Planilla (Ingles 7°) '!H44,""))</f>
        <v/>
      </c>
      <c r="F33" s="109">
        <f>IF(MAESTRO!B33="","",IFERROR('Planilla (Ingles 7°) '!I44,""))</f>
        <v/>
      </c>
      <c r="G33" s="108">
        <f>IF(MAESTRO!B33="","",IFERROR('Planilla (Agropecuaria 7°)'!F44,""))</f>
        <v/>
      </c>
      <c r="H33" s="108">
        <f>IF(MAESTRO!B33="","",IFERROR('Planilla (Agropecuaria 7°)'!G44,""))</f>
        <v/>
      </c>
      <c r="I33" s="108">
        <f>IF(MAESTRO!B33="","",IFERROR('Planilla (Agropecuaria 7°)'!H44,""))</f>
        <v/>
      </c>
      <c r="J33" s="109">
        <f>IF(MAESTRO!B33="","",IFERROR('Planilla (Agropecuaria 7°)'!I44,""))</f>
        <v/>
      </c>
      <c r="K33" s="108">
        <f>IF(MAESTRO!B33="","",IFERROR('Planilla (Hogar y Desarrollo 7)'!F44,""))</f>
        <v/>
      </c>
      <c r="L33" s="108">
        <f>IF(MAESTRO!B33="","",IFERROR('Planilla (Hogar y Desarrollo 7)'!G44,""))</f>
        <v/>
      </c>
      <c r="M33" s="108">
        <f>IF(MAESTRO!B33="","",IFERROR('Planilla (Hogar y Desarrollo 7)'!H44,""))</f>
        <v/>
      </c>
      <c r="N33" s="109">
        <f>IF(MAESTRO!B33="","",IFERROR('Planilla (Hogar y Desarrollo 7)'!I44,""))</f>
        <v/>
      </c>
      <c r="O33" s="110">
        <f>IF(MAESTRO!B33="","",IFERROR(AVERAGE(G33,K33),""))</f>
        <v/>
      </c>
      <c r="P33" s="110">
        <f>IF(MAESTRO!B33="","",IFERROR(AVERAGE(H33,L33),""))</f>
        <v/>
      </c>
      <c r="Q33" s="110">
        <f>IF(MAESTRO!B33="","",IFERROR(AVERAGE(I33,M33),""))</f>
        <v/>
      </c>
      <c r="R33" s="110">
        <f>IF(MAESTRO!B33="","",IFERROR(TRUNC(AVERAGE(O33,P33,Q33),1),""))</f>
        <v/>
      </c>
      <c r="S33" s="109">
        <f>IF(MAESTRO!B33="","",IF(AND(F33="",J33="",N33="",R33=""),"",IF(Y(OR(F33="",F33&gt;=3),OR(J33="",J33&gt;=3),OR(N33="",N33&gt;=3),OR(R33="",R33&gt;=3)),"✓ APROBADO","✗ REPROBADO")))</f>
        <v/>
      </c>
    </row>
    <row r="34" ht="16.05" customHeight="1" s="176">
      <c r="A34" s="102" t="n">
        <v>30</v>
      </c>
      <c r="B34" s="103">
        <f>IF(MAESTRO!B34="","",MAESTRO!B34)</f>
        <v/>
      </c>
      <c r="C34" s="111">
        <f>IF(MAESTRO!B34="","",IFERROR('Planilla (Ingles 7°) '!F45,""))</f>
        <v/>
      </c>
      <c r="D34" s="111">
        <f>IF(MAESTRO!B34="","",IFERROR('Planilla (Ingles 7°) '!G45,""))</f>
        <v/>
      </c>
      <c r="E34" s="111">
        <f>IF(MAESTRO!B34="","",IFERROR('Planilla (Ingles 7°) '!H45,""))</f>
        <v/>
      </c>
      <c r="F34" s="112">
        <f>IF(MAESTRO!B34="","",IFERROR('Planilla (Ingles 7°) '!I45,""))</f>
        <v/>
      </c>
      <c r="G34" s="111">
        <f>IF(MAESTRO!B34="","",IFERROR('Planilla (Agropecuaria 7°)'!F45,""))</f>
        <v/>
      </c>
      <c r="H34" s="111">
        <f>IF(MAESTRO!B34="","",IFERROR('Planilla (Agropecuaria 7°)'!G45,""))</f>
        <v/>
      </c>
      <c r="I34" s="111">
        <f>IF(MAESTRO!B34="","",IFERROR('Planilla (Agropecuaria 7°)'!H45,""))</f>
        <v/>
      </c>
      <c r="J34" s="112">
        <f>IF(MAESTRO!B34="","",IFERROR('Planilla (Agropecuaria 7°)'!I45,""))</f>
        <v/>
      </c>
      <c r="K34" s="111">
        <f>IF(MAESTRO!B34="","",IFERROR('Planilla (Hogar y Desarrollo 7)'!F45,""))</f>
        <v/>
      </c>
      <c r="L34" s="111">
        <f>IF(MAESTRO!B34="","",IFERROR('Planilla (Hogar y Desarrollo 7)'!G45,""))</f>
        <v/>
      </c>
      <c r="M34" s="111">
        <f>IF(MAESTRO!B34="","",IFERROR('Planilla (Hogar y Desarrollo 7)'!H45,""))</f>
        <v/>
      </c>
      <c r="N34" s="112">
        <f>IF(MAESTRO!B34="","",IFERROR('Planilla (Hogar y Desarrollo 7)'!I45,""))</f>
        <v/>
      </c>
      <c r="O34" s="110">
        <f>IF(MAESTRO!B34="","",IFERROR(AVERAGE(G34,K34),""))</f>
        <v/>
      </c>
      <c r="P34" s="110">
        <f>IF(MAESTRO!B34="","",IFERROR(AVERAGE(H34,L34),""))</f>
        <v/>
      </c>
      <c r="Q34" s="110">
        <f>IF(MAESTRO!B34="","",IFERROR(AVERAGE(I34,M34),""))</f>
        <v/>
      </c>
      <c r="R34" s="110">
        <f>IF(MAESTRO!B34="","",IFERROR(TRUNC(AVERAGE(O34,P34,Q34),1),""))</f>
        <v/>
      </c>
      <c r="S34" s="112">
        <f>IF(MAESTRO!B34="","",IF(AND(F34="",J34="",N34="",R34=""),"",IF(Y(OR(F34="",F34&gt;=3),OR(J34="",J34&gt;=3),OR(N34="",N34&gt;=3),OR(R34="",R34&gt;=3)),"✓ APROBADO","✗ REPROBADO")))</f>
        <v/>
      </c>
    </row>
    <row r="35" ht="16.05" customHeight="1" s="176">
      <c r="A35" s="104" t="n">
        <v>31</v>
      </c>
      <c r="B35" s="105">
        <f>IF(MAESTRO!B35="","",MAESTRO!B35)</f>
        <v/>
      </c>
      <c r="C35" s="108">
        <f>IF(MAESTRO!B35="","",IFERROR('Planilla (Ingles 7°) '!F46,""))</f>
        <v/>
      </c>
      <c r="D35" s="108">
        <f>IF(MAESTRO!B35="","",IFERROR('Planilla (Ingles 7°) '!G46,""))</f>
        <v/>
      </c>
      <c r="E35" s="108">
        <f>IF(MAESTRO!B35="","",IFERROR('Planilla (Ingles 7°) '!H46,""))</f>
        <v/>
      </c>
      <c r="F35" s="109">
        <f>IF(MAESTRO!B35="","",IFERROR('Planilla (Ingles 7°) '!I46,""))</f>
        <v/>
      </c>
      <c r="G35" s="108">
        <f>IF(MAESTRO!B35="","",IFERROR('Planilla (Agropecuaria 7°)'!F46,""))</f>
        <v/>
      </c>
      <c r="H35" s="108">
        <f>IF(MAESTRO!B35="","",IFERROR('Planilla (Agropecuaria 7°)'!G46,""))</f>
        <v/>
      </c>
      <c r="I35" s="108">
        <f>IF(MAESTRO!B35="","",IFERROR('Planilla (Agropecuaria 7°)'!H46,""))</f>
        <v/>
      </c>
      <c r="J35" s="109">
        <f>IF(MAESTRO!B35="","",IFERROR('Planilla (Agropecuaria 7°)'!I46,""))</f>
        <v/>
      </c>
      <c r="K35" s="108">
        <f>IF(MAESTRO!B35="","",IFERROR('Planilla (Hogar y Desarrollo 7)'!F46,""))</f>
        <v/>
      </c>
      <c r="L35" s="108">
        <f>IF(MAESTRO!B35="","",IFERROR('Planilla (Hogar y Desarrollo 7)'!G46,""))</f>
        <v/>
      </c>
      <c r="M35" s="108">
        <f>IF(MAESTRO!B35="","",IFERROR('Planilla (Hogar y Desarrollo 7)'!H46,""))</f>
        <v/>
      </c>
      <c r="N35" s="109">
        <f>IF(MAESTRO!B35="","",IFERROR('Planilla (Hogar y Desarrollo 7)'!I46,""))</f>
        <v/>
      </c>
      <c r="O35" s="110">
        <f>IF(MAESTRO!B35="","",IFERROR(AVERAGE(G35,K35),""))</f>
        <v/>
      </c>
      <c r="P35" s="110">
        <f>IF(MAESTRO!B35="","",IFERROR(AVERAGE(H35,L35),""))</f>
        <v/>
      </c>
      <c r="Q35" s="110">
        <f>IF(MAESTRO!B35="","",IFERROR(AVERAGE(I35,M35),""))</f>
        <v/>
      </c>
      <c r="R35" s="110">
        <f>IF(MAESTRO!B35="","",IFERROR(TRUNC(AVERAGE(O35,P35,Q35),1),""))</f>
        <v/>
      </c>
      <c r="S35" s="109">
        <f>IF(MAESTRO!B35="","",IF(AND(F35="",J35="",N35="",R35=""),"",IF(Y(OR(F35="",F35&gt;=3),OR(J35="",J35&gt;=3),OR(N35="",N35&gt;=3),OR(R35="",R35&gt;=3)),"✓ APROBADO","✗ REPROBADO")))</f>
        <v/>
      </c>
    </row>
    <row r="36" ht="16.05" customHeight="1" s="176">
      <c r="A36" s="102" t="n">
        <v>32</v>
      </c>
      <c r="B36" s="103">
        <f>IF(MAESTRO!B36="","",MAESTRO!B36)</f>
        <v/>
      </c>
      <c r="C36" s="111">
        <f>IF(MAESTRO!B36="","",IFERROR('Planilla (Ingles 7°) '!F47,""))</f>
        <v/>
      </c>
      <c r="D36" s="111">
        <f>IF(MAESTRO!B36="","",IFERROR('Planilla (Ingles 7°) '!G47,""))</f>
        <v/>
      </c>
      <c r="E36" s="111">
        <f>IF(MAESTRO!B36="","",IFERROR('Planilla (Ingles 7°) '!H47,""))</f>
        <v/>
      </c>
      <c r="F36" s="112">
        <f>IF(MAESTRO!B36="","",IFERROR('Planilla (Ingles 7°) '!I47,""))</f>
        <v/>
      </c>
      <c r="G36" s="111">
        <f>IF(MAESTRO!B36="","",IFERROR('Planilla (Agropecuaria 7°)'!F47,""))</f>
        <v/>
      </c>
      <c r="H36" s="111">
        <f>IF(MAESTRO!B36="","",IFERROR('Planilla (Agropecuaria 7°)'!G47,""))</f>
        <v/>
      </c>
      <c r="I36" s="111">
        <f>IF(MAESTRO!B36="","",IFERROR('Planilla (Agropecuaria 7°)'!H47,""))</f>
        <v/>
      </c>
      <c r="J36" s="112">
        <f>IF(MAESTRO!B36="","",IFERROR('Planilla (Agropecuaria 7°)'!I47,""))</f>
        <v/>
      </c>
      <c r="K36" s="111">
        <f>IF(MAESTRO!B36="","",IFERROR('Planilla (Hogar y Desarrollo 7)'!F47,""))</f>
        <v/>
      </c>
      <c r="L36" s="111">
        <f>IF(MAESTRO!B36="","",IFERROR('Planilla (Hogar y Desarrollo 7)'!G47,""))</f>
        <v/>
      </c>
      <c r="M36" s="111">
        <f>IF(MAESTRO!B36="","",IFERROR('Planilla (Hogar y Desarrollo 7)'!H47,""))</f>
        <v/>
      </c>
      <c r="N36" s="112">
        <f>IF(MAESTRO!B36="","",IFERROR('Planilla (Hogar y Desarrollo 7)'!I47,""))</f>
        <v/>
      </c>
      <c r="O36" s="110">
        <f>IF(MAESTRO!B36="","",IFERROR(AVERAGE(G36,K36),""))</f>
        <v/>
      </c>
      <c r="P36" s="110">
        <f>IF(MAESTRO!B36="","",IFERROR(AVERAGE(H36,L36),""))</f>
        <v/>
      </c>
      <c r="Q36" s="110">
        <f>IF(MAESTRO!B36="","",IFERROR(AVERAGE(I36,M36),""))</f>
        <v/>
      </c>
      <c r="R36" s="110">
        <f>IF(MAESTRO!B36="","",IFERROR(TRUNC(AVERAGE(O36,P36,Q36),1),""))</f>
        <v/>
      </c>
      <c r="S36" s="112">
        <f>IF(MAESTRO!B36="","",IF(AND(F36="",J36="",N36="",R36=""),"",IF(Y(OR(F36="",F36&gt;=3),OR(J36="",J36&gt;=3),OR(N36="",N36&gt;=3),OR(R36="",R36&gt;=3)),"✓ APROBADO","✗ REPROBADO")))</f>
        <v/>
      </c>
    </row>
    <row r="37" ht="16.05" customHeight="1" s="176">
      <c r="A37" s="104" t="n">
        <v>33</v>
      </c>
      <c r="B37" s="105">
        <f>IF(MAESTRO!B37="","",MAESTRO!B37)</f>
        <v/>
      </c>
      <c r="C37" s="108">
        <f>IF(MAESTRO!B37="","",IFERROR('Planilla (Ingles 7°) '!F48,""))</f>
        <v/>
      </c>
      <c r="D37" s="108">
        <f>IF(MAESTRO!B37="","",IFERROR('Planilla (Ingles 7°) '!G48,""))</f>
        <v/>
      </c>
      <c r="E37" s="108">
        <f>IF(MAESTRO!B37="","",IFERROR('Planilla (Ingles 7°) '!H48,""))</f>
        <v/>
      </c>
      <c r="F37" s="109">
        <f>IF(MAESTRO!B37="","",IFERROR('Planilla (Ingles 7°) '!I48,""))</f>
        <v/>
      </c>
      <c r="G37" s="108">
        <f>IF(MAESTRO!B37="","",IFERROR('Planilla (Agropecuaria 7°)'!F48,""))</f>
        <v/>
      </c>
      <c r="H37" s="108">
        <f>IF(MAESTRO!B37="","",IFERROR('Planilla (Agropecuaria 7°)'!G48,""))</f>
        <v/>
      </c>
      <c r="I37" s="108">
        <f>IF(MAESTRO!B37="","",IFERROR('Planilla (Agropecuaria 7°)'!H48,""))</f>
        <v/>
      </c>
      <c r="J37" s="109">
        <f>IF(MAESTRO!B37="","",IFERROR('Planilla (Agropecuaria 7°)'!I48,""))</f>
        <v/>
      </c>
      <c r="K37" s="108">
        <f>IF(MAESTRO!B37="","",IFERROR('Planilla (Hogar y Desarrollo 7)'!F48,""))</f>
        <v/>
      </c>
      <c r="L37" s="108">
        <f>IF(MAESTRO!B37="","",IFERROR('Planilla (Hogar y Desarrollo 7)'!G48,""))</f>
        <v/>
      </c>
      <c r="M37" s="108">
        <f>IF(MAESTRO!B37="","",IFERROR('Planilla (Hogar y Desarrollo 7)'!H48,""))</f>
        <v/>
      </c>
      <c r="N37" s="109">
        <f>IF(MAESTRO!B37="","",IFERROR('Planilla (Hogar y Desarrollo 7)'!I48,""))</f>
        <v/>
      </c>
      <c r="O37" s="110">
        <f>IF(MAESTRO!B37="","",IFERROR(AVERAGE(G37,K37),""))</f>
        <v/>
      </c>
      <c r="P37" s="110">
        <f>IF(MAESTRO!B37="","",IFERROR(AVERAGE(H37,L37),""))</f>
        <v/>
      </c>
      <c r="Q37" s="110">
        <f>IF(MAESTRO!B37="","",IFERROR(AVERAGE(I37,M37),""))</f>
        <v/>
      </c>
      <c r="R37" s="110">
        <f>IF(MAESTRO!B37="","",IFERROR(TRUNC(AVERAGE(O37,P37,Q37),1),""))</f>
        <v/>
      </c>
      <c r="S37" s="109">
        <f>IF(MAESTRO!B37="","",IF(AND(F37="",J37="",N37="",R37=""),"",IF(Y(OR(F37="",F37&gt;=3),OR(J37="",J37&gt;=3),OR(N37="",N37&gt;=3),OR(R37="",R37&gt;=3)),"✓ APROBADO","✗ REPROBADO")))</f>
        <v/>
      </c>
    </row>
    <row r="38" ht="16.05" customHeight="1" s="176">
      <c r="A38" s="102" t="n">
        <v>34</v>
      </c>
      <c r="B38" s="103">
        <f>IF(MAESTRO!B38="","",MAESTRO!B38)</f>
        <v/>
      </c>
      <c r="C38" s="111">
        <f>IF(MAESTRO!B38="","",IFERROR('Planilla (Ingles 7°) '!F49,""))</f>
        <v/>
      </c>
      <c r="D38" s="111">
        <f>IF(MAESTRO!B38="","",IFERROR('Planilla (Ingles 7°) '!G49,""))</f>
        <v/>
      </c>
      <c r="E38" s="111">
        <f>IF(MAESTRO!B38="","",IFERROR('Planilla (Ingles 7°) '!H49,""))</f>
        <v/>
      </c>
      <c r="F38" s="112">
        <f>IF(MAESTRO!B38="","",IFERROR('Planilla (Ingles 7°) '!I49,""))</f>
        <v/>
      </c>
      <c r="G38" s="111">
        <f>IF(MAESTRO!B38="","",IFERROR('Planilla (Agropecuaria 7°)'!F49,""))</f>
        <v/>
      </c>
      <c r="H38" s="111">
        <f>IF(MAESTRO!B38="","",IFERROR('Planilla (Agropecuaria 7°)'!G49,""))</f>
        <v/>
      </c>
      <c r="I38" s="111">
        <f>IF(MAESTRO!B38="","",IFERROR('Planilla (Agropecuaria 7°)'!H49,""))</f>
        <v/>
      </c>
      <c r="J38" s="112">
        <f>IF(MAESTRO!B38="","",IFERROR('Planilla (Agropecuaria 7°)'!I49,""))</f>
        <v/>
      </c>
      <c r="K38" s="111">
        <f>IF(MAESTRO!B38="","",IFERROR('Planilla (Hogar y Desarrollo 7)'!F49,""))</f>
        <v/>
      </c>
      <c r="L38" s="111">
        <f>IF(MAESTRO!B38="","",IFERROR('Planilla (Hogar y Desarrollo 7)'!G49,""))</f>
        <v/>
      </c>
      <c r="M38" s="111">
        <f>IF(MAESTRO!B38="","",IFERROR('Planilla (Hogar y Desarrollo 7)'!H49,""))</f>
        <v/>
      </c>
      <c r="N38" s="112">
        <f>IF(MAESTRO!B38="","",IFERROR('Planilla (Hogar y Desarrollo 7)'!I49,""))</f>
        <v/>
      </c>
      <c r="O38" s="110">
        <f>IF(MAESTRO!B38="","",IFERROR(AVERAGE(G38,K38),""))</f>
        <v/>
      </c>
      <c r="P38" s="110">
        <f>IF(MAESTRO!B38="","",IFERROR(AVERAGE(H38,L38),""))</f>
        <v/>
      </c>
      <c r="Q38" s="110">
        <f>IF(MAESTRO!B38="","",IFERROR(AVERAGE(I38,M38),""))</f>
        <v/>
      </c>
      <c r="R38" s="110">
        <f>IF(MAESTRO!B38="","",IFERROR(TRUNC(AVERAGE(O38,P38,Q38),1),""))</f>
        <v/>
      </c>
      <c r="S38" s="112">
        <f>IF(MAESTRO!B38="","",IF(AND(F38="",J38="",N38="",R38=""),"",IF(Y(OR(F38="",F38&gt;=3),OR(J38="",J38&gt;=3),OR(N38="",N38&gt;=3),OR(R38="",R38&gt;=3)),"✓ APROBADO","✗ REPROBADO")))</f>
        <v/>
      </c>
    </row>
    <row r="39" ht="16.05" customHeight="1" s="176">
      <c r="A39" s="104" t="n">
        <v>35</v>
      </c>
      <c r="B39" s="105">
        <f>IF(MAESTRO!B39="","",MAESTRO!B39)</f>
        <v/>
      </c>
      <c r="C39" s="108">
        <f>IF(MAESTRO!B39="","",IFERROR('Planilla (Ingles 7°) '!F50,""))</f>
        <v/>
      </c>
      <c r="D39" s="108">
        <f>IF(MAESTRO!B39="","",IFERROR('Planilla (Ingles 7°) '!G50,""))</f>
        <v/>
      </c>
      <c r="E39" s="108">
        <f>IF(MAESTRO!B39="","",IFERROR('Planilla (Ingles 7°) '!H50,""))</f>
        <v/>
      </c>
      <c r="F39" s="109">
        <f>IF(MAESTRO!B39="","",IFERROR('Planilla (Ingles 7°) '!I50,""))</f>
        <v/>
      </c>
      <c r="G39" s="108">
        <f>IF(MAESTRO!B39="","",IFERROR('Planilla (Agropecuaria 7°)'!F50,""))</f>
        <v/>
      </c>
      <c r="H39" s="108">
        <f>IF(MAESTRO!B39="","",IFERROR('Planilla (Agropecuaria 7°)'!G50,""))</f>
        <v/>
      </c>
      <c r="I39" s="108">
        <f>IF(MAESTRO!B39="","",IFERROR('Planilla (Agropecuaria 7°)'!H50,""))</f>
        <v/>
      </c>
      <c r="J39" s="109">
        <f>IF(MAESTRO!B39="","",IFERROR('Planilla (Agropecuaria 7°)'!I50,""))</f>
        <v/>
      </c>
      <c r="K39" s="108">
        <f>IF(MAESTRO!B39="","",IFERROR('Planilla (Hogar y Desarrollo 7)'!F50,""))</f>
        <v/>
      </c>
      <c r="L39" s="108">
        <f>IF(MAESTRO!B39="","",IFERROR('Planilla (Hogar y Desarrollo 7)'!G50,""))</f>
        <v/>
      </c>
      <c r="M39" s="108">
        <f>IF(MAESTRO!B39="","",IFERROR('Planilla (Hogar y Desarrollo 7)'!H50,""))</f>
        <v/>
      </c>
      <c r="N39" s="109">
        <f>IF(MAESTRO!B39="","",IFERROR('Planilla (Hogar y Desarrollo 7)'!I50,""))</f>
        <v/>
      </c>
      <c r="O39" s="110">
        <f>IF(MAESTRO!B39="","",IFERROR(AVERAGE(G39,K39),""))</f>
        <v/>
      </c>
      <c r="P39" s="110">
        <f>IF(MAESTRO!B39="","",IFERROR(AVERAGE(H39,L39),""))</f>
        <v/>
      </c>
      <c r="Q39" s="110">
        <f>IF(MAESTRO!B39="","",IFERROR(AVERAGE(I39,M39),""))</f>
        <v/>
      </c>
      <c r="R39" s="110">
        <f>IF(MAESTRO!B39="","",IFERROR(TRUNC(AVERAGE(O39,P39,Q39),1),""))</f>
        <v/>
      </c>
      <c r="S39" s="109">
        <f>IF(MAESTRO!B39="","",IF(AND(F39="",J39="",N39="",R39=""),"",IF(Y(OR(F39="",F39&gt;=3),OR(J39="",J39&gt;=3),OR(N39="",N39&gt;=3),OR(R39="",R39&gt;=3)),"✓ APROBADO","✗ REPROBADO")))</f>
        <v/>
      </c>
    </row>
    <row r="40" ht="16.05" customHeight="1" s="176">
      <c r="A40" s="102" t="n">
        <v>36</v>
      </c>
      <c r="B40" s="103">
        <f>IF(MAESTRO!B40="","",MAESTRO!B40)</f>
        <v/>
      </c>
      <c r="C40" s="111">
        <f>IF(MAESTRO!B40="","",IFERROR('Planilla (Ingles 7°) '!F51,""))</f>
        <v/>
      </c>
      <c r="D40" s="111">
        <f>IF(MAESTRO!B40="","",IFERROR('Planilla (Ingles 7°) '!G51,""))</f>
        <v/>
      </c>
      <c r="E40" s="111">
        <f>IF(MAESTRO!B40="","",IFERROR('Planilla (Ingles 7°) '!H51,""))</f>
        <v/>
      </c>
      <c r="F40" s="112">
        <f>IF(MAESTRO!B40="","",IFERROR('Planilla (Ingles 7°) '!I51,""))</f>
        <v/>
      </c>
      <c r="G40" s="111">
        <f>IF(MAESTRO!B40="","",IFERROR('Planilla (Agropecuaria 7°)'!F51,""))</f>
        <v/>
      </c>
      <c r="H40" s="111">
        <f>IF(MAESTRO!B40="","",IFERROR('Planilla (Agropecuaria 7°)'!G51,""))</f>
        <v/>
      </c>
      <c r="I40" s="111">
        <f>IF(MAESTRO!B40="","",IFERROR('Planilla (Agropecuaria 7°)'!H51,""))</f>
        <v/>
      </c>
      <c r="J40" s="112">
        <f>IF(MAESTRO!B40="","",IFERROR('Planilla (Agropecuaria 7°)'!I51,""))</f>
        <v/>
      </c>
      <c r="K40" s="111">
        <f>IF(MAESTRO!B40="","",IFERROR('Planilla (Hogar y Desarrollo 7)'!F51,""))</f>
        <v/>
      </c>
      <c r="L40" s="111">
        <f>IF(MAESTRO!B40="","",IFERROR('Planilla (Hogar y Desarrollo 7)'!G51,""))</f>
        <v/>
      </c>
      <c r="M40" s="111">
        <f>IF(MAESTRO!B40="","",IFERROR('Planilla (Hogar y Desarrollo 7)'!H51,""))</f>
        <v/>
      </c>
      <c r="N40" s="112">
        <f>IF(MAESTRO!B40="","",IFERROR('Planilla (Hogar y Desarrollo 7)'!I51,""))</f>
        <v/>
      </c>
      <c r="O40" s="110">
        <f>IF(MAESTRO!B40="","",IFERROR(AVERAGE(G40,K40),""))</f>
        <v/>
      </c>
      <c r="P40" s="110">
        <f>IF(MAESTRO!B40="","",IFERROR(AVERAGE(H40,L40),""))</f>
        <v/>
      </c>
      <c r="Q40" s="110">
        <f>IF(MAESTRO!B40="","",IFERROR(AVERAGE(I40,M40),""))</f>
        <v/>
      </c>
      <c r="R40" s="110">
        <f>IF(MAESTRO!B40="","",IFERROR(TRUNC(AVERAGE(O40,P40,Q40),1),""))</f>
        <v/>
      </c>
      <c r="S40" s="112">
        <f>IF(MAESTRO!B40="","",IF(AND(F40="",J40="",N40="",R40=""),"",IF(Y(OR(F40="",F40&gt;=3),OR(J40="",J40&gt;=3),OR(N40="",N40&gt;=3),OR(R40="",R40&gt;=3)),"✓ APROBADO","✗ REPROBADO")))</f>
        <v/>
      </c>
    </row>
    <row r="41" ht="16.05" customHeight="1" s="176">
      <c r="A41" s="104" t="n">
        <v>37</v>
      </c>
      <c r="B41" s="105">
        <f>IF(MAESTRO!B41="","",MAESTRO!B41)</f>
        <v/>
      </c>
      <c r="C41" s="108">
        <f>IF(MAESTRO!B41="","",IFERROR('Planilla (Ingles 7°) '!F52,""))</f>
        <v/>
      </c>
      <c r="D41" s="108">
        <f>IF(MAESTRO!B41="","",IFERROR('Planilla (Ingles 7°) '!G52,""))</f>
        <v/>
      </c>
      <c r="E41" s="108">
        <f>IF(MAESTRO!B41="","",IFERROR('Planilla (Ingles 7°) '!H52,""))</f>
        <v/>
      </c>
      <c r="F41" s="109">
        <f>IF(MAESTRO!B41="","",IFERROR('Planilla (Ingles 7°) '!I52,""))</f>
        <v/>
      </c>
      <c r="G41" s="108">
        <f>IF(MAESTRO!B41="","",IFERROR('Planilla (Agropecuaria 7°)'!F52,""))</f>
        <v/>
      </c>
      <c r="H41" s="108">
        <f>IF(MAESTRO!B41="","",IFERROR('Planilla (Agropecuaria 7°)'!G52,""))</f>
        <v/>
      </c>
      <c r="I41" s="108">
        <f>IF(MAESTRO!B41="","",IFERROR('Planilla (Agropecuaria 7°)'!H52,""))</f>
        <v/>
      </c>
      <c r="J41" s="109">
        <f>IF(MAESTRO!B41="","",IFERROR('Planilla (Agropecuaria 7°)'!I52,""))</f>
        <v/>
      </c>
      <c r="K41" s="108">
        <f>IF(MAESTRO!B41="","",IFERROR('Planilla (Hogar y Desarrollo 7)'!F52,""))</f>
        <v/>
      </c>
      <c r="L41" s="108">
        <f>IF(MAESTRO!B41="","",IFERROR('Planilla (Hogar y Desarrollo 7)'!G52,""))</f>
        <v/>
      </c>
      <c r="M41" s="108">
        <f>IF(MAESTRO!B41="","",IFERROR('Planilla (Hogar y Desarrollo 7)'!H52,""))</f>
        <v/>
      </c>
      <c r="N41" s="109">
        <f>IF(MAESTRO!B41="","",IFERROR('Planilla (Hogar y Desarrollo 7)'!I52,""))</f>
        <v/>
      </c>
      <c r="O41" s="110">
        <f>IF(MAESTRO!B41="","",IFERROR(AVERAGE(G41,K41),""))</f>
        <v/>
      </c>
      <c r="P41" s="110">
        <f>IF(MAESTRO!B41="","",IFERROR(AVERAGE(H41,L41),""))</f>
        <v/>
      </c>
      <c r="Q41" s="110">
        <f>IF(MAESTRO!B41="","",IFERROR(AVERAGE(I41,M41),""))</f>
        <v/>
      </c>
      <c r="R41" s="110">
        <f>IF(MAESTRO!B41="","",IFERROR(TRUNC(AVERAGE(O41,P41,Q41),1),""))</f>
        <v/>
      </c>
      <c r="S41" s="109">
        <f>IF(MAESTRO!B41="","",IF(AND(F41="",J41="",N41="",R41=""),"",IF(Y(OR(F41="",F41&gt;=3),OR(J41="",J41&gt;=3),OR(N41="",N41&gt;=3),OR(R41="",R41&gt;=3)),"✓ APROBADO","✗ REPROBADO")))</f>
        <v/>
      </c>
    </row>
    <row r="42" ht="16.05" customHeight="1" s="176">
      <c r="A42" s="102" t="n">
        <v>38</v>
      </c>
      <c r="B42" s="103">
        <f>IF(MAESTRO!B42="","",MAESTRO!B42)</f>
        <v/>
      </c>
      <c r="C42" s="111">
        <f>IF(MAESTRO!B42="","",IFERROR('Planilla (Ingles 7°) '!F53,""))</f>
        <v/>
      </c>
      <c r="D42" s="111">
        <f>IF(MAESTRO!B42="","",IFERROR('Planilla (Ingles 7°) '!G53,""))</f>
        <v/>
      </c>
      <c r="E42" s="111">
        <f>IF(MAESTRO!B42="","",IFERROR('Planilla (Ingles 7°) '!H53,""))</f>
        <v/>
      </c>
      <c r="F42" s="112">
        <f>IF(MAESTRO!B42="","",IFERROR('Planilla (Ingles 7°) '!I53,""))</f>
        <v/>
      </c>
      <c r="G42" s="111">
        <f>IF(MAESTRO!B42="","",IFERROR('Planilla (Agropecuaria 7°)'!F53,""))</f>
        <v/>
      </c>
      <c r="H42" s="111">
        <f>IF(MAESTRO!B42="","",IFERROR('Planilla (Agropecuaria 7°)'!G53,""))</f>
        <v/>
      </c>
      <c r="I42" s="111">
        <f>IF(MAESTRO!B42="","",IFERROR('Planilla (Agropecuaria 7°)'!H53,""))</f>
        <v/>
      </c>
      <c r="J42" s="112">
        <f>IF(MAESTRO!B42="","",IFERROR('Planilla (Agropecuaria 7°)'!I53,""))</f>
        <v/>
      </c>
      <c r="K42" s="111">
        <f>IF(MAESTRO!B42="","",IFERROR('Planilla (Hogar y Desarrollo 7)'!F53,""))</f>
        <v/>
      </c>
      <c r="L42" s="111">
        <f>IF(MAESTRO!B42="","",IFERROR('Planilla (Hogar y Desarrollo 7)'!G53,""))</f>
        <v/>
      </c>
      <c r="M42" s="111">
        <f>IF(MAESTRO!B42="","",IFERROR('Planilla (Hogar y Desarrollo 7)'!H53,""))</f>
        <v/>
      </c>
      <c r="N42" s="112">
        <f>IF(MAESTRO!B42="","",IFERROR('Planilla (Hogar y Desarrollo 7)'!I53,""))</f>
        <v/>
      </c>
      <c r="O42" s="110">
        <f>IF(MAESTRO!B42="","",IFERROR(AVERAGE(G42,K42),""))</f>
        <v/>
      </c>
      <c r="P42" s="110">
        <f>IF(MAESTRO!B42="","",IFERROR(AVERAGE(H42,L42),""))</f>
        <v/>
      </c>
      <c r="Q42" s="110">
        <f>IF(MAESTRO!B42="","",IFERROR(AVERAGE(I42,M42),""))</f>
        <v/>
      </c>
      <c r="R42" s="110">
        <f>IF(MAESTRO!B42="","",IFERROR(TRUNC(AVERAGE(O42,P42,Q42),1),""))</f>
        <v/>
      </c>
      <c r="S42" s="112">
        <f>IF(MAESTRO!B42="","",IF(AND(F42="",J42="",N42="",R42=""),"",IF(Y(OR(F42="",F42&gt;=3),OR(J42="",J42&gt;=3),OR(N42="",N42&gt;=3),OR(R42="",R42&gt;=3)),"✓ APROBADO","✗ REPROBADO")))</f>
        <v/>
      </c>
    </row>
    <row r="43" ht="16.05" customHeight="1" s="176">
      <c r="A43" s="104" t="n">
        <v>39</v>
      </c>
      <c r="B43" s="105">
        <f>IF(MAESTRO!B43="","",MAESTRO!B43)</f>
        <v/>
      </c>
      <c r="C43" s="108">
        <f>IF(MAESTRO!B43="","",IFERROR('Planilla (Ingles 7°) '!F54,""))</f>
        <v/>
      </c>
      <c r="D43" s="108">
        <f>IF(MAESTRO!B43="","",IFERROR('Planilla (Ingles 7°) '!G54,""))</f>
        <v/>
      </c>
      <c r="E43" s="108">
        <f>IF(MAESTRO!B43="","",IFERROR('Planilla (Ingles 7°) '!H54,""))</f>
        <v/>
      </c>
      <c r="F43" s="109">
        <f>IF(MAESTRO!B43="","",IFERROR('Planilla (Ingles 7°) '!I54,""))</f>
        <v/>
      </c>
      <c r="G43" s="108">
        <f>IF(MAESTRO!B43="","",IFERROR('Planilla (Agropecuaria 7°)'!F54,""))</f>
        <v/>
      </c>
      <c r="H43" s="108">
        <f>IF(MAESTRO!B43="","",IFERROR('Planilla (Agropecuaria 7°)'!G54,""))</f>
        <v/>
      </c>
      <c r="I43" s="108">
        <f>IF(MAESTRO!B43="","",IFERROR('Planilla (Agropecuaria 7°)'!H54,""))</f>
        <v/>
      </c>
      <c r="J43" s="109">
        <f>IF(MAESTRO!B43="","",IFERROR('Planilla (Agropecuaria 7°)'!I54,""))</f>
        <v/>
      </c>
      <c r="K43" s="108">
        <f>IF(MAESTRO!B43="","",IFERROR('Planilla (Hogar y Desarrollo 7)'!F54,""))</f>
        <v/>
      </c>
      <c r="L43" s="108">
        <f>IF(MAESTRO!B43="","",IFERROR('Planilla (Hogar y Desarrollo 7)'!G54,""))</f>
        <v/>
      </c>
      <c r="M43" s="108">
        <f>IF(MAESTRO!B43="","",IFERROR('Planilla (Hogar y Desarrollo 7)'!H54,""))</f>
        <v/>
      </c>
      <c r="N43" s="109">
        <f>IF(MAESTRO!B43="","",IFERROR('Planilla (Hogar y Desarrollo 7)'!I54,""))</f>
        <v/>
      </c>
      <c r="O43" s="110">
        <f>IF(MAESTRO!B43="","",IFERROR(AVERAGE(G43,K43),""))</f>
        <v/>
      </c>
      <c r="P43" s="110">
        <f>IF(MAESTRO!B43="","",IFERROR(AVERAGE(H43,L43),""))</f>
        <v/>
      </c>
      <c r="Q43" s="110">
        <f>IF(MAESTRO!B43="","",IFERROR(AVERAGE(I43,M43),""))</f>
        <v/>
      </c>
      <c r="R43" s="110">
        <f>IF(MAESTRO!B43="","",IFERROR(TRUNC(AVERAGE(O43,P43,Q43),1),""))</f>
        <v/>
      </c>
      <c r="S43" s="109">
        <f>IF(MAESTRO!B43="","",IF(AND(F43="",J43="",N43="",R43=""),"",IF(Y(OR(F43="",F43&gt;=3),OR(J43="",J43&gt;=3),OR(N43="",N43&gt;=3),OR(R43="",R43&gt;=3)),"✓ APROBADO","✗ REPROBADO")))</f>
        <v/>
      </c>
    </row>
    <row r="44" ht="16.05" customHeight="1" s="176">
      <c r="A44" s="102" t="n">
        <v>40</v>
      </c>
      <c r="B44" s="103">
        <f>IF(MAESTRO!B44="","",MAESTRO!B44)</f>
        <v/>
      </c>
      <c r="C44" s="111">
        <f>IF(MAESTRO!B44="","",IFERROR('Planilla (Ingles 7°) '!F55,""))</f>
        <v/>
      </c>
      <c r="D44" s="111">
        <f>IF(MAESTRO!B44="","",IFERROR('Planilla (Ingles 7°) '!G55,""))</f>
        <v/>
      </c>
      <c r="E44" s="111">
        <f>IF(MAESTRO!B44="","",IFERROR('Planilla (Ingles 7°) '!H55,""))</f>
        <v/>
      </c>
      <c r="F44" s="112">
        <f>IF(MAESTRO!B44="","",IFERROR('Planilla (Ingles 7°) '!I55,""))</f>
        <v/>
      </c>
      <c r="G44" s="111">
        <f>IF(MAESTRO!B44="","",IFERROR('Planilla (Agropecuaria 7°)'!F55,""))</f>
        <v/>
      </c>
      <c r="H44" s="111">
        <f>IF(MAESTRO!B44="","",IFERROR('Planilla (Agropecuaria 7°)'!G55,""))</f>
        <v/>
      </c>
      <c r="I44" s="111">
        <f>IF(MAESTRO!B44="","",IFERROR('Planilla (Agropecuaria 7°)'!H55,""))</f>
        <v/>
      </c>
      <c r="J44" s="112">
        <f>IF(MAESTRO!B44="","",IFERROR('Planilla (Agropecuaria 7°)'!I55,""))</f>
        <v/>
      </c>
      <c r="K44" s="111">
        <f>IF(MAESTRO!B44="","",IFERROR('Planilla (Hogar y Desarrollo 7)'!F55,""))</f>
        <v/>
      </c>
      <c r="L44" s="111">
        <f>IF(MAESTRO!B44="","",IFERROR('Planilla (Hogar y Desarrollo 7)'!G55,""))</f>
        <v/>
      </c>
      <c r="M44" s="111">
        <f>IF(MAESTRO!B44="","",IFERROR('Planilla (Hogar y Desarrollo 7)'!H55,""))</f>
        <v/>
      </c>
      <c r="N44" s="112">
        <f>IF(MAESTRO!B44="","",IFERROR('Planilla (Hogar y Desarrollo 7)'!I55,""))</f>
        <v/>
      </c>
      <c r="O44" s="110">
        <f>IF(MAESTRO!B44="","",IFERROR(AVERAGE(G44,K44),""))</f>
        <v/>
      </c>
      <c r="P44" s="110">
        <f>IF(MAESTRO!B44="","",IFERROR(AVERAGE(H44,L44),""))</f>
        <v/>
      </c>
      <c r="Q44" s="110">
        <f>IF(MAESTRO!B44="","",IFERROR(AVERAGE(I44,M44),""))</f>
        <v/>
      </c>
      <c r="R44" s="110">
        <f>IF(MAESTRO!B44="","",IFERROR(TRUNC(AVERAGE(O44,P44,Q44),1),""))</f>
        <v/>
      </c>
      <c r="S44" s="112">
        <f>IF(MAESTRO!B44="","",IF(AND(F44="",J44="",N44="",R44=""),"",IF(Y(OR(F44="",F44&gt;=3),OR(J44="",J44&gt;=3),OR(N44="",N44&gt;=3),OR(R44="",R44&gt;=3)),"✓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N35" sqref="N3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8" t="inlineStr">
        <is>
          <t>CUADRO DE NOTAS FINALES — 8° GRADO · ESCUELA CERRO CACICÓN 2026</t>
        </is>
      </c>
    </row>
    <row r="2" ht="15" customHeight="1" s="176">
      <c r="A2" s="259" t="inlineStr">
        <is>
          <t>Nota: Las calificaciones se obtienen automáticamente de las hojas PROM de cada materia</t>
        </is>
      </c>
    </row>
    <row r="3" ht="22.05" customHeight="1" s="176">
      <c r="A3" s="257" t="inlineStr">
        <is>
          <t>No.</t>
        </is>
      </c>
      <c r="B3" s="257" t="inlineStr">
        <is>
          <t>APELLIDO, NOMBRE</t>
        </is>
      </c>
      <c r="C3" s="257" t="inlineStr">
        <is>
          <t>INGLÉS</t>
        </is>
      </c>
      <c r="D3" s="250" t="n"/>
      <c r="E3" s="250" t="n"/>
      <c r="F3" s="242" t="n"/>
      <c r="G3" s="257" t="inlineStr">
        <is>
          <t>AGROPECUARIA</t>
        </is>
      </c>
      <c r="H3" s="250" t="n"/>
      <c r="I3" s="250" t="n"/>
      <c r="J3" s="242" t="n"/>
      <c r="K3" s="257" t="inlineStr">
        <is>
          <t>COMERCIO</t>
        </is>
      </c>
      <c r="L3" s="250" t="n"/>
      <c r="M3" s="250" t="n"/>
      <c r="N3" s="242" t="n"/>
      <c r="O3" s="253" t="inlineStr">
        <is>
          <t>TECNOLOGÍA</t>
        </is>
      </c>
      <c r="P3" s="250" t="n"/>
      <c r="Q3" s="250" t="n"/>
      <c r="R3" s="242" t="n"/>
      <c r="S3" s="255" t="inlineStr">
        <is>
          <t>ESTADO</t>
        </is>
      </c>
    </row>
    <row r="4" ht="18" customHeight="1" s="176">
      <c r="A4" s="252" t="n"/>
      <c r="B4" s="252" t="n"/>
      <c r="C4" s="100" t="inlineStr">
        <is>
          <t>T1</t>
        </is>
      </c>
      <c r="D4" s="100" t="inlineStr">
        <is>
          <t>T2</t>
        </is>
      </c>
      <c r="E4" s="100" t="inlineStr">
        <is>
          <t>T3</t>
        </is>
      </c>
      <c r="F4" s="99" t="inlineStr">
        <is>
          <t>FINAL</t>
        </is>
      </c>
      <c r="G4" s="100" t="inlineStr">
        <is>
          <t>T1</t>
        </is>
      </c>
      <c r="H4" s="100" t="inlineStr">
        <is>
          <t>T2</t>
        </is>
      </c>
      <c r="I4" s="100" t="inlineStr">
        <is>
          <t>T3</t>
        </is>
      </c>
      <c r="J4" s="99" t="inlineStr">
        <is>
          <t>FINAL</t>
        </is>
      </c>
      <c r="K4" s="100" t="inlineStr">
        <is>
          <t>T1</t>
        </is>
      </c>
      <c r="L4" s="100" t="inlineStr">
        <is>
          <t>T2</t>
        </is>
      </c>
      <c r="M4" s="100"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IF(MAESTRO!D5="","",MAESTRO!D5)</f>
        <v/>
      </c>
      <c r="C5" s="108">
        <f>IF(MAESTRO!D5="","",IFERROR('Planilla (Ingles 8°)'!F16,""))</f>
        <v/>
      </c>
      <c r="D5" s="108">
        <f>IF(MAESTRO!D5="","",IFERROR('Planilla (Ingles 8°)'!G16,""))</f>
        <v/>
      </c>
      <c r="E5" s="108">
        <f>IF(MAESTRO!D5="","",IFERROR('Planilla (Ingles 8°)'!H16,""))</f>
        <v/>
      </c>
      <c r="F5" s="109">
        <f>IF(MAESTRO!D5="","",IFERROR('Planilla (Ingles 8°)'!I16,""))</f>
        <v/>
      </c>
      <c r="G5" s="108">
        <f>IF(MAESTRO!D5="","",IFERROR('Planilla (Agropecuaria 8°) '!F16,""))</f>
        <v/>
      </c>
      <c r="H5" s="108">
        <f>IF(MAESTRO!D5="","",IFERROR('Planilla (Agropecuaria 8°) '!G16,""))</f>
        <v/>
      </c>
      <c r="I5" s="108">
        <f>IF(MAESTRO!D5="","",IFERROR('Planilla (Agropecuaria 8°) '!H16,""))</f>
        <v/>
      </c>
      <c r="J5" s="109">
        <f>IF(MAESTRO!D5="","",IFERROR('Planilla (Agropecuaria 8°) '!I16,""))</f>
        <v/>
      </c>
      <c r="K5" s="108">
        <f>IF(MAESTRO!D5="","",IFERROR('Planilla (Comercio 8°)'!F16,""))</f>
        <v/>
      </c>
      <c r="L5" s="108">
        <f>IF(MAESTRO!D5="","",IFERROR('Planilla (Comercio 8°)'!G16,""))</f>
        <v/>
      </c>
      <c r="M5" s="108">
        <f>IF(MAESTRO!D5="","",IFERROR('Planilla (Comercio 8°)'!H16,""))</f>
        <v/>
      </c>
      <c r="N5" s="109">
        <f>IF(MAESTRO!D5="","",IFERROR('Planilla (Comercio 8°)'!I16,""))</f>
        <v/>
      </c>
      <c r="O5" s="110">
        <f>IF(MAESTRO!D5="","",IFERROR(AVERAGE(G5,K5),""))</f>
        <v/>
      </c>
      <c r="P5" s="110">
        <f>IF(MAESTRO!D5="","",IFERROR(AVERAGE(H5,L5),""))</f>
        <v/>
      </c>
      <c r="Q5" s="110">
        <f>IF(MAESTRO!D5="","",IFERROR(AVERAGE(I5,M5),""))</f>
        <v/>
      </c>
      <c r="R5" s="110">
        <f>IF(MAESTRO!D5="","",IFERROR(TRUNC(AVERAGE(O5,P5,Q5),1),""))</f>
        <v/>
      </c>
      <c r="S5" s="109">
        <f>IF(MAESTRO!D5="","",IF(AND(F5="",J5="",N5="",R5=""),"",IF(Y(OR(F5="",F5&gt;=3),OR(J5="",J5&gt;=3),OR(N5="",N5&gt;=3),OR(R5="",R5&gt;=3)),"✓ APROBADO","✗ REPROBADO")))</f>
        <v/>
      </c>
    </row>
    <row r="6" ht="16.05" customHeight="1" s="176">
      <c r="A6" s="102" t="n">
        <v>2</v>
      </c>
      <c r="B6" s="103">
        <f>IF(MAESTRO!D6="","",MAESTRO!D6)</f>
        <v/>
      </c>
      <c r="C6" s="111">
        <f>IF(MAESTRO!D6="","",IFERROR('Planilla (Ingles 8°)'!F17,""))</f>
        <v/>
      </c>
      <c r="D6" s="111">
        <f>IF(MAESTRO!D6="","",IFERROR('Planilla (Ingles 8°)'!G17,""))</f>
        <v/>
      </c>
      <c r="E6" s="111">
        <f>IF(MAESTRO!D6="","",IFERROR('Planilla (Ingles 8°)'!H17,""))</f>
        <v/>
      </c>
      <c r="F6" s="112">
        <f>IF(MAESTRO!D6="","",IFERROR('Planilla (Ingles 8°)'!I17,""))</f>
        <v/>
      </c>
      <c r="G6" s="111">
        <f>IF(MAESTRO!D6="","",IFERROR('Planilla (Agropecuaria 8°) '!F17,""))</f>
        <v/>
      </c>
      <c r="H6" s="111">
        <f>IF(MAESTRO!D6="","",IFERROR('Planilla (Agropecuaria 8°) '!G17,""))</f>
        <v/>
      </c>
      <c r="I6" s="111">
        <f>IF(MAESTRO!D6="","",IFERROR('Planilla (Agropecuaria 8°) '!H17,""))</f>
        <v/>
      </c>
      <c r="J6" s="112">
        <f>IF(MAESTRO!D6="","",IFERROR('Planilla (Agropecuaria 8°) '!I17,""))</f>
        <v/>
      </c>
      <c r="K6" s="111">
        <f>IF(MAESTRO!D6="","",IFERROR('Planilla (Comercio 8°)'!F17,""))</f>
        <v/>
      </c>
      <c r="L6" s="111">
        <f>IF(MAESTRO!D6="","",IFERROR('Planilla (Comercio 8°)'!G17,""))</f>
        <v/>
      </c>
      <c r="M6" s="111">
        <f>IF(MAESTRO!D6="","",IFERROR('Planilla (Comercio 8°)'!H17,""))</f>
        <v/>
      </c>
      <c r="N6" s="112">
        <f>IF(MAESTRO!D6="","",IFERROR('Planilla (Comercio 8°)'!I17,""))</f>
        <v/>
      </c>
      <c r="O6" s="110">
        <f>IF(MAESTRO!D6="","",IFERROR(AVERAGE(G6,K6),""))</f>
        <v/>
      </c>
      <c r="P6" s="110">
        <f>IF(MAESTRO!D6="","",IFERROR(AVERAGE(H6,L6),""))</f>
        <v/>
      </c>
      <c r="Q6" s="110">
        <f>IF(MAESTRO!D6="","",IFERROR(AVERAGE(I6,M6),""))</f>
        <v/>
      </c>
      <c r="R6" s="110">
        <f>IF(MAESTRO!D6="","",IFERROR(TRUNC(AVERAGE(O6,P6,Q6),1),""))</f>
        <v/>
      </c>
      <c r="S6" s="112">
        <f>IF(MAESTRO!D6="","",IF(AND(F6="",J6="",N6="",R6=""),"",IF(Y(OR(F6="",F6&gt;=3),OR(J6="",J6&gt;=3),OR(N6="",N6&gt;=3),OR(R6="",R6&gt;=3)),"✓ APROBADO","✗ REPROBADO")))</f>
        <v/>
      </c>
    </row>
    <row r="7" ht="16.05" customHeight="1" s="176">
      <c r="A7" s="104" t="n">
        <v>3</v>
      </c>
      <c r="B7" s="105">
        <f>IF(MAESTRO!D7="","",MAESTRO!D7)</f>
        <v/>
      </c>
      <c r="C7" s="108">
        <f>IF(MAESTRO!D7="","",IFERROR('Planilla (Ingles 8°)'!F18,""))</f>
        <v/>
      </c>
      <c r="D7" s="108">
        <f>IF(MAESTRO!D7="","",IFERROR('Planilla (Ingles 8°)'!G18,""))</f>
        <v/>
      </c>
      <c r="E7" s="108">
        <f>IF(MAESTRO!D7="","",IFERROR('Planilla (Ingles 8°)'!H18,""))</f>
        <v/>
      </c>
      <c r="F7" s="109">
        <f>IF(MAESTRO!D7="","",IFERROR('Planilla (Ingles 8°)'!I18,""))</f>
        <v/>
      </c>
      <c r="G7" s="108">
        <f>IF(MAESTRO!D7="","",IFERROR('Planilla (Agropecuaria 8°) '!F18,""))</f>
        <v/>
      </c>
      <c r="H7" s="108">
        <f>IF(MAESTRO!D7="","",IFERROR('Planilla (Agropecuaria 8°) '!G18,""))</f>
        <v/>
      </c>
      <c r="I7" s="108">
        <f>IF(MAESTRO!D7="","",IFERROR('Planilla (Agropecuaria 8°) '!H18,""))</f>
        <v/>
      </c>
      <c r="J7" s="109">
        <f>IF(MAESTRO!D7="","",IFERROR('Planilla (Agropecuaria 8°) '!I18,""))</f>
        <v/>
      </c>
      <c r="K7" s="108">
        <f>IF(MAESTRO!D7="","",IFERROR('Planilla (Comercio 8°)'!F18,""))</f>
        <v/>
      </c>
      <c r="L7" s="108">
        <f>IF(MAESTRO!D7="","",IFERROR('Planilla (Comercio 8°)'!G18,""))</f>
        <v/>
      </c>
      <c r="M7" s="108">
        <f>IF(MAESTRO!D7="","",IFERROR('Planilla (Comercio 8°)'!H18,""))</f>
        <v/>
      </c>
      <c r="N7" s="109">
        <f>IF(MAESTRO!D7="","",IFERROR('Planilla (Comercio 8°)'!I18,""))</f>
        <v/>
      </c>
      <c r="O7" s="110">
        <f>IF(MAESTRO!D7="","",IFERROR(AVERAGE(G7,K7),""))</f>
        <v/>
      </c>
      <c r="P7" s="110">
        <f>IF(MAESTRO!D7="","",IFERROR(AVERAGE(H7,L7),""))</f>
        <v/>
      </c>
      <c r="Q7" s="110">
        <f>IF(MAESTRO!D7="","",IFERROR(AVERAGE(I7,M7),""))</f>
        <v/>
      </c>
      <c r="R7" s="110">
        <f>IF(MAESTRO!D7="","",IFERROR(TRUNC(AVERAGE(O7,P7,Q7),1),""))</f>
        <v/>
      </c>
      <c r="S7" s="109">
        <f>IF(MAESTRO!D7="","",IF(AND(F7="",J7="",N7="",R7=""),"",IF(Y(OR(F7="",F7&gt;=3),OR(J7="",J7&gt;=3),OR(N7="",N7&gt;=3),OR(R7="",R7&gt;=3)),"✓ APROBADO","✗ REPROBADO")))</f>
        <v/>
      </c>
    </row>
    <row r="8" ht="16.05" customHeight="1" s="176">
      <c r="A8" s="102" t="n">
        <v>4</v>
      </c>
      <c r="B8" s="103">
        <f>IF(MAESTRO!D8="","",MAESTRO!D8)</f>
        <v/>
      </c>
      <c r="C8" s="111">
        <f>IF(MAESTRO!D8="","",IFERROR('Planilla (Ingles 8°)'!F19,""))</f>
        <v/>
      </c>
      <c r="D8" s="111">
        <f>IF(MAESTRO!D8="","",IFERROR('Planilla (Ingles 8°)'!G19,""))</f>
        <v/>
      </c>
      <c r="E8" s="111">
        <f>IF(MAESTRO!D8="","",IFERROR('Planilla (Ingles 8°)'!H19,""))</f>
        <v/>
      </c>
      <c r="F8" s="112">
        <f>IF(MAESTRO!D8="","",IFERROR('Planilla (Ingles 8°)'!I19,""))</f>
        <v/>
      </c>
      <c r="G8" s="111">
        <f>IF(MAESTRO!D8="","",IFERROR('Planilla (Agropecuaria 8°) '!F19,""))</f>
        <v/>
      </c>
      <c r="H8" s="111">
        <f>IF(MAESTRO!D8="","",IFERROR('Planilla (Agropecuaria 8°) '!G19,""))</f>
        <v/>
      </c>
      <c r="I8" s="111">
        <f>IF(MAESTRO!D8="","",IFERROR('Planilla (Agropecuaria 8°) '!H19,""))</f>
        <v/>
      </c>
      <c r="J8" s="112">
        <f>IF(MAESTRO!D8="","",IFERROR('Planilla (Agropecuaria 8°) '!I19,""))</f>
        <v/>
      </c>
      <c r="K8" s="111">
        <f>IF(MAESTRO!D8="","",IFERROR('Planilla (Comercio 8°)'!F19,""))</f>
        <v/>
      </c>
      <c r="L8" s="111">
        <f>IF(MAESTRO!D8="","",IFERROR('Planilla (Comercio 8°)'!G19,""))</f>
        <v/>
      </c>
      <c r="M8" s="111">
        <f>IF(MAESTRO!D8="","",IFERROR('Planilla (Comercio 8°)'!H19,""))</f>
        <v/>
      </c>
      <c r="N8" s="112">
        <f>IF(MAESTRO!D8="","",IFERROR('Planilla (Comercio 8°)'!I19,""))</f>
        <v/>
      </c>
      <c r="O8" s="110">
        <f>IF(MAESTRO!D8="","",IFERROR(AVERAGE(G8,K8),""))</f>
        <v/>
      </c>
      <c r="P8" s="110">
        <f>IF(MAESTRO!D8="","",IFERROR(AVERAGE(H8,L8),""))</f>
        <v/>
      </c>
      <c r="Q8" s="110">
        <f>IF(MAESTRO!D8="","",IFERROR(AVERAGE(I8,M8),""))</f>
        <v/>
      </c>
      <c r="R8" s="110">
        <f>IF(MAESTRO!D8="","",IFERROR(TRUNC(AVERAGE(O8,P8,Q8),1),""))</f>
        <v/>
      </c>
      <c r="S8" s="112">
        <f>IF(MAESTRO!D8="","",IF(AND(F8="",J8="",N8="",R8=""),"",IF(Y(OR(F8="",F8&gt;=3),OR(J8="",J8&gt;=3),OR(N8="",N8&gt;=3),OR(R8="",R8&gt;=3)),"✓ APROBADO","✗ REPROBADO")))</f>
        <v/>
      </c>
    </row>
    <row r="9" ht="16.05" customHeight="1" s="176">
      <c r="A9" s="104" t="n">
        <v>5</v>
      </c>
      <c r="B9" s="105">
        <f>IF(MAESTRO!D9="","",MAESTRO!D9)</f>
        <v/>
      </c>
      <c r="C9" s="108">
        <f>IF(MAESTRO!D9="","",IFERROR('Planilla (Ingles 8°)'!F20,""))</f>
        <v/>
      </c>
      <c r="D9" s="108">
        <f>IF(MAESTRO!D9="","",IFERROR('Planilla (Ingles 8°)'!G20,""))</f>
        <v/>
      </c>
      <c r="E9" s="108">
        <f>IF(MAESTRO!D9="","",IFERROR('Planilla (Ingles 8°)'!H20,""))</f>
        <v/>
      </c>
      <c r="F9" s="109">
        <f>IF(MAESTRO!D9="","",IFERROR('Planilla (Ingles 8°)'!I20,""))</f>
        <v/>
      </c>
      <c r="G9" s="108">
        <f>IF(MAESTRO!D9="","",IFERROR('Planilla (Agropecuaria 8°) '!F20,""))</f>
        <v/>
      </c>
      <c r="H9" s="108">
        <f>IF(MAESTRO!D9="","",IFERROR('Planilla (Agropecuaria 8°) '!G20,""))</f>
        <v/>
      </c>
      <c r="I9" s="108">
        <f>IF(MAESTRO!D9="","",IFERROR('Planilla (Agropecuaria 8°) '!H20,""))</f>
        <v/>
      </c>
      <c r="J9" s="109">
        <f>IF(MAESTRO!D9="","",IFERROR('Planilla (Agropecuaria 8°) '!I20,""))</f>
        <v/>
      </c>
      <c r="K9" s="108">
        <f>IF(MAESTRO!D9="","",IFERROR('Planilla (Comercio 8°)'!F20,""))</f>
        <v/>
      </c>
      <c r="L9" s="108">
        <f>IF(MAESTRO!D9="","",IFERROR('Planilla (Comercio 8°)'!G20,""))</f>
        <v/>
      </c>
      <c r="M9" s="108">
        <f>IF(MAESTRO!D9="","",IFERROR('Planilla (Comercio 8°)'!H20,""))</f>
        <v/>
      </c>
      <c r="N9" s="109">
        <f>IF(MAESTRO!D9="","",IFERROR('Planilla (Comercio 8°)'!I20,""))</f>
        <v/>
      </c>
      <c r="O9" s="110">
        <f>IF(MAESTRO!D9="","",IFERROR(AVERAGE(G9,K9),""))</f>
        <v/>
      </c>
      <c r="P9" s="110">
        <f>IF(MAESTRO!D9="","",IFERROR(AVERAGE(H9,L9),""))</f>
        <v/>
      </c>
      <c r="Q9" s="110">
        <f>IF(MAESTRO!D9="","",IFERROR(AVERAGE(I9,M9),""))</f>
        <v/>
      </c>
      <c r="R9" s="110">
        <f>IF(MAESTRO!D9="","",IFERROR(TRUNC(AVERAGE(O9,P9,Q9),1),""))</f>
        <v/>
      </c>
      <c r="S9" s="109">
        <f>IF(MAESTRO!D9="","",IF(AND(F9="",J9="",N9="",R9=""),"",IF(Y(OR(F9="",F9&gt;=3),OR(J9="",J9&gt;=3),OR(N9="",N9&gt;=3),OR(R9="",R9&gt;=3)),"✓ APROBADO","✗ REPROBADO")))</f>
        <v/>
      </c>
    </row>
    <row r="10" ht="16.05" customHeight="1" s="176">
      <c r="A10" s="102" t="n">
        <v>6</v>
      </c>
      <c r="B10" s="103">
        <f>IF(MAESTRO!D10="","",MAESTRO!D10)</f>
        <v/>
      </c>
      <c r="C10" s="111">
        <f>IF(MAESTRO!D10="","",IFERROR('Planilla (Ingles 8°)'!F21,""))</f>
        <v/>
      </c>
      <c r="D10" s="111">
        <f>IF(MAESTRO!D10="","",IFERROR('Planilla (Ingles 8°)'!G21,""))</f>
        <v/>
      </c>
      <c r="E10" s="111">
        <f>IF(MAESTRO!D10="","",IFERROR('Planilla (Ingles 8°)'!H21,""))</f>
        <v/>
      </c>
      <c r="F10" s="112">
        <f>IF(MAESTRO!D10="","",IFERROR('Planilla (Ingles 8°)'!I21,""))</f>
        <v/>
      </c>
      <c r="G10" s="111">
        <f>IF(MAESTRO!D10="","",IFERROR('Planilla (Agropecuaria 8°) '!F21,""))</f>
        <v/>
      </c>
      <c r="H10" s="111">
        <f>IF(MAESTRO!D10="","",IFERROR('Planilla (Agropecuaria 8°) '!G21,""))</f>
        <v/>
      </c>
      <c r="I10" s="111">
        <f>IF(MAESTRO!D10="","",IFERROR('Planilla (Agropecuaria 8°) '!H21,""))</f>
        <v/>
      </c>
      <c r="J10" s="112">
        <f>IF(MAESTRO!D10="","",IFERROR('Planilla (Agropecuaria 8°) '!I21,""))</f>
        <v/>
      </c>
      <c r="K10" s="111">
        <f>IF(MAESTRO!D10="","",IFERROR('Planilla (Comercio 8°)'!F21,""))</f>
        <v/>
      </c>
      <c r="L10" s="111">
        <f>IF(MAESTRO!D10="","",IFERROR('Planilla (Comercio 8°)'!G21,""))</f>
        <v/>
      </c>
      <c r="M10" s="111">
        <f>IF(MAESTRO!D10="","",IFERROR('Planilla (Comercio 8°)'!H21,""))</f>
        <v/>
      </c>
      <c r="N10" s="112">
        <f>IF(MAESTRO!D10="","",IFERROR('Planilla (Comercio 8°)'!I21,""))</f>
        <v/>
      </c>
      <c r="O10" s="110">
        <f>IF(MAESTRO!D10="","",IFERROR(AVERAGE(G10,K10),""))</f>
        <v/>
      </c>
      <c r="P10" s="110">
        <f>IF(MAESTRO!D10="","",IFERROR(AVERAGE(H10,L10),""))</f>
        <v/>
      </c>
      <c r="Q10" s="110">
        <f>IF(MAESTRO!D10="","",IFERROR(AVERAGE(I10,M10),""))</f>
        <v/>
      </c>
      <c r="R10" s="110">
        <f>IF(MAESTRO!D10="","",IFERROR(TRUNC(AVERAGE(O10,P10,Q10),1),""))</f>
        <v/>
      </c>
      <c r="S10" s="112">
        <f>IF(MAESTRO!D10="","",IF(AND(F10="",J10="",N10="",R10=""),"",IF(Y(OR(F10="",F10&gt;=3),OR(J10="",J10&gt;=3),OR(N10="",N10&gt;=3),OR(R10="",R10&gt;=3)),"✓ APROBADO","✗ REPROBADO")))</f>
        <v/>
      </c>
    </row>
    <row r="11" ht="16.05" customHeight="1" s="176">
      <c r="A11" s="104" t="n">
        <v>7</v>
      </c>
      <c r="B11" s="105">
        <f>IF(MAESTRO!D11="","",MAESTRO!D11)</f>
        <v/>
      </c>
      <c r="C11" s="108">
        <f>IF(MAESTRO!D11="","",IFERROR('Planilla (Ingles 8°)'!F22,""))</f>
        <v/>
      </c>
      <c r="D11" s="108">
        <f>IF(MAESTRO!D11="","",IFERROR('Planilla (Ingles 8°)'!G22,""))</f>
        <v/>
      </c>
      <c r="E11" s="108">
        <f>IF(MAESTRO!D11="","",IFERROR('Planilla (Ingles 8°)'!H22,""))</f>
        <v/>
      </c>
      <c r="F11" s="109">
        <f>IF(MAESTRO!D11="","",IFERROR('Planilla (Ingles 8°)'!I22,""))</f>
        <v/>
      </c>
      <c r="G11" s="108">
        <f>IF(MAESTRO!D11="","",IFERROR('Planilla (Agropecuaria 8°) '!F22,""))</f>
        <v/>
      </c>
      <c r="H11" s="108">
        <f>IF(MAESTRO!D11="","",IFERROR('Planilla (Agropecuaria 8°) '!G22,""))</f>
        <v/>
      </c>
      <c r="I11" s="108">
        <f>IF(MAESTRO!D11="","",IFERROR('Planilla (Agropecuaria 8°) '!H22,""))</f>
        <v/>
      </c>
      <c r="J11" s="109">
        <f>IF(MAESTRO!D11="","",IFERROR('Planilla (Agropecuaria 8°) '!I22,""))</f>
        <v/>
      </c>
      <c r="K11" s="108">
        <f>IF(MAESTRO!D11="","",IFERROR('Planilla (Comercio 8°)'!F22,""))</f>
        <v/>
      </c>
      <c r="L11" s="108">
        <f>IF(MAESTRO!D11="","",IFERROR('Planilla (Comercio 8°)'!G22,""))</f>
        <v/>
      </c>
      <c r="M11" s="108">
        <f>IF(MAESTRO!D11="","",IFERROR('Planilla (Comercio 8°)'!H22,""))</f>
        <v/>
      </c>
      <c r="N11" s="109">
        <f>IF(MAESTRO!D11="","",IFERROR('Planilla (Comercio 8°)'!I22,""))</f>
        <v/>
      </c>
      <c r="O11" s="110">
        <f>IF(MAESTRO!D11="","",IFERROR(AVERAGE(G11,K11),""))</f>
        <v/>
      </c>
      <c r="P11" s="110">
        <f>IF(MAESTRO!D11="","",IFERROR(AVERAGE(H11,L11),""))</f>
        <v/>
      </c>
      <c r="Q11" s="110">
        <f>IF(MAESTRO!D11="","",IFERROR(AVERAGE(I11,M11),""))</f>
        <v/>
      </c>
      <c r="R11" s="110">
        <f>IF(MAESTRO!D11="","",IFERROR(TRUNC(AVERAGE(O11,P11,Q11),1),""))</f>
        <v/>
      </c>
      <c r="S11" s="109">
        <f>IF(MAESTRO!D11="","",IF(AND(F11="",J11="",N11="",R11=""),"",IF(Y(OR(F11="",F11&gt;=3),OR(J11="",J11&gt;=3),OR(N11="",N11&gt;=3),OR(R11="",R11&gt;=3)),"✓ APROBADO","✗ REPROBADO")))</f>
        <v/>
      </c>
    </row>
    <row r="12" ht="16.05" customHeight="1" s="176">
      <c r="A12" s="102" t="n">
        <v>8</v>
      </c>
      <c r="B12" s="103">
        <f>IF(MAESTRO!D12="","",MAESTRO!D12)</f>
        <v/>
      </c>
      <c r="C12" s="111">
        <f>IF(MAESTRO!D12="","",IFERROR('Planilla (Ingles 8°)'!F23,""))</f>
        <v/>
      </c>
      <c r="D12" s="111">
        <f>IF(MAESTRO!D12="","",IFERROR('Planilla (Ingles 8°)'!G23,""))</f>
        <v/>
      </c>
      <c r="E12" s="111">
        <f>IF(MAESTRO!D12="","",IFERROR('Planilla (Ingles 8°)'!H23,""))</f>
        <v/>
      </c>
      <c r="F12" s="112">
        <f>IF(MAESTRO!D12="","",IFERROR('Planilla (Ingles 8°)'!I23,""))</f>
        <v/>
      </c>
      <c r="G12" s="111">
        <f>IF(MAESTRO!D12="","",IFERROR('Planilla (Agropecuaria 8°) '!F23,""))</f>
        <v/>
      </c>
      <c r="H12" s="111">
        <f>IF(MAESTRO!D12="","",IFERROR('Planilla (Agropecuaria 8°) '!G23,""))</f>
        <v/>
      </c>
      <c r="I12" s="111">
        <f>IF(MAESTRO!D12="","",IFERROR('Planilla (Agropecuaria 8°) '!H23,""))</f>
        <v/>
      </c>
      <c r="J12" s="112">
        <f>IF(MAESTRO!D12="","",IFERROR('Planilla (Agropecuaria 8°) '!I23,""))</f>
        <v/>
      </c>
      <c r="K12" s="111">
        <f>IF(MAESTRO!D12="","",IFERROR('Planilla (Comercio 8°)'!F23,""))</f>
        <v/>
      </c>
      <c r="L12" s="111">
        <f>IF(MAESTRO!D12="","",IFERROR('Planilla (Comercio 8°)'!G23,""))</f>
        <v/>
      </c>
      <c r="M12" s="111">
        <f>IF(MAESTRO!D12="","",IFERROR('Planilla (Comercio 8°)'!H23,""))</f>
        <v/>
      </c>
      <c r="N12" s="112">
        <f>IF(MAESTRO!D12="","",IFERROR('Planilla (Comercio 8°)'!I23,""))</f>
        <v/>
      </c>
      <c r="O12" s="110">
        <f>IF(MAESTRO!D12="","",IFERROR(AVERAGE(G12,K12),""))</f>
        <v/>
      </c>
      <c r="P12" s="110">
        <f>IF(MAESTRO!D12="","",IFERROR(AVERAGE(H12,L12),""))</f>
        <v/>
      </c>
      <c r="Q12" s="110">
        <f>IF(MAESTRO!D12="","",IFERROR(AVERAGE(I12,M12),""))</f>
        <v/>
      </c>
      <c r="R12" s="110">
        <f>IF(MAESTRO!D12="","",IFERROR(TRUNC(AVERAGE(O12,P12,Q12),1),""))</f>
        <v/>
      </c>
      <c r="S12" s="112">
        <f>IF(MAESTRO!D12="","",IF(AND(F12="",J12="",N12="",R12=""),"",IF(Y(OR(F12="",F12&gt;=3),OR(J12="",J12&gt;=3),OR(N12="",N12&gt;=3),OR(R12="",R12&gt;=3)),"✓ APROBADO","✗ REPROBADO")))</f>
        <v/>
      </c>
    </row>
    <row r="13" ht="16.05" customHeight="1" s="176">
      <c r="A13" s="104" t="n">
        <v>9</v>
      </c>
      <c r="B13" s="105">
        <f>IF(MAESTRO!D13="","",MAESTRO!D13)</f>
        <v/>
      </c>
      <c r="C13" s="108">
        <f>IF(MAESTRO!D13="","",IFERROR('Planilla (Ingles 8°)'!F24,""))</f>
        <v/>
      </c>
      <c r="D13" s="108">
        <f>IF(MAESTRO!D13="","",IFERROR('Planilla (Ingles 8°)'!G24,""))</f>
        <v/>
      </c>
      <c r="E13" s="108">
        <f>IF(MAESTRO!D13="","",IFERROR('Planilla (Ingles 8°)'!H24,""))</f>
        <v/>
      </c>
      <c r="F13" s="109">
        <f>IF(MAESTRO!D13="","",IFERROR('Planilla (Ingles 8°)'!I24,""))</f>
        <v/>
      </c>
      <c r="G13" s="108">
        <f>IF(MAESTRO!D13="","",IFERROR('Planilla (Agropecuaria 8°) '!F24,""))</f>
        <v/>
      </c>
      <c r="H13" s="108">
        <f>IF(MAESTRO!D13="","",IFERROR('Planilla (Agropecuaria 8°) '!G24,""))</f>
        <v/>
      </c>
      <c r="I13" s="108">
        <f>IF(MAESTRO!D13="","",IFERROR('Planilla (Agropecuaria 8°) '!H24,""))</f>
        <v/>
      </c>
      <c r="J13" s="109">
        <f>IF(MAESTRO!D13="","",IFERROR('Planilla (Agropecuaria 8°) '!I24,""))</f>
        <v/>
      </c>
      <c r="K13" s="108">
        <f>IF(MAESTRO!D13="","",IFERROR('Planilla (Comercio 8°)'!F24,""))</f>
        <v/>
      </c>
      <c r="L13" s="108">
        <f>IF(MAESTRO!D13="","",IFERROR('Planilla (Comercio 8°)'!G24,""))</f>
        <v/>
      </c>
      <c r="M13" s="108">
        <f>IF(MAESTRO!D13="","",IFERROR('Planilla (Comercio 8°)'!H24,""))</f>
        <v/>
      </c>
      <c r="N13" s="109">
        <f>IF(MAESTRO!D13="","",IFERROR('Planilla (Comercio 8°)'!I24,""))</f>
        <v/>
      </c>
      <c r="O13" s="110">
        <f>IF(MAESTRO!D13="","",IFERROR(AVERAGE(G13,K13),""))</f>
        <v/>
      </c>
      <c r="P13" s="110">
        <f>IF(MAESTRO!D13="","",IFERROR(AVERAGE(H13,L13),""))</f>
        <v/>
      </c>
      <c r="Q13" s="110">
        <f>IF(MAESTRO!D13="","",IFERROR(AVERAGE(I13,M13),""))</f>
        <v/>
      </c>
      <c r="R13" s="110">
        <f>IF(MAESTRO!D13="","",IFERROR(TRUNC(AVERAGE(O13,P13,Q13),1),""))</f>
        <v/>
      </c>
      <c r="S13" s="109">
        <f>IF(MAESTRO!D13="","",IF(AND(F13="",J13="",N13="",R13=""),"",IF(Y(OR(F13="",F13&gt;=3),OR(J13="",J13&gt;=3),OR(N13="",N13&gt;=3),OR(R13="",R13&gt;=3)),"✓ APROBADO","✗ REPROBADO")))</f>
        <v/>
      </c>
    </row>
    <row r="14" ht="16.05" customHeight="1" s="176">
      <c r="A14" s="102" t="n">
        <v>10</v>
      </c>
      <c r="B14" s="103">
        <f>IF(MAESTRO!D14="","",MAESTRO!D14)</f>
        <v/>
      </c>
      <c r="C14" s="111">
        <f>IF(MAESTRO!D14="","",IFERROR('Planilla (Ingles 8°)'!F25,""))</f>
        <v/>
      </c>
      <c r="D14" s="111">
        <f>IF(MAESTRO!D14="","",IFERROR('Planilla (Ingles 8°)'!G25,""))</f>
        <v/>
      </c>
      <c r="E14" s="111">
        <f>IF(MAESTRO!D14="","",IFERROR('Planilla (Ingles 8°)'!H25,""))</f>
        <v/>
      </c>
      <c r="F14" s="112">
        <f>IF(MAESTRO!D14="","",IFERROR('Planilla (Ingles 8°)'!I25,""))</f>
        <v/>
      </c>
      <c r="G14" s="111">
        <f>IF(MAESTRO!D14="","",IFERROR('Planilla (Agropecuaria 8°) '!F25,""))</f>
        <v/>
      </c>
      <c r="H14" s="111">
        <f>IF(MAESTRO!D14="","",IFERROR('Planilla (Agropecuaria 8°) '!G25,""))</f>
        <v/>
      </c>
      <c r="I14" s="111">
        <f>IF(MAESTRO!D14="","",IFERROR('Planilla (Agropecuaria 8°) '!H25,""))</f>
        <v/>
      </c>
      <c r="J14" s="112">
        <f>IF(MAESTRO!D14="","",IFERROR('Planilla (Agropecuaria 8°) '!I25,""))</f>
        <v/>
      </c>
      <c r="K14" s="111">
        <f>IF(MAESTRO!D14="","",IFERROR('Planilla (Comercio 8°)'!F25,""))</f>
        <v/>
      </c>
      <c r="L14" s="111">
        <f>IF(MAESTRO!D14="","",IFERROR('Planilla (Comercio 8°)'!G25,""))</f>
        <v/>
      </c>
      <c r="M14" s="111">
        <f>IF(MAESTRO!D14="","",IFERROR('Planilla (Comercio 8°)'!H25,""))</f>
        <v/>
      </c>
      <c r="N14" s="112">
        <f>IF(MAESTRO!D14="","",IFERROR('Planilla (Comercio 8°)'!I25,""))</f>
        <v/>
      </c>
      <c r="O14" s="110">
        <f>IF(MAESTRO!D14="","",IFERROR(AVERAGE(G14,K14),""))</f>
        <v/>
      </c>
      <c r="P14" s="110">
        <f>IF(MAESTRO!D14="","",IFERROR(AVERAGE(H14,L14),""))</f>
        <v/>
      </c>
      <c r="Q14" s="110">
        <f>IF(MAESTRO!D14="","",IFERROR(AVERAGE(I14,M14),""))</f>
        <v/>
      </c>
      <c r="R14" s="110">
        <f>IF(MAESTRO!D14="","",IFERROR(TRUNC(AVERAGE(O14,P14,Q14),1),""))</f>
        <v/>
      </c>
      <c r="S14" s="112">
        <f>IF(MAESTRO!D14="","",IF(AND(F14="",J14="",N14="",R14=""),"",IF(Y(OR(F14="",F14&gt;=3),OR(J14="",J14&gt;=3),OR(N14="",N14&gt;=3),OR(R14="",R14&gt;=3)),"✓ APROBADO","✗ REPROBADO")))</f>
        <v/>
      </c>
    </row>
    <row r="15" ht="16.05" customHeight="1" s="176">
      <c r="A15" s="104" t="n">
        <v>11</v>
      </c>
      <c r="B15" s="105">
        <f>IF(MAESTRO!D15="","",MAESTRO!D15)</f>
        <v/>
      </c>
      <c r="C15" s="108">
        <f>IF(MAESTRO!D15="","",IFERROR('Planilla (Ingles 8°)'!F26,""))</f>
        <v/>
      </c>
      <c r="D15" s="108">
        <f>IF(MAESTRO!D15="","",IFERROR('Planilla (Ingles 8°)'!G26,""))</f>
        <v/>
      </c>
      <c r="E15" s="108">
        <f>IF(MAESTRO!D15="","",IFERROR('Planilla (Ingles 8°)'!H26,""))</f>
        <v/>
      </c>
      <c r="F15" s="109">
        <f>IF(MAESTRO!D15="","",IFERROR('Planilla (Ingles 8°)'!I26,""))</f>
        <v/>
      </c>
      <c r="G15" s="108">
        <f>IF(MAESTRO!D15="","",IFERROR('Planilla (Agropecuaria 8°) '!F26,""))</f>
        <v/>
      </c>
      <c r="H15" s="108">
        <f>IF(MAESTRO!D15="","",IFERROR('Planilla (Agropecuaria 8°) '!G26,""))</f>
        <v/>
      </c>
      <c r="I15" s="108">
        <f>IF(MAESTRO!D15="","",IFERROR('Planilla (Agropecuaria 8°) '!H26,""))</f>
        <v/>
      </c>
      <c r="J15" s="109">
        <f>IF(MAESTRO!D15="","",IFERROR('Planilla (Agropecuaria 8°) '!I26,""))</f>
        <v/>
      </c>
      <c r="K15" s="108">
        <f>IF(MAESTRO!D15="","",IFERROR('Planilla (Comercio 8°)'!F26,""))</f>
        <v/>
      </c>
      <c r="L15" s="108">
        <f>IF(MAESTRO!D15="","",IFERROR('Planilla (Comercio 8°)'!G26,""))</f>
        <v/>
      </c>
      <c r="M15" s="108">
        <f>IF(MAESTRO!D15="","",IFERROR('Planilla (Comercio 8°)'!H26,""))</f>
        <v/>
      </c>
      <c r="N15" s="109">
        <f>IF(MAESTRO!D15="","",IFERROR('Planilla (Comercio 8°)'!I26,""))</f>
        <v/>
      </c>
      <c r="O15" s="110">
        <f>IF(MAESTRO!D15="","",IFERROR(AVERAGE(G15,K15),""))</f>
        <v/>
      </c>
      <c r="P15" s="110">
        <f>IF(MAESTRO!D15="","",IFERROR(AVERAGE(H15,L15),""))</f>
        <v/>
      </c>
      <c r="Q15" s="110">
        <f>IF(MAESTRO!D15="","",IFERROR(AVERAGE(I15,M15),""))</f>
        <v/>
      </c>
      <c r="R15" s="110">
        <f>IF(MAESTRO!D15="","",IFERROR(TRUNC(AVERAGE(O15,P15,Q15),1),""))</f>
        <v/>
      </c>
      <c r="S15" s="109">
        <f>IF(MAESTRO!D15="","",IF(AND(F15="",J15="",N15="",R15=""),"",IF(Y(OR(F15="",F15&gt;=3),OR(J15="",J15&gt;=3),OR(N15="",N15&gt;=3),OR(R15="",R15&gt;=3)),"✓ APROBADO","✗ REPROBADO")))</f>
        <v/>
      </c>
    </row>
    <row r="16" ht="16.05" customHeight="1" s="176">
      <c r="A16" s="102" t="n">
        <v>12</v>
      </c>
      <c r="B16" s="103">
        <f>IF(MAESTRO!D16="","",MAESTRO!D16)</f>
        <v/>
      </c>
      <c r="C16" s="111">
        <f>IF(MAESTRO!D16="","",IFERROR('Planilla (Ingles 8°)'!F27,""))</f>
        <v/>
      </c>
      <c r="D16" s="111">
        <f>IF(MAESTRO!D16="","",IFERROR('Planilla (Ingles 8°)'!G27,""))</f>
        <v/>
      </c>
      <c r="E16" s="111">
        <f>IF(MAESTRO!D16="","",IFERROR('Planilla (Ingles 8°)'!H27,""))</f>
        <v/>
      </c>
      <c r="F16" s="112">
        <f>IF(MAESTRO!D16="","",IFERROR('Planilla (Ingles 8°)'!I27,""))</f>
        <v/>
      </c>
      <c r="G16" s="111">
        <f>IF(MAESTRO!D16="","",IFERROR('Planilla (Agropecuaria 8°) '!F27,""))</f>
        <v/>
      </c>
      <c r="H16" s="111">
        <f>IF(MAESTRO!D16="","",IFERROR('Planilla (Agropecuaria 8°) '!G27,""))</f>
        <v/>
      </c>
      <c r="I16" s="111">
        <f>IF(MAESTRO!D16="","",IFERROR('Planilla (Agropecuaria 8°) '!H27,""))</f>
        <v/>
      </c>
      <c r="J16" s="112">
        <f>IF(MAESTRO!D16="","",IFERROR('Planilla (Agropecuaria 8°) '!I27,""))</f>
        <v/>
      </c>
      <c r="K16" s="111">
        <f>IF(MAESTRO!D16="","",IFERROR('Planilla (Comercio 8°)'!F27,""))</f>
        <v/>
      </c>
      <c r="L16" s="111">
        <f>IF(MAESTRO!D16="","",IFERROR('Planilla (Comercio 8°)'!G27,""))</f>
        <v/>
      </c>
      <c r="M16" s="111">
        <f>IF(MAESTRO!D16="","",IFERROR('Planilla (Comercio 8°)'!H27,""))</f>
        <v/>
      </c>
      <c r="N16" s="112">
        <f>IF(MAESTRO!D16="","",IFERROR('Planilla (Comercio 8°)'!I27,""))</f>
        <v/>
      </c>
      <c r="O16" s="110">
        <f>IF(MAESTRO!D16="","",IFERROR(AVERAGE(G16,K16),""))</f>
        <v/>
      </c>
      <c r="P16" s="110">
        <f>IF(MAESTRO!D16="","",IFERROR(AVERAGE(H16,L16),""))</f>
        <v/>
      </c>
      <c r="Q16" s="110">
        <f>IF(MAESTRO!D16="","",IFERROR(AVERAGE(I16,M16),""))</f>
        <v/>
      </c>
      <c r="R16" s="110">
        <f>IF(MAESTRO!D16="","",IFERROR(TRUNC(AVERAGE(O16,P16,Q16),1),""))</f>
        <v/>
      </c>
      <c r="S16" s="112">
        <f>IF(MAESTRO!D16="","",IF(AND(F16="",J16="",N16="",R16=""),"",IF(Y(OR(F16="",F16&gt;=3),OR(J16="",J16&gt;=3),OR(N16="",N16&gt;=3),OR(R16="",R16&gt;=3)),"✓ APROBADO","✗ REPROBADO")))</f>
        <v/>
      </c>
    </row>
    <row r="17" ht="16.05" customHeight="1" s="176">
      <c r="A17" s="104" t="n">
        <v>13</v>
      </c>
      <c r="B17" s="105">
        <f>IF(MAESTRO!D17="","",MAESTRO!D17)</f>
        <v/>
      </c>
      <c r="C17" s="108">
        <f>IF(MAESTRO!D17="","",IFERROR('Planilla (Ingles 8°)'!F28,""))</f>
        <v/>
      </c>
      <c r="D17" s="108">
        <f>IF(MAESTRO!D17="","",IFERROR('Planilla (Ingles 8°)'!G28,""))</f>
        <v/>
      </c>
      <c r="E17" s="108">
        <f>IF(MAESTRO!D17="","",IFERROR('Planilla (Ingles 8°)'!H28,""))</f>
        <v/>
      </c>
      <c r="F17" s="109">
        <f>IF(MAESTRO!D17="","",IFERROR('Planilla (Ingles 8°)'!I28,""))</f>
        <v/>
      </c>
      <c r="G17" s="108">
        <f>IF(MAESTRO!D17="","",IFERROR('Planilla (Agropecuaria 8°) '!F28,""))</f>
        <v/>
      </c>
      <c r="H17" s="108">
        <f>IF(MAESTRO!D17="","",IFERROR('Planilla (Agropecuaria 8°) '!G28,""))</f>
        <v/>
      </c>
      <c r="I17" s="108">
        <f>IF(MAESTRO!D17="","",IFERROR('Planilla (Agropecuaria 8°) '!H28,""))</f>
        <v/>
      </c>
      <c r="J17" s="109">
        <f>IF(MAESTRO!D17="","",IFERROR('Planilla (Agropecuaria 8°) '!I28,""))</f>
        <v/>
      </c>
      <c r="K17" s="108">
        <f>IF(MAESTRO!D17="","",IFERROR('Planilla (Comercio 8°)'!F28,""))</f>
        <v/>
      </c>
      <c r="L17" s="108">
        <f>IF(MAESTRO!D17="","",IFERROR('Planilla (Comercio 8°)'!G28,""))</f>
        <v/>
      </c>
      <c r="M17" s="108">
        <f>IF(MAESTRO!D17="","",IFERROR('Planilla (Comercio 8°)'!H28,""))</f>
        <v/>
      </c>
      <c r="N17" s="109">
        <f>IF(MAESTRO!D17="","",IFERROR('Planilla (Comercio 8°)'!I28,""))</f>
        <v/>
      </c>
      <c r="O17" s="110">
        <f>IF(MAESTRO!D17="","",IFERROR(AVERAGE(G17,K17),""))</f>
        <v/>
      </c>
      <c r="P17" s="110">
        <f>IF(MAESTRO!D17="","",IFERROR(AVERAGE(H17,L17),""))</f>
        <v/>
      </c>
      <c r="Q17" s="110">
        <f>IF(MAESTRO!D17="","",IFERROR(AVERAGE(I17,M17),""))</f>
        <v/>
      </c>
      <c r="R17" s="110">
        <f>IF(MAESTRO!D17="","",IFERROR(TRUNC(AVERAGE(O17,P17,Q17),1),""))</f>
        <v/>
      </c>
      <c r="S17" s="109">
        <f>IF(MAESTRO!D17="","",IF(AND(F17="",J17="",N17="",R17=""),"",IF(Y(OR(F17="",F17&gt;=3),OR(J17="",J17&gt;=3),OR(N17="",N17&gt;=3),OR(R17="",R17&gt;=3)),"✓ APROBADO","✗ REPROBADO")))</f>
        <v/>
      </c>
    </row>
    <row r="18" ht="16.05" customHeight="1" s="176">
      <c r="A18" s="102" t="n">
        <v>14</v>
      </c>
      <c r="B18" s="103">
        <f>IF(MAESTRO!D18="","",MAESTRO!D18)</f>
        <v/>
      </c>
      <c r="C18" s="111">
        <f>IF(MAESTRO!D18="","",IFERROR('Planilla (Ingles 8°)'!F29,""))</f>
        <v/>
      </c>
      <c r="D18" s="111">
        <f>IF(MAESTRO!D18="","",IFERROR('Planilla (Ingles 8°)'!G29,""))</f>
        <v/>
      </c>
      <c r="E18" s="111">
        <f>IF(MAESTRO!D18="","",IFERROR('Planilla (Ingles 8°)'!H29,""))</f>
        <v/>
      </c>
      <c r="F18" s="112">
        <f>IF(MAESTRO!D18="","",IFERROR('Planilla (Ingles 8°)'!I29,""))</f>
        <v/>
      </c>
      <c r="G18" s="111">
        <f>IF(MAESTRO!D18="","",IFERROR('Planilla (Agropecuaria 8°) '!F29,""))</f>
        <v/>
      </c>
      <c r="H18" s="111">
        <f>IF(MAESTRO!D18="","",IFERROR('Planilla (Agropecuaria 8°) '!G29,""))</f>
        <v/>
      </c>
      <c r="I18" s="111">
        <f>IF(MAESTRO!D18="","",IFERROR('Planilla (Agropecuaria 8°) '!H29,""))</f>
        <v/>
      </c>
      <c r="J18" s="112">
        <f>IF(MAESTRO!D18="","",IFERROR('Planilla (Agropecuaria 8°) '!I29,""))</f>
        <v/>
      </c>
      <c r="K18" s="111">
        <f>IF(MAESTRO!D18="","",IFERROR('Planilla (Comercio 8°)'!F29,""))</f>
        <v/>
      </c>
      <c r="L18" s="111">
        <f>IF(MAESTRO!D18="","",IFERROR('Planilla (Comercio 8°)'!G29,""))</f>
        <v/>
      </c>
      <c r="M18" s="111">
        <f>IF(MAESTRO!D18="","",IFERROR('Planilla (Comercio 8°)'!H29,""))</f>
        <v/>
      </c>
      <c r="N18" s="112">
        <f>IF(MAESTRO!D18="","",IFERROR('Planilla (Comercio 8°)'!I29,""))</f>
        <v/>
      </c>
      <c r="O18" s="110">
        <f>IF(MAESTRO!D18="","",IFERROR(AVERAGE(G18,K18),""))</f>
        <v/>
      </c>
      <c r="P18" s="110">
        <f>IF(MAESTRO!D18="","",IFERROR(AVERAGE(H18,L18),""))</f>
        <v/>
      </c>
      <c r="Q18" s="110">
        <f>IF(MAESTRO!D18="","",IFERROR(AVERAGE(I18,M18),""))</f>
        <v/>
      </c>
      <c r="R18" s="110">
        <f>IF(MAESTRO!D18="","",IFERROR(TRUNC(AVERAGE(O18,P18,Q18),1),""))</f>
        <v/>
      </c>
      <c r="S18" s="112">
        <f>IF(MAESTRO!D18="","",IF(AND(F18="",J18="",N18="",R18=""),"",IF(Y(OR(F18="",F18&gt;=3),OR(J18="",J18&gt;=3),OR(N18="",N18&gt;=3),OR(R18="",R18&gt;=3)),"✓ APROBADO","✗ REPROBADO")))</f>
        <v/>
      </c>
    </row>
    <row r="19" ht="16.05" customHeight="1" s="176">
      <c r="A19" s="104" t="n">
        <v>15</v>
      </c>
      <c r="B19" s="105">
        <f>IF(MAESTRO!D19="","",MAESTRO!D19)</f>
        <v/>
      </c>
      <c r="C19" s="108">
        <f>IF(MAESTRO!D19="","",IFERROR('Planilla (Ingles 8°)'!F30,""))</f>
        <v/>
      </c>
      <c r="D19" s="108">
        <f>IF(MAESTRO!D19="","",IFERROR('Planilla (Ingles 8°)'!G30,""))</f>
        <v/>
      </c>
      <c r="E19" s="108">
        <f>IF(MAESTRO!D19="","",IFERROR('Planilla (Ingles 8°)'!H30,""))</f>
        <v/>
      </c>
      <c r="F19" s="109">
        <f>IF(MAESTRO!D19="","",IFERROR('Planilla (Ingles 8°)'!I30,""))</f>
        <v/>
      </c>
      <c r="G19" s="108">
        <f>IF(MAESTRO!D19="","",IFERROR('Planilla (Agropecuaria 8°) '!F30,""))</f>
        <v/>
      </c>
      <c r="H19" s="108">
        <f>IF(MAESTRO!D19="","",IFERROR('Planilla (Agropecuaria 8°) '!G30,""))</f>
        <v/>
      </c>
      <c r="I19" s="108">
        <f>IF(MAESTRO!D19="","",IFERROR('Planilla (Agropecuaria 8°) '!H30,""))</f>
        <v/>
      </c>
      <c r="J19" s="109">
        <f>IF(MAESTRO!D19="","",IFERROR('Planilla (Agropecuaria 8°) '!I30,""))</f>
        <v/>
      </c>
      <c r="K19" s="108">
        <f>IF(MAESTRO!D19="","",IFERROR('Planilla (Comercio 8°)'!F30,""))</f>
        <v/>
      </c>
      <c r="L19" s="108">
        <f>IF(MAESTRO!D19="","",IFERROR('Planilla (Comercio 8°)'!G30,""))</f>
        <v/>
      </c>
      <c r="M19" s="108">
        <f>IF(MAESTRO!D19="","",IFERROR('Planilla (Comercio 8°)'!H30,""))</f>
        <v/>
      </c>
      <c r="N19" s="109">
        <f>IF(MAESTRO!D19="","",IFERROR('Planilla (Comercio 8°)'!I30,""))</f>
        <v/>
      </c>
      <c r="O19" s="110">
        <f>IF(MAESTRO!D20="","",IFERROR(AVERAGE(G19,K19),""))</f>
        <v/>
      </c>
      <c r="P19" s="110">
        <f>IF(MAESTRO!D20="","",IFERROR(AVERAGE(H19,L19),""))</f>
        <v/>
      </c>
      <c r="Q19" s="110">
        <f>IF(MAESTRO!D20="","",IFERROR(AVERAGE(I19,M19),""))</f>
        <v/>
      </c>
      <c r="R19" s="110">
        <f>IF(MAESTRO!D20="","",IFERROR(TRUNC(AVERAGE(O19,P19,Q19),1),""))</f>
        <v/>
      </c>
      <c r="S19" s="109">
        <f>IF(MAESTRO!D20="","",IF(AND(F19="",J19="",N19="",R19=""),"",IF(Y(OR(F19="",F19&gt;=3),OR(J19="",J19&gt;=3),OR(N19="",N19&gt;=3),OR(R19="",R19&gt;=3)),"✓ APROBADO","✗ REPROBADO")))</f>
        <v/>
      </c>
    </row>
    <row r="20" ht="16.05" customHeight="1" s="176">
      <c r="A20" s="102" t="n">
        <v>16</v>
      </c>
      <c r="B20" s="103">
        <f>IF(MAESTRO!D20="","",MAESTRO!D20)</f>
        <v/>
      </c>
      <c r="C20" s="111">
        <f>IF(MAESTRO!D20="","",IFERROR('Planilla (Ingles 8°)'!F31,""))</f>
        <v/>
      </c>
      <c r="D20" s="111">
        <f>IF(MAESTRO!D20="","",IFERROR('Planilla (Ingles 8°)'!G31,""))</f>
        <v/>
      </c>
      <c r="E20" s="111">
        <f>IF(MAESTRO!D20="","",IFERROR('Planilla (Ingles 8°)'!H31,""))</f>
        <v/>
      </c>
      <c r="F20" s="112">
        <f>IF(MAESTRO!D20="","",IFERROR('Planilla (Ingles 8°)'!I31,""))</f>
        <v/>
      </c>
      <c r="G20" s="111">
        <f>IF(MAESTRO!D20="","",IFERROR('Planilla (Agropecuaria 8°) '!F31,""))</f>
        <v/>
      </c>
      <c r="H20" s="111">
        <f>IF(MAESTRO!D20="","",IFERROR('Planilla (Agropecuaria 8°) '!G31,""))</f>
        <v/>
      </c>
      <c r="I20" s="111">
        <f>IF(MAESTRO!D20="","",IFERROR('Planilla (Agropecuaria 8°) '!H31,""))</f>
        <v/>
      </c>
      <c r="J20" s="112">
        <f>IF(MAESTRO!D20="","",IFERROR('Planilla (Agropecuaria 8°) '!I31,""))</f>
        <v/>
      </c>
      <c r="K20" s="111">
        <f>IF(MAESTRO!D20="","",IFERROR('Planilla (Comercio 8°)'!F31,""))</f>
        <v/>
      </c>
      <c r="L20" s="111">
        <f>IF(MAESTRO!D20="","",IFERROR('Planilla (Comercio 8°)'!G31,""))</f>
        <v/>
      </c>
      <c r="M20" s="111">
        <f>IF(MAESTRO!D20="","",IFERROR('Planilla (Comercio 8°)'!H31,""))</f>
        <v/>
      </c>
      <c r="N20" s="112">
        <f>IF(MAESTRO!D20="","",IFERROR('Planilla (Comercio 8°)'!I31,""))</f>
        <v/>
      </c>
      <c r="O20" s="110">
        <f>IF(MAESTRO!D21="","",IFERROR(AVERAGE(G20,K20),""))</f>
        <v/>
      </c>
      <c r="P20" s="110">
        <f>IF(MAESTRO!D21="","",IFERROR(AVERAGE(H20,L20),""))</f>
        <v/>
      </c>
      <c r="Q20" s="110">
        <f>IF(MAESTRO!D21="","",IFERROR(AVERAGE(I20,M20),""))</f>
        <v/>
      </c>
      <c r="R20" s="110">
        <f>IF(MAESTRO!D21="","",IFERROR(TRUNC(AVERAGE(O20,P20,Q20),1),""))</f>
        <v/>
      </c>
      <c r="S20" s="112">
        <f>IF(MAESTRO!D21="","",IF(AND(F20="",J20="",N20="",R20=""),"",IF(Y(OR(F20="",F20&gt;=3),OR(J20="",J20&gt;=3),OR(N20="",N20&gt;=3),OR(R20="",R20&gt;=3)),"✓ APROBADO","✗ REPROBADO")))</f>
        <v/>
      </c>
    </row>
    <row r="21" ht="16.05" customHeight="1" s="176">
      <c r="A21" s="104" t="n">
        <v>17</v>
      </c>
      <c r="B21" s="105">
        <f>IF(MAESTRO!D21="","",MAESTRO!D21)</f>
        <v/>
      </c>
      <c r="C21" s="108">
        <f>IF(MAESTRO!D21="","",IFERROR('Planilla (Ingles 8°)'!F32,""))</f>
        <v/>
      </c>
      <c r="D21" s="108">
        <f>IF(MAESTRO!D21="","",IFERROR('Planilla (Ingles 8°)'!G32,""))</f>
        <v/>
      </c>
      <c r="E21" s="108">
        <f>IF(MAESTRO!D21="","",IFERROR('Planilla (Ingles 8°)'!H32,""))</f>
        <v/>
      </c>
      <c r="F21" s="109">
        <f>IF(MAESTRO!D21="","",IFERROR('Planilla (Ingles 8°)'!I32,""))</f>
        <v/>
      </c>
      <c r="G21" s="108">
        <f>IF(MAESTRO!D21="","",IFERROR('Planilla (Agropecuaria 8°) '!F32,""))</f>
        <v/>
      </c>
      <c r="H21" s="108">
        <f>IF(MAESTRO!D21="","",IFERROR('Planilla (Agropecuaria 8°) '!G32,""))</f>
        <v/>
      </c>
      <c r="I21" s="108">
        <f>IF(MAESTRO!D21="","",IFERROR('Planilla (Agropecuaria 8°) '!H32,""))</f>
        <v/>
      </c>
      <c r="J21" s="109">
        <f>IF(MAESTRO!D21="","",IFERROR('Planilla (Agropecuaria 8°) '!I32,""))</f>
        <v/>
      </c>
      <c r="K21" s="108">
        <f>IF(MAESTRO!D21="","",IFERROR('Planilla (Comercio 8°)'!F32,""))</f>
        <v/>
      </c>
      <c r="L21" s="108">
        <f>IF(MAESTRO!D21="","",IFERROR('Planilla (Comercio 8°)'!G32,""))</f>
        <v/>
      </c>
      <c r="M21" s="108">
        <f>IF(MAESTRO!D21="","",IFERROR('Planilla (Comercio 8°)'!H32,""))</f>
        <v/>
      </c>
      <c r="N21" s="109">
        <f>IF(MAESTRO!D21="","",IFERROR('Planilla (Comercio 8°)'!I32,""))</f>
        <v/>
      </c>
      <c r="O21" s="110">
        <f>IF(MAESTRO!D22="","",IFERROR(AVERAGE(G21,K21),""))</f>
        <v/>
      </c>
      <c r="P21" s="110">
        <f>IF(MAESTRO!D22="","",IFERROR(AVERAGE(H21,L21),""))</f>
        <v/>
      </c>
      <c r="Q21" s="110">
        <f>IF(MAESTRO!D22="","",IFERROR(AVERAGE(I21,M21),""))</f>
        <v/>
      </c>
      <c r="R21" s="110">
        <f>IF(MAESTRO!D22="","",IFERROR(TRUNC(AVERAGE(O21,P21,Q21),1),""))</f>
        <v/>
      </c>
      <c r="S21" s="109">
        <f>IF(MAESTRO!D22="","",IF(AND(F21="",J21="",N21="",R21=""),"",IF(Y(OR(F21="",F21&gt;=3),OR(J21="",J21&gt;=3),OR(N21="",N21&gt;=3),OR(R21="",R21&gt;=3)),"✓ APROBADO","✗ REPROBADO")))</f>
        <v/>
      </c>
    </row>
    <row r="22" ht="16.05" customHeight="1" s="176">
      <c r="A22" s="102" t="n">
        <v>18</v>
      </c>
      <c r="B22" s="103">
        <f>IF(MAESTRO!D22="","",MAESTRO!D22)</f>
        <v/>
      </c>
      <c r="C22" s="111">
        <f>IF(MAESTRO!D22="","",IFERROR('Planilla (Ingles 8°)'!F33,""))</f>
        <v/>
      </c>
      <c r="D22" s="111">
        <f>IF(MAESTRO!D22="","",IFERROR('Planilla (Ingles 8°)'!G33,""))</f>
        <v/>
      </c>
      <c r="E22" s="111">
        <f>IF(MAESTRO!D22="","",IFERROR('Planilla (Ingles 8°)'!H33,""))</f>
        <v/>
      </c>
      <c r="F22" s="112">
        <f>IF(MAESTRO!D22="","",IFERROR('Planilla (Ingles 8°)'!I33,""))</f>
        <v/>
      </c>
      <c r="G22" s="111">
        <f>IF(MAESTRO!D22="","",IFERROR('Planilla (Agropecuaria 8°) '!F33,""))</f>
        <v/>
      </c>
      <c r="H22" s="111">
        <f>IF(MAESTRO!D22="","",IFERROR('Planilla (Agropecuaria 8°) '!G33,""))</f>
        <v/>
      </c>
      <c r="I22" s="111">
        <f>IF(MAESTRO!D22="","",IFERROR('Planilla (Agropecuaria 8°) '!H33,""))</f>
        <v/>
      </c>
      <c r="J22" s="112">
        <f>IF(MAESTRO!D22="","",IFERROR('Planilla (Agropecuaria 8°) '!I33,""))</f>
        <v/>
      </c>
      <c r="K22" s="111">
        <f>IF(MAESTRO!D22="","",IFERROR('Planilla (Comercio 8°)'!F33,""))</f>
        <v/>
      </c>
      <c r="L22" s="111">
        <f>IF(MAESTRO!D22="","",IFERROR('Planilla (Comercio 8°)'!G33,""))</f>
        <v/>
      </c>
      <c r="M22" s="111">
        <f>IF(MAESTRO!D22="","",IFERROR('Planilla (Comercio 8°)'!H33,""))</f>
        <v/>
      </c>
      <c r="N22" s="112">
        <f>IF(MAESTRO!D22="","",IFERROR('Planilla (Comercio 8°)'!I33,""))</f>
        <v/>
      </c>
      <c r="O22" s="110">
        <f>IF(MAESTRO!D23="","",IFERROR(AVERAGE(G22,K22),""))</f>
        <v/>
      </c>
      <c r="P22" s="110">
        <f>IF(MAESTRO!D23="","",IFERROR(AVERAGE(H22,L22),""))</f>
        <v/>
      </c>
      <c r="Q22" s="110">
        <f>IF(MAESTRO!D23="","",IFERROR(AVERAGE(I22,M22),""))</f>
        <v/>
      </c>
      <c r="R22" s="110">
        <f>IF(MAESTRO!D23="","",IFERROR(TRUNC(AVERAGE(O22,P22,Q22),1),""))</f>
        <v/>
      </c>
      <c r="S22" s="112">
        <f>IF(MAESTRO!D23="","",IF(AND(F22="",J22="",N22="",R22=""),"",IF(Y(OR(F22="",F22&gt;=3),OR(J22="",J22&gt;=3),OR(N22="",N22&gt;=3),OR(R22="",R22&gt;=3)),"✓ APROBADO","✗ REPROBADO")))</f>
        <v/>
      </c>
    </row>
    <row r="23" ht="16.05" customHeight="1" s="176">
      <c r="A23" s="104" t="n">
        <v>19</v>
      </c>
      <c r="B23" s="105">
        <f>IF(MAESTRO!D23="","",MAESTRO!D23)</f>
        <v/>
      </c>
      <c r="C23" s="108">
        <f>IF(MAESTRO!D23="","",IFERROR('Planilla (Ingles 8°)'!F34,""))</f>
        <v/>
      </c>
      <c r="D23" s="108">
        <f>IF(MAESTRO!D23="","",IFERROR('Planilla (Ingles 8°)'!G34,""))</f>
        <v/>
      </c>
      <c r="E23" s="108">
        <f>IF(MAESTRO!D23="","",IFERROR('Planilla (Ingles 8°)'!H34,""))</f>
        <v/>
      </c>
      <c r="F23" s="109">
        <f>IF(MAESTRO!D23="","",IFERROR('Planilla (Ingles 8°)'!I34,""))</f>
        <v/>
      </c>
      <c r="G23" s="108">
        <f>IF(MAESTRO!D23="","",IFERROR('Planilla (Agropecuaria 8°) '!F34,""))</f>
        <v/>
      </c>
      <c r="H23" s="108">
        <f>IF(MAESTRO!D23="","",IFERROR('Planilla (Agropecuaria 8°) '!G34,""))</f>
        <v/>
      </c>
      <c r="I23" s="108">
        <f>IF(MAESTRO!D23="","",IFERROR('Planilla (Agropecuaria 8°) '!H34,""))</f>
        <v/>
      </c>
      <c r="J23" s="109">
        <f>IF(MAESTRO!D23="","",IFERROR('Planilla (Agropecuaria 8°) '!I34,""))</f>
        <v/>
      </c>
      <c r="K23" s="108">
        <f>IF(MAESTRO!D23="","",IFERROR('Planilla (Comercio 8°)'!F34,""))</f>
        <v/>
      </c>
      <c r="L23" s="108">
        <f>IF(MAESTRO!D23="","",IFERROR('Planilla (Comercio 8°)'!G34,""))</f>
        <v/>
      </c>
      <c r="M23" s="108">
        <f>IF(MAESTRO!D23="","",IFERROR('Planilla (Comercio 8°)'!H34,""))</f>
        <v/>
      </c>
      <c r="N23" s="109">
        <f>IF(MAESTRO!D23="","",IFERROR('Planilla (Comercio 8°)'!I34,""))</f>
        <v/>
      </c>
      <c r="O23" s="110">
        <f>IF(MAESTRO!D24="","",IFERROR(AVERAGE(G23,K23),""))</f>
        <v/>
      </c>
      <c r="P23" s="110">
        <f>IF(MAESTRO!D24="","",IFERROR(AVERAGE(H23,L23),""))</f>
        <v/>
      </c>
      <c r="Q23" s="110">
        <f>IF(MAESTRO!D24="","",IFERROR(AVERAGE(I23,M23),""))</f>
        <v/>
      </c>
      <c r="R23" s="110">
        <f>IF(MAESTRO!D24="","",IFERROR(TRUNC(AVERAGE(O23,P23,Q23),1),""))</f>
        <v/>
      </c>
      <c r="S23" s="109">
        <f>IF(MAESTRO!D24="","",IF(AND(F23="",J23="",N23="",R23=""),"",IF(Y(OR(F23="",F23&gt;=3),OR(J23="",J23&gt;=3),OR(N23="",N23&gt;=3),OR(R23="",R23&gt;=3)),"✓ APROBADO","✗ REPROBADO")))</f>
        <v/>
      </c>
    </row>
    <row r="24" ht="16.05" customHeight="1" s="176">
      <c r="A24" s="102" t="n">
        <v>20</v>
      </c>
      <c r="B24" s="103">
        <f>IF(MAESTRO!D24="","",MAESTRO!D24)</f>
        <v/>
      </c>
      <c r="C24" s="111">
        <f>IF(MAESTRO!D24="","",IFERROR('Planilla (Ingles 8°)'!F35,""))</f>
        <v/>
      </c>
      <c r="D24" s="111">
        <f>IF(MAESTRO!D24="","",IFERROR('Planilla (Ingles 8°)'!G35,""))</f>
        <v/>
      </c>
      <c r="E24" s="111">
        <f>IF(MAESTRO!D24="","",IFERROR('Planilla (Ingles 8°)'!H35,""))</f>
        <v/>
      </c>
      <c r="F24" s="112">
        <f>IF(MAESTRO!D24="","",IFERROR('Planilla (Ingles 8°)'!I35,""))</f>
        <v/>
      </c>
      <c r="G24" s="111">
        <f>IF(MAESTRO!D24="","",IFERROR('Planilla (Agropecuaria 8°) '!F35,""))</f>
        <v/>
      </c>
      <c r="H24" s="111">
        <f>IF(MAESTRO!D24="","",IFERROR('Planilla (Agropecuaria 8°) '!G35,""))</f>
        <v/>
      </c>
      <c r="I24" s="111">
        <f>IF(MAESTRO!D24="","",IFERROR('Planilla (Agropecuaria 8°) '!H35,""))</f>
        <v/>
      </c>
      <c r="J24" s="112">
        <f>IF(MAESTRO!D24="","",IFERROR('Planilla (Agropecuaria 8°) '!I35,""))</f>
        <v/>
      </c>
      <c r="K24" s="111">
        <f>IF(MAESTRO!D24="","",IFERROR('Planilla (Comercio 8°)'!F35,""))</f>
        <v/>
      </c>
      <c r="L24" s="111">
        <f>IF(MAESTRO!D24="","",IFERROR('Planilla (Comercio 8°)'!G35,""))</f>
        <v/>
      </c>
      <c r="M24" s="111">
        <f>IF(MAESTRO!D24="","",IFERROR('Planilla (Comercio 8°)'!H35,""))</f>
        <v/>
      </c>
      <c r="N24" s="112">
        <f>IF(MAESTRO!D24="","",IFERROR('Planilla (Comercio 8°)'!I35,""))</f>
        <v/>
      </c>
      <c r="O24" s="110">
        <f>IF(MAESTRO!D25="","",IFERROR(AVERAGE(G24,K24),""))</f>
        <v/>
      </c>
      <c r="P24" s="110">
        <f>IF(MAESTRO!D25="","",IFERROR(AVERAGE(H24,L24),""))</f>
        <v/>
      </c>
      <c r="Q24" s="110">
        <f>IF(MAESTRO!D25="","",IFERROR(AVERAGE(I24,M24),""))</f>
        <v/>
      </c>
      <c r="R24" s="110">
        <f>IF(MAESTRO!D25="","",IFERROR(TRUNC(AVERAGE(O24,P24,Q24),1),""))</f>
        <v/>
      </c>
      <c r="S24" s="112">
        <f>IF(MAESTRO!D25="","",IF(AND(F24="",J24="",N24="",R24=""),"",IF(Y(OR(F24="",F24&gt;=3),OR(J24="",J24&gt;=3),OR(N24="",N24&gt;=3),OR(R24="",R24&gt;=3)),"✓ APROBADO","✗ REPROBADO")))</f>
        <v/>
      </c>
    </row>
    <row r="25" ht="16.05" customHeight="1" s="176">
      <c r="A25" s="104" t="n">
        <v>21</v>
      </c>
      <c r="B25" s="105">
        <f>IF(MAESTRO!D25="","",MAESTRO!D25)</f>
        <v/>
      </c>
      <c r="C25" s="108">
        <f>IF(MAESTRO!D25="","",IFERROR('Planilla (Ingles 8°)'!F36,""))</f>
        <v/>
      </c>
      <c r="D25" s="108">
        <f>IF(MAESTRO!D25="","",IFERROR('Planilla (Ingles 8°)'!G36,""))</f>
        <v/>
      </c>
      <c r="E25" s="108">
        <f>IF(MAESTRO!D25="","",IFERROR('Planilla (Ingles 8°)'!H36,""))</f>
        <v/>
      </c>
      <c r="F25" s="109">
        <f>IF(MAESTRO!D25="","",IFERROR('Planilla (Ingles 8°)'!I36,""))</f>
        <v/>
      </c>
      <c r="G25" s="108">
        <f>IF(MAESTRO!D25="","",IFERROR('Planilla (Agropecuaria 8°) '!F36,""))</f>
        <v/>
      </c>
      <c r="H25" s="108">
        <f>IF(MAESTRO!D25="","",IFERROR('Planilla (Agropecuaria 8°) '!G36,""))</f>
        <v/>
      </c>
      <c r="I25" s="108">
        <f>IF(MAESTRO!D25="","",IFERROR('Planilla (Agropecuaria 8°) '!H36,""))</f>
        <v/>
      </c>
      <c r="J25" s="109">
        <f>IF(MAESTRO!D25="","",IFERROR('Planilla (Agropecuaria 8°) '!I36,""))</f>
        <v/>
      </c>
      <c r="K25" s="108">
        <f>IF(MAESTRO!D25="","",IFERROR('Planilla (Comercio 8°)'!F36,""))</f>
        <v/>
      </c>
      <c r="L25" s="108">
        <f>IF(MAESTRO!D25="","",IFERROR('Planilla (Comercio 8°)'!G36,""))</f>
        <v/>
      </c>
      <c r="M25" s="108">
        <f>IF(MAESTRO!D25="","",IFERROR('Planilla (Comercio 8°)'!H36,""))</f>
        <v/>
      </c>
      <c r="N25" s="109">
        <f>IF(MAESTRO!D25="","",IFERROR('Planilla (Comercio 8°)'!I36,""))</f>
        <v/>
      </c>
      <c r="O25" s="110">
        <f>IF(MAESTRO!D26="","",IFERROR(AVERAGE(G25,K25),""))</f>
        <v/>
      </c>
      <c r="P25" s="110">
        <f>IF(MAESTRO!D26="","",IFERROR(AVERAGE(H25,L25),""))</f>
        <v/>
      </c>
      <c r="Q25" s="110">
        <f>IF(MAESTRO!D26="","",IFERROR(AVERAGE(I25,M25),""))</f>
        <v/>
      </c>
      <c r="R25" s="110">
        <f>IF(MAESTRO!D26="","",IFERROR(TRUNC(AVERAGE(O25,P25,Q25),1),""))</f>
        <v/>
      </c>
      <c r="S25" s="109">
        <f>IF(MAESTRO!D26="","",IF(AND(F25="",J25="",N25="",R25=""),"",IF(Y(OR(F25="",F25&gt;=3),OR(J25="",J25&gt;=3),OR(N25="",N25&gt;=3),OR(R25="",R25&gt;=3)),"✓ APROBADO","✗ REPROBADO")))</f>
        <v/>
      </c>
    </row>
    <row r="26" ht="16.05" customHeight="1" s="176">
      <c r="A26" s="102" t="n">
        <v>22</v>
      </c>
      <c r="B26" s="103">
        <f>IF(MAESTRO!D26="","",MAESTRO!D26)</f>
        <v/>
      </c>
      <c r="C26" s="111">
        <f>IF(MAESTRO!D26="","",IFERROR('Planilla (Ingles 8°)'!F37,""))</f>
        <v/>
      </c>
      <c r="D26" s="111">
        <f>IF(MAESTRO!D26="","",IFERROR('Planilla (Ingles 8°)'!G37,""))</f>
        <v/>
      </c>
      <c r="E26" s="111">
        <f>IF(MAESTRO!D26="","",IFERROR('Planilla (Ingles 8°)'!H37,""))</f>
        <v/>
      </c>
      <c r="F26" s="112">
        <f>IF(MAESTRO!D26="","",IFERROR('Planilla (Ingles 8°)'!I37,""))</f>
        <v/>
      </c>
      <c r="G26" s="111">
        <f>IF(MAESTRO!D26="","",IFERROR('Planilla (Agropecuaria 8°) '!F37,""))</f>
        <v/>
      </c>
      <c r="H26" s="111">
        <f>IF(MAESTRO!D26="","",IFERROR('Planilla (Agropecuaria 8°) '!G37,""))</f>
        <v/>
      </c>
      <c r="I26" s="111">
        <f>IF(MAESTRO!D26="","",IFERROR('Planilla (Agropecuaria 8°) '!H37,""))</f>
        <v/>
      </c>
      <c r="J26" s="112">
        <f>IF(MAESTRO!D26="","",IFERROR('Planilla (Agropecuaria 8°) '!I37,""))</f>
        <v/>
      </c>
      <c r="K26" s="111">
        <f>IF(MAESTRO!D26="","",IFERROR('Planilla (Comercio 8°)'!F37,""))</f>
        <v/>
      </c>
      <c r="L26" s="111">
        <f>IF(MAESTRO!D26="","",IFERROR('Planilla (Comercio 8°)'!G37,""))</f>
        <v/>
      </c>
      <c r="M26" s="111">
        <f>IF(MAESTRO!D26="","",IFERROR('Planilla (Comercio 8°)'!H37,""))</f>
        <v/>
      </c>
      <c r="N26" s="112">
        <f>IF(MAESTRO!D26="","",IFERROR('Planilla (Comercio 8°)'!I37,""))</f>
        <v/>
      </c>
      <c r="O26" s="110">
        <f>IF(MAESTRO!D27="","",IFERROR(AVERAGE(G26,K26),""))</f>
        <v/>
      </c>
      <c r="P26" s="110">
        <f>IF(MAESTRO!D27="","",IFERROR(AVERAGE(H26,L26),""))</f>
        <v/>
      </c>
      <c r="Q26" s="110">
        <f>IF(MAESTRO!D27="","",IFERROR(AVERAGE(I26,M26),""))</f>
        <v/>
      </c>
      <c r="R26" s="110">
        <f>IF(MAESTRO!D27="","",IFERROR(TRUNC(AVERAGE(O26,P26,Q26),1),""))</f>
        <v/>
      </c>
      <c r="S26" s="112">
        <f>IF(MAESTRO!D27="","",IF(AND(F26="",J26="",N26="",R26=""),"",IF(Y(OR(F26="",F26&gt;=3),OR(J26="",J26&gt;=3),OR(N26="",N26&gt;=3),OR(R26="",R26&gt;=3)),"✓ APROBADO","✗ REPROBADO")))</f>
        <v/>
      </c>
    </row>
    <row r="27" ht="16.05" customHeight="1" s="176">
      <c r="A27" s="104" t="n">
        <v>23</v>
      </c>
      <c r="B27" s="105">
        <f>IF(MAESTRO!D27="","",MAESTRO!D27)</f>
        <v/>
      </c>
      <c r="C27" s="108">
        <f>IF(MAESTRO!D27="","",IFERROR('Planilla (Ingles 8°)'!F38,""))</f>
        <v/>
      </c>
      <c r="D27" s="108">
        <f>IF(MAESTRO!D27="","",IFERROR('Planilla (Ingles 8°)'!G38,""))</f>
        <v/>
      </c>
      <c r="E27" s="108">
        <f>IF(MAESTRO!D27="","",IFERROR('Planilla (Ingles 8°)'!H38,""))</f>
        <v/>
      </c>
      <c r="F27" s="109">
        <f>IF(MAESTRO!D27="","",IFERROR('Planilla (Ingles 8°)'!I38,""))</f>
        <v/>
      </c>
      <c r="G27" s="108">
        <f>IF(MAESTRO!D27="","",IFERROR('Planilla (Agropecuaria 8°) '!F38,""))</f>
        <v/>
      </c>
      <c r="H27" s="108">
        <f>IF(MAESTRO!D27="","",IFERROR('Planilla (Agropecuaria 8°) '!G38,""))</f>
        <v/>
      </c>
      <c r="I27" s="108">
        <f>IF(MAESTRO!D27="","",IFERROR('Planilla (Agropecuaria 8°) '!H38,""))</f>
        <v/>
      </c>
      <c r="J27" s="109">
        <f>IF(MAESTRO!D27="","",IFERROR('Planilla (Agropecuaria 8°) '!I38,""))</f>
        <v/>
      </c>
      <c r="K27" s="108">
        <f>IF(MAESTRO!D27="","",IFERROR('Planilla (Comercio 8°)'!F38,""))</f>
        <v/>
      </c>
      <c r="L27" s="108">
        <f>IF(MAESTRO!D27="","",IFERROR('Planilla (Comercio 8°)'!G38,""))</f>
        <v/>
      </c>
      <c r="M27" s="108">
        <f>IF(MAESTRO!D27="","",IFERROR('Planilla (Comercio 8°)'!H38,""))</f>
        <v/>
      </c>
      <c r="N27" s="109">
        <f>IF(MAESTRO!D27="","",IFERROR('Planilla (Comercio 8°)'!I38,""))</f>
        <v/>
      </c>
      <c r="O27" s="110">
        <f>IF(MAESTRO!D28="","",IFERROR(AVERAGE(G27,K27),""))</f>
        <v/>
      </c>
      <c r="P27" s="110">
        <f>IF(MAESTRO!D28="","",IFERROR(AVERAGE(H27,L27),""))</f>
        <v/>
      </c>
      <c r="Q27" s="110">
        <f>IF(MAESTRO!D28="","",IFERROR(AVERAGE(I27,M27),""))</f>
        <v/>
      </c>
      <c r="R27" s="110">
        <f>IF(MAESTRO!D28="","",IFERROR(TRUNC(AVERAGE(O27,P27,Q27),1),""))</f>
        <v/>
      </c>
      <c r="S27" s="109">
        <f>IF(MAESTRO!D28="","",IF(AND(F27="",J27="",N27="",R27=""),"",IF(Y(OR(F27="",F27&gt;=3),OR(J27="",J27&gt;=3),OR(N27="",N27&gt;=3),OR(R27="",R27&gt;=3)),"✓ APROBADO","✗ REPROBADO")))</f>
        <v/>
      </c>
    </row>
    <row r="28" ht="16.05" customHeight="1" s="176">
      <c r="A28" s="102" t="n">
        <v>24</v>
      </c>
      <c r="B28" s="103">
        <f>IF(MAESTRO!D28="","",MAESTRO!D28)</f>
        <v/>
      </c>
      <c r="C28" s="111">
        <f>IF(MAESTRO!D28="","",IFERROR('Planilla (Ingles 8°)'!F39,""))</f>
        <v/>
      </c>
      <c r="D28" s="111">
        <f>IF(MAESTRO!D28="","",IFERROR('Planilla (Ingles 8°)'!G39,""))</f>
        <v/>
      </c>
      <c r="E28" s="111">
        <f>IF(MAESTRO!D28="","",IFERROR('Planilla (Ingles 8°)'!H39,""))</f>
        <v/>
      </c>
      <c r="F28" s="112">
        <f>IF(MAESTRO!D28="","",IFERROR('Planilla (Ingles 8°)'!I39,""))</f>
        <v/>
      </c>
      <c r="G28" s="111">
        <f>IF(MAESTRO!D28="","",IFERROR('Planilla (Agropecuaria 8°) '!F39,""))</f>
        <v/>
      </c>
      <c r="H28" s="111">
        <f>IF(MAESTRO!D28="","",IFERROR('Planilla (Agropecuaria 8°) '!G39,""))</f>
        <v/>
      </c>
      <c r="I28" s="111">
        <f>IF(MAESTRO!D28="","",IFERROR('Planilla (Agropecuaria 8°) '!H39,""))</f>
        <v/>
      </c>
      <c r="J28" s="112">
        <f>IF(MAESTRO!D28="","",IFERROR('Planilla (Agropecuaria 8°) '!I39,""))</f>
        <v/>
      </c>
      <c r="K28" s="111">
        <f>IF(MAESTRO!D28="","",IFERROR('Planilla (Comercio 8°)'!F39,""))</f>
        <v/>
      </c>
      <c r="L28" s="111">
        <f>IF(MAESTRO!D28="","",IFERROR('Planilla (Comercio 8°)'!G39,""))</f>
        <v/>
      </c>
      <c r="M28" s="111">
        <f>IF(MAESTRO!D28="","",IFERROR('Planilla (Comercio 8°)'!H39,""))</f>
        <v/>
      </c>
      <c r="N28" s="112">
        <f>IF(MAESTRO!D28="","",IFERROR('Planilla (Comercio 8°)'!I39,""))</f>
        <v/>
      </c>
      <c r="O28" s="110">
        <f>IF(MAESTRO!D29="","",IFERROR(AVERAGE(G28,K28),""))</f>
        <v/>
      </c>
      <c r="P28" s="110">
        <f>IF(MAESTRO!D29="","",IFERROR(AVERAGE(H28,L28),""))</f>
        <v/>
      </c>
      <c r="Q28" s="110">
        <f>IF(MAESTRO!D29="","",IFERROR(AVERAGE(I28,M28),""))</f>
        <v/>
      </c>
      <c r="R28" s="110">
        <f>IF(MAESTRO!D29="","",IFERROR(TRUNC(AVERAGE(O28,P28,Q28),1),""))</f>
        <v/>
      </c>
      <c r="S28" s="112">
        <f>IF(MAESTRO!D29="","",IF(AND(F28="",J28="",N28="",R28=""),"",IF(Y(OR(F28="",F28&gt;=3),OR(J28="",J28&gt;=3),OR(N28="",N28&gt;=3),OR(R28="",R28&gt;=3)),"✓ APROBADO","✗ REPROBADO")))</f>
        <v/>
      </c>
    </row>
    <row r="29" ht="16.05" customHeight="1" s="176">
      <c r="A29" s="104" t="n">
        <v>25</v>
      </c>
      <c r="B29" s="105">
        <f>IF(MAESTRO!D29="","",MAESTRO!D29)</f>
        <v/>
      </c>
      <c r="C29" s="108">
        <f>IF(MAESTRO!D29="","",IFERROR('Planilla (Ingles 8°)'!F40,""))</f>
        <v/>
      </c>
      <c r="D29" s="108">
        <f>IF(MAESTRO!D29="","",IFERROR('Planilla (Ingles 8°)'!G40,""))</f>
        <v/>
      </c>
      <c r="E29" s="108">
        <f>IF(MAESTRO!D29="","",IFERROR('Planilla (Ingles 8°)'!H40,""))</f>
        <v/>
      </c>
      <c r="F29" s="109">
        <f>IF(MAESTRO!D29="","",IFERROR('Planilla (Ingles 8°)'!I40,""))</f>
        <v/>
      </c>
      <c r="G29" s="108">
        <f>IF(MAESTRO!D29="","",IFERROR('Planilla (Agropecuaria 8°) '!F40,""))</f>
        <v/>
      </c>
      <c r="H29" s="108">
        <f>IF(MAESTRO!D29="","",IFERROR('Planilla (Agropecuaria 8°) '!G40,""))</f>
        <v/>
      </c>
      <c r="I29" s="108">
        <f>IF(MAESTRO!D29="","",IFERROR('Planilla (Agropecuaria 8°) '!H40,""))</f>
        <v/>
      </c>
      <c r="J29" s="109">
        <f>IF(MAESTRO!D29="","",IFERROR('Planilla (Agropecuaria 8°) '!I40,""))</f>
        <v/>
      </c>
      <c r="K29" s="108">
        <f>IF(MAESTRO!D29="","",IFERROR('Planilla (Comercio 8°)'!F40,""))</f>
        <v/>
      </c>
      <c r="L29" s="108">
        <f>IF(MAESTRO!D29="","",IFERROR('Planilla (Comercio 8°)'!G40,""))</f>
        <v/>
      </c>
      <c r="M29" s="108">
        <f>IF(MAESTRO!D29="","",IFERROR('Planilla (Comercio 8°)'!H40,""))</f>
        <v/>
      </c>
      <c r="N29" s="109">
        <f>IF(MAESTRO!D29="","",IFERROR('Planilla (Comercio 8°)'!I40,""))</f>
        <v/>
      </c>
      <c r="O29" s="110">
        <f>IF(MAESTRO!D30="","",IFERROR(AVERAGE(G29,K29),""))</f>
        <v/>
      </c>
      <c r="P29" s="110">
        <f>IF(MAESTRO!D30="","",IFERROR(AVERAGE(H29,L29),""))</f>
        <v/>
      </c>
      <c r="Q29" s="110">
        <f>IF(MAESTRO!D30="","",IFERROR(AVERAGE(I29,M29),""))</f>
        <v/>
      </c>
      <c r="R29" s="110">
        <f>IF(MAESTRO!D30="","",IFERROR(TRUNC(AVERAGE(O29,P29,Q29),1),""))</f>
        <v/>
      </c>
      <c r="S29" s="109">
        <f>IF(MAESTRO!D30="","",IF(AND(F29="",J29="",N29="",R29=""),"",IF(Y(OR(F29="",F29&gt;=3),OR(J29="",J29&gt;=3),OR(N29="",N29&gt;=3),OR(R29="",R29&gt;=3)),"✓ APROBADO","✗ REPROBADO")))</f>
        <v/>
      </c>
    </row>
    <row r="30" ht="16.05" customHeight="1" s="176">
      <c r="A30" s="102" t="n">
        <v>26</v>
      </c>
      <c r="B30" s="103">
        <f>IF(MAESTRO!D30="","",MAESTRO!D30)</f>
        <v/>
      </c>
      <c r="C30" s="111">
        <f>IF(MAESTRO!D30="","",IFERROR('Planilla (Ingles 8°)'!F41,""))</f>
        <v/>
      </c>
      <c r="D30" s="111">
        <f>IF(MAESTRO!D30="","",IFERROR('Planilla (Ingles 8°)'!G41,""))</f>
        <v/>
      </c>
      <c r="E30" s="111">
        <f>IF(MAESTRO!D30="","",IFERROR('Planilla (Ingles 8°)'!H41,""))</f>
        <v/>
      </c>
      <c r="F30" s="112">
        <f>IF(MAESTRO!D30="","",IFERROR('Planilla (Ingles 8°)'!I41,""))</f>
        <v/>
      </c>
      <c r="G30" s="111">
        <f>IF(MAESTRO!D30="","",IFERROR('Planilla (Agropecuaria 8°) '!F41,""))</f>
        <v/>
      </c>
      <c r="H30" s="111">
        <f>IF(MAESTRO!D30="","",IFERROR('Planilla (Agropecuaria 8°) '!G41,""))</f>
        <v/>
      </c>
      <c r="I30" s="111">
        <f>IF(MAESTRO!D30="","",IFERROR('Planilla (Agropecuaria 8°) '!H41,""))</f>
        <v/>
      </c>
      <c r="J30" s="112">
        <f>IF(MAESTRO!D30="","",IFERROR('Planilla (Agropecuaria 8°) '!I41,""))</f>
        <v/>
      </c>
      <c r="K30" s="111">
        <f>IF(MAESTRO!D30="","",IFERROR('Planilla (Comercio 8°)'!F41,""))</f>
        <v/>
      </c>
      <c r="L30" s="111">
        <f>IF(MAESTRO!D30="","",IFERROR('Planilla (Comercio 8°)'!G41,""))</f>
        <v/>
      </c>
      <c r="M30" s="111">
        <f>IF(MAESTRO!D30="","",IFERROR('Planilla (Comercio 8°)'!H41,""))</f>
        <v/>
      </c>
      <c r="N30" s="112">
        <f>IF(MAESTRO!D30="","",IFERROR('Planilla (Comercio 8°)'!I41,""))</f>
        <v/>
      </c>
      <c r="O30" s="110">
        <f>IF(MAESTRO!D31="","",IFERROR(AVERAGE(G30,K30),""))</f>
        <v/>
      </c>
      <c r="P30" s="110">
        <f>IF(MAESTRO!D31="","",IFERROR(AVERAGE(H30,L30),""))</f>
        <v/>
      </c>
      <c r="Q30" s="110">
        <f>IF(MAESTRO!D31="","",IFERROR(AVERAGE(I30,M30),""))</f>
        <v/>
      </c>
      <c r="R30" s="110">
        <f>IF(MAESTRO!D31="","",IFERROR(TRUNC(AVERAGE(O30,P30,Q30),1),""))</f>
        <v/>
      </c>
      <c r="S30" s="112">
        <f>IF(MAESTRO!D31="","",IF(AND(F30="",J30="",N30="",R30=""),"",IF(Y(OR(F30="",F30&gt;=3),OR(J30="",J30&gt;=3),OR(N30="",N30&gt;=3),OR(R30="",R30&gt;=3)),"✓ APROBADO","✗ REPROBADO")))</f>
        <v/>
      </c>
    </row>
    <row r="31" ht="16.05" customHeight="1" s="176">
      <c r="A31" s="104" t="n">
        <v>27</v>
      </c>
      <c r="B31" s="105">
        <f>IF(MAESTRO!D31="","",MAESTRO!D31)</f>
        <v/>
      </c>
      <c r="C31" s="108">
        <f>IF(MAESTRO!D31="","",IFERROR('Planilla (Ingles 8°)'!F42,""))</f>
        <v/>
      </c>
      <c r="D31" s="108">
        <f>IF(MAESTRO!D31="","",IFERROR('Planilla (Ingles 8°)'!G42,""))</f>
        <v/>
      </c>
      <c r="E31" s="108">
        <f>IF(MAESTRO!D31="","",IFERROR('Planilla (Ingles 8°)'!H42,""))</f>
        <v/>
      </c>
      <c r="F31" s="109">
        <f>IF(MAESTRO!D31="","",IFERROR('Planilla (Ingles 8°)'!I42,""))</f>
        <v/>
      </c>
      <c r="G31" s="108">
        <f>IF(MAESTRO!D31="","",IFERROR('Planilla (Agropecuaria 8°) '!F42,""))</f>
        <v/>
      </c>
      <c r="H31" s="108">
        <f>IF(MAESTRO!D31="","",IFERROR('Planilla (Agropecuaria 8°) '!G42,""))</f>
        <v/>
      </c>
      <c r="I31" s="108">
        <f>IF(MAESTRO!D31="","",IFERROR('Planilla (Agropecuaria 8°) '!H42,""))</f>
        <v/>
      </c>
      <c r="J31" s="109">
        <f>IF(MAESTRO!D31="","",IFERROR('Planilla (Agropecuaria 8°) '!I42,""))</f>
        <v/>
      </c>
      <c r="K31" s="108">
        <f>IF(MAESTRO!D31="","",IFERROR('Planilla (Comercio 8°)'!F42,""))</f>
        <v/>
      </c>
      <c r="L31" s="108">
        <f>IF(MAESTRO!D31="","",IFERROR('Planilla (Comercio 8°)'!G42,""))</f>
        <v/>
      </c>
      <c r="M31" s="108">
        <f>IF(MAESTRO!D31="","",IFERROR('Planilla (Comercio 8°)'!H42,""))</f>
        <v/>
      </c>
      <c r="N31" s="109">
        <f>IF(MAESTRO!D31="","",IFERROR('Planilla (Comercio 8°)'!I42,""))</f>
        <v/>
      </c>
      <c r="O31" s="110">
        <f>IF(MAESTRO!D32="","",IFERROR(AVERAGE(G31,K31),""))</f>
        <v/>
      </c>
      <c r="P31" s="110">
        <f>IF(MAESTRO!D32="","",IFERROR(AVERAGE(H31,L31),""))</f>
        <v/>
      </c>
      <c r="Q31" s="110">
        <f>IF(MAESTRO!D32="","",IFERROR(AVERAGE(I31,M31),""))</f>
        <v/>
      </c>
      <c r="R31" s="110">
        <f>IF(MAESTRO!D32="","",IFERROR(TRUNC(AVERAGE(O31,P31,Q31),1),""))</f>
        <v/>
      </c>
      <c r="S31" s="109">
        <f>IF(MAESTRO!D32="","",IF(AND(F31="",J31="",N31="",R31=""),"",IF(Y(OR(F31="",F31&gt;=3),OR(J31="",J31&gt;=3),OR(N31="",N31&gt;=3),OR(R31="",R31&gt;=3)),"✓ APROBADO","✗ REPROBADO")))</f>
        <v/>
      </c>
    </row>
    <row r="32" ht="16.05" customHeight="1" s="176">
      <c r="A32" s="102" t="n">
        <v>28</v>
      </c>
      <c r="B32" s="103">
        <f>IF(MAESTRO!D32="","",MAESTRO!D32)</f>
        <v/>
      </c>
      <c r="C32" s="111">
        <f>IF(MAESTRO!D32="","",IFERROR('Planilla (Ingles 8°)'!F43,""))</f>
        <v/>
      </c>
      <c r="D32" s="111">
        <f>IF(MAESTRO!D32="","",IFERROR('Planilla (Ingles 8°)'!G43,""))</f>
        <v/>
      </c>
      <c r="E32" s="111">
        <f>IF(MAESTRO!D32="","",IFERROR('Planilla (Ingles 8°)'!H43,""))</f>
        <v/>
      </c>
      <c r="F32" s="112">
        <f>IF(MAESTRO!D32="","",IFERROR('Planilla (Ingles 8°)'!I43,""))</f>
        <v/>
      </c>
      <c r="G32" s="111">
        <f>IF(MAESTRO!D32="","",IFERROR('Planilla (Agropecuaria 8°) '!F43,""))</f>
        <v/>
      </c>
      <c r="H32" s="111">
        <f>IF(MAESTRO!D32="","",IFERROR('Planilla (Agropecuaria 8°) '!G43,""))</f>
        <v/>
      </c>
      <c r="I32" s="111">
        <f>IF(MAESTRO!D32="","",IFERROR('Planilla (Agropecuaria 8°) '!H43,""))</f>
        <v/>
      </c>
      <c r="J32" s="112">
        <f>IF(MAESTRO!D32="","",IFERROR('Planilla (Agropecuaria 8°) '!I43,""))</f>
        <v/>
      </c>
      <c r="K32" s="111">
        <f>IF(MAESTRO!D32="","",IFERROR('Planilla (Comercio 8°)'!F43,""))</f>
        <v/>
      </c>
      <c r="L32" s="111">
        <f>IF(MAESTRO!D32="","",IFERROR('Planilla (Comercio 8°)'!G43,""))</f>
        <v/>
      </c>
      <c r="M32" s="111">
        <f>IF(MAESTRO!D32="","",IFERROR('Planilla (Comercio 8°)'!H43,""))</f>
        <v/>
      </c>
      <c r="N32" s="112">
        <f>IF(MAESTRO!D32="","",IFERROR('Planilla (Comercio 8°)'!I43,""))</f>
        <v/>
      </c>
      <c r="O32" s="110">
        <f>IF(MAESTRO!D33="","",IFERROR(AVERAGE(G32,K32),""))</f>
        <v/>
      </c>
      <c r="P32" s="110">
        <f>IF(MAESTRO!D33="","",IFERROR(AVERAGE(H32,L32),""))</f>
        <v/>
      </c>
      <c r="Q32" s="110">
        <f>IF(MAESTRO!D33="","",IFERROR(AVERAGE(I32,M32),""))</f>
        <v/>
      </c>
      <c r="R32" s="110">
        <f>IF(MAESTRO!D33="","",IFERROR(TRUNC(AVERAGE(O32,P32,Q32),1),""))</f>
        <v/>
      </c>
      <c r="S32" s="112">
        <f>IF(MAESTRO!D33="","",IF(AND(F32="",J32="",N32="",R32=""),"",IF(Y(OR(F32="",F32&gt;=3),OR(J32="",J32&gt;=3),OR(N32="",N32&gt;=3),OR(R32="",R32&gt;=3)),"✓ APROBADO","✗ REPROBADO")))</f>
        <v/>
      </c>
    </row>
    <row r="33" ht="16.05" customHeight="1" s="176">
      <c r="A33" s="104" t="n">
        <v>29</v>
      </c>
      <c r="B33" s="105">
        <f>IF(MAESTRO!D33="","",MAESTRO!D33)</f>
        <v/>
      </c>
      <c r="C33" s="108">
        <f>IF(MAESTRO!D33="","",IFERROR('Planilla (Ingles 8°)'!F44,""))</f>
        <v/>
      </c>
      <c r="D33" s="108">
        <f>IF(MAESTRO!D33="","",IFERROR('Planilla (Ingles 8°)'!G44,""))</f>
        <v/>
      </c>
      <c r="E33" s="108">
        <f>IF(MAESTRO!D33="","",IFERROR('Planilla (Ingles 8°)'!H44,""))</f>
        <v/>
      </c>
      <c r="F33" s="109">
        <f>IF(MAESTRO!D33="","",IFERROR('Planilla (Ingles 8°)'!I44,""))</f>
        <v/>
      </c>
      <c r="G33" s="108">
        <f>IF(MAESTRO!D33="","",IFERROR('Planilla (Agropecuaria 8°) '!F44,""))</f>
        <v/>
      </c>
      <c r="H33" s="108">
        <f>IF(MAESTRO!D33="","",IFERROR('Planilla (Agropecuaria 8°) '!G44,""))</f>
        <v/>
      </c>
      <c r="I33" s="108">
        <f>IF(MAESTRO!D33="","",IFERROR('Planilla (Agropecuaria 8°) '!H44,""))</f>
        <v/>
      </c>
      <c r="J33" s="109">
        <f>IF(MAESTRO!D33="","",IFERROR('Planilla (Agropecuaria 8°) '!I44,""))</f>
        <v/>
      </c>
      <c r="K33" s="108">
        <f>IF(MAESTRO!D33="","",IFERROR('Planilla (Comercio 8°)'!F44,""))</f>
        <v/>
      </c>
      <c r="L33" s="108">
        <f>IF(MAESTRO!D33="","",IFERROR('Planilla (Comercio 8°)'!G44,""))</f>
        <v/>
      </c>
      <c r="M33" s="108">
        <f>IF(MAESTRO!D33="","",IFERROR('Planilla (Comercio 8°)'!H44,""))</f>
        <v/>
      </c>
      <c r="N33" s="109">
        <f>IF(MAESTRO!D33="","",IFERROR('Planilla (Comercio 8°)'!I44,""))</f>
        <v/>
      </c>
      <c r="O33" s="110">
        <f>IF(MAESTRO!D34="","",IFERROR(AVERAGE(G33,K33),""))</f>
        <v/>
      </c>
      <c r="P33" s="110">
        <f>IF(MAESTRO!D34="","",IFERROR(AVERAGE(H33,L33),""))</f>
        <v/>
      </c>
      <c r="Q33" s="110">
        <f>IF(MAESTRO!D34="","",IFERROR(AVERAGE(I33,M33),""))</f>
        <v/>
      </c>
      <c r="R33" s="110">
        <f>IF(MAESTRO!D34="","",IFERROR(TRUNC(AVERAGE(O33,P33,Q33),1),""))</f>
        <v/>
      </c>
      <c r="S33" s="109">
        <f>IF(MAESTRO!D34="","",IF(AND(F33="",J33="",N33="",R33=""),"",IF(Y(OR(F33="",F33&gt;=3),OR(J33="",J33&gt;=3),OR(N33="",N33&gt;=3),OR(R33="",R33&gt;=3)),"✓ APROBADO","✗ REPROBADO")))</f>
        <v/>
      </c>
    </row>
    <row r="34" ht="16.05" customHeight="1" s="176">
      <c r="A34" s="102" t="n">
        <v>30</v>
      </c>
      <c r="B34" s="103">
        <f>IF(MAESTRO!D34="","",MAESTRO!D34)</f>
        <v/>
      </c>
      <c r="C34" s="111">
        <f>IF(MAESTRO!D34="","",IFERROR('Planilla (Ingles 8°)'!F45,""))</f>
        <v/>
      </c>
      <c r="D34" s="111">
        <f>IF(MAESTRO!D34="","",IFERROR('Planilla (Ingles 8°)'!G45,""))</f>
        <v/>
      </c>
      <c r="E34" s="111">
        <f>IF(MAESTRO!D34="","",IFERROR('Planilla (Ingles 8°)'!H45,""))</f>
        <v/>
      </c>
      <c r="F34" s="112">
        <f>IF(MAESTRO!D34="","",IFERROR('Planilla (Ingles 8°)'!I45,""))</f>
        <v/>
      </c>
      <c r="G34" s="111">
        <f>IF(MAESTRO!D34="","",IFERROR('Planilla (Agropecuaria 8°) '!F45,""))</f>
        <v/>
      </c>
      <c r="H34" s="111">
        <f>IF(MAESTRO!D34="","",IFERROR('Planilla (Agropecuaria 8°) '!G45,""))</f>
        <v/>
      </c>
      <c r="I34" s="111">
        <f>IF(MAESTRO!D34="","",IFERROR('Planilla (Agropecuaria 8°) '!H45,""))</f>
        <v/>
      </c>
      <c r="J34" s="112">
        <f>IF(MAESTRO!D34="","",IFERROR('Planilla (Agropecuaria 8°) '!I45,""))</f>
        <v/>
      </c>
      <c r="K34" s="111">
        <f>IF(MAESTRO!D34="","",IFERROR('Planilla (Comercio 8°)'!F45,""))</f>
        <v/>
      </c>
      <c r="L34" s="111">
        <f>IF(MAESTRO!D34="","",IFERROR('Planilla (Comercio 8°)'!G45,""))</f>
        <v/>
      </c>
      <c r="M34" s="111">
        <f>IF(MAESTRO!D34="","",IFERROR('Planilla (Comercio 8°)'!H45,""))</f>
        <v/>
      </c>
      <c r="N34" s="112">
        <f>IF(MAESTRO!D34="","",IFERROR('Planilla (Comercio 8°)'!I45,""))</f>
        <v/>
      </c>
      <c r="O34" s="110">
        <f>IF(MAESTRO!D35="","",IFERROR(AVERAGE(G34,K34),""))</f>
        <v/>
      </c>
      <c r="P34" s="110">
        <f>IF(MAESTRO!D35="","",IFERROR(AVERAGE(H34,L34),""))</f>
        <v/>
      </c>
      <c r="Q34" s="110">
        <f>IF(MAESTRO!D35="","",IFERROR(AVERAGE(I34,M34),""))</f>
        <v/>
      </c>
      <c r="R34" s="110">
        <f>IF(MAESTRO!D35="","",IFERROR(TRUNC(AVERAGE(O34,P34,Q34),1),""))</f>
        <v/>
      </c>
      <c r="S34" s="112">
        <f>IF(MAESTRO!D35="","",IF(AND(F34="",J34="",N34="",R34=""),"",IF(Y(OR(F34="",F34&gt;=3),OR(J34="",J34&gt;=3),OR(N34="",N34&gt;=3),OR(R34="",R34&gt;=3)),"✓ APROBADO","✗ REPROBADO")))</f>
        <v/>
      </c>
    </row>
    <row r="35" ht="16.05" customHeight="1" s="176">
      <c r="A35" s="104" t="n">
        <v>31</v>
      </c>
      <c r="B35" s="105">
        <f>IF(MAESTRO!D35="","",MAESTRO!D35)</f>
        <v/>
      </c>
      <c r="C35" s="108">
        <f>IF(MAESTRO!D35="","",IFERROR('Planilla (Ingles 8°)'!F46,""))</f>
        <v/>
      </c>
      <c r="D35" s="108">
        <f>IF(MAESTRO!D35="","",IFERROR('Planilla (Ingles 8°)'!G46,""))</f>
        <v/>
      </c>
      <c r="E35" s="108">
        <f>IF(MAESTRO!D35="","",IFERROR('Planilla (Ingles 8°)'!H46,""))</f>
        <v/>
      </c>
      <c r="F35" s="109">
        <f>IF(MAESTRO!D35="","",IFERROR('Planilla (Ingles 8°)'!I46,""))</f>
        <v/>
      </c>
      <c r="G35" s="108">
        <f>IF(MAESTRO!D35="","",IFERROR('Planilla (Agropecuaria 8°) '!F46,""))</f>
        <v/>
      </c>
      <c r="H35" s="108">
        <f>IF(MAESTRO!D35="","",IFERROR('Planilla (Agropecuaria 8°) '!G46,""))</f>
        <v/>
      </c>
      <c r="I35" s="108">
        <f>IF(MAESTRO!D35="","",IFERROR('Planilla (Agropecuaria 8°) '!H46,""))</f>
        <v/>
      </c>
      <c r="J35" s="109">
        <f>IF(MAESTRO!D35="","",IFERROR('Planilla (Agropecuaria 8°) '!I46,""))</f>
        <v/>
      </c>
      <c r="K35" s="108">
        <f>IF(MAESTRO!D35="","",IFERROR('Planilla (Comercio 8°)'!F46,""))</f>
        <v/>
      </c>
      <c r="L35" s="108">
        <f>IF(MAESTRO!D35="","",IFERROR('Planilla (Comercio 8°)'!G46,""))</f>
        <v/>
      </c>
      <c r="M35" s="108">
        <f>IF(MAESTRO!D35="","",IFERROR('Planilla (Comercio 8°)'!H46,""))</f>
        <v/>
      </c>
      <c r="N35" s="109">
        <f>IF(MAESTRO!D35="","",IFERROR('Planilla (Comercio 8°)'!I46,""))</f>
        <v/>
      </c>
      <c r="O35" s="110">
        <f>IF(MAESTRO!D36="","",IFERROR(AVERAGE(G35,K35),""))</f>
        <v/>
      </c>
      <c r="P35" s="110">
        <f>IF(MAESTRO!D36="","",IFERROR(AVERAGE(H35,L35),""))</f>
        <v/>
      </c>
      <c r="Q35" s="110">
        <f>IF(MAESTRO!D36="","",IFERROR(AVERAGE(I35,M35),""))</f>
        <v/>
      </c>
      <c r="R35" s="110">
        <f>IF(MAESTRO!D36="","",IFERROR(TRUNC(AVERAGE(O35,P35,Q35),1),""))</f>
        <v/>
      </c>
      <c r="S35" s="112">
        <f>IF(MAESTRO!D36="","",IF(AND(F35="",J35="",N35="",R35=""),"",IF(Y(OR(F35="",F35&gt;=3),OR(J35="",J35&gt;=3),OR(N35="",N35&gt;=3),OR(R35="",R35&gt;=3)),"✓ APROBADO","✗ REPROBADO")))</f>
        <v/>
      </c>
    </row>
    <row r="36" ht="16.05" customHeight="1" s="176">
      <c r="A36" s="102" t="n">
        <v>32</v>
      </c>
      <c r="B36" s="103">
        <f>IF(MAESTRO!D36="","",MAESTRO!D36)</f>
        <v/>
      </c>
      <c r="C36" s="111">
        <f>IF(MAESTRO!D36="","",IFERROR('Planilla (Ingles 8°)'!F47,""))</f>
        <v/>
      </c>
      <c r="D36" s="111">
        <f>IF(MAESTRO!D36="","",IFERROR('Planilla (Ingles 8°)'!G47,""))</f>
        <v/>
      </c>
      <c r="E36" s="111">
        <f>IF(MAESTRO!D36="","",IFERROR('Planilla (Ingles 8°)'!H47,""))</f>
        <v/>
      </c>
      <c r="F36" s="112">
        <f>IF(MAESTRO!D36="","",IFERROR('Planilla (Ingles 8°)'!I47,""))</f>
        <v/>
      </c>
      <c r="G36" s="111">
        <f>IF(MAESTRO!D36="","",IFERROR('Planilla (Agropecuaria 8°) '!F47,""))</f>
        <v/>
      </c>
      <c r="H36" s="111">
        <f>IF(MAESTRO!D36="","",IFERROR('Planilla (Agropecuaria 8°) '!G47,""))</f>
        <v/>
      </c>
      <c r="I36" s="111">
        <f>IF(MAESTRO!D36="","",IFERROR('Planilla (Agropecuaria 8°) '!H47,""))</f>
        <v/>
      </c>
      <c r="J36" s="112">
        <f>IF(MAESTRO!D36="","",IFERROR('Planilla (Agropecuaria 8°) '!I47,""))</f>
        <v/>
      </c>
      <c r="K36" s="111">
        <f>IF(MAESTRO!D36="","",IFERROR('Planilla (Comercio 8°)'!F47,""))</f>
        <v/>
      </c>
      <c r="L36" s="111">
        <f>IF(MAESTRO!D36="","",IFERROR('Planilla (Comercio 8°)'!G47,""))</f>
        <v/>
      </c>
      <c r="M36" s="111">
        <f>IF(MAESTRO!D36="","",IFERROR('Planilla (Comercio 8°)'!H47,""))</f>
        <v/>
      </c>
      <c r="N36" s="112">
        <f>IF(MAESTRO!D36="","",IFERROR('Planilla (Comercio 8°)'!I47,""))</f>
        <v/>
      </c>
      <c r="O36" s="110">
        <f>IF(MAESTRO!D36="","",IFERROR(AVERAGE(G36,K36),""))</f>
        <v/>
      </c>
      <c r="P36" s="110">
        <f>IF(MAESTRO!D36="","",IFERROR(AVERAGE(H36,L36),""))</f>
        <v/>
      </c>
      <c r="Q36" s="110">
        <f>IF(MAESTRO!D36="","",IFERROR(AVERAGE(I36,M36),""))</f>
        <v/>
      </c>
      <c r="R36" s="110">
        <f>IF(MAESTRO!D36="","",IFERROR(TRUNC(AVERAGE(O36,P36,Q36),1),""))</f>
        <v/>
      </c>
      <c r="S36" s="112">
        <f>IF(MAESTRO!D36="","",IF(AND(F36="",J36="",N36="",R36=""),"",IF(Y(OR(F36="",F36&gt;=3),OR(J36="",J36&gt;=3),OR(N36="",N36&gt;=3),OR(R36="",R36&gt;=3)),"✓ APROBADO","✗ REPROBADO")))</f>
        <v/>
      </c>
    </row>
    <row r="37" ht="16.05" customHeight="1" s="176">
      <c r="A37" s="104" t="n">
        <v>33</v>
      </c>
      <c r="B37" s="105">
        <f>IF(MAESTRO!D37="","",MAESTRO!D37)</f>
        <v/>
      </c>
      <c r="C37" s="108">
        <f>IF(MAESTRO!D37="","",IFERROR('Planilla (Ingles 8°)'!F48,""))</f>
        <v/>
      </c>
      <c r="D37" s="108">
        <f>IF(MAESTRO!D37="","",IFERROR('Planilla (Ingles 8°)'!G48,""))</f>
        <v/>
      </c>
      <c r="E37" s="108">
        <f>IF(MAESTRO!D37="","",IFERROR('Planilla (Ingles 8°)'!H48,""))</f>
        <v/>
      </c>
      <c r="F37" s="109">
        <f>IF(MAESTRO!D37="","",IFERROR('Planilla (Ingles 8°)'!I48,""))</f>
        <v/>
      </c>
      <c r="G37" s="108">
        <f>IF(MAESTRO!D37="","",IFERROR('Planilla (Agropecuaria 8°) '!F48,""))</f>
        <v/>
      </c>
      <c r="H37" s="108">
        <f>IF(MAESTRO!D37="","",IFERROR('Planilla (Agropecuaria 8°) '!G48,""))</f>
        <v/>
      </c>
      <c r="I37" s="108">
        <f>IF(MAESTRO!D37="","",IFERROR('Planilla (Agropecuaria 8°) '!H48,""))</f>
        <v/>
      </c>
      <c r="J37" s="109">
        <f>IF(MAESTRO!D37="","",IFERROR('Planilla (Agropecuaria 8°) '!I48,""))</f>
        <v/>
      </c>
      <c r="K37" s="108">
        <f>IF(MAESTRO!D37="","",IFERROR('Planilla (Comercio 8°)'!F48,""))</f>
        <v/>
      </c>
      <c r="L37" s="108">
        <f>IF(MAESTRO!D37="","",IFERROR('Planilla (Comercio 8°)'!G48,""))</f>
        <v/>
      </c>
      <c r="M37" s="108">
        <f>IF(MAESTRO!D37="","",IFERROR('Planilla (Comercio 8°)'!H48,""))</f>
        <v/>
      </c>
      <c r="N37" s="109">
        <f>IF(MAESTRO!D37="","",IFERROR('Planilla (Comercio 8°)'!I48,""))</f>
        <v/>
      </c>
      <c r="O37" s="110">
        <f>IF(MAESTRO!D37="","",IFERROR(AVERAGE(G37,K37),""))</f>
        <v/>
      </c>
      <c r="P37" s="110">
        <f>IF(MAESTRO!D37="","",IFERROR(AVERAGE(H37,L37),""))</f>
        <v/>
      </c>
      <c r="Q37" s="110">
        <f>IF(MAESTRO!D37="","",IFERROR(AVERAGE(I37,M37),""))</f>
        <v/>
      </c>
      <c r="R37" s="110">
        <f>IF(MAESTRO!D37="","",IFERROR(TRUNC(AVERAGE(O37,P37,Q37),1),""))</f>
        <v/>
      </c>
      <c r="S37" s="109">
        <f>IF(MAESTRO!D37="","",IF(AND(F37="",J37="",N37="",R37=""),"",IF(Y(OR(F37="",F37&gt;=3),OR(J37="",J37&gt;=3),OR(N37="",N37&gt;=3),OR(R37="",R37&gt;=3)),"✓ APROBADO","✗ REPROBADO")))</f>
        <v/>
      </c>
    </row>
    <row r="38" ht="16.05" customHeight="1" s="176">
      <c r="A38" s="102" t="n">
        <v>34</v>
      </c>
      <c r="B38" s="103">
        <f>IF(MAESTRO!D38="","",MAESTRO!D38)</f>
        <v/>
      </c>
      <c r="C38" s="111">
        <f>IF(MAESTRO!D38="","",IFERROR('Planilla (Ingles 8°)'!F49,""))</f>
        <v/>
      </c>
      <c r="D38" s="111">
        <f>IF(MAESTRO!D38="","",IFERROR('Planilla (Ingles 8°)'!G49,""))</f>
        <v/>
      </c>
      <c r="E38" s="111">
        <f>IF(MAESTRO!D38="","",IFERROR('Planilla (Ingles 8°)'!H49,""))</f>
        <v/>
      </c>
      <c r="F38" s="112">
        <f>IF(MAESTRO!D38="","",IFERROR('Planilla (Ingles 8°)'!I49,""))</f>
        <v/>
      </c>
      <c r="G38" s="111">
        <f>IF(MAESTRO!D38="","",IFERROR('Planilla (Agropecuaria 8°) '!F49,""))</f>
        <v/>
      </c>
      <c r="H38" s="111">
        <f>IF(MAESTRO!D38="","",IFERROR('Planilla (Agropecuaria 8°) '!G49,""))</f>
        <v/>
      </c>
      <c r="I38" s="111">
        <f>IF(MAESTRO!D38="","",IFERROR('Planilla (Agropecuaria 8°) '!H49,""))</f>
        <v/>
      </c>
      <c r="J38" s="112">
        <f>IF(MAESTRO!D38="","",IFERROR('Planilla (Agropecuaria 8°) '!I49,""))</f>
        <v/>
      </c>
      <c r="K38" s="111">
        <f>IF(MAESTRO!D38="","",IFERROR('Planilla (Comercio 8°)'!F49,""))</f>
        <v/>
      </c>
      <c r="L38" s="111">
        <f>IF(MAESTRO!D38="","",IFERROR('Planilla (Comercio 8°)'!G49,""))</f>
        <v/>
      </c>
      <c r="M38" s="111">
        <f>IF(MAESTRO!D38="","",IFERROR('Planilla (Comercio 8°)'!H49,""))</f>
        <v/>
      </c>
      <c r="N38" s="112">
        <f>IF(MAESTRO!D38="","",IFERROR('Planilla (Comercio 8°)'!I49,""))</f>
        <v/>
      </c>
      <c r="O38" s="110">
        <f>IF(MAESTRO!D38="","",IFERROR(AVERAGE(G38,K38),""))</f>
        <v/>
      </c>
      <c r="P38" s="110">
        <f>IF(MAESTRO!D38="","",IFERROR(AVERAGE(H38,L38),""))</f>
        <v/>
      </c>
      <c r="Q38" s="110">
        <f>IF(MAESTRO!D38="","",IFERROR(AVERAGE(I38,M38),""))</f>
        <v/>
      </c>
      <c r="R38" s="110">
        <f>IF(MAESTRO!D38="","",IFERROR(TRUNC(AVERAGE(O38,P38,Q38),1),""))</f>
        <v/>
      </c>
      <c r="S38" s="112">
        <f>IF(MAESTRO!D38="","",IF(AND(F38="",J38="",N38="",R38=""),"",IF(Y(OR(F38="",F38&gt;=3),OR(J38="",J38&gt;=3),OR(N38="",N38&gt;=3),OR(R38="",R38&gt;=3)),"✓ APROBADO","✗ REPROBADO")))</f>
        <v/>
      </c>
    </row>
    <row r="39" ht="16.05" customHeight="1" s="176">
      <c r="A39" s="104" t="n">
        <v>35</v>
      </c>
      <c r="B39" s="105">
        <f>IF(MAESTRO!D39="","",MAESTRO!D39)</f>
        <v/>
      </c>
      <c r="C39" s="108">
        <f>IF(MAESTRO!D39="","",IFERROR('Planilla (Ingles 8°)'!F50,""))</f>
        <v/>
      </c>
      <c r="D39" s="108">
        <f>IF(MAESTRO!D39="","",IFERROR('Planilla (Ingles 8°)'!G50,""))</f>
        <v/>
      </c>
      <c r="E39" s="108">
        <f>IF(MAESTRO!D39="","",IFERROR('Planilla (Ingles 8°)'!H50,""))</f>
        <v/>
      </c>
      <c r="F39" s="109">
        <f>IF(MAESTRO!D39="","",IFERROR('Planilla (Ingles 8°)'!I50,""))</f>
        <v/>
      </c>
      <c r="G39" s="108">
        <f>IF(MAESTRO!D39="","",IFERROR('Planilla (Agropecuaria 8°) '!F50,""))</f>
        <v/>
      </c>
      <c r="H39" s="108">
        <f>IF(MAESTRO!D39="","",IFERROR('Planilla (Agropecuaria 8°) '!G50,""))</f>
        <v/>
      </c>
      <c r="I39" s="108">
        <f>IF(MAESTRO!D39="","",IFERROR('Planilla (Agropecuaria 8°) '!H50,""))</f>
        <v/>
      </c>
      <c r="J39" s="109">
        <f>IF(MAESTRO!D39="","",IFERROR('Planilla (Agropecuaria 8°) '!I50,""))</f>
        <v/>
      </c>
      <c r="K39" s="108">
        <f>IF(MAESTRO!D39="","",IFERROR('Planilla (Comercio 8°)'!F50,""))</f>
        <v/>
      </c>
      <c r="L39" s="108">
        <f>IF(MAESTRO!D39="","",IFERROR('Planilla (Comercio 8°)'!G50,""))</f>
        <v/>
      </c>
      <c r="M39" s="108">
        <f>IF(MAESTRO!D39="","",IFERROR('Planilla (Comercio 8°)'!H50,""))</f>
        <v/>
      </c>
      <c r="N39" s="109">
        <f>IF(MAESTRO!D39="","",IFERROR('Planilla (Comercio 8°)'!I50,""))</f>
        <v/>
      </c>
      <c r="O39" s="110">
        <f>IF(MAESTRO!D39="","",IFERROR(AVERAGE(G39,K39),""))</f>
        <v/>
      </c>
      <c r="P39" s="110">
        <f>IF(MAESTRO!D39="","",IFERROR(AVERAGE(H39,L39),""))</f>
        <v/>
      </c>
      <c r="Q39" s="110">
        <f>IF(MAESTRO!D39="","",IFERROR(AVERAGE(I39,M39),""))</f>
        <v/>
      </c>
      <c r="R39" s="110">
        <f>IF(MAESTRO!D39="","",IFERROR(TRUNC(AVERAGE(O39,P39,Q39),1),""))</f>
        <v/>
      </c>
      <c r="S39" s="109">
        <f>IF(MAESTRO!D39="","",IF(AND(F39="",J39="",N39="",R39=""),"",IF(Y(OR(F39="",F39&gt;=3),OR(J39="",J39&gt;=3),OR(N39="",N39&gt;=3),OR(R39="",R39&gt;=3)),"✓ APROBADO","✗ REPROBADO")))</f>
        <v/>
      </c>
    </row>
    <row r="40" ht="16.05" customHeight="1" s="176">
      <c r="A40" s="102" t="n">
        <v>36</v>
      </c>
      <c r="B40" s="103">
        <f>IF(MAESTRO!D40="","",MAESTRO!D40)</f>
        <v/>
      </c>
      <c r="C40" s="111">
        <f>IF(MAESTRO!D40="","",IFERROR('Planilla (Ingles 8°)'!F51,""))</f>
        <v/>
      </c>
      <c r="D40" s="111">
        <f>IF(MAESTRO!D40="","",IFERROR('Planilla (Ingles 8°)'!G51,""))</f>
        <v/>
      </c>
      <c r="E40" s="111">
        <f>IF(MAESTRO!D40="","",IFERROR('Planilla (Ingles 8°)'!H51,""))</f>
        <v/>
      </c>
      <c r="F40" s="112">
        <f>IF(MAESTRO!D40="","",IFERROR('Planilla (Ingles 8°)'!I51,""))</f>
        <v/>
      </c>
      <c r="G40" s="111">
        <f>IF(MAESTRO!D40="","",IFERROR('Planilla (Agropecuaria 8°) '!F51,""))</f>
        <v/>
      </c>
      <c r="H40" s="111">
        <f>IF(MAESTRO!D40="","",IFERROR('Planilla (Agropecuaria 8°) '!G51,""))</f>
        <v/>
      </c>
      <c r="I40" s="111">
        <f>IF(MAESTRO!D40="","",IFERROR('Planilla (Agropecuaria 8°) '!H51,""))</f>
        <v/>
      </c>
      <c r="J40" s="112">
        <f>IF(MAESTRO!D40="","",IFERROR('Planilla (Agropecuaria 8°) '!I51,""))</f>
        <v/>
      </c>
      <c r="K40" s="111">
        <f>IF(MAESTRO!D40="","",IFERROR('Planilla (Comercio 8°)'!F51,""))</f>
        <v/>
      </c>
      <c r="L40" s="111">
        <f>IF(MAESTRO!D40="","",IFERROR('Planilla (Comercio 8°)'!G51,""))</f>
        <v/>
      </c>
      <c r="M40" s="111">
        <f>IF(MAESTRO!D40="","",IFERROR('Planilla (Comercio 8°)'!H51,""))</f>
        <v/>
      </c>
      <c r="N40" s="112">
        <f>IF(MAESTRO!D40="","",IFERROR('Planilla (Comercio 8°)'!I51,""))</f>
        <v/>
      </c>
      <c r="O40" s="110">
        <f>IF(MAESTRO!D40="","",IFERROR(AVERAGE(G40,K40),""))</f>
        <v/>
      </c>
      <c r="P40" s="110">
        <f>IF(MAESTRO!D40="","",IFERROR(AVERAGE(H40,L40),""))</f>
        <v/>
      </c>
      <c r="Q40" s="110">
        <f>IF(MAESTRO!D40="","",IFERROR(AVERAGE(I40,M40),""))</f>
        <v/>
      </c>
      <c r="R40" s="110">
        <f>IF(MAESTRO!D40="","",IFERROR(TRUNC(AVERAGE(O40,P40,Q40),1),""))</f>
        <v/>
      </c>
      <c r="S40" s="112">
        <f>IF(MAESTRO!D40="","",IF(AND(F40="",J40="",N40="",R40=""),"",IF(Y(OR(F40="",F40&gt;=3),OR(J40="",J40&gt;=3),OR(N40="",N40&gt;=3),OR(R40="",R40&gt;=3)),"✓ APROBADO","✗ REPROBADO")))</f>
        <v/>
      </c>
    </row>
    <row r="41" ht="16.05" customHeight="1" s="176">
      <c r="A41" s="104" t="n">
        <v>37</v>
      </c>
      <c r="B41" s="105">
        <f>IF(MAESTRO!D41="","",MAESTRO!D41)</f>
        <v/>
      </c>
      <c r="C41" s="108">
        <f>IF(MAESTRO!D41="","",IFERROR('Planilla (Ingles 8°)'!F52,""))</f>
        <v/>
      </c>
      <c r="D41" s="108">
        <f>IF(MAESTRO!D41="","",IFERROR('Planilla (Ingles 8°)'!G52,""))</f>
        <v/>
      </c>
      <c r="E41" s="108">
        <f>IF(MAESTRO!D41="","",IFERROR('Planilla (Ingles 8°)'!H52,""))</f>
        <v/>
      </c>
      <c r="F41" s="109">
        <f>IF(MAESTRO!D41="","",IFERROR('Planilla (Ingles 8°)'!I52,""))</f>
        <v/>
      </c>
      <c r="G41" s="108">
        <f>IF(MAESTRO!D41="","",IFERROR('Planilla (Agropecuaria 8°) '!F52,""))</f>
        <v/>
      </c>
      <c r="H41" s="108">
        <f>IF(MAESTRO!D41="","",IFERROR('Planilla (Agropecuaria 8°) '!G52,""))</f>
        <v/>
      </c>
      <c r="I41" s="108">
        <f>IF(MAESTRO!D41="","",IFERROR('Planilla (Agropecuaria 8°) '!H52,""))</f>
        <v/>
      </c>
      <c r="J41" s="109">
        <f>IF(MAESTRO!D41="","",IFERROR('Planilla (Agropecuaria 8°) '!I52,""))</f>
        <v/>
      </c>
      <c r="K41" s="108">
        <f>IF(MAESTRO!D41="","",IFERROR('Planilla (Comercio 8°)'!F52,""))</f>
        <v/>
      </c>
      <c r="L41" s="108">
        <f>IF(MAESTRO!D41="","",IFERROR('Planilla (Comercio 8°)'!G52,""))</f>
        <v/>
      </c>
      <c r="M41" s="108">
        <f>IF(MAESTRO!D41="","",IFERROR('Planilla (Comercio 8°)'!H52,""))</f>
        <v/>
      </c>
      <c r="N41" s="109">
        <f>IF(MAESTRO!D41="","",IFERROR('Planilla (Comercio 8°)'!I52,""))</f>
        <v/>
      </c>
      <c r="O41" s="110">
        <f>IF(MAESTRO!D41="","",IFERROR(AVERAGE(G41,K41),""))</f>
        <v/>
      </c>
      <c r="P41" s="110">
        <f>IF(MAESTRO!D41="","",IFERROR(AVERAGE(H41,L41),""))</f>
        <v/>
      </c>
      <c r="Q41" s="110">
        <f>IF(MAESTRO!D41="","",IFERROR(AVERAGE(I41,M41),""))</f>
        <v/>
      </c>
      <c r="R41" s="110">
        <f>IF(MAESTRO!D41="","",IFERROR(TRUNC(AVERAGE(O41,P41,Q41),1),""))</f>
        <v/>
      </c>
      <c r="S41" s="109">
        <f>IF(MAESTRO!D41="","",IF(AND(F41="",J41="",N41="",R41=""),"",IF(Y(OR(F41="",F41&gt;=3),OR(J41="",J41&gt;=3),OR(N41="",N41&gt;=3),OR(R41="",R41&gt;=3)),"✓ APROBADO","✗ REPROBADO")))</f>
        <v/>
      </c>
    </row>
    <row r="42" ht="16.05" customHeight="1" s="176">
      <c r="A42" s="102" t="n">
        <v>38</v>
      </c>
      <c r="B42" s="103">
        <f>IF(MAESTRO!D42="","",MAESTRO!D42)</f>
        <v/>
      </c>
      <c r="C42" s="111">
        <f>IF(MAESTRO!D42="","",IFERROR('Planilla (Ingles 8°)'!F53,""))</f>
        <v/>
      </c>
      <c r="D42" s="111">
        <f>IF(MAESTRO!D42="","",IFERROR('Planilla (Ingles 8°)'!G53,""))</f>
        <v/>
      </c>
      <c r="E42" s="111">
        <f>IF(MAESTRO!D42="","",IFERROR('Planilla (Ingles 8°)'!H53,""))</f>
        <v/>
      </c>
      <c r="F42" s="112">
        <f>IF(MAESTRO!D42="","",IFERROR('Planilla (Ingles 8°)'!I53,""))</f>
        <v/>
      </c>
      <c r="G42" s="111">
        <f>IF(MAESTRO!D42="","",IFERROR('Planilla (Agropecuaria 8°) '!F53,""))</f>
        <v/>
      </c>
      <c r="H42" s="111">
        <f>IF(MAESTRO!D42="","",IFERROR('Planilla (Agropecuaria 8°) '!G53,""))</f>
        <v/>
      </c>
      <c r="I42" s="111">
        <f>IF(MAESTRO!D42="","",IFERROR('Planilla (Agropecuaria 8°) '!H53,""))</f>
        <v/>
      </c>
      <c r="J42" s="112">
        <f>IF(MAESTRO!D42="","",IFERROR('Planilla (Agropecuaria 8°) '!I53,""))</f>
        <v/>
      </c>
      <c r="K42" s="111">
        <f>IF(MAESTRO!D42="","",IFERROR('Planilla (Comercio 8°)'!F53,""))</f>
        <v/>
      </c>
      <c r="L42" s="111">
        <f>IF(MAESTRO!D42="","",IFERROR('Planilla (Comercio 8°)'!G53,""))</f>
        <v/>
      </c>
      <c r="M42" s="111">
        <f>IF(MAESTRO!D42="","",IFERROR('Planilla (Comercio 8°)'!H53,""))</f>
        <v/>
      </c>
      <c r="N42" s="112">
        <f>IF(MAESTRO!D42="","",IFERROR('Planilla (Comercio 8°)'!I53,""))</f>
        <v/>
      </c>
      <c r="O42" s="110">
        <f>IF(MAESTRO!D42="","",IFERROR(AVERAGE(G42,K42),""))</f>
        <v/>
      </c>
      <c r="P42" s="110">
        <f>IF(MAESTRO!D42="","",IFERROR(AVERAGE(H42,L42),""))</f>
        <v/>
      </c>
      <c r="Q42" s="110">
        <f>IF(MAESTRO!D42="","",IFERROR(AVERAGE(I42,M42),""))</f>
        <v/>
      </c>
      <c r="R42" s="110">
        <f>IF(MAESTRO!D42="","",IFERROR(TRUNC(AVERAGE(O42,P42,Q42),1),""))</f>
        <v/>
      </c>
      <c r="S42" s="112">
        <f>IF(MAESTRO!D42="","",IF(AND(F42="",J42="",N42="",R42=""),"",IF(Y(OR(F42="",F42&gt;=3),OR(J42="",J42&gt;=3),OR(N42="",N42&gt;=3),OR(R42="",R42&gt;=3)),"✓ APROBADO","✗ REPROBADO")))</f>
        <v/>
      </c>
    </row>
    <row r="43" ht="16.05" customHeight="1" s="176">
      <c r="A43" s="104" t="n">
        <v>39</v>
      </c>
      <c r="B43" s="105">
        <f>IF(MAESTRO!D43="","",MAESTRO!D43)</f>
        <v/>
      </c>
      <c r="C43" s="108">
        <f>IF(MAESTRO!D43="","",IFERROR('Planilla (Ingles 8°)'!F54,""))</f>
        <v/>
      </c>
      <c r="D43" s="108">
        <f>IF(MAESTRO!D43="","",IFERROR('Planilla (Ingles 8°)'!G54,""))</f>
        <v/>
      </c>
      <c r="E43" s="108">
        <f>IF(MAESTRO!D43="","",IFERROR('Planilla (Ingles 8°)'!H54,""))</f>
        <v/>
      </c>
      <c r="F43" s="109">
        <f>IF(MAESTRO!D43="","",IFERROR('Planilla (Ingles 8°)'!I54,""))</f>
        <v/>
      </c>
      <c r="G43" s="108">
        <f>IF(MAESTRO!D43="","",IFERROR('Planilla (Agropecuaria 8°) '!F54,""))</f>
        <v/>
      </c>
      <c r="H43" s="108">
        <f>IF(MAESTRO!D43="","",IFERROR('Planilla (Agropecuaria 8°) '!G54,""))</f>
        <v/>
      </c>
      <c r="I43" s="108">
        <f>IF(MAESTRO!D43="","",IFERROR('Planilla (Agropecuaria 8°) '!H54,""))</f>
        <v/>
      </c>
      <c r="J43" s="109">
        <f>IF(MAESTRO!D43="","",IFERROR('Planilla (Agropecuaria 8°) '!I54,""))</f>
        <v/>
      </c>
      <c r="K43" s="108">
        <f>IF(MAESTRO!D43="","",IFERROR('Planilla (Comercio 8°)'!F54,""))</f>
        <v/>
      </c>
      <c r="L43" s="108">
        <f>IF(MAESTRO!D43="","",IFERROR('Planilla (Comercio 8°)'!G54,""))</f>
        <v/>
      </c>
      <c r="M43" s="108">
        <f>IF(MAESTRO!D43="","",IFERROR('Planilla (Comercio 8°)'!H54,""))</f>
        <v/>
      </c>
      <c r="N43" s="109">
        <f>IF(MAESTRO!D43="","",IFERROR('Planilla (Comercio 8°)'!I54,""))</f>
        <v/>
      </c>
      <c r="O43" s="110">
        <f>IF(MAESTRO!D43="","",IFERROR(AVERAGE(G43,K43),""))</f>
        <v/>
      </c>
      <c r="P43" s="110">
        <f>IF(MAESTRO!D43="","",IFERROR(AVERAGE(H43,L43),""))</f>
        <v/>
      </c>
      <c r="Q43" s="110">
        <f>IF(MAESTRO!D43="","",IFERROR(AVERAGE(I43,M43),""))</f>
        <v/>
      </c>
      <c r="R43" s="110">
        <f>IF(MAESTRO!D43="","",IFERROR(TRUNC(AVERAGE(O43,P43,Q43),1),""))</f>
        <v/>
      </c>
      <c r="S43" s="109">
        <f>IF(MAESTRO!D43="","",IF(AND(F43="",J43="",N43="",R43=""),"",IF(Y(OR(F43="",F43&gt;=3),OR(J43="",J43&gt;=3),OR(N43="",N43&gt;=3),OR(R43="",R43&gt;=3)),"✓ APROBADO","✗ REPROBADO")))</f>
        <v/>
      </c>
    </row>
    <row r="44" ht="16.05" customHeight="1" s="176">
      <c r="A44" s="102" t="n">
        <v>40</v>
      </c>
      <c r="B44" s="103">
        <f>IF(MAESTRO!D44="","",MAESTRO!D44)</f>
        <v/>
      </c>
      <c r="C44" s="111">
        <f>IF(MAESTRO!D44="","",IFERROR('Planilla (Ingles 8°)'!F55,""))</f>
        <v/>
      </c>
      <c r="D44" s="111">
        <f>IF(MAESTRO!D44="","",IFERROR('Planilla (Ingles 8°)'!G55,""))</f>
        <v/>
      </c>
      <c r="E44" s="111">
        <f>IF(MAESTRO!D44="","",IFERROR('Planilla (Ingles 8°)'!H55,""))</f>
        <v/>
      </c>
      <c r="F44" s="112">
        <f>IF(MAESTRO!D44="","",IFERROR('Planilla (Ingles 8°)'!I55,""))</f>
        <v/>
      </c>
      <c r="G44" s="111">
        <f>IF(MAESTRO!D44="","",IFERROR('Planilla (Agropecuaria 8°) '!F55,""))</f>
        <v/>
      </c>
      <c r="H44" s="111">
        <f>IF(MAESTRO!D44="","",IFERROR('Planilla (Agropecuaria 8°) '!G55,""))</f>
        <v/>
      </c>
      <c r="I44" s="111">
        <f>IF(MAESTRO!D44="","",IFERROR('Planilla (Agropecuaria 8°) '!H55,""))</f>
        <v/>
      </c>
      <c r="J44" s="112">
        <f>IF(MAESTRO!D44="","",IFERROR('Planilla (Agropecuaria 8°) '!I55,""))</f>
        <v/>
      </c>
      <c r="K44" s="111">
        <f>IF(MAESTRO!D44="","",IFERROR('Planilla (Comercio 8°)'!F55,""))</f>
        <v/>
      </c>
      <c r="L44" s="111">
        <f>IF(MAESTRO!D44="","",IFERROR('Planilla (Comercio 8°)'!G55,""))</f>
        <v/>
      </c>
      <c r="M44" s="111">
        <f>IF(MAESTRO!D44="","",IFERROR('Planilla (Comercio 8°)'!H55,""))</f>
        <v/>
      </c>
      <c r="N44" s="112">
        <f>IF(MAESTRO!D44="","",IFERROR('Planilla (Comercio 8°)'!I55,""))</f>
        <v/>
      </c>
      <c r="O44" s="110">
        <f>IF(MAESTRO!D44="","",IFERROR(AVERAGE(G44,K44),""))</f>
        <v/>
      </c>
      <c r="P44" s="110">
        <f>IF(MAESTRO!D44="","",IFERROR(AVERAGE(H44,L44),""))</f>
        <v/>
      </c>
      <c r="Q44" s="110">
        <f>IF(MAESTRO!D44="","",IFERROR(AVERAGE(I44,M44),""))</f>
        <v/>
      </c>
      <c r="R44" s="110">
        <f>IF(MAESTRO!D44="","",IFERROR(TRUNC(AVERAGE(O44,P44,Q44),1),""))</f>
        <v/>
      </c>
      <c r="S44" s="112">
        <f>IF(MAESTRO!D44="","",IF(AND(F44="",J44="",N44="",R44=""),"",IF(Y(OR(F44="",F44&gt;=3),OR(J44="",J44&gt;=3),OR(N44="",N44&gt;=3),OR(R44="",R44&gt;=3)),"✓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22"/>
    <col width="14" customWidth="1" style="176" min="23" max="23"/>
  </cols>
  <sheetData>
    <row r="1" ht="28.05" customHeight="1" s="176">
      <c r="A1" s="261" t="inlineStr">
        <is>
          <t>CUADRO DE NOTAS FINALES — 9° GRADO · ESCUELA CERRO CACICÓN 2026</t>
        </is>
      </c>
    </row>
    <row r="2" ht="15" customHeight="1" s="176">
      <c r="A2" s="262" t="inlineStr">
        <is>
          <t>Nota: Las calificaciones se obtienen automáticamente de las hojas PROM de cada materia</t>
        </is>
      </c>
    </row>
    <row r="3" ht="22.05" customHeight="1" s="176">
      <c r="A3" s="260" t="inlineStr">
        <is>
          <t>No.</t>
        </is>
      </c>
      <c r="B3" s="260" t="inlineStr">
        <is>
          <t>APELLIDO, NOMBRE</t>
        </is>
      </c>
      <c r="C3" s="260" t="inlineStr">
        <is>
          <t>INGLÉS</t>
        </is>
      </c>
      <c r="D3" s="250" t="n"/>
      <c r="E3" s="250" t="n"/>
      <c r="F3" s="242" t="n"/>
      <c r="G3" s="260" t="inlineStr">
        <is>
          <t>AGROPECUARIA</t>
        </is>
      </c>
      <c r="H3" s="250" t="n"/>
      <c r="I3" s="250" t="n"/>
      <c r="J3" s="242" t="n"/>
      <c r="K3" s="260" t="inlineStr">
        <is>
          <t>COMERCIO</t>
        </is>
      </c>
      <c r="L3" s="250" t="n"/>
      <c r="M3" s="250" t="n"/>
      <c r="N3" s="242" t="n"/>
      <c r="O3" s="253" t="inlineStr">
        <is>
          <t>TECNOLOGÍA</t>
        </is>
      </c>
      <c r="P3" s="250" t="n"/>
      <c r="Q3" s="250" t="n"/>
      <c r="R3" s="242" t="n"/>
      <c r="S3" s="260" t="inlineStr">
        <is>
          <t>ED. ARTÍSTICA</t>
        </is>
      </c>
      <c r="T3" s="250" t="n"/>
      <c r="U3" s="250" t="n"/>
      <c r="V3" s="242" t="n"/>
      <c r="W3" s="255" t="inlineStr">
        <is>
          <t>ESTADO</t>
        </is>
      </c>
    </row>
    <row r="4" ht="18" customHeight="1" s="176">
      <c r="A4" s="252" t="n"/>
      <c r="B4" s="252" t="n"/>
      <c r="C4" s="101" t="inlineStr">
        <is>
          <t>T1</t>
        </is>
      </c>
      <c r="D4" s="101" t="inlineStr">
        <is>
          <t>T2</t>
        </is>
      </c>
      <c r="E4" s="101" t="inlineStr">
        <is>
          <t>T3</t>
        </is>
      </c>
      <c r="F4" s="99" t="inlineStr">
        <is>
          <t>FINAL</t>
        </is>
      </c>
      <c r="G4" s="101" t="inlineStr">
        <is>
          <t>T1</t>
        </is>
      </c>
      <c r="H4" s="101" t="inlineStr">
        <is>
          <t>T2</t>
        </is>
      </c>
      <c r="I4" s="101" t="inlineStr">
        <is>
          <t>T3</t>
        </is>
      </c>
      <c r="J4" s="99" t="inlineStr">
        <is>
          <t>FINAL</t>
        </is>
      </c>
      <c r="K4" s="101" t="inlineStr">
        <is>
          <t>T1</t>
        </is>
      </c>
      <c r="L4" s="101" t="inlineStr">
        <is>
          <t>T2</t>
        </is>
      </c>
      <c r="M4" s="101" t="inlineStr">
        <is>
          <t>T3</t>
        </is>
      </c>
      <c r="N4" s="99" t="inlineStr">
        <is>
          <t>FINAL</t>
        </is>
      </c>
      <c r="O4" s="107" t="inlineStr">
        <is>
          <t>T1</t>
        </is>
      </c>
      <c r="P4" s="107" t="inlineStr">
        <is>
          <t>T2</t>
        </is>
      </c>
      <c r="Q4" s="107" t="inlineStr">
        <is>
          <t>T3</t>
        </is>
      </c>
      <c r="R4" s="107" t="inlineStr">
        <is>
          <t>FINAL</t>
        </is>
      </c>
      <c r="S4" s="101" t="inlineStr">
        <is>
          <t>T1</t>
        </is>
      </c>
      <c r="T4" s="101" t="inlineStr">
        <is>
          <t>T2</t>
        </is>
      </c>
      <c r="U4" s="101" t="inlineStr">
        <is>
          <t>T3</t>
        </is>
      </c>
      <c r="V4" s="99" t="inlineStr">
        <is>
          <t>FINAL</t>
        </is>
      </c>
      <c r="W4" s="252" t="n"/>
    </row>
    <row r="5" ht="16.05" customHeight="1" s="176">
      <c r="A5" s="104" t="n">
        <v>1</v>
      </c>
      <c r="B5" s="105">
        <f>IF(MAESTRO!F5="","",MAESTRO!F5)</f>
        <v/>
      </c>
      <c r="C5" s="108">
        <f>IF(MAESTRO!F5="","",IFERROR('Planilla (Ingles 9°) '!F16,""))</f>
        <v/>
      </c>
      <c r="D5" s="108">
        <f>IF(MAESTRO!F5="","",IFERROR('Planilla (Ingles 9°) '!G16,""))</f>
        <v/>
      </c>
      <c r="E5" s="108">
        <f>IF(MAESTRO!F5="","",IFERROR('Planilla (Ingles 9°) '!H16,""))</f>
        <v/>
      </c>
      <c r="F5" s="109">
        <f>IF(MAESTRO!F5="","",IFERROR('Planilla (Ingles 9°) '!I16,""))</f>
        <v/>
      </c>
      <c r="G5" s="108">
        <f>IF(MAESTRO!F5="","",IFERROR('Planilla (Agropecuaria 9°)'!F16,""))</f>
        <v/>
      </c>
      <c r="H5" s="108">
        <f>IF(MAESTRO!F5="","",IFERROR('Planilla (Agropecuaria 9°)'!G16,""))</f>
        <v/>
      </c>
      <c r="I5" s="108">
        <f>IF(MAESTRO!F5="","",IFERROR('Planilla (Agropecuaria 9°)'!H16,""))</f>
        <v/>
      </c>
      <c r="J5" s="109">
        <f>IF(MAESTRO!F5="","",IFERROR('Planilla (Agropecuaria 9°)'!I16,""))</f>
        <v/>
      </c>
      <c r="K5" s="108">
        <f>IF(MAESTRO!F5="","",IFERROR('Planilla (Comercio 9°)'!F16,""))</f>
        <v/>
      </c>
      <c r="L5" s="108">
        <f>IF(MAESTRO!F5="","",IFERROR('Planilla (Comercio 9°)'!G16,""))</f>
        <v/>
      </c>
      <c r="M5" s="108">
        <f>IF(MAESTRO!F5="","",IFERROR('Planilla (Comercio 9°)'!H16,""))</f>
        <v/>
      </c>
      <c r="N5" s="109">
        <f>IF(MAESTRO!F5="","",IFERROR('Planilla (Comercio 9°)'!I16,""))</f>
        <v/>
      </c>
      <c r="O5" s="110">
        <f>IF(MAESTRO!F5="","",IFERROR('Planilla (Artistica 9°)'!F16,""))</f>
        <v/>
      </c>
      <c r="P5" s="110">
        <f>IF(MAESTRO!F5="","",IFERROR('Planilla (Artistica 9°)'!G16,""))</f>
        <v/>
      </c>
      <c r="Q5" s="110">
        <f>IF(MAESTRO!F5="","",IFERROR('Planilla (Artistica 9°)'!H16,""))</f>
        <v/>
      </c>
      <c r="R5" s="110">
        <f>IF(MAESTRO!F5="","",IFERROR('Planilla (Artistica 9°)'!I16,""))</f>
        <v/>
      </c>
      <c r="S5" s="108">
        <f>IF(MAESTRO!F5="","",IFERROR('PROM (Artistica 9°)'!AE5,""))</f>
        <v/>
      </c>
      <c r="T5" s="108">
        <f>IF(MAESTRO!F5="","",IFERROR('PROM (Artistica 9°)'!BL5,""))</f>
        <v/>
      </c>
      <c r="U5" s="108">
        <f>IF(MAESTRO!F5="","",IFERROR('PROM (Artistica 9°)'!CT5,""))</f>
        <v/>
      </c>
      <c r="V5" s="109">
        <f>IF(MAESTRO!F5="","",IFERROR(TRUNC(AVERAGE(S5,T5,U5),1),""))</f>
        <v/>
      </c>
      <c r="W5" s="109">
        <f>IF(MAESTRO!F5="","",IF(AND(F5="",J5="",N5="",R5="",V5=""),"",IF(Y(OR(F5="",F5&gt;=3),OR(J5="",J5&gt;=3),OR(N5="",N5&gt;=3),OR(R5="",R5&gt;=3),OR(V5="",V5&gt;=3)),"✓ APROBADO","✗ REPROBADO")))</f>
        <v/>
      </c>
    </row>
    <row r="6" ht="16.05" customHeight="1" s="176">
      <c r="A6" s="102" t="n">
        <v>2</v>
      </c>
      <c r="B6" s="103">
        <f>IF(MAESTRO!F6="","",MAESTRO!F6)</f>
        <v/>
      </c>
      <c r="C6" s="111">
        <f>IF(MAESTRO!F6="","",IFERROR('Planilla (Ingles 9°) '!F17,""))</f>
        <v/>
      </c>
      <c r="D6" s="111">
        <f>IF(MAESTRO!F6="","",IFERROR('Planilla (Ingles 9°) '!G17,""))</f>
        <v/>
      </c>
      <c r="E6" s="111">
        <f>IF(MAESTRO!F6="","",IFERROR('Planilla (Ingles 9°) '!H17,""))</f>
        <v/>
      </c>
      <c r="F6" s="112">
        <f>IF(MAESTRO!F6="","",IFERROR('Planilla (Ingles 9°) '!I17,""))</f>
        <v/>
      </c>
      <c r="G6" s="111">
        <f>IF(MAESTRO!F6="","",IFERROR('Planilla (Agropecuaria 9°)'!F17,""))</f>
        <v/>
      </c>
      <c r="H6" s="111">
        <f>IF(MAESTRO!F6="","",IFERROR('Planilla (Agropecuaria 9°)'!G17,""))</f>
        <v/>
      </c>
      <c r="I6" s="111">
        <f>IF(MAESTRO!F6="","",IFERROR('Planilla (Agropecuaria 9°)'!H17,""))</f>
        <v/>
      </c>
      <c r="J6" s="112">
        <f>IF(MAESTRO!F6="","",IFERROR('Planilla (Agropecuaria 9°)'!I17,""))</f>
        <v/>
      </c>
      <c r="K6" s="111">
        <f>IF(MAESTRO!F6="","",IFERROR('Planilla (Comercio 9°)'!F17,""))</f>
        <v/>
      </c>
      <c r="L6" s="111">
        <f>IF(MAESTRO!F6="","",IFERROR('Planilla (Comercio 9°)'!G17,""))</f>
        <v/>
      </c>
      <c r="M6" s="111">
        <f>IF(MAESTRO!F6="","",IFERROR('Planilla (Comercio 9°)'!H17,""))</f>
        <v/>
      </c>
      <c r="N6" s="112">
        <f>IF(MAESTRO!F6="","",IFERROR('Planilla (Comercio 9°)'!I17,""))</f>
        <v/>
      </c>
      <c r="O6" s="110">
        <f>IF(MAESTRO!F6="","",IFERROR('Planilla (Artistica 9°)'!F17,""))</f>
        <v/>
      </c>
      <c r="P6" s="110">
        <f>IF(MAESTRO!F6="","",IFERROR('Planilla (Artistica 9°)'!G17,""))</f>
        <v/>
      </c>
      <c r="Q6" s="110">
        <f>IF(MAESTRO!F6="","",IFERROR('Planilla (Artistica 9°)'!H17,""))</f>
        <v/>
      </c>
      <c r="R6" s="110">
        <f>IF(MAESTRO!F6="","",IFERROR('Planilla (Artistica 9°)'!I17,""))</f>
        <v/>
      </c>
      <c r="S6" s="111">
        <f>IF(MAESTRO!F6="","",IFERROR('PROM (Artistica 9°)'!AE6,""))</f>
        <v/>
      </c>
      <c r="T6" s="111">
        <f>IF(MAESTRO!F6="","",IFERROR('PROM (Artistica 9°)'!BL6,""))</f>
        <v/>
      </c>
      <c r="U6" s="111">
        <f>IF(MAESTRO!F6="","",IFERROR('PROM (Artistica 9°)'!CT6,""))</f>
        <v/>
      </c>
      <c r="V6" s="112">
        <f>IF(MAESTRO!F6="","",IFERROR(TRUNC(AVERAGE(S6,T6,U6),1),""))</f>
        <v/>
      </c>
      <c r="W6" s="112">
        <f>IF(MAESTRO!F6="","",IF(AND(F6="",J6="",N6="",R6="",V6=""),"",IF(Y(OR(F6="",F6&gt;=3),OR(J6="",J6&gt;=3),OR(N6="",N6&gt;=3),OR(R6="",R6&gt;=3),OR(V6="",V6&gt;=3)),"✓ APROBADO","✗ REPROBADO")))</f>
        <v/>
      </c>
    </row>
    <row r="7" ht="16.05" customHeight="1" s="176">
      <c r="A7" s="104" t="n">
        <v>3</v>
      </c>
      <c r="B7" s="105">
        <f>IF(MAESTRO!F7="","",MAESTRO!F7)</f>
        <v/>
      </c>
      <c r="C7" s="108">
        <f>IF(MAESTRO!F7="","",IFERROR('Planilla (Ingles 9°) '!F18,""))</f>
        <v/>
      </c>
      <c r="D7" s="108">
        <f>IF(MAESTRO!F7="","",IFERROR('Planilla (Ingles 9°) '!G18,""))</f>
        <v/>
      </c>
      <c r="E7" s="108">
        <f>IF(MAESTRO!F7="","",IFERROR('Planilla (Ingles 9°) '!H18,""))</f>
        <v/>
      </c>
      <c r="F7" s="109">
        <f>IF(MAESTRO!F7="","",IFERROR('Planilla (Ingles 9°) '!I18,""))</f>
        <v/>
      </c>
      <c r="G7" s="108">
        <f>IF(MAESTRO!F7="","",IFERROR('Planilla (Agropecuaria 9°)'!F18,""))</f>
        <v/>
      </c>
      <c r="H7" s="108">
        <f>IF(MAESTRO!F7="","",IFERROR('Planilla (Agropecuaria 9°)'!G18,""))</f>
        <v/>
      </c>
      <c r="I7" s="108">
        <f>IF(MAESTRO!F7="","",IFERROR('Planilla (Agropecuaria 9°)'!H18,""))</f>
        <v/>
      </c>
      <c r="J7" s="109">
        <f>IF(MAESTRO!F7="","",IFERROR('Planilla (Agropecuaria 9°)'!I18,""))</f>
        <v/>
      </c>
      <c r="K7" s="108">
        <f>IF(MAESTRO!F7="","",IFERROR('Planilla (Comercio 9°)'!F18,""))</f>
        <v/>
      </c>
      <c r="L7" s="108">
        <f>IF(MAESTRO!F7="","",IFERROR('Planilla (Comercio 9°)'!G18,""))</f>
        <v/>
      </c>
      <c r="M7" s="108">
        <f>IF(MAESTRO!F7="","",IFERROR('Planilla (Comercio 9°)'!H18,""))</f>
        <v/>
      </c>
      <c r="N7" s="109">
        <f>IF(MAESTRO!F7="","",IFERROR('Planilla (Comercio 9°)'!I18,""))</f>
        <v/>
      </c>
      <c r="O7" s="110">
        <f>IF(MAESTRO!F7="","",IFERROR('Planilla (Artistica 9°)'!F18,""))</f>
        <v/>
      </c>
      <c r="P7" s="110">
        <f>IF(MAESTRO!F7="","",IFERROR('Planilla (Artistica 9°)'!G18,""))</f>
        <v/>
      </c>
      <c r="Q7" s="110">
        <f>IF(MAESTRO!F7="","",IFERROR('Planilla (Artistica 9°)'!H18,""))</f>
        <v/>
      </c>
      <c r="R7" s="110">
        <f>IF(MAESTRO!F7="","",IFERROR('Planilla (Artistica 9°)'!I18,""))</f>
        <v/>
      </c>
      <c r="S7" s="108">
        <f>IF(MAESTRO!F7="","",IFERROR('PROM (Artistica 9°)'!AE7,""))</f>
        <v/>
      </c>
      <c r="T7" s="108">
        <f>IF(MAESTRO!F7="","",IFERROR('PROM (Artistica 9°)'!BL7,""))</f>
        <v/>
      </c>
      <c r="U7" s="108">
        <f>IF(MAESTRO!F7="","",IFERROR('PROM (Artistica 9°)'!CT7,""))</f>
        <v/>
      </c>
      <c r="V7" s="109">
        <f>IF(MAESTRO!F7="","",IFERROR(TRUNC(AVERAGE(S7,T7,U7),1),""))</f>
        <v/>
      </c>
      <c r="W7" s="109">
        <f>IF(MAESTRO!F7="","",IF(AND(F7="",J7="",N7="",R7="",V7=""),"",IF(Y(OR(F7="",F7&gt;=3),OR(J7="",J7&gt;=3),OR(N7="",N7&gt;=3),OR(R7="",R7&gt;=3),OR(V7="",V7&gt;=3)),"✓ APROBADO","✗ REPROBADO")))</f>
        <v/>
      </c>
    </row>
    <row r="8" ht="16.05" customHeight="1" s="176">
      <c r="A8" s="102" t="n">
        <v>4</v>
      </c>
      <c r="B8" s="103">
        <f>IF(MAESTRO!F8="","",MAESTRO!F8)</f>
        <v/>
      </c>
      <c r="C8" s="111">
        <f>IF(MAESTRO!F8="","",IFERROR('Planilla (Ingles 9°) '!F19,""))</f>
        <v/>
      </c>
      <c r="D8" s="111">
        <f>IF(MAESTRO!F8="","",IFERROR('Planilla (Ingles 9°) '!G19,""))</f>
        <v/>
      </c>
      <c r="E8" s="111">
        <f>IF(MAESTRO!F8="","",IFERROR('Planilla (Ingles 9°) '!H19,""))</f>
        <v/>
      </c>
      <c r="F8" s="112">
        <f>IF(MAESTRO!F8="","",IFERROR('Planilla (Ingles 9°) '!I19,""))</f>
        <v/>
      </c>
      <c r="G8" s="111">
        <f>IF(MAESTRO!F8="","",IFERROR('Planilla (Agropecuaria 9°)'!F19,""))</f>
        <v/>
      </c>
      <c r="H8" s="111">
        <f>IF(MAESTRO!F8="","",IFERROR('Planilla (Agropecuaria 9°)'!G19,""))</f>
        <v/>
      </c>
      <c r="I8" s="111">
        <f>IF(MAESTRO!F8="","",IFERROR('Planilla (Agropecuaria 9°)'!H19,""))</f>
        <v/>
      </c>
      <c r="J8" s="112">
        <f>IF(MAESTRO!F8="","",IFERROR('Planilla (Agropecuaria 9°)'!I19,""))</f>
        <v/>
      </c>
      <c r="K8" s="111">
        <f>IF(MAESTRO!F8="","",IFERROR('Planilla (Comercio 9°)'!F19,""))</f>
        <v/>
      </c>
      <c r="L8" s="111">
        <f>IF(MAESTRO!F8="","",IFERROR('Planilla (Comercio 9°)'!G19,""))</f>
        <v/>
      </c>
      <c r="M8" s="111">
        <f>IF(MAESTRO!F8="","",IFERROR('Planilla (Comercio 9°)'!H19,""))</f>
        <v/>
      </c>
      <c r="N8" s="112">
        <f>IF(MAESTRO!F8="","",IFERROR('Planilla (Comercio 9°)'!I19,""))</f>
        <v/>
      </c>
      <c r="O8" s="110">
        <f>IF(MAESTRO!F8="","",IFERROR('Planilla (Artistica 9°)'!F19,""))</f>
        <v/>
      </c>
      <c r="P8" s="110">
        <f>IF(MAESTRO!F8="","",IFERROR('Planilla (Artistica 9°)'!G19,""))</f>
        <v/>
      </c>
      <c r="Q8" s="110">
        <f>IF(MAESTRO!F8="","",IFERROR('Planilla (Artistica 9°)'!H19,""))</f>
        <v/>
      </c>
      <c r="R8" s="110">
        <f>IF(MAESTRO!F8="","",IFERROR('Planilla (Artistica 9°)'!I19,""))</f>
        <v/>
      </c>
      <c r="S8" s="111">
        <f>IF(MAESTRO!F8="","",IFERROR('PROM (Artistica 9°)'!AE8,""))</f>
        <v/>
      </c>
      <c r="T8" s="111">
        <f>IF(MAESTRO!F8="","",IFERROR('PROM (Artistica 9°)'!BL8,""))</f>
        <v/>
      </c>
      <c r="U8" s="111">
        <f>IF(MAESTRO!F8="","",IFERROR('PROM (Artistica 9°)'!CT8,""))</f>
        <v/>
      </c>
      <c r="V8" s="112">
        <f>IF(MAESTRO!F8="","",IFERROR(TRUNC(AVERAGE(S8,T8,U8),1),""))</f>
        <v/>
      </c>
      <c r="W8" s="112">
        <f>IF(MAESTRO!F8="","",IF(AND(F8="",J8="",N8="",R8="",V8=""),"",IF(Y(OR(F8="",F8&gt;=3),OR(J8="",J8&gt;=3),OR(N8="",N8&gt;=3),OR(R8="",R8&gt;=3),OR(V8="",V8&gt;=3)),"✓ APROBADO","✗ REPROBADO")))</f>
        <v/>
      </c>
    </row>
    <row r="9" ht="16.05" customHeight="1" s="176">
      <c r="A9" s="104" t="n">
        <v>5</v>
      </c>
      <c r="B9" s="105">
        <f>IF(MAESTRO!F9="","",MAESTRO!F9)</f>
        <v/>
      </c>
      <c r="C9" s="108">
        <f>IF(MAESTRO!F9="","",IFERROR('Planilla (Ingles 9°) '!F20,""))</f>
        <v/>
      </c>
      <c r="D9" s="108">
        <f>IF(MAESTRO!F9="","",IFERROR('Planilla (Ingles 9°) '!G20,""))</f>
        <v/>
      </c>
      <c r="E9" s="108">
        <f>IF(MAESTRO!F9="","",IFERROR('Planilla (Ingles 9°) '!H20,""))</f>
        <v/>
      </c>
      <c r="F9" s="109">
        <f>IF(MAESTRO!F9="","",IFERROR('Planilla (Ingles 9°) '!I20,""))</f>
        <v/>
      </c>
      <c r="G9" s="108">
        <f>IF(MAESTRO!F9="","",IFERROR('Planilla (Agropecuaria 9°)'!F20,""))</f>
        <v/>
      </c>
      <c r="H9" s="108">
        <f>IF(MAESTRO!F9="","",IFERROR('Planilla (Agropecuaria 9°)'!G20,""))</f>
        <v/>
      </c>
      <c r="I9" s="108">
        <f>IF(MAESTRO!F9="","",IFERROR('Planilla (Agropecuaria 9°)'!H20,""))</f>
        <v/>
      </c>
      <c r="J9" s="109">
        <f>IF(MAESTRO!F9="","",IFERROR('Planilla (Agropecuaria 9°)'!I20,""))</f>
        <v/>
      </c>
      <c r="K9" s="108">
        <f>IF(MAESTRO!F9="","",IFERROR('Planilla (Comercio 9°)'!F20,""))</f>
        <v/>
      </c>
      <c r="L9" s="108">
        <f>IF(MAESTRO!F9="","",IFERROR('Planilla (Comercio 9°)'!G20,""))</f>
        <v/>
      </c>
      <c r="M9" s="108">
        <f>IF(MAESTRO!F9="","",IFERROR('Planilla (Comercio 9°)'!H20,""))</f>
        <v/>
      </c>
      <c r="N9" s="109">
        <f>IF(MAESTRO!F9="","",IFERROR('Planilla (Comercio 9°)'!I20,""))</f>
        <v/>
      </c>
      <c r="O9" s="110">
        <f>IF(MAESTRO!F9="","",IFERROR('Planilla (Artistica 9°)'!F20,""))</f>
        <v/>
      </c>
      <c r="P9" s="110">
        <f>IF(MAESTRO!F9="","",IFERROR('Planilla (Artistica 9°)'!G20,""))</f>
        <v/>
      </c>
      <c r="Q9" s="110">
        <f>IF(MAESTRO!F9="","",IFERROR('Planilla (Artistica 9°)'!H20,""))</f>
        <v/>
      </c>
      <c r="R9" s="110">
        <f>IF(MAESTRO!F9="","",IFERROR('Planilla (Artistica 9°)'!I20,""))</f>
        <v/>
      </c>
      <c r="S9" s="108">
        <f>IF(MAESTRO!F9="","",IFERROR('PROM (Artistica 9°)'!AE9,""))</f>
        <v/>
      </c>
      <c r="T9" s="108">
        <f>IF(MAESTRO!F9="","",IFERROR('PROM (Artistica 9°)'!BL9,""))</f>
        <v/>
      </c>
      <c r="U9" s="108">
        <f>IF(MAESTRO!F9="","",IFERROR('PROM (Artistica 9°)'!CT9,""))</f>
        <v/>
      </c>
      <c r="V9" s="109">
        <f>IF(MAESTRO!F9="","",IFERROR(TRUNC(AVERAGE(S9,T9,U9),1),""))</f>
        <v/>
      </c>
      <c r="W9" s="109">
        <f>IF(MAESTRO!F9="","",IF(AND(F9="",J9="",N9="",R9="",V9=""),"",IF(Y(OR(F9="",F9&gt;=3),OR(J9="",J9&gt;=3),OR(N9="",N9&gt;=3),OR(R9="",R9&gt;=3),OR(V9="",V9&gt;=3)),"✓ APROBADO","✗ REPROBADO")))</f>
        <v/>
      </c>
    </row>
    <row r="10" ht="16.05" customHeight="1" s="176">
      <c r="A10" s="102" t="n">
        <v>6</v>
      </c>
      <c r="B10" s="103">
        <f>IF(MAESTRO!F10="","",MAESTRO!F10)</f>
        <v/>
      </c>
      <c r="C10" s="111">
        <f>IF(MAESTRO!F10="","",IFERROR('Planilla (Ingles 9°) '!F21,""))</f>
        <v/>
      </c>
      <c r="D10" s="111">
        <f>IF(MAESTRO!F10="","",IFERROR('Planilla (Ingles 9°) '!G21,""))</f>
        <v/>
      </c>
      <c r="E10" s="111">
        <f>IF(MAESTRO!F10="","",IFERROR('Planilla (Ingles 9°) '!H21,""))</f>
        <v/>
      </c>
      <c r="F10" s="112">
        <f>IF(MAESTRO!F10="","",IFERROR('Planilla (Ingles 9°) '!I21,""))</f>
        <v/>
      </c>
      <c r="G10" s="111">
        <f>IF(MAESTRO!F10="","",IFERROR('Planilla (Agropecuaria 9°)'!F21,""))</f>
        <v/>
      </c>
      <c r="H10" s="111">
        <f>IF(MAESTRO!F10="","",IFERROR('Planilla (Agropecuaria 9°)'!G21,""))</f>
        <v/>
      </c>
      <c r="I10" s="111">
        <f>IF(MAESTRO!F10="","",IFERROR('Planilla (Agropecuaria 9°)'!H21,""))</f>
        <v/>
      </c>
      <c r="J10" s="112">
        <f>IF(MAESTRO!F10="","",IFERROR('Planilla (Agropecuaria 9°)'!I21,""))</f>
        <v/>
      </c>
      <c r="K10" s="111">
        <f>IF(MAESTRO!F10="","",IFERROR('Planilla (Comercio 9°)'!F21,""))</f>
        <v/>
      </c>
      <c r="L10" s="111">
        <f>IF(MAESTRO!F10="","",IFERROR('Planilla (Comercio 9°)'!G21,""))</f>
        <v/>
      </c>
      <c r="M10" s="111">
        <f>IF(MAESTRO!F10="","",IFERROR('Planilla (Comercio 9°)'!H21,""))</f>
        <v/>
      </c>
      <c r="N10" s="112">
        <f>IF(MAESTRO!F10="","",IFERROR('Planilla (Comercio 9°)'!I21,""))</f>
        <v/>
      </c>
      <c r="O10" s="110">
        <f>IF(MAESTRO!F10="","",IFERROR('Planilla (Artistica 9°)'!F21,""))</f>
        <v/>
      </c>
      <c r="P10" s="110">
        <f>IF(MAESTRO!F10="","",IFERROR('Planilla (Artistica 9°)'!G21,""))</f>
        <v/>
      </c>
      <c r="Q10" s="110">
        <f>IF(MAESTRO!F10="","",IFERROR('Planilla (Artistica 9°)'!H21,""))</f>
        <v/>
      </c>
      <c r="R10" s="110">
        <f>IF(MAESTRO!F10="","",IFERROR('Planilla (Artistica 9°)'!I21,""))</f>
        <v/>
      </c>
      <c r="S10" s="111">
        <f>IF(MAESTRO!F10="","",IFERROR('PROM (Artistica 9°)'!AE10,""))</f>
        <v/>
      </c>
      <c r="T10" s="111">
        <f>IF(MAESTRO!F10="","",IFERROR('PROM (Artistica 9°)'!BL10,""))</f>
        <v/>
      </c>
      <c r="U10" s="111">
        <f>IF(MAESTRO!F10="","",IFERROR('PROM (Artistica 9°)'!CT10,""))</f>
        <v/>
      </c>
      <c r="V10" s="112">
        <f>IF(MAESTRO!F10="","",IFERROR(TRUNC(AVERAGE(S10,T10,U10),1),""))</f>
        <v/>
      </c>
      <c r="W10" s="112">
        <f>IF(MAESTRO!F10="","",IF(AND(F10="",J10="",N10="",R10="",V10=""),"",IF(Y(OR(F10="",F10&gt;=3),OR(J10="",J10&gt;=3),OR(N10="",N10&gt;=3),OR(R10="",R10&gt;=3),OR(V10="",V10&gt;=3)),"✓ APROBADO","✗ REPROBADO")))</f>
        <v/>
      </c>
    </row>
    <row r="11" ht="16.05" customHeight="1" s="176">
      <c r="A11" s="104" t="n">
        <v>7</v>
      </c>
      <c r="B11" s="105">
        <f>IF(MAESTRO!F11="","",MAESTRO!F11)</f>
        <v/>
      </c>
      <c r="C11" s="108">
        <f>IF(MAESTRO!F11="","",IFERROR('Planilla (Ingles 9°) '!F22,""))</f>
        <v/>
      </c>
      <c r="D11" s="108">
        <f>IF(MAESTRO!F11="","",IFERROR('Planilla (Ingles 9°) '!G22,""))</f>
        <v/>
      </c>
      <c r="E11" s="108">
        <f>IF(MAESTRO!F11="","",IFERROR('Planilla (Ingles 9°) '!H22,""))</f>
        <v/>
      </c>
      <c r="F11" s="109">
        <f>IF(MAESTRO!F11="","",IFERROR('Planilla (Ingles 9°) '!I22,""))</f>
        <v/>
      </c>
      <c r="G11" s="108">
        <f>IF(MAESTRO!F11="","",IFERROR('Planilla (Agropecuaria 9°)'!F22,""))</f>
        <v/>
      </c>
      <c r="H11" s="108">
        <f>IF(MAESTRO!F11="","",IFERROR('Planilla (Agropecuaria 9°)'!G22,""))</f>
        <v/>
      </c>
      <c r="I11" s="108">
        <f>IF(MAESTRO!F11="","",IFERROR('Planilla (Agropecuaria 9°)'!H22,""))</f>
        <v/>
      </c>
      <c r="J11" s="109">
        <f>IF(MAESTRO!F11="","",IFERROR('Planilla (Agropecuaria 9°)'!I22,""))</f>
        <v/>
      </c>
      <c r="K11" s="108">
        <f>IF(MAESTRO!F11="","",IFERROR('Planilla (Comercio 9°)'!F22,""))</f>
        <v/>
      </c>
      <c r="L11" s="108">
        <f>IF(MAESTRO!F11="","",IFERROR('Planilla (Comercio 9°)'!G22,""))</f>
        <v/>
      </c>
      <c r="M11" s="108">
        <f>IF(MAESTRO!F11="","",IFERROR('Planilla (Comercio 9°)'!H22,""))</f>
        <v/>
      </c>
      <c r="N11" s="109">
        <f>IF(MAESTRO!F11="","",IFERROR('Planilla (Comercio 9°)'!I22,""))</f>
        <v/>
      </c>
      <c r="O11" s="110">
        <f>IF(MAESTRO!F11="","",IFERROR('Planilla (Artistica 9°)'!F22,""))</f>
        <v/>
      </c>
      <c r="P11" s="110">
        <f>IF(MAESTRO!F11="","",IFERROR('Planilla (Artistica 9°)'!G22,""))</f>
        <v/>
      </c>
      <c r="Q11" s="110">
        <f>IF(MAESTRO!F11="","",IFERROR('Planilla (Artistica 9°)'!H22,""))</f>
        <v/>
      </c>
      <c r="R11" s="110">
        <f>IF(MAESTRO!F11="","",IFERROR('Planilla (Artistica 9°)'!I22,""))</f>
        <v/>
      </c>
      <c r="S11" s="108">
        <f>IF(MAESTRO!F11="","",IFERROR('PROM (Artistica 9°)'!AE11,""))</f>
        <v/>
      </c>
      <c r="T11" s="108">
        <f>IF(MAESTRO!F11="","",IFERROR('PROM (Artistica 9°)'!BL11,""))</f>
        <v/>
      </c>
      <c r="U11" s="108">
        <f>IF(MAESTRO!F11="","",IFERROR('PROM (Artistica 9°)'!CT11,""))</f>
        <v/>
      </c>
      <c r="V11" s="109">
        <f>IF(MAESTRO!F11="","",IFERROR(TRUNC(AVERAGE(S11,T11,U11),1),""))</f>
        <v/>
      </c>
      <c r="W11" s="109">
        <f>IF(MAESTRO!F11="","",IF(AND(F11="",J11="",N11="",R11="",V11=""),"",IF(Y(OR(F11="",F11&gt;=3),OR(J11="",J11&gt;=3),OR(N11="",N11&gt;=3),OR(R11="",R11&gt;=3),OR(V11="",V11&gt;=3)),"✓ APROBADO","✗ REPROBADO")))</f>
        <v/>
      </c>
    </row>
    <row r="12" ht="16.05" customHeight="1" s="176">
      <c r="A12" s="102" t="n">
        <v>8</v>
      </c>
      <c r="B12" s="103">
        <f>IF(MAESTRO!F12="","",MAESTRO!F12)</f>
        <v/>
      </c>
      <c r="C12" s="111">
        <f>IF(MAESTRO!F12="","",IFERROR('Planilla (Ingles 9°) '!F23,""))</f>
        <v/>
      </c>
      <c r="D12" s="111">
        <f>IF(MAESTRO!F12="","",IFERROR('Planilla (Ingles 9°) '!G23,""))</f>
        <v/>
      </c>
      <c r="E12" s="111">
        <f>IF(MAESTRO!F12="","",IFERROR('Planilla (Ingles 9°) '!H23,""))</f>
        <v/>
      </c>
      <c r="F12" s="112">
        <f>IF(MAESTRO!F12="","",IFERROR('Planilla (Ingles 9°) '!I23,""))</f>
        <v/>
      </c>
      <c r="G12" s="111">
        <f>IF(MAESTRO!F12="","",IFERROR('Planilla (Agropecuaria 9°)'!F23,""))</f>
        <v/>
      </c>
      <c r="H12" s="111">
        <f>IF(MAESTRO!F12="","",IFERROR('Planilla (Agropecuaria 9°)'!G23,""))</f>
        <v/>
      </c>
      <c r="I12" s="111">
        <f>IF(MAESTRO!F12="","",IFERROR('Planilla (Agropecuaria 9°)'!H23,""))</f>
        <v/>
      </c>
      <c r="J12" s="112">
        <f>IF(MAESTRO!F12="","",IFERROR('Planilla (Agropecuaria 9°)'!I23,""))</f>
        <v/>
      </c>
      <c r="K12" s="111">
        <f>IF(MAESTRO!F12="","",IFERROR('Planilla (Comercio 9°)'!F23,""))</f>
        <v/>
      </c>
      <c r="L12" s="111">
        <f>IF(MAESTRO!F12="","",IFERROR('Planilla (Comercio 9°)'!G23,""))</f>
        <v/>
      </c>
      <c r="M12" s="111">
        <f>IF(MAESTRO!F12="","",IFERROR('Planilla (Comercio 9°)'!H23,""))</f>
        <v/>
      </c>
      <c r="N12" s="112">
        <f>IF(MAESTRO!F12="","",IFERROR('Planilla (Comercio 9°)'!I23,""))</f>
        <v/>
      </c>
      <c r="O12" s="110">
        <f>IF(MAESTRO!F12="","",IFERROR('Planilla (Artistica 9°)'!F23,""))</f>
        <v/>
      </c>
      <c r="P12" s="110">
        <f>IF(MAESTRO!F12="","",IFERROR('Planilla (Artistica 9°)'!G23,""))</f>
        <v/>
      </c>
      <c r="Q12" s="110">
        <f>IF(MAESTRO!F12="","",IFERROR('Planilla (Artistica 9°)'!H23,""))</f>
        <v/>
      </c>
      <c r="R12" s="110">
        <f>IF(MAESTRO!F12="","",IFERROR('Planilla (Artistica 9°)'!I23,""))</f>
        <v/>
      </c>
      <c r="S12" s="111">
        <f>IF(MAESTRO!F12="","",IFERROR('PROM (Artistica 9°)'!AE12,""))</f>
        <v/>
      </c>
      <c r="T12" s="111">
        <f>IF(MAESTRO!F12="","",IFERROR('PROM (Artistica 9°)'!BL12,""))</f>
        <v/>
      </c>
      <c r="U12" s="111">
        <f>IF(MAESTRO!F12="","",IFERROR('PROM (Artistica 9°)'!CT12,""))</f>
        <v/>
      </c>
      <c r="V12" s="112">
        <f>IF(MAESTRO!F12="","",IFERROR(TRUNC(AVERAGE(S12,T12,U12),1),""))</f>
        <v/>
      </c>
      <c r="W12" s="112">
        <f>IF(MAESTRO!F12="","",IF(AND(F12="",J12="",N12="",R12="",V12=""),"",IF(Y(OR(F12="",F12&gt;=3),OR(J12="",J12&gt;=3),OR(N12="",N12&gt;=3),OR(R12="",R12&gt;=3),OR(V12="",V12&gt;=3)),"✓ APROBADO","✗ REPROBADO")))</f>
        <v/>
      </c>
    </row>
    <row r="13" ht="16.05" customHeight="1" s="176">
      <c r="A13" s="104" t="n">
        <v>9</v>
      </c>
      <c r="B13" s="105">
        <f>IF(MAESTRO!F13="","",MAESTRO!F13)</f>
        <v/>
      </c>
      <c r="C13" s="108">
        <f>IF(MAESTRO!F13="","",IFERROR('Planilla (Ingles 9°) '!F24,""))</f>
        <v/>
      </c>
      <c r="D13" s="108">
        <f>IF(MAESTRO!F13="","",IFERROR('Planilla (Ingles 9°) '!G24,""))</f>
        <v/>
      </c>
      <c r="E13" s="108">
        <f>IF(MAESTRO!F13="","",IFERROR('Planilla (Ingles 9°) '!H24,""))</f>
        <v/>
      </c>
      <c r="F13" s="109">
        <f>IF(MAESTRO!F13="","",IFERROR('Planilla (Ingles 9°) '!I24,""))</f>
        <v/>
      </c>
      <c r="G13" s="108">
        <f>IF(MAESTRO!F13="","",IFERROR('Planilla (Agropecuaria 9°)'!F24,""))</f>
        <v/>
      </c>
      <c r="H13" s="108">
        <f>IF(MAESTRO!F13="","",IFERROR('Planilla (Agropecuaria 9°)'!G24,""))</f>
        <v/>
      </c>
      <c r="I13" s="108">
        <f>IF(MAESTRO!F13="","",IFERROR('Planilla (Agropecuaria 9°)'!H24,""))</f>
        <v/>
      </c>
      <c r="J13" s="109">
        <f>IF(MAESTRO!F13="","",IFERROR('Planilla (Agropecuaria 9°)'!I24,""))</f>
        <v/>
      </c>
      <c r="K13" s="108">
        <f>IF(MAESTRO!F13="","",IFERROR('Planilla (Comercio 9°)'!F24,""))</f>
        <v/>
      </c>
      <c r="L13" s="108">
        <f>IF(MAESTRO!F13="","",IFERROR('Planilla (Comercio 9°)'!G24,""))</f>
        <v/>
      </c>
      <c r="M13" s="108">
        <f>IF(MAESTRO!F13="","",IFERROR('Planilla (Comercio 9°)'!H24,""))</f>
        <v/>
      </c>
      <c r="N13" s="109">
        <f>IF(MAESTRO!F13="","",IFERROR('Planilla (Comercio 9°)'!I24,""))</f>
        <v/>
      </c>
      <c r="O13" s="110">
        <f>IF(MAESTRO!F13="","",IFERROR('Planilla (Artistica 9°)'!F24,""))</f>
        <v/>
      </c>
      <c r="P13" s="110">
        <f>IF(MAESTRO!F13="","",IFERROR('Planilla (Artistica 9°)'!G24,""))</f>
        <v/>
      </c>
      <c r="Q13" s="110">
        <f>IF(MAESTRO!F13="","",IFERROR('Planilla (Artistica 9°)'!H24,""))</f>
        <v/>
      </c>
      <c r="R13" s="110">
        <f>IF(MAESTRO!F13="","",IFERROR('Planilla (Artistica 9°)'!I24,""))</f>
        <v/>
      </c>
      <c r="S13" s="108">
        <f>IF(MAESTRO!F13="","",IFERROR('PROM (Artistica 9°)'!AE13,""))</f>
        <v/>
      </c>
      <c r="T13" s="108">
        <f>IF(MAESTRO!F13="","",IFERROR('PROM (Artistica 9°)'!BL13,""))</f>
        <v/>
      </c>
      <c r="U13" s="108">
        <f>IF(MAESTRO!F13="","",IFERROR('PROM (Artistica 9°)'!CT13,""))</f>
        <v/>
      </c>
      <c r="V13" s="109">
        <f>IF(MAESTRO!F13="","",IFERROR(TRUNC(AVERAGE(S13,T13,U13),1),""))</f>
        <v/>
      </c>
      <c r="W13" s="109">
        <f>IF(MAESTRO!F13="","",IF(AND(F13="",J13="",N13="",R13="",V13=""),"",IF(Y(OR(F13="",F13&gt;=3),OR(J13="",J13&gt;=3),OR(N13="",N13&gt;=3),OR(R13="",R13&gt;=3),OR(V13="",V13&gt;=3)),"✓ APROBADO","✗ REPROBADO")))</f>
        <v/>
      </c>
    </row>
    <row r="14" ht="16.05" customHeight="1" s="176">
      <c r="A14" s="102" t="n">
        <v>10</v>
      </c>
      <c r="B14" s="103">
        <f>IF(MAESTRO!F14="","",MAESTRO!F14)</f>
        <v/>
      </c>
      <c r="C14" s="111">
        <f>IF(MAESTRO!F14="","",IFERROR('Planilla (Ingles 9°) '!F25,""))</f>
        <v/>
      </c>
      <c r="D14" s="111">
        <f>IF(MAESTRO!F14="","",IFERROR('Planilla (Ingles 9°) '!G25,""))</f>
        <v/>
      </c>
      <c r="E14" s="111">
        <f>IF(MAESTRO!F14="","",IFERROR('Planilla (Ingles 9°) '!H25,""))</f>
        <v/>
      </c>
      <c r="F14" s="112">
        <f>IF(MAESTRO!F14="","",IFERROR('Planilla (Ingles 9°) '!I25,""))</f>
        <v/>
      </c>
      <c r="G14" s="111">
        <f>IF(MAESTRO!F14="","",IFERROR('Planilla (Agropecuaria 9°)'!F25,""))</f>
        <v/>
      </c>
      <c r="H14" s="111">
        <f>IF(MAESTRO!F14="","",IFERROR('Planilla (Agropecuaria 9°)'!G25,""))</f>
        <v/>
      </c>
      <c r="I14" s="111">
        <f>IF(MAESTRO!F14="","",IFERROR('Planilla (Agropecuaria 9°)'!H25,""))</f>
        <v/>
      </c>
      <c r="J14" s="112">
        <f>IF(MAESTRO!F14="","",IFERROR('Planilla (Agropecuaria 9°)'!I25,""))</f>
        <v/>
      </c>
      <c r="K14" s="111">
        <f>IF(MAESTRO!F14="","",IFERROR('Planilla (Comercio 9°)'!F25,""))</f>
        <v/>
      </c>
      <c r="L14" s="111">
        <f>IF(MAESTRO!F14="","",IFERROR('Planilla (Comercio 9°)'!G25,""))</f>
        <v/>
      </c>
      <c r="M14" s="111">
        <f>IF(MAESTRO!F14="","",IFERROR('Planilla (Comercio 9°)'!H25,""))</f>
        <v/>
      </c>
      <c r="N14" s="112">
        <f>IF(MAESTRO!F14="","",IFERROR('Planilla (Comercio 9°)'!I25,""))</f>
        <v/>
      </c>
      <c r="O14" s="110">
        <f>IF(MAESTRO!F14="","",IFERROR('Planilla (Artistica 9°)'!F25,""))</f>
        <v/>
      </c>
      <c r="P14" s="110">
        <f>IF(MAESTRO!F14="","",IFERROR('Planilla (Artistica 9°)'!G25,""))</f>
        <v/>
      </c>
      <c r="Q14" s="110">
        <f>IF(MAESTRO!F14="","",IFERROR('Planilla (Artistica 9°)'!H25,""))</f>
        <v/>
      </c>
      <c r="R14" s="110">
        <f>IF(MAESTRO!F14="","",IFERROR('Planilla (Artistica 9°)'!I25,""))</f>
        <v/>
      </c>
      <c r="S14" s="111">
        <f>IF(MAESTRO!F14="","",IFERROR('PROM (Artistica 9°)'!AE14,""))</f>
        <v/>
      </c>
      <c r="T14" s="111">
        <f>IF(MAESTRO!F14="","",IFERROR('PROM (Artistica 9°)'!BL14,""))</f>
        <v/>
      </c>
      <c r="U14" s="111">
        <f>IF(MAESTRO!F14="","",IFERROR('PROM (Artistica 9°)'!CT14,""))</f>
        <v/>
      </c>
      <c r="V14" s="112">
        <f>IF(MAESTRO!F14="","",IFERROR(TRUNC(AVERAGE(S14,T14,U14),1),""))</f>
        <v/>
      </c>
      <c r="W14" s="112">
        <f>IF(MAESTRO!F14="","",IF(AND(F14="",J14="",N14="",R14="",V14=""),"",IF(Y(OR(F14="",F14&gt;=3),OR(J14="",J14&gt;=3),OR(N14="",N14&gt;=3),OR(R14="",R14&gt;=3),OR(V14="",V14&gt;=3)),"✓ APROBADO","✗ REPROBADO")))</f>
        <v/>
      </c>
    </row>
    <row r="15" ht="16.05" customHeight="1" s="176">
      <c r="A15" s="104" t="n">
        <v>11</v>
      </c>
      <c r="B15" s="105">
        <f>IF(MAESTRO!F15="","",MAESTRO!F15)</f>
        <v/>
      </c>
      <c r="C15" s="108">
        <f>IF(MAESTRO!F15="","",IFERROR('Planilla (Ingles 9°) '!F26,""))</f>
        <v/>
      </c>
      <c r="D15" s="108">
        <f>IF(MAESTRO!F15="","",IFERROR('Planilla (Ingles 9°) '!G26,""))</f>
        <v/>
      </c>
      <c r="E15" s="108">
        <f>IF(MAESTRO!F15="","",IFERROR('Planilla (Ingles 9°) '!H26,""))</f>
        <v/>
      </c>
      <c r="F15" s="109">
        <f>IF(MAESTRO!F15="","",IFERROR('Planilla (Ingles 9°) '!I26,""))</f>
        <v/>
      </c>
      <c r="G15" s="108">
        <f>IF(MAESTRO!F15="","",IFERROR('Planilla (Agropecuaria 9°)'!F26,""))</f>
        <v/>
      </c>
      <c r="H15" s="108">
        <f>IF(MAESTRO!F15="","",IFERROR('Planilla (Agropecuaria 9°)'!G26,""))</f>
        <v/>
      </c>
      <c r="I15" s="108">
        <f>IF(MAESTRO!F15="","",IFERROR('Planilla (Agropecuaria 9°)'!H26,""))</f>
        <v/>
      </c>
      <c r="J15" s="109">
        <f>IF(MAESTRO!F15="","",IFERROR('Planilla (Agropecuaria 9°)'!I26,""))</f>
        <v/>
      </c>
      <c r="K15" s="108">
        <f>IF(MAESTRO!F15="","",IFERROR('Planilla (Comercio 9°)'!F26,""))</f>
        <v/>
      </c>
      <c r="L15" s="108">
        <f>IF(MAESTRO!F15="","",IFERROR('Planilla (Comercio 9°)'!G26,""))</f>
        <v/>
      </c>
      <c r="M15" s="108">
        <f>IF(MAESTRO!F15="","",IFERROR('Planilla (Comercio 9°)'!H26,""))</f>
        <v/>
      </c>
      <c r="N15" s="109">
        <f>IF(MAESTRO!F15="","",IFERROR('Planilla (Comercio 9°)'!I26,""))</f>
        <v/>
      </c>
      <c r="O15" s="110">
        <f>IF(MAESTRO!F15="","",IFERROR('Planilla (Artistica 9°)'!F26,""))</f>
        <v/>
      </c>
      <c r="P15" s="110">
        <f>IF(MAESTRO!F15="","",IFERROR('Planilla (Artistica 9°)'!G26,""))</f>
        <v/>
      </c>
      <c r="Q15" s="110">
        <f>IF(MAESTRO!F15="","",IFERROR('Planilla (Artistica 9°)'!H26,""))</f>
        <v/>
      </c>
      <c r="R15" s="110">
        <f>IF(MAESTRO!F15="","",IFERROR('Planilla (Artistica 9°)'!I26,""))</f>
        <v/>
      </c>
      <c r="S15" s="108">
        <f>IF(MAESTRO!F15="","",IFERROR('PROM (Artistica 9°)'!AE15,""))</f>
        <v/>
      </c>
      <c r="T15" s="108">
        <f>IF(MAESTRO!F15="","",IFERROR('PROM (Artistica 9°)'!BL15,""))</f>
        <v/>
      </c>
      <c r="U15" s="108">
        <f>IF(MAESTRO!F15="","",IFERROR('PROM (Artistica 9°)'!CT15,""))</f>
        <v/>
      </c>
      <c r="V15" s="109">
        <f>IF(MAESTRO!F15="","",IFERROR(TRUNC(AVERAGE(S15,T15,U15),1),""))</f>
        <v/>
      </c>
      <c r="W15" s="109">
        <f>IF(MAESTRO!F15="","",IF(AND(F15="",J15="",N15="",R15="",V15=""),"",IF(Y(OR(F15="",F15&gt;=3),OR(J15="",J15&gt;=3),OR(N15="",N15&gt;=3),OR(R15="",R15&gt;=3),OR(V15="",V15&gt;=3)),"✓ APROBADO","✗ REPROBADO")))</f>
        <v/>
      </c>
    </row>
    <row r="16" ht="16.05" customHeight="1" s="176">
      <c r="A16" s="102" t="n">
        <v>12</v>
      </c>
      <c r="B16" s="103">
        <f>IF(MAESTRO!F16="","",MAESTRO!F16)</f>
        <v/>
      </c>
      <c r="C16" s="111">
        <f>IF(MAESTRO!F16="","",IFERROR('Planilla (Ingles 9°) '!F27,""))</f>
        <v/>
      </c>
      <c r="D16" s="111">
        <f>IF(MAESTRO!F16="","",IFERROR('Planilla (Ingles 9°) '!G27,""))</f>
        <v/>
      </c>
      <c r="E16" s="111">
        <f>IF(MAESTRO!F16="","",IFERROR('Planilla (Ingles 9°) '!H27,""))</f>
        <v/>
      </c>
      <c r="F16" s="112">
        <f>IF(MAESTRO!F16="","",IFERROR('Planilla (Ingles 9°) '!I27,""))</f>
        <v/>
      </c>
      <c r="G16" s="111">
        <f>IF(MAESTRO!F16="","",IFERROR('Planilla (Agropecuaria 9°)'!F27,""))</f>
        <v/>
      </c>
      <c r="H16" s="111">
        <f>IF(MAESTRO!F16="","",IFERROR('Planilla (Agropecuaria 9°)'!G27,""))</f>
        <v/>
      </c>
      <c r="I16" s="111">
        <f>IF(MAESTRO!F16="","",IFERROR('Planilla (Agropecuaria 9°)'!H27,""))</f>
        <v/>
      </c>
      <c r="J16" s="112">
        <f>IF(MAESTRO!F16="","",IFERROR('Planilla (Agropecuaria 9°)'!I27,""))</f>
        <v/>
      </c>
      <c r="K16" s="111">
        <f>IF(MAESTRO!F16="","",IFERROR('Planilla (Comercio 9°)'!F27,""))</f>
        <v/>
      </c>
      <c r="L16" s="111">
        <f>IF(MAESTRO!F16="","",IFERROR('Planilla (Comercio 9°)'!G27,""))</f>
        <v/>
      </c>
      <c r="M16" s="111">
        <f>IF(MAESTRO!F16="","",IFERROR('Planilla (Comercio 9°)'!H27,""))</f>
        <v/>
      </c>
      <c r="N16" s="112">
        <f>IF(MAESTRO!F16="","",IFERROR('Planilla (Comercio 9°)'!I27,""))</f>
        <v/>
      </c>
      <c r="O16" s="110">
        <f>IF(MAESTRO!F16="","",IFERROR('Planilla (Artistica 9°)'!F27,""))</f>
        <v/>
      </c>
      <c r="P16" s="110">
        <f>IF(MAESTRO!F16="","",IFERROR('Planilla (Artistica 9°)'!G27,""))</f>
        <v/>
      </c>
      <c r="Q16" s="110">
        <f>IF(MAESTRO!F16="","",IFERROR('Planilla (Artistica 9°)'!H27,""))</f>
        <v/>
      </c>
      <c r="R16" s="110">
        <f>IF(MAESTRO!F16="","",IFERROR('Planilla (Artistica 9°)'!I27,""))</f>
        <v/>
      </c>
      <c r="S16" s="111">
        <f>IF(MAESTRO!F16="","",IFERROR('PROM (Artistica 9°)'!AE16,""))</f>
        <v/>
      </c>
      <c r="T16" s="111">
        <f>IF(MAESTRO!F16="","",IFERROR('PROM (Artistica 9°)'!BL16,""))</f>
        <v/>
      </c>
      <c r="U16" s="111">
        <f>IF(MAESTRO!F16="","",IFERROR('PROM (Artistica 9°)'!CT16,""))</f>
        <v/>
      </c>
      <c r="V16" s="112">
        <f>IF(MAESTRO!F16="","",IFERROR(TRUNC(AVERAGE(S16,T16,U16),1),""))</f>
        <v/>
      </c>
      <c r="W16" s="112">
        <f>IF(MAESTRO!F16="","",IF(AND(F16="",J16="",N16="",R16="",V16=""),"",IF(Y(OR(F16="",F16&gt;=3),OR(J16="",J16&gt;=3),OR(N16="",N16&gt;=3),OR(R16="",R16&gt;=3),OR(V16="",V16&gt;=3)),"✓ APROBADO","✗ REPROBADO")))</f>
        <v/>
      </c>
    </row>
    <row r="17" ht="16.05" customHeight="1" s="176">
      <c r="A17" s="104" t="n">
        <v>13</v>
      </c>
      <c r="B17" s="105">
        <f>IF(MAESTRO!F17="","",MAESTRO!F17)</f>
        <v/>
      </c>
      <c r="C17" s="108">
        <f>IF(MAESTRO!F17="","",IFERROR('Planilla (Ingles 9°) '!F28,""))</f>
        <v/>
      </c>
      <c r="D17" s="108">
        <f>IF(MAESTRO!F17="","",IFERROR('Planilla (Ingles 9°) '!G28,""))</f>
        <v/>
      </c>
      <c r="E17" s="108">
        <f>IF(MAESTRO!F17="","",IFERROR('Planilla (Ingles 9°) '!H28,""))</f>
        <v/>
      </c>
      <c r="F17" s="109">
        <f>IF(MAESTRO!F17="","",IFERROR('Planilla (Ingles 9°) '!I28,""))</f>
        <v/>
      </c>
      <c r="G17" s="108">
        <f>IF(MAESTRO!F17="","",IFERROR('Planilla (Agropecuaria 9°)'!F28,""))</f>
        <v/>
      </c>
      <c r="H17" s="108">
        <f>IF(MAESTRO!F17="","",IFERROR('Planilla (Agropecuaria 9°)'!G28,""))</f>
        <v/>
      </c>
      <c r="I17" s="108">
        <f>IF(MAESTRO!F17="","",IFERROR('Planilla (Agropecuaria 9°)'!H28,""))</f>
        <v/>
      </c>
      <c r="J17" s="109">
        <f>IF(MAESTRO!F17="","",IFERROR('Planilla (Agropecuaria 9°)'!I28,""))</f>
        <v/>
      </c>
      <c r="K17" s="108">
        <f>IF(MAESTRO!F17="","",IFERROR('Planilla (Comercio 9°)'!F28,""))</f>
        <v/>
      </c>
      <c r="L17" s="108">
        <f>IF(MAESTRO!F17="","",IFERROR('Planilla (Comercio 9°)'!G28,""))</f>
        <v/>
      </c>
      <c r="M17" s="108">
        <f>IF(MAESTRO!F17="","",IFERROR('Planilla (Comercio 9°)'!H28,""))</f>
        <v/>
      </c>
      <c r="N17" s="109">
        <f>IF(MAESTRO!F17="","",IFERROR('Planilla (Comercio 9°)'!I28,""))</f>
        <v/>
      </c>
      <c r="O17" s="110">
        <f>IF(MAESTRO!F17="","",IFERROR('Planilla (Artistica 9°)'!F28,""))</f>
        <v/>
      </c>
      <c r="P17" s="110">
        <f>IF(MAESTRO!F17="","",IFERROR('Planilla (Artistica 9°)'!G28,""))</f>
        <v/>
      </c>
      <c r="Q17" s="110">
        <f>IF(MAESTRO!F17="","",IFERROR('Planilla (Artistica 9°)'!H28,""))</f>
        <v/>
      </c>
      <c r="R17" s="110">
        <f>IF(MAESTRO!F17="","",IFERROR('Planilla (Artistica 9°)'!I28,""))</f>
        <v/>
      </c>
      <c r="S17" s="108">
        <f>IF(MAESTRO!F17="","",IFERROR('PROM (Artistica 9°)'!AE17,""))</f>
        <v/>
      </c>
      <c r="T17" s="108">
        <f>IF(MAESTRO!F17="","",IFERROR('PROM (Artistica 9°)'!BL17,""))</f>
        <v/>
      </c>
      <c r="U17" s="108">
        <f>IF(MAESTRO!F17="","",IFERROR('PROM (Artistica 9°)'!CT17,""))</f>
        <v/>
      </c>
      <c r="V17" s="109">
        <f>IF(MAESTRO!F17="","",IFERROR(TRUNC(AVERAGE(S17,T17,U17),1),""))</f>
        <v/>
      </c>
      <c r="W17" s="109">
        <f>IF(MAESTRO!F17="","",IF(AND(F17="",J17="",N17="",R17="",V17=""),"",IF(Y(OR(F17="",F17&gt;=3),OR(J17="",J17&gt;=3),OR(N17="",N17&gt;=3),OR(R17="",R17&gt;=3),OR(V17="",V17&gt;=3)),"✓ APROBADO","✗ REPROBADO")))</f>
        <v/>
      </c>
    </row>
    <row r="18" ht="16.05" customHeight="1" s="176">
      <c r="A18" s="102" t="n">
        <v>14</v>
      </c>
      <c r="B18" s="103">
        <f>IF(MAESTRO!F18="","",MAESTRO!F18)</f>
        <v/>
      </c>
      <c r="C18" s="111">
        <f>IF(MAESTRO!F18="","",IFERROR('Planilla (Ingles 9°) '!F29,""))</f>
        <v/>
      </c>
      <c r="D18" s="111">
        <f>IF(MAESTRO!F18="","",IFERROR('Planilla (Ingles 9°) '!G29,""))</f>
        <v/>
      </c>
      <c r="E18" s="111">
        <f>IF(MAESTRO!F18="","",IFERROR('Planilla (Ingles 9°) '!H29,""))</f>
        <v/>
      </c>
      <c r="F18" s="112">
        <f>IF(MAESTRO!F18="","",IFERROR('Planilla (Ingles 9°) '!I29,""))</f>
        <v/>
      </c>
      <c r="G18" s="111">
        <f>IF(MAESTRO!F18="","",IFERROR('Planilla (Agropecuaria 9°)'!F29,""))</f>
        <v/>
      </c>
      <c r="H18" s="111">
        <f>IF(MAESTRO!F18="","",IFERROR('Planilla (Agropecuaria 9°)'!G29,""))</f>
        <v/>
      </c>
      <c r="I18" s="111">
        <f>IF(MAESTRO!F18="","",IFERROR('Planilla (Agropecuaria 9°)'!H29,""))</f>
        <v/>
      </c>
      <c r="J18" s="112">
        <f>IF(MAESTRO!F18="","",IFERROR('Planilla (Agropecuaria 9°)'!I29,""))</f>
        <v/>
      </c>
      <c r="K18" s="111">
        <f>IF(MAESTRO!F18="","",IFERROR('Planilla (Comercio 9°)'!F29,""))</f>
        <v/>
      </c>
      <c r="L18" s="111">
        <f>IF(MAESTRO!F18="","",IFERROR('Planilla (Comercio 9°)'!G29,""))</f>
        <v/>
      </c>
      <c r="M18" s="111">
        <f>IF(MAESTRO!F18="","",IFERROR('Planilla (Comercio 9°)'!H29,""))</f>
        <v/>
      </c>
      <c r="N18" s="112">
        <f>IF(MAESTRO!F18="","",IFERROR('Planilla (Comercio 9°)'!I29,""))</f>
        <v/>
      </c>
      <c r="O18" s="110">
        <f>IF(MAESTRO!F18="","",IFERROR('Planilla (Artistica 9°)'!F29,""))</f>
        <v/>
      </c>
      <c r="P18" s="110">
        <f>IF(MAESTRO!F18="","",IFERROR('Planilla (Artistica 9°)'!G29,""))</f>
        <v/>
      </c>
      <c r="Q18" s="110">
        <f>IF(MAESTRO!F18="","",IFERROR('Planilla (Artistica 9°)'!H29,""))</f>
        <v/>
      </c>
      <c r="R18" s="110">
        <f>IF(MAESTRO!F18="","",IFERROR('Planilla (Artistica 9°)'!I29,""))</f>
        <v/>
      </c>
      <c r="S18" s="111">
        <f>IF(MAESTRO!F18="","",IFERROR('PROM (Artistica 9°)'!AE18,""))</f>
        <v/>
      </c>
      <c r="T18" s="111">
        <f>IF(MAESTRO!F18="","",IFERROR('PROM (Artistica 9°)'!BL18,""))</f>
        <v/>
      </c>
      <c r="U18" s="111">
        <f>IF(MAESTRO!F18="","",IFERROR('PROM (Artistica 9°)'!CT18,""))</f>
        <v/>
      </c>
      <c r="V18" s="112">
        <f>IF(MAESTRO!F18="","",IFERROR(TRUNC(AVERAGE(S18,T18,U18),1),""))</f>
        <v/>
      </c>
      <c r="W18" s="112">
        <f>IF(MAESTRO!F18="","",IF(AND(F18="",J18="",N18="",R18="",V18=""),"",IF(Y(OR(F18="",F18&gt;=3),OR(J18="",J18&gt;=3),OR(N18="",N18&gt;=3),OR(R18="",R18&gt;=3),OR(V18="",V18&gt;=3)),"✓ APROBADO","✗ REPROBADO")))</f>
        <v/>
      </c>
    </row>
    <row r="19" ht="16.05" customHeight="1" s="176">
      <c r="A19" s="104" t="n">
        <v>15</v>
      </c>
      <c r="B19" s="105">
        <f>IF(MAESTRO!F19="","",MAESTRO!F19)</f>
        <v/>
      </c>
      <c r="C19" s="108">
        <f>IF(MAESTRO!F19="","",IFERROR('Planilla (Ingles 9°) '!F30,""))</f>
        <v/>
      </c>
      <c r="D19" s="108">
        <f>IF(MAESTRO!F19="","",IFERROR('Planilla (Ingles 9°) '!G30,""))</f>
        <v/>
      </c>
      <c r="E19" s="108">
        <f>IF(MAESTRO!F19="","",IFERROR('Planilla (Ingles 9°) '!H30,""))</f>
        <v/>
      </c>
      <c r="F19" s="109">
        <f>IF(MAESTRO!F19="","",IFERROR('Planilla (Ingles 9°) '!I30,""))</f>
        <v/>
      </c>
      <c r="G19" s="108">
        <f>IF(MAESTRO!F19="","",IFERROR('Planilla (Agropecuaria 9°)'!F30,""))</f>
        <v/>
      </c>
      <c r="H19" s="108">
        <f>IF(MAESTRO!F19="","",IFERROR('Planilla (Agropecuaria 9°)'!G30,""))</f>
        <v/>
      </c>
      <c r="I19" s="108">
        <f>IF(MAESTRO!F19="","",IFERROR('Planilla (Agropecuaria 9°)'!H30,""))</f>
        <v/>
      </c>
      <c r="J19" s="109">
        <f>IF(MAESTRO!F19="","",IFERROR('Planilla (Agropecuaria 9°)'!I30,""))</f>
        <v/>
      </c>
      <c r="K19" s="108">
        <f>IF(MAESTRO!F19="","",IFERROR('Planilla (Comercio 9°)'!F30,""))</f>
        <v/>
      </c>
      <c r="L19" s="108">
        <f>IF(MAESTRO!F19="","",IFERROR('Planilla (Comercio 9°)'!G30,""))</f>
        <v/>
      </c>
      <c r="M19" s="108">
        <f>IF(MAESTRO!F19="","",IFERROR('Planilla (Comercio 9°)'!H30,""))</f>
        <v/>
      </c>
      <c r="N19" s="109">
        <f>IF(MAESTRO!F19="","",IFERROR('Planilla (Comercio 9°)'!I30,""))</f>
        <v/>
      </c>
      <c r="O19" s="110">
        <f>IF(MAESTRO!F19="","",IFERROR('Planilla (Artistica 9°)'!F30,""))</f>
        <v/>
      </c>
      <c r="P19" s="110">
        <f>IF(MAESTRO!F19="","",IFERROR('Planilla (Artistica 9°)'!G30,""))</f>
        <v/>
      </c>
      <c r="Q19" s="110">
        <f>IF(MAESTRO!F19="","",IFERROR('Planilla (Artistica 9°)'!H30,""))</f>
        <v/>
      </c>
      <c r="R19" s="110">
        <f>IF(MAESTRO!F19="","",IFERROR('Planilla (Artistica 9°)'!I30,""))</f>
        <v/>
      </c>
      <c r="S19" s="108">
        <f>IF(MAESTRO!F19="","",IFERROR('PROM (Artistica 9°)'!AE19,""))</f>
        <v/>
      </c>
      <c r="T19" s="108">
        <f>IF(MAESTRO!F19="","",IFERROR('PROM (Artistica 9°)'!BL19,""))</f>
        <v/>
      </c>
      <c r="U19" s="108">
        <f>IF(MAESTRO!F19="","",IFERROR('PROM (Artistica 9°)'!CT19,""))</f>
        <v/>
      </c>
      <c r="V19" s="109">
        <f>IF(MAESTRO!F19="","",IFERROR(TRUNC(AVERAGE(S19,T19,U19),1),""))</f>
        <v/>
      </c>
      <c r="W19" s="109">
        <f>IF(MAESTRO!F19="","",IF(AND(F19="",J19="",N19="",R19="",V19=""),"",IF(Y(OR(F19="",F19&gt;=3),OR(J19="",J19&gt;=3),OR(N19="",N19&gt;=3),OR(R19="",R19&gt;=3),OR(V19="",V19&gt;=3)),"✓ APROBADO","✗ REPROBADO")))</f>
        <v/>
      </c>
    </row>
    <row r="20" ht="16.05" customHeight="1" s="176">
      <c r="A20" s="102" t="n">
        <v>16</v>
      </c>
      <c r="B20" s="103">
        <f>IF(MAESTRO!F20="","",MAESTRO!F20)</f>
        <v/>
      </c>
      <c r="C20" s="111">
        <f>IF(MAESTRO!F20="","",IFERROR('Planilla (Ingles 9°) '!F31,""))</f>
        <v/>
      </c>
      <c r="D20" s="111">
        <f>IF(MAESTRO!F20="","",IFERROR('Planilla (Ingles 9°) '!G31,""))</f>
        <v/>
      </c>
      <c r="E20" s="111">
        <f>IF(MAESTRO!F20="","",IFERROR('Planilla (Ingles 9°) '!H31,""))</f>
        <v/>
      </c>
      <c r="F20" s="112">
        <f>IF(MAESTRO!F20="","",IFERROR('Planilla (Ingles 9°) '!I31,""))</f>
        <v/>
      </c>
      <c r="G20" s="111">
        <f>IF(MAESTRO!F20="","",IFERROR('Planilla (Agropecuaria 9°)'!F31,""))</f>
        <v/>
      </c>
      <c r="H20" s="111">
        <f>IF(MAESTRO!F20="","",IFERROR('Planilla (Agropecuaria 9°)'!G31,""))</f>
        <v/>
      </c>
      <c r="I20" s="111">
        <f>IF(MAESTRO!F20="","",IFERROR('Planilla (Agropecuaria 9°)'!H31,""))</f>
        <v/>
      </c>
      <c r="J20" s="112">
        <f>IF(MAESTRO!F20="","",IFERROR('Planilla (Agropecuaria 9°)'!I31,""))</f>
        <v/>
      </c>
      <c r="K20" s="111">
        <f>IF(MAESTRO!F20="","",IFERROR('Planilla (Comercio 9°)'!F31,""))</f>
        <v/>
      </c>
      <c r="L20" s="111">
        <f>IF(MAESTRO!F20="","",IFERROR('Planilla (Comercio 9°)'!G31,""))</f>
        <v/>
      </c>
      <c r="M20" s="111">
        <f>IF(MAESTRO!F20="","",IFERROR('Planilla (Comercio 9°)'!H31,""))</f>
        <v/>
      </c>
      <c r="N20" s="112">
        <f>IF(MAESTRO!F20="","",IFERROR('Planilla (Comercio 9°)'!I31,""))</f>
        <v/>
      </c>
      <c r="O20" s="110">
        <f>IF(MAESTRO!F20="","",IFERROR('Planilla (Artistica 9°)'!F31,""))</f>
        <v/>
      </c>
      <c r="P20" s="110">
        <f>IF(MAESTRO!F20="","",IFERROR('Planilla (Artistica 9°)'!G31,""))</f>
        <v/>
      </c>
      <c r="Q20" s="110">
        <f>IF(MAESTRO!F20="","",IFERROR('Planilla (Artistica 9°)'!H31,""))</f>
        <v/>
      </c>
      <c r="R20" s="110">
        <f>IF(MAESTRO!F20="","",IFERROR('Planilla (Artistica 9°)'!I31,""))</f>
        <v/>
      </c>
      <c r="S20" s="111">
        <f>IF(MAESTRO!F20="","",IFERROR('PROM (Artistica 9°)'!AE20,""))</f>
        <v/>
      </c>
      <c r="T20" s="111">
        <f>IF(MAESTRO!F20="","",IFERROR('PROM (Artistica 9°)'!BL20,""))</f>
        <v/>
      </c>
      <c r="U20" s="111">
        <f>IF(MAESTRO!F20="","",IFERROR('PROM (Artistica 9°)'!CT20,""))</f>
        <v/>
      </c>
      <c r="V20" s="112">
        <f>IF(MAESTRO!F20="","",IFERROR(TRUNC(AVERAGE(S20,T20,U20),1),""))</f>
        <v/>
      </c>
      <c r="W20" s="112">
        <f>IF(MAESTRO!F20="","",IF(AND(F20="",J20="",N20="",R20="",V20=""),"",IF(Y(OR(F20="",F20&gt;=3),OR(J20="",J20&gt;=3),OR(N20="",N20&gt;=3),OR(R20="",R20&gt;=3),OR(V20="",V20&gt;=3)),"✓ APROBADO","✗ REPROBADO")))</f>
        <v/>
      </c>
    </row>
    <row r="21" ht="16.05" customHeight="1" s="176">
      <c r="A21" s="104" t="n">
        <v>17</v>
      </c>
      <c r="B21" s="105">
        <f>IF(MAESTRO!F21="","",MAESTRO!F21)</f>
        <v/>
      </c>
      <c r="C21" s="108">
        <f>IF(MAESTRO!F21="","",IFERROR('Planilla (Ingles 9°) '!F32,""))</f>
        <v/>
      </c>
      <c r="D21" s="108">
        <f>IF(MAESTRO!F21="","",IFERROR('Planilla (Ingles 9°) '!G32,""))</f>
        <v/>
      </c>
      <c r="E21" s="108">
        <f>IF(MAESTRO!F21="","",IFERROR('Planilla (Ingles 9°) '!H32,""))</f>
        <v/>
      </c>
      <c r="F21" s="109">
        <f>IF(MAESTRO!F21="","",IFERROR('Planilla (Ingles 9°) '!I32,""))</f>
        <v/>
      </c>
      <c r="G21" s="108">
        <f>IF(MAESTRO!F21="","",IFERROR('Planilla (Agropecuaria 9°)'!F32,""))</f>
        <v/>
      </c>
      <c r="H21" s="108">
        <f>IF(MAESTRO!F21="","",IFERROR('Planilla (Agropecuaria 9°)'!G32,""))</f>
        <v/>
      </c>
      <c r="I21" s="108">
        <f>IF(MAESTRO!F21="","",IFERROR('Planilla (Agropecuaria 9°)'!H32,""))</f>
        <v/>
      </c>
      <c r="J21" s="109">
        <f>IF(MAESTRO!F21="","",IFERROR('Planilla (Agropecuaria 9°)'!I32,""))</f>
        <v/>
      </c>
      <c r="K21" s="108">
        <f>IF(MAESTRO!F21="","",IFERROR('Planilla (Comercio 9°)'!F32,""))</f>
        <v/>
      </c>
      <c r="L21" s="108">
        <f>IF(MAESTRO!F21="","",IFERROR('Planilla (Comercio 9°)'!G32,""))</f>
        <v/>
      </c>
      <c r="M21" s="108">
        <f>IF(MAESTRO!F21="","",IFERROR('Planilla (Comercio 9°)'!H32,""))</f>
        <v/>
      </c>
      <c r="N21" s="109">
        <f>IF(MAESTRO!F21="","",IFERROR('Planilla (Comercio 9°)'!I32,""))</f>
        <v/>
      </c>
      <c r="O21" s="110">
        <f>IF(MAESTRO!F21="","",IFERROR('Planilla (Artistica 9°)'!F32,""))</f>
        <v/>
      </c>
      <c r="P21" s="110">
        <f>IF(MAESTRO!F21="","",IFERROR('Planilla (Artistica 9°)'!G32,""))</f>
        <v/>
      </c>
      <c r="Q21" s="110">
        <f>IF(MAESTRO!F21="","",IFERROR('Planilla (Artistica 9°)'!H32,""))</f>
        <v/>
      </c>
      <c r="R21" s="110">
        <f>IF(MAESTRO!F21="","",IFERROR('Planilla (Artistica 9°)'!I32,""))</f>
        <v/>
      </c>
      <c r="S21" s="108">
        <f>IF(MAESTRO!F21="","",IFERROR('PROM (Artistica 9°)'!AE21,""))</f>
        <v/>
      </c>
      <c r="T21" s="108">
        <f>IF(MAESTRO!F21="","",IFERROR('PROM (Artistica 9°)'!BL21,""))</f>
        <v/>
      </c>
      <c r="U21" s="108">
        <f>IF(MAESTRO!F21="","",IFERROR('PROM (Artistica 9°)'!CT21,""))</f>
        <v/>
      </c>
      <c r="V21" s="109">
        <f>IF(MAESTRO!F21="","",IFERROR(TRUNC(AVERAGE(S21,T21,U21),1),""))</f>
        <v/>
      </c>
      <c r="W21" s="109">
        <f>IF(MAESTRO!F21="","",IF(AND(F21="",J21="",N21="",R21="",V21=""),"",IF(Y(OR(F21="",F21&gt;=3),OR(J21="",J21&gt;=3),OR(N21="",N21&gt;=3),OR(R21="",R21&gt;=3),OR(V21="",V21&gt;=3)),"✓ APROBADO","✗ REPROBADO")))</f>
        <v/>
      </c>
    </row>
    <row r="22" ht="16.05" customHeight="1" s="176">
      <c r="A22" s="102" t="n">
        <v>18</v>
      </c>
      <c r="B22" s="103">
        <f>IF(MAESTRO!F22="","",MAESTRO!F22)</f>
        <v/>
      </c>
      <c r="C22" s="111">
        <f>IF(MAESTRO!F22="","",IFERROR('Planilla (Ingles 9°) '!F33,""))</f>
        <v/>
      </c>
      <c r="D22" s="111">
        <f>IF(MAESTRO!F22="","",IFERROR('Planilla (Ingles 9°) '!G33,""))</f>
        <v/>
      </c>
      <c r="E22" s="111">
        <f>IF(MAESTRO!F22="","",IFERROR('Planilla (Ingles 9°) '!H33,""))</f>
        <v/>
      </c>
      <c r="F22" s="112">
        <f>IF(MAESTRO!F22="","",IFERROR('Planilla (Ingles 9°) '!I33,""))</f>
        <v/>
      </c>
      <c r="G22" s="111">
        <f>IF(MAESTRO!F22="","",IFERROR('Planilla (Agropecuaria 9°)'!F33,""))</f>
        <v/>
      </c>
      <c r="H22" s="111">
        <f>IF(MAESTRO!F22="","",IFERROR('Planilla (Agropecuaria 9°)'!G33,""))</f>
        <v/>
      </c>
      <c r="I22" s="111">
        <f>IF(MAESTRO!F22="","",IFERROR('Planilla (Agropecuaria 9°)'!H33,""))</f>
        <v/>
      </c>
      <c r="J22" s="112">
        <f>IF(MAESTRO!F22="","",IFERROR('Planilla (Agropecuaria 9°)'!I33,""))</f>
        <v/>
      </c>
      <c r="K22" s="111">
        <f>IF(MAESTRO!F22="","",IFERROR('Planilla (Comercio 9°)'!F33,""))</f>
        <v/>
      </c>
      <c r="L22" s="111">
        <f>IF(MAESTRO!F22="","",IFERROR('Planilla (Comercio 9°)'!G33,""))</f>
        <v/>
      </c>
      <c r="M22" s="111">
        <f>IF(MAESTRO!F22="","",IFERROR('Planilla (Comercio 9°)'!H33,""))</f>
        <v/>
      </c>
      <c r="N22" s="112">
        <f>IF(MAESTRO!F22="","",IFERROR('Planilla (Comercio 9°)'!I33,""))</f>
        <v/>
      </c>
      <c r="O22" s="110">
        <f>IF(MAESTRO!F22="","",IFERROR('Planilla (Artistica 9°)'!F33,""))</f>
        <v/>
      </c>
      <c r="P22" s="110">
        <f>IF(MAESTRO!F22="","",IFERROR('Planilla (Artistica 9°)'!G33,""))</f>
        <v/>
      </c>
      <c r="Q22" s="110">
        <f>IF(MAESTRO!F22="","",IFERROR('Planilla (Artistica 9°)'!H33,""))</f>
        <v/>
      </c>
      <c r="R22" s="110">
        <f>IF(MAESTRO!F22="","",IFERROR('Planilla (Artistica 9°)'!I33,""))</f>
        <v/>
      </c>
      <c r="S22" s="111">
        <f>IF(MAESTRO!F22="","",IFERROR('PROM (Artistica 9°)'!AE22,""))</f>
        <v/>
      </c>
      <c r="T22" s="111">
        <f>IF(MAESTRO!F22="","",IFERROR('PROM (Artistica 9°)'!BL22,""))</f>
        <v/>
      </c>
      <c r="U22" s="111">
        <f>IF(MAESTRO!F22="","",IFERROR('PROM (Artistica 9°)'!CT22,""))</f>
        <v/>
      </c>
      <c r="V22" s="112">
        <f>IF(MAESTRO!F22="","",IFERROR(TRUNC(AVERAGE(S22,T22,U22),1),""))</f>
        <v/>
      </c>
      <c r="W22" s="112">
        <f>IF(MAESTRO!F22="","",IF(AND(F22="",J22="",N22="",R22="",V22=""),"",IF(Y(OR(F22="",F22&gt;=3),OR(J22="",J22&gt;=3),OR(N22="",N22&gt;=3),OR(R22="",R22&gt;=3),OR(V22="",V22&gt;=3)),"✓ APROBADO","✗ REPROBADO")))</f>
        <v/>
      </c>
    </row>
    <row r="23" ht="16.05" customHeight="1" s="176">
      <c r="A23" s="104" t="n">
        <v>19</v>
      </c>
      <c r="B23" s="105">
        <f>IF(MAESTRO!F23="","",MAESTRO!F23)</f>
        <v/>
      </c>
      <c r="C23" s="108">
        <f>IF(MAESTRO!F23="","",IFERROR('Planilla (Ingles 9°) '!F34,""))</f>
        <v/>
      </c>
      <c r="D23" s="108">
        <f>IF(MAESTRO!F23="","",IFERROR('Planilla (Ingles 9°) '!G34,""))</f>
        <v/>
      </c>
      <c r="E23" s="108">
        <f>IF(MAESTRO!F23="","",IFERROR('Planilla (Ingles 9°) '!H34,""))</f>
        <v/>
      </c>
      <c r="F23" s="109">
        <f>IF(MAESTRO!F23="","",IFERROR('Planilla (Ingles 9°) '!I34,""))</f>
        <v/>
      </c>
      <c r="G23" s="108">
        <f>IF(MAESTRO!F23="","",IFERROR('Planilla (Agropecuaria 9°)'!F34,""))</f>
        <v/>
      </c>
      <c r="H23" s="108">
        <f>IF(MAESTRO!F23="","",IFERROR('Planilla (Agropecuaria 9°)'!G34,""))</f>
        <v/>
      </c>
      <c r="I23" s="108">
        <f>IF(MAESTRO!F23="","",IFERROR('Planilla (Agropecuaria 9°)'!H34,""))</f>
        <v/>
      </c>
      <c r="J23" s="109">
        <f>IF(MAESTRO!F23="","",IFERROR('Planilla (Agropecuaria 9°)'!I34,""))</f>
        <v/>
      </c>
      <c r="K23" s="108">
        <f>IF(MAESTRO!F23="","",IFERROR('Planilla (Comercio 9°)'!F34,""))</f>
        <v/>
      </c>
      <c r="L23" s="108">
        <f>IF(MAESTRO!F23="","",IFERROR('Planilla (Comercio 9°)'!G34,""))</f>
        <v/>
      </c>
      <c r="M23" s="108">
        <f>IF(MAESTRO!F23="","",IFERROR('Planilla (Comercio 9°)'!H34,""))</f>
        <v/>
      </c>
      <c r="N23" s="109">
        <f>IF(MAESTRO!F23="","",IFERROR('Planilla (Comercio 9°)'!I34,""))</f>
        <v/>
      </c>
      <c r="O23" s="110">
        <f>IF(MAESTRO!F23="","",IFERROR('Planilla (Artistica 9°)'!F34,""))</f>
        <v/>
      </c>
      <c r="P23" s="110">
        <f>IF(MAESTRO!F23="","",IFERROR('Planilla (Artistica 9°)'!G34,""))</f>
        <v/>
      </c>
      <c r="Q23" s="110">
        <f>IF(MAESTRO!F23="","",IFERROR('Planilla (Artistica 9°)'!H34,""))</f>
        <v/>
      </c>
      <c r="R23" s="110">
        <f>IF(MAESTRO!F23="","",IFERROR('Planilla (Artistica 9°)'!I34,""))</f>
        <v/>
      </c>
      <c r="S23" s="108">
        <f>IF(MAESTRO!F23="","",IFERROR('PROM (Artistica 9°)'!AE23,""))</f>
        <v/>
      </c>
      <c r="T23" s="108">
        <f>IF(MAESTRO!F23="","",IFERROR('PROM (Artistica 9°)'!BL23,""))</f>
        <v/>
      </c>
      <c r="U23" s="108">
        <f>IF(MAESTRO!F23="","",IFERROR('PROM (Artistica 9°)'!CT23,""))</f>
        <v/>
      </c>
      <c r="V23" s="109">
        <f>IF(MAESTRO!F23="","",IFERROR(TRUNC(AVERAGE(S23,T23,U23),1),""))</f>
        <v/>
      </c>
      <c r="W23" s="109">
        <f>IF(MAESTRO!F23="","",IF(AND(F23="",J23="",N23="",R23="",V23=""),"",IF(Y(OR(F23="",F23&gt;=3),OR(J23="",J23&gt;=3),OR(N23="",N23&gt;=3),OR(R23="",R23&gt;=3),OR(V23="",V23&gt;=3)),"✓ APROBADO","✗ REPROBADO")))</f>
        <v/>
      </c>
    </row>
    <row r="24" ht="16.05" customHeight="1" s="176">
      <c r="A24" s="102" t="n">
        <v>20</v>
      </c>
      <c r="B24" s="103">
        <f>IF(MAESTRO!F24="","",MAESTRO!F24)</f>
        <v/>
      </c>
      <c r="C24" s="111">
        <f>IF(MAESTRO!F24="","",IFERROR('Planilla (Ingles 9°) '!F35,""))</f>
        <v/>
      </c>
      <c r="D24" s="111">
        <f>IF(MAESTRO!F24="","",IFERROR('Planilla (Ingles 9°) '!G35,""))</f>
        <v/>
      </c>
      <c r="E24" s="111">
        <f>IF(MAESTRO!F24="","",IFERROR('Planilla (Ingles 9°) '!H35,""))</f>
        <v/>
      </c>
      <c r="F24" s="112">
        <f>IF(MAESTRO!F24="","",IFERROR('Planilla (Ingles 9°) '!I35,""))</f>
        <v/>
      </c>
      <c r="G24" s="111">
        <f>IF(MAESTRO!F24="","",IFERROR('Planilla (Agropecuaria 9°)'!F35,""))</f>
        <v/>
      </c>
      <c r="H24" s="111">
        <f>IF(MAESTRO!F24="","",IFERROR('Planilla (Agropecuaria 9°)'!G35,""))</f>
        <v/>
      </c>
      <c r="I24" s="111">
        <f>IF(MAESTRO!F24="","",IFERROR('Planilla (Agropecuaria 9°)'!H35,""))</f>
        <v/>
      </c>
      <c r="J24" s="112">
        <f>IF(MAESTRO!F24="","",IFERROR('Planilla (Agropecuaria 9°)'!I35,""))</f>
        <v/>
      </c>
      <c r="K24" s="111">
        <f>IF(MAESTRO!F24="","",IFERROR('Planilla (Comercio 9°)'!F35,""))</f>
        <v/>
      </c>
      <c r="L24" s="111">
        <f>IF(MAESTRO!F24="","",IFERROR('Planilla (Comercio 9°)'!G35,""))</f>
        <v/>
      </c>
      <c r="M24" s="111">
        <f>IF(MAESTRO!F24="","",IFERROR('Planilla (Comercio 9°)'!H35,""))</f>
        <v/>
      </c>
      <c r="N24" s="112">
        <f>IF(MAESTRO!F24="","",IFERROR('Planilla (Comercio 9°)'!I35,""))</f>
        <v/>
      </c>
      <c r="O24" s="110">
        <f>IF(MAESTRO!F24="","",IFERROR('Planilla (Artistica 9°)'!F35,""))</f>
        <v/>
      </c>
      <c r="P24" s="110">
        <f>IF(MAESTRO!F24="","",IFERROR('Planilla (Artistica 9°)'!G35,""))</f>
        <v/>
      </c>
      <c r="Q24" s="110">
        <f>IF(MAESTRO!F24="","",IFERROR('Planilla (Artistica 9°)'!H35,""))</f>
        <v/>
      </c>
      <c r="R24" s="110">
        <f>IF(MAESTRO!F24="","",IFERROR('Planilla (Artistica 9°)'!I35,""))</f>
        <v/>
      </c>
      <c r="S24" s="111">
        <f>IF(MAESTRO!F24="","",IFERROR('PROM (Artistica 9°)'!AE24,""))</f>
        <v/>
      </c>
      <c r="T24" s="111">
        <f>IF(MAESTRO!F24="","",IFERROR('PROM (Artistica 9°)'!BL24,""))</f>
        <v/>
      </c>
      <c r="U24" s="111">
        <f>IF(MAESTRO!F24="","",IFERROR('PROM (Artistica 9°)'!CT24,""))</f>
        <v/>
      </c>
      <c r="V24" s="112">
        <f>IF(MAESTRO!F24="","",IFERROR(TRUNC(AVERAGE(S24,T24,U24),1),""))</f>
        <v/>
      </c>
      <c r="W24" s="112">
        <f>IF(MAESTRO!F24="","",IF(AND(F24="",J24="",N24="",R24="",V24=""),"",IF(Y(OR(F24="",F24&gt;=3),OR(J24="",J24&gt;=3),OR(N24="",N24&gt;=3),OR(R24="",R24&gt;=3),OR(V24="",V24&gt;=3)),"✓ APROBADO","✗ REPROBADO")))</f>
        <v/>
      </c>
    </row>
    <row r="25" ht="16.05" customHeight="1" s="176">
      <c r="A25" s="104" t="n">
        <v>21</v>
      </c>
      <c r="B25" s="105">
        <f>IF(MAESTRO!F25="","",MAESTRO!F25)</f>
        <v/>
      </c>
      <c r="C25" s="108">
        <f>IF(MAESTRO!F25="","",IFERROR('Planilla (Ingles 9°) '!F36,""))</f>
        <v/>
      </c>
      <c r="D25" s="108">
        <f>IF(MAESTRO!F25="","",IFERROR('Planilla (Ingles 9°) '!G36,""))</f>
        <v/>
      </c>
      <c r="E25" s="108">
        <f>IF(MAESTRO!F25="","",IFERROR('Planilla (Ingles 9°) '!H36,""))</f>
        <v/>
      </c>
      <c r="F25" s="109">
        <f>IF(MAESTRO!F25="","",IFERROR('Planilla (Ingles 9°) '!I36,""))</f>
        <v/>
      </c>
      <c r="G25" s="108">
        <f>IF(MAESTRO!F25="","",IFERROR('Planilla (Agropecuaria 9°)'!F36,""))</f>
        <v/>
      </c>
      <c r="H25" s="108">
        <f>IF(MAESTRO!F25="","",IFERROR('Planilla (Agropecuaria 9°)'!G36,""))</f>
        <v/>
      </c>
      <c r="I25" s="108">
        <f>IF(MAESTRO!F25="","",IFERROR('Planilla (Agropecuaria 9°)'!H36,""))</f>
        <v/>
      </c>
      <c r="J25" s="109">
        <f>IF(MAESTRO!F25="","",IFERROR('Planilla (Agropecuaria 9°)'!I36,""))</f>
        <v/>
      </c>
      <c r="K25" s="108">
        <f>IF(MAESTRO!F25="","",IFERROR('Planilla (Comercio 9°)'!F36,""))</f>
        <v/>
      </c>
      <c r="L25" s="108">
        <f>IF(MAESTRO!F25="","",IFERROR('Planilla (Comercio 9°)'!G36,""))</f>
        <v/>
      </c>
      <c r="M25" s="108">
        <f>IF(MAESTRO!F25="","",IFERROR('Planilla (Comercio 9°)'!H36,""))</f>
        <v/>
      </c>
      <c r="N25" s="109">
        <f>IF(MAESTRO!F25="","",IFERROR('Planilla (Comercio 9°)'!I36,""))</f>
        <v/>
      </c>
      <c r="O25" s="110">
        <f>IF(MAESTRO!F25="","",IFERROR('Planilla (Artistica 9°)'!F36,""))</f>
        <v/>
      </c>
      <c r="P25" s="110">
        <f>IF(MAESTRO!F25="","",IFERROR('Planilla (Artistica 9°)'!G36,""))</f>
        <v/>
      </c>
      <c r="Q25" s="110">
        <f>IF(MAESTRO!F25="","",IFERROR('Planilla (Artistica 9°)'!H36,""))</f>
        <v/>
      </c>
      <c r="R25" s="110">
        <f>IF(MAESTRO!F25="","",IFERROR('Planilla (Artistica 9°)'!I36,""))</f>
        <v/>
      </c>
      <c r="S25" s="108">
        <f>IF(MAESTRO!F25="","",IFERROR('PROM (Artistica 9°)'!AE25,""))</f>
        <v/>
      </c>
      <c r="T25" s="108">
        <f>IF(MAESTRO!F25="","",IFERROR('PROM (Artistica 9°)'!BL25,""))</f>
        <v/>
      </c>
      <c r="U25" s="108">
        <f>IF(MAESTRO!F25="","",IFERROR('PROM (Artistica 9°)'!CT25,""))</f>
        <v/>
      </c>
      <c r="V25" s="109">
        <f>IF(MAESTRO!F25="","",IFERROR(TRUNC(AVERAGE(S25,T25,U25),1),""))</f>
        <v/>
      </c>
      <c r="W25" s="109">
        <f>IF(MAESTRO!F25="","",IF(AND(F25="",J25="",N25="",R25="",V25=""),"",IF(Y(OR(F25="",F25&gt;=3),OR(J25="",J25&gt;=3),OR(N25="",N25&gt;=3),OR(R25="",R25&gt;=3),OR(V25="",V25&gt;=3)),"✓ APROBADO","✗ REPROBADO")))</f>
        <v/>
      </c>
    </row>
    <row r="26" ht="16.05" customHeight="1" s="176">
      <c r="A26" s="102" t="n">
        <v>22</v>
      </c>
      <c r="B26" s="103">
        <f>IF(MAESTRO!F26="","",MAESTRO!F26)</f>
        <v/>
      </c>
      <c r="C26" s="111">
        <f>IF(MAESTRO!F26="","",IFERROR('Planilla (Ingles 9°) '!F37,""))</f>
        <v/>
      </c>
      <c r="D26" s="111">
        <f>IF(MAESTRO!F26="","",IFERROR('Planilla (Ingles 9°) '!G37,""))</f>
        <v/>
      </c>
      <c r="E26" s="111">
        <f>IF(MAESTRO!F26="","",IFERROR('Planilla (Ingles 9°) '!H37,""))</f>
        <v/>
      </c>
      <c r="F26" s="112">
        <f>IF(MAESTRO!F26="","",IFERROR('Planilla (Ingles 9°) '!I37,""))</f>
        <v/>
      </c>
      <c r="G26" s="111">
        <f>IF(MAESTRO!F26="","",IFERROR('Planilla (Agropecuaria 9°)'!F37,""))</f>
        <v/>
      </c>
      <c r="H26" s="111">
        <f>IF(MAESTRO!F26="","",IFERROR('Planilla (Agropecuaria 9°)'!G37,""))</f>
        <v/>
      </c>
      <c r="I26" s="111">
        <f>IF(MAESTRO!F26="","",IFERROR('Planilla (Agropecuaria 9°)'!H37,""))</f>
        <v/>
      </c>
      <c r="J26" s="112">
        <f>IF(MAESTRO!F26="","",IFERROR('Planilla (Agropecuaria 9°)'!I37,""))</f>
        <v/>
      </c>
      <c r="K26" s="111">
        <f>IF(MAESTRO!F26="","",IFERROR('Planilla (Comercio 9°)'!F37,""))</f>
        <v/>
      </c>
      <c r="L26" s="111">
        <f>IF(MAESTRO!F26="","",IFERROR('Planilla (Comercio 9°)'!G37,""))</f>
        <v/>
      </c>
      <c r="M26" s="111">
        <f>IF(MAESTRO!F26="","",IFERROR('Planilla (Comercio 9°)'!H37,""))</f>
        <v/>
      </c>
      <c r="N26" s="112">
        <f>IF(MAESTRO!F26="","",IFERROR('Planilla (Comercio 9°)'!I37,""))</f>
        <v/>
      </c>
      <c r="O26" s="110">
        <f>IF(MAESTRO!F26="","",IFERROR('Planilla (Artistica 9°)'!F37,""))</f>
        <v/>
      </c>
      <c r="P26" s="110">
        <f>IF(MAESTRO!F26="","",IFERROR('Planilla (Artistica 9°)'!G37,""))</f>
        <v/>
      </c>
      <c r="Q26" s="110">
        <f>IF(MAESTRO!F26="","",IFERROR('Planilla (Artistica 9°)'!H37,""))</f>
        <v/>
      </c>
      <c r="R26" s="110">
        <f>IF(MAESTRO!F26="","",IFERROR('Planilla (Artistica 9°)'!I37,""))</f>
        <v/>
      </c>
      <c r="S26" s="111">
        <f>IF(MAESTRO!F26="","",IFERROR('PROM (Artistica 9°)'!AE26,""))</f>
        <v/>
      </c>
      <c r="T26" s="111">
        <f>IF(MAESTRO!F26="","",IFERROR('PROM (Artistica 9°)'!BL26,""))</f>
        <v/>
      </c>
      <c r="U26" s="111">
        <f>IF(MAESTRO!F26="","",IFERROR('PROM (Artistica 9°)'!CT26,""))</f>
        <v/>
      </c>
      <c r="V26" s="112">
        <f>IF(MAESTRO!F26="","",IFERROR(TRUNC(AVERAGE(S26,T26,U26),1),""))</f>
        <v/>
      </c>
      <c r="W26" s="112">
        <f>IF(MAESTRO!F26="","",IF(AND(F26="",J26="",N26="",R26="",V26=""),"",IF(Y(OR(F26="",F26&gt;=3),OR(J26="",J26&gt;=3),OR(N26="",N26&gt;=3),OR(R26="",R26&gt;=3),OR(V26="",V26&gt;=3)),"✓ APROBADO","✗ REPROBADO")))</f>
        <v/>
      </c>
    </row>
    <row r="27" ht="16.05" customHeight="1" s="176">
      <c r="A27" s="104" t="n">
        <v>23</v>
      </c>
      <c r="B27" s="105">
        <f>IF(MAESTRO!F27="","",MAESTRO!F27)</f>
        <v/>
      </c>
      <c r="C27" s="108">
        <f>IF(MAESTRO!F27="","",IFERROR('Planilla (Ingles 9°) '!F38,""))</f>
        <v/>
      </c>
      <c r="D27" s="108">
        <f>IF(MAESTRO!F27="","",IFERROR('Planilla (Ingles 9°) '!G38,""))</f>
        <v/>
      </c>
      <c r="E27" s="108">
        <f>IF(MAESTRO!F27="","",IFERROR('Planilla (Ingles 9°) '!H38,""))</f>
        <v/>
      </c>
      <c r="F27" s="109">
        <f>IF(MAESTRO!F27="","",IFERROR('Planilla (Ingles 9°) '!I38,""))</f>
        <v/>
      </c>
      <c r="G27" s="108">
        <f>IF(MAESTRO!F27="","",IFERROR('Planilla (Agropecuaria 9°)'!F38,""))</f>
        <v/>
      </c>
      <c r="H27" s="108">
        <f>IF(MAESTRO!F27="","",IFERROR('Planilla (Agropecuaria 9°)'!G38,""))</f>
        <v/>
      </c>
      <c r="I27" s="108">
        <f>IF(MAESTRO!F27="","",IFERROR('Planilla (Agropecuaria 9°)'!H38,""))</f>
        <v/>
      </c>
      <c r="J27" s="109">
        <f>IF(MAESTRO!F27="","",IFERROR('Planilla (Agropecuaria 9°)'!I38,""))</f>
        <v/>
      </c>
      <c r="K27" s="108">
        <f>IF(MAESTRO!F27="","",IFERROR('Planilla (Comercio 9°)'!F38,""))</f>
        <v/>
      </c>
      <c r="L27" s="108">
        <f>IF(MAESTRO!F27="","",IFERROR('Planilla (Comercio 9°)'!G38,""))</f>
        <v/>
      </c>
      <c r="M27" s="108">
        <f>IF(MAESTRO!F27="","",IFERROR('Planilla (Comercio 9°)'!H38,""))</f>
        <v/>
      </c>
      <c r="N27" s="109">
        <f>IF(MAESTRO!F27="","",IFERROR('Planilla (Comercio 9°)'!I38,""))</f>
        <v/>
      </c>
      <c r="O27" s="110">
        <f>IF(MAESTRO!F27="","",IFERROR('Planilla (Artistica 9°)'!F38,""))</f>
        <v/>
      </c>
      <c r="P27" s="110">
        <f>IF(MAESTRO!F27="","",IFERROR('Planilla (Artistica 9°)'!G38,""))</f>
        <v/>
      </c>
      <c r="Q27" s="110">
        <f>IF(MAESTRO!F27="","",IFERROR('Planilla (Artistica 9°)'!H38,""))</f>
        <v/>
      </c>
      <c r="R27" s="110">
        <f>IF(MAESTRO!F27="","",IFERROR('Planilla (Artistica 9°)'!I38,""))</f>
        <v/>
      </c>
      <c r="S27" s="108">
        <f>IF(MAESTRO!F27="","",IFERROR('PROM (Artistica 9°)'!AE27,""))</f>
        <v/>
      </c>
      <c r="T27" s="108">
        <f>IF(MAESTRO!F27="","",IFERROR('PROM (Artistica 9°)'!BL27,""))</f>
        <v/>
      </c>
      <c r="U27" s="108">
        <f>IF(MAESTRO!F27="","",IFERROR('PROM (Artistica 9°)'!CT27,""))</f>
        <v/>
      </c>
      <c r="V27" s="109">
        <f>IF(MAESTRO!F27="","",IFERROR(TRUNC(AVERAGE(S27,T27,U27),1),""))</f>
        <v/>
      </c>
      <c r="W27" s="109">
        <f>IF(MAESTRO!F27="","",IF(AND(F27="",J27="",N27="",R27="",V27=""),"",IF(Y(OR(F27="",F27&gt;=3),OR(J27="",J27&gt;=3),OR(N27="",N27&gt;=3),OR(R27="",R27&gt;=3),OR(V27="",V27&gt;=3)),"✓ APROBADO","✗ REPROBADO")))</f>
        <v/>
      </c>
    </row>
    <row r="28" ht="16.05" customHeight="1" s="176">
      <c r="A28" s="102" t="n">
        <v>24</v>
      </c>
      <c r="B28" s="103">
        <f>IF(MAESTRO!F28="","",MAESTRO!F28)</f>
        <v/>
      </c>
      <c r="C28" s="111">
        <f>IF(MAESTRO!F28="","",IFERROR('Planilla (Ingles 9°) '!F39,""))</f>
        <v/>
      </c>
      <c r="D28" s="111">
        <f>IF(MAESTRO!F28="","",IFERROR('Planilla (Ingles 9°) '!G39,""))</f>
        <v/>
      </c>
      <c r="E28" s="111">
        <f>IF(MAESTRO!F28="","",IFERROR('Planilla (Ingles 9°) '!H39,""))</f>
        <v/>
      </c>
      <c r="F28" s="112">
        <f>IF(MAESTRO!F28="","",IFERROR('Planilla (Ingles 9°) '!I39,""))</f>
        <v/>
      </c>
      <c r="G28" s="111">
        <f>IF(MAESTRO!F28="","",IFERROR('Planilla (Agropecuaria 9°)'!F39,""))</f>
        <v/>
      </c>
      <c r="H28" s="111">
        <f>IF(MAESTRO!F28="","",IFERROR('Planilla (Agropecuaria 9°)'!G39,""))</f>
        <v/>
      </c>
      <c r="I28" s="111">
        <f>IF(MAESTRO!F28="","",IFERROR('Planilla (Agropecuaria 9°)'!H39,""))</f>
        <v/>
      </c>
      <c r="J28" s="112">
        <f>IF(MAESTRO!F28="","",IFERROR('Planilla (Agropecuaria 9°)'!I39,""))</f>
        <v/>
      </c>
      <c r="K28" s="111">
        <f>IF(MAESTRO!F28="","",IFERROR('Planilla (Comercio 9°)'!F39,""))</f>
        <v/>
      </c>
      <c r="L28" s="111">
        <f>IF(MAESTRO!F28="","",IFERROR('Planilla (Comercio 9°)'!G39,""))</f>
        <v/>
      </c>
      <c r="M28" s="111">
        <f>IF(MAESTRO!F28="","",IFERROR('Planilla (Comercio 9°)'!H39,""))</f>
        <v/>
      </c>
      <c r="N28" s="112">
        <f>IF(MAESTRO!F28="","",IFERROR('Planilla (Comercio 9°)'!I39,""))</f>
        <v/>
      </c>
      <c r="O28" s="110">
        <f>IF(MAESTRO!F28="","",IFERROR('Planilla (Artistica 9°)'!F39,""))</f>
        <v/>
      </c>
      <c r="P28" s="110">
        <f>IF(MAESTRO!F28="","",IFERROR('Planilla (Artistica 9°)'!G39,""))</f>
        <v/>
      </c>
      <c r="Q28" s="110">
        <f>IF(MAESTRO!F28="","",IFERROR('Planilla (Artistica 9°)'!H39,""))</f>
        <v/>
      </c>
      <c r="R28" s="110">
        <f>IF(MAESTRO!F28="","",IFERROR('Planilla (Artistica 9°)'!I39,""))</f>
        <v/>
      </c>
      <c r="S28" s="111">
        <f>IF(MAESTRO!F28="","",IFERROR('PROM (Artistica 9°)'!AE28,""))</f>
        <v/>
      </c>
      <c r="T28" s="111">
        <f>IF(MAESTRO!F28="","",IFERROR('PROM (Artistica 9°)'!BL28,""))</f>
        <v/>
      </c>
      <c r="U28" s="111">
        <f>IF(MAESTRO!F28="","",IFERROR('PROM (Artistica 9°)'!CT28,""))</f>
        <v/>
      </c>
      <c r="V28" s="112">
        <f>IF(MAESTRO!F28="","",IFERROR(TRUNC(AVERAGE(S28,T28,U28),1),""))</f>
        <v/>
      </c>
      <c r="W28" s="112">
        <f>IF(MAESTRO!F28="","",IF(AND(F28="",J28="",N28="",R28="",V28=""),"",IF(Y(OR(F28="",F28&gt;=3),OR(J28="",J28&gt;=3),OR(N28="",N28&gt;=3),OR(R28="",R28&gt;=3),OR(V28="",V28&gt;=3)),"✓ APROBADO","✗ REPROBADO")))</f>
        <v/>
      </c>
    </row>
    <row r="29" ht="16.05" customHeight="1" s="176">
      <c r="A29" s="104" t="n">
        <v>25</v>
      </c>
      <c r="B29" s="105">
        <f>IF(MAESTRO!F29="","",MAESTRO!F29)</f>
        <v/>
      </c>
      <c r="C29" s="108">
        <f>IF(MAESTRO!F29="","",IFERROR('Planilla (Ingles 9°) '!F40,""))</f>
        <v/>
      </c>
      <c r="D29" s="108">
        <f>IF(MAESTRO!F29="","",IFERROR('Planilla (Ingles 9°) '!G40,""))</f>
        <v/>
      </c>
      <c r="E29" s="108">
        <f>IF(MAESTRO!F29="","",IFERROR('Planilla (Ingles 9°) '!H40,""))</f>
        <v/>
      </c>
      <c r="F29" s="109">
        <f>IF(MAESTRO!F29="","",IFERROR('Planilla (Ingles 9°) '!I40,""))</f>
        <v/>
      </c>
      <c r="G29" s="108">
        <f>IF(MAESTRO!F29="","",IFERROR('Planilla (Agropecuaria 9°)'!F40,""))</f>
        <v/>
      </c>
      <c r="H29" s="108">
        <f>IF(MAESTRO!F29="","",IFERROR('Planilla (Agropecuaria 9°)'!G40,""))</f>
        <v/>
      </c>
      <c r="I29" s="108">
        <f>IF(MAESTRO!F29="","",IFERROR('Planilla (Agropecuaria 9°)'!H40,""))</f>
        <v/>
      </c>
      <c r="J29" s="109">
        <f>IF(MAESTRO!F29="","",IFERROR('Planilla (Agropecuaria 9°)'!I40,""))</f>
        <v/>
      </c>
      <c r="K29" s="108">
        <f>IF(MAESTRO!F29="","",IFERROR('Planilla (Comercio 9°)'!F40,""))</f>
        <v/>
      </c>
      <c r="L29" s="108">
        <f>IF(MAESTRO!F29="","",IFERROR('Planilla (Comercio 9°)'!G40,""))</f>
        <v/>
      </c>
      <c r="M29" s="108">
        <f>IF(MAESTRO!F29="","",IFERROR('Planilla (Comercio 9°)'!H40,""))</f>
        <v/>
      </c>
      <c r="N29" s="109">
        <f>IF(MAESTRO!F29="","",IFERROR('Planilla (Comercio 9°)'!I40,""))</f>
        <v/>
      </c>
      <c r="O29" s="110">
        <f>IF(MAESTRO!F29="","",IFERROR('Planilla (Artistica 9°)'!F40,""))</f>
        <v/>
      </c>
      <c r="P29" s="110">
        <f>IF(MAESTRO!F29="","",IFERROR('Planilla (Artistica 9°)'!G40,""))</f>
        <v/>
      </c>
      <c r="Q29" s="110">
        <f>IF(MAESTRO!F29="","",IFERROR('Planilla (Artistica 9°)'!H40,""))</f>
        <v/>
      </c>
      <c r="R29" s="110">
        <f>IF(MAESTRO!F29="","",IFERROR('Planilla (Artistica 9°)'!I40,""))</f>
        <v/>
      </c>
      <c r="S29" s="108">
        <f>IF(MAESTRO!F29="","",IFERROR('PROM (Artistica 9°)'!AE29,""))</f>
        <v/>
      </c>
      <c r="T29" s="108">
        <f>IF(MAESTRO!F29="","",IFERROR('PROM (Artistica 9°)'!BL29,""))</f>
        <v/>
      </c>
      <c r="U29" s="108">
        <f>IF(MAESTRO!F29="","",IFERROR('PROM (Artistica 9°)'!CT29,""))</f>
        <v/>
      </c>
      <c r="V29" s="109">
        <f>IF(MAESTRO!F29="","",IFERROR(TRUNC(AVERAGE(S29,T29,U29),1),""))</f>
        <v/>
      </c>
      <c r="W29" s="109">
        <f>IF(MAESTRO!F29="","",IF(AND(F29="",J29="",N29="",R29="",V29=""),"",IF(Y(OR(F29="",F29&gt;=3),OR(J29="",J29&gt;=3),OR(N29="",N29&gt;=3),OR(R29="",R29&gt;=3),OR(V29="",V29&gt;=3)),"✓ APROBADO","✗ REPROBADO")))</f>
        <v/>
      </c>
    </row>
    <row r="30" ht="16.05" customHeight="1" s="176">
      <c r="A30" s="102" t="n">
        <v>26</v>
      </c>
      <c r="B30" s="103">
        <f>IF(MAESTRO!F30="","",MAESTRO!F30)</f>
        <v/>
      </c>
      <c r="C30" s="111">
        <f>IF(MAESTRO!F30="","",IFERROR('Planilla (Ingles 9°) '!F41,""))</f>
        <v/>
      </c>
      <c r="D30" s="111">
        <f>IF(MAESTRO!F30="","",IFERROR('Planilla (Ingles 9°) '!G41,""))</f>
        <v/>
      </c>
      <c r="E30" s="111">
        <f>IF(MAESTRO!F30="","",IFERROR('Planilla (Ingles 9°) '!H41,""))</f>
        <v/>
      </c>
      <c r="F30" s="112">
        <f>IF(MAESTRO!F30="","",IFERROR('Planilla (Ingles 9°) '!I41,""))</f>
        <v/>
      </c>
      <c r="G30" s="111">
        <f>IF(MAESTRO!F30="","",IFERROR('Planilla (Agropecuaria 9°)'!F41,""))</f>
        <v/>
      </c>
      <c r="H30" s="111">
        <f>IF(MAESTRO!F30="","",IFERROR('Planilla (Agropecuaria 9°)'!G41,""))</f>
        <v/>
      </c>
      <c r="I30" s="111">
        <f>IF(MAESTRO!F30="","",IFERROR('Planilla (Agropecuaria 9°)'!H41,""))</f>
        <v/>
      </c>
      <c r="J30" s="112">
        <f>IF(MAESTRO!F30="","",IFERROR('Planilla (Agropecuaria 9°)'!I41,""))</f>
        <v/>
      </c>
      <c r="K30" s="111">
        <f>IF(MAESTRO!F30="","",IFERROR('Planilla (Comercio 9°)'!F41,""))</f>
        <v/>
      </c>
      <c r="L30" s="111">
        <f>IF(MAESTRO!F30="","",IFERROR('Planilla (Comercio 9°)'!G41,""))</f>
        <v/>
      </c>
      <c r="M30" s="111">
        <f>IF(MAESTRO!F30="","",IFERROR('Planilla (Comercio 9°)'!H41,""))</f>
        <v/>
      </c>
      <c r="N30" s="112">
        <f>IF(MAESTRO!F30="","",IFERROR('Planilla (Comercio 9°)'!I41,""))</f>
        <v/>
      </c>
      <c r="O30" s="110">
        <f>IF(MAESTRO!F30="","",IFERROR('Planilla (Artistica 9°)'!F41,""))</f>
        <v/>
      </c>
      <c r="P30" s="110">
        <f>IF(MAESTRO!F30="","",IFERROR('Planilla (Artistica 9°)'!G41,""))</f>
        <v/>
      </c>
      <c r="Q30" s="110">
        <f>IF(MAESTRO!F30="","",IFERROR('Planilla (Artistica 9°)'!H41,""))</f>
        <v/>
      </c>
      <c r="R30" s="110">
        <f>IF(MAESTRO!F30="","",IFERROR('Planilla (Artistica 9°)'!I41,""))</f>
        <v/>
      </c>
      <c r="S30" s="111">
        <f>IF(MAESTRO!F30="","",IFERROR('PROM (Artistica 9°)'!AE30,""))</f>
        <v/>
      </c>
      <c r="T30" s="111">
        <f>IF(MAESTRO!F30="","",IFERROR('PROM (Artistica 9°)'!BL30,""))</f>
        <v/>
      </c>
      <c r="U30" s="111">
        <f>IF(MAESTRO!F30="","",IFERROR('PROM (Artistica 9°)'!CT30,""))</f>
        <v/>
      </c>
      <c r="V30" s="112">
        <f>IF(MAESTRO!F30="","",IFERROR(TRUNC(AVERAGE(S30,T30,U30),1),""))</f>
        <v/>
      </c>
      <c r="W30" s="112">
        <f>IF(MAESTRO!F30="","",IF(AND(F30="",J30="",N30="",R30="",V30=""),"",IF(Y(OR(F30="",F30&gt;=3),OR(J30="",J30&gt;=3),OR(N30="",N30&gt;=3),OR(R30="",R30&gt;=3),OR(V30="",V30&gt;=3)),"✓ APROBADO","✗ REPROBADO")))</f>
        <v/>
      </c>
    </row>
    <row r="31" ht="16.05" customHeight="1" s="176">
      <c r="A31" s="104" t="n">
        <v>27</v>
      </c>
      <c r="B31" s="105">
        <f>IF(MAESTRO!F31="","",MAESTRO!F31)</f>
        <v/>
      </c>
      <c r="C31" s="108">
        <f>IF(MAESTRO!F31="","",IFERROR('Planilla (Ingles 9°) '!F42,""))</f>
        <v/>
      </c>
      <c r="D31" s="108">
        <f>IF(MAESTRO!F31="","",IFERROR('Planilla (Ingles 9°) '!G42,""))</f>
        <v/>
      </c>
      <c r="E31" s="108">
        <f>IF(MAESTRO!F31="","",IFERROR('Planilla (Ingles 9°) '!H42,""))</f>
        <v/>
      </c>
      <c r="F31" s="109">
        <f>IF(MAESTRO!F31="","",IFERROR('Planilla (Ingles 9°) '!I42,""))</f>
        <v/>
      </c>
      <c r="G31" s="108">
        <f>IF(MAESTRO!F31="","",IFERROR('Planilla (Agropecuaria 9°)'!F42,""))</f>
        <v/>
      </c>
      <c r="H31" s="108">
        <f>IF(MAESTRO!F31="","",IFERROR('Planilla (Agropecuaria 9°)'!G42,""))</f>
        <v/>
      </c>
      <c r="I31" s="108">
        <f>IF(MAESTRO!F31="","",IFERROR('Planilla (Agropecuaria 9°)'!H42,""))</f>
        <v/>
      </c>
      <c r="J31" s="109">
        <f>IF(MAESTRO!F31="","",IFERROR('Planilla (Agropecuaria 9°)'!I42,""))</f>
        <v/>
      </c>
      <c r="K31" s="108">
        <f>IF(MAESTRO!F31="","",IFERROR('Planilla (Comercio 9°)'!F42,""))</f>
        <v/>
      </c>
      <c r="L31" s="108">
        <f>IF(MAESTRO!F31="","",IFERROR('Planilla (Comercio 9°)'!G42,""))</f>
        <v/>
      </c>
      <c r="M31" s="108">
        <f>IF(MAESTRO!F31="","",IFERROR('Planilla (Comercio 9°)'!H42,""))</f>
        <v/>
      </c>
      <c r="N31" s="109">
        <f>IF(MAESTRO!F31="","",IFERROR('Planilla (Comercio 9°)'!I42,""))</f>
        <v/>
      </c>
      <c r="O31" s="110">
        <f>IF(MAESTRO!F31="","",IFERROR('Planilla (Artistica 9°)'!F42,""))</f>
        <v/>
      </c>
      <c r="P31" s="110">
        <f>IF(MAESTRO!F31="","",IFERROR('Planilla (Artistica 9°)'!G42,""))</f>
        <v/>
      </c>
      <c r="Q31" s="110">
        <f>IF(MAESTRO!F31="","",IFERROR('Planilla (Artistica 9°)'!H42,""))</f>
        <v/>
      </c>
      <c r="R31" s="110">
        <f>IF(MAESTRO!F31="","",IFERROR('Planilla (Artistica 9°)'!I42,""))</f>
        <v/>
      </c>
      <c r="S31" s="108">
        <f>IF(MAESTRO!F31="","",IFERROR('PROM (Artistica 9°)'!AE31,""))</f>
        <v/>
      </c>
      <c r="T31" s="108">
        <f>IF(MAESTRO!F31="","",IFERROR('PROM (Artistica 9°)'!BL31,""))</f>
        <v/>
      </c>
      <c r="U31" s="108">
        <f>IF(MAESTRO!F31="","",IFERROR('PROM (Artistica 9°)'!CT31,""))</f>
        <v/>
      </c>
      <c r="V31" s="109">
        <f>IF(MAESTRO!F31="","",IFERROR(TRUNC(AVERAGE(S31,T31,U31),1),""))</f>
        <v/>
      </c>
      <c r="W31" s="109">
        <f>IF(MAESTRO!F31="","",IF(AND(F31="",J31="",N31="",R31="",V31=""),"",IF(Y(OR(F31="",F31&gt;=3),OR(J31="",J31&gt;=3),OR(N31="",N31&gt;=3),OR(R31="",R31&gt;=3),OR(V31="",V31&gt;=3)),"✓ APROBADO","✗ REPROBADO")))</f>
        <v/>
      </c>
    </row>
    <row r="32" ht="16.05" customHeight="1" s="176">
      <c r="A32" s="102" t="n">
        <v>28</v>
      </c>
      <c r="B32" s="103">
        <f>IF(MAESTRO!F32="","",MAESTRO!F32)</f>
        <v/>
      </c>
      <c r="C32" s="111">
        <f>IF(MAESTRO!F32="","",IFERROR('Planilla (Ingles 9°) '!F43,""))</f>
        <v/>
      </c>
      <c r="D32" s="111">
        <f>IF(MAESTRO!F32="","",IFERROR('Planilla (Ingles 9°) '!G43,""))</f>
        <v/>
      </c>
      <c r="E32" s="111">
        <f>IF(MAESTRO!F32="","",IFERROR('Planilla (Ingles 9°) '!H43,""))</f>
        <v/>
      </c>
      <c r="F32" s="112">
        <f>IF(MAESTRO!F32="","",IFERROR('Planilla (Ingles 9°) '!I43,""))</f>
        <v/>
      </c>
      <c r="G32" s="111">
        <f>IF(MAESTRO!F32="","",IFERROR('Planilla (Agropecuaria 9°)'!F43,""))</f>
        <v/>
      </c>
      <c r="H32" s="111">
        <f>IF(MAESTRO!F32="","",IFERROR('Planilla (Agropecuaria 9°)'!G43,""))</f>
        <v/>
      </c>
      <c r="I32" s="111">
        <f>IF(MAESTRO!F32="","",IFERROR('Planilla (Agropecuaria 9°)'!H43,""))</f>
        <v/>
      </c>
      <c r="J32" s="112">
        <f>IF(MAESTRO!F32="","",IFERROR('Planilla (Agropecuaria 9°)'!I43,""))</f>
        <v/>
      </c>
      <c r="K32" s="111">
        <f>IF(MAESTRO!F32="","",IFERROR('Planilla (Comercio 9°)'!F43,""))</f>
        <v/>
      </c>
      <c r="L32" s="111">
        <f>IF(MAESTRO!F32="","",IFERROR('Planilla (Comercio 9°)'!G43,""))</f>
        <v/>
      </c>
      <c r="M32" s="111">
        <f>IF(MAESTRO!F32="","",IFERROR('Planilla (Comercio 9°)'!H43,""))</f>
        <v/>
      </c>
      <c r="N32" s="112">
        <f>IF(MAESTRO!F32="","",IFERROR('Planilla (Comercio 9°)'!I43,""))</f>
        <v/>
      </c>
      <c r="O32" s="110">
        <f>IF(MAESTRO!F32="","",IFERROR('Planilla (Artistica 9°)'!F43,""))</f>
        <v/>
      </c>
      <c r="P32" s="110">
        <f>IF(MAESTRO!F32="","",IFERROR('Planilla (Artistica 9°)'!G43,""))</f>
        <v/>
      </c>
      <c r="Q32" s="110">
        <f>IF(MAESTRO!F32="","",IFERROR('Planilla (Artistica 9°)'!H43,""))</f>
        <v/>
      </c>
      <c r="R32" s="110">
        <f>IF(MAESTRO!F32="","",IFERROR('Planilla (Artistica 9°)'!I43,""))</f>
        <v/>
      </c>
      <c r="S32" s="111">
        <f>IF(MAESTRO!F32="","",IFERROR('PROM (Artistica 9°)'!AE32,""))</f>
        <v/>
      </c>
      <c r="T32" s="111">
        <f>IF(MAESTRO!F32="","",IFERROR('PROM (Artistica 9°)'!BL32,""))</f>
        <v/>
      </c>
      <c r="U32" s="111">
        <f>IF(MAESTRO!F32="","",IFERROR('PROM (Artistica 9°)'!CT32,""))</f>
        <v/>
      </c>
      <c r="V32" s="112">
        <f>IF(MAESTRO!F32="","",IFERROR(TRUNC(AVERAGE(S32,T32,U32),1),""))</f>
        <v/>
      </c>
      <c r="W32" s="112">
        <f>IF(MAESTRO!F32="","",IF(AND(F32="",J32="",N32="",R32="",V32=""),"",IF(Y(OR(F32="",F32&gt;=3),OR(J32="",J32&gt;=3),OR(N32="",N32&gt;=3),OR(R32="",R32&gt;=3),OR(V32="",V32&gt;=3)),"✓ APROBADO","✗ REPROBADO")))</f>
        <v/>
      </c>
    </row>
    <row r="33" ht="16.05" customHeight="1" s="176">
      <c r="A33" s="104" t="n">
        <v>29</v>
      </c>
      <c r="B33" s="105">
        <f>IF(MAESTRO!F33="","",MAESTRO!F33)</f>
        <v/>
      </c>
      <c r="C33" s="108">
        <f>IF(MAESTRO!F33="","",IFERROR('Planilla (Ingles 9°) '!F44,""))</f>
        <v/>
      </c>
      <c r="D33" s="108">
        <f>IF(MAESTRO!F33="","",IFERROR('Planilla (Ingles 9°) '!G44,""))</f>
        <v/>
      </c>
      <c r="E33" s="108">
        <f>IF(MAESTRO!F33="","",IFERROR('Planilla (Ingles 9°) '!H44,""))</f>
        <v/>
      </c>
      <c r="F33" s="109">
        <f>IF(MAESTRO!F33="","",IFERROR('Planilla (Ingles 9°) '!I44,""))</f>
        <v/>
      </c>
      <c r="G33" s="108">
        <f>IF(MAESTRO!F33="","",IFERROR('Planilla (Agropecuaria 9°)'!F44,""))</f>
        <v/>
      </c>
      <c r="H33" s="108">
        <f>IF(MAESTRO!F33="","",IFERROR('Planilla (Agropecuaria 9°)'!G44,""))</f>
        <v/>
      </c>
      <c r="I33" s="108">
        <f>IF(MAESTRO!F33="","",IFERROR('Planilla (Agropecuaria 9°)'!H44,""))</f>
        <v/>
      </c>
      <c r="J33" s="109">
        <f>IF(MAESTRO!F33="","",IFERROR('Planilla (Agropecuaria 9°)'!I44,""))</f>
        <v/>
      </c>
      <c r="K33" s="108">
        <f>IF(MAESTRO!F33="","",IFERROR('Planilla (Comercio 9°)'!F44,""))</f>
        <v/>
      </c>
      <c r="L33" s="108">
        <f>IF(MAESTRO!F33="","",IFERROR('Planilla (Comercio 9°)'!G44,""))</f>
        <v/>
      </c>
      <c r="M33" s="108">
        <f>IF(MAESTRO!F33="","",IFERROR('Planilla (Comercio 9°)'!H44,""))</f>
        <v/>
      </c>
      <c r="N33" s="109">
        <f>IF(MAESTRO!F33="","",IFERROR('Planilla (Comercio 9°)'!I44,""))</f>
        <v/>
      </c>
      <c r="O33" s="110">
        <f>IF(MAESTRO!F33="","",IFERROR('Planilla (Artistica 9°)'!F44,""))</f>
        <v/>
      </c>
      <c r="P33" s="110">
        <f>IF(MAESTRO!F33="","",IFERROR('Planilla (Artistica 9°)'!G44,""))</f>
        <v/>
      </c>
      <c r="Q33" s="110">
        <f>IF(MAESTRO!F33="","",IFERROR('Planilla (Artistica 9°)'!H44,""))</f>
        <v/>
      </c>
      <c r="R33" s="110">
        <f>IF(MAESTRO!F33="","",IFERROR('Planilla (Artistica 9°)'!I44,""))</f>
        <v/>
      </c>
      <c r="S33" s="108">
        <f>IF(MAESTRO!F33="","",IFERROR('PROM (Artistica 9°)'!AE33,""))</f>
        <v/>
      </c>
      <c r="T33" s="108">
        <f>IF(MAESTRO!F33="","",IFERROR('PROM (Artistica 9°)'!BL33,""))</f>
        <v/>
      </c>
      <c r="U33" s="108">
        <f>IF(MAESTRO!F33="","",IFERROR('PROM (Artistica 9°)'!CT33,""))</f>
        <v/>
      </c>
      <c r="V33" s="109">
        <f>IF(MAESTRO!F33="","",IFERROR(TRUNC(AVERAGE(S33,T33,U33),1),""))</f>
        <v/>
      </c>
      <c r="W33" s="109">
        <f>IF(MAESTRO!F33="","",IF(AND(F33="",J33="",N33="",R33="",V33=""),"",IF(Y(OR(F33="",F33&gt;=3),OR(J33="",J33&gt;=3),OR(N33="",N33&gt;=3),OR(R33="",R33&gt;=3),OR(V33="",V33&gt;=3)),"✓ APROBADO","✗ REPROBADO")))</f>
        <v/>
      </c>
    </row>
    <row r="34" ht="16.05" customHeight="1" s="176">
      <c r="A34" s="102" t="n">
        <v>30</v>
      </c>
      <c r="B34" s="103">
        <f>IF(MAESTRO!F34="","",MAESTRO!F34)</f>
        <v/>
      </c>
      <c r="C34" s="111">
        <f>IF(MAESTRO!F34="","",IFERROR('Planilla (Ingles 9°) '!F45,""))</f>
        <v/>
      </c>
      <c r="D34" s="111">
        <f>IF(MAESTRO!F34="","",IFERROR('Planilla (Ingles 9°) '!G45,""))</f>
        <v/>
      </c>
      <c r="E34" s="111">
        <f>IF(MAESTRO!F34="","",IFERROR('Planilla (Ingles 9°) '!H45,""))</f>
        <v/>
      </c>
      <c r="F34" s="112">
        <f>IF(MAESTRO!F34="","",IFERROR('Planilla (Ingles 9°) '!I45,""))</f>
        <v/>
      </c>
      <c r="G34" s="111">
        <f>IF(MAESTRO!F34="","",IFERROR('Planilla (Agropecuaria 9°)'!F45,""))</f>
        <v/>
      </c>
      <c r="H34" s="111">
        <f>IF(MAESTRO!F34="","",IFERROR('Planilla (Agropecuaria 9°)'!G45,""))</f>
        <v/>
      </c>
      <c r="I34" s="111">
        <f>IF(MAESTRO!F34="","",IFERROR('Planilla (Agropecuaria 9°)'!H45,""))</f>
        <v/>
      </c>
      <c r="J34" s="112">
        <f>IF(MAESTRO!F34="","",IFERROR('Planilla (Agropecuaria 9°)'!I45,""))</f>
        <v/>
      </c>
      <c r="K34" s="111">
        <f>IF(MAESTRO!F34="","",IFERROR('Planilla (Comercio 9°)'!F45,""))</f>
        <v/>
      </c>
      <c r="L34" s="111">
        <f>IF(MAESTRO!F34="","",IFERROR('Planilla (Comercio 9°)'!G45,""))</f>
        <v/>
      </c>
      <c r="M34" s="111">
        <f>IF(MAESTRO!F34="","",IFERROR('Planilla (Comercio 9°)'!H45,""))</f>
        <v/>
      </c>
      <c r="N34" s="112">
        <f>IF(MAESTRO!F34="","",IFERROR('Planilla (Comercio 9°)'!I45,""))</f>
        <v/>
      </c>
      <c r="O34" s="110">
        <f>IF(MAESTRO!F34="","",IFERROR('Planilla (Artistica 9°)'!F45,""))</f>
        <v/>
      </c>
      <c r="P34" s="110">
        <f>IF(MAESTRO!F34="","",IFERROR('Planilla (Artistica 9°)'!G45,""))</f>
        <v/>
      </c>
      <c r="Q34" s="110">
        <f>IF(MAESTRO!F34="","",IFERROR('Planilla (Artistica 9°)'!H45,""))</f>
        <v/>
      </c>
      <c r="R34" s="110">
        <f>IF(MAESTRO!F34="","",IFERROR('Planilla (Artistica 9°)'!I45,""))</f>
        <v/>
      </c>
      <c r="S34" s="111">
        <f>IF(MAESTRO!F34="","",IFERROR('PROM (Artistica 9°)'!AE34,""))</f>
        <v/>
      </c>
      <c r="T34" s="111">
        <f>IF(MAESTRO!F34="","",IFERROR('PROM (Artistica 9°)'!BL34,""))</f>
        <v/>
      </c>
      <c r="U34" s="111">
        <f>IF(MAESTRO!F34="","",IFERROR('PROM (Artistica 9°)'!CT34,""))</f>
        <v/>
      </c>
      <c r="V34" s="112">
        <f>IF(MAESTRO!F34="","",IFERROR(TRUNC(AVERAGE(S34,T34,U34),1),""))</f>
        <v/>
      </c>
      <c r="W34" s="112">
        <f>IF(MAESTRO!F34="","",IF(AND(F34="",J34="",N34="",R34="",V34=""),"",IF(Y(OR(F34="",F34&gt;=3),OR(J34="",J34&gt;=3),OR(N34="",N34&gt;=3),OR(R34="",R34&gt;=3),OR(V34="",V34&gt;=3)),"✓ APROBADO","✗ REPROBADO")))</f>
        <v/>
      </c>
    </row>
    <row r="35" ht="16.05" customHeight="1" s="176">
      <c r="A35" s="104" t="n">
        <v>31</v>
      </c>
      <c r="B35" s="105">
        <f>IF(MAESTRO!F35="","",MAESTRO!F35)</f>
        <v/>
      </c>
      <c r="C35" s="108">
        <f>IF(MAESTRO!F35="","",IFERROR('Planilla (Ingles 9°) '!F46,""))</f>
        <v/>
      </c>
      <c r="D35" s="108">
        <f>IF(MAESTRO!F35="","",IFERROR('Planilla (Ingles 9°) '!G46,""))</f>
        <v/>
      </c>
      <c r="E35" s="108">
        <f>IF(MAESTRO!F35="","",IFERROR('Planilla (Ingles 9°) '!H46,""))</f>
        <v/>
      </c>
      <c r="F35" s="109">
        <f>IF(MAESTRO!F35="","",IFERROR('Planilla (Ingles 9°) '!I46,""))</f>
        <v/>
      </c>
      <c r="G35" s="108">
        <f>IF(MAESTRO!F35="","",IFERROR('Planilla (Agropecuaria 9°)'!F46,""))</f>
        <v/>
      </c>
      <c r="H35" s="108">
        <f>IF(MAESTRO!F35="","",IFERROR('Planilla (Agropecuaria 9°)'!G46,""))</f>
        <v/>
      </c>
      <c r="I35" s="108">
        <f>IF(MAESTRO!F35="","",IFERROR('Planilla (Agropecuaria 9°)'!H46,""))</f>
        <v/>
      </c>
      <c r="J35" s="109">
        <f>IF(MAESTRO!F35="","",IFERROR('Planilla (Agropecuaria 9°)'!I46,""))</f>
        <v/>
      </c>
      <c r="K35" s="108">
        <f>IF(MAESTRO!F35="","",IFERROR('Planilla (Comercio 9°)'!F46,""))</f>
        <v/>
      </c>
      <c r="L35" s="108">
        <f>IF(MAESTRO!F35="","",IFERROR('Planilla (Comercio 9°)'!G46,""))</f>
        <v/>
      </c>
      <c r="M35" s="108">
        <f>IF(MAESTRO!F35="","",IFERROR('Planilla (Comercio 9°)'!H46,""))</f>
        <v/>
      </c>
      <c r="N35" s="109">
        <f>IF(MAESTRO!F35="","",IFERROR('Planilla (Comercio 9°)'!I46,""))</f>
        <v/>
      </c>
      <c r="O35" s="110">
        <f>IF(MAESTRO!F35="","",IFERROR('Planilla (Artistica 9°)'!F46,""))</f>
        <v/>
      </c>
      <c r="P35" s="110">
        <f>IF(MAESTRO!F35="","",IFERROR('Planilla (Artistica 9°)'!G46,""))</f>
        <v/>
      </c>
      <c r="Q35" s="110">
        <f>IF(MAESTRO!F35="","",IFERROR('Planilla (Artistica 9°)'!H46,""))</f>
        <v/>
      </c>
      <c r="R35" s="110">
        <f>IF(MAESTRO!F35="","",IFERROR('Planilla (Artistica 9°)'!I46,""))</f>
        <v/>
      </c>
      <c r="S35" s="108">
        <f>IF(MAESTRO!F35="","",IFERROR('PROM (Artistica 9°)'!AE35,""))</f>
        <v/>
      </c>
      <c r="T35" s="108">
        <f>IF(MAESTRO!F35="","",IFERROR('PROM (Artistica 9°)'!BL35,""))</f>
        <v/>
      </c>
      <c r="U35" s="108">
        <f>IF(MAESTRO!F35="","",IFERROR('PROM (Artistica 9°)'!CT35,""))</f>
        <v/>
      </c>
      <c r="V35" s="109">
        <f>IF(MAESTRO!F35="","",IFERROR(TRUNC(AVERAGE(S35,T35,U35),1),""))</f>
        <v/>
      </c>
      <c r="W35" s="109">
        <f>IF(MAESTRO!F35="","",IF(AND(F35="",J35="",N35="",R35="",V35=""),"",IF(Y(OR(F35="",F35&gt;=3),OR(J35="",J35&gt;=3),OR(N35="",N35&gt;=3),OR(R35="",R35&gt;=3),OR(V35="",V35&gt;=3)),"✓ APROBADO","✗ REPROBADO")))</f>
        <v/>
      </c>
    </row>
    <row r="36" ht="16.05" customHeight="1" s="176">
      <c r="A36" s="102" t="n">
        <v>32</v>
      </c>
      <c r="B36" s="103">
        <f>IF(MAESTRO!F36="","",MAESTRO!F36)</f>
        <v/>
      </c>
      <c r="C36" s="111">
        <f>IF(MAESTRO!F36="","",IFERROR('Planilla (Ingles 9°) '!F47,""))</f>
        <v/>
      </c>
      <c r="D36" s="111">
        <f>IF(MAESTRO!F36="","",IFERROR('Planilla (Ingles 9°) '!G47,""))</f>
        <v/>
      </c>
      <c r="E36" s="111">
        <f>IF(MAESTRO!F36="","",IFERROR('Planilla (Ingles 9°) '!H47,""))</f>
        <v/>
      </c>
      <c r="F36" s="112">
        <f>IF(MAESTRO!F36="","",IFERROR('Planilla (Ingles 9°) '!I47,""))</f>
        <v/>
      </c>
      <c r="G36" s="111">
        <f>IF(MAESTRO!F36="","",IFERROR('Planilla (Agropecuaria 9°)'!F47,""))</f>
        <v/>
      </c>
      <c r="H36" s="111">
        <f>IF(MAESTRO!F36="","",IFERROR('Planilla (Agropecuaria 9°)'!G47,""))</f>
        <v/>
      </c>
      <c r="I36" s="111">
        <f>IF(MAESTRO!F36="","",IFERROR('Planilla (Agropecuaria 9°)'!H47,""))</f>
        <v/>
      </c>
      <c r="J36" s="112">
        <f>IF(MAESTRO!F36="","",IFERROR('Planilla (Agropecuaria 9°)'!I47,""))</f>
        <v/>
      </c>
      <c r="K36" s="111">
        <f>IF(MAESTRO!F36="","",IFERROR('Planilla (Comercio 9°)'!F47,""))</f>
        <v/>
      </c>
      <c r="L36" s="111">
        <f>IF(MAESTRO!F36="","",IFERROR('Planilla (Comercio 9°)'!G47,""))</f>
        <v/>
      </c>
      <c r="M36" s="111">
        <f>IF(MAESTRO!F36="","",IFERROR('Planilla (Comercio 9°)'!H47,""))</f>
        <v/>
      </c>
      <c r="N36" s="112">
        <f>IF(MAESTRO!F36="","",IFERROR('Planilla (Comercio 9°)'!I47,""))</f>
        <v/>
      </c>
      <c r="O36" s="110">
        <f>IF(MAESTRO!F36="","",IFERROR('Planilla (Artistica 9°)'!F47,""))</f>
        <v/>
      </c>
      <c r="P36" s="110">
        <f>IF(MAESTRO!F36="","",IFERROR('Planilla (Artistica 9°)'!G47,""))</f>
        <v/>
      </c>
      <c r="Q36" s="110">
        <f>IF(MAESTRO!F36="","",IFERROR('Planilla (Artistica 9°)'!H47,""))</f>
        <v/>
      </c>
      <c r="R36" s="110">
        <f>IF(MAESTRO!F36="","",IFERROR('Planilla (Artistica 9°)'!I47,""))</f>
        <v/>
      </c>
      <c r="S36" s="111">
        <f>IF(MAESTRO!F36="","",IFERROR('PROM (Artistica 9°)'!AE36,""))</f>
        <v/>
      </c>
      <c r="T36" s="111">
        <f>IF(MAESTRO!F36="","",IFERROR('PROM (Artistica 9°)'!BL36,""))</f>
        <v/>
      </c>
      <c r="U36" s="111">
        <f>IF(MAESTRO!F36="","",IFERROR('PROM (Artistica 9°)'!CT36,""))</f>
        <v/>
      </c>
      <c r="V36" s="112">
        <f>IF(MAESTRO!F36="","",IFERROR(TRUNC(AVERAGE(S36,T36,U36),1),""))</f>
        <v/>
      </c>
      <c r="W36" s="112">
        <f>IF(MAESTRO!F36="","",IF(AND(F36="",J36="",N36="",R36="",V36=""),"",IF(Y(OR(F36="",F36&gt;=3),OR(J36="",J36&gt;=3),OR(N36="",N36&gt;=3),OR(R36="",R36&gt;=3),OR(V36="",V36&gt;=3)),"✓ APROBADO","✗ REPROBADO")))</f>
        <v/>
      </c>
    </row>
    <row r="37" ht="16.05" customHeight="1" s="176">
      <c r="A37" s="104" t="n">
        <v>33</v>
      </c>
      <c r="B37" s="105">
        <f>IF(MAESTRO!F37="","",MAESTRO!F37)</f>
        <v/>
      </c>
      <c r="C37" s="108">
        <f>IF(MAESTRO!F37="","",IFERROR('Planilla (Ingles 9°) '!F48,""))</f>
        <v/>
      </c>
      <c r="D37" s="108">
        <f>IF(MAESTRO!F37="","",IFERROR('Planilla (Ingles 9°) '!G48,""))</f>
        <v/>
      </c>
      <c r="E37" s="108">
        <f>IF(MAESTRO!F37="","",IFERROR('Planilla (Ingles 9°) '!H48,""))</f>
        <v/>
      </c>
      <c r="F37" s="109">
        <f>IF(MAESTRO!F37="","",IFERROR('Planilla (Ingles 9°) '!I48,""))</f>
        <v/>
      </c>
      <c r="G37" s="108">
        <f>IF(MAESTRO!F37="","",IFERROR('Planilla (Agropecuaria 9°)'!F48,""))</f>
        <v/>
      </c>
      <c r="H37" s="108">
        <f>IF(MAESTRO!F37="","",IFERROR('Planilla (Agropecuaria 9°)'!G48,""))</f>
        <v/>
      </c>
      <c r="I37" s="108">
        <f>IF(MAESTRO!F37="","",IFERROR('Planilla (Agropecuaria 9°)'!H48,""))</f>
        <v/>
      </c>
      <c r="J37" s="109">
        <f>IF(MAESTRO!F37="","",IFERROR('Planilla (Agropecuaria 9°)'!I48,""))</f>
        <v/>
      </c>
      <c r="K37" s="108">
        <f>IF(MAESTRO!F37="","",IFERROR('Planilla (Comercio 9°)'!F48,""))</f>
        <v/>
      </c>
      <c r="L37" s="108">
        <f>IF(MAESTRO!F37="","",IFERROR('Planilla (Comercio 9°)'!G48,""))</f>
        <v/>
      </c>
      <c r="M37" s="108">
        <f>IF(MAESTRO!F37="","",IFERROR('Planilla (Comercio 9°)'!H48,""))</f>
        <v/>
      </c>
      <c r="N37" s="109">
        <f>IF(MAESTRO!F37="","",IFERROR('Planilla (Comercio 9°)'!I48,""))</f>
        <v/>
      </c>
      <c r="O37" s="110">
        <f>IF(MAESTRO!F37="","",IFERROR('Planilla (Artistica 9°)'!F48,""))</f>
        <v/>
      </c>
      <c r="P37" s="110">
        <f>IF(MAESTRO!F37="","",IFERROR('Planilla (Artistica 9°)'!G48,""))</f>
        <v/>
      </c>
      <c r="Q37" s="110">
        <f>IF(MAESTRO!F37="","",IFERROR('Planilla (Artistica 9°)'!H48,""))</f>
        <v/>
      </c>
      <c r="R37" s="110">
        <f>IF(MAESTRO!F37="","",IFERROR('Planilla (Artistica 9°)'!I48,""))</f>
        <v/>
      </c>
      <c r="S37" s="108">
        <f>IF(MAESTRO!F37="","",IFERROR('PROM (Artistica 9°)'!AE37,""))</f>
        <v/>
      </c>
      <c r="T37" s="108">
        <f>IF(MAESTRO!F37="","",IFERROR('PROM (Artistica 9°)'!BL37,""))</f>
        <v/>
      </c>
      <c r="U37" s="108">
        <f>IF(MAESTRO!F37="","",IFERROR('PROM (Artistica 9°)'!CT37,""))</f>
        <v/>
      </c>
      <c r="V37" s="109">
        <f>IF(MAESTRO!F37="","",IFERROR(TRUNC(AVERAGE(S37,T37,U37),1),""))</f>
        <v/>
      </c>
      <c r="W37" s="109">
        <f>IF(MAESTRO!F37="","",IF(AND(F37="",J37="",N37="",R37="",V37=""),"",IF(Y(OR(F37="",F37&gt;=3),OR(J37="",J37&gt;=3),OR(N37="",N37&gt;=3),OR(R37="",R37&gt;=3),OR(V37="",V37&gt;=3)),"✓ APROBADO","✗ REPROBADO")))</f>
        <v/>
      </c>
    </row>
    <row r="38" ht="16.05" customHeight="1" s="176">
      <c r="A38" s="102" t="n">
        <v>34</v>
      </c>
      <c r="B38" s="103">
        <f>IF(MAESTRO!F38="","",MAESTRO!F38)</f>
        <v/>
      </c>
      <c r="C38" s="111">
        <f>IF(MAESTRO!F38="","",IFERROR('Planilla (Ingles 9°) '!F49,""))</f>
        <v/>
      </c>
      <c r="D38" s="111">
        <f>IF(MAESTRO!F38="","",IFERROR('Planilla (Ingles 9°) '!G49,""))</f>
        <v/>
      </c>
      <c r="E38" s="111">
        <f>IF(MAESTRO!F38="","",IFERROR('Planilla (Ingles 9°) '!H49,""))</f>
        <v/>
      </c>
      <c r="F38" s="112">
        <f>IF(MAESTRO!F38="","",IFERROR('Planilla (Ingles 9°) '!I49,""))</f>
        <v/>
      </c>
      <c r="G38" s="111">
        <f>IF(MAESTRO!F38="","",IFERROR('Planilla (Agropecuaria 9°)'!F49,""))</f>
        <v/>
      </c>
      <c r="H38" s="111">
        <f>IF(MAESTRO!F38="","",IFERROR('Planilla (Agropecuaria 9°)'!G49,""))</f>
        <v/>
      </c>
      <c r="I38" s="111">
        <f>IF(MAESTRO!F38="","",IFERROR('Planilla (Agropecuaria 9°)'!H49,""))</f>
        <v/>
      </c>
      <c r="J38" s="112">
        <f>IF(MAESTRO!F38="","",IFERROR('Planilla (Agropecuaria 9°)'!I49,""))</f>
        <v/>
      </c>
      <c r="K38" s="111">
        <f>IF(MAESTRO!F38="","",IFERROR('Planilla (Comercio 9°)'!F49,""))</f>
        <v/>
      </c>
      <c r="L38" s="111">
        <f>IF(MAESTRO!F38="","",IFERROR('Planilla (Comercio 9°)'!G49,""))</f>
        <v/>
      </c>
      <c r="M38" s="111">
        <f>IF(MAESTRO!F38="","",IFERROR('Planilla (Comercio 9°)'!H49,""))</f>
        <v/>
      </c>
      <c r="N38" s="112">
        <f>IF(MAESTRO!F38="","",IFERROR('Planilla (Comercio 9°)'!I49,""))</f>
        <v/>
      </c>
      <c r="O38" s="110">
        <f>IF(MAESTRO!F38="","",IFERROR('Planilla (Artistica 9°)'!F49,""))</f>
        <v/>
      </c>
      <c r="P38" s="110">
        <f>IF(MAESTRO!F38="","",IFERROR('Planilla (Artistica 9°)'!G49,""))</f>
        <v/>
      </c>
      <c r="Q38" s="110">
        <f>IF(MAESTRO!F38="","",IFERROR('Planilla (Artistica 9°)'!H49,""))</f>
        <v/>
      </c>
      <c r="R38" s="110">
        <f>IF(MAESTRO!F38="","",IFERROR('Planilla (Artistica 9°)'!I49,""))</f>
        <v/>
      </c>
      <c r="S38" s="111">
        <f>IF(MAESTRO!F38="","",IFERROR('PROM (Artistica 9°)'!AE38,""))</f>
        <v/>
      </c>
      <c r="T38" s="111">
        <f>IF(MAESTRO!F38="","",IFERROR('PROM (Artistica 9°)'!BL38,""))</f>
        <v/>
      </c>
      <c r="U38" s="111">
        <f>IF(MAESTRO!F38="","",IFERROR('PROM (Artistica 9°)'!CT38,""))</f>
        <v/>
      </c>
      <c r="V38" s="112">
        <f>IF(MAESTRO!F38="","",IFERROR(TRUNC(AVERAGE(S38,T38,U38),1),""))</f>
        <v/>
      </c>
      <c r="W38" s="112">
        <f>IF(MAESTRO!F38="","",IF(AND(F38="",J38="",N38="",R38="",V38=""),"",IF(Y(OR(F38="",F38&gt;=3),OR(J38="",J38&gt;=3),OR(N38="",N38&gt;=3),OR(R38="",R38&gt;=3),OR(V38="",V38&gt;=3)),"✓ APROBADO","✗ REPROBADO")))</f>
        <v/>
      </c>
    </row>
    <row r="39" ht="16.05" customHeight="1" s="176">
      <c r="A39" s="104" t="n">
        <v>35</v>
      </c>
      <c r="B39" s="105">
        <f>IF(MAESTRO!F39="","",MAESTRO!F39)</f>
        <v/>
      </c>
      <c r="C39" s="108">
        <f>IF(MAESTRO!F39="","",IFERROR('Planilla (Ingles 9°) '!F50,""))</f>
        <v/>
      </c>
      <c r="D39" s="108">
        <f>IF(MAESTRO!F39="","",IFERROR('Planilla (Ingles 9°) '!G50,""))</f>
        <v/>
      </c>
      <c r="E39" s="108">
        <f>IF(MAESTRO!F39="","",IFERROR('Planilla (Ingles 9°) '!H50,""))</f>
        <v/>
      </c>
      <c r="F39" s="109">
        <f>IF(MAESTRO!F39="","",IFERROR('Planilla (Ingles 9°) '!I50,""))</f>
        <v/>
      </c>
      <c r="G39" s="108">
        <f>IF(MAESTRO!F39="","",IFERROR('Planilla (Agropecuaria 9°)'!F50,""))</f>
        <v/>
      </c>
      <c r="H39" s="108">
        <f>IF(MAESTRO!F39="","",IFERROR('Planilla (Agropecuaria 9°)'!G50,""))</f>
        <v/>
      </c>
      <c r="I39" s="108">
        <f>IF(MAESTRO!F39="","",IFERROR('Planilla (Agropecuaria 9°)'!H50,""))</f>
        <v/>
      </c>
      <c r="J39" s="109">
        <f>IF(MAESTRO!F39="","",IFERROR('Planilla (Agropecuaria 9°)'!I50,""))</f>
        <v/>
      </c>
      <c r="K39" s="108">
        <f>IF(MAESTRO!F39="","",IFERROR('Planilla (Comercio 9°)'!F50,""))</f>
        <v/>
      </c>
      <c r="L39" s="108">
        <f>IF(MAESTRO!F39="","",IFERROR('Planilla (Comercio 9°)'!G50,""))</f>
        <v/>
      </c>
      <c r="M39" s="108">
        <f>IF(MAESTRO!F39="","",IFERROR('Planilla (Comercio 9°)'!H50,""))</f>
        <v/>
      </c>
      <c r="N39" s="109">
        <f>IF(MAESTRO!F39="","",IFERROR('Planilla (Comercio 9°)'!I50,""))</f>
        <v/>
      </c>
      <c r="O39" s="110">
        <f>IF(MAESTRO!F39="","",IFERROR('Planilla (Artistica 9°)'!F50,""))</f>
        <v/>
      </c>
      <c r="P39" s="110">
        <f>IF(MAESTRO!F39="","",IFERROR('Planilla (Artistica 9°)'!G50,""))</f>
        <v/>
      </c>
      <c r="Q39" s="110">
        <f>IF(MAESTRO!F39="","",IFERROR('Planilla (Artistica 9°)'!H50,""))</f>
        <v/>
      </c>
      <c r="R39" s="110">
        <f>IF(MAESTRO!F39="","",IFERROR('Planilla (Artistica 9°)'!I50,""))</f>
        <v/>
      </c>
      <c r="S39" s="108">
        <f>IF(MAESTRO!F39="","",IFERROR('PROM (Artistica 9°)'!AE39,""))</f>
        <v/>
      </c>
      <c r="T39" s="108">
        <f>IF(MAESTRO!F39="","",IFERROR('PROM (Artistica 9°)'!BL39,""))</f>
        <v/>
      </c>
      <c r="U39" s="108">
        <f>IF(MAESTRO!F39="","",IFERROR('PROM (Artistica 9°)'!CT39,""))</f>
        <v/>
      </c>
      <c r="V39" s="109">
        <f>IF(MAESTRO!F39="","",IFERROR(TRUNC(AVERAGE(S39,T39,U39),1),""))</f>
        <v/>
      </c>
      <c r="W39" s="109">
        <f>IF(MAESTRO!F39="","",IF(AND(F39="",J39="",N39="",R39="",V39=""),"",IF(Y(OR(F39="",F39&gt;=3),OR(J39="",J39&gt;=3),OR(N39="",N39&gt;=3),OR(R39="",R39&gt;=3),OR(V39="",V39&gt;=3)),"✓ APROBADO","✗ REPROBADO")))</f>
        <v/>
      </c>
    </row>
    <row r="40" ht="16.05" customHeight="1" s="176">
      <c r="A40" s="102" t="n">
        <v>36</v>
      </c>
      <c r="B40" s="103">
        <f>IF(MAESTRO!F40="","",MAESTRO!F40)</f>
        <v/>
      </c>
      <c r="C40" s="111">
        <f>IF(MAESTRO!F40="","",IFERROR('Planilla (Ingles 9°) '!F51,""))</f>
        <v/>
      </c>
      <c r="D40" s="111">
        <f>IF(MAESTRO!F40="","",IFERROR('Planilla (Ingles 9°) '!G51,""))</f>
        <v/>
      </c>
      <c r="E40" s="111">
        <f>IF(MAESTRO!F40="","",IFERROR('Planilla (Ingles 9°) '!H51,""))</f>
        <v/>
      </c>
      <c r="F40" s="112">
        <f>IF(MAESTRO!F40="","",IFERROR('Planilla (Ingles 9°) '!I51,""))</f>
        <v/>
      </c>
      <c r="G40" s="111">
        <f>IF(MAESTRO!F40="","",IFERROR('Planilla (Agropecuaria 9°)'!F51,""))</f>
        <v/>
      </c>
      <c r="H40" s="111">
        <f>IF(MAESTRO!F40="","",IFERROR('Planilla (Agropecuaria 9°)'!G51,""))</f>
        <v/>
      </c>
      <c r="I40" s="111">
        <f>IF(MAESTRO!F40="","",IFERROR('Planilla (Agropecuaria 9°)'!H51,""))</f>
        <v/>
      </c>
      <c r="J40" s="112">
        <f>IF(MAESTRO!F40="","",IFERROR('Planilla (Agropecuaria 9°)'!I51,""))</f>
        <v/>
      </c>
      <c r="K40" s="111">
        <f>IF(MAESTRO!F40="","",IFERROR('Planilla (Comercio 9°)'!F51,""))</f>
        <v/>
      </c>
      <c r="L40" s="111">
        <f>IF(MAESTRO!F40="","",IFERROR('Planilla (Comercio 9°)'!G51,""))</f>
        <v/>
      </c>
      <c r="M40" s="111">
        <f>IF(MAESTRO!F40="","",IFERROR('Planilla (Comercio 9°)'!H51,""))</f>
        <v/>
      </c>
      <c r="N40" s="112">
        <f>IF(MAESTRO!F40="","",IFERROR('Planilla (Comercio 9°)'!I51,""))</f>
        <v/>
      </c>
      <c r="O40" s="110">
        <f>IF(MAESTRO!F40="","",IFERROR('Planilla (Artistica 9°)'!F51,""))</f>
        <v/>
      </c>
      <c r="P40" s="110">
        <f>IF(MAESTRO!F40="","",IFERROR('Planilla (Artistica 9°)'!G51,""))</f>
        <v/>
      </c>
      <c r="Q40" s="110">
        <f>IF(MAESTRO!F40="","",IFERROR('Planilla (Artistica 9°)'!H51,""))</f>
        <v/>
      </c>
      <c r="R40" s="110">
        <f>IF(MAESTRO!F40="","",IFERROR('Planilla (Artistica 9°)'!I51,""))</f>
        <v/>
      </c>
      <c r="S40" s="111">
        <f>IF(MAESTRO!F40="","",IFERROR('PROM (Artistica 9°)'!AE40,""))</f>
        <v/>
      </c>
      <c r="T40" s="111">
        <f>IF(MAESTRO!F40="","",IFERROR('PROM (Artistica 9°)'!BL40,""))</f>
        <v/>
      </c>
      <c r="U40" s="111">
        <f>IF(MAESTRO!F40="","",IFERROR('PROM (Artistica 9°)'!CT40,""))</f>
        <v/>
      </c>
      <c r="V40" s="112">
        <f>IF(MAESTRO!F40="","",IFERROR(TRUNC(AVERAGE(S40,T40,U40),1),""))</f>
        <v/>
      </c>
      <c r="W40" s="112">
        <f>IF(MAESTRO!F40="","",IF(AND(F40="",J40="",N40="",R40="",V40=""),"",IF(Y(OR(F40="",F40&gt;=3),OR(J40="",J40&gt;=3),OR(N40="",N40&gt;=3),OR(R40="",R40&gt;=3),OR(V40="",V40&gt;=3)),"✓ APROBADO","✗ REPROBADO")))</f>
        <v/>
      </c>
    </row>
    <row r="41" ht="16.05" customHeight="1" s="176">
      <c r="A41" s="104" t="n">
        <v>37</v>
      </c>
      <c r="B41" s="105">
        <f>IF(MAESTRO!F41="","",MAESTRO!F41)</f>
        <v/>
      </c>
      <c r="C41" s="108">
        <f>IF(MAESTRO!F41="","",IFERROR('Planilla (Ingles 9°) '!F52,""))</f>
        <v/>
      </c>
      <c r="D41" s="108">
        <f>IF(MAESTRO!F41="","",IFERROR('Planilla (Ingles 9°) '!G52,""))</f>
        <v/>
      </c>
      <c r="E41" s="108">
        <f>IF(MAESTRO!F41="","",IFERROR('Planilla (Ingles 9°) '!H52,""))</f>
        <v/>
      </c>
      <c r="F41" s="109">
        <f>IF(MAESTRO!F41="","",IFERROR('Planilla (Ingles 9°) '!I52,""))</f>
        <v/>
      </c>
      <c r="G41" s="108">
        <f>IF(MAESTRO!F41="","",IFERROR('Planilla (Agropecuaria 9°)'!F52,""))</f>
        <v/>
      </c>
      <c r="H41" s="108">
        <f>IF(MAESTRO!F41="","",IFERROR('Planilla (Agropecuaria 9°)'!G52,""))</f>
        <v/>
      </c>
      <c r="I41" s="108">
        <f>IF(MAESTRO!F41="","",IFERROR('Planilla (Agropecuaria 9°)'!H52,""))</f>
        <v/>
      </c>
      <c r="J41" s="109">
        <f>IF(MAESTRO!F41="","",IFERROR('Planilla (Agropecuaria 9°)'!I52,""))</f>
        <v/>
      </c>
      <c r="K41" s="108">
        <f>IF(MAESTRO!F41="","",IFERROR('Planilla (Comercio 9°)'!F52,""))</f>
        <v/>
      </c>
      <c r="L41" s="108">
        <f>IF(MAESTRO!F41="","",IFERROR('Planilla (Comercio 9°)'!G52,""))</f>
        <v/>
      </c>
      <c r="M41" s="108">
        <f>IF(MAESTRO!F41="","",IFERROR('Planilla (Comercio 9°)'!H52,""))</f>
        <v/>
      </c>
      <c r="N41" s="109">
        <f>IF(MAESTRO!F41="","",IFERROR('Planilla (Comercio 9°)'!I52,""))</f>
        <v/>
      </c>
      <c r="O41" s="110">
        <f>IF(MAESTRO!F41="","",IFERROR('Planilla (Artistica 9°)'!F52,""))</f>
        <v/>
      </c>
      <c r="P41" s="110">
        <f>IF(MAESTRO!F41="","",IFERROR('Planilla (Artistica 9°)'!G52,""))</f>
        <v/>
      </c>
      <c r="Q41" s="110">
        <f>IF(MAESTRO!F41="","",IFERROR('Planilla (Artistica 9°)'!H52,""))</f>
        <v/>
      </c>
      <c r="R41" s="110">
        <f>IF(MAESTRO!F41="","",IFERROR('Planilla (Artistica 9°)'!I52,""))</f>
        <v/>
      </c>
      <c r="S41" s="108">
        <f>IF(MAESTRO!F41="","",IFERROR('PROM (Artistica 9°)'!AE41,""))</f>
        <v/>
      </c>
      <c r="T41" s="108">
        <f>IF(MAESTRO!F41="","",IFERROR('PROM (Artistica 9°)'!BL41,""))</f>
        <v/>
      </c>
      <c r="U41" s="108">
        <f>IF(MAESTRO!F41="","",IFERROR('PROM (Artistica 9°)'!CT41,""))</f>
        <v/>
      </c>
      <c r="V41" s="109">
        <f>IF(MAESTRO!F41="","",IFERROR(TRUNC(AVERAGE(S41,T41,U41),1),""))</f>
        <v/>
      </c>
      <c r="W41" s="109">
        <f>IF(MAESTRO!F41="","",IF(AND(F41="",J41="",N41="",R41="",V41=""),"",IF(Y(OR(F41="",F41&gt;=3),OR(J41="",J41&gt;=3),OR(N41="",N41&gt;=3),OR(R41="",R41&gt;=3),OR(V41="",V41&gt;=3)),"✓ APROBADO","✗ REPROBADO")))</f>
        <v/>
      </c>
    </row>
    <row r="42" ht="16.05" customHeight="1" s="176">
      <c r="A42" s="102" t="n">
        <v>38</v>
      </c>
      <c r="B42" s="103">
        <f>IF(MAESTRO!F42="","",MAESTRO!F42)</f>
        <v/>
      </c>
      <c r="C42" s="111">
        <f>IF(MAESTRO!F42="","",IFERROR('Planilla (Ingles 9°) '!F53,""))</f>
        <v/>
      </c>
      <c r="D42" s="111">
        <f>IF(MAESTRO!F42="","",IFERROR('Planilla (Ingles 9°) '!G53,""))</f>
        <v/>
      </c>
      <c r="E42" s="111">
        <f>IF(MAESTRO!F42="","",IFERROR('Planilla (Ingles 9°) '!H53,""))</f>
        <v/>
      </c>
      <c r="F42" s="112">
        <f>IF(MAESTRO!F42="","",IFERROR('Planilla (Ingles 9°) '!I53,""))</f>
        <v/>
      </c>
      <c r="G42" s="111">
        <f>IF(MAESTRO!F42="","",IFERROR('Planilla (Agropecuaria 9°)'!F53,""))</f>
        <v/>
      </c>
      <c r="H42" s="111">
        <f>IF(MAESTRO!F42="","",IFERROR('Planilla (Agropecuaria 9°)'!G53,""))</f>
        <v/>
      </c>
      <c r="I42" s="111">
        <f>IF(MAESTRO!F42="","",IFERROR('Planilla (Agropecuaria 9°)'!H53,""))</f>
        <v/>
      </c>
      <c r="J42" s="112">
        <f>IF(MAESTRO!F42="","",IFERROR('Planilla (Agropecuaria 9°)'!I53,""))</f>
        <v/>
      </c>
      <c r="K42" s="111">
        <f>IF(MAESTRO!F42="","",IFERROR('Planilla (Comercio 9°)'!F53,""))</f>
        <v/>
      </c>
      <c r="L42" s="111">
        <f>IF(MAESTRO!F42="","",IFERROR('Planilla (Comercio 9°)'!G53,""))</f>
        <v/>
      </c>
      <c r="M42" s="111">
        <f>IF(MAESTRO!F42="","",IFERROR('Planilla (Comercio 9°)'!H53,""))</f>
        <v/>
      </c>
      <c r="N42" s="112">
        <f>IF(MAESTRO!F42="","",IFERROR('Planilla (Comercio 9°)'!I53,""))</f>
        <v/>
      </c>
      <c r="O42" s="110">
        <f>IF(MAESTRO!F42="","",IFERROR('Planilla (Artistica 9°)'!F53,""))</f>
        <v/>
      </c>
      <c r="P42" s="110">
        <f>IF(MAESTRO!F42="","",IFERROR('Planilla (Artistica 9°)'!G53,""))</f>
        <v/>
      </c>
      <c r="Q42" s="110">
        <f>IF(MAESTRO!F42="","",IFERROR('Planilla (Artistica 9°)'!H53,""))</f>
        <v/>
      </c>
      <c r="R42" s="110">
        <f>IF(MAESTRO!F42="","",IFERROR('Planilla (Artistica 9°)'!I53,""))</f>
        <v/>
      </c>
      <c r="S42" s="111">
        <f>IF(MAESTRO!F42="","",IFERROR('PROM (Artistica 9°)'!AE42,""))</f>
        <v/>
      </c>
      <c r="T42" s="111">
        <f>IF(MAESTRO!F42="","",IFERROR('PROM (Artistica 9°)'!BL42,""))</f>
        <v/>
      </c>
      <c r="U42" s="111">
        <f>IF(MAESTRO!F42="","",IFERROR('PROM (Artistica 9°)'!CT42,""))</f>
        <v/>
      </c>
      <c r="V42" s="112">
        <f>IF(MAESTRO!F42="","",IFERROR(TRUNC(AVERAGE(S42,T42,U42),1),""))</f>
        <v/>
      </c>
      <c r="W42" s="112">
        <f>IF(MAESTRO!F42="","",IF(AND(F42="",J42="",N42="",R42="",V42=""),"",IF(Y(OR(F42="",F42&gt;=3),OR(J42="",J42&gt;=3),OR(N42="",N42&gt;=3),OR(R42="",R42&gt;=3),OR(V42="",V42&gt;=3)),"✓ APROBADO","✗ REPROBADO")))</f>
        <v/>
      </c>
    </row>
    <row r="43" ht="16.05" customHeight="1" s="176">
      <c r="A43" s="104" t="n">
        <v>39</v>
      </c>
      <c r="B43" s="105">
        <f>IF(MAESTRO!F43="","",MAESTRO!F43)</f>
        <v/>
      </c>
      <c r="C43" s="108">
        <f>IF(MAESTRO!F43="","",IFERROR('Planilla (Ingles 9°) '!F54,""))</f>
        <v/>
      </c>
      <c r="D43" s="108">
        <f>IF(MAESTRO!F43="","",IFERROR('Planilla (Ingles 9°) '!G54,""))</f>
        <v/>
      </c>
      <c r="E43" s="108">
        <f>IF(MAESTRO!F43="","",IFERROR('Planilla (Ingles 9°) '!H54,""))</f>
        <v/>
      </c>
      <c r="F43" s="109">
        <f>IF(MAESTRO!F43="","",IFERROR('Planilla (Ingles 9°) '!I54,""))</f>
        <v/>
      </c>
      <c r="G43" s="108">
        <f>IF(MAESTRO!F43="","",IFERROR('Planilla (Agropecuaria 9°)'!F54,""))</f>
        <v/>
      </c>
      <c r="H43" s="108">
        <f>IF(MAESTRO!F43="","",IFERROR('Planilla (Agropecuaria 9°)'!G54,""))</f>
        <v/>
      </c>
      <c r="I43" s="108">
        <f>IF(MAESTRO!F43="","",IFERROR('Planilla (Agropecuaria 9°)'!H54,""))</f>
        <v/>
      </c>
      <c r="J43" s="109">
        <f>IF(MAESTRO!F43="","",IFERROR('Planilla (Agropecuaria 9°)'!I54,""))</f>
        <v/>
      </c>
      <c r="K43" s="108">
        <f>IF(MAESTRO!F43="","",IFERROR('Planilla (Comercio 9°)'!F54,""))</f>
        <v/>
      </c>
      <c r="L43" s="108">
        <f>IF(MAESTRO!F43="","",IFERROR('Planilla (Comercio 9°)'!G54,""))</f>
        <v/>
      </c>
      <c r="M43" s="108">
        <f>IF(MAESTRO!F43="","",IFERROR('Planilla (Comercio 9°)'!H54,""))</f>
        <v/>
      </c>
      <c r="N43" s="109">
        <f>IF(MAESTRO!F43="","",IFERROR('Planilla (Comercio 9°)'!I54,""))</f>
        <v/>
      </c>
      <c r="O43" s="110">
        <f>IF(MAESTRO!F43="","",IFERROR('Planilla (Artistica 9°)'!F54,""))</f>
        <v/>
      </c>
      <c r="P43" s="110">
        <f>IF(MAESTRO!F43="","",IFERROR('Planilla (Artistica 9°)'!G54,""))</f>
        <v/>
      </c>
      <c r="Q43" s="110">
        <f>IF(MAESTRO!F43="","",IFERROR('Planilla (Artistica 9°)'!H54,""))</f>
        <v/>
      </c>
      <c r="R43" s="110">
        <f>IF(MAESTRO!F43="","",IFERROR('Planilla (Artistica 9°)'!I54,""))</f>
        <v/>
      </c>
      <c r="S43" s="108">
        <f>IF(MAESTRO!F43="","",IFERROR('PROM (Artistica 9°)'!AE43,""))</f>
        <v/>
      </c>
      <c r="T43" s="108">
        <f>IF(MAESTRO!F43="","",IFERROR('PROM (Artistica 9°)'!BL43,""))</f>
        <v/>
      </c>
      <c r="U43" s="108">
        <f>IF(MAESTRO!F43="","",IFERROR('PROM (Artistica 9°)'!CT43,""))</f>
        <v/>
      </c>
      <c r="V43" s="109">
        <f>IF(MAESTRO!F43="","",IFERROR(TRUNC(AVERAGE(S43,T43,U43),1),""))</f>
        <v/>
      </c>
      <c r="W43" s="109">
        <f>IF(MAESTRO!F43="","",IF(AND(F43="",J43="",N43="",R43="",V43=""),"",IF(Y(OR(F43="",F43&gt;=3),OR(J43="",J43&gt;=3),OR(N43="",N43&gt;=3),OR(R43="",R43&gt;=3),OR(V43="",V43&gt;=3)),"✓ APROBADO","✗ REPROBADO")))</f>
        <v/>
      </c>
    </row>
    <row r="44" ht="16.05" customHeight="1" s="176">
      <c r="A44" s="102" t="n">
        <v>40</v>
      </c>
      <c r="B44" s="103">
        <f>IF(MAESTRO!F44="","",MAESTRO!F44)</f>
        <v/>
      </c>
      <c r="C44" s="111">
        <f>IF(MAESTRO!F44="","",IFERROR('Planilla (Ingles 9°) '!F55,""))</f>
        <v/>
      </c>
      <c r="D44" s="111">
        <f>IF(MAESTRO!F44="","",IFERROR('Planilla (Ingles 9°) '!G55,""))</f>
        <v/>
      </c>
      <c r="E44" s="111">
        <f>IF(MAESTRO!F44="","",IFERROR('Planilla (Ingles 9°) '!H55,""))</f>
        <v/>
      </c>
      <c r="F44" s="112">
        <f>IF(MAESTRO!F44="","",IFERROR('Planilla (Ingles 9°) '!I55,""))</f>
        <v/>
      </c>
      <c r="G44" s="111">
        <f>IF(MAESTRO!F44="","",IFERROR('Planilla (Agropecuaria 9°)'!F55,""))</f>
        <v/>
      </c>
      <c r="H44" s="111">
        <f>IF(MAESTRO!F44="","",IFERROR('Planilla (Agropecuaria 9°)'!G55,""))</f>
        <v/>
      </c>
      <c r="I44" s="111">
        <f>IF(MAESTRO!F44="","",IFERROR('Planilla (Agropecuaria 9°)'!H55,""))</f>
        <v/>
      </c>
      <c r="J44" s="112">
        <f>IF(MAESTRO!F44="","",IFERROR('Planilla (Agropecuaria 9°)'!I55,""))</f>
        <v/>
      </c>
      <c r="K44" s="111">
        <f>IF(MAESTRO!F44="","",IFERROR('Planilla (Comercio 9°)'!F55,""))</f>
        <v/>
      </c>
      <c r="L44" s="111">
        <f>IF(MAESTRO!F44="","",IFERROR('Planilla (Comercio 9°)'!G55,""))</f>
        <v/>
      </c>
      <c r="M44" s="111">
        <f>IF(MAESTRO!F44="","",IFERROR('Planilla (Comercio 9°)'!H55,""))</f>
        <v/>
      </c>
      <c r="N44" s="112">
        <f>IF(MAESTRO!F44="","",IFERROR('Planilla (Comercio 9°)'!I55,""))</f>
        <v/>
      </c>
      <c r="O44" s="110">
        <f>IF(MAESTRO!F44="","",IFERROR('Planilla (Artistica 9°)'!F55,""))</f>
        <v/>
      </c>
      <c r="P44" s="110">
        <f>IF(MAESTRO!F44="","",IFERROR('Planilla (Artistica 9°)'!G55,""))</f>
        <v/>
      </c>
      <c r="Q44" s="110">
        <f>IF(MAESTRO!F44="","",IFERROR('Planilla (Artistica 9°)'!H55,""))</f>
        <v/>
      </c>
      <c r="R44" s="110">
        <f>IF(MAESTRO!F44="","",IFERROR('Planilla (Artistica 9°)'!I55,""))</f>
        <v/>
      </c>
      <c r="S44" s="111">
        <f>IF(MAESTRO!F44="","",IFERROR('PROM (Artistica 9°)'!AE44,""))</f>
        <v/>
      </c>
      <c r="T44" s="111">
        <f>IF(MAESTRO!F44="","",IFERROR('PROM (Artistica 9°)'!BL44,""))</f>
        <v/>
      </c>
      <c r="U44" s="111">
        <f>IF(MAESTRO!F44="","",IFERROR('PROM (Artistica 9°)'!CT44,""))</f>
        <v/>
      </c>
      <c r="V44" s="112">
        <f>IF(MAESTRO!F44="","",IFERROR(TRUNC(AVERAGE(S44,T44,U44),1),""))</f>
        <v/>
      </c>
      <c r="W44" s="112">
        <f>IF(MAESTRO!F44="","",IF(AND(F44="",J44="",N44="",R44="",V44=""),"",IF(Y(OR(F44="",F44&gt;=3),OR(J44="",J44&gt;=3),OR(N44="",N44&gt;=3),OR(R44="",R44&gt;=3),OR(V44="",V44&gt;=3)),"✓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3">
        <f>IFERROR(ROUND(AVERAGEIF(S5:S44,"&lt;&gt;"&amp;""),1),"")</f>
        <v/>
      </c>
      <c r="T46" s="113">
        <f>IFERROR(ROUND(AVERAGEIF(T5:T44,"&lt;&gt;"&amp;""),1),"")</f>
        <v/>
      </c>
      <c r="U46" s="113">
        <f>IFERROR(ROUND(AVERAGEIF(U5:U44,"&lt;&gt;"&amp;""),1),"")</f>
        <v/>
      </c>
      <c r="V46" s="113">
        <f>IFERROR(ROUND(AVERAGEIF(V5:V44,"&lt;&gt;"&amp;""),1),"")</f>
        <v/>
      </c>
      <c r="W46" s="114"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76" min="1" max="1"/>
    <col width="8" customWidth="1" style="176" min="2" max="2"/>
    <col width="30" customWidth="1" style="176" min="3" max="3"/>
    <col width="10" customWidth="1" style="176" min="4" max="4"/>
    <col width="12" customWidth="1" style="176" min="5" max="5"/>
    <col width="25" customWidth="1" style="176" min="6" max="6"/>
  </cols>
  <sheetData>
    <row r="1" ht="24" customHeight="1" s="176">
      <c r="A1" s="265" t="inlineStr">
        <is>
          <t>MINISTERIO DE EDUCACIÓN DE PANAMÁ</t>
        </is>
      </c>
      <c r="B1" s="250" t="n"/>
      <c r="C1" s="250" t="n"/>
      <c r="D1" s="250" t="n"/>
      <c r="E1" s="250" t="n"/>
      <c r="F1" s="250" t="n"/>
      <c r="G1" s="250" t="n"/>
      <c r="H1" s="250" t="n"/>
      <c r="I1" s="250" t="n"/>
      <c r="J1" s="250" t="n"/>
      <c r="K1" s="250" t="n"/>
      <c r="L1" s="250" t="n"/>
      <c r="M1" s="250" t="n"/>
      <c r="N1" s="250" t="n"/>
      <c r="O1" s="250" t="n"/>
      <c r="P1" s="242" t="n"/>
    </row>
    <row r="2" ht="19.95" customHeight="1" s="176">
      <c r="A2" s="267" t="inlineStr">
        <is>
          <t>ESCUELA CERRO CACICÓN — COMARCA NGÄBE BUGLÉ</t>
        </is>
      </c>
      <c r="B2" s="250" t="n"/>
      <c r="C2" s="250" t="n"/>
      <c r="D2" s="250" t="n"/>
      <c r="E2" s="250" t="n"/>
      <c r="F2" s="250" t="n"/>
      <c r="G2" s="250" t="n"/>
      <c r="H2" s="250" t="n"/>
      <c r="I2" s="250" t="n"/>
      <c r="J2" s="250" t="n"/>
      <c r="K2" s="250" t="n"/>
      <c r="L2" s="250" t="n"/>
      <c r="M2" s="250" t="n"/>
      <c r="N2" s="250" t="n"/>
      <c r="O2" s="250" t="n"/>
      <c r="P2" s="242" t="n"/>
    </row>
    <row r="3" ht="19.95" customHeight="1" s="176">
      <c r="A3" s="269" t="inlineStr">
        <is>
          <t>INFORME ACADÉMICO GENERAL — AÑO LECTIVO 2026</t>
        </is>
      </c>
      <c r="B3" s="250" t="n"/>
      <c r="C3" s="250" t="n"/>
      <c r="D3" s="250" t="n"/>
      <c r="E3" s="250" t="n"/>
      <c r="F3" s="250" t="n"/>
      <c r="G3" s="250" t="n"/>
      <c r="H3" s="250" t="n"/>
      <c r="I3" s="250" t="n"/>
      <c r="J3" s="250" t="n"/>
      <c r="K3" s="250" t="n"/>
      <c r="L3" s="250" t="n"/>
      <c r="M3" s="250" t="n"/>
      <c r="N3" s="250" t="n"/>
      <c r="O3" s="250" t="n"/>
      <c r="P3" s="242" t="n"/>
    </row>
    <row r="4" ht="16.05" customHeight="1" s="176">
      <c r="A4" s="268" t="inlineStr">
        <is>
          <t>Docente: Elmer Tugri  |  Premedia Multigrado Modalidad Flexible  |  Fecha: =TEXT(TODAY(),"DD/MM/YYYY")</t>
        </is>
      </c>
      <c r="B4" s="250" t="n"/>
      <c r="C4" s="250" t="n"/>
      <c r="D4" s="250" t="n"/>
      <c r="E4" s="250" t="n"/>
      <c r="F4" s="250" t="n"/>
      <c r="G4" s="250" t="n"/>
      <c r="H4" s="250" t="n"/>
      <c r="I4" s="250" t="n"/>
      <c r="J4" s="250" t="n"/>
      <c r="K4" s="250" t="n"/>
      <c r="L4" s="250" t="n"/>
      <c r="M4" s="250" t="n"/>
      <c r="N4" s="250" t="n"/>
      <c r="O4" s="250" t="n"/>
      <c r="P4" s="242" t="n"/>
    </row>
    <row r="6" ht="19.95" customHeight="1" s="176">
      <c r="A6" s="264" t="inlineStr">
        <is>
          <t>1. MATRÍCULA GENERAL</t>
        </is>
      </c>
      <c r="B6" s="250" t="n"/>
      <c r="C6" s="250" t="n"/>
      <c r="D6" s="250" t="n"/>
      <c r="E6" s="250" t="n"/>
      <c r="F6" s="250" t="n"/>
      <c r="G6" s="250" t="n"/>
      <c r="H6" s="250" t="n"/>
      <c r="I6" s="250" t="n"/>
      <c r="J6" s="250" t="n"/>
      <c r="K6" s="250" t="n"/>
      <c r="L6" s="250" t="n"/>
      <c r="M6" s="250" t="n"/>
      <c r="N6" s="250" t="n"/>
      <c r="O6" s="250" t="n"/>
      <c r="P6" s="242" t="n"/>
    </row>
    <row r="7" ht="18" customHeight="1" s="176">
      <c r="A7" s="116" t="inlineStr">
        <is>
          <t>GRADO</t>
        </is>
      </c>
      <c r="B7" s="116" t="inlineStr">
        <is>
          <t>TOTAL MATRICULADOS</t>
        </is>
      </c>
      <c r="C7" s="116" t="inlineStr">
        <is>
          <t>HOMBRES</t>
        </is>
      </c>
      <c r="D7" s="116" t="inlineStr">
        <is>
          <t>MUJERES</t>
        </is>
      </c>
    </row>
    <row r="8" ht="16.05" customHeight="1" s="176">
      <c r="A8" s="125" t="inlineStr">
        <is>
          <t>7°</t>
        </is>
      </c>
      <c r="B8" s="126">
        <f>IFERROR(COUNTA(MAESTRO!B5:'MAESTRO'!B44),"")</f>
        <v/>
      </c>
      <c r="C8" s="274" t="n"/>
      <c r="D8" s="274" t="n"/>
    </row>
    <row r="9" ht="16.05" customHeight="1" s="176">
      <c r="A9" s="128" t="inlineStr">
        <is>
          <t>8°</t>
        </is>
      </c>
      <c r="B9" s="129">
        <f>IFERROR(COUNTA(MAESTRO!D5:'MAESTRO'!D44),"")</f>
        <v/>
      </c>
      <c r="C9" s="275" t="n"/>
      <c r="D9" s="275" t="n"/>
    </row>
    <row r="10" ht="16.05" customHeight="1" s="176">
      <c r="A10" s="125" t="inlineStr">
        <is>
          <t>9°</t>
        </is>
      </c>
      <c r="B10" s="126">
        <f>IFERROR(COUNTA(MAESTRO!F5:'MAESTRO'!F44),"")</f>
        <v/>
      </c>
      <c r="C10" s="274" t="n"/>
      <c r="D10" s="274" t="n"/>
    </row>
    <row r="11" ht="18" customHeight="1" s="176">
      <c r="A11" s="113" t="inlineStr">
        <is>
          <t>TOTAL GENERAL</t>
        </is>
      </c>
      <c r="B11" s="131">
        <f>IFERROR(COUNTA(MAESTRO!B5:'MAESTRO'!B44)+COUNTA(MAESTRO!D5:'MAESTRO'!D44)+COUNTA(MAESTRO!F5:'MAESTRO'!F44),"")</f>
        <v/>
      </c>
      <c r="C11" s="114" t="n"/>
      <c r="D11" s="114" t="n"/>
    </row>
    <row r="13" ht="19.95" customHeight="1" s="176">
      <c r="A13" s="264" t="inlineStr">
        <is>
          <t>2. RENDIMIENTO ACADÉMICO POR GRADO</t>
        </is>
      </c>
      <c r="B13" s="250" t="n"/>
      <c r="C13" s="250" t="n"/>
      <c r="D13" s="250" t="n"/>
      <c r="E13" s="250" t="n"/>
      <c r="F13" s="250" t="n"/>
      <c r="G13" s="250" t="n"/>
      <c r="H13" s="250" t="n"/>
      <c r="I13" s="250" t="n"/>
      <c r="J13" s="250" t="n"/>
      <c r="K13" s="250" t="n"/>
      <c r="L13" s="250" t="n"/>
      <c r="M13" s="250" t="n"/>
      <c r="N13" s="250" t="n"/>
      <c r="O13" s="250" t="n"/>
      <c r="P13" s="242" t="n"/>
    </row>
    <row r="14" ht="30" customHeight="1" s="176">
      <c r="A14" s="116" t="inlineStr">
        <is>
          <t>GRADO</t>
        </is>
      </c>
      <c r="B14" s="116" t="inlineStr">
        <is>
          <t>MATRICULADOS</t>
        </is>
      </c>
      <c r="C14" s="116" t="inlineStr">
        <is>
          <t>APROBADOS</t>
        </is>
      </c>
      <c r="D14" s="116" t="inlineStr">
        <is>
          <t>REPROBADOS</t>
        </is>
      </c>
      <c r="E14" s="116" t="inlineStr">
        <is>
          <t>% APROBACIÓN</t>
        </is>
      </c>
      <c r="F14" s="116" t="inlineStr">
        <is>
          <t>PROMEDIO INGLÉS</t>
        </is>
      </c>
      <c r="G14" s="116" t="inlineStr">
        <is>
          <t>PROMEDIO TECNOLOGÍA</t>
        </is>
      </c>
    </row>
    <row r="15" ht="16.05" customHeight="1" s="176">
      <c r="A15" s="125" t="inlineStr">
        <is>
          <t>7°</t>
        </is>
      </c>
      <c r="B15" s="112">
        <f>IFERROR(COUNTA(MAESTRO!B5:'MAESTRO'!B44),"")</f>
        <v/>
      </c>
      <c r="C15" s="112">
        <f>COUNTIF(RESUMEN_7°!S5:'RESUMEN_7°'!S44,"✓ APROBADO")</f>
        <v/>
      </c>
      <c r="D15" s="112">
        <f>COUNTIF(RESUMEN_7°!S5:'RESUMEN_7°'!S44,"✗ REPROBADO")</f>
        <v/>
      </c>
      <c r="E15" s="111">
        <f>IFERROR(ROUND(C15/B15*100,1)&amp;"%","")</f>
        <v/>
      </c>
      <c r="F15" s="111">
        <f>IFERROR(ROUND(AVERAGEIF(RESUMEN_7°!F5:'RESUMEN_7°'!F44,"&lt;&gt;"&amp;""),1),"")</f>
        <v/>
      </c>
      <c r="G15" s="111">
        <f>IFERROR(ROUND(AVERAGEIF(RESUMEN_7°!R5:'RESUMEN_7°'!R44,"&lt;&gt;"&amp;""),1),"")</f>
        <v/>
      </c>
    </row>
    <row r="16" ht="16.05" customHeight="1" s="176">
      <c r="A16" s="128" t="inlineStr">
        <is>
          <t>8°</t>
        </is>
      </c>
      <c r="B16" s="109">
        <f>IFERROR(COUNTA(MAESTRO!D5:'MAESTRO'!D44),"")</f>
        <v/>
      </c>
      <c r="C16" s="109">
        <f>COUNTIF(RESUMEN_8°!S5:'RESUMEN_8°'!S44,"✓ APROBADO")</f>
        <v/>
      </c>
      <c r="D16" s="109">
        <f>COUNTIF(RESUMEN_8°!S5:'RESUMEN_8°'!S44,"✗ REPROBADO")</f>
        <v/>
      </c>
      <c r="E16" s="108">
        <f>IFERROR(ROUND(C16/B16*100,1)&amp;"%","")</f>
        <v/>
      </c>
      <c r="F16" s="108">
        <f>IFERROR(ROUND(AVERAGEIF(RESUMEN_8°!F5:'RESUMEN_8°'!F44,"&lt;&gt;"&amp;""),1),"")</f>
        <v/>
      </c>
      <c r="G16" s="108">
        <f>IFERROR(ROUND(AVERAGEIF(RESUMEN_8°!R5:'RESUMEN_8°'!R44,"&lt;&gt;"&amp;""),1),"")</f>
        <v/>
      </c>
    </row>
    <row r="17" ht="16.05" customHeight="1" s="176">
      <c r="A17" s="125" t="inlineStr">
        <is>
          <t>9°</t>
        </is>
      </c>
      <c r="B17" s="112">
        <f>IFERROR(COUNTA(MAESTRO!F5:'MAESTRO'!F44),"")</f>
        <v/>
      </c>
      <c r="C17" s="112">
        <f>COUNTIF(RESUMEN_9°!W5:'RESUMEN_9°'!W44,"✓ APROBADO")</f>
        <v/>
      </c>
      <c r="D17" s="112">
        <f>COUNTIF(RESUMEN_9°!W5:'RESUMEN_9°'!W44,"✗ REPROBADO")</f>
        <v/>
      </c>
      <c r="E17" s="111">
        <f>IFERROR(ROUND(C17/B17*100,1)&amp;"%","")</f>
        <v/>
      </c>
      <c r="F17" s="111">
        <f>IFERROR(ROUND(AVERAGEIF(RESUMEN_9°!F5:'RESUMEN_9°'!F44,"&lt;&gt;"&amp;""),1),"")</f>
        <v/>
      </c>
      <c r="G17" s="111">
        <f>IFERROR(ROUND(AVERAGEIF(RESUMEN_9°!V5:'RESUMEN_9°'!V44,"&lt;&gt;"&amp;""),1),"")</f>
        <v/>
      </c>
    </row>
    <row r="19" ht="19.95" customHeight="1" s="176">
      <c r="A19" s="269" t="inlineStr">
        <is>
          <t>3. ESTUDIANTES CON DEFICIENCIAS (NOTA FINAL &lt;3.0)</t>
        </is>
      </c>
      <c r="B19" s="250" t="n"/>
      <c r="C19" s="250" t="n"/>
      <c r="D19" s="250" t="n"/>
      <c r="E19" s="250" t="n"/>
      <c r="F19" s="250" t="n"/>
      <c r="G19" s="250" t="n"/>
      <c r="H19" s="250" t="n"/>
      <c r="I19" s="250" t="n"/>
      <c r="J19" s="250" t="n"/>
      <c r="K19" s="250" t="n"/>
      <c r="L19" s="250" t="n"/>
      <c r="M19" s="250" t="n"/>
      <c r="N19" s="250" t="n"/>
      <c r="O19" s="250" t="n"/>
      <c r="P19" s="242" t="n"/>
    </row>
    <row r="20" ht="18" customHeight="1" s="176">
      <c r="A20" s="132" t="inlineStr">
        <is>
          <t>No.</t>
        </is>
      </c>
      <c r="B20" s="132" t="inlineStr">
        <is>
          <t>GRADO</t>
        </is>
      </c>
      <c r="C20" s="132" t="inlineStr">
        <is>
          <t>APELLIDO, NOMBRE</t>
        </is>
      </c>
      <c r="D20" s="132" t="inlineStr">
        <is>
          <t>INGLÉS</t>
        </is>
      </c>
      <c r="E20" s="132" t="inlineStr">
        <is>
          <t>TECNOLOGÍA</t>
        </is>
      </c>
      <c r="F20" s="132" t="inlineStr">
        <is>
          <t>OBSERVACIONES</t>
        </is>
      </c>
    </row>
    <row r="21" ht="13.95" customHeight="1" s="176">
      <c r="A21" s="111">
        <f>IF(DASHBOARD!G19="⚠ REVISAR",1,"")</f>
        <v/>
      </c>
      <c r="B21" s="111">
        <f>IF(DASHBOARD!G19="⚠ REVISAR",DASHBOARD!A19,"")</f>
        <v/>
      </c>
      <c r="C21" s="103">
        <f>IF(DASHBOARD!G19="⚠ REVISAR",DASHBOARD!C19,"")</f>
        <v/>
      </c>
      <c r="D21" s="111">
        <f>IF(DASHBOARD!G19="⚠ REVISAR",DASHBOARD!D19,"")</f>
        <v/>
      </c>
      <c r="E21" s="111">
        <f>IF(DASHBOARD!G19="⚠ REVISAR",DASHBOARD!E19,"")</f>
        <v/>
      </c>
      <c r="F21" s="111" t="n"/>
    </row>
    <row r="22" ht="13.95" customHeight="1" s="176">
      <c r="A22" s="108">
        <f>IF(DASHBOARD!G20="⚠ REVISAR",2,"")</f>
        <v/>
      </c>
      <c r="B22" s="108">
        <f>IF(DASHBOARD!G20="⚠ REVISAR",DASHBOARD!A20,"")</f>
        <v/>
      </c>
      <c r="C22" s="105">
        <f>IF(DASHBOARD!G20="⚠ REVISAR",DASHBOARD!C20,"")</f>
        <v/>
      </c>
      <c r="D22" s="108">
        <f>IF(DASHBOARD!G20="⚠ REVISAR",DASHBOARD!D20,"")</f>
        <v/>
      </c>
      <c r="E22" s="108">
        <f>IF(DASHBOARD!G20="⚠ REVISAR",DASHBOARD!E20,"")</f>
        <v/>
      </c>
      <c r="F22" s="108" t="n"/>
    </row>
    <row r="23" ht="13.95" customHeight="1" s="176">
      <c r="A23" s="111">
        <f>IF(DASHBOARD!G21="⚠ REVISAR",3,"")</f>
        <v/>
      </c>
      <c r="B23" s="111">
        <f>IF(DASHBOARD!G21="⚠ REVISAR",DASHBOARD!A21,"")</f>
        <v/>
      </c>
      <c r="C23" s="103">
        <f>IF(DASHBOARD!G21="⚠ REVISAR",DASHBOARD!C21,"")</f>
        <v/>
      </c>
      <c r="D23" s="111">
        <f>IF(DASHBOARD!G21="⚠ REVISAR",DASHBOARD!D21,"")</f>
        <v/>
      </c>
      <c r="E23" s="111">
        <f>IF(DASHBOARD!G21="⚠ REVISAR",DASHBOARD!E21,"")</f>
        <v/>
      </c>
      <c r="F23" s="111" t="n"/>
    </row>
    <row r="24" ht="13.95" customHeight="1" s="176">
      <c r="A24" s="108">
        <f>IF(DASHBOARD!G22="⚠ REVISAR",4,"")</f>
        <v/>
      </c>
      <c r="B24" s="108">
        <f>IF(DASHBOARD!G22="⚠ REVISAR",DASHBOARD!A22,"")</f>
        <v/>
      </c>
      <c r="C24" s="105">
        <f>IF(DASHBOARD!G22="⚠ REVISAR",DASHBOARD!C22,"")</f>
        <v/>
      </c>
      <c r="D24" s="108">
        <f>IF(DASHBOARD!G22="⚠ REVISAR",DASHBOARD!D22,"")</f>
        <v/>
      </c>
      <c r="E24" s="108">
        <f>IF(DASHBOARD!G22="⚠ REVISAR",DASHBOARD!E22,"")</f>
        <v/>
      </c>
      <c r="F24" s="108" t="n"/>
    </row>
    <row r="25" ht="13.95" customHeight="1" s="176">
      <c r="A25" s="111">
        <f>IF(DASHBOARD!G23="⚠ REVISAR",5,"")</f>
        <v/>
      </c>
      <c r="B25" s="111">
        <f>IF(DASHBOARD!G23="⚠ REVISAR",DASHBOARD!A23,"")</f>
        <v/>
      </c>
      <c r="C25" s="103">
        <f>IF(DASHBOARD!G23="⚠ REVISAR",DASHBOARD!C23,"")</f>
        <v/>
      </c>
      <c r="D25" s="111">
        <f>IF(DASHBOARD!G23="⚠ REVISAR",DASHBOARD!D23,"")</f>
        <v/>
      </c>
      <c r="E25" s="111">
        <f>IF(DASHBOARD!G23="⚠ REVISAR",DASHBOARD!E23,"")</f>
        <v/>
      </c>
      <c r="F25" s="111" t="n"/>
    </row>
    <row r="26" ht="13.95" customHeight="1" s="176">
      <c r="A26" s="108">
        <f>IF(DASHBOARD!G24="⚠ REVISAR",6,"")</f>
        <v/>
      </c>
      <c r="B26" s="108">
        <f>IF(DASHBOARD!G24="⚠ REVISAR",DASHBOARD!A24,"")</f>
        <v/>
      </c>
      <c r="C26" s="105">
        <f>IF(DASHBOARD!G24="⚠ REVISAR",DASHBOARD!C24,"")</f>
        <v/>
      </c>
      <c r="D26" s="108">
        <f>IF(DASHBOARD!G24="⚠ REVISAR",DASHBOARD!D24,"")</f>
        <v/>
      </c>
      <c r="E26" s="108">
        <f>IF(DASHBOARD!G24="⚠ REVISAR",DASHBOARD!E24,"")</f>
        <v/>
      </c>
      <c r="F26" s="108" t="n"/>
    </row>
    <row r="27" ht="13.95" customHeight="1" s="176">
      <c r="A27" s="111">
        <f>IF(DASHBOARD!G25="⚠ REVISAR",7,"")</f>
        <v/>
      </c>
      <c r="B27" s="111">
        <f>IF(DASHBOARD!G25="⚠ REVISAR",DASHBOARD!A25,"")</f>
        <v/>
      </c>
      <c r="C27" s="103">
        <f>IF(DASHBOARD!G25="⚠ REVISAR",DASHBOARD!C25,"")</f>
        <v/>
      </c>
      <c r="D27" s="111">
        <f>IF(DASHBOARD!G25="⚠ REVISAR",DASHBOARD!D25,"")</f>
        <v/>
      </c>
      <c r="E27" s="111">
        <f>IF(DASHBOARD!G25="⚠ REVISAR",DASHBOARD!E25,"")</f>
        <v/>
      </c>
      <c r="F27" s="111" t="n"/>
    </row>
    <row r="28" ht="13.95" customHeight="1" s="176">
      <c r="A28" s="108">
        <f>IF(DASHBOARD!G26="⚠ REVISAR",8,"")</f>
        <v/>
      </c>
      <c r="B28" s="108">
        <f>IF(DASHBOARD!G26="⚠ REVISAR",DASHBOARD!A26,"")</f>
        <v/>
      </c>
      <c r="C28" s="105">
        <f>IF(DASHBOARD!G26="⚠ REVISAR",DASHBOARD!C26,"")</f>
        <v/>
      </c>
      <c r="D28" s="108">
        <f>IF(DASHBOARD!G26="⚠ REVISAR",DASHBOARD!D26,"")</f>
        <v/>
      </c>
      <c r="E28" s="108">
        <f>IF(DASHBOARD!G26="⚠ REVISAR",DASHBOARD!E26,"")</f>
        <v/>
      </c>
      <c r="F28" s="108" t="n"/>
    </row>
    <row r="29" ht="13.95" customHeight="1" s="176">
      <c r="A29" s="111">
        <f>IF(DASHBOARD!G27="⚠ REVISAR",9,"")</f>
        <v/>
      </c>
      <c r="B29" s="111">
        <f>IF(DASHBOARD!G27="⚠ REVISAR",DASHBOARD!A27,"")</f>
        <v/>
      </c>
      <c r="C29" s="103">
        <f>IF(DASHBOARD!G27="⚠ REVISAR",DASHBOARD!C27,"")</f>
        <v/>
      </c>
      <c r="D29" s="111">
        <f>IF(DASHBOARD!G27="⚠ REVISAR",DASHBOARD!D27,"")</f>
        <v/>
      </c>
      <c r="E29" s="111">
        <f>IF(DASHBOARD!G27="⚠ REVISAR",DASHBOARD!E27,"")</f>
        <v/>
      </c>
      <c r="F29" s="111" t="n"/>
    </row>
    <row r="30" ht="13.95" customHeight="1" s="176">
      <c r="A30" s="108">
        <f>IF(DASHBOARD!G28="⚠ REVISAR",10,"")</f>
        <v/>
      </c>
      <c r="B30" s="108">
        <f>IF(DASHBOARD!G28="⚠ REVISAR",DASHBOARD!A28,"")</f>
        <v/>
      </c>
      <c r="C30" s="105">
        <f>IF(DASHBOARD!G28="⚠ REVISAR",DASHBOARD!C28,"")</f>
        <v/>
      </c>
      <c r="D30" s="108">
        <f>IF(DASHBOARD!G28="⚠ REVISAR",DASHBOARD!D28,"")</f>
        <v/>
      </c>
      <c r="E30" s="108">
        <f>IF(DASHBOARD!G28="⚠ REVISAR",DASHBOARD!E28,"")</f>
        <v/>
      </c>
      <c r="F30" s="108" t="n"/>
    </row>
    <row r="31" ht="13.95" customHeight="1" s="176">
      <c r="A31" s="111">
        <f>IF(DASHBOARD!G29="⚠ REVISAR",11,"")</f>
        <v/>
      </c>
      <c r="B31" s="111">
        <f>IF(DASHBOARD!G29="⚠ REVISAR",DASHBOARD!A29,"")</f>
        <v/>
      </c>
      <c r="C31" s="103">
        <f>IF(DASHBOARD!G29="⚠ REVISAR",DASHBOARD!C29,"")</f>
        <v/>
      </c>
      <c r="D31" s="111">
        <f>IF(DASHBOARD!G29="⚠ REVISAR",DASHBOARD!D29,"")</f>
        <v/>
      </c>
      <c r="E31" s="111">
        <f>IF(DASHBOARD!G29="⚠ REVISAR",DASHBOARD!E29,"")</f>
        <v/>
      </c>
      <c r="F31" s="111" t="n"/>
    </row>
    <row r="32" ht="13.95" customHeight="1" s="176">
      <c r="A32" s="108">
        <f>IF(DASHBOARD!G30="⚠ REVISAR",12,"")</f>
        <v/>
      </c>
      <c r="B32" s="108">
        <f>IF(DASHBOARD!G30="⚠ REVISAR",DASHBOARD!A30,"")</f>
        <v/>
      </c>
      <c r="C32" s="105">
        <f>IF(DASHBOARD!G30="⚠ REVISAR",DASHBOARD!C30,"")</f>
        <v/>
      </c>
      <c r="D32" s="108">
        <f>IF(DASHBOARD!G30="⚠ REVISAR",DASHBOARD!D30,"")</f>
        <v/>
      </c>
      <c r="E32" s="108">
        <f>IF(DASHBOARD!G30="⚠ REVISAR",DASHBOARD!E30,"")</f>
        <v/>
      </c>
      <c r="F32" s="108" t="n"/>
    </row>
    <row r="33" ht="13.95" customHeight="1" s="176">
      <c r="A33" s="111">
        <f>IF(DASHBOARD!G31="⚠ REVISAR",13,"")</f>
        <v/>
      </c>
      <c r="B33" s="111">
        <f>IF(DASHBOARD!G31="⚠ REVISAR",DASHBOARD!A31,"")</f>
        <v/>
      </c>
      <c r="C33" s="103">
        <f>IF(DASHBOARD!G31="⚠ REVISAR",DASHBOARD!C31,"")</f>
        <v/>
      </c>
      <c r="D33" s="111">
        <f>IF(DASHBOARD!G31="⚠ REVISAR",DASHBOARD!D31,"")</f>
        <v/>
      </c>
      <c r="E33" s="111">
        <f>IF(DASHBOARD!G31="⚠ REVISAR",DASHBOARD!E31,"")</f>
        <v/>
      </c>
      <c r="F33" s="111" t="n"/>
    </row>
    <row r="34" ht="13.95" customHeight="1" s="176">
      <c r="A34" s="108">
        <f>IF(DASHBOARD!G32="⚠ REVISAR",14,"")</f>
        <v/>
      </c>
      <c r="B34" s="108">
        <f>IF(DASHBOARD!G32="⚠ REVISAR",DASHBOARD!A32,"")</f>
        <v/>
      </c>
      <c r="C34" s="105">
        <f>IF(DASHBOARD!G32="⚠ REVISAR",DASHBOARD!C32,"")</f>
        <v/>
      </c>
      <c r="D34" s="108">
        <f>IF(DASHBOARD!G32="⚠ REVISAR",DASHBOARD!D32,"")</f>
        <v/>
      </c>
      <c r="E34" s="108">
        <f>IF(DASHBOARD!G32="⚠ REVISAR",DASHBOARD!E32,"")</f>
        <v/>
      </c>
      <c r="F34" s="108" t="n"/>
    </row>
    <row r="35" ht="13.95" customHeight="1" s="176">
      <c r="A35" s="111">
        <f>IF(DASHBOARD!G33="⚠ REVISAR",15,"")</f>
        <v/>
      </c>
      <c r="B35" s="111">
        <f>IF(DASHBOARD!G33="⚠ REVISAR",DASHBOARD!A33,"")</f>
        <v/>
      </c>
      <c r="C35" s="103">
        <f>IF(DASHBOARD!G33="⚠ REVISAR",DASHBOARD!C33,"")</f>
        <v/>
      </c>
      <c r="D35" s="111">
        <f>IF(DASHBOARD!G33="⚠ REVISAR",DASHBOARD!D33,"")</f>
        <v/>
      </c>
      <c r="E35" s="111">
        <f>IF(DASHBOARD!G33="⚠ REVISAR",DASHBOARD!E33,"")</f>
        <v/>
      </c>
      <c r="F35" s="111" t="n"/>
    </row>
    <row r="36" ht="13.95" customHeight="1" s="176">
      <c r="A36" s="108">
        <f>IF(DASHBOARD!G34="⚠ REVISAR",16,"")</f>
        <v/>
      </c>
      <c r="B36" s="108">
        <f>IF(DASHBOARD!G34="⚠ REVISAR",DASHBOARD!A34,"")</f>
        <v/>
      </c>
      <c r="C36" s="105">
        <f>IF(DASHBOARD!G34="⚠ REVISAR",DASHBOARD!C34,"")</f>
        <v/>
      </c>
      <c r="D36" s="108">
        <f>IF(DASHBOARD!G34="⚠ REVISAR",DASHBOARD!D34,"")</f>
        <v/>
      </c>
      <c r="E36" s="108">
        <f>IF(DASHBOARD!G34="⚠ REVISAR",DASHBOARD!E34,"")</f>
        <v/>
      </c>
      <c r="F36" s="108" t="n"/>
    </row>
    <row r="37" ht="13.95" customHeight="1" s="176">
      <c r="A37" s="111">
        <f>IF(DASHBOARD!G35="⚠ REVISAR",17,"")</f>
        <v/>
      </c>
      <c r="B37" s="111">
        <f>IF(DASHBOARD!G35="⚠ REVISAR",DASHBOARD!A35,"")</f>
        <v/>
      </c>
      <c r="C37" s="103">
        <f>IF(DASHBOARD!G35="⚠ REVISAR",DASHBOARD!C35,"")</f>
        <v/>
      </c>
      <c r="D37" s="111">
        <f>IF(DASHBOARD!G35="⚠ REVISAR",DASHBOARD!D35,"")</f>
        <v/>
      </c>
      <c r="E37" s="111">
        <f>IF(DASHBOARD!G35="⚠ REVISAR",DASHBOARD!E35,"")</f>
        <v/>
      </c>
      <c r="F37" s="111" t="n"/>
    </row>
    <row r="38" ht="13.95" customHeight="1" s="176">
      <c r="A38" s="108">
        <f>IF(DASHBOARD!G36="⚠ REVISAR",18,"")</f>
        <v/>
      </c>
      <c r="B38" s="108">
        <f>IF(DASHBOARD!G36="⚠ REVISAR",DASHBOARD!A36,"")</f>
        <v/>
      </c>
      <c r="C38" s="105">
        <f>IF(DASHBOARD!G36="⚠ REVISAR",DASHBOARD!C36,"")</f>
        <v/>
      </c>
      <c r="D38" s="108">
        <f>IF(DASHBOARD!G36="⚠ REVISAR",DASHBOARD!D36,"")</f>
        <v/>
      </c>
      <c r="E38" s="108">
        <f>IF(DASHBOARD!G36="⚠ REVISAR",DASHBOARD!E36,"")</f>
        <v/>
      </c>
      <c r="F38" s="108" t="n"/>
    </row>
    <row r="39" ht="13.95" customHeight="1" s="176">
      <c r="A39" s="111">
        <f>IF(DASHBOARD!G37="⚠ REVISAR",19,"")</f>
        <v/>
      </c>
      <c r="B39" s="111">
        <f>IF(DASHBOARD!G37="⚠ REVISAR",DASHBOARD!A37,"")</f>
        <v/>
      </c>
      <c r="C39" s="103">
        <f>IF(DASHBOARD!G37="⚠ REVISAR",DASHBOARD!C37,"")</f>
        <v/>
      </c>
      <c r="D39" s="111">
        <f>IF(DASHBOARD!G37="⚠ REVISAR",DASHBOARD!D37,"")</f>
        <v/>
      </c>
      <c r="E39" s="111">
        <f>IF(DASHBOARD!G37="⚠ REVISAR",DASHBOARD!E37,"")</f>
        <v/>
      </c>
      <c r="F39" s="111" t="n"/>
    </row>
    <row r="40" ht="13.95" customHeight="1" s="176">
      <c r="A40" s="108">
        <f>IF(DASHBOARD!G38="⚠ REVISAR",20,"")</f>
        <v/>
      </c>
      <c r="B40" s="108">
        <f>IF(DASHBOARD!G38="⚠ REVISAR",DASHBOARD!A38,"")</f>
        <v/>
      </c>
      <c r="C40" s="105">
        <f>IF(DASHBOARD!G38="⚠ REVISAR",DASHBOARD!C38,"")</f>
        <v/>
      </c>
      <c r="D40" s="108">
        <f>IF(DASHBOARD!G38="⚠ REVISAR",DASHBOARD!D38,"")</f>
        <v/>
      </c>
      <c r="E40" s="108">
        <f>IF(DASHBOARD!G38="⚠ REVISAR",DASHBOARD!E38,"")</f>
        <v/>
      </c>
      <c r="F40" s="108" t="n"/>
    </row>
    <row r="41" ht="13.95" customHeight="1" s="176">
      <c r="A41" s="111">
        <f>IF(DASHBOARD!G39="⚠ REVISAR",21,"")</f>
        <v/>
      </c>
      <c r="B41" s="111">
        <f>IF(DASHBOARD!G39="⚠ REVISAR",DASHBOARD!A39,"")</f>
        <v/>
      </c>
      <c r="C41" s="103">
        <f>IF(DASHBOARD!G39="⚠ REVISAR",DASHBOARD!C39,"")</f>
        <v/>
      </c>
      <c r="D41" s="111">
        <f>IF(DASHBOARD!G39="⚠ REVISAR",DASHBOARD!D39,"")</f>
        <v/>
      </c>
      <c r="E41" s="111">
        <f>IF(DASHBOARD!G39="⚠ REVISAR",DASHBOARD!E39,"")</f>
        <v/>
      </c>
      <c r="F41" s="111" t="n"/>
    </row>
    <row r="42" ht="13.95" customHeight="1" s="176">
      <c r="A42" s="108">
        <f>IF(DASHBOARD!G40="⚠ REVISAR",22,"")</f>
        <v/>
      </c>
      <c r="B42" s="108">
        <f>IF(DASHBOARD!G40="⚠ REVISAR",DASHBOARD!A40,"")</f>
        <v/>
      </c>
      <c r="C42" s="105">
        <f>IF(DASHBOARD!G40="⚠ REVISAR",DASHBOARD!C40,"")</f>
        <v/>
      </c>
      <c r="D42" s="108">
        <f>IF(DASHBOARD!G40="⚠ REVISAR",DASHBOARD!D40,"")</f>
        <v/>
      </c>
      <c r="E42" s="108">
        <f>IF(DASHBOARD!G40="⚠ REVISAR",DASHBOARD!E40,"")</f>
        <v/>
      </c>
      <c r="F42" s="108" t="n"/>
    </row>
    <row r="43" ht="13.95" customHeight="1" s="176">
      <c r="A43" s="111">
        <f>IF(DASHBOARD!G41="⚠ REVISAR",23,"")</f>
        <v/>
      </c>
      <c r="B43" s="111">
        <f>IF(DASHBOARD!G41="⚠ REVISAR",DASHBOARD!A41,"")</f>
        <v/>
      </c>
      <c r="C43" s="103">
        <f>IF(DASHBOARD!G41="⚠ REVISAR",DASHBOARD!C41,"")</f>
        <v/>
      </c>
      <c r="D43" s="111">
        <f>IF(DASHBOARD!G41="⚠ REVISAR",DASHBOARD!D41,"")</f>
        <v/>
      </c>
      <c r="E43" s="111">
        <f>IF(DASHBOARD!G41="⚠ REVISAR",DASHBOARD!E41,"")</f>
        <v/>
      </c>
      <c r="F43" s="111" t="n"/>
    </row>
    <row r="44" ht="13.95" customHeight="1" s="176">
      <c r="A44" s="108">
        <f>IF(DASHBOARD!G42="⚠ REVISAR",24,"")</f>
        <v/>
      </c>
      <c r="B44" s="108">
        <f>IF(DASHBOARD!G42="⚠ REVISAR",DASHBOARD!A42,"")</f>
        <v/>
      </c>
      <c r="C44" s="105">
        <f>IF(DASHBOARD!G42="⚠ REVISAR",DASHBOARD!C42,"")</f>
        <v/>
      </c>
      <c r="D44" s="108">
        <f>IF(DASHBOARD!G42="⚠ REVISAR",DASHBOARD!D42,"")</f>
        <v/>
      </c>
      <c r="E44" s="108">
        <f>IF(DASHBOARD!G42="⚠ REVISAR",DASHBOARD!E42,"")</f>
        <v/>
      </c>
      <c r="F44" s="108" t="n"/>
    </row>
    <row r="45" ht="13.95" customHeight="1" s="176">
      <c r="A45" s="111">
        <f>IF(DASHBOARD!G43="⚠ REVISAR",25,"")</f>
        <v/>
      </c>
      <c r="B45" s="111">
        <f>IF(DASHBOARD!G43="⚠ REVISAR",DASHBOARD!A43,"")</f>
        <v/>
      </c>
      <c r="C45" s="103">
        <f>IF(DASHBOARD!G43="⚠ REVISAR",DASHBOARD!C43,"")</f>
        <v/>
      </c>
      <c r="D45" s="111">
        <f>IF(DASHBOARD!G43="⚠ REVISAR",DASHBOARD!D43,"")</f>
        <v/>
      </c>
      <c r="E45" s="111">
        <f>IF(DASHBOARD!G43="⚠ REVISAR",DASHBOARD!E43,"")</f>
        <v/>
      </c>
      <c r="F45" s="111" t="n"/>
    </row>
    <row r="46" ht="13.95" customHeight="1" s="176">
      <c r="A46" s="108">
        <f>IF(DASHBOARD!G44="⚠ REVISAR",26,"")</f>
        <v/>
      </c>
      <c r="B46" s="108">
        <f>IF(DASHBOARD!G44="⚠ REVISAR",DASHBOARD!A44,"")</f>
        <v/>
      </c>
      <c r="C46" s="105">
        <f>IF(DASHBOARD!G44="⚠ REVISAR",DASHBOARD!C44,"")</f>
        <v/>
      </c>
      <c r="D46" s="108">
        <f>IF(DASHBOARD!G44="⚠ REVISAR",DASHBOARD!D44,"")</f>
        <v/>
      </c>
      <c r="E46" s="108">
        <f>IF(DASHBOARD!G44="⚠ REVISAR",DASHBOARD!E44,"")</f>
        <v/>
      </c>
      <c r="F46" s="108" t="n"/>
    </row>
    <row r="47" ht="13.95" customHeight="1" s="176">
      <c r="A47" s="111">
        <f>IF(DASHBOARD!G45="⚠ REVISAR",27,"")</f>
        <v/>
      </c>
      <c r="B47" s="111">
        <f>IF(DASHBOARD!G45="⚠ REVISAR",DASHBOARD!A45,"")</f>
        <v/>
      </c>
      <c r="C47" s="103">
        <f>IF(DASHBOARD!G45="⚠ REVISAR",DASHBOARD!C45,"")</f>
        <v/>
      </c>
      <c r="D47" s="111">
        <f>IF(DASHBOARD!G45="⚠ REVISAR",DASHBOARD!D45,"")</f>
        <v/>
      </c>
      <c r="E47" s="111">
        <f>IF(DASHBOARD!G45="⚠ REVISAR",DASHBOARD!E45,"")</f>
        <v/>
      </c>
      <c r="F47" s="111" t="n"/>
    </row>
    <row r="48" ht="13.95" customHeight="1" s="176">
      <c r="A48" s="108">
        <f>IF(DASHBOARD!G46="⚠ REVISAR",28,"")</f>
        <v/>
      </c>
      <c r="B48" s="108">
        <f>IF(DASHBOARD!G46="⚠ REVISAR",DASHBOARD!A46,"")</f>
        <v/>
      </c>
      <c r="C48" s="105">
        <f>IF(DASHBOARD!G46="⚠ REVISAR",DASHBOARD!C46,"")</f>
        <v/>
      </c>
      <c r="D48" s="108">
        <f>IF(DASHBOARD!G46="⚠ REVISAR",DASHBOARD!D46,"")</f>
        <v/>
      </c>
      <c r="E48" s="108">
        <f>IF(DASHBOARD!G46="⚠ REVISAR",DASHBOARD!E46,"")</f>
        <v/>
      </c>
      <c r="F48" s="108" t="n"/>
    </row>
    <row r="49" ht="13.95" customHeight="1" s="176">
      <c r="A49" s="111">
        <f>IF(DASHBOARD!G47="⚠ REVISAR",29,"")</f>
        <v/>
      </c>
      <c r="B49" s="111">
        <f>IF(DASHBOARD!G47="⚠ REVISAR",DASHBOARD!A47,"")</f>
        <v/>
      </c>
      <c r="C49" s="103">
        <f>IF(DASHBOARD!G47="⚠ REVISAR",DASHBOARD!C47,"")</f>
        <v/>
      </c>
      <c r="D49" s="111">
        <f>IF(DASHBOARD!G47="⚠ REVISAR",DASHBOARD!D47,"")</f>
        <v/>
      </c>
      <c r="E49" s="111">
        <f>IF(DASHBOARD!G47="⚠ REVISAR",DASHBOARD!E47,"")</f>
        <v/>
      </c>
      <c r="F49" s="111" t="n"/>
    </row>
    <row r="50" ht="13.95" customHeight="1" s="176">
      <c r="A50" s="108">
        <f>IF(DASHBOARD!G48="⚠ REVISAR",30,"")</f>
        <v/>
      </c>
      <c r="B50" s="108">
        <f>IF(DASHBOARD!G48="⚠ REVISAR",DASHBOARD!A48,"")</f>
        <v/>
      </c>
      <c r="C50" s="105">
        <f>IF(DASHBOARD!G48="⚠ REVISAR",DASHBOARD!C48,"")</f>
        <v/>
      </c>
      <c r="D50" s="108">
        <f>IF(DASHBOARD!G48="⚠ REVISAR",DASHBOARD!D48,"")</f>
        <v/>
      </c>
      <c r="E50" s="108">
        <f>IF(DASHBOARD!G48="⚠ REVISAR",DASHBOARD!E48,"")</f>
        <v/>
      </c>
      <c r="F50" s="108" t="n"/>
    </row>
    <row r="51" ht="13.95" customHeight="1" s="176">
      <c r="A51" s="111">
        <f>IF(DASHBOARD!G49="⚠ REVISAR",31,"")</f>
        <v/>
      </c>
      <c r="B51" s="111">
        <f>IF(DASHBOARD!G49="⚠ REVISAR",DASHBOARD!A49,"")</f>
        <v/>
      </c>
      <c r="C51" s="103">
        <f>IF(DASHBOARD!G49="⚠ REVISAR",DASHBOARD!C49,"")</f>
        <v/>
      </c>
      <c r="D51" s="111">
        <f>IF(DASHBOARD!G49="⚠ REVISAR",DASHBOARD!D49,"")</f>
        <v/>
      </c>
      <c r="E51" s="111">
        <f>IF(DASHBOARD!G49="⚠ REVISAR",DASHBOARD!E49,"")</f>
        <v/>
      </c>
      <c r="F51" s="111" t="n"/>
    </row>
    <row r="52" ht="13.95" customHeight="1" s="176">
      <c r="A52" s="108">
        <f>IF(DASHBOARD!G50="⚠ REVISAR",32,"")</f>
        <v/>
      </c>
      <c r="B52" s="108">
        <f>IF(DASHBOARD!G50="⚠ REVISAR",DASHBOARD!A50,"")</f>
        <v/>
      </c>
      <c r="C52" s="105">
        <f>IF(DASHBOARD!G50="⚠ REVISAR",DASHBOARD!C50,"")</f>
        <v/>
      </c>
      <c r="D52" s="108">
        <f>IF(DASHBOARD!G50="⚠ REVISAR",DASHBOARD!D50,"")</f>
        <v/>
      </c>
      <c r="E52" s="108">
        <f>IF(DASHBOARD!G50="⚠ REVISAR",DASHBOARD!E50,"")</f>
        <v/>
      </c>
      <c r="F52" s="108" t="n"/>
    </row>
    <row r="53" ht="13.95" customHeight="1" s="176">
      <c r="A53" s="111">
        <f>IF(DASHBOARD!G51="⚠ REVISAR",33,"")</f>
        <v/>
      </c>
      <c r="B53" s="111">
        <f>IF(DASHBOARD!G51="⚠ REVISAR",DASHBOARD!A51,"")</f>
        <v/>
      </c>
      <c r="C53" s="103">
        <f>IF(DASHBOARD!G51="⚠ REVISAR",DASHBOARD!C51,"")</f>
        <v/>
      </c>
      <c r="D53" s="111">
        <f>IF(DASHBOARD!G51="⚠ REVISAR",DASHBOARD!D51,"")</f>
        <v/>
      </c>
      <c r="E53" s="111">
        <f>IF(DASHBOARD!G51="⚠ REVISAR",DASHBOARD!E51,"")</f>
        <v/>
      </c>
      <c r="F53" s="111" t="n"/>
    </row>
    <row r="54" ht="13.95" customHeight="1" s="176">
      <c r="A54" s="108">
        <f>IF(DASHBOARD!G52="⚠ REVISAR",34,"")</f>
        <v/>
      </c>
      <c r="B54" s="108">
        <f>IF(DASHBOARD!G52="⚠ REVISAR",DASHBOARD!A52,"")</f>
        <v/>
      </c>
      <c r="C54" s="105">
        <f>IF(DASHBOARD!G52="⚠ REVISAR",DASHBOARD!C52,"")</f>
        <v/>
      </c>
      <c r="D54" s="108">
        <f>IF(DASHBOARD!G52="⚠ REVISAR",DASHBOARD!D52,"")</f>
        <v/>
      </c>
      <c r="E54" s="108">
        <f>IF(DASHBOARD!G52="⚠ REVISAR",DASHBOARD!E52,"")</f>
        <v/>
      </c>
      <c r="F54" s="108" t="n"/>
    </row>
    <row r="55" ht="13.95" customHeight="1" s="176">
      <c r="A55" s="111">
        <f>IF(DASHBOARD!G53="⚠ REVISAR",35,"")</f>
        <v/>
      </c>
      <c r="B55" s="111">
        <f>IF(DASHBOARD!G53="⚠ REVISAR",DASHBOARD!A53,"")</f>
        <v/>
      </c>
      <c r="C55" s="103">
        <f>IF(DASHBOARD!G53="⚠ REVISAR",DASHBOARD!C53,"")</f>
        <v/>
      </c>
      <c r="D55" s="111">
        <f>IF(DASHBOARD!G53="⚠ REVISAR",DASHBOARD!D53,"")</f>
        <v/>
      </c>
      <c r="E55" s="111">
        <f>IF(DASHBOARD!G53="⚠ REVISAR",DASHBOARD!E53,"")</f>
        <v/>
      </c>
      <c r="F55" s="111" t="n"/>
    </row>
    <row r="56" ht="13.95" customHeight="1" s="176">
      <c r="A56" s="108">
        <f>IF(DASHBOARD!G54="⚠ REVISAR",36,"")</f>
        <v/>
      </c>
      <c r="B56" s="108">
        <f>IF(DASHBOARD!G54="⚠ REVISAR",DASHBOARD!A54,"")</f>
        <v/>
      </c>
      <c r="C56" s="105">
        <f>IF(DASHBOARD!G54="⚠ REVISAR",DASHBOARD!C54,"")</f>
        <v/>
      </c>
      <c r="D56" s="108">
        <f>IF(DASHBOARD!G54="⚠ REVISAR",DASHBOARD!D54,"")</f>
        <v/>
      </c>
      <c r="E56" s="108">
        <f>IF(DASHBOARD!G54="⚠ REVISAR",DASHBOARD!E54,"")</f>
        <v/>
      </c>
      <c r="F56" s="108" t="n"/>
    </row>
    <row r="57" ht="13.95" customHeight="1" s="176">
      <c r="A57" s="111">
        <f>IF(DASHBOARD!G55="⚠ REVISAR",37,"")</f>
        <v/>
      </c>
      <c r="B57" s="111">
        <f>IF(DASHBOARD!G55="⚠ REVISAR",DASHBOARD!A55,"")</f>
        <v/>
      </c>
      <c r="C57" s="103">
        <f>IF(DASHBOARD!G55="⚠ REVISAR",DASHBOARD!C55,"")</f>
        <v/>
      </c>
      <c r="D57" s="111">
        <f>IF(DASHBOARD!G55="⚠ REVISAR",DASHBOARD!D55,"")</f>
        <v/>
      </c>
      <c r="E57" s="111">
        <f>IF(DASHBOARD!G55="⚠ REVISAR",DASHBOARD!E55,"")</f>
        <v/>
      </c>
      <c r="F57" s="111" t="n"/>
    </row>
    <row r="58" ht="13.95" customHeight="1" s="176">
      <c r="A58" s="108">
        <f>IF(DASHBOARD!G56="⚠ REVISAR",38,"")</f>
        <v/>
      </c>
      <c r="B58" s="108">
        <f>IF(DASHBOARD!G56="⚠ REVISAR",DASHBOARD!A56,"")</f>
        <v/>
      </c>
      <c r="C58" s="105">
        <f>IF(DASHBOARD!G56="⚠ REVISAR",DASHBOARD!C56,"")</f>
        <v/>
      </c>
      <c r="D58" s="108">
        <f>IF(DASHBOARD!G56="⚠ REVISAR",DASHBOARD!D56,"")</f>
        <v/>
      </c>
      <c r="E58" s="108">
        <f>IF(DASHBOARD!G56="⚠ REVISAR",DASHBOARD!E56,"")</f>
        <v/>
      </c>
      <c r="F58" s="108" t="n"/>
    </row>
    <row r="59" ht="13.95" customHeight="1" s="176">
      <c r="A59" s="111">
        <f>IF(DASHBOARD!G57="⚠ REVISAR",39,"")</f>
        <v/>
      </c>
      <c r="B59" s="111">
        <f>IF(DASHBOARD!G57="⚠ REVISAR",DASHBOARD!A57,"")</f>
        <v/>
      </c>
      <c r="C59" s="103">
        <f>IF(DASHBOARD!G57="⚠ REVISAR",DASHBOARD!C57,"")</f>
        <v/>
      </c>
      <c r="D59" s="111">
        <f>IF(DASHBOARD!G57="⚠ REVISAR",DASHBOARD!D57,"")</f>
        <v/>
      </c>
      <c r="E59" s="111">
        <f>IF(DASHBOARD!G57="⚠ REVISAR",DASHBOARD!E57,"")</f>
        <v/>
      </c>
      <c r="F59" s="111" t="n"/>
    </row>
    <row r="60" ht="13.95" customHeight="1" s="176">
      <c r="A60" s="108">
        <f>IF(DASHBOARD!G58="⚠ REVISAR",40,"")</f>
        <v/>
      </c>
      <c r="B60" s="108">
        <f>IF(DASHBOARD!G58="⚠ REVISAR",DASHBOARD!A58,"")</f>
        <v/>
      </c>
      <c r="C60" s="105">
        <f>IF(DASHBOARD!G58="⚠ REVISAR",DASHBOARD!C58,"")</f>
        <v/>
      </c>
      <c r="D60" s="108">
        <f>IF(DASHBOARD!G58="⚠ REVISAR",DASHBOARD!D58,"")</f>
        <v/>
      </c>
      <c r="E60" s="108">
        <f>IF(DASHBOARD!G58="⚠ REVISAR",DASHBOARD!E58,"")</f>
        <v/>
      </c>
      <c r="F60" s="108" t="n"/>
    </row>
    <row r="61" ht="13.95" customHeight="1" s="176">
      <c r="A61" s="111">
        <f>IF(DASHBOARD!G59="⚠ REVISAR",41,"")</f>
        <v/>
      </c>
      <c r="B61" s="111">
        <f>IF(DASHBOARD!G59="⚠ REVISAR",DASHBOARD!A59,"")</f>
        <v/>
      </c>
      <c r="C61" s="103">
        <f>IF(DASHBOARD!G59="⚠ REVISAR",DASHBOARD!C59,"")</f>
        <v/>
      </c>
      <c r="D61" s="111">
        <f>IF(DASHBOARD!G59="⚠ REVISAR",DASHBOARD!D59,"")</f>
        <v/>
      </c>
      <c r="E61" s="111">
        <f>IF(DASHBOARD!G59="⚠ REVISAR",DASHBOARD!E59,"")</f>
        <v/>
      </c>
      <c r="F61" s="111" t="n"/>
    </row>
    <row r="62" ht="13.95" customHeight="1" s="176">
      <c r="A62" s="108">
        <f>IF(DASHBOARD!G60="⚠ REVISAR",42,"")</f>
        <v/>
      </c>
      <c r="B62" s="108">
        <f>IF(DASHBOARD!G60="⚠ REVISAR",DASHBOARD!A60,"")</f>
        <v/>
      </c>
      <c r="C62" s="105">
        <f>IF(DASHBOARD!G60="⚠ REVISAR",DASHBOARD!C60,"")</f>
        <v/>
      </c>
      <c r="D62" s="108">
        <f>IF(DASHBOARD!G60="⚠ REVISAR",DASHBOARD!D60,"")</f>
        <v/>
      </c>
      <c r="E62" s="108">
        <f>IF(DASHBOARD!G60="⚠ REVISAR",DASHBOARD!E60,"")</f>
        <v/>
      </c>
      <c r="F62" s="108" t="n"/>
    </row>
    <row r="63" ht="13.95" customHeight="1" s="176">
      <c r="A63" s="111">
        <f>IF(DASHBOARD!G61="⚠ REVISAR",43,"")</f>
        <v/>
      </c>
      <c r="B63" s="111">
        <f>IF(DASHBOARD!G61="⚠ REVISAR",DASHBOARD!A61,"")</f>
        <v/>
      </c>
      <c r="C63" s="103">
        <f>IF(DASHBOARD!G61="⚠ REVISAR",DASHBOARD!C61,"")</f>
        <v/>
      </c>
      <c r="D63" s="111">
        <f>IF(DASHBOARD!G61="⚠ REVISAR",DASHBOARD!D61,"")</f>
        <v/>
      </c>
      <c r="E63" s="111">
        <f>IF(DASHBOARD!G61="⚠ REVISAR",DASHBOARD!E61,"")</f>
        <v/>
      </c>
      <c r="F63" s="111" t="n"/>
    </row>
    <row r="64" ht="13.95" customHeight="1" s="176">
      <c r="A64" s="108">
        <f>IF(DASHBOARD!G62="⚠ REVISAR",44,"")</f>
        <v/>
      </c>
      <c r="B64" s="108">
        <f>IF(DASHBOARD!G62="⚠ REVISAR",DASHBOARD!A62,"")</f>
        <v/>
      </c>
      <c r="C64" s="105">
        <f>IF(DASHBOARD!G62="⚠ REVISAR",DASHBOARD!C62,"")</f>
        <v/>
      </c>
      <c r="D64" s="108">
        <f>IF(DASHBOARD!G62="⚠ REVISAR",DASHBOARD!D62,"")</f>
        <v/>
      </c>
      <c r="E64" s="108">
        <f>IF(DASHBOARD!G62="⚠ REVISAR",DASHBOARD!E62,"")</f>
        <v/>
      </c>
      <c r="F64" s="108" t="n"/>
    </row>
    <row r="65" ht="13.95" customHeight="1" s="176">
      <c r="A65" s="111">
        <f>IF(DASHBOARD!G63="⚠ REVISAR",45,"")</f>
        <v/>
      </c>
      <c r="B65" s="111">
        <f>IF(DASHBOARD!G63="⚠ REVISAR",DASHBOARD!A63,"")</f>
        <v/>
      </c>
      <c r="C65" s="103">
        <f>IF(DASHBOARD!G63="⚠ REVISAR",DASHBOARD!C63,"")</f>
        <v/>
      </c>
      <c r="D65" s="111">
        <f>IF(DASHBOARD!G63="⚠ REVISAR",DASHBOARD!D63,"")</f>
        <v/>
      </c>
      <c r="E65" s="111">
        <f>IF(DASHBOARD!G63="⚠ REVISAR",DASHBOARD!E63,"")</f>
        <v/>
      </c>
      <c r="F65" s="111" t="n"/>
    </row>
    <row r="66" ht="13.95" customHeight="1" s="176">
      <c r="A66" s="108">
        <f>IF(DASHBOARD!G64="⚠ REVISAR",46,"")</f>
        <v/>
      </c>
      <c r="B66" s="108">
        <f>IF(DASHBOARD!G64="⚠ REVISAR",DASHBOARD!A64,"")</f>
        <v/>
      </c>
      <c r="C66" s="105">
        <f>IF(DASHBOARD!G64="⚠ REVISAR",DASHBOARD!C64,"")</f>
        <v/>
      </c>
      <c r="D66" s="108">
        <f>IF(DASHBOARD!G64="⚠ REVISAR",DASHBOARD!D64,"")</f>
        <v/>
      </c>
      <c r="E66" s="108">
        <f>IF(DASHBOARD!G64="⚠ REVISAR",DASHBOARD!E64,"")</f>
        <v/>
      </c>
      <c r="F66" s="108" t="n"/>
    </row>
    <row r="67" ht="13.95" customHeight="1" s="176">
      <c r="A67" s="111">
        <f>IF(DASHBOARD!G65="⚠ REVISAR",47,"")</f>
        <v/>
      </c>
      <c r="B67" s="111">
        <f>IF(DASHBOARD!G65="⚠ REVISAR",DASHBOARD!A65,"")</f>
        <v/>
      </c>
      <c r="C67" s="103">
        <f>IF(DASHBOARD!G65="⚠ REVISAR",DASHBOARD!C65,"")</f>
        <v/>
      </c>
      <c r="D67" s="111">
        <f>IF(DASHBOARD!G65="⚠ REVISAR",DASHBOARD!D65,"")</f>
        <v/>
      </c>
      <c r="E67" s="111">
        <f>IF(DASHBOARD!G65="⚠ REVISAR",DASHBOARD!E65,"")</f>
        <v/>
      </c>
      <c r="F67" s="111" t="n"/>
    </row>
    <row r="68" ht="13.95" customHeight="1" s="176">
      <c r="A68" s="108">
        <f>IF(DASHBOARD!G66="⚠ REVISAR",48,"")</f>
        <v/>
      </c>
      <c r="B68" s="108">
        <f>IF(DASHBOARD!G66="⚠ REVISAR",DASHBOARD!A66,"")</f>
        <v/>
      </c>
      <c r="C68" s="105">
        <f>IF(DASHBOARD!G66="⚠ REVISAR",DASHBOARD!C66,"")</f>
        <v/>
      </c>
      <c r="D68" s="108">
        <f>IF(DASHBOARD!G66="⚠ REVISAR",DASHBOARD!D66,"")</f>
        <v/>
      </c>
      <c r="E68" s="108">
        <f>IF(DASHBOARD!G66="⚠ REVISAR",DASHBOARD!E66,"")</f>
        <v/>
      </c>
      <c r="F68" s="108" t="n"/>
    </row>
    <row r="69" ht="13.95" customHeight="1" s="176">
      <c r="A69" s="111">
        <f>IF(DASHBOARD!G67="⚠ REVISAR",49,"")</f>
        <v/>
      </c>
      <c r="B69" s="111">
        <f>IF(DASHBOARD!G67="⚠ REVISAR",DASHBOARD!A67,"")</f>
        <v/>
      </c>
      <c r="C69" s="103">
        <f>IF(DASHBOARD!G67="⚠ REVISAR",DASHBOARD!C67,"")</f>
        <v/>
      </c>
      <c r="D69" s="111">
        <f>IF(DASHBOARD!G67="⚠ REVISAR",DASHBOARD!D67,"")</f>
        <v/>
      </c>
      <c r="E69" s="111">
        <f>IF(DASHBOARD!G67="⚠ REVISAR",DASHBOARD!E67,"")</f>
        <v/>
      </c>
      <c r="F69" s="111" t="n"/>
    </row>
    <row r="70" ht="13.95" customHeight="1" s="176">
      <c r="A70" s="108">
        <f>IF(DASHBOARD!G68="⚠ REVISAR",50,"")</f>
        <v/>
      </c>
      <c r="B70" s="108">
        <f>IF(DASHBOARD!G68="⚠ REVISAR",DASHBOARD!A68,"")</f>
        <v/>
      </c>
      <c r="C70" s="105">
        <f>IF(DASHBOARD!G68="⚠ REVISAR",DASHBOARD!C68,"")</f>
        <v/>
      </c>
      <c r="D70" s="108">
        <f>IF(DASHBOARD!G68="⚠ REVISAR",DASHBOARD!D68,"")</f>
        <v/>
      </c>
      <c r="E70" s="108">
        <f>IF(DASHBOARD!G68="⚠ REVISAR",DASHBOARD!E68,"")</f>
        <v/>
      </c>
      <c r="F70" s="108" t="n"/>
    </row>
    <row r="71" ht="13.95" customHeight="1" s="176">
      <c r="A71" s="111">
        <f>IF(DASHBOARD!G69="⚠ REVISAR",51,"")</f>
        <v/>
      </c>
      <c r="B71" s="111">
        <f>IF(DASHBOARD!G69="⚠ REVISAR",DASHBOARD!A69,"")</f>
        <v/>
      </c>
      <c r="C71" s="103">
        <f>IF(DASHBOARD!G69="⚠ REVISAR",DASHBOARD!C69,"")</f>
        <v/>
      </c>
      <c r="D71" s="111">
        <f>IF(DASHBOARD!G69="⚠ REVISAR",DASHBOARD!D69,"")</f>
        <v/>
      </c>
      <c r="E71" s="111">
        <f>IF(DASHBOARD!G69="⚠ REVISAR",DASHBOARD!E69,"")</f>
        <v/>
      </c>
      <c r="F71" s="111" t="n"/>
    </row>
    <row r="72" ht="13.95" customHeight="1" s="176">
      <c r="A72" s="108">
        <f>IF(DASHBOARD!G70="⚠ REVISAR",52,"")</f>
        <v/>
      </c>
      <c r="B72" s="108">
        <f>IF(DASHBOARD!G70="⚠ REVISAR",DASHBOARD!A70,"")</f>
        <v/>
      </c>
      <c r="C72" s="105">
        <f>IF(DASHBOARD!G70="⚠ REVISAR",DASHBOARD!C70,"")</f>
        <v/>
      </c>
      <c r="D72" s="108">
        <f>IF(DASHBOARD!G70="⚠ REVISAR",DASHBOARD!D70,"")</f>
        <v/>
      </c>
      <c r="E72" s="108">
        <f>IF(DASHBOARD!G70="⚠ REVISAR",DASHBOARD!E70,"")</f>
        <v/>
      </c>
      <c r="F72" s="108" t="n"/>
    </row>
    <row r="73" ht="13.95" customHeight="1" s="176">
      <c r="A73" s="111">
        <f>IF(DASHBOARD!G71="⚠ REVISAR",53,"")</f>
        <v/>
      </c>
      <c r="B73" s="111">
        <f>IF(DASHBOARD!G71="⚠ REVISAR",DASHBOARD!A71,"")</f>
        <v/>
      </c>
      <c r="C73" s="103">
        <f>IF(DASHBOARD!G71="⚠ REVISAR",DASHBOARD!C71,"")</f>
        <v/>
      </c>
      <c r="D73" s="111">
        <f>IF(DASHBOARD!G71="⚠ REVISAR",DASHBOARD!D71,"")</f>
        <v/>
      </c>
      <c r="E73" s="111">
        <f>IF(DASHBOARD!G71="⚠ REVISAR",DASHBOARD!E71,"")</f>
        <v/>
      </c>
      <c r="F73" s="111" t="n"/>
    </row>
    <row r="74" ht="13.95" customHeight="1" s="176">
      <c r="A74" s="108">
        <f>IF(DASHBOARD!G72="⚠ REVISAR",54,"")</f>
        <v/>
      </c>
      <c r="B74" s="108">
        <f>IF(DASHBOARD!G72="⚠ REVISAR",DASHBOARD!A72,"")</f>
        <v/>
      </c>
      <c r="C74" s="105">
        <f>IF(DASHBOARD!G72="⚠ REVISAR",DASHBOARD!C72,"")</f>
        <v/>
      </c>
      <c r="D74" s="108">
        <f>IF(DASHBOARD!G72="⚠ REVISAR",DASHBOARD!D72,"")</f>
        <v/>
      </c>
      <c r="E74" s="108">
        <f>IF(DASHBOARD!G72="⚠ REVISAR",DASHBOARD!E72,"")</f>
        <v/>
      </c>
      <c r="F74" s="108" t="n"/>
    </row>
    <row r="75" ht="13.95" customHeight="1" s="176">
      <c r="A75" s="111">
        <f>IF(DASHBOARD!G73="⚠ REVISAR",55,"")</f>
        <v/>
      </c>
      <c r="B75" s="111">
        <f>IF(DASHBOARD!G73="⚠ REVISAR",DASHBOARD!A73,"")</f>
        <v/>
      </c>
      <c r="C75" s="103">
        <f>IF(DASHBOARD!G73="⚠ REVISAR",DASHBOARD!C73,"")</f>
        <v/>
      </c>
      <c r="D75" s="111">
        <f>IF(DASHBOARD!G73="⚠ REVISAR",DASHBOARD!D73,"")</f>
        <v/>
      </c>
      <c r="E75" s="111">
        <f>IF(DASHBOARD!G73="⚠ REVISAR",DASHBOARD!E73,"")</f>
        <v/>
      </c>
      <c r="F75" s="111" t="n"/>
    </row>
    <row r="76" ht="13.95" customHeight="1" s="176">
      <c r="A76" s="108">
        <f>IF(DASHBOARD!G74="⚠ REVISAR",56,"")</f>
        <v/>
      </c>
      <c r="B76" s="108">
        <f>IF(DASHBOARD!G74="⚠ REVISAR",DASHBOARD!A74,"")</f>
        <v/>
      </c>
      <c r="C76" s="105">
        <f>IF(DASHBOARD!G74="⚠ REVISAR",DASHBOARD!C74,"")</f>
        <v/>
      </c>
      <c r="D76" s="108">
        <f>IF(DASHBOARD!G74="⚠ REVISAR",DASHBOARD!D74,"")</f>
        <v/>
      </c>
      <c r="E76" s="108">
        <f>IF(DASHBOARD!G74="⚠ REVISAR",DASHBOARD!E74,"")</f>
        <v/>
      </c>
      <c r="F76" s="108" t="n"/>
    </row>
    <row r="77" ht="13.95" customHeight="1" s="176">
      <c r="A77" s="111">
        <f>IF(DASHBOARD!G75="⚠ REVISAR",57,"")</f>
        <v/>
      </c>
      <c r="B77" s="111">
        <f>IF(DASHBOARD!G75="⚠ REVISAR",DASHBOARD!A75,"")</f>
        <v/>
      </c>
      <c r="C77" s="103">
        <f>IF(DASHBOARD!G75="⚠ REVISAR",DASHBOARD!C75,"")</f>
        <v/>
      </c>
      <c r="D77" s="111">
        <f>IF(DASHBOARD!G75="⚠ REVISAR",DASHBOARD!D75,"")</f>
        <v/>
      </c>
      <c r="E77" s="111">
        <f>IF(DASHBOARD!G75="⚠ REVISAR",DASHBOARD!E75,"")</f>
        <v/>
      </c>
      <c r="F77" s="111" t="n"/>
    </row>
    <row r="78" ht="13.95" customHeight="1" s="176">
      <c r="A78" s="108">
        <f>IF(DASHBOARD!G76="⚠ REVISAR",58,"")</f>
        <v/>
      </c>
      <c r="B78" s="108">
        <f>IF(DASHBOARD!G76="⚠ REVISAR",DASHBOARD!A76,"")</f>
        <v/>
      </c>
      <c r="C78" s="105">
        <f>IF(DASHBOARD!G76="⚠ REVISAR",DASHBOARD!C76,"")</f>
        <v/>
      </c>
      <c r="D78" s="108">
        <f>IF(DASHBOARD!G76="⚠ REVISAR",DASHBOARD!D76,"")</f>
        <v/>
      </c>
      <c r="E78" s="108">
        <f>IF(DASHBOARD!G76="⚠ REVISAR",DASHBOARD!E76,"")</f>
        <v/>
      </c>
      <c r="F78" s="108" t="n"/>
    </row>
    <row r="79" ht="13.95" customHeight="1" s="176">
      <c r="A79" s="111">
        <f>IF(DASHBOARD!G77="⚠ REVISAR",59,"")</f>
        <v/>
      </c>
      <c r="B79" s="111">
        <f>IF(DASHBOARD!G77="⚠ REVISAR",DASHBOARD!A77,"")</f>
        <v/>
      </c>
      <c r="C79" s="103">
        <f>IF(DASHBOARD!G77="⚠ REVISAR",DASHBOARD!C77,"")</f>
        <v/>
      </c>
      <c r="D79" s="111">
        <f>IF(DASHBOARD!G77="⚠ REVISAR",DASHBOARD!D77,"")</f>
        <v/>
      </c>
      <c r="E79" s="111">
        <f>IF(DASHBOARD!G77="⚠ REVISAR",DASHBOARD!E77,"")</f>
        <v/>
      </c>
      <c r="F79" s="111" t="n"/>
    </row>
    <row r="80" ht="13.95" customHeight="1" s="176">
      <c r="A80" s="108">
        <f>IF(DASHBOARD!G78="⚠ REVISAR",60,"")</f>
        <v/>
      </c>
      <c r="B80" s="108">
        <f>IF(DASHBOARD!G78="⚠ REVISAR",DASHBOARD!A78,"")</f>
        <v/>
      </c>
      <c r="C80" s="105">
        <f>IF(DASHBOARD!G78="⚠ REVISAR",DASHBOARD!C78,"")</f>
        <v/>
      </c>
      <c r="D80" s="108">
        <f>IF(DASHBOARD!G78="⚠ REVISAR",DASHBOARD!D78,"")</f>
        <v/>
      </c>
      <c r="E80" s="108">
        <f>IF(DASHBOARD!G78="⚠ REVISAR",DASHBOARD!E78,"")</f>
        <v/>
      </c>
      <c r="F80" s="108" t="n"/>
    </row>
    <row r="81" ht="13.95" customHeight="1" s="176">
      <c r="A81" s="111">
        <f>IF(DASHBOARD!G79="⚠ REVISAR",61,"")</f>
        <v/>
      </c>
      <c r="B81" s="111">
        <f>IF(DASHBOARD!G79="⚠ REVISAR",DASHBOARD!A79,"")</f>
        <v/>
      </c>
      <c r="C81" s="103">
        <f>IF(DASHBOARD!G79="⚠ REVISAR",DASHBOARD!C79,"")</f>
        <v/>
      </c>
      <c r="D81" s="111">
        <f>IF(DASHBOARD!G79="⚠ REVISAR",DASHBOARD!D79,"")</f>
        <v/>
      </c>
      <c r="E81" s="111">
        <f>IF(DASHBOARD!G79="⚠ REVISAR",DASHBOARD!E79,"")</f>
        <v/>
      </c>
      <c r="F81" s="111" t="n"/>
    </row>
    <row r="82" ht="13.95" customHeight="1" s="176">
      <c r="A82" s="108">
        <f>IF(DASHBOARD!G80="⚠ REVISAR",62,"")</f>
        <v/>
      </c>
      <c r="B82" s="108">
        <f>IF(DASHBOARD!G80="⚠ REVISAR",DASHBOARD!A80,"")</f>
        <v/>
      </c>
      <c r="C82" s="105">
        <f>IF(DASHBOARD!G80="⚠ REVISAR",DASHBOARD!C80,"")</f>
        <v/>
      </c>
      <c r="D82" s="108">
        <f>IF(DASHBOARD!G80="⚠ REVISAR",DASHBOARD!D80,"")</f>
        <v/>
      </c>
      <c r="E82" s="108">
        <f>IF(DASHBOARD!G80="⚠ REVISAR",DASHBOARD!E80,"")</f>
        <v/>
      </c>
      <c r="F82" s="108" t="n"/>
    </row>
    <row r="83" ht="13.95" customHeight="1" s="176">
      <c r="A83" s="111">
        <f>IF(DASHBOARD!G81="⚠ REVISAR",63,"")</f>
        <v/>
      </c>
      <c r="B83" s="111">
        <f>IF(DASHBOARD!G81="⚠ REVISAR",DASHBOARD!A81,"")</f>
        <v/>
      </c>
      <c r="C83" s="103">
        <f>IF(DASHBOARD!G81="⚠ REVISAR",DASHBOARD!C81,"")</f>
        <v/>
      </c>
      <c r="D83" s="111">
        <f>IF(DASHBOARD!G81="⚠ REVISAR",DASHBOARD!D81,"")</f>
        <v/>
      </c>
      <c r="E83" s="111">
        <f>IF(DASHBOARD!G81="⚠ REVISAR",DASHBOARD!E81,"")</f>
        <v/>
      </c>
      <c r="F83" s="111" t="n"/>
    </row>
    <row r="84" ht="13.95" customHeight="1" s="176">
      <c r="A84" s="108">
        <f>IF(DASHBOARD!G82="⚠ REVISAR",64,"")</f>
        <v/>
      </c>
      <c r="B84" s="108">
        <f>IF(DASHBOARD!G82="⚠ REVISAR",DASHBOARD!A82,"")</f>
        <v/>
      </c>
      <c r="C84" s="105">
        <f>IF(DASHBOARD!G82="⚠ REVISAR",DASHBOARD!C82,"")</f>
        <v/>
      </c>
      <c r="D84" s="108">
        <f>IF(DASHBOARD!G82="⚠ REVISAR",DASHBOARD!D82,"")</f>
        <v/>
      </c>
      <c r="E84" s="108">
        <f>IF(DASHBOARD!G82="⚠ REVISAR",DASHBOARD!E82,"")</f>
        <v/>
      </c>
      <c r="F84" s="108" t="n"/>
    </row>
    <row r="85" ht="13.95" customHeight="1" s="176">
      <c r="A85" s="111">
        <f>IF(DASHBOARD!G83="⚠ REVISAR",65,"")</f>
        <v/>
      </c>
      <c r="B85" s="111">
        <f>IF(DASHBOARD!G83="⚠ REVISAR",DASHBOARD!A83,"")</f>
        <v/>
      </c>
      <c r="C85" s="103">
        <f>IF(DASHBOARD!G83="⚠ REVISAR",DASHBOARD!C83,"")</f>
        <v/>
      </c>
      <c r="D85" s="111">
        <f>IF(DASHBOARD!G83="⚠ REVISAR",DASHBOARD!D83,"")</f>
        <v/>
      </c>
      <c r="E85" s="111">
        <f>IF(DASHBOARD!G83="⚠ REVISAR",DASHBOARD!E83,"")</f>
        <v/>
      </c>
      <c r="F85" s="111" t="n"/>
    </row>
    <row r="86" ht="13.95" customHeight="1" s="176">
      <c r="A86" s="108">
        <f>IF(DASHBOARD!G84="⚠ REVISAR",66,"")</f>
        <v/>
      </c>
      <c r="B86" s="108">
        <f>IF(DASHBOARD!G84="⚠ REVISAR",DASHBOARD!A84,"")</f>
        <v/>
      </c>
      <c r="C86" s="105">
        <f>IF(DASHBOARD!G84="⚠ REVISAR",DASHBOARD!C84,"")</f>
        <v/>
      </c>
      <c r="D86" s="108">
        <f>IF(DASHBOARD!G84="⚠ REVISAR",DASHBOARD!D84,"")</f>
        <v/>
      </c>
      <c r="E86" s="108">
        <f>IF(DASHBOARD!G84="⚠ REVISAR",DASHBOARD!E84,"")</f>
        <v/>
      </c>
      <c r="F86" s="108" t="n"/>
    </row>
    <row r="87" ht="13.95" customHeight="1" s="176">
      <c r="A87" s="111">
        <f>IF(DASHBOARD!G85="⚠ REVISAR",67,"")</f>
        <v/>
      </c>
      <c r="B87" s="111">
        <f>IF(DASHBOARD!G85="⚠ REVISAR",DASHBOARD!A85,"")</f>
        <v/>
      </c>
      <c r="C87" s="103">
        <f>IF(DASHBOARD!G85="⚠ REVISAR",DASHBOARD!C85,"")</f>
        <v/>
      </c>
      <c r="D87" s="111">
        <f>IF(DASHBOARD!G85="⚠ REVISAR",DASHBOARD!D85,"")</f>
        <v/>
      </c>
      <c r="E87" s="111">
        <f>IF(DASHBOARD!G85="⚠ REVISAR",DASHBOARD!E85,"")</f>
        <v/>
      </c>
      <c r="F87" s="111" t="n"/>
    </row>
    <row r="88" ht="13.95" customHeight="1" s="176">
      <c r="A88" s="108">
        <f>IF(DASHBOARD!G86="⚠ REVISAR",68,"")</f>
        <v/>
      </c>
      <c r="B88" s="108">
        <f>IF(DASHBOARD!G86="⚠ REVISAR",DASHBOARD!A86,"")</f>
        <v/>
      </c>
      <c r="C88" s="105">
        <f>IF(DASHBOARD!G86="⚠ REVISAR",DASHBOARD!C86,"")</f>
        <v/>
      </c>
      <c r="D88" s="108">
        <f>IF(DASHBOARD!G86="⚠ REVISAR",DASHBOARD!D86,"")</f>
        <v/>
      </c>
      <c r="E88" s="108">
        <f>IF(DASHBOARD!G86="⚠ REVISAR",DASHBOARD!E86,"")</f>
        <v/>
      </c>
      <c r="F88" s="108" t="n"/>
    </row>
    <row r="89" ht="13.95" customHeight="1" s="176">
      <c r="A89" s="111">
        <f>IF(DASHBOARD!G87="⚠ REVISAR",69,"")</f>
        <v/>
      </c>
      <c r="B89" s="111">
        <f>IF(DASHBOARD!G87="⚠ REVISAR",DASHBOARD!A87,"")</f>
        <v/>
      </c>
      <c r="C89" s="103">
        <f>IF(DASHBOARD!G87="⚠ REVISAR",DASHBOARD!C87,"")</f>
        <v/>
      </c>
      <c r="D89" s="111">
        <f>IF(DASHBOARD!G87="⚠ REVISAR",DASHBOARD!D87,"")</f>
        <v/>
      </c>
      <c r="E89" s="111">
        <f>IF(DASHBOARD!G87="⚠ REVISAR",DASHBOARD!E87,"")</f>
        <v/>
      </c>
      <c r="F89" s="111" t="n"/>
    </row>
    <row r="90" ht="13.95" customHeight="1" s="176">
      <c r="A90" s="108">
        <f>IF(DASHBOARD!G88="⚠ REVISAR",70,"")</f>
        <v/>
      </c>
      <c r="B90" s="108">
        <f>IF(DASHBOARD!G88="⚠ REVISAR",DASHBOARD!A88,"")</f>
        <v/>
      </c>
      <c r="C90" s="105">
        <f>IF(DASHBOARD!G88="⚠ REVISAR",DASHBOARD!C88,"")</f>
        <v/>
      </c>
      <c r="D90" s="108">
        <f>IF(DASHBOARD!G88="⚠ REVISAR",DASHBOARD!D88,"")</f>
        <v/>
      </c>
      <c r="E90" s="108">
        <f>IF(DASHBOARD!G88="⚠ REVISAR",DASHBOARD!E88,"")</f>
        <v/>
      </c>
      <c r="F90" s="108" t="n"/>
    </row>
    <row r="91" ht="13.95" customHeight="1" s="176">
      <c r="A91" s="111">
        <f>IF(DASHBOARD!G89="⚠ REVISAR",71,"")</f>
        <v/>
      </c>
      <c r="B91" s="111">
        <f>IF(DASHBOARD!G89="⚠ REVISAR",DASHBOARD!A89,"")</f>
        <v/>
      </c>
      <c r="C91" s="103">
        <f>IF(DASHBOARD!G89="⚠ REVISAR",DASHBOARD!C89,"")</f>
        <v/>
      </c>
      <c r="D91" s="111">
        <f>IF(DASHBOARD!G89="⚠ REVISAR",DASHBOARD!D89,"")</f>
        <v/>
      </c>
      <c r="E91" s="111">
        <f>IF(DASHBOARD!G89="⚠ REVISAR",DASHBOARD!E89,"")</f>
        <v/>
      </c>
      <c r="F91" s="111" t="n"/>
    </row>
    <row r="92" ht="13.95" customHeight="1" s="176">
      <c r="A92" s="108">
        <f>IF(DASHBOARD!G90="⚠ REVISAR",72,"")</f>
        <v/>
      </c>
      <c r="B92" s="108">
        <f>IF(DASHBOARD!G90="⚠ REVISAR",DASHBOARD!A90,"")</f>
        <v/>
      </c>
      <c r="C92" s="105">
        <f>IF(DASHBOARD!G90="⚠ REVISAR",DASHBOARD!C90,"")</f>
        <v/>
      </c>
      <c r="D92" s="108">
        <f>IF(DASHBOARD!G90="⚠ REVISAR",DASHBOARD!D90,"")</f>
        <v/>
      </c>
      <c r="E92" s="108">
        <f>IF(DASHBOARD!G90="⚠ REVISAR",DASHBOARD!E90,"")</f>
        <v/>
      </c>
      <c r="F92" s="108" t="n"/>
    </row>
    <row r="93" ht="13.95" customHeight="1" s="176">
      <c r="A93" s="111">
        <f>IF(DASHBOARD!G91="⚠ REVISAR",73,"")</f>
        <v/>
      </c>
      <c r="B93" s="111">
        <f>IF(DASHBOARD!G91="⚠ REVISAR",DASHBOARD!A91,"")</f>
        <v/>
      </c>
      <c r="C93" s="103">
        <f>IF(DASHBOARD!G91="⚠ REVISAR",DASHBOARD!C91,"")</f>
        <v/>
      </c>
      <c r="D93" s="111">
        <f>IF(DASHBOARD!G91="⚠ REVISAR",DASHBOARD!D91,"")</f>
        <v/>
      </c>
      <c r="E93" s="111">
        <f>IF(DASHBOARD!G91="⚠ REVISAR",DASHBOARD!E91,"")</f>
        <v/>
      </c>
      <c r="F93" s="111" t="n"/>
    </row>
    <row r="94" ht="13.95" customHeight="1" s="176">
      <c r="A94" s="108">
        <f>IF(DASHBOARD!G92="⚠ REVISAR",74,"")</f>
        <v/>
      </c>
      <c r="B94" s="108">
        <f>IF(DASHBOARD!G92="⚠ REVISAR",DASHBOARD!A92,"")</f>
        <v/>
      </c>
      <c r="C94" s="105">
        <f>IF(DASHBOARD!G92="⚠ REVISAR",DASHBOARD!C92,"")</f>
        <v/>
      </c>
      <c r="D94" s="108">
        <f>IF(DASHBOARD!G92="⚠ REVISAR",DASHBOARD!D92,"")</f>
        <v/>
      </c>
      <c r="E94" s="108">
        <f>IF(DASHBOARD!G92="⚠ REVISAR",DASHBOARD!E92,"")</f>
        <v/>
      </c>
      <c r="F94" s="108" t="n"/>
    </row>
    <row r="95" ht="13.95" customHeight="1" s="176">
      <c r="A95" s="111">
        <f>IF(DASHBOARD!G93="⚠ REVISAR",75,"")</f>
        <v/>
      </c>
      <c r="B95" s="111">
        <f>IF(DASHBOARD!G93="⚠ REVISAR",DASHBOARD!A93,"")</f>
        <v/>
      </c>
      <c r="C95" s="103">
        <f>IF(DASHBOARD!G93="⚠ REVISAR",DASHBOARD!C93,"")</f>
        <v/>
      </c>
      <c r="D95" s="111">
        <f>IF(DASHBOARD!G93="⚠ REVISAR",DASHBOARD!D93,"")</f>
        <v/>
      </c>
      <c r="E95" s="111">
        <f>IF(DASHBOARD!G93="⚠ REVISAR",DASHBOARD!E93,"")</f>
        <v/>
      </c>
      <c r="F95" s="111" t="n"/>
    </row>
    <row r="96" ht="13.95" customHeight="1" s="176">
      <c r="A96" s="108">
        <f>IF(DASHBOARD!G94="⚠ REVISAR",76,"")</f>
        <v/>
      </c>
      <c r="B96" s="108">
        <f>IF(DASHBOARD!G94="⚠ REVISAR",DASHBOARD!A94,"")</f>
        <v/>
      </c>
      <c r="C96" s="105">
        <f>IF(DASHBOARD!G94="⚠ REVISAR",DASHBOARD!C94,"")</f>
        <v/>
      </c>
      <c r="D96" s="108">
        <f>IF(DASHBOARD!G94="⚠ REVISAR",DASHBOARD!D94,"")</f>
        <v/>
      </c>
      <c r="E96" s="108">
        <f>IF(DASHBOARD!G94="⚠ REVISAR",DASHBOARD!E94,"")</f>
        <v/>
      </c>
      <c r="F96" s="108" t="n"/>
    </row>
    <row r="97" ht="13.95" customHeight="1" s="176">
      <c r="A97" s="111">
        <f>IF(DASHBOARD!G95="⚠ REVISAR",77,"")</f>
        <v/>
      </c>
      <c r="B97" s="111">
        <f>IF(DASHBOARD!G95="⚠ REVISAR",DASHBOARD!A95,"")</f>
        <v/>
      </c>
      <c r="C97" s="103">
        <f>IF(DASHBOARD!G95="⚠ REVISAR",DASHBOARD!C95,"")</f>
        <v/>
      </c>
      <c r="D97" s="111">
        <f>IF(DASHBOARD!G95="⚠ REVISAR",DASHBOARD!D95,"")</f>
        <v/>
      </c>
      <c r="E97" s="111">
        <f>IF(DASHBOARD!G95="⚠ REVISAR",DASHBOARD!E95,"")</f>
        <v/>
      </c>
      <c r="F97" s="111" t="n"/>
    </row>
    <row r="98" ht="13.95" customHeight="1" s="176">
      <c r="A98" s="108">
        <f>IF(DASHBOARD!G96="⚠ REVISAR",78,"")</f>
        <v/>
      </c>
      <c r="B98" s="108">
        <f>IF(DASHBOARD!G96="⚠ REVISAR",DASHBOARD!A96,"")</f>
        <v/>
      </c>
      <c r="C98" s="105">
        <f>IF(DASHBOARD!G96="⚠ REVISAR",DASHBOARD!C96,"")</f>
        <v/>
      </c>
      <c r="D98" s="108">
        <f>IF(DASHBOARD!G96="⚠ REVISAR",DASHBOARD!D96,"")</f>
        <v/>
      </c>
      <c r="E98" s="108">
        <f>IF(DASHBOARD!G96="⚠ REVISAR",DASHBOARD!E96,"")</f>
        <v/>
      </c>
      <c r="F98" s="108" t="n"/>
    </row>
    <row r="99" ht="13.95" customHeight="1" s="176">
      <c r="A99" s="111">
        <f>IF(DASHBOARD!G97="⚠ REVISAR",79,"")</f>
        <v/>
      </c>
      <c r="B99" s="111">
        <f>IF(DASHBOARD!G97="⚠ REVISAR",DASHBOARD!A97,"")</f>
        <v/>
      </c>
      <c r="C99" s="103">
        <f>IF(DASHBOARD!G97="⚠ REVISAR",DASHBOARD!C97,"")</f>
        <v/>
      </c>
      <c r="D99" s="111">
        <f>IF(DASHBOARD!G97="⚠ REVISAR",DASHBOARD!D97,"")</f>
        <v/>
      </c>
      <c r="E99" s="111">
        <f>IF(DASHBOARD!G97="⚠ REVISAR",DASHBOARD!E97,"")</f>
        <v/>
      </c>
      <c r="F99" s="111" t="n"/>
    </row>
    <row r="100" ht="13.95" customHeight="1" s="176">
      <c r="A100" s="108">
        <f>IF(DASHBOARD!G98="⚠ REVISAR",80,"")</f>
        <v/>
      </c>
      <c r="B100" s="108">
        <f>IF(DASHBOARD!G98="⚠ REVISAR",DASHBOARD!A98,"")</f>
        <v/>
      </c>
      <c r="C100" s="105">
        <f>IF(DASHBOARD!G98="⚠ REVISAR",DASHBOARD!C98,"")</f>
        <v/>
      </c>
      <c r="D100" s="108">
        <f>IF(DASHBOARD!G98="⚠ REVISAR",DASHBOARD!D98,"")</f>
        <v/>
      </c>
      <c r="E100" s="108">
        <f>IF(DASHBOARD!G98="⚠ REVISAR",DASHBOARD!E98,"")</f>
        <v/>
      </c>
      <c r="F100" s="108" t="n"/>
    </row>
    <row r="101" ht="13.95" customHeight="1" s="176">
      <c r="A101" s="111">
        <f>IF(DASHBOARD!G99="⚠ REVISAR",81,"")</f>
        <v/>
      </c>
      <c r="B101" s="111">
        <f>IF(DASHBOARD!G99="⚠ REVISAR",DASHBOARD!A99,"")</f>
        <v/>
      </c>
      <c r="C101" s="103">
        <f>IF(DASHBOARD!G99="⚠ REVISAR",DASHBOARD!C99,"")</f>
        <v/>
      </c>
      <c r="D101" s="111">
        <f>IF(DASHBOARD!G99="⚠ REVISAR",DASHBOARD!D99,"")</f>
        <v/>
      </c>
      <c r="E101" s="111">
        <f>IF(DASHBOARD!G99="⚠ REVISAR",DASHBOARD!E99,"")</f>
        <v/>
      </c>
      <c r="F101" s="111" t="n"/>
    </row>
    <row r="102" ht="13.95" customHeight="1" s="176">
      <c r="A102" s="108">
        <f>IF(DASHBOARD!G100="⚠ REVISAR",82,"")</f>
        <v/>
      </c>
      <c r="B102" s="108">
        <f>IF(DASHBOARD!G100="⚠ REVISAR",DASHBOARD!A100,"")</f>
        <v/>
      </c>
      <c r="C102" s="105">
        <f>IF(DASHBOARD!G100="⚠ REVISAR",DASHBOARD!C100,"")</f>
        <v/>
      </c>
      <c r="D102" s="108">
        <f>IF(DASHBOARD!G100="⚠ REVISAR",DASHBOARD!D100,"")</f>
        <v/>
      </c>
      <c r="E102" s="108">
        <f>IF(DASHBOARD!G100="⚠ REVISAR",DASHBOARD!E100,"")</f>
        <v/>
      </c>
      <c r="F102" s="108" t="n"/>
    </row>
    <row r="103" ht="13.95" customHeight="1" s="176">
      <c r="A103" s="111">
        <f>IF(DASHBOARD!G101="⚠ REVISAR",83,"")</f>
        <v/>
      </c>
      <c r="B103" s="111">
        <f>IF(DASHBOARD!G101="⚠ REVISAR",DASHBOARD!A101,"")</f>
        <v/>
      </c>
      <c r="C103" s="103">
        <f>IF(DASHBOARD!G101="⚠ REVISAR",DASHBOARD!C101,"")</f>
        <v/>
      </c>
      <c r="D103" s="111">
        <f>IF(DASHBOARD!G101="⚠ REVISAR",DASHBOARD!D101,"")</f>
        <v/>
      </c>
      <c r="E103" s="111">
        <f>IF(DASHBOARD!G101="⚠ REVISAR",DASHBOARD!E101,"")</f>
        <v/>
      </c>
      <c r="F103" s="111" t="n"/>
    </row>
    <row r="104" ht="13.95" customHeight="1" s="176">
      <c r="A104" s="108">
        <f>IF(DASHBOARD!G102="⚠ REVISAR",84,"")</f>
        <v/>
      </c>
      <c r="B104" s="108">
        <f>IF(DASHBOARD!G102="⚠ REVISAR",DASHBOARD!A102,"")</f>
        <v/>
      </c>
      <c r="C104" s="105">
        <f>IF(DASHBOARD!G102="⚠ REVISAR",DASHBOARD!C102,"")</f>
        <v/>
      </c>
      <c r="D104" s="108">
        <f>IF(DASHBOARD!G102="⚠ REVISAR",DASHBOARD!D102,"")</f>
        <v/>
      </c>
      <c r="E104" s="108">
        <f>IF(DASHBOARD!G102="⚠ REVISAR",DASHBOARD!E102,"")</f>
        <v/>
      </c>
      <c r="F104" s="108" t="n"/>
    </row>
    <row r="105" ht="13.95" customHeight="1" s="176">
      <c r="A105" s="111">
        <f>IF(DASHBOARD!G103="⚠ REVISAR",85,"")</f>
        <v/>
      </c>
      <c r="B105" s="111">
        <f>IF(DASHBOARD!G103="⚠ REVISAR",DASHBOARD!A103,"")</f>
        <v/>
      </c>
      <c r="C105" s="103">
        <f>IF(DASHBOARD!G103="⚠ REVISAR",DASHBOARD!C103,"")</f>
        <v/>
      </c>
      <c r="D105" s="111">
        <f>IF(DASHBOARD!G103="⚠ REVISAR",DASHBOARD!D103,"")</f>
        <v/>
      </c>
      <c r="E105" s="111">
        <f>IF(DASHBOARD!G103="⚠ REVISAR",DASHBOARD!E103,"")</f>
        <v/>
      </c>
      <c r="F105" s="111" t="n"/>
    </row>
    <row r="106" ht="13.95" customHeight="1" s="176">
      <c r="A106" s="108">
        <f>IF(DASHBOARD!G104="⚠ REVISAR",86,"")</f>
        <v/>
      </c>
      <c r="B106" s="108">
        <f>IF(DASHBOARD!G104="⚠ REVISAR",DASHBOARD!A104,"")</f>
        <v/>
      </c>
      <c r="C106" s="105">
        <f>IF(DASHBOARD!G104="⚠ REVISAR",DASHBOARD!C104,"")</f>
        <v/>
      </c>
      <c r="D106" s="108">
        <f>IF(DASHBOARD!G104="⚠ REVISAR",DASHBOARD!D104,"")</f>
        <v/>
      </c>
      <c r="E106" s="108">
        <f>IF(DASHBOARD!G104="⚠ REVISAR",DASHBOARD!E104,"")</f>
        <v/>
      </c>
      <c r="F106" s="108" t="n"/>
    </row>
    <row r="107" ht="13.95" customHeight="1" s="176">
      <c r="A107" s="111">
        <f>IF(DASHBOARD!G105="⚠ REVISAR",87,"")</f>
        <v/>
      </c>
      <c r="B107" s="111">
        <f>IF(DASHBOARD!G105="⚠ REVISAR",DASHBOARD!A105,"")</f>
        <v/>
      </c>
      <c r="C107" s="103">
        <f>IF(DASHBOARD!G105="⚠ REVISAR",DASHBOARD!C105,"")</f>
        <v/>
      </c>
      <c r="D107" s="111">
        <f>IF(DASHBOARD!G105="⚠ REVISAR",DASHBOARD!D105,"")</f>
        <v/>
      </c>
      <c r="E107" s="111">
        <f>IF(DASHBOARD!G105="⚠ REVISAR",DASHBOARD!E105,"")</f>
        <v/>
      </c>
      <c r="F107" s="111" t="n"/>
    </row>
    <row r="108" ht="13.95" customHeight="1" s="176">
      <c r="A108" s="108">
        <f>IF(DASHBOARD!G106="⚠ REVISAR",88,"")</f>
        <v/>
      </c>
      <c r="B108" s="108">
        <f>IF(DASHBOARD!G106="⚠ REVISAR",DASHBOARD!A106,"")</f>
        <v/>
      </c>
      <c r="C108" s="105">
        <f>IF(DASHBOARD!G106="⚠ REVISAR",DASHBOARD!C106,"")</f>
        <v/>
      </c>
      <c r="D108" s="108">
        <f>IF(DASHBOARD!G106="⚠ REVISAR",DASHBOARD!D106,"")</f>
        <v/>
      </c>
      <c r="E108" s="108">
        <f>IF(DASHBOARD!G106="⚠ REVISAR",DASHBOARD!E106,"")</f>
        <v/>
      </c>
      <c r="F108" s="108" t="n"/>
    </row>
    <row r="109" ht="13.95" customHeight="1" s="176">
      <c r="A109" s="111">
        <f>IF(DASHBOARD!G107="⚠ REVISAR",89,"")</f>
        <v/>
      </c>
      <c r="B109" s="111">
        <f>IF(DASHBOARD!G107="⚠ REVISAR",DASHBOARD!A107,"")</f>
        <v/>
      </c>
      <c r="C109" s="103">
        <f>IF(DASHBOARD!G107="⚠ REVISAR",DASHBOARD!C107,"")</f>
        <v/>
      </c>
      <c r="D109" s="111">
        <f>IF(DASHBOARD!G107="⚠ REVISAR",DASHBOARD!D107,"")</f>
        <v/>
      </c>
      <c r="E109" s="111">
        <f>IF(DASHBOARD!G107="⚠ REVISAR",DASHBOARD!E107,"")</f>
        <v/>
      </c>
      <c r="F109" s="111" t="n"/>
    </row>
    <row r="110" ht="13.95" customHeight="1" s="176">
      <c r="A110" s="108">
        <f>IF(DASHBOARD!G108="⚠ REVISAR",90,"")</f>
        <v/>
      </c>
      <c r="B110" s="108">
        <f>IF(DASHBOARD!G108="⚠ REVISAR",DASHBOARD!A108,"")</f>
        <v/>
      </c>
      <c r="C110" s="105">
        <f>IF(DASHBOARD!G108="⚠ REVISAR",DASHBOARD!C108,"")</f>
        <v/>
      </c>
      <c r="D110" s="108">
        <f>IF(DASHBOARD!G108="⚠ REVISAR",DASHBOARD!D108,"")</f>
        <v/>
      </c>
      <c r="E110" s="108">
        <f>IF(DASHBOARD!G108="⚠ REVISAR",DASHBOARD!E108,"")</f>
        <v/>
      </c>
      <c r="F110" s="108" t="n"/>
    </row>
    <row r="111" ht="13.95" customHeight="1" s="176">
      <c r="A111" s="111">
        <f>IF(DASHBOARD!G109="⚠ REVISAR",91,"")</f>
        <v/>
      </c>
      <c r="B111" s="111">
        <f>IF(DASHBOARD!G109="⚠ REVISAR",DASHBOARD!A109,"")</f>
        <v/>
      </c>
      <c r="C111" s="103">
        <f>IF(DASHBOARD!G109="⚠ REVISAR",DASHBOARD!C109,"")</f>
        <v/>
      </c>
      <c r="D111" s="111">
        <f>IF(DASHBOARD!G109="⚠ REVISAR",DASHBOARD!D109,"")</f>
        <v/>
      </c>
      <c r="E111" s="111">
        <f>IF(DASHBOARD!G109="⚠ REVISAR",DASHBOARD!E109,"")</f>
        <v/>
      </c>
      <c r="F111" s="111" t="n"/>
    </row>
    <row r="112" ht="13.95" customHeight="1" s="176">
      <c r="A112" s="108">
        <f>IF(DASHBOARD!G110="⚠ REVISAR",92,"")</f>
        <v/>
      </c>
      <c r="B112" s="108">
        <f>IF(DASHBOARD!G110="⚠ REVISAR",DASHBOARD!A110,"")</f>
        <v/>
      </c>
      <c r="C112" s="105">
        <f>IF(DASHBOARD!G110="⚠ REVISAR",DASHBOARD!C110,"")</f>
        <v/>
      </c>
      <c r="D112" s="108">
        <f>IF(DASHBOARD!G110="⚠ REVISAR",DASHBOARD!D110,"")</f>
        <v/>
      </c>
      <c r="E112" s="108">
        <f>IF(DASHBOARD!G110="⚠ REVISAR",DASHBOARD!E110,"")</f>
        <v/>
      </c>
      <c r="F112" s="108" t="n"/>
    </row>
    <row r="113" ht="13.95" customHeight="1" s="176">
      <c r="A113" s="111">
        <f>IF(DASHBOARD!G111="⚠ REVISAR",93,"")</f>
        <v/>
      </c>
      <c r="B113" s="111">
        <f>IF(DASHBOARD!G111="⚠ REVISAR",DASHBOARD!A111,"")</f>
        <v/>
      </c>
      <c r="C113" s="103">
        <f>IF(DASHBOARD!G111="⚠ REVISAR",DASHBOARD!C111,"")</f>
        <v/>
      </c>
      <c r="D113" s="111">
        <f>IF(DASHBOARD!G111="⚠ REVISAR",DASHBOARD!D111,"")</f>
        <v/>
      </c>
      <c r="E113" s="111">
        <f>IF(DASHBOARD!G111="⚠ REVISAR",DASHBOARD!E111,"")</f>
        <v/>
      </c>
      <c r="F113" s="111" t="n"/>
    </row>
    <row r="114" ht="13.95" customHeight="1" s="176">
      <c r="A114" s="108">
        <f>IF(DASHBOARD!G112="⚠ REVISAR",94,"")</f>
        <v/>
      </c>
      <c r="B114" s="108">
        <f>IF(DASHBOARD!G112="⚠ REVISAR",DASHBOARD!A112,"")</f>
        <v/>
      </c>
      <c r="C114" s="105">
        <f>IF(DASHBOARD!G112="⚠ REVISAR",DASHBOARD!C112,"")</f>
        <v/>
      </c>
      <c r="D114" s="108">
        <f>IF(DASHBOARD!G112="⚠ REVISAR",DASHBOARD!D112,"")</f>
        <v/>
      </c>
      <c r="E114" s="108">
        <f>IF(DASHBOARD!G112="⚠ REVISAR",DASHBOARD!E112,"")</f>
        <v/>
      </c>
      <c r="F114" s="108" t="n"/>
    </row>
    <row r="115" ht="13.95" customHeight="1" s="176">
      <c r="A115" s="111">
        <f>IF(DASHBOARD!G113="⚠ REVISAR",95,"")</f>
        <v/>
      </c>
      <c r="B115" s="111">
        <f>IF(DASHBOARD!G113="⚠ REVISAR",DASHBOARD!A113,"")</f>
        <v/>
      </c>
      <c r="C115" s="103">
        <f>IF(DASHBOARD!G113="⚠ REVISAR",DASHBOARD!C113,"")</f>
        <v/>
      </c>
      <c r="D115" s="111">
        <f>IF(DASHBOARD!G113="⚠ REVISAR",DASHBOARD!D113,"")</f>
        <v/>
      </c>
      <c r="E115" s="111">
        <f>IF(DASHBOARD!G113="⚠ REVISAR",DASHBOARD!E113,"")</f>
        <v/>
      </c>
      <c r="F115" s="111" t="n"/>
    </row>
    <row r="116" ht="13.95" customHeight="1" s="176">
      <c r="A116" s="108">
        <f>IF(DASHBOARD!G114="⚠ REVISAR",96,"")</f>
        <v/>
      </c>
      <c r="B116" s="108">
        <f>IF(DASHBOARD!G114="⚠ REVISAR",DASHBOARD!A114,"")</f>
        <v/>
      </c>
      <c r="C116" s="105">
        <f>IF(DASHBOARD!G114="⚠ REVISAR",DASHBOARD!C114,"")</f>
        <v/>
      </c>
      <c r="D116" s="108">
        <f>IF(DASHBOARD!G114="⚠ REVISAR",DASHBOARD!D114,"")</f>
        <v/>
      </c>
      <c r="E116" s="108">
        <f>IF(DASHBOARD!G114="⚠ REVISAR",DASHBOARD!E114,"")</f>
        <v/>
      </c>
      <c r="F116" s="108" t="n"/>
    </row>
    <row r="117" ht="13.95" customHeight="1" s="176">
      <c r="A117" s="111">
        <f>IF(DASHBOARD!G115="⚠ REVISAR",97,"")</f>
        <v/>
      </c>
      <c r="B117" s="111">
        <f>IF(DASHBOARD!G115="⚠ REVISAR",DASHBOARD!A115,"")</f>
        <v/>
      </c>
      <c r="C117" s="103">
        <f>IF(DASHBOARD!G115="⚠ REVISAR",DASHBOARD!C115,"")</f>
        <v/>
      </c>
      <c r="D117" s="111">
        <f>IF(DASHBOARD!G115="⚠ REVISAR",DASHBOARD!D115,"")</f>
        <v/>
      </c>
      <c r="E117" s="111">
        <f>IF(DASHBOARD!G115="⚠ REVISAR",DASHBOARD!E115,"")</f>
        <v/>
      </c>
      <c r="F117" s="111" t="n"/>
    </row>
    <row r="118" ht="13.95" customHeight="1" s="176">
      <c r="A118" s="108">
        <f>IF(DASHBOARD!G116="⚠ REVISAR",98,"")</f>
        <v/>
      </c>
      <c r="B118" s="108">
        <f>IF(DASHBOARD!G116="⚠ REVISAR",DASHBOARD!A116,"")</f>
        <v/>
      </c>
      <c r="C118" s="105">
        <f>IF(DASHBOARD!G116="⚠ REVISAR",DASHBOARD!C116,"")</f>
        <v/>
      </c>
      <c r="D118" s="108">
        <f>IF(DASHBOARD!G116="⚠ REVISAR",DASHBOARD!D116,"")</f>
        <v/>
      </c>
      <c r="E118" s="108">
        <f>IF(DASHBOARD!G116="⚠ REVISAR",DASHBOARD!E116,"")</f>
        <v/>
      </c>
      <c r="F118" s="108" t="n"/>
    </row>
    <row r="119" ht="13.95" customHeight="1" s="176">
      <c r="A119" s="111">
        <f>IF(DASHBOARD!G117="⚠ REVISAR",99,"")</f>
        <v/>
      </c>
      <c r="B119" s="111">
        <f>IF(DASHBOARD!G117="⚠ REVISAR",DASHBOARD!A117,"")</f>
        <v/>
      </c>
      <c r="C119" s="103">
        <f>IF(DASHBOARD!G117="⚠ REVISAR",DASHBOARD!C117,"")</f>
        <v/>
      </c>
      <c r="D119" s="111">
        <f>IF(DASHBOARD!G117="⚠ REVISAR",DASHBOARD!D117,"")</f>
        <v/>
      </c>
      <c r="E119" s="111">
        <f>IF(DASHBOARD!G117="⚠ REVISAR",DASHBOARD!E117,"")</f>
        <v/>
      </c>
      <c r="F119" s="111" t="n"/>
    </row>
    <row r="120" ht="13.95" customHeight="1" s="176">
      <c r="A120" s="108">
        <f>IF(DASHBOARD!G118="⚠ REVISAR",100,"")</f>
        <v/>
      </c>
      <c r="B120" s="108">
        <f>IF(DASHBOARD!G118="⚠ REVISAR",DASHBOARD!A118,"")</f>
        <v/>
      </c>
      <c r="C120" s="105">
        <f>IF(DASHBOARD!G118="⚠ REVISAR",DASHBOARD!C118,"")</f>
        <v/>
      </c>
      <c r="D120" s="108">
        <f>IF(DASHBOARD!G118="⚠ REVISAR",DASHBOARD!D118,"")</f>
        <v/>
      </c>
      <c r="E120" s="108">
        <f>IF(DASHBOARD!G118="⚠ REVISAR",DASHBOARD!E118,"")</f>
        <v/>
      </c>
      <c r="F120" s="108" t="n"/>
    </row>
    <row r="121" ht="13.95" customHeight="1" s="176">
      <c r="A121" s="111">
        <f>IF(DASHBOARD!G119="⚠ REVISAR",101,"")</f>
        <v/>
      </c>
      <c r="B121" s="111">
        <f>IF(DASHBOARD!G119="⚠ REVISAR",DASHBOARD!A119,"")</f>
        <v/>
      </c>
      <c r="C121" s="103">
        <f>IF(DASHBOARD!G119="⚠ REVISAR",DASHBOARD!C119,"")</f>
        <v/>
      </c>
      <c r="D121" s="111">
        <f>IF(DASHBOARD!G119="⚠ REVISAR",DASHBOARD!D119,"")</f>
        <v/>
      </c>
      <c r="E121" s="111">
        <f>IF(DASHBOARD!G119="⚠ REVISAR",DASHBOARD!E119,"")</f>
        <v/>
      </c>
      <c r="F121" s="111" t="n"/>
    </row>
    <row r="122" ht="13.95" customHeight="1" s="176">
      <c r="A122" s="108">
        <f>IF(DASHBOARD!G120="⚠ REVISAR",102,"")</f>
        <v/>
      </c>
      <c r="B122" s="108">
        <f>IF(DASHBOARD!G120="⚠ REVISAR",DASHBOARD!A120,"")</f>
        <v/>
      </c>
      <c r="C122" s="105">
        <f>IF(DASHBOARD!G120="⚠ REVISAR",DASHBOARD!C120,"")</f>
        <v/>
      </c>
      <c r="D122" s="108">
        <f>IF(DASHBOARD!G120="⚠ REVISAR",DASHBOARD!D120,"")</f>
        <v/>
      </c>
      <c r="E122" s="108">
        <f>IF(DASHBOARD!G120="⚠ REVISAR",DASHBOARD!E120,"")</f>
        <v/>
      </c>
      <c r="F122" s="108" t="n"/>
    </row>
    <row r="123" ht="13.95" customHeight="1" s="176">
      <c r="A123" s="111">
        <f>IF(DASHBOARD!G121="⚠ REVISAR",103,"")</f>
        <v/>
      </c>
      <c r="B123" s="111">
        <f>IF(DASHBOARD!G121="⚠ REVISAR",DASHBOARD!A121,"")</f>
        <v/>
      </c>
      <c r="C123" s="103">
        <f>IF(DASHBOARD!G121="⚠ REVISAR",DASHBOARD!C121,"")</f>
        <v/>
      </c>
      <c r="D123" s="111">
        <f>IF(DASHBOARD!G121="⚠ REVISAR",DASHBOARD!D121,"")</f>
        <v/>
      </c>
      <c r="E123" s="111">
        <f>IF(DASHBOARD!G121="⚠ REVISAR",DASHBOARD!E121,"")</f>
        <v/>
      </c>
      <c r="F123" s="111" t="n"/>
    </row>
    <row r="124" ht="13.95" customHeight="1" s="176">
      <c r="A124" s="108">
        <f>IF(DASHBOARD!G122="⚠ REVISAR",104,"")</f>
        <v/>
      </c>
      <c r="B124" s="108">
        <f>IF(DASHBOARD!G122="⚠ REVISAR",DASHBOARD!A122,"")</f>
        <v/>
      </c>
      <c r="C124" s="105">
        <f>IF(DASHBOARD!G122="⚠ REVISAR",DASHBOARD!C122,"")</f>
        <v/>
      </c>
      <c r="D124" s="108">
        <f>IF(DASHBOARD!G122="⚠ REVISAR",DASHBOARD!D122,"")</f>
        <v/>
      </c>
      <c r="E124" s="108">
        <f>IF(DASHBOARD!G122="⚠ REVISAR",DASHBOARD!E122,"")</f>
        <v/>
      </c>
      <c r="F124" s="108" t="n"/>
    </row>
    <row r="125" ht="13.95" customHeight="1" s="176">
      <c r="A125" s="111">
        <f>IF(DASHBOARD!G123="⚠ REVISAR",105,"")</f>
        <v/>
      </c>
      <c r="B125" s="111">
        <f>IF(DASHBOARD!G123="⚠ REVISAR",DASHBOARD!A123,"")</f>
        <v/>
      </c>
      <c r="C125" s="103">
        <f>IF(DASHBOARD!G123="⚠ REVISAR",DASHBOARD!C123,"")</f>
        <v/>
      </c>
      <c r="D125" s="111">
        <f>IF(DASHBOARD!G123="⚠ REVISAR",DASHBOARD!D123,"")</f>
        <v/>
      </c>
      <c r="E125" s="111">
        <f>IF(DASHBOARD!G123="⚠ REVISAR",DASHBOARD!E123,"")</f>
        <v/>
      </c>
      <c r="F125" s="111" t="n"/>
    </row>
    <row r="126" ht="13.95" customHeight="1" s="176">
      <c r="A126" s="108">
        <f>IF(DASHBOARD!G124="⚠ REVISAR",106,"")</f>
        <v/>
      </c>
      <c r="B126" s="108">
        <f>IF(DASHBOARD!G124="⚠ REVISAR",DASHBOARD!A124,"")</f>
        <v/>
      </c>
      <c r="C126" s="105">
        <f>IF(DASHBOARD!G124="⚠ REVISAR",DASHBOARD!C124,"")</f>
        <v/>
      </c>
      <c r="D126" s="108">
        <f>IF(DASHBOARD!G124="⚠ REVISAR",DASHBOARD!D124,"")</f>
        <v/>
      </c>
      <c r="E126" s="108">
        <f>IF(DASHBOARD!G124="⚠ REVISAR",DASHBOARD!E124,"")</f>
        <v/>
      </c>
      <c r="F126" s="108" t="n"/>
    </row>
    <row r="127" ht="13.95" customHeight="1" s="176">
      <c r="A127" s="111">
        <f>IF(DASHBOARD!G125="⚠ REVISAR",107,"")</f>
        <v/>
      </c>
      <c r="B127" s="111">
        <f>IF(DASHBOARD!G125="⚠ REVISAR",DASHBOARD!A125,"")</f>
        <v/>
      </c>
      <c r="C127" s="103">
        <f>IF(DASHBOARD!G125="⚠ REVISAR",DASHBOARD!C125,"")</f>
        <v/>
      </c>
      <c r="D127" s="111">
        <f>IF(DASHBOARD!G125="⚠ REVISAR",DASHBOARD!D125,"")</f>
        <v/>
      </c>
      <c r="E127" s="111">
        <f>IF(DASHBOARD!G125="⚠ REVISAR",DASHBOARD!E125,"")</f>
        <v/>
      </c>
      <c r="F127" s="111" t="n"/>
    </row>
    <row r="128" ht="13.95" customHeight="1" s="176">
      <c r="A128" s="108">
        <f>IF(DASHBOARD!G126="⚠ REVISAR",108,"")</f>
        <v/>
      </c>
      <c r="B128" s="108">
        <f>IF(DASHBOARD!G126="⚠ REVISAR",DASHBOARD!A126,"")</f>
        <v/>
      </c>
      <c r="C128" s="105">
        <f>IF(DASHBOARD!G126="⚠ REVISAR",DASHBOARD!C126,"")</f>
        <v/>
      </c>
      <c r="D128" s="108">
        <f>IF(DASHBOARD!G126="⚠ REVISAR",DASHBOARD!D126,"")</f>
        <v/>
      </c>
      <c r="E128" s="108">
        <f>IF(DASHBOARD!G126="⚠ REVISAR",DASHBOARD!E126,"")</f>
        <v/>
      </c>
      <c r="F128" s="108" t="n"/>
    </row>
    <row r="129" ht="13.95" customHeight="1" s="176">
      <c r="A129" s="111">
        <f>IF(DASHBOARD!G127="⚠ REVISAR",109,"")</f>
        <v/>
      </c>
      <c r="B129" s="111">
        <f>IF(DASHBOARD!G127="⚠ REVISAR",DASHBOARD!A127,"")</f>
        <v/>
      </c>
      <c r="C129" s="103">
        <f>IF(DASHBOARD!G127="⚠ REVISAR",DASHBOARD!C127,"")</f>
        <v/>
      </c>
      <c r="D129" s="111">
        <f>IF(DASHBOARD!G127="⚠ REVISAR",DASHBOARD!D127,"")</f>
        <v/>
      </c>
      <c r="E129" s="111">
        <f>IF(DASHBOARD!G127="⚠ REVISAR",DASHBOARD!E127,"")</f>
        <v/>
      </c>
      <c r="F129" s="111" t="n"/>
    </row>
    <row r="130" ht="13.95" customHeight="1" s="176">
      <c r="A130" s="108">
        <f>IF(DASHBOARD!G128="⚠ REVISAR",110,"")</f>
        <v/>
      </c>
      <c r="B130" s="108">
        <f>IF(DASHBOARD!G128="⚠ REVISAR",DASHBOARD!A128,"")</f>
        <v/>
      </c>
      <c r="C130" s="105">
        <f>IF(DASHBOARD!G128="⚠ REVISAR",DASHBOARD!C128,"")</f>
        <v/>
      </c>
      <c r="D130" s="108">
        <f>IF(DASHBOARD!G128="⚠ REVISAR",DASHBOARD!D128,"")</f>
        <v/>
      </c>
      <c r="E130" s="108">
        <f>IF(DASHBOARD!G128="⚠ REVISAR",DASHBOARD!E128,"")</f>
        <v/>
      </c>
      <c r="F130" s="108" t="n"/>
    </row>
    <row r="131" ht="13.95" customHeight="1" s="176">
      <c r="A131" s="111">
        <f>IF(DASHBOARD!G129="⚠ REVISAR",111,"")</f>
        <v/>
      </c>
      <c r="B131" s="111">
        <f>IF(DASHBOARD!G129="⚠ REVISAR",DASHBOARD!A129,"")</f>
        <v/>
      </c>
      <c r="C131" s="103">
        <f>IF(DASHBOARD!G129="⚠ REVISAR",DASHBOARD!C129,"")</f>
        <v/>
      </c>
      <c r="D131" s="111">
        <f>IF(DASHBOARD!G129="⚠ REVISAR",DASHBOARD!D129,"")</f>
        <v/>
      </c>
      <c r="E131" s="111">
        <f>IF(DASHBOARD!G129="⚠ REVISAR",DASHBOARD!E129,"")</f>
        <v/>
      </c>
      <c r="F131" s="111" t="n"/>
    </row>
    <row r="132" ht="13.95" customHeight="1" s="176">
      <c r="A132" s="108">
        <f>IF(DASHBOARD!G130="⚠ REVISAR",112,"")</f>
        <v/>
      </c>
      <c r="B132" s="108">
        <f>IF(DASHBOARD!G130="⚠ REVISAR",DASHBOARD!A130,"")</f>
        <v/>
      </c>
      <c r="C132" s="105">
        <f>IF(DASHBOARD!G130="⚠ REVISAR",DASHBOARD!C130,"")</f>
        <v/>
      </c>
      <c r="D132" s="108">
        <f>IF(DASHBOARD!G130="⚠ REVISAR",DASHBOARD!D130,"")</f>
        <v/>
      </c>
      <c r="E132" s="108">
        <f>IF(DASHBOARD!G130="⚠ REVISAR",DASHBOARD!E130,"")</f>
        <v/>
      </c>
      <c r="F132" s="108" t="n"/>
    </row>
    <row r="133" ht="13.95" customHeight="1" s="176">
      <c r="A133" s="111">
        <f>IF(DASHBOARD!G131="⚠ REVISAR",113,"")</f>
        <v/>
      </c>
      <c r="B133" s="111">
        <f>IF(DASHBOARD!G131="⚠ REVISAR",DASHBOARD!A131,"")</f>
        <v/>
      </c>
      <c r="C133" s="103">
        <f>IF(DASHBOARD!G131="⚠ REVISAR",DASHBOARD!C131,"")</f>
        <v/>
      </c>
      <c r="D133" s="111">
        <f>IF(DASHBOARD!G131="⚠ REVISAR",DASHBOARD!D131,"")</f>
        <v/>
      </c>
      <c r="E133" s="111">
        <f>IF(DASHBOARD!G131="⚠ REVISAR",DASHBOARD!E131,"")</f>
        <v/>
      </c>
      <c r="F133" s="111" t="n"/>
    </row>
    <row r="134" ht="13.95" customHeight="1" s="176">
      <c r="A134" s="108">
        <f>IF(DASHBOARD!G132="⚠ REVISAR",114,"")</f>
        <v/>
      </c>
      <c r="B134" s="108">
        <f>IF(DASHBOARD!G132="⚠ REVISAR",DASHBOARD!A132,"")</f>
        <v/>
      </c>
      <c r="C134" s="105">
        <f>IF(DASHBOARD!G132="⚠ REVISAR",DASHBOARD!C132,"")</f>
        <v/>
      </c>
      <c r="D134" s="108">
        <f>IF(DASHBOARD!G132="⚠ REVISAR",DASHBOARD!D132,"")</f>
        <v/>
      </c>
      <c r="E134" s="108">
        <f>IF(DASHBOARD!G132="⚠ REVISAR",DASHBOARD!E132,"")</f>
        <v/>
      </c>
      <c r="F134" s="108" t="n"/>
    </row>
    <row r="135" ht="13.95" customHeight="1" s="176">
      <c r="A135" s="111">
        <f>IF(DASHBOARD!G133="⚠ REVISAR",115,"")</f>
        <v/>
      </c>
      <c r="B135" s="111">
        <f>IF(DASHBOARD!G133="⚠ REVISAR",DASHBOARD!A133,"")</f>
        <v/>
      </c>
      <c r="C135" s="103">
        <f>IF(DASHBOARD!G133="⚠ REVISAR",DASHBOARD!C133,"")</f>
        <v/>
      </c>
      <c r="D135" s="111">
        <f>IF(DASHBOARD!G133="⚠ REVISAR",DASHBOARD!D133,"")</f>
        <v/>
      </c>
      <c r="E135" s="111">
        <f>IF(DASHBOARD!G133="⚠ REVISAR",DASHBOARD!E133,"")</f>
        <v/>
      </c>
      <c r="F135" s="111" t="n"/>
    </row>
    <row r="136" ht="13.95" customHeight="1" s="176">
      <c r="A136" s="108">
        <f>IF(DASHBOARD!G134="⚠ REVISAR",116,"")</f>
        <v/>
      </c>
      <c r="B136" s="108">
        <f>IF(DASHBOARD!G134="⚠ REVISAR",DASHBOARD!A134,"")</f>
        <v/>
      </c>
      <c r="C136" s="105">
        <f>IF(DASHBOARD!G134="⚠ REVISAR",DASHBOARD!C134,"")</f>
        <v/>
      </c>
      <c r="D136" s="108">
        <f>IF(DASHBOARD!G134="⚠ REVISAR",DASHBOARD!D134,"")</f>
        <v/>
      </c>
      <c r="E136" s="108">
        <f>IF(DASHBOARD!G134="⚠ REVISAR",DASHBOARD!E134,"")</f>
        <v/>
      </c>
      <c r="F136" s="108" t="n"/>
    </row>
    <row r="137" ht="13.95" customHeight="1" s="176">
      <c r="A137" s="111">
        <f>IF(DASHBOARD!G135="⚠ REVISAR",117,"")</f>
        <v/>
      </c>
      <c r="B137" s="111">
        <f>IF(DASHBOARD!G135="⚠ REVISAR",DASHBOARD!A135,"")</f>
        <v/>
      </c>
      <c r="C137" s="103">
        <f>IF(DASHBOARD!G135="⚠ REVISAR",DASHBOARD!C135,"")</f>
        <v/>
      </c>
      <c r="D137" s="111">
        <f>IF(DASHBOARD!G135="⚠ REVISAR",DASHBOARD!D135,"")</f>
        <v/>
      </c>
      <c r="E137" s="111">
        <f>IF(DASHBOARD!G135="⚠ REVISAR",DASHBOARD!E135,"")</f>
        <v/>
      </c>
      <c r="F137" s="111" t="n"/>
    </row>
    <row r="138" ht="13.95" customHeight="1" s="176">
      <c r="A138" s="108">
        <f>IF(DASHBOARD!G136="⚠ REVISAR",118,"")</f>
        <v/>
      </c>
      <c r="B138" s="108">
        <f>IF(DASHBOARD!G136="⚠ REVISAR",DASHBOARD!A136,"")</f>
        <v/>
      </c>
      <c r="C138" s="105">
        <f>IF(DASHBOARD!G136="⚠ REVISAR",DASHBOARD!C136,"")</f>
        <v/>
      </c>
      <c r="D138" s="108">
        <f>IF(DASHBOARD!G136="⚠ REVISAR",DASHBOARD!D136,"")</f>
        <v/>
      </c>
      <c r="E138" s="108">
        <f>IF(DASHBOARD!G136="⚠ REVISAR",DASHBOARD!E136,"")</f>
        <v/>
      </c>
      <c r="F138" s="108" t="n"/>
    </row>
    <row r="139" ht="13.95" customHeight="1" s="176">
      <c r="A139" s="111">
        <f>IF(DASHBOARD!G137="⚠ REVISAR",119,"")</f>
        <v/>
      </c>
      <c r="B139" s="111">
        <f>IF(DASHBOARD!G137="⚠ REVISAR",DASHBOARD!A137,"")</f>
        <v/>
      </c>
      <c r="C139" s="103">
        <f>IF(DASHBOARD!G137="⚠ REVISAR",DASHBOARD!C137,"")</f>
        <v/>
      </c>
      <c r="D139" s="111">
        <f>IF(DASHBOARD!G137="⚠ REVISAR",DASHBOARD!D137,"")</f>
        <v/>
      </c>
      <c r="E139" s="111">
        <f>IF(DASHBOARD!G137="⚠ REVISAR",DASHBOARD!E137,"")</f>
        <v/>
      </c>
      <c r="F139" s="111" t="n"/>
    </row>
    <row r="140" ht="13.95" customHeight="1" s="176">
      <c r="A140" s="108">
        <f>IF(DASHBOARD!G138="⚠ REVISAR",120,"")</f>
        <v/>
      </c>
      <c r="B140" s="108">
        <f>IF(DASHBOARD!G138="⚠ REVISAR",DASHBOARD!A138,"")</f>
        <v/>
      </c>
      <c r="C140" s="105">
        <f>IF(DASHBOARD!G138="⚠ REVISAR",DASHBOARD!C138,"")</f>
        <v/>
      </c>
      <c r="D140" s="108">
        <f>IF(DASHBOARD!G138="⚠ REVISAR",DASHBOARD!D138,"")</f>
        <v/>
      </c>
      <c r="E140" s="108">
        <f>IF(DASHBOARD!G138="⚠ REVISAR",DASHBOARD!E138,"")</f>
        <v/>
      </c>
      <c r="F140" s="108" t="n"/>
    </row>
    <row r="143" ht="18" customHeight="1" s="176">
      <c r="A143" s="264" t="inlineStr">
        <is>
          <t>4. FIRMAS Y APROBACIÓN</t>
        </is>
      </c>
      <c r="B143" s="250" t="n"/>
      <c r="C143" s="250" t="n"/>
      <c r="D143" s="250" t="n"/>
      <c r="E143" s="250" t="n"/>
      <c r="F143" s="250" t="n"/>
      <c r="G143" s="250" t="n"/>
      <c r="H143" s="250" t="n"/>
      <c r="I143" s="250" t="n"/>
      <c r="J143" s="250" t="n"/>
      <c r="K143" s="250" t="n"/>
      <c r="L143" s="250" t="n"/>
      <c r="M143" s="250" t="n"/>
      <c r="N143" s="250" t="n"/>
      <c r="O143" s="250" t="n"/>
      <c r="P143" s="242" t="n"/>
    </row>
    <row r="145">
      <c r="A145" s="263" t="inlineStr">
        <is>
          <t>Docente:  Elmer Tugri</t>
        </is>
      </c>
    </row>
    <row r="146">
      <c r="A146" s="266" t="inlineStr">
        <is>
          <t>Firma: _________________________________</t>
        </is>
      </c>
    </row>
    <row r="148">
      <c r="A148" s="263" t="inlineStr">
        <is>
          <t xml:space="preserve">Director(a):  </t>
        </is>
      </c>
    </row>
    <row r="149">
      <c r="A149" s="266" t="inlineStr">
        <is>
          <t>Firma: _________________________________</t>
        </is>
      </c>
    </row>
    <row r="151">
      <c r="A151" s="263" t="inlineStr">
        <is>
          <t xml:space="preserve">Fecha de entrega:  </t>
        </is>
      </c>
    </row>
    <row r="152">
      <c r="A152" s="266" t="inlineStr">
        <is>
          <t>Firma: _________________________________</t>
        </is>
      </c>
    </row>
  </sheetData>
  <mergeCells count="17">
    <mergeCell ref="A145:B145"/>
    <mergeCell ref="C151:E152"/>
    <mergeCell ref="A148:B148"/>
    <mergeCell ref="A13:P13"/>
    <mergeCell ref="A1:P1"/>
    <mergeCell ref="A151:B15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76" min="1" max="1"/>
    <col width="32" customWidth="1" style="176" min="2" max="2"/>
    <col width="14" customWidth="1" style="176" min="3" max="3"/>
    <col width="16" customWidth="1" style="176" min="4" max="4"/>
    <col width="14" customWidth="1" style="176" min="5" max="5"/>
  </cols>
  <sheetData>
    <row r="1" ht="24" customHeight="1" s="176">
      <c r="A1" s="272" t="inlineStr">
        <is>
          <t>LISTA DE ESTUDIANTES APROBADOS — AÑO LECTIVO 2026</t>
        </is>
      </c>
      <c r="B1" s="250" t="n"/>
      <c r="C1" s="250" t="n"/>
      <c r="D1" s="250" t="n"/>
      <c r="E1" s="250" t="n"/>
      <c r="F1" s="250" t="n"/>
      <c r="G1" s="250" t="n"/>
      <c r="H1" s="250" t="n"/>
      <c r="I1" s="250" t="n"/>
      <c r="J1" s="250" t="n"/>
      <c r="K1" s="250" t="n"/>
      <c r="L1" s="242" t="n"/>
    </row>
    <row r="2" ht="16.05" customHeight="1" s="176">
      <c r="A2" s="270" t="inlineStr">
        <is>
          <t>Escuela Cerro Cacicón · Prof. Elmer Tugri · Premedia Multigrado</t>
        </is>
      </c>
      <c r="B2" s="250" t="n"/>
      <c r="C2" s="250" t="n"/>
      <c r="D2" s="250" t="n"/>
      <c r="E2" s="250" t="n"/>
      <c r="F2" s="250" t="n"/>
      <c r="G2" s="250" t="n"/>
      <c r="H2" s="250" t="n"/>
      <c r="I2" s="250" t="n"/>
      <c r="J2" s="250" t="n"/>
      <c r="K2" s="250" t="n"/>
      <c r="L2" s="242" t="n"/>
    </row>
    <row r="4" ht="19.95" customHeight="1" s="176">
      <c r="A4" s="264" t="inlineStr">
        <is>
          <t>ESTUDIANTES APROBADOS — 7° GRADO</t>
        </is>
      </c>
      <c r="B4" s="250" t="n"/>
      <c r="C4" s="250" t="n"/>
      <c r="D4" s="250" t="n"/>
      <c r="E4" s="250" t="n"/>
      <c r="F4" s="250" t="n"/>
      <c r="G4" s="250" t="n"/>
      <c r="H4" s="250" t="n"/>
      <c r="I4" s="250" t="n"/>
      <c r="J4" s="250" t="n"/>
      <c r="K4" s="250" t="n"/>
      <c r="L4" s="242" t="n"/>
    </row>
    <row r="5" ht="18" customHeight="1" s="176">
      <c r="A5" s="133" t="inlineStr">
        <is>
          <t>No.</t>
        </is>
      </c>
      <c r="B5" s="133" t="inlineStr">
        <is>
          <t>APELLIDO, NOMBRE</t>
        </is>
      </c>
      <c r="C5" s="133" t="inlineStr">
        <is>
          <t>INGLÉS FINAL</t>
        </is>
      </c>
      <c r="D5" s="133" t="inlineStr">
        <is>
          <t>TECNOLOGÍA FINAL</t>
        </is>
      </c>
      <c r="E5" s="133" t="inlineStr">
        <is>
          <t>NOTA PROMEDIO</t>
        </is>
      </c>
    </row>
    <row r="6" ht="13.95" customHeight="1" s="176">
      <c r="A6" s="134">
        <f>IF(RESUMEN_7°!S5="✓ APROBADO",1,"")</f>
        <v/>
      </c>
      <c r="B6" s="135">
        <f>IF(RESUMEN_7°!S5="✓ APROBADO",RESUMEN_7°!B5,"")</f>
        <v/>
      </c>
      <c r="C6" s="134">
        <f>IF(RESUMEN_7°!S5="✓ APROBADO",RESUMEN_7°!F5,"")</f>
        <v/>
      </c>
      <c r="D6" s="134">
        <f>IF(RESUMEN_7°!S5="✓ APROBADO",RESUMEN_7°!R5,"")</f>
        <v/>
      </c>
      <c r="E6" s="134">
        <f>IF(RESUMEN_7°!S5="✓ APROBADO",IFERROR(ROUND(AVERAGE(RESUMEN_7°!F5,RESUMEN_7°!R5),1),""),"")</f>
        <v/>
      </c>
    </row>
    <row r="7" ht="13.95" customHeight="1" s="176">
      <c r="A7" s="111">
        <f>IF(RESUMEN_7°!S6="✓ APROBADO",2,"")</f>
        <v/>
      </c>
      <c r="B7" s="103">
        <f>IF(RESUMEN_7°!S6="✓ APROBADO",RESUMEN_7°!B6,"")</f>
        <v/>
      </c>
      <c r="C7" s="111">
        <f>IF(RESUMEN_7°!S6="✓ APROBADO",RESUMEN_7°!F6,"")</f>
        <v/>
      </c>
      <c r="D7" s="111">
        <f>IF(RESUMEN_7°!S6="✓ APROBADO",RESUMEN_7°!R6,"")</f>
        <v/>
      </c>
      <c r="E7" s="111">
        <f>IF(RESUMEN_7°!S6="✓ APROBADO",IFERROR(ROUND(AVERAGE(RESUMEN_7°!F6,RESUMEN_7°!R6),1),""),"")</f>
        <v/>
      </c>
    </row>
    <row r="8" ht="13.95" customHeight="1" s="176">
      <c r="A8" s="134">
        <f>IF(RESUMEN_7°!S7="✓ APROBADO",3,"")</f>
        <v/>
      </c>
      <c r="B8" s="135">
        <f>IF(RESUMEN_7°!S7="✓ APROBADO",RESUMEN_7°!B7,"")</f>
        <v/>
      </c>
      <c r="C8" s="134">
        <f>IF(RESUMEN_7°!S7="✓ APROBADO",RESUMEN_7°!F7,"")</f>
        <v/>
      </c>
      <c r="D8" s="134">
        <f>IF(RESUMEN_7°!S7="✓ APROBADO",RESUMEN_7°!R7,"")</f>
        <v/>
      </c>
      <c r="E8" s="134">
        <f>IF(RESUMEN_7°!S7="✓ APROBADO",IFERROR(ROUND(AVERAGE(RESUMEN_7°!F7,RESUMEN_7°!R7),1),""),"")</f>
        <v/>
      </c>
    </row>
    <row r="9" ht="13.95" customHeight="1" s="176">
      <c r="A9" s="111">
        <f>IF(RESUMEN_7°!S8="✓ APROBADO",4,"")</f>
        <v/>
      </c>
      <c r="B9" s="103">
        <f>IF(RESUMEN_7°!S8="✓ APROBADO",RESUMEN_7°!B8,"")</f>
        <v/>
      </c>
      <c r="C9" s="111">
        <f>IF(RESUMEN_7°!S8="✓ APROBADO",RESUMEN_7°!F8,"")</f>
        <v/>
      </c>
      <c r="D9" s="111">
        <f>IF(RESUMEN_7°!S8="✓ APROBADO",RESUMEN_7°!R8,"")</f>
        <v/>
      </c>
      <c r="E9" s="111">
        <f>IF(RESUMEN_7°!S8="✓ APROBADO",IFERROR(ROUND(AVERAGE(RESUMEN_7°!F8,RESUMEN_7°!R8),1),""),"")</f>
        <v/>
      </c>
    </row>
    <row r="10" ht="13.95" customHeight="1" s="176">
      <c r="A10" s="134">
        <f>IF(RESUMEN_7°!S9="✓ APROBADO",5,"")</f>
        <v/>
      </c>
      <c r="B10" s="135">
        <f>IF(RESUMEN_7°!S9="✓ APROBADO",RESUMEN_7°!B9,"")</f>
        <v/>
      </c>
      <c r="C10" s="134">
        <f>IF(RESUMEN_7°!S9="✓ APROBADO",RESUMEN_7°!F9,"")</f>
        <v/>
      </c>
      <c r="D10" s="134">
        <f>IF(RESUMEN_7°!S9="✓ APROBADO",RESUMEN_7°!R9,"")</f>
        <v/>
      </c>
      <c r="E10" s="134">
        <f>IF(RESUMEN_7°!S9="✓ APROBADO",IFERROR(ROUND(AVERAGE(RESUMEN_7°!F9,RESUMEN_7°!R9),1),""),"")</f>
        <v/>
      </c>
    </row>
    <row r="11" ht="13.95" customHeight="1" s="176">
      <c r="A11" s="111">
        <f>IF(RESUMEN_7°!S10="✓ APROBADO",6,"")</f>
        <v/>
      </c>
      <c r="B11" s="103">
        <f>IF(RESUMEN_7°!S10="✓ APROBADO",RESUMEN_7°!B10,"")</f>
        <v/>
      </c>
      <c r="C11" s="111">
        <f>IF(RESUMEN_7°!S10="✓ APROBADO",RESUMEN_7°!F10,"")</f>
        <v/>
      </c>
      <c r="D11" s="111">
        <f>IF(RESUMEN_7°!S10="✓ APROBADO",RESUMEN_7°!R10,"")</f>
        <v/>
      </c>
      <c r="E11" s="111">
        <f>IF(RESUMEN_7°!S10="✓ APROBADO",IFERROR(ROUND(AVERAGE(RESUMEN_7°!F10,RESUMEN_7°!R10),1),""),"")</f>
        <v/>
      </c>
    </row>
    <row r="12" ht="13.95" customHeight="1" s="176">
      <c r="A12" s="134">
        <f>IF(RESUMEN_7°!S11="✓ APROBADO",7,"")</f>
        <v/>
      </c>
      <c r="B12" s="135">
        <f>IF(RESUMEN_7°!S11="✓ APROBADO",RESUMEN_7°!B11,"")</f>
        <v/>
      </c>
      <c r="C12" s="134">
        <f>IF(RESUMEN_7°!S11="✓ APROBADO",RESUMEN_7°!F11,"")</f>
        <v/>
      </c>
      <c r="D12" s="134">
        <f>IF(RESUMEN_7°!S11="✓ APROBADO",RESUMEN_7°!R11,"")</f>
        <v/>
      </c>
      <c r="E12" s="134">
        <f>IF(RESUMEN_7°!S11="✓ APROBADO",IFERROR(ROUND(AVERAGE(RESUMEN_7°!F11,RESUMEN_7°!R11),1),""),"")</f>
        <v/>
      </c>
    </row>
    <row r="13" ht="13.95" customHeight="1" s="176">
      <c r="A13" s="111">
        <f>IF(RESUMEN_7°!S12="✓ APROBADO",8,"")</f>
        <v/>
      </c>
      <c r="B13" s="103">
        <f>IF(RESUMEN_7°!S12="✓ APROBADO",RESUMEN_7°!B12,"")</f>
        <v/>
      </c>
      <c r="C13" s="111">
        <f>IF(RESUMEN_7°!S12="✓ APROBADO",RESUMEN_7°!F12,"")</f>
        <v/>
      </c>
      <c r="D13" s="111">
        <f>IF(RESUMEN_7°!S12="✓ APROBADO",RESUMEN_7°!R12,"")</f>
        <v/>
      </c>
      <c r="E13" s="111">
        <f>IF(RESUMEN_7°!S12="✓ APROBADO",IFERROR(ROUND(AVERAGE(RESUMEN_7°!F12,RESUMEN_7°!R12),1),""),"")</f>
        <v/>
      </c>
    </row>
    <row r="14" ht="13.95" customHeight="1" s="176">
      <c r="A14" s="134">
        <f>IF(RESUMEN_7°!S13="✓ APROBADO",9,"")</f>
        <v/>
      </c>
      <c r="B14" s="135">
        <f>IF(RESUMEN_7°!S13="✓ APROBADO",RESUMEN_7°!B13,"")</f>
        <v/>
      </c>
      <c r="C14" s="134">
        <f>IF(RESUMEN_7°!S13="✓ APROBADO",RESUMEN_7°!F13,"")</f>
        <v/>
      </c>
      <c r="D14" s="134">
        <f>IF(RESUMEN_7°!S13="✓ APROBADO",RESUMEN_7°!R13,"")</f>
        <v/>
      </c>
      <c r="E14" s="134">
        <f>IF(RESUMEN_7°!S13="✓ APROBADO",IFERROR(ROUND(AVERAGE(RESUMEN_7°!F13,RESUMEN_7°!R13),1),""),"")</f>
        <v/>
      </c>
    </row>
    <row r="15" ht="13.95" customHeight="1" s="176">
      <c r="A15" s="111">
        <f>IF(RESUMEN_7°!S14="✓ APROBADO",10,"")</f>
        <v/>
      </c>
      <c r="B15" s="103">
        <f>IF(RESUMEN_7°!S14="✓ APROBADO",RESUMEN_7°!B14,"")</f>
        <v/>
      </c>
      <c r="C15" s="111">
        <f>IF(RESUMEN_7°!S14="✓ APROBADO",RESUMEN_7°!F14,"")</f>
        <v/>
      </c>
      <c r="D15" s="111">
        <f>IF(RESUMEN_7°!S14="✓ APROBADO",RESUMEN_7°!R14,"")</f>
        <v/>
      </c>
      <c r="E15" s="111">
        <f>IF(RESUMEN_7°!S14="✓ APROBADO",IFERROR(ROUND(AVERAGE(RESUMEN_7°!F14,RESUMEN_7°!R14),1),""),"")</f>
        <v/>
      </c>
    </row>
    <row r="16" ht="13.95" customHeight="1" s="176">
      <c r="A16" s="134">
        <f>IF(RESUMEN_7°!S15="✓ APROBADO",11,"")</f>
        <v/>
      </c>
      <c r="B16" s="135">
        <f>IF(RESUMEN_7°!S15="✓ APROBADO",RESUMEN_7°!B15,"")</f>
        <v/>
      </c>
      <c r="C16" s="134">
        <f>IF(RESUMEN_7°!S15="✓ APROBADO",RESUMEN_7°!F15,"")</f>
        <v/>
      </c>
      <c r="D16" s="134">
        <f>IF(RESUMEN_7°!S15="✓ APROBADO",RESUMEN_7°!R15,"")</f>
        <v/>
      </c>
      <c r="E16" s="134">
        <f>IF(RESUMEN_7°!S15="✓ APROBADO",IFERROR(ROUND(AVERAGE(RESUMEN_7°!F15,RESUMEN_7°!R15),1),""),"")</f>
        <v/>
      </c>
    </row>
    <row r="17" ht="13.95" customHeight="1" s="176">
      <c r="A17" s="111">
        <f>IF(RESUMEN_7°!S16="✓ APROBADO",12,"")</f>
        <v/>
      </c>
      <c r="B17" s="103">
        <f>IF(RESUMEN_7°!S16="✓ APROBADO",RESUMEN_7°!B16,"")</f>
        <v/>
      </c>
      <c r="C17" s="111">
        <f>IF(RESUMEN_7°!S16="✓ APROBADO",RESUMEN_7°!F16,"")</f>
        <v/>
      </c>
      <c r="D17" s="111">
        <f>IF(RESUMEN_7°!S16="✓ APROBADO",RESUMEN_7°!R16,"")</f>
        <v/>
      </c>
      <c r="E17" s="111">
        <f>IF(RESUMEN_7°!S16="✓ APROBADO",IFERROR(ROUND(AVERAGE(RESUMEN_7°!F16,RESUMEN_7°!R16),1),""),"")</f>
        <v/>
      </c>
    </row>
    <row r="18" ht="13.95" customHeight="1" s="176">
      <c r="A18" s="134">
        <f>IF(RESUMEN_7°!S17="✓ APROBADO",13,"")</f>
        <v/>
      </c>
      <c r="B18" s="135">
        <f>IF(RESUMEN_7°!S17="✓ APROBADO",RESUMEN_7°!B17,"")</f>
        <v/>
      </c>
      <c r="C18" s="134">
        <f>IF(RESUMEN_7°!S17="✓ APROBADO",RESUMEN_7°!F17,"")</f>
        <v/>
      </c>
      <c r="D18" s="134">
        <f>IF(RESUMEN_7°!S17="✓ APROBADO",RESUMEN_7°!R17,"")</f>
        <v/>
      </c>
      <c r="E18" s="134">
        <f>IF(RESUMEN_7°!S17="✓ APROBADO",IFERROR(ROUND(AVERAGE(RESUMEN_7°!F17,RESUMEN_7°!R17),1),""),"")</f>
        <v/>
      </c>
    </row>
    <row r="19" ht="13.95" customHeight="1" s="176">
      <c r="A19" s="111">
        <f>IF(RESUMEN_7°!S18="✓ APROBADO",14,"")</f>
        <v/>
      </c>
      <c r="B19" s="103">
        <f>IF(RESUMEN_7°!S18="✓ APROBADO",RESUMEN_7°!B18,"")</f>
        <v/>
      </c>
      <c r="C19" s="111">
        <f>IF(RESUMEN_7°!S18="✓ APROBADO",RESUMEN_7°!F18,"")</f>
        <v/>
      </c>
      <c r="D19" s="111">
        <f>IF(RESUMEN_7°!S18="✓ APROBADO",RESUMEN_7°!R18,"")</f>
        <v/>
      </c>
      <c r="E19" s="111">
        <f>IF(RESUMEN_7°!S18="✓ APROBADO",IFERROR(ROUND(AVERAGE(RESUMEN_7°!F18,RESUMEN_7°!R18),1),""),"")</f>
        <v/>
      </c>
    </row>
    <row r="20" ht="13.95" customHeight="1" s="176">
      <c r="A20" s="134">
        <f>IF(RESUMEN_7°!S19="✓ APROBADO",15,"")</f>
        <v/>
      </c>
      <c r="B20" s="135">
        <f>IF(RESUMEN_7°!S19="✓ APROBADO",RESUMEN_7°!B19,"")</f>
        <v/>
      </c>
      <c r="C20" s="134">
        <f>IF(RESUMEN_7°!S19="✓ APROBADO",RESUMEN_7°!F19,"")</f>
        <v/>
      </c>
      <c r="D20" s="134">
        <f>IF(RESUMEN_7°!S19="✓ APROBADO",RESUMEN_7°!R19,"")</f>
        <v/>
      </c>
      <c r="E20" s="134">
        <f>IF(RESUMEN_7°!S19="✓ APROBADO",IFERROR(ROUND(AVERAGE(RESUMEN_7°!F19,RESUMEN_7°!R19),1),""),"")</f>
        <v/>
      </c>
    </row>
    <row r="21" ht="13.95" customHeight="1" s="176">
      <c r="A21" s="111">
        <f>IF(RESUMEN_7°!S20="✓ APROBADO",16,"")</f>
        <v/>
      </c>
      <c r="B21" s="103">
        <f>IF(RESUMEN_7°!S20="✓ APROBADO",RESUMEN_7°!B20,"")</f>
        <v/>
      </c>
      <c r="C21" s="111">
        <f>IF(RESUMEN_7°!S20="✓ APROBADO",RESUMEN_7°!F20,"")</f>
        <v/>
      </c>
      <c r="D21" s="111">
        <f>IF(RESUMEN_7°!S20="✓ APROBADO",RESUMEN_7°!R20,"")</f>
        <v/>
      </c>
      <c r="E21" s="111">
        <f>IF(RESUMEN_7°!S20="✓ APROBADO",IFERROR(ROUND(AVERAGE(RESUMEN_7°!F20,RESUMEN_7°!R20),1),""),"")</f>
        <v/>
      </c>
    </row>
    <row r="22" ht="13.95" customHeight="1" s="176">
      <c r="A22" s="134">
        <f>IF(RESUMEN_7°!S21="✓ APROBADO",17,"")</f>
        <v/>
      </c>
      <c r="B22" s="135">
        <f>IF(RESUMEN_7°!S21="✓ APROBADO",RESUMEN_7°!B21,"")</f>
        <v/>
      </c>
      <c r="C22" s="134">
        <f>IF(RESUMEN_7°!S21="✓ APROBADO",RESUMEN_7°!F21,"")</f>
        <v/>
      </c>
      <c r="D22" s="134">
        <f>IF(RESUMEN_7°!S21="✓ APROBADO",RESUMEN_7°!R21,"")</f>
        <v/>
      </c>
      <c r="E22" s="134">
        <f>IF(RESUMEN_7°!S21="✓ APROBADO",IFERROR(ROUND(AVERAGE(RESUMEN_7°!F21,RESUMEN_7°!R21),1),""),"")</f>
        <v/>
      </c>
    </row>
    <row r="23" ht="13.95" customHeight="1" s="176">
      <c r="A23" s="111">
        <f>IF(RESUMEN_7°!S22="✓ APROBADO",18,"")</f>
        <v/>
      </c>
      <c r="B23" s="103">
        <f>IF(RESUMEN_7°!S22="✓ APROBADO",RESUMEN_7°!B22,"")</f>
        <v/>
      </c>
      <c r="C23" s="111">
        <f>IF(RESUMEN_7°!S22="✓ APROBADO",RESUMEN_7°!F22,"")</f>
        <v/>
      </c>
      <c r="D23" s="111">
        <f>IF(RESUMEN_7°!S22="✓ APROBADO",RESUMEN_7°!R22,"")</f>
        <v/>
      </c>
      <c r="E23" s="111">
        <f>IF(RESUMEN_7°!S22="✓ APROBADO",IFERROR(ROUND(AVERAGE(RESUMEN_7°!F22,RESUMEN_7°!R22),1),""),"")</f>
        <v/>
      </c>
    </row>
    <row r="24" ht="13.95" customHeight="1" s="176">
      <c r="A24" s="134">
        <f>IF(RESUMEN_7°!S23="✓ APROBADO",19,"")</f>
        <v/>
      </c>
      <c r="B24" s="135">
        <f>IF(RESUMEN_7°!S23="✓ APROBADO",RESUMEN_7°!B23,"")</f>
        <v/>
      </c>
      <c r="C24" s="134">
        <f>IF(RESUMEN_7°!S23="✓ APROBADO",RESUMEN_7°!F23,"")</f>
        <v/>
      </c>
      <c r="D24" s="134">
        <f>IF(RESUMEN_7°!S23="✓ APROBADO",RESUMEN_7°!R23,"")</f>
        <v/>
      </c>
      <c r="E24" s="134">
        <f>IF(RESUMEN_7°!S23="✓ APROBADO",IFERROR(ROUND(AVERAGE(RESUMEN_7°!F23,RESUMEN_7°!R23),1),""),"")</f>
        <v/>
      </c>
    </row>
    <row r="25" ht="13.95" customHeight="1" s="176">
      <c r="A25" s="111">
        <f>IF(RESUMEN_7°!S24="✓ APROBADO",20,"")</f>
        <v/>
      </c>
      <c r="B25" s="103">
        <f>IF(RESUMEN_7°!S24="✓ APROBADO",RESUMEN_7°!B24,"")</f>
        <v/>
      </c>
      <c r="C25" s="111">
        <f>IF(RESUMEN_7°!S24="✓ APROBADO",RESUMEN_7°!F24,"")</f>
        <v/>
      </c>
      <c r="D25" s="111">
        <f>IF(RESUMEN_7°!S24="✓ APROBADO",RESUMEN_7°!R24,"")</f>
        <v/>
      </c>
      <c r="E25" s="111">
        <f>IF(RESUMEN_7°!S24="✓ APROBADO",IFERROR(ROUND(AVERAGE(RESUMEN_7°!F24,RESUMEN_7°!R24),1),""),"")</f>
        <v/>
      </c>
    </row>
    <row r="26" ht="13.95" customHeight="1" s="176">
      <c r="A26" s="134">
        <f>IF(RESUMEN_7°!S25="✓ APROBADO",21,"")</f>
        <v/>
      </c>
      <c r="B26" s="135">
        <f>IF(RESUMEN_7°!S25="✓ APROBADO",RESUMEN_7°!B25,"")</f>
        <v/>
      </c>
      <c r="C26" s="134">
        <f>IF(RESUMEN_7°!S25="✓ APROBADO",RESUMEN_7°!F25,"")</f>
        <v/>
      </c>
      <c r="D26" s="134">
        <f>IF(RESUMEN_7°!S25="✓ APROBADO",RESUMEN_7°!R25,"")</f>
        <v/>
      </c>
      <c r="E26" s="134">
        <f>IF(RESUMEN_7°!S25="✓ APROBADO",IFERROR(ROUND(AVERAGE(RESUMEN_7°!F25,RESUMEN_7°!R25),1),""),"")</f>
        <v/>
      </c>
    </row>
    <row r="27" ht="13.95" customHeight="1" s="176">
      <c r="A27" s="111">
        <f>IF(RESUMEN_7°!S26="✓ APROBADO",22,"")</f>
        <v/>
      </c>
      <c r="B27" s="103">
        <f>IF(RESUMEN_7°!S26="✓ APROBADO",RESUMEN_7°!B26,"")</f>
        <v/>
      </c>
      <c r="C27" s="111">
        <f>IF(RESUMEN_7°!S26="✓ APROBADO",RESUMEN_7°!F26,"")</f>
        <v/>
      </c>
      <c r="D27" s="111">
        <f>IF(RESUMEN_7°!S26="✓ APROBADO",RESUMEN_7°!R26,"")</f>
        <v/>
      </c>
      <c r="E27" s="111">
        <f>IF(RESUMEN_7°!S26="✓ APROBADO",IFERROR(ROUND(AVERAGE(RESUMEN_7°!F26,RESUMEN_7°!R26),1),""),"")</f>
        <v/>
      </c>
    </row>
    <row r="28" ht="13.95" customHeight="1" s="176">
      <c r="A28" s="134">
        <f>IF(RESUMEN_7°!S27="✓ APROBADO",23,"")</f>
        <v/>
      </c>
      <c r="B28" s="135">
        <f>IF(RESUMEN_7°!S27="✓ APROBADO",RESUMEN_7°!B27,"")</f>
        <v/>
      </c>
      <c r="C28" s="134">
        <f>IF(RESUMEN_7°!S27="✓ APROBADO",RESUMEN_7°!F27,"")</f>
        <v/>
      </c>
      <c r="D28" s="134">
        <f>IF(RESUMEN_7°!S27="✓ APROBADO",RESUMEN_7°!R27,"")</f>
        <v/>
      </c>
      <c r="E28" s="134">
        <f>IF(RESUMEN_7°!S27="✓ APROBADO",IFERROR(ROUND(AVERAGE(RESUMEN_7°!F27,RESUMEN_7°!R27),1),""),"")</f>
        <v/>
      </c>
    </row>
    <row r="29" ht="13.95" customHeight="1" s="176">
      <c r="A29" s="111">
        <f>IF(RESUMEN_7°!S28="✓ APROBADO",24,"")</f>
        <v/>
      </c>
      <c r="B29" s="103">
        <f>IF(RESUMEN_7°!S28="✓ APROBADO",RESUMEN_7°!B28,"")</f>
        <v/>
      </c>
      <c r="C29" s="111">
        <f>IF(RESUMEN_7°!S28="✓ APROBADO",RESUMEN_7°!F28,"")</f>
        <v/>
      </c>
      <c r="D29" s="111">
        <f>IF(RESUMEN_7°!S28="✓ APROBADO",RESUMEN_7°!R28,"")</f>
        <v/>
      </c>
      <c r="E29" s="111">
        <f>IF(RESUMEN_7°!S28="✓ APROBADO",IFERROR(ROUND(AVERAGE(RESUMEN_7°!F28,RESUMEN_7°!R28),1),""),"")</f>
        <v/>
      </c>
    </row>
    <row r="30" ht="13.95" customHeight="1" s="176">
      <c r="A30" s="134">
        <f>IF(RESUMEN_7°!S29="✓ APROBADO",25,"")</f>
        <v/>
      </c>
      <c r="B30" s="135">
        <f>IF(RESUMEN_7°!S29="✓ APROBADO",RESUMEN_7°!B29,"")</f>
        <v/>
      </c>
      <c r="C30" s="134">
        <f>IF(RESUMEN_7°!S29="✓ APROBADO",RESUMEN_7°!F29,"")</f>
        <v/>
      </c>
      <c r="D30" s="134">
        <f>IF(RESUMEN_7°!S29="✓ APROBADO",RESUMEN_7°!R29,"")</f>
        <v/>
      </c>
      <c r="E30" s="134">
        <f>IF(RESUMEN_7°!S29="✓ APROBADO",IFERROR(ROUND(AVERAGE(RESUMEN_7°!F29,RESUMEN_7°!R29),1),""),"")</f>
        <v/>
      </c>
    </row>
    <row r="31" ht="13.95" customHeight="1" s="176">
      <c r="A31" s="111">
        <f>IF(RESUMEN_7°!S30="✓ APROBADO",26,"")</f>
        <v/>
      </c>
      <c r="B31" s="103">
        <f>IF(RESUMEN_7°!S30="✓ APROBADO",RESUMEN_7°!B30,"")</f>
        <v/>
      </c>
      <c r="C31" s="111">
        <f>IF(RESUMEN_7°!S30="✓ APROBADO",RESUMEN_7°!F30,"")</f>
        <v/>
      </c>
      <c r="D31" s="111">
        <f>IF(RESUMEN_7°!S30="✓ APROBADO",RESUMEN_7°!R30,"")</f>
        <v/>
      </c>
      <c r="E31" s="111">
        <f>IF(RESUMEN_7°!S30="✓ APROBADO",IFERROR(ROUND(AVERAGE(RESUMEN_7°!F30,RESUMEN_7°!R30),1),""),"")</f>
        <v/>
      </c>
    </row>
    <row r="32" ht="13.95" customHeight="1" s="176">
      <c r="A32" s="134">
        <f>IF(RESUMEN_7°!S31="✓ APROBADO",27,"")</f>
        <v/>
      </c>
      <c r="B32" s="135">
        <f>IF(RESUMEN_7°!S31="✓ APROBADO",RESUMEN_7°!B31,"")</f>
        <v/>
      </c>
      <c r="C32" s="134">
        <f>IF(RESUMEN_7°!S31="✓ APROBADO",RESUMEN_7°!F31,"")</f>
        <v/>
      </c>
      <c r="D32" s="134">
        <f>IF(RESUMEN_7°!S31="✓ APROBADO",RESUMEN_7°!R31,"")</f>
        <v/>
      </c>
      <c r="E32" s="134">
        <f>IF(RESUMEN_7°!S31="✓ APROBADO",IFERROR(ROUND(AVERAGE(RESUMEN_7°!F31,RESUMEN_7°!R31),1),""),"")</f>
        <v/>
      </c>
    </row>
    <row r="33" ht="13.95" customHeight="1" s="176">
      <c r="A33" s="111">
        <f>IF(RESUMEN_7°!S32="✓ APROBADO",28,"")</f>
        <v/>
      </c>
      <c r="B33" s="103">
        <f>IF(RESUMEN_7°!S32="✓ APROBADO",RESUMEN_7°!B32,"")</f>
        <v/>
      </c>
      <c r="C33" s="111">
        <f>IF(RESUMEN_7°!S32="✓ APROBADO",RESUMEN_7°!F32,"")</f>
        <v/>
      </c>
      <c r="D33" s="111">
        <f>IF(RESUMEN_7°!S32="✓ APROBADO",RESUMEN_7°!R32,"")</f>
        <v/>
      </c>
      <c r="E33" s="111">
        <f>IF(RESUMEN_7°!S32="✓ APROBADO",IFERROR(ROUND(AVERAGE(RESUMEN_7°!F32,RESUMEN_7°!R32),1),""),"")</f>
        <v/>
      </c>
    </row>
    <row r="34" ht="13.95" customHeight="1" s="176">
      <c r="A34" s="134">
        <f>IF(RESUMEN_7°!S33="✓ APROBADO",29,"")</f>
        <v/>
      </c>
      <c r="B34" s="135">
        <f>IF(RESUMEN_7°!S33="✓ APROBADO",RESUMEN_7°!B33,"")</f>
        <v/>
      </c>
      <c r="C34" s="134">
        <f>IF(RESUMEN_7°!S33="✓ APROBADO",RESUMEN_7°!F33,"")</f>
        <v/>
      </c>
      <c r="D34" s="134">
        <f>IF(RESUMEN_7°!S33="✓ APROBADO",RESUMEN_7°!R33,"")</f>
        <v/>
      </c>
      <c r="E34" s="134">
        <f>IF(RESUMEN_7°!S33="✓ APROBADO",IFERROR(ROUND(AVERAGE(RESUMEN_7°!F33,RESUMEN_7°!R33),1),""),"")</f>
        <v/>
      </c>
    </row>
    <row r="35" ht="13.95" customHeight="1" s="176">
      <c r="A35" s="111">
        <f>IF(RESUMEN_7°!S34="✓ APROBADO",30,"")</f>
        <v/>
      </c>
      <c r="B35" s="103">
        <f>IF(RESUMEN_7°!S34="✓ APROBADO",RESUMEN_7°!B34,"")</f>
        <v/>
      </c>
      <c r="C35" s="111">
        <f>IF(RESUMEN_7°!S34="✓ APROBADO",RESUMEN_7°!F34,"")</f>
        <v/>
      </c>
      <c r="D35" s="111">
        <f>IF(RESUMEN_7°!S34="✓ APROBADO",RESUMEN_7°!R34,"")</f>
        <v/>
      </c>
      <c r="E35" s="111">
        <f>IF(RESUMEN_7°!S34="✓ APROBADO",IFERROR(ROUND(AVERAGE(RESUMEN_7°!F34,RESUMEN_7°!R34),1),""),"")</f>
        <v/>
      </c>
    </row>
    <row r="36" ht="13.95" customHeight="1" s="176">
      <c r="A36" s="134">
        <f>IF(RESUMEN_7°!S35="✓ APROBADO",31,"")</f>
        <v/>
      </c>
      <c r="B36" s="135">
        <f>IF(RESUMEN_7°!S35="✓ APROBADO",RESUMEN_7°!B35,"")</f>
        <v/>
      </c>
      <c r="C36" s="134">
        <f>IF(RESUMEN_7°!S35="✓ APROBADO",RESUMEN_7°!F35,"")</f>
        <v/>
      </c>
      <c r="D36" s="134">
        <f>IF(RESUMEN_7°!S35="✓ APROBADO",RESUMEN_7°!R35,"")</f>
        <v/>
      </c>
      <c r="E36" s="134">
        <f>IF(RESUMEN_7°!S35="✓ APROBADO",IFERROR(ROUND(AVERAGE(RESUMEN_7°!F35,RESUMEN_7°!R35),1),""),"")</f>
        <v/>
      </c>
    </row>
    <row r="37" ht="13.95" customHeight="1" s="176">
      <c r="A37" s="111">
        <f>IF(RESUMEN_7°!S36="✓ APROBADO",32,"")</f>
        <v/>
      </c>
      <c r="B37" s="103">
        <f>IF(RESUMEN_7°!S36="✓ APROBADO",RESUMEN_7°!B36,"")</f>
        <v/>
      </c>
      <c r="C37" s="111">
        <f>IF(RESUMEN_7°!S36="✓ APROBADO",RESUMEN_7°!F36,"")</f>
        <v/>
      </c>
      <c r="D37" s="111">
        <f>IF(RESUMEN_7°!S36="✓ APROBADO",RESUMEN_7°!R36,"")</f>
        <v/>
      </c>
      <c r="E37" s="111">
        <f>IF(RESUMEN_7°!S36="✓ APROBADO",IFERROR(ROUND(AVERAGE(RESUMEN_7°!F36,RESUMEN_7°!R36),1),""),"")</f>
        <v/>
      </c>
    </row>
    <row r="38" ht="13.95" customHeight="1" s="176">
      <c r="A38" s="134">
        <f>IF(RESUMEN_7°!S37="✓ APROBADO",33,"")</f>
        <v/>
      </c>
      <c r="B38" s="135">
        <f>IF(RESUMEN_7°!S37="✓ APROBADO",RESUMEN_7°!B37,"")</f>
        <v/>
      </c>
      <c r="C38" s="134">
        <f>IF(RESUMEN_7°!S37="✓ APROBADO",RESUMEN_7°!F37,"")</f>
        <v/>
      </c>
      <c r="D38" s="134">
        <f>IF(RESUMEN_7°!S37="✓ APROBADO",RESUMEN_7°!R37,"")</f>
        <v/>
      </c>
      <c r="E38" s="134">
        <f>IF(RESUMEN_7°!S37="✓ APROBADO",IFERROR(ROUND(AVERAGE(RESUMEN_7°!F37,RESUMEN_7°!R37),1),""),"")</f>
        <v/>
      </c>
    </row>
    <row r="39" ht="13.95" customHeight="1" s="176">
      <c r="A39" s="111">
        <f>IF(RESUMEN_7°!S38="✓ APROBADO",34,"")</f>
        <v/>
      </c>
      <c r="B39" s="103">
        <f>IF(RESUMEN_7°!S38="✓ APROBADO",RESUMEN_7°!B38,"")</f>
        <v/>
      </c>
      <c r="C39" s="111">
        <f>IF(RESUMEN_7°!S38="✓ APROBADO",RESUMEN_7°!F38,"")</f>
        <v/>
      </c>
      <c r="D39" s="111">
        <f>IF(RESUMEN_7°!S38="✓ APROBADO",RESUMEN_7°!R38,"")</f>
        <v/>
      </c>
      <c r="E39" s="111">
        <f>IF(RESUMEN_7°!S38="✓ APROBADO",IFERROR(ROUND(AVERAGE(RESUMEN_7°!F38,RESUMEN_7°!R38),1),""),"")</f>
        <v/>
      </c>
    </row>
    <row r="40" ht="13.95" customHeight="1" s="176">
      <c r="A40" s="134">
        <f>IF(RESUMEN_7°!S39="✓ APROBADO",35,"")</f>
        <v/>
      </c>
      <c r="B40" s="135">
        <f>IF(RESUMEN_7°!S39="✓ APROBADO",RESUMEN_7°!B39,"")</f>
        <v/>
      </c>
      <c r="C40" s="134">
        <f>IF(RESUMEN_7°!S39="✓ APROBADO",RESUMEN_7°!F39,"")</f>
        <v/>
      </c>
      <c r="D40" s="134">
        <f>IF(RESUMEN_7°!S39="✓ APROBADO",RESUMEN_7°!R39,"")</f>
        <v/>
      </c>
      <c r="E40" s="134">
        <f>IF(RESUMEN_7°!S39="✓ APROBADO",IFERROR(ROUND(AVERAGE(RESUMEN_7°!F39,RESUMEN_7°!R39),1),""),"")</f>
        <v/>
      </c>
    </row>
    <row r="41" ht="13.95" customHeight="1" s="176">
      <c r="A41" s="111">
        <f>IF(RESUMEN_7°!S40="✓ APROBADO",36,"")</f>
        <v/>
      </c>
      <c r="B41" s="103">
        <f>IF(RESUMEN_7°!S40="✓ APROBADO",RESUMEN_7°!B40,"")</f>
        <v/>
      </c>
      <c r="C41" s="111">
        <f>IF(RESUMEN_7°!S40="✓ APROBADO",RESUMEN_7°!F40,"")</f>
        <v/>
      </c>
      <c r="D41" s="111">
        <f>IF(RESUMEN_7°!S40="✓ APROBADO",RESUMEN_7°!R40,"")</f>
        <v/>
      </c>
      <c r="E41" s="111">
        <f>IF(RESUMEN_7°!S40="✓ APROBADO",IFERROR(ROUND(AVERAGE(RESUMEN_7°!F40,RESUMEN_7°!R40),1),""),"")</f>
        <v/>
      </c>
    </row>
    <row r="42" ht="13.95" customHeight="1" s="176">
      <c r="A42" s="134">
        <f>IF(RESUMEN_7°!S41="✓ APROBADO",37,"")</f>
        <v/>
      </c>
      <c r="B42" s="135">
        <f>IF(RESUMEN_7°!S41="✓ APROBADO",RESUMEN_7°!B41,"")</f>
        <v/>
      </c>
      <c r="C42" s="134">
        <f>IF(RESUMEN_7°!S41="✓ APROBADO",RESUMEN_7°!F41,"")</f>
        <v/>
      </c>
      <c r="D42" s="134">
        <f>IF(RESUMEN_7°!S41="✓ APROBADO",RESUMEN_7°!R41,"")</f>
        <v/>
      </c>
      <c r="E42" s="134">
        <f>IF(RESUMEN_7°!S41="✓ APROBADO",IFERROR(ROUND(AVERAGE(RESUMEN_7°!F41,RESUMEN_7°!R41),1),""),"")</f>
        <v/>
      </c>
    </row>
    <row r="43" ht="13.95" customHeight="1" s="176">
      <c r="A43" s="111">
        <f>IF(RESUMEN_7°!S42="✓ APROBADO",38,"")</f>
        <v/>
      </c>
      <c r="B43" s="103">
        <f>IF(RESUMEN_7°!S42="✓ APROBADO",RESUMEN_7°!B42,"")</f>
        <v/>
      </c>
      <c r="C43" s="111">
        <f>IF(RESUMEN_7°!S42="✓ APROBADO",RESUMEN_7°!F42,"")</f>
        <v/>
      </c>
      <c r="D43" s="111">
        <f>IF(RESUMEN_7°!S42="✓ APROBADO",RESUMEN_7°!R42,"")</f>
        <v/>
      </c>
      <c r="E43" s="111">
        <f>IF(RESUMEN_7°!S42="✓ APROBADO",IFERROR(ROUND(AVERAGE(RESUMEN_7°!F42,RESUMEN_7°!R42),1),""),"")</f>
        <v/>
      </c>
    </row>
    <row r="44" ht="13.95" customHeight="1" s="176">
      <c r="A44" s="134">
        <f>IF(RESUMEN_7°!S43="✓ APROBADO",39,"")</f>
        <v/>
      </c>
      <c r="B44" s="135">
        <f>IF(RESUMEN_7°!S43="✓ APROBADO",RESUMEN_7°!B43,"")</f>
        <v/>
      </c>
      <c r="C44" s="134">
        <f>IF(RESUMEN_7°!S43="✓ APROBADO",RESUMEN_7°!F43,"")</f>
        <v/>
      </c>
      <c r="D44" s="134">
        <f>IF(RESUMEN_7°!S43="✓ APROBADO",RESUMEN_7°!R43,"")</f>
        <v/>
      </c>
      <c r="E44" s="134">
        <f>IF(RESUMEN_7°!S43="✓ APROBADO",IFERROR(ROUND(AVERAGE(RESUMEN_7°!F43,RESUMEN_7°!R43),1),""),"")</f>
        <v/>
      </c>
    </row>
    <row r="45" ht="13.95" customHeight="1" s="176">
      <c r="A45" s="111">
        <f>IF(RESUMEN_7°!S44="✓ APROBADO",40,"")</f>
        <v/>
      </c>
      <c r="B45" s="103">
        <f>IF(RESUMEN_7°!S44="✓ APROBADO",RESUMEN_7°!B44,"")</f>
        <v/>
      </c>
      <c r="C45" s="111">
        <f>IF(RESUMEN_7°!S44="✓ APROBADO",RESUMEN_7°!F44,"")</f>
        <v/>
      </c>
      <c r="D45" s="111">
        <f>IF(RESUMEN_7°!S44="✓ APROBADO",RESUMEN_7°!R44,"")</f>
        <v/>
      </c>
      <c r="E45" s="111">
        <f>IF(RESUMEN_7°!S44="✓ APROBADO",IFERROR(ROUND(AVERAGE(RESUMEN_7°!F44,RESUMEN_7°!R44),1),""),"")</f>
        <v/>
      </c>
    </row>
    <row r="46" ht="18" customHeight="1" s="176">
      <c r="A46" s="271" t="inlineStr">
        <is>
          <t>Total aprobados 7°:</t>
        </is>
      </c>
      <c r="B46" s="242" t="n"/>
      <c r="C46" s="136">
        <f>COUNTIF(RESUMEN_7°!S5:'RESUMEN_7°'!S44,"✓ APROBADO")</f>
        <v/>
      </c>
      <c r="D46" s="115" t="n"/>
      <c r="E46" s="115" t="n"/>
    </row>
    <row r="48" ht="19.95" customHeight="1" s="176">
      <c r="A48" s="273" t="inlineStr">
        <is>
          <t>ESTUDIANTES APROBADOS — 8° GRADO</t>
        </is>
      </c>
      <c r="B48" s="250" t="n"/>
      <c r="C48" s="250" t="n"/>
      <c r="D48" s="250" t="n"/>
      <c r="E48" s="250" t="n"/>
      <c r="F48" s="250" t="n"/>
      <c r="G48" s="250" t="n"/>
      <c r="H48" s="250" t="n"/>
      <c r="I48" s="250" t="n"/>
      <c r="J48" s="250" t="n"/>
      <c r="K48" s="250" t="n"/>
      <c r="L48" s="242" t="n"/>
    </row>
    <row r="49" ht="18" customHeight="1" s="176">
      <c r="A49" s="137" t="inlineStr">
        <is>
          <t>No.</t>
        </is>
      </c>
      <c r="B49" s="137" t="inlineStr">
        <is>
          <t>APELLIDO, NOMBRE</t>
        </is>
      </c>
      <c r="C49" s="137" t="inlineStr">
        <is>
          <t>INGLÉS FINAL</t>
        </is>
      </c>
      <c r="D49" s="137" t="inlineStr">
        <is>
          <t>TECNOLOGÍA FINAL</t>
        </is>
      </c>
      <c r="E49" s="137" t="inlineStr">
        <is>
          <t>NOTA PROMEDIO</t>
        </is>
      </c>
    </row>
    <row r="50" ht="13.95" customHeight="1" s="176">
      <c r="A50" s="134">
        <f>IF(RESUMEN_8°!S5="✓ APROBADO",1,"")</f>
        <v/>
      </c>
      <c r="B50" s="135">
        <f>IF(RESUMEN_8°!S5="✓ APROBADO",RESUMEN_8°!B5,"")</f>
        <v/>
      </c>
      <c r="C50" s="134">
        <f>IF(RESUMEN_8°!S5="✓ APROBADO",RESUMEN_8°!F5,"")</f>
        <v/>
      </c>
      <c r="D50" s="134">
        <f>IF(RESUMEN_8°!S5="✓ APROBADO",RESUMEN_8°!R5,"")</f>
        <v/>
      </c>
      <c r="E50" s="134">
        <f>IF(RESUMEN_8°!S5="✓ APROBADO",IFERROR(ROUND(AVERAGE(RESUMEN_8°!F5,RESUMEN_8°!R5),1),""),"")</f>
        <v/>
      </c>
    </row>
    <row r="51" ht="13.95" customHeight="1" s="176">
      <c r="A51" s="111">
        <f>IF(RESUMEN_8°!S6="✓ APROBADO",2,"")</f>
        <v/>
      </c>
      <c r="B51" s="103">
        <f>IF(RESUMEN_8°!S6="✓ APROBADO",RESUMEN_8°!B6,"")</f>
        <v/>
      </c>
      <c r="C51" s="111">
        <f>IF(RESUMEN_8°!S6="✓ APROBADO",RESUMEN_8°!F6,"")</f>
        <v/>
      </c>
      <c r="D51" s="111">
        <f>IF(RESUMEN_8°!S6="✓ APROBADO",RESUMEN_8°!R6,"")</f>
        <v/>
      </c>
      <c r="E51" s="111">
        <f>IF(RESUMEN_8°!S6="✓ APROBADO",IFERROR(ROUND(AVERAGE(RESUMEN_8°!F6,RESUMEN_8°!R6),1),""),"")</f>
        <v/>
      </c>
    </row>
    <row r="52" ht="13.95" customHeight="1" s="176">
      <c r="A52" s="134">
        <f>IF(RESUMEN_8°!S7="✓ APROBADO",3,"")</f>
        <v/>
      </c>
      <c r="B52" s="135">
        <f>IF(RESUMEN_8°!S7="✓ APROBADO",RESUMEN_8°!B7,"")</f>
        <v/>
      </c>
      <c r="C52" s="134">
        <f>IF(RESUMEN_8°!S7="✓ APROBADO",RESUMEN_8°!F7,"")</f>
        <v/>
      </c>
      <c r="D52" s="134">
        <f>IF(RESUMEN_8°!S7="✓ APROBADO",RESUMEN_8°!R7,"")</f>
        <v/>
      </c>
      <c r="E52" s="134">
        <f>IF(RESUMEN_8°!S7="✓ APROBADO",IFERROR(ROUND(AVERAGE(RESUMEN_8°!F7,RESUMEN_8°!R7),1),""),"")</f>
        <v/>
      </c>
    </row>
    <row r="53" ht="13.95" customHeight="1" s="176">
      <c r="A53" s="111">
        <f>IF(RESUMEN_8°!S8="✓ APROBADO",4,"")</f>
        <v/>
      </c>
      <c r="B53" s="103">
        <f>IF(RESUMEN_8°!S8="✓ APROBADO",RESUMEN_8°!B8,"")</f>
        <v/>
      </c>
      <c r="C53" s="111">
        <f>IF(RESUMEN_8°!S8="✓ APROBADO",RESUMEN_8°!F8,"")</f>
        <v/>
      </c>
      <c r="D53" s="111">
        <f>IF(RESUMEN_8°!S8="✓ APROBADO",RESUMEN_8°!R8,"")</f>
        <v/>
      </c>
      <c r="E53" s="111">
        <f>IF(RESUMEN_8°!S8="✓ APROBADO",IFERROR(ROUND(AVERAGE(RESUMEN_8°!F8,RESUMEN_8°!R8),1),""),"")</f>
        <v/>
      </c>
    </row>
    <row r="54" ht="13.95" customHeight="1" s="176">
      <c r="A54" s="134">
        <f>IF(RESUMEN_8°!S9="✓ APROBADO",5,"")</f>
        <v/>
      </c>
      <c r="B54" s="135">
        <f>IF(RESUMEN_8°!S9="✓ APROBADO",RESUMEN_8°!B9,"")</f>
        <v/>
      </c>
      <c r="C54" s="134">
        <f>IF(RESUMEN_8°!S9="✓ APROBADO",RESUMEN_8°!F9,"")</f>
        <v/>
      </c>
      <c r="D54" s="134">
        <f>IF(RESUMEN_8°!S9="✓ APROBADO",RESUMEN_8°!R9,"")</f>
        <v/>
      </c>
      <c r="E54" s="134">
        <f>IF(RESUMEN_8°!S9="✓ APROBADO",IFERROR(ROUND(AVERAGE(RESUMEN_8°!F9,RESUMEN_8°!R9),1),""),"")</f>
        <v/>
      </c>
    </row>
    <row r="55" ht="13.95" customHeight="1" s="176">
      <c r="A55" s="111">
        <f>IF(RESUMEN_8°!S10="✓ APROBADO",6,"")</f>
        <v/>
      </c>
      <c r="B55" s="103">
        <f>IF(RESUMEN_8°!S10="✓ APROBADO",RESUMEN_8°!B10,"")</f>
        <v/>
      </c>
      <c r="C55" s="111">
        <f>IF(RESUMEN_8°!S10="✓ APROBADO",RESUMEN_8°!F10,"")</f>
        <v/>
      </c>
      <c r="D55" s="111">
        <f>IF(RESUMEN_8°!S10="✓ APROBADO",RESUMEN_8°!R10,"")</f>
        <v/>
      </c>
      <c r="E55" s="111">
        <f>IF(RESUMEN_8°!S10="✓ APROBADO",IFERROR(ROUND(AVERAGE(RESUMEN_8°!F10,RESUMEN_8°!R10),1),""),"")</f>
        <v/>
      </c>
    </row>
    <row r="56" ht="13.95" customHeight="1" s="176">
      <c r="A56" s="134">
        <f>IF(RESUMEN_8°!S11="✓ APROBADO",7,"")</f>
        <v/>
      </c>
      <c r="B56" s="135">
        <f>IF(RESUMEN_8°!S11="✓ APROBADO",RESUMEN_8°!B11,"")</f>
        <v/>
      </c>
      <c r="C56" s="134">
        <f>IF(RESUMEN_8°!S11="✓ APROBADO",RESUMEN_8°!F11,"")</f>
        <v/>
      </c>
      <c r="D56" s="134">
        <f>IF(RESUMEN_8°!S11="✓ APROBADO",RESUMEN_8°!R11,"")</f>
        <v/>
      </c>
      <c r="E56" s="134">
        <f>IF(RESUMEN_8°!S11="✓ APROBADO",IFERROR(ROUND(AVERAGE(RESUMEN_8°!F11,RESUMEN_8°!R11),1),""),"")</f>
        <v/>
      </c>
    </row>
    <row r="57" ht="13.95" customHeight="1" s="176">
      <c r="A57" s="111">
        <f>IF(RESUMEN_8°!S12="✓ APROBADO",8,"")</f>
        <v/>
      </c>
      <c r="B57" s="103">
        <f>IF(RESUMEN_8°!S12="✓ APROBADO",RESUMEN_8°!B12,"")</f>
        <v/>
      </c>
      <c r="C57" s="111">
        <f>IF(RESUMEN_8°!S12="✓ APROBADO",RESUMEN_8°!F12,"")</f>
        <v/>
      </c>
      <c r="D57" s="111">
        <f>IF(RESUMEN_8°!S12="✓ APROBADO",RESUMEN_8°!R12,"")</f>
        <v/>
      </c>
      <c r="E57" s="111">
        <f>IF(RESUMEN_8°!S12="✓ APROBADO",IFERROR(ROUND(AVERAGE(RESUMEN_8°!F12,RESUMEN_8°!R12),1),""),"")</f>
        <v/>
      </c>
    </row>
    <row r="58" ht="13.95" customHeight="1" s="176">
      <c r="A58" s="134">
        <f>IF(RESUMEN_8°!S13="✓ APROBADO",9,"")</f>
        <v/>
      </c>
      <c r="B58" s="135">
        <f>IF(RESUMEN_8°!S13="✓ APROBADO",RESUMEN_8°!B13,"")</f>
        <v/>
      </c>
      <c r="C58" s="134">
        <f>IF(RESUMEN_8°!S13="✓ APROBADO",RESUMEN_8°!F13,"")</f>
        <v/>
      </c>
      <c r="D58" s="134">
        <f>IF(RESUMEN_8°!S13="✓ APROBADO",RESUMEN_8°!R13,"")</f>
        <v/>
      </c>
      <c r="E58" s="134">
        <f>IF(RESUMEN_8°!S13="✓ APROBADO",IFERROR(ROUND(AVERAGE(RESUMEN_8°!F13,RESUMEN_8°!R13),1),""),"")</f>
        <v/>
      </c>
    </row>
    <row r="59" ht="13.95" customHeight="1" s="176">
      <c r="A59" s="111">
        <f>IF(RESUMEN_8°!S14="✓ APROBADO",10,"")</f>
        <v/>
      </c>
      <c r="B59" s="103">
        <f>IF(RESUMEN_8°!S14="✓ APROBADO",RESUMEN_8°!B14,"")</f>
        <v/>
      </c>
      <c r="C59" s="111">
        <f>IF(RESUMEN_8°!S14="✓ APROBADO",RESUMEN_8°!F14,"")</f>
        <v/>
      </c>
      <c r="D59" s="111">
        <f>IF(RESUMEN_8°!S14="✓ APROBADO",RESUMEN_8°!R14,"")</f>
        <v/>
      </c>
      <c r="E59" s="111">
        <f>IF(RESUMEN_8°!S14="✓ APROBADO",IFERROR(ROUND(AVERAGE(RESUMEN_8°!F14,RESUMEN_8°!R14),1),""),"")</f>
        <v/>
      </c>
    </row>
    <row r="60" ht="13.95" customHeight="1" s="176">
      <c r="A60" s="134">
        <f>IF(RESUMEN_8°!S15="✓ APROBADO",11,"")</f>
        <v/>
      </c>
      <c r="B60" s="135">
        <f>IF(RESUMEN_8°!S15="✓ APROBADO",RESUMEN_8°!B15,"")</f>
        <v/>
      </c>
      <c r="C60" s="134">
        <f>IF(RESUMEN_8°!S15="✓ APROBADO",RESUMEN_8°!F15,"")</f>
        <v/>
      </c>
      <c r="D60" s="134">
        <f>IF(RESUMEN_8°!S15="✓ APROBADO",RESUMEN_8°!R15,"")</f>
        <v/>
      </c>
      <c r="E60" s="134">
        <f>IF(RESUMEN_8°!S15="✓ APROBADO",IFERROR(ROUND(AVERAGE(RESUMEN_8°!F15,RESUMEN_8°!R15),1),""),"")</f>
        <v/>
      </c>
    </row>
    <row r="61" ht="13.95" customHeight="1" s="176">
      <c r="A61" s="111">
        <f>IF(RESUMEN_8°!S16="✓ APROBADO",12,"")</f>
        <v/>
      </c>
      <c r="B61" s="103">
        <f>IF(RESUMEN_8°!S16="✓ APROBADO",RESUMEN_8°!B16,"")</f>
        <v/>
      </c>
      <c r="C61" s="111">
        <f>IF(RESUMEN_8°!S16="✓ APROBADO",RESUMEN_8°!F16,"")</f>
        <v/>
      </c>
      <c r="D61" s="111">
        <f>IF(RESUMEN_8°!S16="✓ APROBADO",RESUMEN_8°!R16,"")</f>
        <v/>
      </c>
      <c r="E61" s="111">
        <f>IF(RESUMEN_8°!S16="✓ APROBADO",IFERROR(ROUND(AVERAGE(RESUMEN_8°!F16,RESUMEN_8°!R16),1),""),"")</f>
        <v/>
      </c>
    </row>
    <row r="62" ht="13.95" customHeight="1" s="176">
      <c r="A62" s="134">
        <f>IF(RESUMEN_8°!S17="✓ APROBADO",13,"")</f>
        <v/>
      </c>
      <c r="B62" s="135">
        <f>IF(RESUMEN_8°!S17="✓ APROBADO",RESUMEN_8°!B17,"")</f>
        <v/>
      </c>
      <c r="C62" s="134">
        <f>IF(RESUMEN_8°!S17="✓ APROBADO",RESUMEN_8°!F17,"")</f>
        <v/>
      </c>
      <c r="D62" s="134">
        <f>IF(RESUMEN_8°!S17="✓ APROBADO",RESUMEN_8°!R17,"")</f>
        <v/>
      </c>
      <c r="E62" s="134">
        <f>IF(RESUMEN_8°!S17="✓ APROBADO",IFERROR(ROUND(AVERAGE(RESUMEN_8°!F17,RESUMEN_8°!R17),1),""),"")</f>
        <v/>
      </c>
    </row>
    <row r="63" ht="13.95" customHeight="1" s="176">
      <c r="A63" s="111">
        <f>IF(RESUMEN_8°!S18="✓ APROBADO",14,"")</f>
        <v/>
      </c>
      <c r="B63" s="103">
        <f>IF(RESUMEN_8°!S18="✓ APROBADO",RESUMEN_8°!B18,"")</f>
        <v/>
      </c>
      <c r="C63" s="111">
        <f>IF(RESUMEN_8°!S18="✓ APROBADO",RESUMEN_8°!F18,"")</f>
        <v/>
      </c>
      <c r="D63" s="111">
        <f>IF(RESUMEN_8°!S18="✓ APROBADO",RESUMEN_8°!R18,"")</f>
        <v/>
      </c>
      <c r="E63" s="111">
        <f>IF(RESUMEN_8°!S18="✓ APROBADO",IFERROR(ROUND(AVERAGE(RESUMEN_8°!F18,RESUMEN_8°!R18),1),""),"")</f>
        <v/>
      </c>
    </row>
    <row r="64" ht="13.95" customHeight="1" s="176">
      <c r="A64" s="134">
        <f>IF(RESUMEN_8°!S19="✓ APROBADO",15,"")</f>
        <v/>
      </c>
      <c r="B64" s="135">
        <f>IF(RESUMEN_8°!S19="✓ APROBADO",RESUMEN_8°!B19,"")</f>
        <v/>
      </c>
      <c r="C64" s="134">
        <f>IF(RESUMEN_8°!S19="✓ APROBADO",RESUMEN_8°!F19,"")</f>
        <v/>
      </c>
      <c r="D64" s="134">
        <f>IF(RESUMEN_8°!S19="✓ APROBADO",RESUMEN_8°!R19,"")</f>
        <v/>
      </c>
      <c r="E64" s="134">
        <f>IF(RESUMEN_8°!S19="✓ APROBADO",IFERROR(ROUND(AVERAGE(RESUMEN_8°!F19,RESUMEN_8°!R19),1),""),"")</f>
        <v/>
      </c>
    </row>
    <row r="65" ht="13.95" customHeight="1" s="176">
      <c r="A65" s="111">
        <f>IF(RESUMEN_8°!S20="✓ APROBADO",16,"")</f>
        <v/>
      </c>
      <c r="B65" s="103">
        <f>IF(RESUMEN_8°!S20="✓ APROBADO",RESUMEN_8°!B20,"")</f>
        <v/>
      </c>
      <c r="C65" s="111">
        <f>IF(RESUMEN_8°!S20="✓ APROBADO",RESUMEN_8°!F20,"")</f>
        <v/>
      </c>
      <c r="D65" s="111">
        <f>IF(RESUMEN_8°!S20="✓ APROBADO",RESUMEN_8°!R20,"")</f>
        <v/>
      </c>
      <c r="E65" s="111">
        <f>IF(RESUMEN_8°!S20="✓ APROBADO",IFERROR(ROUND(AVERAGE(RESUMEN_8°!F20,RESUMEN_8°!R20),1),""),"")</f>
        <v/>
      </c>
    </row>
    <row r="66" ht="13.95" customHeight="1" s="176">
      <c r="A66" s="134">
        <f>IF(RESUMEN_8°!S21="✓ APROBADO",17,"")</f>
        <v/>
      </c>
      <c r="B66" s="135">
        <f>IF(RESUMEN_8°!S21="✓ APROBADO",RESUMEN_8°!B21,"")</f>
        <v/>
      </c>
      <c r="C66" s="134">
        <f>IF(RESUMEN_8°!S21="✓ APROBADO",RESUMEN_8°!F21,"")</f>
        <v/>
      </c>
      <c r="D66" s="134">
        <f>IF(RESUMEN_8°!S21="✓ APROBADO",RESUMEN_8°!R21,"")</f>
        <v/>
      </c>
      <c r="E66" s="134">
        <f>IF(RESUMEN_8°!S21="✓ APROBADO",IFERROR(ROUND(AVERAGE(RESUMEN_8°!F21,RESUMEN_8°!R21),1),""),"")</f>
        <v/>
      </c>
    </row>
    <row r="67" ht="13.95" customHeight="1" s="176">
      <c r="A67" s="111">
        <f>IF(RESUMEN_8°!S22="✓ APROBADO",18,"")</f>
        <v/>
      </c>
      <c r="B67" s="103">
        <f>IF(RESUMEN_8°!S22="✓ APROBADO",RESUMEN_8°!B22,"")</f>
        <v/>
      </c>
      <c r="C67" s="111">
        <f>IF(RESUMEN_8°!S22="✓ APROBADO",RESUMEN_8°!F22,"")</f>
        <v/>
      </c>
      <c r="D67" s="111">
        <f>IF(RESUMEN_8°!S22="✓ APROBADO",RESUMEN_8°!R22,"")</f>
        <v/>
      </c>
      <c r="E67" s="111">
        <f>IF(RESUMEN_8°!S22="✓ APROBADO",IFERROR(ROUND(AVERAGE(RESUMEN_8°!F22,RESUMEN_8°!R22),1),""),"")</f>
        <v/>
      </c>
    </row>
    <row r="68" ht="13.95" customHeight="1" s="176">
      <c r="A68" s="134">
        <f>IF(RESUMEN_8°!S23="✓ APROBADO",19,"")</f>
        <v/>
      </c>
      <c r="B68" s="135">
        <f>IF(RESUMEN_8°!S23="✓ APROBADO",RESUMEN_8°!B23,"")</f>
        <v/>
      </c>
      <c r="C68" s="134">
        <f>IF(RESUMEN_8°!S23="✓ APROBADO",RESUMEN_8°!F23,"")</f>
        <v/>
      </c>
      <c r="D68" s="134">
        <f>IF(RESUMEN_8°!S23="✓ APROBADO",RESUMEN_8°!R23,"")</f>
        <v/>
      </c>
      <c r="E68" s="134">
        <f>IF(RESUMEN_8°!S23="✓ APROBADO",IFERROR(ROUND(AVERAGE(RESUMEN_8°!F23,RESUMEN_8°!R23),1),""),"")</f>
        <v/>
      </c>
    </row>
    <row r="69" ht="13.95" customHeight="1" s="176">
      <c r="A69" s="111">
        <f>IF(RESUMEN_8°!S24="✓ APROBADO",20,"")</f>
        <v/>
      </c>
      <c r="B69" s="103">
        <f>IF(RESUMEN_8°!S24="✓ APROBADO",RESUMEN_8°!B24,"")</f>
        <v/>
      </c>
      <c r="C69" s="111">
        <f>IF(RESUMEN_8°!S24="✓ APROBADO",RESUMEN_8°!F24,"")</f>
        <v/>
      </c>
      <c r="D69" s="111">
        <f>IF(RESUMEN_8°!S24="✓ APROBADO",RESUMEN_8°!R24,"")</f>
        <v/>
      </c>
      <c r="E69" s="111">
        <f>IF(RESUMEN_8°!S24="✓ APROBADO",IFERROR(ROUND(AVERAGE(RESUMEN_8°!F24,RESUMEN_8°!R24),1),""),"")</f>
        <v/>
      </c>
    </row>
    <row r="70" ht="13.95" customHeight="1" s="176">
      <c r="A70" s="134">
        <f>IF(RESUMEN_8°!S25="✓ APROBADO",21,"")</f>
        <v/>
      </c>
      <c r="B70" s="135">
        <f>IF(RESUMEN_8°!S25="✓ APROBADO",RESUMEN_8°!B25,"")</f>
        <v/>
      </c>
      <c r="C70" s="134">
        <f>IF(RESUMEN_8°!S25="✓ APROBADO",RESUMEN_8°!F25,"")</f>
        <v/>
      </c>
      <c r="D70" s="134">
        <f>IF(RESUMEN_8°!S25="✓ APROBADO",RESUMEN_8°!R25,"")</f>
        <v/>
      </c>
      <c r="E70" s="134">
        <f>IF(RESUMEN_8°!S25="✓ APROBADO",IFERROR(ROUND(AVERAGE(RESUMEN_8°!F25,RESUMEN_8°!R25),1),""),"")</f>
        <v/>
      </c>
    </row>
    <row r="71" ht="13.95" customHeight="1" s="176">
      <c r="A71" s="111">
        <f>IF(RESUMEN_8°!S26="✓ APROBADO",22,"")</f>
        <v/>
      </c>
      <c r="B71" s="103">
        <f>IF(RESUMEN_8°!S26="✓ APROBADO",RESUMEN_8°!B26,"")</f>
        <v/>
      </c>
      <c r="C71" s="111">
        <f>IF(RESUMEN_8°!S26="✓ APROBADO",RESUMEN_8°!F26,"")</f>
        <v/>
      </c>
      <c r="D71" s="111">
        <f>IF(RESUMEN_8°!S26="✓ APROBADO",RESUMEN_8°!R26,"")</f>
        <v/>
      </c>
      <c r="E71" s="111">
        <f>IF(RESUMEN_8°!S26="✓ APROBADO",IFERROR(ROUND(AVERAGE(RESUMEN_8°!F26,RESUMEN_8°!R26),1),""),"")</f>
        <v/>
      </c>
    </row>
    <row r="72" ht="13.95" customHeight="1" s="176">
      <c r="A72" s="134">
        <f>IF(RESUMEN_8°!S27="✓ APROBADO",23,"")</f>
        <v/>
      </c>
      <c r="B72" s="135">
        <f>IF(RESUMEN_8°!S27="✓ APROBADO",RESUMEN_8°!B27,"")</f>
        <v/>
      </c>
      <c r="C72" s="134">
        <f>IF(RESUMEN_8°!S27="✓ APROBADO",RESUMEN_8°!F27,"")</f>
        <v/>
      </c>
      <c r="D72" s="134">
        <f>IF(RESUMEN_8°!S27="✓ APROBADO",RESUMEN_8°!R27,"")</f>
        <v/>
      </c>
      <c r="E72" s="134">
        <f>IF(RESUMEN_8°!S27="✓ APROBADO",IFERROR(ROUND(AVERAGE(RESUMEN_8°!F27,RESUMEN_8°!R27),1),""),"")</f>
        <v/>
      </c>
    </row>
    <row r="73" ht="13.95" customHeight="1" s="176">
      <c r="A73" s="111">
        <f>IF(RESUMEN_8°!S28="✓ APROBADO",24,"")</f>
        <v/>
      </c>
      <c r="B73" s="103">
        <f>IF(RESUMEN_8°!S28="✓ APROBADO",RESUMEN_8°!B28,"")</f>
        <v/>
      </c>
      <c r="C73" s="111">
        <f>IF(RESUMEN_8°!S28="✓ APROBADO",RESUMEN_8°!F28,"")</f>
        <v/>
      </c>
      <c r="D73" s="111">
        <f>IF(RESUMEN_8°!S28="✓ APROBADO",RESUMEN_8°!R28,"")</f>
        <v/>
      </c>
      <c r="E73" s="111">
        <f>IF(RESUMEN_8°!S28="✓ APROBADO",IFERROR(ROUND(AVERAGE(RESUMEN_8°!F28,RESUMEN_8°!R28),1),""),"")</f>
        <v/>
      </c>
    </row>
    <row r="74" ht="13.95" customHeight="1" s="176">
      <c r="A74" s="134">
        <f>IF(RESUMEN_8°!S29="✓ APROBADO",25,"")</f>
        <v/>
      </c>
      <c r="B74" s="135">
        <f>IF(RESUMEN_8°!S29="✓ APROBADO",RESUMEN_8°!B29,"")</f>
        <v/>
      </c>
      <c r="C74" s="134">
        <f>IF(RESUMEN_8°!S29="✓ APROBADO",RESUMEN_8°!F29,"")</f>
        <v/>
      </c>
      <c r="D74" s="134">
        <f>IF(RESUMEN_8°!S29="✓ APROBADO",RESUMEN_8°!R29,"")</f>
        <v/>
      </c>
      <c r="E74" s="134">
        <f>IF(RESUMEN_8°!S29="✓ APROBADO",IFERROR(ROUND(AVERAGE(RESUMEN_8°!F29,RESUMEN_8°!R29),1),""),"")</f>
        <v/>
      </c>
    </row>
    <row r="75" ht="13.95" customHeight="1" s="176">
      <c r="A75" s="111">
        <f>IF(RESUMEN_8°!S30="✓ APROBADO",26,"")</f>
        <v/>
      </c>
      <c r="B75" s="103">
        <f>IF(RESUMEN_8°!S30="✓ APROBADO",RESUMEN_8°!B30,"")</f>
        <v/>
      </c>
      <c r="C75" s="111">
        <f>IF(RESUMEN_8°!S30="✓ APROBADO",RESUMEN_8°!F30,"")</f>
        <v/>
      </c>
      <c r="D75" s="111">
        <f>IF(RESUMEN_8°!S30="✓ APROBADO",RESUMEN_8°!R30,"")</f>
        <v/>
      </c>
      <c r="E75" s="111">
        <f>IF(RESUMEN_8°!S30="✓ APROBADO",IFERROR(ROUND(AVERAGE(RESUMEN_8°!F30,RESUMEN_8°!R30),1),""),"")</f>
        <v/>
      </c>
    </row>
    <row r="76" ht="13.95" customHeight="1" s="176">
      <c r="A76" s="134">
        <f>IF(RESUMEN_8°!S31="✓ APROBADO",27,"")</f>
        <v/>
      </c>
      <c r="B76" s="135">
        <f>IF(RESUMEN_8°!S31="✓ APROBADO",RESUMEN_8°!B31,"")</f>
        <v/>
      </c>
      <c r="C76" s="134">
        <f>IF(RESUMEN_8°!S31="✓ APROBADO",RESUMEN_8°!F31,"")</f>
        <v/>
      </c>
      <c r="D76" s="134">
        <f>IF(RESUMEN_8°!S31="✓ APROBADO",RESUMEN_8°!R31,"")</f>
        <v/>
      </c>
      <c r="E76" s="134">
        <f>IF(RESUMEN_8°!S31="✓ APROBADO",IFERROR(ROUND(AVERAGE(RESUMEN_8°!F31,RESUMEN_8°!R31),1),""),"")</f>
        <v/>
      </c>
    </row>
    <row r="77" ht="13.95" customHeight="1" s="176">
      <c r="A77" s="111">
        <f>IF(RESUMEN_8°!S32="✓ APROBADO",28,"")</f>
        <v/>
      </c>
      <c r="B77" s="103">
        <f>IF(RESUMEN_8°!S32="✓ APROBADO",RESUMEN_8°!B32,"")</f>
        <v/>
      </c>
      <c r="C77" s="111">
        <f>IF(RESUMEN_8°!S32="✓ APROBADO",RESUMEN_8°!F32,"")</f>
        <v/>
      </c>
      <c r="D77" s="111">
        <f>IF(RESUMEN_8°!S32="✓ APROBADO",RESUMEN_8°!R32,"")</f>
        <v/>
      </c>
      <c r="E77" s="111">
        <f>IF(RESUMEN_8°!S32="✓ APROBADO",IFERROR(ROUND(AVERAGE(RESUMEN_8°!F32,RESUMEN_8°!R32),1),""),"")</f>
        <v/>
      </c>
    </row>
    <row r="78" ht="13.95" customHeight="1" s="176">
      <c r="A78" s="134">
        <f>IF(RESUMEN_8°!S33="✓ APROBADO",29,"")</f>
        <v/>
      </c>
      <c r="B78" s="135">
        <f>IF(RESUMEN_8°!S33="✓ APROBADO",RESUMEN_8°!B33,"")</f>
        <v/>
      </c>
      <c r="C78" s="134">
        <f>IF(RESUMEN_8°!S33="✓ APROBADO",RESUMEN_8°!F33,"")</f>
        <v/>
      </c>
      <c r="D78" s="134">
        <f>IF(RESUMEN_8°!S33="✓ APROBADO",RESUMEN_8°!R33,"")</f>
        <v/>
      </c>
      <c r="E78" s="134">
        <f>IF(RESUMEN_8°!S33="✓ APROBADO",IFERROR(ROUND(AVERAGE(RESUMEN_8°!F33,RESUMEN_8°!R33),1),""),"")</f>
        <v/>
      </c>
    </row>
    <row r="79" ht="13.95" customHeight="1" s="176">
      <c r="A79" s="111">
        <f>IF(RESUMEN_8°!S34="✓ APROBADO",30,"")</f>
        <v/>
      </c>
      <c r="B79" s="103">
        <f>IF(RESUMEN_8°!S34="✓ APROBADO",RESUMEN_8°!B34,"")</f>
        <v/>
      </c>
      <c r="C79" s="111">
        <f>IF(RESUMEN_8°!S34="✓ APROBADO",RESUMEN_8°!F34,"")</f>
        <v/>
      </c>
      <c r="D79" s="111">
        <f>IF(RESUMEN_8°!S34="✓ APROBADO",RESUMEN_8°!R34,"")</f>
        <v/>
      </c>
      <c r="E79" s="111">
        <f>IF(RESUMEN_8°!S34="✓ APROBADO",IFERROR(ROUND(AVERAGE(RESUMEN_8°!F34,RESUMEN_8°!R34),1),""),"")</f>
        <v/>
      </c>
    </row>
    <row r="80" ht="13.95" customHeight="1" s="176">
      <c r="A80" s="134">
        <f>IF(RESUMEN_8°!S35="✓ APROBADO",31,"")</f>
        <v/>
      </c>
      <c r="B80" s="135">
        <f>IF(RESUMEN_8°!S35="✓ APROBADO",RESUMEN_8°!B35,"")</f>
        <v/>
      </c>
      <c r="C80" s="134">
        <f>IF(RESUMEN_8°!S35="✓ APROBADO",RESUMEN_8°!F35,"")</f>
        <v/>
      </c>
      <c r="D80" s="134">
        <f>IF(RESUMEN_8°!S35="✓ APROBADO",RESUMEN_8°!R35,"")</f>
        <v/>
      </c>
      <c r="E80" s="134">
        <f>IF(RESUMEN_8°!S35="✓ APROBADO",IFERROR(ROUND(AVERAGE(RESUMEN_8°!F35,RESUMEN_8°!R35),1),""),"")</f>
        <v/>
      </c>
    </row>
    <row r="81" ht="13.95" customHeight="1" s="176">
      <c r="A81" s="111">
        <f>IF(RESUMEN_8°!S36="✓ APROBADO",32,"")</f>
        <v/>
      </c>
      <c r="B81" s="103">
        <f>IF(RESUMEN_8°!S36="✓ APROBADO",RESUMEN_8°!B36,"")</f>
        <v/>
      </c>
      <c r="C81" s="111">
        <f>IF(RESUMEN_8°!S36="✓ APROBADO",RESUMEN_8°!F36,"")</f>
        <v/>
      </c>
      <c r="D81" s="111">
        <f>IF(RESUMEN_8°!S36="✓ APROBADO",RESUMEN_8°!R36,"")</f>
        <v/>
      </c>
      <c r="E81" s="111">
        <f>IF(RESUMEN_8°!S36="✓ APROBADO",IFERROR(ROUND(AVERAGE(RESUMEN_8°!F36,RESUMEN_8°!R36),1),""),"")</f>
        <v/>
      </c>
    </row>
    <row r="82" ht="13.95" customHeight="1" s="176">
      <c r="A82" s="134">
        <f>IF(RESUMEN_8°!S37="✓ APROBADO",33,"")</f>
        <v/>
      </c>
      <c r="B82" s="135">
        <f>IF(RESUMEN_8°!S37="✓ APROBADO",RESUMEN_8°!B37,"")</f>
        <v/>
      </c>
      <c r="C82" s="134">
        <f>IF(RESUMEN_8°!S37="✓ APROBADO",RESUMEN_8°!F37,"")</f>
        <v/>
      </c>
      <c r="D82" s="134">
        <f>IF(RESUMEN_8°!S37="✓ APROBADO",RESUMEN_8°!R37,"")</f>
        <v/>
      </c>
      <c r="E82" s="134">
        <f>IF(RESUMEN_8°!S37="✓ APROBADO",IFERROR(ROUND(AVERAGE(RESUMEN_8°!F37,RESUMEN_8°!R37),1),""),"")</f>
        <v/>
      </c>
    </row>
    <row r="83" ht="13.95" customHeight="1" s="176">
      <c r="A83" s="111">
        <f>IF(RESUMEN_8°!S38="✓ APROBADO",34,"")</f>
        <v/>
      </c>
      <c r="B83" s="103">
        <f>IF(RESUMEN_8°!S38="✓ APROBADO",RESUMEN_8°!B38,"")</f>
        <v/>
      </c>
      <c r="C83" s="111">
        <f>IF(RESUMEN_8°!S38="✓ APROBADO",RESUMEN_8°!F38,"")</f>
        <v/>
      </c>
      <c r="D83" s="111">
        <f>IF(RESUMEN_8°!S38="✓ APROBADO",RESUMEN_8°!R38,"")</f>
        <v/>
      </c>
      <c r="E83" s="111">
        <f>IF(RESUMEN_8°!S38="✓ APROBADO",IFERROR(ROUND(AVERAGE(RESUMEN_8°!F38,RESUMEN_8°!R38),1),""),"")</f>
        <v/>
      </c>
    </row>
    <row r="84" ht="13.95" customHeight="1" s="176">
      <c r="A84" s="134">
        <f>IF(RESUMEN_8°!S39="✓ APROBADO",35,"")</f>
        <v/>
      </c>
      <c r="B84" s="135">
        <f>IF(RESUMEN_8°!S39="✓ APROBADO",RESUMEN_8°!B39,"")</f>
        <v/>
      </c>
      <c r="C84" s="134">
        <f>IF(RESUMEN_8°!S39="✓ APROBADO",RESUMEN_8°!F39,"")</f>
        <v/>
      </c>
      <c r="D84" s="134">
        <f>IF(RESUMEN_8°!S39="✓ APROBADO",RESUMEN_8°!R39,"")</f>
        <v/>
      </c>
      <c r="E84" s="134">
        <f>IF(RESUMEN_8°!S39="✓ APROBADO",IFERROR(ROUND(AVERAGE(RESUMEN_8°!F39,RESUMEN_8°!R39),1),""),"")</f>
        <v/>
      </c>
    </row>
    <row r="85" ht="13.95" customHeight="1" s="176">
      <c r="A85" s="111">
        <f>IF(RESUMEN_8°!S40="✓ APROBADO",36,"")</f>
        <v/>
      </c>
      <c r="B85" s="103">
        <f>IF(RESUMEN_8°!S40="✓ APROBADO",RESUMEN_8°!B40,"")</f>
        <v/>
      </c>
      <c r="C85" s="111">
        <f>IF(RESUMEN_8°!S40="✓ APROBADO",RESUMEN_8°!F40,"")</f>
        <v/>
      </c>
      <c r="D85" s="111">
        <f>IF(RESUMEN_8°!S40="✓ APROBADO",RESUMEN_8°!R40,"")</f>
        <v/>
      </c>
      <c r="E85" s="111">
        <f>IF(RESUMEN_8°!S40="✓ APROBADO",IFERROR(ROUND(AVERAGE(RESUMEN_8°!F40,RESUMEN_8°!R40),1),""),"")</f>
        <v/>
      </c>
    </row>
    <row r="86" ht="13.95" customHeight="1" s="176">
      <c r="A86" s="134">
        <f>IF(RESUMEN_8°!S41="✓ APROBADO",37,"")</f>
        <v/>
      </c>
      <c r="B86" s="135">
        <f>IF(RESUMEN_8°!S41="✓ APROBADO",RESUMEN_8°!B41,"")</f>
        <v/>
      </c>
      <c r="C86" s="134">
        <f>IF(RESUMEN_8°!S41="✓ APROBADO",RESUMEN_8°!F41,"")</f>
        <v/>
      </c>
      <c r="D86" s="134">
        <f>IF(RESUMEN_8°!S41="✓ APROBADO",RESUMEN_8°!R41,"")</f>
        <v/>
      </c>
      <c r="E86" s="134">
        <f>IF(RESUMEN_8°!S41="✓ APROBADO",IFERROR(ROUND(AVERAGE(RESUMEN_8°!F41,RESUMEN_8°!R41),1),""),"")</f>
        <v/>
      </c>
    </row>
    <row r="87" ht="13.95" customHeight="1" s="176">
      <c r="A87" s="111">
        <f>IF(RESUMEN_8°!S42="✓ APROBADO",38,"")</f>
        <v/>
      </c>
      <c r="B87" s="103">
        <f>IF(RESUMEN_8°!S42="✓ APROBADO",RESUMEN_8°!B42,"")</f>
        <v/>
      </c>
      <c r="C87" s="111">
        <f>IF(RESUMEN_8°!S42="✓ APROBADO",RESUMEN_8°!F42,"")</f>
        <v/>
      </c>
      <c r="D87" s="111">
        <f>IF(RESUMEN_8°!S42="✓ APROBADO",RESUMEN_8°!R42,"")</f>
        <v/>
      </c>
      <c r="E87" s="111">
        <f>IF(RESUMEN_8°!S42="✓ APROBADO",IFERROR(ROUND(AVERAGE(RESUMEN_8°!F42,RESUMEN_8°!R42),1),""),"")</f>
        <v/>
      </c>
    </row>
    <row r="88" ht="13.95" customHeight="1" s="176">
      <c r="A88" s="134">
        <f>IF(RESUMEN_8°!S43="✓ APROBADO",39,"")</f>
        <v/>
      </c>
      <c r="B88" s="135">
        <f>IF(RESUMEN_8°!S43="✓ APROBADO",RESUMEN_8°!B43,"")</f>
        <v/>
      </c>
      <c r="C88" s="134">
        <f>IF(RESUMEN_8°!S43="✓ APROBADO",RESUMEN_8°!F43,"")</f>
        <v/>
      </c>
      <c r="D88" s="134">
        <f>IF(RESUMEN_8°!S43="✓ APROBADO",RESUMEN_8°!R43,"")</f>
        <v/>
      </c>
      <c r="E88" s="134">
        <f>IF(RESUMEN_8°!S43="✓ APROBADO",IFERROR(ROUND(AVERAGE(RESUMEN_8°!F43,RESUMEN_8°!R43),1),""),"")</f>
        <v/>
      </c>
    </row>
    <row r="89" ht="13.95" customHeight="1" s="176">
      <c r="A89" s="111">
        <f>IF(RESUMEN_8°!S44="✓ APROBADO",40,"")</f>
        <v/>
      </c>
      <c r="B89" s="103">
        <f>IF(RESUMEN_8°!S44="✓ APROBADO",RESUMEN_8°!B44,"")</f>
        <v/>
      </c>
      <c r="C89" s="111">
        <f>IF(RESUMEN_8°!S44="✓ APROBADO",RESUMEN_8°!F44,"")</f>
        <v/>
      </c>
      <c r="D89" s="111">
        <f>IF(RESUMEN_8°!S44="✓ APROBADO",RESUMEN_8°!R44,"")</f>
        <v/>
      </c>
      <c r="E89" s="111">
        <f>IF(RESUMEN_8°!S44="✓ APROBADO",IFERROR(ROUND(AVERAGE(RESUMEN_8°!F44,RESUMEN_8°!R44),1),""),"")</f>
        <v/>
      </c>
    </row>
    <row r="90" ht="18" customHeight="1" s="176">
      <c r="A90" s="271" t="inlineStr">
        <is>
          <t>Total aprobados 8°:</t>
        </is>
      </c>
      <c r="B90" s="242" t="n"/>
      <c r="C90" s="136">
        <f>COUNTIF(RESUMEN_8°!S5:'RESUMEN_8°'!S44,"✓ APROBADO")</f>
        <v/>
      </c>
      <c r="D90" s="115" t="n"/>
      <c r="E90" s="115" t="n"/>
    </row>
    <row r="92" ht="19.95" customHeight="1" s="176">
      <c r="A92" s="269" t="inlineStr">
        <is>
          <t>ESTUDIANTES APROBADOS — 9° GRADO</t>
        </is>
      </c>
      <c r="B92" s="250" t="n"/>
      <c r="C92" s="250" t="n"/>
      <c r="D92" s="250" t="n"/>
      <c r="E92" s="250" t="n"/>
      <c r="F92" s="250" t="n"/>
      <c r="G92" s="250" t="n"/>
      <c r="H92" s="250" t="n"/>
      <c r="I92" s="250" t="n"/>
      <c r="J92" s="250" t="n"/>
      <c r="K92" s="250" t="n"/>
      <c r="L92" s="242" t="n"/>
    </row>
    <row r="93" ht="18" customHeight="1" s="176">
      <c r="A93" s="132" t="inlineStr">
        <is>
          <t>No.</t>
        </is>
      </c>
      <c r="B93" s="132" t="inlineStr">
        <is>
          <t>APELLIDO, NOMBRE</t>
        </is>
      </c>
      <c r="C93" s="132" t="inlineStr">
        <is>
          <t>INGLÉS FINAL</t>
        </is>
      </c>
      <c r="D93" s="132" t="inlineStr">
        <is>
          <t>TECNOLOGÍA FINAL</t>
        </is>
      </c>
      <c r="E93" s="132" t="inlineStr">
        <is>
          <t>NOTA PROMEDIO</t>
        </is>
      </c>
    </row>
    <row r="94" ht="13.95" customHeight="1" s="176">
      <c r="A94" s="134">
        <f>IF(RESUMEN_9°!W5="✓ APROBADO",1,"")</f>
        <v/>
      </c>
      <c r="B94" s="135">
        <f>IF(RESUMEN_9°!W5="✓ APROBADO",RESUMEN_9°!B5,"")</f>
        <v/>
      </c>
      <c r="C94" s="134">
        <f>IF(RESUMEN_9°!W5="✓ APROBADO",RESUMEN_9°!F5,"")</f>
        <v/>
      </c>
      <c r="D94" s="134">
        <f>IF(RESUMEN_9°!W5="✓ APROBADO",RESUMEN_9°!V5,"")</f>
        <v/>
      </c>
      <c r="E94" s="134">
        <f>IF(RESUMEN_9°!W5="✓ APROBADO",IFERROR(ROUND(AVERAGE(RESUMEN_9°!F5,RESUMEN_9°!V5),1),""),"")</f>
        <v/>
      </c>
    </row>
    <row r="95" ht="13.95" customHeight="1" s="176">
      <c r="A95" s="111">
        <f>IF(RESUMEN_9°!W6="✓ APROBADO",2,"")</f>
        <v/>
      </c>
      <c r="B95" s="103">
        <f>IF(RESUMEN_9°!W6="✓ APROBADO",RESUMEN_9°!B6,"")</f>
        <v/>
      </c>
      <c r="C95" s="111">
        <f>IF(RESUMEN_9°!W6="✓ APROBADO",RESUMEN_9°!F6,"")</f>
        <v/>
      </c>
      <c r="D95" s="111">
        <f>IF(RESUMEN_9°!W6="✓ APROBADO",RESUMEN_9°!V6,"")</f>
        <v/>
      </c>
      <c r="E95" s="111">
        <f>IF(RESUMEN_9°!W6="✓ APROBADO",IFERROR(ROUND(AVERAGE(RESUMEN_9°!F6,RESUMEN_9°!V6),1),""),"")</f>
        <v/>
      </c>
    </row>
    <row r="96" ht="13.95" customHeight="1" s="176">
      <c r="A96" s="134">
        <f>IF(RESUMEN_9°!W7="✓ APROBADO",3,"")</f>
        <v/>
      </c>
      <c r="B96" s="135">
        <f>IF(RESUMEN_9°!W7="✓ APROBADO",RESUMEN_9°!B7,"")</f>
        <v/>
      </c>
      <c r="C96" s="134">
        <f>IF(RESUMEN_9°!W7="✓ APROBADO",RESUMEN_9°!F7,"")</f>
        <v/>
      </c>
      <c r="D96" s="134">
        <f>IF(RESUMEN_9°!W7="✓ APROBADO",RESUMEN_9°!V7,"")</f>
        <v/>
      </c>
      <c r="E96" s="134">
        <f>IF(RESUMEN_9°!W7="✓ APROBADO",IFERROR(ROUND(AVERAGE(RESUMEN_9°!F7,RESUMEN_9°!V7),1),""),"")</f>
        <v/>
      </c>
    </row>
    <row r="97" ht="13.95" customHeight="1" s="176">
      <c r="A97" s="111">
        <f>IF(RESUMEN_9°!W8="✓ APROBADO",4,"")</f>
        <v/>
      </c>
      <c r="B97" s="103">
        <f>IF(RESUMEN_9°!W8="✓ APROBADO",RESUMEN_9°!B8,"")</f>
        <v/>
      </c>
      <c r="C97" s="111">
        <f>IF(RESUMEN_9°!W8="✓ APROBADO",RESUMEN_9°!F8,"")</f>
        <v/>
      </c>
      <c r="D97" s="111">
        <f>IF(RESUMEN_9°!W8="✓ APROBADO",RESUMEN_9°!V8,"")</f>
        <v/>
      </c>
      <c r="E97" s="111">
        <f>IF(RESUMEN_9°!W8="✓ APROBADO",IFERROR(ROUND(AVERAGE(RESUMEN_9°!F8,RESUMEN_9°!V8),1),""),"")</f>
        <v/>
      </c>
    </row>
    <row r="98" ht="13.95" customHeight="1" s="176">
      <c r="A98" s="134">
        <f>IF(RESUMEN_9°!W9="✓ APROBADO",5,"")</f>
        <v/>
      </c>
      <c r="B98" s="135">
        <f>IF(RESUMEN_9°!W9="✓ APROBADO",RESUMEN_9°!B9,"")</f>
        <v/>
      </c>
      <c r="C98" s="134">
        <f>IF(RESUMEN_9°!W9="✓ APROBADO",RESUMEN_9°!F9,"")</f>
        <v/>
      </c>
      <c r="D98" s="134">
        <f>IF(RESUMEN_9°!W9="✓ APROBADO",RESUMEN_9°!V9,"")</f>
        <v/>
      </c>
      <c r="E98" s="134">
        <f>IF(RESUMEN_9°!W9="✓ APROBADO",IFERROR(ROUND(AVERAGE(RESUMEN_9°!F9,RESUMEN_9°!V9),1),""),"")</f>
        <v/>
      </c>
    </row>
    <row r="99" ht="13.95" customHeight="1" s="176">
      <c r="A99" s="111">
        <f>IF(RESUMEN_9°!W10="✓ APROBADO",6,"")</f>
        <v/>
      </c>
      <c r="B99" s="103">
        <f>IF(RESUMEN_9°!W10="✓ APROBADO",RESUMEN_9°!B10,"")</f>
        <v/>
      </c>
      <c r="C99" s="111">
        <f>IF(RESUMEN_9°!W10="✓ APROBADO",RESUMEN_9°!F10,"")</f>
        <v/>
      </c>
      <c r="D99" s="111">
        <f>IF(RESUMEN_9°!W10="✓ APROBADO",RESUMEN_9°!V10,"")</f>
        <v/>
      </c>
      <c r="E99" s="111">
        <f>IF(RESUMEN_9°!W10="✓ APROBADO",IFERROR(ROUND(AVERAGE(RESUMEN_9°!F10,RESUMEN_9°!V10),1),""),"")</f>
        <v/>
      </c>
    </row>
    <row r="100" ht="13.95" customHeight="1" s="176">
      <c r="A100" s="134">
        <f>IF(RESUMEN_9°!W11="✓ APROBADO",7,"")</f>
        <v/>
      </c>
      <c r="B100" s="135">
        <f>IF(RESUMEN_9°!W11="✓ APROBADO",RESUMEN_9°!B11,"")</f>
        <v/>
      </c>
      <c r="C100" s="134">
        <f>IF(RESUMEN_9°!W11="✓ APROBADO",RESUMEN_9°!F11,"")</f>
        <v/>
      </c>
      <c r="D100" s="134">
        <f>IF(RESUMEN_9°!W11="✓ APROBADO",RESUMEN_9°!V11,"")</f>
        <v/>
      </c>
      <c r="E100" s="134">
        <f>IF(RESUMEN_9°!W11="✓ APROBADO",IFERROR(ROUND(AVERAGE(RESUMEN_9°!F11,RESUMEN_9°!V11),1),""),"")</f>
        <v/>
      </c>
    </row>
    <row r="101" ht="13.95" customHeight="1" s="176">
      <c r="A101" s="111">
        <f>IF(RESUMEN_9°!W12="✓ APROBADO",8,"")</f>
        <v/>
      </c>
      <c r="B101" s="103">
        <f>IF(RESUMEN_9°!W12="✓ APROBADO",RESUMEN_9°!B12,"")</f>
        <v/>
      </c>
      <c r="C101" s="111">
        <f>IF(RESUMEN_9°!W12="✓ APROBADO",RESUMEN_9°!F12,"")</f>
        <v/>
      </c>
      <c r="D101" s="111">
        <f>IF(RESUMEN_9°!W12="✓ APROBADO",RESUMEN_9°!V12,"")</f>
        <v/>
      </c>
      <c r="E101" s="111">
        <f>IF(RESUMEN_9°!W12="✓ APROBADO",IFERROR(ROUND(AVERAGE(RESUMEN_9°!F12,RESUMEN_9°!V12),1),""),"")</f>
        <v/>
      </c>
    </row>
    <row r="102" ht="13.95" customHeight="1" s="176">
      <c r="A102" s="134">
        <f>IF(RESUMEN_9°!W13="✓ APROBADO",9,"")</f>
        <v/>
      </c>
      <c r="B102" s="135">
        <f>IF(RESUMEN_9°!W13="✓ APROBADO",RESUMEN_9°!B13,"")</f>
        <v/>
      </c>
      <c r="C102" s="134">
        <f>IF(RESUMEN_9°!W13="✓ APROBADO",RESUMEN_9°!F13,"")</f>
        <v/>
      </c>
      <c r="D102" s="134">
        <f>IF(RESUMEN_9°!W13="✓ APROBADO",RESUMEN_9°!V13,"")</f>
        <v/>
      </c>
      <c r="E102" s="134">
        <f>IF(RESUMEN_9°!W13="✓ APROBADO",IFERROR(ROUND(AVERAGE(RESUMEN_9°!F13,RESUMEN_9°!V13),1),""),"")</f>
        <v/>
      </c>
    </row>
    <row r="103" ht="13.95" customHeight="1" s="176">
      <c r="A103" s="111">
        <f>IF(RESUMEN_9°!W14="✓ APROBADO",10,"")</f>
        <v/>
      </c>
      <c r="B103" s="103">
        <f>IF(RESUMEN_9°!W14="✓ APROBADO",RESUMEN_9°!B14,"")</f>
        <v/>
      </c>
      <c r="C103" s="111">
        <f>IF(RESUMEN_9°!W14="✓ APROBADO",RESUMEN_9°!F14,"")</f>
        <v/>
      </c>
      <c r="D103" s="111">
        <f>IF(RESUMEN_9°!W14="✓ APROBADO",RESUMEN_9°!V14,"")</f>
        <v/>
      </c>
      <c r="E103" s="111">
        <f>IF(RESUMEN_9°!W14="✓ APROBADO",IFERROR(ROUND(AVERAGE(RESUMEN_9°!F14,RESUMEN_9°!V14),1),""),"")</f>
        <v/>
      </c>
    </row>
    <row r="104" ht="13.95" customHeight="1" s="176">
      <c r="A104" s="134">
        <f>IF(RESUMEN_9°!W15="✓ APROBADO",11,"")</f>
        <v/>
      </c>
      <c r="B104" s="135">
        <f>IF(RESUMEN_9°!W15="✓ APROBADO",RESUMEN_9°!B15,"")</f>
        <v/>
      </c>
      <c r="C104" s="134">
        <f>IF(RESUMEN_9°!W15="✓ APROBADO",RESUMEN_9°!F15,"")</f>
        <v/>
      </c>
      <c r="D104" s="134">
        <f>IF(RESUMEN_9°!W15="✓ APROBADO",RESUMEN_9°!V15,"")</f>
        <v/>
      </c>
      <c r="E104" s="134">
        <f>IF(RESUMEN_9°!W15="✓ APROBADO",IFERROR(ROUND(AVERAGE(RESUMEN_9°!F15,RESUMEN_9°!V15),1),""),"")</f>
        <v/>
      </c>
    </row>
    <row r="105" ht="13.95" customHeight="1" s="176">
      <c r="A105" s="111">
        <f>IF(RESUMEN_9°!W16="✓ APROBADO",12,"")</f>
        <v/>
      </c>
      <c r="B105" s="103">
        <f>IF(RESUMEN_9°!W16="✓ APROBADO",RESUMEN_9°!B16,"")</f>
        <v/>
      </c>
      <c r="C105" s="111">
        <f>IF(RESUMEN_9°!W16="✓ APROBADO",RESUMEN_9°!F16,"")</f>
        <v/>
      </c>
      <c r="D105" s="111">
        <f>IF(RESUMEN_9°!W16="✓ APROBADO",RESUMEN_9°!V16,"")</f>
        <v/>
      </c>
      <c r="E105" s="111">
        <f>IF(RESUMEN_9°!W16="✓ APROBADO",IFERROR(ROUND(AVERAGE(RESUMEN_9°!F16,RESUMEN_9°!V16),1),""),"")</f>
        <v/>
      </c>
    </row>
    <row r="106" ht="13.95" customHeight="1" s="176">
      <c r="A106" s="134">
        <f>IF(RESUMEN_9°!W17="✓ APROBADO",13,"")</f>
        <v/>
      </c>
      <c r="B106" s="135">
        <f>IF(RESUMEN_9°!W17="✓ APROBADO",RESUMEN_9°!B17,"")</f>
        <v/>
      </c>
      <c r="C106" s="134">
        <f>IF(RESUMEN_9°!W17="✓ APROBADO",RESUMEN_9°!F17,"")</f>
        <v/>
      </c>
      <c r="D106" s="134">
        <f>IF(RESUMEN_9°!W17="✓ APROBADO",RESUMEN_9°!V17,"")</f>
        <v/>
      </c>
      <c r="E106" s="134">
        <f>IF(RESUMEN_9°!W17="✓ APROBADO",IFERROR(ROUND(AVERAGE(RESUMEN_9°!F17,RESUMEN_9°!V17),1),""),"")</f>
        <v/>
      </c>
    </row>
    <row r="107" ht="13.95" customHeight="1" s="176">
      <c r="A107" s="111">
        <f>IF(RESUMEN_9°!W18="✓ APROBADO",14,"")</f>
        <v/>
      </c>
      <c r="B107" s="103">
        <f>IF(RESUMEN_9°!W18="✓ APROBADO",RESUMEN_9°!B18,"")</f>
        <v/>
      </c>
      <c r="C107" s="111">
        <f>IF(RESUMEN_9°!W18="✓ APROBADO",RESUMEN_9°!F18,"")</f>
        <v/>
      </c>
      <c r="D107" s="111">
        <f>IF(RESUMEN_9°!W18="✓ APROBADO",RESUMEN_9°!V18,"")</f>
        <v/>
      </c>
      <c r="E107" s="111">
        <f>IF(RESUMEN_9°!W18="✓ APROBADO",IFERROR(ROUND(AVERAGE(RESUMEN_9°!F18,RESUMEN_9°!V18),1),""),"")</f>
        <v/>
      </c>
    </row>
    <row r="108" ht="13.95" customHeight="1" s="176">
      <c r="A108" s="134">
        <f>IF(RESUMEN_9°!W19="✓ APROBADO",15,"")</f>
        <v/>
      </c>
      <c r="B108" s="135">
        <f>IF(RESUMEN_9°!W19="✓ APROBADO",RESUMEN_9°!B19,"")</f>
        <v/>
      </c>
      <c r="C108" s="134">
        <f>IF(RESUMEN_9°!W19="✓ APROBADO",RESUMEN_9°!F19,"")</f>
        <v/>
      </c>
      <c r="D108" s="134">
        <f>IF(RESUMEN_9°!W19="✓ APROBADO",RESUMEN_9°!V19,"")</f>
        <v/>
      </c>
      <c r="E108" s="134">
        <f>IF(RESUMEN_9°!W19="✓ APROBADO",IFERROR(ROUND(AVERAGE(RESUMEN_9°!F19,RESUMEN_9°!V19),1),""),"")</f>
        <v/>
      </c>
    </row>
    <row r="109" ht="13.95" customHeight="1" s="176">
      <c r="A109" s="111">
        <f>IF(RESUMEN_9°!W20="✓ APROBADO",16,"")</f>
        <v/>
      </c>
      <c r="B109" s="103">
        <f>IF(RESUMEN_9°!W20="✓ APROBADO",RESUMEN_9°!B20,"")</f>
        <v/>
      </c>
      <c r="C109" s="111">
        <f>IF(RESUMEN_9°!W20="✓ APROBADO",RESUMEN_9°!F20,"")</f>
        <v/>
      </c>
      <c r="D109" s="111">
        <f>IF(RESUMEN_9°!W20="✓ APROBADO",RESUMEN_9°!V20,"")</f>
        <v/>
      </c>
      <c r="E109" s="111">
        <f>IF(RESUMEN_9°!W20="✓ APROBADO",IFERROR(ROUND(AVERAGE(RESUMEN_9°!F20,RESUMEN_9°!V20),1),""),"")</f>
        <v/>
      </c>
    </row>
    <row r="110" ht="13.95" customHeight="1" s="176">
      <c r="A110" s="134">
        <f>IF(RESUMEN_9°!W21="✓ APROBADO",17,"")</f>
        <v/>
      </c>
      <c r="B110" s="135">
        <f>IF(RESUMEN_9°!W21="✓ APROBADO",RESUMEN_9°!B21,"")</f>
        <v/>
      </c>
      <c r="C110" s="134">
        <f>IF(RESUMEN_9°!W21="✓ APROBADO",RESUMEN_9°!F21,"")</f>
        <v/>
      </c>
      <c r="D110" s="134">
        <f>IF(RESUMEN_9°!W21="✓ APROBADO",RESUMEN_9°!V21,"")</f>
        <v/>
      </c>
      <c r="E110" s="134">
        <f>IF(RESUMEN_9°!W21="✓ APROBADO",IFERROR(ROUND(AVERAGE(RESUMEN_9°!F21,RESUMEN_9°!V21),1),""),"")</f>
        <v/>
      </c>
    </row>
    <row r="111" ht="13.95" customHeight="1" s="176">
      <c r="A111" s="111">
        <f>IF(RESUMEN_9°!W22="✓ APROBADO",18,"")</f>
        <v/>
      </c>
      <c r="B111" s="103">
        <f>IF(RESUMEN_9°!W22="✓ APROBADO",RESUMEN_9°!B22,"")</f>
        <v/>
      </c>
      <c r="C111" s="111">
        <f>IF(RESUMEN_9°!W22="✓ APROBADO",RESUMEN_9°!F22,"")</f>
        <v/>
      </c>
      <c r="D111" s="111">
        <f>IF(RESUMEN_9°!W22="✓ APROBADO",RESUMEN_9°!V22,"")</f>
        <v/>
      </c>
      <c r="E111" s="111">
        <f>IF(RESUMEN_9°!W22="✓ APROBADO",IFERROR(ROUND(AVERAGE(RESUMEN_9°!F22,RESUMEN_9°!V22),1),""),"")</f>
        <v/>
      </c>
    </row>
    <row r="112" ht="13.95" customHeight="1" s="176">
      <c r="A112" s="134">
        <f>IF(RESUMEN_9°!W23="✓ APROBADO",19,"")</f>
        <v/>
      </c>
      <c r="B112" s="135">
        <f>IF(RESUMEN_9°!W23="✓ APROBADO",RESUMEN_9°!B23,"")</f>
        <v/>
      </c>
      <c r="C112" s="134">
        <f>IF(RESUMEN_9°!W23="✓ APROBADO",RESUMEN_9°!F23,"")</f>
        <v/>
      </c>
      <c r="D112" s="134">
        <f>IF(RESUMEN_9°!W23="✓ APROBADO",RESUMEN_9°!V23,"")</f>
        <v/>
      </c>
      <c r="E112" s="134">
        <f>IF(RESUMEN_9°!W23="✓ APROBADO",IFERROR(ROUND(AVERAGE(RESUMEN_9°!F23,RESUMEN_9°!V23),1),""),"")</f>
        <v/>
      </c>
    </row>
    <row r="113" ht="13.95" customHeight="1" s="176">
      <c r="A113" s="111">
        <f>IF(RESUMEN_9°!W24="✓ APROBADO",20,"")</f>
        <v/>
      </c>
      <c r="B113" s="103">
        <f>IF(RESUMEN_9°!W24="✓ APROBADO",RESUMEN_9°!B24,"")</f>
        <v/>
      </c>
      <c r="C113" s="111">
        <f>IF(RESUMEN_9°!W24="✓ APROBADO",RESUMEN_9°!F24,"")</f>
        <v/>
      </c>
      <c r="D113" s="111">
        <f>IF(RESUMEN_9°!W24="✓ APROBADO",RESUMEN_9°!V24,"")</f>
        <v/>
      </c>
      <c r="E113" s="111">
        <f>IF(RESUMEN_9°!W24="✓ APROBADO",IFERROR(ROUND(AVERAGE(RESUMEN_9°!F24,RESUMEN_9°!V24),1),""),"")</f>
        <v/>
      </c>
    </row>
    <row r="114" ht="13.95" customHeight="1" s="176">
      <c r="A114" s="134">
        <f>IF(RESUMEN_9°!W25="✓ APROBADO",21,"")</f>
        <v/>
      </c>
      <c r="B114" s="135">
        <f>IF(RESUMEN_9°!W25="✓ APROBADO",RESUMEN_9°!B25,"")</f>
        <v/>
      </c>
      <c r="C114" s="134">
        <f>IF(RESUMEN_9°!W25="✓ APROBADO",RESUMEN_9°!F25,"")</f>
        <v/>
      </c>
      <c r="D114" s="134">
        <f>IF(RESUMEN_9°!W25="✓ APROBADO",RESUMEN_9°!V25,"")</f>
        <v/>
      </c>
      <c r="E114" s="134">
        <f>IF(RESUMEN_9°!W25="✓ APROBADO",IFERROR(ROUND(AVERAGE(RESUMEN_9°!F25,RESUMEN_9°!V25),1),""),"")</f>
        <v/>
      </c>
    </row>
    <row r="115" ht="13.95" customHeight="1" s="176">
      <c r="A115" s="111">
        <f>IF(RESUMEN_9°!W26="✓ APROBADO",22,"")</f>
        <v/>
      </c>
      <c r="B115" s="103">
        <f>IF(RESUMEN_9°!W26="✓ APROBADO",RESUMEN_9°!B26,"")</f>
        <v/>
      </c>
      <c r="C115" s="111">
        <f>IF(RESUMEN_9°!W26="✓ APROBADO",RESUMEN_9°!F26,"")</f>
        <v/>
      </c>
      <c r="D115" s="111">
        <f>IF(RESUMEN_9°!W26="✓ APROBADO",RESUMEN_9°!V26,"")</f>
        <v/>
      </c>
      <c r="E115" s="111">
        <f>IF(RESUMEN_9°!W26="✓ APROBADO",IFERROR(ROUND(AVERAGE(RESUMEN_9°!F26,RESUMEN_9°!V26),1),""),"")</f>
        <v/>
      </c>
    </row>
    <row r="116" ht="13.95" customHeight="1" s="176">
      <c r="A116" s="134">
        <f>IF(RESUMEN_9°!W27="✓ APROBADO",23,"")</f>
        <v/>
      </c>
      <c r="B116" s="135">
        <f>IF(RESUMEN_9°!W27="✓ APROBADO",RESUMEN_9°!B27,"")</f>
        <v/>
      </c>
      <c r="C116" s="134">
        <f>IF(RESUMEN_9°!W27="✓ APROBADO",RESUMEN_9°!F27,"")</f>
        <v/>
      </c>
      <c r="D116" s="134">
        <f>IF(RESUMEN_9°!W27="✓ APROBADO",RESUMEN_9°!V27,"")</f>
        <v/>
      </c>
      <c r="E116" s="134">
        <f>IF(RESUMEN_9°!W27="✓ APROBADO",IFERROR(ROUND(AVERAGE(RESUMEN_9°!F27,RESUMEN_9°!V27),1),""),"")</f>
        <v/>
      </c>
    </row>
    <row r="117" ht="13.95" customHeight="1" s="176">
      <c r="A117" s="111">
        <f>IF(RESUMEN_9°!W28="✓ APROBADO",24,"")</f>
        <v/>
      </c>
      <c r="B117" s="103">
        <f>IF(RESUMEN_9°!W28="✓ APROBADO",RESUMEN_9°!B28,"")</f>
        <v/>
      </c>
      <c r="C117" s="111">
        <f>IF(RESUMEN_9°!W28="✓ APROBADO",RESUMEN_9°!F28,"")</f>
        <v/>
      </c>
      <c r="D117" s="111">
        <f>IF(RESUMEN_9°!W28="✓ APROBADO",RESUMEN_9°!V28,"")</f>
        <v/>
      </c>
      <c r="E117" s="111">
        <f>IF(RESUMEN_9°!W28="✓ APROBADO",IFERROR(ROUND(AVERAGE(RESUMEN_9°!F28,RESUMEN_9°!V28),1),""),"")</f>
        <v/>
      </c>
    </row>
    <row r="118" ht="13.95" customHeight="1" s="176">
      <c r="A118" s="134">
        <f>IF(RESUMEN_9°!W29="✓ APROBADO",25,"")</f>
        <v/>
      </c>
      <c r="B118" s="135">
        <f>IF(RESUMEN_9°!W29="✓ APROBADO",RESUMEN_9°!B29,"")</f>
        <v/>
      </c>
      <c r="C118" s="134">
        <f>IF(RESUMEN_9°!W29="✓ APROBADO",RESUMEN_9°!F29,"")</f>
        <v/>
      </c>
      <c r="D118" s="134">
        <f>IF(RESUMEN_9°!W29="✓ APROBADO",RESUMEN_9°!V29,"")</f>
        <v/>
      </c>
      <c r="E118" s="134">
        <f>IF(RESUMEN_9°!W29="✓ APROBADO",IFERROR(ROUND(AVERAGE(RESUMEN_9°!F29,RESUMEN_9°!V29),1),""),"")</f>
        <v/>
      </c>
    </row>
    <row r="119" ht="13.95" customHeight="1" s="176">
      <c r="A119" s="111">
        <f>IF(RESUMEN_9°!W30="✓ APROBADO",26,"")</f>
        <v/>
      </c>
      <c r="B119" s="103">
        <f>IF(RESUMEN_9°!W30="✓ APROBADO",RESUMEN_9°!B30,"")</f>
        <v/>
      </c>
      <c r="C119" s="111">
        <f>IF(RESUMEN_9°!W30="✓ APROBADO",RESUMEN_9°!F30,"")</f>
        <v/>
      </c>
      <c r="D119" s="111">
        <f>IF(RESUMEN_9°!W30="✓ APROBADO",RESUMEN_9°!V30,"")</f>
        <v/>
      </c>
      <c r="E119" s="111">
        <f>IF(RESUMEN_9°!W30="✓ APROBADO",IFERROR(ROUND(AVERAGE(RESUMEN_9°!F30,RESUMEN_9°!V30),1),""),"")</f>
        <v/>
      </c>
    </row>
    <row r="120" ht="13.95" customHeight="1" s="176">
      <c r="A120" s="134">
        <f>IF(RESUMEN_9°!W31="✓ APROBADO",27,"")</f>
        <v/>
      </c>
      <c r="B120" s="135">
        <f>IF(RESUMEN_9°!W31="✓ APROBADO",RESUMEN_9°!B31,"")</f>
        <v/>
      </c>
      <c r="C120" s="134">
        <f>IF(RESUMEN_9°!W31="✓ APROBADO",RESUMEN_9°!F31,"")</f>
        <v/>
      </c>
      <c r="D120" s="134">
        <f>IF(RESUMEN_9°!W31="✓ APROBADO",RESUMEN_9°!V31,"")</f>
        <v/>
      </c>
      <c r="E120" s="134">
        <f>IF(RESUMEN_9°!W31="✓ APROBADO",IFERROR(ROUND(AVERAGE(RESUMEN_9°!F31,RESUMEN_9°!V31),1),""),"")</f>
        <v/>
      </c>
    </row>
    <row r="121" ht="13.95" customHeight="1" s="176">
      <c r="A121" s="111">
        <f>IF(RESUMEN_9°!W32="✓ APROBADO",28,"")</f>
        <v/>
      </c>
      <c r="B121" s="103">
        <f>IF(RESUMEN_9°!W32="✓ APROBADO",RESUMEN_9°!B32,"")</f>
        <v/>
      </c>
      <c r="C121" s="111">
        <f>IF(RESUMEN_9°!W32="✓ APROBADO",RESUMEN_9°!F32,"")</f>
        <v/>
      </c>
      <c r="D121" s="111">
        <f>IF(RESUMEN_9°!W32="✓ APROBADO",RESUMEN_9°!V32,"")</f>
        <v/>
      </c>
      <c r="E121" s="111">
        <f>IF(RESUMEN_9°!W32="✓ APROBADO",IFERROR(ROUND(AVERAGE(RESUMEN_9°!F32,RESUMEN_9°!V32),1),""),"")</f>
        <v/>
      </c>
    </row>
    <row r="122" ht="13.95" customHeight="1" s="176">
      <c r="A122" s="134">
        <f>IF(RESUMEN_9°!W33="✓ APROBADO",29,"")</f>
        <v/>
      </c>
      <c r="B122" s="135">
        <f>IF(RESUMEN_9°!W33="✓ APROBADO",RESUMEN_9°!B33,"")</f>
        <v/>
      </c>
      <c r="C122" s="134">
        <f>IF(RESUMEN_9°!W33="✓ APROBADO",RESUMEN_9°!F33,"")</f>
        <v/>
      </c>
      <c r="D122" s="134">
        <f>IF(RESUMEN_9°!W33="✓ APROBADO",RESUMEN_9°!V33,"")</f>
        <v/>
      </c>
      <c r="E122" s="134">
        <f>IF(RESUMEN_9°!W33="✓ APROBADO",IFERROR(ROUND(AVERAGE(RESUMEN_9°!F33,RESUMEN_9°!V33),1),""),"")</f>
        <v/>
      </c>
    </row>
    <row r="123" ht="13.95" customHeight="1" s="176">
      <c r="A123" s="111">
        <f>IF(RESUMEN_9°!W34="✓ APROBADO",30,"")</f>
        <v/>
      </c>
      <c r="B123" s="103">
        <f>IF(RESUMEN_9°!W34="✓ APROBADO",RESUMEN_9°!B34,"")</f>
        <v/>
      </c>
      <c r="C123" s="111">
        <f>IF(RESUMEN_9°!W34="✓ APROBADO",RESUMEN_9°!F34,"")</f>
        <v/>
      </c>
      <c r="D123" s="111">
        <f>IF(RESUMEN_9°!W34="✓ APROBADO",RESUMEN_9°!V34,"")</f>
        <v/>
      </c>
      <c r="E123" s="111">
        <f>IF(RESUMEN_9°!W34="✓ APROBADO",IFERROR(ROUND(AVERAGE(RESUMEN_9°!F34,RESUMEN_9°!V34),1),""),"")</f>
        <v/>
      </c>
    </row>
    <row r="124" ht="13.95" customHeight="1" s="176">
      <c r="A124" s="134">
        <f>IF(RESUMEN_9°!W35="✓ APROBADO",31,"")</f>
        <v/>
      </c>
      <c r="B124" s="135">
        <f>IF(RESUMEN_9°!W35="✓ APROBADO",RESUMEN_9°!B35,"")</f>
        <v/>
      </c>
      <c r="C124" s="134">
        <f>IF(RESUMEN_9°!W35="✓ APROBADO",RESUMEN_9°!F35,"")</f>
        <v/>
      </c>
      <c r="D124" s="134">
        <f>IF(RESUMEN_9°!W35="✓ APROBADO",RESUMEN_9°!V35,"")</f>
        <v/>
      </c>
      <c r="E124" s="134">
        <f>IF(RESUMEN_9°!W35="✓ APROBADO",IFERROR(ROUND(AVERAGE(RESUMEN_9°!F35,RESUMEN_9°!V35),1),""),"")</f>
        <v/>
      </c>
    </row>
    <row r="125" ht="13.95" customHeight="1" s="176">
      <c r="A125" s="111">
        <f>IF(RESUMEN_9°!W36="✓ APROBADO",32,"")</f>
        <v/>
      </c>
      <c r="B125" s="103">
        <f>IF(RESUMEN_9°!W36="✓ APROBADO",RESUMEN_9°!B36,"")</f>
        <v/>
      </c>
      <c r="C125" s="111">
        <f>IF(RESUMEN_9°!W36="✓ APROBADO",RESUMEN_9°!F36,"")</f>
        <v/>
      </c>
      <c r="D125" s="111">
        <f>IF(RESUMEN_9°!W36="✓ APROBADO",RESUMEN_9°!V36,"")</f>
        <v/>
      </c>
      <c r="E125" s="111">
        <f>IF(RESUMEN_9°!W36="✓ APROBADO",IFERROR(ROUND(AVERAGE(RESUMEN_9°!F36,RESUMEN_9°!V36),1),""),"")</f>
        <v/>
      </c>
    </row>
    <row r="126" ht="13.95" customHeight="1" s="176">
      <c r="A126" s="134">
        <f>IF(RESUMEN_9°!W37="✓ APROBADO",33,"")</f>
        <v/>
      </c>
      <c r="B126" s="135">
        <f>IF(RESUMEN_9°!W37="✓ APROBADO",RESUMEN_9°!B37,"")</f>
        <v/>
      </c>
      <c r="C126" s="134">
        <f>IF(RESUMEN_9°!W37="✓ APROBADO",RESUMEN_9°!F37,"")</f>
        <v/>
      </c>
      <c r="D126" s="134">
        <f>IF(RESUMEN_9°!W37="✓ APROBADO",RESUMEN_9°!V37,"")</f>
        <v/>
      </c>
      <c r="E126" s="134">
        <f>IF(RESUMEN_9°!W37="✓ APROBADO",IFERROR(ROUND(AVERAGE(RESUMEN_9°!F37,RESUMEN_9°!V37),1),""),"")</f>
        <v/>
      </c>
    </row>
    <row r="127" ht="13.95" customHeight="1" s="176">
      <c r="A127" s="111">
        <f>IF(RESUMEN_9°!W38="✓ APROBADO",34,"")</f>
        <v/>
      </c>
      <c r="B127" s="103">
        <f>IF(RESUMEN_9°!W38="✓ APROBADO",RESUMEN_9°!B38,"")</f>
        <v/>
      </c>
      <c r="C127" s="111">
        <f>IF(RESUMEN_9°!W38="✓ APROBADO",RESUMEN_9°!F38,"")</f>
        <v/>
      </c>
      <c r="D127" s="111">
        <f>IF(RESUMEN_9°!W38="✓ APROBADO",RESUMEN_9°!V38,"")</f>
        <v/>
      </c>
      <c r="E127" s="111">
        <f>IF(RESUMEN_9°!W38="✓ APROBADO",IFERROR(ROUND(AVERAGE(RESUMEN_9°!F38,RESUMEN_9°!V38),1),""),"")</f>
        <v/>
      </c>
    </row>
    <row r="128" ht="13.95" customHeight="1" s="176">
      <c r="A128" s="134">
        <f>IF(RESUMEN_9°!W39="✓ APROBADO",35,"")</f>
        <v/>
      </c>
      <c r="B128" s="135">
        <f>IF(RESUMEN_9°!W39="✓ APROBADO",RESUMEN_9°!B39,"")</f>
        <v/>
      </c>
      <c r="C128" s="134">
        <f>IF(RESUMEN_9°!W39="✓ APROBADO",RESUMEN_9°!F39,"")</f>
        <v/>
      </c>
      <c r="D128" s="134">
        <f>IF(RESUMEN_9°!W39="✓ APROBADO",RESUMEN_9°!V39,"")</f>
        <v/>
      </c>
      <c r="E128" s="134">
        <f>IF(RESUMEN_9°!W39="✓ APROBADO",IFERROR(ROUND(AVERAGE(RESUMEN_9°!F39,RESUMEN_9°!V39),1),""),"")</f>
        <v/>
      </c>
    </row>
    <row r="129" ht="13.95" customHeight="1" s="176">
      <c r="A129" s="111">
        <f>IF(RESUMEN_9°!W40="✓ APROBADO",36,"")</f>
        <v/>
      </c>
      <c r="B129" s="103">
        <f>IF(RESUMEN_9°!W40="✓ APROBADO",RESUMEN_9°!B40,"")</f>
        <v/>
      </c>
      <c r="C129" s="111">
        <f>IF(RESUMEN_9°!W40="✓ APROBADO",RESUMEN_9°!F40,"")</f>
        <v/>
      </c>
      <c r="D129" s="111">
        <f>IF(RESUMEN_9°!W40="✓ APROBADO",RESUMEN_9°!V40,"")</f>
        <v/>
      </c>
      <c r="E129" s="111">
        <f>IF(RESUMEN_9°!W40="✓ APROBADO",IFERROR(ROUND(AVERAGE(RESUMEN_9°!F40,RESUMEN_9°!V40),1),""),"")</f>
        <v/>
      </c>
    </row>
    <row r="130" ht="13.95" customHeight="1" s="176">
      <c r="A130" s="134">
        <f>IF(RESUMEN_9°!W41="✓ APROBADO",37,"")</f>
        <v/>
      </c>
      <c r="B130" s="135">
        <f>IF(RESUMEN_9°!W41="✓ APROBADO",RESUMEN_9°!B41,"")</f>
        <v/>
      </c>
      <c r="C130" s="134">
        <f>IF(RESUMEN_9°!W41="✓ APROBADO",RESUMEN_9°!F41,"")</f>
        <v/>
      </c>
      <c r="D130" s="134">
        <f>IF(RESUMEN_9°!W41="✓ APROBADO",RESUMEN_9°!V41,"")</f>
        <v/>
      </c>
      <c r="E130" s="134">
        <f>IF(RESUMEN_9°!W41="✓ APROBADO",IFERROR(ROUND(AVERAGE(RESUMEN_9°!F41,RESUMEN_9°!V41),1),""),"")</f>
        <v/>
      </c>
    </row>
    <row r="131" ht="13.95" customHeight="1" s="176">
      <c r="A131" s="111">
        <f>IF(RESUMEN_9°!W42="✓ APROBADO",38,"")</f>
        <v/>
      </c>
      <c r="B131" s="103">
        <f>IF(RESUMEN_9°!W42="✓ APROBADO",RESUMEN_9°!B42,"")</f>
        <v/>
      </c>
      <c r="C131" s="111">
        <f>IF(RESUMEN_9°!W42="✓ APROBADO",RESUMEN_9°!F42,"")</f>
        <v/>
      </c>
      <c r="D131" s="111">
        <f>IF(RESUMEN_9°!W42="✓ APROBADO",RESUMEN_9°!V42,"")</f>
        <v/>
      </c>
      <c r="E131" s="111">
        <f>IF(RESUMEN_9°!W42="✓ APROBADO",IFERROR(ROUND(AVERAGE(RESUMEN_9°!F42,RESUMEN_9°!V42),1),""),"")</f>
        <v/>
      </c>
    </row>
    <row r="132" ht="13.95" customHeight="1" s="176">
      <c r="A132" s="134">
        <f>IF(RESUMEN_9°!W43="✓ APROBADO",39,"")</f>
        <v/>
      </c>
      <c r="B132" s="135">
        <f>IF(RESUMEN_9°!W43="✓ APROBADO",RESUMEN_9°!B43,"")</f>
        <v/>
      </c>
      <c r="C132" s="134">
        <f>IF(RESUMEN_9°!W43="✓ APROBADO",RESUMEN_9°!F43,"")</f>
        <v/>
      </c>
      <c r="D132" s="134">
        <f>IF(RESUMEN_9°!W43="✓ APROBADO",RESUMEN_9°!V43,"")</f>
        <v/>
      </c>
      <c r="E132" s="134">
        <f>IF(RESUMEN_9°!W43="✓ APROBADO",IFERROR(ROUND(AVERAGE(RESUMEN_9°!F43,RESUMEN_9°!V43),1),""),"")</f>
        <v/>
      </c>
    </row>
    <row r="133" ht="13.95" customHeight="1" s="176">
      <c r="A133" s="111">
        <f>IF(RESUMEN_9°!W44="✓ APROBADO",40,"")</f>
        <v/>
      </c>
      <c r="B133" s="103">
        <f>IF(RESUMEN_9°!W44="✓ APROBADO",RESUMEN_9°!B44,"")</f>
        <v/>
      </c>
      <c r="C133" s="111">
        <f>IF(RESUMEN_9°!W44="✓ APROBADO",RESUMEN_9°!F44,"")</f>
        <v/>
      </c>
      <c r="D133" s="111">
        <f>IF(RESUMEN_9°!W44="✓ APROBADO",RESUMEN_9°!V44,"")</f>
        <v/>
      </c>
      <c r="E133" s="111">
        <f>IF(RESUMEN_9°!W44="✓ APROBADO",IFERROR(ROUND(AVERAGE(RESUMEN_9°!F44,RESUMEN_9°!V44),1),""),"")</f>
        <v/>
      </c>
    </row>
    <row r="134" ht="18" customHeight="1" s="176">
      <c r="A134" s="271" t="inlineStr">
        <is>
          <t>Total aprobados 9°:</t>
        </is>
      </c>
      <c r="B134" s="242" t="n"/>
      <c r="C134" s="136">
        <f>COUNTIF(RESUMEN_9°!W5:'RESUMEN_9°'!W44,"✓ APROBADO")</f>
        <v/>
      </c>
      <c r="D134" s="115" t="n"/>
      <c r="E134" s="115"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76" min="1" max="1"/>
    <col width="14" customWidth="1" style="176" min="2" max="4"/>
    <col width="12" customWidth="1" style="176" min="5" max="5"/>
  </cols>
  <sheetData>
    <row r="1" ht="25.95" customHeight="1" s="176">
      <c r="A1" s="269" t="inlineStr">
        <is>
          <t>MI REPORTE DOCENTE — CONTROL PERSONAL 2026</t>
        </is>
      </c>
      <c r="B1" s="250" t="n"/>
      <c r="C1" s="250" t="n"/>
      <c r="D1" s="250" t="n"/>
      <c r="E1" s="250" t="n"/>
      <c r="F1" s="250" t="n"/>
      <c r="G1" s="250" t="n"/>
      <c r="H1" s="250" t="n"/>
      <c r="I1" s="250" t="n"/>
      <c r="J1" s="250" t="n"/>
      <c r="K1" s="250" t="n"/>
      <c r="L1" s="250" t="n"/>
      <c r="M1" s="250" t="n"/>
      <c r="N1" s="242" t="n"/>
    </row>
    <row r="2" ht="16.05" customHeight="1" s="176">
      <c r="A2" s="276" t="inlineStr">
        <is>
          <t>Prof. Elmer Tugri · Escuela Cerro Cacicón · Actualización automática</t>
        </is>
      </c>
      <c r="B2" s="250" t="n"/>
      <c r="C2" s="250" t="n"/>
      <c r="D2" s="250" t="n"/>
      <c r="E2" s="250" t="n"/>
      <c r="F2" s="250" t="n"/>
      <c r="G2" s="250" t="n"/>
      <c r="H2" s="250" t="n"/>
      <c r="I2" s="250" t="n"/>
      <c r="J2" s="250" t="n"/>
      <c r="K2" s="250" t="n"/>
      <c r="L2" s="250" t="n"/>
      <c r="M2" s="250" t="n"/>
      <c r="N2" s="242" t="n"/>
    </row>
    <row r="4" ht="19.95" customHeight="1" s="176">
      <c r="A4" s="264" t="inlineStr">
        <is>
          <t>RESUMEN RÁPIDO</t>
        </is>
      </c>
      <c r="B4" s="250" t="n"/>
      <c r="C4" s="250" t="n"/>
      <c r="D4" s="250" t="n"/>
      <c r="E4" s="250" t="n"/>
      <c r="F4" s="250" t="n"/>
      <c r="G4" s="250" t="n"/>
      <c r="H4" s="250" t="n"/>
      <c r="I4" s="250" t="n"/>
      <c r="J4" s="250" t="n"/>
      <c r="K4" s="250" t="n"/>
      <c r="L4" s="250" t="n"/>
      <c r="M4" s="250" t="n"/>
      <c r="N4" s="242" t="n"/>
    </row>
    <row r="5" ht="18" customHeight="1" s="176">
      <c r="A5" s="99" t="n"/>
      <c r="B5" s="99" t="inlineStr">
        <is>
          <t>7° GRADO</t>
        </is>
      </c>
      <c r="C5" s="99" t="inlineStr">
        <is>
          <t>8° GRADO</t>
        </is>
      </c>
      <c r="D5" s="99" t="inlineStr">
        <is>
          <t>9° GRADO</t>
        </is>
      </c>
      <c r="E5" s="99" t="inlineStr">
        <is>
          <t>TOTAL</t>
        </is>
      </c>
    </row>
    <row r="6" ht="18" customHeight="1" s="176">
      <c r="A6" s="138" t="inlineStr">
        <is>
          <t>Matriculados</t>
        </is>
      </c>
      <c r="B6" s="139">
        <f>IFERROR(COUNTA(MAESTRO!B5:'MAESTRO'!B44),"")</f>
        <v/>
      </c>
      <c r="C6" s="139">
        <f>IFERROR(COUNTA(MAESTRO!D5:'MAESTRO'!D44),"")</f>
        <v/>
      </c>
      <c r="D6" s="139">
        <f>IFERROR(COUNTA(MAESTRO!F5:'MAESTRO'!F44),"")</f>
        <v/>
      </c>
      <c r="E6" s="140">
        <f>IFERROR(B6+C6+D6,"")</f>
        <v/>
      </c>
    </row>
    <row r="7" ht="18" customHeight="1" s="176">
      <c r="A7" s="141" t="inlineStr">
        <is>
          <t>Aprobados</t>
        </is>
      </c>
      <c r="B7" s="142">
        <f>COUNTIF(RESUMEN_7°!S5:'RESUMEN_7°'!S44,"✓ APROBADO")</f>
        <v/>
      </c>
      <c r="C7" s="142">
        <f>COUNTIF(RESUMEN_8°!S5:'RESUMEN_8°'!S44,"✓ APROBADO")</f>
        <v/>
      </c>
      <c r="D7" s="142">
        <f>COUNTIF(RESUMEN_9°!W5:'RESUMEN_9°'!W44,"✓ APROBADO")</f>
        <v/>
      </c>
      <c r="E7" s="143">
        <f>IFERROR(B7+C7+D7,"")</f>
        <v/>
      </c>
    </row>
    <row r="8" ht="18" customHeight="1" s="176">
      <c r="A8" s="144" t="inlineStr">
        <is>
          <t>Reprobados</t>
        </is>
      </c>
      <c r="B8" s="145">
        <f>COUNTIF(RESUMEN_7°!S5:'RESUMEN_7°'!S44,"✗ REPROBADO")</f>
        <v/>
      </c>
      <c r="C8" s="145">
        <f>COUNTIF(RESUMEN_8°!S5:'RESUMEN_8°'!S44,"✗ REPROBADO")</f>
        <v/>
      </c>
      <c r="D8" s="145">
        <f>COUNTIF(RESUMEN_9°!W5:'RESUMEN_9°'!W44,"✗ REPROBADO")</f>
        <v/>
      </c>
      <c r="E8" s="146">
        <f>IFERROR(B8+C8+D8,"")</f>
        <v/>
      </c>
    </row>
    <row r="9" ht="18" customHeight="1" s="176">
      <c r="A9" s="147" t="inlineStr">
        <is>
          <t>Con ausencias &gt;5</t>
        </is>
      </c>
      <c r="B9" s="148">
        <f>COUNTIF('Asistencia (7°)'!BI3:'Asistencia (7°)'!BI42,"&gt;5")</f>
        <v/>
      </c>
      <c r="C9" s="148">
        <f>COUNTIF('Asistencia (8°)'!BI3:'Asistencia (8°)'!BI42,"&gt;5")</f>
        <v/>
      </c>
      <c r="D9" s="148">
        <f>COUNTIF('Asistencia (9°)'!BI3:'Asistencia (9°)'!BI42,"&gt;5")</f>
        <v/>
      </c>
      <c r="E9" s="149">
        <f>IFERROR(B9+C9+D9,"")</f>
        <v/>
      </c>
    </row>
    <row r="10" ht="18" customHeight="1" s="176">
      <c r="A10" s="138" t="inlineStr">
        <is>
          <t>Prom. Inglés</t>
        </is>
      </c>
      <c r="B10" s="139">
        <f>IFERROR(ROUND(AVERAGEIF(RESUMEN_7°!F5:'RESUMEN_7°'!F44,"&lt;&gt;"&amp;""),1),"")</f>
        <v/>
      </c>
      <c r="C10" s="139">
        <f>IFERROR(ROUND(AVERAGEIF(RESUMEN_8°!F5:'RESUMEN_8°'!F44,"&lt;&gt;"&amp;""),1),"")</f>
        <v/>
      </c>
      <c r="D10" s="139">
        <f>IFERROR(ROUND(AVERAGEIF(RESUMEN_9°!F5:'RESUMEN_9°'!F44,"&lt;&gt;"&amp;""),1),"")</f>
        <v/>
      </c>
      <c r="E10" s="140">
        <f>IFERROR(B10+C10+D10,"")</f>
        <v/>
      </c>
    </row>
    <row r="11" ht="18" customHeight="1" s="176">
      <c r="A11" s="138" t="inlineStr">
        <is>
          <t>Prom. Tecnología</t>
        </is>
      </c>
      <c r="B11" s="139">
        <f>IFERROR(ROUND(AVERAGEIF(RESUMEN_7°!R5:'RESUMEN_7°'!R44,"&lt;&gt;"&amp;""),1),"")</f>
        <v/>
      </c>
      <c r="C11" s="139">
        <f>IFERROR(ROUND(AVERAGEIF(RESUMEN_8°!R5:'RESUMEN_8°'!R44,"&lt;&gt;"&amp;""),1),"")</f>
        <v/>
      </c>
      <c r="D11" s="139">
        <f>IFERROR(ROUND(AVERAGEIF(RESUMEN_9°!V5:'RESUMEN_9°'!V44,"&lt;&gt;"&amp;""),1),"")</f>
        <v/>
      </c>
      <c r="E11" s="140">
        <f>IFERROR(B11+C11+D11,"")</f>
        <v/>
      </c>
    </row>
    <row r="14" ht="18" customHeight="1" s="176">
      <c r="A14" s="264" t="inlineStr">
        <is>
          <t>NOTAS Y SEGUIMIENTO PERSONAL (escribe aquí lo que necesites)</t>
        </is>
      </c>
      <c r="B14" s="250" t="n"/>
      <c r="C14" s="250" t="n"/>
      <c r="D14" s="250" t="n"/>
      <c r="E14" s="250" t="n"/>
      <c r="F14" s="250" t="n"/>
      <c r="G14" s="250" t="n"/>
      <c r="H14" s="250" t="n"/>
      <c r="I14" s="250" t="n"/>
      <c r="J14" s="250" t="n"/>
      <c r="K14" s="250" t="n"/>
      <c r="L14" s="250" t="n"/>
      <c r="M14" s="250" t="n"/>
      <c r="N14" s="242" t="n"/>
    </row>
    <row r="15" ht="18" customHeight="1" s="176">
      <c r="A15" s="275" t="n"/>
      <c r="B15" s="250" t="n"/>
      <c r="C15" s="250" t="n"/>
      <c r="D15" s="250" t="n"/>
      <c r="E15" s="250" t="n"/>
      <c r="F15" s="250" t="n"/>
      <c r="G15" s="250" t="n"/>
      <c r="H15" s="250" t="n"/>
      <c r="I15" s="250" t="n"/>
      <c r="J15" s="250" t="n"/>
      <c r="K15" s="250" t="n"/>
      <c r="L15" s="250" t="n"/>
      <c r="M15" s="250" t="n"/>
      <c r="N15" s="242" t="n"/>
    </row>
    <row r="16" ht="18" customHeight="1" s="176">
      <c r="A16" s="274" t="n"/>
      <c r="B16" s="250" t="n"/>
      <c r="C16" s="250" t="n"/>
      <c r="D16" s="250" t="n"/>
      <c r="E16" s="250" t="n"/>
      <c r="F16" s="250" t="n"/>
      <c r="G16" s="250" t="n"/>
      <c r="H16" s="250" t="n"/>
      <c r="I16" s="250" t="n"/>
      <c r="J16" s="250" t="n"/>
      <c r="K16" s="250" t="n"/>
      <c r="L16" s="250" t="n"/>
      <c r="M16" s="250" t="n"/>
      <c r="N16" s="242" t="n"/>
    </row>
    <row r="17" ht="18" customHeight="1" s="176">
      <c r="A17" s="275" t="n"/>
      <c r="B17" s="250" t="n"/>
      <c r="C17" s="250" t="n"/>
      <c r="D17" s="250" t="n"/>
      <c r="E17" s="250" t="n"/>
      <c r="F17" s="250" t="n"/>
      <c r="G17" s="250" t="n"/>
      <c r="H17" s="250" t="n"/>
      <c r="I17" s="250" t="n"/>
      <c r="J17" s="250" t="n"/>
      <c r="K17" s="250" t="n"/>
      <c r="L17" s="250" t="n"/>
      <c r="M17" s="250" t="n"/>
      <c r="N17" s="242" t="n"/>
    </row>
    <row r="18" ht="18" customHeight="1" s="176">
      <c r="A18" s="274" t="n"/>
      <c r="B18" s="250" t="n"/>
      <c r="C18" s="250" t="n"/>
      <c r="D18" s="250" t="n"/>
      <c r="E18" s="250" t="n"/>
      <c r="F18" s="250" t="n"/>
      <c r="G18" s="250" t="n"/>
      <c r="H18" s="250" t="n"/>
      <c r="I18" s="250" t="n"/>
      <c r="J18" s="250" t="n"/>
      <c r="K18" s="250" t="n"/>
      <c r="L18" s="250" t="n"/>
      <c r="M18" s="250" t="n"/>
      <c r="N18" s="242" t="n"/>
    </row>
    <row r="19" ht="18" customHeight="1" s="176">
      <c r="A19" s="275" t="n"/>
      <c r="B19" s="250" t="n"/>
      <c r="C19" s="250" t="n"/>
      <c r="D19" s="250" t="n"/>
      <c r="E19" s="250" t="n"/>
      <c r="F19" s="250" t="n"/>
      <c r="G19" s="250" t="n"/>
      <c r="H19" s="250" t="n"/>
      <c r="I19" s="250" t="n"/>
      <c r="J19" s="250" t="n"/>
      <c r="K19" s="250" t="n"/>
      <c r="L19" s="250" t="n"/>
      <c r="M19" s="250" t="n"/>
      <c r="N19" s="242" t="n"/>
    </row>
    <row r="20" ht="18" customHeight="1" s="176">
      <c r="A20" s="274" t="n"/>
      <c r="B20" s="250" t="n"/>
      <c r="C20" s="250" t="n"/>
      <c r="D20" s="250" t="n"/>
      <c r="E20" s="250" t="n"/>
      <c r="F20" s="250" t="n"/>
      <c r="G20" s="250" t="n"/>
      <c r="H20" s="250" t="n"/>
      <c r="I20" s="250" t="n"/>
      <c r="J20" s="250" t="n"/>
      <c r="K20" s="250" t="n"/>
      <c r="L20" s="250" t="n"/>
      <c r="M20" s="250" t="n"/>
      <c r="N20" s="242" t="n"/>
    </row>
    <row r="21" ht="18" customHeight="1" s="176">
      <c r="A21" s="275" t="n"/>
      <c r="B21" s="250" t="n"/>
      <c r="C21" s="250" t="n"/>
      <c r="D21" s="250" t="n"/>
      <c r="E21" s="250" t="n"/>
      <c r="F21" s="250" t="n"/>
      <c r="G21" s="250" t="n"/>
      <c r="H21" s="250" t="n"/>
      <c r="I21" s="250" t="n"/>
      <c r="J21" s="250" t="n"/>
      <c r="K21" s="250" t="n"/>
      <c r="L21" s="250" t="n"/>
      <c r="M21" s="250" t="n"/>
      <c r="N21" s="242" t="n"/>
    </row>
    <row r="22" ht="18" customHeight="1" s="176">
      <c r="A22" s="274" t="n"/>
      <c r="B22" s="250" t="n"/>
      <c r="C22" s="250" t="n"/>
      <c r="D22" s="250" t="n"/>
      <c r="E22" s="250" t="n"/>
      <c r="F22" s="250" t="n"/>
      <c r="G22" s="250" t="n"/>
      <c r="H22" s="250" t="n"/>
      <c r="I22" s="250" t="n"/>
      <c r="J22" s="250" t="n"/>
      <c r="K22" s="250" t="n"/>
      <c r="L22" s="250" t="n"/>
      <c r="M22" s="250" t="n"/>
      <c r="N22" s="242" t="n"/>
    </row>
    <row r="23" ht="18" customHeight="1" s="176">
      <c r="A23" s="275" t="n"/>
      <c r="B23" s="250" t="n"/>
      <c r="C23" s="250" t="n"/>
      <c r="D23" s="250" t="n"/>
      <c r="E23" s="250" t="n"/>
      <c r="F23" s="250" t="n"/>
      <c r="G23" s="250" t="n"/>
      <c r="H23" s="250" t="n"/>
      <c r="I23" s="250" t="n"/>
      <c r="J23" s="250" t="n"/>
      <c r="K23" s="250" t="n"/>
      <c r="L23" s="250" t="n"/>
      <c r="M23" s="250" t="n"/>
      <c r="N23" s="242" t="n"/>
    </row>
    <row r="24" ht="18" customHeight="1" s="176">
      <c r="A24" s="274" t="n"/>
      <c r="B24" s="250" t="n"/>
      <c r="C24" s="250" t="n"/>
      <c r="D24" s="250" t="n"/>
      <c r="E24" s="250" t="n"/>
      <c r="F24" s="250" t="n"/>
      <c r="G24" s="250" t="n"/>
      <c r="H24" s="250" t="n"/>
      <c r="I24" s="250" t="n"/>
      <c r="J24" s="250" t="n"/>
      <c r="K24" s="250" t="n"/>
      <c r="L24" s="250" t="n"/>
      <c r="M24" s="250" t="n"/>
      <c r="N24" s="242" t="n"/>
    </row>
    <row r="25" ht="18" customHeight="1" s="176">
      <c r="A25" s="275" t="n"/>
      <c r="B25" s="250" t="n"/>
      <c r="C25" s="250" t="n"/>
      <c r="D25" s="250" t="n"/>
      <c r="E25" s="250" t="n"/>
      <c r="F25" s="250" t="n"/>
      <c r="G25" s="250" t="n"/>
      <c r="H25" s="250" t="n"/>
      <c r="I25" s="250" t="n"/>
      <c r="J25" s="250" t="n"/>
      <c r="K25" s="250" t="n"/>
      <c r="L25" s="250" t="n"/>
      <c r="M25" s="250" t="n"/>
      <c r="N25" s="242" t="n"/>
    </row>
    <row r="26" ht="18" customHeight="1" s="176">
      <c r="A26" s="274" t="n"/>
      <c r="B26" s="250" t="n"/>
      <c r="C26" s="250" t="n"/>
      <c r="D26" s="250" t="n"/>
      <c r="E26" s="250" t="n"/>
      <c r="F26" s="250" t="n"/>
      <c r="G26" s="250" t="n"/>
      <c r="H26" s="250" t="n"/>
      <c r="I26" s="250" t="n"/>
      <c r="J26" s="250" t="n"/>
      <c r="K26" s="250" t="n"/>
      <c r="L26" s="250" t="n"/>
      <c r="M26" s="250" t="n"/>
      <c r="N26" s="242" t="n"/>
    </row>
    <row r="27" ht="18" customHeight="1" s="176">
      <c r="A27" s="275" t="n"/>
      <c r="B27" s="250" t="n"/>
      <c r="C27" s="250" t="n"/>
      <c r="D27" s="250" t="n"/>
      <c r="E27" s="250" t="n"/>
      <c r="F27" s="250" t="n"/>
      <c r="G27" s="250" t="n"/>
      <c r="H27" s="250" t="n"/>
      <c r="I27" s="250" t="n"/>
      <c r="J27" s="250" t="n"/>
      <c r="K27" s="250" t="n"/>
      <c r="L27" s="250" t="n"/>
      <c r="M27" s="250" t="n"/>
      <c r="N27" s="242" t="n"/>
    </row>
    <row r="28" ht="18" customHeight="1" s="176">
      <c r="A28" s="274" t="n"/>
      <c r="B28" s="250" t="n"/>
      <c r="C28" s="250" t="n"/>
      <c r="D28" s="250" t="n"/>
      <c r="E28" s="250" t="n"/>
      <c r="F28" s="250" t="n"/>
      <c r="G28" s="250" t="n"/>
      <c r="H28" s="250" t="n"/>
      <c r="I28" s="250" t="n"/>
      <c r="J28" s="250" t="n"/>
      <c r="K28" s="250" t="n"/>
      <c r="L28" s="250" t="n"/>
      <c r="M28" s="250" t="n"/>
      <c r="N28" s="242" t="n"/>
    </row>
    <row r="29" ht="18" customHeight="1" s="176">
      <c r="A29" s="275" t="n"/>
      <c r="B29" s="250" t="n"/>
      <c r="C29" s="250" t="n"/>
      <c r="D29" s="250" t="n"/>
      <c r="E29" s="250" t="n"/>
      <c r="F29" s="250" t="n"/>
      <c r="G29" s="250" t="n"/>
      <c r="H29" s="250" t="n"/>
      <c r="I29" s="250" t="n"/>
      <c r="J29" s="250" t="n"/>
      <c r="K29" s="250" t="n"/>
      <c r="L29" s="250" t="n"/>
      <c r="M29" s="250" t="n"/>
      <c r="N29" s="242"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2" zoomScale="70" zoomScaleNormal="100" zoomScalePageLayoutView="70" workbookViewId="0">
      <selection activeCell="S123" sqref="S123"/>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IF(MAESTRO!B5="","",MAESTRO!B5)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v>1</v>
      </c>
    </row>
    <row r="4">
      <c r="A4" s="1" t="n">
        <v>2</v>
      </c>
      <c r="B4" s="70">
        <f>IF(MAESTRO!B6="","",MAESTRO!B6)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v>2</v>
      </c>
    </row>
    <row r="5">
      <c r="A5" s="1" t="n">
        <v>3</v>
      </c>
      <c r="B5" s="70">
        <f>IF(MAESTRO!B7="","",MAESTRO!B7)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v>3</v>
      </c>
    </row>
    <row r="6">
      <c r="A6" s="1" t="n">
        <v>4</v>
      </c>
      <c r="B6" s="70">
        <f>IF(MAESTRO!B8="","",MAESTRO!B8)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v>4</v>
      </c>
    </row>
    <row r="7">
      <c r="A7" s="1" t="n">
        <v>5</v>
      </c>
      <c r="B7" s="70">
        <f>IF(MAESTRO!B9="","",MAESTRO!B9)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v>5</v>
      </c>
    </row>
    <row r="8">
      <c r="A8" s="1" t="n">
        <v>6</v>
      </c>
      <c r="B8" s="70">
        <f>IF(MAESTRO!B10="","",MAESTRO!B10)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v>6</v>
      </c>
    </row>
    <row r="9">
      <c r="A9" s="1" t="n">
        <v>7</v>
      </c>
      <c r="B9" s="70">
        <f>IF(MAESTRO!B11="","",MAESTRO!B11)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v>7</v>
      </c>
    </row>
    <row r="10">
      <c r="A10" s="1" t="n">
        <v>8</v>
      </c>
      <c r="B10" s="70">
        <f>IF(MAESTRO!B12="","",MAESTRO!B12)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v>8</v>
      </c>
    </row>
    <row r="11">
      <c r="A11" s="1" t="n">
        <v>9</v>
      </c>
      <c r="B11" s="70">
        <f>IF(MAESTRO!B13="","",MAESTRO!B13)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v>9</v>
      </c>
    </row>
    <row r="12">
      <c r="A12" s="1" t="n">
        <v>10</v>
      </c>
      <c r="B12" s="70">
        <f>IF(MAESTRO!B14="","",MAESTRO!B14)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v>10</v>
      </c>
    </row>
    <row r="13">
      <c r="A13" s="1" t="n">
        <v>11</v>
      </c>
      <c r="B13" s="70">
        <f>IF(MAESTRO!B15="","",MAESTRO!B15)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v>11</v>
      </c>
    </row>
    <row r="14">
      <c r="A14" s="1" t="n">
        <v>12</v>
      </c>
      <c r="B14" s="70">
        <f>IF(MAESTRO!B16="","",MAESTRO!B16)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v>12</v>
      </c>
    </row>
    <row r="15">
      <c r="A15" s="1" t="n">
        <v>13</v>
      </c>
      <c r="B15" s="70">
        <f>IF(MAESTRO!B17="","",MAESTRO!B17)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v>13</v>
      </c>
    </row>
    <row r="16">
      <c r="A16" s="1" t="n">
        <v>14</v>
      </c>
      <c r="B16" s="70">
        <f>IF(MAESTRO!B18="","",MAESTRO!B18)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v>14</v>
      </c>
    </row>
    <row r="17">
      <c r="A17" s="1" t="n">
        <v>15</v>
      </c>
      <c r="B17" s="70">
        <f>IF(MAESTRO!B19="","",MAESTRO!B19)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v>15</v>
      </c>
    </row>
    <row r="18">
      <c r="A18" s="1" t="n">
        <v>16</v>
      </c>
      <c r="B18" s="70">
        <f>IF(MAESTRO!B20="","",MAESTRO!B20)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v>16</v>
      </c>
    </row>
    <row r="19">
      <c r="A19" s="1" t="n">
        <v>17</v>
      </c>
      <c r="B19" s="70">
        <f>IF(MAESTRO!B21="","",MAESTRO!B21)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v>17</v>
      </c>
    </row>
    <row r="20">
      <c r="A20" s="1" t="n">
        <v>18</v>
      </c>
      <c r="B20" s="70">
        <f>IF(MAESTRO!B22="","",MAESTRO!B22)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v>18</v>
      </c>
    </row>
    <row r="21">
      <c r="A21" s="1" t="n">
        <v>19</v>
      </c>
      <c r="B21" s="70">
        <f>IF(MAESTRO!B23="","",MAESTRO!B23)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v>19</v>
      </c>
    </row>
    <row r="22">
      <c r="A22" s="1" t="n">
        <v>20</v>
      </c>
      <c r="B22" s="70">
        <f>IF(MAESTRO!B24="","",MAESTRO!B24)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v>20</v>
      </c>
    </row>
    <row r="23">
      <c r="A23" s="1" t="n">
        <v>21</v>
      </c>
      <c r="B23" s="70">
        <f>IF(MAESTRO!B25="","",MAESTRO!B25)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v>21</v>
      </c>
    </row>
    <row r="24">
      <c r="A24" s="1" t="n">
        <v>22</v>
      </c>
      <c r="B24" s="70">
        <f>IF(MAESTRO!B26="","",MAESTRO!B26)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v>22</v>
      </c>
    </row>
    <row r="25">
      <c r="A25" s="1" t="n">
        <v>23</v>
      </c>
      <c r="B25" s="70">
        <f>IF(MAESTRO!B27="","",MAESTRO!B27)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v>23</v>
      </c>
    </row>
    <row r="26">
      <c r="A26" s="1" t="n">
        <v>24</v>
      </c>
      <c r="B26" s="70">
        <f>IF(MAESTRO!B28="","",MAESTRO!B28)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v>24</v>
      </c>
    </row>
    <row r="27">
      <c r="A27" s="1" t="n">
        <v>25</v>
      </c>
      <c r="B27" s="70">
        <f>IF(MAESTRO!B29="","",MAESTRO!B29)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v>25</v>
      </c>
    </row>
    <row r="28">
      <c r="A28" s="1" t="n">
        <v>26</v>
      </c>
      <c r="B28" s="70">
        <f>IF(MAESTRO!B30="","",MAESTRO!B30)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v>26</v>
      </c>
    </row>
    <row r="29">
      <c r="A29" s="1" t="n">
        <v>27</v>
      </c>
      <c r="B29" s="70">
        <f>IF(MAESTRO!B31="","",MAESTRO!B31)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v>27</v>
      </c>
    </row>
    <row r="30">
      <c r="A30" s="1" t="n">
        <v>28</v>
      </c>
      <c r="B30" s="70">
        <f>IF(MAESTRO!B32="","",MAESTRO!B32)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v>28</v>
      </c>
    </row>
    <row r="31">
      <c r="A31" s="1" t="n">
        <v>29</v>
      </c>
      <c r="B31" s="70">
        <f>IF(MAESTRO!B33="","",MAESTRO!B33)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v>29</v>
      </c>
    </row>
    <row r="32">
      <c r="A32" s="1" t="n">
        <v>30</v>
      </c>
      <c r="B32" s="70">
        <f>IF(MAESTRO!B34="","",MAESTRO!B34)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v>30</v>
      </c>
    </row>
    <row r="33">
      <c r="A33" s="1" t="n">
        <v>31</v>
      </c>
      <c r="B33" s="70">
        <f>IF(MAESTRO!B35="","",MAESTRO!B35)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v>31</v>
      </c>
    </row>
    <row r="34">
      <c r="A34" s="1" t="n">
        <v>32</v>
      </c>
      <c r="B34" s="70">
        <f>IF(MAESTRO!B36="","",MAESTRO!B36)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v>32</v>
      </c>
    </row>
    <row r="35">
      <c r="A35" s="1" t="n">
        <v>33</v>
      </c>
      <c r="B35" s="70">
        <f>IF(MAESTRO!B37="","",MAESTRO!B37)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v>33</v>
      </c>
    </row>
    <row r="36">
      <c r="A36" s="1" t="n">
        <v>34</v>
      </c>
      <c r="B36" s="70">
        <f>IF(MAESTRO!B38="","",MAESTRO!B38)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v>34</v>
      </c>
    </row>
    <row r="37">
      <c r="A37" s="1" t="n">
        <v>35</v>
      </c>
      <c r="B37" s="70">
        <f>IF(MAESTRO!B39="","",MAESTRO!B39)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v>35</v>
      </c>
    </row>
    <row r="38">
      <c r="A38" s="1" t="n">
        <v>36</v>
      </c>
      <c r="B38" s="70">
        <f>IF(MAESTRO!B40="","",MAESTRO!B40)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v>36</v>
      </c>
    </row>
    <row r="39">
      <c r="A39" s="1" t="n">
        <v>37</v>
      </c>
      <c r="B39" s="70">
        <f>IF(MAESTRO!B41="","",MAESTRO!B41)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v>37</v>
      </c>
    </row>
    <row r="40">
      <c r="A40" s="1" t="n">
        <v>38</v>
      </c>
      <c r="B40" s="70">
        <f>IF(MAESTRO!B42="","",MAESTRO!B42)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v>38</v>
      </c>
    </row>
    <row r="41">
      <c r="A41" s="1" t="n">
        <v>39</v>
      </c>
      <c r="B41" s="70">
        <f>IF(MAESTRO!B43="","",MAESTRO!B43)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v>39</v>
      </c>
    </row>
    <row r="42">
      <c r="A42" s="1" t="n">
        <v>40</v>
      </c>
      <c r="B42" s="70">
        <f>IF(MAESTRO!B44="","",MAESTRO!B44)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v>40</v>
      </c>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v>41</v>
      </c>
    </row>
    <row r="44" ht="31.2" customHeight="1" s="176">
      <c r="A44" s="277" t="n"/>
      <c r="B44" s="202" t="inlineStr">
        <is>
          <t>NOMBRE                          ALUMNA-ALUMNO</t>
        </is>
      </c>
      <c r="C44" s="209" t="inlineStr">
        <is>
          <t>ASISTENCIA DEL__23__DE____JUNIO____AL__12___DE___SEPTIEMBRE__</t>
        </is>
      </c>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inlineStr">
        <is>
          <t>SEGUNDO TRIMESTRE</t>
        </is>
      </c>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inlineStr">
        <is>
          <t>TOTAL AUSENCIAS</t>
        </is>
      </c>
      <c r="BJ45" s="2" t="inlineStr">
        <is>
          <t>TOTAL TARDANZAS</t>
        </is>
      </c>
      <c r="BK45" s="181" t="n"/>
      <c r="BL45" s="72" t="n"/>
    </row>
    <row r="46" ht="14.4" customHeight="1" s="176">
      <c r="A46" s="1" t="n">
        <v>1</v>
      </c>
      <c r="B46" s="177">
        <f>IF(MAESTRO!B5="","",MAESTRO!B5)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v>1</v>
      </c>
    </row>
    <row r="47" ht="18" customHeight="1" s="176">
      <c r="A47" s="1" t="n">
        <v>2</v>
      </c>
      <c r="B47" s="177">
        <f>IF(MAESTRO!B6="","",MAESTRO!B6)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v>2</v>
      </c>
    </row>
    <row r="48">
      <c r="A48" s="1" t="n">
        <v>3</v>
      </c>
      <c r="B48" s="177">
        <f>IF(MAESTRO!B7="","",MAESTRO!B7)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v>3</v>
      </c>
    </row>
    <row r="49">
      <c r="A49" s="1" t="n">
        <v>4</v>
      </c>
      <c r="B49" s="177">
        <f>IF(MAESTRO!B8="","",MAESTRO!B8)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v>4</v>
      </c>
    </row>
    <row r="50">
      <c r="A50" s="1" t="n">
        <v>5</v>
      </c>
      <c r="B50" s="177">
        <f>IF(MAESTRO!B9="","",MAESTRO!B9)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v>5</v>
      </c>
    </row>
    <row r="51">
      <c r="A51" s="1" t="n">
        <v>6</v>
      </c>
      <c r="B51" s="177">
        <f>IF(MAESTRO!B10="","",MAESTRO!B10)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v>6</v>
      </c>
    </row>
    <row r="52">
      <c r="A52" s="1" t="n">
        <v>7</v>
      </c>
      <c r="B52" s="177">
        <f>IF(MAESTRO!B11="","",MAESTRO!B11)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v>7</v>
      </c>
    </row>
    <row r="53">
      <c r="A53" s="1" t="n">
        <v>8</v>
      </c>
      <c r="B53" s="177">
        <f>IF(MAESTRO!B12="","",MAESTRO!B12)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v>8</v>
      </c>
    </row>
    <row r="54">
      <c r="A54" s="1" t="n">
        <v>9</v>
      </c>
      <c r="B54" s="177">
        <f>IF(MAESTRO!B13="","",MAESTRO!B13)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v>9</v>
      </c>
    </row>
    <row r="55">
      <c r="A55" s="1" t="n">
        <v>10</v>
      </c>
      <c r="B55" s="177">
        <f>IF(MAESTRO!B14="","",MAESTRO!B14)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v>10</v>
      </c>
    </row>
    <row r="56">
      <c r="A56" s="1" t="n">
        <v>11</v>
      </c>
      <c r="B56" s="177">
        <f>IF(MAESTRO!B15="","",MAESTRO!B15)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v>11</v>
      </c>
    </row>
    <row r="57">
      <c r="A57" s="1" t="n">
        <v>12</v>
      </c>
      <c r="B57" s="177">
        <f>IF(MAESTRO!B16="","",MAESTRO!B16)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v>12</v>
      </c>
    </row>
    <row r="58">
      <c r="A58" s="1" t="n">
        <v>13</v>
      </c>
      <c r="B58" s="177">
        <f>IF(MAESTRO!B17="","",MAESTRO!B17)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v>13</v>
      </c>
    </row>
    <row r="59">
      <c r="A59" s="1" t="n">
        <v>14</v>
      </c>
      <c r="B59" s="177">
        <f>IF(MAESTRO!B18="","",MAESTRO!B18)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v>14</v>
      </c>
    </row>
    <row r="60">
      <c r="A60" s="1" t="n">
        <v>15</v>
      </c>
      <c r="B60" s="177">
        <f>IF(MAESTRO!B19="","",MAESTRO!B19)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IF(MAESTRO!B20="","",MAESTRO!B20)</f>
        <v/>
      </c>
      <c r="C61" s="177" t="n"/>
      <c r="D61" s="177" t="n"/>
      <c r="E61" s="177" t="n"/>
      <c r="F61" s="177" t="n"/>
      <c r="G61" s="177" t="n"/>
      <c r="H61" s="177" t="n"/>
      <c r="I61" s="177" t="n"/>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IF(MAESTRO!B21="","",MAESTRO!B21)</f>
        <v/>
      </c>
      <c r="C62" s="177" t="n"/>
      <c r="D62" s="177" t="n"/>
      <c r="E62" s="177" t="n"/>
      <c r="F62" s="177" t="n"/>
      <c r="G62" s="177" t="n"/>
      <c r="H62" s="177" t="n"/>
      <c r="I62" s="177" t="n"/>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IF(MAESTRO!B22="","",MAESTRO!B22)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IF(MAESTRO!B23="","",MAESTRO!B23)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IF(MAESTRO!B24="","",MAESTRO!B24)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IF(MAESTRO!B25="","",MAESTRO!B25)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IF(MAESTRO!B26="","",MAESTRO!B26)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IF(MAESTRO!B27="","",MAESTRO!B27)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IF(MAESTRO!B28="","",MAESTRO!B28)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IF(MAESTRO!B29="","",MAESTRO!B29)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IF(MAESTRO!B30="","",MAESTRO!B30)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IF(MAESTRO!B31="","",MAESTRO!B31)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IF(MAESTRO!B32="","",MAESTRO!B32)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IF(MAESTRO!B33="","",MAESTRO!B33)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IF(MAESTRO!B34="","",MAESTRO!B34)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IF(MAESTRO!B35="","",MAESTRO!B35)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IF(MAESTRO!B36="","",MAESTRO!B36)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IF(MAESTRO!B37="","",MAESTRO!B37)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IF(MAESTRO!B38="","",MAESTRO!B38)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IF(MAESTRO!B39="","",MAESTRO!B39)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IF(MAESTRO!B40="","",MAESTRO!B40)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s="177">
        <f>IF(MAESTRO!B41="","",MAESTRO!B41)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IF(MAESTRO!B42="","",MAESTRO!B42)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IF(MAESTRO!B43="","",MAESTRO!B43)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IF(MAESTRO!B44="","",MAESTRO!B44)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IF(MAESTRO!B5="","",MAESTRO!B5)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IF(MAESTRO!B6="","",MAESTRO!B6)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IF(MAESTRO!B7="","",MAESTRO!B7)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IF(MAESTRO!B8="","",MAESTRO!B8)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IF(MAESTRO!B9="","",MAESTRO!B9)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IF(MAESTRO!B10="","",MAESTRO!B10)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IF(MAESTRO!B11="","",MAESTRO!B11)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IF(MAESTRO!B12="","",MAESTRO!B12)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IF(MAESTRO!B13="","",MAESTRO!B13)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IF(MAESTRO!B14="","",MAESTRO!B14)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IF(MAESTRO!B15="","",MAESTRO!B15)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IF(MAESTRO!B16="","",MAESTRO!B16)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IF(MAESTRO!B17="","",MAESTRO!B17)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IF(MAESTRO!B18="","",MAESTRO!B18)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IF(MAESTRO!B19="","",MAESTRO!B19)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IF(MAESTRO!B20="","",MAESTRO!B20)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IF(MAESTRO!B21="","",MAESTRO!B21)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IF(MAESTRO!B22="","",MAESTRO!B22)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IF(MAESTRO!B23="","",MAESTRO!B23)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IF(MAESTRO!B24="","",MAESTRO!B24)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IF(MAESTRO!B25="","",MAESTRO!B25)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IF(MAESTRO!B26="","",MAESTRO!B26)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IF(MAESTRO!B27="","",MAESTRO!B27)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IF(MAESTRO!B28="","",MAESTRO!B28)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IF(MAESTRO!B29="","",MAESTRO!B29)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IF(MAESTRO!B30="","",MAESTRO!B30)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IF(MAESTRO!B31="","",MAESTRO!B31)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IF(MAESTRO!B32="","",MAESTRO!B32)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IF(MAESTRO!B33="","",MAESTRO!B33)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IF(MAESTRO!B34="","",MAESTRO!B34)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IF(MAESTRO!B35="","",MAESTRO!B35)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IF(MAESTRO!B36="","",MAESTRO!B36)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IF(MAESTRO!B37="","",MAESTRO!B37)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IF(MAESTRO!B38="","",MAESTRO!B38)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IF(MAESTRO!B39="","",MAESTRO!B39)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IF(MAESTRO!B40="","",MAESTRO!B40)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s="177">
        <f>IF(MAESTRO!B41="","",MAESTRO!B41)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IF(MAESTRO!B42="","",MAESTRO!B42)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IF(MAESTRO!B43="","",MAESTRO!B43)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IF(MAESTRO!B44="","",MAESTRO!B44)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5" ht="13.5" customHeight="1" s="176"/>
    <row r="136" ht="14.4" customHeight="1" s="176">
      <c r="A136" s="82" t="n"/>
      <c r="B136" s="81" t="n"/>
      <c r="BI136" s="193" t="n"/>
      <c r="BK136" s="74" t="n"/>
      <c r="BL136" s="74" t="n"/>
    </row>
    <row r="137" ht="21.75" customHeight="1" s="176">
      <c r="A137" s="82" t="n"/>
      <c r="B137" s="81" t="n"/>
      <c r="BI137" s="80" t="n"/>
      <c r="BJ137" s="80" t="n"/>
      <c r="BK137" s="74" t="n"/>
      <c r="BL137" s="74" t="n"/>
    </row>
  </sheetData>
  <mergeCells count="16">
    <mergeCell ref="A87:A88"/>
    <mergeCell ref="C44:BH44"/>
    <mergeCell ref="B87:B88"/>
    <mergeCell ref="BI136:BJ136"/>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5" sqref="M45"/>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IF(MAESTRO!D5="","",MAESTRO!D5)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v>1</v>
      </c>
    </row>
    <row r="4">
      <c r="A4" s="1" t="n">
        <v>2</v>
      </c>
      <c r="B4" s="70">
        <f>IF(MAESTRO!D6="","",MAESTRO!D6)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v>2</v>
      </c>
    </row>
    <row r="5">
      <c r="A5" s="1" t="n">
        <v>3</v>
      </c>
      <c r="B5" s="70">
        <f>IF(MAESTRO!D7="","",MAESTRO!D7)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v>3</v>
      </c>
    </row>
    <row r="6">
      <c r="A6" s="1" t="n">
        <v>4</v>
      </c>
      <c r="B6" s="70">
        <f>IF(MAESTRO!D8="","",MAESTRO!D8)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v>4</v>
      </c>
    </row>
    <row r="7">
      <c r="A7" s="1" t="n">
        <v>5</v>
      </c>
      <c r="B7" s="70">
        <f>IF(MAESTRO!D9="","",MAESTRO!D9)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v>5</v>
      </c>
    </row>
    <row r="8">
      <c r="A8" s="1" t="n">
        <v>6</v>
      </c>
      <c r="B8" s="70">
        <f>IF(MAESTRO!D10="","",MAESTRO!D10)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v>6</v>
      </c>
    </row>
    <row r="9">
      <c r="A9" s="1" t="n">
        <v>7</v>
      </c>
      <c r="B9" s="70">
        <f>IF(MAESTRO!D11="","",MAESTRO!D11)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v>7</v>
      </c>
    </row>
    <row r="10">
      <c r="A10" s="1" t="n">
        <v>8</v>
      </c>
      <c r="B10" s="70">
        <f>IF(MAESTRO!D12="","",MAESTRO!D12)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v>8</v>
      </c>
    </row>
    <row r="11">
      <c r="A11" s="1" t="n">
        <v>9</v>
      </c>
      <c r="B11" s="70">
        <f>IF(MAESTRO!D13="","",MAESTRO!D13)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v>9</v>
      </c>
    </row>
    <row r="12">
      <c r="A12" s="1" t="n">
        <v>10</v>
      </c>
      <c r="B12" s="70">
        <f>IF(MAESTRO!D14="","",MAESTRO!D14)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v>10</v>
      </c>
    </row>
    <row r="13">
      <c r="A13" s="1" t="n">
        <v>11</v>
      </c>
      <c r="B13" s="70">
        <f>IF(MAESTRO!D15="","",MAESTRO!D15)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v>11</v>
      </c>
    </row>
    <row r="14">
      <c r="A14" s="1" t="n">
        <v>12</v>
      </c>
      <c r="B14" s="70">
        <f>IF(MAESTRO!D16="","",MAESTRO!D16)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v>12</v>
      </c>
    </row>
    <row r="15">
      <c r="A15" s="1" t="n">
        <v>13</v>
      </c>
      <c r="B15" s="70">
        <f>IF(MAESTRO!D17="","",MAESTRO!D17)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v>13</v>
      </c>
    </row>
    <row r="16">
      <c r="A16" s="1" t="n">
        <v>14</v>
      </c>
      <c r="B16" s="70">
        <f>IF(MAESTRO!D18="","",MAESTRO!D18)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v>14</v>
      </c>
    </row>
    <row r="17">
      <c r="A17" s="1" t="n">
        <v>15</v>
      </c>
      <c r="B17" s="70">
        <f>IF(MAESTRO!D19="","",MAESTRO!D19)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v>15</v>
      </c>
    </row>
    <row r="18">
      <c r="A18" s="1" t="n">
        <v>16</v>
      </c>
      <c r="B18" s="70">
        <f>IF(MAESTRO!D20="","",MAESTRO!D20)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v>16</v>
      </c>
    </row>
    <row r="19">
      <c r="A19" s="1" t="n">
        <v>17</v>
      </c>
      <c r="B19" s="70">
        <f>IF(MAESTRO!D21="","",MAESTRO!D21)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v>17</v>
      </c>
    </row>
    <row r="20">
      <c r="A20" s="1" t="n">
        <v>18</v>
      </c>
      <c r="B20" s="70">
        <f>IF(MAESTRO!D22="","",MAESTRO!D22)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v>18</v>
      </c>
    </row>
    <row r="21">
      <c r="A21" s="1" t="n">
        <v>19</v>
      </c>
      <c r="B21" s="70">
        <f>IF(MAESTRO!D23="","",MAESTRO!D23)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v>19</v>
      </c>
    </row>
    <row r="22">
      <c r="A22" s="1" t="n">
        <v>20</v>
      </c>
      <c r="B22" s="70">
        <f>IF(MAESTRO!D24="","",MAESTRO!D24)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v>20</v>
      </c>
    </row>
    <row r="23">
      <c r="A23" s="1" t="n">
        <v>21</v>
      </c>
      <c r="B23" s="70">
        <f>IF(MAESTRO!D25="","",MAESTRO!D25)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v>21</v>
      </c>
    </row>
    <row r="24">
      <c r="A24" s="1" t="n">
        <v>22</v>
      </c>
      <c r="B24" s="70">
        <f>IF(MAESTRO!D26="","",MAESTRO!D26)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v>22</v>
      </c>
    </row>
    <row r="25">
      <c r="A25" s="1" t="n">
        <v>23</v>
      </c>
      <c r="B25" s="70">
        <f>IF(MAESTRO!D27="","",MAESTRO!D27)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v>23</v>
      </c>
    </row>
    <row r="26">
      <c r="A26" s="1" t="n">
        <v>24</v>
      </c>
      <c r="B26" s="70">
        <f>IF(MAESTRO!D28="","",MAESTRO!D28)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v>24</v>
      </c>
    </row>
    <row r="27">
      <c r="A27" s="1" t="n">
        <v>25</v>
      </c>
      <c r="B27" s="70">
        <f>IF(MAESTRO!D29="","",MAESTRO!D29)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v>25</v>
      </c>
    </row>
    <row r="28">
      <c r="A28" s="1" t="n">
        <v>26</v>
      </c>
      <c r="B28" s="70">
        <f>IF(MAESTRO!D30="","",MAESTRO!D30)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v>26</v>
      </c>
    </row>
    <row r="29">
      <c r="A29" s="1" t="n">
        <v>27</v>
      </c>
      <c r="B29" s="70">
        <f>IF(MAESTRO!D31="","",MAESTRO!D31)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v>27</v>
      </c>
    </row>
    <row r="30">
      <c r="A30" s="1" t="n">
        <v>28</v>
      </c>
      <c r="B30" s="70">
        <f>IF(MAESTRO!D32="","",MAESTRO!D32)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v>28</v>
      </c>
    </row>
    <row r="31">
      <c r="A31" s="1" t="n">
        <v>29</v>
      </c>
      <c r="B31" s="70">
        <f>IF(MAESTRO!D33="","",MAESTRO!D33)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v>29</v>
      </c>
    </row>
    <row r="32">
      <c r="A32" s="1" t="n">
        <v>30</v>
      </c>
      <c r="B32" s="70">
        <f>IF(MAESTRO!D34="","",MAESTRO!D34)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v>30</v>
      </c>
    </row>
    <row r="33">
      <c r="A33" s="1" t="n">
        <v>31</v>
      </c>
      <c r="B33" s="70">
        <f>IF(MAESTRO!D35="","",MAESTRO!D35)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v>31</v>
      </c>
    </row>
    <row r="34">
      <c r="A34" s="1" t="n">
        <v>32</v>
      </c>
      <c r="B34" s="70">
        <f>IF(MAESTRO!D36="","",MAESTRO!D36)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v>32</v>
      </c>
    </row>
    <row r="35">
      <c r="A35" s="1" t="n">
        <v>33</v>
      </c>
      <c r="B35" s="70">
        <f>IF(MAESTRO!D37="","",MAESTRO!D37)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v>33</v>
      </c>
    </row>
    <row r="36">
      <c r="A36" s="1" t="n">
        <v>34</v>
      </c>
      <c r="B36" s="70">
        <f>IF(MAESTRO!D38="","",MAESTRO!D38)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v>34</v>
      </c>
    </row>
    <row r="37">
      <c r="A37" s="1" t="n">
        <v>35</v>
      </c>
      <c r="B37" s="70">
        <f>IF(MAESTRO!D39="","",MAESTRO!D39)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v>35</v>
      </c>
    </row>
    <row r="38">
      <c r="A38" s="1" t="n">
        <v>36</v>
      </c>
      <c r="B38" s="70">
        <f>IF(MAESTRO!D40="","",MAESTRO!D40)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v>36</v>
      </c>
    </row>
    <row r="39">
      <c r="A39" s="1" t="n">
        <v>37</v>
      </c>
      <c r="B39" s="70">
        <f>IF(MAESTRO!D41="","",MAESTRO!D41)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v>37</v>
      </c>
    </row>
    <row r="40">
      <c r="A40" s="1" t="n">
        <v>38</v>
      </c>
      <c r="B40" s="70">
        <f>IF(MAESTRO!D42="","",MAESTRO!D42)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v>38</v>
      </c>
    </row>
    <row r="41">
      <c r="A41" s="1" t="n">
        <v>39</v>
      </c>
      <c r="B41" s="70">
        <f>IF(MAESTRO!D43="","",MAESTRO!D43)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v>39</v>
      </c>
    </row>
    <row r="42">
      <c r="A42" s="1" t="n">
        <v>40</v>
      </c>
      <c r="B42">
        <f>IF(MAESTRO!D44="","",MAESTRO!D44)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v>40</v>
      </c>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v>41</v>
      </c>
    </row>
    <row r="44" ht="31.2" customHeight="1" s="176">
      <c r="A44" s="277" t="n"/>
      <c r="B44" s="202" t="inlineStr">
        <is>
          <t>NOMBRE                          ALUMNA-ALUMNO</t>
        </is>
      </c>
      <c r="C44" s="209" t="inlineStr">
        <is>
          <t>ASISTENCIA DEL__23__DE____JUNIO____AL__12___DE___SEPTIEMBRE__</t>
        </is>
      </c>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inlineStr">
        <is>
          <t>SEGUNDO TRIMESTRE</t>
        </is>
      </c>
      <c r="BJ44" s="178" t="n"/>
      <c r="BK44" s="227" t="inlineStr">
        <is>
          <t>OBSERVACIONES</t>
        </is>
      </c>
      <c r="BL44" s="72" t="n"/>
    </row>
    <row r="45" ht="42.6" customHeight="1" s="176">
      <c r="A45" s="181" t="n"/>
      <c r="B45" s="181" t="n"/>
      <c r="C45" s="10" t="n"/>
      <c r="D45" s="10" t="n"/>
      <c r="E45" s="10" t="n"/>
      <c r="F45" s="10" t="n"/>
      <c r="G45" s="10" t="n"/>
      <c r="H45" s="10" t="n">
        <v>46119</v>
      </c>
      <c r="I45" s="10" t="n">
        <v>46120</v>
      </c>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inlineStr">
        <is>
          <t>TOTAL AUSENCIAS</t>
        </is>
      </c>
      <c r="BJ45" s="2" t="inlineStr">
        <is>
          <t>TOTAL TARDANZAS</t>
        </is>
      </c>
      <c r="BK45" s="181" t="n"/>
      <c r="BL45" s="72" t="n"/>
    </row>
    <row r="46" ht="14.4" customHeight="1" s="176">
      <c r="A46" s="1" t="n">
        <v>1</v>
      </c>
      <c r="B46" s="177">
        <f>IF(MAESTRO!D5="","",MAESTRO!D5)</f>
        <v/>
      </c>
      <c r="C46" s="192" t="n"/>
      <c r="D46" s="192" t="n"/>
      <c r="E46" s="192" t="n"/>
      <c r="F46" s="192" t="n"/>
      <c r="G46" s="192" t="n"/>
      <c r="H46" s="192" t="inlineStr">
        <is>
          <t>.</t>
        </is>
      </c>
      <c r="I46" s="192" t="inlineStr">
        <is>
          <t>.</t>
        </is>
      </c>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v>1</v>
      </c>
    </row>
    <row r="47" ht="18" customHeight="1" s="176">
      <c r="A47" s="1" t="n">
        <v>2</v>
      </c>
      <c r="B47" s="177">
        <f>IF(MAESTRO!D6="","",MAESTRO!D6)</f>
        <v/>
      </c>
      <c r="C47" s="192" t="n"/>
      <c r="D47" s="192" t="n"/>
      <c r="E47" s="192" t="n"/>
      <c r="F47" s="192" t="n"/>
      <c r="G47" s="192" t="n"/>
      <c r="H47" s="192" t="inlineStr">
        <is>
          <t>-</t>
        </is>
      </c>
      <c r="I47" s="192" t="inlineStr">
        <is>
          <t>.</t>
        </is>
      </c>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v>2</v>
      </c>
    </row>
    <row r="48">
      <c r="A48" s="1" t="n">
        <v>3</v>
      </c>
      <c r="B48" s="177">
        <f>IF(MAESTRO!D7="","",MAESTRO!D7)</f>
        <v/>
      </c>
      <c r="C48" s="192" t="n"/>
      <c r="D48" s="192" t="n"/>
      <c r="E48" s="192" t="n"/>
      <c r="F48" s="192" t="n"/>
      <c r="G48" s="192" t="n"/>
      <c r="H48" s="192" t="inlineStr">
        <is>
          <t>.</t>
        </is>
      </c>
      <c r="I48" s="192" t="inlineStr">
        <is>
          <t>.</t>
        </is>
      </c>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v>3</v>
      </c>
    </row>
    <row r="49">
      <c r="A49" s="1" t="n">
        <v>4</v>
      </c>
      <c r="B49" s="177">
        <f>IF(MAESTRO!D8="","",MAESTRO!D8)</f>
        <v/>
      </c>
      <c r="C49" s="192" t="n"/>
      <c r="D49" s="192" t="n"/>
      <c r="E49" s="192" t="n"/>
      <c r="F49" s="192" t="n"/>
      <c r="G49" s="192" t="n"/>
      <c r="H49" s="192" t="inlineStr">
        <is>
          <t>.</t>
        </is>
      </c>
      <c r="I49" s="192" t="inlineStr">
        <is>
          <t>.</t>
        </is>
      </c>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v>4</v>
      </c>
    </row>
    <row r="50">
      <c r="A50" s="1" t="n">
        <v>5</v>
      </c>
      <c r="B50" s="177">
        <f>IF(MAESTRO!D9="","",MAESTRO!D9)</f>
        <v/>
      </c>
      <c r="C50" s="192" t="n"/>
      <c r="D50" s="192" t="n"/>
      <c r="E50" s="192" t="n"/>
      <c r="F50" s="192" t="n"/>
      <c r="G50" s="192" t="n"/>
      <c r="H50" s="192" t="inlineStr">
        <is>
          <t>.</t>
        </is>
      </c>
      <c r="I50" s="192" t="inlineStr">
        <is>
          <t>.</t>
        </is>
      </c>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v>5</v>
      </c>
    </row>
    <row r="51">
      <c r="A51" s="1" t="n">
        <v>6</v>
      </c>
      <c r="B51" s="177">
        <f>IF(MAESTRO!D10="","",MAESTRO!D10)</f>
        <v/>
      </c>
      <c r="C51" s="177" t="n"/>
      <c r="D51" s="177" t="n"/>
      <c r="E51" s="177" t="n"/>
      <c r="F51" s="177" t="n"/>
      <c r="G51" s="177" t="n"/>
      <c r="H51" s="192" t="inlineStr">
        <is>
          <t>.</t>
        </is>
      </c>
      <c r="I51" s="192" t="inlineStr">
        <is>
          <t>.</t>
        </is>
      </c>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v>6</v>
      </c>
    </row>
    <row r="52">
      <c r="A52" s="1" t="n">
        <v>7</v>
      </c>
      <c r="B52" s="177">
        <f>IF(MAESTRO!D11="","",MAESTRO!D11)</f>
        <v/>
      </c>
      <c r="C52" s="177" t="n"/>
      <c r="D52" s="177" t="n"/>
      <c r="E52" s="177" t="n"/>
      <c r="F52" s="177" t="n"/>
      <c r="G52" s="177" t="n"/>
      <c r="H52" s="192" t="inlineStr">
        <is>
          <t>.</t>
        </is>
      </c>
      <c r="I52" s="192" t="inlineStr">
        <is>
          <t>.</t>
        </is>
      </c>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v>7</v>
      </c>
    </row>
    <row r="53">
      <c r="A53" s="1" t="n">
        <v>8</v>
      </c>
      <c r="B53" s="177">
        <f>IF(MAESTRO!D12="","",MAESTRO!D12)</f>
        <v/>
      </c>
      <c r="C53" s="177" t="n"/>
      <c r="D53" s="177" t="n"/>
      <c r="E53" s="177" t="n"/>
      <c r="F53" s="177" t="n"/>
      <c r="G53" s="177" t="n"/>
      <c r="H53" s="192" t="inlineStr">
        <is>
          <t>.</t>
        </is>
      </c>
      <c r="I53" s="192" t="inlineStr">
        <is>
          <t>.</t>
        </is>
      </c>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v>8</v>
      </c>
    </row>
    <row r="54">
      <c r="A54" s="1" t="n">
        <v>9</v>
      </c>
      <c r="B54" s="177">
        <f>IF(MAESTRO!D13="","",MAESTRO!D13)</f>
        <v/>
      </c>
      <c r="C54" s="177" t="n"/>
      <c r="D54" s="177" t="n"/>
      <c r="E54" s="177" t="n"/>
      <c r="F54" s="177" t="n"/>
      <c r="G54" s="177" t="n"/>
      <c r="H54" s="192" t="inlineStr">
        <is>
          <t>.</t>
        </is>
      </c>
      <c r="I54" s="192" t="inlineStr">
        <is>
          <t>.</t>
        </is>
      </c>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v>9</v>
      </c>
    </row>
    <row r="55">
      <c r="A55" s="1" t="n">
        <v>10</v>
      </c>
      <c r="B55" s="177">
        <f>IF(MAESTRO!D14="","",MAESTRO!D14)</f>
        <v/>
      </c>
      <c r="C55" s="177" t="n"/>
      <c r="D55" s="177" t="n"/>
      <c r="E55" s="177" t="n"/>
      <c r="F55" s="177" t="n"/>
      <c r="G55" s="177" t="n"/>
      <c r="H55" s="192" t="inlineStr">
        <is>
          <t>.</t>
        </is>
      </c>
      <c r="I55" s="192" t="inlineStr">
        <is>
          <t>.</t>
        </is>
      </c>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v>10</v>
      </c>
    </row>
    <row r="56">
      <c r="A56" s="1" t="n">
        <v>11</v>
      </c>
      <c r="B56" s="177">
        <f>IF(MAESTRO!D15="","",MAESTRO!D15)</f>
        <v/>
      </c>
      <c r="C56" s="177" t="n"/>
      <c r="D56" s="177" t="n"/>
      <c r="E56" s="177" t="n"/>
      <c r="F56" s="177" t="n"/>
      <c r="G56" s="177" t="n"/>
      <c r="H56" s="192" t="inlineStr">
        <is>
          <t>.</t>
        </is>
      </c>
      <c r="I56" s="192" t="inlineStr">
        <is>
          <t>.</t>
        </is>
      </c>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v>11</v>
      </c>
    </row>
    <row r="57">
      <c r="A57" s="1" t="n">
        <v>12</v>
      </c>
      <c r="B57" s="177">
        <f>IF(MAESTRO!D16="","",MAESTRO!D16)</f>
        <v/>
      </c>
      <c r="C57" s="177" t="n"/>
      <c r="D57" s="177" t="n"/>
      <c r="E57" s="177" t="n"/>
      <c r="F57" s="177" t="n"/>
      <c r="G57" s="177" t="n"/>
      <c r="H57" s="192" t="inlineStr">
        <is>
          <t>.</t>
        </is>
      </c>
      <c r="I57" s="192" t="inlineStr">
        <is>
          <t>.</t>
        </is>
      </c>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v>12</v>
      </c>
    </row>
    <row r="58">
      <c r="A58" s="1" t="n">
        <v>13</v>
      </c>
      <c r="B58" s="177">
        <f>IF(MAESTRO!D17="","",MAESTRO!D17)</f>
        <v/>
      </c>
      <c r="C58" s="177" t="n"/>
      <c r="D58" s="177" t="n"/>
      <c r="E58" s="177" t="n"/>
      <c r="F58" s="177" t="n"/>
      <c r="G58" s="177" t="n"/>
      <c r="H58" s="192" t="inlineStr">
        <is>
          <t>.</t>
        </is>
      </c>
      <c r="I58" s="192" t="inlineStr">
        <is>
          <t>.</t>
        </is>
      </c>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v>13</v>
      </c>
    </row>
    <row r="59">
      <c r="A59" s="1" t="n">
        <v>14</v>
      </c>
      <c r="B59" s="177">
        <f>IF(MAESTRO!D18="","",MAESTRO!D18)</f>
        <v/>
      </c>
      <c r="C59" s="177" t="n"/>
      <c r="D59" s="177" t="n"/>
      <c r="E59" s="177" t="n"/>
      <c r="F59" s="177" t="n"/>
      <c r="G59" s="177" t="n"/>
      <c r="H59" s="192" t="inlineStr">
        <is>
          <t>.</t>
        </is>
      </c>
      <c r="I59" s="192" t="inlineStr">
        <is>
          <t>.</t>
        </is>
      </c>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v>14</v>
      </c>
    </row>
    <row r="60">
      <c r="A60" s="1" t="n">
        <v>15</v>
      </c>
      <c r="B60" s="177">
        <f>IF(MAESTRO!D19="","",MAESTRO!D19)</f>
        <v/>
      </c>
      <c r="C60" s="177" t="n"/>
      <c r="D60" s="177" t="n"/>
      <c r="E60" s="177" t="n"/>
      <c r="F60" s="177" t="n"/>
      <c r="G60" s="177" t="n"/>
      <c r="H60" s="192" t="inlineStr">
        <is>
          <t>.</t>
        </is>
      </c>
      <c r="I60" s="192" t="inlineStr">
        <is>
          <t>.</t>
        </is>
      </c>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IF(MAESTRO!D20="","",MAESTRO!D20)</f>
        <v/>
      </c>
      <c r="C61" s="177" t="n"/>
      <c r="D61" s="177" t="n"/>
      <c r="E61" s="177" t="n"/>
      <c r="F61" s="177" t="n"/>
      <c r="G61" s="177" t="n"/>
      <c r="H61" s="192" t="inlineStr">
        <is>
          <t>-</t>
        </is>
      </c>
      <c r="I61" s="192" t="inlineStr">
        <is>
          <t>.</t>
        </is>
      </c>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IF(MAESTRO!D21="","",MAESTRO!D21)</f>
        <v/>
      </c>
      <c r="C62" s="177" t="n"/>
      <c r="D62" s="177" t="n"/>
      <c r="E62" s="177" t="n"/>
      <c r="F62" s="177" t="n"/>
      <c r="G62" s="177" t="n"/>
      <c r="H62" s="192" t="inlineStr">
        <is>
          <t>.</t>
        </is>
      </c>
      <c r="I62" s="192" t="inlineStr">
        <is>
          <t>.</t>
        </is>
      </c>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IF(MAESTRO!D22="","",MAESTRO!D22)</f>
        <v/>
      </c>
      <c r="C63" s="192" t="n"/>
      <c r="D63" s="192" t="n"/>
      <c r="E63" s="192" t="n"/>
      <c r="F63" s="192" t="n"/>
      <c r="G63" s="192" t="n"/>
      <c r="H63" s="192" t="inlineStr">
        <is>
          <t>.</t>
        </is>
      </c>
      <c r="I63" s="192" t="inlineStr">
        <is>
          <t>.</t>
        </is>
      </c>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IF(MAESTRO!D23="","",MAESTRO!D23)</f>
        <v/>
      </c>
      <c r="C64" s="192" t="n"/>
      <c r="D64" s="192" t="n"/>
      <c r="E64" s="192" t="n"/>
      <c r="F64" s="192" t="n"/>
      <c r="G64" s="192" t="n"/>
      <c r="H64" s="192" t="inlineStr">
        <is>
          <t>.</t>
        </is>
      </c>
      <c r="I64" s="192" t="inlineStr">
        <is>
          <t>.</t>
        </is>
      </c>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IF(MAESTRO!D24="","",MAESTRO!D24)</f>
        <v/>
      </c>
      <c r="C65" s="192" t="n"/>
      <c r="D65" s="192" t="n"/>
      <c r="E65" s="192" t="n"/>
      <c r="F65" s="192" t="n"/>
      <c r="G65" s="192" t="n"/>
      <c r="H65" s="192" t="inlineStr">
        <is>
          <t>.</t>
        </is>
      </c>
      <c r="I65" s="192" t="inlineStr">
        <is>
          <t>.</t>
        </is>
      </c>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IF(MAESTRO!D25="","",MAESTRO!D25)</f>
        <v/>
      </c>
      <c r="C66" s="192" t="n"/>
      <c r="D66" s="192" t="n"/>
      <c r="E66" s="192" t="n"/>
      <c r="F66" s="192" t="n"/>
      <c r="G66" s="192" t="n"/>
      <c r="H66" s="192" t="inlineStr">
        <is>
          <t>.</t>
        </is>
      </c>
      <c r="I66" s="192" t="inlineStr">
        <is>
          <t>.</t>
        </is>
      </c>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IF(MAESTRO!D26="","",MAESTRO!D26)</f>
        <v/>
      </c>
      <c r="C67" s="192" t="n"/>
      <c r="D67" s="192" t="n"/>
      <c r="E67" s="192" t="n"/>
      <c r="F67" s="192" t="n"/>
      <c r="G67" s="192" t="n"/>
      <c r="H67" s="192" t="inlineStr">
        <is>
          <t>.</t>
        </is>
      </c>
      <c r="I67" s="192" t="inlineStr">
        <is>
          <t>.</t>
        </is>
      </c>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IF(MAESTRO!D27="","",MAESTRO!D27)</f>
        <v/>
      </c>
      <c r="C68" s="192" t="n"/>
      <c r="D68" s="192" t="n"/>
      <c r="E68" s="192" t="n"/>
      <c r="F68" s="192" t="n"/>
      <c r="G68" s="192" t="n"/>
      <c r="H68" s="192" t="inlineStr">
        <is>
          <t>.</t>
        </is>
      </c>
      <c r="I68" s="192" t="inlineStr">
        <is>
          <t>.</t>
        </is>
      </c>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IF(MAESTRO!D28="","",MAESTRO!D28)</f>
        <v/>
      </c>
      <c r="C69" s="192" t="n"/>
      <c r="D69" s="192" t="n"/>
      <c r="E69" s="192" t="n"/>
      <c r="F69" s="192" t="n"/>
      <c r="G69" s="192" t="n"/>
      <c r="H69" s="192" t="inlineStr">
        <is>
          <t>.</t>
        </is>
      </c>
      <c r="I69" s="192" t="inlineStr">
        <is>
          <t>.</t>
        </is>
      </c>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IF(MAESTRO!D29="","",MAESTRO!D29)</f>
        <v/>
      </c>
      <c r="C70" s="192" t="n"/>
      <c r="D70" s="192" t="n"/>
      <c r="E70" s="192" t="n"/>
      <c r="F70" s="192" t="n"/>
      <c r="G70" s="192" t="n"/>
      <c r="H70" s="192" t="inlineStr">
        <is>
          <t>.</t>
        </is>
      </c>
      <c r="I70" s="192" t="inlineStr">
        <is>
          <t>.</t>
        </is>
      </c>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IF(MAESTRO!D30="","",MAESTRO!D30)</f>
        <v/>
      </c>
      <c r="C71" s="192" t="n"/>
      <c r="D71" s="192" t="n"/>
      <c r="E71" s="192" t="n"/>
      <c r="F71" s="192" t="n"/>
      <c r="G71" s="192" t="n"/>
      <c r="H71" s="192" t="inlineStr">
        <is>
          <t>.</t>
        </is>
      </c>
      <c r="I71" s="192" t="inlineStr">
        <is>
          <t>.</t>
        </is>
      </c>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IF(MAESTRO!D31="","",MAESTRO!D31)</f>
        <v/>
      </c>
      <c r="C72" s="192" t="n"/>
      <c r="D72" s="192" t="n"/>
      <c r="E72" s="192" t="n"/>
      <c r="F72" s="192" t="n"/>
      <c r="G72" s="192" t="n"/>
      <c r="H72" s="192" t="inlineStr">
        <is>
          <t>.</t>
        </is>
      </c>
      <c r="I72" s="192" t="inlineStr">
        <is>
          <t>.</t>
        </is>
      </c>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IF(MAESTRO!D32="","",MAESTRO!D32)</f>
        <v/>
      </c>
      <c r="C73" s="192" t="n"/>
      <c r="D73" s="192" t="n"/>
      <c r="E73" s="192" t="n"/>
      <c r="F73" s="192" t="n"/>
      <c r="G73" s="192" t="n"/>
      <c r="H73" s="192" t="inlineStr">
        <is>
          <t>.</t>
        </is>
      </c>
      <c r="I73" s="192" t="inlineStr">
        <is>
          <t>.</t>
        </is>
      </c>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IF(MAESTRO!D33="","",MAESTRO!D33)</f>
        <v/>
      </c>
      <c r="C74" s="192" t="n"/>
      <c r="D74" s="192" t="n"/>
      <c r="E74" s="192" t="n"/>
      <c r="F74" s="192" t="n"/>
      <c r="G74" s="192" t="n"/>
      <c r="H74" s="192" t="inlineStr">
        <is>
          <t>-</t>
        </is>
      </c>
      <c r="I74" s="192" t="inlineStr">
        <is>
          <t>-</t>
        </is>
      </c>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IF(MAESTRO!D34="","",MAESTRO!D34)</f>
        <v/>
      </c>
      <c r="C75" s="192" t="n"/>
      <c r="D75" s="192" t="n"/>
      <c r="E75" s="192" t="n"/>
      <c r="F75" s="192" t="n"/>
      <c r="G75" s="192" t="n"/>
      <c r="H75" s="192" t="inlineStr">
        <is>
          <t>.</t>
        </is>
      </c>
      <c r="I75" s="192" t="inlineStr">
        <is>
          <t>.</t>
        </is>
      </c>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IF(MAESTRO!D35="","",MAESTRO!D35)</f>
        <v/>
      </c>
      <c r="C76" s="192" t="n"/>
      <c r="D76" s="192" t="n"/>
      <c r="E76" s="192" t="n"/>
      <c r="F76" s="192" t="n"/>
      <c r="G76" s="192" t="n"/>
      <c r="H76" s="192" t="inlineStr">
        <is>
          <t>.</t>
        </is>
      </c>
      <c r="I76" s="192" t="inlineStr">
        <is>
          <t>.</t>
        </is>
      </c>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IF(MAESTRO!D36="","",MAESTRO!D36)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IF(MAESTRO!D37="","",MAESTRO!D37)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IF(MAESTRO!D38="","",MAESTRO!D38)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IF(MAESTRO!D39="","",MAESTRO!D39)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IF(MAESTRO!D40="","",MAESTRO!D40)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f>IF(MAESTRO!D41="","",MAESTRO!D41)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IF(MAESTRO!D42="","",MAESTRO!D42)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IF(MAESTRO!D43="","",MAESTRO!D43)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IF(MAESTRO!D44="","",MAESTRO!D44)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IF(MAESTRO!D5="","",MAESTRO!D5)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IF(MAESTRO!D6="","",MAESTRO!D6)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IF(MAESTRO!D7="","",MAESTRO!D7)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IF(MAESTRO!D8="","",MAESTRO!D8)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IF(MAESTRO!D9="","",MAESTRO!D9)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IF(MAESTRO!D10="","",MAESTRO!D10)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IF(MAESTRO!D11="","",MAESTRO!D11)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IF(MAESTRO!D12="","",MAESTRO!D12)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IF(MAESTRO!D13="","",MAESTRO!D13)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IF(MAESTRO!D14="","",MAESTRO!D14)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IF(MAESTRO!D15="","",MAESTRO!D15)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IF(MAESTRO!D16="","",MAESTRO!D16)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IF(MAESTRO!D17="","",MAESTRO!D17)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IF(MAESTRO!D18="","",MAESTRO!D18)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IF(MAESTRO!D19="","",MAESTRO!D19)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IF(MAESTRO!D20="","",MAESTRO!D20)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IF(MAESTRO!D21="","",MAESTRO!D21)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IF(MAESTRO!D22="","",MAESTRO!D22)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IF(MAESTRO!D23="","",MAESTRO!D23)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IF(MAESTRO!D24="","",MAESTRO!D24)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IF(MAESTRO!D25="","",MAESTRO!D25)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IF(MAESTRO!D26="","",MAESTRO!D26)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IF(MAESTRO!D27="","",MAESTRO!D27)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IF(MAESTRO!D28="","",MAESTRO!D28)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IF(MAESTRO!D29="","",MAESTRO!D29)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IF(MAESTRO!D30="","",MAESTRO!D30)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IF(MAESTRO!D31="","",MAESTRO!D31)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IF(MAESTRO!D32="","",MAESTRO!D32)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IF(MAESTRO!D33="","",MAESTRO!D33)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IF(MAESTRO!D34="","",MAESTRO!D34)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IF(MAESTRO!D35="","",MAESTRO!D35)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IF(MAESTRO!D36="","",MAESTRO!D36)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IF(MAESTRO!D37="","",MAESTRO!D37)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IF(MAESTRO!D38="","",MAESTRO!D38)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IF(MAESTRO!D39="","",MAESTRO!D39)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IF(MAESTRO!D40="","",MAESTRO!D40)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f>IF(MAESTRO!D41="","",MAESTRO!D41)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IF(MAESTRO!D42="","",MAESTRO!D42)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IF(MAESTRO!D43="","",MAESTRO!D43)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IF(MAESTRO!D44="","",MAESTRO!D44)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0">
      <c r="A130" s="1" t="n">
        <v>42</v>
      </c>
      <c r="B130" s="177" t="n"/>
      <c r="C130" s="192" t="n"/>
      <c r="D130" s="192" t="n"/>
      <c r="E130" s="192" t="n"/>
      <c r="F130" s="192" t="n"/>
      <c r="G130" s="192" t="n"/>
      <c r="H130" s="192" t="n"/>
      <c r="I130" s="192" t="n"/>
      <c r="J130" s="192" t="n"/>
      <c r="K130" s="192"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c r="AD130" s="192" t="n"/>
      <c r="AE130" s="192" t="n"/>
      <c r="AF130" s="192" t="n"/>
      <c r="AG130" s="192" t="n"/>
      <c r="AH130" s="192" t="n"/>
      <c r="AI130" s="192" t="n"/>
      <c r="AJ130" s="192" t="n"/>
      <c r="AK130" s="192" t="n"/>
      <c r="AL130" s="192" t="n"/>
      <c r="AM130" s="192" t="n"/>
      <c r="AN130" s="192" t="n"/>
      <c r="AO130" s="192" t="n"/>
      <c r="AP130" s="192" t="n"/>
      <c r="AQ130" s="192" t="n"/>
      <c r="AR130" s="192" t="n"/>
      <c r="AS130" s="192" t="n"/>
      <c r="AT130" s="192" t="n"/>
      <c r="AU130" s="192" t="n"/>
      <c r="AV130" s="192" t="n"/>
      <c r="AW130" s="192" t="n"/>
      <c r="AX130" s="192" t="n"/>
      <c r="AY130" s="192" t="n"/>
      <c r="AZ130" s="192" t="n"/>
      <c r="BA130" s="192" t="n"/>
      <c r="BB130" s="192" t="n"/>
      <c r="BC130" s="192" t="n"/>
      <c r="BD130" s="192" t="n"/>
      <c r="BE130" s="192" t="n"/>
      <c r="BF130" s="192" t="n"/>
      <c r="BG130" s="192" t="n"/>
      <c r="BH130" s="177" t="n"/>
      <c r="BI130" s="177">
        <f>IFERROR(COUNTIF(C130:BH130,"-"),"")</f>
        <v/>
      </c>
      <c r="BJ130" s="177">
        <f>IFERROR(COUNTIF(D130:BI130,"T"),"")</f>
        <v/>
      </c>
      <c r="BK130" s="177" t="n"/>
      <c r="BL130" s="3" t="n">
        <v>42</v>
      </c>
    </row>
    <row r="136" ht="13.5" customHeight="1" s="176"/>
    <row r="137" ht="14.4" customHeight="1" s="176">
      <c r="A137" s="82" t="n"/>
      <c r="B137" s="81" t="n"/>
      <c r="BI137" s="193" t="n"/>
      <c r="BK137" s="74" t="n"/>
      <c r="BL137" s="74" t="n"/>
    </row>
    <row r="138" ht="21.75" customHeight="1" s="176">
      <c r="A138" s="82" t="n"/>
      <c r="B138" s="81" t="n"/>
      <c r="BI138" s="80" t="n"/>
      <c r="BJ138" s="80" t="n"/>
      <c r="BK138" s="74" t="n"/>
      <c r="BL138" s="74"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IF(MAESTRO!F5="","",MAESTRO!F5)</f>
        <v/>
      </c>
      <c r="C3" s="65" t="inlineStr">
        <is>
          <t>.</t>
        </is>
      </c>
      <c r="D3" s="192" t="inlineStr">
        <is>
          <t>.</t>
        </is>
      </c>
      <c r="E3" s="192" t="inlineStr">
        <is>
          <t>.</t>
        </is>
      </c>
      <c r="F3" s="65" t="inlineStr">
        <is>
          <t>.</t>
        </is>
      </c>
      <c r="G3" s="192" t="inlineStr">
        <is>
          <t>.</t>
        </is>
      </c>
      <c r="H3" s="192" t="inlineStr">
        <is>
          <t>.</t>
        </is>
      </c>
      <c r="I3" s="192" t="inlineStr">
        <is>
          <t>.</t>
        </is>
      </c>
      <c r="J3" s="192" t="inlineStr">
        <is>
          <t>.</t>
        </is>
      </c>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v>1</v>
      </c>
    </row>
    <row r="4" ht="15.6" customHeight="1" s="176">
      <c r="A4" s="1" t="n">
        <v>2</v>
      </c>
      <c r="B4" s="70">
        <f>IF(MAESTRO!F6="","",MAESTRO!F6)</f>
        <v/>
      </c>
      <c r="C4" s="60" t="inlineStr">
        <is>
          <t>.</t>
        </is>
      </c>
      <c r="D4" s="192" t="inlineStr">
        <is>
          <t>.</t>
        </is>
      </c>
      <c r="E4" s="192" t="inlineStr">
        <is>
          <t>.</t>
        </is>
      </c>
      <c r="F4" s="60" t="inlineStr">
        <is>
          <t>-</t>
        </is>
      </c>
      <c r="G4" s="192" t="inlineStr">
        <is>
          <t>.</t>
        </is>
      </c>
      <c r="H4" s="192" t="inlineStr">
        <is>
          <t>.</t>
        </is>
      </c>
      <c r="I4" s="192" t="inlineStr">
        <is>
          <t>.</t>
        </is>
      </c>
      <c r="J4" s="192" t="inlineStr">
        <is>
          <t>.</t>
        </is>
      </c>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v>2</v>
      </c>
    </row>
    <row r="5" ht="15.6" customHeight="1" s="176">
      <c r="A5" s="1" t="n">
        <v>3</v>
      </c>
      <c r="B5" s="70">
        <f>IF(MAESTRO!F7="","",MAESTRO!F7)</f>
        <v/>
      </c>
      <c r="C5" s="60" t="inlineStr">
        <is>
          <t>.</t>
        </is>
      </c>
      <c r="D5" s="192" t="inlineStr">
        <is>
          <t>.</t>
        </is>
      </c>
      <c r="E5" s="192" t="inlineStr">
        <is>
          <t>.</t>
        </is>
      </c>
      <c r="F5" s="60" t="inlineStr">
        <is>
          <t>.</t>
        </is>
      </c>
      <c r="G5" s="192" t="inlineStr">
        <is>
          <t>.</t>
        </is>
      </c>
      <c r="H5" s="192" t="inlineStr">
        <is>
          <t>.</t>
        </is>
      </c>
      <c r="I5" s="192" t="inlineStr">
        <is>
          <t>.</t>
        </is>
      </c>
      <c r="J5" s="192" t="inlineStr">
        <is>
          <t>.</t>
        </is>
      </c>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v>3</v>
      </c>
    </row>
    <row r="6" ht="15.6" customHeight="1" s="176">
      <c r="A6" s="1" t="n">
        <v>4</v>
      </c>
      <c r="B6" s="70">
        <f>IF(MAESTRO!F8="","",MAESTRO!F8)</f>
        <v/>
      </c>
      <c r="C6" s="60" t="inlineStr">
        <is>
          <t>.</t>
        </is>
      </c>
      <c r="D6" s="192" t="inlineStr">
        <is>
          <t>.</t>
        </is>
      </c>
      <c r="E6" s="192" t="inlineStr">
        <is>
          <t>-</t>
        </is>
      </c>
      <c r="F6" s="60" t="inlineStr">
        <is>
          <t>-</t>
        </is>
      </c>
      <c r="G6" s="192" t="inlineStr">
        <is>
          <t>.</t>
        </is>
      </c>
      <c r="H6" s="192" t="inlineStr">
        <is>
          <t>.</t>
        </is>
      </c>
      <c r="I6" s="192" t="inlineStr">
        <is>
          <t>.</t>
        </is>
      </c>
      <c r="J6" s="192" t="inlineStr">
        <is>
          <t>.</t>
        </is>
      </c>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v>4</v>
      </c>
    </row>
    <row r="7" ht="15.6" customHeight="1" s="176">
      <c r="A7" s="1" t="n">
        <v>5</v>
      </c>
      <c r="B7" s="70">
        <f>IF(MAESTRO!F9="","",MAESTRO!F9)</f>
        <v/>
      </c>
      <c r="C7" s="60" t="inlineStr">
        <is>
          <t>.</t>
        </is>
      </c>
      <c r="D7" s="192" t="inlineStr">
        <is>
          <t>.</t>
        </is>
      </c>
      <c r="E7" s="192" t="inlineStr">
        <is>
          <t>.</t>
        </is>
      </c>
      <c r="F7" s="60" t="inlineStr">
        <is>
          <t>.</t>
        </is>
      </c>
      <c r="G7" s="192" t="inlineStr">
        <is>
          <t>.</t>
        </is>
      </c>
      <c r="H7" s="192" t="inlineStr">
        <is>
          <t>.</t>
        </is>
      </c>
      <c r="I7" s="192" t="inlineStr">
        <is>
          <t>.</t>
        </is>
      </c>
      <c r="J7" s="192" t="inlineStr">
        <is>
          <t>.</t>
        </is>
      </c>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v>5</v>
      </c>
    </row>
    <row r="8" ht="15.6" customHeight="1" s="176">
      <c r="A8" s="1" t="n">
        <v>6</v>
      </c>
      <c r="B8" s="70">
        <f>IF(MAESTRO!F10="","",MAESTRO!F10)</f>
        <v/>
      </c>
      <c r="C8" s="60" t="inlineStr">
        <is>
          <t>.</t>
        </is>
      </c>
      <c r="D8" s="192" t="inlineStr">
        <is>
          <t>.</t>
        </is>
      </c>
      <c r="E8" s="192" t="inlineStr">
        <is>
          <t>.</t>
        </is>
      </c>
      <c r="F8" s="60" t="inlineStr">
        <is>
          <t>.</t>
        </is>
      </c>
      <c r="G8" s="192" t="inlineStr">
        <is>
          <t>.</t>
        </is>
      </c>
      <c r="H8" s="192" t="inlineStr">
        <is>
          <t>.</t>
        </is>
      </c>
      <c r="I8" s="192" t="inlineStr">
        <is>
          <t>.</t>
        </is>
      </c>
      <c r="J8" s="192" t="inlineStr">
        <is>
          <t>.</t>
        </is>
      </c>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v>6</v>
      </c>
    </row>
    <row r="9" ht="15.6" customHeight="1" s="176">
      <c r="A9" s="1" t="n">
        <v>7</v>
      </c>
      <c r="B9" s="70">
        <f>IF(MAESTRO!F11="","",MAESTRO!F11)</f>
        <v/>
      </c>
      <c r="C9" s="60" t="inlineStr">
        <is>
          <t>.</t>
        </is>
      </c>
      <c r="D9" s="192" t="inlineStr">
        <is>
          <t>.</t>
        </is>
      </c>
      <c r="E9" s="192" t="inlineStr">
        <is>
          <t>.</t>
        </is>
      </c>
      <c r="F9" s="60" t="inlineStr">
        <is>
          <t>.</t>
        </is>
      </c>
      <c r="G9" s="192" t="inlineStr">
        <is>
          <t>.</t>
        </is>
      </c>
      <c r="H9" s="192" t="inlineStr">
        <is>
          <t>.</t>
        </is>
      </c>
      <c r="I9" s="192" t="inlineStr">
        <is>
          <t>.</t>
        </is>
      </c>
      <c r="J9" s="192" t="inlineStr">
        <is>
          <t>.</t>
        </is>
      </c>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v>7</v>
      </c>
    </row>
    <row r="10" ht="15.6" customHeight="1" s="176">
      <c r="A10" s="1" t="n">
        <v>8</v>
      </c>
      <c r="B10" s="70">
        <f>IF(MAESTRO!F12="","",MAESTRO!F12)</f>
        <v/>
      </c>
      <c r="C10" s="60" t="inlineStr">
        <is>
          <t>.</t>
        </is>
      </c>
      <c r="D10" s="192" t="inlineStr">
        <is>
          <t>.</t>
        </is>
      </c>
      <c r="E10" s="192" t="inlineStr">
        <is>
          <t>.</t>
        </is>
      </c>
      <c r="F10" s="60" t="inlineStr">
        <is>
          <t>-</t>
        </is>
      </c>
      <c r="G10" s="192" t="inlineStr">
        <is>
          <t>.</t>
        </is>
      </c>
      <c r="H10" s="192" t="inlineStr">
        <is>
          <t>.</t>
        </is>
      </c>
      <c r="I10" s="192" t="inlineStr">
        <is>
          <t>.</t>
        </is>
      </c>
      <c r="J10" s="192" t="inlineStr">
        <is>
          <t>.</t>
        </is>
      </c>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v>8</v>
      </c>
    </row>
    <row r="11" ht="15.6" customHeight="1" s="176">
      <c r="A11" s="1" t="n">
        <v>9</v>
      </c>
      <c r="B11" s="70">
        <f>IF(MAESTRO!F13="","",MAESTRO!F13)</f>
        <v/>
      </c>
      <c r="C11" s="60" t="inlineStr">
        <is>
          <t>.</t>
        </is>
      </c>
      <c r="D11" s="192" t="inlineStr">
        <is>
          <t>.</t>
        </is>
      </c>
      <c r="E11" s="192" t="inlineStr">
        <is>
          <t>.</t>
        </is>
      </c>
      <c r="F11" s="60" t="inlineStr">
        <is>
          <t>.</t>
        </is>
      </c>
      <c r="G11" s="192" t="inlineStr">
        <is>
          <t>.</t>
        </is>
      </c>
      <c r="H11" s="192" t="inlineStr">
        <is>
          <t>.</t>
        </is>
      </c>
      <c r="I11" s="192" t="inlineStr">
        <is>
          <t>.</t>
        </is>
      </c>
      <c r="J11" s="192" t="inlineStr">
        <is>
          <t>.</t>
        </is>
      </c>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v>9</v>
      </c>
    </row>
    <row r="12" ht="15.6" customHeight="1" s="176">
      <c r="A12" s="1" t="n">
        <v>10</v>
      </c>
      <c r="B12" s="70">
        <f>IF(MAESTRO!F14="","",MAESTRO!F14)</f>
        <v/>
      </c>
      <c r="C12" s="60" t="inlineStr">
        <is>
          <t>.</t>
        </is>
      </c>
      <c r="D12" s="192" t="inlineStr">
        <is>
          <t>.</t>
        </is>
      </c>
      <c r="E12" s="192" t="inlineStr">
        <is>
          <t>.</t>
        </is>
      </c>
      <c r="F12" s="60" t="inlineStr">
        <is>
          <t>-</t>
        </is>
      </c>
      <c r="G12" s="192" t="inlineStr">
        <is>
          <t>.</t>
        </is>
      </c>
      <c r="H12" s="192" t="inlineStr">
        <is>
          <t>.</t>
        </is>
      </c>
      <c r="I12" s="192" t="inlineStr">
        <is>
          <t>.</t>
        </is>
      </c>
      <c r="J12" s="192" t="inlineStr">
        <is>
          <t>.</t>
        </is>
      </c>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v>10</v>
      </c>
    </row>
    <row r="13" ht="15.6" customHeight="1" s="176">
      <c r="A13" s="1" t="n">
        <v>11</v>
      </c>
      <c r="B13" s="70">
        <f>IF(MAESTRO!F15="","",MAESTRO!F15)</f>
        <v/>
      </c>
      <c r="C13" s="60" t="inlineStr">
        <is>
          <t>.</t>
        </is>
      </c>
      <c r="D13" s="192" t="inlineStr">
        <is>
          <t>-</t>
        </is>
      </c>
      <c r="E13" s="192" t="inlineStr">
        <is>
          <t>.</t>
        </is>
      </c>
      <c r="F13" s="60" t="inlineStr">
        <is>
          <t>.</t>
        </is>
      </c>
      <c r="G13" s="192" t="inlineStr">
        <is>
          <t>.</t>
        </is>
      </c>
      <c r="H13" s="192" t="inlineStr">
        <is>
          <t>.</t>
        </is>
      </c>
      <c r="I13" s="192" t="inlineStr">
        <is>
          <t>.</t>
        </is>
      </c>
      <c r="J13" s="192" t="inlineStr">
        <is>
          <t>.</t>
        </is>
      </c>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v>11</v>
      </c>
    </row>
    <row r="14" ht="15.6" customHeight="1" s="176">
      <c r="A14" s="1" t="n">
        <v>12</v>
      </c>
      <c r="B14" s="70">
        <f>IF(MAESTRO!F16="","",MAESTRO!F16)</f>
        <v/>
      </c>
      <c r="C14" s="60" t="inlineStr">
        <is>
          <t>.</t>
        </is>
      </c>
      <c r="D14" s="192" t="inlineStr">
        <is>
          <t>.</t>
        </is>
      </c>
      <c r="E14" s="192" t="inlineStr">
        <is>
          <t>.</t>
        </is>
      </c>
      <c r="F14" s="60" t="inlineStr">
        <is>
          <t>.</t>
        </is>
      </c>
      <c r="G14" s="192" t="inlineStr">
        <is>
          <t>.</t>
        </is>
      </c>
      <c r="H14" s="192" t="inlineStr">
        <is>
          <t>.</t>
        </is>
      </c>
      <c r="I14" s="192" t="inlineStr">
        <is>
          <t>.</t>
        </is>
      </c>
      <c r="J14" s="192" t="inlineStr">
        <is>
          <t>.</t>
        </is>
      </c>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v>12</v>
      </c>
    </row>
    <row r="15" ht="15.6" customHeight="1" s="176">
      <c r="A15" s="1" t="n">
        <v>13</v>
      </c>
      <c r="B15" s="70">
        <f>IF(MAESTRO!F17="","",MAESTRO!F17)</f>
        <v/>
      </c>
      <c r="C15" s="60" t="inlineStr">
        <is>
          <t>.</t>
        </is>
      </c>
      <c r="D15" s="192" t="inlineStr">
        <is>
          <t>.</t>
        </is>
      </c>
      <c r="E15" s="192" t="inlineStr">
        <is>
          <t>.</t>
        </is>
      </c>
      <c r="F15" s="60" t="n"/>
      <c r="G15" s="192" t="inlineStr">
        <is>
          <t>.</t>
        </is>
      </c>
      <c r="H15" s="192" t="inlineStr">
        <is>
          <t>.</t>
        </is>
      </c>
      <c r="I15" s="192" t="inlineStr">
        <is>
          <t>.</t>
        </is>
      </c>
      <c r="J15" s="192" t="inlineStr">
        <is>
          <t>.</t>
        </is>
      </c>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v>13</v>
      </c>
    </row>
    <row r="16" ht="15.6" customHeight="1" s="176">
      <c r="A16" s="1" t="n">
        <v>14</v>
      </c>
      <c r="B16" s="70">
        <f>IF(MAESTRO!F18="","",MAESTRO!F18)</f>
        <v/>
      </c>
      <c r="C16" s="60" t="inlineStr">
        <is>
          <t>.</t>
        </is>
      </c>
      <c r="D16" s="192" t="inlineStr">
        <is>
          <t>-</t>
        </is>
      </c>
      <c r="E16" s="192" t="inlineStr">
        <is>
          <t>.</t>
        </is>
      </c>
      <c r="F16" s="60" t="inlineStr">
        <is>
          <t>.</t>
        </is>
      </c>
      <c r="G16" s="192" t="inlineStr">
        <is>
          <t>.</t>
        </is>
      </c>
      <c r="H16" s="192" t="inlineStr">
        <is>
          <t>.</t>
        </is>
      </c>
      <c r="I16" s="192" t="inlineStr">
        <is>
          <t>.</t>
        </is>
      </c>
      <c r="J16" s="192" t="inlineStr">
        <is>
          <t>.</t>
        </is>
      </c>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v>14</v>
      </c>
    </row>
    <row r="17" ht="15.6" customHeight="1" s="176">
      <c r="A17" s="1" t="n">
        <v>15</v>
      </c>
      <c r="B17" s="70">
        <f>IF(MAESTRO!F19="","",MAESTRO!F19)</f>
        <v/>
      </c>
      <c r="C17" s="60" t="inlineStr">
        <is>
          <t>.</t>
        </is>
      </c>
      <c r="D17" s="192" t="inlineStr">
        <is>
          <t>.</t>
        </is>
      </c>
      <c r="E17" s="192" t="inlineStr">
        <is>
          <t>.</t>
        </is>
      </c>
      <c r="F17" s="60" t="inlineStr">
        <is>
          <t>.</t>
        </is>
      </c>
      <c r="G17" s="192" t="inlineStr">
        <is>
          <t>.</t>
        </is>
      </c>
      <c r="H17" s="192" t="inlineStr">
        <is>
          <t>.</t>
        </is>
      </c>
      <c r="I17" s="192" t="inlineStr">
        <is>
          <t>.</t>
        </is>
      </c>
      <c r="J17" s="192" t="inlineStr">
        <is>
          <t>.</t>
        </is>
      </c>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v>15</v>
      </c>
    </row>
    <row r="18" ht="15.6" customHeight="1" s="176">
      <c r="A18" s="1" t="n">
        <v>16</v>
      </c>
      <c r="B18" s="70">
        <f>IF(MAESTRO!F20="","",MAESTRO!F20)</f>
        <v/>
      </c>
      <c r="C18" s="60" t="inlineStr">
        <is>
          <t>.</t>
        </is>
      </c>
      <c r="D18" s="192" t="inlineStr">
        <is>
          <t>.</t>
        </is>
      </c>
      <c r="E18" s="192" t="inlineStr">
        <is>
          <t>-</t>
        </is>
      </c>
      <c r="F18" s="60" t="inlineStr">
        <is>
          <t>-</t>
        </is>
      </c>
      <c r="G18" s="192" t="inlineStr">
        <is>
          <t>-</t>
        </is>
      </c>
      <c r="H18" s="192" t="inlineStr">
        <is>
          <t>.</t>
        </is>
      </c>
      <c r="I18" s="192" t="inlineStr">
        <is>
          <t>.</t>
        </is>
      </c>
      <c r="J18" s="192" t="inlineStr">
        <is>
          <t>.</t>
        </is>
      </c>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v>16</v>
      </c>
    </row>
    <row r="19" ht="15.6" customHeight="1" s="176">
      <c r="A19" s="1" t="n">
        <v>17</v>
      </c>
      <c r="B19" s="70">
        <f>IF(MAESTRO!F21="","",MAESTRO!F21)</f>
        <v/>
      </c>
      <c r="C19" s="60" t="inlineStr">
        <is>
          <t>.</t>
        </is>
      </c>
      <c r="D19" s="192" t="inlineStr">
        <is>
          <t>.</t>
        </is>
      </c>
      <c r="E19" s="192" t="inlineStr">
        <is>
          <t>.</t>
        </is>
      </c>
      <c r="F19" s="60" t="inlineStr">
        <is>
          <t>.</t>
        </is>
      </c>
      <c r="G19" s="192" t="inlineStr">
        <is>
          <t>.</t>
        </is>
      </c>
      <c r="H19" s="192" t="inlineStr">
        <is>
          <t>.</t>
        </is>
      </c>
      <c r="I19" s="192" t="inlineStr">
        <is>
          <t>.</t>
        </is>
      </c>
      <c r="J19" s="192" t="inlineStr">
        <is>
          <t>.</t>
        </is>
      </c>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v>17</v>
      </c>
    </row>
    <row r="20" ht="15.6" customHeight="1" s="176">
      <c r="A20" s="1" t="n">
        <v>18</v>
      </c>
      <c r="B20" s="70">
        <f>IF(MAESTRO!F22="","",MAESTRO!F22)</f>
        <v/>
      </c>
      <c r="C20" s="60" t="inlineStr">
        <is>
          <t>.</t>
        </is>
      </c>
      <c r="D20" s="192" t="inlineStr">
        <is>
          <t>.</t>
        </is>
      </c>
      <c r="E20" s="192" t="inlineStr">
        <is>
          <t>.</t>
        </is>
      </c>
      <c r="F20" s="60" t="inlineStr">
        <is>
          <t>-</t>
        </is>
      </c>
      <c r="G20" s="192" t="inlineStr">
        <is>
          <t>.</t>
        </is>
      </c>
      <c r="H20" s="192" t="inlineStr">
        <is>
          <t>.</t>
        </is>
      </c>
      <c r="I20" s="192" t="inlineStr">
        <is>
          <t>-</t>
        </is>
      </c>
      <c r="J20" s="192" t="inlineStr">
        <is>
          <t>.</t>
        </is>
      </c>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v>18</v>
      </c>
    </row>
    <row r="21" ht="15.6" customHeight="1" s="176">
      <c r="A21" s="1" t="n">
        <v>19</v>
      </c>
      <c r="B21" s="70">
        <f>IF(MAESTRO!F23="","",MAESTRO!F23)</f>
        <v/>
      </c>
      <c r="C21" s="60" t="inlineStr">
        <is>
          <t>-</t>
        </is>
      </c>
      <c r="D21" s="192" t="inlineStr">
        <is>
          <t>.</t>
        </is>
      </c>
      <c r="E21" s="192" t="inlineStr">
        <is>
          <t>.</t>
        </is>
      </c>
      <c r="F21" s="60" t="inlineStr">
        <is>
          <t>.</t>
        </is>
      </c>
      <c r="G21" s="192" t="inlineStr">
        <is>
          <t>.</t>
        </is>
      </c>
      <c r="H21" s="192" t="inlineStr">
        <is>
          <t>.</t>
        </is>
      </c>
      <c r="I21" s="192" t="inlineStr">
        <is>
          <t>.</t>
        </is>
      </c>
      <c r="J21" s="192" t="inlineStr">
        <is>
          <t>-</t>
        </is>
      </c>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v>19</v>
      </c>
    </row>
    <row r="22" ht="15.6" customHeight="1" s="176">
      <c r="A22" s="1" t="n">
        <v>20</v>
      </c>
      <c r="B22" s="70">
        <f>IF(MAESTRO!F24="","",MAESTRO!F24)</f>
        <v/>
      </c>
      <c r="C22" s="60" t="inlineStr">
        <is>
          <t>-</t>
        </is>
      </c>
      <c r="D22" s="192" t="inlineStr">
        <is>
          <t>-</t>
        </is>
      </c>
      <c r="E22" s="192" t="inlineStr">
        <is>
          <t>.</t>
        </is>
      </c>
      <c r="F22" s="60" t="inlineStr">
        <is>
          <t>.</t>
        </is>
      </c>
      <c r="G22" s="192" t="inlineStr">
        <is>
          <t>.</t>
        </is>
      </c>
      <c r="H22" s="192" t="inlineStr">
        <is>
          <t>.</t>
        </is>
      </c>
      <c r="I22" s="192" t="inlineStr">
        <is>
          <t>.</t>
        </is>
      </c>
      <c r="J22" s="192" t="inlineStr">
        <is>
          <t>.</t>
        </is>
      </c>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v>20</v>
      </c>
    </row>
    <row r="23" ht="15.6" customHeight="1" s="176">
      <c r="A23" s="1" t="n">
        <v>21</v>
      </c>
      <c r="B23" s="70">
        <f>IF(MAESTRO!F25="","",MAESTRO!F25)</f>
        <v/>
      </c>
      <c r="C23" s="60" t="inlineStr">
        <is>
          <t>.</t>
        </is>
      </c>
      <c r="D23" s="192" t="inlineStr">
        <is>
          <t>.</t>
        </is>
      </c>
      <c r="E23" s="192" t="inlineStr">
        <is>
          <t>.</t>
        </is>
      </c>
      <c r="F23" s="60" t="inlineStr">
        <is>
          <t>-</t>
        </is>
      </c>
      <c r="G23" s="192" t="inlineStr">
        <is>
          <t>.</t>
        </is>
      </c>
      <c r="H23" s="192" t="inlineStr">
        <is>
          <t>.</t>
        </is>
      </c>
      <c r="I23" s="192" t="inlineStr">
        <is>
          <t>.</t>
        </is>
      </c>
      <c r="J23" s="192" t="inlineStr">
        <is>
          <t>.</t>
        </is>
      </c>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v>21</v>
      </c>
    </row>
    <row r="24" ht="15.6" customHeight="1" s="176">
      <c r="A24" s="1" t="n">
        <v>22</v>
      </c>
      <c r="B24" s="70">
        <f>IF(MAESTRO!F26="","",MAESTRO!F26)</f>
        <v/>
      </c>
      <c r="C24" s="60" t="inlineStr">
        <is>
          <t>.</t>
        </is>
      </c>
      <c r="D24" s="192" t="inlineStr">
        <is>
          <t>.</t>
        </is>
      </c>
      <c r="E24" s="192" t="inlineStr">
        <is>
          <t>.</t>
        </is>
      </c>
      <c r="F24" s="60" t="inlineStr">
        <is>
          <t>.</t>
        </is>
      </c>
      <c r="G24" s="192" t="inlineStr">
        <is>
          <t>.</t>
        </is>
      </c>
      <c r="H24" s="192" t="inlineStr">
        <is>
          <t>.</t>
        </is>
      </c>
      <c r="I24" s="192" t="inlineStr">
        <is>
          <t>.</t>
        </is>
      </c>
      <c r="J24" s="192" t="inlineStr">
        <is>
          <t>.</t>
        </is>
      </c>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v>22</v>
      </c>
    </row>
    <row r="25" ht="15.6" customHeight="1" s="176">
      <c r="A25" s="1" t="n">
        <v>23</v>
      </c>
      <c r="B25" s="70">
        <f>IF(MAESTRO!F27="","",MAESTRO!F27)</f>
        <v/>
      </c>
      <c r="C25" s="60" t="inlineStr">
        <is>
          <t>.</t>
        </is>
      </c>
      <c r="D25" s="192" t="inlineStr">
        <is>
          <t>.</t>
        </is>
      </c>
      <c r="E25" s="192" t="inlineStr">
        <is>
          <t>.</t>
        </is>
      </c>
      <c r="F25" s="60" t="inlineStr">
        <is>
          <t>.</t>
        </is>
      </c>
      <c r="G25" s="192" t="inlineStr">
        <is>
          <t>.</t>
        </is>
      </c>
      <c r="H25" s="192" t="inlineStr">
        <is>
          <t>.</t>
        </is>
      </c>
      <c r="I25" s="192" t="inlineStr">
        <is>
          <t>.</t>
        </is>
      </c>
      <c r="J25" s="192" t="inlineStr">
        <is>
          <t>.</t>
        </is>
      </c>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v>23</v>
      </c>
    </row>
    <row r="26" ht="15.6" customHeight="1" s="176">
      <c r="A26" s="1" t="n">
        <v>24</v>
      </c>
      <c r="B26" s="70">
        <f>IF(MAESTRO!F28="","",MAESTRO!F28)</f>
        <v/>
      </c>
      <c r="C26" s="60" t="inlineStr">
        <is>
          <t>.</t>
        </is>
      </c>
      <c r="D26" s="192" t="inlineStr">
        <is>
          <t>.</t>
        </is>
      </c>
      <c r="E26" s="192" t="inlineStr">
        <is>
          <t>.</t>
        </is>
      </c>
      <c r="F26" s="60" t="inlineStr">
        <is>
          <t>.</t>
        </is>
      </c>
      <c r="G26" s="192" t="inlineStr">
        <is>
          <t>.</t>
        </is>
      </c>
      <c r="H26" s="192" t="inlineStr">
        <is>
          <t>.</t>
        </is>
      </c>
      <c r="I26" s="192" t="inlineStr">
        <is>
          <t>.</t>
        </is>
      </c>
      <c r="J26" s="192" t="inlineStr">
        <is>
          <t>.</t>
        </is>
      </c>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v>24</v>
      </c>
    </row>
    <row r="27" ht="15.6" customHeight="1" s="176">
      <c r="A27" s="1" t="n">
        <v>25</v>
      </c>
      <c r="B27" s="70">
        <f>IF(MAESTRO!F29="","",MAESTRO!F29)</f>
        <v/>
      </c>
      <c r="C27" s="60" t="inlineStr">
        <is>
          <t>.</t>
        </is>
      </c>
      <c r="D27" s="192" t="inlineStr">
        <is>
          <t>.</t>
        </is>
      </c>
      <c r="E27" s="192" t="inlineStr">
        <is>
          <t>.</t>
        </is>
      </c>
      <c r="F27" s="60" t="inlineStr">
        <is>
          <t>.</t>
        </is>
      </c>
      <c r="G27" s="192" t="inlineStr">
        <is>
          <t>.</t>
        </is>
      </c>
      <c r="H27" s="192" t="inlineStr">
        <is>
          <t>.</t>
        </is>
      </c>
      <c r="I27" s="192" t="inlineStr">
        <is>
          <t>.</t>
        </is>
      </c>
      <c r="J27" s="192" t="inlineStr">
        <is>
          <t>.</t>
        </is>
      </c>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v>25</v>
      </c>
    </row>
    <row r="28" ht="15.6" customHeight="1" s="176">
      <c r="A28" s="1" t="n">
        <v>26</v>
      </c>
      <c r="B28" s="70">
        <f>IF(MAESTRO!F30="","",MAESTRO!F30)</f>
        <v/>
      </c>
      <c r="C28" s="60" t="inlineStr">
        <is>
          <t>.</t>
        </is>
      </c>
      <c r="D28" s="192" t="inlineStr">
        <is>
          <t>.</t>
        </is>
      </c>
      <c r="E28" s="192" t="inlineStr">
        <is>
          <t>.</t>
        </is>
      </c>
      <c r="F28" s="60" t="inlineStr">
        <is>
          <t>.</t>
        </is>
      </c>
      <c r="G28" s="192" t="inlineStr">
        <is>
          <t>.</t>
        </is>
      </c>
      <c r="H28" s="192" t="inlineStr">
        <is>
          <t>.</t>
        </is>
      </c>
      <c r="I28" s="192" t="inlineStr">
        <is>
          <t>.</t>
        </is>
      </c>
      <c r="J28" s="192" t="inlineStr">
        <is>
          <t>.</t>
        </is>
      </c>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v>26</v>
      </c>
    </row>
    <row r="29" ht="15.6" customHeight="1" s="176">
      <c r="A29" s="1" t="n">
        <v>27</v>
      </c>
      <c r="B29" s="70">
        <f>IF(MAESTRO!F31="","",MAESTRO!F31)</f>
        <v/>
      </c>
      <c r="C29" s="60" t="inlineStr">
        <is>
          <t>.</t>
        </is>
      </c>
      <c r="D29" s="192" t="inlineStr">
        <is>
          <t>.</t>
        </is>
      </c>
      <c r="E29" s="192" t="inlineStr">
        <is>
          <t>.</t>
        </is>
      </c>
      <c r="F29" s="60" t="inlineStr">
        <is>
          <t>-</t>
        </is>
      </c>
      <c r="G29" s="192" t="inlineStr">
        <is>
          <t>.</t>
        </is>
      </c>
      <c r="H29" s="192" t="inlineStr">
        <is>
          <t>.</t>
        </is>
      </c>
      <c r="I29" s="192" t="inlineStr">
        <is>
          <t>.</t>
        </is>
      </c>
      <c r="J29" s="192" t="inlineStr">
        <is>
          <t>.</t>
        </is>
      </c>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v>27</v>
      </c>
    </row>
    <row r="30" ht="15.6" customHeight="1" s="176">
      <c r="A30" s="1" t="n">
        <v>28</v>
      </c>
      <c r="B30" s="70">
        <f>IF(MAESTRO!F32="","",MAESTRO!F32)</f>
        <v/>
      </c>
      <c r="C30" s="60" t="inlineStr">
        <is>
          <t>.</t>
        </is>
      </c>
      <c r="D30" s="192" t="inlineStr">
        <is>
          <t>.</t>
        </is>
      </c>
      <c r="E30" s="192" t="inlineStr">
        <is>
          <t>.</t>
        </is>
      </c>
      <c r="F30" s="60" t="inlineStr">
        <is>
          <t>.</t>
        </is>
      </c>
      <c r="G30" s="192" t="inlineStr">
        <is>
          <t>.</t>
        </is>
      </c>
      <c r="H30" s="192" t="inlineStr">
        <is>
          <t>.</t>
        </is>
      </c>
      <c r="I30" s="192" t="inlineStr">
        <is>
          <t>.</t>
        </is>
      </c>
      <c r="J30" s="192" t="inlineStr">
        <is>
          <t>.</t>
        </is>
      </c>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v>28</v>
      </c>
    </row>
    <row r="31" ht="15.6" customHeight="1" s="176">
      <c r="A31" s="1" t="n">
        <v>29</v>
      </c>
      <c r="B31" s="70">
        <f>IF(MAESTRO!F33="","",MAESTRO!F33)</f>
        <v/>
      </c>
      <c r="C31" s="60" t="inlineStr">
        <is>
          <t>-</t>
        </is>
      </c>
      <c r="D31" s="192" t="inlineStr">
        <is>
          <t>.</t>
        </is>
      </c>
      <c r="E31" s="192" t="inlineStr">
        <is>
          <t>.</t>
        </is>
      </c>
      <c r="F31" s="60" t="inlineStr">
        <is>
          <t>.</t>
        </is>
      </c>
      <c r="G31" s="192" t="inlineStr">
        <is>
          <t>.</t>
        </is>
      </c>
      <c r="H31" s="192" t="inlineStr">
        <is>
          <t>.</t>
        </is>
      </c>
      <c r="I31" s="192" t="inlineStr">
        <is>
          <t>.</t>
        </is>
      </c>
      <c r="J31" s="192" t="inlineStr">
        <is>
          <t>.</t>
        </is>
      </c>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v>29</v>
      </c>
    </row>
    <row r="32" ht="15.6" customHeight="1" s="176">
      <c r="A32" s="1" t="n">
        <v>30</v>
      </c>
      <c r="B32" s="70">
        <f>IF(MAESTRO!F34="","",MAESTRO!F34)</f>
        <v/>
      </c>
      <c r="C32" s="60" t="inlineStr">
        <is>
          <t>.</t>
        </is>
      </c>
      <c r="D32" s="192" t="inlineStr">
        <is>
          <t>.</t>
        </is>
      </c>
      <c r="E32" s="192" t="inlineStr">
        <is>
          <t>.</t>
        </is>
      </c>
      <c r="F32" s="60" t="inlineStr">
        <is>
          <t>-</t>
        </is>
      </c>
      <c r="G32" s="192" t="inlineStr">
        <is>
          <t>.</t>
        </is>
      </c>
      <c r="H32" s="192" t="inlineStr">
        <is>
          <t>.</t>
        </is>
      </c>
      <c r="I32" s="192" t="inlineStr">
        <is>
          <t>.</t>
        </is>
      </c>
      <c r="J32" s="192" t="inlineStr">
        <is>
          <t>.</t>
        </is>
      </c>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v>30</v>
      </c>
    </row>
    <row r="33" ht="15.6" customHeight="1" s="176">
      <c r="A33" s="1" t="n">
        <v>31</v>
      </c>
      <c r="B33" s="70">
        <f>IF(MAESTRO!F35="","",MAESTRO!F35)</f>
        <v/>
      </c>
      <c r="C33" s="60" t="inlineStr">
        <is>
          <t>-</t>
        </is>
      </c>
      <c r="D33" s="192" t="inlineStr">
        <is>
          <t>-</t>
        </is>
      </c>
      <c r="E33" s="192" t="inlineStr">
        <is>
          <t>.</t>
        </is>
      </c>
      <c r="F33" s="60" t="inlineStr">
        <is>
          <t>-</t>
        </is>
      </c>
      <c r="G33" s="192" t="inlineStr">
        <is>
          <t>.</t>
        </is>
      </c>
      <c r="H33" s="192" t="inlineStr">
        <is>
          <t>.</t>
        </is>
      </c>
      <c r="I33" s="192" t="inlineStr">
        <is>
          <t>.</t>
        </is>
      </c>
      <c r="J33" s="192" t="inlineStr">
        <is>
          <t>.</t>
        </is>
      </c>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v>31</v>
      </c>
    </row>
    <row r="34" ht="15.6" customHeight="1" s="176">
      <c r="A34" s="1" t="n">
        <v>32</v>
      </c>
      <c r="B34" s="70">
        <f>IF(MAESTRO!F36="","",MAESTRO!F36)</f>
        <v/>
      </c>
      <c r="C34" s="60" t="inlineStr">
        <is>
          <t>.</t>
        </is>
      </c>
      <c r="D34" s="192" t="inlineStr">
        <is>
          <t>.</t>
        </is>
      </c>
      <c r="E34" s="192" t="inlineStr">
        <is>
          <t>.</t>
        </is>
      </c>
      <c r="F34" s="60" t="inlineStr">
        <is>
          <t>.</t>
        </is>
      </c>
      <c r="G34" s="192" t="inlineStr">
        <is>
          <t>.</t>
        </is>
      </c>
      <c r="H34" s="192" t="inlineStr">
        <is>
          <t>.</t>
        </is>
      </c>
      <c r="I34" s="192" t="inlineStr">
        <is>
          <t>.</t>
        </is>
      </c>
      <c r="J34" s="192" t="inlineStr">
        <is>
          <t>.</t>
        </is>
      </c>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v>32</v>
      </c>
    </row>
    <row r="35" ht="15.6" customHeight="1" s="176">
      <c r="A35" s="1" t="n">
        <v>33</v>
      </c>
      <c r="B35" s="70">
        <f>IF(MAESTRO!F37="","",MAESTRO!F37)</f>
        <v/>
      </c>
      <c r="C35" s="60" t="inlineStr">
        <is>
          <t>.</t>
        </is>
      </c>
      <c r="D35" s="192" t="inlineStr">
        <is>
          <t>.</t>
        </is>
      </c>
      <c r="E35" s="192" t="inlineStr">
        <is>
          <t>.</t>
        </is>
      </c>
      <c r="F35" s="60" t="inlineStr">
        <is>
          <t>.</t>
        </is>
      </c>
      <c r="G35" s="192" t="inlineStr">
        <is>
          <t>-</t>
        </is>
      </c>
      <c r="H35" s="192" t="inlineStr">
        <is>
          <t>.</t>
        </is>
      </c>
      <c r="I35" s="192" t="inlineStr">
        <is>
          <t>.</t>
        </is>
      </c>
      <c r="J35" s="192" t="inlineStr">
        <is>
          <t>.</t>
        </is>
      </c>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v>33</v>
      </c>
    </row>
    <row r="36" ht="15.6" customHeight="1" s="176">
      <c r="A36" s="1" t="n">
        <v>34</v>
      </c>
      <c r="B36" s="70">
        <f>IF(MAESTRO!F38="","",MAESTRO!F38)</f>
        <v/>
      </c>
      <c r="C36" s="60" t="inlineStr">
        <is>
          <t>.</t>
        </is>
      </c>
      <c r="D36" s="192" t="inlineStr">
        <is>
          <t>.</t>
        </is>
      </c>
      <c r="E36" s="192" t="inlineStr">
        <is>
          <t>.</t>
        </is>
      </c>
      <c r="F36" s="60" t="inlineStr">
        <is>
          <t>.</t>
        </is>
      </c>
      <c r="G36" s="192" t="inlineStr">
        <is>
          <t>.</t>
        </is>
      </c>
      <c r="H36" s="192" t="inlineStr">
        <is>
          <t>.</t>
        </is>
      </c>
      <c r="I36" s="192" t="inlineStr">
        <is>
          <t>.</t>
        </is>
      </c>
      <c r="J36" s="192" t="inlineStr">
        <is>
          <t>.</t>
        </is>
      </c>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v>34</v>
      </c>
    </row>
    <row r="37" ht="15.6" customHeight="1" s="176">
      <c r="A37" s="1" t="n">
        <v>35</v>
      </c>
      <c r="B37" s="70">
        <f>IF(MAESTRO!F39="","",MAESTRO!F39)</f>
        <v/>
      </c>
      <c r="C37" s="60" t="inlineStr">
        <is>
          <t>.</t>
        </is>
      </c>
      <c r="D37" s="192" t="inlineStr">
        <is>
          <t>.</t>
        </is>
      </c>
      <c r="E37" s="192" t="inlineStr">
        <is>
          <t>.</t>
        </is>
      </c>
      <c r="F37" s="60" t="inlineStr">
        <is>
          <t>.</t>
        </is>
      </c>
      <c r="G37" s="192" t="inlineStr">
        <is>
          <t>.</t>
        </is>
      </c>
      <c r="H37" s="192" t="inlineStr">
        <is>
          <t>.</t>
        </is>
      </c>
      <c r="I37" s="192" t="inlineStr">
        <is>
          <t>.</t>
        </is>
      </c>
      <c r="J37" s="192" t="inlineStr">
        <is>
          <t>.</t>
        </is>
      </c>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v>35</v>
      </c>
    </row>
    <row r="38" ht="15.6" customHeight="1" s="176">
      <c r="A38" s="1" t="n">
        <v>36</v>
      </c>
      <c r="B38" s="70">
        <f>IF(MAESTRO!F40="","",MAESTRO!F40)</f>
        <v/>
      </c>
      <c r="C38" s="60" t="inlineStr">
        <is>
          <t>-</t>
        </is>
      </c>
      <c r="D38" s="192" t="inlineStr">
        <is>
          <t>-</t>
        </is>
      </c>
      <c r="E38" s="192" t="inlineStr">
        <is>
          <t>.</t>
        </is>
      </c>
      <c r="F38" s="60" t="inlineStr">
        <is>
          <t>.</t>
        </is>
      </c>
      <c r="G38" s="192" t="inlineStr">
        <is>
          <t>.</t>
        </is>
      </c>
      <c r="H38" s="192" t="inlineStr">
        <is>
          <t>.</t>
        </is>
      </c>
      <c r="I38" s="192" t="inlineStr">
        <is>
          <t>.</t>
        </is>
      </c>
      <c r="J38" s="192" t="inlineStr">
        <is>
          <t>.</t>
        </is>
      </c>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v>36</v>
      </c>
    </row>
    <row r="39">
      <c r="A39" s="1" t="n">
        <v>37</v>
      </c>
      <c r="B39" s="70">
        <f>IF(MAESTRO!F41="","",MAESTRO!F41)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v>37</v>
      </c>
    </row>
    <row r="40">
      <c r="A40" s="1" t="n">
        <v>38</v>
      </c>
      <c r="B40" s="70">
        <f>IF(MAESTRO!F42="","",MAESTRO!F42)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v>38</v>
      </c>
    </row>
    <row r="41">
      <c r="A41" s="1" t="n">
        <v>39</v>
      </c>
      <c r="B41" s="70">
        <f>IF(MAESTRO!F43="","",MAESTRO!F43)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v>39</v>
      </c>
    </row>
    <row r="42" ht="31.2" customHeight="1" s="176">
      <c r="A42" s="277" t="n"/>
      <c r="B42" s="202">
        <f>IF(MAESTRO!F44="","",MAESTRO!F44)</f>
        <v/>
      </c>
      <c r="C42" s="209" t="inlineStr">
        <is>
          <t>ASISTENCIA DEL__23__DE____JUNIO____AL__12___DE___SEPTIEMBRE__</t>
        </is>
      </c>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c r="AJ42" s="205" t="n"/>
      <c r="AK42" s="205" t="n"/>
      <c r="AL42" s="205" t="n"/>
      <c r="AM42" s="205" t="n"/>
      <c r="AN42" s="205" t="n"/>
      <c r="AO42" s="205" t="n"/>
      <c r="AP42" s="205" t="n"/>
      <c r="AQ42" s="205" t="n"/>
      <c r="AR42" s="205" t="n"/>
      <c r="AS42" s="205" t="n"/>
      <c r="AT42" s="205" t="n"/>
      <c r="AU42" s="205" t="n"/>
      <c r="AV42" s="205" t="n"/>
      <c r="AW42" s="205" t="n"/>
      <c r="AX42" s="205" t="n"/>
      <c r="AY42" s="205" t="n"/>
      <c r="AZ42" s="205" t="n"/>
      <c r="BA42" s="205" t="n"/>
      <c r="BB42" s="205" t="n"/>
      <c r="BC42" s="205" t="n"/>
      <c r="BD42" s="205" t="n"/>
      <c r="BE42" s="205" t="n"/>
      <c r="BF42" s="205" t="n"/>
      <c r="BG42" s="205" t="n"/>
      <c r="BH42" s="178" t="n"/>
      <c r="BI42" s="192" t="inlineStr">
        <is>
          <t>SEGUNDO TRIMESTRE</t>
        </is>
      </c>
      <c r="BJ42" s="178" t="n"/>
      <c r="BK42" s="227" t="inlineStr">
        <is>
          <t>OBSERVACIONES</t>
        </is>
      </c>
      <c r="BL42" s="72" t="n"/>
    </row>
    <row r="43" ht="42.6" customHeight="1" s="176">
      <c r="A43" s="181" t="n"/>
      <c r="B43" s="181"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92" t="n"/>
      <c r="BA43" s="192" t="n"/>
      <c r="BB43" s="192" t="n"/>
      <c r="BC43" s="192" t="n"/>
      <c r="BD43" s="192" t="n"/>
      <c r="BE43" s="192" t="n"/>
      <c r="BF43" s="192" t="n"/>
      <c r="BG43" s="192" t="n"/>
      <c r="BH43" s="177" t="n"/>
      <c r="BI43" s="2" t="inlineStr">
        <is>
          <t>TOTAL AUSENCIAS</t>
        </is>
      </c>
      <c r="BJ43" s="2" t="inlineStr">
        <is>
          <t>TOTAL TARDANZAS</t>
        </is>
      </c>
      <c r="BK43" s="181" t="n"/>
      <c r="BL43" s="72" t="n"/>
    </row>
    <row r="44" ht="14.4" customHeight="1" s="176">
      <c r="A44" s="1" t="n">
        <v>1</v>
      </c>
      <c r="B44" s="177">
        <f>B3</f>
        <v/>
      </c>
      <c r="C44" s="192" t="n"/>
      <c r="D44" s="192" t="n"/>
      <c r="E44" s="192" t="n"/>
      <c r="F44" s="192" t="n"/>
      <c r="G44" s="192" t="n"/>
      <c r="H44" s="192" t="n"/>
      <c r="I44" s="192" t="n"/>
      <c r="J44" s="192" t="n"/>
      <c r="K44" s="192" t="n"/>
      <c r="L44" s="192" t="n"/>
      <c r="M44" s="192" t="n"/>
      <c r="N44" s="192" t="n"/>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2" t="n"/>
      <c r="BD44" s="192" t="n"/>
      <c r="BE44" s="192" t="n"/>
      <c r="BF44" s="192" t="n"/>
      <c r="BG44" s="192" t="n"/>
      <c r="BH44" s="177" t="n"/>
      <c r="BI44" s="177">
        <f>IFERROR(COUNTIF(C44:BH44,"-"),"")</f>
        <v/>
      </c>
      <c r="BJ44" s="177">
        <f>IFERROR(COUNTIF(D44:BI44,"T"),"")</f>
        <v/>
      </c>
      <c r="BK44" s="177" t="n"/>
      <c r="BL44" s="3" t="n">
        <v>1</v>
      </c>
    </row>
    <row r="45" ht="18" customHeight="1" s="176">
      <c r="A45" s="1" t="n">
        <v>2</v>
      </c>
      <c r="B45" s="177">
        <f>B4</f>
        <v/>
      </c>
      <c r="C45" s="192" t="n"/>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77" t="n"/>
      <c r="BI45" s="177">
        <f>IFERROR(COUNTIF(C45:BH45,"-"),"")</f>
        <v/>
      </c>
      <c r="BJ45" s="177">
        <f>IFERROR(COUNTIF(D45:BI45,"T"),"")</f>
        <v/>
      </c>
      <c r="BK45" s="177" t="n"/>
      <c r="BL45" s="3" t="n">
        <v>2</v>
      </c>
    </row>
    <row r="46">
      <c r="A46" s="1" t="n">
        <v>3</v>
      </c>
      <c r="B46" s="177">
        <f>IF(MAESTRO!F5="","",MAESTRO!F5)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v>3</v>
      </c>
    </row>
    <row r="47">
      <c r="A47" s="1" t="n">
        <v>4</v>
      </c>
      <c r="B47" s="177">
        <f>IF(MAESTRO!F6="","",MAESTRO!F6)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v>4</v>
      </c>
    </row>
    <row r="48">
      <c r="A48" s="1" t="n">
        <v>5</v>
      </c>
      <c r="B48" s="177">
        <f>IF(MAESTRO!F7="","",MAESTRO!F7)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v>5</v>
      </c>
    </row>
    <row r="49">
      <c r="A49" s="1" t="n">
        <v>6</v>
      </c>
      <c r="B49" s="177">
        <f>IF(MAESTRO!F8="","",MAESTRO!F8)</f>
        <v/>
      </c>
      <c r="C49" s="177" t="n"/>
      <c r="D49" s="177" t="n"/>
      <c r="E49" s="177" t="n"/>
      <c r="F49" s="177" t="n"/>
      <c r="G49" s="177" t="n"/>
      <c r="H49" s="177" t="n"/>
      <c r="I49" s="177" t="n"/>
      <c r="J49" s="177" t="n"/>
      <c r="K49" s="177" t="n"/>
      <c r="L49" s="177" t="n"/>
      <c r="M49" s="177"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v>6</v>
      </c>
    </row>
    <row r="50">
      <c r="A50" s="1" t="n">
        <v>7</v>
      </c>
      <c r="B50" s="177">
        <f>IF(MAESTRO!F9="","",MAESTRO!F9)</f>
        <v/>
      </c>
      <c r="C50" s="177" t="n"/>
      <c r="D50" s="177" t="n"/>
      <c r="E50" s="177" t="n"/>
      <c r="F50" s="177" t="n"/>
      <c r="G50" s="177" t="n"/>
      <c r="H50" s="177" t="n"/>
      <c r="I50" s="177" t="n"/>
      <c r="J50" s="177" t="n"/>
      <c r="K50" s="177" t="n"/>
      <c r="L50" s="177" t="n"/>
      <c r="M50" s="177"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v>7</v>
      </c>
    </row>
    <row r="51">
      <c r="A51" s="1" t="n">
        <v>8</v>
      </c>
      <c r="B51" s="177">
        <f>IF(MAESTRO!F10="","",MAESTRO!F10)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v>8</v>
      </c>
    </row>
    <row r="52">
      <c r="A52" s="1" t="n">
        <v>9</v>
      </c>
      <c r="B52" s="177">
        <f>IF(MAESTRO!F11="","",MAESTRO!F11)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v>9</v>
      </c>
    </row>
    <row r="53">
      <c r="A53" s="1" t="n">
        <v>10</v>
      </c>
      <c r="B53" s="177">
        <f>IF(MAESTRO!F12="","",MAESTRO!F12)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v>10</v>
      </c>
    </row>
    <row r="54">
      <c r="A54" s="1" t="n">
        <v>11</v>
      </c>
      <c r="B54" s="177">
        <f>IF(MAESTRO!F13="","",MAESTRO!F13)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v>11</v>
      </c>
    </row>
    <row r="55">
      <c r="A55" s="1" t="n">
        <v>12</v>
      </c>
      <c r="B55" s="177">
        <f>IF(MAESTRO!F14="","",MAESTRO!F14)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v>12</v>
      </c>
    </row>
    <row r="56">
      <c r="A56" s="1" t="n">
        <v>13</v>
      </c>
      <c r="B56" s="177">
        <f>IF(MAESTRO!F15="","",MAESTRO!F15)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v>13</v>
      </c>
    </row>
    <row r="57">
      <c r="A57" s="1" t="n">
        <v>14</v>
      </c>
      <c r="B57" s="177">
        <f>IF(MAESTRO!F16="","",MAESTRO!F16)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v>14</v>
      </c>
    </row>
    <row r="58">
      <c r="A58" s="1" t="n">
        <v>15</v>
      </c>
      <c r="B58" s="177">
        <f>IF(MAESTRO!F17="","",MAESTRO!F17)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v>15</v>
      </c>
    </row>
    <row r="59">
      <c r="A59" s="1" t="n">
        <v>16</v>
      </c>
      <c r="B59" s="177">
        <f>IF(MAESTRO!F18="","",MAESTRO!F18)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v>16</v>
      </c>
    </row>
    <row r="60">
      <c r="A60" s="1" t="n">
        <v>17</v>
      </c>
      <c r="B60" s="177">
        <f>IF(MAESTRO!F19="","",MAESTRO!F19)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17</v>
      </c>
    </row>
    <row r="61">
      <c r="A61" s="1" t="n">
        <v>18</v>
      </c>
      <c r="B61" s="177">
        <f>IF(MAESTRO!F20="","",MAESTRO!F20)</f>
        <v/>
      </c>
      <c r="C61" s="192" t="n"/>
      <c r="D61" s="192" t="n"/>
      <c r="E61" s="192" t="n"/>
      <c r="F61" s="192" t="n"/>
      <c r="G61" s="192" t="n"/>
      <c r="H61" s="192" t="n"/>
      <c r="I61" s="192" t="n"/>
      <c r="J61" s="192" t="n"/>
      <c r="K61" s="192" t="n"/>
      <c r="L61" s="192" t="n"/>
      <c r="M61" s="192"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18</v>
      </c>
    </row>
    <row r="62">
      <c r="A62" s="1" t="n">
        <v>19</v>
      </c>
      <c r="B62" s="177">
        <f>IF(MAESTRO!F21="","",MAESTRO!F21)</f>
        <v/>
      </c>
      <c r="C62" s="192" t="n"/>
      <c r="D62" s="192" t="n"/>
      <c r="E62" s="192" t="n"/>
      <c r="F62" s="192" t="n"/>
      <c r="G62" s="192" t="n"/>
      <c r="H62" s="192" t="n"/>
      <c r="I62" s="192" t="n"/>
      <c r="J62" s="192" t="n"/>
      <c r="K62" s="192" t="n"/>
      <c r="L62" s="192" t="n"/>
      <c r="M62" s="192"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19</v>
      </c>
    </row>
    <row r="63">
      <c r="A63" s="1" t="n">
        <v>20</v>
      </c>
      <c r="B63" s="177">
        <f>IF(MAESTRO!F22="","",MAESTRO!F22)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20</v>
      </c>
    </row>
    <row r="64">
      <c r="A64" s="1" t="n">
        <v>21</v>
      </c>
      <c r="B64" s="177">
        <f>IF(MAESTRO!F23="","",MAESTRO!F23)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21</v>
      </c>
    </row>
    <row r="65">
      <c r="A65" s="1" t="n">
        <v>22</v>
      </c>
      <c r="B65" s="177">
        <f>IF(MAESTRO!F24="","",MAESTRO!F24)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22</v>
      </c>
    </row>
    <row r="66">
      <c r="A66" s="1" t="n">
        <v>23</v>
      </c>
      <c r="B66" s="177">
        <f>IF(MAESTRO!F25="","",MAESTRO!F25)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23</v>
      </c>
    </row>
    <row r="67">
      <c r="A67" s="1" t="n">
        <v>24</v>
      </c>
      <c r="B67" s="177">
        <f>IF(MAESTRO!F26="","",MAESTRO!F26)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24</v>
      </c>
    </row>
    <row r="68">
      <c r="A68" s="1" t="n">
        <v>25</v>
      </c>
      <c r="B68" s="177">
        <f>IF(MAESTRO!F27="","",MAESTRO!F27)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25</v>
      </c>
    </row>
    <row r="69">
      <c r="A69" s="1" t="n">
        <v>26</v>
      </c>
      <c r="B69" s="177">
        <f>IF(MAESTRO!F28="","",MAESTRO!F28)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26</v>
      </c>
    </row>
    <row r="70">
      <c r="A70" s="1" t="n">
        <v>27</v>
      </c>
      <c r="B70" s="177">
        <f>IF(MAESTRO!F29="","",MAESTRO!F29)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27</v>
      </c>
    </row>
    <row r="71">
      <c r="A71" s="1" t="n">
        <v>28</v>
      </c>
      <c r="B71" s="177">
        <f>IF(MAESTRO!F30="","",MAESTRO!F30)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28</v>
      </c>
    </row>
    <row r="72">
      <c r="A72" s="1" t="n">
        <v>29</v>
      </c>
      <c r="B72" s="177">
        <f>IF(MAESTRO!F31="","",MAESTRO!F31)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29</v>
      </c>
    </row>
    <row r="73">
      <c r="A73" s="1" t="n">
        <v>30</v>
      </c>
      <c r="B73" s="177">
        <f>IF(MAESTRO!F32="","",MAESTRO!F32)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30</v>
      </c>
    </row>
    <row r="74">
      <c r="A74" s="1" t="n">
        <v>31</v>
      </c>
      <c r="B74" s="177">
        <f>IF(MAESTRO!F33="","",MAESTRO!F33)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31</v>
      </c>
    </row>
    <row r="75">
      <c r="A75" s="1" t="n">
        <v>32</v>
      </c>
      <c r="B75" s="177">
        <f>IF(MAESTRO!F34="","",MAESTRO!F34)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32</v>
      </c>
    </row>
    <row r="76">
      <c r="A76" s="1" t="n">
        <v>33</v>
      </c>
      <c r="B76" s="177">
        <f>IF(MAESTRO!F35="","",MAESTRO!F35)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33</v>
      </c>
    </row>
    <row r="77">
      <c r="A77" s="1" t="n">
        <v>34</v>
      </c>
      <c r="B77" s="177">
        <f>IF(MAESTRO!F36="","",MAESTRO!F36)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34</v>
      </c>
    </row>
    <row r="78">
      <c r="A78" s="1" t="n">
        <v>35</v>
      </c>
      <c r="B78" s="177">
        <f>IF(MAESTRO!F37="","",MAESTRO!F37)</f>
        <v/>
      </c>
      <c r="C78" s="192" t="inlineStr">
        <is>
          <t>.</t>
        </is>
      </c>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35</v>
      </c>
    </row>
    <row r="79">
      <c r="A79" s="1" t="n">
        <v>36</v>
      </c>
      <c r="B79" s="177">
        <f>IF(MAESTRO!F38="","",MAESTRO!F38)</f>
        <v/>
      </c>
      <c r="C79" s="192" t="inlineStr">
        <is>
          <t>.</t>
        </is>
      </c>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36</v>
      </c>
    </row>
    <row r="80">
      <c r="A80" s="1" t="n">
        <v>37</v>
      </c>
      <c r="B80" s="177">
        <f>IF(MAESTRO!F39="","",MAESTRO!F39)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37</v>
      </c>
    </row>
    <row r="81">
      <c r="A81" s="1" t="n">
        <v>38</v>
      </c>
      <c r="B81" s="177">
        <f>IF(MAESTRO!F40="","",MAESTRO!F40)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38</v>
      </c>
    </row>
    <row r="82">
      <c r="A82" s="1" t="n">
        <v>39</v>
      </c>
      <c r="B82" s="177">
        <f>IF(MAESTRO!F41="","",MAESTRO!F41)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39</v>
      </c>
    </row>
    <row r="83">
      <c r="A83" s="1" t="n">
        <v>40</v>
      </c>
      <c r="B83" s="177">
        <f>IF(MAESTRO!F42="","",MAESTRO!F42)</f>
        <v/>
      </c>
      <c r="C83" s="192" t="n"/>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40</v>
      </c>
    </row>
    <row r="84">
      <c r="A84" s="1" t="n">
        <v>41</v>
      </c>
      <c r="B84" s="177">
        <f>IF(MAESTRO!F43="","",MAESTRO!F43)</f>
        <v/>
      </c>
      <c r="C84" s="192" t="n"/>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41</v>
      </c>
    </row>
    <row r="85" ht="31.2" customHeight="1" s="176">
      <c r="A85" s="277" t="n"/>
      <c r="B85" s="202">
        <f>IF(MAESTRO!F44="","",MAESTRO!F44)</f>
        <v/>
      </c>
      <c r="C85" s="192" t="inlineStr">
        <is>
          <t>ASISTENCIA DEL___22__DE___SEPTIEMBRE__AL__19__DE___DICIEMBRE___</t>
        </is>
      </c>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c r="AJ85" s="205" t="n"/>
      <c r="AK85" s="205" t="n"/>
      <c r="AL85" s="205" t="n"/>
      <c r="AM85" s="205" t="n"/>
      <c r="AN85" s="205" t="n"/>
      <c r="AO85" s="205" t="n"/>
      <c r="AP85" s="205" t="n"/>
      <c r="AQ85" s="205" t="n"/>
      <c r="AR85" s="205" t="n"/>
      <c r="AS85" s="205" t="n"/>
      <c r="AT85" s="205" t="n"/>
      <c r="AU85" s="205" t="n"/>
      <c r="AV85" s="205" t="n"/>
      <c r="AW85" s="205" t="n"/>
      <c r="AX85" s="205" t="n"/>
      <c r="AY85" s="205" t="n"/>
      <c r="AZ85" s="205" t="n"/>
      <c r="BA85" s="205" t="n"/>
      <c r="BB85" s="205" t="n"/>
      <c r="BC85" s="205" t="n"/>
      <c r="BD85" s="205" t="n"/>
      <c r="BE85" s="205" t="n"/>
      <c r="BF85" s="205" t="n"/>
      <c r="BG85" s="205" t="n"/>
      <c r="BH85" s="178" t="n"/>
      <c r="BI85" s="192" t="inlineStr">
        <is>
          <t>TERCER TRIMESTRE</t>
        </is>
      </c>
      <c r="BJ85" s="178" t="n"/>
      <c r="BK85" s="227" t="inlineStr">
        <is>
          <t>OBSERVACIONES</t>
        </is>
      </c>
      <c r="BL85" s="72" t="n"/>
    </row>
    <row r="86" ht="43.2" customHeight="1" s="176">
      <c r="A86" s="181" t="n"/>
      <c r="B86" s="181"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1" t="n"/>
      <c r="BL86" s="72" t="n"/>
    </row>
    <row r="87" ht="13.2" customHeight="1" s="176">
      <c r="A87" s="1" t="n">
        <v>1</v>
      </c>
      <c r="B87" s="177">
        <f>B44</f>
        <v/>
      </c>
      <c r="C87" s="192" t="n"/>
      <c r="D87" s="87" t="n"/>
      <c r="E87" s="192" t="n"/>
      <c r="F87" s="192" t="n"/>
      <c r="G87" s="87" t="n"/>
      <c r="H87" s="87" t="n"/>
      <c r="I87" s="192" t="n"/>
      <c r="J87" s="192" t="n"/>
      <c r="K87" s="192" t="n"/>
      <c r="L87" s="192" t="n"/>
      <c r="M87" s="192" t="n"/>
      <c r="N87" s="192" t="n"/>
      <c r="O87" s="192" t="n"/>
      <c r="P87" s="192" t="n"/>
      <c r="Q87" s="192" t="n"/>
      <c r="R87" s="192" t="n"/>
      <c r="S87" s="192" t="n"/>
      <c r="T87" s="192" t="n"/>
      <c r="U87" s="192" t="n"/>
      <c r="V87" s="192" t="n"/>
      <c r="W87" s="192" t="n"/>
      <c r="X87" s="192" t="n"/>
      <c r="Y87" s="192" t="n"/>
      <c r="Z87" s="88" t="n"/>
      <c r="AA87" s="88" t="n"/>
      <c r="AD87" s="88" t="n"/>
      <c r="AE87" s="88" t="n"/>
      <c r="AF87" s="88" t="n"/>
      <c r="AG87" s="88" t="n"/>
      <c r="AH87" s="88" t="n"/>
      <c r="AI87" s="88" t="n"/>
      <c r="AJ87" s="88" t="n"/>
      <c r="AK87" s="88" t="n"/>
      <c r="AL87" s="88" t="n"/>
      <c r="AM87" s="88" t="n"/>
      <c r="AN87" s="88" t="n"/>
      <c r="AO87" s="88" t="n"/>
      <c r="AP87" s="88" t="n"/>
      <c r="AQ87" s="88" t="n"/>
      <c r="AR87" s="192" t="n"/>
      <c r="AS87" s="192" t="n"/>
      <c r="AT87" s="192" t="n"/>
      <c r="AU87" s="192" t="n"/>
      <c r="AV87" s="192" t="n"/>
      <c r="AW87" s="192" t="n"/>
      <c r="AX87" s="192" t="n"/>
      <c r="AY87" s="192" t="n"/>
      <c r="AZ87" s="192" t="n"/>
      <c r="BA87" s="192" t="n"/>
      <c r="BB87" s="192" t="n"/>
      <c r="BC87" s="192" t="n"/>
      <c r="BD87" s="192" t="n"/>
      <c r="BE87" s="192" t="n"/>
      <c r="BF87" s="192" t="n"/>
      <c r="BG87" s="192" t="n"/>
      <c r="BH87" s="177" t="n"/>
      <c r="BI87" s="177">
        <f>IFERROR(COUNTIF(C87:BH87,"-"),"")</f>
        <v/>
      </c>
      <c r="BJ87" s="177">
        <f>IFERROR(COUNTIF(D87:BI87,"T"),"")</f>
        <v/>
      </c>
      <c r="BK87" s="177" t="n"/>
      <c r="BL87" s="3" t="n">
        <v>1</v>
      </c>
    </row>
    <row r="88" ht="14.4" customHeight="1" s="176">
      <c r="A88" s="1" t="n">
        <v>2</v>
      </c>
      <c r="B88" s="177">
        <f>B45</f>
        <v/>
      </c>
      <c r="C88" s="192" t="n"/>
      <c r="D88" s="87" t="n"/>
      <c r="E88" s="192" t="n"/>
      <c r="F88" s="192" t="n"/>
      <c r="G88" s="87" t="n"/>
      <c r="H88" s="87" t="n"/>
      <c r="I88" s="192" t="n"/>
      <c r="J88" s="192" t="n"/>
      <c r="K88" s="192" t="n"/>
      <c r="L88" s="192" t="n"/>
      <c r="M88" s="192" t="n"/>
      <c r="N88" s="192" t="n"/>
      <c r="O88" s="192" t="n"/>
      <c r="P88" s="192" t="n"/>
      <c r="Q88" s="192" t="n"/>
      <c r="R88" s="192" t="n"/>
      <c r="S88" s="192" t="n"/>
      <c r="T88" s="192" t="n"/>
      <c r="U88" s="192" t="n"/>
      <c r="V88" s="192" t="n"/>
      <c r="W88" s="192" t="n"/>
      <c r="X88" s="192" t="n"/>
      <c r="Y88" s="192" t="n"/>
      <c r="Z88" s="88" t="n"/>
      <c r="AA88" s="88" t="n"/>
      <c r="AB88" s="192" t="n"/>
      <c r="AC88" s="192" t="n"/>
      <c r="AD88" s="88" t="n"/>
      <c r="AE88" s="88" t="n"/>
      <c r="AF88" s="88" t="n"/>
      <c r="AG88" s="88" t="n"/>
      <c r="AH88" s="88" t="n"/>
      <c r="AI88" s="88" t="n"/>
      <c r="AJ88" s="88" t="n"/>
      <c r="AK88" s="88" t="n"/>
      <c r="AL88" s="88" t="n"/>
      <c r="AM88" s="88" t="n"/>
      <c r="AN88" s="88" t="n"/>
      <c r="AO88" s="88" t="n"/>
      <c r="AP88" s="88" t="n"/>
      <c r="AQ88" s="88" t="n"/>
      <c r="AR88" s="192" t="n"/>
      <c r="AS88" s="192" t="n"/>
      <c r="AT88" s="192" t="n"/>
      <c r="AU88" s="192" t="n"/>
      <c r="AV88" s="192" t="n"/>
      <c r="AW88" s="192" t="n"/>
      <c r="AX88" s="192" t="n"/>
      <c r="AY88" s="192" t="n"/>
      <c r="AZ88" s="192" t="n"/>
      <c r="BA88" s="192" t="n"/>
      <c r="BB88" s="192" t="n"/>
      <c r="BC88" s="192" t="n"/>
      <c r="BD88" s="192" t="n"/>
      <c r="BE88" s="192" t="n"/>
      <c r="BF88" s="192" t="n"/>
      <c r="BG88" s="192" t="n"/>
      <c r="BH88" s="177" t="n"/>
      <c r="BI88" s="177">
        <f>IFERROR(COUNTIF(C88:BH88,"-"),"")</f>
        <v/>
      </c>
      <c r="BJ88" s="177">
        <f>IFERROR(COUNTIF(D88:BI88,"T"),"")</f>
        <v/>
      </c>
      <c r="BK88" s="177" t="n"/>
      <c r="BL88" s="3" t="n">
        <v>2</v>
      </c>
    </row>
    <row r="89">
      <c r="A89" s="1" t="n">
        <v>3</v>
      </c>
      <c r="B89" s="177">
        <f>IF(MAESTRO!F5="","",MAESTRO!F5)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B89" s="192" t="n"/>
      <c r="AC89" s="192"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3</v>
      </c>
    </row>
    <row r="90" ht="14.4" customHeight="1" s="176">
      <c r="A90" s="1" t="n">
        <v>4</v>
      </c>
      <c r="B90" s="177">
        <f>IF(MAESTRO!F6="","",MAESTRO!F6)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4</v>
      </c>
    </row>
    <row r="91">
      <c r="A91" s="1" t="n">
        <v>5</v>
      </c>
      <c r="B91" s="177">
        <f>IF(MAESTRO!F7="","",MAESTRO!F7)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5</v>
      </c>
    </row>
    <row r="92">
      <c r="A92" s="1" t="n">
        <v>6</v>
      </c>
      <c r="B92" s="177">
        <f>IF(MAESTRO!F8="","",MAESTRO!F8)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6</v>
      </c>
    </row>
    <row r="93">
      <c r="A93" s="1" t="n">
        <v>7</v>
      </c>
      <c r="B93" s="177">
        <f>IF(MAESTRO!F9="","",MAESTRO!F9)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7</v>
      </c>
    </row>
    <row r="94">
      <c r="A94" s="1" t="n">
        <v>8</v>
      </c>
      <c r="B94" s="177">
        <f>IF(MAESTRO!F10="","",MAESTRO!F10)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8</v>
      </c>
    </row>
    <row r="95">
      <c r="A95" s="1" t="n">
        <v>9</v>
      </c>
      <c r="B95" s="177">
        <f>IF(MAESTRO!F11="","",MAESTRO!F11)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9</v>
      </c>
    </row>
    <row r="96">
      <c r="A96" s="1" t="n">
        <v>10</v>
      </c>
      <c r="B96" s="177">
        <f>IF(MAESTRO!F12="","",MAESTRO!F12)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10</v>
      </c>
    </row>
    <row r="97">
      <c r="A97" s="1" t="n">
        <v>11</v>
      </c>
      <c r="B97" s="177">
        <f>IF(MAESTRO!F13="","",MAESTRO!F13)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11</v>
      </c>
    </row>
    <row r="98">
      <c r="A98" s="1" t="n">
        <v>12</v>
      </c>
      <c r="B98" s="177">
        <f>IF(MAESTRO!F14="","",MAESTRO!F14)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12</v>
      </c>
    </row>
    <row r="99">
      <c r="A99" s="1" t="n">
        <v>13</v>
      </c>
      <c r="B99" s="177">
        <f>IF(MAESTRO!F15="","",MAESTRO!F15)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13</v>
      </c>
    </row>
    <row r="100">
      <c r="A100" s="1" t="n">
        <v>14</v>
      </c>
      <c r="B100" s="177">
        <f>IF(MAESTRO!F16="","",MAESTRO!F16)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14</v>
      </c>
    </row>
    <row r="101">
      <c r="A101" s="1" t="n">
        <v>15</v>
      </c>
      <c r="B101" s="177">
        <f>IF(MAESTRO!F17="","",MAESTRO!F17)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15</v>
      </c>
    </row>
    <row r="102">
      <c r="A102" s="1" t="n">
        <v>16</v>
      </c>
      <c r="B102" s="177">
        <f>IF(MAESTRO!F18="","",MAESTRO!F18)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16</v>
      </c>
    </row>
    <row r="103">
      <c r="A103" s="1" t="n">
        <v>17</v>
      </c>
      <c r="B103" s="177">
        <f>IF(MAESTRO!F19="","",MAESTRO!F19)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17</v>
      </c>
    </row>
    <row r="104">
      <c r="A104" s="1" t="n">
        <v>18</v>
      </c>
      <c r="B104" s="177">
        <f>IF(MAESTRO!F20="","",MAESTRO!F20)</f>
        <v/>
      </c>
      <c r="C104" s="192" t="n"/>
      <c r="D104" s="192" t="n"/>
      <c r="E104" s="192" t="n"/>
      <c r="F104" s="192" t="n"/>
      <c r="G104" s="192" t="n"/>
      <c r="H104" s="192"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c r="AD104" s="192" t="n"/>
      <c r="AE104" s="192" t="n"/>
      <c r="AF104" s="192" t="n"/>
      <c r="AG104" s="192" t="n"/>
      <c r="AH104" s="192" t="n"/>
      <c r="AI104" s="192" t="n"/>
      <c r="AJ104" s="192" t="n"/>
      <c r="AK104" s="192" t="n"/>
      <c r="AL104" s="192" t="n"/>
      <c r="AM104" s="192" t="n"/>
      <c r="AN104" s="192" t="n"/>
      <c r="AO104" s="192" t="n"/>
      <c r="AP104" s="192" t="n"/>
      <c r="AQ104" s="192"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18</v>
      </c>
    </row>
    <row r="105">
      <c r="A105" s="1" t="n">
        <v>19</v>
      </c>
      <c r="B105" s="177">
        <f>IF(MAESTRO!F21="","",MAESTRO!F21)</f>
        <v/>
      </c>
      <c r="C105" s="192" t="n"/>
      <c r="D105" s="192" t="n"/>
      <c r="E105" s="192" t="n"/>
      <c r="F105" s="192" t="n"/>
      <c r="G105" s="192" t="n"/>
      <c r="H105" s="192"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c r="AD105" s="192" t="n"/>
      <c r="AE105" s="192" t="n"/>
      <c r="AF105" s="192" t="n"/>
      <c r="AG105" s="192" t="n"/>
      <c r="AH105" s="192" t="n"/>
      <c r="AI105" s="192" t="n"/>
      <c r="AJ105" s="192" t="n"/>
      <c r="AK105" s="192" t="n"/>
      <c r="AL105" s="192" t="n"/>
      <c r="AM105" s="192" t="n"/>
      <c r="AN105" s="192" t="n"/>
      <c r="AO105" s="192" t="n"/>
      <c r="AP105" s="192" t="n"/>
      <c r="AQ105" s="192"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19</v>
      </c>
    </row>
    <row r="106">
      <c r="A106" s="1" t="n">
        <v>20</v>
      </c>
      <c r="B106" s="177">
        <f>IF(MAESTRO!F22="","",MAESTRO!F22)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20</v>
      </c>
    </row>
    <row r="107">
      <c r="A107" s="1" t="n">
        <v>21</v>
      </c>
      <c r="B107" s="177">
        <f>IF(MAESTRO!F23="","",MAESTRO!F23)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21</v>
      </c>
    </row>
    <row r="108">
      <c r="A108" s="1" t="n">
        <v>22</v>
      </c>
      <c r="B108" s="177">
        <f>IF(MAESTRO!F24="","",MAESTRO!F24)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22</v>
      </c>
    </row>
    <row r="109">
      <c r="A109" s="1" t="n">
        <v>23</v>
      </c>
      <c r="B109" s="177">
        <f>IF(MAESTRO!F25="","",MAESTRO!F25)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23</v>
      </c>
    </row>
    <row r="110">
      <c r="A110" s="1" t="n">
        <v>24</v>
      </c>
      <c r="B110" s="177">
        <f>IF(MAESTRO!F26="","",MAESTRO!F26)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24</v>
      </c>
    </row>
    <row r="111">
      <c r="A111" s="1" t="n">
        <v>25</v>
      </c>
      <c r="B111" s="177">
        <f>IF(MAESTRO!F27="","",MAESTRO!F27)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25</v>
      </c>
    </row>
    <row r="112">
      <c r="A112" s="1" t="n">
        <v>26</v>
      </c>
      <c r="B112" s="177">
        <f>IF(MAESTRO!F28="","",MAESTRO!F28)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26</v>
      </c>
    </row>
    <row r="113">
      <c r="A113" s="1" t="n">
        <v>27</v>
      </c>
      <c r="B113" s="177">
        <f>IF(MAESTRO!F29="","",MAESTRO!F29)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27</v>
      </c>
    </row>
    <row r="114">
      <c r="A114" s="1" t="n">
        <v>28</v>
      </c>
      <c r="B114" s="177">
        <f>IF(MAESTRO!F30="","",MAESTRO!F30)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28</v>
      </c>
    </row>
    <row r="115">
      <c r="A115" s="1" t="n">
        <v>29</v>
      </c>
      <c r="B115" s="177">
        <f>IF(MAESTRO!F31="","",MAESTRO!F31)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29</v>
      </c>
    </row>
    <row r="116">
      <c r="A116" s="1" t="n">
        <v>30</v>
      </c>
      <c r="B116" s="177">
        <f>IF(MAESTRO!F32="","",MAESTRO!F32)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30</v>
      </c>
    </row>
    <row r="117">
      <c r="A117" s="1" t="n">
        <v>31</v>
      </c>
      <c r="B117" s="177">
        <f>IF(MAESTRO!F33="","",MAESTRO!F33)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31</v>
      </c>
    </row>
    <row r="118">
      <c r="A118" s="1" t="n">
        <v>32</v>
      </c>
      <c r="B118" s="177">
        <f>IF(MAESTRO!F34="","",MAESTRO!F34)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32</v>
      </c>
    </row>
    <row r="119">
      <c r="A119" s="1" t="n">
        <v>33</v>
      </c>
      <c r="B119" s="177">
        <f>IF(MAESTRO!F35="","",MAESTRO!F35)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33</v>
      </c>
    </row>
    <row r="120">
      <c r="A120" s="1" t="n">
        <v>34</v>
      </c>
      <c r="B120" s="177">
        <f>IF(MAESTRO!F36="","",MAESTRO!F36)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34</v>
      </c>
    </row>
    <row r="121">
      <c r="A121" s="1" t="n">
        <v>35</v>
      </c>
      <c r="B121" s="177">
        <f>IF(MAESTRO!F37="","",MAESTRO!F37)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35</v>
      </c>
    </row>
    <row r="122">
      <c r="A122" s="1" t="n">
        <v>36</v>
      </c>
      <c r="B122" s="177">
        <f>IF(MAESTRO!F38="","",MAESTRO!F38)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36</v>
      </c>
    </row>
    <row r="123">
      <c r="A123" s="1" t="n">
        <v>37</v>
      </c>
      <c r="B123" s="177">
        <f>IF(MAESTRO!F39="","",MAESTRO!F39)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37</v>
      </c>
    </row>
    <row r="124">
      <c r="A124" s="1" t="n">
        <v>38</v>
      </c>
      <c r="B124" s="177">
        <f>IF(MAESTRO!F40="","",MAESTRO!F40)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38</v>
      </c>
    </row>
    <row r="125">
      <c r="A125" s="1" t="n">
        <v>39</v>
      </c>
      <c r="B125" s="177">
        <f>IF(MAESTRO!F41="","",MAESTRO!F41)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39</v>
      </c>
    </row>
    <row r="126">
      <c r="A126" s="1" t="n">
        <v>40</v>
      </c>
      <c r="B126" s="177">
        <f>IF(MAESTRO!F42="","",MAESTRO!F42)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40</v>
      </c>
    </row>
    <row r="127">
      <c r="A127" s="1" t="n">
        <v>41</v>
      </c>
      <c r="B127" s="177">
        <f>IF(MAESTRO!F43="","",MAESTRO!F43)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41</v>
      </c>
    </row>
    <row r="128">
      <c r="A128" s="1" t="n">
        <v>42</v>
      </c>
      <c r="B128" s="177">
        <f>IF(MAESTRO!F44="","",MAESTRO!F44)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42</v>
      </c>
    </row>
    <row r="134" ht="13.5" customHeight="1" s="176"/>
    <row r="135" ht="14.4" customHeight="1" s="176">
      <c r="A135" s="82" t="n"/>
      <c r="B135" s="81" t="n"/>
      <c r="BI135" s="193" t="n"/>
      <c r="BK135" s="74" t="n"/>
      <c r="BL135" s="74" t="n"/>
    </row>
    <row r="136" ht="21.75" customHeight="1" s="176">
      <c r="A136" s="82" t="n"/>
      <c r="B136" s="81" t="n"/>
      <c r="BI136" s="80" t="n"/>
      <c r="BJ136" s="80" t="n"/>
      <c r="BK136" s="74" t="n"/>
      <c r="BL136" s="74" t="n"/>
    </row>
  </sheetData>
  <mergeCells count="16">
    <mergeCell ref="BK85:BK86"/>
    <mergeCell ref="BI135:BJ135"/>
    <mergeCell ref="A42:A43"/>
    <mergeCell ref="BI1:BJ1"/>
    <mergeCell ref="B85:B86"/>
    <mergeCell ref="B1:B2"/>
    <mergeCell ref="C1:BH1"/>
    <mergeCell ref="B42:B43"/>
    <mergeCell ref="BK42:BK43"/>
    <mergeCell ref="A85:A86"/>
    <mergeCell ref="BK1:BL2"/>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tabSelected="1" view="pageLayout" topLeftCell="A4" zoomScale="80" zoomScaleNormal="100" zoomScalePageLayoutView="80" workbookViewId="0">
      <selection activeCell="N23" sqref="N23"/>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7"/>
    <col width="20.44140625" customWidth="1" style="176" min="98" max="98"/>
    <col width="3.109375" customWidth="1" style="176" min="99" max="99"/>
    <col width="2.77734375" customWidth="1" style="176" min="100" max="100"/>
    <col width="11.44140625" customWidth="1" style="176" min="101" max="101"/>
    <col width="14.33203125" customWidth="1" style="176" min="102" max="102"/>
    <col width="4.44140625" customWidth="1" style="176" min="103" max="128"/>
    <col width="4.77734375" customWidth="1" style="176" min="129" max="129"/>
    <col width="4.44140625" customWidth="1" style="176" min="130" max="131"/>
    <col width="20.44140625" customWidth="1" style="176" min="132" max="132"/>
    <col width="3.109375" customWidth="1" style="176" min="133" max="133"/>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178" t="n"/>
      <c r="CV1" s="203" t="n"/>
      <c r="DM1" s="213" t="n"/>
    </row>
    <row r="2" ht="6" customHeight="1" s="176">
      <c r="A2" s="191" t="n"/>
      <c r="Q2" s="191" t="n"/>
      <c r="R2" s="193" t="n"/>
      <c r="AH2" s="191" t="n"/>
      <c r="AX2" s="193" t="n"/>
      <c r="BO2" s="191" t="n"/>
      <c r="CF2" s="193" t="n"/>
      <c r="CV2" s="191" t="n"/>
      <c r="DM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178" t="n"/>
      <c r="CO3" s="206" t="inlineStr">
        <is>
          <t>PROMEDIO</t>
        </is>
      </c>
      <c r="CP3" s="199" t="inlineStr">
        <is>
          <t>PRUEBAS BIMESTRALES 1/3</t>
        </is>
      </c>
      <c r="CQ3" s="185" t="n"/>
      <c r="CR3" s="206" t="inlineStr">
        <is>
          <t>PROMEDIO</t>
        </is>
      </c>
      <c r="CS3" s="190" t="inlineStr">
        <is>
          <t>CALIFICACIÓN           BIMESTRAL</t>
        </is>
      </c>
      <c r="CT3" s="207" t="inlineStr">
        <is>
          <t>OBSERVACIONES</t>
        </is>
      </c>
      <c r="CU3" s="185" t="n"/>
      <c r="CV3" s="193" t="n"/>
      <c r="CW3" s="203" t="n"/>
      <c r="CY3" s="183" t="n"/>
      <c r="DL3" s="175" t="n"/>
      <c r="DM3" s="183" t="n"/>
      <c r="DW3" s="175" t="n"/>
      <c r="DX3" s="208" t="n"/>
      <c r="DZ3" s="175" t="n"/>
      <c r="EA3" s="182" t="n"/>
      <c r="EB3" s="188" t="n"/>
    </row>
    <row r="4" ht="44.25" customHeight="1" s="176">
      <c r="A4" s="181" t="n"/>
      <c r="B4" s="181" t="n"/>
      <c r="C4" s="23" t="n">
        <v>46098</v>
      </c>
      <c r="D4" s="23" t="n">
        <v>46120</v>
      </c>
      <c r="E4" s="23" t="n">
        <v>46127</v>
      </c>
      <c r="F4" s="23" t="n">
        <v>46155</v>
      </c>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23" t="n"/>
      <c r="BD4" s="23" t="n"/>
      <c r="BE4" s="23" t="n"/>
      <c r="BF4" s="23" t="n"/>
      <c r="BG4" s="23"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181" t="n"/>
      <c r="CP4" s="186" t="n"/>
      <c r="CQ4" s="187" t="n"/>
      <c r="CR4" s="181" t="n"/>
      <c r="CS4" s="181" t="n"/>
      <c r="CT4" s="186" t="n"/>
      <c r="CU4" s="187" t="n"/>
    </row>
    <row r="5" ht="13.5" customHeight="1" s="176">
      <c r="A5" s="177" t="n">
        <v>1</v>
      </c>
      <c r="B5" s="70">
        <f>IF(MAESTRO!B5="","",MAESTRO!B5)</f>
        <v/>
      </c>
      <c r="C5" s="5" t="n">
        <v>4.9</v>
      </c>
      <c r="D5" s="5" t="n">
        <v>4.2</v>
      </c>
      <c r="E5" s="5" t="n">
        <v>3.5</v>
      </c>
      <c r="F5" s="5" t="n">
        <v>3.5</v>
      </c>
      <c r="G5" s="5" t="n">
        <v>3.3</v>
      </c>
      <c r="H5" s="5" t="n">
        <v>4.9</v>
      </c>
      <c r="I5" s="5" t="n">
        <v>4</v>
      </c>
      <c r="J5" s="5" t="n">
        <v>3.5</v>
      </c>
      <c r="K5" s="5" t="n">
        <v>3.8</v>
      </c>
      <c r="L5" s="5" t="n">
        <v>4.9</v>
      </c>
      <c r="M5" s="5" t="n">
        <v>4.3</v>
      </c>
      <c r="N5" s="5" t="n">
        <v>3.2</v>
      </c>
      <c r="O5" s="5" t="n">
        <v>4.5</v>
      </c>
      <c r="P5" s="5">
        <f>IF(MAESTRO!B5="","",IFERROR(TRUNC(AVERAGE(C5:O5),1),""))</f>
        <v/>
      </c>
      <c r="Q5" s="40" t="n">
        <v>1</v>
      </c>
      <c r="R5" s="22" t="n">
        <v>3.8</v>
      </c>
      <c r="S5" s="22" t="n">
        <v>3</v>
      </c>
      <c r="T5" s="22" t="n">
        <v>4.2</v>
      </c>
      <c r="U5" s="22" t="n">
        <v>3.1</v>
      </c>
      <c r="V5" s="22" t="n">
        <v>4</v>
      </c>
      <c r="W5" s="22" t="n">
        <v>4.1</v>
      </c>
      <c r="X5" s="22" t="n">
        <v>3.1</v>
      </c>
      <c r="Y5" s="22" t="n">
        <v>4.3</v>
      </c>
      <c r="Z5" s="22" t="n">
        <v>3.4</v>
      </c>
      <c r="AA5" s="45">
        <f>IF(MAESTRO!B5="","",IFERROR(TRUNC(AVERAGE(R5:Z5),1),""))</f>
        <v/>
      </c>
      <c r="AB5" s="5" t="n">
        <v>4.7</v>
      </c>
      <c r="AC5" s="42" t="n">
        <v>3.3</v>
      </c>
      <c r="AD5" s="5">
        <f>IF(MAESTRO!B5="","",IFERROR(AVERAGE(AB5:AC5),""))</f>
        <v/>
      </c>
      <c r="AE5" s="44">
        <f>IF(MAESTRO!B5="","",IFERROR(TRUNC(AVERAGE(P5,AA5,AD5),1),""))</f>
        <v/>
      </c>
      <c r="AF5" s="177" t="n"/>
      <c r="AG5" s="177" t="n">
        <v>1</v>
      </c>
      <c r="AH5" s="177" t="n">
        <v>1</v>
      </c>
      <c r="AI5" s="177">
        <f>IF(MAESTRO!B5="","",MAESTRO!B5)</f>
        <v/>
      </c>
      <c r="AJ5" s="178" t="n"/>
      <c r="AK5" s="61" t="n">
        <v>3.4</v>
      </c>
      <c r="AL5" s="61" t="n">
        <v>3.8</v>
      </c>
      <c r="AM5" s="61" t="n">
        <v>3.9</v>
      </c>
      <c r="AN5" s="61" t="n">
        <v>4.4</v>
      </c>
      <c r="AO5" s="61" t="n">
        <v>3.1</v>
      </c>
      <c r="AP5" s="61" t="n">
        <v>3</v>
      </c>
      <c r="AQ5" s="61" t="n">
        <v>3.6</v>
      </c>
      <c r="AR5" s="61" t="n">
        <v>4.7</v>
      </c>
      <c r="AS5" s="61" t="n">
        <v>3.1</v>
      </c>
      <c r="AT5" s="61" t="n">
        <v>4.7</v>
      </c>
      <c r="AU5" s="61" t="n">
        <v>3.2</v>
      </c>
      <c r="AV5" s="61" t="n">
        <v>4.1</v>
      </c>
      <c r="AW5" s="5">
        <f>IF(MAESTRO!B5="","",IFERROR(TRUNC(AVERAGE(AK5:AV5),1),""))</f>
        <v/>
      </c>
      <c r="AX5" s="22" t="n">
        <v>4.8</v>
      </c>
      <c r="AY5" s="22" t="n">
        <v>4.4</v>
      </c>
      <c r="AZ5" s="22" t="n">
        <v>3.9</v>
      </c>
      <c r="BA5" s="22" t="n">
        <v>3.9</v>
      </c>
      <c r="BB5" s="22" t="n">
        <v>3</v>
      </c>
      <c r="BC5" s="22" t="n">
        <v>4</v>
      </c>
      <c r="BD5" s="22" t="n">
        <v>4.2</v>
      </c>
      <c r="BE5" s="22" t="n">
        <v>4.9</v>
      </c>
      <c r="BF5" s="22" t="n">
        <v>4.1</v>
      </c>
      <c r="BG5" s="52" t="n">
        <v>3.6</v>
      </c>
      <c r="BH5" s="5">
        <f>IF(MAESTRO!B5="","",IFERROR(TRUNC(AVERAGE(AX5:BG5),1),""))</f>
        <v/>
      </c>
      <c r="BI5" s="22" t="n">
        <v>4.4</v>
      </c>
      <c r="BJ5" s="22" t="n">
        <v>3.5</v>
      </c>
      <c r="BK5" s="22">
        <f>IF(MAESTRO!B5="","",IFERROR(AVERAGE(BI5,BJ5),""))</f>
        <v/>
      </c>
      <c r="BL5" s="5">
        <f>IF(MAESTRO!B5="","",IFERROR(TRUNC(AVERAGE(AW5,BH5,BK5),1),""))</f>
        <v/>
      </c>
      <c r="BM5" s="177" t="n"/>
      <c r="BN5" s="177" t="n">
        <v>1</v>
      </c>
      <c r="BO5" s="177" t="n">
        <v>1</v>
      </c>
      <c r="BP5" s="177">
        <f>IF(MAESTRO!B5="","",MAESTRO!B5)</f>
        <v/>
      </c>
      <c r="BQ5" s="178" t="n"/>
      <c r="BR5" s="5" t="n">
        <v>4.8</v>
      </c>
      <c r="BS5" s="5" t="n">
        <v>4.4</v>
      </c>
      <c r="BT5" s="5" t="n">
        <v>4.3</v>
      </c>
      <c r="BU5" s="5" t="n">
        <v>3.1</v>
      </c>
      <c r="BV5" s="5" t="n">
        <v>3.6</v>
      </c>
      <c r="BW5" s="5" t="n">
        <v>4.7</v>
      </c>
      <c r="BX5" s="5" t="n">
        <v>3.4</v>
      </c>
      <c r="BY5" s="5" t="n">
        <v>4.7</v>
      </c>
      <c r="BZ5" s="5" t="n">
        <v>3.1</v>
      </c>
      <c r="CA5" s="5" t="n">
        <v>4.6</v>
      </c>
      <c r="CB5" s="5" t="n">
        <v>3.1</v>
      </c>
      <c r="CC5" s="5" t="n">
        <v>4.4</v>
      </c>
      <c r="CD5" s="5" t="n">
        <v>4.6</v>
      </c>
      <c r="CE5" s="5">
        <f>IF(MAESTRO!B5="","",IFERROR(TRUNC(AVERAGE(BR5:CD5),1),""))</f>
        <v/>
      </c>
      <c r="CF5" s="5" t="n">
        <v>4.6</v>
      </c>
      <c r="CG5" s="5" t="n">
        <v>4</v>
      </c>
      <c r="CH5" s="5" t="n">
        <v>3.4</v>
      </c>
      <c r="CI5" s="5" t="n">
        <v>3.3</v>
      </c>
      <c r="CJ5" s="5" t="n">
        <v>4.9</v>
      </c>
      <c r="CK5" s="5" t="n">
        <v>4.4</v>
      </c>
      <c r="CL5" s="5" t="n">
        <v>3.1</v>
      </c>
      <c r="CM5" s="5" t="n">
        <v>4</v>
      </c>
      <c r="CN5" s="5" t="n">
        <v>4.2</v>
      </c>
      <c r="CO5" s="5">
        <f>IF(MAESTRO!B5="","",IFERROR(TRUNC(AVERAGE(CF5:CN5),1),""))</f>
        <v/>
      </c>
      <c r="CP5" s="5" t="n">
        <v>4</v>
      </c>
      <c r="CQ5" s="5" t="n">
        <v>3.6</v>
      </c>
      <c r="CR5" s="5">
        <f>IF(MAESTRO!B5="","",IFERROR(AVERAGE(CP5:CQ5),""))</f>
        <v/>
      </c>
      <c r="CS5" s="5">
        <f>IF(MAESTRO!B5="","",IFERROR(TRUNC(AVERAGE(CE5,CR5,CO5),1),""))</f>
        <v/>
      </c>
      <c r="CT5" s="177" t="n"/>
      <c r="CU5" s="171" t="n">
        <v>1</v>
      </c>
      <c r="CY5" s="196" t="n"/>
      <c r="CZ5" s="196" t="n"/>
      <c r="DA5" s="196" t="n"/>
      <c r="DB5" s="196" t="n"/>
      <c r="DC5" s="196" t="n"/>
      <c r="DD5" s="196" t="n"/>
      <c r="DE5" s="196" t="n"/>
      <c r="DF5" s="196" t="n"/>
      <c r="DG5" s="196" t="n"/>
      <c r="DH5" s="196" t="n"/>
      <c r="DI5" s="196" t="n"/>
      <c r="DJ5" s="196" t="n"/>
      <c r="DK5" s="196" t="n"/>
      <c r="DL5" s="196" t="n"/>
      <c r="DZ5" s="196" t="n"/>
      <c r="EA5" s="196" t="n"/>
    </row>
    <row r="6" ht="13.5" customHeight="1" s="176">
      <c r="A6" s="177" t="n">
        <v>2</v>
      </c>
      <c r="B6" s="9">
        <f>IF(MAESTRO!B6="","",MAESTRO!B6)</f>
        <v/>
      </c>
      <c r="C6" t="n">
        <v>3.5</v>
      </c>
      <c r="D6" s="5" t="n">
        <v>4.3</v>
      </c>
      <c r="E6" s="5" t="n">
        <v>4.4</v>
      </c>
      <c r="F6" s="5" t="n">
        <v>4.7</v>
      </c>
      <c r="G6" s="5" t="n">
        <v>4.9</v>
      </c>
      <c r="H6" s="5" t="n">
        <v>3.9</v>
      </c>
      <c r="I6" s="5" t="n">
        <v>3.9</v>
      </c>
      <c r="J6" s="5" t="n">
        <v>4.4</v>
      </c>
      <c r="K6" s="5" t="n">
        <v>3.1</v>
      </c>
      <c r="L6" s="5" t="n">
        <v>3.9</v>
      </c>
      <c r="M6" s="5" t="n">
        <v>3</v>
      </c>
      <c r="N6" s="5" t="n">
        <v>3.3</v>
      </c>
      <c r="O6" s="5" t="n">
        <v>4.1</v>
      </c>
      <c r="P6" s="5">
        <f>IF(MAESTRO!B6="","",IFERROR(TRUNC(AVERAGE(C6:O6),1),""))</f>
        <v/>
      </c>
      <c r="Q6" s="40" t="n">
        <v>2</v>
      </c>
      <c r="R6" s="22" t="n">
        <v>3.7</v>
      </c>
      <c r="S6" s="22" t="n">
        <v>3.6</v>
      </c>
      <c r="T6" s="22" t="n">
        <v>3.5</v>
      </c>
      <c r="U6" s="22" t="n">
        <v>4.6</v>
      </c>
      <c r="V6" s="22" t="n">
        <v>4.7</v>
      </c>
      <c r="W6" s="22" t="n">
        <v>3.5</v>
      </c>
      <c r="X6" s="22" t="n">
        <v>3.4</v>
      </c>
      <c r="Y6" s="22" t="n">
        <v>4.9</v>
      </c>
      <c r="Z6" s="22" t="n">
        <v>3.4</v>
      </c>
      <c r="AA6" s="45">
        <f>IF(MAESTRO!B6="","",IFERROR(TRUNC(AVERAGE(R6:Z6),1),""))</f>
        <v/>
      </c>
      <c r="AB6" s="5" t="n">
        <v>3.3</v>
      </c>
      <c r="AC6" s="42" t="n">
        <v>3.8</v>
      </c>
      <c r="AD6" s="5">
        <f>IF(MAESTRO!B6="","",IFERROR(AVERAGE(AB6:AC6),""))</f>
        <v/>
      </c>
      <c r="AE6" s="44">
        <f>IF(MAESTRO!B6="","",IFERROR(TRUNC(AVERAGE(P6,AA6,AD6),1),""))</f>
        <v/>
      </c>
      <c r="AF6" s="177" t="n"/>
      <c r="AG6" s="177" t="n">
        <v>2</v>
      </c>
      <c r="AH6" s="177" t="n">
        <v>2</v>
      </c>
      <c r="AI6" s="177">
        <f>IF(MAESTRO!B6="","",MAESTRO!B6)</f>
        <v/>
      </c>
      <c r="AJ6" s="178" t="n"/>
      <c r="AK6" s="61" t="n">
        <v>3.7</v>
      </c>
      <c r="AL6" s="61" t="n">
        <v>3.9</v>
      </c>
      <c r="AM6" s="61" t="n">
        <v>4.1</v>
      </c>
      <c r="AN6" s="61" t="n">
        <v>3.7</v>
      </c>
      <c r="AO6" s="61" t="n">
        <v>3.5</v>
      </c>
      <c r="AP6" s="61" t="n">
        <v>4</v>
      </c>
      <c r="AQ6" s="61" t="n">
        <v>3.6</v>
      </c>
      <c r="AR6" s="61" t="n">
        <v>4.1</v>
      </c>
      <c r="AS6" s="61" t="n">
        <v>4.2</v>
      </c>
      <c r="AT6" s="61" t="n">
        <v>3.9</v>
      </c>
      <c r="AU6" s="61" t="n">
        <v>3.5</v>
      </c>
      <c r="AV6" s="61" t="n">
        <v>3.4</v>
      </c>
      <c r="AW6" s="5">
        <f>IF(MAESTRO!B6="","",IFERROR(TRUNC(AVERAGE(AK6:AV6),1),""))</f>
        <v/>
      </c>
      <c r="AX6" s="22" t="n">
        <v>4.7</v>
      </c>
      <c r="AY6" s="22" t="n">
        <v>4.5</v>
      </c>
      <c r="AZ6" s="22" t="n">
        <v>3.1</v>
      </c>
      <c r="BA6" s="22" t="n">
        <v>3.2</v>
      </c>
      <c r="BB6" s="22" t="n">
        <v>4.1</v>
      </c>
      <c r="BC6" s="22" t="n">
        <v>3.7</v>
      </c>
      <c r="BD6" s="22" t="n">
        <v>3</v>
      </c>
      <c r="BE6" s="22" t="n">
        <v>3.9</v>
      </c>
      <c r="BF6" s="22" t="n">
        <v>3.1</v>
      </c>
      <c r="BG6" s="52" t="n">
        <v>3.9</v>
      </c>
      <c r="BH6" s="5">
        <f>IF(MAESTRO!B6="","",IFERROR(TRUNC(AVERAGE(AX6:BG6),1),""))</f>
        <v/>
      </c>
      <c r="BI6" s="22" t="n">
        <v>3.2</v>
      </c>
      <c r="BJ6" s="22" t="n">
        <v>4</v>
      </c>
      <c r="BK6" s="22">
        <f>IF(MAESTRO!B6="","",IFERROR(AVERAGE(BI6,BJ6),""))</f>
        <v/>
      </c>
      <c r="BL6" s="5">
        <f>IF(MAESTRO!B6="","",IFERROR(TRUNC(AVERAGE(AW6,BH6,BK6),1),""))</f>
        <v/>
      </c>
      <c r="BM6" s="177" t="n"/>
      <c r="BN6" s="177" t="n">
        <v>2</v>
      </c>
      <c r="BO6" s="177" t="n">
        <v>2</v>
      </c>
      <c r="BP6" s="177">
        <f>IF(MAESTRO!B6="","",MAESTRO!B6)</f>
        <v/>
      </c>
      <c r="BQ6" s="178" t="n"/>
      <c r="BR6" s="5" t="n">
        <v>5</v>
      </c>
      <c r="BS6" s="5" t="n">
        <v>4.7</v>
      </c>
      <c r="BT6" s="5" t="n">
        <v>3.1</v>
      </c>
      <c r="BU6" s="5" t="n">
        <v>4.4</v>
      </c>
      <c r="BV6" s="5" t="n">
        <v>4.8</v>
      </c>
      <c r="BW6" s="5" t="n">
        <v>3.5</v>
      </c>
      <c r="BX6" s="5" t="n">
        <v>4.1</v>
      </c>
      <c r="BY6" s="5" t="n">
        <v>4</v>
      </c>
      <c r="BZ6" s="5" t="n">
        <v>4.1</v>
      </c>
      <c r="CA6" s="5" t="n">
        <v>3.3</v>
      </c>
      <c r="CB6" s="5" t="n">
        <v>3.9</v>
      </c>
      <c r="CC6" s="5" t="n">
        <v>4.9</v>
      </c>
      <c r="CD6" s="5" t="n">
        <v>3.7</v>
      </c>
      <c r="CE6" s="5">
        <f>IF(MAESTRO!B6="","",IFERROR(TRUNC(AVERAGE(BR6:CD6),1),""))</f>
        <v/>
      </c>
      <c r="CF6" s="5" t="n">
        <v>4.6</v>
      </c>
      <c r="CG6" s="5" t="n">
        <v>3.9</v>
      </c>
      <c r="CH6" s="5" t="n">
        <v>4.1</v>
      </c>
      <c r="CI6" s="5" t="n">
        <v>4.9</v>
      </c>
      <c r="CJ6" s="5" t="n">
        <v>3.2</v>
      </c>
      <c r="CK6" s="5" t="n">
        <v>4.8</v>
      </c>
      <c r="CL6" s="5" t="n">
        <v>4.6</v>
      </c>
      <c r="CM6" s="5" t="n">
        <v>4.1</v>
      </c>
      <c r="CN6" s="5" t="n">
        <v>4.4</v>
      </c>
      <c r="CO6" s="5">
        <f>IF(MAESTRO!B6="","",IFERROR(TRUNC(AVERAGE(CF6:CN6),1),""))</f>
        <v/>
      </c>
      <c r="CP6" s="5" t="n">
        <v>3.7</v>
      </c>
      <c r="CQ6" s="5" t="n">
        <v>4</v>
      </c>
      <c r="CR6" s="5">
        <f>IF(MAESTRO!B6="","",IFERROR(AVERAGE(CP6:CQ6),""))</f>
        <v/>
      </c>
      <c r="CS6" s="5">
        <f>IF(MAESTRO!B6="","",IFERROR(TRUNC(AVERAGE(CE6,CR6,CO6),1),""))</f>
        <v/>
      </c>
      <c r="CT6" s="177" t="n"/>
      <c r="CU6" s="171" t="n">
        <v>2</v>
      </c>
      <c r="CY6" s="196" t="n"/>
      <c r="CZ6" s="196" t="n"/>
      <c r="DA6" s="196" t="n"/>
      <c r="DB6" s="196" t="n"/>
      <c r="DC6" s="196" t="n"/>
      <c r="DD6" s="196" t="n"/>
      <c r="DE6" s="196" t="n"/>
      <c r="DF6" s="196" t="n"/>
      <c r="DG6" s="196" t="n"/>
      <c r="DH6" s="196" t="n"/>
      <c r="DI6" s="196" t="n"/>
      <c r="DJ6" s="196" t="n"/>
      <c r="DK6" s="196" t="n"/>
      <c r="DL6" s="196" t="n"/>
      <c r="DZ6" s="196" t="n"/>
      <c r="EA6" s="196" t="n"/>
    </row>
    <row r="7" ht="13.5" customHeight="1" s="176">
      <c r="A7" s="177" t="n">
        <v>3</v>
      </c>
      <c r="B7" s="9">
        <f>IF(MAESTRO!B7="","",MAESTRO!B7)</f>
        <v/>
      </c>
      <c r="C7" s="5" t="n">
        <v>4.5</v>
      </c>
      <c r="D7" s="5" t="n">
        <v>3.4</v>
      </c>
      <c r="E7" s="5" t="n">
        <v>4.8</v>
      </c>
      <c r="F7" s="5" t="n">
        <v>3.3</v>
      </c>
      <c r="G7" s="5" t="n">
        <v>4.9</v>
      </c>
      <c r="H7" s="5" t="n">
        <v>3.8</v>
      </c>
      <c r="I7" s="5" t="n">
        <v>4.9</v>
      </c>
      <c r="J7" s="5" t="n">
        <v>3.7</v>
      </c>
      <c r="K7" s="5" t="n">
        <v>4.2</v>
      </c>
      <c r="L7" s="5" t="n">
        <v>4.7</v>
      </c>
      <c r="M7" s="5" t="n">
        <v>4.8</v>
      </c>
      <c r="N7" s="5" t="n">
        <v>3.6</v>
      </c>
      <c r="O7" s="5" t="n">
        <v>3.4</v>
      </c>
      <c r="P7" s="5">
        <f>IF(MAESTRO!B7="","",IFERROR(TRUNC(AVERAGE(C7:O7),1),""))</f>
        <v/>
      </c>
      <c r="Q7" s="40" t="n">
        <v>3</v>
      </c>
      <c r="R7" s="22" t="n">
        <v>4.1</v>
      </c>
      <c r="S7" s="22" t="n">
        <v>3.7</v>
      </c>
      <c r="T7" s="22" t="n">
        <v>4.2</v>
      </c>
      <c r="U7" s="22" t="n">
        <v>3.3</v>
      </c>
      <c r="V7" s="22" t="n">
        <v>4.5</v>
      </c>
      <c r="W7" s="22" t="n">
        <v>4.6</v>
      </c>
      <c r="X7" s="22" t="n">
        <v>4.5</v>
      </c>
      <c r="Y7" s="22" t="n">
        <v>3.3</v>
      </c>
      <c r="Z7" s="22" t="n">
        <v>4.3</v>
      </c>
      <c r="AA7" s="45">
        <f>IF(MAESTRO!B7="","",IFERROR(TRUNC(AVERAGE(R7:Z7),1),""))</f>
        <v/>
      </c>
      <c r="AB7" s="177" t="n">
        <v>4.5</v>
      </c>
      <c r="AC7" s="42" t="n">
        <v>3.1</v>
      </c>
      <c r="AD7" s="5">
        <f>IF(MAESTRO!B7="","",IFERROR(AVERAGE(AB7:AC7),""))</f>
        <v/>
      </c>
      <c r="AE7" s="44">
        <f>IF(MAESTRO!B7="","",IFERROR(TRUNC(AVERAGE(P7,AA7,AD7),1),""))</f>
        <v/>
      </c>
      <c r="AF7" s="177" t="n"/>
      <c r="AG7" s="177" t="n">
        <v>3</v>
      </c>
      <c r="AH7" s="177" t="n">
        <v>3</v>
      </c>
      <c r="AI7" s="177">
        <f>IF(MAESTRO!B7="","",MAESTRO!B7)</f>
        <v/>
      </c>
      <c r="AJ7" s="178" t="n"/>
      <c r="AK7" s="61" t="n">
        <v>4.2</v>
      </c>
      <c r="AL7" s="61" t="n">
        <v>4.8</v>
      </c>
      <c r="AM7" s="61" t="n">
        <v>4.8</v>
      </c>
      <c r="AN7" s="61" t="n">
        <v>3.6</v>
      </c>
      <c r="AO7" s="61" t="n">
        <v>4</v>
      </c>
      <c r="AP7" s="61" t="n">
        <v>3</v>
      </c>
      <c r="AQ7" s="61" t="n">
        <v>3.8</v>
      </c>
      <c r="AR7" s="61" t="n">
        <v>4.3</v>
      </c>
      <c r="AS7" s="61" t="n">
        <v>4.4</v>
      </c>
      <c r="AT7" s="61" t="n">
        <v>3.9</v>
      </c>
      <c r="AU7" s="61" t="n">
        <v>4.5</v>
      </c>
      <c r="AV7" s="61" t="n">
        <v>3.9</v>
      </c>
      <c r="AW7" s="5">
        <f>IF(MAESTRO!B7="","",IFERROR(TRUNC(AVERAGE(AK7:AV7),1),""))</f>
        <v/>
      </c>
      <c r="AX7" s="22" t="n">
        <v>4.1</v>
      </c>
      <c r="AY7" s="22" t="n">
        <v>4.8</v>
      </c>
      <c r="AZ7" s="22" t="n">
        <v>4.2</v>
      </c>
      <c r="BA7" s="22" t="n">
        <v>3.8</v>
      </c>
      <c r="BB7" s="22" t="n">
        <v>3.5</v>
      </c>
      <c r="BC7" s="22" t="n">
        <v>4.1</v>
      </c>
      <c r="BD7" s="22" t="n">
        <v>4.9</v>
      </c>
      <c r="BE7" s="22" t="n">
        <v>4.4</v>
      </c>
      <c r="BF7" s="22" t="n">
        <v>5</v>
      </c>
      <c r="BG7" s="52" t="n">
        <v>4.9</v>
      </c>
      <c r="BH7" s="5">
        <f>IF(MAESTRO!B7="","",IFERROR(TRUNC(AVERAGE(AX7:BG7),1),""))</f>
        <v/>
      </c>
      <c r="BI7" s="22" t="n">
        <v>3.2</v>
      </c>
      <c r="BJ7" s="22" t="n">
        <v>4.4</v>
      </c>
      <c r="BK7" s="22">
        <f>IF(MAESTRO!B7="","",IFERROR(AVERAGE(BI7,BJ7),""))</f>
        <v/>
      </c>
      <c r="BL7" s="5">
        <f>IF(MAESTRO!B7="","",IFERROR(TRUNC(AVERAGE(AW7,BH7,BK7),1),""))</f>
        <v/>
      </c>
      <c r="BM7" s="177" t="n"/>
      <c r="BN7" s="177" t="n">
        <v>3</v>
      </c>
      <c r="BO7" s="177" t="n">
        <v>3</v>
      </c>
      <c r="BP7" s="177">
        <f>IF(MAESTRO!B7="","",MAESTRO!B7)</f>
        <v/>
      </c>
      <c r="BQ7" s="178" t="n"/>
      <c r="BR7" s="5" t="n">
        <v>4.4</v>
      </c>
      <c r="BS7" s="5" t="n">
        <v>4.1</v>
      </c>
      <c r="BT7" s="5" t="n">
        <v>4.1</v>
      </c>
      <c r="BU7" s="5" t="n">
        <v>4.2</v>
      </c>
      <c r="BV7" s="5" t="n">
        <v>4.1</v>
      </c>
      <c r="BW7" s="5" t="n">
        <v>4.2</v>
      </c>
      <c r="BX7" s="5" t="n">
        <v>4.6</v>
      </c>
      <c r="BY7" s="5" t="n">
        <v>4.1</v>
      </c>
      <c r="BZ7" s="5" t="n">
        <v>3.7</v>
      </c>
      <c r="CA7" s="5" t="n">
        <v>4.2</v>
      </c>
      <c r="CB7" s="5" t="n">
        <v>3.7</v>
      </c>
      <c r="CC7" s="5" t="n">
        <v>3.8</v>
      </c>
      <c r="CD7" s="5" t="n">
        <v>4.4</v>
      </c>
      <c r="CE7" s="5">
        <f>IF(MAESTRO!B7="","",IFERROR(TRUNC(AVERAGE(BR7:CD7),1),""))</f>
        <v/>
      </c>
      <c r="CF7" s="5" t="n">
        <v>4.1</v>
      </c>
      <c r="CG7" s="5" t="n">
        <v>4.7</v>
      </c>
      <c r="CH7" s="5" t="n">
        <v>3.6</v>
      </c>
      <c r="CI7" s="5" t="n">
        <v>4</v>
      </c>
      <c r="CJ7" s="5" t="n">
        <v>4.7</v>
      </c>
      <c r="CK7" s="5" t="n">
        <v>3.2</v>
      </c>
      <c r="CL7" s="5" t="n">
        <v>4.5</v>
      </c>
      <c r="CM7" s="5" t="n">
        <v>4</v>
      </c>
      <c r="CN7" s="5" t="n">
        <v>4.2</v>
      </c>
      <c r="CO7" s="5">
        <f>IF(MAESTRO!B7="","",IFERROR(TRUNC(AVERAGE(CF7:CN7),1),""))</f>
        <v/>
      </c>
      <c r="CP7" s="5" t="n">
        <v>3.6</v>
      </c>
      <c r="CQ7" s="5" t="n">
        <v>3.4</v>
      </c>
      <c r="CR7" s="5">
        <f>IF(MAESTRO!B7="","",IFERROR(AVERAGE(CP7:CQ7),""))</f>
        <v/>
      </c>
      <c r="CS7" s="5">
        <f>IF(MAESTRO!B7="","",IFERROR(TRUNC(AVERAGE(CE7,CR7,CO7),1),""))</f>
        <v/>
      </c>
      <c r="CT7" s="177" t="n"/>
      <c r="CU7" s="171" t="n">
        <v>3</v>
      </c>
      <c r="CY7" s="196" t="n"/>
      <c r="CZ7" s="196" t="n"/>
      <c r="DA7" s="196" t="n"/>
      <c r="DB7" s="196" t="n"/>
      <c r="DC7" s="196" t="n"/>
      <c r="DD7" s="196" t="n"/>
      <c r="DE7" s="196" t="n"/>
      <c r="DF7" s="196" t="n"/>
      <c r="DG7" s="196" t="n"/>
      <c r="DH7" s="196" t="n"/>
      <c r="DI7" s="196" t="n"/>
      <c r="DJ7" s="196" t="n"/>
      <c r="DK7" s="196" t="n"/>
      <c r="DL7" s="196" t="n"/>
      <c r="DZ7" s="196" t="n"/>
      <c r="EA7" s="196" t="n"/>
    </row>
    <row r="8" ht="13.5" customHeight="1" s="176">
      <c r="A8" s="177" t="n">
        <v>4</v>
      </c>
      <c r="B8" s="9">
        <f>IF(MAESTRO!B8="","",MAESTRO!B8)</f>
        <v/>
      </c>
      <c r="C8" s="5" t="n">
        <v>4.9</v>
      </c>
      <c r="D8" s="5" t="n">
        <v>4</v>
      </c>
      <c r="E8" s="5" t="n">
        <v>4.8</v>
      </c>
      <c r="F8" s="5" t="n">
        <v>3.5</v>
      </c>
      <c r="G8" s="5" t="n">
        <v>4.3</v>
      </c>
      <c r="H8" s="5" t="n">
        <v>4.5</v>
      </c>
      <c r="I8" s="5" t="n">
        <v>3.1</v>
      </c>
      <c r="J8" s="5" t="n">
        <v>3.2</v>
      </c>
      <c r="K8" s="5" t="n">
        <v>5</v>
      </c>
      <c r="L8" s="5" t="n">
        <v>4.7</v>
      </c>
      <c r="M8" s="5" t="n">
        <v>4.8</v>
      </c>
      <c r="N8" s="5" t="n">
        <v>4.8</v>
      </c>
      <c r="O8" s="5" t="n">
        <v>4</v>
      </c>
      <c r="P8" s="5">
        <f>IF(MAESTRO!B8="","",IFERROR(TRUNC(AVERAGE(C8:O8),1),""))</f>
        <v/>
      </c>
      <c r="Q8" s="40" t="n">
        <v>4</v>
      </c>
      <c r="R8" s="22" t="n">
        <v>3.8</v>
      </c>
      <c r="S8" s="22" t="n">
        <v>3.8</v>
      </c>
      <c r="T8" s="22" t="n">
        <v>3.9</v>
      </c>
      <c r="U8" s="22" t="n">
        <v>3.9</v>
      </c>
      <c r="V8" s="22" t="n">
        <v>3.2</v>
      </c>
      <c r="W8" s="22" t="n">
        <v>4.9</v>
      </c>
      <c r="X8" s="22" t="n">
        <v>3.9</v>
      </c>
      <c r="Y8" s="22" t="n">
        <v>4.7</v>
      </c>
      <c r="Z8" s="22" t="n">
        <v>4.9</v>
      </c>
      <c r="AA8" s="45">
        <f>IF(MAESTRO!B8="","",IFERROR(TRUNC(AVERAGE(R8:Z8),1),""))</f>
        <v/>
      </c>
      <c r="AB8" s="177" t="n">
        <v>3.7</v>
      </c>
      <c r="AC8" s="42" t="n">
        <v>4.4</v>
      </c>
      <c r="AD8" s="5">
        <f>IF(MAESTRO!B8="","",IFERROR(AVERAGE(AB8:AC8),""))</f>
        <v/>
      </c>
      <c r="AE8" s="44">
        <f>IF(MAESTRO!B8="","",IFERROR(TRUNC(AVERAGE(P8,AA8,AD8),1),""))</f>
        <v/>
      </c>
      <c r="AF8" s="177" t="n"/>
      <c r="AG8" s="177" t="n">
        <v>4</v>
      </c>
      <c r="AH8" s="177" t="n">
        <v>4</v>
      </c>
      <c r="AI8" s="177">
        <f>IF(MAESTRO!B8="","",MAESTRO!B8)</f>
        <v/>
      </c>
      <c r="AJ8" s="178" t="n"/>
      <c r="AK8" s="61" t="n">
        <v>3.5</v>
      </c>
      <c r="AL8" s="61" t="n">
        <v>3.5</v>
      </c>
      <c r="AM8" s="61" t="n">
        <v>3.8</v>
      </c>
      <c r="AN8" s="61" t="n">
        <v>4.1</v>
      </c>
      <c r="AO8" s="61" t="n">
        <v>4.1</v>
      </c>
      <c r="AP8" s="61" t="n">
        <v>4.2</v>
      </c>
      <c r="AQ8" s="61" t="n">
        <v>4.6</v>
      </c>
      <c r="AR8" s="61" t="n">
        <v>3.6</v>
      </c>
      <c r="AS8" s="61" t="n">
        <v>4.6</v>
      </c>
      <c r="AT8" s="61" t="n">
        <v>5</v>
      </c>
      <c r="AU8" s="61" t="n">
        <v>4</v>
      </c>
      <c r="AV8" s="61" t="n">
        <v>3.5</v>
      </c>
      <c r="AW8" s="5">
        <f>IF(MAESTRO!B8="","",IFERROR(TRUNC(AVERAGE(AK8:AV8),1),""))</f>
        <v/>
      </c>
      <c r="AX8" s="22" t="n">
        <v>3.5</v>
      </c>
      <c r="AY8" s="22" t="n">
        <v>4.6</v>
      </c>
      <c r="AZ8" s="22" t="n">
        <v>3.3</v>
      </c>
      <c r="BA8" s="22" t="n">
        <v>3.1</v>
      </c>
      <c r="BB8" s="22" t="n">
        <v>4</v>
      </c>
      <c r="BC8" s="22" t="n">
        <v>4.8</v>
      </c>
      <c r="BD8" s="22" t="n">
        <v>4.8</v>
      </c>
      <c r="BE8" s="22" t="n">
        <v>3.3</v>
      </c>
      <c r="BF8" s="22" t="n">
        <v>3.6</v>
      </c>
      <c r="BG8" s="52" t="n">
        <v>3.7</v>
      </c>
      <c r="BH8" s="5">
        <f>IF(MAESTRO!B8="","",IFERROR(TRUNC(AVERAGE(AX8:BG8),1),""))</f>
        <v/>
      </c>
      <c r="BI8" s="22" t="n">
        <v>3.2</v>
      </c>
      <c r="BJ8" s="22" t="n">
        <v>3.9</v>
      </c>
      <c r="BK8" s="22">
        <f>IF(MAESTRO!B8="","",IFERROR(AVERAGE(BI8,BJ8),""))</f>
        <v/>
      </c>
      <c r="BL8" s="5">
        <f>IF(MAESTRO!B8="","",IFERROR(TRUNC(AVERAGE(AW8,BH8,BK8),1),""))</f>
        <v/>
      </c>
      <c r="BM8" s="177" t="n"/>
      <c r="BN8" s="177" t="n">
        <v>4</v>
      </c>
      <c r="BO8" s="177" t="n">
        <v>4</v>
      </c>
      <c r="BP8" s="177">
        <f>IF(MAESTRO!B8="","",MAESTRO!B8)</f>
        <v/>
      </c>
      <c r="BQ8" s="178" t="n"/>
      <c r="BR8" s="5" t="n">
        <v>4</v>
      </c>
      <c r="BS8" s="5" t="n">
        <v>4.6</v>
      </c>
      <c r="BT8" s="5" t="n">
        <v>3.7</v>
      </c>
      <c r="BU8" s="5" t="n">
        <v>3.4</v>
      </c>
      <c r="BV8" s="5" t="n">
        <v>3.3</v>
      </c>
      <c r="BW8" s="5" t="n">
        <v>4.8</v>
      </c>
      <c r="BX8" s="5" t="n">
        <v>5</v>
      </c>
      <c r="BY8" s="5" t="n">
        <v>4.1</v>
      </c>
      <c r="BZ8" s="5" t="n">
        <v>3.5</v>
      </c>
      <c r="CA8" s="5" t="n">
        <v>4.7</v>
      </c>
      <c r="CB8" s="5" t="n">
        <v>4.9</v>
      </c>
      <c r="CC8" s="5" t="n">
        <v>5</v>
      </c>
      <c r="CD8" s="5" t="n">
        <v>4.9</v>
      </c>
      <c r="CE8" s="5">
        <f>IF(MAESTRO!B8="","",IFERROR(TRUNC(AVERAGE(BR8:CD8),1),""))</f>
        <v/>
      </c>
      <c r="CF8" s="5" t="n">
        <v>3.3</v>
      </c>
      <c r="CG8" s="5" t="n">
        <v>3.8</v>
      </c>
      <c r="CH8" s="5" t="n">
        <v>4.9</v>
      </c>
      <c r="CI8" s="5" t="n">
        <v>5</v>
      </c>
      <c r="CJ8" s="5" t="n">
        <v>3.9</v>
      </c>
      <c r="CK8" s="5" t="n">
        <v>3.7</v>
      </c>
      <c r="CL8" s="5" t="n">
        <v>3.6</v>
      </c>
      <c r="CM8" s="5" t="n">
        <v>4</v>
      </c>
      <c r="CN8" s="5" t="n">
        <v>4.3</v>
      </c>
      <c r="CO8" s="5">
        <f>IF(MAESTRO!B8="","",IFERROR(TRUNC(AVERAGE(CF8:CN8),1),""))</f>
        <v/>
      </c>
      <c r="CP8" s="5" t="n">
        <v>3.1</v>
      </c>
      <c r="CQ8" s="5" t="n">
        <v>3.5</v>
      </c>
      <c r="CR8" s="5">
        <f>IF(MAESTRO!B8="","",IFERROR(AVERAGE(CP8:CQ8),""))</f>
        <v/>
      </c>
      <c r="CS8" s="5">
        <f>IF(MAESTRO!B8="","",IFERROR(TRUNC(AVERAGE(CE8,CR8,CO8),1),""))</f>
        <v/>
      </c>
      <c r="CT8" s="177" t="n"/>
      <c r="CU8" s="171" t="n">
        <v>4</v>
      </c>
      <c r="CY8" s="196" t="n"/>
      <c r="CZ8" s="196" t="n"/>
      <c r="DA8" s="196" t="n"/>
      <c r="DB8" s="196" t="n"/>
      <c r="DC8" s="196" t="n"/>
      <c r="DD8" s="196" t="n"/>
      <c r="DE8" s="196" t="n"/>
      <c r="DF8" s="196" t="n"/>
      <c r="DG8" s="196" t="n"/>
      <c r="DH8" s="196" t="n"/>
      <c r="DI8" s="196" t="n"/>
      <c r="DJ8" s="196" t="n"/>
      <c r="DK8" s="196" t="n"/>
      <c r="DL8" s="196" t="n"/>
      <c r="DZ8" s="196" t="n"/>
      <c r="EA8" s="196" t="n"/>
    </row>
    <row r="9" ht="13.5" customHeight="1" s="176">
      <c r="A9" s="177" t="n">
        <v>5</v>
      </c>
      <c r="B9" s="9">
        <f>IF(MAESTRO!B9="","",MAESTRO!B9)</f>
        <v/>
      </c>
      <c r="C9" s="5" t="n">
        <v>3.8</v>
      </c>
      <c r="D9" s="5" t="n">
        <v>3.2</v>
      </c>
      <c r="E9" s="5" t="n">
        <v>4.7</v>
      </c>
      <c r="F9" s="5" t="n">
        <v>4.3</v>
      </c>
      <c r="G9" s="5" t="n">
        <v>4.6</v>
      </c>
      <c r="H9" s="5" t="n">
        <v>3.2</v>
      </c>
      <c r="I9" s="5" t="n">
        <v>4.6</v>
      </c>
      <c r="J9" s="5" t="n">
        <v>4.9</v>
      </c>
      <c r="K9" s="5" t="n">
        <v>3.7</v>
      </c>
      <c r="L9" s="5" t="n">
        <v>3.1</v>
      </c>
      <c r="M9" s="5" t="n">
        <v>3.3</v>
      </c>
      <c r="N9" s="5" t="n">
        <v>4</v>
      </c>
      <c r="O9" s="5" t="n">
        <v>3.7</v>
      </c>
      <c r="P9" s="5">
        <f>IF(MAESTRO!B9="","",IFERROR(TRUNC(AVERAGE(C9:O9),1),""))</f>
        <v/>
      </c>
      <c r="Q9" s="40" t="n">
        <v>5</v>
      </c>
      <c r="R9" s="22" t="n">
        <v>4.8</v>
      </c>
      <c r="S9" s="22" t="n">
        <v>4.7</v>
      </c>
      <c r="T9" s="22" t="n">
        <v>4.8</v>
      </c>
      <c r="U9" s="22" t="n">
        <v>4.1</v>
      </c>
      <c r="V9" s="22" t="n">
        <v>4.7</v>
      </c>
      <c r="W9" s="22" t="n">
        <v>4.8</v>
      </c>
      <c r="X9" s="22" t="n">
        <v>4.5</v>
      </c>
      <c r="Y9" s="22" t="n">
        <v>4.9</v>
      </c>
      <c r="Z9" s="22" t="n">
        <v>4.4</v>
      </c>
      <c r="AA9" s="45">
        <f>IF(MAESTRO!B9="","",IFERROR(TRUNC(AVERAGE(R9:Z9),1),""))</f>
        <v/>
      </c>
      <c r="AB9" s="177" t="n">
        <v>3.6</v>
      </c>
      <c r="AC9" s="42" t="n">
        <v>4.6</v>
      </c>
      <c r="AD9" s="5">
        <f>IF(MAESTRO!B9="","",IFERROR(AVERAGE(AB9:AC9),""))</f>
        <v/>
      </c>
      <c r="AE9" s="44">
        <f>IF(MAESTRO!B9="","",IFERROR(TRUNC(AVERAGE(P9,AA9,AD9),1),""))</f>
        <v/>
      </c>
      <c r="AF9" s="177" t="n"/>
      <c r="AG9" s="177" t="n">
        <v>5</v>
      </c>
      <c r="AH9" s="177" t="n">
        <v>5</v>
      </c>
      <c r="AI9" s="177">
        <f>IF(MAESTRO!B9="","",MAESTRO!B9)</f>
        <v/>
      </c>
      <c r="AJ9" s="178" t="n"/>
      <c r="AK9" s="61" t="n">
        <v>3.9</v>
      </c>
      <c r="AL9" s="61" t="n">
        <v>5</v>
      </c>
      <c r="AM9" s="61" t="n">
        <v>4.1</v>
      </c>
      <c r="AN9" s="61" t="n">
        <v>4.6</v>
      </c>
      <c r="AO9" s="61" t="n">
        <v>4.7</v>
      </c>
      <c r="AP9" s="61" t="n">
        <v>4.8</v>
      </c>
      <c r="AQ9" s="61" t="n">
        <v>3.3</v>
      </c>
      <c r="AR9" s="61" t="n">
        <v>3.5</v>
      </c>
      <c r="AS9" s="61" t="n">
        <v>3.7</v>
      </c>
      <c r="AT9" s="61" t="n">
        <v>3.6</v>
      </c>
      <c r="AU9" s="61" t="n">
        <v>4.2</v>
      </c>
      <c r="AV9" s="61" t="n">
        <v>3.6</v>
      </c>
      <c r="AW9" s="5">
        <f>IF(MAESTRO!B9="","",IFERROR(TRUNC(AVERAGE(AK9:AV9),1),""))</f>
        <v/>
      </c>
      <c r="AX9" s="22" t="n">
        <v>4.5</v>
      </c>
      <c r="AY9" s="22" t="n">
        <v>5</v>
      </c>
      <c r="AZ9" s="22" t="n">
        <v>4.3</v>
      </c>
      <c r="BA9" s="22" t="n">
        <v>3.4</v>
      </c>
      <c r="BB9" s="22" t="n">
        <v>3.4</v>
      </c>
      <c r="BC9" s="22" t="n">
        <v>3.6</v>
      </c>
      <c r="BD9" s="22" t="n">
        <v>4.9</v>
      </c>
      <c r="BE9" s="22" t="n">
        <v>3.5</v>
      </c>
      <c r="BF9" s="22" t="n">
        <v>4.7</v>
      </c>
      <c r="BG9" s="52" t="n">
        <v>4.5</v>
      </c>
      <c r="BH9" s="5">
        <f>IF(MAESTRO!B9="","",IFERROR(TRUNC(AVERAGE(AX9:BG9),1),""))</f>
        <v/>
      </c>
      <c r="BI9" s="22" t="n">
        <v>3.9</v>
      </c>
      <c r="BJ9" s="22" t="n">
        <v>4.3</v>
      </c>
      <c r="BK9" s="22">
        <f>IF(MAESTRO!B9="","",IFERROR(AVERAGE(BI9,BJ9),""))</f>
        <v/>
      </c>
      <c r="BL9" s="5">
        <f>IF(MAESTRO!B9="","",IFERROR(TRUNC(AVERAGE(AW9,BH9,BK9),1),""))</f>
        <v/>
      </c>
      <c r="BM9" s="177" t="n"/>
      <c r="BN9" s="177" t="n">
        <v>5</v>
      </c>
      <c r="BO9" s="177" t="n">
        <v>5</v>
      </c>
      <c r="BP9" s="177">
        <f>IF(MAESTRO!B9="","",MAESTRO!B9)</f>
        <v/>
      </c>
      <c r="BQ9" s="178" t="n"/>
      <c r="BR9" s="5" t="n">
        <v>4.7</v>
      </c>
      <c r="BS9" s="5" t="n">
        <v>4.8</v>
      </c>
      <c r="BT9" s="5" t="n">
        <v>3.9</v>
      </c>
      <c r="BU9" s="5" t="n">
        <v>4.3</v>
      </c>
      <c r="BV9" s="5" t="n">
        <v>4.4</v>
      </c>
      <c r="BW9" s="5" t="n">
        <v>4.1</v>
      </c>
      <c r="BX9" s="5" t="n">
        <v>4</v>
      </c>
      <c r="BY9" s="5" t="n">
        <v>3.4</v>
      </c>
      <c r="BZ9" s="5" t="n">
        <v>3.5</v>
      </c>
      <c r="CA9" s="5" t="n">
        <v>4.8</v>
      </c>
      <c r="CB9" s="5" t="n">
        <v>3.7</v>
      </c>
      <c r="CC9" s="5" t="n">
        <v>3.7</v>
      </c>
      <c r="CD9" s="5" t="n">
        <v>4.8</v>
      </c>
      <c r="CE9" s="5">
        <f>IF(MAESTRO!B9="","",IFERROR(TRUNC(AVERAGE(BR9:CD9),1),""))</f>
        <v/>
      </c>
      <c r="CF9" s="5" t="n">
        <v>4.2</v>
      </c>
      <c r="CG9" s="5" t="n">
        <v>3.5</v>
      </c>
      <c r="CH9" s="5" t="n">
        <v>3.7</v>
      </c>
      <c r="CI9" s="5" t="n">
        <v>3.9</v>
      </c>
      <c r="CJ9" s="5" t="n">
        <v>3.6</v>
      </c>
      <c r="CK9" s="5" t="n">
        <v>3.5</v>
      </c>
      <c r="CL9" s="5" t="n">
        <v>4.7</v>
      </c>
      <c r="CM9" s="5" t="n">
        <v>4.2</v>
      </c>
      <c r="CN9" s="5" t="n">
        <v>3.1</v>
      </c>
      <c r="CO9" s="5">
        <f>IF(MAESTRO!B9="","",IFERROR(TRUNC(AVERAGE(CF9:CN9),1),""))</f>
        <v/>
      </c>
      <c r="CP9" s="5" t="n">
        <v>4.9</v>
      </c>
      <c r="CQ9" s="5" t="n">
        <v>3.3</v>
      </c>
      <c r="CR9" s="5">
        <f>IF(MAESTRO!B9="","",IFERROR(AVERAGE(CP9:CQ9),""))</f>
        <v/>
      </c>
      <c r="CS9" s="5">
        <f>IF(MAESTRO!B9="","",IFERROR(TRUNC(AVERAGE(CE9,CR9,CO9),1),""))</f>
        <v/>
      </c>
      <c r="CT9" s="177" t="n"/>
      <c r="CU9" s="171" t="n">
        <v>5</v>
      </c>
      <c r="CY9" s="196" t="n"/>
      <c r="CZ9" s="196" t="n"/>
      <c r="DA9" s="196" t="n"/>
      <c r="DB9" s="196" t="n"/>
      <c r="DC9" s="196" t="n"/>
      <c r="DD9" s="196" t="n"/>
      <c r="DE9" s="196" t="n"/>
      <c r="DF9" s="196" t="n"/>
      <c r="DG9" s="196" t="n"/>
      <c r="DH9" s="196" t="n"/>
      <c r="DI9" s="196" t="n"/>
      <c r="DJ9" s="196" t="n"/>
      <c r="DK9" s="196" t="n"/>
      <c r="DL9" s="196" t="n"/>
      <c r="DZ9" s="196" t="n"/>
      <c r="EA9" s="196" t="n"/>
    </row>
    <row r="10" ht="13.5" customHeight="1" s="176">
      <c r="A10" s="177" t="n">
        <v>6</v>
      </c>
      <c r="B10" s="9">
        <f>IF(MAESTRO!B10="","",MAESTRO!B10)</f>
        <v/>
      </c>
      <c r="C10" s="5" t="n">
        <v>4.4</v>
      </c>
      <c r="D10" s="5" t="n">
        <v>3.4</v>
      </c>
      <c r="E10" s="5" t="n">
        <v>4.1</v>
      </c>
      <c r="F10" s="5" t="n">
        <v>4</v>
      </c>
      <c r="G10" s="5" t="n">
        <v>3.3</v>
      </c>
      <c r="H10" s="5" t="n">
        <v>4.8</v>
      </c>
      <c r="I10" s="5" t="n">
        <v>3.5</v>
      </c>
      <c r="J10" s="5" t="n">
        <v>4.5</v>
      </c>
      <c r="K10" s="5" t="n">
        <v>3.1</v>
      </c>
      <c r="L10" s="5" t="n">
        <v>3.4</v>
      </c>
      <c r="M10" s="5" t="n">
        <v>4.5</v>
      </c>
      <c r="N10" s="5" t="n">
        <v>4.7</v>
      </c>
      <c r="O10" s="5" t="n">
        <v>3.6</v>
      </c>
      <c r="P10" s="5">
        <f>IF(MAESTRO!B10="","",IFERROR(TRUNC(AVERAGE(C10:O10),1),""))</f>
        <v/>
      </c>
      <c r="Q10" s="40" t="n">
        <v>6</v>
      </c>
      <c r="R10" s="22" t="n">
        <v>3.2</v>
      </c>
      <c r="S10" s="22" t="n">
        <v>3.5</v>
      </c>
      <c r="T10" s="22" t="n">
        <v>5</v>
      </c>
      <c r="U10" s="22" t="n">
        <v>4</v>
      </c>
      <c r="V10" s="22" t="n">
        <v>4.7</v>
      </c>
      <c r="W10" s="22" t="n">
        <v>3.9</v>
      </c>
      <c r="X10" s="22" t="n">
        <v>4.3</v>
      </c>
      <c r="Y10" s="22" t="n">
        <v>4.5</v>
      </c>
      <c r="Z10" s="22" t="n">
        <v>3.5</v>
      </c>
      <c r="AA10" s="45">
        <f>IF(MAESTRO!B10="","",IFERROR(TRUNC(AVERAGE(R10:Z10),1),""))</f>
        <v/>
      </c>
      <c r="AB10" s="177" t="n">
        <v>3.4</v>
      </c>
      <c r="AC10" s="42" t="n">
        <v>3.9</v>
      </c>
      <c r="AD10" s="5">
        <f>IF(MAESTRO!B10="","",IFERROR(AVERAGE(AB10:AC10),""))</f>
        <v/>
      </c>
      <c r="AE10" s="44">
        <f>IF(MAESTRO!B10="","",IFERROR(TRUNC(AVERAGE(P10,AA10,AD10),1),""))</f>
        <v/>
      </c>
      <c r="AF10" s="177" t="n"/>
      <c r="AG10" s="177" t="n">
        <v>6</v>
      </c>
      <c r="AH10" s="177" t="n">
        <v>6</v>
      </c>
      <c r="AI10" s="177">
        <f>IF(MAESTRO!B10="","",MAESTRO!B10)</f>
        <v/>
      </c>
      <c r="AJ10" s="178" t="n"/>
      <c r="AK10" s="61" t="n">
        <v>4.3</v>
      </c>
      <c r="AL10" s="61" t="n">
        <v>3.9</v>
      </c>
      <c r="AM10" s="61" t="n">
        <v>4.8</v>
      </c>
      <c r="AN10" s="61" t="n">
        <v>4.8</v>
      </c>
      <c r="AO10" s="61" t="n">
        <v>4.3</v>
      </c>
      <c r="AP10" s="61" t="n">
        <v>4.6</v>
      </c>
      <c r="AQ10" s="61" t="n">
        <v>4.5</v>
      </c>
      <c r="AR10" s="61" t="n">
        <v>3.4</v>
      </c>
      <c r="AS10" s="61" t="n">
        <v>3.1</v>
      </c>
      <c r="AT10" s="61" t="n">
        <v>3.4</v>
      </c>
      <c r="AU10" s="61" t="n">
        <v>3.5</v>
      </c>
      <c r="AV10" s="61" t="n">
        <v>3.1</v>
      </c>
      <c r="AW10" s="5">
        <f>IF(MAESTRO!B10="","",IFERROR(TRUNC(AVERAGE(AK10:AV10),1),""))</f>
        <v/>
      </c>
      <c r="AX10" s="22" t="n">
        <v>4</v>
      </c>
      <c r="AY10" s="22" t="n">
        <v>3.6</v>
      </c>
      <c r="AZ10" s="22" t="n">
        <v>3.1</v>
      </c>
      <c r="BA10" s="22" t="n">
        <v>4.8</v>
      </c>
      <c r="BB10" s="22" t="n">
        <v>4.7</v>
      </c>
      <c r="BC10" s="22" t="n">
        <v>4.4</v>
      </c>
      <c r="BD10" s="22" t="n">
        <v>4.7</v>
      </c>
      <c r="BE10" s="22" t="n">
        <v>4.7</v>
      </c>
      <c r="BF10" s="22" t="n">
        <v>4.5</v>
      </c>
      <c r="BG10" s="52" t="n">
        <v>3.5</v>
      </c>
      <c r="BH10" s="5">
        <f>IF(MAESTRO!B10="","",IFERROR(TRUNC(AVERAGE(AX10:BG10),1),""))</f>
        <v/>
      </c>
      <c r="BI10" s="22" t="n">
        <v>3.8</v>
      </c>
      <c r="BJ10" s="22" t="n">
        <v>3.1</v>
      </c>
      <c r="BK10" s="22">
        <f>IF(MAESTRO!B10="","",IFERROR(AVERAGE(BI10,BJ10),""))</f>
        <v/>
      </c>
      <c r="BL10" s="5">
        <f>IF(MAESTRO!B10="","",IFERROR(TRUNC(AVERAGE(AW10,BH10,BK10),1),""))</f>
        <v/>
      </c>
      <c r="BM10" s="177" t="n"/>
      <c r="BN10" s="177" t="n">
        <v>6</v>
      </c>
      <c r="BO10" s="177" t="n">
        <v>6</v>
      </c>
      <c r="BP10" s="177">
        <f>IF(MAESTRO!B10="","",MAESTRO!B10)</f>
        <v/>
      </c>
      <c r="BQ10" s="178" t="n"/>
      <c r="BR10" s="5" t="n">
        <v>4.2</v>
      </c>
      <c r="BS10" s="5" t="n">
        <v>4.5</v>
      </c>
      <c r="BT10" s="5" t="n">
        <v>3.4</v>
      </c>
      <c r="BU10" s="5" t="n">
        <v>3.8</v>
      </c>
      <c r="BV10" s="5" t="n">
        <v>4.8</v>
      </c>
      <c r="BW10" s="5" t="n">
        <v>3.9</v>
      </c>
      <c r="BX10" s="5" t="n">
        <v>4.1</v>
      </c>
      <c r="BY10" s="5" t="n">
        <v>4.2</v>
      </c>
      <c r="BZ10" s="5" t="n">
        <v>3.2</v>
      </c>
      <c r="CA10" s="5" t="n">
        <v>3.3</v>
      </c>
      <c r="CB10" s="5" t="n">
        <v>3.2</v>
      </c>
      <c r="CC10" s="5" t="n">
        <v>4.8</v>
      </c>
      <c r="CD10" s="5" t="n">
        <v>3.7</v>
      </c>
      <c r="CE10" s="5">
        <f>IF(MAESTRO!B10="","",IFERROR(TRUNC(AVERAGE(BR10:CD10),1),""))</f>
        <v/>
      </c>
      <c r="CF10" s="5" t="n">
        <v>4.6</v>
      </c>
      <c r="CG10" s="5" t="n">
        <v>3.6</v>
      </c>
      <c r="CH10" s="5" t="n">
        <v>3.3</v>
      </c>
      <c r="CI10" s="5" t="n">
        <v>3.3</v>
      </c>
      <c r="CJ10" s="5" t="n">
        <v>3.1</v>
      </c>
      <c r="CK10" s="5" t="n">
        <v>3.9</v>
      </c>
      <c r="CL10" s="5" t="n">
        <v>4.1</v>
      </c>
      <c r="CM10" s="5" t="n">
        <v>4.5</v>
      </c>
      <c r="CN10" s="5" t="n">
        <v>3.7</v>
      </c>
      <c r="CO10" s="5">
        <f>IF(MAESTRO!B10="","",IFERROR(TRUNC(AVERAGE(CF10:CN10),1),""))</f>
        <v/>
      </c>
      <c r="CP10" s="5" t="n">
        <v>3.9</v>
      </c>
      <c r="CQ10" s="5" t="n">
        <v>3.8</v>
      </c>
      <c r="CR10" s="5">
        <f>IF(MAESTRO!B10="","",IFERROR(AVERAGE(CP10:CQ10),""))</f>
        <v/>
      </c>
      <c r="CS10" s="5">
        <f>IF(MAESTRO!B10="","",IFERROR(TRUNC(AVERAGE(CE10,CR10,CO10),1),""))</f>
        <v/>
      </c>
      <c r="CT10" s="177" t="n"/>
      <c r="CU10" s="171" t="n">
        <v>6</v>
      </c>
      <c r="CY10" s="196" t="n"/>
      <c r="CZ10" s="196" t="n"/>
      <c r="DA10" s="196" t="n"/>
      <c r="DB10" s="196" t="n"/>
      <c r="DC10" s="196" t="n"/>
      <c r="DD10" s="196" t="n"/>
      <c r="DE10" s="196" t="n"/>
      <c r="DF10" s="196" t="n"/>
      <c r="DG10" s="196" t="n"/>
      <c r="DH10" s="196" t="n"/>
      <c r="DI10" s="196" t="n"/>
      <c r="DJ10" s="196" t="n"/>
      <c r="DK10" s="196" t="n"/>
      <c r="DL10" s="196" t="n"/>
      <c r="DZ10" s="196" t="n"/>
      <c r="EA10" s="196" t="n"/>
    </row>
    <row r="11" ht="13.5" customHeight="1" s="176">
      <c r="A11" s="177" t="n">
        <v>7</v>
      </c>
      <c r="B11" s="9">
        <f>IF(MAESTRO!B11="","",MAESTRO!B11)</f>
        <v/>
      </c>
      <c r="C11" s="5" t="n">
        <v>4.5</v>
      </c>
      <c r="D11" s="5" t="n">
        <v>4.1</v>
      </c>
      <c r="E11" s="5" t="n">
        <v>3.9</v>
      </c>
      <c r="F11" s="5" t="n">
        <v>4.1</v>
      </c>
      <c r="G11" s="5" t="n">
        <v>3.9</v>
      </c>
      <c r="H11" s="5" t="n">
        <v>3.2</v>
      </c>
      <c r="I11" s="5" t="n">
        <v>3.4</v>
      </c>
      <c r="J11" s="5" t="n">
        <v>3.4</v>
      </c>
      <c r="K11" s="5" t="n">
        <v>4.3</v>
      </c>
      <c r="L11" s="5" t="n">
        <v>4.9</v>
      </c>
      <c r="M11" s="5" t="n">
        <v>3.8</v>
      </c>
      <c r="N11" s="5" t="n">
        <v>3.7</v>
      </c>
      <c r="O11" s="5" t="n">
        <v>3.9</v>
      </c>
      <c r="P11" s="5">
        <f>IF(MAESTRO!B11="","",IFERROR(TRUNC(AVERAGE(C11:O11),1),""))</f>
        <v/>
      </c>
      <c r="Q11" s="40" t="n">
        <v>7</v>
      </c>
      <c r="R11" s="22" t="n">
        <v>3.5</v>
      </c>
      <c r="S11" s="22" t="n">
        <v>3.1</v>
      </c>
      <c r="T11" s="22" t="n">
        <v>4.6</v>
      </c>
      <c r="U11" s="22" t="n">
        <v>3.2</v>
      </c>
      <c r="V11" s="22" t="n">
        <v>4.9</v>
      </c>
      <c r="W11" s="22" t="n">
        <v>4.6</v>
      </c>
      <c r="X11" s="22" t="n">
        <v>5</v>
      </c>
      <c r="Y11" s="22" t="n">
        <v>4.9</v>
      </c>
      <c r="Z11" s="22" t="n">
        <v>3.9</v>
      </c>
      <c r="AA11" s="45">
        <f>IF(MAESTRO!B11="","",IFERROR(TRUNC(AVERAGE(R11:Z11),1),""))</f>
        <v/>
      </c>
      <c r="AB11" s="177" t="n">
        <v>4.1</v>
      </c>
      <c r="AC11" s="42" t="n">
        <v>3.2</v>
      </c>
      <c r="AD11" s="5">
        <f>IF(MAESTRO!B11="","",IFERROR(AVERAGE(AB11:AC11),""))</f>
        <v/>
      </c>
      <c r="AE11" s="44">
        <f>IF(MAESTRO!B11="","",IFERROR(TRUNC(AVERAGE(P11,AA11,AD11),1),""))</f>
        <v/>
      </c>
      <c r="AF11" s="177" t="n"/>
      <c r="AG11" s="177" t="n">
        <v>7</v>
      </c>
      <c r="AH11" s="177" t="n">
        <v>7</v>
      </c>
      <c r="AI11" s="177">
        <f>IF(MAESTRO!B11="","",MAESTRO!B11)</f>
        <v/>
      </c>
      <c r="AJ11" s="178" t="n"/>
      <c r="AK11" s="61" t="n">
        <v>3.8</v>
      </c>
      <c r="AL11" s="61" t="n">
        <v>4.2</v>
      </c>
      <c r="AM11" s="61" t="n">
        <v>3</v>
      </c>
      <c r="AN11" s="61" t="n">
        <v>3.9</v>
      </c>
      <c r="AO11" s="61" t="n">
        <v>5</v>
      </c>
      <c r="AP11" s="61" t="n">
        <v>4.9</v>
      </c>
      <c r="AQ11" s="61" t="n">
        <v>3.5</v>
      </c>
      <c r="AR11" s="61" t="n">
        <v>3.6</v>
      </c>
      <c r="AS11" s="61" t="n">
        <v>4.6</v>
      </c>
      <c r="AT11" s="61" t="n">
        <v>4.9</v>
      </c>
      <c r="AU11" s="61" t="n">
        <v>4.1</v>
      </c>
      <c r="AV11" s="61" t="n">
        <v>4.5</v>
      </c>
      <c r="AW11" s="5">
        <f>IF(MAESTRO!B11="","",IFERROR(TRUNC(AVERAGE(AK11:AV11),1),""))</f>
        <v/>
      </c>
      <c r="AX11" s="22" t="n">
        <v>4.6</v>
      </c>
      <c r="AY11" s="22" t="n">
        <v>4.7</v>
      </c>
      <c r="AZ11" s="22" t="n">
        <v>4.4</v>
      </c>
      <c r="BA11" s="22" t="n">
        <v>3.9</v>
      </c>
      <c r="BB11" s="22" t="n">
        <v>4.5</v>
      </c>
      <c r="BC11" s="22" t="n">
        <v>3.6</v>
      </c>
      <c r="BD11" s="22" t="n">
        <v>4.6</v>
      </c>
      <c r="BE11" s="22" t="n">
        <v>3.4</v>
      </c>
      <c r="BF11" s="22" t="n">
        <v>3.9</v>
      </c>
      <c r="BG11" s="52" t="n">
        <v>3.4</v>
      </c>
      <c r="BH11" s="5">
        <f>IF(MAESTRO!B11="","",IFERROR(TRUNC(AVERAGE(AX11:BG11),1),""))</f>
        <v/>
      </c>
      <c r="BI11" s="22" t="n">
        <v>3.6</v>
      </c>
      <c r="BJ11" s="22" t="n">
        <v>4.9</v>
      </c>
      <c r="BK11" s="22">
        <f>IF(MAESTRO!B11="","",IFERROR(AVERAGE(BI11,BJ11),""))</f>
        <v/>
      </c>
      <c r="BL11" s="5">
        <f>IF(MAESTRO!B11="","",IFERROR(TRUNC(AVERAGE(AW11,BH11,BK11),1),""))</f>
        <v/>
      </c>
      <c r="BM11" s="177" t="n"/>
      <c r="BN11" s="177" t="n">
        <v>7</v>
      </c>
      <c r="BO11" s="177" t="n">
        <v>7</v>
      </c>
      <c r="BP11" s="177">
        <f>IF(MAESTRO!B11="","",MAESTRO!B11)</f>
        <v/>
      </c>
      <c r="BQ11" s="178" t="n"/>
      <c r="BR11" s="5" t="n">
        <v>4.5</v>
      </c>
      <c r="BS11" s="5" t="n">
        <v>4.6</v>
      </c>
      <c r="BT11" s="5" t="n">
        <v>3.3</v>
      </c>
      <c r="BU11" s="5" t="n">
        <v>5</v>
      </c>
      <c r="BV11" s="5" t="n">
        <v>4.6</v>
      </c>
      <c r="BW11" s="5" t="n">
        <v>3.3</v>
      </c>
      <c r="BX11" s="5" t="n">
        <v>3.4</v>
      </c>
      <c r="BY11" s="5" t="n">
        <v>3.7</v>
      </c>
      <c r="BZ11" s="5" t="n">
        <v>3.3</v>
      </c>
      <c r="CA11" s="5" t="n">
        <v>4.6</v>
      </c>
      <c r="CB11" s="5" t="n">
        <v>5</v>
      </c>
      <c r="CC11" s="5" t="n">
        <v>5</v>
      </c>
      <c r="CD11" s="5" t="n">
        <v>3.7</v>
      </c>
      <c r="CE11" s="5">
        <f>IF(MAESTRO!B11="","",IFERROR(TRUNC(AVERAGE(BR11:CD11),1),""))</f>
        <v/>
      </c>
      <c r="CF11" s="5" t="n">
        <v>4</v>
      </c>
      <c r="CG11" s="5" t="n">
        <v>4.6</v>
      </c>
      <c r="CH11" s="5" t="n">
        <v>3.5</v>
      </c>
      <c r="CI11" s="5" t="n">
        <v>4.5</v>
      </c>
      <c r="CJ11" s="5" t="n">
        <v>3.5</v>
      </c>
      <c r="CK11" s="5" t="n">
        <v>3.8</v>
      </c>
      <c r="CL11" s="5" t="n">
        <v>4.3</v>
      </c>
      <c r="CM11" s="5" t="n">
        <v>3.1</v>
      </c>
      <c r="CN11" s="5" t="n">
        <v>4.8</v>
      </c>
      <c r="CO11" s="5">
        <f>IF(MAESTRO!B11="","",IFERROR(TRUNC(AVERAGE(CF11:CN11),1),""))</f>
        <v/>
      </c>
      <c r="CP11" s="5" t="n">
        <v>3.8</v>
      </c>
      <c r="CQ11" s="5" t="n">
        <v>3.3</v>
      </c>
      <c r="CR11" s="5">
        <f>IF(MAESTRO!B11="","",IFERROR(AVERAGE(CP11:CQ11),""))</f>
        <v/>
      </c>
      <c r="CS11" s="5">
        <f>IF(MAESTRO!B11="","",IFERROR(TRUNC(AVERAGE(CE11,CR11,CO11),1),""))</f>
        <v/>
      </c>
      <c r="CT11" s="177" t="n"/>
      <c r="CU11" s="171" t="n">
        <v>7</v>
      </c>
      <c r="CY11" s="196" t="n"/>
      <c r="CZ11" s="196" t="n"/>
      <c r="DA11" s="196" t="n"/>
      <c r="DB11" s="196" t="n"/>
      <c r="DC11" s="196" t="n"/>
      <c r="DD11" s="196" t="n"/>
      <c r="DE11" s="196" t="n"/>
      <c r="DF11" s="196" t="n"/>
      <c r="DG11" s="196" t="n"/>
      <c r="DH11" s="196" t="n"/>
      <c r="DI11" s="196" t="n"/>
      <c r="DJ11" s="196" t="n"/>
      <c r="DK11" s="196" t="n"/>
      <c r="DL11" s="196" t="n"/>
      <c r="DZ11" s="196" t="n"/>
      <c r="EA11" s="196" t="n"/>
    </row>
    <row r="12" ht="13.5" customHeight="1" s="176">
      <c r="A12" s="177" t="n">
        <v>8</v>
      </c>
      <c r="B12" s="9">
        <f>IF(MAESTRO!B12="","",MAESTRO!B12)</f>
        <v/>
      </c>
      <c r="C12" s="5" t="n">
        <v>4.4</v>
      </c>
      <c r="D12" s="5" t="n">
        <v>4.6</v>
      </c>
      <c r="E12" s="5" t="n">
        <v>4.8</v>
      </c>
      <c r="F12" s="5" t="n">
        <v>3.6</v>
      </c>
      <c r="G12" s="5" t="n">
        <v>3.9</v>
      </c>
      <c r="H12" s="5" t="n">
        <v>3</v>
      </c>
      <c r="I12" s="5" t="n">
        <v>5</v>
      </c>
      <c r="J12" s="5" t="n">
        <v>4</v>
      </c>
      <c r="K12" s="5" t="n">
        <v>4.6</v>
      </c>
      <c r="L12" s="5" t="n">
        <v>3.4</v>
      </c>
      <c r="M12" s="5" t="n">
        <v>3.1</v>
      </c>
      <c r="N12" s="5" t="n">
        <v>3.4</v>
      </c>
      <c r="O12" s="5" t="n">
        <v>4.8</v>
      </c>
      <c r="P12" s="5">
        <f>IF(MAESTRO!B12="","",IFERROR(TRUNC(AVERAGE(C12:O12),1),""))</f>
        <v/>
      </c>
      <c r="Q12" s="40" t="n">
        <v>8</v>
      </c>
      <c r="R12" s="22" t="n">
        <v>4.6</v>
      </c>
      <c r="S12" s="22" t="n">
        <v>3.6</v>
      </c>
      <c r="T12" s="22" t="n">
        <v>4.7</v>
      </c>
      <c r="U12" s="22" t="n">
        <v>4.8</v>
      </c>
      <c r="V12" s="22" t="n">
        <v>3.1</v>
      </c>
      <c r="W12" s="22" t="n">
        <v>4.7</v>
      </c>
      <c r="X12" s="22" t="n">
        <v>3</v>
      </c>
      <c r="Y12" s="22" t="n">
        <v>3.6</v>
      </c>
      <c r="Z12" s="22" t="n">
        <v>3.7</v>
      </c>
      <c r="AA12" s="45">
        <f>IF(MAESTRO!B12="","",IFERROR(TRUNC(AVERAGE(R12:Z12),1),""))</f>
        <v/>
      </c>
      <c r="AB12" s="177" t="n">
        <v>4.3</v>
      </c>
      <c r="AC12" s="42" t="n">
        <v>4.4</v>
      </c>
      <c r="AD12" s="5">
        <f>IF(MAESTRO!B12="","",IFERROR(AVERAGE(AB12:AC12),""))</f>
        <v/>
      </c>
      <c r="AE12" s="44">
        <f>IF(MAESTRO!B12="","",IFERROR(TRUNC(AVERAGE(P12,AA12,AD12),1),""))</f>
        <v/>
      </c>
      <c r="AF12" s="177" t="n"/>
      <c r="AG12" s="177" t="n">
        <v>8</v>
      </c>
      <c r="AH12" s="177" t="n">
        <v>8</v>
      </c>
      <c r="AI12" s="177">
        <f>IF(MAESTRO!B12="","",MAESTRO!B12)</f>
        <v/>
      </c>
      <c r="AJ12" s="178" t="n"/>
      <c r="AK12" s="61" t="n">
        <v>3.6</v>
      </c>
      <c r="AL12" s="61" t="n">
        <v>3.2</v>
      </c>
      <c r="AM12" s="61" t="n">
        <v>3.4</v>
      </c>
      <c r="AN12" s="61" t="n">
        <v>4</v>
      </c>
      <c r="AO12" s="61" t="n">
        <v>3.5</v>
      </c>
      <c r="AP12" s="61" t="n">
        <v>3.1</v>
      </c>
      <c r="AQ12" s="61" t="n">
        <v>4.1</v>
      </c>
      <c r="AR12" s="61" t="n">
        <v>3.4</v>
      </c>
      <c r="AS12" s="61" t="n">
        <v>3.8</v>
      </c>
      <c r="AT12" s="61" t="n">
        <v>4.4</v>
      </c>
      <c r="AU12" s="61" t="n">
        <v>4.8</v>
      </c>
      <c r="AV12" s="61" t="n">
        <v>3.5</v>
      </c>
      <c r="AW12" s="5">
        <f>IF(MAESTRO!B12="","",IFERROR(TRUNC(AVERAGE(AK12:AV12),1),""))</f>
        <v/>
      </c>
      <c r="AX12" s="22" t="n">
        <v>3.7</v>
      </c>
      <c r="AY12" s="22" t="n">
        <v>4.6</v>
      </c>
      <c r="AZ12" s="22" t="n">
        <v>3.2</v>
      </c>
      <c r="BA12" s="22" t="n">
        <v>3.4</v>
      </c>
      <c r="BB12" s="22" t="n">
        <v>3.1</v>
      </c>
      <c r="BC12" s="22" t="n">
        <v>4.6</v>
      </c>
      <c r="BD12" s="22" t="n">
        <v>4.7</v>
      </c>
      <c r="BE12" s="22" t="n">
        <v>4.5</v>
      </c>
      <c r="BF12" s="22" t="n">
        <v>3.4</v>
      </c>
      <c r="BG12" s="52" t="n">
        <v>3.3</v>
      </c>
      <c r="BH12" s="5">
        <f>IF(MAESTRO!B12="","",IFERROR(TRUNC(AVERAGE(AX12:BG12),1),""))</f>
        <v/>
      </c>
      <c r="BI12" s="22" t="n">
        <v>4.4</v>
      </c>
      <c r="BJ12" s="22" t="n">
        <v>3.6</v>
      </c>
      <c r="BK12" s="22">
        <f>IF(MAESTRO!B12="","",IFERROR(AVERAGE(BI12,BJ12),""))</f>
        <v/>
      </c>
      <c r="BL12" s="5">
        <f>IF(MAESTRO!B12="","",IFERROR(TRUNC(AVERAGE(AW12,BH12,BK12),1),""))</f>
        <v/>
      </c>
      <c r="BM12" s="177" t="n"/>
      <c r="BN12" s="177" t="n">
        <v>8</v>
      </c>
      <c r="BO12" s="177" t="n">
        <v>8</v>
      </c>
      <c r="BP12" s="177">
        <f>IF(MAESTRO!B12="","",MAESTRO!B12)</f>
        <v/>
      </c>
      <c r="BQ12" s="178" t="n"/>
      <c r="BR12" s="5" t="n">
        <v>3.6</v>
      </c>
      <c r="BS12" s="5" t="n">
        <v>4.9</v>
      </c>
      <c r="BT12" s="5" t="n">
        <v>4.6</v>
      </c>
      <c r="BU12" s="5" t="n">
        <v>3.5</v>
      </c>
      <c r="BV12" s="5" t="n">
        <v>4.4</v>
      </c>
      <c r="BW12" s="5" t="n">
        <v>4.5</v>
      </c>
      <c r="BX12" s="5" t="n">
        <v>3</v>
      </c>
      <c r="BY12" s="5" t="n">
        <v>3.8</v>
      </c>
      <c r="BZ12" s="5" t="n">
        <v>4.4</v>
      </c>
      <c r="CA12" s="5" t="n">
        <v>4.6</v>
      </c>
      <c r="CB12" s="5" t="n">
        <v>4.8</v>
      </c>
      <c r="CC12" s="5" t="n">
        <v>3.6</v>
      </c>
      <c r="CD12" s="5" t="n">
        <v>3</v>
      </c>
      <c r="CE12" s="5">
        <f>IF(MAESTRO!B12="","",IFERROR(TRUNC(AVERAGE(BR12:CD12),1),""))</f>
        <v/>
      </c>
      <c r="CF12" s="5" t="n">
        <v>5</v>
      </c>
      <c r="CG12" s="5" t="n">
        <v>5</v>
      </c>
      <c r="CH12" s="5" t="n">
        <v>4</v>
      </c>
      <c r="CI12" s="5" t="n">
        <v>4.4</v>
      </c>
      <c r="CJ12" s="5" t="n">
        <v>3.8</v>
      </c>
      <c r="CK12" s="5" t="n">
        <v>4.3</v>
      </c>
      <c r="CL12" s="5" t="n">
        <v>4</v>
      </c>
      <c r="CM12" s="5" t="n">
        <v>3.6</v>
      </c>
      <c r="CN12" s="5" t="n">
        <v>4.6</v>
      </c>
      <c r="CO12" s="5">
        <f>IF(MAESTRO!B12="","",IFERROR(TRUNC(AVERAGE(CF12:CN12),1),""))</f>
        <v/>
      </c>
      <c r="CP12" s="5" t="n">
        <v>3.6</v>
      </c>
      <c r="CQ12" s="5" t="n">
        <v>3.2</v>
      </c>
      <c r="CR12" s="5">
        <f>IF(MAESTRO!B12="","",IFERROR(AVERAGE(CP12:CQ12),""))</f>
        <v/>
      </c>
      <c r="CS12" s="5">
        <f>IF(MAESTRO!B12="","",IFERROR(TRUNC(AVERAGE(CE12,CR12,CO12),1),""))</f>
        <v/>
      </c>
      <c r="CT12" s="177" t="n"/>
      <c r="CU12" s="171" t="n">
        <v>8</v>
      </c>
      <c r="CY12" s="196" t="n"/>
      <c r="CZ12" s="196" t="n"/>
      <c r="DA12" s="196" t="n"/>
      <c r="DB12" s="196" t="n"/>
      <c r="DC12" s="196" t="n"/>
      <c r="DD12" s="196" t="n"/>
      <c r="DE12" s="196" t="n"/>
      <c r="DF12" s="196" t="n"/>
      <c r="DG12" s="196" t="n"/>
      <c r="DH12" s="196" t="n"/>
      <c r="DI12" s="196" t="n"/>
      <c r="DJ12" s="196" t="n"/>
      <c r="DK12" s="196" t="n"/>
      <c r="DL12" s="196" t="n"/>
      <c r="DZ12" s="196" t="n"/>
      <c r="EA12" s="196" t="n"/>
    </row>
    <row r="13" ht="13.5" customHeight="1" s="176">
      <c r="A13" s="177" t="n">
        <v>9</v>
      </c>
      <c r="B13" s="9">
        <f>IF(MAESTRO!B13="","",MAESTRO!B13)</f>
        <v/>
      </c>
      <c r="C13" s="5" t="n">
        <v>3.3</v>
      </c>
      <c r="D13" s="5" t="n">
        <v>4.5</v>
      </c>
      <c r="E13" s="5" t="n">
        <v>3.1</v>
      </c>
      <c r="F13" s="5" t="n">
        <v>4</v>
      </c>
      <c r="G13" s="5" t="n">
        <v>4.6</v>
      </c>
      <c r="H13" s="5" t="n">
        <v>3.3</v>
      </c>
      <c r="I13" s="5" t="n">
        <v>4.5</v>
      </c>
      <c r="J13" s="5" t="n">
        <v>3.7</v>
      </c>
      <c r="K13" s="5" t="n">
        <v>3.4</v>
      </c>
      <c r="L13" s="5" t="n">
        <v>3.5</v>
      </c>
      <c r="M13" s="5" t="n">
        <v>4.2</v>
      </c>
      <c r="N13" s="5" t="n">
        <v>4</v>
      </c>
      <c r="O13" s="5" t="n">
        <v>4.2</v>
      </c>
      <c r="P13" s="5">
        <f>IF(MAESTRO!B13="","",IFERROR(TRUNC(AVERAGE(C13:O13),1),""))</f>
        <v/>
      </c>
      <c r="Q13" s="40" t="n">
        <v>9</v>
      </c>
      <c r="R13" s="22" t="n">
        <v>4.2</v>
      </c>
      <c r="S13" s="5" t="n">
        <v>4.6</v>
      </c>
      <c r="T13" s="5" t="n">
        <v>4.7</v>
      </c>
      <c r="U13" s="5" t="n">
        <v>4.9</v>
      </c>
      <c r="V13" s="5" t="n">
        <v>4.3</v>
      </c>
      <c r="W13" s="5" t="n">
        <v>4.7</v>
      </c>
      <c r="X13" s="5" t="n">
        <v>4.4</v>
      </c>
      <c r="Y13" s="5" t="n">
        <v>4.6</v>
      </c>
      <c r="Z13" s="5" t="n">
        <v>3.5</v>
      </c>
      <c r="AA13" s="45">
        <f>IF(MAESTRO!B13="","",IFERROR(TRUNC(AVERAGE(R13:Z13),1),""))</f>
        <v/>
      </c>
      <c r="AB13" s="5" t="n">
        <v>4.6</v>
      </c>
      <c r="AC13" s="5" t="n">
        <v>4.9</v>
      </c>
      <c r="AD13" s="5">
        <f>IF(MAESTRO!B13="","",IFERROR(AVERAGE(AB13:AC13),""))</f>
        <v/>
      </c>
      <c r="AE13" s="44">
        <f>IF(MAESTRO!B13="","",IFERROR(TRUNC(AVERAGE(P13,AA13,AD13),1),""))</f>
        <v/>
      </c>
      <c r="AF13" s="177" t="n"/>
      <c r="AG13" s="177" t="n">
        <v>9</v>
      </c>
      <c r="AH13" s="177" t="n">
        <v>9</v>
      </c>
      <c r="AI13" s="177">
        <f>IF(MAESTRO!B13="","",MAESTRO!B13)</f>
        <v/>
      </c>
      <c r="AJ13" s="178" t="n"/>
      <c r="AK13" s="42" t="n">
        <v>4.1</v>
      </c>
      <c r="AL13" s="42" t="n">
        <v>4.7</v>
      </c>
      <c r="AM13" s="42" t="n">
        <v>4.8</v>
      </c>
      <c r="AN13" s="42" t="n">
        <v>3.5</v>
      </c>
      <c r="AO13" s="42" t="n">
        <v>3.9</v>
      </c>
      <c r="AP13" s="42" t="n">
        <v>3.3</v>
      </c>
      <c r="AQ13" s="42" t="n">
        <v>3.7</v>
      </c>
      <c r="AR13" s="61" t="n">
        <v>3</v>
      </c>
      <c r="AS13" s="61" t="n">
        <v>3.4</v>
      </c>
      <c r="AT13" s="61" t="n">
        <v>4.2</v>
      </c>
      <c r="AU13" s="61" t="n">
        <v>3.9</v>
      </c>
      <c r="AV13" s="61" t="n">
        <v>4.2</v>
      </c>
      <c r="AW13" s="5">
        <f>IF(MAESTRO!B13="","",IFERROR(TRUNC(AVERAGE(AK13:AV13),1),""))</f>
        <v/>
      </c>
      <c r="AX13" s="63" t="n">
        <v>4.8</v>
      </c>
      <c r="AY13" s="22" t="n">
        <v>4.6</v>
      </c>
      <c r="AZ13" s="63" t="n">
        <v>3.8</v>
      </c>
      <c r="BA13" s="63" t="n">
        <v>3.8</v>
      </c>
      <c r="BB13" s="22" t="n">
        <v>4</v>
      </c>
      <c r="BC13" s="63" t="n">
        <v>4.8</v>
      </c>
      <c r="BD13" s="63" t="n">
        <v>3.5</v>
      </c>
      <c r="BE13" s="63" t="n">
        <v>3.9</v>
      </c>
      <c r="BF13" s="63" t="n">
        <v>3.4</v>
      </c>
      <c r="BG13" s="52" t="n">
        <v>4.9</v>
      </c>
      <c r="BH13" s="5">
        <f>IF(MAESTRO!B13="","",IFERROR(TRUNC(AVERAGE(AX13:BG13),1),""))</f>
        <v/>
      </c>
      <c r="BI13" s="22" t="n">
        <v>4.5</v>
      </c>
      <c r="BJ13" s="22" t="n">
        <v>4.8</v>
      </c>
      <c r="BK13" s="22">
        <f>IF(MAESTRO!B13="","",IFERROR(AVERAGE(BI13,BJ13),""))</f>
        <v/>
      </c>
      <c r="BL13" s="5">
        <f>IF(MAESTRO!B13="","",IFERROR(TRUNC(AVERAGE(AW13,BH13,BK13),1),""))</f>
        <v/>
      </c>
      <c r="BM13" s="177" t="n"/>
      <c r="BN13" s="177" t="n">
        <v>9</v>
      </c>
      <c r="BO13" s="177" t="n">
        <v>9</v>
      </c>
      <c r="BP13" s="177">
        <f>IF(MAESTRO!B13="","",MAESTRO!B13)</f>
        <v/>
      </c>
      <c r="BQ13" s="178" t="n"/>
      <c r="BR13" s="5" t="n">
        <v>4.6</v>
      </c>
      <c r="BS13" s="5" t="n">
        <v>4.4</v>
      </c>
      <c r="BT13" s="5" t="n">
        <v>3.1</v>
      </c>
      <c r="BU13" s="5" t="n">
        <v>4.5</v>
      </c>
      <c r="BV13" s="5" t="n">
        <v>3.6</v>
      </c>
      <c r="BW13" s="5" t="n">
        <v>4.2</v>
      </c>
      <c r="BX13" s="5" t="n">
        <v>3.5</v>
      </c>
      <c r="BY13" s="5" t="n">
        <v>4.7</v>
      </c>
      <c r="BZ13" s="5" t="n">
        <v>3.3</v>
      </c>
      <c r="CA13" s="5" t="n">
        <v>4.8</v>
      </c>
      <c r="CB13" s="5" t="n">
        <v>4.1</v>
      </c>
      <c r="CC13" s="5" t="n">
        <v>3.8</v>
      </c>
      <c r="CD13" s="5" t="n">
        <v>3.5</v>
      </c>
      <c r="CE13" s="5">
        <f>IF(MAESTRO!B13="","",IFERROR(TRUNC(AVERAGE(BR13:CD13),1),""))</f>
        <v/>
      </c>
      <c r="CF13" s="5" t="n">
        <v>3.3</v>
      </c>
      <c r="CG13" s="5" t="n">
        <v>3.9</v>
      </c>
      <c r="CH13" s="5" t="n">
        <v>4.3</v>
      </c>
      <c r="CI13" s="5" t="n">
        <v>3.2</v>
      </c>
      <c r="CJ13" s="5" t="n">
        <v>4.9</v>
      </c>
      <c r="CK13" s="5" t="n">
        <v>4.6</v>
      </c>
      <c r="CL13" s="5" t="n">
        <v>4.2</v>
      </c>
      <c r="CM13" s="5" t="n">
        <v>3.5</v>
      </c>
      <c r="CN13" s="5" t="n">
        <v>4.7</v>
      </c>
      <c r="CO13" s="5">
        <f>IF(MAESTRO!B13="","",IFERROR(TRUNC(AVERAGE(CF13:CN13),1),""))</f>
        <v/>
      </c>
      <c r="CP13" s="5" t="n">
        <v>3.4</v>
      </c>
      <c r="CQ13" s="5" t="n">
        <v>4.2</v>
      </c>
      <c r="CR13" s="5">
        <f>IF(MAESTRO!B13="","",IFERROR(AVERAGE(CP13:CQ13),""))</f>
        <v/>
      </c>
      <c r="CS13" s="5">
        <f>IF(MAESTRO!B13="","",IFERROR(TRUNC(AVERAGE(CE13,CR13,CO13),1),""))</f>
        <v/>
      </c>
      <c r="CT13" s="177" t="n"/>
      <c r="CU13" s="171" t="n">
        <v>9</v>
      </c>
      <c r="CY13" s="196" t="n"/>
      <c r="CZ13" s="196" t="n"/>
      <c r="DA13" s="196" t="n"/>
      <c r="DB13" s="196" t="n"/>
      <c r="DC13" s="196" t="n"/>
      <c r="DD13" s="196" t="n"/>
      <c r="DE13" s="196" t="n"/>
      <c r="DF13" s="196" t="n"/>
      <c r="DG13" s="196" t="n"/>
      <c r="DH13" s="196" t="n"/>
      <c r="DI13" s="196" t="n"/>
      <c r="DJ13" s="196" t="n"/>
      <c r="DK13" s="196" t="n"/>
      <c r="DL13" s="196" t="n"/>
      <c r="DZ13" s="196" t="n"/>
      <c r="EA13" s="196" t="n"/>
    </row>
    <row r="14" ht="13.5" customHeight="1" s="176">
      <c r="A14" s="177" t="n">
        <v>10</v>
      </c>
      <c r="B14" s="9">
        <f>IF(MAESTRO!B14="","",MAESTRO!B14)</f>
        <v/>
      </c>
      <c r="C14" s="5" t="n">
        <v>4.7</v>
      </c>
      <c r="D14" s="5" t="n">
        <v>3.1</v>
      </c>
      <c r="E14" s="5" t="n">
        <v>3.2</v>
      </c>
      <c r="F14" s="5" t="n">
        <v>4.7</v>
      </c>
      <c r="G14" s="5" t="n">
        <v>4.2</v>
      </c>
      <c r="H14" s="5" t="n">
        <v>4.4</v>
      </c>
      <c r="I14" s="5" t="n">
        <v>3.6</v>
      </c>
      <c r="J14" s="5" t="n">
        <v>3.9</v>
      </c>
      <c r="K14" s="5" t="n">
        <v>3.6</v>
      </c>
      <c r="L14" s="5" t="n">
        <v>4.6</v>
      </c>
      <c r="M14" s="5" t="n">
        <v>5</v>
      </c>
      <c r="N14" s="5" t="n">
        <v>3.9</v>
      </c>
      <c r="O14" s="5" t="n">
        <v>4.5</v>
      </c>
      <c r="P14" s="5">
        <f>IF(MAESTRO!B14="","",IFERROR(TRUNC(AVERAGE(C14:O14),1),""))</f>
        <v/>
      </c>
      <c r="Q14" s="40" t="n">
        <v>10</v>
      </c>
      <c r="R14" s="22" t="n">
        <v>4.4</v>
      </c>
      <c r="S14" s="22" t="n">
        <v>4.5</v>
      </c>
      <c r="T14" s="22" t="n">
        <v>3.9</v>
      </c>
      <c r="U14" s="22" t="n">
        <v>3.3</v>
      </c>
      <c r="V14" s="22" t="n">
        <v>3.2</v>
      </c>
      <c r="W14" s="22" t="n">
        <v>5</v>
      </c>
      <c r="X14" s="22" t="n">
        <v>4.9</v>
      </c>
      <c r="Y14" s="22" t="n">
        <v>4.9</v>
      </c>
      <c r="Z14" s="22" t="n">
        <v>3.8</v>
      </c>
      <c r="AA14" s="45">
        <f>IF(MAESTRO!B14="","",IFERROR(TRUNC(AVERAGE(R14:Z14),1),""))</f>
        <v/>
      </c>
      <c r="AB14" s="177" t="n">
        <v>4.1</v>
      </c>
      <c r="AC14" s="42" t="n">
        <v>4.6</v>
      </c>
      <c r="AD14" s="5">
        <f>IF(MAESTRO!B14="","",IFERROR(AVERAGE(AB14:AC14),""))</f>
        <v/>
      </c>
      <c r="AE14" s="44">
        <f>IF(MAESTRO!B14="","",IFERROR(TRUNC(AVERAGE(P14,AA14,AD14),1),""))</f>
        <v/>
      </c>
      <c r="AF14" s="177" t="n"/>
      <c r="AG14" s="177" t="n">
        <v>10</v>
      </c>
      <c r="AH14" s="177" t="n">
        <v>10</v>
      </c>
      <c r="AI14" s="177">
        <f>IF(MAESTRO!B14="","",MAESTRO!B14)</f>
        <v/>
      </c>
      <c r="AJ14" s="178" t="n"/>
      <c r="AK14" s="61" t="n">
        <v>3.4</v>
      </c>
      <c r="AL14" s="61" t="n">
        <v>3.9</v>
      </c>
      <c r="AM14" s="61" t="n">
        <v>3.4</v>
      </c>
      <c r="AN14" s="61" t="n">
        <v>3.1</v>
      </c>
      <c r="AO14" s="61" t="n">
        <v>3.9</v>
      </c>
      <c r="AP14" s="61" t="n">
        <v>3</v>
      </c>
      <c r="AQ14" s="61" t="n">
        <v>3.9</v>
      </c>
      <c r="AR14" s="61" t="n">
        <v>3.6</v>
      </c>
      <c r="AS14" s="61" t="n">
        <v>3.8</v>
      </c>
      <c r="AT14" s="61" t="n">
        <v>3.7</v>
      </c>
      <c r="AU14" s="61" t="n">
        <v>4.9</v>
      </c>
      <c r="AV14" s="61" t="n">
        <v>3.8</v>
      </c>
      <c r="AW14" s="5">
        <f>IF(MAESTRO!B14="","",IFERROR(TRUNC(AVERAGE(AK14:AV14),1),""))</f>
        <v/>
      </c>
      <c r="AX14" s="22" t="n">
        <v>4.8</v>
      </c>
      <c r="AY14" s="22" t="n">
        <v>4.2</v>
      </c>
      <c r="AZ14" s="22" t="n">
        <v>4</v>
      </c>
      <c r="BA14" s="22" t="n">
        <v>4.5</v>
      </c>
      <c r="BB14" s="22" t="n">
        <v>4.1</v>
      </c>
      <c r="BC14" s="22" t="n">
        <v>4.6</v>
      </c>
      <c r="BD14" s="22" t="n">
        <v>4</v>
      </c>
      <c r="BE14" s="22" t="n">
        <v>4.5</v>
      </c>
      <c r="BF14" s="22" t="n">
        <v>4.4</v>
      </c>
      <c r="BG14" s="52" t="n">
        <v>4.9</v>
      </c>
      <c r="BH14" s="5">
        <f>IF(MAESTRO!B14="","",IFERROR(TRUNC(AVERAGE(AX14:BG14),1),""))</f>
        <v/>
      </c>
      <c r="BI14" s="22" t="n">
        <v>3.7</v>
      </c>
      <c r="BJ14" s="22" t="n">
        <v>3</v>
      </c>
      <c r="BK14" s="22">
        <f>IF(MAESTRO!B14="","",IFERROR(AVERAGE(BI14,BJ14),""))</f>
        <v/>
      </c>
      <c r="BL14" s="5">
        <f>IF(MAESTRO!B14="","",IFERROR(TRUNC(AVERAGE(AW14,BH14,BK14),1),""))</f>
        <v/>
      </c>
      <c r="BM14" s="177" t="n"/>
      <c r="BN14" s="177" t="n">
        <v>10</v>
      </c>
      <c r="BO14" s="177" t="n">
        <v>10</v>
      </c>
      <c r="BP14" s="177">
        <f>IF(MAESTRO!B14="","",MAESTRO!B14)</f>
        <v/>
      </c>
      <c r="BQ14" s="178" t="n"/>
      <c r="BR14" s="5" t="n">
        <v>3.8</v>
      </c>
      <c r="BS14" s="5" t="n">
        <v>4.9</v>
      </c>
      <c r="BT14" s="5" t="n">
        <v>3.3</v>
      </c>
      <c r="BU14" s="5" t="n">
        <v>3.3</v>
      </c>
      <c r="BV14" s="5" t="n">
        <v>3.2</v>
      </c>
      <c r="BW14" s="5" t="n">
        <v>4.2</v>
      </c>
      <c r="BX14" s="5" t="n">
        <v>3</v>
      </c>
      <c r="BY14" s="5" t="n">
        <v>4.2</v>
      </c>
      <c r="BZ14" s="5" t="n">
        <v>3.4</v>
      </c>
      <c r="CA14" s="5" t="n">
        <v>5</v>
      </c>
      <c r="CB14" s="5" t="n">
        <v>4.9</v>
      </c>
      <c r="CC14" s="5" t="n">
        <v>3.9</v>
      </c>
      <c r="CD14" s="5" t="n">
        <v>4.9</v>
      </c>
      <c r="CE14" s="5">
        <f>IF(MAESTRO!B14="","",IFERROR(TRUNC(AVERAGE(BR14:CD14),1),""))</f>
        <v/>
      </c>
      <c r="CF14" s="5" t="n">
        <v>3.9</v>
      </c>
      <c r="CG14" s="5" t="n">
        <v>4</v>
      </c>
      <c r="CH14" s="5" t="n">
        <v>4.2</v>
      </c>
      <c r="CI14" s="5" t="n">
        <v>3.1</v>
      </c>
      <c r="CJ14" s="5" t="n">
        <v>3.3</v>
      </c>
      <c r="CK14" s="5" t="n">
        <v>3.2</v>
      </c>
      <c r="CL14" s="5" t="n">
        <v>3.3</v>
      </c>
      <c r="CM14" s="5" t="n">
        <v>3.3</v>
      </c>
      <c r="CN14" s="5" t="n">
        <v>4.9</v>
      </c>
      <c r="CO14" s="5">
        <f>IF(MAESTRO!B14="","",IFERROR(TRUNC(AVERAGE(CF14:CN14),1),""))</f>
        <v/>
      </c>
      <c r="CP14" s="5" t="n">
        <v>4.1</v>
      </c>
      <c r="CQ14" s="5" t="n">
        <v>3.8</v>
      </c>
      <c r="CR14" s="5">
        <f>IF(MAESTRO!B14="","",IFERROR(AVERAGE(CP14:CQ14),""))</f>
        <v/>
      </c>
      <c r="CS14" s="5">
        <f>IF(MAESTRO!B14="","",IFERROR(TRUNC(AVERAGE(CE14,CR14,CO14),1),""))</f>
        <v/>
      </c>
      <c r="CT14" s="177" t="n"/>
      <c r="CU14" s="171" t="n">
        <v>10</v>
      </c>
      <c r="CY14" s="196" t="n"/>
      <c r="CZ14" s="196" t="n"/>
      <c r="DA14" s="196" t="n"/>
      <c r="DB14" s="196" t="n"/>
      <c r="DC14" s="196" t="n"/>
      <c r="DD14" s="196" t="n"/>
      <c r="DE14" s="196" t="n"/>
      <c r="DF14" s="196" t="n"/>
      <c r="DG14" s="196" t="n"/>
      <c r="DH14" s="196" t="n"/>
      <c r="DI14" s="196" t="n"/>
      <c r="DJ14" s="196" t="n"/>
      <c r="DK14" s="196" t="n"/>
      <c r="DL14" s="196" t="n"/>
      <c r="DZ14" s="196" t="n"/>
      <c r="EA14" s="196" t="n"/>
    </row>
    <row r="15" ht="13.5" customHeight="1" s="176">
      <c r="A15" s="177" t="n">
        <v>11</v>
      </c>
      <c r="B15" s="9">
        <f>IF(MAESTRO!B15="","",MAESTRO!B15)</f>
        <v/>
      </c>
      <c r="C15" s="5" t="n">
        <v>4</v>
      </c>
      <c r="D15" s="5" t="n">
        <v>4.8</v>
      </c>
      <c r="E15" s="5" t="n">
        <v>4.6</v>
      </c>
      <c r="F15" s="5" t="n">
        <v>4.5</v>
      </c>
      <c r="G15" s="5" t="n">
        <v>4.5</v>
      </c>
      <c r="H15" s="5" t="n">
        <v>4.5</v>
      </c>
      <c r="I15" s="5" t="n">
        <v>3.6</v>
      </c>
      <c r="J15" s="5" t="n">
        <v>4.4</v>
      </c>
      <c r="K15" s="5" t="n">
        <v>4.6</v>
      </c>
      <c r="L15" s="5" t="n">
        <v>4.3</v>
      </c>
      <c r="M15" s="5" t="n">
        <v>4.1</v>
      </c>
      <c r="N15" s="5" t="n">
        <v>4.2</v>
      </c>
      <c r="O15" s="5" t="n">
        <v>3.2</v>
      </c>
      <c r="P15" s="5">
        <f>IF(MAESTRO!B15="","",IFERROR(TRUNC(AVERAGE(C15:O15),1),""))</f>
        <v/>
      </c>
      <c r="Q15" s="40" t="n">
        <v>11</v>
      </c>
      <c r="R15" s="22" t="n">
        <v>4.3</v>
      </c>
      <c r="S15" s="22" t="n">
        <v>4.4</v>
      </c>
      <c r="T15" s="22" t="n">
        <v>3.9</v>
      </c>
      <c r="U15" s="22" t="n">
        <v>3.7</v>
      </c>
      <c r="V15" s="22" t="n">
        <v>4.9</v>
      </c>
      <c r="W15" s="22" t="n">
        <v>4.1</v>
      </c>
      <c r="X15" s="22" t="n">
        <v>3.8</v>
      </c>
      <c r="Y15" s="22" t="n">
        <v>4</v>
      </c>
      <c r="Z15" s="22" t="n">
        <v>5</v>
      </c>
      <c r="AA15" s="45">
        <f>IF(MAESTRO!B15="","",IFERROR(TRUNC(AVERAGE(R15:Z15),1),""))</f>
        <v/>
      </c>
      <c r="AB15" s="177" t="n">
        <v>4.2</v>
      </c>
      <c r="AC15" s="42" t="n">
        <v>4.2</v>
      </c>
      <c r="AD15" s="5">
        <f>IF(MAESTRO!B15="","",IFERROR(AVERAGE(AB15:AC15),""))</f>
        <v/>
      </c>
      <c r="AE15" s="44">
        <f>IF(MAESTRO!B15="","",IFERROR(TRUNC(AVERAGE(P15,AA15,AD15),1),""))</f>
        <v/>
      </c>
      <c r="AF15" s="177" t="n"/>
      <c r="AG15" s="177" t="n">
        <v>11</v>
      </c>
      <c r="AH15" s="177" t="n">
        <v>11</v>
      </c>
      <c r="AI15" s="177">
        <f>IF(MAESTRO!B15="","",MAESTRO!B15)</f>
        <v/>
      </c>
      <c r="AJ15" s="178" t="n"/>
      <c r="AK15" s="61" t="n">
        <v>4</v>
      </c>
      <c r="AL15" s="61" t="n">
        <v>3.2</v>
      </c>
      <c r="AM15" s="61" t="n">
        <v>4.3</v>
      </c>
      <c r="AN15" s="61" t="n">
        <v>3.8</v>
      </c>
      <c r="AO15" s="61" t="n">
        <v>4.1</v>
      </c>
      <c r="AP15" s="61" t="n">
        <v>4.1</v>
      </c>
      <c r="AQ15" s="61" t="n">
        <v>4.9</v>
      </c>
      <c r="AR15" s="61" t="n">
        <v>3.9</v>
      </c>
      <c r="AS15" s="61" t="n">
        <v>3.6</v>
      </c>
      <c r="AT15" s="61" t="n">
        <v>4.7</v>
      </c>
      <c r="AU15" s="61" t="n">
        <v>3.5</v>
      </c>
      <c r="AV15" s="61" t="n">
        <v>3.6</v>
      </c>
      <c r="AW15" s="5">
        <f>IF(MAESTRO!B15="","",IFERROR(TRUNC(AVERAGE(AK15:AV15),1),""))</f>
        <v/>
      </c>
      <c r="AX15" s="22" t="n">
        <v>3.9</v>
      </c>
      <c r="AY15" s="22" t="n">
        <v>3.9</v>
      </c>
      <c r="AZ15" s="22" t="n">
        <v>3.4</v>
      </c>
      <c r="BA15" s="22" t="n">
        <v>4.5</v>
      </c>
      <c r="BB15" s="22" t="n">
        <v>4.3</v>
      </c>
      <c r="BC15" s="22" t="n">
        <v>3.1</v>
      </c>
      <c r="BD15" s="22" t="n">
        <v>4.1</v>
      </c>
      <c r="BE15" s="22" t="n">
        <v>3.3</v>
      </c>
      <c r="BF15" s="22" t="n">
        <v>3.8</v>
      </c>
      <c r="BG15" s="52" t="n">
        <v>4</v>
      </c>
      <c r="BH15" s="5">
        <f>IF(MAESTRO!B15="","",IFERROR(TRUNC(AVERAGE(AX15:BG15),1),""))</f>
        <v/>
      </c>
      <c r="BI15" s="22" t="n">
        <v>4.3</v>
      </c>
      <c r="BJ15" s="22" t="n">
        <v>3.5</v>
      </c>
      <c r="BK15" s="22">
        <f>IF(MAESTRO!B15="","",IFERROR(AVERAGE(BI15,BJ15),""))</f>
        <v/>
      </c>
      <c r="BL15" s="5">
        <f>IF(MAESTRO!B15="","",IFERROR(TRUNC(AVERAGE(AW15,BH15,BK15),1),""))</f>
        <v/>
      </c>
      <c r="BM15" s="177" t="n"/>
      <c r="BN15" s="177" t="n">
        <v>11</v>
      </c>
      <c r="BO15" s="177" t="n">
        <v>11</v>
      </c>
      <c r="BP15" s="177">
        <f>IF(MAESTRO!B15="","",MAESTRO!B15)</f>
        <v/>
      </c>
      <c r="BQ15" s="178" t="n"/>
      <c r="BR15" s="5" t="n">
        <v>3.2</v>
      </c>
      <c r="BS15" s="5" t="n">
        <v>3.6</v>
      </c>
      <c r="BT15" s="5" t="n">
        <v>3.7</v>
      </c>
      <c r="BU15" s="5" t="n">
        <v>3.8</v>
      </c>
      <c r="BV15" s="5" t="n">
        <v>3.7</v>
      </c>
      <c r="BW15" s="5" t="n">
        <v>3.4</v>
      </c>
      <c r="BX15" s="5" t="n">
        <v>4.5</v>
      </c>
      <c r="BY15" s="5" t="n">
        <v>3.9</v>
      </c>
      <c r="BZ15" s="5" t="n">
        <v>3.7</v>
      </c>
      <c r="CA15" s="5" t="n">
        <v>4.1</v>
      </c>
      <c r="CB15" s="5" t="n">
        <v>4.8</v>
      </c>
      <c r="CC15" s="5" t="n">
        <v>4.7</v>
      </c>
      <c r="CD15" s="5" t="n">
        <v>4.1</v>
      </c>
      <c r="CE15" s="5">
        <f>IF(MAESTRO!B15="","",IFERROR(TRUNC(AVERAGE(BR15:CD15),1),""))</f>
        <v/>
      </c>
      <c r="CF15" s="5" t="n">
        <v>3.5</v>
      </c>
      <c r="CG15" s="5" t="n">
        <v>3.2</v>
      </c>
      <c r="CH15" s="5" t="n">
        <v>4.9</v>
      </c>
      <c r="CI15" s="5" t="n">
        <v>3.5</v>
      </c>
      <c r="CJ15" s="5" t="n">
        <v>4.3</v>
      </c>
      <c r="CK15" s="5" t="n">
        <v>3.3</v>
      </c>
      <c r="CL15" s="5" t="n">
        <v>4.6</v>
      </c>
      <c r="CM15" s="5" t="n">
        <v>4.5</v>
      </c>
      <c r="CN15" s="5" t="n">
        <v>3.4</v>
      </c>
      <c r="CO15" s="5">
        <f>IF(MAESTRO!B15="","",IFERROR(TRUNC(AVERAGE(CF15:CN15),1),""))</f>
        <v/>
      </c>
      <c r="CP15" s="5" t="n">
        <v>3.8</v>
      </c>
      <c r="CQ15" s="5" t="n">
        <v>3.9</v>
      </c>
      <c r="CR15" s="5">
        <f>IF(MAESTRO!B15="","",IFERROR(AVERAGE(CP15:CQ15),""))</f>
        <v/>
      </c>
      <c r="CS15" s="5">
        <f>IF(MAESTRO!B15="","",IFERROR(TRUNC(AVERAGE(CE15,CR15,CO15),1),""))</f>
        <v/>
      </c>
      <c r="CT15" s="177" t="n"/>
      <c r="CU15" s="171" t="n">
        <v>11</v>
      </c>
      <c r="CY15" s="196" t="n"/>
      <c r="CZ15" s="196" t="n"/>
      <c r="DA15" s="196" t="n"/>
      <c r="DB15" s="196" t="n"/>
      <c r="DC15" s="196" t="n"/>
      <c r="DD15" s="196" t="n"/>
      <c r="DE15" s="196" t="n"/>
      <c r="DF15" s="196" t="n"/>
      <c r="DG15" s="196" t="n"/>
      <c r="DH15" s="196" t="n"/>
      <c r="DI15" s="196" t="n"/>
      <c r="DJ15" s="196" t="n"/>
      <c r="DK15" s="196" t="n"/>
      <c r="DL15" s="196" t="n"/>
      <c r="DZ15" s="196" t="n"/>
      <c r="EA15" s="196" t="n"/>
    </row>
    <row r="16" ht="13.5" customHeight="1" s="176">
      <c r="A16" s="177" t="n">
        <v>12</v>
      </c>
      <c r="B16" s="9">
        <f>IF(MAESTRO!B16="","",MAESTRO!B16)</f>
        <v/>
      </c>
      <c r="C16" s="5" t="n">
        <v>4.8</v>
      </c>
      <c r="D16" s="5" t="n">
        <v>4.4</v>
      </c>
      <c r="E16" s="5" t="n">
        <v>4.8</v>
      </c>
      <c r="F16" s="5" t="n">
        <v>3.8</v>
      </c>
      <c r="G16" s="5" t="n">
        <v>4.1</v>
      </c>
      <c r="H16" s="5" t="n">
        <v>4.3</v>
      </c>
      <c r="I16" s="5" t="n">
        <v>3.8</v>
      </c>
      <c r="J16" s="5" t="n">
        <v>3.4</v>
      </c>
      <c r="K16" s="5" t="n">
        <v>3.4</v>
      </c>
      <c r="L16" s="5" t="n">
        <v>4.3</v>
      </c>
      <c r="M16" s="5" t="n">
        <v>4</v>
      </c>
      <c r="N16" s="5" t="n">
        <v>4.1</v>
      </c>
      <c r="O16" s="5" t="n">
        <v>4.7</v>
      </c>
      <c r="P16" s="5">
        <f>IF(MAESTRO!B16="","",IFERROR(TRUNC(AVERAGE(C16:O16),1),""))</f>
        <v/>
      </c>
      <c r="Q16" s="40" t="n">
        <v>12</v>
      </c>
      <c r="R16" s="22" t="n">
        <v>4.4</v>
      </c>
      <c r="S16" s="22" t="n">
        <v>4.3</v>
      </c>
      <c r="T16" s="22" t="n">
        <v>4.4</v>
      </c>
      <c r="U16" s="22" t="n">
        <v>4.4</v>
      </c>
      <c r="V16" s="22" t="n">
        <v>4.5</v>
      </c>
      <c r="W16" s="22" t="n">
        <v>4.4</v>
      </c>
      <c r="X16" s="22" t="n">
        <v>3.8</v>
      </c>
      <c r="Y16" s="22" t="n">
        <v>4.3</v>
      </c>
      <c r="Z16" s="22" t="n">
        <v>4.3</v>
      </c>
      <c r="AA16" s="45">
        <f>IF(MAESTRO!B16="","",IFERROR(TRUNC(AVERAGE(R16:Z16),1),""))</f>
        <v/>
      </c>
      <c r="AB16" s="177" t="n">
        <v>3.1</v>
      </c>
      <c r="AC16" s="42" t="n">
        <v>4</v>
      </c>
      <c r="AD16" s="5">
        <f>IF(MAESTRO!B16="","",IFERROR(AVERAGE(AB16:AC16),""))</f>
        <v/>
      </c>
      <c r="AE16" s="44">
        <f>IF(MAESTRO!B16="","",IFERROR(TRUNC(AVERAGE(P16,AA16,AD16),1),""))</f>
        <v/>
      </c>
      <c r="AF16" s="177" t="n"/>
      <c r="AG16" s="177" t="n">
        <v>12</v>
      </c>
      <c r="AH16" s="177" t="n">
        <v>12</v>
      </c>
      <c r="AI16" s="177">
        <f>IF(MAESTRO!B16="","",MAESTRO!B16)</f>
        <v/>
      </c>
      <c r="AJ16" s="178" t="n"/>
      <c r="AK16" s="61" t="n">
        <v>3.7</v>
      </c>
      <c r="AL16" s="61" t="n">
        <v>3.9</v>
      </c>
      <c r="AM16" s="61" t="n">
        <v>4.7</v>
      </c>
      <c r="AN16" s="61" t="n">
        <v>3.3</v>
      </c>
      <c r="AO16" s="61" t="n">
        <v>3.6</v>
      </c>
      <c r="AP16" s="61" t="n">
        <v>3.4</v>
      </c>
      <c r="AQ16" s="61" t="n">
        <v>4.9</v>
      </c>
      <c r="AR16" s="61" t="n">
        <v>4</v>
      </c>
      <c r="AS16" s="61" t="n">
        <v>4.8</v>
      </c>
      <c r="AT16" s="61" t="n">
        <v>4.2</v>
      </c>
      <c r="AU16" s="61" t="n">
        <v>4.9</v>
      </c>
      <c r="AV16" s="61" t="n">
        <v>3.1</v>
      </c>
      <c r="AW16" s="5">
        <f>IF(MAESTRO!B16="","",IFERROR(TRUNC(AVERAGE(AK16:AV16),1),""))</f>
        <v/>
      </c>
      <c r="AX16" s="22" t="n">
        <v>4.7</v>
      </c>
      <c r="AY16" s="22" t="n">
        <v>3.4</v>
      </c>
      <c r="AZ16" s="22" t="n">
        <v>4.4</v>
      </c>
      <c r="BA16" s="22" t="n">
        <v>3.8</v>
      </c>
      <c r="BB16" s="22" t="n">
        <v>4.2</v>
      </c>
      <c r="BC16" s="22" t="n">
        <v>3.1</v>
      </c>
      <c r="BD16" s="22" t="n">
        <v>4.7</v>
      </c>
      <c r="BE16" s="22" t="n">
        <v>4.8</v>
      </c>
      <c r="BF16" s="22" t="n">
        <v>3.1</v>
      </c>
      <c r="BG16" s="52" t="n">
        <v>3.3</v>
      </c>
      <c r="BH16" s="5">
        <f>IF(MAESTRO!B16="","",IFERROR(TRUNC(AVERAGE(AX16:BG16),1),""))</f>
        <v/>
      </c>
      <c r="BI16" s="22" t="n">
        <v>3.8</v>
      </c>
      <c r="BJ16" s="22" t="n">
        <v>3.9</v>
      </c>
      <c r="BK16" s="22">
        <f>IF(MAESTRO!B16="","",IFERROR(AVERAGE(BI16,BJ16),""))</f>
        <v/>
      </c>
      <c r="BL16" s="5">
        <f>IF(MAESTRO!B16="","",IFERROR(TRUNC(AVERAGE(AW16,BH16,BK16),1),""))</f>
        <v/>
      </c>
      <c r="BM16" s="177" t="n"/>
      <c r="BN16" s="177" t="n">
        <v>12</v>
      </c>
      <c r="BO16" s="177" t="n">
        <v>12</v>
      </c>
      <c r="BP16" s="177">
        <f>IF(MAESTRO!B16="","",MAESTRO!B16)</f>
        <v/>
      </c>
      <c r="BQ16" s="178" t="n"/>
      <c r="BR16" s="5" t="n">
        <v>3.1</v>
      </c>
      <c r="BS16" s="5" t="n">
        <v>4.5</v>
      </c>
      <c r="BT16" s="5" t="n">
        <v>3.7</v>
      </c>
      <c r="BU16" s="5" t="n">
        <v>3.2</v>
      </c>
      <c r="BV16" s="5" t="n">
        <v>4.3</v>
      </c>
      <c r="BW16" s="5" t="n">
        <v>3.7</v>
      </c>
      <c r="BX16" s="5" t="n">
        <v>3.4</v>
      </c>
      <c r="BY16" s="5" t="n">
        <v>3.8</v>
      </c>
      <c r="BZ16" s="5" t="n">
        <v>4.9</v>
      </c>
      <c r="CA16" s="5" t="n">
        <v>3.6</v>
      </c>
      <c r="CB16" s="5" t="n">
        <v>3.3</v>
      </c>
      <c r="CC16" s="5" t="n">
        <v>4.8</v>
      </c>
      <c r="CD16" s="5" t="n">
        <v>3.5</v>
      </c>
      <c r="CE16" s="5">
        <f>IF(MAESTRO!B16="","",IFERROR(TRUNC(AVERAGE(BR16:CD16),1),""))</f>
        <v/>
      </c>
      <c r="CF16" s="5" t="n">
        <v>3.7</v>
      </c>
      <c r="CG16" s="5" t="n">
        <v>3.2</v>
      </c>
      <c r="CH16" s="5" t="n">
        <v>4.3</v>
      </c>
      <c r="CI16" s="5" t="n">
        <v>4.7</v>
      </c>
      <c r="CJ16" s="5" t="n">
        <v>4.7</v>
      </c>
      <c r="CK16" s="5" t="n">
        <v>3.7</v>
      </c>
      <c r="CL16" s="5" t="n">
        <v>4.4</v>
      </c>
      <c r="CM16" s="5" t="n">
        <v>3.7</v>
      </c>
      <c r="CN16" s="5" t="n">
        <v>4.6</v>
      </c>
      <c r="CO16" s="5">
        <f>IF(MAESTRO!B16="","",IFERROR(TRUNC(AVERAGE(CF16:CN16),1),""))</f>
        <v/>
      </c>
      <c r="CP16" s="5" t="n">
        <v>4.7</v>
      </c>
      <c r="CQ16" s="5" t="n">
        <v>4.1</v>
      </c>
      <c r="CR16" s="5">
        <f>IF(MAESTRO!B16="","",IFERROR(AVERAGE(CP16:CQ16),""))</f>
        <v/>
      </c>
      <c r="CS16" s="5">
        <f>IF(MAESTRO!B16="","",IFERROR(TRUNC(AVERAGE(CE16,CR16,CO16),1),""))</f>
        <v/>
      </c>
      <c r="CT16" s="177" t="n"/>
      <c r="CU16" s="171" t="n">
        <v>12</v>
      </c>
      <c r="CY16" s="196" t="n"/>
      <c r="CZ16" s="196" t="n"/>
      <c r="DA16" s="196" t="n"/>
      <c r="DB16" s="196" t="n"/>
      <c r="DC16" s="196" t="n"/>
      <c r="DD16" s="196" t="n"/>
      <c r="DE16" s="196" t="n"/>
      <c r="DF16" s="196" t="n"/>
      <c r="DG16" s="196" t="n"/>
      <c r="DH16" s="196" t="n"/>
      <c r="DI16" s="196" t="n"/>
      <c r="DJ16" s="196" t="n"/>
      <c r="DK16" s="196" t="n"/>
      <c r="DL16" s="196" t="n"/>
      <c r="DZ16" s="196" t="n"/>
      <c r="EA16" s="196" t="n"/>
    </row>
    <row r="17" ht="13.5" customHeight="1" s="176">
      <c r="A17" s="177" t="n">
        <v>13</v>
      </c>
      <c r="B17" s="9">
        <f>IF(MAESTRO!B17="","",MAESTRO!B17)</f>
        <v/>
      </c>
      <c r="C17" s="5" t="n">
        <v>3.5</v>
      </c>
      <c r="D17" s="5" t="n">
        <v>4.8</v>
      </c>
      <c r="E17" s="5" t="n">
        <v>3.5</v>
      </c>
      <c r="F17" s="5" t="n">
        <v>3.5</v>
      </c>
      <c r="G17" s="5" t="n">
        <v>4</v>
      </c>
      <c r="H17" s="5" t="n">
        <v>3.1</v>
      </c>
      <c r="I17" s="5" t="n">
        <v>4.5</v>
      </c>
      <c r="J17" s="5" t="n">
        <v>4.6</v>
      </c>
      <c r="K17" s="5" t="n">
        <v>3.8</v>
      </c>
      <c r="L17" s="5" t="n">
        <v>4.8</v>
      </c>
      <c r="M17" s="5" t="n">
        <v>3.1</v>
      </c>
      <c r="N17" s="5" t="n">
        <v>4.2</v>
      </c>
      <c r="O17" s="5" t="n">
        <v>4.2</v>
      </c>
      <c r="P17" s="5">
        <f>IF(MAESTRO!B17="","",IFERROR(TRUNC(AVERAGE(C17:O17),1),""))</f>
        <v/>
      </c>
      <c r="Q17" s="40" t="n">
        <v>13</v>
      </c>
      <c r="R17" s="22" t="n">
        <v>4.6</v>
      </c>
      <c r="S17" s="22" t="n">
        <v>3.9</v>
      </c>
      <c r="T17" s="22" t="n">
        <v>3.7</v>
      </c>
      <c r="U17" s="22" t="n">
        <v>4.4</v>
      </c>
      <c r="V17" s="22" t="n">
        <v>4</v>
      </c>
      <c r="W17" s="22" t="n">
        <v>4.5</v>
      </c>
      <c r="X17" s="22" t="n">
        <v>4.8</v>
      </c>
      <c r="Y17" s="22" t="n">
        <v>3.2</v>
      </c>
      <c r="Z17" s="22" t="n">
        <v>4.4</v>
      </c>
      <c r="AA17" s="45">
        <f>IF(MAESTRO!B17="","",IFERROR(TRUNC(AVERAGE(R17:Z17),1),""))</f>
        <v/>
      </c>
      <c r="AB17" s="177" t="n">
        <v>3.6</v>
      </c>
      <c r="AC17" s="42" t="n">
        <v>3.8</v>
      </c>
      <c r="AD17" s="5">
        <f>IF(MAESTRO!B17="","",IFERROR(AVERAGE(AB17:AC17),""))</f>
        <v/>
      </c>
      <c r="AE17" s="44">
        <f>IF(MAESTRO!B17="","",IFERROR(TRUNC(AVERAGE(P17,AA17,AD17),1),""))</f>
        <v/>
      </c>
      <c r="AF17" s="177" t="n"/>
      <c r="AG17" s="177" t="n">
        <v>13</v>
      </c>
      <c r="AH17" s="177" t="n">
        <v>13</v>
      </c>
      <c r="AI17" s="177">
        <f>IF(MAESTRO!B17="","",MAESTRO!B17)</f>
        <v/>
      </c>
      <c r="AJ17" s="178" t="n"/>
      <c r="AK17" s="61" t="n">
        <v>3.5</v>
      </c>
      <c r="AL17" s="61" t="n">
        <v>4.9</v>
      </c>
      <c r="AM17" s="61" t="n">
        <v>4.4</v>
      </c>
      <c r="AN17" s="61" t="n">
        <v>4.5</v>
      </c>
      <c r="AO17" s="61" t="n">
        <v>3.8</v>
      </c>
      <c r="AP17" s="61" t="n">
        <v>3.6</v>
      </c>
      <c r="AQ17" s="61" t="n">
        <v>4.8</v>
      </c>
      <c r="AR17" s="61" t="n">
        <v>5</v>
      </c>
      <c r="AS17" s="61" t="n">
        <v>4</v>
      </c>
      <c r="AT17" s="61" t="n">
        <v>3.1</v>
      </c>
      <c r="AU17" s="61" t="n">
        <v>4.7</v>
      </c>
      <c r="AV17" s="61" t="n">
        <v>3.2</v>
      </c>
      <c r="AW17" s="5">
        <f>IF(MAESTRO!B17="","",IFERROR(TRUNC(AVERAGE(AK17:AV17),1),""))</f>
        <v/>
      </c>
      <c r="AX17" s="22" t="n">
        <v>4.4</v>
      </c>
      <c r="AY17" s="22" t="n">
        <v>3.8</v>
      </c>
      <c r="AZ17" s="22" t="n">
        <v>4.8</v>
      </c>
      <c r="BA17" s="22" t="n">
        <v>4.1</v>
      </c>
      <c r="BB17" s="22" t="n">
        <v>4.1</v>
      </c>
      <c r="BC17" s="22" t="n">
        <v>4.4</v>
      </c>
      <c r="BD17" s="22" t="n">
        <v>4</v>
      </c>
      <c r="BE17" s="22" t="n">
        <v>3.4</v>
      </c>
      <c r="BF17" s="22" t="n">
        <v>3.7</v>
      </c>
      <c r="BG17" s="52" t="n">
        <v>3.5</v>
      </c>
      <c r="BH17" s="5">
        <f>IF(MAESTRO!B17="","",IFERROR(TRUNC(AVERAGE(AX17:BG17),1),""))</f>
        <v/>
      </c>
      <c r="BI17" s="22" t="n">
        <v>3.8</v>
      </c>
      <c r="BJ17" s="22" t="n">
        <v>4.3</v>
      </c>
      <c r="BK17" s="22">
        <f>IF(MAESTRO!B17="","",IFERROR(AVERAGE(BI17,BJ17),""))</f>
        <v/>
      </c>
      <c r="BL17" s="5">
        <f>IF(MAESTRO!B17="","",IFERROR(TRUNC(AVERAGE(AW17,BH17,BK17),1),""))</f>
        <v/>
      </c>
      <c r="BM17" s="177" t="n"/>
      <c r="BN17" s="177" t="n">
        <v>13</v>
      </c>
      <c r="BO17" s="177" t="n">
        <v>13</v>
      </c>
      <c r="BP17" s="177">
        <f>IF(MAESTRO!B17="","",MAESTRO!B17)</f>
        <v/>
      </c>
      <c r="BQ17" s="178" t="n"/>
      <c r="BR17" s="5" t="n">
        <v>3.3</v>
      </c>
      <c r="BS17" s="5" t="n">
        <v>4.9</v>
      </c>
      <c r="BT17" s="5" t="n">
        <v>3.7</v>
      </c>
      <c r="BU17" s="5" t="n">
        <v>4.1</v>
      </c>
      <c r="BV17" s="5" t="n">
        <v>4.1</v>
      </c>
      <c r="BW17" s="5" t="n">
        <v>4.9</v>
      </c>
      <c r="BX17" s="5" t="n">
        <v>4</v>
      </c>
      <c r="BY17" s="5" t="n">
        <v>3.9</v>
      </c>
      <c r="BZ17" s="5" t="n">
        <v>4.5</v>
      </c>
      <c r="CA17" s="5" t="n">
        <v>4.5</v>
      </c>
      <c r="CB17" s="5" t="n">
        <v>4.3</v>
      </c>
      <c r="CC17" s="5" t="n">
        <v>4.3</v>
      </c>
      <c r="CD17" s="5" t="n">
        <v>3.6</v>
      </c>
      <c r="CE17" s="5">
        <f>IF(MAESTRO!B17="","",IFERROR(TRUNC(AVERAGE(BR17:CD17),1),""))</f>
        <v/>
      </c>
      <c r="CF17" s="5" t="n">
        <v>3.5</v>
      </c>
      <c r="CG17" s="5" t="n">
        <v>3.2</v>
      </c>
      <c r="CH17" s="5" t="n">
        <v>5</v>
      </c>
      <c r="CI17" s="5" t="n">
        <v>4.7</v>
      </c>
      <c r="CJ17" s="5" t="n">
        <v>4.3</v>
      </c>
      <c r="CK17" s="5" t="n">
        <v>4.4</v>
      </c>
      <c r="CL17" s="5" t="n">
        <v>3</v>
      </c>
      <c r="CM17" s="5" t="n">
        <v>5</v>
      </c>
      <c r="CN17" s="5" t="n">
        <v>3.5</v>
      </c>
      <c r="CO17" s="5">
        <f>IF(MAESTRO!B17="","",IFERROR(TRUNC(AVERAGE(CF17:CN17),1),""))</f>
        <v/>
      </c>
      <c r="CP17" s="5" t="n">
        <v>3.5</v>
      </c>
      <c r="CQ17" s="5" t="n">
        <v>4.4</v>
      </c>
      <c r="CR17" s="5">
        <f>IF(MAESTRO!B17="","",IFERROR(AVERAGE(CP17:CQ17),""))</f>
        <v/>
      </c>
      <c r="CS17" s="5">
        <f>IF(MAESTRO!B17="","",IFERROR(TRUNC(AVERAGE(CE17,CR17,CO17),1),""))</f>
        <v/>
      </c>
      <c r="CT17" s="177" t="n"/>
      <c r="CU17" s="171" t="n">
        <v>13</v>
      </c>
      <c r="CY17" s="196" t="n"/>
      <c r="CZ17" s="196" t="n"/>
      <c r="DA17" s="196" t="n"/>
      <c r="DB17" s="196" t="n"/>
      <c r="DC17" s="196" t="n"/>
      <c r="DD17" s="196" t="n"/>
      <c r="DE17" s="196" t="n"/>
      <c r="DF17" s="196" t="n"/>
      <c r="DG17" s="196" t="n"/>
      <c r="DH17" s="196" t="n"/>
      <c r="DI17" s="196" t="n"/>
      <c r="DJ17" s="196" t="n"/>
      <c r="DK17" s="196" t="n"/>
      <c r="DL17" s="196" t="n"/>
      <c r="DZ17" s="196" t="n"/>
      <c r="EA17" s="196" t="n"/>
    </row>
    <row r="18" ht="13.5" customHeight="1" s="176">
      <c r="A18" s="177" t="n">
        <v>14</v>
      </c>
      <c r="B18" s="9">
        <f>IF(MAESTRO!B18="","",MAESTRO!B18)</f>
        <v/>
      </c>
      <c r="C18" s="5" t="n">
        <v>3.8</v>
      </c>
      <c r="D18" s="5" t="n">
        <v>4</v>
      </c>
      <c r="E18" s="5" t="n">
        <v>4.7</v>
      </c>
      <c r="F18" s="5" t="n">
        <v>3.9</v>
      </c>
      <c r="G18" s="5" t="n">
        <v>4.8</v>
      </c>
      <c r="H18" s="5" t="n">
        <v>4.2</v>
      </c>
      <c r="I18" s="5" t="n">
        <v>4</v>
      </c>
      <c r="J18" s="5" t="n">
        <v>4.2</v>
      </c>
      <c r="K18" s="5" t="n">
        <v>3.7</v>
      </c>
      <c r="L18" s="5" t="n">
        <v>4.2</v>
      </c>
      <c r="M18" s="5" t="n">
        <v>4.8</v>
      </c>
      <c r="N18" s="5" t="n">
        <v>4.3</v>
      </c>
      <c r="O18" s="5" t="n">
        <v>4</v>
      </c>
      <c r="P18" s="5">
        <f>IF(MAESTRO!B18="","",IFERROR(TRUNC(AVERAGE(C18:O18),1),""))</f>
        <v/>
      </c>
      <c r="Q18" s="40" t="n">
        <v>14</v>
      </c>
      <c r="R18" s="22" t="n">
        <v>4.3</v>
      </c>
      <c r="S18" s="22" t="n">
        <v>4.7</v>
      </c>
      <c r="T18" s="22" t="n">
        <v>4.7</v>
      </c>
      <c r="U18" s="22" t="n">
        <v>4.9</v>
      </c>
      <c r="V18" s="22" t="n">
        <v>4.5</v>
      </c>
      <c r="W18" s="22" t="n">
        <v>4.5</v>
      </c>
      <c r="X18" s="22" t="n">
        <v>3.7</v>
      </c>
      <c r="Y18" s="22" t="n">
        <v>3.6</v>
      </c>
      <c r="Z18" s="22" t="n">
        <v>3.6</v>
      </c>
      <c r="AA18" s="45">
        <f>IF(MAESTRO!B18="","",IFERROR(TRUNC(AVERAGE(R18:Z18),1),""))</f>
        <v/>
      </c>
      <c r="AB18" s="177" t="n">
        <v>3.6</v>
      </c>
      <c r="AC18" s="42" t="n">
        <v>3.1</v>
      </c>
      <c r="AD18" s="5">
        <f>IF(MAESTRO!B18="","",IFERROR(AVERAGE(AB18:AC18),""))</f>
        <v/>
      </c>
      <c r="AE18" s="44">
        <f>IF(MAESTRO!B18="","",IFERROR(TRUNC(AVERAGE(P18,AA18,AD18),1),""))</f>
        <v/>
      </c>
      <c r="AF18" s="177" t="n"/>
      <c r="AG18" s="177" t="n">
        <v>14</v>
      </c>
      <c r="AH18" s="177" t="n">
        <v>14</v>
      </c>
      <c r="AI18" s="177">
        <f>IF(MAESTRO!B18="","",MAESTRO!B18)</f>
        <v/>
      </c>
      <c r="AJ18" s="178" t="n"/>
      <c r="AK18" s="61" t="n">
        <v>3.2</v>
      </c>
      <c r="AL18" s="61" t="n">
        <v>4</v>
      </c>
      <c r="AM18" s="61" t="n">
        <v>3</v>
      </c>
      <c r="AN18" s="61" t="n">
        <v>3.8</v>
      </c>
      <c r="AO18" s="61" t="n">
        <v>4.8</v>
      </c>
      <c r="AP18" s="61" t="n">
        <v>4.5</v>
      </c>
      <c r="AQ18" s="61" t="n">
        <v>4</v>
      </c>
      <c r="AR18" s="61" t="n">
        <v>4.3</v>
      </c>
      <c r="AS18" s="61" t="n">
        <v>4.4</v>
      </c>
      <c r="AT18" s="61" t="n">
        <v>4.7</v>
      </c>
      <c r="AU18" s="61" t="n">
        <v>4</v>
      </c>
      <c r="AV18" s="61" t="n">
        <v>3.5</v>
      </c>
      <c r="AW18" s="5">
        <f>IF(MAESTRO!B18="","",IFERROR(TRUNC(AVERAGE(AK18:AV18),1),""))</f>
        <v/>
      </c>
      <c r="AX18" s="22" t="n">
        <v>4.9</v>
      </c>
      <c r="AY18" s="22" t="n">
        <v>4.9</v>
      </c>
      <c r="AZ18" s="22" t="n">
        <v>3.8</v>
      </c>
      <c r="BA18" s="22" t="n">
        <v>4.2</v>
      </c>
      <c r="BB18" s="22" t="n">
        <v>4.2</v>
      </c>
      <c r="BC18" s="22" t="n">
        <v>4.7</v>
      </c>
      <c r="BD18" s="22" t="n">
        <v>4.3</v>
      </c>
      <c r="BE18" s="22" t="n">
        <v>4.5</v>
      </c>
      <c r="BF18" s="22" t="n">
        <v>4.6</v>
      </c>
      <c r="BG18" s="52" t="n">
        <v>4.2</v>
      </c>
      <c r="BH18" s="5">
        <f>IF(MAESTRO!B18="","",IFERROR(TRUNC(AVERAGE(AX18:BG18),1),""))</f>
        <v/>
      </c>
      <c r="BI18" s="22" t="n">
        <v>5</v>
      </c>
      <c r="BJ18" s="22" t="n">
        <v>4.3</v>
      </c>
      <c r="BK18" s="22">
        <f>IF(MAESTRO!B18="","",IFERROR(AVERAGE(BI18,BJ18),""))</f>
        <v/>
      </c>
      <c r="BL18" s="5">
        <f>IF(MAESTRO!B18="","",IFERROR(TRUNC(AVERAGE(AW18,BH18,BK18),1),""))</f>
        <v/>
      </c>
      <c r="BM18" s="177" t="n"/>
      <c r="BN18" s="177" t="n">
        <v>14</v>
      </c>
      <c r="BO18" s="177" t="n">
        <v>14</v>
      </c>
      <c r="BP18" s="177">
        <f>IF(MAESTRO!B18="","",MAESTRO!B18)</f>
        <v/>
      </c>
      <c r="BQ18" s="178" t="n"/>
      <c r="BR18" s="5" t="n">
        <v>4.2</v>
      </c>
      <c r="BS18" s="5" t="n">
        <v>3.4</v>
      </c>
      <c r="BT18" s="5" t="n">
        <v>3</v>
      </c>
      <c r="BU18" s="5" t="n">
        <v>4.7</v>
      </c>
      <c r="BV18" s="5" t="n">
        <v>3.6</v>
      </c>
      <c r="BW18" s="5" t="n">
        <v>4.3</v>
      </c>
      <c r="BX18" s="5" t="n">
        <v>4.8</v>
      </c>
      <c r="BY18" s="5" t="n">
        <v>5</v>
      </c>
      <c r="BZ18" s="5" t="n">
        <v>4.3</v>
      </c>
      <c r="CA18" s="5" t="n">
        <v>4.4</v>
      </c>
      <c r="CB18" s="5" t="n">
        <v>4.3</v>
      </c>
      <c r="CC18" s="5" t="n">
        <v>3</v>
      </c>
      <c r="CD18" s="5" t="n">
        <v>4</v>
      </c>
      <c r="CE18" s="5">
        <f>IF(MAESTRO!B18="","",IFERROR(TRUNC(AVERAGE(BR18:CD18),1),""))</f>
        <v/>
      </c>
      <c r="CF18" s="5" t="n">
        <v>3.1</v>
      </c>
      <c r="CG18" s="5" t="n">
        <v>4.1</v>
      </c>
      <c r="CH18" s="5" t="n">
        <v>3.5</v>
      </c>
      <c r="CI18" s="5" t="n">
        <v>3.4</v>
      </c>
      <c r="CJ18" s="5" t="n">
        <v>4.3</v>
      </c>
      <c r="CK18" s="5" t="n">
        <v>3.2</v>
      </c>
      <c r="CL18" s="5" t="n">
        <v>3.7</v>
      </c>
      <c r="CM18" s="5" t="n">
        <v>3.7</v>
      </c>
      <c r="CN18" s="5" t="n">
        <v>4.6</v>
      </c>
      <c r="CO18" s="5">
        <f>IF(MAESTRO!B18="","",IFERROR(TRUNC(AVERAGE(CF18:CN18),1),""))</f>
        <v/>
      </c>
      <c r="CP18" s="5" t="n">
        <v>3.7</v>
      </c>
      <c r="CQ18" s="5" t="n">
        <v>4.8</v>
      </c>
      <c r="CR18" s="5">
        <f>IF(MAESTRO!B18="","",IFERROR(AVERAGE(CP18:CQ18),""))</f>
        <v/>
      </c>
      <c r="CS18" s="5">
        <f>IF(MAESTRO!B18="","",IFERROR(TRUNC(AVERAGE(CE18,CR18,CO18),1),""))</f>
        <v/>
      </c>
      <c r="CT18" s="177" t="n"/>
      <c r="CU18" s="171" t="n">
        <v>14</v>
      </c>
      <c r="CY18" s="196" t="n"/>
      <c r="CZ18" s="196" t="n"/>
      <c r="DA18" s="196" t="n"/>
      <c r="DB18" s="196" t="n"/>
      <c r="DC18" s="196" t="n"/>
      <c r="DD18" s="196" t="n"/>
      <c r="DE18" s="196" t="n"/>
      <c r="DF18" s="196" t="n"/>
      <c r="DG18" s="196" t="n"/>
      <c r="DH18" s="196" t="n"/>
      <c r="DI18" s="196" t="n"/>
      <c r="DJ18" s="196" t="n"/>
      <c r="DK18" s="196" t="n"/>
      <c r="DL18" s="196" t="n"/>
      <c r="DZ18" s="196" t="n"/>
      <c r="EA18" s="196" t="n"/>
    </row>
    <row r="19" ht="13.5" customHeight="1" s="176">
      <c r="A19" s="177" t="n">
        <v>15</v>
      </c>
      <c r="B19" s="9">
        <f>IF(MAESTRO!B19="","",MAESTRO!B19)</f>
        <v/>
      </c>
      <c r="C19" s="5" t="n">
        <v>5</v>
      </c>
      <c r="D19" s="5" t="n">
        <v>4</v>
      </c>
      <c r="E19" s="5" t="n">
        <v>3.4</v>
      </c>
      <c r="F19" s="5" t="n">
        <v>3.8</v>
      </c>
      <c r="G19" s="5" t="n">
        <v>3.8</v>
      </c>
      <c r="H19" s="5" t="n">
        <v>5</v>
      </c>
      <c r="I19" s="5" t="n">
        <v>4.4</v>
      </c>
      <c r="J19" s="5" t="n">
        <v>4.9</v>
      </c>
      <c r="K19" s="5" t="n">
        <v>3.3</v>
      </c>
      <c r="L19" s="5" t="n">
        <v>3.3</v>
      </c>
      <c r="M19" s="5" t="n">
        <v>3.9</v>
      </c>
      <c r="N19" s="5" t="n">
        <v>3.9</v>
      </c>
      <c r="O19" s="5" t="n">
        <v>3.7</v>
      </c>
      <c r="P19" s="5">
        <f>IF(MAESTRO!B19="","",IFERROR(TRUNC(AVERAGE(C19:O19),1),""))</f>
        <v/>
      </c>
      <c r="Q19" s="40" t="n">
        <v>15</v>
      </c>
      <c r="R19" s="22" t="n">
        <v>5</v>
      </c>
      <c r="S19" s="22" t="n">
        <v>4.1</v>
      </c>
      <c r="T19" s="22" t="n">
        <v>3.9</v>
      </c>
      <c r="U19" s="22" t="n">
        <v>4.1</v>
      </c>
      <c r="V19" s="22" t="n">
        <v>4.4</v>
      </c>
      <c r="W19" s="22" t="n">
        <v>3.5</v>
      </c>
      <c r="X19" s="22" t="n">
        <v>4.8</v>
      </c>
      <c r="Y19" s="22" t="n">
        <v>4</v>
      </c>
      <c r="Z19" s="22" t="n">
        <v>3.4</v>
      </c>
      <c r="AA19" s="45">
        <f>IF(MAESTRO!B19="","",IFERROR(TRUNC(AVERAGE(R19:Z19),1),""))</f>
        <v/>
      </c>
      <c r="AB19" s="177" t="n">
        <v>4.9</v>
      </c>
      <c r="AC19" s="42" t="n">
        <v>3.2</v>
      </c>
      <c r="AD19" s="5">
        <f>IF(MAESTRO!B19="","",IFERROR(AVERAGE(AB19:AC19),""))</f>
        <v/>
      </c>
      <c r="AE19" s="44">
        <f>IF(MAESTRO!B19="","",IFERROR(TRUNC(AVERAGE(P19,AA19,AD19),1),""))</f>
        <v/>
      </c>
      <c r="AF19" s="177" t="n"/>
      <c r="AG19" s="177" t="n">
        <v>15</v>
      </c>
      <c r="AH19" s="177" t="n">
        <v>15</v>
      </c>
      <c r="AI19" s="177">
        <f>IF(MAESTRO!B19="","",MAESTRO!B19)</f>
        <v/>
      </c>
      <c r="AJ19" s="178" t="n"/>
      <c r="AK19" s="61" t="n">
        <v>3.6</v>
      </c>
      <c r="AL19" s="61" t="n">
        <v>4.2</v>
      </c>
      <c r="AM19" s="61" t="n">
        <v>4.4</v>
      </c>
      <c r="AN19" s="61" t="n">
        <v>4.2</v>
      </c>
      <c r="AO19" s="61" t="n">
        <v>3.7</v>
      </c>
      <c r="AP19" s="61" t="n">
        <v>3.6</v>
      </c>
      <c r="AQ19" s="61" t="n">
        <v>3.1</v>
      </c>
      <c r="AR19" s="61" t="n">
        <v>3.3</v>
      </c>
      <c r="AS19" s="61" t="n">
        <v>3.9</v>
      </c>
      <c r="AT19" s="61" t="n">
        <v>3.9</v>
      </c>
      <c r="AU19" s="61" t="n">
        <v>4.2</v>
      </c>
      <c r="AV19" s="61" t="n">
        <v>3.6</v>
      </c>
      <c r="AW19" s="5">
        <f>IF(MAESTRO!B19="","",IFERROR(TRUNC(AVERAGE(AK19:AV19),1),""))</f>
        <v/>
      </c>
      <c r="AX19" s="22" t="n">
        <v>4.8</v>
      </c>
      <c r="AY19" s="22" t="n">
        <v>4.1</v>
      </c>
      <c r="AZ19" s="22" t="n">
        <v>4.8</v>
      </c>
      <c r="BA19" s="22" t="n">
        <v>4.7</v>
      </c>
      <c r="BB19" s="22" t="n">
        <v>3.3</v>
      </c>
      <c r="BC19" s="22" t="n">
        <v>3.6</v>
      </c>
      <c r="BD19" s="22" t="n">
        <v>3.1</v>
      </c>
      <c r="BE19" s="22" t="n">
        <v>3.1</v>
      </c>
      <c r="BF19" s="22" t="n">
        <v>3.1</v>
      </c>
      <c r="BG19" s="52" t="n">
        <v>4.4</v>
      </c>
      <c r="BH19" s="5">
        <f>IF(MAESTRO!B19="","",IFERROR(TRUNC(AVERAGE(AX19:BG19),1),""))</f>
        <v/>
      </c>
      <c r="BI19" s="22" t="n">
        <v>4</v>
      </c>
      <c r="BJ19" s="22" t="n">
        <v>4.4</v>
      </c>
      <c r="BK19" s="22">
        <f>IF(MAESTRO!B19="","",IFERROR(AVERAGE(BI19,BJ19),""))</f>
        <v/>
      </c>
      <c r="BL19" s="5">
        <f>IF(MAESTRO!B19="","",IFERROR(TRUNC(AVERAGE(AW19,BH19,BK19),1),""))</f>
        <v/>
      </c>
      <c r="BM19" s="177" t="n"/>
      <c r="BN19" s="177" t="n">
        <v>15</v>
      </c>
      <c r="BO19" s="177" t="n">
        <v>15</v>
      </c>
      <c r="BP19" s="177">
        <f>IF(MAESTRO!B19="","",MAESTRO!B19)</f>
        <v/>
      </c>
      <c r="BQ19" s="178" t="n"/>
      <c r="BR19" s="5" t="n">
        <v>4</v>
      </c>
      <c r="BS19" s="5" t="n">
        <v>4.2</v>
      </c>
      <c r="BT19" s="5" t="n">
        <v>4.2</v>
      </c>
      <c r="BU19" s="5" t="n">
        <v>3.1</v>
      </c>
      <c r="BV19" s="5" t="n">
        <v>3.1</v>
      </c>
      <c r="BW19" s="5" t="n">
        <v>3.4</v>
      </c>
      <c r="BX19" s="5" t="n">
        <v>4</v>
      </c>
      <c r="BY19" s="5" t="n">
        <v>4.4</v>
      </c>
      <c r="BZ19" s="5" t="n">
        <v>3.8</v>
      </c>
      <c r="CA19" s="5" t="n">
        <v>5</v>
      </c>
      <c r="CB19" s="5" t="n">
        <v>4.9</v>
      </c>
      <c r="CC19" s="5" t="n">
        <v>3.8</v>
      </c>
      <c r="CD19" s="5" t="n">
        <v>4.1</v>
      </c>
      <c r="CE19" s="5">
        <f>IF(MAESTRO!B19="","",IFERROR(TRUNC(AVERAGE(BR19:CD19),1),""))</f>
        <v/>
      </c>
      <c r="CF19" s="5" t="n">
        <v>3.7</v>
      </c>
      <c r="CG19" s="5" t="n">
        <v>3.6</v>
      </c>
      <c r="CH19" s="5" t="n">
        <v>4.9</v>
      </c>
      <c r="CI19" s="5" t="n">
        <v>4.5</v>
      </c>
      <c r="CJ19" s="5" t="n">
        <v>4.6</v>
      </c>
      <c r="CK19" s="5" t="n">
        <v>4.5</v>
      </c>
      <c r="CL19" s="5" t="n">
        <v>5</v>
      </c>
      <c r="CM19" s="5" t="n">
        <v>4.8</v>
      </c>
      <c r="CN19" s="5" t="n">
        <v>3</v>
      </c>
      <c r="CO19" s="5">
        <f>IF(MAESTRO!B19="","",IFERROR(TRUNC(AVERAGE(CF19:CN19),1),""))</f>
        <v/>
      </c>
      <c r="CP19" s="5" t="n">
        <v>4.7</v>
      </c>
      <c r="CQ19" s="5" t="n">
        <v>3.5</v>
      </c>
      <c r="CR19" s="5">
        <f>IF(MAESTRO!B19="","",IFERROR(AVERAGE(CP19:CQ19),""))</f>
        <v/>
      </c>
      <c r="CS19" s="5">
        <f>IF(MAESTRO!B19="","",IFERROR(TRUNC(AVERAGE(CE19,CR19,CO19),1),""))</f>
        <v/>
      </c>
      <c r="CT19" s="177" t="n"/>
      <c r="CU19" s="171" t="n">
        <v>15</v>
      </c>
      <c r="CY19" s="196" t="n"/>
      <c r="CZ19" s="196" t="n"/>
      <c r="DA19" s="196" t="n"/>
      <c r="DB19" s="196" t="n"/>
      <c r="DC19" s="196" t="n"/>
      <c r="DD19" s="196" t="n"/>
      <c r="DE19" s="196" t="n"/>
      <c r="DF19" s="196" t="n"/>
      <c r="DG19" s="196" t="n"/>
      <c r="DH19" s="196" t="n"/>
      <c r="DI19" s="196" t="n"/>
      <c r="DJ19" s="196" t="n"/>
      <c r="DK19" s="196" t="n"/>
      <c r="DL19" s="196" t="n"/>
      <c r="DZ19" s="196" t="n"/>
      <c r="EA19" s="196" t="n"/>
    </row>
    <row r="20" ht="13.2" customHeight="1" s="176">
      <c r="A20" s="177" t="n">
        <v>16</v>
      </c>
      <c r="B20" s="9">
        <f>IF(MAESTRO!B20="","",MAESTRO!B20)</f>
        <v/>
      </c>
      <c r="C20" s="5" t="n">
        <v>4.9</v>
      </c>
      <c r="D20" s="5" t="n">
        <v>3.3</v>
      </c>
      <c r="E20" s="5" t="n">
        <v>4.3</v>
      </c>
      <c r="F20" s="5" t="n">
        <v>4.5</v>
      </c>
      <c r="G20" s="5" t="n">
        <v>3.3</v>
      </c>
      <c r="H20" s="5" t="n">
        <v>4.2</v>
      </c>
      <c r="I20" s="5" t="n">
        <v>4.7</v>
      </c>
      <c r="J20" s="5" t="n">
        <v>3.1</v>
      </c>
      <c r="K20" s="5" t="n">
        <v>4.1</v>
      </c>
      <c r="L20" s="5" t="n">
        <v>3.6</v>
      </c>
      <c r="M20" s="5" t="n">
        <v>3.2</v>
      </c>
      <c r="N20" s="5" t="n">
        <v>3.5</v>
      </c>
      <c r="O20" s="5" t="n">
        <v>4.6</v>
      </c>
      <c r="P20" s="5">
        <f>IF(MAESTRO!B20="","",IFERROR(TRUNC(AVERAGE(C20:O20),1),""))</f>
        <v/>
      </c>
      <c r="Q20" s="40" t="n">
        <v>16</v>
      </c>
      <c r="R20" s="22" t="n">
        <v>4.6</v>
      </c>
      <c r="S20" s="22" t="n">
        <v>4.2</v>
      </c>
      <c r="T20" s="22" t="n">
        <v>4.1</v>
      </c>
      <c r="U20" s="22" t="n">
        <v>3.2</v>
      </c>
      <c r="V20" s="22" t="n">
        <v>3.2</v>
      </c>
      <c r="W20" s="22" t="n">
        <v>4.6</v>
      </c>
      <c r="X20" s="22" t="n">
        <v>3.5</v>
      </c>
      <c r="Y20" s="22" t="n">
        <v>3.7</v>
      </c>
      <c r="Z20" s="22" t="n">
        <v>4.3</v>
      </c>
      <c r="AA20" s="45">
        <f>IF(MAESTRO!B20="","",IFERROR(TRUNC(AVERAGE(R20:Z20),1),""))</f>
        <v/>
      </c>
      <c r="AB20" s="177" t="n">
        <v>4.7</v>
      </c>
      <c r="AC20" s="42" t="n">
        <v>3.7</v>
      </c>
      <c r="AD20" s="5">
        <f>IF(MAESTRO!B20="","",IFERROR(AVERAGE(AB20:AC20),""))</f>
        <v/>
      </c>
      <c r="AE20" s="44">
        <f>IF(MAESTRO!B20="","",IFERROR(TRUNC(AVERAGE(P20,AA20,AD20),1),""))</f>
        <v/>
      </c>
      <c r="AF20" s="177" t="n"/>
      <c r="AG20" s="177" t="n">
        <v>16</v>
      </c>
      <c r="AH20" s="177" t="n">
        <v>16</v>
      </c>
      <c r="AI20" s="177">
        <f>IF(MAESTRO!B20="","",MAESTRO!B20)</f>
        <v/>
      </c>
      <c r="AJ20" s="178" t="n"/>
      <c r="AK20" s="61" t="n">
        <v>4.8</v>
      </c>
      <c r="AL20" s="61" t="n">
        <v>3.6</v>
      </c>
      <c r="AM20" s="61" t="n">
        <v>4.6</v>
      </c>
      <c r="AN20" s="61" t="n">
        <v>4.1</v>
      </c>
      <c r="AO20" s="61" t="n">
        <v>4</v>
      </c>
      <c r="AP20" s="61" t="n">
        <v>3.7</v>
      </c>
      <c r="AQ20" s="61" t="n">
        <v>4.8</v>
      </c>
      <c r="AR20" s="61" t="n">
        <v>3.6</v>
      </c>
      <c r="AS20" s="61" t="n">
        <v>3.6</v>
      </c>
      <c r="AT20" s="61" t="n">
        <v>4.6</v>
      </c>
      <c r="AU20" s="61" t="n">
        <v>5</v>
      </c>
      <c r="AV20" s="61" t="n">
        <v>4.1</v>
      </c>
      <c r="AW20" s="5">
        <f>IF(MAESTRO!B20="","",IFERROR(TRUNC(AVERAGE(AK20:AV20),1),""))</f>
        <v/>
      </c>
      <c r="AX20" s="22" t="n">
        <v>3.9</v>
      </c>
      <c r="AY20" s="22" t="n">
        <v>3.3</v>
      </c>
      <c r="AZ20" s="22" t="n">
        <v>4.9</v>
      </c>
      <c r="BA20" s="22" t="n">
        <v>3.9</v>
      </c>
      <c r="BB20" s="22" t="n">
        <v>4.1</v>
      </c>
      <c r="BC20" s="22" t="n">
        <v>4.3</v>
      </c>
      <c r="BD20" s="22" t="n">
        <v>3.3</v>
      </c>
      <c r="BE20" s="22" t="n">
        <v>3</v>
      </c>
      <c r="BF20" s="22" t="n">
        <v>4.9</v>
      </c>
      <c r="BG20" s="52" t="n">
        <v>4.7</v>
      </c>
      <c r="BH20" s="5">
        <f>IF(MAESTRO!B20="","",IFERROR(TRUNC(AVERAGE(AX20:BG20),1),""))</f>
        <v/>
      </c>
      <c r="BI20" s="22" t="n">
        <v>4.6</v>
      </c>
      <c r="BJ20" s="22" t="n">
        <v>4.3</v>
      </c>
      <c r="BK20" s="22">
        <f>IF(MAESTRO!B20="","",IFERROR(AVERAGE(BI20,BJ20),""))</f>
        <v/>
      </c>
      <c r="BL20" s="5">
        <f>IF(MAESTRO!B20="","",IFERROR(TRUNC(AVERAGE(AW20,BH20,BK20),1),""))</f>
        <v/>
      </c>
      <c r="BM20" s="177" t="n"/>
      <c r="BN20" s="177" t="n">
        <v>16</v>
      </c>
      <c r="BO20" s="177" t="n">
        <v>16</v>
      </c>
      <c r="BP20" s="177">
        <f>IF(MAESTRO!B20="","",MAESTRO!B20)</f>
        <v/>
      </c>
      <c r="BQ20" s="178" t="n"/>
      <c r="BR20" s="5" t="n">
        <v>4.7</v>
      </c>
      <c r="BS20" s="5" t="n">
        <v>4.8</v>
      </c>
      <c r="BT20" s="5" t="n">
        <v>4.4</v>
      </c>
      <c r="BU20" s="5" t="n">
        <v>3.7</v>
      </c>
      <c r="BV20" s="5" t="n">
        <v>4.2</v>
      </c>
      <c r="BW20" s="5" t="n">
        <v>3.9</v>
      </c>
      <c r="BX20" s="5" t="n">
        <v>4.5</v>
      </c>
      <c r="BY20" s="5" t="n">
        <v>4.8</v>
      </c>
      <c r="BZ20" s="5" t="n">
        <v>3.1</v>
      </c>
      <c r="CA20" s="5" t="n">
        <v>3</v>
      </c>
      <c r="CB20" s="5" t="n">
        <v>4</v>
      </c>
      <c r="CC20" s="5" t="n">
        <v>4.9</v>
      </c>
      <c r="CD20" s="5" t="n">
        <v>3.5</v>
      </c>
      <c r="CE20" s="5">
        <f>IF(MAESTRO!B20="","",IFERROR(TRUNC(AVERAGE(BR20:CD20),1),""))</f>
        <v/>
      </c>
      <c r="CF20" s="5" t="n">
        <v>3.8</v>
      </c>
      <c r="CG20" s="5" t="n">
        <v>4.6</v>
      </c>
      <c r="CH20" s="5" t="n">
        <v>4.1</v>
      </c>
      <c r="CI20" s="5" t="n">
        <v>3.7</v>
      </c>
      <c r="CJ20" s="5" t="n">
        <v>3.3</v>
      </c>
      <c r="CK20" s="5" t="n">
        <v>3.8</v>
      </c>
      <c r="CL20" s="5" t="n">
        <v>3.6</v>
      </c>
      <c r="CM20" s="5" t="n">
        <v>3.6</v>
      </c>
      <c r="CN20" s="5" t="n">
        <v>4.8</v>
      </c>
      <c r="CO20" s="5">
        <f>IF(MAESTRO!B20="","",IFERROR(TRUNC(AVERAGE(CF20:CN20),1),""))</f>
        <v/>
      </c>
      <c r="CP20" s="5" t="n">
        <v>4</v>
      </c>
      <c r="CQ20" s="5" t="n">
        <v>3.3</v>
      </c>
      <c r="CR20" s="5">
        <f>IF(MAESTRO!B20="","",IFERROR(AVERAGE(CP20:CQ20),""))</f>
        <v/>
      </c>
      <c r="CS20" s="5">
        <f>IF(MAESTRO!B20="","",IFERROR(TRUNC(AVERAGE(CE20,CR20,CO20),1),""))</f>
        <v/>
      </c>
      <c r="CT20" s="177" t="n"/>
      <c r="CU20" s="171" t="n">
        <v>16</v>
      </c>
      <c r="CY20" s="196" t="n"/>
      <c r="CZ20" s="196" t="n"/>
      <c r="DA20" s="196" t="n"/>
      <c r="DB20" s="196" t="n"/>
      <c r="DC20" s="196" t="n"/>
      <c r="DD20" s="196" t="n"/>
      <c r="DE20" s="196" t="n"/>
      <c r="DF20" s="196" t="n"/>
      <c r="DG20" s="196" t="n"/>
      <c r="DH20" s="196" t="n"/>
      <c r="DI20" s="196" t="n"/>
      <c r="DJ20" s="196" t="n"/>
      <c r="DK20" s="196" t="n"/>
      <c r="DL20" s="196" t="n"/>
      <c r="DZ20" s="196" t="n"/>
      <c r="EA20" s="196" t="n"/>
    </row>
    <row r="21" ht="13.2" customHeight="1" s="176">
      <c r="A21" s="177" t="n">
        <v>17</v>
      </c>
      <c r="B21" s="9">
        <f>IF(MAESTRO!B21="","",MAESTRO!B21)</f>
        <v/>
      </c>
      <c r="C21" s="5" t="n">
        <v>5</v>
      </c>
      <c r="D21" s="5" t="n">
        <v>4</v>
      </c>
      <c r="E21" s="5" t="n">
        <v>4.3</v>
      </c>
      <c r="F21" s="5" t="n">
        <v>4.6</v>
      </c>
      <c r="G21" s="5" t="n">
        <v>3.9</v>
      </c>
      <c r="H21" s="5" t="n">
        <v>5</v>
      </c>
      <c r="I21" s="5" t="n">
        <v>3.7</v>
      </c>
      <c r="J21" s="5" t="n">
        <v>4.9</v>
      </c>
      <c r="K21" s="5" t="n">
        <v>3.4</v>
      </c>
      <c r="L21" s="5" t="n">
        <v>4.2</v>
      </c>
      <c r="M21" s="5" t="n">
        <v>3.5</v>
      </c>
      <c r="N21" s="5" t="n">
        <v>3.6</v>
      </c>
      <c r="O21" s="5" t="n">
        <v>4</v>
      </c>
      <c r="P21" s="5">
        <f>IF(MAESTRO!B21="","",IFERROR(TRUNC(AVERAGE(C21:O21),1),""))</f>
        <v/>
      </c>
      <c r="Q21" s="40" t="n">
        <v>17</v>
      </c>
      <c r="R21" s="22" t="n">
        <v>4.4</v>
      </c>
      <c r="S21" s="22" t="n">
        <v>3.6</v>
      </c>
      <c r="T21" s="22" t="n">
        <v>3.4</v>
      </c>
      <c r="U21" s="22" t="n">
        <v>3.4</v>
      </c>
      <c r="V21" s="22" t="n">
        <v>3.6</v>
      </c>
      <c r="W21" s="22" t="n">
        <v>4.6</v>
      </c>
      <c r="X21" s="22" t="n">
        <v>4.4</v>
      </c>
      <c r="Y21" s="22" t="n">
        <v>3.5</v>
      </c>
      <c r="Z21" s="22" t="n">
        <v>3.8</v>
      </c>
      <c r="AA21" s="45">
        <f>IF(MAESTRO!B21="","",IFERROR(TRUNC(AVERAGE(R21:Z21),1),""))</f>
        <v/>
      </c>
      <c r="AB21" s="177" t="n">
        <v>3.7</v>
      </c>
      <c r="AC21" s="42" t="n">
        <v>4.9</v>
      </c>
      <c r="AD21" s="5">
        <f>IF(MAESTRO!B21="","",IFERROR(AVERAGE(AB21:AC21),""))</f>
        <v/>
      </c>
      <c r="AE21" s="44">
        <f>IF(MAESTRO!B21="","",IFERROR(TRUNC(AVERAGE(P21,AA21,AD21),1),""))</f>
        <v/>
      </c>
      <c r="AF21" s="177" t="n"/>
      <c r="AG21" s="177" t="n">
        <v>17</v>
      </c>
      <c r="AH21" s="177" t="n">
        <v>17</v>
      </c>
      <c r="AI21" s="177">
        <f>IF(MAESTRO!B21="","",MAESTRO!B21)</f>
        <v/>
      </c>
      <c r="AJ21" s="178" t="n"/>
      <c r="AK21" s="61" t="n">
        <v>4.8</v>
      </c>
      <c r="AL21" s="61" t="n">
        <v>4.2</v>
      </c>
      <c r="AM21" s="61" t="n">
        <v>4</v>
      </c>
      <c r="AN21" s="61" t="n">
        <v>4.8</v>
      </c>
      <c r="AO21" s="61" t="n">
        <v>3.5</v>
      </c>
      <c r="AP21" s="61" t="n">
        <v>3.6</v>
      </c>
      <c r="AQ21" s="61" t="n">
        <v>4.1</v>
      </c>
      <c r="AR21" s="61" t="n">
        <v>3.2</v>
      </c>
      <c r="AS21" s="61" t="n">
        <v>3.6</v>
      </c>
      <c r="AT21" s="61" t="n">
        <v>4.2</v>
      </c>
      <c r="AU21" s="61" t="n">
        <v>4.1</v>
      </c>
      <c r="AV21" s="61" t="n">
        <v>3.5</v>
      </c>
      <c r="AW21" s="5">
        <f>IF(MAESTRO!B21="","",IFERROR(TRUNC(AVERAGE(AK21:AV21),1),""))</f>
        <v/>
      </c>
      <c r="AX21" s="22" t="n">
        <v>3.3</v>
      </c>
      <c r="AY21" s="22" t="n">
        <v>4.4</v>
      </c>
      <c r="AZ21" s="22" t="n">
        <v>4.2</v>
      </c>
      <c r="BA21" s="22" t="n">
        <v>4.6</v>
      </c>
      <c r="BB21" s="22" t="n">
        <v>3.5</v>
      </c>
      <c r="BC21" s="22" t="n">
        <v>4.2</v>
      </c>
      <c r="BD21" s="22" t="n">
        <v>4.4</v>
      </c>
      <c r="BE21" s="22" t="n">
        <v>4.7</v>
      </c>
      <c r="BF21" s="22" t="n">
        <v>4.7</v>
      </c>
      <c r="BG21" s="52" t="n">
        <v>4.6</v>
      </c>
      <c r="BH21" s="5">
        <f>IF(MAESTRO!B21="","",IFERROR(TRUNC(AVERAGE(AX21:BG21),1),""))</f>
        <v/>
      </c>
      <c r="BI21" s="22" t="n">
        <v>4.1</v>
      </c>
      <c r="BJ21" s="22" t="n">
        <v>4.4</v>
      </c>
      <c r="BK21" s="22">
        <f>IF(MAESTRO!B21="","",IFERROR(AVERAGE(BI21,BJ21),""))</f>
        <v/>
      </c>
      <c r="BL21" s="5">
        <f>IF(MAESTRO!B21="","",IFERROR(TRUNC(AVERAGE(AW21,BH21,BK21),1),""))</f>
        <v/>
      </c>
      <c r="BM21" s="177" t="n"/>
      <c r="BN21" s="177" t="n">
        <v>17</v>
      </c>
      <c r="BO21" s="177" t="n">
        <v>17</v>
      </c>
      <c r="BP21" s="177">
        <f>IF(MAESTRO!B21="","",MAESTRO!B21)</f>
        <v/>
      </c>
      <c r="BQ21" s="178" t="n"/>
      <c r="BR21" s="5" t="n">
        <v>3.5</v>
      </c>
      <c r="BS21" s="5" t="n">
        <v>3.6</v>
      </c>
      <c r="BT21" s="5" t="n">
        <v>4.8</v>
      </c>
      <c r="BU21" s="5" t="n">
        <v>4.5</v>
      </c>
      <c r="BV21" s="5" t="n">
        <v>3.7</v>
      </c>
      <c r="BW21" s="5" t="n">
        <v>4.6</v>
      </c>
      <c r="BX21" s="5" t="n">
        <v>3.8</v>
      </c>
      <c r="BY21" s="5" t="n">
        <v>4.9</v>
      </c>
      <c r="BZ21" s="5" t="n">
        <v>3.3</v>
      </c>
      <c r="CA21" s="5" t="n">
        <v>4.9</v>
      </c>
      <c r="CB21" s="5" t="n">
        <v>4.1</v>
      </c>
      <c r="CC21" s="5" t="n">
        <v>4.4</v>
      </c>
      <c r="CD21" s="5" t="n">
        <v>4.2</v>
      </c>
      <c r="CE21" s="5">
        <f>IF(MAESTRO!B21="","",IFERROR(TRUNC(AVERAGE(BR21:CD21),1),""))</f>
        <v/>
      </c>
      <c r="CF21" s="5" t="n">
        <v>4</v>
      </c>
      <c r="CG21" s="5" t="n">
        <v>3.9</v>
      </c>
      <c r="CH21" s="5" t="n">
        <v>3.9</v>
      </c>
      <c r="CI21" s="5" t="n">
        <v>3.1</v>
      </c>
      <c r="CJ21" s="5" t="n">
        <v>4.8</v>
      </c>
      <c r="CK21" s="5" t="n">
        <v>3.7</v>
      </c>
      <c r="CL21" s="5" t="n">
        <v>3.4</v>
      </c>
      <c r="CM21" s="5" t="n">
        <v>3.4</v>
      </c>
      <c r="CN21" s="5" t="n">
        <v>3</v>
      </c>
      <c r="CO21" s="5">
        <f>IF(MAESTRO!B21="","",IFERROR(TRUNC(AVERAGE(CF21:CN21),1),""))</f>
        <v/>
      </c>
      <c r="CP21" s="5" t="n">
        <v>4.9</v>
      </c>
      <c r="CQ21" s="5" t="n">
        <v>4</v>
      </c>
      <c r="CR21" s="5">
        <f>IF(MAESTRO!B21="","",IFERROR(AVERAGE(CP21:CQ21),""))</f>
        <v/>
      </c>
      <c r="CS21" s="5">
        <f>IF(MAESTRO!B21="","",IFERROR(TRUNC(AVERAGE(CE21,CR21,CO21),1),""))</f>
        <v/>
      </c>
      <c r="CT21" s="177" t="n"/>
      <c r="CU21" s="171" t="n">
        <v>17</v>
      </c>
      <c r="CY21" s="196" t="n"/>
      <c r="CZ21" s="196" t="n"/>
      <c r="DA21" s="196" t="n"/>
      <c r="DB21" s="196" t="n"/>
      <c r="DC21" s="196" t="n"/>
      <c r="DD21" s="196" t="n"/>
      <c r="DE21" s="196" t="n"/>
      <c r="DF21" s="196" t="n"/>
      <c r="DG21" s="196" t="n"/>
      <c r="DH21" s="196" t="n"/>
      <c r="DI21" s="196" t="n"/>
      <c r="DJ21" s="196" t="n"/>
      <c r="DK21" s="196" t="n"/>
      <c r="DL21" s="196" t="n"/>
      <c r="DZ21" s="196" t="n"/>
      <c r="EA21" s="196" t="n"/>
    </row>
    <row r="22" ht="13.5" customHeight="1" s="176">
      <c r="A22" s="177" t="n">
        <v>18</v>
      </c>
      <c r="B22" s="9">
        <f>IF(MAESTRO!B22="","",MAESTRO!B22)</f>
        <v/>
      </c>
      <c r="C22" s="5" t="n">
        <v>4.1</v>
      </c>
      <c r="D22" s="5" t="n">
        <v>4.5</v>
      </c>
      <c r="E22" s="5" t="n">
        <v>4.6</v>
      </c>
      <c r="F22" s="5" t="n">
        <v>3.2</v>
      </c>
      <c r="G22" s="5" t="n">
        <v>4.6</v>
      </c>
      <c r="H22" s="5" t="n">
        <v>3.8</v>
      </c>
      <c r="I22" s="5" t="n">
        <v>3.4</v>
      </c>
      <c r="J22" s="5" t="n">
        <v>3.8</v>
      </c>
      <c r="K22" s="5" t="n">
        <v>3.2</v>
      </c>
      <c r="L22" s="5" t="n">
        <v>3.4</v>
      </c>
      <c r="M22" s="5" t="n">
        <v>3.9</v>
      </c>
      <c r="N22" s="5" t="n">
        <v>3.9</v>
      </c>
      <c r="O22" s="5" t="n">
        <v>3.1</v>
      </c>
      <c r="P22" s="5">
        <f>IF(MAESTRO!B22="","",IFERROR(TRUNC(AVERAGE(C22:O22),1),""))</f>
        <v/>
      </c>
      <c r="Q22" s="40" t="n">
        <v>18</v>
      </c>
      <c r="R22" s="22" t="n">
        <v>4.2</v>
      </c>
      <c r="S22" s="22" t="n">
        <v>3.7</v>
      </c>
      <c r="T22" s="22" t="n">
        <v>4.8</v>
      </c>
      <c r="U22" s="22" t="n">
        <v>3.3</v>
      </c>
      <c r="V22" s="22" t="n">
        <v>4.2</v>
      </c>
      <c r="W22" s="22" t="n">
        <v>3</v>
      </c>
      <c r="X22" s="22" t="n">
        <v>4.9</v>
      </c>
      <c r="Y22" s="22" t="n">
        <v>4.3</v>
      </c>
      <c r="Z22" s="22" t="n">
        <v>4.3</v>
      </c>
      <c r="AA22" s="45">
        <f>IF(MAESTRO!B22="","",IFERROR(TRUNC(AVERAGE(R22:Z22),1),""))</f>
        <v/>
      </c>
      <c r="AB22" s="177" t="n">
        <v>3.3</v>
      </c>
      <c r="AC22" s="42" t="n">
        <v>3.2</v>
      </c>
      <c r="AD22" s="5">
        <f>IF(MAESTRO!B22="","",IFERROR(AVERAGE(AB22:AC22),""))</f>
        <v/>
      </c>
      <c r="AE22" s="44">
        <f>IF(MAESTRO!B22="","",IFERROR(TRUNC(AVERAGE(P22,AA22,AD22),1),""))</f>
        <v/>
      </c>
      <c r="AF22" s="177" t="n"/>
      <c r="AG22" s="177" t="n">
        <v>18</v>
      </c>
      <c r="AH22" s="177" t="n">
        <v>18</v>
      </c>
      <c r="AI22" s="177">
        <f>IF(MAESTRO!B22="","",MAESTRO!B22)</f>
        <v/>
      </c>
      <c r="AJ22" s="178" t="n"/>
      <c r="AK22" s="61" t="n">
        <v>3.2</v>
      </c>
      <c r="AL22" s="62" t="n">
        <v>5</v>
      </c>
      <c r="AM22" s="61" t="n">
        <v>3.3</v>
      </c>
      <c r="AN22" s="61" t="n">
        <v>3.3</v>
      </c>
      <c r="AO22" s="61" t="n">
        <v>3.1</v>
      </c>
      <c r="AP22" s="61" t="n">
        <v>4.2</v>
      </c>
      <c r="AQ22" s="61" t="n">
        <v>3.8</v>
      </c>
      <c r="AR22" s="61" t="n">
        <v>3.2</v>
      </c>
      <c r="AS22" s="61" t="n">
        <v>3.6</v>
      </c>
      <c r="AT22" s="61" t="n">
        <v>4.5</v>
      </c>
      <c r="AU22" s="61" t="n">
        <v>3.3</v>
      </c>
      <c r="AV22" s="61" t="n">
        <v>4.6</v>
      </c>
      <c r="AW22" s="5">
        <f>IF(MAESTRO!B22="","",IFERROR(TRUNC(AVERAGE(AK22:AV22),1),""))</f>
        <v/>
      </c>
      <c r="AX22" s="22" t="n">
        <v>4.7</v>
      </c>
      <c r="AY22" s="22" t="n">
        <v>3.8</v>
      </c>
      <c r="AZ22" s="22" t="n">
        <v>3.4</v>
      </c>
      <c r="BA22" s="22" t="n">
        <v>4.8</v>
      </c>
      <c r="BB22" s="22" t="n">
        <v>4.2</v>
      </c>
      <c r="BC22" s="22" t="n">
        <v>4.6</v>
      </c>
      <c r="BD22" s="22" t="n">
        <v>4</v>
      </c>
      <c r="BE22" s="22" t="n">
        <v>4.4</v>
      </c>
      <c r="BF22" s="22" t="n">
        <v>4.4</v>
      </c>
      <c r="BG22" s="52" t="n">
        <v>4.2</v>
      </c>
      <c r="BH22" s="5">
        <f>IF(MAESTRO!B22="","",IFERROR(TRUNC(AVERAGE(AX22:BG22),1),""))</f>
        <v/>
      </c>
      <c r="BI22" s="22" t="n">
        <v>3.2</v>
      </c>
      <c r="BJ22" s="22" t="n">
        <v>4.8</v>
      </c>
      <c r="BK22" s="22">
        <f>IF(MAESTRO!B22="","",IFERROR(AVERAGE(BI22,BJ22),""))</f>
        <v/>
      </c>
      <c r="BL22" s="5">
        <f>IF(MAESTRO!B22="","",IFERROR(TRUNC(AVERAGE(AW22,BH22,BK22),1),""))</f>
        <v/>
      </c>
      <c r="BM22" s="177" t="n"/>
      <c r="BN22" s="177" t="n">
        <v>18</v>
      </c>
      <c r="BO22" s="177" t="n">
        <v>18</v>
      </c>
      <c r="BP22" s="177">
        <f>IF(MAESTRO!B22="","",MAESTRO!B22)</f>
        <v/>
      </c>
      <c r="BQ22" s="178" t="n"/>
      <c r="BR22" s="5" t="n">
        <v>4.6</v>
      </c>
      <c r="BS22" s="5" t="n">
        <v>4.4</v>
      </c>
      <c r="BT22" s="5" t="n">
        <v>3.7</v>
      </c>
      <c r="BU22" s="5" t="n">
        <v>3.6</v>
      </c>
      <c r="BV22" s="5" t="n">
        <v>4.5</v>
      </c>
      <c r="BW22" s="5" t="n">
        <v>4.3</v>
      </c>
      <c r="BX22" s="5" t="n">
        <v>3.5</v>
      </c>
      <c r="BY22" s="5" t="n">
        <v>3.5</v>
      </c>
      <c r="BZ22" s="5" t="n">
        <v>3.1</v>
      </c>
      <c r="CA22" s="5" t="n">
        <v>4.3</v>
      </c>
      <c r="CB22" s="5" t="n">
        <v>4.4</v>
      </c>
      <c r="CC22" s="5" t="n">
        <v>4.2</v>
      </c>
      <c r="CD22" s="5" t="n">
        <v>3.8</v>
      </c>
      <c r="CE22" s="5">
        <f>IF(MAESTRO!B22="","",IFERROR(TRUNC(AVERAGE(BR22:CD22),1),""))</f>
        <v/>
      </c>
      <c r="CF22" s="5" t="n">
        <v>4.9</v>
      </c>
      <c r="CG22" s="5" t="n">
        <v>4.9</v>
      </c>
      <c r="CH22" s="5" t="n">
        <v>3.6</v>
      </c>
      <c r="CI22" s="5" t="n">
        <v>4.7</v>
      </c>
      <c r="CJ22" s="5" t="n">
        <v>3.2</v>
      </c>
      <c r="CK22" s="5" t="n">
        <v>3.6</v>
      </c>
      <c r="CL22" s="5" t="n">
        <v>4.2</v>
      </c>
      <c r="CM22" s="5" t="n">
        <v>4.2</v>
      </c>
      <c r="CN22" s="5" t="n">
        <v>3.4</v>
      </c>
      <c r="CO22" s="5">
        <f>IF(MAESTRO!B22="","",IFERROR(TRUNC(AVERAGE(CF22:CN22),1),""))</f>
        <v/>
      </c>
      <c r="CP22" s="5" t="n">
        <v>4.1</v>
      </c>
      <c r="CQ22" s="5" t="n">
        <v>3.5</v>
      </c>
      <c r="CR22" s="5">
        <f>IF(MAESTRO!B22="","",IFERROR(AVERAGE(CP22:CQ22),""))</f>
        <v/>
      </c>
      <c r="CS22" s="5">
        <f>IF(MAESTRO!B22="","",IFERROR(TRUNC(AVERAGE(CE22,CR22,CO22),1),""))</f>
        <v/>
      </c>
      <c r="CT22" s="177" t="n"/>
      <c r="CU22" s="171" t="n">
        <v>18</v>
      </c>
      <c r="CY22" s="196" t="n"/>
      <c r="CZ22" s="196" t="n"/>
      <c r="DA22" s="196" t="n"/>
      <c r="DB22" s="196" t="n"/>
      <c r="DC22" s="196" t="n"/>
      <c r="DD22" s="196" t="n"/>
      <c r="DE22" s="196" t="n"/>
      <c r="DF22" s="196" t="n"/>
      <c r="DG22" s="196" t="n"/>
      <c r="DH22" s="196" t="n"/>
      <c r="DI22" s="196" t="n"/>
      <c r="DJ22" s="196" t="n"/>
      <c r="DK22" s="196" t="n"/>
      <c r="DL22" s="196" t="n"/>
      <c r="DZ22" s="196" t="n"/>
      <c r="EA22" s="196" t="n"/>
    </row>
    <row r="23" ht="13.5" customHeight="1" s="176">
      <c r="A23" s="177" t="n">
        <v>19</v>
      </c>
      <c r="B23" s="9">
        <f>IF(MAESTRO!B23="","",MAESTRO!B23)</f>
        <v/>
      </c>
      <c r="C23" s="5" t="n">
        <v>4.3</v>
      </c>
      <c r="D23" s="5" t="n">
        <v>3.6</v>
      </c>
      <c r="E23" s="5" t="n">
        <v>4.3</v>
      </c>
      <c r="F23" s="5" t="n">
        <v>4.6</v>
      </c>
      <c r="G23" s="5" t="n">
        <v>4.2</v>
      </c>
      <c r="H23" s="5" t="n">
        <v>3.6</v>
      </c>
      <c r="I23" s="5" t="n">
        <v>4.2</v>
      </c>
      <c r="J23" s="5" t="n">
        <v>4.3</v>
      </c>
      <c r="K23" s="5" t="n">
        <v>3.7</v>
      </c>
      <c r="L23" s="5" t="n">
        <v>4.8</v>
      </c>
      <c r="M23" s="5" t="n">
        <v>3.9</v>
      </c>
      <c r="N23" s="5" t="n">
        <v>5</v>
      </c>
      <c r="O23" s="5" t="n">
        <v>3.9</v>
      </c>
      <c r="P23" s="5">
        <f>IF(MAESTRO!B23="","",IFERROR(TRUNC(AVERAGE(C23:O23),1),""))</f>
        <v/>
      </c>
      <c r="Q23" s="40" t="n">
        <v>19</v>
      </c>
      <c r="R23" s="22" t="n">
        <v>4</v>
      </c>
      <c r="S23" s="22" t="n">
        <v>4.6</v>
      </c>
      <c r="T23" s="22" t="n">
        <v>4.4</v>
      </c>
      <c r="U23" s="22" t="n">
        <v>4.3</v>
      </c>
      <c r="V23" s="22" t="n">
        <v>4.7</v>
      </c>
      <c r="W23" s="22" t="n">
        <v>4.7</v>
      </c>
      <c r="X23" s="22" t="n">
        <v>3.4</v>
      </c>
      <c r="Y23" s="22" t="n">
        <v>5</v>
      </c>
      <c r="Z23" s="22" t="n">
        <v>4.7</v>
      </c>
      <c r="AA23" s="45">
        <f>IF(MAESTRO!B23="","",IFERROR(TRUNC(AVERAGE(R23:Z23),1),""))</f>
        <v/>
      </c>
      <c r="AB23" s="177" t="n">
        <v>5</v>
      </c>
      <c r="AC23" s="42" t="n">
        <v>3.2</v>
      </c>
      <c r="AD23" s="5">
        <f>IF(MAESTRO!B23="","",IFERROR(AVERAGE(AB23:AC23),""))</f>
        <v/>
      </c>
      <c r="AE23" s="44">
        <f>IF(MAESTRO!B23="","",IFERROR(TRUNC(AVERAGE(P23,AA23,AD23),1),""))</f>
        <v/>
      </c>
      <c r="AF23" s="177" t="n"/>
      <c r="AG23" s="177" t="n">
        <v>19</v>
      </c>
      <c r="AH23" s="177" t="n">
        <v>19</v>
      </c>
      <c r="AI23" s="177">
        <f>IF(MAESTRO!B23="","",MAESTRO!B23)</f>
        <v/>
      </c>
      <c r="AJ23" s="178" t="n"/>
      <c r="AK23" s="62" t="n">
        <v>4.7</v>
      </c>
      <c r="AL23" s="61" t="n">
        <v>4.1</v>
      </c>
      <c r="AM23" s="91" t="n">
        <v>4.6</v>
      </c>
      <c r="AN23" s="61" t="n">
        <v>4.1</v>
      </c>
      <c r="AO23" s="61" t="n">
        <v>4.8</v>
      </c>
      <c r="AP23" s="61" t="n">
        <v>4.6</v>
      </c>
      <c r="AQ23" s="61" t="n">
        <v>3.8</v>
      </c>
      <c r="AR23" s="61" t="n">
        <v>3.8</v>
      </c>
      <c r="AS23" s="61" t="n">
        <v>3.4</v>
      </c>
      <c r="AT23" s="61" t="n">
        <v>3.3</v>
      </c>
      <c r="AU23" s="61" t="n">
        <v>3.8</v>
      </c>
      <c r="AV23" s="61" t="n">
        <v>4.2</v>
      </c>
      <c r="AW23" s="5">
        <f>IF(MAESTRO!B23="","",IFERROR(TRUNC(AVERAGE(AK23:AV23),1),""))</f>
        <v/>
      </c>
      <c r="AX23" s="22" t="n">
        <v>4.4</v>
      </c>
      <c r="AY23" s="22" t="n">
        <v>4.6</v>
      </c>
      <c r="AZ23" s="22" t="n">
        <v>3.4</v>
      </c>
      <c r="BA23" s="22" t="n">
        <v>3.4</v>
      </c>
      <c r="BB23" s="22" t="n">
        <v>3.5</v>
      </c>
      <c r="BC23" s="22" t="n">
        <v>4.8</v>
      </c>
      <c r="BD23" s="22" t="n">
        <v>4.2</v>
      </c>
      <c r="BE23" s="22" t="n">
        <v>4.7</v>
      </c>
      <c r="BF23" s="22" t="n">
        <v>4.8</v>
      </c>
      <c r="BG23" s="52" t="n">
        <v>4.7</v>
      </c>
      <c r="BH23" s="5">
        <f>IF(MAESTRO!B23="","",IFERROR(TRUNC(AVERAGE(AX23:BG23),1),""))</f>
        <v/>
      </c>
      <c r="BI23" s="22" t="n">
        <v>4.5</v>
      </c>
      <c r="BJ23" s="22" t="n">
        <v>4</v>
      </c>
      <c r="BK23" s="22">
        <f>IF(MAESTRO!B23="","",IFERROR(AVERAGE(BI23,BJ23),""))</f>
        <v/>
      </c>
      <c r="BL23" s="5">
        <f>IF(MAESTRO!B23="","",IFERROR(TRUNC(AVERAGE(AW23,BH23,BK23),1),""))</f>
        <v/>
      </c>
      <c r="BM23" s="177" t="n"/>
      <c r="BN23" s="177" t="n">
        <v>19</v>
      </c>
      <c r="BO23" s="177" t="n">
        <v>19</v>
      </c>
      <c r="BP23" s="177">
        <f>IF(MAESTRO!B23="","",MAESTRO!B23)</f>
        <v/>
      </c>
      <c r="BQ23" s="178" t="n"/>
      <c r="BR23" s="5" t="n">
        <v>4.1</v>
      </c>
      <c r="BS23" s="5" t="n">
        <v>4.7</v>
      </c>
      <c r="BT23" s="5" t="n">
        <v>4.4</v>
      </c>
      <c r="BU23" s="5" t="n">
        <v>4.9</v>
      </c>
      <c r="BV23" s="5" t="n">
        <v>4.7</v>
      </c>
      <c r="BW23" s="5" t="n">
        <v>3.3</v>
      </c>
      <c r="BX23" s="5" t="n">
        <v>3.1</v>
      </c>
      <c r="BY23" s="5" t="n">
        <v>4.8</v>
      </c>
      <c r="BZ23" s="5" t="n">
        <v>3.3</v>
      </c>
      <c r="CA23" s="5" t="n">
        <v>4.6</v>
      </c>
      <c r="CB23" s="5" t="n">
        <v>4.2</v>
      </c>
      <c r="CC23" s="5" t="n">
        <v>4.5</v>
      </c>
      <c r="CD23" s="5" t="n">
        <v>4.9</v>
      </c>
      <c r="CE23" s="5">
        <f>IF(MAESTRO!B23="","",IFERROR(TRUNC(AVERAGE(BR23:CD23),1),""))</f>
        <v/>
      </c>
      <c r="CF23" s="5" t="n">
        <v>3.6</v>
      </c>
      <c r="CG23" s="5" t="n">
        <v>4.9</v>
      </c>
      <c r="CH23" s="5" t="n">
        <v>3.4</v>
      </c>
      <c r="CI23" s="5" t="n">
        <v>3.5</v>
      </c>
      <c r="CJ23" s="5" t="n">
        <v>4.2</v>
      </c>
      <c r="CK23" s="5" t="n">
        <v>3.1</v>
      </c>
      <c r="CL23" s="5" t="n">
        <v>3.2</v>
      </c>
      <c r="CM23" s="5" t="n">
        <v>3.1</v>
      </c>
      <c r="CN23" s="5" t="n">
        <v>3.1</v>
      </c>
      <c r="CO23" s="5">
        <f>IF(MAESTRO!B23="","",IFERROR(TRUNC(AVERAGE(CF23:CN23),1),""))</f>
        <v/>
      </c>
      <c r="CP23" s="5" t="n">
        <v>3.9</v>
      </c>
      <c r="CQ23" s="5" t="n">
        <v>3.3</v>
      </c>
      <c r="CR23" s="5">
        <f>IF(MAESTRO!B23="","",IFERROR(AVERAGE(CP23:CQ23),""))</f>
        <v/>
      </c>
      <c r="CS23" s="5">
        <f>IF(MAESTRO!B23="","",IFERROR(TRUNC(AVERAGE(CE23,CR23,CO23),1),""))</f>
        <v/>
      </c>
      <c r="CT23" s="177" t="n"/>
      <c r="CU23" s="171" t="n">
        <v>19</v>
      </c>
      <c r="CY23" s="196" t="n"/>
      <c r="CZ23" s="196" t="n"/>
      <c r="DA23" s="196" t="n"/>
      <c r="DB23" s="196" t="n"/>
      <c r="DC23" s="196" t="n"/>
      <c r="DD23" s="196" t="n"/>
      <c r="DE23" s="196" t="n"/>
      <c r="DF23" s="196" t="n"/>
      <c r="DG23" s="196" t="n"/>
      <c r="DH23" s="196" t="n"/>
      <c r="DI23" s="196" t="n"/>
      <c r="DJ23" s="196" t="n"/>
      <c r="DK23" s="196" t="n"/>
      <c r="DL23" s="196" t="n"/>
      <c r="DZ23" s="196" t="n"/>
      <c r="EA23" s="196" t="n"/>
    </row>
    <row r="24" ht="13.5" customHeight="1" s="176">
      <c r="A24" s="177" t="n">
        <v>20</v>
      </c>
      <c r="B24" s="9">
        <f>IF(MAESTRO!B24="","",MAESTRO!B24)</f>
        <v/>
      </c>
      <c r="C24" s="5" t="n">
        <v>4.8</v>
      </c>
      <c r="D24" s="5" t="n">
        <v>3.8</v>
      </c>
      <c r="E24" s="5" t="n">
        <v>4.2</v>
      </c>
      <c r="F24" s="5" t="n">
        <v>4.1</v>
      </c>
      <c r="G24" s="5" t="n">
        <v>3.2</v>
      </c>
      <c r="H24" s="5" t="n">
        <v>3.9</v>
      </c>
      <c r="I24" s="5" t="n">
        <v>4.1</v>
      </c>
      <c r="J24" s="5" t="n">
        <v>4.4</v>
      </c>
      <c r="K24" s="5" t="n">
        <v>4.8</v>
      </c>
      <c r="L24" s="5" t="n">
        <v>4.1</v>
      </c>
      <c r="M24" s="5" t="n">
        <v>3.4</v>
      </c>
      <c r="N24" s="5" t="n">
        <v>4.7</v>
      </c>
      <c r="O24" s="5" t="n">
        <v>3.8</v>
      </c>
      <c r="P24" s="5">
        <f>IF(MAESTRO!B24="","",IFERROR(TRUNC(AVERAGE(C24:O24),1),""))</f>
        <v/>
      </c>
      <c r="Q24" s="40" t="n">
        <v>20</v>
      </c>
      <c r="R24" s="22" t="n">
        <v>3.8</v>
      </c>
      <c r="S24" s="22" t="n">
        <v>4.5</v>
      </c>
      <c r="T24" s="22" t="n">
        <v>4.5</v>
      </c>
      <c r="U24" s="22" t="n">
        <v>5</v>
      </c>
      <c r="V24" s="22" t="n">
        <v>3.7</v>
      </c>
      <c r="W24" s="22" t="n">
        <v>3.4</v>
      </c>
      <c r="X24" s="22" t="n">
        <v>4.1</v>
      </c>
      <c r="Y24" s="22" t="n">
        <v>3</v>
      </c>
      <c r="Z24" s="22" t="n">
        <v>4.5</v>
      </c>
      <c r="AA24" s="45">
        <f>IF(MAESTRO!B24="","",IFERROR(TRUNC(AVERAGE(R24:Z24),1),""))</f>
        <v/>
      </c>
      <c r="AB24" s="177" t="n">
        <v>3.4</v>
      </c>
      <c r="AC24" s="42" t="n">
        <v>3.1</v>
      </c>
      <c r="AD24" s="5">
        <f>IF(MAESTRO!B24="","",IFERROR(AVERAGE(AB24:AC24),""))</f>
        <v/>
      </c>
      <c r="AE24" s="44">
        <f>IF(MAESTRO!B24="","",IFERROR(TRUNC(AVERAGE(P24,AA24,AD24),1),""))</f>
        <v/>
      </c>
      <c r="AF24" s="177" t="n"/>
      <c r="AG24" s="177" t="n">
        <v>20</v>
      </c>
      <c r="AH24" s="177" t="n">
        <v>20</v>
      </c>
      <c r="AI24" s="177">
        <f>IF(MAESTRO!B24="","",MAESTRO!B24)</f>
        <v/>
      </c>
      <c r="AJ24" s="178" t="n"/>
      <c r="AK24" s="61" t="n">
        <v>4.6</v>
      </c>
      <c r="AL24" s="61" t="n">
        <v>4</v>
      </c>
      <c r="AM24" s="91" t="n">
        <v>3.6</v>
      </c>
      <c r="AN24" s="61" t="n">
        <v>3.3</v>
      </c>
      <c r="AO24" s="61" t="n">
        <v>3.6</v>
      </c>
      <c r="AP24" s="61" t="n">
        <v>3</v>
      </c>
      <c r="AQ24" s="61" t="n">
        <v>3.1</v>
      </c>
      <c r="AR24" s="61" t="n">
        <v>4.2</v>
      </c>
      <c r="AS24" s="61" t="n">
        <v>3.6</v>
      </c>
      <c r="AT24" s="61" t="n">
        <v>3.5</v>
      </c>
      <c r="AU24" s="61" t="n">
        <v>3.1</v>
      </c>
      <c r="AV24" s="61" t="n">
        <v>3.7</v>
      </c>
      <c r="AW24" s="5">
        <f>IF(MAESTRO!B24="","",IFERROR(TRUNC(AVERAGE(AK24:AV24),1),""))</f>
        <v/>
      </c>
      <c r="AX24" s="22" t="n">
        <v>3.8</v>
      </c>
      <c r="AY24" s="22" t="n">
        <v>3.7</v>
      </c>
      <c r="AZ24" s="22" t="n">
        <v>3.4</v>
      </c>
      <c r="BA24" s="22" t="n">
        <v>3.9</v>
      </c>
      <c r="BB24" s="22" t="n">
        <v>4.1</v>
      </c>
      <c r="BC24" s="22" t="n">
        <v>3.1</v>
      </c>
      <c r="BD24" s="22" t="n">
        <v>4.4</v>
      </c>
      <c r="BE24" s="22" t="n">
        <v>3.8</v>
      </c>
      <c r="BF24" s="22" t="n">
        <v>4.3</v>
      </c>
      <c r="BG24" s="52" t="n">
        <v>3.8</v>
      </c>
      <c r="BH24" s="5">
        <f>IF(MAESTRO!B24="","",IFERROR(TRUNC(AVERAGE(AX24:BG24),1),""))</f>
        <v/>
      </c>
      <c r="BI24" s="22" t="n">
        <v>3.4</v>
      </c>
      <c r="BJ24" s="22" t="n">
        <v>3.4</v>
      </c>
      <c r="BK24" s="22">
        <f>IF(MAESTRO!B24="","",IFERROR(AVERAGE(BI24,BJ24),""))</f>
        <v/>
      </c>
      <c r="BL24" s="5">
        <f>IF(MAESTRO!B24="","",IFERROR(TRUNC(AVERAGE(AW24,BH24,BK24),1),""))</f>
        <v/>
      </c>
      <c r="BM24" s="177" t="n"/>
      <c r="BN24" s="177" t="n">
        <v>20</v>
      </c>
      <c r="BO24" s="177" t="n">
        <v>20</v>
      </c>
      <c r="BP24" s="177">
        <f>IF(MAESTRO!B24="","",MAESTRO!B24)</f>
        <v/>
      </c>
      <c r="BQ24" s="178" t="n"/>
      <c r="BR24" s="5" t="n">
        <v>3.7</v>
      </c>
      <c r="BS24" s="5" t="n">
        <v>3.2</v>
      </c>
      <c r="BT24" s="5" t="n">
        <v>4.9</v>
      </c>
      <c r="BU24" s="5" t="n">
        <v>3.4</v>
      </c>
      <c r="BV24" s="5" t="n">
        <v>4.9</v>
      </c>
      <c r="BW24" s="5" t="n">
        <v>4</v>
      </c>
      <c r="BX24" s="5" t="n">
        <v>4.3</v>
      </c>
      <c r="BY24" s="5" t="n">
        <v>4.3</v>
      </c>
      <c r="BZ24" s="5" t="n">
        <v>4.9</v>
      </c>
      <c r="CA24" s="5" t="n">
        <v>4.6</v>
      </c>
      <c r="CB24" s="5" t="n">
        <v>3.2</v>
      </c>
      <c r="CC24" s="5" t="n">
        <v>4</v>
      </c>
      <c r="CD24" s="5" t="n">
        <v>4.5</v>
      </c>
      <c r="CE24" s="5">
        <f>IF(MAESTRO!B24="","",IFERROR(TRUNC(AVERAGE(BR24:CD24),1),""))</f>
        <v/>
      </c>
      <c r="CF24" s="5" t="n">
        <v>4.4</v>
      </c>
      <c r="CG24" s="5" t="n">
        <v>4</v>
      </c>
      <c r="CH24" s="5" t="n">
        <v>4.3</v>
      </c>
      <c r="CI24" s="5" t="n">
        <v>4.2</v>
      </c>
      <c r="CJ24" s="5" t="n">
        <v>4.8</v>
      </c>
      <c r="CK24" s="5" t="n">
        <v>4.7</v>
      </c>
      <c r="CL24" s="5" t="n">
        <v>3.8</v>
      </c>
      <c r="CM24" s="5" t="n">
        <v>3.6</v>
      </c>
      <c r="CN24" s="5" t="n">
        <v>3.5</v>
      </c>
      <c r="CO24" s="5">
        <f>IF(MAESTRO!B24="","",IFERROR(TRUNC(AVERAGE(CF24:CN24),1),""))</f>
        <v/>
      </c>
      <c r="CP24" s="5" t="n">
        <v>3.4</v>
      </c>
      <c r="CQ24" s="5" t="n">
        <v>3.1</v>
      </c>
      <c r="CR24" s="5">
        <f>IF(MAESTRO!B24="","",IFERROR(AVERAGE(CP24:CQ24),""))</f>
        <v/>
      </c>
      <c r="CS24" s="5">
        <f>IF(MAESTRO!B24="","",IFERROR(TRUNC(AVERAGE(CE24,CR24,CO24),1),""))</f>
        <v/>
      </c>
      <c r="CT24" s="177" t="n"/>
      <c r="CU24" s="171" t="n">
        <v>20</v>
      </c>
      <c r="CY24" s="196" t="n"/>
      <c r="CZ24" s="196" t="n"/>
      <c r="DA24" s="196" t="n"/>
      <c r="DB24" s="196" t="n"/>
      <c r="DC24" s="196" t="n"/>
      <c r="DD24" s="196" t="n"/>
      <c r="DE24" s="196" t="n"/>
      <c r="DF24" s="196" t="n"/>
      <c r="DG24" s="196" t="n"/>
      <c r="DH24" s="196" t="n"/>
      <c r="DI24" s="196" t="n"/>
      <c r="DJ24" s="196" t="n"/>
      <c r="DK24" s="196" t="n"/>
      <c r="DL24" s="196" t="n"/>
      <c r="DZ24" s="196" t="n"/>
      <c r="EA24" s="196" t="n"/>
    </row>
    <row r="25" ht="13.5" customHeight="1" s="176">
      <c r="A25" s="177" t="n">
        <v>21</v>
      </c>
      <c r="B25" s="9">
        <f>IF(MAESTRO!B25="","",MAESTRO!B25)</f>
        <v/>
      </c>
      <c r="C25" s="5" t="n">
        <v>3.3</v>
      </c>
      <c r="D25" s="5" t="n">
        <v>3.1</v>
      </c>
      <c r="E25" s="5" t="n">
        <v>3.2</v>
      </c>
      <c r="F25" s="5" t="n">
        <v>3.4</v>
      </c>
      <c r="G25" s="5" t="n">
        <v>4.9</v>
      </c>
      <c r="H25" s="5" t="n">
        <v>3.1</v>
      </c>
      <c r="I25" s="5" t="n">
        <v>3.8</v>
      </c>
      <c r="J25" s="5" t="n">
        <v>4.4</v>
      </c>
      <c r="K25" s="5" t="n">
        <v>3.9</v>
      </c>
      <c r="L25" s="5" t="n">
        <v>3.9</v>
      </c>
      <c r="M25" s="5" t="n">
        <v>4</v>
      </c>
      <c r="N25" s="5" t="n">
        <v>4.7</v>
      </c>
      <c r="O25" s="5" t="n">
        <v>4</v>
      </c>
      <c r="P25" s="5">
        <f>IF(MAESTRO!B25="","",IFERROR(TRUNC(AVERAGE(C25:O25),1),""))</f>
        <v/>
      </c>
      <c r="Q25" s="40" t="n">
        <v>21</v>
      </c>
      <c r="R25" s="22" t="n">
        <v>4.3</v>
      </c>
      <c r="S25" s="22" t="n">
        <v>4.6</v>
      </c>
      <c r="T25" s="22" t="n">
        <v>3.9</v>
      </c>
      <c r="U25" s="22" t="n">
        <v>3.4</v>
      </c>
      <c r="V25" s="22" t="n">
        <v>3.8</v>
      </c>
      <c r="W25" s="22" t="n">
        <v>4.1</v>
      </c>
      <c r="X25" s="22" t="n">
        <v>4.9</v>
      </c>
      <c r="Y25" s="22" t="n">
        <v>3.8</v>
      </c>
      <c r="Z25" s="22" t="n">
        <v>4.7</v>
      </c>
      <c r="AA25" s="45">
        <f>IF(MAESTRO!B25="","",IFERROR(TRUNC(AVERAGE(R25:Z25),1),""))</f>
        <v/>
      </c>
      <c r="AB25" s="177" t="n">
        <v>3.5</v>
      </c>
      <c r="AC25" s="42" t="n">
        <v>3.3</v>
      </c>
      <c r="AD25" s="5">
        <f>IF(MAESTRO!B25="","",IFERROR(AVERAGE(AB25:AC25),""))</f>
        <v/>
      </c>
      <c r="AE25" s="44">
        <f>IF(MAESTRO!B25="","",IFERROR(TRUNC(AVERAGE(P25,AA25,AD25),1),""))</f>
        <v/>
      </c>
      <c r="AF25" s="177" t="n"/>
      <c r="AG25" s="177" t="n">
        <v>21</v>
      </c>
      <c r="AH25" s="177" t="n">
        <v>21</v>
      </c>
      <c r="AI25" s="177">
        <f>IF(MAESTRO!B25="","",MAESTRO!B25)</f>
        <v/>
      </c>
      <c r="AJ25" s="178" t="n"/>
      <c r="AK25" s="61" t="n">
        <v>4.5</v>
      </c>
      <c r="AL25" s="61" t="n">
        <v>4.3</v>
      </c>
      <c r="AM25" s="91" t="n">
        <v>4.9</v>
      </c>
      <c r="AN25" s="61" t="n">
        <v>4.4</v>
      </c>
      <c r="AO25" s="61" t="n">
        <v>3.8</v>
      </c>
      <c r="AP25" s="61" t="n">
        <v>5</v>
      </c>
      <c r="AQ25" s="61" t="n">
        <v>3.7</v>
      </c>
      <c r="AR25" s="61" t="n">
        <v>3.4</v>
      </c>
      <c r="AS25" s="61" t="n">
        <v>3.5</v>
      </c>
      <c r="AT25" s="61" t="n">
        <v>3</v>
      </c>
      <c r="AU25" s="61" t="n">
        <v>4.3</v>
      </c>
      <c r="AV25" s="61" t="n">
        <v>4.9</v>
      </c>
      <c r="AW25" s="5">
        <f>IF(MAESTRO!B25="","",IFERROR(TRUNC(AVERAGE(AK25:AV25),1),""))</f>
        <v/>
      </c>
      <c r="AX25" s="22" t="n">
        <v>3.9</v>
      </c>
      <c r="AY25" s="92" t="n">
        <v>4</v>
      </c>
      <c r="AZ25" s="22" t="n">
        <v>3.7</v>
      </c>
      <c r="BA25" s="22" t="n">
        <v>4.7</v>
      </c>
      <c r="BB25" s="22" t="n">
        <v>4.1</v>
      </c>
      <c r="BC25" s="22" t="n">
        <v>3.3</v>
      </c>
      <c r="BD25" s="22" t="n">
        <v>3.6</v>
      </c>
      <c r="BE25" s="22" t="n">
        <v>3.8</v>
      </c>
      <c r="BF25" s="22" t="n">
        <v>3.7</v>
      </c>
      <c r="BG25" s="52" t="n">
        <v>4.5</v>
      </c>
      <c r="BH25" s="5">
        <f>IF(MAESTRO!B25="","",IFERROR(TRUNC(AVERAGE(AX25:BG25),1),""))</f>
        <v/>
      </c>
      <c r="BI25" s="22" t="n">
        <v>4.5</v>
      </c>
      <c r="BJ25" s="22" t="n">
        <v>4.8</v>
      </c>
      <c r="BK25" s="22">
        <f>IF(MAESTRO!B25="","",IFERROR(AVERAGE(BI25,BJ25),""))</f>
        <v/>
      </c>
      <c r="BL25" s="5">
        <f>IF(MAESTRO!B25="","",IFERROR(TRUNC(AVERAGE(AW25,BH25,BK25),1),""))</f>
        <v/>
      </c>
      <c r="BM25" s="177" t="n"/>
      <c r="BN25" s="177" t="n">
        <v>21</v>
      </c>
      <c r="BO25" s="177" t="n">
        <v>21</v>
      </c>
      <c r="BP25" s="177">
        <f>IF(MAESTRO!B25="","",MAESTRO!B25)</f>
        <v/>
      </c>
      <c r="BQ25" s="178" t="n"/>
      <c r="BR25" s="5" t="n">
        <v>3.6</v>
      </c>
      <c r="BS25" s="5" t="n">
        <v>3.4</v>
      </c>
      <c r="BT25" s="5" t="n">
        <v>4.9</v>
      </c>
      <c r="BU25" s="5" t="n">
        <v>4.6</v>
      </c>
      <c r="BV25" s="5" t="n">
        <v>4.8</v>
      </c>
      <c r="BW25" s="5" t="n">
        <v>4.6</v>
      </c>
      <c r="BX25" s="5" t="n">
        <v>3.3</v>
      </c>
      <c r="BY25" s="5" t="n">
        <v>3.5</v>
      </c>
      <c r="BZ25" s="5" t="n">
        <v>3.7</v>
      </c>
      <c r="CA25" s="5" t="n">
        <v>3.4</v>
      </c>
      <c r="CB25" s="5" t="n">
        <v>4.2</v>
      </c>
      <c r="CC25" s="5" t="n">
        <v>4.6</v>
      </c>
      <c r="CD25" s="5" t="n">
        <v>4.2</v>
      </c>
      <c r="CE25" s="5">
        <f>IF(MAESTRO!B25="","",IFERROR(TRUNC(AVERAGE(BR25:CD25),1),""))</f>
        <v/>
      </c>
      <c r="CF25" s="5" t="n">
        <v>3</v>
      </c>
      <c r="CG25" s="5" t="n">
        <v>4.6</v>
      </c>
      <c r="CH25" s="5" t="n">
        <v>4.7</v>
      </c>
      <c r="CI25" s="5" t="n">
        <v>4.6</v>
      </c>
      <c r="CJ25" s="5" t="n">
        <v>4.5</v>
      </c>
      <c r="CK25" s="5" t="n">
        <v>4.3</v>
      </c>
      <c r="CL25" s="5" t="n">
        <v>3.3</v>
      </c>
      <c r="CM25" s="5" t="n">
        <v>3.3</v>
      </c>
      <c r="CN25" s="5" t="n">
        <v>3.7</v>
      </c>
      <c r="CO25" s="5">
        <f>IF(MAESTRO!B25="","",IFERROR(TRUNC(AVERAGE(CF25:CN25),1),""))</f>
        <v/>
      </c>
      <c r="CP25" s="5" t="n">
        <v>3.9</v>
      </c>
      <c r="CQ25" s="5" t="n">
        <v>3.2</v>
      </c>
      <c r="CR25" s="5">
        <f>IF(MAESTRO!B25="","",IFERROR(AVERAGE(CP25:CQ25),""))</f>
        <v/>
      </c>
      <c r="CS25" s="5">
        <f>IF(MAESTRO!B25="","",IFERROR(TRUNC(AVERAGE(CE25,CR25,CO25),1),""))</f>
        <v/>
      </c>
      <c r="CT25" s="177" t="n"/>
      <c r="CU25" s="171" t="n">
        <v>21</v>
      </c>
      <c r="CY25" s="196" t="n"/>
      <c r="CZ25" s="196" t="n"/>
      <c r="DA25" s="196" t="n"/>
      <c r="DB25" s="196" t="n"/>
      <c r="DC25" s="196" t="n"/>
      <c r="DD25" s="196" t="n"/>
      <c r="DE25" s="196" t="n"/>
      <c r="DF25" s="196" t="n"/>
      <c r="DG25" s="196" t="n"/>
      <c r="DH25" s="196" t="n"/>
      <c r="DI25" s="196" t="n"/>
      <c r="DJ25" s="196" t="n"/>
      <c r="DK25" s="196" t="n"/>
      <c r="DL25" s="196" t="n"/>
      <c r="DZ25" s="196" t="n"/>
      <c r="EA25" s="196" t="n"/>
    </row>
    <row r="26" ht="13.5" customHeight="1" s="176">
      <c r="A26" s="177" t="n">
        <v>22</v>
      </c>
      <c r="B26" s="9">
        <f>IF(MAESTRO!B26="","",MAESTRO!B26)</f>
        <v/>
      </c>
      <c r="C26" s="5" t="n">
        <v>3.4</v>
      </c>
      <c r="D26" s="5" t="n">
        <v>3.8</v>
      </c>
      <c r="E26" s="5" t="n">
        <v>3.2</v>
      </c>
      <c r="F26" s="5" t="n">
        <v>3.7</v>
      </c>
      <c r="G26" s="5" t="n">
        <v>3.3</v>
      </c>
      <c r="H26" s="5" t="n">
        <v>3.3</v>
      </c>
      <c r="I26" s="5" t="n">
        <v>3.4</v>
      </c>
      <c r="J26" s="5" t="n">
        <v>3.6</v>
      </c>
      <c r="K26" s="5" t="n">
        <v>3.6</v>
      </c>
      <c r="L26" s="5" t="n">
        <v>3</v>
      </c>
      <c r="M26" s="5" t="n">
        <v>3.2</v>
      </c>
      <c r="N26" s="5" t="n">
        <v>3.2</v>
      </c>
      <c r="O26" s="5" t="n">
        <v>3.2</v>
      </c>
      <c r="P26" s="5">
        <f>IF(MAESTRO!B26="","",IFERROR(TRUNC(AVERAGE(C26:O26),1),""))</f>
        <v/>
      </c>
      <c r="Q26" s="40" t="n">
        <v>22</v>
      </c>
      <c r="R26" s="22" t="n">
        <v>3.5</v>
      </c>
      <c r="S26" s="22" t="n">
        <v>4.4</v>
      </c>
      <c r="T26" s="22" t="n">
        <v>4.1</v>
      </c>
      <c r="U26" s="22" t="n">
        <v>3.7</v>
      </c>
      <c r="V26" s="22" t="n">
        <v>3.9</v>
      </c>
      <c r="W26" s="22" t="n">
        <v>3.9</v>
      </c>
      <c r="X26" s="22" t="n">
        <v>4.6</v>
      </c>
      <c r="Y26" s="22" t="n">
        <v>3.9</v>
      </c>
      <c r="Z26" s="22" t="n">
        <v>4.9</v>
      </c>
      <c r="AA26" s="45">
        <f>IF(MAESTRO!B26="","",IFERROR(TRUNC(AVERAGE(R26:Z26),1),""))</f>
        <v/>
      </c>
      <c r="AB26" s="177" t="n">
        <v>4.6</v>
      </c>
      <c r="AC26" s="42" t="n">
        <v>4</v>
      </c>
      <c r="AD26" s="5">
        <f>IF(MAESTRO!B26="","",IFERROR(AVERAGE(AB26:AC26),""))</f>
        <v/>
      </c>
      <c r="AE26" s="44">
        <f>IF(MAESTRO!B26="","",IFERROR(TRUNC(AVERAGE(P26,AA26,AD26),1),""))</f>
        <v/>
      </c>
      <c r="AF26" s="177" t="n"/>
      <c r="AG26" s="177" t="n">
        <v>22</v>
      </c>
      <c r="AH26" s="177" t="n">
        <v>22</v>
      </c>
      <c r="AI26" s="177">
        <f>IF(MAESTRO!B26="","",MAESTRO!B26)</f>
        <v/>
      </c>
      <c r="AJ26" s="178" t="n"/>
      <c r="AK26" s="61" t="n">
        <v>3.5</v>
      </c>
      <c r="AL26" s="61" t="n">
        <v>4.8</v>
      </c>
      <c r="AM26" s="91" t="n">
        <v>3.6</v>
      </c>
      <c r="AN26" s="61" t="n">
        <v>3.7</v>
      </c>
      <c r="AO26" s="61" t="n">
        <v>4.8</v>
      </c>
      <c r="AP26" s="61" t="n">
        <v>3</v>
      </c>
      <c r="AQ26" s="61" t="n">
        <v>3</v>
      </c>
      <c r="AR26" s="61" t="n">
        <v>4.4</v>
      </c>
      <c r="AS26" s="61" t="n">
        <v>4.6</v>
      </c>
      <c r="AT26" s="61" t="n">
        <v>3.7</v>
      </c>
      <c r="AU26" s="61" t="n">
        <v>4</v>
      </c>
      <c r="AV26" s="61" t="n">
        <v>4.3</v>
      </c>
      <c r="AW26" s="5">
        <f>IF(MAESTRO!B26="","",IFERROR(TRUNC(AVERAGE(AK26:AV26),1),""))</f>
        <v/>
      </c>
      <c r="AX26" s="22" t="n">
        <v>3.1</v>
      </c>
      <c r="AY26" s="92" t="n">
        <v>4.5</v>
      </c>
      <c r="AZ26" s="22" t="n">
        <v>4.6</v>
      </c>
      <c r="BA26" s="22" t="n">
        <v>4.9</v>
      </c>
      <c r="BB26" s="22" t="n">
        <v>3.6</v>
      </c>
      <c r="BC26" s="22" t="n">
        <v>4.9</v>
      </c>
      <c r="BD26" s="22" t="n">
        <v>4.7</v>
      </c>
      <c r="BE26" s="22" t="n">
        <v>3</v>
      </c>
      <c r="BF26" s="22" t="n">
        <v>4</v>
      </c>
      <c r="BG26" s="52" t="n">
        <v>4.8</v>
      </c>
      <c r="BH26" s="5">
        <f>IF(MAESTRO!B26="","",IFERROR(TRUNC(AVERAGE(AX26:BG26),1),""))</f>
        <v/>
      </c>
      <c r="BI26" s="22" t="n">
        <v>4</v>
      </c>
      <c r="BJ26" s="22" t="n">
        <v>3.3</v>
      </c>
      <c r="BK26" s="22">
        <f>IF(MAESTRO!B26="","",IFERROR(AVERAGE(BI26,BJ26),""))</f>
        <v/>
      </c>
      <c r="BL26" s="5">
        <f>IF(MAESTRO!B26="","",IFERROR(TRUNC(AVERAGE(AW26,BH26,BK26),1),""))</f>
        <v/>
      </c>
      <c r="BM26" s="177" t="n"/>
      <c r="BN26" s="177" t="n">
        <v>22</v>
      </c>
      <c r="BO26" s="177" t="n">
        <v>22</v>
      </c>
      <c r="BP26" s="177">
        <f>IF(MAESTRO!B26="","",MAESTRO!B26)</f>
        <v/>
      </c>
      <c r="BQ26" s="178" t="n"/>
      <c r="BR26" s="5" t="n">
        <v>4</v>
      </c>
      <c r="BS26" s="5" t="n">
        <v>4.6</v>
      </c>
      <c r="BT26" s="5" t="n">
        <v>3</v>
      </c>
      <c r="BU26" s="5" t="n">
        <v>3.8</v>
      </c>
      <c r="BV26" s="5" t="n">
        <v>4.3</v>
      </c>
      <c r="BW26" s="5" t="n">
        <v>3.4</v>
      </c>
      <c r="BX26" s="5" t="n">
        <v>3.1</v>
      </c>
      <c r="BY26" s="5" t="n">
        <v>3.8</v>
      </c>
      <c r="BZ26" s="5" t="n">
        <v>3.6</v>
      </c>
      <c r="CA26" s="5" t="n">
        <v>3.2</v>
      </c>
      <c r="CB26" s="5" t="n">
        <v>3.2</v>
      </c>
      <c r="CC26" s="5" t="n">
        <v>3.8</v>
      </c>
      <c r="CD26" s="5" t="n">
        <v>3.1</v>
      </c>
      <c r="CE26" s="5">
        <f>IF(MAESTRO!B26="","",IFERROR(TRUNC(AVERAGE(BR26:CD26),1),""))</f>
        <v/>
      </c>
      <c r="CF26" s="5" t="n">
        <v>3.8</v>
      </c>
      <c r="CG26" s="5" t="n">
        <v>3.1</v>
      </c>
      <c r="CH26" s="5" t="n">
        <v>3.8</v>
      </c>
      <c r="CI26" s="5" t="n">
        <v>4.2</v>
      </c>
      <c r="CJ26" s="5" t="n">
        <v>3.2</v>
      </c>
      <c r="CK26" s="5" t="n">
        <v>4.1</v>
      </c>
      <c r="CL26" s="5" t="n">
        <v>4</v>
      </c>
      <c r="CM26" s="5" t="n">
        <v>4.5</v>
      </c>
      <c r="CN26" s="5" t="n">
        <v>3.2</v>
      </c>
      <c r="CO26" s="5">
        <f>IF(MAESTRO!B26="","",IFERROR(TRUNC(AVERAGE(CF26:CN26),1),""))</f>
        <v/>
      </c>
      <c r="CP26" s="5" t="n">
        <v>3.3</v>
      </c>
      <c r="CQ26" s="5" t="n">
        <v>4.5</v>
      </c>
      <c r="CR26" s="5">
        <f>IF(MAESTRO!B26="","",IFERROR(AVERAGE(CP26:CQ26),""))</f>
        <v/>
      </c>
      <c r="CS26" s="5">
        <f>IF(MAESTRO!B26="","",IFERROR(TRUNC(AVERAGE(CE26,CR26,CO26),1),""))</f>
        <v/>
      </c>
      <c r="CT26" s="177" t="n"/>
      <c r="CU26" s="171" t="n">
        <v>22</v>
      </c>
      <c r="CY26" s="196" t="n"/>
      <c r="CZ26" s="196" t="n"/>
      <c r="DA26" s="196" t="n"/>
      <c r="DB26" s="196" t="n"/>
      <c r="DC26" s="196" t="n"/>
      <c r="DD26" s="196" t="n"/>
      <c r="DE26" s="196" t="n"/>
      <c r="DF26" s="196" t="n"/>
      <c r="DG26" s="196" t="n"/>
      <c r="DH26" s="196" t="n"/>
      <c r="DI26" s="196" t="n"/>
      <c r="DJ26" s="196" t="n"/>
      <c r="DK26" s="196" t="n"/>
      <c r="DL26" s="196" t="n"/>
      <c r="DZ26" s="196" t="n"/>
      <c r="EA26" s="196" t="n"/>
    </row>
    <row r="27" ht="13.5" customHeight="1" s="176">
      <c r="A27" s="177" t="n">
        <v>23</v>
      </c>
      <c r="B27" s="9">
        <f>IF(MAESTRO!B27="","",MAESTRO!B27)</f>
        <v/>
      </c>
      <c r="C27" s="5" t="n">
        <v>4.8</v>
      </c>
      <c r="D27" s="5" t="n">
        <v>4.4</v>
      </c>
      <c r="E27" s="5" t="n">
        <v>4.6</v>
      </c>
      <c r="F27" s="5" t="n">
        <v>5</v>
      </c>
      <c r="G27" s="5" t="n">
        <v>3.6</v>
      </c>
      <c r="H27" s="5" t="n">
        <v>4.4</v>
      </c>
      <c r="I27" s="5" t="n">
        <v>3.3</v>
      </c>
      <c r="J27" s="5" t="n">
        <v>4</v>
      </c>
      <c r="K27" s="5" t="n">
        <v>3.9</v>
      </c>
      <c r="L27" s="5" t="n">
        <v>4.5</v>
      </c>
      <c r="M27" s="5" t="n">
        <v>4.8</v>
      </c>
      <c r="N27" s="5" t="n">
        <v>3.5</v>
      </c>
      <c r="O27" s="5" t="n">
        <v>4.9</v>
      </c>
      <c r="P27" s="5">
        <f>IF(MAESTRO!B27="","",IFERROR(TRUNC(AVERAGE(C27:O27),1),""))</f>
        <v/>
      </c>
      <c r="Q27" s="40" t="n">
        <v>23</v>
      </c>
      <c r="R27" s="22" t="n">
        <v>3.8</v>
      </c>
      <c r="S27" s="22" t="n">
        <v>3.8</v>
      </c>
      <c r="T27" s="22" t="n">
        <v>3.2</v>
      </c>
      <c r="U27" s="22" t="n">
        <v>3.1</v>
      </c>
      <c r="V27" s="22" t="n">
        <v>4.8</v>
      </c>
      <c r="W27" s="22" t="n">
        <v>4.1</v>
      </c>
      <c r="X27" s="22" t="n">
        <v>3.8</v>
      </c>
      <c r="Y27" s="22" t="n">
        <v>4.3</v>
      </c>
      <c r="Z27" s="22" t="n">
        <v>4.1</v>
      </c>
      <c r="AA27" s="45">
        <f>IF(MAESTRO!B27="","",IFERROR(TRUNC(AVERAGE(R27:Z27),1),""))</f>
        <v/>
      </c>
      <c r="AB27" s="177" t="n">
        <v>4</v>
      </c>
      <c r="AC27" s="42" t="n">
        <v>3.2</v>
      </c>
      <c r="AD27" s="5">
        <f>IF(MAESTRO!B27="","",IFERROR(AVERAGE(AB27:AC27),""))</f>
        <v/>
      </c>
      <c r="AE27" s="44">
        <f>IF(MAESTRO!B27="","",IFERROR(TRUNC(AVERAGE(P27,AA27,AD27),1),""))</f>
        <v/>
      </c>
      <c r="AF27" s="177" t="n"/>
      <c r="AG27" s="177" t="n">
        <v>23</v>
      </c>
      <c r="AH27" s="177" t="n">
        <v>23</v>
      </c>
      <c r="AI27" s="177">
        <f>IF(MAESTRO!B27="","",MAESTRO!B27)</f>
        <v/>
      </c>
      <c r="AJ27" s="178" t="n"/>
      <c r="AK27" s="61" t="n">
        <v>4.8</v>
      </c>
      <c r="AL27" s="61" t="n">
        <v>3.2</v>
      </c>
      <c r="AM27" s="91" t="n">
        <v>4.5</v>
      </c>
      <c r="AN27" s="61" t="n">
        <v>4.6</v>
      </c>
      <c r="AO27" s="61" t="n">
        <v>4</v>
      </c>
      <c r="AP27" s="61" t="n">
        <v>3.6</v>
      </c>
      <c r="AQ27" s="61" t="n">
        <v>4.3</v>
      </c>
      <c r="AR27" s="61" t="n">
        <v>3.3</v>
      </c>
      <c r="AS27" s="61" t="n">
        <v>3.4</v>
      </c>
      <c r="AT27" s="61" t="n">
        <v>3.7</v>
      </c>
      <c r="AU27" s="61" t="n">
        <v>3.6</v>
      </c>
      <c r="AV27" s="61" t="n">
        <v>4.5</v>
      </c>
      <c r="AW27" s="5">
        <f>IF(MAESTRO!B27="","",IFERROR(TRUNC(AVERAGE(AK27:AV27),1),""))</f>
        <v/>
      </c>
      <c r="AX27" s="22" t="n">
        <v>4.6</v>
      </c>
      <c r="AY27" s="92" t="n">
        <v>4.5</v>
      </c>
      <c r="AZ27" s="22" t="n">
        <v>4</v>
      </c>
      <c r="BA27" s="22" t="n">
        <v>3.7</v>
      </c>
      <c r="BB27" s="22" t="n">
        <v>3.9</v>
      </c>
      <c r="BC27" s="22" t="n">
        <v>3.8</v>
      </c>
      <c r="BD27" s="22" t="n">
        <v>4.9</v>
      </c>
      <c r="BE27" s="22" t="n">
        <v>3.1</v>
      </c>
      <c r="BF27" s="22" t="n">
        <v>3.9</v>
      </c>
      <c r="BG27" s="52" t="n">
        <v>5</v>
      </c>
      <c r="BH27" s="5">
        <f>IF(MAESTRO!B27="","",IFERROR(TRUNC(AVERAGE(AX27:BG27),1),""))</f>
        <v/>
      </c>
      <c r="BI27" s="22" t="n">
        <v>4.7</v>
      </c>
      <c r="BJ27" s="22" t="n">
        <v>4.8</v>
      </c>
      <c r="BK27" s="22">
        <f>IF(MAESTRO!B27="","",IFERROR(AVERAGE(BI27,BJ27),""))</f>
        <v/>
      </c>
      <c r="BL27" s="5">
        <f>IF(MAESTRO!B27="","",IFERROR(TRUNC(AVERAGE(AW27,BH27,BK27),1),""))</f>
        <v/>
      </c>
      <c r="BM27" s="177" t="n"/>
      <c r="BN27" s="177" t="n">
        <v>23</v>
      </c>
      <c r="BO27" s="177" t="n">
        <v>23</v>
      </c>
      <c r="BP27" s="177">
        <f>IF(MAESTRO!B27="","",MAESTRO!B27)</f>
        <v/>
      </c>
      <c r="BQ27" s="178" t="n"/>
      <c r="BR27" s="5" t="n">
        <v>4.2</v>
      </c>
      <c r="BS27" s="5" t="n">
        <v>4.2</v>
      </c>
      <c r="BT27" s="5" t="n">
        <v>5</v>
      </c>
      <c r="BU27" s="5" t="n">
        <v>3.1</v>
      </c>
      <c r="BV27" s="5" t="n">
        <v>4.2</v>
      </c>
      <c r="BW27" s="5" t="n">
        <v>4</v>
      </c>
      <c r="BX27" s="5" t="n">
        <v>4.1</v>
      </c>
      <c r="BY27" s="5" t="n">
        <v>4.5</v>
      </c>
      <c r="BZ27" s="5" t="n">
        <v>4.7</v>
      </c>
      <c r="CA27" s="5" t="n">
        <v>4.6</v>
      </c>
      <c r="CB27" s="5" t="n">
        <v>3.1</v>
      </c>
      <c r="CC27" s="5" t="n">
        <v>4.8</v>
      </c>
      <c r="CD27" s="5" t="n">
        <v>4.8</v>
      </c>
      <c r="CE27" s="5">
        <f>IF(MAESTRO!B27="","",IFERROR(TRUNC(AVERAGE(BR27:CD27),1),""))</f>
        <v/>
      </c>
      <c r="CF27" s="5" t="n">
        <v>4.6</v>
      </c>
      <c r="CG27" s="5" t="n">
        <v>4</v>
      </c>
      <c r="CH27" s="5" t="n">
        <v>4.8</v>
      </c>
      <c r="CI27" s="5" t="n">
        <v>4.9</v>
      </c>
      <c r="CJ27" s="5" t="n">
        <v>4.5</v>
      </c>
      <c r="CK27" s="5" t="n">
        <v>4.3</v>
      </c>
      <c r="CL27" s="5" t="n">
        <v>4.3</v>
      </c>
      <c r="CM27" s="5" t="n">
        <v>4.2</v>
      </c>
      <c r="CN27" s="5" t="n">
        <v>3.1</v>
      </c>
      <c r="CO27" s="5">
        <f>IF(MAESTRO!B27="","",IFERROR(TRUNC(AVERAGE(CF27:CN27),1),""))</f>
        <v/>
      </c>
      <c r="CP27" s="5" t="n">
        <v>4.7</v>
      </c>
      <c r="CQ27" s="5" t="n">
        <v>3.2</v>
      </c>
      <c r="CR27" s="5">
        <f>IF(MAESTRO!B27="","",IFERROR(AVERAGE(CP27:CQ27),""))</f>
        <v/>
      </c>
      <c r="CS27" s="5">
        <f>IF(MAESTRO!B27="","",IFERROR(TRUNC(AVERAGE(CE27,CR27,CO27),1),""))</f>
        <v/>
      </c>
      <c r="CT27" s="177" t="n"/>
      <c r="CU27" s="171" t="n">
        <v>23</v>
      </c>
      <c r="CY27" s="196" t="n"/>
      <c r="CZ27" s="196" t="n"/>
      <c r="DA27" s="196" t="n"/>
      <c r="DB27" s="196" t="n"/>
      <c r="DC27" s="196" t="n"/>
      <c r="DD27" s="196" t="n"/>
      <c r="DE27" s="196" t="n"/>
      <c r="DF27" s="196" t="n"/>
      <c r="DG27" s="196" t="n"/>
      <c r="DH27" s="196" t="n"/>
      <c r="DI27" s="196" t="n"/>
      <c r="DJ27" s="196" t="n"/>
      <c r="DK27" s="196" t="n"/>
      <c r="DL27" s="196" t="n"/>
      <c r="DZ27" s="196" t="n"/>
      <c r="EA27" s="196" t="n"/>
    </row>
    <row r="28" ht="13.5" customHeight="1" s="176">
      <c r="A28" s="177" t="n">
        <v>24</v>
      </c>
      <c r="B28" s="9">
        <f>IF(MAESTRO!B28="","",MAESTRO!B28)</f>
        <v/>
      </c>
      <c r="C28" s="5" t="n">
        <v>4.1</v>
      </c>
      <c r="D28" s="5" t="n">
        <v>3.7</v>
      </c>
      <c r="E28" s="5" t="n">
        <v>5</v>
      </c>
      <c r="F28" s="5" t="n">
        <v>3.7</v>
      </c>
      <c r="G28" s="5" t="n">
        <v>4.4</v>
      </c>
      <c r="H28" s="5" t="n">
        <v>4.7</v>
      </c>
      <c r="I28" s="5" t="n">
        <v>4.3</v>
      </c>
      <c r="J28" s="5" t="n">
        <v>4.8</v>
      </c>
      <c r="K28" s="5" t="n">
        <v>4.2</v>
      </c>
      <c r="L28" s="5" t="n">
        <v>3.2</v>
      </c>
      <c r="M28" s="5" t="n">
        <v>4.7</v>
      </c>
      <c r="N28" s="5" t="n">
        <v>3.8</v>
      </c>
      <c r="O28" s="5" t="n">
        <v>3.2</v>
      </c>
      <c r="P28" s="5">
        <f>IF(MAESTRO!B28="","",IFERROR(TRUNC(AVERAGE(C28:O28),1),""))</f>
        <v/>
      </c>
      <c r="Q28" s="40" t="n">
        <v>24</v>
      </c>
      <c r="R28" s="22" t="n">
        <v>4.4</v>
      </c>
      <c r="S28" s="22" t="n">
        <v>4.6</v>
      </c>
      <c r="T28" s="22" t="n">
        <v>4.4</v>
      </c>
      <c r="U28" s="22" t="n">
        <v>3.2</v>
      </c>
      <c r="V28" s="22" t="n">
        <v>3.4</v>
      </c>
      <c r="W28" s="22" t="n">
        <v>3.2</v>
      </c>
      <c r="X28" s="22" t="n">
        <v>3</v>
      </c>
      <c r="Y28" s="22" t="n">
        <v>4</v>
      </c>
      <c r="Z28" s="22" t="n">
        <v>3.9</v>
      </c>
      <c r="AA28" s="45">
        <f>IF(MAESTRO!B28="","",IFERROR(TRUNC(AVERAGE(R28:Z28),1),""))</f>
        <v/>
      </c>
      <c r="AB28" s="177" t="n">
        <v>3.2</v>
      </c>
      <c r="AC28" s="42" t="n">
        <v>3.8</v>
      </c>
      <c r="AD28" s="5">
        <f>IF(MAESTRO!B28="","",IFERROR(AVERAGE(AB28:AC28),""))</f>
        <v/>
      </c>
      <c r="AE28" s="44">
        <f>IF(MAESTRO!B28="","",IFERROR(TRUNC(AVERAGE(P28,AA28,AD28),1),""))</f>
        <v/>
      </c>
      <c r="AF28" s="177" t="n"/>
      <c r="AG28" s="177" t="n">
        <v>24</v>
      </c>
      <c r="AH28" s="177" t="n">
        <v>24</v>
      </c>
      <c r="AI28" s="177">
        <f>IF(MAESTRO!B28="","",MAESTRO!B28)</f>
        <v/>
      </c>
      <c r="AJ28" s="178" t="n"/>
      <c r="AK28" s="61" t="n">
        <v>4.6</v>
      </c>
      <c r="AL28" s="61" t="n">
        <v>3.3</v>
      </c>
      <c r="AM28" s="91" t="n">
        <v>3.8</v>
      </c>
      <c r="AN28" s="61" t="n">
        <v>4.8</v>
      </c>
      <c r="AO28" s="61" t="n">
        <v>3.7</v>
      </c>
      <c r="AP28" s="61" t="n">
        <v>4.1</v>
      </c>
      <c r="AQ28" s="61" t="n">
        <v>3.1</v>
      </c>
      <c r="AR28" s="61" t="n">
        <v>4.4</v>
      </c>
      <c r="AS28" s="61" t="n">
        <v>3.9</v>
      </c>
      <c r="AT28" s="61" t="n">
        <v>3.6</v>
      </c>
      <c r="AU28" s="61" t="n">
        <v>3</v>
      </c>
      <c r="AV28" s="61" t="n">
        <v>3.2</v>
      </c>
      <c r="AW28" s="5">
        <f>IF(MAESTRO!B28="","",IFERROR(TRUNC(AVERAGE(AK28:AV28),1),""))</f>
        <v/>
      </c>
      <c r="AX28" s="22" t="n">
        <v>4.5</v>
      </c>
      <c r="AY28" s="92" t="n">
        <v>3.8</v>
      </c>
      <c r="AZ28" s="22" t="n">
        <v>4.9</v>
      </c>
      <c r="BA28" s="22" t="n">
        <v>3.8</v>
      </c>
      <c r="BB28" s="22" t="n">
        <v>5</v>
      </c>
      <c r="BC28" s="22" t="n">
        <v>3.4</v>
      </c>
      <c r="BD28" s="22" t="n">
        <v>4.5</v>
      </c>
      <c r="BE28" s="22" t="n">
        <v>3.5</v>
      </c>
      <c r="BF28" s="22" t="n">
        <v>4.4</v>
      </c>
      <c r="BG28" s="52" t="n">
        <v>4.5</v>
      </c>
      <c r="BH28" s="5">
        <f>IF(MAESTRO!B28="","",IFERROR(TRUNC(AVERAGE(AX28:BG28),1),""))</f>
        <v/>
      </c>
      <c r="BI28" s="22" t="n">
        <v>4.3</v>
      </c>
      <c r="BJ28" s="22" t="n">
        <v>5</v>
      </c>
      <c r="BK28" s="22">
        <f>IF(MAESTRO!B28="","",IFERROR(AVERAGE(BI28,BJ28),""))</f>
        <v/>
      </c>
      <c r="BL28" s="5">
        <f>IF(MAESTRO!B28="","",IFERROR(TRUNC(AVERAGE(AW28,BH28,BK28),1),""))</f>
        <v/>
      </c>
      <c r="BM28" s="177" t="n"/>
      <c r="BN28" s="177" t="n">
        <v>24</v>
      </c>
      <c r="BO28" s="177" t="n">
        <v>24</v>
      </c>
      <c r="BP28" s="177">
        <f>IF(MAESTRO!B28="","",MAESTRO!B28)</f>
        <v/>
      </c>
      <c r="BQ28" s="178" t="n"/>
      <c r="BR28" s="5" t="n">
        <v>3.9</v>
      </c>
      <c r="BS28" s="5" t="n">
        <v>3.3</v>
      </c>
      <c r="BT28" s="5" t="n">
        <v>3.9</v>
      </c>
      <c r="BU28" s="5" t="n">
        <v>3.7</v>
      </c>
      <c r="BV28" s="5" t="n">
        <v>3.7</v>
      </c>
      <c r="BW28" s="5" t="n">
        <v>3.4</v>
      </c>
      <c r="BX28" s="5" t="n">
        <v>5</v>
      </c>
      <c r="BY28" s="5" t="n">
        <v>4.5</v>
      </c>
      <c r="BZ28" s="5" t="n">
        <v>3.5</v>
      </c>
      <c r="CA28" s="5" t="n">
        <v>3.3</v>
      </c>
      <c r="CB28" s="5" t="n">
        <v>4</v>
      </c>
      <c r="CC28" s="5" t="n">
        <v>4.8</v>
      </c>
      <c r="CD28" s="5" t="n">
        <v>3.9</v>
      </c>
      <c r="CE28" s="5">
        <f>IF(MAESTRO!B28="","",IFERROR(TRUNC(AVERAGE(BR28:CD28),1),""))</f>
        <v/>
      </c>
      <c r="CF28" s="5" t="n">
        <v>3.6</v>
      </c>
      <c r="CG28" s="5" t="n">
        <v>3</v>
      </c>
      <c r="CH28" s="5" t="n">
        <v>3.9</v>
      </c>
      <c r="CI28" s="5" t="n">
        <v>3.3</v>
      </c>
      <c r="CJ28" s="5" t="n">
        <v>4.9</v>
      </c>
      <c r="CK28" s="5" t="n">
        <v>3.5</v>
      </c>
      <c r="CL28" s="5" t="n">
        <v>3.5</v>
      </c>
      <c r="CM28" s="5" t="n">
        <v>3.3</v>
      </c>
      <c r="CN28" s="5" t="n">
        <v>5</v>
      </c>
      <c r="CO28" s="5">
        <f>IF(MAESTRO!B28="","",IFERROR(TRUNC(AVERAGE(CF28:CN28),1),""))</f>
        <v/>
      </c>
      <c r="CP28" s="5" t="n">
        <v>4.3</v>
      </c>
      <c r="CQ28" s="5" t="n">
        <v>4.1</v>
      </c>
      <c r="CR28" s="5">
        <f>IF(MAESTRO!B28="","",IFERROR(AVERAGE(CP28:CQ28),""))</f>
        <v/>
      </c>
      <c r="CS28" s="5">
        <f>IF(MAESTRO!B28="","",IFERROR(TRUNC(AVERAGE(CE28,CR28,CO28),1),""))</f>
        <v/>
      </c>
      <c r="CT28" s="177" t="n"/>
      <c r="CU28" s="171" t="n">
        <v>24</v>
      </c>
      <c r="CY28" s="196" t="n"/>
      <c r="CZ28" s="196" t="n"/>
      <c r="DA28" s="196" t="n"/>
      <c r="DB28" s="196" t="n"/>
      <c r="DC28" s="196" t="n"/>
      <c r="DD28" s="196" t="n"/>
      <c r="DE28" s="196" t="n"/>
      <c r="DF28" s="196" t="n"/>
      <c r="DG28" s="196" t="n"/>
      <c r="DH28" s="196" t="n"/>
      <c r="DI28" s="196" t="n"/>
      <c r="DJ28" s="196" t="n"/>
      <c r="DK28" s="196" t="n"/>
      <c r="DL28" s="196" t="n"/>
      <c r="DZ28" s="196" t="n"/>
      <c r="EA28" s="196" t="n"/>
    </row>
    <row r="29" ht="13.5" customHeight="1" s="176">
      <c r="A29" s="177" t="n">
        <v>25</v>
      </c>
      <c r="B29" s="9">
        <f>IF(MAESTRO!B29="","",MAESTRO!B29)</f>
        <v/>
      </c>
      <c r="C29" s="5" t="n">
        <v>3.1</v>
      </c>
      <c r="D29" s="5" t="n">
        <v>3.2</v>
      </c>
      <c r="E29" s="5" t="n">
        <v>3.1</v>
      </c>
      <c r="F29" s="5" t="n">
        <v>3.2</v>
      </c>
      <c r="G29" s="5" t="n">
        <v>4.5</v>
      </c>
      <c r="H29" s="5" t="n">
        <v>4.2</v>
      </c>
      <c r="I29" s="5" t="n">
        <v>3.2</v>
      </c>
      <c r="J29" s="5" t="n">
        <v>4.5</v>
      </c>
      <c r="K29" s="5" t="n">
        <v>4.1</v>
      </c>
      <c r="L29" s="5" t="n">
        <v>4.8</v>
      </c>
      <c r="M29" s="5" t="n">
        <v>3.1</v>
      </c>
      <c r="N29" s="5" t="n">
        <v>4.3</v>
      </c>
      <c r="O29" s="5" t="n">
        <v>4.7</v>
      </c>
      <c r="P29" s="5">
        <f>IF(MAESTRO!B29="","",IFERROR(TRUNC(AVERAGE(C29:O29),1),""))</f>
        <v/>
      </c>
      <c r="Q29" s="40" t="n">
        <v>25</v>
      </c>
      <c r="R29" s="22" t="n">
        <v>4.5</v>
      </c>
      <c r="S29" s="22" t="n">
        <v>3.9</v>
      </c>
      <c r="T29" s="22" t="n">
        <v>4.1</v>
      </c>
      <c r="U29" s="22" t="n">
        <v>4.8</v>
      </c>
      <c r="V29" s="22" t="n">
        <v>3.4</v>
      </c>
      <c r="W29" s="22" t="n">
        <v>3</v>
      </c>
      <c r="X29" s="22" t="n">
        <v>3.6</v>
      </c>
      <c r="Y29" s="22" t="n">
        <v>3.8</v>
      </c>
      <c r="Z29" s="22" t="n">
        <v>4.2</v>
      </c>
      <c r="AA29" s="45">
        <f>IF(MAESTRO!B29="","",IFERROR(TRUNC(AVERAGE(R29:Z29),1),""))</f>
        <v/>
      </c>
      <c r="AB29" s="177" t="n">
        <v>4.1</v>
      </c>
      <c r="AC29" s="42" t="n">
        <v>3.1</v>
      </c>
      <c r="AD29" s="5">
        <f>IF(MAESTRO!B29="","",IFERROR(AVERAGE(AB29:AC29),""))</f>
        <v/>
      </c>
      <c r="AE29" s="44">
        <f>IF(MAESTRO!B29="","",IFERROR(TRUNC(AVERAGE(P29,AA29,AD29),1),""))</f>
        <v/>
      </c>
      <c r="AF29" s="177" t="n"/>
      <c r="AG29" s="177" t="n">
        <v>25</v>
      </c>
      <c r="AH29" s="177" t="n">
        <v>25</v>
      </c>
      <c r="AI29" s="177">
        <f>IF(MAESTRO!B29="","",MAESTRO!B29)</f>
        <v/>
      </c>
      <c r="AJ29" s="178" t="n"/>
      <c r="AK29" s="61" t="n">
        <v>4.5</v>
      </c>
      <c r="AL29" s="61" t="n">
        <v>4.4</v>
      </c>
      <c r="AM29" s="91" t="n">
        <v>4.5</v>
      </c>
      <c r="AN29" s="61" t="n">
        <v>4.2</v>
      </c>
      <c r="AO29" s="61" t="n">
        <v>3.5</v>
      </c>
      <c r="AP29" s="91" t="n">
        <v>3.6</v>
      </c>
      <c r="AQ29" s="91" t="n">
        <v>3.2</v>
      </c>
      <c r="AR29" s="61" t="n">
        <v>4.5</v>
      </c>
      <c r="AS29" s="61" t="n">
        <v>4.4</v>
      </c>
      <c r="AT29" s="61" t="n">
        <v>3.1</v>
      </c>
      <c r="AU29" s="61" t="n">
        <v>3.1</v>
      </c>
      <c r="AV29" s="61" t="n">
        <v>3.5</v>
      </c>
      <c r="AW29" s="5">
        <f>IF(MAESTRO!B29="","",IFERROR(TRUNC(AVERAGE(AK29:AV29),1),""))</f>
        <v/>
      </c>
      <c r="AX29" s="63" t="n">
        <v>4.8</v>
      </c>
      <c r="AY29" s="92" t="n">
        <v>4.4</v>
      </c>
      <c r="AZ29" s="92" t="n">
        <v>4.9</v>
      </c>
      <c r="BA29" s="92" t="n">
        <v>4.2</v>
      </c>
      <c r="BB29" s="92" t="n">
        <v>3.6</v>
      </c>
      <c r="BC29" s="63" t="n">
        <v>3.7</v>
      </c>
      <c r="BD29" s="63" t="n">
        <v>4.1</v>
      </c>
      <c r="BE29" s="63" t="n">
        <v>4.4</v>
      </c>
      <c r="BF29" s="63" t="n">
        <v>3.2</v>
      </c>
      <c r="BG29" s="52" t="n">
        <v>3.7</v>
      </c>
      <c r="BH29" s="5">
        <f>IF(MAESTRO!B29="","",IFERROR(TRUNC(AVERAGE(AX29:BG29),1),""))</f>
        <v/>
      </c>
      <c r="BI29" s="22" t="n">
        <v>3.9</v>
      </c>
      <c r="BJ29" s="22" t="n">
        <v>3.7</v>
      </c>
      <c r="BK29" s="22">
        <f>IF(MAESTRO!B29="","",IFERROR(AVERAGE(BI29,BJ29),""))</f>
        <v/>
      </c>
      <c r="BL29" s="5">
        <f>IF(MAESTRO!B29="","",IFERROR(TRUNC(AVERAGE(AW29,BH29,BK29),1),""))</f>
        <v/>
      </c>
      <c r="BM29" s="177" t="n"/>
      <c r="BN29" s="177" t="n">
        <v>25</v>
      </c>
      <c r="BO29" s="177" t="n">
        <v>25</v>
      </c>
      <c r="BP29" s="177">
        <f>IF(MAESTRO!B29="","",MAESTRO!B29)</f>
        <v/>
      </c>
      <c r="BQ29" s="178" t="n"/>
      <c r="BR29" s="5" t="n">
        <v>3.7</v>
      </c>
      <c r="BS29" s="5" t="n">
        <v>3</v>
      </c>
      <c r="BT29" s="5" t="n">
        <v>3.6</v>
      </c>
      <c r="BU29" s="5" t="n">
        <v>4.4</v>
      </c>
      <c r="BV29" s="5" t="n">
        <v>4.6</v>
      </c>
      <c r="BW29" s="5" t="n">
        <v>3.4</v>
      </c>
      <c r="BX29" s="5" t="n">
        <v>4.5</v>
      </c>
      <c r="BY29" s="5" t="n">
        <v>4.2</v>
      </c>
      <c r="BZ29" s="5" t="n">
        <v>3.1</v>
      </c>
      <c r="CA29" s="5" t="n">
        <v>3.7</v>
      </c>
      <c r="CB29" s="5" t="n">
        <v>3.9</v>
      </c>
      <c r="CC29" s="5" t="n">
        <v>4.7</v>
      </c>
      <c r="CD29" s="5" t="n">
        <v>4.1</v>
      </c>
      <c r="CE29" s="5">
        <f>IF(MAESTRO!B29="","",IFERROR(TRUNC(AVERAGE(BR29:CD29),1),""))</f>
        <v/>
      </c>
      <c r="CF29" s="5" t="n">
        <v>4.8</v>
      </c>
      <c r="CG29" s="5" t="n">
        <v>3.4</v>
      </c>
      <c r="CH29" s="5" t="n">
        <v>3.6</v>
      </c>
      <c r="CI29" s="5" t="n">
        <v>3.4</v>
      </c>
      <c r="CJ29" s="5" t="n">
        <v>4.4</v>
      </c>
      <c r="CK29" s="5" t="n">
        <v>4.6</v>
      </c>
      <c r="CL29" s="5" t="n">
        <v>4.5</v>
      </c>
      <c r="CM29" s="5" t="n">
        <v>4.6</v>
      </c>
      <c r="CN29" s="5" t="n">
        <v>3.2</v>
      </c>
      <c r="CO29" s="5">
        <f>IF(MAESTRO!B29="","",IFERROR(TRUNC(AVERAGE(CF29:CN29),1),""))</f>
        <v/>
      </c>
      <c r="CP29" s="5" t="n">
        <v>3.2</v>
      </c>
      <c r="CQ29" s="5" t="n">
        <v>4.5</v>
      </c>
      <c r="CR29" s="5">
        <f>IF(MAESTRO!B29="","",IFERROR(AVERAGE(CP29:CQ29),""))</f>
        <v/>
      </c>
      <c r="CS29" s="5">
        <f>IF(MAESTRO!B29="","",IFERROR(TRUNC(AVERAGE(CE29,CR29,CO29),1),""))</f>
        <v/>
      </c>
      <c r="CT29" s="177" t="n"/>
      <c r="CU29" s="171" t="n">
        <v>25</v>
      </c>
      <c r="CY29" s="196" t="n"/>
      <c r="CZ29" s="196" t="n"/>
      <c r="DA29" s="196" t="n"/>
      <c r="DB29" s="196" t="n"/>
      <c r="DC29" s="196" t="n"/>
      <c r="DD29" s="196" t="n"/>
      <c r="DE29" s="196" t="n"/>
      <c r="DF29" s="196" t="n"/>
      <c r="DG29" s="196" t="n"/>
      <c r="DH29" s="196" t="n"/>
      <c r="DI29" s="196" t="n"/>
      <c r="DJ29" s="196" t="n"/>
      <c r="DK29" s="196" t="n"/>
      <c r="DL29" s="196" t="n"/>
      <c r="DZ29" s="196" t="n"/>
      <c r="EA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v>26</v>
      </c>
      <c r="AH30" s="177" t="n">
        <v>26</v>
      </c>
      <c r="AI30" s="177">
        <f>IF(MAESTRO!B30="","",MAESTRO!B30)</f>
        <v/>
      </c>
      <c r="AJ30" s="178" t="n"/>
      <c r="AK30" s="61" t="n"/>
      <c r="AL30" s="61" t="n"/>
      <c r="AM30" s="91" t="n"/>
      <c r="AN30" s="61" t="n"/>
      <c r="AO30" s="61" t="n"/>
      <c r="AP30" s="91" t="n"/>
      <c r="AQ30" s="91" t="n"/>
      <c r="AR30" s="61" t="n"/>
      <c r="AS30" s="61" t="n"/>
      <c r="AT30" s="61" t="n"/>
      <c r="AU30" s="61" t="n"/>
      <c r="AV30" s="61" t="n"/>
      <c r="AW30" s="5">
        <f>IF(MAESTRO!B30="","",IFERROR(TRUNC(AVERAGE(AK30:AV30),1),""))</f>
        <v/>
      </c>
      <c r="AX30" s="22" t="n"/>
      <c r="AY30" s="92" t="n"/>
      <c r="AZ30" s="92" t="n"/>
      <c r="BA30" s="92" t="n"/>
      <c r="BB30" s="9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v>26</v>
      </c>
      <c r="BO30" s="177" t="n">
        <v>26</v>
      </c>
      <c r="BP30" s="177">
        <f>IF(MAESTRO!B30="","",MAESTRO!B30)</f>
        <v/>
      </c>
      <c r="BQ30" s="178"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177" t="n"/>
      <c r="CU30" s="171" t="n">
        <v>26</v>
      </c>
      <c r="CY30" s="196" t="n"/>
      <c r="CZ30" s="196" t="n"/>
      <c r="DA30" s="196" t="n"/>
      <c r="DB30" s="196" t="n"/>
      <c r="DC30" s="196" t="n"/>
      <c r="DD30" s="196" t="n"/>
      <c r="DE30" s="196" t="n"/>
      <c r="DF30" s="196" t="n"/>
      <c r="DG30" s="196" t="n"/>
      <c r="DH30" s="196" t="n"/>
      <c r="DI30" s="196" t="n"/>
      <c r="DJ30" s="196" t="n"/>
      <c r="DK30" s="196" t="n"/>
      <c r="DL30" s="196" t="n"/>
      <c r="DZ30" s="196" t="n"/>
      <c r="EA30" s="196" t="n"/>
    </row>
    <row r="31" ht="13.5" customHeight="1" s="176">
      <c r="A31" s="177" t="n">
        <v>27</v>
      </c>
      <c r="B31" s="9">
        <f>IF(MAESTRO!B31="","",MAESTRO!B31)</f>
        <v/>
      </c>
      <c r="C31" s="89" t="n"/>
      <c r="D31" s="90" t="n"/>
      <c r="E31" s="89" t="n"/>
      <c r="F31" s="89" t="n"/>
      <c r="G31" s="89" t="n"/>
      <c r="H31" s="5" t="n"/>
      <c r="I31" s="5" t="n"/>
      <c r="J31" s="5" t="n"/>
      <c r="K31" s="5" t="n"/>
      <c r="L31" s="5" t="n"/>
      <c r="M31" s="5" t="n"/>
      <c r="N31" s="5" t="n"/>
      <c r="O31" s="5" t="n"/>
      <c r="P31" s="5">
        <f>IF(MAESTRO!B31="","",IFERROR(TRUNC(AVERAGE(C31:O31),1),""))</f>
        <v/>
      </c>
      <c r="Q31" s="40" t="n">
        <v>27</v>
      </c>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v>27</v>
      </c>
      <c r="AH31" s="177" t="n">
        <v>27</v>
      </c>
      <c r="AI31" s="177">
        <f>IF(MAESTRO!B31="","",MAESTRO!B31)</f>
        <v/>
      </c>
      <c r="AJ31" s="178" t="n"/>
      <c r="AK31" s="61" t="n"/>
      <c r="AL31" s="61" t="n"/>
      <c r="AM31" s="91" t="n"/>
      <c r="AN31" s="61" t="n"/>
      <c r="AO31" s="6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v>27</v>
      </c>
      <c r="BO31" s="177" t="n">
        <v>27</v>
      </c>
      <c r="BP31" s="177">
        <f>IF(MAESTRO!B31="","",MAESTRO!B31)</f>
        <v/>
      </c>
      <c r="BQ31" s="178" t="n"/>
      <c r="BR31" s="89" t="n"/>
      <c r="BS31" s="89" t="n"/>
      <c r="BT31" s="89" t="n"/>
      <c r="BU31" s="89" t="n"/>
      <c r="BV31" s="90"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177" t="n"/>
      <c r="CU31" s="171" t="n">
        <v>27</v>
      </c>
      <c r="CY31" s="196" t="n"/>
      <c r="CZ31" s="196" t="n"/>
      <c r="DA31" s="196" t="n"/>
      <c r="DB31" s="196" t="n"/>
      <c r="DC31" s="196" t="n"/>
      <c r="DD31" s="196" t="n"/>
      <c r="DE31" s="196" t="n"/>
      <c r="DF31" s="196" t="n"/>
      <c r="DG31" s="196" t="n"/>
      <c r="DH31" s="196" t="n"/>
      <c r="DI31" s="196" t="n"/>
      <c r="DJ31" s="196" t="n"/>
      <c r="DK31" s="196" t="n"/>
      <c r="DL31" s="196" t="n"/>
      <c r="DZ31" s="196" t="n"/>
      <c r="EA31" s="196" t="n"/>
    </row>
    <row r="32" ht="13.5" customHeight="1" s="176">
      <c r="A32" s="177" t="n">
        <v>28</v>
      </c>
      <c r="B32" s="9">
        <f>IF(MAESTRO!B32="","",MAESTRO!B32)</f>
        <v/>
      </c>
      <c r="C32" s="89" t="n"/>
      <c r="D32" s="90" t="n"/>
      <c r="E32" s="89" t="n"/>
      <c r="F32" s="89" t="n"/>
      <c r="G32" s="89" t="n"/>
      <c r="H32" s="5" t="n"/>
      <c r="I32" s="5" t="n"/>
      <c r="J32" s="5" t="n"/>
      <c r="K32" s="5" t="n"/>
      <c r="L32" s="5" t="n"/>
      <c r="M32" s="5" t="n"/>
      <c r="N32" s="5" t="n"/>
      <c r="O32" s="5" t="n"/>
      <c r="P32" s="5">
        <f>IF(MAESTRO!B32="","",IFERROR(TRUNC(AVERAGE(C32:O32),1),""))</f>
        <v/>
      </c>
      <c r="Q32" s="40" t="n">
        <v>28</v>
      </c>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v>28</v>
      </c>
      <c r="AH32" s="177" t="n">
        <v>28</v>
      </c>
      <c r="AI32" s="177">
        <f>IF(MAESTRO!B32="","",MAESTRO!B32)</f>
        <v/>
      </c>
      <c r="AJ32" s="178" t="n"/>
      <c r="AK32" s="61" t="n"/>
      <c r="AL32" s="61" t="n"/>
      <c r="AM32" s="91" t="n"/>
      <c r="AN32" s="61" t="n"/>
      <c r="AO32" s="6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v>28</v>
      </c>
      <c r="BO32" s="177" t="n">
        <v>28</v>
      </c>
      <c r="BP32" s="177">
        <f>IF(MAESTRO!B32="","",MAESTRO!B32)</f>
        <v/>
      </c>
      <c r="BQ32" s="178" t="n"/>
      <c r="BR32" s="89" t="n"/>
      <c r="BS32" s="89" t="n"/>
      <c r="BT32" s="89" t="n"/>
      <c r="BU32" s="89" t="n"/>
      <c r="BV32" s="90"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177" t="n"/>
      <c r="CU32" s="171" t="n">
        <v>28</v>
      </c>
      <c r="CY32" s="196" t="n"/>
      <c r="CZ32" s="196" t="n"/>
      <c r="DA32" s="196" t="n"/>
      <c r="DB32" s="196" t="n"/>
      <c r="DC32" s="196" t="n"/>
      <c r="DD32" s="196" t="n"/>
      <c r="DE32" s="196" t="n"/>
      <c r="DF32" s="196" t="n"/>
      <c r="DG32" s="196" t="n"/>
      <c r="DH32" s="196" t="n"/>
      <c r="DI32" s="196" t="n"/>
      <c r="DJ32" s="196" t="n"/>
      <c r="DK32" s="196" t="n"/>
      <c r="DL32" s="196" t="n"/>
      <c r="DZ32" s="196" t="n"/>
      <c r="EA32" s="196" t="n"/>
    </row>
    <row r="33" ht="13.5" customHeight="1" s="176">
      <c r="A33" s="177" t="n">
        <v>29</v>
      </c>
      <c r="B33" s="9">
        <f>IF(MAESTRO!B33="","",MAESTRO!B33)</f>
        <v/>
      </c>
      <c r="C33" s="89" t="n"/>
      <c r="D33" s="90" t="n"/>
      <c r="E33" s="89" t="n"/>
      <c r="F33" s="89" t="n"/>
      <c r="G33" s="89" t="n"/>
      <c r="H33" s="5" t="n"/>
      <c r="I33" s="5" t="n"/>
      <c r="J33" s="5" t="n"/>
      <c r="K33" s="5" t="n"/>
      <c r="L33" s="5" t="n"/>
      <c r="M33" s="5" t="n"/>
      <c r="N33" s="5" t="n"/>
      <c r="O33" s="5" t="n"/>
      <c r="P33" s="5">
        <f>IF(MAESTRO!B33="","",IFERROR(TRUNC(AVERAGE(C33:O33),1),""))</f>
        <v/>
      </c>
      <c r="Q33" s="40" t="n">
        <v>29</v>
      </c>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v>29</v>
      </c>
      <c r="AH33" s="177" t="n">
        <v>29</v>
      </c>
      <c r="AI33" s="177">
        <f>IF(MAESTRO!B33="","",MAESTRO!B33)</f>
        <v/>
      </c>
      <c r="AJ33" s="178" t="n"/>
      <c r="AK33" s="61" t="n"/>
      <c r="AL33" s="61" t="n"/>
      <c r="AM33" s="91" t="n"/>
      <c r="AN33" s="6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v>29</v>
      </c>
      <c r="BO33" s="177" t="n">
        <v>29</v>
      </c>
      <c r="BP33" s="177">
        <f>IF(MAESTRO!B33="","",MAESTRO!B33)</f>
        <v/>
      </c>
      <c r="BQ33" s="178" t="n"/>
      <c r="BR33" s="89" t="n"/>
      <c r="BS33" s="89" t="n"/>
      <c r="BT33" s="89" t="n"/>
      <c r="BU33" s="89" t="n"/>
      <c r="BV33" s="90"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177" t="n"/>
      <c r="CU33" s="171" t="n">
        <v>29</v>
      </c>
      <c r="CY33" s="196" t="n"/>
      <c r="CZ33" s="196" t="n"/>
      <c r="DA33" s="196" t="n"/>
      <c r="DB33" s="196" t="n"/>
      <c r="DC33" s="196" t="n"/>
      <c r="DD33" s="196" t="n"/>
      <c r="DE33" s="196" t="n"/>
      <c r="DF33" s="196" t="n"/>
      <c r="DG33" s="196" t="n"/>
      <c r="DH33" s="196" t="n"/>
      <c r="DI33" s="196" t="n"/>
      <c r="DJ33" s="196" t="n"/>
      <c r="DK33" s="196" t="n"/>
      <c r="DL33" s="196" t="n"/>
      <c r="DZ33" s="196" t="n"/>
      <c r="EA33" s="196" t="n"/>
    </row>
    <row r="34" ht="13.5" customHeight="1" s="176">
      <c r="A34" s="177" t="n">
        <v>30</v>
      </c>
      <c r="B34" s="9">
        <f>IF(MAESTRO!B34="","",MAESTRO!B34)</f>
        <v/>
      </c>
      <c r="C34" s="89" t="n"/>
      <c r="D34" s="90" t="n"/>
      <c r="E34" s="89" t="n"/>
      <c r="F34" s="89" t="n"/>
      <c r="G34" s="89" t="n"/>
      <c r="H34" s="5" t="n"/>
      <c r="I34" s="5" t="n"/>
      <c r="J34" s="5" t="n"/>
      <c r="K34" s="5" t="n"/>
      <c r="L34" s="5" t="n"/>
      <c r="M34" s="5" t="n"/>
      <c r="N34" s="5" t="n"/>
      <c r="O34" s="5" t="n"/>
      <c r="P34" s="5">
        <f>IF(MAESTRO!B34="","",IFERROR(TRUNC(AVERAGE(C34:O34),1),""))</f>
        <v/>
      </c>
      <c r="Q34" s="40" t="n">
        <v>30</v>
      </c>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v>30</v>
      </c>
      <c r="AH34" s="177" t="n">
        <v>30</v>
      </c>
      <c r="AI34" s="177">
        <f>IF(MAESTRO!B34="","",MAESTRO!B34)</f>
        <v/>
      </c>
      <c r="AJ34" s="178" t="n"/>
      <c r="AK34" s="61" t="n"/>
      <c r="AL34" s="61" t="n"/>
      <c r="AM34" s="91" t="n"/>
      <c r="AN34" s="6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v>30</v>
      </c>
      <c r="BO34" s="177" t="n">
        <v>30</v>
      </c>
      <c r="BP34" s="177">
        <f>IF(MAESTRO!B34="","",MAESTRO!B34)</f>
        <v/>
      </c>
      <c r="BQ34" s="178" t="n"/>
      <c r="BR34" s="89" t="n"/>
      <c r="BS34" s="89" t="n"/>
      <c r="BT34" s="89" t="n"/>
      <c r="BU34" s="89" t="n"/>
      <c r="BV34" s="90"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177" t="n"/>
      <c r="CU34" s="171" t="n">
        <v>30</v>
      </c>
      <c r="CY34" s="196" t="n"/>
      <c r="CZ34" s="196" t="n"/>
      <c r="DA34" s="196" t="n"/>
      <c r="DB34" s="196" t="n"/>
      <c r="DC34" s="196" t="n"/>
      <c r="DD34" s="196" t="n"/>
      <c r="DE34" s="196" t="n"/>
      <c r="DF34" s="196" t="n"/>
      <c r="DG34" s="196" t="n"/>
      <c r="DH34" s="196" t="n"/>
      <c r="DI34" s="196" t="n"/>
      <c r="DJ34" s="196" t="n"/>
      <c r="DK34" s="196" t="n"/>
      <c r="DL34" s="196" t="n"/>
      <c r="DZ34" s="196" t="n"/>
      <c r="EA34" s="196" t="n"/>
    </row>
    <row r="35" ht="13.5" customHeight="1" s="176">
      <c r="A35" s="177" t="n">
        <v>31</v>
      </c>
      <c r="B35" s="9">
        <f>IF(MAESTRO!B35="","",MAESTRO!B35)</f>
        <v/>
      </c>
      <c r="C35" s="89" t="n"/>
      <c r="D35" s="90" t="n"/>
      <c r="E35" s="89" t="n"/>
      <c r="F35" s="89" t="n"/>
      <c r="G35" s="89" t="n"/>
      <c r="H35" s="5" t="n"/>
      <c r="I35" s="5" t="n"/>
      <c r="J35" s="5" t="n"/>
      <c r="K35" s="5" t="n"/>
      <c r="L35" s="5" t="n"/>
      <c r="M35" s="5" t="n"/>
      <c r="N35" s="5" t="n"/>
      <c r="O35" s="5" t="n"/>
      <c r="P35" s="5">
        <f>IF(MAESTRO!B35="","",IFERROR(TRUNC(AVERAGE(C35:O35),1),""))</f>
        <v/>
      </c>
      <c r="Q35" s="40" t="n">
        <v>31</v>
      </c>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v>31</v>
      </c>
      <c r="AH35" s="177" t="n">
        <v>31</v>
      </c>
      <c r="AI35" s="177">
        <f>IF(MAESTRO!B35="","",MAESTRO!B35)</f>
        <v/>
      </c>
      <c r="AJ35" s="178" t="n"/>
      <c r="AK35" s="61" t="n"/>
      <c r="AL35" s="6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v>31</v>
      </c>
      <c r="BO35" s="177" t="n">
        <v>31</v>
      </c>
      <c r="BP35" s="177">
        <f>IF(MAESTRO!B35="","",MAESTRO!B35)</f>
        <v/>
      </c>
      <c r="BQ35" s="178" t="n"/>
      <c r="BR35" s="89" t="n"/>
      <c r="BS35" s="89" t="n"/>
      <c r="BT35" s="89" t="n"/>
      <c r="BU35" s="89" t="n"/>
      <c r="BV35" s="90"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177" t="n"/>
      <c r="CU35" s="171" t="n">
        <v>31</v>
      </c>
      <c r="CY35" s="196" t="n"/>
      <c r="CZ35" s="196" t="n"/>
      <c r="DA35" s="196" t="n"/>
      <c r="DB35" s="196" t="n"/>
      <c r="DC35" s="196" t="n"/>
      <c r="DD35" s="196" t="n"/>
      <c r="DE35" s="196" t="n"/>
      <c r="DF35" s="196" t="n"/>
      <c r="DG35" s="196" t="n"/>
      <c r="DH35" s="196" t="n"/>
      <c r="DI35" s="196" t="n"/>
      <c r="DJ35" s="196" t="n"/>
      <c r="DK35" s="196" t="n"/>
      <c r="DL35" s="196" t="n"/>
      <c r="DZ35" s="196" t="n"/>
      <c r="EA35" s="196" t="n"/>
    </row>
    <row r="36" ht="13.5" customHeight="1" s="176">
      <c r="A36" s="177" t="n">
        <v>32</v>
      </c>
      <c r="B36" s="9">
        <f>IF(MAESTRO!B36="","",MAESTRO!B36)</f>
        <v/>
      </c>
      <c r="C36" s="89" t="n"/>
      <c r="D36" s="90" t="n"/>
      <c r="E36" s="89" t="n"/>
      <c r="F36" s="89" t="n"/>
      <c r="G36" s="89" t="n"/>
      <c r="H36" s="5" t="n"/>
      <c r="I36" s="5" t="n"/>
      <c r="J36" s="5" t="n"/>
      <c r="K36" s="5" t="n"/>
      <c r="L36" s="5" t="n"/>
      <c r="M36" s="5" t="n"/>
      <c r="N36" s="5" t="n"/>
      <c r="O36" s="5" t="n"/>
      <c r="P36" s="5">
        <f>IF(MAESTRO!B36="","",IFERROR(TRUNC(AVERAGE(C36:O36),1),""))</f>
        <v/>
      </c>
      <c r="Q36" s="40" t="n">
        <v>32</v>
      </c>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v>32</v>
      </c>
      <c r="AH36" s="177" t="n">
        <v>32</v>
      </c>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v>32</v>
      </c>
      <c r="BO36" s="177" t="n">
        <v>32</v>
      </c>
      <c r="BP36" s="177">
        <f>IF(MAESTRO!B36="","",MAESTRO!B36)</f>
        <v/>
      </c>
      <c r="BQ36" s="178" t="n"/>
      <c r="BR36" s="89" t="n"/>
      <c r="BS36" s="89" t="n"/>
      <c r="BT36" s="89" t="n"/>
      <c r="BU36" s="89" t="n"/>
      <c r="BV36" s="90"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177" t="n"/>
      <c r="CU36" s="171" t="n">
        <v>32</v>
      </c>
      <c r="CY36" s="196" t="n"/>
      <c r="CZ36" s="196" t="n"/>
      <c r="DA36" s="196" t="n"/>
      <c r="DB36" s="196" t="n"/>
      <c r="DC36" s="196" t="n"/>
      <c r="DD36" s="196" t="n"/>
      <c r="DE36" s="196" t="n"/>
      <c r="DF36" s="196" t="n"/>
      <c r="DG36" s="196" t="n"/>
      <c r="DH36" s="196" t="n"/>
      <c r="DI36" s="196" t="n"/>
      <c r="DJ36" s="196" t="n"/>
      <c r="DK36" s="196" t="n"/>
      <c r="DL36" s="196" t="n"/>
      <c r="DZ36" s="196" t="n"/>
      <c r="EA36" s="196" t="n"/>
    </row>
    <row r="37" ht="13.5" customHeight="1" s="176">
      <c r="A37" s="177" t="n">
        <v>33</v>
      </c>
      <c r="B37" s="9">
        <f>IF(MAESTRO!B37="","",MAESTRO!B37)</f>
        <v/>
      </c>
      <c r="C37" s="89" t="n"/>
      <c r="D37" s="90" t="n"/>
      <c r="E37" s="89" t="n"/>
      <c r="F37" s="89" t="n"/>
      <c r="G37" s="89" t="n"/>
      <c r="H37" s="5" t="n"/>
      <c r="I37" s="5" t="n"/>
      <c r="J37" s="5" t="n"/>
      <c r="K37" s="5" t="n"/>
      <c r="L37" s="5" t="n"/>
      <c r="M37" s="5" t="n"/>
      <c r="N37" s="5" t="n"/>
      <c r="O37" s="5" t="n"/>
      <c r="P37" s="5">
        <f>IF(MAESTRO!B37="","",IFERROR(TRUNC(AVERAGE(C37:O37),1),""))</f>
        <v/>
      </c>
      <c r="Q37" s="40" t="n">
        <v>33</v>
      </c>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v>33</v>
      </c>
      <c r="AH37" s="177" t="n">
        <v>33</v>
      </c>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v>33</v>
      </c>
      <c r="BO37" s="177" t="n">
        <v>33</v>
      </c>
      <c r="BP37" s="177">
        <f>IF(MAESTRO!B37="","",MAESTRO!B37)</f>
        <v/>
      </c>
      <c r="BQ37" s="178" t="n"/>
      <c r="BR37" s="89" t="n"/>
      <c r="BS37" s="89" t="n"/>
      <c r="BT37" s="89" t="n"/>
      <c r="BU37" s="89" t="n"/>
      <c r="BV37" s="90"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177" t="n"/>
      <c r="CU37" s="171" t="n">
        <v>33</v>
      </c>
      <c r="CY37" s="196" t="n"/>
      <c r="CZ37" s="196" t="n"/>
      <c r="DA37" s="196" t="n"/>
      <c r="DB37" s="196" t="n"/>
      <c r="DC37" s="196" t="n"/>
      <c r="DD37" s="196" t="n"/>
      <c r="DE37" s="196" t="n"/>
      <c r="DF37" s="196" t="n"/>
      <c r="DG37" s="196" t="n"/>
      <c r="DH37" s="196" t="n"/>
      <c r="DI37" s="196" t="n"/>
      <c r="DJ37" s="196" t="n"/>
      <c r="DK37" s="196" t="n"/>
      <c r="DL37" s="196" t="n"/>
      <c r="DZ37" s="196" t="n"/>
      <c r="EA37" s="196" t="n"/>
    </row>
    <row r="38" ht="13.5" customHeight="1" s="176">
      <c r="A38" s="177" t="n">
        <v>34</v>
      </c>
      <c r="B38" s="9">
        <f>IF(MAESTRO!B38="","",MAESTRO!B38)</f>
        <v/>
      </c>
      <c r="C38" s="89" t="n"/>
      <c r="D38" s="90" t="n"/>
      <c r="E38" s="89" t="n"/>
      <c r="F38" s="89" t="n"/>
      <c r="G38" s="89" t="n"/>
      <c r="H38" s="5" t="n"/>
      <c r="I38" s="5" t="n"/>
      <c r="J38" s="5" t="n"/>
      <c r="K38" s="5" t="n"/>
      <c r="L38" s="5" t="n"/>
      <c r="M38" s="5" t="n"/>
      <c r="N38" s="5" t="n"/>
      <c r="O38" s="5" t="n"/>
      <c r="P38" s="5">
        <f>IF(MAESTRO!B38="","",IFERROR(TRUNC(AVERAGE(C38:O38),1),""))</f>
        <v/>
      </c>
      <c r="Q38" s="40" t="n">
        <v>34</v>
      </c>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v>34</v>
      </c>
      <c r="AH38" s="177" t="n">
        <v>34</v>
      </c>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v>34</v>
      </c>
      <c r="BO38" s="177" t="n">
        <v>34</v>
      </c>
      <c r="BP38" s="177">
        <f>IF(MAESTRO!B38="","",MAESTRO!B38)</f>
        <v/>
      </c>
      <c r="BQ38" s="178" t="n"/>
      <c r="BR38" s="89" t="n"/>
      <c r="BS38" s="89" t="n"/>
      <c r="BT38" s="89" t="n"/>
      <c r="BU38" s="89" t="n"/>
      <c r="BV38" s="90"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177" t="n"/>
      <c r="CU38" s="171" t="n">
        <v>34</v>
      </c>
      <c r="CY38" s="196" t="n"/>
      <c r="CZ38" s="196" t="n"/>
      <c r="DA38" s="196" t="n"/>
      <c r="DB38" s="196" t="n"/>
      <c r="DC38" s="196" t="n"/>
      <c r="DD38" s="196" t="n"/>
      <c r="DE38" s="196" t="n"/>
      <c r="DF38" s="196" t="n"/>
      <c r="DG38" s="196" t="n"/>
      <c r="DH38" s="196" t="n"/>
      <c r="DI38" s="196" t="n"/>
      <c r="DJ38" s="196" t="n"/>
      <c r="DK38" s="196" t="n"/>
      <c r="DL38" s="196" t="n"/>
      <c r="DZ38" s="196" t="n"/>
      <c r="EA38" s="196" t="n"/>
    </row>
    <row r="39" ht="13.5" customHeight="1" s="176">
      <c r="A39" s="177" t="n">
        <v>35</v>
      </c>
      <c r="B39" s="9">
        <f>IF(MAESTRO!B39="","",MAESTRO!B39)</f>
        <v/>
      </c>
      <c r="C39" s="89" t="n"/>
      <c r="D39" s="90" t="n"/>
      <c r="E39" s="89" t="n"/>
      <c r="F39" s="89" t="n"/>
      <c r="G39" s="89" t="n"/>
      <c r="H39" s="5" t="n"/>
      <c r="I39" s="5" t="n"/>
      <c r="J39" s="5" t="n"/>
      <c r="K39" s="5" t="n"/>
      <c r="L39" s="5" t="n"/>
      <c r="M39" s="5" t="n"/>
      <c r="N39" s="5" t="n"/>
      <c r="O39" s="5" t="n"/>
      <c r="P39" s="5">
        <f>IF(MAESTRO!B39="","",IFERROR(TRUNC(AVERAGE(C39:O39),1),""))</f>
        <v/>
      </c>
      <c r="Q39" s="40" t="n">
        <v>35</v>
      </c>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v>35</v>
      </c>
      <c r="AH39" s="177" t="n">
        <v>35</v>
      </c>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v>35</v>
      </c>
      <c r="BO39" s="177" t="n">
        <v>35</v>
      </c>
      <c r="BP39" s="177">
        <f>IF(MAESTRO!B39="","",MAESTRO!B39)</f>
        <v/>
      </c>
      <c r="BQ39" s="178" t="n"/>
      <c r="BR39" s="89" t="n"/>
      <c r="BS39" s="89" t="n"/>
      <c r="BT39" s="89" t="n"/>
      <c r="BU39" s="89" t="n"/>
      <c r="BV39" s="90"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177" t="n"/>
      <c r="CU39" s="171" t="n">
        <v>35</v>
      </c>
      <c r="CY39" s="196" t="n"/>
      <c r="CZ39" s="196" t="n"/>
      <c r="DA39" s="196" t="n"/>
      <c r="DB39" s="196" t="n"/>
      <c r="DC39" s="196" t="n"/>
      <c r="DD39" s="196" t="n"/>
      <c r="DE39" s="196" t="n"/>
      <c r="DF39" s="196" t="n"/>
      <c r="DG39" s="196" t="n"/>
      <c r="DH39" s="196" t="n"/>
      <c r="DI39" s="196" t="n"/>
      <c r="DJ39" s="196" t="n"/>
      <c r="DK39" s="196" t="n"/>
      <c r="DL39" s="196" t="n"/>
      <c r="DZ39" s="196" t="n"/>
      <c r="EA39" s="196" t="n"/>
    </row>
    <row r="40" ht="13.5" customHeight="1" s="176">
      <c r="A40" s="177" t="n">
        <v>36</v>
      </c>
      <c r="B40" s="9">
        <f>IF(MAESTRO!B40="","",MAESTRO!B40)</f>
        <v/>
      </c>
      <c r="C40" s="89" t="n"/>
      <c r="D40" s="90" t="n"/>
      <c r="E40" s="89" t="n"/>
      <c r="F40" s="89" t="n"/>
      <c r="G40" s="89" t="n"/>
      <c r="H40" s="5" t="n"/>
      <c r="I40" s="5" t="n"/>
      <c r="J40" s="5" t="n"/>
      <c r="K40" s="5" t="n"/>
      <c r="L40" s="5" t="n"/>
      <c r="M40" s="5" t="n"/>
      <c r="N40" s="5" t="n"/>
      <c r="O40" s="5" t="n"/>
      <c r="P40" s="5">
        <f>IF(MAESTRO!B40="","",IFERROR(TRUNC(AVERAGE(C40:O40),1),""))</f>
        <v/>
      </c>
      <c r="Q40" s="40" t="n">
        <v>36</v>
      </c>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v>36</v>
      </c>
      <c r="AH40" s="177" t="n">
        <v>36</v>
      </c>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v>36</v>
      </c>
      <c r="BO40" s="177" t="n">
        <v>36</v>
      </c>
      <c r="BP40" s="177">
        <f>IF(MAESTRO!B40="","",MAESTRO!B40)</f>
        <v/>
      </c>
      <c r="BQ40" s="178" t="n"/>
      <c r="BR40" s="89" t="n"/>
      <c r="BS40" s="89" t="n"/>
      <c r="BT40" s="89" t="n"/>
      <c r="BU40" s="89" t="n"/>
      <c r="BV40" s="90"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177" t="n"/>
      <c r="CU40" s="171" t="n">
        <v>36</v>
      </c>
      <c r="CY40" s="196" t="n"/>
      <c r="CZ40" s="196" t="n"/>
      <c r="DA40" s="196" t="n"/>
      <c r="DB40" s="196" t="n"/>
      <c r="DC40" s="196" t="n"/>
      <c r="DD40" s="196" t="n"/>
      <c r="DE40" s="196" t="n"/>
      <c r="DF40" s="196" t="n"/>
      <c r="DG40" s="196" t="n"/>
      <c r="DH40" s="196" t="n"/>
      <c r="DI40" s="196" t="n"/>
      <c r="DJ40" s="196" t="n"/>
      <c r="DK40" s="196" t="n"/>
      <c r="DL40" s="196" t="n"/>
      <c r="DZ40" s="196" t="n"/>
      <c r="EA40" s="196" t="n"/>
    </row>
    <row r="41" ht="13.5" customHeight="1" s="176">
      <c r="A41" s="177" t="n">
        <v>37</v>
      </c>
      <c r="B41" s="9">
        <f>IF(MAESTRO!B41="","",MAESTRO!B41)</f>
        <v/>
      </c>
      <c r="C41" s="89" t="n"/>
      <c r="D41" s="90" t="n"/>
      <c r="E41" s="89" t="n"/>
      <c r="F41" s="89" t="n"/>
      <c r="G41" s="89" t="n"/>
      <c r="H41" s="5" t="n"/>
      <c r="I41" s="5" t="n"/>
      <c r="J41" s="5" t="n"/>
      <c r="K41" s="5" t="n"/>
      <c r="L41" s="5" t="n"/>
      <c r="M41" s="5" t="n"/>
      <c r="N41" s="5" t="n"/>
      <c r="O41" s="5" t="n"/>
      <c r="P41" s="5">
        <f>IF(MAESTRO!B41="","",IFERROR(TRUNC(AVERAGE(C41:O41),1),""))</f>
        <v/>
      </c>
      <c r="Q41" s="40" t="n">
        <v>37</v>
      </c>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v>37</v>
      </c>
      <c r="AH41" s="177" t="n">
        <v>37</v>
      </c>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v>37</v>
      </c>
      <c r="BO41" s="177" t="n">
        <v>37</v>
      </c>
      <c r="BP41" s="177">
        <f>IF(MAESTRO!B41="","",MAESTRO!B41)</f>
        <v/>
      </c>
      <c r="BQ41" s="178" t="n"/>
      <c r="BR41" s="89" t="n"/>
      <c r="BS41" s="89" t="n"/>
      <c r="BT41" s="89" t="n"/>
      <c r="BU41" s="89" t="n"/>
      <c r="BV41" s="90"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177" t="n"/>
      <c r="CU41" s="171" t="n">
        <v>37</v>
      </c>
      <c r="CY41" s="196" t="n"/>
      <c r="CZ41" s="196" t="n"/>
      <c r="DA41" s="196" t="n"/>
      <c r="DB41" s="196" t="n"/>
      <c r="DC41" s="196" t="n"/>
      <c r="DD41" s="196" t="n"/>
      <c r="DE41" s="196" t="n"/>
      <c r="DF41" s="196" t="n"/>
      <c r="DG41" s="196" t="n"/>
      <c r="DH41" s="196" t="n"/>
      <c r="DI41" s="196" t="n"/>
      <c r="DJ41" s="196" t="n"/>
      <c r="DK41" s="196" t="n"/>
      <c r="DL41" s="196" t="n"/>
      <c r="DZ41" s="196" t="n"/>
      <c r="EA41" s="196" t="n"/>
    </row>
    <row r="42" ht="13.5" customHeight="1" s="176">
      <c r="A42" s="177" t="n">
        <v>38</v>
      </c>
      <c r="B42" s="9">
        <f>IF(MAESTRO!B42="","",MAESTRO!B42)</f>
        <v/>
      </c>
      <c r="C42" s="288" t="inlineStr">
        <is>
          <t>Oraciones con el Verb to Be</t>
        </is>
      </c>
      <c r="D42" s="288" t="inlineStr">
        <is>
          <t xml:space="preserve">Conversación - Pronombres </t>
        </is>
      </c>
      <c r="E42" s="288" t="inlineStr">
        <is>
          <t>Exposición - Presentarse</t>
        </is>
      </c>
      <c r="F42" s="288" t="inlineStr">
        <is>
          <t>Presentar a un Compañero</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1" t="inlineStr">
        <is>
          <t>Tarea 18</t>
        </is>
      </c>
      <c r="S42" s="281" t="inlineStr">
        <is>
          <t>Tarea 19</t>
        </is>
      </c>
      <c r="T42" s="286"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45" t="n"/>
      <c r="AB42" s="289" t="inlineStr">
        <is>
          <t>Tarea 28</t>
        </is>
      </c>
      <c r="AC42" s="292" t="inlineStr">
        <is>
          <t>Tarea 29</t>
        </is>
      </c>
      <c r="AD42" s="5" t="n"/>
      <c r="AE42" s="44" t="n"/>
      <c r="AF42" s="177" t="n"/>
      <c r="AG42" s="177" t="n">
        <v>38</v>
      </c>
      <c r="AH42" s="177" t="n">
        <v>38</v>
      </c>
      <c r="AI42" s="177">
        <f>IF(MAESTRO!B42="","",MAESTRO!B42)</f>
        <v/>
      </c>
      <c r="AJ42" s="178" t="n"/>
      <c r="AK42" s="284" t="inlineStr">
        <is>
          <t>Tarea 37</t>
        </is>
      </c>
      <c r="AL42" s="284" t="inlineStr">
        <is>
          <t>Tarea 38</t>
        </is>
      </c>
      <c r="AM42" s="284" t="inlineStr">
        <is>
          <t>Tarea 39</t>
        </is>
      </c>
      <c r="AN42" s="284" t="inlineStr">
        <is>
          <t>Tarea 40</t>
        </is>
      </c>
      <c r="AO42" s="284" t="inlineStr">
        <is>
          <t>Tarea 41</t>
        </is>
      </c>
      <c r="AP42" s="284" t="inlineStr">
        <is>
          <t>Tarea 42</t>
        </is>
      </c>
      <c r="AQ42" s="284"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IF(MAESTRO!B42="","",MAESTRO!B42)</f>
        <v/>
      </c>
      <c r="BQ42" s="178" t="n"/>
      <c r="BR42" s="281" t="inlineStr">
        <is>
          <t>Tarea 70</t>
        </is>
      </c>
      <c r="BS42" s="281" t="inlineStr">
        <is>
          <t>Tarea 71</t>
        </is>
      </c>
      <c r="BT42" s="281" t="inlineStr">
        <is>
          <t>Tarea 72</t>
        </is>
      </c>
      <c r="BU42" s="281" t="inlineStr">
        <is>
          <t>Tarea 73</t>
        </is>
      </c>
      <c r="BV42" s="281"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5" t="n"/>
      <c r="CF42" s="281" t="inlineStr">
        <is>
          <t>Tarea 84</t>
        </is>
      </c>
      <c r="CG42" s="281" t="inlineStr">
        <is>
          <t>Tarea 85</t>
        </is>
      </c>
      <c r="CH42" s="281" t="inlineStr">
        <is>
          <t>Tarea 86</t>
        </is>
      </c>
      <c r="CI42" s="287" t="inlineStr">
        <is>
          <t>Tarea 87</t>
        </is>
      </c>
      <c r="CJ42" s="287" t="inlineStr">
        <is>
          <t>Tarea 88</t>
        </is>
      </c>
      <c r="CK42" s="287" t="inlineStr">
        <is>
          <t>Tarea 89</t>
        </is>
      </c>
      <c r="CL42" s="287" t="inlineStr">
        <is>
          <t>Tarea 90</t>
        </is>
      </c>
      <c r="CM42" s="287" t="inlineStr">
        <is>
          <t>Tarea 91</t>
        </is>
      </c>
      <c r="CN42" s="287" t="inlineStr">
        <is>
          <t>Tarea 92</t>
        </is>
      </c>
      <c r="CO42" s="5" t="n"/>
      <c r="CP42" s="287" t="inlineStr">
        <is>
          <t>Tarea 94</t>
        </is>
      </c>
      <c r="CQ42" s="287" t="inlineStr">
        <is>
          <t>Tarea 95</t>
        </is>
      </c>
      <c r="CR42" s="5" t="n"/>
      <c r="CS42" s="5" t="n"/>
      <c r="CT42" s="177" t="n"/>
      <c r="CU42" s="171" t="n">
        <v>38</v>
      </c>
      <c r="CY42" s="196" t="n"/>
      <c r="CZ42" s="196" t="n"/>
      <c r="DA42" s="196" t="n"/>
      <c r="DB42" s="196" t="n"/>
      <c r="DC42" s="196" t="n"/>
      <c r="DD42" s="196" t="n"/>
      <c r="DE42" s="196" t="n"/>
      <c r="DF42" s="196" t="n"/>
      <c r="DG42" s="196" t="n"/>
      <c r="DH42" s="196" t="n"/>
      <c r="DI42" s="196" t="n"/>
      <c r="DJ42" s="196" t="n"/>
      <c r="DK42" s="196" t="n"/>
      <c r="DL42" s="196" t="n"/>
      <c r="DZ42" s="196" t="n"/>
      <c r="EA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180" t="n"/>
      <c r="AC43" s="180" t="n"/>
      <c r="AD43" s="5" t="n"/>
      <c r="AE43" s="44" t="n"/>
      <c r="AF43" s="177" t="n"/>
      <c r="AG43" s="177" t="n">
        <v>39</v>
      </c>
      <c r="AH43" s="177" t="n">
        <v>39</v>
      </c>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5" t="n"/>
      <c r="CP43" s="282" t="n"/>
      <c r="CQ43" s="282" t="n"/>
      <c r="CR43" s="5" t="n"/>
      <c r="CS43" s="5" t="n"/>
      <c r="CT43" s="177" t="n"/>
      <c r="CU43" s="171" t="n">
        <v>39</v>
      </c>
      <c r="CY43" s="196" t="n"/>
      <c r="CZ43" s="196" t="n"/>
      <c r="DA43" s="196" t="n"/>
      <c r="DB43" s="196" t="n"/>
      <c r="DC43" s="196" t="n"/>
      <c r="DD43" s="196" t="n"/>
      <c r="DE43" s="196" t="n"/>
      <c r="DF43" s="196" t="n"/>
      <c r="DG43" s="196" t="n"/>
      <c r="DH43" s="196" t="n"/>
      <c r="DI43" s="196" t="n"/>
      <c r="DJ43" s="196" t="n"/>
      <c r="DK43" s="196" t="n"/>
      <c r="DL43" s="196" t="n"/>
      <c r="DZ43" s="196" t="n"/>
      <c r="EA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180" t="n"/>
      <c r="AC44" s="180" t="n"/>
      <c r="AD44" s="22" t="n"/>
      <c r="AE44" s="22" t="n"/>
      <c r="AF44" s="177" t="n"/>
      <c r="AG44" s="177" t="n">
        <v>40</v>
      </c>
      <c r="AH44" s="177" t="n">
        <v>40</v>
      </c>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5" t="n"/>
      <c r="CP44" s="282" t="n"/>
      <c r="CQ44" s="282" t="n"/>
      <c r="CR44" s="5" t="n"/>
      <c r="CS44" s="5" t="n"/>
      <c r="CT44" s="177" t="n"/>
      <c r="CU44" s="171" t="n">
        <v>40</v>
      </c>
      <c r="CY44" s="196" t="n"/>
      <c r="CZ44" s="196" t="n"/>
      <c r="DA44" s="196" t="n"/>
      <c r="DB44" s="196" t="n"/>
      <c r="DC44" s="196" t="n"/>
      <c r="DD44" s="196" t="n"/>
      <c r="DE44" s="196" t="n"/>
      <c r="DF44" s="196" t="n"/>
      <c r="DG44" s="196" t="n"/>
      <c r="DH44" s="196" t="n"/>
      <c r="DI44" s="196" t="n"/>
      <c r="DJ44" s="196" t="n"/>
      <c r="DK44" s="196" t="n"/>
      <c r="DL44" s="196" t="n"/>
      <c r="DZ44" s="196" t="n"/>
      <c r="EA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180" t="n"/>
      <c r="AC45" s="180"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5" t="n"/>
      <c r="CP45" s="282" t="n"/>
      <c r="CQ45" s="282" t="n"/>
      <c r="CR45" s="5" t="n"/>
      <c r="CS45" s="5" t="n"/>
      <c r="CT45" s="177" t="n"/>
      <c r="CU45" s="171" t="n">
        <v>41</v>
      </c>
      <c r="CY45" s="196" t="n"/>
      <c r="CZ45" s="196" t="n"/>
      <c r="DA45" s="196" t="n"/>
      <c r="DB45" s="196" t="n"/>
      <c r="DC45" s="196" t="n"/>
      <c r="DD45" s="196" t="n"/>
      <c r="DE45" s="196" t="n"/>
      <c r="DF45" s="196" t="n"/>
      <c r="DG45" s="196" t="n"/>
      <c r="DH45" s="196" t="n"/>
      <c r="DI45" s="196" t="n"/>
      <c r="DJ45" s="196" t="n"/>
      <c r="DK45" s="196" t="n"/>
      <c r="DL45" s="196" t="n"/>
      <c r="DZ45" s="196" t="n"/>
      <c r="EA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180" t="n"/>
      <c r="AC46" s="180"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5" t="n"/>
      <c r="CP46" s="282" t="n"/>
      <c r="CQ46" s="282" t="n"/>
      <c r="CR46" s="5" t="n"/>
      <c r="CS46" s="5" t="n"/>
      <c r="CT46" s="177" t="n"/>
      <c r="CU46" s="171" t="n">
        <v>42</v>
      </c>
      <c r="CY46" s="196" t="n"/>
      <c r="CZ46" s="196" t="n"/>
      <c r="DA46" s="196" t="n"/>
      <c r="DB46" s="196" t="n"/>
      <c r="DC46" s="196" t="n"/>
      <c r="DD46" s="196" t="n"/>
      <c r="DE46" s="196" t="n"/>
      <c r="DF46" s="196" t="n"/>
      <c r="DG46" s="196" t="n"/>
      <c r="DH46" s="196" t="n"/>
      <c r="DI46" s="196" t="n"/>
      <c r="DJ46" s="196" t="n"/>
      <c r="DK46" s="196" t="n"/>
      <c r="DL46" s="196" t="n"/>
      <c r="DZ46" s="196" t="n"/>
      <c r="EA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180" t="n"/>
      <c r="AC47" s="180"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5" t="n"/>
      <c r="CP47" s="282" t="n"/>
      <c r="CQ47" s="282" t="n"/>
      <c r="CR47" s="5" t="n"/>
      <c r="CS47" s="5" t="n"/>
      <c r="CT47" s="177" t="n"/>
      <c r="CU47" s="171" t="n">
        <v>43</v>
      </c>
      <c r="CY47" s="196" t="n"/>
      <c r="CZ47" s="196" t="n"/>
      <c r="DA47" s="196" t="n"/>
      <c r="DB47" s="196" t="n"/>
      <c r="DC47" s="196" t="n"/>
      <c r="DD47" s="196" t="n"/>
      <c r="DE47" s="196" t="n"/>
      <c r="DF47" s="196" t="n"/>
      <c r="DG47" s="196" t="n"/>
      <c r="DH47" s="196" t="n"/>
      <c r="DI47" s="196" t="n"/>
      <c r="DJ47" s="196" t="n"/>
      <c r="DK47" s="196" t="n"/>
      <c r="DL47" s="196" t="n"/>
      <c r="DZ47" s="196" t="n"/>
      <c r="EA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181" t="n"/>
      <c r="AC48" s="181"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5" t="n"/>
      <c r="CP48" s="283" t="n"/>
      <c r="CQ48" s="283" t="n"/>
      <c r="CR48" s="5" t="n"/>
      <c r="CS48" s="5" t="n"/>
      <c r="CT48" s="177" t="n"/>
      <c r="CU48" s="171" t="n">
        <v>44</v>
      </c>
      <c r="CY48" s="196" t="n"/>
      <c r="CZ48" s="196" t="n"/>
      <c r="DA48" s="196" t="n"/>
      <c r="DB48" s="196" t="n"/>
      <c r="DC48" s="196" t="n"/>
      <c r="DD48" s="196" t="n"/>
      <c r="DE48" s="196" t="n"/>
      <c r="DF48" s="196" t="n"/>
      <c r="DG48" s="196" t="n"/>
      <c r="DH48" s="196" t="n"/>
      <c r="DI48" s="196" t="n"/>
      <c r="DJ48" s="196" t="n"/>
      <c r="DK48" s="196" t="n"/>
      <c r="DL48" s="196" t="n"/>
      <c r="DZ48" s="196" t="n"/>
      <c r="EA48" s="196" t="n"/>
    </row>
  </sheetData>
  <mergeCells count="260">
    <mergeCell ref="BP36:BQ36"/>
    <mergeCell ref="CW5:CX5"/>
    <mergeCell ref="AI13:AJ13"/>
    <mergeCell ref="EA3:EA4"/>
    <mergeCell ref="CW14:CX14"/>
    <mergeCell ref="CG42:CG48"/>
    <mergeCell ref="CW23:CX23"/>
    <mergeCell ref="AX3:BG3"/>
    <mergeCell ref="AO42:AO48"/>
    <mergeCell ref="AQ42:AQ48"/>
    <mergeCell ref="CP3:CQ4"/>
    <mergeCell ref="CW38:CX38"/>
    <mergeCell ref="BH3:BH4"/>
    <mergeCell ref="BA42:BA48"/>
    <mergeCell ref="CK42:CK48"/>
    <mergeCell ref="BC42:BC48"/>
    <mergeCell ref="BE42:BE48"/>
    <mergeCell ref="CW48:CX48"/>
    <mergeCell ref="BP22:BQ22"/>
    <mergeCell ref="CF3:CN3"/>
    <mergeCell ref="BP12:BQ12"/>
    <mergeCell ref="AI14:AJ14"/>
    <mergeCell ref="D42:D48"/>
    <mergeCell ref="AL42:AL48"/>
    <mergeCell ref="BO2:CE2"/>
    <mergeCell ref="AI27:AJ27"/>
    <mergeCell ref="AN42:AN48"/>
    <mergeCell ref="BP9:BQ9"/>
    <mergeCell ref="AI41:AJ41"/>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CW21:CX21"/>
    <mergeCell ref="BV42:BV48"/>
    <mergeCell ref="AP42:AP48"/>
    <mergeCell ref="BX42:BX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AI48:AJ48"/>
    <mergeCell ref="CW43:CX43"/>
    <mergeCell ref="CV2:DL2"/>
    <mergeCell ref="BP26:BQ26"/>
    <mergeCell ref="CW9:CX9"/>
    <mergeCell ref="AI29:AJ29"/>
    <mergeCell ref="B3:B4"/>
    <mergeCell ref="CW39:CX39"/>
    <mergeCell ref="AI38:AJ38"/>
    <mergeCell ref="BP7:BQ7"/>
    <mergeCell ref="CW42:CX42"/>
    <mergeCell ref="BP16:BQ16"/>
    <mergeCell ref="CW20:CX20"/>
    <mergeCell ref="CW29:CX29"/>
    <mergeCell ref="I42:I48"/>
    <mergeCell ref="CW11:CX11"/>
    <mergeCell ref="K42:K48"/>
    <mergeCell ref="AI40:AJ40"/>
    <mergeCell ref="CW13:CX13"/>
    <mergeCell ref="BP18:BQ18"/>
    <mergeCell ref="CW44:CX44"/>
    <mergeCell ref="AI15:AJ15"/>
    <mergeCell ref="CW31:CX31"/>
    <mergeCell ref="AI24:AJ24"/>
    <mergeCell ref="AB3:AC4"/>
    <mergeCell ref="R1:AG1"/>
    <mergeCell ref="M42:M48"/>
    <mergeCell ref="O42:O48"/>
    <mergeCell ref="CW6:CX6"/>
    <mergeCell ref="BP42:BQ42"/>
    <mergeCell ref="CW15:CX15"/>
    <mergeCell ref="CY3:DK3"/>
    <mergeCell ref="Y42:Y48"/>
    <mergeCell ref="CI42:CI48"/>
    <mergeCell ref="BP43:BQ43"/>
    <mergeCell ref="CA42:CA48"/>
    <mergeCell ref="AI26:AJ26"/>
    <mergeCell ref="CC42:CC48"/>
    <mergeCell ref="AF3:AG4"/>
    <mergeCell ref="CW30:CX30"/>
    <mergeCell ref="DM1:EC1"/>
    <mergeCell ref="AI7:AJ7"/>
    <mergeCell ref="A1:P1"/>
    <mergeCell ref="DL3:DL4"/>
    <mergeCell ref="AI16:AJ16"/>
    <mergeCell ref="BP20:BQ20"/>
    <mergeCell ref="BP28:BQ28"/>
    <mergeCell ref="CW7:CX7"/>
    <mergeCell ref="AY42:AY48"/>
    <mergeCell ref="BP13:BQ13"/>
    <mergeCell ref="AI43:AJ43"/>
    <mergeCell ref="BP44:BQ44"/>
    <mergeCell ref="DZ3:DZ4"/>
    <mergeCell ref="AI18:AJ18"/>
    <mergeCell ref="AH1:AW1"/>
    <mergeCell ref="BP30:BQ30"/>
    <mergeCell ref="AI33:AJ33"/>
    <mergeCell ref="BP6:BQ6"/>
    <mergeCell ref="AI42:AJ42"/>
    <mergeCell ref="BP15:BQ15"/>
    <mergeCell ref="BB42:BB48"/>
    <mergeCell ref="BD42:BD48"/>
    <mergeCell ref="CW33:CX33"/>
    <mergeCell ref="BP25:BQ25"/>
    <mergeCell ref="DW3:DW4"/>
    <mergeCell ref="AI44:AJ44"/>
    <mergeCell ref="CW17:CX17"/>
    <mergeCell ref="AE3:AE4"/>
    <mergeCell ref="BP45:BQ45"/>
    <mergeCell ref="AI34:AJ34"/>
    <mergeCell ref="F42:F48"/>
    <mergeCell ref="CW35:CX35"/>
    <mergeCell ref="AI28:AJ28"/>
    <mergeCell ref="BP32:BQ32"/>
    <mergeCell ref="R42:R48"/>
    <mergeCell ref="BP41:BQ41"/>
    <mergeCell ref="AH2:AW2"/>
    <mergeCell ref="BR42:BR48"/>
    <mergeCell ref="BK3:BK4"/>
    <mergeCell ref="CW19:CX19"/>
    <mergeCell ref="BT42:BT48"/>
    <mergeCell ref="CS3:CS4"/>
    <mergeCell ref="CW28:CX28"/>
    <mergeCell ref="BP47:BQ47"/>
    <mergeCell ref="CN42:CN48"/>
    <mergeCell ref="CF42:CF48"/>
    <mergeCell ref="CP42:CP48"/>
    <mergeCell ref="AI30:AJ30"/>
    <mergeCell ref="CH42:CH48"/>
    <mergeCell ref="AI6:AJ6"/>
    <mergeCell ref="AI11:AJ11"/>
    <mergeCell ref="C3:O3"/>
    <mergeCell ref="CW3:CX4"/>
    <mergeCell ref="AX2:BN2"/>
    <mergeCell ref="U42:U48"/>
    <mergeCell ref="AR42:AR48"/>
    <mergeCell ref="W42:W48"/>
    <mergeCell ref="BP33:BQ33"/>
    <mergeCell ref="BW42:BW48"/>
    <mergeCell ref="CW46:CX46"/>
    <mergeCell ref="DM3:DV3"/>
    <mergeCell ref="BP8:BQ8"/>
    <mergeCell ref="BP17:BQ17"/>
    <mergeCell ref="CW25:CX25"/>
    <mergeCell ref="CF2:CU2"/>
    <mergeCell ref="P3:P4"/>
    <mergeCell ref="BM3:BN4"/>
    <mergeCell ref="BP35:BQ35"/>
    <mergeCell ref="AI32:AJ32"/>
    <mergeCell ref="AS42:AS48"/>
    <mergeCell ref="AI46:AJ46"/>
    <mergeCell ref="BP10:BQ10"/>
    <mergeCell ref="C42:C48"/>
    <mergeCell ref="AK42:AK48"/>
    <mergeCell ref="BL3:BL4"/>
    <mergeCell ref="BP19:BQ19"/>
    <mergeCell ref="AD3:AD4"/>
    <mergeCell ref="CW45:CX45"/>
    <mergeCell ref="AU42:AU48"/>
    <mergeCell ref="E42:E48"/>
    <mergeCell ref="AM42:AM48"/>
    <mergeCell ref="CW32:CX32"/>
    <mergeCell ref="BG42:BG48"/>
    <mergeCell ref="AI47:AJ47"/>
    <mergeCell ref="BI42:BI48"/>
    <mergeCell ref="CM42:CM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N42:N48"/>
    <mergeCell ref="AI10:AJ10"/>
    <mergeCell ref="AI19:AJ19"/>
    <mergeCell ref="AW3:AW4"/>
    <mergeCell ref="CT3:CU4"/>
    <mergeCell ref="X42:X48"/>
    <mergeCell ref="Z42:Z48"/>
    <mergeCell ref="AX1:BN1"/>
    <mergeCell ref="BZ42:BZ48"/>
    <mergeCell ref="BP46:BQ46"/>
    <mergeCell ref="BP37:BQ37"/>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BJ42:BJ48"/>
    <mergeCell ref="CW27:CX27"/>
    <mergeCell ref="AI20:AJ20"/>
    <mergeCell ref="CW36:CX36"/>
    <mergeCell ref="DX3:DY4"/>
    <mergeCell ref="CV1:DL1"/>
    <mergeCell ref="AA3:AA4"/>
    <mergeCell ref="AI22:AJ22"/>
    <mergeCell ref="BP48:BQ48"/>
    <mergeCell ref="AI31:AJ31"/>
    <mergeCell ref="CO3:CO4"/>
    <mergeCell ref="BR3:CD3"/>
    <mergeCell ref="AI37:AJ37"/>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1" zoomScale="70" zoomScaleNormal="100" zoomScalePageLayoutView="70" workbookViewId="0">
      <selection activeCell="C20" sqref="C2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3.44140625"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19" zoomScale="80" zoomScaleNormal="100" zoomScalePageLayoutView="80" workbookViewId="0">
      <selection activeCell="BJ42" sqref="BJ42:BK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37"/>
    <col width="4.44140625" customWidth="1" style="197" min="38" max="44"/>
    <col width="4.44140625" customWidth="1" style="198" min="45" max="48"/>
    <col width="2.44140625" customWidth="1" style="198" min="49"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44140625" customWidth="1" style="196" min="71"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96"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Y2" s="193" t="n"/>
      <c r="BP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97"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46095</v>
      </c>
      <c r="D4" s="23" t="n">
        <v>46111</v>
      </c>
      <c r="E4" s="23" t="n">
        <v>46153</v>
      </c>
      <c r="F4" s="23" t="n"/>
      <c r="G4" s="177" t="n"/>
      <c r="H4" s="177" t="n"/>
      <c r="I4" s="177" t="n"/>
      <c r="J4" s="177" t="n"/>
      <c r="K4" s="177" t="n"/>
      <c r="L4" s="177" t="n"/>
      <c r="M4" s="177" t="n"/>
      <c r="N4" s="177" t="n"/>
      <c r="O4" s="177" t="n"/>
      <c r="P4" s="181" t="n"/>
      <c r="Q4" s="98" t="n"/>
      <c r="R4" s="23" t="n">
        <v>46153</v>
      </c>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20"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IF(MAESTRO!B5="","",MAESTRO!B5)</f>
        <v/>
      </c>
      <c r="C5" s="5" t="n">
        <v>3.2</v>
      </c>
      <c r="D5" s="5" t="n">
        <v>3.4</v>
      </c>
      <c r="E5" s="5" t="n">
        <v>3.6</v>
      </c>
      <c r="F5" s="5" t="n">
        <v>3.4</v>
      </c>
      <c r="G5" s="5" t="n">
        <v>5</v>
      </c>
      <c r="H5" s="5" t="n">
        <v>5</v>
      </c>
      <c r="I5" s="5" t="n">
        <v>3.5</v>
      </c>
      <c r="J5" s="5" t="n">
        <v>4.1</v>
      </c>
      <c r="K5" s="5" t="n">
        <v>4.6</v>
      </c>
      <c r="L5" s="5" t="n">
        <v>4.3</v>
      </c>
      <c r="M5" s="5" t="n">
        <v>4.8</v>
      </c>
      <c r="N5" s="5" t="n">
        <v>3.9</v>
      </c>
      <c r="O5" s="5" t="n">
        <v>4.6</v>
      </c>
      <c r="P5" s="5">
        <f>IF(MAESTRO!B5="","",IFERROR(TRUNC(AVERAGE(C5:O5),1),""))</f>
        <v/>
      </c>
      <c r="Q5" s="95" t="n">
        <v>1</v>
      </c>
      <c r="R5" s="5" t="n">
        <v>3.5</v>
      </c>
      <c r="S5" s="22" t="n">
        <v>3.3</v>
      </c>
      <c r="T5" s="22" t="n">
        <v>4.2</v>
      </c>
      <c r="U5" s="22" t="n">
        <v>4.9</v>
      </c>
      <c r="V5" s="22" t="n">
        <v>3.8</v>
      </c>
      <c r="W5" s="22" t="n">
        <v>3.1</v>
      </c>
      <c r="X5" s="22" t="n">
        <v>3.7</v>
      </c>
      <c r="Y5" s="22" t="n">
        <v>3.7</v>
      </c>
      <c r="Z5" s="22" t="n">
        <v>4.1</v>
      </c>
      <c r="AA5" s="45">
        <f>IF(MAESTRO!B5="","",IFERROR(TRUNC(AVERAGE(R5:Z5),1),""))</f>
        <v/>
      </c>
      <c r="AB5" s="5" t="n">
        <v>3.1</v>
      </c>
      <c r="AC5" s="42" t="n">
        <v>4</v>
      </c>
      <c r="AD5" s="5">
        <f>IF(MAESTRO!B5="","",IFERROR(AVERAGE(AB5:AC5),""))</f>
        <v/>
      </c>
      <c r="AE5" s="44">
        <f>IF(MAESTRO!B5="","",IFERROR(TRUNC(AVERAGE(P5,AA5,AD5),1),""))</f>
        <v/>
      </c>
      <c r="AF5" s="177" t="n"/>
      <c r="AG5" s="177" t="n">
        <v>1</v>
      </c>
      <c r="AH5" s="177" t="n">
        <v>1</v>
      </c>
      <c r="AI5" s="177">
        <f>IF(MAESTRO!B5="","",MAESTRO!B5)</f>
        <v/>
      </c>
      <c r="AJ5" s="178" t="n"/>
      <c r="AK5" s="61" t="n">
        <v>5</v>
      </c>
      <c r="AL5" s="61" t="n">
        <v>3.4</v>
      </c>
      <c r="AM5" s="61" t="n">
        <v>4</v>
      </c>
      <c r="AN5" s="61" t="n">
        <v>4.4</v>
      </c>
      <c r="AO5" s="61" t="n">
        <v>3.1</v>
      </c>
      <c r="AP5" s="61" t="n">
        <v>4.2</v>
      </c>
      <c r="AQ5" s="61" t="n">
        <v>3.8</v>
      </c>
      <c r="AR5" s="61" t="n">
        <v>4.9</v>
      </c>
      <c r="AS5" s="61" t="n">
        <v>4.5</v>
      </c>
      <c r="AT5" s="61" t="n">
        <v>4.4</v>
      </c>
      <c r="AU5" s="61" t="n">
        <v>4.1</v>
      </c>
      <c r="AV5" s="61" t="n">
        <v>4.4</v>
      </c>
      <c r="AW5" s="64" t="n">
        <v>3.1</v>
      </c>
      <c r="AX5" s="5">
        <f>IF(MAESTRO!B5="","",IFERROR(TRUNC(AVERAGE(AK5:AW5),1),""))</f>
        <v/>
      </c>
      <c r="AY5" s="22" t="n">
        <v>4.9</v>
      </c>
      <c r="AZ5" s="22" t="n">
        <v>3.5</v>
      </c>
      <c r="BA5" s="22" t="n">
        <v>3.3</v>
      </c>
      <c r="BB5" s="22" t="n">
        <v>4.7</v>
      </c>
      <c r="BC5" s="22" t="n">
        <v>3.3</v>
      </c>
      <c r="BD5" s="22" t="n">
        <v>3.8</v>
      </c>
      <c r="BE5" s="22" t="n">
        <v>3.2</v>
      </c>
      <c r="BF5" s="22" t="n">
        <v>5</v>
      </c>
      <c r="BG5" s="22" t="n">
        <v>3.2</v>
      </c>
      <c r="BH5" s="52" t="n">
        <v>4.2</v>
      </c>
      <c r="BI5" s="5">
        <f>IF(MAESTRO!B5="","",IFERROR(TRUNC(AVERAGE(AY5:BH5),1),""))</f>
        <v/>
      </c>
      <c r="BJ5" s="22" t="n">
        <v>3</v>
      </c>
      <c r="BK5" s="22" t="n">
        <v>3.4</v>
      </c>
      <c r="BL5" s="22">
        <f>IF(MAESTRO!B5="","",IFERROR(AVERAGE(BJ5:BK5),""))</f>
        <v/>
      </c>
      <c r="BM5" s="5">
        <f>IF(MAESTRO!B5="","",IFERROR(TRUNC(AVERAGE(AX5,BI5,BL5),1),""))</f>
        <v/>
      </c>
      <c r="BN5" s="177" t="n"/>
      <c r="BO5" s="177" t="n">
        <v>1</v>
      </c>
      <c r="BP5" s="177" t="n">
        <v>1</v>
      </c>
      <c r="BQ5" s="177">
        <f>IF(MAESTRO!B5="","",MAESTRO!B5)</f>
        <v/>
      </c>
      <c r="BR5" s="178" t="n"/>
      <c r="BS5" s="5" t="n">
        <v>4.6</v>
      </c>
      <c r="BT5" s="5" t="n">
        <v>4.6</v>
      </c>
      <c r="BU5" s="5" t="n">
        <v>3.9</v>
      </c>
      <c r="BV5" s="5" t="n">
        <v>3.5</v>
      </c>
      <c r="BW5" s="5" t="n">
        <v>5</v>
      </c>
      <c r="BX5" s="5" t="n">
        <v>5</v>
      </c>
      <c r="BY5" s="5" t="n">
        <v>4.7</v>
      </c>
      <c r="BZ5" s="5" t="n">
        <v>3.6</v>
      </c>
      <c r="CA5" s="5" t="n">
        <v>4.3</v>
      </c>
      <c r="CB5" s="5" t="n">
        <v>4</v>
      </c>
      <c r="CC5" s="5" t="n">
        <v>3.1</v>
      </c>
      <c r="CD5" s="5" t="n">
        <v>3.7</v>
      </c>
      <c r="CE5" s="5">
        <f>IF(MAESTRO!B5="","",IFERROR(TRUNC(AVERAGE(BS5:CD5),1),""))</f>
        <v/>
      </c>
      <c r="CF5" s="5" t="n">
        <v>4.8</v>
      </c>
      <c r="CG5" s="5" t="n">
        <v>3.1</v>
      </c>
      <c r="CH5" s="5" t="n">
        <v>4.8</v>
      </c>
      <c r="CI5" s="5" t="n">
        <v>3.6</v>
      </c>
      <c r="CJ5" s="5" t="n">
        <v>3.3</v>
      </c>
      <c r="CK5" s="5" t="n">
        <v>4.2</v>
      </c>
      <c r="CL5" s="5" t="n">
        <v>4.9</v>
      </c>
      <c r="CM5" s="5" t="n">
        <v>3.1</v>
      </c>
      <c r="CN5" s="5" t="n">
        <v>4.3</v>
      </c>
      <c r="CO5" s="5" t="n">
        <v>3</v>
      </c>
      <c r="CP5" s="5">
        <f>IF(MAESTRO!B5="","",IFERROR(TRUNC(AVERAGE(CF5:CO5),1),""))</f>
        <v/>
      </c>
      <c r="CQ5" s="5" t="n">
        <v>4.3</v>
      </c>
      <c r="CR5" s="5" t="n">
        <v>4</v>
      </c>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v>4.2</v>
      </c>
      <c r="D6" s="5" t="n">
        <v>4.7</v>
      </c>
      <c r="E6" s="5" t="n">
        <v>3.2</v>
      </c>
      <c r="F6" s="5" t="n">
        <v>4.1</v>
      </c>
      <c r="G6" s="5" t="n">
        <v>4.8</v>
      </c>
      <c r="H6" s="5" t="n">
        <v>3.5</v>
      </c>
      <c r="I6" s="5" t="n">
        <v>3.1</v>
      </c>
      <c r="J6" s="5" t="n">
        <v>3.6</v>
      </c>
      <c r="K6" s="5" t="n">
        <v>3.6</v>
      </c>
      <c r="L6" s="5" t="n">
        <v>4.7</v>
      </c>
      <c r="M6" s="5" t="n">
        <v>4.3</v>
      </c>
      <c r="N6" s="5" t="n">
        <v>4.1</v>
      </c>
      <c r="O6" s="5" t="n">
        <v>3.4</v>
      </c>
      <c r="P6" s="5">
        <f>IF(MAESTRO!B6="","",IFERROR(TRUNC(AVERAGE(C6:O6),1),""))</f>
        <v/>
      </c>
      <c r="Q6" s="95" t="n">
        <v>2</v>
      </c>
      <c r="R6" s="5" t="n">
        <v>4.6</v>
      </c>
      <c r="S6" s="22" t="n">
        <v>4.5</v>
      </c>
      <c r="T6" s="22" t="n">
        <v>3.1</v>
      </c>
      <c r="U6" s="22" t="n">
        <v>3.5</v>
      </c>
      <c r="V6" s="22" t="n">
        <v>3.3</v>
      </c>
      <c r="W6" s="22" t="n">
        <v>3.7</v>
      </c>
      <c r="X6" s="22" t="n">
        <v>4</v>
      </c>
      <c r="Y6" s="22" t="n">
        <v>3.9</v>
      </c>
      <c r="Z6" s="22" t="n">
        <v>4.3</v>
      </c>
      <c r="AA6" s="45">
        <f>IF(MAESTRO!B6="","",IFERROR(TRUNC(AVERAGE(R6:Z6),1),""))</f>
        <v/>
      </c>
      <c r="AB6" s="5" t="n">
        <v>4.2</v>
      </c>
      <c r="AC6" s="42" t="n">
        <v>4.5</v>
      </c>
      <c r="AD6" s="5">
        <f>IF(MAESTRO!B6="","",IFERROR(AVERAGE(AB6:AC6),""))</f>
        <v/>
      </c>
      <c r="AE6" s="44">
        <f>IF(MAESTRO!B6="","",IFERROR(TRUNC(AVERAGE(P6,AA6,AD6),1),""))</f>
        <v/>
      </c>
      <c r="AF6" s="177" t="n"/>
      <c r="AG6" s="177" t="n">
        <v>2</v>
      </c>
      <c r="AH6" s="177" t="n">
        <v>2</v>
      </c>
      <c r="AI6" s="177">
        <f>IF(MAESTRO!B6="","",MAESTRO!B6)</f>
        <v/>
      </c>
      <c r="AJ6" s="178" t="n"/>
      <c r="AK6" s="61" t="n">
        <v>3.8</v>
      </c>
      <c r="AL6" s="61" t="n">
        <v>4</v>
      </c>
      <c r="AM6" s="61" t="n">
        <v>4</v>
      </c>
      <c r="AN6" s="61" t="n">
        <v>3.6</v>
      </c>
      <c r="AO6" s="61" t="n">
        <v>4.8</v>
      </c>
      <c r="AP6" s="61" t="n">
        <v>4.5</v>
      </c>
      <c r="AQ6" s="61" t="n">
        <v>4.3</v>
      </c>
      <c r="AR6" s="61" t="n">
        <v>3.8</v>
      </c>
      <c r="AS6" s="61" t="n">
        <v>4.7</v>
      </c>
      <c r="AT6" s="61" t="n">
        <v>3.3</v>
      </c>
      <c r="AU6" s="61" t="n">
        <v>4.8</v>
      </c>
      <c r="AV6" s="61" t="n">
        <v>4.7</v>
      </c>
      <c r="AW6" s="20" t="n">
        <v>4.7</v>
      </c>
      <c r="AX6" s="5">
        <f>IF(MAESTRO!B6="","",IFERROR(TRUNC(AVERAGE(AK6:AW6),1),""))</f>
        <v/>
      </c>
      <c r="AY6" s="22" t="n">
        <v>3.7</v>
      </c>
      <c r="AZ6" s="22" t="n">
        <v>4.1</v>
      </c>
      <c r="BA6" s="22" t="n">
        <v>4.4</v>
      </c>
      <c r="BB6" s="22" t="n">
        <v>3.8</v>
      </c>
      <c r="BC6" s="22" t="n">
        <v>3.8</v>
      </c>
      <c r="BD6" s="22" t="n">
        <v>3.3</v>
      </c>
      <c r="BE6" s="22" t="n">
        <v>4.9</v>
      </c>
      <c r="BF6" s="22" t="n">
        <v>3.7</v>
      </c>
      <c r="BG6" s="22" t="n">
        <v>3.8</v>
      </c>
      <c r="BH6" s="52" t="n">
        <v>3.9</v>
      </c>
      <c r="BI6" s="5">
        <f>IF(MAESTRO!B6="","",IFERROR(TRUNC(AVERAGE(AY6:BH6),1),""))</f>
        <v/>
      </c>
      <c r="BJ6" s="22" t="n">
        <v>3.6</v>
      </c>
      <c r="BK6" s="22" t="n">
        <v>4.5</v>
      </c>
      <c r="BL6" s="22">
        <f>IF(MAESTRO!B6="","",IFERROR(AVERAGE(BJ6:BK6),""))</f>
        <v/>
      </c>
      <c r="BM6" s="5">
        <f>IF(MAESTRO!B6="","",IFERROR(TRUNC(AVERAGE(AX6,BI6,BL6),1),""))</f>
        <v/>
      </c>
      <c r="BN6" s="177" t="n"/>
      <c r="BO6" s="177" t="n">
        <v>2</v>
      </c>
      <c r="BP6" s="177" t="n">
        <v>2</v>
      </c>
      <c r="BQ6" s="177">
        <f>IF(MAESTRO!B6="","",MAESTRO!B6)</f>
        <v/>
      </c>
      <c r="BR6" s="178" t="n"/>
      <c r="BS6" s="5" t="n">
        <v>4.8</v>
      </c>
      <c r="BT6" s="5" t="n">
        <v>3.7</v>
      </c>
      <c r="BU6" s="5" t="n">
        <v>3.3</v>
      </c>
      <c r="BV6" s="5" t="n">
        <v>3.9</v>
      </c>
      <c r="BW6" s="5" t="n">
        <v>4.5</v>
      </c>
      <c r="BX6" s="5" t="n">
        <v>3.2</v>
      </c>
      <c r="BY6" s="5" t="n">
        <v>3.4</v>
      </c>
      <c r="BZ6" s="5" t="n">
        <v>3.1</v>
      </c>
      <c r="CA6" s="5" t="n">
        <v>3.5</v>
      </c>
      <c r="CB6" s="5" t="n">
        <v>3.2</v>
      </c>
      <c r="CC6" s="5" t="n">
        <v>4.4</v>
      </c>
      <c r="CD6" s="5" t="n">
        <v>3.2</v>
      </c>
      <c r="CE6" s="5">
        <f>IF(MAESTRO!B6="","",IFERROR(TRUNC(AVERAGE(BS6:CD6),1),""))</f>
        <v/>
      </c>
      <c r="CF6" s="5" t="n">
        <v>4.2</v>
      </c>
      <c r="CG6" s="5" t="n">
        <v>4.3</v>
      </c>
      <c r="CH6" s="5" t="n">
        <v>3.5</v>
      </c>
      <c r="CI6" s="5" t="n">
        <v>4.9</v>
      </c>
      <c r="CJ6" s="5" t="n">
        <v>3.5</v>
      </c>
      <c r="CK6" s="5" t="n">
        <v>3.2</v>
      </c>
      <c r="CL6" s="5" t="n">
        <v>3.2</v>
      </c>
      <c r="CM6" s="5" t="n">
        <v>3.3</v>
      </c>
      <c r="CN6" s="5" t="n">
        <v>3.7</v>
      </c>
      <c r="CO6" s="5" t="n">
        <v>4.6</v>
      </c>
      <c r="CP6" s="5">
        <f>IF(MAESTRO!B6="","",IFERROR(TRUNC(AVERAGE(CF6:CO6),1),""))</f>
        <v/>
      </c>
      <c r="CQ6" s="5" t="n">
        <v>4</v>
      </c>
      <c r="CR6" s="5" t="n">
        <v>3</v>
      </c>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v>5</v>
      </c>
      <c r="D7" s="5" t="n">
        <v>4.1</v>
      </c>
      <c r="E7" s="5" t="n">
        <v>3.4</v>
      </c>
      <c r="F7" s="5" t="n">
        <v>3.4</v>
      </c>
      <c r="G7" s="5" t="n">
        <v>4.1</v>
      </c>
      <c r="H7" s="5" t="n">
        <v>3.1</v>
      </c>
      <c r="I7" s="5" t="n">
        <v>3.9</v>
      </c>
      <c r="J7" s="5" t="n">
        <v>3.3</v>
      </c>
      <c r="K7" s="5" t="n">
        <v>4</v>
      </c>
      <c r="L7" s="5" t="n">
        <v>3.8</v>
      </c>
      <c r="M7" s="5" t="n">
        <v>3.4</v>
      </c>
      <c r="N7" s="5" t="n">
        <v>3.3</v>
      </c>
      <c r="O7" s="5" t="n">
        <v>3.6</v>
      </c>
      <c r="P7" s="5">
        <f>IF(MAESTRO!B7="","",IFERROR(TRUNC(AVERAGE(C7:O7),1),""))</f>
        <v/>
      </c>
      <c r="Q7" s="95" t="n">
        <v>3</v>
      </c>
      <c r="R7" s="5" t="n">
        <v>3.9</v>
      </c>
      <c r="S7" s="22" t="n">
        <v>3</v>
      </c>
      <c r="T7" s="22" t="n">
        <v>5</v>
      </c>
      <c r="U7" s="22" t="n">
        <v>3.8</v>
      </c>
      <c r="V7" s="22" t="n">
        <v>3.9</v>
      </c>
      <c r="W7" s="22" t="n">
        <v>4.9</v>
      </c>
      <c r="X7" s="22" t="n">
        <v>3.2</v>
      </c>
      <c r="Y7" s="22" t="n">
        <v>4</v>
      </c>
      <c r="Z7" s="22" t="n">
        <v>4.3</v>
      </c>
      <c r="AA7" s="45">
        <f>IF(MAESTRO!B7="","",IFERROR(TRUNC(AVERAGE(R7:Z7),1),""))</f>
        <v/>
      </c>
      <c r="AB7" s="177" t="n">
        <v>3.4</v>
      </c>
      <c r="AC7" t="n">
        <v>3.2</v>
      </c>
      <c r="AD7" s="5">
        <f>IF(MAESTRO!B7="","",IFERROR(AVERAGE(AB7:AC7),""))</f>
        <v/>
      </c>
      <c r="AE7" s="44">
        <f>IF(MAESTRO!B7="","",IFERROR(TRUNC(AVERAGE(P7,AA7,AD7),1),""))</f>
        <v/>
      </c>
      <c r="AF7" s="177" t="n"/>
      <c r="AG7" s="177" t="n">
        <v>3</v>
      </c>
      <c r="AH7" s="177" t="n">
        <v>3</v>
      </c>
      <c r="AI7" s="177">
        <f>IF(MAESTRO!B7="","",MAESTRO!B7)</f>
        <v/>
      </c>
      <c r="AJ7" s="178" t="n"/>
      <c r="AK7" s="61" t="n">
        <v>4.2</v>
      </c>
      <c r="AL7" s="61" t="n">
        <v>3.3</v>
      </c>
      <c r="AM7" s="61" t="n">
        <v>4.4</v>
      </c>
      <c r="AN7" s="61" t="n">
        <v>4</v>
      </c>
      <c r="AO7" s="61" t="n">
        <v>3.2</v>
      </c>
      <c r="AP7" s="61" t="n">
        <v>4.2</v>
      </c>
      <c r="AQ7" s="61" t="n">
        <v>3.5</v>
      </c>
      <c r="AR7" s="61" t="n">
        <v>4.6</v>
      </c>
      <c r="AS7" s="61" t="n">
        <v>3.1</v>
      </c>
      <c r="AT7" s="61" t="n">
        <v>4.5</v>
      </c>
      <c r="AU7" s="61" t="n">
        <v>3.9</v>
      </c>
      <c r="AV7" s="61" t="n">
        <v>4.4</v>
      </c>
      <c r="AW7" s="20" t="n">
        <v>4.7</v>
      </c>
      <c r="AX7" s="5">
        <f>IF(MAESTRO!B7="","",IFERROR(TRUNC(AVERAGE(AK7:AW7),1),""))</f>
        <v/>
      </c>
      <c r="AY7" s="22" t="n">
        <v>3.2</v>
      </c>
      <c r="AZ7" s="22" t="n">
        <v>3.1</v>
      </c>
      <c r="BA7" s="22" t="n">
        <v>3.5</v>
      </c>
      <c r="BB7" s="22" t="n">
        <v>3.8</v>
      </c>
      <c r="BC7" s="22" t="n">
        <v>3.5</v>
      </c>
      <c r="BD7" s="22" t="n">
        <v>3.6</v>
      </c>
      <c r="BE7" s="22" t="n">
        <v>4.1</v>
      </c>
      <c r="BF7" s="22" t="n">
        <v>3.5</v>
      </c>
      <c r="BG7" s="22" t="n">
        <v>4.7</v>
      </c>
      <c r="BH7" s="52" t="n">
        <v>4</v>
      </c>
      <c r="BI7" s="5">
        <f>IF(MAESTRO!B7="","",IFERROR(TRUNC(AVERAGE(AY7:BH7),1),""))</f>
        <v/>
      </c>
      <c r="BJ7" s="22" t="n">
        <v>3.5</v>
      </c>
      <c r="BK7" s="22" t="n">
        <v>4.9</v>
      </c>
      <c r="BL7" s="22">
        <f>IF(MAESTRO!B7="","",IFERROR(AVERAGE(BJ7:BK7),""))</f>
        <v/>
      </c>
      <c r="BM7" s="5">
        <f>IF(MAESTRO!B7="","",IFERROR(TRUNC(AVERAGE(AX7,BI7,BL7),1),""))</f>
        <v/>
      </c>
      <c r="BN7" s="177" t="n"/>
      <c r="BO7" s="177" t="n">
        <v>3</v>
      </c>
      <c r="BP7" s="177" t="n">
        <v>3</v>
      </c>
      <c r="BQ7" s="177">
        <f>IF(MAESTRO!B7="","",MAESTRO!B7)</f>
        <v/>
      </c>
      <c r="BR7" s="178" t="n"/>
      <c r="BS7" s="5" t="n">
        <v>4.6</v>
      </c>
      <c r="BT7" s="5" t="n">
        <v>4.1</v>
      </c>
      <c r="BU7" s="5" t="n">
        <v>4.6</v>
      </c>
      <c r="BV7" s="5" t="n">
        <v>3.1</v>
      </c>
      <c r="BW7" s="5" t="n">
        <v>4.2</v>
      </c>
      <c r="BX7" s="5" t="n">
        <v>3.5</v>
      </c>
      <c r="BY7" s="5" t="n">
        <v>4.6</v>
      </c>
      <c r="BZ7" s="5" t="n">
        <v>4.9</v>
      </c>
      <c r="CA7" s="5" t="n">
        <v>3.5</v>
      </c>
      <c r="CB7" s="5" t="n">
        <v>4.2</v>
      </c>
      <c r="CC7" s="5" t="n">
        <v>3.2</v>
      </c>
      <c r="CD7" s="5" t="n">
        <v>3.4</v>
      </c>
      <c r="CE7" s="5">
        <f>IF(MAESTRO!B7="","",IFERROR(TRUNC(AVERAGE(BS7:CD7),1),""))</f>
        <v/>
      </c>
      <c r="CF7" s="5" t="n">
        <v>3.1</v>
      </c>
      <c r="CG7" s="5" t="n">
        <v>3.4</v>
      </c>
      <c r="CH7" s="5" t="n">
        <v>3.3</v>
      </c>
      <c r="CI7" s="5" t="n">
        <v>4.5</v>
      </c>
      <c r="CJ7" s="5" t="n">
        <v>4.9</v>
      </c>
      <c r="CK7" s="5" t="n">
        <v>3.4</v>
      </c>
      <c r="CL7" s="5" t="n">
        <v>4.3</v>
      </c>
      <c r="CM7" s="5" t="n">
        <v>4.6</v>
      </c>
      <c r="CN7" s="5" t="n">
        <v>4.7</v>
      </c>
      <c r="CO7" s="5" t="n">
        <v>3.1</v>
      </c>
      <c r="CP7" s="5">
        <f>IF(MAESTRO!B7="","",IFERROR(TRUNC(AVERAGE(CF7:CO7),1),""))</f>
        <v/>
      </c>
      <c r="CQ7" s="5" t="n">
        <v>4.1</v>
      </c>
      <c r="CR7" s="5" t="n">
        <v>4</v>
      </c>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v>3.7</v>
      </c>
      <c r="D8" s="5" t="n">
        <v>4.5</v>
      </c>
      <c r="E8" s="5" t="n">
        <v>3.7</v>
      </c>
      <c r="F8" t="n">
        <v>3.1</v>
      </c>
      <c r="G8" s="5" t="n">
        <v>4.3</v>
      </c>
      <c r="H8" s="5" t="n">
        <v>4.1</v>
      </c>
      <c r="I8" s="5" t="n">
        <v>5</v>
      </c>
      <c r="J8" s="5" t="n">
        <v>4.3</v>
      </c>
      <c r="K8" s="5" t="n">
        <v>3.8</v>
      </c>
      <c r="L8" s="5" t="n">
        <v>3.6</v>
      </c>
      <c r="M8" s="5" t="n">
        <v>3.1</v>
      </c>
      <c r="N8" s="5" t="n">
        <v>4.5</v>
      </c>
      <c r="O8" s="5" t="n">
        <v>4.3</v>
      </c>
      <c r="P8" s="5">
        <f>IF(MAESTRO!B8="","",IFERROR(TRUNC(AVERAGE(C8:O8),1),""))</f>
        <v/>
      </c>
      <c r="Q8" s="95" t="n">
        <v>4</v>
      </c>
      <c r="R8" s="5" t="n">
        <v>3.3</v>
      </c>
      <c r="S8" s="22" t="n">
        <v>5</v>
      </c>
      <c r="T8" s="22" t="n">
        <v>3.8</v>
      </c>
      <c r="U8" s="22" t="n">
        <v>4.8</v>
      </c>
      <c r="V8" s="22" t="n">
        <v>3.1</v>
      </c>
      <c r="W8" s="22" t="n">
        <v>3.4</v>
      </c>
      <c r="X8" s="22" t="n">
        <v>4</v>
      </c>
      <c r="Y8" s="22" t="n">
        <v>4</v>
      </c>
      <c r="Z8" s="22" t="n">
        <v>3.6</v>
      </c>
      <c r="AA8" s="45">
        <f>IF(MAESTRO!B8="","",IFERROR(TRUNC(AVERAGE(R8:Z8),1),""))</f>
        <v/>
      </c>
      <c r="AB8" s="177" t="n">
        <v>3.7</v>
      </c>
      <c r="AC8" s="42" t="n">
        <v>3.8</v>
      </c>
      <c r="AD8" s="5">
        <f>IF(MAESTRO!B8="","",IFERROR(AVERAGE(AB8:AC8),""))</f>
        <v/>
      </c>
      <c r="AE8" s="44">
        <f>IF(MAESTRO!B8="","",IFERROR(TRUNC(AVERAGE(P8,AA8,AD8),1),""))</f>
        <v/>
      </c>
      <c r="AF8" s="177" t="n"/>
      <c r="AG8" s="177" t="n">
        <v>4</v>
      </c>
      <c r="AH8" s="177" t="n">
        <v>4</v>
      </c>
      <c r="AI8" s="177">
        <f>IF(MAESTRO!B8="","",MAESTRO!B8)</f>
        <v/>
      </c>
      <c r="AJ8" s="178" t="n"/>
      <c r="AK8" s="61" t="n">
        <v>3</v>
      </c>
      <c r="AL8" s="61" t="n">
        <v>4.3</v>
      </c>
      <c r="AM8" s="61" t="n">
        <v>4.5</v>
      </c>
      <c r="AN8" s="61" t="n">
        <v>3.5</v>
      </c>
      <c r="AO8" s="61" t="n">
        <v>4.3</v>
      </c>
      <c r="AP8" s="61" t="n">
        <v>3.2</v>
      </c>
      <c r="AQ8" s="61" t="n">
        <v>4.3</v>
      </c>
      <c r="AR8" s="61" t="n">
        <v>4.9</v>
      </c>
      <c r="AS8" s="61" t="n">
        <v>3.1</v>
      </c>
      <c r="AT8" s="61" t="n">
        <v>4.4</v>
      </c>
      <c r="AU8" s="61" t="n">
        <v>4.1</v>
      </c>
      <c r="AV8" s="61" t="n">
        <v>3.3</v>
      </c>
      <c r="AW8" s="20" t="n">
        <v>3.7</v>
      </c>
      <c r="AX8" s="5">
        <f>IF(MAESTRO!B8="","",IFERROR(TRUNC(AVERAGE(AK8:AW8),1),""))</f>
        <v/>
      </c>
      <c r="AY8" s="22" t="n">
        <v>3.9</v>
      </c>
      <c r="AZ8" s="22" t="n">
        <v>4.8</v>
      </c>
      <c r="BA8" s="22" t="n">
        <v>4.8</v>
      </c>
      <c r="BB8" s="22" t="n">
        <v>3.5</v>
      </c>
      <c r="BC8" s="22" t="n">
        <v>3.7</v>
      </c>
      <c r="BD8" s="22" t="n">
        <v>4</v>
      </c>
      <c r="BE8" s="22" t="n">
        <v>3.3</v>
      </c>
      <c r="BF8" s="22" t="n">
        <v>4.7</v>
      </c>
      <c r="BG8" s="22" t="n">
        <v>4.2</v>
      </c>
      <c r="BH8" s="52" t="n">
        <v>3.7</v>
      </c>
      <c r="BI8" s="5">
        <f>IF(MAESTRO!B8="","",IFERROR(TRUNC(AVERAGE(AY8:BH8),1),""))</f>
        <v/>
      </c>
      <c r="BJ8" s="22" t="n">
        <v>4.2</v>
      </c>
      <c r="BK8" s="22" t="n">
        <v>3.9</v>
      </c>
      <c r="BL8" s="22">
        <f>IF(MAESTRO!B8="","",IFERROR(AVERAGE(BJ8:BK8),""))</f>
        <v/>
      </c>
      <c r="BM8" s="5">
        <f>IF(MAESTRO!B8="","",IFERROR(TRUNC(AVERAGE(AX8,BI8,BL8),1),""))</f>
        <v/>
      </c>
      <c r="BN8" s="177" t="n"/>
      <c r="BO8" s="177" t="n">
        <v>4</v>
      </c>
      <c r="BP8" s="177" t="n">
        <v>4</v>
      </c>
      <c r="BQ8" s="177">
        <f>IF(MAESTRO!B8="","",MAESTRO!B8)</f>
        <v/>
      </c>
      <c r="BR8" s="178" t="n"/>
      <c r="BS8" s="5" t="n">
        <v>4.6</v>
      </c>
      <c r="BT8" s="5" t="n">
        <v>3.1</v>
      </c>
      <c r="BU8" s="5" t="n">
        <v>3.6</v>
      </c>
      <c r="BV8" s="5" t="n">
        <v>4.6</v>
      </c>
      <c r="BW8" s="5" t="n">
        <v>3.7</v>
      </c>
      <c r="BX8" s="5" t="n">
        <v>4.9</v>
      </c>
      <c r="BY8" s="5" t="n">
        <v>4.5</v>
      </c>
      <c r="BZ8" s="5" t="n">
        <v>3.4</v>
      </c>
      <c r="CA8" s="5" t="n">
        <v>3.3</v>
      </c>
      <c r="CB8" s="5" t="n">
        <v>4.4</v>
      </c>
      <c r="CC8" s="5" t="n">
        <v>3.7</v>
      </c>
      <c r="CD8" s="5" t="n">
        <v>4.3</v>
      </c>
      <c r="CE8" s="5">
        <f>IF(MAESTRO!B8="","",IFERROR(TRUNC(AVERAGE(BS8:CD8),1),""))</f>
        <v/>
      </c>
      <c r="CF8" s="5" t="n">
        <v>3</v>
      </c>
      <c r="CG8" s="5" t="n">
        <v>4.7</v>
      </c>
      <c r="CH8" s="5" t="n">
        <v>4.3</v>
      </c>
      <c r="CI8" s="5" t="n">
        <v>4.8</v>
      </c>
      <c r="CJ8" s="5" t="n">
        <v>4.3</v>
      </c>
      <c r="CK8" s="5" t="n">
        <v>3.2</v>
      </c>
      <c r="CL8" s="5" t="n">
        <v>4.1</v>
      </c>
      <c r="CM8" s="5" t="n">
        <v>4.7</v>
      </c>
      <c r="CN8" s="5" t="n">
        <v>4.2</v>
      </c>
      <c r="CO8" s="5" t="n">
        <v>4.8</v>
      </c>
      <c r="CP8" s="5">
        <f>IF(MAESTRO!B8="","",IFERROR(TRUNC(AVERAGE(CF8:CO8),1),""))</f>
        <v/>
      </c>
      <c r="CQ8" s="5" t="n">
        <v>4.2</v>
      </c>
      <c r="CR8" s="5" t="n">
        <v>4.8</v>
      </c>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v>3.1</v>
      </c>
      <c r="D9" s="5" t="n">
        <v>3</v>
      </c>
      <c r="E9" s="5" t="n">
        <v>4.8</v>
      </c>
      <c r="F9" s="5" t="n">
        <v>4</v>
      </c>
      <c r="G9" s="5" t="n">
        <v>3.6</v>
      </c>
      <c r="H9" s="5" t="n">
        <v>3.7</v>
      </c>
      <c r="I9" s="5" t="n">
        <v>3.7</v>
      </c>
      <c r="J9" s="5" t="n">
        <v>3.6</v>
      </c>
      <c r="K9" s="5" t="n">
        <v>3.1</v>
      </c>
      <c r="L9" s="5" t="n">
        <v>4.3</v>
      </c>
      <c r="M9" s="5" t="n">
        <v>3.5</v>
      </c>
      <c r="N9" s="5" t="n">
        <v>4.8</v>
      </c>
      <c r="O9" s="5" t="n">
        <v>3.1</v>
      </c>
      <c r="P9" s="5">
        <f>IF(MAESTRO!B9="","",IFERROR(TRUNC(AVERAGE(C9:O9),1),""))</f>
        <v/>
      </c>
      <c r="Q9" s="95" t="n">
        <v>5</v>
      </c>
      <c r="R9" s="5" t="n">
        <v>4.2</v>
      </c>
      <c r="S9" s="22" t="n">
        <v>3.3</v>
      </c>
      <c r="T9" s="22" t="n">
        <v>3.9</v>
      </c>
      <c r="U9" s="22" t="n">
        <v>3.1</v>
      </c>
      <c r="V9" s="22" t="n">
        <v>4.5</v>
      </c>
      <c r="W9" s="22" t="n">
        <v>3.6</v>
      </c>
      <c r="X9" s="22" t="n">
        <v>3.5</v>
      </c>
      <c r="Y9" s="22" t="n">
        <v>4.2</v>
      </c>
      <c r="Z9" s="22" t="n">
        <v>3.8</v>
      </c>
      <c r="AA9" s="45">
        <f>IF(MAESTRO!B9="","",IFERROR(TRUNC(AVERAGE(R9:Z9),1),""))</f>
        <v/>
      </c>
      <c r="AB9" s="177" t="n">
        <v>3.3</v>
      </c>
      <c r="AC9" s="42" t="n">
        <v>3.4</v>
      </c>
      <c r="AD9" s="5">
        <f>IF(MAESTRO!B9="","",IFERROR(AVERAGE(AB9:AC9),""))</f>
        <v/>
      </c>
      <c r="AE9" s="44">
        <f>IF(MAESTRO!B9="","",IFERROR(TRUNC(AVERAGE(P9,AA9,AD9),1),""))</f>
        <v/>
      </c>
      <c r="AF9" s="177" t="n"/>
      <c r="AG9" s="177" t="n">
        <v>5</v>
      </c>
      <c r="AH9" s="177" t="n">
        <v>5</v>
      </c>
      <c r="AI9" s="177">
        <f>IF(MAESTRO!B9="","",MAESTRO!B9)</f>
        <v/>
      </c>
      <c r="AJ9" s="178" t="n"/>
      <c r="AK9" s="61" t="n">
        <v>4.1</v>
      </c>
      <c r="AL9" s="61" t="n">
        <v>3.5</v>
      </c>
      <c r="AM9" s="61" t="n">
        <v>4</v>
      </c>
      <c r="AN9" s="61" t="n">
        <v>4.9</v>
      </c>
      <c r="AO9" s="61" t="n">
        <v>4.5</v>
      </c>
      <c r="AP9" s="61" t="n">
        <v>3.3</v>
      </c>
      <c r="AQ9" s="61" t="n">
        <v>3.6</v>
      </c>
      <c r="AR9" s="61" t="n">
        <v>4.7</v>
      </c>
      <c r="AS9" s="61" t="n">
        <v>3.1</v>
      </c>
      <c r="AT9" s="61" t="n">
        <v>3.4</v>
      </c>
      <c r="AU9" s="61" t="n">
        <v>3.5</v>
      </c>
      <c r="AV9" s="61" t="n">
        <v>4.5</v>
      </c>
      <c r="AW9" s="20" t="n">
        <v>3.2</v>
      </c>
      <c r="AX9" s="5">
        <f>IF(MAESTRO!B9="","",IFERROR(TRUNC(AVERAGE(AK9:AW9),1),""))</f>
        <v/>
      </c>
      <c r="AY9" s="22" t="n">
        <v>3.3</v>
      </c>
      <c r="AZ9" s="22" t="n">
        <v>4.9</v>
      </c>
      <c r="BA9" s="22" t="n">
        <v>5</v>
      </c>
      <c r="BB9" s="22" t="n">
        <v>3.8</v>
      </c>
      <c r="BC9" s="22" t="n">
        <v>4.2</v>
      </c>
      <c r="BD9" s="22" t="n">
        <v>4</v>
      </c>
      <c r="BE9" s="22" t="n">
        <v>3.4</v>
      </c>
      <c r="BF9" s="22" t="n">
        <v>3.4</v>
      </c>
      <c r="BG9" s="22" t="n">
        <v>4.9</v>
      </c>
      <c r="BH9" s="52" t="n">
        <v>3.4</v>
      </c>
      <c r="BI9" s="5">
        <f>IF(MAESTRO!B9="","",IFERROR(TRUNC(AVERAGE(AY9:BH9),1),""))</f>
        <v/>
      </c>
      <c r="BJ9" s="22" t="n">
        <v>4.5</v>
      </c>
      <c r="BK9" s="22" t="n">
        <v>3.4</v>
      </c>
      <c r="BL9" s="22">
        <f>IF(MAESTRO!B9="","",IFERROR(AVERAGE(BJ9:BK9),""))</f>
        <v/>
      </c>
      <c r="BM9" s="5">
        <f>IF(MAESTRO!B9="","",IFERROR(TRUNC(AVERAGE(AX9,BI9,BL9),1),""))</f>
        <v/>
      </c>
      <c r="BN9" s="177" t="n"/>
      <c r="BO9" s="177" t="n">
        <v>5</v>
      </c>
      <c r="BP9" s="177" t="n">
        <v>5</v>
      </c>
      <c r="BQ9" s="177">
        <f>IF(MAESTRO!B9="","",MAESTRO!B9)</f>
        <v/>
      </c>
      <c r="BR9" s="178" t="n"/>
      <c r="BS9" s="5" t="n">
        <v>4.4</v>
      </c>
      <c r="BT9" s="5" t="n">
        <v>3.2</v>
      </c>
      <c r="BU9" s="5" t="n">
        <v>3.4</v>
      </c>
      <c r="BV9" s="5" t="n">
        <v>3.4</v>
      </c>
      <c r="BW9" s="5" t="n">
        <v>4.1</v>
      </c>
      <c r="BX9" s="5" t="n">
        <v>4.4</v>
      </c>
      <c r="BY9" s="5" t="n">
        <v>3.4</v>
      </c>
      <c r="BZ9" s="5" t="n">
        <v>4.3</v>
      </c>
      <c r="CA9" s="5" t="n">
        <v>4.7</v>
      </c>
      <c r="CB9" s="5" t="n">
        <v>3.7</v>
      </c>
      <c r="CC9" s="5" t="n">
        <v>3.2</v>
      </c>
      <c r="CD9" s="5" t="n">
        <v>3.5</v>
      </c>
      <c r="CE9" s="5">
        <f>IF(MAESTRO!B9="","",IFERROR(TRUNC(AVERAGE(BS9:CD9),1),""))</f>
        <v/>
      </c>
      <c r="CF9" s="5" t="n">
        <v>4.7</v>
      </c>
      <c r="CG9" s="5" t="n">
        <v>4.5</v>
      </c>
      <c r="CH9" s="5" t="n">
        <v>4.7</v>
      </c>
      <c r="CI9" s="5" t="n">
        <v>5</v>
      </c>
      <c r="CJ9" s="5" t="n">
        <v>4.3</v>
      </c>
      <c r="CK9" s="5" t="n">
        <v>3</v>
      </c>
      <c r="CL9" s="5" t="n">
        <v>4.9</v>
      </c>
      <c r="CM9" s="5" t="n">
        <v>3</v>
      </c>
      <c r="CN9" s="5" t="n">
        <v>4</v>
      </c>
      <c r="CO9" s="5" t="n">
        <v>3.1</v>
      </c>
      <c r="CP9" s="5">
        <f>IF(MAESTRO!B9="","",IFERROR(TRUNC(AVERAGE(CF9:CO9),1),""))</f>
        <v/>
      </c>
      <c r="CQ9" s="5" t="n">
        <v>3.4</v>
      </c>
      <c r="CR9" s="5" t="n">
        <v>4.3</v>
      </c>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v>4.8</v>
      </c>
      <c r="D10" s="5" t="n">
        <v>3.3</v>
      </c>
      <c r="E10" s="5" t="n">
        <v>4.8</v>
      </c>
      <c r="F10" s="5" t="n">
        <v>3.1</v>
      </c>
      <c r="G10" s="5" t="n">
        <v>4.6</v>
      </c>
      <c r="H10" s="5" t="n">
        <v>4.7</v>
      </c>
      <c r="I10" s="5" t="n">
        <v>4.9</v>
      </c>
      <c r="J10" s="5" t="n">
        <v>3.9</v>
      </c>
      <c r="K10" s="5" t="n">
        <v>3.6</v>
      </c>
      <c r="L10" s="5" t="n">
        <v>4</v>
      </c>
      <c r="M10" s="5" t="n">
        <v>4.3</v>
      </c>
      <c r="N10" s="5" t="n">
        <v>4.7</v>
      </c>
      <c r="O10" s="5" t="n">
        <v>3.5</v>
      </c>
      <c r="P10" s="5">
        <f>IF(MAESTRO!B10="","",IFERROR(TRUNC(AVERAGE(C10:O10),1),""))</f>
        <v/>
      </c>
      <c r="Q10" s="95" t="n">
        <v>6</v>
      </c>
      <c r="R10" s="5" t="n">
        <v>4.5</v>
      </c>
      <c r="S10" s="22" t="n">
        <v>3.5</v>
      </c>
      <c r="T10" s="22" t="n">
        <v>3.5</v>
      </c>
      <c r="U10" s="22" t="n">
        <v>3.2</v>
      </c>
      <c r="V10" s="22" t="n">
        <v>4.4</v>
      </c>
      <c r="W10" s="22" t="n">
        <v>3.6</v>
      </c>
      <c r="X10" s="22" t="n">
        <v>4.3</v>
      </c>
      <c r="Y10" s="22" t="n">
        <v>4.9</v>
      </c>
      <c r="Z10" s="22" t="n">
        <v>4.3</v>
      </c>
      <c r="AA10" s="45">
        <f>IF(MAESTRO!B10="","",IFERROR(TRUNC(AVERAGE(R10:Z10),1),""))</f>
        <v/>
      </c>
      <c r="AB10" s="177" t="n">
        <v>3.2</v>
      </c>
      <c r="AC10" s="42" t="n">
        <v>4.5</v>
      </c>
      <c r="AD10" s="5">
        <f>IF(MAESTRO!B10="","",IFERROR(AVERAGE(AB10:AC10),""))</f>
        <v/>
      </c>
      <c r="AE10" s="44">
        <f>IF(MAESTRO!B10="","",IFERROR(TRUNC(AVERAGE(P10,AA10,AD10),1),""))</f>
        <v/>
      </c>
      <c r="AF10" s="177" t="n"/>
      <c r="AG10" s="177" t="n">
        <v>6</v>
      </c>
      <c r="AH10" s="177" t="n">
        <v>6</v>
      </c>
      <c r="AI10" s="177">
        <f>IF(MAESTRO!B10="","",MAESTRO!B10)</f>
        <v/>
      </c>
      <c r="AJ10" s="178" t="n"/>
      <c r="AK10" s="61" t="n">
        <v>3.3</v>
      </c>
      <c r="AL10" s="61" t="n">
        <v>4.3</v>
      </c>
      <c r="AM10" s="61" t="n">
        <v>3.5</v>
      </c>
      <c r="AN10" s="61" t="n">
        <v>3.1</v>
      </c>
      <c r="AO10" s="61" t="n">
        <v>4.1</v>
      </c>
      <c r="AP10" s="61" t="n">
        <v>4.5</v>
      </c>
      <c r="AQ10" s="61" t="n">
        <v>3</v>
      </c>
      <c r="AR10" s="61" t="n">
        <v>3.7</v>
      </c>
      <c r="AS10" s="61" t="n">
        <v>4.4</v>
      </c>
      <c r="AT10" s="61" t="n">
        <v>3.3</v>
      </c>
      <c r="AU10" s="61" t="n">
        <v>4.2</v>
      </c>
      <c r="AV10" s="61" t="n">
        <v>4</v>
      </c>
      <c r="AW10" s="61" t="n">
        <v>4.3</v>
      </c>
      <c r="AX10" s="5">
        <f>IF(MAESTRO!B10="","",IFERROR(TRUNC(AVERAGE(AK10:AW10),1),""))</f>
        <v/>
      </c>
      <c r="AY10" s="22" t="n">
        <v>3.9</v>
      </c>
      <c r="AZ10" s="22" t="n">
        <v>4.2</v>
      </c>
      <c r="BA10" s="22" t="n">
        <v>3.6</v>
      </c>
      <c r="BB10" s="22" t="n">
        <v>3.5</v>
      </c>
      <c r="BC10" s="22" t="n">
        <v>4.4</v>
      </c>
      <c r="BD10" s="22" t="n">
        <v>3.3</v>
      </c>
      <c r="BE10" s="22" t="n">
        <v>4.1</v>
      </c>
      <c r="BF10" s="22" t="n">
        <v>3</v>
      </c>
      <c r="BG10" s="22" t="n">
        <v>3.6</v>
      </c>
      <c r="BH10" s="52" t="n">
        <v>3.7</v>
      </c>
      <c r="BI10" s="5">
        <f>IF(MAESTRO!B10="","",IFERROR(TRUNC(AVERAGE(AY10:BH10),1),""))</f>
        <v/>
      </c>
      <c r="BJ10" s="22" t="n">
        <v>4.6</v>
      </c>
      <c r="BK10" s="22" t="n">
        <v>4.2</v>
      </c>
      <c r="BL10" s="22">
        <f>IF(MAESTRO!B10="","",IFERROR(AVERAGE(BJ10:BK10),""))</f>
        <v/>
      </c>
      <c r="BM10" s="5">
        <f>IF(MAESTRO!B10="","",IFERROR(TRUNC(AVERAGE(AX10,BI10,BL10),1),""))</f>
        <v/>
      </c>
      <c r="BN10" s="177" t="n"/>
      <c r="BO10" s="177" t="n">
        <v>6</v>
      </c>
      <c r="BP10" s="177" t="n">
        <v>6</v>
      </c>
      <c r="BQ10" s="177">
        <f>IF(MAESTRO!B10="","",MAESTRO!B10)</f>
        <v/>
      </c>
      <c r="BR10" s="178" t="n"/>
      <c r="BS10" s="5" t="n">
        <v>3.3</v>
      </c>
      <c r="BT10" s="5" t="n">
        <v>4.8</v>
      </c>
      <c r="BU10" s="5" t="n">
        <v>3.6</v>
      </c>
      <c r="BV10" s="5" t="n">
        <v>3.8</v>
      </c>
      <c r="BW10" s="5" t="n">
        <v>4</v>
      </c>
      <c r="BX10" s="5" t="n">
        <v>4.3</v>
      </c>
      <c r="BY10" s="5" t="n">
        <v>3.4</v>
      </c>
      <c r="BZ10" s="5" t="n">
        <v>3.6</v>
      </c>
      <c r="CA10" s="5" t="n">
        <v>4.4</v>
      </c>
      <c r="CB10" s="5" t="n">
        <v>4.5</v>
      </c>
      <c r="CC10" s="5" t="n">
        <v>4.3</v>
      </c>
      <c r="CD10" s="5" t="n">
        <v>3.2</v>
      </c>
      <c r="CE10" s="5">
        <f>IF(MAESTRO!B10="","",IFERROR(TRUNC(AVERAGE(BS10:CD10),1),""))</f>
        <v/>
      </c>
      <c r="CF10" s="5" t="n">
        <v>3.7</v>
      </c>
      <c r="CG10" s="5" t="n">
        <v>4.3</v>
      </c>
      <c r="CH10" s="5" t="n">
        <v>4</v>
      </c>
      <c r="CI10" s="5" t="n">
        <v>4.4</v>
      </c>
      <c r="CJ10" s="5" t="n">
        <v>3.4</v>
      </c>
      <c r="CK10" s="5" t="n">
        <v>4.8</v>
      </c>
      <c r="CL10" s="5" t="n">
        <v>3.2</v>
      </c>
      <c r="CM10" s="5" t="n">
        <v>4.1</v>
      </c>
      <c r="CN10" s="5" t="n">
        <v>4.4</v>
      </c>
      <c r="CO10" s="5" t="n">
        <v>4.2</v>
      </c>
      <c r="CP10" s="5">
        <f>IF(MAESTRO!B10="","",IFERROR(TRUNC(AVERAGE(CF10:CO10),1),""))</f>
        <v/>
      </c>
      <c r="CQ10" s="5" t="n">
        <v>3</v>
      </c>
      <c r="CR10" s="5" t="n">
        <v>4</v>
      </c>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v>3.7</v>
      </c>
      <c r="D11" s="5" t="n">
        <v>3.3</v>
      </c>
      <c r="E11" s="5" t="n">
        <v>4.1</v>
      </c>
      <c r="F11" s="5" t="n">
        <v>4.3</v>
      </c>
      <c r="G11" s="5" t="n">
        <v>3.8</v>
      </c>
      <c r="H11" s="5" t="n">
        <v>4.5</v>
      </c>
      <c r="I11" s="5" t="n">
        <v>4.4</v>
      </c>
      <c r="J11" s="5" t="n">
        <v>4.2</v>
      </c>
      <c r="K11" s="5" t="n">
        <v>3.9</v>
      </c>
      <c r="L11" s="5" t="n">
        <v>4.5</v>
      </c>
      <c r="M11" s="5" t="n">
        <v>4.3</v>
      </c>
      <c r="N11" s="5" t="n">
        <v>3.2</v>
      </c>
      <c r="O11" s="5" t="n">
        <v>4.2</v>
      </c>
      <c r="P11" s="5">
        <f>IF(MAESTRO!B11="","",IFERROR(TRUNC(AVERAGE(C11:O11),1),""))</f>
        <v/>
      </c>
      <c r="Q11" s="95" t="n">
        <v>7</v>
      </c>
      <c r="R11" s="5" t="n">
        <v>4.8</v>
      </c>
      <c r="S11" s="22" t="n">
        <v>3.7</v>
      </c>
      <c r="T11" s="22" t="n">
        <v>3</v>
      </c>
      <c r="U11" s="22" t="n">
        <v>3.9</v>
      </c>
      <c r="V11" s="22" t="n">
        <v>4.3</v>
      </c>
      <c r="W11" s="22" t="n">
        <v>3.4</v>
      </c>
      <c r="X11" s="22" t="n">
        <v>4.8</v>
      </c>
      <c r="Y11" s="22" t="n">
        <v>4.8</v>
      </c>
      <c r="Z11" s="22" t="n">
        <v>4.8</v>
      </c>
      <c r="AA11" s="45">
        <f>IF(MAESTRO!B11="","",IFERROR(TRUNC(AVERAGE(R11:Z11),1),""))</f>
        <v/>
      </c>
      <c r="AB11" s="177" t="n">
        <v>4.5</v>
      </c>
      <c r="AC11" t="n">
        <v>4.8</v>
      </c>
      <c r="AD11" s="5">
        <f>IF(MAESTRO!B11="","",IFERROR(AVERAGE(AB11:AC11),""))</f>
        <v/>
      </c>
      <c r="AE11" s="44">
        <f>IF(MAESTRO!B11="","",IFERROR(TRUNC(AVERAGE(P11,AA11,AD11),1),""))</f>
        <v/>
      </c>
      <c r="AF11" s="177" t="n"/>
      <c r="AG11" s="177" t="n">
        <v>7</v>
      </c>
      <c r="AH11" s="177" t="n">
        <v>7</v>
      </c>
      <c r="AI11" s="177">
        <f>IF(MAESTRO!B11="","",MAESTRO!B11)</f>
        <v/>
      </c>
      <c r="AJ11" s="178" t="n"/>
      <c r="AK11" s="61" t="n">
        <v>4.8</v>
      </c>
      <c r="AL11" s="61" t="n">
        <v>3</v>
      </c>
      <c r="AM11" s="61" t="n">
        <v>3.1</v>
      </c>
      <c r="AN11" s="61" t="n">
        <v>4.1</v>
      </c>
      <c r="AO11" s="61" t="n">
        <v>4.1</v>
      </c>
      <c r="AP11" s="61" t="n">
        <v>3.9</v>
      </c>
      <c r="AQ11" s="61" t="n">
        <v>3.8</v>
      </c>
      <c r="AR11" s="61" t="n">
        <v>4.3</v>
      </c>
      <c r="AS11" s="61" t="n">
        <v>4.2</v>
      </c>
      <c r="AT11" s="61" t="n">
        <v>4.9</v>
      </c>
      <c r="AU11" s="61" t="n">
        <v>3.7</v>
      </c>
      <c r="AV11" s="61" t="n">
        <v>4.6</v>
      </c>
      <c r="AW11" s="61" t="n">
        <v>4.8</v>
      </c>
      <c r="AX11" s="5">
        <f>IF(MAESTRO!B11="","",IFERROR(TRUNC(AVERAGE(AK11:AW11),1),""))</f>
        <v/>
      </c>
      <c r="AY11" s="22" t="n">
        <v>4.8</v>
      </c>
      <c r="AZ11" s="22" t="n">
        <v>4.5</v>
      </c>
      <c r="BA11" s="22" t="n">
        <v>3.1</v>
      </c>
      <c r="BB11" s="22" t="n">
        <v>3.1</v>
      </c>
      <c r="BC11" s="22" t="n">
        <v>3.4</v>
      </c>
      <c r="BD11" s="22" t="n">
        <v>3.8</v>
      </c>
      <c r="BE11" s="22" t="n">
        <v>4.1</v>
      </c>
      <c r="BF11" s="22" t="n">
        <v>4.2</v>
      </c>
      <c r="BG11" s="22" t="n">
        <v>3.1</v>
      </c>
      <c r="BH11" s="52" t="n">
        <v>4.3</v>
      </c>
      <c r="BI11" s="5">
        <f>IF(MAESTRO!B11="","",IFERROR(TRUNC(AVERAGE(AY11:BH11),1),""))</f>
        <v/>
      </c>
      <c r="BJ11" s="22" t="n">
        <v>3.6</v>
      </c>
      <c r="BK11" s="22" t="n">
        <v>3.7</v>
      </c>
      <c r="BL11" s="22">
        <f>IF(MAESTRO!B11="","",IFERROR(AVERAGE(BJ11:BK11),""))</f>
        <v/>
      </c>
      <c r="BM11" s="5">
        <f>IF(MAESTRO!B11="","",IFERROR(TRUNC(AVERAGE(AX11,BI11,BL11),1),""))</f>
        <v/>
      </c>
      <c r="BN11" s="177" t="n"/>
      <c r="BO11" s="177" t="n">
        <v>7</v>
      </c>
      <c r="BP11" s="177" t="n">
        <v>7</v>
      </c>
      <c r="BQ11" s="177">
        <f>IF(MAESTRO!B11="","",MAESTRO!B11)</f>
        <v/>
      </c>
      <c r="BR11" s="178" t="n"/>
      <c r="BS11" s="5" t="n">
        <v>4.6</v>
      </c>
      <c r="BT11" s="5" t="n">
        <v>4</v>
      </c>
      <c r="BU11" s="5" t="n">
        <v>4.2</v>
      </c>
      <c r="BV11" s="5" t="n">
        <v>3.4</v>
      </c>
      <c r="BW11" s="5" t="n">
        <v>3.1</v>
      </c>
      <c r="BX11" s="5" t="n">
        <v>4.6</v>
      </c>
      <c r="BY11" s="5" t="n">
        <v>3.6</v>
      </c>
      <c r="BZ11" s="5" t="n">
        <v>3.5</v>
      </c>
      <c r="CA11" s="5" t="n">
        <v>3.6</v>
      </c>
      <c r="CB11" s="5" t="n">
        <v>4.7</v>
      </c>
      <c r="CC11" s="5" t="n">
        <v>4.3</v>
      </c>
      <c r="CD11" s="5" t="n">
        <v>4.5</v>
      </c>
      <c r="CE11" s="5">
        <f>IF(MAESTRO!B11="","",IFERROR(TRUNC(AVERAGE(BS11:CD11),1),""))</f>
        <v/>
      </c>
      <c r="CF11" s="5" t="n">
        <v>4.8</v>
      </c>
      <c r="CG11" s="5" t="n">
        <v>4.2</v>
      </c>
      <c r="CH11" s="5" t="n">
        <v>3.1</v>
      </c>
      <c r="CI11" s="5" t="n">
        <v>3.1</v>
      </c>
      <c r="CJ11" s="5" t="n">
        <v>4.4</v>
      </c>
      <c r="CK11" s="5" t="n">
        <v>4.2</v>
      </c>
      <c r="CL11" s="5" t="n">
        <v>3.2</v>
      </c>
      <c r="CM11" s="5" t="n">
        <v>4.8</v>
      </c>
      <c r="CN11" s="5" t="n">
        <v>4.2</v>
      </c>
      <c r="CO11" s="5" t="n">
        <v>4.3</v>
      </c>
      <c r="CP11" s="5">
        <f>IF(MAESTRO!B11="","",IFERROR(TRUNC(AVERAGE(CF11:CO11),1),""))</f>
        <v/>
      </c>
      <c r="CQ11" s="5" t="n">
        <v>4.7</v>
      </c>
      <c r="CR11" s="5" t="n">
        <v>4.2</v>
      </c>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v>3.4</v>
      </c>
      <c r="D12" s="5" t="n">
        <v>4.8</v>
      </c>
      <c r="E12" s="5" t="n">
        <v>4.7</v>
      </c>
      <c r="F12" s="5" t="n">
        <v>4.7</v>
      </c>
      <c r="G12" s="5" t="n">
        <v>3.4</v>
      </c>
      <c r="H12" s="5" t="n">
        <v>4.9</v>
      </c>
      <c r="I12" s="5" t="n">
        <v>3.2</v>
      </c>
      <c r="J12" s="5" t="n">
        <v>4.6</v>
      </c>
      <c r="K12" s="5" t="n">
        <v>3</v>
      </c>
      <c r="L12" s="5" t="n">
        <v>4</v>
      </c>
      <c r="M12" s="5" t="n">
        <v>4.1</v>
      </c>
      <c r="N12" s="5" t="n">
        <v>3.1</v>
      </c>
      <c r="O12" s="5" t="n">
        <v>3.5</v>
      </c>
      <c r="P12" s="5">
        <f>IF(MAESTRO!B12="","",IFERROR(TRUNC(AVERAGE(C12:O12),1),""))</f>
        <v/>
      </c>
      <c r="Q12" s="95" t="n">
        <v>8</v>
      </c>
      <c r="R12" s="5" t="n">
        <v>5</v>
      </c>
      <c r="S12" s="22" t="n">
        <v>3.4</v>
      </c>
      <c r="T12" s="22" t="n">
        <v>4.8</v>
      </c>
      <c r="U12" s="22" t="n">
        <v>4.5</v>
      </c>
      <c r="V12" s="22" t="n">
        <v>3.6</v>
      </c>
      <c r="W12" s="22" t="n">
        <v>4.1</v>
      </c>
      <c r="X12" s="22" t="n">
        <v>3.3</v>
      </c>
      <c r="Y12" s="22" t="n">
        <v>4.4</v>
      </c>
      <c r="Z12" s="22" t="n">
        <v>3.3</v>
      </c>
      <c r="AA12" s="45">
        <f>IF(MAESTRO!B12="","",IFERROR(TRUNC(AVERAGE(R12:Z12),1),""))</f>
        <v/>
      </c>
      <c r="AB12" s="177" t="n">
        <v>3.2</v>
      </c>
      <c r="AC12" s="42" t="n">
        <v>3.2</v>
      </c>
      <c r="AD12" s="5">
        <f>IF(MAESTRO!B12="","",IFERROR(AVERAGE(AB12:AC12),""))</f>
        <v/>
      </c>
      <c r="AE12" s="44">
        <f>IF(MAESTRO!B12="","",IFERROR(TRUNC(AVERAGE(P12,AA12,AD12),1),""))</f>
        <v/>
      </c>
      <c r="AF12" s="177" t="n"/>
      <c r="AG12" s="177" t="n">
        <v>8</v>
      </c>
      <c r="AH12" s="177" t="n">
        <v>8</v>
      </c>
      <c r="AI12" s="177">
        <f>IF(MAESTRO!B12="","",MAESTRO!B12)</f>
        <v/>
      </c>
      <c r="AJ12" s="178" t="n"/>
      <c r="AK12" s="61" t="n">
        <v>3.9</v>
      </c>
      <c r="AL12" s="61" t="n">
        <v>4.7</v>
      </c>
      <c r="AM12" s="61" t="n">
        <v>3.4</v>
      </c>
      <c r="AN12" s="61" t="n">
        <v>4.8</v>
      </c>
      <c r="AO12" s="61" t="n">
        <v>4.1</v>
      </c>
      <c r="AP12" s="61" t="n">
        <v>3.9</v>
      </c>
      <c r="AQ12" s="61" t="n">
        <v>4.4</v>
      </c>
      <c r="AR12" s="61" t="n">
        <v>4.6</v>
      </c>
      <c r="AS12" s="61" t="n">
        <v>3.5</v>
      </c>
      <c r="AT12" s="61" t="n">
        <v>4.8</v>
      </c>
      <c r="AU12" s="61" t="n">
        <v>3.7</v>
      </c>
      <c r="AV12" s="61" t="n">
        <v>4</v>
      </c>
      <c r="AW12" s="61" t="n">
        <v>4</v>
      </c>
      <c r="AX12" s="5">
        <f>IF(MAESTRO!B12="","",IFERROR(TRUNC(AVERAGE(AK12:AW12),1),""))</f>
        <v/>
      </c>
      <c r="AY12" s="22" t="n">
        <v>3.7</v>
      </c>
      <c r="AZ12" s="22" t="n">
        <v>4.5</v>
      </c>
      <c r="BA12" s="22" t="n">
        <v>3.3</v>
      </c>
      <c r="BB12" s="22" t="n">
        <v>4.2</v>
      </c>
      <c r="BC12" s="22" t="n">
        <v>4.4</v>
      </c>
      <c r="BD12" s="22" t="n">
        <v>3.9</v>
      </c>
      <c r="BE12" s="22" t="n">
        <v>3.4</v>
      </c>
      <c r="BF12" s="22" t="n">
        <v>3.8</v>
      </c>
      <c r="BG12" s="22" t="n">
        <v>3.7</v>
      </c>
      <c r="BH12" s="52" t="n">
        <v>3.4</v>
      </c>
      <c r="BI12" s="5">
        <f>IF(MAESTRO!B12="","",IFERROR(TRUNC(AVERAGE(AY12:BH12),1),""))</f>
        <v/>
      </c>
      <c r="BJ12" s="22" t="n">
        <v>3.9</v>
      </c>
      <c r="BK12" s="22" t="n">
        <v>3.6</v>
      </c>
      <c r="BL12" s="22">
        <f>IF(MAESTRO!B12="","",IFERROR(AVERAGE(BJ12:BK12),""))</f>
        <v/>
      </c>
      <c r="BM12" s="5">
        <f>IF(MAESTRO!B12="","",IFERROR(TRUNC(AVERAGE(AX12,BI12,BL12),1),""))</f>
        <v/>
      </c>
      <c r="BN12" s="177" t="n"/>
      <c r="BO12" s="177" t="n">
        <v>8</v>
      </c>
      <c r="BP12" s="177" t="n">
        <v>8</v>
      </c>
      <c r="BQ12" s="177">
        <f>IF(MAESTRO!B12="","",MAESTRO!B12)</f>
        <v/>
      </c>
      <c r="BR12" s="178" t="n"/>
      <c r="BS12" s="5" t="n">
        <v>3.1</v>
      </c>
      <c r="BT12" s="5" t="n">
        <v>4.5</v>
      </c>
      <c r="BU12" s="5" t="n">
        <v>4.2</v>
      </c>
      <c r="BV12" s="5" t="n">
        <v>3.4</v>
      </c>
      <c r="BW12" s="5" t="n">
        <v>3.5</v>
      </c>
      <c r="BX12" s="5" t="n">
        <v>4.2</v>
      </c>
      <c r="BY12" s="5" t="n">
        <v>4.1</v>
      </c>
      <c r="BZ12" s="5" t="n">
        <v>3.5</v>
      </c>
      <c r="CA12" s="5" t="n">
        <v>3.6</v>
      </c>
      <c r="CB12" s="5" t="n">
        <v>4.9</v>
      </c>
      <c r="CC12" s="5" t="n">
        <v>4.5</v>
      </c>
      <c r="CD12" s="5" t="n">
        <v>3.7</v>
      </c>
      <c r="CE12" s="5">
        <f>IF(MAESTRO!B12="","",IFERROR(TRUNC(AVERAGE(BS12:CD12),1),""))</f>
        <v/>
      </c>
      <c r="CF12" s="5" t="n">
        <v>5</v>
      </c>
      <c r="CG12" s="5" t="n">
        <v>3.3</v>
      </c>
      <c r="CH12" s="5" t="n">
        <v>4.5</v>
      </c>
      <c r="CI12" s="5" t="n">
        <v>3.8</v>
      </c>
      <c r="CJ12" s="5" t="n">
        <v>3.9</v>
      </c>
      <c r="CK12" s="5" t="n">
        <v>4.3</v>
      </c>
      <c r="CL12" s="5" t="n">
        <v>3.1</v>
      </c>
      <c r="CM12" s="5" t="n">
        <v>3.8</v>
      </c>
      <c r="CN12" s="5" t="n">
        <v>3.7</v>
      </c>
      <c r="CO12" s="5" t="n">
        <v>3.3</v>
      </c>
      <c r="CP12" s="5">
        <f>IF(MAESTRO!B12="","",IFERROR(TRUNC(AVERAGE(CF12:CO12),1),""))</f>
        <v/>
      </c>
      <c r="CQ12" s="5" t="n">
        <v>4.3</v>
      </c>
      <c r="CR12" s="5" t="n">
        <v>3.2</v>
      </c>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v>3.3</v>
      </c>
      <c r="D13" s="5" t="n">
        <v>4.5</v>
      </c>
      <c r="E13" s="5" t="n">
        <v>3.2</v>
      </c>
      <c r="F13" s="5" t="n">
        <v>3.1</v>
      </c>
      <c r="G13" s="5" t="n">
        <v>4.8</v>
      </c>
      <c r="H13" s="5" t="n">
        <v>3.2</v>
      </c>
      <c r="I13" s="5" t="n">
        <v>4.1</v>
      </c>
      <c r="J13" s="5" t="n">
        <v>4.8</v>
      </c>
      <c r="K13" s="5" t="n">
        <v>3.8</v>
      </c>
      <c r="L13" s="5" t="n">
        <v>4.5</v>
      </c>
      <c r="M13" s="5" t="n">
        <v>3.3</v>
      </c>
      <c r="N13" s="5" t="n">
        <v>4.6</v>
      </c>
      <c r="O13" s="5" t="n">
        <v>4.4</v>
      </c>
      <c r="P13" s="5">
        <f>IF(MAESTRO!B13="","",IFERROR(TRUNC(AVERAGE(C13:O13),1),""))</f>
        <v/>
      </c>
      <c r="Q13" s="95" t="n">
        <v>9</v>
      </c>
      <c r="R13" s="5" t="n">
        <v>3.5</v>
      </c>
      <c r="S13" s="5" t="n">
        <v>3.4</v>
      </c>
      <c r="T13" s="5" t="n">
        <v>4.2</v>
      </c>
      <c r="U13" s="5" t="n">
        <v>4.5</v>
      </c>
      <c r="V13" s="5" t="n">
        <v>3.7</v>
      </c>
      <c r="W13" s="5" t="n">
        <v>3.7</v>
      </c>
      <c r="X13" s="5" t="n">
        <v>3.3</v>
      </c>
      <c r="Y13" s="5" t="n">
        <v>4.4</v>
      </c>
      <c r="Z13" s="5" t="n">
        <v>4.1</v>
      </c>
      <c r="AA13" s="45">
        <f>IF(MAESTRO!B13="","",IFERROR(TRUNC(AVERAGE(R13:Z13),1),""))</f>
        <v/>
      </c>
      <c r="AB13" s="5" t="n">
        <v>4.1</v>
      </c>
      <c r="AC13" s="5" t="n">
        <v>4.6</v>
      </c>
      <c r="AD13" s="5">
        <f>IF(MAESTRO!B13="","",IFERROR(AVERAGE(AB13:AC13),""))</f>
        <v/>
      </c>
      <c r="AE13" s="44">
        <f>IF(MAESTRO!B13="","",IFERROR(TRUNC(AVERAGE(P13,AA13,AD13),1),""))</f>
        <v/>
      </c>
      <c r="AF13" s="177" t="n"/>
      <c r="AG13" s="177" t="n">
        <v>9</v>
      </c>
      <c r="AH13" s="177" t="n">
        <v>9</v>
      </c>
      <c r="AI13" s="177">
        <f>IF(MAESTRO!B13="","",MAESTRO!B13)</f>
        <v/>
      </c>
      <c r="AJ13" s="178" t="n"/>
      <c r="AK13" s="42" t="n">
        <v>3.7</v>
      </c>
      <c r="AL13" s="42" t="n">
        <v>4.8</v>
      </c>
      <c r="AM13" s="42" t="n">
        <v>4.1</v>
      </c>
      <c r="AN13" s="42" t="n">
        <v>3.8</v>
      </c>
      <c r="AO13" s="42" t="n">
        <v>4.4</v>
      </c>
      <c r="AP13" s="61" t="n">
        <v>3.3</v>
      </c>
      <c r="AQ13" s="42" t="n">
        <v>4.2</v>
      </c>
      <c r="AR13" s="61" t="n">
        <v>3.7</v>
      </c>
      <c r="AS13" s="61" t="n">
        <v>3.2</v>
      </c>
      <c r="AT13" s="61" t="n">
        <v>3.7</v>
      </c>
      <c r="AU13" s="61" t="n">
        <v>4.3</v>
      </c>
      <c r="AV13" s="61" t="n">
        <v>4.4</v>
      </c>
      <c r="AW13" s="61" t="n">
        <v>3.5</v>
      </c>
      <c r="AX13" s="5">
        <f>IF(MAESTRO!B13="","",IFERROR(TRUNC(AVERAGE(AK13:AW13),1),""))</f>
        <v/>
      </c>
      <c r="AY13" s="63" t="n">
        <v>4.8</v>
      </c>
      <c r="AZ13" s="22" t="n">
        <v>3.6</v>
      </c>
      <c r="BA13" s="63" t="n">
        <v>4.4</v>
      </c>
      <c r="BB13" s="63" t="n">
        <v>4.2</v>
      </c>
      <c r="BC13" s="22" t="n">
        <v>4.5</v>
      </c>
      <c r="BD13" s="63" t="n">
        <v>5</v>
      </c>
      <c r="BE13" s="63" t="n">
        <v>4.6</v>
      </c>
      <c r="BF13" s="63" t="n">
        <v>3.8</v>
      </c>
      <c r="BG13" s="63" t="n">
        <v>3.6</v>
      </c>
      <c r="BH13" s="52" t="n">
        <v>3.6</v>
      </c>
      <c r="BI13" s="5">
        <f>IF(MAESTRO!B13="","",IFERROR(TRUNC(AVERAGE(AY13:BH13),1),""))</f>
        <v/>
      </c>
      <c r="BJ13" s="22" t="n">
        <v>4.9</v>
      </c>
      <c r="BK13" s="22" t="n">
        <v>4.9</v>
      </c>
      <c r="BL13" s="22">
        <f>IF(MAESTRO!B13="","",IFERROR(AVERAGE(BJ13:BK13),""))</f>
        <v/>
      </c>
      <c r="BM13" s="5">
        <f>IF(MAESTRO!B13="","",IFERROR(TRUNC(AVERAGE(AX13,BI13,BL13),1),""))</f>
        <v/>
      </c>
      <c r="BN13" s="177" t="n"/>
      <c r="BO13" s="177" t="n">
        <v>9</v>
      </c>
      <c r="BP13" s="177" t="n">
        <v>9</v>
      </c>
      <c r="BQ13" s="177">
        <f>IF(MAESTRO!B13="","",MAESTRO!B13)</f>
        <v/>
      </c>
      <c r="BR13" s="178" t="n"/>
      <c r="BS13" s="5" t="n">
        <v>3.1</v>
      </c>
      <c r="BT13" s="5" t="n">
        <v>4.3</v>
      </c>
      <c r="BU13" s="5" t="n">
        <v>4.3</v>
      </c>
      <c r="BV13" s="5" t="n">
        <v>4.7</v>
      </c>
      <c r="BW13" s="5" t="n">
        <v>3.2</v>
      </c>
      <c r="BX13" s="5" t="n">
        <v>3.5</v>
      </c>
      <c r="BY13" s="5" t="n">
        <v>4.5</v>
      </c>
      <c r="BZ13" s="5" t="n">
        <v>4.8</v>
      </c>
      <c r="CA13" s="5" t="n">
        <v>4.9</v>
      </c>
      <c r="CB13" s="5" t="n">
        <v>3.8</v>
      </c>
      <c r="CC13" s="5" t="n">
        <v>4.2</v>
      </c>
      <c r="CD13" s="5" t="n">
        <v>4.5</v>
      </c>
      <c r="CE13" s="5">
        <f>IF(MAESTRO!B13="","",IFERROR(TRUNC(AVERAGE(BS13:CD13),1),""))</f>
        <v/>
      </c>
      <c r="CF13" s="5" t="n">
        <v>4.3</v>
      </c>
      <c r="CG13" s="5" t="n">
        <v>3.1</v>
      </c>
      <c r="CH13" s="5" t="n">
        <v>4.1</v>
      </c>
      <c r="CI13" s="5" t="n">
        <v>5</v>
      </c>
      <c r="CJ13" s="5" t="n">
        <v>3.7</v>
      </c>
      <c r="CK13" s="5" t="n">
        <v>3.9</v>
      </c>
      <c r="CL13" s="5" t="n">
        <v>3.3</v>
      </c>
      <c r="CM13" s="5" t="n">
        <v>3.6</v>
      </c>
      <c r="CN13" s="5" t="n">
        <v>4.9</v>
      </c>
      <c r="CO13" s="5" t="n">
        <v>3.3</v>
      </c>
      <c r="CP13" s="5">
        <f>IF(MAESTRO!B13="","",IFERROR(TRUNC(AVERAGE(CF13:CO13),1),""))</f>
        <v/>
      </c>
      <c r="CQ13" s="5" t="n">
        <v>4</v>
      </c>
      <c r="CR13" s="5" t="n">
        <v>3</v>
      </c>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v>4.7</v>
      </c>
      <c r="D14" s="5" t="n">
        <v>3.1</v>
      </c>
      <c r="E14" s="5" t="n">
        <v>3.4</v>
      </c>
      <c r="F14" s="5" t="n">
        <v>3.6</v>
      </c>
      <c r="G14" s="5" t="n">
        <v>3.6</v>
      </c>
      <c r="H14" s="5" t="n">
        <v>4.4</v>
      </c>
      <c r="I14" s="5" t="n">
        <v>3.4</v>
      </c>
      <c r="J14" s="5" t="n">
        <v>3.4</v>
      </c>
      <c r="K14" s="5" t="n">
        <v>3.9</v>
      </c>
      <c r="L14" s="5" t="n">
        <v>4.4</v>
      </c>
      <c r="M14" s="5" t="n">
        <v>4.4</v>
      </c>
      <c r="N14" s="5" t="n">
        <v>4.4</v>
      </c>
      <c r="O14" s="5" t="n">
        <v>4.7</v>
      </c>
      <c r="P14" s="5">
        <f>IF(MAESTRO!B14="","",IFERROR(TRUNC(AVERAGE(C14:O14),1),""))</f>
        <v/>
      </c>
      <c r="Q14" s="95" t="n">
        <v>10</v>
      </c>
      <c r="R14" s="5" t="n">
        <v>4.1</v>
      </c>
      <c r="S14" s="22" t="n">
        <v>3.8</v>
      </c>
      <c r="T14" s="22" t="n">
        <v>4.9</v>
      </c>
      <c r="U14" s="22" t="n">
        <v>4.2</v>
      </c>
      <c r="V14" s="22" t="n">
        <v>3.2</v>
      </c>
      <c r="W14" s="22" t="n">
        <v>3.5</v>
      </c>
      <c r="X14" s="22" t="n">
        <v>3.3</v>
      </c>
      <c r="Y14" s="22" t="n">
        <v>4.9</v>
      </c>
      <c r="Z14" s="22" t="n">
        <v>3.7</v>
      </c>
      <c r="AA14" s="45">
        <f>IF(MAESTRO!B14="","",IFERROR(TRUNC(AVERAGE(R14:Z14),1),""))</f>
        <v/>
      </c>
      <c r="AB14" s="177" t="n">
        <v>4.5</v>
      </c>
      <c r="AC14" s="42" t="n">
        <v>5</v>
      </c>
      <c r="AD14" s="5">
        <f>IF(MAESTRO!B14="","",IFERROR(AVERAGE(AB14:AC14),""))</f>
        <v/>
      </c>
      <c r="AE14" s="44">
        <f>IF(MAESTRO!B14="","",IFERROR(TRUNC(AVERAGE(P14,AA14,AD14),1),""))</f>
        <v/>
      </c>
      <c r="AF14" s="177" t="n"/>
      <c r="AG14" s="177" t="n">
        <v>10</v>
      </c>
      <c r="AH14" s="177" t="n">
        <v>10</v>
      </c>
      <c r="AI14" s="177">
        <f>IF(MAESTRO!B14="","",MAESTRO!B14)</f>
        <v/>
      </c>
      <c r="AJ14" s="178" t="n"/>
      <c r="AK14" s="61" t="n">
        <v>3.1</v>
      </c>
      <c r="AL14" s="61" t="n">
        <v>3.3</v>
      </c>
      <c r="AM14" s="61" t="n">
        <v>4.1</v>
      </c>
      <c r="AN14" s="61" t="n">
        <v>4.1</v>
      </c>
      <c r="AO14" s="61" t="n">
        <v>4.8</v>
      </c>
      <c r="AP14" s="61" t="n">
        <v>4.2</v>
      </c>
      <c r="AQ14" s="61" t="n">
        <v>3.7</v>
      </c>
      <c r="AR14" s="61" t="n">
        <v>3.2</v>
      </c>
      <c r="AS14" s="61" t="n">
        <v>3.1</v>
      </c>
      <c r="AT14" s="61" t="n">
        <v>3.9</v>
      </c>
      <c r="AU14" s="61" t="n">
        <v>3.9</v>
      </c>
      <c r="AV14" s="61" t="n">
        <v>4.1</v>
      </c>
      <c r="AW14" s="20" t="n">
        <v>3.2</v>
      </c>
      <c r="AX14" s="5">
        <f>IF(MAESTRO!B14="","",IFERROR(TRUNC(AVERAGE(AK14:AW14),1),""))</f>
        <v/>
      </c>
      <c r="AY14" s="22" t="n">
        <v>3.8</v>
      </c>
      <c r="AZ14" s="22" t="n">
        <v>3.7</v>
      </c>
      <c r="BA14" s="22" t="n">
        <v>3.8</v>
      </c>
      <c r="BB14" s="22" t="n">
        <v>4.1</v>
      </c>
      <c r="BC14" s="22" t="n">
        <v>5</v>
      </c>
      <c r="BD14" s="22" t="n">
        <v>3.7</v>
      </c>
      <c r="BE14" s="22" t="n">
        <v>3.7</v>
      </c>
      <c r="BF14" s="22" t="n">
        <v>3.3</v>
      </c>
      <c r="BG14" s="22" t="n">
        <v>4.6</v>
      </c>
      <c r="BH14" s="52" t="n">
        <v>4.6</v>
      </c>
      <c r="BI14" s="5">
        <f>IF(MAESTRO!B14="","",IFERROR(TRUNC(AVERAGE(AY14:BH14),1),""))</f>
        <v/>
      </c>
      <c r="BJ14" s="22" t="n">
        <v>4</v>
      </c>
      <c r="BK14" s="22" t="n">
        <v>4.8</v>
      </c>
      <c r="BL14" s="22">
        <f>IF(MAESTRO!B14="","",IFERROR(AVERAGE(BJ14:BK14),""))</f>
        <v/>
      </c>
      <c r="BM14" s="5">
        <f>IF(MAESTRO!B14="","",IFERROR(TRUNC(AVERAGE(AX14,BI14,BL14),1),""))</f>
        <v/>
      </c>
      <c r="BN14" s="177" t="n"/>
      <c r="BO14" s="177" t="n">
        <v>10</v>
      </c>
      <c r="BP14" s="177" t="n">
        <v>10</v>
      </c>
      <c r="BQ14" s="177">
        <f>IF(MAESTRO!B14="","",MAESTRO!B14)</f>
        <v/>
      </c>
      <c r="BR14" s="178" t="n"/>
      <c r="BS14" s="5" t="n">
        <v>3.1</v>
      </c>
      <c r="BT14" s="5" t="n">
        <v>3.9</v>
      </c>
      <c r="BU14" s="5" t="n">
        <v>4.4</v>
      </c>
      <c r="BV14" s="5" t="n">
        <v>3.3</v>
      </c>
      <c r="BW14" s="5" t="n">
        <v>3.6</v>
      </c>
      <c r="BX14" s="5" t="n">
        <v>3.5</v>
      </c>
      <c r="BY14" s="5" t="n">
        <v>4.5</v>
      </c>
      <c r="BZ14" s="5" t="n">
        <v>3.2</v>
      </c>
      <c r="CA14" s="5" t="n">
        <v>3.9</v>
      </c>
      <c r="CB14" s="5" t="n">
        <v>3.7</v>
      </c>
      <c r="CC14" s="5" t="n">
        <v>4.4</v>
      </c>
      <c r="CD14" s="5" t="n">
        <v>3.5</v>
      </c>
      <c r="CE14" s="5">
        <f>IF(MAESTRO!B14="","",IFERROR(TRUNC(AVERAGE(BS14:CD14),1),""))</f>
        <v/>
      </c>
      <c r="CF14" s="5" t="n">
        <v>4.8</v>
      </c>
      <c r="CG14" s="5" t="n">
        <v>4.7</v>
      </c>
      <c r="CH14" s="5" t="n">
        <v>4.4</v>
      </c>
      <c r="CI14" s="5" t="n">
        <v>4.7</v>
      </c>
      <c r="CJ14" s="5" t="n">
        <v>4.3</v>
      </c>
      <c r="CK14" s="5" t="n">
        <v>3.6</v>
      </c>
      <c r="CL14" s="5" t="n">
        <v>5</v>
      </c>
      <c r="CM14" s="5" t="n">
        <v>3.2</v>
      </c>
      <c r="CN14" s="5" t="n">
        <v>3.5</v>
      </c>
      <c r="CO14" s="5" t="n">
        <v>3.8</v>
      </c>
      <c r="CP14" s="5">
        <f>IF(MAESTRO!B14="","",IFERROR(TRUNC(AVERAGE(CF14:CO14),1),""))</f>
        <v/>
      </c>
      <c r="CQ14" s="5" t="n">
        <v>3.3</v>
      </c>
      <c r="CR14" s="5" t="n">
        <v>4.3</v>
      </c>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v>3.1</v>
      </c>
      <c r="D15" s="5" t="n">
        <v>4.6</v>
      </c>
      <c r="E15" s="5" t="n">
        <v>4.1</v>
      </c>
      <c r="F15" s="5" t="n">
        <v>4.2</v>
      </c>
      <c r="G15" s="5" t="n">
        <v>3.9</v>
      </c>
      <c r="H15" s="5" t="n">
        <v>3.8</v>
      </c>
      <c r="I15" s="5" t="n">
        <v>4.5</v>
      </c>
      <c r="J15" s="5" t="n">
        <v>4</v>
      </c>
      <c r="K15" s="5" t="n">
        <v>4.5</v>
      </c>
      <c r="L15" s="5" t="n">
        <v>3.6</v>
      </c>
      <c r="M15" s="5" t="n">
        <v>5</v>
      </c>
      <c r="N15" s="5" t="n">
        <v>4.3</v>
      </c>
      <c r="O15" s="5" t="n">
        <v>3.3</v>
      </c>
      <c r="P15" s="5">
        <f>IF(MAESTRO!B15="","",IFERROR(TRUNC(AVERAGE(C15:O15),1),""))</f>
        <v/>
      </c>
      <c r="Q15" s="95" t="n">
        <v>11</v>
      </c>
      <c r="R15" s="5" t="n">
        <v>4.2</v>
      </c>
      <c r="S15" s="22" t="n">
        <v>3.9</v>
      </c>
      <c r="T15" s="22" t="n">
        <v>3.8</v>
      </c>
      <c r="U15" s="22" t="n">
        <v>3.6</v>
      </c>
      <c r="V15" s="22" t="n">
        <v>4.3</v>
      </c>
      <c r="W15" s="22" t="n">
        <v>3.6</v>
      </c>
      <c r="X15" s="22" t="n">
        <v>4.2</v>
      </c>
      <c r="Y15" s="22" t="n">
        <v>3.9</v>
      </c>
      <c r="Z15" s="22" t="n">
        <v>3.1</v>
      </c>
      <c r="AA15" s="45">
        <f>IF(MAESTRO!B15="","",IFERROR(TRUNC(AVERAGE(R15:Z15),1),""))</f>
        <v/>
      </c>
      <c r="AB15" s="177" t="n">
        <v>4.3</v>
      </c>
      <c r="AC15" s="42" t="n">
        <v>4.7</v>
      </c>
      <c r="AD15" s="5">
        <f>IF(MAESTRO!B15="","",IFERROR(AVERAGE(AB15:AC15),""))</f>
        <v/>
      </c>
      <c r="AE15" s="44">
        <f>IF(MAESTRO!B15="","",IFERROR(TRUNC(AVERAGE(P15,AA15,AD15),1),""))</f>
        <v/>
      </c>
      <c r="AF15" s="177" t="n"/>
      <c r="AG15" s="177" t="n">
        <v>11</v>
      </c>
      <c r="AH15" s="177" t="n">
        <v>11</v>
      </c>
      <c r="AI15" s="177">
        <f>IF(MAESTRO!B15="","",MAESTRO!B15)</f>
        <v/>
      </c>
      <c r="AJ15" s="178" t="n"/>
      <c r="AK15" s="61" t="n">
        <v>4</v>
      </c>
      <c r="AL15" s="61" t="n">
        <v>3.8</v>
      </c>
      <c r="AM15" s="61" t="n">
        <v>4.5</v>
      </c>
      <c r="AN15" s="61" t="n">
        <v>3.1</v>
      </c>
      <c r="AO15" s="61" t="n">
        <v>4.6</v>
      </c>
      <c r="AP15" s="61" t="n">
        <v>4.1</v>
      </c>
      <c r="AQ15" s="61" t="n">
        <v>4.1</v>
      </c>
      <c r="AR15" s="61" t="n">
        <v>4.9</v>
      </c>
      <c r="AS15" s="61" t="n">
        <v>4.8</v>
      </c>
      <c r="AT15" s="61" t="n">
        <v>3.6</v>
      </c>
      <c r="AU15" s="61" t="n">
        <v>5</v>
      </c>
      <c r="AV15" s="61" t="n">
        <v>4.1</v>
      </c>
      <c r="AW15" s="20" t="n">
        <v>4.9</v>
      </c>
      <c r="AX15" s="5">
        <f>IF(MAESTRO!B15="","",IFERROR(TRUNC(AVERAGE(AK15:AW15),1),""))</f>
        <v/>
      </c>
      <c r="AY15" s="22" t="n">
        <v>3.3</v>
      </c>
      <c r="AZ15" s="22" t="n">
        <v>4.2</v>
      </c>
      <c r="BA15" s="22" t="n">
        <v>4.7</v>
      </c>
      <c r="BB15" s="22" t="n">
        <v>3.5</v>
      </c>
      <c r="BC15" s="22" t="n">
        <v>3.1</v>
      </c>
      <c r="BD15" s="22" t="n">
        <v>3.3</v>
      </c>
      <c r="BE15" s="22" t="n">
        <v>4.2</v>
      </c>
      <c r="BF15" s="22" t="n">
        <v>4.9</v>
      </c>
      <c r="BG15" s="22" t="n">
        <v>3.9</v>
      </c>
      <c r="BH15" s="52" t="n">
        <v>4.6</v>
      </c>
      <c r="BI15" s="5">
        <f>IF(MAESTRO!B15="","",IFERROR(TRUNC(AVERAGE(AY15:BH15),1),""))</f>
        <v/>
      </c>
      <c r="BJ15" s="22" t="n">
        <v>3.3</v>
      </c>
      <c r="BK15" s="22" t="n">
        <v>3.2</v>
      </c>
      <c r="BL15" s="22">
        <f>IF(MAESTRO!B15="","",IFERROR(AVERAGE(BJ15:BK15),""))</f>
        <v/>
      </c>
      <c r="BM15" s="5">
        <f>IF(MAESTRO!B15="","",IFERROR(TRUNC(AVERAGE(AX15,BI15,BL15),1),""))</f>
        <v/>
      </c>
      <c r="BN15" s="177" t="n"/>
      <c r="BO15" s="177" t="n">
        <v>11</v>
      </c>
      <c r="BP15" s="177" t="n">
        <v>11</v>
      </c>
      <c r="BQ15" s="177">
        <f>IF(MAESTRO!B15="","",MAESTRO!B15)</f>
        <v/>
      </c>
      <c r="BR15" s="178" t="n"/>
      <c r="BS15" s="5" t="n">
        <v>3.8</v>
      </c>
      <c r="BT15" s="5" t="n">
        <v>4.7</v>
      </c>
      <c r="BU15" s="5" t="n">
        <v>4.8</v>
      </c>
      <c r="BV15" s="5" t="n">
        <v>4.6</v>
      </c>
      <c r="BW15" s="5" t="n">
        <v>4.1</v>
      </c>
      <c r="BX15" s="5" t="n">
        <v>3.3</v>
      </c>
      <c r="BY15" s="5" t="n">
        <v>4.2</v>
      </c>
      <c r="BZ15" s="5" t="n">
        <v>3.4</v>
      </c>
      <c r="CA15" s="5" t="n">
        <v>4.6</v>
      </c>
      <c r="CB15" s="5" t="n">
        <v>3.2</v>
      </c>
      <c r="CC15" s="5" t="n">
        <v>4.2</v>
      </c>
      <c r="CD15" s="5" t="n">
        <v>3.5</v>
      </c>
      <c r="CE15" s="5">
        <f>IF(MAESTRO!B15="","",IFERROR(TRUNC(AVERAGE(BS15:CD15),1),""))</f>
        <v/>
      </c>
      <c r="CF15" s="5" t="n">
        <v>4.2</v>
      </c>
      <c r="CG15" s="5" t="n">
        <v>4.4</v>
      </c>
      <c r="CH15" s="5" t="n">
        <v>3.1</v>
      </c>
      <c r="CI15" s="5" t="n">
        <v>4.5</v>
      </c>
      <c r="CJ15" s="5" t="n">
        <v>4.2</v>
      </c>
      <c r="CK15" s="5" t="n">
        <v>4.1</v>
      </c>
      <c r="CL15" s="5" t="n">
        <v>4</v>
      </c>
      <c r="CM15" s="5" t="n">
        <v>4.8</v>
      </c>
      <c r="CN15" s="5" t="n">
        <v>4.3</v>
      </c>
      <c r="CO15" s="5" t="n">
        <v>4.5</v>
      </c>
      <c r="CP15" s="5">
        <f>IF(MAESTRO!B15="","",IFERROR(TRUNC(AVERAGE(CF15:CO15),1),""))</f>
        <v/>
      </c>
      <c r="CQ15" s="5" t="n">
        <v>3.5</v>
      </c>
      <c r="CR15" s="5" t="n">
        <v>3.6</v>
      </c>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v>4.3</v>
      </c>
      <c r="D16" s="5" t="n">
        <v>3.1</v>
      </c>
      <c r="E16" s="5" t="n">
        <v>3.9</v>
      </c>
      <c r="F16" s="5" t="n">
        <v>3.4</v>
      </c>
      <c r="G16" s="5" t="n">
        <v>3.8</v>
      </c>
      <c r="H16" s="5" t="n">
        <v>3.6</v>
      </c>
      <c r="I16" s="5" t="n">
        <v>4.4</v>
      </c>
      <c r="J16" s="5" t="n">
        <v>3.8</v>
      </c>
      <c r="K16" s="5" t="n">
        <v>4</v>
      </c>
      <c r="L16" s="5" t="n">
        <v>4.1</v>
      </c>
      <c r="M16" s="5" t="n">
        <v>3.5</v>
      </c>
      <c r="N16" s="5" t="n">
        <v>4.2</v>
      </c>
      <c r="O16" s="5" t="n">
        <v>4.5</v>
      </c>
      <c r="P16" s="5">
        <f>IF(MAESTRO!B16="","",IFERROR(TRUNC(AVERAGE(C16:O16),1),""))</f>
        <v/>
      </c>
      <c r="Q16" s="95" t="n">
        <v>12</v>
      </c>
      <c r="R16" s="5" t="n">
        <v>4.1</v>
      </c>
      <c r="S16" s="22" t="n">
        <v>3.5</v>
      </c>
      <c r="T16" s="22" t="n">
        <v>5</v>
      </c>
      <c r="U16" s="22" t="n">
        <v>4.5</v>
      </c>
      <c r="V16" s="22" t="n">
        <v>4.2</v>
      </c>
      <c r="W16" s="22" t="n">
        <v>4.7</v>
      </c>
      <c r="X16" s="22" t="n">
        <v>4.3</v>
      </c>
      <c r="Y16" s="22" t="n">
        <v>4.6</v>
      </c>
      <c r="Z16" s="22" t="n">
        <v>4.6</v>
      </c>
      <c r="AA16" s="45">
        <f>IF(MAESTRO!B16="","",IFERROR(TRUNC(AVERAGE(R16:Z16),1),""))</f>
        <v/>
      </c>
      <c r="AB16" s="177" t="n">
        <v>4.5</v>
      </c>
      <c r="AC16" s="42" t="n">
        <v>4.5</v>
      </c>
      <c r="AD16" s="5">
        <f>IF(MAESTRO!B16="","",IFERROR(AVERAGE(AB16:AC16),""))</f>
        <v/>
      </c>
      <c r="AE16" s="44">
        <f>IF(MAESTRO!B16="","",IFERROR(TRUNC(AVERAGE(P16,AA16,AD16),1),""))</f>
        <v/>
      </c>
      <c r="AF16" s="177" t="n"/>
      <c r="AG16" s="177" t="n">
        <v>12</v>
      </c>
      <c r="AH16" s="177" t="n">
        <v>12</v>
      </c>
      <c r="AI16" s="177">
        <f>IF(MAESTRO!B16="","",MAESTRO!B16)</f>
        <v/>
      </c>
      <c r="AJ16" s="178" t="n"/>
      <c r="AK16" s="61" t="n">
        <v>4.8</v>
      </c>
      <c r="AL16" s="61" t="n">
        <v>4</v>
      </c>
      <c r="AM16" s="61" t="n">
        <v>3.9</v>
      </c>
      <c r="AN16" s="61" t="n">
        <v>4.7</v>
      </c>
      <c r="AO16" s="61" t="n">
        <v>4.4</v>
      </c>
      <c r="AP16" s="61" t="n">
        <v>3.6</v>
      </c>
      <c r="AQ16" s="61" t="n">
        <v>4.2</v>
      </c>
      <c r="AR16" s="61" t="n">
        <v>3.8</v>
      </c>
      <c r="AS16" s="61" t="n">
        <v>4.3</v>
      </c>
      <c r="AT16" s="61" t="n">
        <v>3</v>
      </c>
      <c r="AU16" s="61" t="n">
        <v>5</v>
      </c>
      <c r="AV16" s="61" t="n">
        <v>4.8</v>
      </c>
      <c r="AW16" s="20" t="n">
        <v>3</v>
      </c>
      <c r="AX16" s="5">
        <f>IF(MAESTRO!B16="","",IFERROR(TRUNC(AVERAGE(AK16:AW16),1),""))</f>
        <v/>
      </c>
      <c r="AY16" s="22" t="n">
        <v>4.2</v>
      </c>
      <c r="AZ16" s="22" t="n">
        <v>3.6</v>
      </c>
      <c r="BA16" s="22" t="n">
        <v>3.8</v>
      </c>
      <c r="BB16" s="22" t="n">
        <v>3.7</v>
      </c>
      <c r="BC16" s="22" t="n">
        <v>4.7</v>
      </c>
      <c r="BD16" s="22" t="n">
        <v>4</v>
      </c>
      <c r="BE16" s="22" t="n">
        <v>4.2</v>
      </c>
      <c r="BF16" s="22" t="n">
        <v>3.2</v>
      </c>
      <c r="BG16" s="22" t="n">
        <v>3.5</v>
      </c>
      <c r="BH16" s="52" t="n">
        <v>4.5</v>
      </c>
      <c r="BI16" s="5">
        <f>IF(MAESTRO!B16="","",IFERROR(TRUNC(AVERAGE(AY16:BH16),1),""))</f>
        <v/>
      </c>
      <c r="BJ16" s="22" t="n">
        <v>4.8</v>
      </c>
      <c r="BK16" s="22" t="n">
        <v>3.9</v>
      </c>
      <c r="BL16" s="22">
        <f>IF(MAESTRO!B16="","",IFERROR(AVERAGE(BJ16:BK16),""))</f>
        <v/>
      </c>
      <c r="BM16" s="5">
        <f>IF(MAESTRO!B16="","",IFERROR(TRUNC(AVERAGE(AX16,BI16,BL16),1),""))</f>
        <v/>
      </c>
      <c r="BN16" s="177" t="n"/>
      <c r="BO16" s="177" t="n">
        <v>12</v>
      </c>
      <c r="BP16" s="177" t="n">
        <v>12</v>
      </c>
      <c r="BQ16" s="177">
        <f>IF(MAESTRO!B16="","",MAESTRO!B16)</f>
        <v/>
      </c>
      <c r="BR16" s="178" t="n"/>
      <c r="BS16" s="5" t="n">
        <v>4.3</v>
      </c>
      <c r="BT16" s="5" t="n">
        <v>4</v>
      </c>
      <c r="BU16" s="5" t="n">
        <v>4.7</v>
      </c>
      <c r="BV16" s="5" t="n">
        <v>4.7</v>
      </c>
      <c r="BW16" s="5" t="n">
        <v>4</v>
      </c>
      <c r="BX16" s="5" t="n">
        <v>4.7</v>
      </c>
      <c r="BY16" s="5" t="n">
        <v>4.4</v>
      </c>
      <c r="BZ16" s="5" t="n">
        <v>3.8</v>
      </c>
      <c r="CA16" s="5" t="n">
        <v>4.7</v>
      </c>
      <c r="CB16" s="5" t="n">
        <v>4.2</v>
      </c>
      <c r="CC16" s="5" t="n">
        <v>4.5</v>
      </c>
      <c r="CD16" s="5" t="n">
        <v>3.7</v>
      </c>
      <c r="CE16" s="5">
        <f>IF(MAESTRO!B16="","",IFERROR(TRUNC(AVERAGE(BS16:CD16),1),""))</f>
        <v/>
      </c>
      <c r="CF16" s="5" t="n">
        <v>4.2</v>
      </c>
      <c r="CG16" s="5" t="n">
        <v>4.4</v>
      </c>
      <c r="CH16" s="5" t="n">
        <v>3.4</v>
      </c>
      <c r="CI16" s="5" t="n">
        <v>4.8</v>
      </c>
      <c r="CJ16" s="5" t="n">
        <v>4.5</v>
      </c>
      <c r="CK16" s="5" t="n">
        <v>4.8</v>
      </c>
      <c r="CL16" s="5" t="n">
        <v>4</v>
      </c>
      <c r="CM16" s="5" t="n">
        <v>3</v>
      </c>
      <c r="CN16" s="5" t="n">
        <v>4.6</v>
      </c>
      <c r="CO16" s="5" t="n">
        <v>3.3</v>
      </c>
      <c r="CP16" s="5">
        <f>IF(MAESTRO!B16="","",IFERROR(TRUNC(AVERAGE(CF16:CO16),1),""))</f>
        <v/>
      </c>
      <c r="CQ16" s="5" t="n">
        <v>3.9</v>
      </c>
      <c r="CR16" s="5" t="n">
        <v>4.4</v>
      </c>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v>4.4</v>
      </c>
      <c r="D17" s="5" t="n">
        <v>4</v>
      </c>
      <c r="E17" s="5" t="n">
        <v>4</v>
      </c>
      <c r="F17" s="5" t="n">
        <v>4.4</v>
      </c>
      <c r="G17" s="5" t="n">
        <v>4.3</v>
      </c>
      <c r="H17" s="5" t="n">
        <v>4.7</v>
      </c>
      <c r="I17" s="5" t="n">
        <v>3.5</v>
      </c>
      <c r="J17" s="5" t="n">
        <v>3.9</v>
      </c>
      <c r="K17" s="5" t="n">
        <v>4.5</v>
      </c>
      <c r="L17" s="5" t="n">
        <v>3.2</v>
      </c>
      <c r="M17" s="5" t="n">
        <v>4.2</v>
      </c>
      <c r="N17" s="5" t="n">
        <v>4</v>
      </c>
      <c r="O17" s="5" t="n">
        <v>4.8</v>
      </c>
      <c r="P17" s="5">
        <f>IF(MAESTRO!B17="","",IFERROR(TRUNC(AVERAGE(C17:O17),1),""))</f>
        <v/>
      </c>
      <c r="Q17" s="95" t="n">
        <v>13</v>
      </c>
      <c r="R17" s="5" t="n">
        <v>3.4</v>
      </c>
      <c r="S17" s="22" t="n">
        <v>3.8</v>
      </c>
      <c r="T17" s="22" t="n">
        <v>3.1</v>
      </c>
      <c r="U17" s="22" t="n">
        <v>4.8</v>
      </c>
      <c r="V17" s="22" t="n">
        <v>3.7</v>
      </c>
      <c r="W17" s="22" t="n">
        <v>4.8</v>
      </c>
      <c r="X17" s="22" t="n">
        <v>3.7</v>
      </c>
      <c r="Y17" s="22" t="n">
        <v>3.8</v>
      </c>
      <c r="Z17" s="22" t="n">
        <v>3.8</v>
      </c>
      <c r="AA17" s="45">
        <f>IF(MAESTRO!B17="","",IFERROR(TRUNC(AVERAGE(R17:Z17),1),""))</f>
        <v/>
      </c>
      <c r="AB17" s="177" t="n">
        <v>4.1</v>
      </c>
      <c r="AC17" s="42" t="n">
        <v>4.9</v>
      </c>
      <c r="AD17" s="5">
        <f>IF(MAESTRO!B17="","",IFERROR(AVERAGE(AB17:AC17),""))</f>
        <v/>
      </c>
      <c r="AE17" s="44">
        <f>IF(MAESTRO!B17="","",IFERROR(TRUNC(AVERAGE(P17,AA17,AD17),1),""))</f>
        <v/>
      </c>
      <c r="AF17" s="177" t="n"/>
      <c r="AG17" s="177" t="n">
        <v>13</v>
      </c>
      <c r="AH17" s="177" t="n">
        <v>13</v>
      </c>
      <c r="AI17" s="177">
        <f>IF(MAESTRO!B17="","",MAESTRO!B17)</f>
        <v/>
      </c>
      <c r="AJ17" s="178" t="n"/>
      <c r="AK17" s="61" t="n">
        <v>3.1</v>
      </c>
      <c r="AL17" s="61" t="n">
        <v>3.3</v>
      </c>
      <c r="AM17" s="61" t="n">
        <v>4</v>
      </c>
      <c r="AN17" s="61" t="n">
        <v>3.6</v>
      </c>
      <c r="AO17" s="61" t="n">
        <v>4.7</v>
      </c>
      <c r="AP17" s="61" t="n">
        <v>3.3</v>
      </c>
      <c r="AQ17" s="61" t="n">
        <v>3.3</v>
      </c>
      <c r="AR17" s="61" t="n">
        <v>4.4</v>
      </c>
      <c r="AS17" s="61" t="n">
        <v>5</v>
      </c>
      <c r="AT17" s="61" t="n">
        <v>3.7</v>
      </c>
      <c r="AU17" s="61" t="n">
        <v>4.6</v>
      </c>
      <c r="AV17" s="61" t="n">
        <v>4.1</v>
      </c>
      <c r="AW17" s="20" t="n">
        <v>3.5</v>
      </c>
      <c r="AX17" s="5">
        <f>IF(MAESTRO!B17="","",IFERROR(TRUNC(AVERAGE(AK17:AW17),1),""))</f>
        <v/>
      </c>
      <c r="AY17" s="22" t="n">
        <v>3.4</v>
      </c>
      <c r="AZ17" s="22" t="n">
        <v>4.1</v>
      </c>
      <c r="BA17" s="22" t="n">
        <v>4.7</v>
      </c>
      <c r="BB17" s="22" t="n">
        <v>3.2</v>
      </c>
      <c r="BC17" s="22" t="n">
        <v>3.7</v>
      </c>
      <c r="BD17" s="22" t="n">
        <v>3.3</v>
      </c>
      <c r="BE17" s="22" t="n">
        <v>3.4</v>
      </c>
      <c r="BF17" s="22" t="n">
        <v>4.1</v>
      </c>
      <c r="BG17" s="22" t="n">
        <v>4.9</v>
      </c>
      <c r="BH17" s="52" t="n">
        <v>3.9</v>
      </c>
      <c r="BI17" s="5">
        <f>IF(MAESTRO!B17="","",IFERROR(TRUNC(AVERAGE(AY17:BH17),1),""))</f>
        <v/>
      </c>
      <c r="BJ17" s="22" t="n">
        <v>4.5</v>
      </c>
      <c r="BK17" s="22" t="n">
        <v>4.2</v>
      </c>
      <c r="BL17" s="22">
        <f>IF(MAESTRO!B17="","",IFERROR(AVERAGE(BJ17:BK17),""))</f>
        <v/>
      </c>
      <c r="BM17" s="5">
        <f>IF(MAESTRO!B17="","",IFERROR(TRUNC(AVERAGE(AX17,BI17,BL17),1),""))</f>
        <v/>
      </c>
      <c r="BN17" s="177" t="n"/>
      <c r="BO17" s="177" t="n">
        <v>13</v>
      </c>
      <c r="BP17" s="177" t="n">
        <v>13</v>
      </c>
      <c r="BQ17" s="177">
        <f>IF(MAESTRO!B17="","",MAESTRO!B17)</f>
        <v/>
      </c>
      <c r="BR17" s="178" t="n"/>
      <c r="BS17" s="5" t="n">
        <v>3.2</v>
      </c>
      <c r="BT17" s="5" t="n">
        <v>4.2</v>
      </c>
      <c r="BU17" s="5" t="n">
        <v>3.2</v>
      </c>
      <c r="BV17" s="5" t="n">
        <v>3.9</v>
      </c>
      <c r="BW17" s="5" t="n">
        <v>4.8</v>
      </c>
      <c r="BX17" s="5" t="n">
        <v>4.4</v>
      </c>
      <c r="BY17" s="5" t="n">
        <v>3.5</v>
      </c>
      <c r="BZ17" s="5" t="n">
        <v>4.6</v>
      </c>
      <c r="CA17" s="5" t="n">
        <v>3.1</v>
      </c>
      <c r="CB17" s="5" t="n">
        <v>3.2</v>
      </c>
      <c r="CC17" s="5" t="n">
        <v>4.3</v>
      </c>
      <c r="CD17" s="5" t="n">
        <v>3.3</v>
      </c>
      <c r="CE17" s="5">
        <f>IF(MAESTRO!B17="","",IFERROR(TRUNC(AVERAGE(BS17:CD17),1),""))</f>
        <v/>
      </c>
      <c r="CF17" s="5" t="n">
        <v>3.6</v>
      </c>
      <c r="CG17" s="5" t="n">
        <v>5</v>
      </c>
      <c r="CH17" s="5" t="n">
        <v>3.5</v>
      </c>
      <c r="CI17" s="5" t="n">
        <v>4.2</v>
      </c>
      <c r="CJ17" s="5" t="n">
        <v>3.6</v>
      </c>
      <c r="CK17" s="5" t="n">
        <v>3.6</v>
      </c>
      <c r="CL17" s="5" t="n">
        <v>4.4</v>
      </c>
      <c r="CM17" s="5" t="n">
        <v>4.1</v>
      </c>
      <c r="CN17" s="5" t="n">
        <v>4.9</v>
      </c>
      <c r="CO17" s="5" t="n">
        <v>4.9</v>
      </c>
      <c r="CP17" s="5">
        <f>IF(MAESTRO!B17="","",IFERROR(TRUNC(AVERAGE(CF17:CO17),1),""))</f>
        <v/>
      </c>
      <c r="CQ17" s="5" t="n">
        <v>3.3</v>
      </c>
      <c r="CR17" s="5" t="n">
        <v>3.3</v>
      </c>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v>4.3</v>
      </c>
      <c r="D18" s="5" t="n">
        <v>3.2</v>
      </c>
      <c r="E18" s="5" t="n">
        <v>3.9</v>
      </c>
      <c r="F18" s="5" t="n">
        <v>3.3</v>
      </c>
      <c r="G18" s="5" t="n">
        <v>4.4</v>
      </c>
      <c r="H18" s="5" t="n">
        <v>4.9</v>
      </c>
      <c r="I18" s="5" t="n">
        <v>4.4</v>
      </c>
      <c r="J18" s="5" t="n">
        <v>3.7</v>
      </c>
      <c r="K18" s="5" t="n">
        <v>5</v>
      </c>
      <c r="L18" s="5" t="n">
        <v>4.7</v>
      </c>
      <c r="M18" s="5" t="n">
        <v>4</v>
      </c>
      <c r="N18" s="5" t="n">
        <v>4.5</v>
      </c>
      <c r="O18" s="5" t="n">
        <v>4.9</v>
      </c>
      <c r="P18" s="5">
        <f>IF(MAESTRO!B18="","",IFERROR(TRUNC(AVERAGE(C18:O18),1),""))</f>
        <v/>
      </c>
      <c r="Q18" s="95" t="n">
        <v>14</v>
      </c>
      <c r="R18" s="5" t="n">
        <v>3.7</v>
      </c>
      <c r="S18" s="22" t="n">
        <v>3.2</v>
      </c>
      <c r="T18" s="22" t="n">
        <v>4.8</v>
      </c>
      <c r="U18" s="22" t="n">
        <v>4.7</v>
      </c>
      <c r="V18" s="22" t="n">
        <v>4.9</v>
      </c>
      <c r="W18" s="22" t="n">
        <v>3.7</v>
      </c>
      <c r="X18" s="22" t="n">
        <v>4.5</v>
      </c>
      <c r="Y18" s="22" t="n">
        <v>4.1</v>
      </c>
      <c r="Z18" s="22" t="n">
        <v>3.2</v>
      </c>
      <c r="AA18" s="45">
        <f>IF(MAESTRO!B18="","",IFERROR(TRUNC(AVERAGE(R18:Z18),1),""))</f>
        <v/>
      </c>
      <c r="AB18" s="177" t="n">
        <v>3.2</v>
      </c>
      <c r="AC18" s="42" t="n">
        <v>4</v>
      </c>
      <c r="AD18" s="5">
        <f>IF(MAESTRO!B18="","",IFERROR(AVERAGE(AB18:AC18),""))</f>
        <v/>
      </c>
      <c r="AE18" s="44">
        <f>IF(MAESTRO!B18="","",IFERROR(TRUNC(AVERAGE(P18,AA18,AD18),1),""))</f>
        <v/>
      </c>
      <c r="AF18" s="177" t="n"/>
      <c r="AG18" s="177" t="n">
        <v>14</v>
      </c>
      <c r="AH18" s="177" t="n">
        <v>14</v>
      </c>
      <c r="AI18" s="177">
        <f>IF(MAESTRO!B18="","",MAESTRO!B18)</f>
        <v/>
      </c>
      <c r="AJ18" s="178" t="n"/>
      <c r="AK18" s="61" t="n">
        <v>4.9</v>
      </c>
      <c r="AL18" s="61" t="n">
        <v>3.8</v>
      </c>
      <c r="AM18" s="61" t="n">
        <v>5</v>
      </c>
      <c r="AN18" s="61" t="n">
        <v>4.6</v>
      </c>
      <c r="AO18" s="61" t="n">
        <v>3</v>
      </c>
      <c r="AP18" s="61" t="n">
        <v>3.8</v>
      </c>
      <c r="AQ18" s="61" t="n">
        <v>4.4</v>
      </c>
      <c r="AR18" s="61" t="n">
        <v>4.4</v>
      </c>
      <c r="AS18" s="61" t="n">
        <v>3.7</v>
      </c>
      <c r="AT18" s="61" t="n">
        <v>3.4</v>
      </c>
      <c r="AU18" s="61" t="n">
        <v>3.3</v>
      </c>
      <c r="AV18" s="61" t="n">
        <v>3.1</v>
      </c>
      <c r="AW18" s="20" t="n">
        <v>3.6</v>
      </c>
      <c r="AX18" s="5">
        <f>IF(MAESTRO!B18="","",IFERROR(TRUNC(AVERAGE(AK18:AW18),1),""))</f>
        <v/>
      </c>
      <c r="AY18" s="22" t="n">
        <v>3.7</v>
      </c>
      <c r="AZ18" s="22" t="n">
        <v>4.1</v>
      </c>
      <c r="BA18" s="22" t="n">
        <v>4.4</v>
      </c>
      <c r="BB18" s="22" t="n">
        <v>4</v>
      </c>
      <c r="BC18" s="22" t="n">
        <v>4.4</v>
      </c>
      <c r="BD18" s="22" t="n">
        <v>3.2</v>
      </c>
      <c r="BE18" s="22" t="n">
        <v>3.1</v>
      </c>
      <c r="BF18" s="22" t="n">
        <v>3.6</v>
      </c>
      <c r="BG18" s="22" t="n">
        <v>3.1</v>
      </c>
      <c r="BH18" s="52" t="n">
        <v>3.9</v>
      </c>
      <c r="BI18" s="5">
        <f>IF(MAESTRO!B18="","",IFERROR(TRUNC(AVERAGE(AY18:BH18),1),""))</f>
        <v/>
      </c>
      <c r="BJ18" s="22" t="n">
        <v>4.9</v>
      </c>
      <c r="BK18" s="22" t="n">
        <v>5</v>
      </c>
      <c r="BL18" s="22">
        <f>IF(MAESTRO!B18="","",IFERROR(AVERAGE(BJ18:BK18),""))</f>
        <v/>
      </c>
      <c r="BM18" s="5">
        <f>IF(MAESTRO!B18="","",IFERROR(TRUNC(AVERAGE(AX18,BI18,BL18),1),""))</f>
        <v/>
      </c>
      <c r="BN18" s="177" t="n"/>
      <c r="BO18" s="177" t="n">
        <v>14</v>
      </c>
      <c r="BP18" s="177" t="n">
        <v>14</v>
      </c>
      <c r="BQ18" s="177">
        <f>IF(MAESTRO!B18="","",MAESTRO!B18)</f>
        <v/>
      </c>
      <c r="BR18" s="178" t="n"/>
      <c r="BS18" s="5" t="n">
        <v>4.5</v>
      </c>
      <c r="BT18" s="5" t="n">
        <v>4.8</v>
      </c>
      <c r="BU18" s="5" t="n">
        <v>3.9</v>
      </c>
      <c r="BV18" s="5" t="n">
        <v>4.2</v>
      </c>
      <c r="BW18" s="5" t="n">
        <v>3.3</v>
      </c>
      <c r="BX18" s="5" t="n">
        <v>3.8</v>
      </c>
      <c r="BY18" s="5" t="n">
        <v>3.6</v>
      </c>
      <c r="BZ18" s="5" t="n">
        <v>4.4</v>
      </c>
      <c r="CA18" s="5" t="n">
        <v>4.1</v>
      </c>
      <c r="CB18" s="5" t="n">
        <v>4.5</v>
      </c>
      <c r="CC18" s="5" t="n">
        <v>3.6</v>
      </c>
      <c r="CD18" s="5" t="n">
        <v>4.1</v>
      </c>
      <c r="CE18" s="5">
        <f>IF(MAESTRO!B18="","",IFERROR(TRUNC(AVERAGE(BS18:CD18),1),""))</f>
        <v/>
      </c>
      <c r="CF18" s="5" t="n">
        <v>3.8</v>
      </c>
      <c r="CG18" s="5" t="n">
        <v>4.9</v>
      </c>
      <c r="CH18" s="5" t="n">
        <v>4.4</v>
      </c>
      <c r="CI18" s="5" t="n">
        <v>3.8</v>
      </c>
      <c r="CJ18" s="5" t="n">
        <v>4.8</v>
      </c>
      <c r="CK18" s="5" t="n">
        <v>5</v>
      </c>
      <c r="CL18" s="5" t="n">
        <v>3.7</v>
      </c>
      <c r="CM18" s="5" t="n">
        <v>5</v>
      </c>
      <c r="CN18" s="5" t="n">
        <v>3.8</v>
      </c>
      <c r="CO18" s="5" t="n">
        <v>4.7</v>
      </c>
      <c r="CP18" s="5">
        <f>IF(MAESTRO!B18="","",IFERROR(TRUNC(AVERAGE(CF18:CO18),1),""))</f>
        <v/>
      </c>
      <c r="CQ18" s="5" t="n">
        <v>4.8</v>
      </c>
      <c r="CR18" s="5" t="n">
        <v>4.8</v>
      </c>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v>5</v>
      </c>
      <c r="D19" s="5" t="n">
        <v>4.5</v>
      </c>
      <c r="E19" s="5" t="n">
        <v>3.8</v>
      </c>
      <c r="F19" s="5" t="n">
        <v>4.8</v>
      </c>
      <c r="G19" s="5" t="n">
        <v>3.8</v>
      </c>
      <c r="H19" s="5" t="n">
        <v>4.1</v>
      </c>
      <c r="I19" s="5" t="n">
        <v>3.4</v>
      </c>
      <c r="J19" s="5" t="n">
        <v>3.5</v>
      </c>
      <c r="K19" s="5" t="n">
        <v>3.1</v>
      </c>
      <c r="L19" s="5" t="n">
        <v>3.6</v>
      </c>
      <c r="M19" s="5" t="n">
        <v>3.1</v>
      </c>
      <c r="N19" s="5" t="n">
        <v>3.5</v>
      </c>
      <c r="O19" s="5" t="n">
        <v>4.1</v>
      </c>
      <c r="P19" s="5">
        <f>IF(MAESTRO!B19="","",IFERROR(TRUNC(AVERAGE(C19:O19),1),""))</f>
        <v/>
      </c>
      <c r="Q19" s="95" t="n">
        <v>15</v>
      </c>
      <c r="R19" s="5" t="n">
        <v>4.6</v>
      </c>
      <c r="S19" s="22" t="n">
        <v>3.6</v>
      </c>
      <c r="T19" s="22" t="n">
        <v>3.6</v>
      </c>
      <c r="U19" s="22" t="n">
        <v>3.3</v>
      </c>
      <c r="V19" s="22" t="n">
        <v>3.8</v>
      </c>
      <c r="W19" s="22" t="n">
        <v>4.7</v>
      </c>
      <c r="X19" s="22" t="n">
        <v>3</v>
      </c>
      <c r="Y19" s="22" t="n">
        <v>4.8</v>
      </c>
      <c r="Z19" s="22" t="n">
        <v>4.8</v>
      </c>
      <c r="AA19" s="45">
        <f>IF(MAESTRO!B19="","",IFERROR(TRUNC(AVERAGE(R19:Z19),1),""))</f>
        <v/>
      </c>
      <c r="AB19" s="177" t="n">
        <v>4.3</v>
      </c>
      <c r="AC19" s="42" t="n">
        <v>3</v>
      </c>
      <c r="AD19" s="5">
        <f>IF(MAESTRO!B19="","",IFERROR(AVERAGE(AB19:AC19),""))</f>
        <v/>
      </c>
      <c r="AE19" s="44">
        <f>IF(MAESTRO!B19="","",IFERROR(TRUNC(AVERAGE(P19,AA19,AD19),1),""))</f>
        <v/>
      </c>
      <c r="AF19" s="177" t="n"/>
      <c r="AG19" s="177" t="n">
        <v>15</v>
      </c>
      <c r="AH19" s="177" t="n">
        <v>15</v>
      </c>
      <c r="AI19" s="177">
        <f>IF(MAESTRO!B19="","",MAESTRO!B19)</f>
        <v/>
      </c>
      <c r="AJ19" s="178" t="n"/>
      <c r="AK19" s="61" t="n">
        <v>3.8</v>
      </c>
      <c r="AL19" s="61" t="n">
        <v>3.3</v>
      </c>
      <c r="AM19" s="61" t="n">
        <v>3.3</v>
      </c>
      <c r="AN19" s="61" t="n">
        <v>4.8</v>
      </c>
      <c r="AO19" s="61" t="n">
        <v>3.2</v>
      </c>
      <c r="AP19" s="61" t="n">
        <v>4.8</v>
      </c>
      <c r="AQ19" s="61" t="n">
        <v>4.2</v>
      </c>
      <c r="AR19" s="61" t="n">
        <v>4</v>
      </c>
      <c r="AS19" s="61" t="n">
        <v>3.3</v>
      </c>
      <c r="AT19" s="61" t="n">
        <v>3.5</v>
      </c>
      <c r="AU19" s="61" t="n">
        <v>3.1</v>
      </c>
      <c r="AV19" s="61" t="n">
        <v>4.1</v>
      </c>
      <c r="AW19" s="20" t="n">
        <v>4.5</v>
      </c>
      <c r="AX19" s="5">
        <f>IF(MAESTRO!B19="","",IFERROR(TRUNC(AVERAGE(AK19:AW19),1),""))</f>
        <v/>
      </c>
      <c r="AY19" s="22" t="n">
        <v>4.8</v>
      </c>
      <c r="AZ19" s="22" t="n">
        <v>3.2</v>
      </c>
      <c r="BA19" s="22" t="n">
        <v>4.8</v>
      </c>
      <c r="BB19" s="22" t="n">
        <v>4.4</v>
      </c>
      <c r="BC19" s="22" t="n">
        <v>4.5</v>
      </c>
      <c r="BD19" s="22" t="n">
        <v>3.4</v>
      </c>
      <c r="BE19" s="22" t="n">
        <v>4.5</v>
      </c>
      <c r="BF19" s="22" t="n">
        <v>4.9</v>
      </c>
      <c r="BG19" s="22" t="n">
        <v>5</v>
      </c>
      <c r="BH19" s="52" t="n">
        <v>3.5</v>
      </c>
      <c r="BI19" s="5">
        <f>IF(MAESTRO!B19="","",IFERROR(TRUNC(AVERAGE(AY19:BH19),1),""))</f>
        <v/>
      </c>
      <c r="BJ19" s="22" t="n">
        <v>4.6</v>
      </c>
      <c r="BK19" s="22" t="n">
        <v>5</v>
      </c>
      <c r="BL19" s="22">
        <f>IF(MAESTRO!B19="","",IFERROR(AVERAGE(BJ19:BK19),""))</f>
        <v/>
      </c>
      <c r="BM19" s="5">
        <f>IF(MAESTRO!B19="","",IFERROR(TRUNC(AVERAGE(AX19,BI19,BL19),1),""))</f>
        <v/>
      </c>
      <c r="BN19" s="177" t="n"/>
      <c r="BO19" s="177" t="n">
        <v>15</v>
      </c>
      <c r="BP19" s="177" t="n">
        <v>15</v>
      </c>
      <c r="BQ19" s="177">
        <f>IF(MAESTRO!B19="","",MAESTRO!B19)</f>
        <v/>
      </c>
      <c r="BR19" s="178" t="n"/>
      <c r="BS19" s="5" t="n">
        <v>3.3</v>
      </c>
      <c r="BT19" s="5" t="n">
        <v>3.4</v>
      </c>
      <c r="BU19" s="5" t="n">
        <v>4.9</v>
      </c>
      <c r="BV19" s="5" t="n">
        <v>4.4</v>
      </c>
      <c r="BW19" s="5" t="n">
        <v>4.6</v>
      </c>
      <c r="BX19" s="5" t="n">
        <v>3.2</v>
      </c>
      <c r="BY19" s="5" t="n">
        <v>3.3</v>
      </c>
      <c r="BZ19" s="5" t="n">
        <v>3.2</v>
      </c>
      <c r="CA19" s="5" t="n">
        <v>4.9</v>
      </c>
      <c r="CB19" s="5" t="n">
        <v>3.1</v>
      </c>
      <c r="CC19" s="5" t="n">
        <v>3</v>
      </c>
      <c r="CD19" s="5" t="n">
        <v>4.8</v>
      </c>
      <c r="CE19" s="5">
        <f>IF(MAESTRO!B19="","",IFERROR(TRUNC(AVERAGE(BS19:CD19),1),""))</f>
        <v/>
      </c>
      <c r="CF19" s="5" t="n">
        <v>4.9</v>
      </c>
      <c r="CG19" s="5" t="n">
        <v>3.9</v>
      </c>
      <c r="CH19" s="5" t="n">
        <v>4</v>
      </c>
      <c r="CI19" s="5" t="n">
        <v>4.2</v>
      </c>
      <c r="CJ19" s="5" t="n">
        <v>3.3</v>
      </c>
      <c r="CK19" s="5" t="n">
        <v>3.2</v>
      </c>
      <c r="CL19" s="5" t="n">
        <v>4.9</v>
      </c>
      <c r="CM19" s="5" t="n">
        <v>3.6</v>
      </c>
      <c r="CN19" s="5" t="n">
        <v>3.8</v>
      </c>
      <c r="CO19" s="5" t="n">
        <v>3.9</v>
      </c>
      <c r="CP19" s="5">
        <f>IF(MAESTRO!B19="","",IFERROR(TRUNC(AVERAGE(CF19:CO19),1),""))</f>
        <v/>
      </c>
      <c r="CQ19" s="5" t="n">
        <v>4.2</v>
      </c>
      <c r="CR19" s="5" t="n">
        <v>3.4</v>
      </c>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v>3.5</v>
      </c>
      <c r="D20" s="5" t="n">
        <v>3</v>
      </c>
      <c r="E20" s="5" t="n">
        <v>3.8</v>
      </c>
      <c r="F20" s="5" t="n">
        <v>3.1</v>
      </c>
      <c r="G20" s="5" t="n">
        <v>3.3</v>
      </c>
      <c r="H20" s="5" t="n">
        <v>4.7</v>
      </c>
      <c r="I20" s="5" t="n">
        <v>4.9</v>
      </c>
      <c r="J20" s="5" t="n">
        <v>4.8</v>
      </c>
      <c r="K20" s="5" t="n">
        <v>4.5</v>
      </c>
      <c r="L20" s="5" t="n">
        <v>3.8</v>
      </c>
      <c r="M20" s="5" t="n">
        <v>3.7</v>
      </c>
      <c r="N20" s="5" t="n">
        <v>4.5</v>
      </c>
      <c r="O20" s="5" t="n">
        <v>4.9</v>
      </c>
      <c r="P20" s="5">
        <f>IF(MAESTRO!B20="","",IFERROR(TRUNC(AVERAGE(C20:O20),1),""))</f>
        <v/>
      </c>
      <c r="Q20" s="95" t="n">
        <v>16</v>
      </c>
      <c r="R20" s="5" t="n">
        <v>3.9</v>
      </c>
      <c r="S20" s="22" t="n">
        <v>3.8</v>
      </c>
      <c r="T20" s="22" t="n">
        <v>3.1</v>
      </c>
      <c r="U20" s="22" t="n">
        <v>4.7</v>
      </c>
      <c r="V20" s="22" t="n">
        <v>3.4</v>
      </c>
      <c r="W20" s="22" t="n">
        <v>3.1</v>
      </c>
      <c r="X20" s="22" t="n">
        <v>4.7</v>
      </c>
      <c r="Y20" s="22" t="n">
        <v>3.6</v>
      </c>
      <c r="Z20" s="22" t="n">
        <v>3.6</v>
      </c>
      <c r="AA20" s="45">
        <f>IF(MAESTRO!B20="","",IFERROR(TRUNC(AVERAGE(R20:Z20),1),""))</f>
        <v/>
      </c>
      <c r="AB20" s="177" t="n">
        <v>3.2</v>
      </c>
      <c r="AC20" s="42" t="n">
        <v>4.1</v>
      </c>
      <c r="AD20" s="5">
        <f>IF(MAESTRO!B20="","",IFERROR(AVERAGE(AB20:AC20),""))</f>
        <v/>
      </c>
      <c r="AE20" s="44">
        <f>IF(MAESTRO!B20="","",IFERROR(TRUNC(AVERAGE(P20,AA20,AD20),1),""))</f>
        <v/>
      </c>
      <c r="AF20" s="177" t="n"/>
      <c r="AG20" s="177" t="n">
        <v>16</v>
      </c>
      <c r="AH20" s="177" t="n">
        <v>16</v>
      </c>
      <c r="AI20" s="177">
        <f>IF(MAESTRO!B20="","",MAESTRO!B20)</f>
        <v/>
      </c>
      <c r="AJ20" s="178" t="n"/>
      <c r="AK20" s="61" t="n">
        <v>4.2</v>
      </c>
      <c r="AL20" s="61" t="n">
        <v>3.5</v>
      </c>
      <c r="AM20" s="61" t="n">
        <v>4.6</v>
      </c>
      <c r="AN20" s="61" t="n">
        <v>4.7</v>
      </c>
      <c r="AO20" s="61" t="n">
        <v>4.3</v>
      </c>
      <c r="AP20" s="61" t="n">
        <v>4.5</v>
      </c>
      <c r="AQ20" s="61" t="n">
        <v>4.2</v>
      </c>
      <c r="AR20" s="61" t="n">
        <v>4.6</v>
      </c>
      <c r="AS20" s="61" t="n">
        <v>4.9</v>
      </c>
      <c r="AT20" s="61" t="n">
        <v>4</v>
      </c>
      <c r="AU20" s="61" t="n">
        <v>3.2</v>
      </c>
      <c r="AV20" s="61" t="n">
        <v>4.9</v>
      </c>
      <c r="AW20" s="20" t="n">
        <v>4.1</v>
      </c>
      <c r="AX20" s="5">
        <f>IF(MAESTRO!B20="","",IFERROR(TRUNC(AVERAGE(AK20:AW20),1),""))</f>
        <v/>
      </c>
      <c r="AY20" s="22" t="n">
        <v>4.1</v>
      </c>
      <c r="AZ20" s="22" t="n">
        <v>4.3</v>
      </c>
      <c r="BA20" s="22" t="n">
        <v>4.1</v>
      </c>
      <c r="BB20" s="22" t="n">
        <v>3.8</v>
      </c>
      <c r="BC20" s="22" t="n">
        <v>4.3</v>
      </c>
      <c r="BD20" s="22" t="n">
        <v>3.3</v>
      </c>
      <c r="BE20" s="22" t="n">
        <v>4.6</v>
      </c>
      <c r="BF20" s="22" t="n">
        <v>4.7</v>
      </c>
      <c r="BG20" s="22" t="n">
        <v>4.2</v>
      </c>
      <c r="BH20" s="52" t="n">
        <v>3</v>
      </c>
      <c r="BI20" s="5">
        <f>IF(MAESTRO!B20="","",IFERROR(TRUNC(AVERAGE(AY20:BH20),1),""))</f>
        <v/>
      </c>
      <c r="BJ20" s="22" t="n">
        <v>4.2</v>
      </c>
      <c r="BK20" s="22" t="n">
        <v>4.8</v>
      </c>
      <c r="BL20" s="22">
        <f>IF(MAESTRO!B20="","",IFERROR(AVERAGE(BJ20:BK20),""))</f>
        <v/>
      </c>
      <c r="BM20" s="5">
        <f>IF(MAESTRO!B20="","",IFERROR(TRUNC(AVERAGE(AX20,BI20,BL20),1),""))</f>
        <v/>
      </c>
      <c r="BN20" s="177" t="n"/>
      <c r="BO20" s="177" t="n">
        <v>16</v>
      </c>
      <c r="BP20" s="177" t="n">
        <v>16</v>
      </c>
      <c r="BQ20" s="177">
        <f>IF(MAESTRO!B20="","",MAESTRO!B20)</f>
        <v/>
      </c>
      <c r="BR20" s="178" t="n"/>
      <c r="BS20" s="5" t="n">
        <v>4</v>
      </c>
      <c r="BT20" s="5" t="n">
        <v>4.8</v>
      </c>
      <c r="BU20" s="5" t="n">
        <v>4.2</v>
      </c>
      <c r="BV20" s="5" t="n">
        <v>4.4</v>
      </c>
      <c r="BW20" s="5" t="n">
        <v>3.7</v>
      </c>
      <c r="BX20" s="5" t="n">
        <v>4.8</v>
      </c>
      <c r="BY20" s="5" t="n">
        <v>3.1</v>
      </c>
      <c r="BZ20" s="5" t="n">
        <v>4.2</v>
      </c>
      <c r="CA20" s="5" t="n">
        <v>3.9</v>
      </c>
      <c r="CB20" s="5" t="n">
        <v>3.3</v>
      </c>
      <c r="CC20" s="5" t="n">
        <v>4.6</v>
      </c>
      <c r="CD20" s="5" t="n">
        <v>4.9</v>
      </c>
      <c r="CE20" s="5">
        <f>IF(MAESTRO!B20="","",IFERROR(TRUNC(AVERAGE(BS20:CD20),1),""))</f>
        <v/>
      </c>
      <c r="CF20" s="5" t="n">
        <v>3.2</v>
      </c>
      <c r="CG20" s="5" t="n">
        <v>4.3</v>
      </c>
      <c r="CH20" s="5" t="n">
        <v>3.8</v>
      </c>
      <c r="CI20" s="5" t="n">
        <v>3</v>
      </c>
      <c r="CJ20" s="5" t="n">
        <v>3.7</v>
      </c>
      <c r="CK20" s="5" t="n">
        <v>3.6</v>
      </c>
      <c r="CL20" s="5" t="n">
        <v>4.5</v>
      </c>
      <c r="CM20" s="5" t="n">
        <v>3.8</v>
      </c>
      <c r="CN20" s="5" t="n">
        <v>4.6</v>
      </c>
      <c r="CO20" s="5" t="n">
        <v>4.9</v>
      </c>
      <c r="CP20" s="5">
        <f>IF(MAESTRO!B20="","",IFERROR(TRUNC(AVERAGE(CF20:CO20),1),""))</f>
        <v/>
      </c>
      <c r="CQ20" s="5" t="n">
        <v>3.5</v>
      </c>
      <c r="CR20" s="5" t="n">
        <v>4.9</v>
      </c>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v>4</v>
      </c>
      <c r="D21" s="5" t="n">
        <v>3.1</v>
      </c>
      <c r="E21" s="5" t="n">
        <v>3.6</v>
      </c>
      <c r="F21" s="5" t="n">
        <v>5</v>
      </c>
      <c r="G21" s="5" t="n">
        <v>4.2</v>
      </c>
      <c r="H21" s="5" t="n">
        <v>3.2</v>
      </c>
      <c r="I21" s="5" t="n">
        <v>4.3</v>
      </c>
      <c r="J21" s="5" t="n">
        <v>3.5</v>
      </c>
      <c r="K21" s="5" t="n">
        <v>4.6</v>
      </c>
      <c r="L21" s="5" t="n">
        <v>4.2</v>
      </c>
      <c r="M21" s="5" t="n">
        <v>4.8</v>
      </c>
      <c r="N21" s="5" t="n">
        <v>3.5</v>
      </c>
      <c r="O21" s="5" t="n">
        <v>3.3</v>
      </c>
      <c r="P21" s="5">
        <f>IF(MAESTRO!B21="","",IFERROR(TRUNC(AVERAGE(C21:O21),1),""))</f>
        <v/>
      </c>
      <c r="Q21" s="95" t="n">
        <v>17</v>
      </c>
      <c r="R21" s="5" t="n">
        <v>3.3</v>
      </c>
      <c r="S21" s="22" t="n">
        <v>4.9</v>
      </c>
      <c r="T21" s="22" t="n">
        <v>3.1</v>
      </c>
      <c r="U21" s="22" t="n">
        <v>5</v>
      </c>
      <c r="V21" s="22" t="n">
        <v>3.3</v>
      </c>
      <c r="W21" s="22" t="n">
        <v>3.2</v>
      </c>
      <c r="X21" s="22" t="n">
        <v>4.3</v>
      </c>
      <c r="Y21" s="22" t="n">
        <v>3.1</v>
      </c>
      <c r="Z21" s="22" t="n">
        <v>4</v>
      </c>
      <c r="AA21" s="45">
        <f>IF(MAESTRO!B21="","",IFERROR(TRUNC(AVERAGE(R21:Z21),1),""))</f>
        <v/>
      </c>
      <c r="AB21" s="177" t="n">
        <v>4</v>
      </c>
      <c r="AC21" s="42" t="n">
        <v>4.8</v>
      </c>
      <c r="AD21" s="5">
        <f>IF(MAESTRO!B21="","",IFERROR(AVERAGE(AB21:AC21),""))</f>
        <v/>
      </c>
      <c r="AE21" s="44">
        <f>IF(MAESTRO!B21="","",IFERROR(TRUNC(AVERAGE(P21,AA21,AD21),1),""))</f>
        <v/>
      </c>
      <c r="AF21" s="177" t="n"/>
      <c r="AG21" s="177" t="n">
        <v>17</v>
      </c>
      <c r="AH21" s="177" t="n">
        <v>17</v>
      </c>
      <c r="AI21" s="177">
        <f>IF(MAESTRO!B21="","",MAESTRO!B21)</f>
        <v/>
      </c>
      <c r="AJ21" s="178" t="n"/>
      <c r="AK21" s="61" t="n">
        <v>3.4</v>
      </c>
      <c r="AL21" s="61" t="n">
        <v>4.6</v>
      </c>
      <c r="AM21" s="61" t="n">
        <v>3.6</v>
      </c>
      <c r="AN21" s="61" t="n">
        <v>3.8</v>
      </c>
      <c r="AO21" s="61" t="n">
        <v>4.9</v>
      </c>
      <c r="AP21" s="61" t="n">
        <v>4.5</v>
      </c>
      <c r="AQ21" s="61" t="n">
        <v>4.3</v>
      </c>
      <c r="AR21" s="61" t="n">
        <v>4.1</v>
      </c>
      <c r="AS21" s="61" t="n">
        <v>4.7</v>
      </c>
      <c r="AT21" s="61" t="n">
        <v>5</v>
      </c>
      <c r="AU21" s="61" t="n">
        <v>4</v>
      </c>
      <c r="AV21" s="61" t="n">
        <v>4.2</v>
      </c>
      <c r="AW21" s="20" t="n">
        <v>3.3</v>
      </c>
      <c r="AX21" s="5">
        <f>IF(MAESTRO!B21="","",IFERROR(TRUNC(AVERAGE(AK21:AW21),1),""))</f>
        <v/>
      </c>
      <c r="AY21" s="22" t="n">
        <v>3.2</v>
      </c>
      <c r="AZ21" s="22" t="n">
        <v>3.7</v>
      </c>
      <c r="BA21" s="22" t="n">
        <v>3.3</v>
      </c>
      <c r="BB21" s="22" t="n">
        <v>4.7</v>
      </c>
      <c r="BC21" s="22" t="n">
        <v>4.1</v>
      </c>
      <c r="BD21" s="22" t="n">
        <v>4.2</v>
      </c>
      <c r="BE21" s="22" t="n">
        <v>4.4</v>
      </c>
      <c r="BF21" s="22" t="n">
        <v>3.3</v>
      </c>
      <c r="BG21" s="22" t="n">
        <v>3.1</v>
      </c>
      <c r="BH21" s="52" t="n">
        <v>3.3</v>
      </c>
      <c r="BI21" s="5">
        <f>IF(MAESTRO!B21="","",IFERROR(TRUNC(AVERAGE(AY21:BH21),1),""))</f>
        <v/>
      </c>
      <c r="BJ21" s="22" t="n">
        <v>3.2</v>
      </c>
      <c r="BK21" s="22" t="n">
        <v>3.7</v>
      </c>
      <c r="BL21" s="22">
        <f>IF(MAESTRO!B21="","",IFERROR(AVERAGE(BJ21:BK21),""))</f>
        <v/>
      </c>
      <c r="BM21" s="5">
        <f>IF(MAESTRO!B21="","",IFERROR(TRUNC(AVERAGE(AX21,BI21,BL21),1),""))</f>
        <v/>
      </c>
      <c r="BN21" s="177" t="n"/>
      <c r="BO21" s="177" t="n">
        <v>17</v>
      </c>
      <c r="BP21" s="177" t="n">
        <v>17</v>
      </c>
      <c r="BQ21" s="177">
        <f>IF(MAESTRO!B21="","",MAESTRO!B21)</f>
        <v/>
      </c>
      <c r="BR21" s="178" t="n"/>
      <c r="BS21" s="5" t="n">
        <v>3.4</v>
      </c>
      <c r="BT21" s="5" t="n">
        <v>3.2</v>
      </c>
      <c r="BU21" s="5" t="n">
        <v>3.1</v>
      </c>
      <c r="BV21" s="5" t="n">
        <v>4</v>
      </c>
      <c r="BW21" s="5" t="n">
        <v>3.1</v>
      </c>
      <c r="BX21" s="5" t="n">
        <v>3.7</v>
      </c>
      <c r="BY21" s="5" t="n">
        <v>4.2</v>
      </c>
      <c r="BZ21" s="5" t="n">
        <v>4.3</v>
      </c>
      <c r="CA21" s="5" t="n">
        <v>3.7</v>
      </c>
      <c r="CB21" s="5" t="n">
        <v>4.1</v>
      </c>
      <c r="CC21" s="5" t="n">
        <v>4.2</v>
      </c>
      <c r="CD21" s="5" t="n">
        <v>3.6</v>
      </c>
      <c r="CE21" s="5">
        <f>IF(MAESTRO!B21="","",IFERROR(TRUNC(AVERAGE(BS21:CD21),1),""))</f>
        <v/>
      </c>
      <c r="CF21" s="5" t="n">
        <v>3.5</v>
      </c>
      <c r="CG21" s="5" t="n">
        <v>4.9</v>
      </c>
      <c r="CH21" s="5" t="n">
        <v>4.1</v>
      </c>
      <c r="CI21" s="5" t="n">
        <v>4.7</v>
      </c>
      <c r="CJ21" s="5" t="n">
        <v>3.9</v>
      </c>
      <c r="CK21" s="5" t="n">
        <v>3.1</v>
      </c>
      <c r="CL21" s="5" t="n">
        <v>4.2</v>
      </c>
      <c r="CM21" s="5" t="n">
        <v>4.3</v>
      </c>
      <c r="CN21" s="5" t="n">
        <v>3.6</v>
      </c>
      <c r="CO21" s="5" t="n">
        <v>4.4</v>
      </c>
      <c r="CP21" s="5">
        <f>IF(MAESTRO!B21="","",IFERROR(TRUNC(AVERAGE(CF21:CO21),1),""))</f>
        <v/>
      </c>
      <c r="CQ21" s="5" t="n">
        <v>4.8</v>
      </c>
      <c r="CR21" s="5" t="n">
        <v>4.2</v>
      </c>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v>3.1</v>
      </c>
      <c r="D22" s="5" t="n">
        <v>3.7</v>
      </c>
      <c r="E22" s="5" t="n">
        <v>4.9</v>
      </c>
      <c r="F22" s="5" t="n">
        <v>3</v>
      </c>
      <c r="G22" s="5" t="n">
        <v>3.5</v>
      </c>
      <c r="H22" s="5" t="n">
        <v>3.8</v>
      </c>
      <c r="I22" s="5" t="n">
        <v>4.9</v>
      </c>
      <c r="J22" s="5" t="n">
        <v>4.8</v>
      </c>
      <c r="K22" s="5" t="n">
        <v>4.3</v>
      </c>
      <c r="L22" s="5" t="n">
        <v>3.2</v>
      </c>
      <c r="M22" s="5" t="n">
        <v>4.8</v>
      </c>
      <c r="N22" s="5" t="n">
        <v>4.3</v>
      </c>
      <c r="O22" s="5" t="n">
        <v>3.3</v>
      </c>
      <c r="P22" s="5">
        <f>IF(MAESTRO!B22="","",IFERROR(TRUNC(AVERAGE(C22:O22),1),""))</f>
        <v/>
      </c>
      <c r="Q22" s="95" t="n">
        <v>18</v>
      </c>
      <c r="R22" s="5" t="n">
        <v>3.5</v>
      </c>
      <c r="S22" s="22" t="n">
        <v>4.5</v>
      </c>
      <c r="T22" s="22" t="n">
        <v>4</v>
      </c>
      <c r="U22" s="22" t="n">
        <v>4.4</v>
      </c>
      <c r="V22" s="22" t="n">
        <v>3.6</v>
      </c>
      <c r="W22" s="22" t="n">
        <v>4.9</v>
      </c>
      <c r="X22" s="22" t="n">
        <v>4.7</v>
      </c>
      <c r="Y22" s="22" t="n">
        <v>4.4</v>
      </c>
      <c r="Z22" s="22" t="n">
        <v>4.1</v>
      </c>
      <c r="AA22" s="45">
        <f>IF(MAESTRO!B22="","",IFERROR(TRUNC(AVERAGE(R22:Z22),1),""))</f>
        <v/>
      </c>
      <c r="AB22" s="177" t="n">
        <v>4.7</v>
      </c>
      <c r="AC22" s="42" t="n">
        <v>3.8</v>
      </c>
      <c r="AD22" s="5">
        <f>IF(MAESTRO!B22="","",IFERROR(AVERAGE(AB22:AC22),""))</f>
        <v/>
      </c>
      <c r="AE22" s="44">
        <f>IF(MAESTRO!B22="","",IFERROR(TRUNC(AVERAGE(P22,AA22,AD22),1),""))</f>
        <v/>
      </c>
      <c r="AF22" s="177" t="n"/>
      <c r="AG22" s="177" t="n">
        <v>18</v>
      </c>
      <c r="AH22" s="177" t="n">
        <v>18</v>
      </c>
      <c r="AI22" s="177">
        <f>IF(MAESTRO!B22="","",MAESTRO!B22)</f>
        <v/>
      </c>
      <c r="AJ22" s="178" t="n"/>
      <c r="AK22" s="61" t="n">
        <v>4.8</v>
      </c>
      <c r="AL22" s="62" t="n">
        <v>4.1</v>
      </c>
      <c r="AM22" s="61" t="n">
        <v>3.5</v>
      </c>
      <c r="AN22" s="61" t="n">
        <v>4.4</v>
      </c>
      <c r="AO22" s="61" t="n">
        <v>4.7</v>
      </c>
      <c r="AP22" s="61" t="n">
        <v>4</v>
      </c>
      <c r="AQ22" s="61" t="n">
        <v>3.9</v>
      </c>
      <c r="AR22" s="61" t="n">
        <v>3.7</v>
      </c>
      <c r="AS22" s="61" t="n">
        <v>3.1</v>
      </c>
      <c r="AT22" s="61" t="n">
        <v>4.2</v>
      </c>
      <c r="AU22" s="61" t="n">
        <v>3.2</v>
      </c>
      <c r="AV22" s="61" t="n">
        <v>4.3</v>
      </c>
      <c r="AW22" s="20" t="n">
        <v>4.7</v>
      </c>
      <c r="AX22" s="5">
        <f>IF(MAESTRO!B22="","",IFERROR(TRUNC(AVERAGE(AK22:AW22),1),""))</f>
        <v/>
      </c>
      <c r="AY22" s="22" t="n">
        <v>3.2</v>
      </c>
      <c r="AZ22" s="22" t="n">
        <v>5</v>
      </c>
      <c r="BA22" s="22" t="n">
        <v>4.7</v>
      </c>
      <c r="BB22" s="22" t="n">
        <v>4.4</v>
      </c>
      <c r="BC22" s="22" t="n">
        <v>4</v>
      </c>
      <c r="BD22" s="22" t="n">
        <v>5</v>
      </c>
      <c r="BE22" s="22" t="n">
        <v>4.8</v>
      </c>
      <c r="BF22" s="22" t="n">
        <v>3.8</v>
      </c>
      <c r="BG22" s="22" t="n">
        <v>4.8</v>
      </c>
      <c r="BH22" s="52" t="n">
        <v>3.1</v>
      </c>
      <c r="BI22" s="5">
        <f>IF(MAESTRO!B22="","",IFERROR(TRUNC(AVERAGE(AY22:BH22),1),""))</f>
        <v/>
      </c>
      <c r="BJ22" s="22" t="n">
        <v>4.7</v>
      </c>
      <c r="BK22" s="22" t="n">
        <v>3.2</v>
      </c>
      <c r="BL22" s="22">
        <f>IF(MAESTRO!B22="","",IFERROR(AVERAGE(BJ22:BK22),""))</f>
        <v/>
      </c>
      <c r="BM22" s="5">
        <f>IF(MAESTRO!B22="","",IFERROR(TRUNC(AVERAGE(AX22,BI22,BL22),1),""))</f>
        <v/>
      </c>
      <c r="BN22" s="177" t="n"/>
      <c r="BO22" s="177" t="n">
        <v>18</v>
      </c>
      <c r="BP22" s="177" t="n">
        <v>18</v>
      </c>
      <c r="BQ22" s="177">
        <f>IF(MAESTRO!B22="","",MAESTRO!B22)</f>
        <v/>
      </c>
      <c r="BR22" s="178" t="n"/>
      <c r="BS22" s="5" t="n">
        <v>3</v>
      </c>
      <c r="BT22" s="5" t="n">
        <v>3.3</v>
      </c>
      <c r="BU22" s="5" t="n">
        <v>4</v>
      </c>
      <c r="BV22" s="5" t="n">
        <v>5</v>
      </c>
      <c r="BW22" s="5" t="n">
        <v>3.1</v>
      </c>
      <c r="BX22" s="5" t="n">
        <v>5</v>
      </c>
      <c r="BY22" s="5" t="n">
        <v>4.4</v>
      </c>
      <c r="BZ22" s="5" t="n">
        <v>3.7</v>
      </c>
      <c r="CA22" s="5" t="n">
        <v>3.9</v>
      </c>
      <c r="CB22" s="5" t="n">
        <v>3.2</v>
      </c>
      <c r="CC22" s="5" t="n">
        <v>3.9</v>
      </c>
      <c r="CD22" s="5" t="n">
        <v>3.2</v>
      </c>
      <c r="CE22" s="5">
        <f>IF(MAESTRO!B22="","",IFERROR(TRUNC(AVERAGE(BS22:CD22),1),""))</f>
        <v/>
      </c>
      <c r="CF22" s="5" t="n">
        <v>4.6</v>
      </c>
      <c r="CG22" s="5" t="n">
        <v>4.6</v>
      </c>
      <c r="CH22" s="5" t="n">
        <v>3.6</v>
      </c>
      <c r="CI22" s="5" t="n">
        <v>4.4</v>
      </c>
      <c r="CJ22" s="5" t="n">
        <v>3.8</v>
      </c>
      <c r="CK22" s="5" t="n">
        <v>4.2</v>
      </c>
      <c r="CL22" s="5" t="n">
        <v>3.1</v>
      </c>
      <c r="CM22" s="5" t="n">
        <v>3.4</v>
      </c>
      <c r="CN22" s="5" t="n">
        <v>4.2</v>
      </c>
      <c r="CO22" s="5" t="n">
        <v>3.5</v>
      </c>
      <c r="CP22" s="5">
        <f>IF(MAESTRO!B22="","",IFERROR(TRUNC(AVERAGE(CF22:CO22),1),""))</f>
        <v/>
      </c>
      <c r="CQ22" s="5" t="n">
        <v>3.9</v>
      </c>
      <c r="CR22" s="5" t="n">
        <v>3.9</v>
      </c>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v>4</v>
      </c>
      <c r="D23" s="5" t="n">
        <v>4.1</v>
      </c>
      <c r="E23" s="5" t="n">
        <v>3.4</v>
      </c>
      <c r="F23" s="5" t="n">
        <v>4.1</v>
      </c>
      <c r="G23" s="5" t="n">
        <v>4.3</v>
      </c>
      <c r="H23" s="5" t="n">
        <v>3.8</v>
      </c>
      <c r="I23" s="5" t="n">
        <v>4.3</v>
      </c>
      <c r="J23" s="5" t="n">
        <v>4.6</v>
      </c>
      <c r="K23" s="5" t="n">
        <v>4.4</v>
      </c>
      <c r="L23" s="5" t="n">
        <v>3.6</v>
      </c>
      <c r="M23" s="5" t="n">
        <v>3.4</v>
      </c>
      <c r="N23" s="5" t="n">
        <v>4.9</v>
      </c>
      <c r="O23" s="5" t="n">
        <v>4.9</v>
      </c>
      <c r="P23" s="5">
        <f>IF(MAESTRO!B23="","",IFERROR(TRUNC(AVERAGE(C23:O23),1),""))</f>
        <v/>
      </c>
      <c r="Q23" s="95" t="n">
        <v>19</v>
      </c>
      <c r="R23" s="5" t="n">
        <v>4.8</v>
      </c>
      <c r="S23" s="22" t="n">
        <v>4.8</v>
      </c>
      <c r="T23" s="22" t="n">
        <v>3.7</v>
      </c>
      <c r="U23" s="22" t="n">
        <v>3.5</v>
      </c>
      <c r="V23" s="22" t="n">
        <v>3.1</v>
      </c>
      <c r="W23" s="22" t="n">
        <v>3.6</v>
      </c>
      <c r="X23" s="22" t="n">
        <v>5</v>
      </c>
      <c r="Y23" s="22" t="n">
        <v>3.3</v>
      </c>
      <c r="Z23" s="22" t="n">
        <v>3.9</v>
      </c>
      <c r="AA23" s="45">
        <f>IF(MAESTRO!B23="","",IFERROR(TRUNC(AVERAGE(R23:Z23),1),""))</f>
        <v/>
      </c>
      <c r="AB23" s="177" t="n">
        <v>4.8</v>
      </c>
      <c r="AC23" s="42" t="n">
        <v>3.9</v>
      </c>
      <c r="AD23" s="5">
        <f>IF(MAESTRO!B23="","",IFERROR(AVERAGE(AB23:AC23),""))</f>
        <v/>
      </c>
      <c r="AE23" s="44">
        <f>IF(MAESTRO!B23="","",IFERROR(TRUNC(AVERAGE(P23,AA23,AD23),1),""))</f>
        <v/>
      </c>
      <c r="AF23" s="177" t="n"/>
      <c r="AG23" s="177" t="n">
        <v>19</v>
      </c>
      <c r="AH23" s="177" t="n">
        <v>19</v>
      </c>
      <c r="AI23" s="177">
        <f>IF(MAESTRO!B23="","",MAESTRO!B23)</f>
        <v/>
      </c>
      <c r="AJ23" s="178" t="n"/>
      <c r="AK23" s="62" t="n">
        <v>3.9</v>
      </c>
      <c r="AL23" s="61" t="n">
        <v>3.2</v>
      </c>
      <c r="AM23" s="61" t="n">
        <v>4.3</v>
      </c>
      <c r="AN23" s="61" t="n">
        <v>3.3</v>
      </c>
      <c r="AO23" s="61" t="n">
        <v>3.5</v>
      </c>
      <c r="AP23" s="61" t="n">
        <v>4.8</v>
      </c>
      <c r="AQ23" s="61" t="n">
        <v>4.5</v>
      </c>
      <c r="AR23" s="61" t="n">
        <v>3.1</v>
      </c>
      <c r="AS23" s="61" t="n">
        <v>3.1</v>
      </c>
      <c r="AT23" s="61" t="n">
        <v>3.1</v>
      </c>
      <c r="AU23" s="61" t="n">
        <v>4.1</v>
      </c>
      <c r="AV23" s="61" t="n">
        <v>3.9</v>
      </c>
      <c r="AW23" s="20" t="n">
        <v>3.6</v>
      </c>
      <c r="AX23" s="5">
        <f>IF(MAESTRO!B23="","",IFERROR(TRUNC(AVERAGE(AK23:AW23),1),""))</f>
        <v/>
      </c>
      <c r="AY23" s="22" t="n">
        <v>4.4</v>
      </c>
      <c r="AZ23" s="22" t="n">
        <v>3.7</v>
      </c>
      <c r="BA23" s="22" t="n">
        <v>4.8</v>
      </c>
      <c r="BB23" s="22" t="n">
        <v>3.3</v>
      </c>
      <c r="BC23" s="22" t="n">
        <v>3.2</v>
      </c>
      <c r="BD23" s="22" t="n">
        <v>3.6</v>
      </c>
      <c r="BE23" s="22" t="n">
        <v>4.3</v>
      </c>
      <c r="BF23" s="22" t="n">
        <v>3.9</v>
      </c>
      <c r="BG23" s="22" t="n">
        <v>4.9</v>
      </c>
      <c r="BH23" s="52" t="n">
        <v>3.4</v>
      </c>
      <c r="BI23" s="5">
        <f>IF(MAESTRO!B23="","",IFERROR(TRUNC(AVERAGE(AY23:BH23),1),""))</f>
        <v/>
      </c>
      <c r="BJ23" s="22" t="n">
        <v>4.9</v>
      </c>
      <c r="BK23" s="22" t="n">
        <v>3.6</v>
      </c>
      <c r="BL23" s="22">
        <f>IF(MAESTRO!B23="","",IFERROR(AVERAGE(BJ23:BK23),""))</f>
        <v/>
      </c>
      <c r="BM23" s="5">
        <f>IF(MAESTRO!B23="","",IFERROR(TRUNC(AVERAGE(AX23,BI23,BL23),1),""))</f>
        <v/>
      </c>
      <c r="BN23" s="177" t="n"/>
      <c r="BO23" s="177" t="n">
        <v>19</v>
      </c>
      <c r="BP23" s="177" t="n">
        <v>19</v>
      </c>
      <c r="BQ23" s="177">
        <f>IF(MAESTRO!B23="","",MAESTRO!B23)</f>
        <v/>
      </c>
      <c r="BR23" s="178" t="n"/>
      <c r="BS23" s="5" t="n">
        <v>3.5</v>
      </c>
      <c r="BT23" s="5" t="n">
        <v>3.4</v>
      </c>
      <c r="BU23" s="5" t="n">
        <v>3.1</v>
      </c>
      <c r="BV23" s="5" t="n">
        <v>3.5</v>
      </c>
      <c r="BW23" s="5" t="n">
        <v>4.2</v>
      </c>
      <c r="BX23" s="5" t="n">
        <v>4</v>
      </c>
      <c r="BY23" s="5" t="n">
        <v>3.6</v>
      </c>
      <c r="BZ23" s="5" t="n">
        <v>4.3</v>
      </c>
      <c r="CA23" s="5" t="n">
        <v>4.7</v>
      </c>
      <c r="CB23" s="5" t="n">
        <v>4.7</v>
      </c>
      <c r="CC23" s="5" t="n">
        <v>4.9</v>
      </c>
      <c r="CD23" s="5" t="n">
        <v>4.5</v>
      </c>
      <c r="CE23" s="5">
        <f>IF(MAESTRO!B23="","",IFERROR(TRUNC(AVERAGE(BS23:CD23),1),""))</f>
        <v/>
      </c>
      <c r="CF23" s="5" t="n">
        <v>3.2</v>
      </c>
      <c r="CG23" s="5" t="n">
        <v>3.3</v>
      </c>
      <c r="CH23" s="5" t="n">
        <v>3.2</v>
      </c>
      <c r="CI23" s="5" t="n">
        <v>4.7</v>
      </c>
      <c r="CJ23" s="5" t="n">
        <v>4.4</v>
      </c>
      <c r="CK23" s="5" t="n">
        <v>3.1</v>
      </c>
      <c r="CL23" s="5" t="n">
        <v>3.3</v>
      </c>
      <c r="CM23" s="5" t="n">
        <v>3</v>
      </c>
      <c r="CN23" s="5" t="n">
        <v>3.2</v>
      </c>
      <c r="CO23" s="5" t="n">
        <v>3.8</v>
      </c>
      <c r="CP23" s="5">
        <f>IF(MAESTRO!B23="","",IFERROR(TRUNC(AVERAGE(CF23:CO23),1),""))</f>
        <v/>
      </c>
      <c r="CQ23" s="5" t="n">
        <v>3.8</v>
      </c>
      <c r="CR23" s="5" t="n">
        <v>3.7</v>
      </c>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v>4.3</v>
      </c>
      <c r="D24" s="5" t="n">
        <v>4.6</v>
      </c>
      <c r="E24" s="5" t="n">
        <v>4.4</v>
      </c>
      <c r="F24" s="5" t="n">
        <v>4.2</v>
      </c>
      <c r="G24" s="5" t="n">
        <v>4.9</v>
      </c>
      <c r="H24" s="5" t="n">
        <v>4.7</v>
      </c>
      <c r="I24" s="5" t="n">
        <v>3.1</v>
      </c>
      <c r="J24" s="5" t="n">
        <v>4.4</v>
      </c>
      <c r="K24" s="5" t="n">
        <v>4.2</v>
      </c>
      <c r="L24" s="5" t="n">
        <v>4.4</v>
      </c>
      <c r="M24" s="5" t="n">
        <v>4.1</v>
      </c>
      <c r="N24" s="5" t="n">
        <v>4.1</v>
      </c>
      <c r="O24" s="5" t="n">
        <v>4.7</v>
      </c>
      <c r="P24" s="5">
        <f>IF(MAESTRO!B24="","",IFERROR(TRUNC(AVERAGE(C24:O24),1),""))</f>
        <v/>
      </c>
      <c r="Q24" s="95" t="n">
        <v>20</v>
      </c>
      <c r="R24" s="5" t="n">
        <v>4.5</v>
      </c>
      <c r="S24" s="22" t="n">
        <v>3</v>
      </c>
      <c r="T24" s="22" t="n">
        <v>4.3</v>
      </c>
      <c r="U24" s="22" t="n">
        <v>3.8</v>
      </c>
      <c r="V24" s="22" t="n">
        <v>4.1</v>
      </c>
      <c r="W24" s="22" t="n">
        <v>3.2</v>
      </c>
      <c r="X24" s="22" t="n">
        <v>3.8</v>
      </c>
      <c r="Y24" s="22" t="n">
        <v>4.7</v>
      </c>
      <c r="Z24" s="22" t="n">
        <v>3.6</v>
      </c>
      <c r="AA24" s="45">
        <f>IF(MAESTRO!B24="","",IFERROR(TRUNC(AVERAGE(R24:Z24),1),""))</f>
        <v/>
      </c>
      <c r="AB24" s="177" t="n">
        <v>3.3</v>
      </c>
      <c r="AC24" s="42" t="n">
        <v>4.3</v>
      </c>
      <c r="AD24" s="5">
        <f>IF(MAESTRO!B24="","",IFERROR(AVERAGE(AB24:AC24),""))</f>
        <v/>
      </c>
      <c r="AE24" s="44">
        <f>IF(MAESTRO!B24="","",IFERROR(TRUNC(AVERAGE(P24,AA24,AD24),1),""))</f>
        <v/>
      </c>
      <c r="AF24" s="177" t="n"/>
      <c r="AG24" s="177" t="n">
        <v>20</v>
      </c>
      <c r="AH24" s="177" t="n">
        <v>20</v>
      </c>
      <c r="AI24" s="177">
        <f>IF(MAESTRO!B24="","",MAESTRO!B24)</f>
        <v/>
      </c>
      <c r="AJ24" s="178" t="n"/>
      <c r="AK24" s="93" t="n">
        <v>3.4</v>
      </c>
      <c r="AL24" s="61" t="n">
        <v>3.9</v>
      </c>
      <c r="AM24" s="61" t="n">
        <v>4.5</v>
      </c>
      <c r="AN24" s="61" t="n">
        <v>4.3</v>
      </c>
      <c r="AO24" s="61" t="n">
        <v>4.5</v>
      </c>
      <c r="AP24" s="61" t="n">
        <v>4.3</v>
      </c>
      <c r="AQ24" s="61" t="n">
        <v>3.9</v>
      </c>
      <c r="AR24" s="61" t="n">
        <v>4.6</v>
      </c>
      <c r="AS24" s="61" t="n">
        <v>4</v>
      </c>
      <c r="AT24" s="61" t="n">
        <v>4.9</v>
      </c>
      <c r="AU24" s="61" t="n">
        <v>4.6</v>
      </c>
      <c r="AV24" s="61" t="n">
        <v>3</v>
      </c>
      <c r="AW24" s="20" t="n">
        <v>3.6</v>
      </c>
      <c r="AX24" s="5">
        <f>IF(MAESTRO!B24="","",IFERROR(TRUNC(AVERAGE(AK24:AW24),1),""))</f>
        <v/>
      </c>
      <c r="AY24" s="22" t="n">
        <v>4.7</v>
      </c>
      <c r="AZ24" s="22" t="n">
        <v>4.7</v>
      </c>
      <c r="BA24" s="22" t="n">
        <v>4.2</v>
      </c>
      <c r="BB24" s="22" t="n">
        <v>4.1</v>
      </c>
      <c r="BC24" s="22" t="n">
        <v>3.5</v>
      </c>
      <c r="BD24" s="22" t="n">
        <v>3.3</v>
      </c>
      <c r="BE24" s="22" t="n">
        <v>4.2</v>
      </c>
      <c r="BF24" s="22" t="n">
        <v>4.2</v>
      </c>
      <c r="BG24" s="22" t="n">
        <v>4.6</v>
      </c>
      <c r="BH24" s="52" t="n">
        <v>3.3</v>
      </c>
      <c r="BI24" s="5">
        <f>IF(MAESTRO!B24="","",IFERROR(TRUNC(AVERAGE(AY24:BH24),1),""))</f>
        <v/>
      </c>
      <c r="BJ24" s="22" t="n">
        <v>4.3</v>
      </c>
      <c r="BK24" s="22" t="n">
        <v>3.4</v>
      </c>
      <c r="BL24" s="22">
        <f>IF(MAESTRO!B24="","",IFERROR(AVERAGE(BJ24:BK24),""))</f>
        <v/>
      </c>
      <c r="BM24" s="5">
        <f>IF(MAESTRO!B24="","",IFERROR(TRUNC(AVERAGE(AX24,BI24,BL24),1),""))</f>
        <v/>
      </c>
      <c r="BN24" s="177" t="n"/>
      <c r="BO24" s="177" t="n">
        <v>20</v>
      </c>
      <c r="BP24" s="177" t="n">
        <v>20</v>
      </c>
      <c r="BQ24" s="177">
        <f>IF(MAESTRO!B24="","",MAESTRO!B24)</f>
        <v/>
      </c>
      <c r="BR24" s="178" t="n"/>
      <c r="BS24" s="5" t="n">
        <v>3.7</v>
      </c>
      <c r="BT24" s="5" t="n">
        <v>4.6</v>
      </c>
      <c r="BU24" s="5" t="n">
        <v>3.5</v>
      </c>
      <c r="BV24" s="5" t="n">
        <v>4.3</v>
      </c>
      <c r="BW24" s="5" t="n">
        <v>4.3</v>
      </c>
      <c r="BX24" s="5" t="n">
        <v>3.8</v>
      </c>
      <c r="BY24" s="5" t="n">
        <v>3.1</v>
      </c>
      <c r="BZ24" s="5" t="n">
        <v>3</v>
      </c>
      <c r="CA24" s="5" t="n">
        <v>4</v>
      </c>
      <c r="CB24" s="5" t="n">
        <v>4.3</v>
      </c>
      <c r="CC24" s="5" t="n">
        <v>4.5</v>
      </c>
      <c r="CD24" s="5" t="n">
        <v>3.5</v>
      </c>
      <c r="CE24" s="5">
        <f>IF(MAESTRO!B24="","",IFERROR(TRUNC(AVERAGE(BS24:CD24),1),""))</f>
        <v/>
      </c>
      <c r="CF24" s="5" t="n">
        <v>4.5</v>
      </c>
      <c r="CG24" s="5" t="n">
        <v>3</v>
      </c>
      <c r="CH24" s="5" t="n">
        <v>4.3</v>
      </c>
      <c r="CI24" s="5" t="n">
        <v>3</v>
      </c>
      <c r="CJ24" s="5" t="n">
        <v>4.2</v>
      </c>
      <c r="CK24" s="5" t="n">
        <v>3.6</v>
      </c>
      <c r="CL24" s="5" t="n">
        <v>3.8</v>
      </c>
      <c r="CM24" s="5" t="n">
        <v>3.7</v>
      </c>
      <c r="CN24" s="5" t="n">
        <v>3.5</v>
      </c>
      <c r="CO24" s="5" t="n">
        <v>4.5</v>
      </c>
      <c r="CP24" s="5">
        <f>IF(MAESTRO!B24="","",IFERROR(TRUNC(AVERAGE(CF24:CO24),1),""))</f>
        <v/>
      </c>
      <c r="CQ24" s="5" t="n">
        <v>4.3</v>
      </c>
      <c r="CR24" s="5" t="n">
        <v>3.2</v>
      </c>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v>4.2</v>
      </c>
      <c r="D25" s="5" t="n">
        <v>4</v>
      </c>
      <c r="E25" s="5" t="n">
        <v>3.3</v>
      </c>
      <c r="F25" s="5" t="n">
        <v>4.9</v>
      </c>
      <c r="G25" s="5" t="n">
        <v>3.4</v>
      </c>
      <c r="H25" s="5" t="n">
        <v>4.4</v>
      </c>
      <c r="I25" s="5" t="n">
        <v>4.7</v>
      </c>
      <c r="J25" s="5" t="n">
        <v>4.7</v>
      </c>
      <c r="K25" s="5" t="n">
        <v>3.8</v>
      </c>
      <c r="L25" s="5" t="n">
        <v>3.5</v>
      </c>
      <c r="M25" s="5" t="n">
        <v>4.1</v>
      </c>
      <c r="N25" s="5" t="n">
        <v>4.7</v>
      </c>
      <c r="O25" s="5" t="n">
        <v>3.3</v>
      </c>
      <c r="P25" s="5">
        <f>IF(MAESTRO!B25="","",IFERROR(TRUNC(AVERAGE(C25:O25),1),""))</f>
        <v/>
      </c>
      <c r="Q25" s="95" t="n">
        <v>21</v>
      </c>
      <c r="R25" s="5" t="n">
        <v>3.9</v>
      </c>
      <c r="S25" s="22" t="n">
        <v>3.3</v>
      </c>
      <c r="T25" s="22" t="n">
        <v>3.2</v>
      </c>
      <c r="U25" s="22" t="n">
        <v>4</v>
      </c>
      <c r="V25" s="22" t="n">
        <v>4.4</v>
      </c>
      <c r="W25" s="22" t="n">
        <v>4.8</v>
      </c>
      <c r="X25" s="22" t="n">
        <v>4</v>
      </c>
      <c r="Y25" s="22" t="n">
        <v>3.3</v>
      </c>
      <c r="Z25" s="22" t="n">
        <v>4.1</v>
      </c>
      <c r="AA25" s="45">
        <f>IF(MAESTRO!B25="","",IFERROR(TRUNC(AVERAGE(R25:Z25),1),""))</f>
        <v/>
      </c>
      <c r="AB25" s="177" t="n">
        <v>3.6</v>
      </c>
      <c r="AC25" s="42" t="n">
        <v>4.4</v>
      </c>
      <c r="AD25" s="5">
        <f>IF(MAESTRO!B25="","",IFERROR(AVERAGE(AB25:AC25),""))</f>
        <v/>
      </c>
      <c r="AE25" s="44">
        <f>IF(MAESTRO!B25="","",IFERROR(TRUNC(AVERAGE(P25,AA25,AD25),1),""))</f>
        <v/>
      </c>
      <c r="AF25" s="177" t="n"/>
      <c r="AG25" s="177" t="n">
        <v>21</v>
      </c>
      <c r="AH25" s="177" t="n">
        <v>21</v>
      </c>
      <c r="AI25" s="177">
        <f>IF(MAESTRO!B25="","",MAESTRO!B25)</f>
        <v/>
      </c>
      <c r="AJ25" s="178" t="n"/>
      <c r="AK25" s="93" t="n">
        <v>3.5</v>
      </c>
      <c r="AL25" s="61" t="n">
        <v>4.6</v>
      </c>
      <c r="AM25" s="61" t="n">
        <v>3.1</v>
      </c>
      <c r="AN25" s="61" t="n">
        <v>3.2</v>
      </c>
      <c r="AO25" s="91" t="n">
        <v>4.9</v>
      </c>
      <c r="AP25" s="61" t="n">
        <v>4.4</v>
      </c>
      <c r="AQ25" s="61" t="n">
        <v>4.9</v>
      </c>
      <c r="AR25" s="61" t="n">
        <v>4.8</v>
      </c>
      <c r="AS25" s="61" t="n">
        <v>5</v>
      </c>
      <c r="AT25" s="61" t="n">
        <v>4.3</v>
      </c>
      <c r="AU25" s="61" t="n">
        <v>4.9</v>
      </c>
      <c r="AV25" s="61" t="n">
        <v>3.4</v>
      </c>
      <c r="AW25" s="20" t="n">
        <v>5</v>
      </c>
      <c r="AX25" s="5">
        <f>IF(MAESTRO!B25="","",IFERROR(TRUNC(AVERAGE(AK25:AW25),1),""))</f>
        <v/>
      </c>
      <c r="AY25" s="22" t="n">
        <v>4.1</v>
      </c>
      <c r="AZ25" s="92" t="n">
        <v>4.8</v>
      </c>
      <c r="BA25" s="22" t="n">
        <v>3.6</v>
      </c>
      <c r="BB25" s="22" t="n">
        <v>4.8</v>
      </c>
      <c r="BC25" s="22" t="n">
        <v>4</v>
      </c>
      <c r="BD25" s="22" t="n">
        <v>4.9</v>
      </c>
      <c r="BE25" s="22" t="n">
        <v>3.6</v>
      </c>
      <c r="BF25" s="22" t="n">
        <v>4.9</v>
      </c>
      <c r="BG25" s="22" t="n">
        <v>5</v>
      </c>
      <c r="BH25" s="52" t="n">
        <v>3.2</v>
      </c>
      <c r="BI25" s="5">
        <f>IF(MAESTRO!B25="","",IFERROR(TRUNC(AVERAGE(AY25:BH25),1),""))</f>
        <v/>
      </c>
      <c r="BJ25" s="22" t="n">
        <v>4.7</v>
      </c>
      <c r="BK25" s="22" t="n">
        <v>4.3</v>
      </c>
      <c r="BL25" s="22">
        <f>IF(MAESTRO!B25="","",IFERROR(AVERAGE(BJ25:BK25),""))</f>
        <v/>
      </c>
      <c r="BM25" s="5">
        <f>IF(MAESTRO!B25="","",IFERROR(TRUNC(AVERAGE(AX25,BI25,BL25),1),""))</f>
        <v/>
      </c>
      <c r="BN25" s="177" t="n"/>
      <c r="BO25" s="177" t="n">
        <v>21</v>
      </c>
      <c r="BP25" s="177" t="n">
        <v>21</v>
      </c>
      <c r="BQ25" s="177">
        <f>IF(MAESTRO!B25="","",MAESTRO!B25)</f>
        <v/>
      </c>
      <c r="BR25" s="178" t="n"/>
      <c r="BS25" s="5" t="n">
        <v>4.6</v>
      </c>
      <c r="BT25" s="5" t="n">
        <v>3.9</v>
      </c>
      <c r="BU25" s="5" t="n">
        <v>3</v>
      </c>
      <c r="BV25" s="5" t="n">
        <v>4.5</v>
      </c>
      <c r="BW25" s="5" t="n">
        <v>3.7</v>
      </c>
      <c r="BX25" s="5" t="n">
        <v>3.7</v>
      </c>
      <c r="BY25" s="5" t="n">
        <v>3.5</v>
      </c>
      <c r="BZ25" s="5" t="n">
        <v>4.5</v>
      </c>
      <c r="CA25" s="5" t="n">
        <v>4.1</v>
      </c>
      <c r="CB25" s="5" t="n">
        <v>3.6</v>
      </c>
      <c r="CC25" s="5" t="n">
        <v>3.5</v>
      </c>
      <c r="CD25" s="5" t="n">
        <v>3.2</v>
      </c>
      <c r="CE25" s="5">
        <f>IF(MAESTRO!B25="","",IFERROR(TRUNC(AVERAGE(BS25:CD25),1),""))</f>
        <v/>
      </c>
      <c r="CF25" s="5" t="n">
        <v>3.7</v>
      </c>
      <c r="CG25" s="5" t="n">
        <v>3.2</v>
      </c>
      <c r="CH25" s="5" t="n">
        <v>3.4</v>
      </c>
      <c r="CI25" s="5" t="n">
        <v>4.4</v>
      </c>
      <c r="CJ25" s="5" t="n">
        <v>3.6</v>
      </c>
      <c r="CK25" s="5" t="n">
        <v>3.4</v>
      </c>
      <c r="CL25" s="5" t="n">
        <v>4.9</v>
      </c>
      <c r="CM25" s="5" t="n">
        <v>3.4</v>
      </c>
      <c r="CN25" s="5" t="n">
        <v>4.3</v>
      </c>
      <c r="CO25" s="5" t="n">
        <v>3.3</v>
      </c>
      <c r="CP25" s="5">
        <f>IF(MAESTRO!B25="","",IFERROR(TRUNC(AVERAGE(CF25:CO25),1),""))</f>
        <v/>
      </c>
      <c r="CQ25" s="5" t="n">
        <v>3.4</v>
      </c>
      <c r="CR25" s="5" t="n">
        <v>3.2</v>
      </c>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v>4.8</v>
      </c>
      <c r="D26" s="5" t="n">
        <v>4.7</v>
      </c>
      <c r="E26" s="5" t="n">
        <v>4.7</v>
      </c>
      <c r="F26" s="5" t="n">
        <v>4.9</v>
      </c>
      <c r="G26" s="5" t="n">
        <v>3.7</v>
      </c>
      <c r="H26" s="5" t="n">
        <v>4.1</v>
      </c>
      <c r="I26" s="5" t="n">
        <v>3.4</v>
      </c>
      <c r="J26" s="5" t="n">
        <v>4.1</v>
      </c>
      <c r="K26" s="5" t="n">
        <v>3.5</v>
      </c>
      <c r="L26" s="5" t="n">
        <v>4.2</v>
      </c>
      <c r="M26" s="5" t="n">
        <v>3.2</v>
      </c>
      <c r="N26" s="5" t="n">
        <v>3.7</v>
      </c>
      <c r="O26" s="5" t="n">
        <v>4.3</v>
      </c>
      <c r="P26" s="5">
        <f>IF(MAESTRO!B26="","",IFERROR(TRUNC(AVERAGE(C26:O26),1),""))</f>
        <v/>
      </c>
      <c r="Q26" s="95" t="n">
        <v>22</v>
      </c>
      <c r="R26" s="5" t="n">
        <v>4.2</v>
      </c>
      <c r="S26" s="22" t="n">
        <v>4.3</v>
      </c>
      <c r="T26" s="22" t="n">
        <v>3.8</v>
      </c>
      <c r="U26" s="22" t="n">
        <v>3.2</v>
      </c>
      <c r="V26" s="22" t="n">
        <v>3.7</v>
      </c>
      <c r="W26" s="22" t="n">
        <v>4.5</v>
      </c>
      <c r="X26" s="22" t="n">
        <v>3.7</v>
      </c>
      <c r="Y26" s="22" t="n">
        <v>3.7</v>
      </c>
      <c r="Z26" s="22" t="n">
        <v>4.8</v>
      </c>
      <c r="AA26" s="45">
        <f>IF(MAESTRO!B26="","",IFERROR(TRUNC(AVERAGE(R26:Z26),1),""))</f>
        <v/>
      </c>
      <c r="AB26" s="177" t="n">
        <v>4.8</v>
      </c>
      <c r="AC26" s="42" t="n">
        <v>4.3</v>
      </c>
      <c r="AD26" s="5">
        <f>IF(MAESTRO!B26="","",IFERROR(AVERAGE(AB26:AC26),""))</f>
        <v/>
      </c>
      <c r="AE26" s="44">
        <f>IF(MAESTRO!B26="","",IFERROR(TRUNC(AVERAGE(P26,AA26,AD26),1),""))</f>
        <v/>
      </c>
      <c r="AF26" s="177" t="n"/>
      <c r="AG26" s="177" t="n">
        <v>22</v>
      </c>
      <c r="AH26" s="177" t="n">
        <v>22</v>
      </c>
      <c r="AI26" s="177">
        <f>IF(MAESTRO!B26="","",MAESTRO!B26)</f>
        <v/>
      </c>
      <c r="AJ26" s="178" t="n"/>
      <c r="AK26" s="93" t="n">
        <v>4.6</v>
      </c>
      <c r="AL26" s="61" t="n">
        <v>4.1</v>
      </c>
      <c r="AM26" s="91" t="n">
        <v>4.2</v>
      </c>
      <c r="AN26" s="61" t="n">
        <v>3.6</v>
      </c>
      <c r="AO26" s="91" t="n">
        <v>4.3</v>
      </c>
      <c r="AP26" s="61" t="n">
        <v>3.6</v>
      </c>
      <c r="AQ26" s="61" t="n">
        <v>3.4</v>
      </c>
      <c r="AR26" s="61" t="n">
        <v>3.1</v>
      </c>
      <c r="AS26" s="61" t="n">
        <v>4</v>
      </c>
      <c r="AT26" s="61" t="n">
        <v>4.3</v>
      </c>
      <c r="AU26" s="61" t="n">
        <v>4.2</v>
      </c>
      <c r="AV26" s="61" t="n">
        <v>4.9</v>
      </c>
      <c r="AW26" s="20" t="n">
        <v>3.4</v>
      </c>
      <c r="AX26" s="5">
        <f>IF(MAESTRO!B26="","",IFERROR(TRUNC(AVERAGE(AK26:AW26),1),""))</f>
        <v/>
      </c>
      <c r="AY26" s="22" t="n">
        <v>3.5</v>
      </c>
      <c r="AZ26" s="92" t="n">
        <v>3.1</v>
      </c>
      <c r="BA26" s="22" t="n">
        <v>3.6</v>
      </c>
      <c r="BB26" s="22" t="n">
        <v>4.6</v>
      </c>
      <c r="BC26" s="22" t="n">
        <v>4.1</v>
      </c>
      <c r="BD26" s="22" t="n">
        <v>3.5</v>
      </c>
      <c r="BE26" s="22" t="n">
        <v>3.8</v>
      </c>
      <c r="BF26" s="22" t="n">
        <v>4.4</v>
      </c>
      <c r="BG26" s="22" t="n">
        <v>4.3</v>
      </c>
      <c r="BH26" s="52" t="n">
        <v>3.8</v>
      </c>
      <c r="BI26" s="5">
        <f>IF(MAESTRO!B26="","",IFERROR(TRUNC(AVERAGE(AY26:BH26),1),""))</f>
        <v/>
      </c>
      <c r="BJ26" s="22" t="n">
        <v>4.7</v>
      </c>
      <c r="BK26" s="22" t="n">
        <v>4.7</v>
      </c>
      <c r="BL26" s="22">
        <f>IF(MAESTRO!B26="","",IFERROR(AVERAGE(BJ26:BK26),""))</f>
        <v/>
      </c>
      <c r="BM26" s="5">
        <f>IF(MAESTRO!B26="","",IFERROR(TRUNC(AVERAGE(AX26,BI26,BL26),1),""))</f>
        <v/>
      </c>
      <c r="BN26" s="177" t="n"/>
      <c r="BO26" s="177" t="n">
        <v>22</v>
      </c>
      <c r="BP26" s="177" t="n">
        <v>22</v>
      </c>
      <c r="BQ26" s="177">
        <f>IF(MAESTRO!B26="","",MAESTRO!B26)</f>
        <v/>
      </c>
      <c r="BR26" s="178" t="n"/>
      <c r="BS26" s="5" t="n">
        <v>4.3</v>
      </c>
      <c r="BT26" s="89" t="n">
        <v>4.2</v>
      </c>
      <c r="BU26" s="89" t="n">
        <v>4.8</v>
      </c>
      <c r="BV26" s="5" t="n">
        <v>3.6</v>
      </c>
      <c r="BW26" s="5" t="n">
        <v>4.5</v>
      </c>
      <c r="BX26" s="5" t="n">
        <v>4.4</v>
      </c>
      <c r="BY26" s="5" t="n">
        <v>3.1</v>
      </c>
      <c r="BZ26" s="5" t="n">
        <v>4.4</v>
      </c>
      <c r="CA26" s="5" t="n">
        <v>3.5</v>
      </c>
      <c r="CB26" s="5" t="n">
        <v>3.1</v>
      </c>
      <c r="CC26" s="5" t="n">
        <v>4.1</v>
      </c>
      <c r="CD26" s="5" t="n">
        <v>3.2</v>
      </c>
      <c r="CE26" s="5">
        <f>IF(MAESTRO!B26="","",IFERROR(TRUNC(AVERAGE(BS26:CD26),1),""))</f>
        <v/>
      </c>
      <c r="CF26" s="5" t="n">
        <v>4.5</v>
      </c>
      <c r="CG26" s="5" t="n">
        <v>3.9</v>
      </c>
      <c r="CH26" s="5" t="n">
        <v>4.5</v>
      </c>
      <c r="CI26" s="5" t="n">
        <v>3.2</v>
      </c>
      <c r="CJ26" s="5" t="n">
        <v>4.8</v>
      </c>
      <c r="CK26" s="5" t="n">
        <v>3.1</v>
      </c>
      <c r="CL26" s="5" t="n">
        <v>3.7</v>
      </c>
      <c r="CM26" s="5" t="n">
        <v>3.3</v>
      </c>
      <c r="CN26" s="5" t="n">
        <v>3.8</v>
      </c>
      <c r="CO26" s="5" t="n">
        <v>4.4</v>
      </c>
      <c r="CP26" s="5">
        <f>IF(MAESTRO!B26="","",IFERROR(TRUNC(AVERAGE(CF26:CO26),1),""))</f>
        <v/>
      </c>
      <c r="CQ26" s="5" t="n">
        <v>3.3</v>
      </c>
      <c r="CR26" s="5" t="n">
        <v>3.7</v>
      </c>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v>3.7</v>
      </c>
      <c r="D27" s="5" t="n">
        <v>4.5</v>
      </c>
      <c r="E27" s="5" t="n">
        <v>3.1</v>
      </c>
      <c r="F27" s="5" t="n">
        <v>3.4</v>
      </c>
      <c r="G27" s="5" t="n">
        <v>4.5</v>
      </c>
      <c r="H27" s="5" t="n">
        <v>4.1</v>
      </c>
      <c r="I27" s="5" t="n">
        <v>4</v>
      </c>
      <c r="J27" s="5" t="n">
        <v>4.3</v>
      </c>
      <c r="K27" s="5" t="n">
        <v>4.7</v>
      </c>
      <c r="L27" s="5" t="n">
        <v>3.9</v>
      </c>
      <c r="M27" s="5" t="n">
        <v>3.1</v>
      </c>
      <c r="N27" s="5" t="n">
        <v>3.8</v>
      </c>
      <c r="O27" s="5" t="n">
        <v>3.9</v>
      </c>
      <c r="P27" s="5">
        <f>IF(MAESTRO!B27="","",IFERROR(TRUNC(AVERAGE(C27:O27),1),""))</f>
        <v/>
      </c>
      <c r="Q27" s="95" t="n">
        <v>23</v>
      </c>
      <c r="R27" s="5" t="n">
        <v>3.2</v>
      </c>
      <c r="S27" s="22" t="n">
        <v>4.5</v>
      </c>
      <c r="T27" s="22" t="n">
        <v>4.9</v>
      </c>
      <c r="U27" s="22" t="n">
        <v>3.9</v>
      </c>
      <c r="V27" s="22" t="n">
        <v>4.3</v>
      </c>
      <c r="W27" s="22" t="n">
        <v>4.3</v>
      </c>
      <c r="X27" s="22" t="n">
        <v>4.1</v>
      </c>
      <c r="Y27" s="22" t="n">
        <v>4.2</v>
      </c>
      <c r="Z27" s="22" t="n">
        <v>4.4</v>
      </c>
      <c r="AA27" s="45">
        <f>IF(MAESTRO!B27="","",IFERROR(TRUNC(AVERAGE(R27:Z27),1),""))</f>
        <v/>
      </c>
      <c r="AB27" s="177" t="n">
        <v>4.3</v>
      </c>
      <c r="AC27" s="42" t="n">
        <v>3.1</v>
      </c>
      <c r="AD27" s="5">
        <f>IF(MAESTRO!B27="","",IFERROR(AVERAGE(AB27:AC27),""))</f>
        <v/>
      </c>
      <c r="AE27" s="44">
        <f>IF(MAESTRO!B27="","",IFERROR(TRUNC(AVERAGE(P27,AA27,AD27),1),""))</f>
        <v/>
      </c>
      <c r="AF27" s="177" t="n"/>
      <c r="AG27" s="177" t="n">
        <v>23</v>
      </c>
      <c r="AH27" s="177" t="n">
        <v>23</v>
      </c>
      <c r="AI27" s="177">
        <f>IF(MAESTRO!B27="","",MAESTRO!B27)</f>
        <v/>
      </c>
      <c r="AJ27" s="178" t="n"/>
      <c r="AK27" s="93" t="n">
        <v>4</v>
      </c>
      <c r="AL27" s="61" t="n">
        <v>3.8</v>
      </c>
      <c r="AM27" s="91" t="n">
        <v>3.5</v>
      </c>
      <c r="AN27" s="61" t="n">
        <v>3.4</v>
      </c>
      <c r="AO27" s="91" t="n">
        <v>4.9</v>
      </c>
      <c r="AP27" s="61" t="n">
        <v>3.6</v>
      </c>
      <c r="AQ27" s="61" t="n">
        <v>4.5</v>
      </c>
      <c r="AR27" s="61" t="n">
        <v>3.9</v>
      </c>
      <c r="AS27" s="61" t="n">
        <v>4.8</v>
      </c>
      <c r="AT27" s="61" t="n">
        <v>4.1</v>
      </c>
      <c r="AU27" s="61" t="n">
        <v>3.7</v>
      </c>
      <c r="AV27" s="61" t="n">
        <v>3.8</v>
      </c>
      <c r="AW27" s="20" t="n">
        <v>4.8</v>
      </c>
      <c r="AX27" s="5">
        <f>IF(MAESTRO!B27="","",IFERROR(TRUNC(AVERAGE(AK27:AW27),1),""))</f>
        <v/>
      </c>
      <c r="AY27" s="22" t="n">
        <v>4.2</v>
      </c>
      <c r="AZ27" s="92" t="n">
        <v>3.6</v>
      </c>
      <c r="BA27" s="22" t="n">
        <v>3.6</v>
      </c>
      <c r="BB27" s="22" t="n">
        <v>3.8</v>
      </c>
      <c r="BC27" s="22" t="n">
        <v>3.5</v>
      </c>
      <c r="BD27" s="22" t="n">
        <v>4.1</v>
      </c>
      <c r="BE27" s="22" t="n">
        <v>4.2</v>
      </c>
      <c r="BF27" s="22" t="n">
        <v>3.8</v>
      </c>
      <c r="BG27" s="22" t="n">
        <v>4.9</v>
      </c>
      <c r="BH27" s="52" t="n">
        <v>4.3</v>
      </c>
      <c r="BI27" s="5">
        <f>IF(MAESTRO!B27="","",IFERROR(TRUNC(AVERAGE(AY27:BH27),1),""))</f>
        <v/>
      </c>
      <c r="BJ27" s="22" t="n">
        <v>3.6</v>
      </c>
      <c r="BK27" s="22" t="n">
        <v>4.7</v>
      </c>
      <c r="BL27" s="22">
        <f>IF(MAESTRO!B27="","",IFERROR(AVERAGE(BJ27:BK27),""))</f>
        <v/>
      </c>
      <c r="BM27" s="5">
        <f>IF(MAESTRO!B27="","",IFERROR(TRUNC(AVERAGE(AX27,BI27,BL27),1),""))</f>
        <v/>
      </c>
      <c r="BN27" s="177" t="n"/>
      <c r="BO27" s="177" t="n">
        <v>23</v>
      </c>
      <c r="BP27" s="177" t="n">
        <v>23</v>
      </c>
      <c r="BQ27" s="177">
        <f>IF(MAESTRO!B27="","",MAESTRO!B27)</f>
        <v/>
      </c>
      <c r="BR27" s="178" t="n"/>
      <c r="BS27" s="5" t="n">
        <v>3.6</v>
      </c>
      <c r="BT27" s="89" t="n">
        <v>4.1</v>
      </c>
      <c r="BU27" s="89" t="n">
        <v>3.1</v>
      </c>
      <c r="BV27" s="5" t="n">
        <v>3.1</v>
      </c>
      <c r="BW27" s="5" t="n">
        <v>4.1</v>
      </c>
      <c r="BX27" s="5" t="n">
        <v>4.9</v>
      </c>
      <c r="BY27" s="5" t="n">
        <v>4.7</v>
      </c>
      <c r="BZ27" s="5" t="n">
        <v>3.3</v>
      </c>
      <c r="CA27" s="5" t="n">
        <v>3.1</v>
      </c>
      <c r="CB27" s="5" t="n">
        <v>3.6</v>
      </c>
      <c r="CC27" s="5" t="n">
        <v>3.7</v>
      </c>
      <c r="CD27" s="5" t="n">
        <v>3.7</v>
      </c>
      <c r="CE27" s="5">
        <f>IF(MAESTRO!B27="","",IFERROR(TRUNC(AVERAGE(BS27:CD27),1),""))</f>
        <v/>
      </c>
      <c r="CF27" s="5" t="n">
        <v>4</v>
      </c>
      <c r="CG27" s="5" t="n">
        <v>3.4</v>
      </c>
      <c r="CH27" s="5" t="n">
        <v>4.1</v>
      </c>
      <c r="CI27" s="5" t="n">
        <v>3.8</v>
      </c>
      <c r="CJ27" s="5" t="n">
        <v>4.4</v>
      </c>
      <c r="CK27" s="5" t="n">
        <v>3.9</v>
      </c>
      <c r="CL27" s="5" t="n">
        <v>3.6</v>
      </c>
      <c r="CM27" s="5" t="n">
        <v>3.3</v>
      </c>
      <c r="CN27" s="5" t="n">
        <v>3.4</v>
      </c>
      <c r="CO27" s="5" t="n">
        <v>3.7</v>
      </c>
      <c r="CP27" s="5">
        <f>IF(MAESTRO!B27="","",IFERROR(TRUNC(AVERAGE(CF27:CO27),1),""))</f>
        <v/>
      </c>
      <c r="CQ27" s="5" t="n">
        <v>3.7</v>
      </c>
      <c r="CR27" s="5" t="n">
        <v>3.8</v>
      </c>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v>3.8</v>
      </c>
      <c r="D28" s="5" t="n">
        <v>3.6</v>
      </c>
      <c r="E28" s="5" t="n">
        <v>3.9</v>
      </c>
      <c r="F28" s="5" t="n">
        <v>3.4</v>
      </c>
      <c r="G28" s="5" t="n">
        <v>3.4</v>
      </c>
      <c r="H28" s="5" t="n">
        <v>4.7</v>
      </c>
      <c r="I28" s="5" t="n">
        <v>4.4</v>
      </c>
      <c r="J28" s="5" t="n">
        <v>3.9</v>
      </c>
      <c r="K28" s="5" t="n">
        <v>4.8</v>
      </c>
      <c r="L28" s="5" t="n">
        <v>3.5</v>
      </c>
      <c r="M28" s="5" t="n">
        <v>4.2</v>
      </c>
      <c r="N28" s="5" t="n">
        <v>4.3</v>
      </c>
      <c r="O28" s="5" t="n">
        <v>3.3</v>
      </c>
      <c r="P28" s="5">
        <f>IF(MAESTRO!B28="","",IFERROR(TRUNC(AVERAGE(C28:O28),1),""))</f>
        <v/>
      </c>
      <c r="Q28" s="95" t="n">
        <v>24</v>
      </c>
      <c r="R28" s="5" t="n">
        <v>4</v>
      </c>
      <c r="S28" s="22" t="n">
        <v>3.4</v>
      </c>
      <c r="T28" s="22" t="n">
        <v>3.8</v>
      </c>
      <c r="U28" s="22" t="n">
        <v>3.9</v>
      </c>
      <c r="V28" s="22" t="n">
        <v>4.5</v>
      </c>
      <c r="W28" s="22" t="n">
        <v>4.1</v>
      </c>
      <c r="X28" s="22" t="n">
        <v>3.3</v>
      </c>
      <c r="Y28" s="22" t="n">
        <v>4.1</v>
      </c>
      <c r="Z28" s="22" t="n">
        <v>3.5</v>
      </c>
      <c r="AA28" s="45">
        <f>IF(MAESTRO!B28="","",IFERROR(TRUNC(AVERAGE(R28:Z28),1),""))</f>
        <v/>
      </c>
      <c r="AB28" s="177" t="n">
        <v>4.3</v>
      </c>
      <c r="AC28" s="42" t="n">
        <v>3.3</v>
      </c>
      <c r="AD28" s="5">
        <f>IF(MAESTRO!B28="","",IFERROR(AVERAGE(AB28:AC28),""))</f>
        <v/>
      </c>
      <c r="AE28" s="44">
        <f>IF(MAESTRO!B28="","",IFERROR(TRUNC(AVERAGE(P28,AA28,AD28),1),""))</f>
        <v/>
      </c>
      <c r="AF28" s="177" t="n"/>
      <c r="AG28" s="177" t="n">
        <v>24</v>
      </c>
      <c r="AH28" s="177" t="n">
        <v>24</v>
      </c>
      <c r="AI28" s="177">
        <f>IF(MAESTRO!B28="","",MAESTRO!B28)</f>
        <v/>
      </c>
      <c r="AJ28" s="178" t="n"/>
      <c r="AK28" s="93" t="n">
        <v>4.3</v>
      </c>
      <c r="AL28" s="91" t="n">
        <v>3.8</v>
      </c>
      <c r="AM28" s="91" t="n">
        <v>4.5</v>
      </c>
      <c r="AN28" s="91" t="n">
        <v>4.7</v>
      </c>
      <c r="AO28" s="91" t="n">
        <v>3.8</v>
      </c>
      <c r="AP28" s="91" t="n">
        <v>4.4</v>
      </c>
      <c r="AQ28" s="61" t="n">
        <v>4.9</v>
      </c>
      <c r="AR28" s="61" t="n">
        <v>3.5</v>
      </c>
      <c r="AS28" s="61" t="n">
        <v>4.2</v>
      </c>
      <c r="AT28" s="61" t="n">
        <v>3.8</v>
      </c>
      <c r="AU28" s="61" t="n">
        <v>4.5</v>
      </c>
      <c r="AV28" s="61" t="n">
        <v>3.8</v>
      </c>
      <c r="AW28" s="20" t="n">
        <v>3.7</v>
      </c>
      <c r="AX28" s="5">
        <f>IF(MAESTRO!B28="","",IFERROR(TRUNC(AVERAGE(AK28:AW28),1),""))</f>
        <v/>
      </c>
      <c r="AY28" s="22" t="n">
        <v>4</v>
      </c>
      <c r="AZ28" s="92" t="n">
        <v>3.5</v>
      </c>
      <c r="BA28" s="22" t="n">
        <v>3.6</v>
      </c>
      <c r="BB28" s="22" t="n">
        <v>3.3</v>
      </c>
      <c r="BC28" s="22" t="n">
        <v>4.1</v>
      </c>
      <c r="BD28" s="22" t="n">
        <v>4.8</v>
      </c>
      <c r="BE28" s="22" t="n">
        <v>4.3</v>
      </c>
      <c r="BF28" s="22" t="n">
        <v>4.2</v>
      </c>
      <c r="BG28" s="22" t="n">
        <v>3.8</v>
      </c>
      <c r="BH28" s="52" t="n">
        <v>3.2</v>
      </c>
      <c r="BI28" s="5">
        <f>IF(MAESTRO!B28="","",IFERROR(TRUNC(AVERAGE(AY28:BH28),1),""))</f>
        <v/>
      </c>
      <c r="BJ28" s="22" t="n">
        <v>4.3</v>
      </c>
      <c r="BK28" s="22" t="n">
        <v>4.9</v>
      </c>
      <c r="BL28" s="22">
        <f>IF(MAESTRO!B28="","",IFERROR(AVERAGE(BJ28:BK28),""))</f>
        <v/>
      </c>
      <c r="BM28" s="5">
        <f>IF(MAESTRO!B28="","",IFERROR(TRUNC(AVERAGE(AX28,BI28,BL28),1),""))</f>
        <v/>
      </c>
      <c r="BN28" s="177" t="n"/>
      <c r="BO28" s="177" t="n">
        <v>24</v>
      </c>
      <c r="BP28" s="177" t="n">
        <v>24</v>
      </c>
      <c r="BQ28" s="177">
        <f>IF(MAESTRO!B28="","",MAESTRO!B28)</f>
        <v/>
      </c>
      <c r="BR28" s="178" t="n"/>
      <c r="BS28" s="5" t="n">
        <v>4.3</v>
      </c>
      <c r="BT28" s="89" t="n">
        <v>4.9</v>
      </c>
      <c r="BU28" s="89" t="n">
        <v>4.1</v>
      </c>
      <c r="BV28" s="5" t="n">
        <v>4.2</v>
      </c>
      <c r="BW28" s="5" t="n">
        <v>3.8</v>
      </c>
      <c r="BX28" s="5" t="n">
        <v>3.5</v>
      </c>
      <c r="BY28" s="5" t="n">
        <v>4.6</v>
      </c>
      <c r="BZ28" s="5" t="n">
        <v>3</v>
      </c>
      <c r="CA28" s="5" t="n">
        <v>4.3</v>
      </c>
      <c r="CB28" s="5" t="n">
        <v>4.2</v>
      </c>
      <c r="CC28" s="5" t="n">
        <v>3.3</v>
      </c>
      <c r="CD28" s="5" t="n">
        <v>4.2</v>
      </c>
      <c r="CE28" s="5">
        <f>IF(MAESTRO!B28="","",IFERROR(TRUNC(AVERAGE(BS28:CD28),1),""))</f>
        <v/>
      </c>
      <c r="CF28" s="5" t="n">
        <v>4.8</v>
      </c>
      <c r="CG28" s="5" t="n">
        <v>3.3</v>
      </c>
      <c r="CH28" s="5" t="n">
        <v>3.4</v>
      </c>
      <c r="CI28" s="89" t="n">
        <v>3.9</v>
      </c>
      <c r="CJ28" s="5" t="n">
        <v>3.2</v>
      </c>
      <c r="CK28" s="5" t="n">
        <v>4.5</v>
      </c>
      <c r="CL28" s="5" t="n">
        <v>3.1</v>
      </c>
      <c r="CM28" s="5" t="n">
        <v>4.9</v>
      </c>
      <c r="CN28" s="5" t="n">
        <v>3.4</v>
      </c>
      <c r="CO28" s="5" t="n">
        <v>4.1</v>
      </c>
      <c r="CP28" s="5">
        <f>IF(MAESTRO!B28="","",IFERROR(TRUNC(AVERAGE(CF28:CO28),1),""))</f>
        <v/>
      </c>
      <c r="CQ28" s="5" t="n">
        <v>4.9</v>
      </c>
      <c r="CR28" s="5" t="n">
        <v>3.3</v>
      </c>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v>4.3</v>
      </c>
      <c r="D29" s="5" t="n">
        <v>3.8</v>
      </c>
      <c r="E29" s="5" t="n">
        <v>3.1</v>
      </c>
      <c r="F29" s="89" t="n">
        <v>3</v>
      </c>
      <c r="G29" s="5" t="n">
        <v>3.2</v>
      </c>
      <c r="H29" s="5" t="n">
        <v>3.9</v>
      </c>
      <c r="I29" s="5" t="n">
        <v>3.4</v>
      </c>
      <c r="J29" s="5" t="n">
        <v>4.3</v>
      </c>
      <c r="K29" s="5" t="n">
        <v>4.7</v>
      </c>
      <c r="L29" s="5" t="n">
        <v>4.9</v>
      </c>
      <c r="M29" s="5" t="n">
        <v>4.9</v>
      </c>
      <c r="N29" s="5" t="n">
        <v>4.3</v>
      </c>
      <c r="O29" s="5" t="n">
        <v>3.7</v>
      </c>
      <c r="P29" s="5">
        <f>IF(MAESTRO!B29="","",IFERROR(TRUNC(AVERAGE(C29:O29),1),""))</f>
        <v/>
      </c>
      <c r="Q29" s="95" t="n">
        <v>25</v>
      </c>
      <c r="R29" s="5" t="n">
        <v>3.6</v>
      </c>
      <c r="S29" s="22" t="n">
        <v>3.6</v>
      </c>
      <c r="T29" s="22" t="n">
        <v>3.2</v>
      </c>
      <c r="U29" s="22" t="n">
        <v>3.9</v>
      </c>
      <c r="V29" s="22" t="n">
        <v>3.1</v>
      </c>
      <c r="W29" s="22" t="n">
        <v>3.8</v>
      </c>
      <c r="X29" s="22" t="n">
        <v>3.5</v>
      </c>
      <c r="Y29" s="22" t="n">
        <v>3.9</v>
      </c>
      <c r="Z29" s="22" t="n">
        <v>3.7</v>
      </c>
      <c r="AA29" s="45">
        <f>IF(MAESTRO!B29="","",IFERROR(TRUNC(AVERAGE(R29:Z29),1),""))</f>
        <v/>
      </c>
      <c r="AB29" s="177" t="n">
        <v>3.4</v>
      </c>
      <c r="AC29" s="42" t="n">
        <v>4.8</v>
      </c>
      <c r="AD29" s="5">
        <f>IF(MAESTRO!B29="","",IFERROR(AVERAGE(AB29:AC29),""))</f>
        <v/>
      </c>
      <c r="AE29" s="44">
        <f>IF(MAESTRO!B29="","",IFERROR(TRUNC(AVERAGE(P29,AA29,AD29),1),""))</f>
        <v/>
      </c>
      <c r="AF29" s="177" t="n"/>
      <c r="AG29" s="177" t="n">
        <v>25</v>
      </c>
      <c r="AH29" s="177" t="n">
        <v>25</v>
      </c>
      <c r="AI29" s="177">
        <f>IF(MAESTRO!B29="","",MAESTRO!B29)</f>
        <v/>
      </c>
      <c r="AJ29" s="178" t="n"/>
      <c r="AK29" s="93" t="n">
        <v>3.6</v>
      </c>
      <c r="AL29" s="91" t="n">
        <v>4.7</v>
      </c>
      <c r="AM29" s="91" t="n">
        <v>4.1</v>
      </c>
      <c r="AN29" s="91" t="n">
        <v>4.6</v>
      </c>
      <c r="AO29" s="91" t="n">
        <v>4.6</v>
      </c>
      <c r="AP29" s="91" t="n">
        <v>3.9</v>
      </c>
      <c r="AQ29" s="61" t="n">
        <v>4</v>
      </c>
      <c r="AR29" s="61" t="n">
        <v>4</v>
      </c>
      <c r="AS29" s="61" t="n">
        <v>3.5</v>
      </c>
      <c r="AT29" s="61" t="n">
        <v>4.7</v>
      </c>
      <c r="AU29" s="61" t="n">
        <v>3.6</v>
      </c>
      <c r="AV29" s="61" t="n">
        <v>3.9</v>
      </c>
      <c r="AW29" s="20" t="n">
        <v>4</v>
      </c>
      <c r="AX29" s="5">
        <f>IF(MAESTRO!B29="","",IFERROR(TRUNC(AVERAGE(AK29:AW29),1),""))</f>
        <v/>
      </c>
      <c r="AY29" s="63" t="n">
        <v>3.8</v>
      </c>
      <c r="AZ29" s="92" t="n">
        <v>3.2</v>
      </c>
      <c r="BA29" s="92" t="n">
        <v>3.4</v>
      </c>
      <c r="BB29" s="92" t="n">
        <v>4.1</v>
      </c>
      <c r="BC29" s="92" t="n">
        <v>4.4</v>
      </c>
      <c r="BD29" s="63" t="n">
        <v>3.8</v>
      </c>
      <c r="BE29" s="63" t="n">
        <v>4.1</v>
      </c>
      <c r="BF29" s="63" t="n">
        <v>3.2</v>
      </c>
      <c r="BG29" s="63" t="n">
        <v>4.8</v>
      </c>
      <c r="BH29" s="52" t="n">
        <v>3.5</v>
      </c>
      <c r="BI29" s="5">
        <f>IF(MAESTRO!B29="","",IFERROR(TRUNC(AVERAGE(AY29:BH29),1),""))</f>
        <v/>
      </c>
      <c r="BJ29" s="22" t="n">
        <v>3.4</v>
      </c>
      <c r="BK29" s="22" t="n">
        <v>3.9</v>
      </c>
      <c r="BL29" s="22">
        <f>IF(MAESTRO!B29="","",IFERROR(AVERAGE(BJ29:BK29),""))</f>
        <v/>
      </c>
      <c r="BM29" s="5">
        <f>IF(MAESTRO!B29="","",IFERROR(TRUNC(AVERAGE(AX29,BI29,BL29),1),""))</f>
        <v/>
      </c>
      <c r="BN29" s="177" t="n"/>
      <c r="BO29" s="177" t="n">
        <v>25</v>
      </c>
      <c r="BP29" s="177" t="n">
        <v>25</v>
      </c>
      <c r="BQ29" s="177">
        <f>IF(MAESTRO!B29="","",MAESTRO!B29)</f>
        <v/>
      </c>
      <c r="BR29" s="178" t="n"/>
      <c r="BS29" s="5" t="n">
        <v>4.9</v>
      </c>
      <c r="BT29" s="89" t="n">
        <v>3.6</v>
      </c>
      <c r="BU29" s="89" t="n">
        <v>3</v>
      </c>
      <c r="BV29" s="5" t="n">
        <v>4.9</v>
      </c>
      <c r="BW29" s="5" t="n">
        <v>4.5</v>
      </c>
      <c r="BX29" s="5" t="n">
        <v>4.4</v>
      </c>
      <c r="BY29" s="5" t="n">
        <v>3.9</v>
      </c>
      <c r="BZ29" s="5" t="n">
        <v>3.4</v>
      </c>
      <c r="CA29" s="5" t="n">
        <v>4.7</v>
      </c>
      <c r="CB29" s="5" t="n">
        <v>3.2</v>
      </c>
      <c r="CC29" s="5" t="n">
        <v>3.5</v>
      </c>
      <c r="CD29" s="5" t="n">
        <v>3.4</v>
      </c>
      <c r="CE29" s="5">
        <f>IF(MAESTRO!B29="","",IFERROR(TRUNC(AVERAGE(BS29:CD29),1),""))</f>
        <v/>
      </c>
      <c r="CF29" s="5" t="n">
        <v>3.8</v>
      </c>
      <c r="CG29" s="5" t="n">
        <v>4.6</v>
      </c>
      <c r="CH29" s="5" t="n">
        <v>4.4</v>
      </c>
      <c r="CI29" s="89" t="n">
        <v>4.4</v>
      </c>
      <c r="CJ29" s="5" t="n">
        <v>3.8</v>
      </c>
      <c r="CK29" s="5" t="n">
        <v>3.5</v>
      </c>
      <c r="CL29" s="5" t="n">
        <v>4.3</v>
      </c>
      <c r="CM29" s="5" t="n">
        <v>3.9</v>
      </c>
      <c r="CN29" s="5" t="n">
        <v>3.6</v>
      </c>
      <c r="CO29" s="5" t="n">
        <v>4.6</v>
      </c>
      <c r="CP29" s="5">
        <f>IF(MAESTRO!B29="","",IFERROR(TRUNC(AVERAGE(CF29:CO29),1),""))</f>
        <v/>
      </c>
      <c r="CQ29" s="5" t="n">
        <v>3.2</v>
      </c>
      <c r="CR29" s="5" t="n">
        <v>4.8</v>
      </c>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89" t="n"/>
      <c r="E30" s="89" t="n"/>
      <c r="F30" s="89" t="n"/>
      <c r="G30" s="5" t="n"/>
      <c r="H30" s="5" t="n"/>
      <c r="I30" s="5" t="n"/>
      <c r="J30" s="5" t="n"/>
      <c r="K30" s="5" t="n"/>
      <c r="L30" s="5" t="n"/>
      <c r="M30" s="5" t="n"/>
      <c r="N30" s="5" t="n"/>
      <c r="O30" s="5" t="n"/>
      <c r="P30" s="5">
        <f>IF(MAESTRO!B30="","",IFERROR(TRUNC(AVERAGE(C30:O30),1),""))</f>
        <v/>
      </c>
      <c r="Q30" s="95" t="n">
        <v>26</v>
      </c>
      <c r="R30" s="89"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v>26</v>
      </c>
      <c r="AH30" s="177" t="n">
        <v>26</v>
      </c>
      <c r="AI30" s="177">
        <f>IF(MAESTRO!B30="","",MAESTRO!B30)</f>
        <v/>
      </c>
      <c r="AJ30" s="178" t="n"/>
      <c r="AK30" s="93" t="n"/>
      <c r="AL30" s="91" t="n"/>
      <c r="AM30" s="91" t="n"/>
      <c r="AN30" s="91" t="n"/>
      <c r="AO30" s="91" t="n"/>
      <c r="AP30" s="91" t="n"/>
      <c r="AQ30" s="61" t="n"/>
      <c r="AR30" s="61" t="n"/>
      <c r="AS30" s="61" t="n"/>
      <c r="AT30" s="61" t="n"/>
      <c r="AU30" s="61" t="n"/>
      <c r="AV30" s="61" t="n"/>
      <c r="AW30" s="20" t="n"/>
      <c r="AX30" s="5">
        <f>IF(MAESTRO!B30="","",IFERROR(TRUNC(AVERAGE(AK30:AW30),1),""))</f>
        <v/>
      </c>
      <c r="AY30" s="22" t="n"/>
      <c r="AZ30" s="92" t="n"/>
      <c r="BA30" s="92" t="n"/>
      <c r="BB30" s="92" t="n"/>
      <c r="BC30" s="92" t="n"/>
      <c r="BD30" s="22" t="n"/>
      <c r="BE30" s="22" t="n"/>
      <c r="BF30" s="22" t="n"/>
      <c r="BG30" s="22" t="n"/>
      <c r="BH30" s="52" t="n"/>
      <c r="BI30" s="5">
        <f>IF(MAESTRO!B30="","",IFERROR(TRUNC(AVERAGE(AY30:BH30),1),""))</f>
        <v/>
      </c>
      <c r="BJ30" s="22" t="n"/>
      <c r="BK30" s="22" t="n"/>
      <c r="BL30" s="22">
        <f>IF(MAESTRO!B30="","",IFERROR(AVERAGE(BJ30:BK30),""))</f>
        <v/>
      </c>
      <c r="BM30" s="5">
        <f>IF(MAESTRO!B30="","",IFERROR(TRUNC(AVERAGE(AX30,BI30,BL30),1),""))</f>
        <v/>
      </c>
      <c r="BN30" s="177" t="n"/>
      <c r="BO30" s="177" t="n">
        <v>26</v>
      </c>
      <c r="BP30" s="177" t="n">
        <v>26</v>
      </c>
      <c r="BQ30" s="177">
        <f>IF(MAESTRO!B30="","",MAESTRO!B30)</f>
        <v/>
      </c>
      <c r="BR30" s="178" t="n"/>
      <c r="BS30" s="89" t="n"/>
      <c r="BT30" s="89" t="n"/>
      <c r="BU30" s="89" t="n"/>
      <c r="BV30" s="89" t="n"/>
      <c r="BW30" s="5" t="n"/>
      <c r="BX30" s="5" t="n"/>
      <c r="BY30" s="5" t="n"/>
      <c r="BZ30" s="5" t="n"/>
      <c r="CA30" s="5" t="n"/>
      <c r="CB30" s="5" t="n"/>
      <c r="CC30" s="5" t="n"/>
      <c r="CD30" s="5" t="n"/>
      <c r="CE30" s="5">
        <f>IF(MAESTRO!B30="","",IFERROR(TRUNC(AVERAGE(BS30:CD30),1),""))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89" t="n"/>
      <c r="E31" s="89" t="n"/>
      <c r="F31" s="89" t="n"/>
      <c r="G31" s="5" t="n"/>
      <c r="H31" s="5" t="n"/>
      <c r="I31" s="5" t="n"/>
      <c r="J31" s="5" t="n"/>
      <c r="K31" s="5" t="n"/>
      <c r="L31" s="5" t="n"/>
      <c r="M31" s="5" t="n"/>
      <c r="N31" s="5" t="n"/>
      <c r="O31" s="5" t="n"/>
      <c r="P31" s="5">
        <f>IF(MAESTRO!B31="","",IFERROR(TRUNC(AVERAGE(C31:O31),1),""))</f>
        <v/>
      </c>
      <c r="Q31" s="95" t="n">
        <v>27</v>
      </c>
      <c r="R31" s="89"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v>27</v>
      </c>
      <c r="AH31" s="177" t="n">
        <v>27</v>
      </c>
      <c r="AI31" s="177">
        <f>IF(MAESTRO!B31="","",MAESTRO!B31)</f>
        <v/>
      </c>
      <c r="AJ31" s="178" t="n"/>
      <c r="AK31" s="93" t="n"/>
      <c r="AL31" s="91" t="n"/>
      <c r="AM31" s="91" t="n"/>
      <c r="AN31" s="91" t="n"/>
      <c r="AO31" s="91" t="n"/>
      <c r="AP31" s="91" t="n"/>
      <c r="AQ31" s="61" t="n"/>
      <c r="AR31" s="61" t="n"/>
      <c r="AS31" s="61" t="n"/>
      <c r="AT31" s="61" t="n"/>
      <c r="AU31" s="61" t="n"/>
      <c r="AV31" s="61" t="n"/>
      <c r="AW31" s="20" t="n"/>
      <c r="AX31" s="5">
        <f>IF(MAESTRO!B31="","",IFERROR(TRUNC(AVERAGE(AK31:AW31),1),""))</f>
        <v/>
      </c>
      <c r="AY31" s="22" t="n"/>
      <c r="AZ31" s="92" t="n"/>
      <c r="BA31" s="92" t="n"/>
      <c r="BB31" s="92" t="n"/>
      <c r="BC31" s="92" t="n"/>
      <c r="BD31" s="22" t="n"/>
      <c r="BE31" s="22" t="n"/>
      <c r="BF31" s="22" t="n"/>
      <c r="BG31" s="22" t="n"/>
      <c r="BH31" s="52" t="n"/>
      <c r="BI31" s="5">
        <f>IF(MAESTRO!B31="","",IFERROR(TRUNC(AVERAGE(AY31:BH31),1),""))</f>
        <v/>
      </c>
      <c r="BJ31" s="22" t="n"/>
      <c r="BK31" s="22" t="n"/>
      <c r="BL31" s="22">
        <f>IF(MAESTRO!B31="","",IFERROR(AVERAGE(BJ31:BK31),""))</f>
        <v/>
      </c>
      <c r="BM31" s="5">
        <f>IF(MAESTRO!B31="","",IFERROR(TRUNC(AVERAGE(AX31,BI31,BL31),1),""))</f>
        <v/>
      </c>
      <c r="BN31" s="177" t="n"/>
      <c r="BO31" s="177" t="n">
        <v>27</v>
      </c>
      <c r="BP31" s="177" t="n">
        <v>27</v>
      </c>
      <c r="BQ31" s="177">
        <f>IF(MAESTRO!B31="","",MAESTRO!B31)</f>
        <v/>
      </c>
      <c r="BR31" s="178" t="n"/>
      <c r="BS31" s="89" t="n"/>
      <c r="BT31" s="89" t="n"/>
      <c r="BU31" s="89" t="n"/>
      <c r="BV31" s="89" t="n"/>
      <c r="BW31" s="5" t="n"/>
      <c r="BX31" s="5" t="n"/>
      <c r="BY31" s="5" t="n"/>
      <c r="BZ31" s="5" t="n"/>
      <c r="CA31" s="5" t="n"/>
      <c r="CB31" s="5" t="n"/>
      <c r="CC31" s="5" t="n"/>
      <c r="CD31" s="5" t="n"/>
      <c r="CE31" s="5">
        <f>IF(MAESTRO!B31="","",IFERROR(TRUNC(AVERAGE(BS31:CD31),1),""))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89" t="n"/>
      <c r="E32" s="89" t="n"/>
      <c r="F32" s="89" t="n"/>
      <c r="G32" s="5" t="n"/>
      <c r="H32" s="5" t="n"/>
      <c r="I32" s="5" t="n"/>
      <c r="J32" s="5" t="n"/>
      <c r="K32" s="5" t="n"/>
      <c r="L32" s="5" t="n"/>
      <c r="M32" s="5" t="n"/>
      <c r="N32" s="5" t="n"/>
      <c r="O32" s="5" t="n"/>
      <c r="P32" s="5">
        <f>IF(MAESTRO!B32="","",IFERROR(TRUNC(AVERAGE(C32:O32),1),""))</f>
        <v/>
      </c>
      <c r="Q32" s="95" t="n">
        <v>28</v>
      </c>
      <c r="R32" s="89"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v>28</v>
      </c>
      <c r="AH32" s="177" t="n">
        <v>28</v>
      </c>
      <c r="AI32" s="177">
        <f>IF(MAESTRO!B32="","",MAESTRO!B32)</f>
        <v/>
      </c>
      <c r="AJ32" s="178" t="n"/>
      <c r="AK32" s="93" t="n"/>
      <c r="AL32" s="91" t="n"/>
      <c r="AM32" s="91" t="n"/>
      <c r="AN32" s="91" t="n"/>
      <c r="AO32" s="91" t="n"/>
      <c r="AP32" s="91" t="n"/>
      <c r="AQ32" s="61" t="n"/>
      <c r="AR32" s="61" t="n"/>
      <c r="AS32" s="61" t="n"/>
      <c r="AT32" s="61" t="n"/>
      <c r="AU32" s="61" t="n"/>
      <c r="AV32" s="61" t="n"/>
      <c r="AW32" s="20" t="n"/>
      <c r="AX32" s="5">
        <f>IF(MAESTRO!B32="","",IFERROR(TRUNC(AVERAGE(AK32:AW32),1),""))</f>
        <v/>
      </c>
      <c r="AY32" s="92" t="n"/>
      <c r="AZ32" s="92" t="n"/>
      <c r="BA32" s="92" t="n"/>
      <c r="BB32" s="92" t="n"/>
      <c r="BC32" s="92" t="n"/>
      <c r="BD32" s="22" t="n"/>
      <c r="BE32" s="22" t="n"/>
      <c r="BF32" s="22" t="n"/>
      <c r="BG32" s="22" t="n"/>
      <c r="BH32" s="52" t="n"/>
      <c r="BI32" s="5">
        <f>IF(MAESTRO!B32="","",IFERROR(TRUNC(AVERAGE(AY32:BH32),1),""))</f>
        <v/>
      </c>
      <c r="BJ32" s="22" t="n"/>
      <c r="BK32" s="22" t="n"/>
      <c r="BL32" s="22">
        <f>IF(MAESTRO!B32="","",IFERROR(AVERAGE(BJ32:BK32),""))</f>
        <v/>
      </c>
      <c r="BM32" s="5">
        <f>IF(MAESTRO!B32="","",IFERROR(TRUNC(AVERAGE(AX32,BI32,BL32),1),""))</f>
        <v/>
      </c>
      <c r="BN32" s="177" t="n"/>
      <c r="BO32" s="177" t="n">
        <v>28</v>
      </c>
      <c r="BP32" s="177" t="n">
        <v>28</v>
      </c>
      <c r="BQ32" s="177">
        <f>IF(MAESTRO!B32="","",MAESTRO!B32)</f>
        <v/>
      </c>
      <c r="BR32" s="178" t="n"/>
      <c r="BS32" s="89" t="n"/>
      <c r="BT32" s="89" t="n"/>
      <c r="BU32" s="89" t="n"/>
      <c r="BV32" s="89" t="n"/>
      <c r="BW32" s="5" t="n"/>
      <c r="BX32" s="5" t="n"/>
      <c r="BY32" s="5" t="n"/>
      <c r="BZ32" s="5" t="n"/>
      <c r="CA32" s="5" t="n"/>
      <c r="CB32" s="5" t="n"/>
      <c r="CC32" s="5" t="n"/>
      <c r="CD32" s="5" t="n"/>
      <c r="CE32" s="5">
        <f>IF(MAESTRO!B32="","",IFERROR(TRUNC(AVERAGE(BS32:CD32),1),""))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89" t="n"/>
      <c r="D33" s="89" t="n"/>
      <c r="E33" s="89" t="n"/>
      <c r="F33" s="89" t="n"/>
      <c r="G33" s="5" t="n"/>
      <c r="H33" s="5" t="n"/>
      <c r="I33" s="5" t="n"/>
      <c r="J33" s="5" t="n"/>
      <c r="K33" s="5" t="n"/>
      <c r="L33" s="5" t="n"/>
      <c r="M33" s="5" t="n"/>
      <c r="N33" s="5" t="n"/>
      <c r="O33" s="5" t="n"/>
      <c r="P33" s="5">
        <f>IF(MAESTRO!B33="","",IFERROR(TRUNC(AVERAGE(C33:O33),1),""))</f>
        <v/>
      </c>
      <c r="Q33" s="95" t="n">
        <v>29</v>
      </c>
      <c r="R33" s="89"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v>29</v>
      </c>
      <c r="AH33" s="177" t="n">
        <v>29</v>
      </c>
      <c r="AI33" s="177">
        <f>IF(MAESTRO!B33="","",MAESTRO!B33)</f>
        <v/>
      </c>
      <c r="AJ33" s="178" t="n"/>
      <c r="AK33" s="93" t="n"/>
      <c r="AL33" s="91" t="n"/>
      <c r="AM33" s="91" t="n"/>
      <c r="AN33" s="91" t="n"/>
      <c r="AO33" s="91" t="n"/>
      <c r="AP33" s="91" t="n"/>
      <c r="AQ33" s="61" t="n"/>
      <c r="AR33" s="61" t="n"/>
      <c r="AS33" s="61" t="n"/>
      <c r="AT33" s="61" t="n"/>
      <c r="AU33" s="61" t="n"/>
      <c r="AV33" s="61" t="n"/>
      <c r="AW33" s="20" t="n"/>
      <c r="AX33" s="5">
        <f>IF(MAESTRO!B33="","",IFERROR(TRUNC(AVERAGE(AK33:AW33),1),""))</f>
        <v/>
      </c>
      <c r="AY33" s="92" t="n"/>
      <c r="AZ33" s="92" t="n"/>
      <c r="BA33" s="92" t="n"/>
      <c r="BB33" s="92" t="n"/>
      <c r="BC33" s="92" t="n"/>
      <c r="BD33" s="22" t="n"/>
      <c r="BE33" s="22" t="n"/>
      <c r="BF33" s="22" t="n"/>
      <c r="BG33" s="22" t="n"/>
      <c r="BH33" s="52" t="n"/>
      <c r="BI33" s="5">
        <f>IF(MAESTRO!B33="","",IFERROR(TRUNC(AVERAGE(AY33:BH33),1),""))</f>
        <v/>
      </c>
      <c r="BJ33" s="22" t="n"/>
      <c r="BK33" s="22" t="n"/>
      <c r="BL33" s="22">
        <f>IF(MAESTRO!B33="","",IFERROR(AVERAGE(BJ33:BK33),""))</f>
        <v/>
      </c>
      <c r="BM33" s="5">
        <f>IF(MAESTRO!B33="","",IFERROR(TRUNC(AVERAGE(AX33,BI33,BL33),1),""))</f>
        <v/>
      </c>
      <c r="BN33" s="177" t="n"/>
      <c r="BO33" s="177" t="n">
        <v>29</v>
      </c>
      <c r="BP33" s="177" t="n">
        <v>29</v>
      </c>
      <c r="BQ33" s="177">
        <f>IF(MAESTRO!B33="","",MAESTRO!B33)</f>
        <v/>
      </c>
      <c r="BR33" s="178" t="n"/>
      <c r="BS33" s="89" t="n"/>
      <c r="BT33" s="89" t="n"/>
      <c r="BU33" s="89" t="n"/>
      <c r="BV33" s="89" t="n"/>
      <c r="BW33" s="5" t="n"/>
      <c r="BX33" s="5" t="n"/>
      <c r="BY33" s="5" t="n"/>
      <c r="BZ33" s="5" t="n"/>
      <c r="CA33" s="5" t="n"/>
      <c r="CB33" s="5" t="n"/>
      <c r="CC33" s="5" t="n"/>
      <c r="CD33" s="5" t="n"/>
      <c r="CE33" s="5">
        <f>IF(MAESTRO!B33="","",IFERROR(TRUNC(AVERAGE(BS33:CD33),1),""))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5" t="n"/>
      <c r="H34" s="5" t="n"/>
      <c r="I34" s="5" t="n"/>
      <c r="J34" s="5" t="n"/>
      <c r="K34" s="5" t="n"/>
      <c r="L34" s="5" t="n"/>
      <c r="M34" s="5" t="n"/>
      <c r="N34" s="5" t="n"/>
      <c r="O34" s="5" t="n"/>
      <c r="P34" s="5">
        <f>IF(MAESTRO!B34="","",IFERROR(TRUNC(AVERAGE(C34:O34),1),""))</f>
        <v/>
      </c>
      <c r="Q34" s="95" t="n">
        <v>30</v>
      </c>
      <c r="R34" s="89"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v>30</v>
      </c>
      <c r="AH34" s="177" t="n">
        <v>30</v>
      </c>
      <c r="AI34" s="177">
        <f>IF(MAESTRO!B34="","",MAESTRO!B34)</f>
        <v/>
      </c>
      <c r="AJ34" s="178" t="n"/>
      <c r="AK34" s="93" t="n"/>
      <c r="AL34" s="91" t="n"/>
      <c r="AM34" s="91" t="n"/>
      <c r="AN34" s="91" t="n"/>
      <c r="AO34" s="91" t="n"/>
      <c r="AP34" s="91" t="n"/>
      <c r="AQ34" s="61" t="n"/>
      <c r="AR34" s="61" t="n"/>
      <c r="AS34" s="61" t="n"/>
      <c r="AT34" s="61" t="n"/>
      <c r="AU34" s="61" t="n"/>
      <c r="AV34" s="61" t="n"/>
      <c r="AW34" s="20" t="n"/>
      <c r="AX34" s="5">
        <f>IF(MAESTRO!B34="","",IFERROR(TRUNC(AVERAGE(AK34:AW34),1),""))</f>
        <v/>
      </c>
      <c r="AY34" s="92" t="n"/>
      <c r="AZ34" s="92" t="n"/>
      <c r="BA34" s="92" t="n"/>
      <c r="BB34" s="92" t="n"/>
      <c r="BC34" s="92" t="n"/>
      <c r="BD34" s="22" t="n"/>
      <c r="BE34" s="22" t="n"/>
      <c r="BF34" s="22" t="n"/>
      <c r="BG34" s="22" t="n"/>
      <c r="BH34" s="52" t="n"/>
      <c r="BI34" s="5">
        <f>IF(MAESTRO!B34="","",IFERROR(TRUNC(AVERAGE(AY34:BH34),1),""))</f>
        <v/>
      </c>
      <c r="BJ34" s="22" t="n"/>
      <c r="BK34" s="22" t="n"/>
      <c r="BL34" s="22">
        <f>IF(MAESTRO!B34="","",IFERROR(AVERAGE(BJ34:BK34),""))</f>
        <v/>
      </c>
      <c r="BM34" s="5">
        <f>IF(MAESTRO!B34="","",IFERROR(TRUNC(AVERAGE(AX34,BI34,BL34),1),""))</f>
        <v/>
      </c>
      <c r="BN34" s="177" t="n"/>
      <c r="BO34" s="177" t="n">
        <v>30</v>
      </c>
      <c r="BP34" s="177" t="n">
        <v>30</v>
      </c>
      <c r="BQ34" s="177">
        <f>IF(MAESTRO!B34="","",MAESTRO!B34)</f>
        <v/>
      </c>
      <c r="BR34" s="178" t="n"/>
      <c r="BS34" s="89" t="n"/>
      <c r="BT34" s="89" t="n"/>
      <c r="BU34" s="89" t="n"/>
      <c r="BV34" s="89" t="n"/>
      <c r="BW34" s="5" t="n"/>
      <c r="BX34" s="5" t="n"/>
      <c r="BY34" s="5" t="n"/>
      <c r="BZ34" s="5" t="n"/>
      <c r="CA34" s="5" t="n"/>
      <c r="CB34" s="5" t="n"/>
      <c r="CC34" s="5" t="n"/>
      <c r="CD34" s="5" t="n"/>
      <c r="CE34" s="5">
        <f>IF(MAESTRO!B34="","",IFERROR(TRUNC(AVERAGE(BS34:CD34),1),""))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5" t="n"/>
      <c r="H35" s="5" t="n"/>
      <c r="I35" s="5" t="n"/>
      <c r="J35" s="5" t="n"/>
      <c r="K35" s="5" t="n"/>
      <c r="L35" s="5" t="n"/>
      <c r="M35" s="5" t="n"/>
      <c r="N35" s="5" t="n"/>
      <c r="O35" s="5" t="n"/>
      <c r="P35" s="5">
        <f>IF(MAESTRO!B35="","",IFERROR(TRUNC(AVERAGE(C35:O35),1),""))</f>
        <v/>
      </c>
      <c r="Q35" s="95" t="n">
        <v>31</v>
      </c>
      <c r="R35" s="89"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v>31</v>
      </c>
      <c r="AH35" s="177" t="n">
        <v>31</v>
      </c>
      <c r="AI35" s="177">
        <f>IF(MAESTRO!B35="","",MAESTRO!B35)</f>
        <v/>
      </c>
      <c r="AJ35" s="178" t="n"/>
      <c r="AK35" s="93" t="n"/>
      <c r="AL35" s="91" t="n"/>
      <c r="AM35" s="91" t="n"/>
      <c r="AN35" s="91" t="n"/>
      <c r="AO35" s="91" t="n"/>
      <c r="AP35" s="91" t="n"/>
      <c r="AQ35" s="61" t="n"/>
      <c r="AR35" s="61" t="n"/>
      <c r="AS35" s="61" t="n"/>
      <c r="AT35" s="61" t="n"/>
      <c r="AU35" s="61" t="n"/>
      <c r="AV35" s="61" t="n"/>
      <c r="AW35" s="20" t="n"/>
      <c r="AX35" s="5">
        <f>IF(MAESTRO!B35="","",IFERROR(TRUNC(AVERAGE(AK35:AW35),1),""))</f>
        <v/>
      </c>
      <c r="AY35" s="92" t="n"/>
      <c r="AZ35" s="92" t="n"/>
      <c r="BA35" s="92" t="n"/>
      <c r="BB35" s="92" t="n"/>
      <c r="BC35" s="92" t="n"/>
      <c r="BD35" s="22" t="n"/>
      <c r="BE35" s="22" t="n"/>
      <c r="BF35" s="22" t="n"/>
      <c r="BG35" s="22" t="n"/>
      <c r="BH35" s="52" t="n"/>
      <c r="BI35" s="5">
        <f>IF(MAESTRO!B35="","",IFERROR(TRUNC(AVERAGE(AY35:BH35),1),""))</f>
        <v/>
      </c>
      <c r="BJ35" s="22" t="n"/>
      <c r="BK35" s="22" t="n"/>
      <c r="BL35" s="22">
        <f>IF(MAESTRO!B35="","",IFERROR(AVERAGE(BJ35:BK35),""))</f>
        <v/>
      </c>
      <c r="BM35" s="5">
        <f>IF(MAESTRO!B35="","",IFERROR(TRUNC(AVERAGE(AX35,BI35,BL35),1),""))</f>
        <v/>
      </c>
      <c r="BN35" s="177" t="n"/>
      <c r="BO35" s="177" t="n">
        <v>31</v>
      </c>
      <c r="BP35" s="177" t="n">
        <v>31</v>
      </c>
      <c r="BQ35" s="177">
        <f>IF(MAESTRO!B35="","",MAESTRO!B35)</f>
        <v/>
      </c>
      <c r="BR35" s="178" t="n"/>
      <c r="BS35" s="89" t="n"/>
      <c r="BT35" s="89" t="n"/>
      <c r="BU35" s="89" t="n"/>
      <c r="BV35" s="89" t="n"/>
      <c r="BW35" s="5" t="n"/>
      <c r="BX35" s="5" t="n"/>
      <c r="BY35" s="5" t="n"/>
      <c r="BZ35" s="5" t="n"/>
      <c r="CA35" s="5" t="n"/>
      <c r="CB35" s="5" t="n"/>
      <c r="CC35" s="5" t="n"/>
      <c r="CD35" s="5" t="n"/>
      <c r="CE35" s="5">
        <f>IF(MAESTRO!B35="","",IFERROR(TRUNC(AVERAGE(BS35:CD35),1),""))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5" t="n"/>
      <c r="H36" s="5" t="n"/>
      <c r="I36" s="5" t="n"/>
      <c r="J36" s="5" t="n"/>
      <c r="K36" s="5" t="n"/>
      <c r="L36" s="5" t="n"/>
      <c r="M36" s="5" t="n"/>
      <c r="N36" s="5" t="n"/>
      <c r="O36" s="5" t="n"/>
      <c r="P36" s="5">
        <f>IF(MAESTRO!B36="","",IFERROR(TRUNC(AVERAGE(C36:O36),1),""))</f>
        <v/>
      </c>
      <c r="Q36" s="95" t="n">
        <v>32</v>
      </c>
      <c r="R36" s="89"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v>32</v>
      </c>
      <c r="AH36" s="177" t="n">
        <v>32</v>
      </c>
      <c r="AI36" s="177">
        <f>IF(MAESTRO!B36="","",MAESTRO!B36)</f>
        <v/>
      </c>
      <c r="AJ36" s="178" t="n"/>
      <c r="AK36" s="93" t="n"/>
      <c r="AL36" s="91" t="n"/>
      <c r="AM36" s="91" t="n"/>
      <c r="AN36" s="91" t="n"/>
      <c r="AO36" s="91" t="n"/>
      <c r="AP36" s="91" t="n"/>
      <c r="AQ36" s="61" t="n"/>
      <c r="AR36" s="61" t="n"/>
      <c r="AS36" s="61" t="n"/>
      <c r="AT36" s="61" t="n"/>
      <c r="AU36" s="61" t="n"/>
      <c r="AV36" s="61" t="n"/>
      <c r="AW36" s="20" t="n"/>
      <c r="AX36" s="5">
        <f>IF(MAESTRO!B36="","",IFERROR(TRUNC(AVERAGE(AK36:AW36),1),""))</f>
        <v/>
      </c>
      <c r="AY36" s="92" t="n"/>
      <c r="AZ36" s="92" t="n"/>
      <c r="BA36" s="92" t="n"/>
      <c r="BB36" s="92" t="n"/>
      <c r="BC36" s="92" t="n"/>
      <c r="BD36" s="22" t="n"/>
      <c r="BE36" s="22" t="n"/>
      <c r="BF36" s="22" t="n"/>
      <c r="BG36" s="22" t="n"/>
      <c r="BH36" s="52" t="n"/>
      <c r="BI36" s="5">
        <f>IF(MAESTRO!B36="","",IFERROR(TRUNC(AVERAGE(AY36:BH36),1),""))</f>
        <v/>
      </c>
      <c r="BJ36" s="22" t="n"/>
      <c r="BK36" s="22" t="n"/>
      <c r="BL36" s="22">
        <f>IF(MAESTRO!B36="","",IFERROR(AVERAGE(BJ36:BK36),""))</f>
        <v/>
      </c>
      <c r="BM36" s="5">
        <f>IF(MAESTRO!B36="","",IFERROR(TRUNC(AVERAGE(AX36,BI36,BL36),1),""))</f>
        <v/>
      </c>
      <c r="BN36" s="177" t="n"/>
      <c r="BO36" s="177" t="n">
        <v>32</v>
      </c>
      <c r="BP36" s="177" t="n">
        <v>32</v>
      </c>
      <c r="BQ36" s="177">
        <f>IF(MAESTRO!B36="","",MAESTRO!B36)</f>
        <v/>
      </c>
      <c r="BR36" s="178" t="n"/>
      <c r="BS36" s="89" t="n"/>
      <c r="BT36" s="89" t="n"/>
      <c r="BU36" s="89" t="n"/>
      <c r="BV36" s="89" t="n"/>
      <c r="BW36" s="5" t="n"/>
      <c r="BX36" s="5" t="n"/>
      <c r="BY36" s="5" t="n"/>
      <c r="BZ36" s="5" t="n"/>
      <c r="CA36" s="5" t="n"/>
      <c r="CB36" s="5" t="n"/>
      <c r="CC36" s="5" t="n"/>
      <c r="CD36" s="5" t="n"/>
      <c r="CE36" s="5">
        <f>IF(MAESTRO!B36="","",IFERROR(TRUNC(AVERAGE(BS36:CD36),1),""))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5" t="n"/>
      <c r="H37" s="5" t="n"/>
      <c r="I37" s="5" t="n"/>
      <c r="J37" s="5" t="n"/>
      <c r="K37" s="5" t="n"/>
      <c r="L37" s="5" t="n"/>
      <c r="M37" s="5" t="n"/>
      <c r="N37" s="5" t="n"/>
      <c r="O37" s="5" t="n"/>
      <c r="P37" s="5">
        <f>IF(MAESTRO!B37="","",IFERROR(TRUNC(AVERAGE(C37:O37),1),""))</f>
        <v/>
      </c>
      <c r="Q37" s="95" t="n">
        <v>33</v>
      </c>
      <c r="R37" s="89"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v>33</v>
      </c>
      <c r="AH37" s="177" t="n">
        <v>33</v>
      </c>
      <c r="AI37" s="177">
        <f>IF(MAESTRO!B37="","",MAESTRO!B37)</f>
        <v/>
      </c>
      <c r="AJ37" s="178" t="n"/>
      <c r="AK37" s="93" t="n"/>
      <c r="AL37" s="91" t="n"/>
      <c r="AM37" s="91" t="n"/>
      <c r="AN37" s="91" t="n"/>
      <c r="AO37" s="91" t="n"/>
      <c r="AP37" s="91" t="n"/>
      <c r="AQ37" s="61" t="n"/>
      <c r="AR37" s="61" t="n"/>
      <c r="AS37" s="61" t="n"/>
      <c r="AT37" s="61" t="n"/>
      <c r="AU37" s="61" t="n"/>
      <c r="AV37" s="61" t="n"/>
      <c r="AW37" s="20" t="n"/>
      <c r="AX37" s="5">
        <f>IF(MAESTRO!B37="","",IFERROR(TRUNC(AVERAGE(AK37:AW37),1),""))</f>
        <v/>
      </c>
      <c r="AY37" s="92" t="n"/>
      <c r="AZ37" s="92" t="n"/>
      <c r="BA37" s="92" t="n"/>
      <c r="BB37" s="92" t="n"/>
      <c r="BC37" s="92" t="n"/>
      <c r="BD37" s="22" t="n"/>
      <c r="BE37" s="22" t="n"/>
      <c r="BF37" s="22" t="n"/>
      <c r="BG37" s="22" t="n"/>
      <c r="BH37" s="52" t="n"/>
      <c r="BI37" s="5">
        <f>IF(MAESTRO!B37="","",IFERROR(TRUNC(AVERAGE(AY37:BH37),1),""))</f>
        <v/>
      </c>
      <c r="BJ37" s="22" t="n"/>
      <c r="BK37" s="22" t="n"/>
      <c r="BL37" s="22">
        <f>IF(MAESTRO!B37="","",IFERROR(AVERAGE(BJ37:BK37),""))</f>
        <v/>
      </c>
      <c r="BM37" s="5">
        <f>IF(MAESTRO!B37="","",IFERROR(TRUNC(AVERAGE(AX37,BI37,BL37),1),""))</f>
        <v/>
      </c>
      <c r="BN37" s="177" t="n"/>
      <c r="BO37" s="177" t="n">
        <v>33</v>
      </c>
      <c r="BP37" s="177" t="n">
        <v>33</v>
      </c>
      <c r="BQ37" s="177">
        <f>IF(MAESTRO!B37="","",MAESTRO!B37)</f>
        <v/>
      </c>
      <c r="BR37" s="178" t="n"/>
      <c r="BS37" s="89" t="n"/>
      <c r="BT37" s="89" t="n"/>
      <c r="BU37" s="89" t="n"/>
      <c r="BV37" s="89" t="n"/>
      <c r="BW37" s="5" t="n"/>
      <c r="BX37" s="5" t="n"/>
      <c r="BY37" s="5" t="n"/>
      <c r="BZ37" s="5" t="n"/>
      <c r="CA37" s="5" t="n"/>
      <c r="CB37" s="5" t="n"/>
      <c r="CC37" s="5" t="n"/>
      <c r="CD37" s="5" t="n"/>
      <c r="CE37" s="5">
        <f>IF(MAESTRO!B37="","",IFERROR(TRUNC(AVERAGE(BS37:CD37),1),""))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5" t="n"/>
      <c r="H38" s="5" t="n"/>
      <c r="I38" s="5" t="n"/>
      <c r="J38" s="5" t="n"/>
      <c r="K38" s="5" t="n"/>
      <c r="L38" s="5" t="n"/>
      <c r="M38" s="5" t="n"/>
      <c r="N38" s="5" t="n"/>
      <c r="O38" s="5" t="n"/>
      <c r="P38" s="5">
        <f>IF(MAESTRO!B38="","",IFERROR(TRUNC(AVERAGE(C38:O38),1),""))</f>
        <v/>
      </c>
      <c r="Q38" s="95" t="n">
        <v>34</v>
      </c>
      <c r="R38" s="89"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v>34</v>
      </c>
      <c r="AH38" s="177" t="n">
        <v>34</v>
      </c>
      <c r="AI38" s="177">
        <f>IF(MAESTRO!B38="","",MAESTRO!B38)</f>
        <v/>
      </c>
      <c r="AJ38" s="178" t="n"/>
      <c r="AK38" s="93" t="n"/>
      <c r="AL38" s="91" t="n"/>
      <c r="AM38" s="91" t="n"/>
      <c r="AN38" s="91" t="n"/>
      <c r="AO38" s="91" t="n"/>
      <c r="AP38" s="91" t="n"/>
      <c r="AQ38" s="61" t="n"/>
      <c r="AR38" s="61" t="n"/>
      <c r="AS38" s="61" t="n"/>
      <c r="AT38" s="61" t="n"/>
      <c r="AU38" s="61" t="n"/>
      <c r="AV38" s="61" t="n"/>
      <c r="AW38" s="20" t="n"/>
      <c r="AX38" s="5">
        <f>IF(MAESTRO!B38="","",IFERROR(TRUNC(AVERAGE(AK38:AW38),1),""))</f>
        <v/>
      </c>
      <c r="AY38" s="92" t="n"/>
      <c r="AZ38" s="92" t="n"/>
      <c r="BA38" s="92" t="n"/>
      <c r="BB38" s="92" t="n"/>
      <c r="BC38" s="92" t="n"/>
      <c r="BD38" s="22" t="n"/>
      <c r="BE38" s="22" t="n"/>
      <c r="BF38" s="22" t="n"/>
      <c r="BG38" s="22" t="n"/>
      <c r="BH38" s="52" t="n"/>
      <c r="BI38" s="5">
        <f>IF(MAESTRO!B38="","",IFERROR(TRUNC(AVERAGE(AY38:BH38),1),""))</f>
        <v/>
      </c>
      <c r="BJ38" s="22" t="n"/>
      <c r="BK38" s="22" t="n"/>
      <c r="BL38" s="22">
        <f>IF(MAESTRO!B38="","",IFERROR(AVERAGE(BJ38:BK38),""))</f>
        <v/>
      </c>
      <c r="BM38" s="5">
        <f>IF(MAESTRO!B38="","",IFERROR(TRUNC(AVERAGE(AX38,BI38,BL38),1),""))</f>
        <v/>
      </c>
      <c r="BN38" s="177" t="n"/>
      <c r="BO38" s="177" t="n">
        <v>34</v>
      </c>
      <c r="BP38" s="177" t="n">
        <v>34</v>
      </c>
      <c r="BQ38" s="177">
        <f>IF(MAESTRO!B38="","",MAESTRO!B38)</f>
        <v/>
      </c>
      <c r="BR38" s="178" t="n"/>
      <c r="BS38" s="89" t="n"/>
      <c r="BT38" s="89" t="n"/>
      <c r="BU38" s="89" t="n"/>
      <c r="BV38" s="89" t="n"/>
      <c r="BW38" s="5" t="n"/>
      <c r="BX38" s="5" t="n"/>
      <c r="BY38" s="5" t="n"/>
      <c r="BZ38" s="5" t="n"/>
      <c r="CA38" s="5" t="n"/>
      <c r="CB38" s="5" t="n"/>
      <c r="CC38" s="5" t="n"/>
      <c r="CD38" s="5" t="n"/>
      <c r="CE38" s="5">
        <f>IF(MAESTRO!B38="","",IFERROR(TRUNC(AVERAGE(BS38:CD38),1),""))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5" t="n"/>
      <c r="H39" s="5" t="n"/>
      <c r="I39" s="5" t="n"/>
      <c r="J39" s="5" t="n"/>
      <c r="K39" s="5" t="n"/>
      <c r="L39" s="5" t="n"/>
      <c r="M39" s="5" t="n"/>
      <c r="N39" s="5" t="n"/>
      <c r="O39" s="5" t="n"/>
      <c r="P39" s="5">
        <f>IF(MAESTRO!B39="","",IFERROR(TRUNC(AVERAGE(C39:O39),1),""))</f>
        <v/>
      </c>
      <c r="Q39" s="95" t="n">
        <v>35</v>
      </c>
      <c r="R39" s="89"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v>35</v>
      </c>
      <c r="AH39" s="177" t="n">
        <v>35</v>
      </c>
      <c r="AI39" s="177">
        <f>IF(MAESTRO!B39="","",MAESTRO!B39)</f>
        <v/>
      </c>
      <c r="AJ39" s="178" t="n"/>
      <c r="AK39" s="93" t="n"/>
      <c r="AL39" s="91" t="n"/>
      <c r="AM39" s="91" t="n"/>
      <c r="AN39" s="91" t="n"/>
      <c r="AO39" s="91" t="n"/>
      <c r="AP39" s="91" t="n"/>
      <c r="AQ39" s="61" t="n"/>
      <c r="AR39" s="61" t="n"/>
      <c r="AS39" s="61" t="n"/>
      <c r="AT39" s="61" t="n"/>
      <c r="AU39" s="61" t="n"/>
      <c r="AV39" s="61" t="n"/>
      <c r="AW39" s="20" t="n"/>
      <c r="AX39" s="5">
        <f>IF(MAESTRO!B39="","",IFERROR(TRUNC(AVERAGE(AK39:AW39),1),""))</f>
        <v/>
      </c>
      <c r="AY39" s="92" t="n"/>
      <c r="AZ39" s="92" t="n"/>
      <c r="BA39" s="92" t="n"/>
      <c r="BB39" s="92" t="n"/>
      <c r="BC39" s="92" t="n"/>
      <c r="BD39" s="22" t="n"/>
      <c r="BE39" s="22" t="n"/>
      <c r="BF39" s="22" t="n"/>
      <c r="BG39" s="22" t="n"/>
      <c r="BH39" s="52" t="n"/>
      <c r="BI39" s="5">
        <f>IF(MAESTRO!B39="","",IFERROR(TRUNC(AVERAGE(AY39:BH39),1),""))</f>
        <v/>
      </c>
      <c r="BJ39" s="22" t="n"/>
      <c r="BK39" s="22" t="n"/>
      <c r="BL39" s="22">
        <f>IF(MAESTRO!B39="","",IFERROR(AVERAGE(BJ39:BK39),""))</f>
        <v/>
      </c>
      <c r="BM39" s="5">
        <f>IF(MAESTRO!B39="","",IFERROR(TRUNC(AVERAGE(AX39,BI39,BL39),1),""))</f>
        <v/>
      </c>
      <c r="BN39" s="177" t="n"/>
      <c r="BO39" s="177" t="n">
        <v>35</v>
      </c>
      <c r="BP39" s="177" t="n">
        <v>35</v>
      </c>
      <c r="BQ39" s="177">
        <f>IF(MAESTRO!B39="","",MAESTRO!B39)</f>
        <v/>
      </c>
      <c r="BR39" s="178" t="n"/>
      <c r="BS39" s="89" t="n"/>
      <c r="BT39" s="89" t="n"/>
      <c r="BU39" s="89" t="n"/>
      <c r="BV39" s="89" t="n"/>
      <c r="BW39" s="5" t="n"/>
      <c r="BX39" s="5" t="n"/>
      <c r="BY39" s="5" t="n"/>
      <c r="BZ39" s="5" t="n"/>
      <c r="CA39" s="5" t="n"/>
      <c r="CB39" s="5" t="n"/>
      <c r="CC39" s="5" t="n"/>
      <c r="CD39" s="5" t="n"/>
      <c r="CE39" s="5">
        <f>IF(MAESTRO!B39="","",IFERROR(TRUNC(AVERAGE(BS39:CD39),1),""))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5" t="n"/>
      <c r="H40" s="5" t="n"/>
      <c r="I40" s="5" t="n"/>
      <c r="J40" s="5" t="n"/>
      <c r="K40" s="5" t="n"/>
      <c r="L40" s="5" t="n"/>
      <c r="M40" s="5" t="n"/>
      <c r="N40" s="5" t="n"/>
      <c r="O40" s="5" t="n"/>
      <c r="P40" s="5">
        <f>IF(MAESTRO!B40="","",IFERROR(TRUNC(AVERAGE(C40:O40),1),""))</f>
        <v/>
      </c>
      <c r="Q40" s="95" t="n">
        <v>36</v>
      </c>
      <c r="R40" s="89"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v>36</v>
      </c>
      <c r="AH40" s="177" t="n">
        <v>36</v>
      </c>
      <c r="AI40" s="177">
        <f>IF(MAESTRO!B40="","",MAESTRO!B40)</f>
        <v/>
      </c>
      <c r="AJ40" s="178" t="n"/>
      <c r="AK40" s="93" t="n"/>
      <c r="AL40" s="91" t="n"/>
      <c r="AM40" s="91" t="n"/>
      <c r="AN40" s="91" t="n"/>
      <c r="AO40" s="91" t="n"/>
      <c r="AP40" s="91" t="n"/>
      <c r="AQ40" s="61" t="n"/>
      <c r="AR40" s="61" t="n"/>
      <c r="AS40" s="61" t="n"/>
      <c r="AT40" s="61" t="n"/>
      <c r="AU40" s="61" t="n"/>
      <c r="AV40" s="61" t="n"/>
      <c r="AW40" s="20" t="n"/>
      <c r="AX40" s="5">
        <f>IF(MAESTRO!B40="","",IFERROR(TRUNC(AVERAGE(AK40:AW40),1),""))</f>
        <v/>
      </c>
      <c r="AY40" s="92" t="n"/>
      <c r="AZ40" s="92" t="n"/>
      <c r="BA40" s="92" t="n"/>
      <c r="BB40" s="92" t="n"/>
      <c r="BC40" s="92" t="n"/>
      <c r="BD40" s="22" t="n"/>
      <c r="BE40" s="22" t="n"/>
      <c r="BF40" s="22" t="n"/>
      <c r="BG40" s="22" t="n"/>
      <c r="BH40" s="52" t="n"/>
      <c r="BI40" s="5">
        <f>IF(MAESTRO!B40="","",IFERROR(TRUNC(AVERAGE(AY40:BH40),1),""))</f>
        <v/>
      </c>
      <c r="BJ40" s="22" t="n"/>
      <c r="BK40" s="22" t="n"/>
      <c r="BL40" s="22">
        <f>IF(MAESTRO!B40="","",IFERROR(AVERAGE(BJ40:BK40),""))</f>
        <v/>
      </c>
      <c r="BM40" s="5">
        <f>IF(MAESTRO!B40="","",IFERROR(TRUNC(AVERAGE(AX40,BI40,BL40),1),""))</f>
        <v/>
      </c>
      <c r="BN40" s="177" t="n"/>
      <c r="BO40" s="177" t="n">
        <v>36</v>
      </c>
      <c r="BP40" s="177" t="n">
        <v>36</v>
      </c>
      <c r="BQ40" s="177">
        <f>IF(MAESTRO!B40="","",MAESTRO!B40)</f>
        <v/>
      </c>
      <c r="BR40" s="178" t="n"/>
      <c r="BS40" s="89" t="n"/>
      <c r="BT40" s="89" t="n"/>
      <c r="BU40" s="89" t="n"/>
      <c r="BV40" s="89" t="n"/>
      <c r="BW40" s="5" t="n"/>
      <c r="BX40" s="5" t="n"/>
      <c r="BY40" s="5" t="n"/>
      <c r="BZ40" s="5" t="n"/>
      <c r="CA40" s="5" t="n"/>
      <c r="CB40" s="5" t="n"/>
      <c r="CC40" s="5" t="n"/>
      <c r="CD40" s="5" t="n"/>
      <c r="CE40" s="5">
        <f>IF(MAESTRO!B40="","",IFERROR(TRUNC(AVERAGE(BS40:CD40),1),""))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5" t="n"/>
      <c r="H41" s="5" t="n"/>
      <c r="I41" s="5" t="n"/>
      <c r="J41" s="5" t="n"/>
      <c r="K41" s="5" t="n"/>
      <c r="L41" s="5" t="n"/>
      <c r="M41" s="5" t="n"/>
      <c r="N41" s="5" t="n"/>
      <c r="O41" s="5" t="n"/>
      <c r="P41" s="5">
        <f>IF(MAESTRO!B41="","",IFERROR(TRUNC(AVERAGE(C41:O41),1),""))</f>
        <v/>
      </c>
      <c r="Q41" s="95" t="n">
        <v>37</v>
      </c>
      <c r="R41" s="89"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v>37</v>
      </c>
      <c r="AH41" s="177" t="n">
        <v>37</v>
      </c>
      <c r="AI41" s="177">
        <f>IF(MAESTRO!B41="","",MAESTRO!B41)</f>
        <v/>
      </c>
      <c r="AJ41" s="178" t="n"/>
      <c r="AK41" s="93" t="n"/>
      <c r="AL41" s="91" t="n"/>
      <c r="AM41" s="91" t="n"/>
      <c r="AN41" s="91" t="n"/>
      <c r="AO41" s="91" t="n"/>
      <c r="AP41" s="91" t="n"/>
      <c r="AQ41" s="61" t="n"/>
      <c r="AR41" s="61" t="n"/>
      <c r="AS41" s="61" t="n"/>
      <c r="AT41" s="61" t="n"/>
      <c r="AU41" s="61" t="n"/>
      <c r="AV41" s="61" t="n"/>
      <c r="AW41" s="20" t="n"/>
      <c r="AX41" s="5">
        <f>IF(MAESTRO!B41="","",IFERROR(TRUNC(AVERAGE(AK41:AW41),1),""))</f>
        <v/>
      </c>
      <c r="AY41" s="92" t="n"/>
      <c r="AZ41" s="92" t="n"/>
      <c r="BA41" s="92" t="n"/>
      <c r="BB41" s="92" t="n"/>
      <c r="BC41" s="92" t="n"/>
      <c r="BD41" s="22" t="n"/>
      <c r="BE41" s="22" t="n"/>
      <c r="BF41" s="22" t="n"/>
      <c r="BG41" s="22" t="n"/>
      <c r="BH41" s="52" t="n"/>
      <c r="BI41" s="5">
        <f>IF(MAESTRO!B41="","",IFERROR(TRUNC(AVERAGE(AY41:BH41),1),""))</f>
        <v/>
      </c>
      <c r="BJ41" s="22" t="n"/>
      <c r="BK41" s="22" t="n"/>
      <c r="BL41" s="22">
        <f>IF(MAESTRO!B41="","",IFERROR(AVERAGE(BJ41:BK41),""))</f>
        <v/>
      </c>
      <c r="BM41" s="5">
        <f>IF(MAESTRO!B41="","",IFERROR(TRUNC(AVERAGE(AX41,BI41,BL41),1),""))</f>
        <v/>
      </c>
      <c r="BN41" s="177" t="n"/>
      <c r="BO41" s="177" t="n">
        <v>37</v>
      </c>
      <c r="BP41" s="177" t="n">
        <v>37</v>
      </c>
      <c r="BQ41" s="177">
        <f>IF(MAESTRO!B41="","",MAESTRO!B41)</f>
        <v/>
      </c>
      <c r="BR41" s="178" t="n"/>
      <c r="BS41" s="89" t="n"/>
      <c r="BT41" s="89" t="n"/>
      <c r="BU41" s="89" t="n"/>
      <c r="BV41" s="89" t="n"/>
      <c r="BW41" s="5" t="n"/>
      <c r="BX41" s="5" t="n"/>
      <c r="BY41" s="5" t="n"/>
      <c r="BZ41" s="5" t="n"/>
      <c r="CA41" s="5" t="n"/>
      <c r="CB41" s="5" t="n"/>
      <c r="CC41" s="5" t="n"/>
      <c r="CD41" s="5" t="n"/>
      <c r="CE41" s="5">
        <f>IF(MAESTRO!B41="","",IFERROR(TRUNC(AVERAGE(BS41:CD41),1),""))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179" t="inlineStr">
        <is>
          <t xml:space="preserve">Vocabulario </t>
        </is>
      </c>
      <c r="D42" s="189" t="inlineStr">
        <is>
          <t>Presupuesto -Fiesta</t>
        </is>
      </c>
      <c r="E42" s="189" t="inlineStr">
        <is>
          <t>Taller -Mural Fuentes de Dinero</t>
        </is>
      </c>
      <c r="F42" s="179" t="inlineStr">
        <is>
          <t>Tarea 6</t>
        </is>
      </c>
      <c r="G42" s="179" t="inlineStr">
        <is>
          <t>Tarea 7</t>
        </is>
      </c>
      <c r="H42" s="179" t="inlineStr">
        <is>
          <t>Tarea 8</t>
        </is>
      </c>
      <c r="I42" s="179" t="inlineStr">
        <is>
          <t>Tarea 9</t>
        </is>
      </c>
      <c r="J42" s="179" t="inlineStr">
        <is>
          <t>Tarea 10</t>
        </is>
      </c>
      <c r="K42" s="179" t="inlineStr">
        <is>
          <t>Tarea 11</t>
        </is>
      </c>
      <c r="L42" s="179" t="inlineStr">
        <is>
          <t>Tarea 12</t>
        </is>
      </c>
      <c r="M42" s="179" t="inlineStr">
        <is>
          <t>Tarea 13</t>
        </is>
      </c>
      <c r="N42" s="179" t="inlineStr">
        <is>
          <t>Tarea 14</t>
        </is>
      </c>
      <c r="O42" s="179" t="inlineStr">
        <is>
          <t>Tarea 15</t>
        </is>
      </c>
      <c r="P42" s="5" t="n"/>
      <c r="Q42" s="95" t="n">
        <v>38</v>
      </c>
      <c r="R42" s="189" t="inlineStr">
        <is>
          <t>Taller -Mural Fuentes de Dinero</t>
        </is>
      </c>
      <c r="S42" s="179" t="inlineStr">
        <is>
          <t>Tarea 19</t>
        </is>
      </c>
      <c r="T42" s="179" t="inlineStr">
        <is>
          <t>Tarea 20</t>
        </is>
      </c>
      <c r="U42" s="179" t="inlineStr">
        <is>
          <t>Tarea 21</t>
        </is>
      </c>
      <c r="V42" s="179" t="inlineStr">
        <is>
          <t>Tarea 22</t>
        </is>
      </c>
      <c r="W42" s="179" t="inlineStr">
        <is>
          <t>Tarea 23</t>
        </is>
      </c>
      <c r="X42" s="179" t="inlineStr">
        <is>
          <t>Tarea 24</t>
        </is>
      </c>
      <c r="Y42" s="179" t="inlineStr">
        <is>
          <t>Tarea 25</t>
        </is>
      </c>
      <c r="Z42" s="179" t="inlineStr">
        <is>
          <t>Tarea 26</t>
        </is>
      </c>
      <c r="AA42" s="45" t="n"/>
      <c r="AB42" s="315" t="inlineStr">
        <is>
          <t>Tarea 28</t>
        </is>
      </c>
      <c r="AC42" s="318" t="inlineStr">
        <is>
          <t>Tarea 29</t>
        </is>
      </c>
      <c r="AD42" s="5" t="n"/>
      <c r="AE42" s="44" t="n"/>
      <c r="AF42" s="177" t="n"/>
      <c r="AG42" s="177" t="n">
        <v>38</v>
      </c>
      <c r="AH42" s="177" t="n">
        <v>38</v>
      </c>
      <c r="AI42" s="177">
        <f>IF(MAESTRO!B42="","",MAESTRO!B42)</f>
        <v/>
      </c>
      <c r="AJ42" s="178" t="n"/>
      <c r="AK42" s="179" t="inlineStr">
        <is>
          <t>Tarea 37</t>
        </is>
      </c>
      <c r="AL42" s="179" t="inlineStr">
        <is>
          <t>Tarea 38</t>
        </is>
      </c>
      <c r="AM42" s="179" t="inlineStr">
        <is>
          <t>Tarea 39</t>
        </is>
      </c>
      <c r="AN42" s="179" t="inlineStr">
        <is>
          <t>Tarea 40</t>
        </is>
      </c>
      <c r="AO42" s="179" t="inlineStr">
        <is>
          <t>Tarea 41</t>
        </is>
      </c>
      <c r="AP42" s="179" t="inlineStr">
        <is>
          <t>Tarea 42</t>
        </is>
      </c>
      <c r="AQ42" s="179" t="inlineStr">
        <is>
          <t>Tarea 43</t>
        </is>
      </c>
      <c r="AR42" s="179" t="inlineStr">
        <is>
          <t>Tarea 44</t>
        </is>
      </c>
      <c r="AS42" s="179" t="inlineStr">
        <is>
          <t>Tarea 45</t>
        </is>
      </c>
      <c r="AT42" s="179" t="inlineStr">
        <is>
          <t>Tarea 46</t>
        </is>
      </c>
      <c r="AU42" s="179" t="inlineStr">
        <is>
          <t>Tarea 47</t>
        </is>
      </c>
      <c r="AV42" s="179" t="inlineStr">
        <is>
          <t>Tarea 48</t>
        </is>
      </c>
      <c r="AW42" s="179" t="inlineStr">
        <is>
          <t>Tarea 49</t>
        </is>
      </c>
      <c r="AX42" s="5" t="n"/>
      <c r="AY42" s="179" t="inlineStr">
        <is>
          <t>Tarea 51</t>
        </is>
      </c>
      <c r="AZ42" s="179" t="inlineStr">
        <is>
          <t>Tarea 52</t>
        </is>
      </c>
      <c r="BA42" s="179" t="inlineStr">
        <is>
          <t>Tarea 53</t>
        </is>
      </c>
      <c r="BB42" s="179" t="inlineStr">
        <is>
          <t>Tarea 54</t>
        </is>
      </c>
      <c r="BC42" s="179" t="inlineStr">
        <is>
          <t>Tarea 55</t>
        </is>
      </c>
      <c r="BD42" s="179" t="inlineStr">
        <is>
          <t>Tarea 56</t>
        </is>
      </c>
      <c r="BE42" s="179" t="inlineStr">
        <is>
          <t>Tarea 57</t>
        </is>
      </c>
      <c r="BF42" s="179" t="inlineStr">
        <is>
          <t>Tarea 58</t>
        </is>
      </c>
      <c r="BG42" s="179" t="inlineStr">
        <is>
          <t>Tarea 59</t>
        </is>
      </c>
      <c r="BH42" s="179" t="inlineStr">
        <is>
          <t>Tarea 60</t>
        </is>
      </c>
      <c r="BI42" s="5" t="n"/>
      <c r="BJ42" s="179" t="inlineStr">
        <is>
          <t>Tarea 62</t>
        </is>
      </c>
      <c r="BK42" s="179" t="inlineStr">
        <is>
          <t>Tarea 63</t>
        </is>
      </c>
      <c r="BL42" s="22" t="n"/>
      <c r="BM42" s="5" t="n"/>
      <c r="BN42" s="177" t="n"/>
      <c r="BO42" s="177" t="n">
        <v>38</v>
      </c>
      <c r="BP42" s="177" t="n">
        <v>38</v>
      </c>
      <c r="BQ42" s="177">
        <f>IF(MAESTRO!B42="","",MAESTRO!B42)</f>
        <v/>
      </c>
      <c r="BR42" s="178" t="n"/>
      <c r="BS42" s="179" t="inlineStr">
        <is>
          <t>Tarea 71</t>
        </is>
      </c>
      <c r="BT42" s="179" t="inlineStr">
        <is>
          <t>Tarea 72</t>
        </is>
      </c>
      <c r="BU42" s="179" t="inlineStr">
        <is>
          <t>Tarea 73</t>
        </is>
      </c>
      <c r="BV42" s="179" t="inlineStr">
        <is>
          <t>Tarea 74</t>
        </is>
      </c>
      <c r="BW42" s="179" t="inlineStr">
        <is>
          <t>Tarea 75</t>
        </is>
      </c>
      <c r="BX42" s="179" t="inlineStr">
        <is>
          <t>Tarea 76</t>
        </is>
      </c>
      <c r="BY42" s="179" t="inlineStr">
        <is>
          <t>Tarea 77</t>
        </is>
      </c>
      <c r="BZ42" s="179" t="inlineStr">
        <is>
          <t>Tarea 78</t>
        </is>
      </c>
      <c r="CA42" s="179" t="inlineStr">
        <is>
          <t>Tarea 79</t>
        </is>
      </c>
      <c r="CB42" s="179" t="inlineStr">
        <is>
          <t>Tarea 80</t>
        </is>
      </c>
      <c r="CC42" s="179" t="inlineStr">
        <is>
          <t>Tarea 81</t>
        </is>
      </c>
      <c r="CD42" s="179" t="inlineStr">
        <is>
          <t>Tarea 82</t>
        </is>
      </c>
      <c r="CE42" s="5" t="n"/>
      <c r="CF42" s="179" t="inlineStr">
        <is>
          <t>Tarea 84</t>
        </is>
      </c>
      <c r="CG42" s="179" t="inlineStr">
        <is>
          <t>Tarea 85</t>
        </is>
      </c>
      <c r="CH42" s="179" t="inlineStr">
        <is>
          <t>Tarea 86</t>
        </is>
      </c>
      <c r="CI42" s="179" t="inlineStr">
        <is>
          <t>Tarea 87</t>
        </is>
      </c>
      <c r="CJ42" s="179" t="inlineStr">
        <is>
          <t>Tarea 88</t>
        </is>
      </c>
      <c r="CK42" s="179" t="inlineStr">
        <is>
          <t>Tarea 89</t>
        </is>
      </c>
      <c r="CL42" s="179" t="inlineStr">
        <is>
          <t>Tarea 90</t>
        </is>
      </c>
      <c r="CM42" s="179" t="inlineStr">
        <is>
          <t>Tarea 91</t>
        </is>
      </c>
      <c r="CN42" s="179" t="inlineStr">
        <is>
          <t>Tarea 92</t>
        </is>
      </c>
      <c r="CO42" s="179" t="inlineStr">
        <is>
          <t>Tarea 93</t>
        </is>
      </c>
      <c r="CP42" s="5" t="n"/>
      <c r="CQ42" s="179" t="inlineStr">
        <is>
          <t>Tarea 95</t>
        </is>
      </c>
      <c r="CR42" s="179"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180" t="n"/>
      <c r="D43" s="180" t="n"/>
      <c r="E43" s="180" t="n"/>
      <c r="F43" s="180" t="n"/>
      <c r="G43" s="180" t="n"/>
      <c r="H43" s="180" t="n"/>
      <c r="I43" s="180" t="n"/>
      <c r="J43" s="180" t="n"/>
      <c r="K43" s="180" t="n"/>
      <c r="L43" s="180" t="n"/>
      <c r="M43" s="180" t="n"/>
      <c r="N43" s="180" t="n"/>
      <c r="O43" s="180" t="n"/>
      <c r="P43" s="5" t="n"/>
      <c r="Q43" s="95" t="n">
        <v>39</v>
      </c>
      <c r="R43" s="180" t="n"/>
      <c r="S43" s="180" t="n"/>
      <c r="T43" s="180" t="n"/>
      <c r="U43" s="180" t="n"/>
      <c r="V43" s="180" t="n"/>
      <c r="W43" s="180" t="n"/>
      <c r="X43" s="180" t="n"/>
      <c r="Y43" s="180" t="n"/>
      <c r="Z43" s="180" t="n"/>
      <c r="AA43" s="45" t="n"/>
      <c r="AB43" s="180" t="n"/>
      <c r="AC43" s="180" t="n"/>
      <c r="AD43" s="5" t="n"/>
      <c r="AE43" s="44" t="n"/>
      <c r="AF43" s="177" t="n"/>
      <c r="AG43" s="177" t="n">
        <v>39</v>
      </c>
      <c r="AH43" s="177" t="n">
        <v>39</v>
      </c>
      <c r="AI43" s="177">
        <f>IF(MAESTRO!B43="","",MAESTRO!B43)</f>
        <v/>
      </c>
      <c r="AJ43" s="178" t="n"/>
      <c r="AK43" s="180" t="n"/>
      <c r="AL43" s="180" t="n"/>
      <c r="AM43" s="180" t="n"/>
      <c r="AN43" s="180" t="n"/>
      <c r="AO43" s="180" t="n"/>
      <c r="AP43" s="180" t="n"/>
      <c r="AQ43" s="180" t="n"/>
      <c r="AR43" s="180" t="n"/>
      <c r="AS43" s="180" t="n"/>
      <c r="AT43" s="180" t="n"/>
      <c r="AU43" s="180" t="n"/>
      <c r="AV43" s="180" t="n"/>
      <c r="AW43" s="180" t="n"/>
      <c r="AX43" s="5" t="n"/>
      <c r="AY43" s="180" t="n"/>
      <c r="AZ43" s="180" t="n"/>
      <c r="BA43" s="180" t="n"/>
      <c r="BB43" s="180" t="n"/>
      <c r="BC43" s="180" t="n"/>
      <c r="BD43" s="180" t="n"/>
      <c r="BE43" s="180" t="n"/>
      <c r="BF43" s="180" t="n"/>
      <c r="BG43" s="180" t="n"/>
      <c r="BH43" s="180" t="n"/>
      <c r="BI43" s="5" t="n"/>
      <c r="BJ43" s="180" t="n"/>
      <c r="BK43" s="180" t="n"/>
      <c r="BL43" s="22" t="n"/>
      <c r="BM43" s="5" t="n"/>
      <c r="BN43" s="177" t="n"/>
      <c r="BO43" s="177" t="n">
        <v>39</v>
      </c>
      <c r="BP43" s="177" t="n">
        <v>39</v>
      </c>
      <c r="BQ43" s="177">
        <f>IF(MAESTRO!B43="","",MAESTRO!B43)</f>
        <v/>
      </c>
      <c r="BR43" s="178" t="n"/>
      <c r="BS43" s="180" t="n"/>
      <c r="BT43" s="180" t="n"/>
      <c r="BU43" s="180" t="n"/>
      <c r="BV43" s="180" t="n"/>
      <c r="BW43" s="180" t="n"/>
      <c r="BX43" s="180" t="n"/>
      <c r="BY43" s="180" t="n"/>
      <c r="BZ43" s="180" t="n"/>
      <c r="CA43" s="180" t="n"/>
      <c r="CB43" s="180" t="n"/>
      <c r="CC43" s="180" t="n"/>
      <c r="CD43" s="180" t="n"/>
      <c r="CE43" s="5" t="n"/>
      <c r="CF43" s="180" t="n"/>
      <c r="CG43" s="180" t="n"/>
      <c r="CH43" s="180" t="n"/>
      <c r="CI43" s="180" t="n"/>
      <c r="CJ43" s="180" t="n"/>
      <c r="CK43" s="180" t="n"/>
      <c r="CL43" s="180" t="n"/>
      <c r="CM43" s="180" t="n"/>
      <c r="CN43" s="180" t="n"/>
      <c r="CO43" s="180" t="n"/>
      <c r="CP43" s="5" t="n"/>
      <c r="CQ43" s="180" t="n"/>
      <c r="CR43" s="180"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180" t="n"/>
      <c r="D44" s="180" t="n"/>
      <c r="E44" s="180" t="n"/>
      <c r="F44" s="180" t="n"/>
      <c r="G44" s="180" t="n"/>
      <c r="H44" s="180" t="n"/>
      <c r="I44" s="180" t="n"/>
      <c r="J44" s="180" t="n"/>
      <c r="K44" s="180" t="n"/>
      <c r="L44" s="180" t="n"/>
      <c r="M44" s="180" t="n"/>
      <c r="N44" s="180" t="n"/>
      <c r="O44" s="180" t="n"/>
      <c r="P44" s="5" t="n"/>
      <c r="Q44" s="95" t="n">
        <v>40</v>
      </c>
      <c r="R44" s="180" t="n"/>
      <c r="S44" s="180" t="n"/>
      <c r="T44" s="180" t="n"/>
      <c r="U44" s="180" t="n"/>
      <c r="V44" s="180" t="n"/>
      <c r="W44" s="180" t="n"/>
      <c r="X44" s="180" t="n"/>
      <c r="Y44" s="180" t="n"/>
      <c r="Z44" s="180" t="n"/>
      <c r="AA44" s="22" t="n"/>
      <c r="AB44" s="180" t="n"/>
      <c r="AC44" s="180" t="n"/>
      <c r="AD44" s="22" t="n"/>
      <c r="AE44" s="22" t="n"/>
      <c r="AF44" s="177" t="n"/>
      <c r="AG44" s="177" t="n">
        <v>40</v>
      </c>
      <c r="AH44" s="177" t="n">
        <v>40</v>
      </c>
      <c r="AI44" s="177">
        <f>IF(MAESTRO!B44="","",MAESTRO!B44)</f>
        <v/>
      </c>
      <c r="AJ44" s="178" t="n"/>
      <c r="AK44" s="180" t="n"/>
      <c r="AL44" s="180" t="n"/>
      <c r="AM44" s="180" t="n"/>
      <c r="AN44" s="180" t="n"/>
      <c r="AO44" s="180" t="n"/>
      <c r="AP44" s="180" t="n"/>
      <c r="AQ44" s="180" t="n"/>
      <c r="AR44" s="180" t="n"/>
      <c r="AS44" s="180" t="n"/>
      <c r="AT44" s="180" t="n"/>
      <c r="AU44" s="180" t="n"/>
      <c r="AV44" s="180" t="n"/>
      <c r="AW44" s="180" t="n"/>
      <c r="AX44" s="5" t="n"/>
      <c r="AY44" s="180" t="n"/>
      <c r="AZ44" s="180" t="n"/>
      <c r="BA44" s="180" t="n"/>
      <c r="BB44" s="180" t="n"/>
      <c r="BC44" s="180" t="n"/>
      <c r="BD44" s="180" t="n"/>
      <c r="BE44" s="180" t="n"/>
      <c r="BF44" s="180" t="n"/>
      <c r="BG44" s="180" t="n"/>
      <c r="BH44" s="180" t="n"/>
      <c r="BI44" s="22" t="n"/>
      <c r="BJ44" s="180" t="n"/>
      <c r="BK44" s="180" t="n"/>
      <c r="BL44" s="22" t="n"/>
      <c r="BM44" s="22" t="n"/>
      <c r="BN44" s="177" t="n"/>
      <c r="BO44" s="177" t="n">
        <v>40</v>
      </c>
      <c r="BP44" s="177" t="n">
        <v>40</v>
      </c>
      <c r="BQ44" s="177">
        <f>IF(MAESTRO!B44="","",MAESTRO!B44)</f>
        <v/>
      </c>
      <c r="BR44" s="178" t="n"/>
      <c r="BS44" s="180" t="n"/>
      <c r="BT44" s="180" t="n"/>
      <c r="BU44" s="180" t="n"/>
      <c r="BV44" s="180" t="n"/>
      <c r="BW44" s="180" t="n"/>
      <c r="BX44" s="180" t="n"/>
      <c r="BY44" s="180" t="n"/>
      <c r="BZ44" s="180" t="n"/>
      <c r="CA44" s="180" t="n"/>
      <c r="CB44" s="180" t="n"/>
      <c r="CC44" s="180" t="n"/>
      <c r="CD44" s="180" t="n"/>
      <c r="CE44" s="5" t="n"/>
      <c r="CF44" s="180" t="n"/>
      <c r="CG44" s="180" t="n"/>
      <c r="CH44" s="180" t="n"/>
      <c r="CI44" s="180" t="n"/>
      <c r="CJ44" s="180" t="n"/>
      <c r="CK44" s="180" t="n"/>
      <c r="CL44" s="180" t="n"/>
      <c r="CM44" s="180" t="n"/>
      <c r="CN44" s="180" t="n"/>
      <c r="CO44" s="180" t="n"/>
      <c r="CP44" s="5" t="n"/>
      <c r="CQ44" s="180" t="n"/>
      <c r="CR44" s="180"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v>41</v>
      </c>
      <c r="R45" s="180" t="n"/>
      <c r="S45" s="180" t="n"/>
      <c r="T45" s="180" t="n"/>
      <c r="U45" s="180" t="n"/>
      <c r="V45" s="180" t="n"/>
      <c r="W45" s="180" t="n"/>
      <c r="X45" s="180" t="n"/>
      <c r="Y45" s="180" t="n"/>
      <c r="Z45" s="180" t="n"/>
      <c r="AA45" s="22" t="n"/>
      <c r="AB45" s="180" t="n"/>
      <c r="AC45" s="180" t="n"/>
      <c r="AD45" s="22" t="n"/>
      <c r="AE45" s="22" t="n"/>
      <c r="AF45" s="177" t="n"/>
      <c r="AG45" s="177" t="n">
        <v>41</v>
      </c>
      <c r="AH45" s="177" t="n">
        <v>41</v>
      </c>
      <c r="AI45" s="177" t="n"/>
      <c r="AJ45" s="178" t="n"/>
      <c r="AK45" s="180" t="n"/>
      <c r="AL45" s="180" t="n"/>
      <c r="AM45" s="180" t="n"/>
      <c r="AN45" s="180" t="n"/>
      <c r="AO45" s="180" t="n"/>
      <c r="AP45" s="180" t="n"/>
      <c r="AQ45" s="180" t="n"/>
      <c r="AR45" s="180" t="n"/>
      <c r="AS45" s="180" t="n"/>
      <c r="AT45" s="180" t="n"/>
      <c r="AU45" s="180" t="n"/>
      <c r="AV45" s="180" t="n"/>
      <c r="AW45" s="180" t="n"/>
      <c r="AX45" s="5" t="n"/>
      <c r="AY45" s="180" t="n"/>
      <c r="AZ45" s="180" t="n"/>
      <c r="BA45" s="180" t="n"/>
      <c r="BB45" s="180" t="n"/>
      <c r="BC45" s="180" t="n"/>
      <c r="BD45" s="180" t="n"/>
      <c r="BE45" s="180" t="n"/>
      <c r="BF45" s="180" t="n"/>
      <c r="BG45" s="180" t="n"/>
      <c r="BH45" s="180" t="n"/>
      <c r="BI45" s="22" t="n"/>
      <c r="BJ45" s="180" t="n"/>
      <c r="BK45" s="180" t="n"/>
      <c r="BL45" s="22" t="n"/>
      <c r="BM45" s="22" t="n"/>
      <c r="BN45" s="177" t="n"/>
      <c r="BO45" s="177" t="n">
        <v>41</v>
      </c>
      <c r="BP45" s="177" t="n">
        <v>41</v>
      </c>
      <c r="BQ45" s="177" t="n"/>
      <c r="BR45" s="178" t="n"/>
      <c r="BS45" s="180" t="n"/>
      <c r="BT45" s="180" t="n"/>
      <c r="BU45" s="180" t="n"/>
      <c r="BV45" s="180" t="n"/>
      <c r="BW45" s="180" t="n"/>
      <c r="BX45" s="180" t="n"/>
      <c r="BY45" s="180" t="n"/>
      <c r="BZ45" s="180" t="n"/>
      <c r="CA45" s="180" t="n"/>
      <c r="CB45" s="180" t="n"/>
      <c r="CC45" s="180" t="n"/>
      <c r="CD45" s="180" t="n"/>
      <c r="CE45" s="5" t="n"/>
      <c r="CF45" s="180" t="n"/>
      <c r="CG45" s="180" t="n"/>
      <c r="CH45" s="180" t="n"/>
      <c r="CI45" s="180" t="n"/>
      <c r="CJ45" s="180" t="n"/>
      <c r="CK45" s="180" t="n"/>
      <c r="CL45" s="180" t="n"/>
      <c r="CM45" s="180" t="n"/>
      <c r="CN45" s="180" t="n"/>
      <c r="CO45" s="180" t="n"/>
      <c r="CP45" s="5" t="n"/>
      <c r="CQ45" s="180" t="n"/>
      <c r="CR45" s="180"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v>42</v>
      </c>
      <c r="R46" s="180" t="n"/>
      <c r="S46" s="180" t="n"/>
      <c r="T46" s="180" t="n"/>
      <c r="U46" s="180" t="n"/>
      <c r="V46" s="180" t="n"/>
      <c r="W46" s="180" t="n"/>
      <c r="X46" s="180" t="n"/>
      <c r="Y46" s="180" t="n"/>
      <c r="Z46" s="180" t="n"/>
      <c r="AA46" s="22" t="n"/>
      <c r="AB46" s="180" t="n"/>
      <c r="AC46" s="180" t="n"/>
      <c r="AD46" s="22" t="n"/>
      <c r="AE46" s="22" t="n"/>
      <c r="AF46" s="177" t="n"/>
      <c r="AG46" s="177" t="n">
        <v>42</v>
      </c>
      <c r="AH46" s="177" t="n">
        <v>42</v>
      </c>
      <c r="AI46" s="177" t="n"/>
      <c r="AJ46" s="178" t="n"/>
      <c r="AK46" s="180" t="n"/>
      <c r="AL46" s="180" t="n"/>
      <c r="AM46" s="180" t="n"/>
      <c r="AN46" s="180" t="n"/>
      <c r="AO46" s="180" t="n"/>
      <c r="AP46" s="180" t="n"/>
      <c r="AQ46" s="180" t="n"/>
      <c r="AR46" s="180" t="n"/>
      <c r="AS46" s="180" t="n"/>
      <c r="AT46" s="180" t="n"/>
      <c r="AU46" s="180" t="n"/>
      <c r="AV46" s="180" t="n"/>
      <c r="AW46" s="180" t="n"/>
      <c r="AX46" s="5" t="n"/>
      <c r="AY46" s="180" t="n"/>
      <c r="AZ46" s="180" t="n"/>
      <c r="BA46" s="180" t="n"/>
      <c r="BB46" s="180" t="n"/>
      <c r="BC46" s="180" t="n"/>
      <c r="BD46" s="180" t="n"/>
      <c r="BE46" s="180" t="n"/>
      <c r="BF46" s="180" t="n"/>
      <c r="BG46" s="180" t="n"/>
      <c r="BH46" s="180" t="n"/>
      <c r="BI46" s="22" t="n"/>
      <c r="BJ46" s="180" t="n"/>
      <c r="BK46" s="180" t="n"/>
      <c r="BL46" s="22" t="n"/>
      <c r="BM46" s="22" t="n"/>
      <c r="BN46" s="177" t="n"/>
      <c r="BO46" s="177" t="n">
        <v>42</v>
      </c>
      <c r="BP46" s="177" t="n">
        <v>42</v>
      </c>
      <c r="BQ46" s="177" t="n"/>
      <c r="BR46" s="178" t="n"/>
      <c r="BS46" s="180" t="n"/>
      <c r="BT46" s="180" t="n"/>
      <c r="BU46" s="180" t="n"/>
      <c r="BV46" s="180" t="n"/>
      <c r="BW46" s="180" t="n"/>
      <c r="BX46" s="180" t="n"/>
      <c r="BY46" s="180" t="n"/>
      <c r="BZ46" s="180" t="n"/>
      <c r="CA46" s="180" t="n"/>
      <c r="CB46" s="180" t="n"/>
      <c r="CC46" s="180" t="n"/>
      <c r="CD46" s="180" t="n"/>
      <c r="CE46" s="5" t="n"/>
      <c r="CF46" s="180" t="n"/>
      <c r="CG46" s="180" t="n"/>
      <c r="CH46" s="180" t="n"/>
      <c r="CI46" s="180" t="n"/>
      <c r="CJ46" s="180" t="n"/>
      <c r="CK46" s="180" t="n"/>
      <c r="CL46" s="180" t="n"/>
      <c r="CM46" s="180" t="n"/>
      <c r="CN46" s="180" t="n"/>
      <c r="CO46" s="180" t="n"/>
      <c r="CP46" s="5" t="n"/>
      <c r="CQ46" s="180" t="n"/>
      <c r="CR46" s="180"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v>43</v>
      </c>
      <c r="R47" s="180" t="n"/>
      <c r="S47" s="180" t="n"/>
      <c r="T47" s="180" t="n"/>
      <c r="U47" s="180" t="n"/>
      <c r="V47" s="180" t="n"/>
      <c r="W47" s="180" t="n"/>
      <c r="X47" s="180" t="n"/>
      <c r="Y47" s="180" t="n"/>
      <c r="Z47" s="180" t="n"/>
      <c r="AA47" s="22" t="n"/>
      <c r="AB47" s="180" t="n"/>
      <c r="AC47" s="180" t="n"/>
      <c r="AD47" s="22" t="n"/>
      <c r="AE47" s="22" t="n"/>
      <c r="AF47" s="177" t="n"/>
      <c r="AG47" s="177" t="n">
        <v>43</v>
      </c>
      <c r="AH47" s="177" t="n">
        <v>43</v>
      </c>
      <c r="AI47" s="177" t="n"/>
      <c r="AJ47" s="178" t="n"/>
      <c r="AK47" s="180" t="n"/>
      <c r="AL47" s="180" t="n"/>
      <c r="AM47" s="180" t="n"/>
      <c r="AN47" s="180" t="n"/>
      <c r="AO47" s="180" t="n"/>
      <c r="AP47" s="180" t="n"/>
      <c r="AQ47" s="180" t="n"/>
      <c r="AR47" s="180" t="n"/>
      <c r="AS47" s="180" t="n"/>
      <c r="AT47" s="180" t="n"/>
      <c r="AU47" s="180" t="n"/>
      <c r="AV47" s="180" t="n"/>
      <c r="AW47" s="180" t="n"/>
      <c r="AX47" s="5" t="n"/>
      <c r="AY47" s="180" t="n"/>
      <c r="AZ47" s="180" t="n"/>
      <c r="BA47" s="180" t="n"/>
      <c r="BB47" s="180" t="n"/>
      <c r="BC47" s="180" t="n"/>
      <c r="BD47" s="180" t="n"/>
      <c r="BE47" s="180" t="n"/>
      <c r="BF47" s="180" t="n"/>
      <c r="BG47" s="180" t="n"/>
      <c r="BH47" s="180" t="n"/>
      <c r="BI47" s="22" t="n"/>
      <c r="BJ47" s="180" t="n"/>
      <c r="BK47" s="180" t="n"/>
      <c r="BL47" s="22" t="n"/>
      <c r="BM47" s="22" t="n"/>
      <c r="BN47" s="177" t="n"/>
      <c r="BO47" s="177" t="n">
        <v>43</v>
      </c>
      <c r="BP47" s="177" t="n">
        <v>43</v>
      </c>
      <c r="BQ47" s="177" t="n"/>
      <c r="BR47" s="178" t="n"/>
      <c r="BS47" s="180" t="n"/>
      <c r="BT47" s="180" t="n"/>
      <c r="BU47" s="180" t="n"/>
      <c r="BV47" s="180" t="n"/>
      <c r="BW47" s="180" t="n"/>
      <c r="BX47" s="180" t="n"/>
      <c r="BY47" s="180" t="n"/>
      <c r="BZ47" s="180" t="n"/>
      <c r="CA47" s="180" t="n"/>
      <c r="CB47" s="180" t="n"/>
      <c r="CC47" s="180" t="n"/>
      <c r="CD47" s="180" t="n"/>
      <c r="CE47" s="5" t="n"/>
      <c r="CF47" s="180" t="n"/>
      <c r="CG47" s="180" t="n"/>
      <c r="CH47" s="180" t="n"/>
      <c r="CI47" s="180" t="n"/>
      <c r="CJ47" s="180" t="n"/>
      <c r="CK47" s="180" t="n"/>
      <c r="CL47" s="180" t="n"/>
      <c r="CM47" s="180" t="n"/>
      <c r="CN47" s="180" t="n"/>
      <c r="CO47" s="180" t="n"/>
      <c r="CP47" s="5" t="n"/>
      <c r="CQ47" s="180" t="n"/>
      <c r="CR47" s="180"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v>44</v>
      </c>
      <c r="R48" s="181" t="n"/>
      <c r="S48" s="181" t="n"/>
      <c r="T48" s="181" t="n"/>
      <c r="U48" s="181" t="n"/>
      <c r="V48" s="181" t="n"/>
      <c r="W48" s="181" t="n"/>
      <c r="X48" s="181" t="n"/>
      <c r="Y48" s="181" t="n"/>
      <c r="Z48" s="181" t="n"/>
      <c r="AA48" s="22" t="n"/>
      <c r="AB48" s="181" t="n"/>
      <c r="AC48" s="181" t="n"/>
      <c r="AD48" s="22" t="n"/>
      <c r="AE48" s="22" t="n"/>
      <c r="AF48" s="177" t="n"/>
      <c r="AG48" s="177" t="n">
        <v>44</v>
      </c>
      <c r="AH48" s="177" t="n">
        <v>44</v>
      </c>
      <c r="AI48" s="177" t="n"/>
      <c r="AJ48" s="178" t="n"/>
      <c r="AK48" s="181" t="n"/>
      <c r="AL48" s="181" t="n"/>
      <c r="AM48" s="181" t="n"/>
      <c r="AN48" s="181" t="n"/>
      <c r="AO48" s="181" t="n"/>
      <c r="AP48" s="181" t="n"/>
      <c r="AQ48" s="181" t="n"/>
      <c r="AR48" s="181" t="n"/>
      <c r="AS48" s="181" t="n"/>
      <c r="AT48" s="181" t="n"/>
      <c r="AU48" s="181" t="n"/>
      <c r="AV48" s="181" t="n"/>
      <c r="AW48" s="181" t="n"/>
      <c r="AX48" s="5" t="n"/>
      <c r="AY48" s="181" t="n"/>
      <c r="AZ48" s="181" t="n"/>
      <c r="BA48" s="181" t="n"/>
      <c r="BB48" s="181" t="n"/>
      <c r="BC48" s="181" t="n"/>
      <c r="BD48" s="181" t="n"/>
      <c r="BE48" s="181" t="n"/>
      <c r="BF48" s="181" t="n"/>
      <c r="BG48" s="181" t="n"/>
      <c r="BH48" s="181" t="n"/>
      <c r="BI48" s="22" t="n"/>
      <c r="BJ48" s="181" t="n"/>
      <c r="BK48" s="181" t="n"/>
      <c r="BL48" s="22" t="n"/>
      <c r="BM48" s="22" t="n"/>
      <c r="BN48" s="177" t="n"/>
      <c r="BO48" s="177" t="n">
        <v>44</v>
      </c>
      <c r="BP48" s="177" t="n">
        <v>44</v>
      </c>
      <c r="BQ48" s="177" t="n"/>
      <c r="BR48" s="178" t="n"/>
      <c r="BS48" s="181" t="n"/>
      <c r="BT48" s="181" t="n"/>
      <c r="BU48" s="181" t="n"/>
      <c r="BV48" s="181" t="n"/>
      <c r="BW48" s="181" t="n"/>
      <c r="BX48" s="181" t="n"/>
      <c r="BY48" s="181" t="n"/>
      <c r="BZ48" s="181" t="n"/>
      <c r="CA48" s="181" t="n"/>
      <c r="CB48" s="181" t="n"/>
      <c r="CC48" s="181" t="n"/>
      <c r="CD48" s="181" t="n"/>
      <c r="CE48" s="5" t="n"/>
      <c r="CF48" s="181" t="n"/>
      <c r="CG48" s="181" t="n"/>
      <c r="CH48" s="181" t="n"/>
      <c r="CI48" s="181" t="n"/>
      <c r="CJ48" s="181" t="n"/>
      <c r="CK48" s="181" t="n"/>
      <c r="CL48" s="181" t="n"/>
      <c r="CM48" s="181" t="n"/>
      <c r="CN48" s="181" t="n"/>
      <c r="CO48" s="181" t="n"/>
      <c r="CP48" s="5" t="n"/>
      <c r="CQ48" s="181" t="n"/>
      <c r="CR48" s="181"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EA3:EA4"/>
    <mergeCell ref="AI13:AJ13"/>
    <mergeCell ref="BQ13:BR13"/>
    <mergeCell ref="BQ44:BR44"/>
    <mergeCell ref="CG42:CG48"/>
    <mergeCell ref="AO42:AO48"/>
    <mergeCell ref="BQ6:BR6"/>
    <mergeCell ref="AQ42:AQ48"/>
    <mergeCell ref="BQ15:BR15"/>
    <mergeCell ref="CX41:CY41"/>
    <mergeCell ref="BA42:BA48"/>
    <mergeCell ref="BC42:BC48"/>
    <mergeCell ref="CK42:CK48"/>
    <mergeCell ref="EB3:EB4"/>
    <mergeCell ref="DN3:DW3"/>
    <mergeCell ref="BE42:BE48"/>
    <mergeCell ref="CX33:CY33"/>
    <mergeCell ref="S42:S48"/>
    <mergeCell ref="BQ30:BR30"/>
    <mergeCell ref="BJ3:BK4"/>
    <mergeCell ref="CX17:CY17"/>
    <mergeCell ref="EC3:ED4"/>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AY2:BO2"/>
    <mergeCell ref="V42:V48"/>
    <mergeCell ref="BV42:BV48"/>
    <mergeCell ref="BQ18:BR18"/>
    <mergeCell ref="BQ27:BR27"/>
    <mergeCell ref="AP42:AP48"/>
    <mergeCell ref="CX44:CY44"/>
    <mergeCell ref="CX5:CY5"/>
    <mergeCell ref="CW3:CW4"/>
    <mergeCell ref="BX42:BX48"/>
    <mergeCell ref="BQ8:BR8"/>
    <mergeCell ref="BP2:CE2"/>
    <mergeCell ref="BQ17:BR17"/>
    <mergeCell ref="AH2:AX2"/>
    <mergeCell ref="CQ3:CR4"/>
    <mergeCell ref="AT42:AT48"/>
    <mergeCell ref="BQ10:BR10"/>
    <mergeCell ref="CD42:CD48"/>
    <mergeCell ref="AI5:AJ5"/>
    <mergeCell ref="BM3:BM4"/>
    <mergeCell ref="BQ19:BR19"/>
    <mergeCell ref="CX45:CY45"/>
    <mergeCell ref="DM3:DM4"/>
    <mergeCell ref="CE3:CE4"/>
    <mergeCell ref="BQ28:BR28"/>
    <mergeCell ref="AI48:AJ48"/>
    <mergeCell ref="CX32:CY32"/>
    <mergeCell ref="DN2:ED2"/>
    <mergeCell ref="CX30:CY30"/>
    <mergeCell ref="AI39:AJ39"/>
    <mergeCell ref="BF42:BF48"/>
    <mergeCell ref="AI29:AJ29"/>
    <mergeCell ref="BQ9:BR9"/>
    <mergeCell ref="B3:B4"/>
    <mergeCell ref="AI38:AJ38"/>
    <mergeCell ref="CX7:CY7"/>
    <mergeCell ref="BQ3:BR4"/>
    <mergeCell ref="CX47:CY47"/>
    <mergeCell ref="CX16:CY16"/>
    <mergeCell ref="AW42:AW48"/>
    <mergeCell ref="BP3:BP4"/>
    <mergeCell ref="I42:I48"/>
    <mergeCell ref="BQ5:BR5"/>
    <mergeCell ref="CX31:CY31"/>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Y42:Y48"/>
    <mergeCell ref="CP3:CP4"/>
    <mergeCell ref="AX3:AX4"/>
    <mergeCell ref="CI42:CI48"/>
    <mergeCell ref="BQ31:BR31"/>
    <mergeCell ref="AI26:AJ26"/>
    <mergeCell ref="CA42:CA48"/>
    <mergeCell ref="CC42:CC48"/>
    <mergeCell ref="CX10:CY10"/>
    <mergeCell ref="AF3:AG4"/>
    <mergeCell ref="A1:P1"/>
    <mergeCell ref="AI7:AJ7"/>
    <mergeCell ref="BQ21:BR21"/>
    <mergeCell ref="AI16:AJ16"/>
    <mergeCell ref="CX34:CY34"/>
    <mergeCell ref="CX3:CY4"/>
    <mergeCell ref="AY42:AY48"/>
    <mergeCell ref="AV42:AV48"/>
    <mergeCell ref="BQ23:BR23"/>
    <mergeCell ref="AI18:AJ18"/>
    <mergeCell ref="CX27:CY27"/>
    <mergeCell ref="BQ46:BR46"/>
    <mergeCell ref="AI43:AJ43"/>
    <mergeCell ref="CX36:CY36"/>
    <mergeCell ref="DY3:DZ4"/>
    <mergeCell ref="BQ7:BR7"/>
    <mergeCell ref="AI33:AJ33"/>
    <mergeCell ref="AI42:AJ42"/>
    <mergeCell ref="CX20:CY20"/>
    <mergeCell ref="DX3:DX4"/>
    <mergeCell ref="BQ48:BR48"/>
    <mergeCell ref="BB42:BB48"/>
    <mergeCell ref="BD42:BD48"/>
    <mergeCell ref="CX35:CY35"/>
    <mergeCell ref="AI44:AJ44"/>
    <mergeCell ref="CZ3:DL3"/>
    <mergeCell ref="CX22:CY22"/>
    <mergeCell ref="F42:F48"/>
    <mergeCell ref="AE3:AE4"/>
    <mergeCell ref="AI34:AJ34"/>
    <mergeCell ref="BQ34:BR34"/>
    <mergeCell ref="AI28:AJ28"/>
    <mergeCell ref="BH42:BH48"/>
    <mergeCell ref="CX12:CY12"/>
    <mergeCell ref="R42:R48"/>
    <mergeCell ref="CX21:CY21"/>
    <mergeCell ref="BI3:BI4"/>
    <mergeCell ref="CS3:CS4"/>
    <mergeCell ref="BT42:BT48"/>
    <mergeCell ref="CN42:CN48"/>
    <mergeCell ref="BQ36:BR36"/>
    <mergeCell ref="CF42:CF48"/>
    <mergeCell ref="AI30:AJ30"/>
    <mergeCell ref="CH42:CH48"/>
    <mergeCell ref="BQ33:BR33"/>
    <mergeCell ref="AI6:AJ6"/>
    <mergeCell ref="CX46:CY46"/>
    <mergeCell ref="C3:O3"/>
    <mergeCell ref="AY3:BH3"/>
    <mergeCell ref="AI11:AJ11"/>
    <mergeCell ref="BQ20:BR20"/>
    <mergeCell ref="U42:U48"/>
    <mergeCell ref="AR42:AR48"/>
    <mergeCell ref="CX38:CY38"/>
    <mergeCell ref="W42:W48"/>
    <mergeCell ref="BW42:BW48"/>
    <mergeCell ref="BQ35:BR35"/>
    <mergeCell ref="CX39:CY39"/>
    <mergeCell ref="CX48:CY48"/>
    <mergeCell ref="BQ22:BR22"/>
    <mergeCell ref="P3:P4"/>
    <mergeCell ref="BQ12:BR12"/>
    <mergeCell ref="AI32:AJ32"/>
    <mergeCell ref="AS42:AS48"/>
    <mergeCell ref="AI46:AJ46"/>
    <mergeCell ref="AK42:AK48"/>
    <mergeCell ref="AU42:AU48"/>
    <mergeCell ref="C42:C48"/>
    <mergeCell ref="E42:E48"/>
    <mergeCell ref="AM42:AM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X26:CY26"/>
    <mergeCell ref="CQ42:CQ48"/>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CX42:CY42"/>
    <mergeCell ref="AI36:AJ36"/>
    <mergeCell ref="BQ16:BR16"/>
    <mergeCell ref="BQ25:BR25"/>
    <mergeCell ref="AH1:AX1"/>
    <mergeCell ref="AZ42:AZ48"/>
    <mergeCell ref="CX14:CY14"/>
    <mergeCell ref="CX29:CY29"/>
    <mergeCell ref="CX23:CY23"/>
    <mergeCell ref="AI45:AJ45"/>
    <mergeCell ref="CR42:CR48"/>
    <mergeCell ref="BJ42:BJ48"/>
    <mergeCell ref="AI20:AJ20"/>
    <mergeCell ref="CX13:CY13"/>
    <mergeCell ref="AA3:AA4"/>
    <mergeCell ref="AK3:AW3"/>
    <mergeCell ref="AI22:AJ22"/>
    <mergeCell ref="CX28:CY28"/>
    <mergeCell ref="CX6:CY6"/>
    <mergeCell ref="AI31:AJ31"/>
    <mergeCell ref="AI37:AJ37"/>
    <mergeCell ref="BQ42:BR42"/>
    <mergeCell ref="BQ11:BR11"/>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13" zoomScale="70" zoomScaleNormal="100" zoomScalePageLayoutView="70" workbookViewId="0">
      <selection activeCell="K35" sqref="K35"/>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300" t="inlineStr">
        <is>
          <t xml:space="preserve">T. - HOGAR Y DESARROLLO </t>
        </is>
      </c>
      <c r="E11" s="205" t="n"/>
      <c r="F11" s="205" t="n"/>
      <c r="G11" s="178"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(Hogar y Desarrollo 7°)'!AE21,""))</f>
        <v/>
      </c>
      <c r="G32" s="49">
        <f>IF(MAESTRO!B21="","",IFERROR('PROM (Hogar y Desarrollo 7°)'!BM21,""))</f>
        <v/>
      </c>
      <c r="H32" s="49">
        <f>IF(MAESTRO!B21="","",IFERROR('PROM (Hogar y Desarrollo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(Hogar y Desarrollo 7°)'!AE22,""))</f>
        <v/>
      </c>
      <c r="G33" s="49">
        <f>IF(MAESTRO!B22="","",IFERROR('PROM (Hogar y Desarrollo 7°)'!BM22,""))</f>
        <v/>
      </c>
      <c r="H33" s="49">
        <f>IF(MAESTRO!B22="","",IFERROR('PROM (Hogar y Desarrollo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(Hogar y Desarrollo 7°)'!AE23,""))</f>
        <v/>
      </c>
      <c r="G34" s="49">
        <f>IF(MAESTRO!B23="","",IFERROR('PROM (Hogar y Desarrollo 7°)'!BM23,""))</f>
        <v/>
      </c>
      <c r="H34" s="49">
        <f>IF(MAESTRO!B23="","",IFERROR('PROM (Hogar y Desarrollo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(Hogar y Desarrollo 7°)'!AE24,""))</f>
        <v/>
      </c>
      <c r="G35" s="49">
        <f>IF(MAESTRO!B24="","",IFERROR('PROM (Hogar y Desarrollo 7°)'!BM24,""))</f>
        <v/>
      </c>
      <c r="H35" s="49">
        <f>IF(MAESTRO!B24="","",IFERROR('PROM (Hogar y Desarrollo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(Hogar y Desarrollo 7°)'!AE25,""))</f>
        <v/>
      </c>
      <c r="G36" s="49">
        <f>IF(MAESTRO!B25="","",IFERROR('PROM (Hogar y Desarrollo 7°)'!BM25,""))</f>
        <v/>
      </c>
      <c r="H36" s="49">
        <f>IF(MAESTRO!B25="","",IFERROR('PROM (Hogar y Desarrollo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(Hogar y Desarrollo 7°)'!AE26,""))</f>
        <v/>
      </c>
      <c r="G37" s="49">
        <f>IF(MAESTRO!B26="","",IFERROR('PROM (Hogar y Desarrollo 7°)'!BM26,""))</f>
        <v/>
      </c>
      <c r="H37" s="49">
        <f>IF(MAESTRO!B26="","",IFERROR('PROM (Hogar y Desarrollo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(Hogar y Desarrollo 7°)'!AE27,""))</f>
        <v/>
      </c>
      <c r="G38" s="49">
        <f>IF(MAESTRO!B27="","",IFERROR('PROM (Hogar y Desarrollo 7°)'!BM27,""))</f>
        <v/>
      </c>
      <c r="H38" s="49">
        <f>IF(MAESTRO!B27="","",IFERROR('PROM (Hogar y Desarrollo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(Hogar y Desarrollo 7°)'!AE28,""))</f>
        <v/>
      </c>
      <c r="G39" s="49">
        <f>IF(MAESTRO!B28="","",IFERROR('PROM (Hogar y Desarrollo 7°)'!BM28,""))</f>
        <v/>
      </c>
      <c r="H39" s="49">
        <f>IF(MAESTRO!B28="","",IFERROR('PROM (Hogar y Desarrollo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(Hogar y Desarrollo 7°)'!AE29,""))</f>
        <v/>
      </c>
      <c r="G40" s="49">
        <f>IF(MAESTRO!B29="","",IFERROR('PROM (Hogar y Desarrollo 7°)'!BM29,""))</f>
        <v/>
      </c>
      <c r="H40" s="49">
        <f>IF(MAESTRO!B29="","",IFERROR('PROM (Hogar y Desarrollo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(Hogar y Desarrollo 7°)'!AE30,""))</f>
        <v/>
      </c>
      <c r="G41" s="68">
        <f>IF(MAESTRO!B30="","",IFERROR('PROM (Hogar y Desarrollo 7°)'!BM30,""))</f>
        <v/>
      </c>
      <c r="H41" s="49">
        <f>IF(MAESTRO!B30="","",IFERROR('PROM (Hogar y Desarrollo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(Hogar y Desarrollo 7°)'!AE31,""))</f>
        <v/>
      </c>
      <c r="G42" s="68">
        <f>IF(MAESTRO!B31="","",IFERROR('PROM (Hogar y Desarrollo 7°)'!BM31,""))</f>
        <v/>
      </c>
      <c r="H42" s="49">
        <f>IF(MAESTRO!B31="","",IFERROR('PROM (Hogar y Desarrollo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(Hogar y Desarrollo 7°)'!AE32,""))</f>
        <v/>
      </c>
      <c r="G43" s="68">
        <f>IF(MAESTRO!B32="","",IFERROR('PROM (Hogar y Desarrollo 7°)'!BM32,""))</f>
        <v/>
      </c>
      <c r="H43" s="49">
        <f>IF(MAESTRO!B32="","",IFERROR('PROM (Hogar y Desarrollo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(Hogar y Desarrollo 7°)'!AE33,""))</f>
        <v/>
      </c>
      <c r="G44" s="68">
        <f>IF(MAESTRO!B33="","",IFERROR('PROM (Hogar y Desarrollo 7°)'!BM33,""))</f>
        <v/>
      </c>
      <c r="H44" s="49">
        <f>IF(MAESTRO!B33="","",IFERROR('PROM (Hogar y Desarrollo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(Hogar y Desarrollo 7°)'!AE34,""))</f>
        <v/>
      </c>
      <c r="G45" s="68">
        <f>IF(MAESTRO!B34="","",IFERROR('PROM (Hogar y Desarrollo 7°)'!BM34,""))</f>
        <v/>
      </c>
      <c r="H45" s="49">
        <f>IF(MAESTRO!B34="","",IFERROR('PROM (Hogar y Desarrollo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(Hogar y Desarrollo 7°)'!AE35,""))</f>
        <v/>
      </c>
      <c r="G46" s="68">
        <f>IF(MAESTRO!B35="","",IFERROR('PROM (Hogar y Desarrollo 7°)'!BM35,""))</f>
        <v/>
      </c>
      <c r="H46" s="49">
        <f>IF(MAESTRO!B35="","",IFERROR('PROM (Hogar y Desarrollo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(Hogar y Desarrollo 7°)'!AE36,""))</f>
        <v/>
      </c>
      <c r="G47" s="68">
        <f>IF(MAESTRO!B36="","",IFERROR('PROM (Hogar y Desarrollo 7°)'!BM36,""))</f>
        <v/>
      </c>
      <c r="H47" s="49">
        <f>IF(MAESTRO!B36="","",IFERROR('PROM (Hogar y Desarrollo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(Hogar y Desarrollo 7°)'!AE37,""))</f>
        <v/>
      </c>
      <c r="G48" s="68">
        <f>IF(MAESTRO!B37="","",IFERROR('PROM (Hogar y Desarrollo 7°)'!BM37,""))</f>
        <v/>
      </c>
      <c r="H48" s="49">
        <f>IF(MAESTRO!B37="","",IFERROR('PROM (Hogar y Desarrollo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(Hogar y Desarrollo 7°)'!AE38,""))</f>
        <v/>
      </c>
      <c r="G49" s="68">
        <f>IF(MAESTRO!B38="","",IFERROR('PROM (Hogar y Desarrollo 7°)'!BM38,""))</f>
        <v/>
      </c>
      <c r="H49" s="49">
        <f>IF(MAESTRO!B38="","",IFERROR('PROM (Hogar y Desarrollo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(Hogar y Desarrollo 7°)'!AE39,""))</f>
        <v/>
      </c>
      <c r="G50" s="68">
        <f>IF(MAESTRO!B39="","",IFERROR('PROM (Hogar y Desarrollo 7°)'!BM39,""))</f>
        <v/>
      </c>
      <c r="H50" s="49">
        <f>IF(MAESTRO!B39="","",IFERROR('PROM (Hogar y Desarrollo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(Hogar y Desarrollo 7°)'!AE40,""))</f>
        <v/>
      </c>
      <c r="G51" s="68">
        <f>IF(MAESTRO!B40="","",IFERROR('PROM (Hogar y Desarrollo 7°)'!BM40,""))</f>
        <v/>
      </c>
      <c r="H51" s="49">
        <f>IF(MAESTRO!B40="","",IFERROR('PROM (Hogar y Desarrollo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(Hogar y Desarrollo 7°)'!AE41,""))</f>
        <v/>
      </c>
      <c r="G52" s="68">
        <f>IF(MAESTRO!B41="","",IFERROR('PROM (Hogar y Desarrollo 7°)'!BM41,""))</f>
        <v/>
      </c>
      <c r="H52" s="49">
        <f>IF(MAESTRO!B41="","",IFERROR('PROM (Hogar y Desarrollo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zoomScale="80" zoomScaleNormal="100" zoomScalePageLayoutView="80" workbookViewId="0">
      <selection activeCell="CQ42" sqref="CQ42:CR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46099</v>
      </c>
      <c r="D4" s="23" t="n">
        <v>46126</v>
      </c>
      <c r="E4" s="23" t="n">
        <v>46140</v>
      </c>
      <c r="F4" s="23" t="n"/>
      <c r="G4" s="23" t="n"/>
      <c r="H4" s="23" t="n"/>
      <c r="I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IF(MAESTRO!B5="","",MAESTRO!B5)</f>
        <v/>
      </c>
      <c r="C5" s="5" t="n">
        <v>4.6</v>
      </c>
      <c r="D5" s="5" t="n">
        <v>3.6</v>
      </c>
      <c r="E5" s="5" t="n">
        <v>3.4</v>
      </c>
      <c r="F5" s="5" t="n">
        <v>3.4</v>
      </c>
      <c r="G5" s="5" t="n">
        <v>3.5</v>
      </c>
      <c r="H5" s="5" t="n">
        <v>3.4</v>
      </c>
      <c r="I5" s="5" t="n">
        <v>4.7</v>
      </c>
      <c r="J5" s="5" t="n">
        <v>4.5</v>
      </c>
      <c r="K5" s="5" t="n">
        <v>4.3</v>
      </c>
      <c r="L5" s="5" t="n">
        <v>4.9</v>
      </c>
      <c r="M5" s="5" t="n">
        <v>3.5</v>
      </c>
      <c r="N5" s="5" t="n">
        <v>5</v>
      </c>
      <c r="O5" s="5" t="n">
        <v>3.2</v>
      </c>
      <c r="P5" s="5">
        <f>IF(MAESTRO!B5="","",IFERROR(TRUNC(AVERAGE(C5:O5),1),""))</f>
        <v/>
      </c>
      <c r="Q5" s="40" t="n">
        <v>1</v>
      </c>
      <c r="R5" s="22" t="n">
        <v>3.2</v>
      </c>
      <c r="S5" s="22" t="n">
        <v>4.6</v>
      </c>
      <c r="T5" s="22" t="n">
        <v>4.5</v>
      </c>
      <c r="U5" s="22" t="n">
        <v>4.7</v>
      </c>
      <c r="V5" s="22" t="n">
        <v>4.9</v>
      </c>
      <c r="W5" s="22" t="n">
        <v>3.5</v>
      </c>
      <c r="X5" s="22" t="n">
        <v>3.7</v>
      </c>
      <c r="Y5" s="22" t="n">
        <v>3.5</v>
      </c>
      <c r="Z5" s="22" t="n">
        <v>4.4</v>
      </c>
      <c r="AA5" s="45">
        <f>IF(MAESTRO!B5="","",IFERROR(TRUNC(AVERAGE(R5:Z5),1),""))</f>
        <v/>
      </c>
      <c r="AB5" s="5" t="n">
        <v>4</v>
      </c>
      <c r="AC5" s="42" t="n">
        <v>4.6</v>
      </c>
      <c r="AD5" s="5">
        <f>IF(MAESTRO!B5="","",IFERROR(AVERAGE(AB5:AC5),""))</f>
        <v/>
      </c>
      <c r="AE5" s="44">
        <f>IF(MAESTRO!B5="","",IFERROR(TRUNC(AVERAGE(P5,AA5,AD5),1),""))</f>
        <v/>
      </c>
      <c r="AF5" s="177" t="n"/>
      <c r="AG5" s="177" t="n">
        <v>1</v>
      </c>
      <c r="AH5" s="177" t="n">
        <v>1</v>
      </c>
      <c r="AI5" s="177">
        <f>IF(MAESTRO!B5="","",MAESTRO!B5)</f>
        <v/>
      </c>
      <c r="AJ5" s="178" t="n"/>
      <c r="AK5" s="61" t="n">
        <v>3.8</v>
      </c>
      <c r="AL5" s="61" t="n">
        <v>3.7</v>
      </c>
      <c r="AM5" s="61" t="n">
        <v>4.7</v>
      </c>
      <c r="AN5" s="61" t="n">
        <v>4.5</v>
      </c>
      <c r="AO5" s="61" t="n">
        <v>3.2</v>
      </c>
      <c r="AP5" s="61" t="n">
        <v>3.7</v>
      </c>
      <c r="AQ5" s="61" t="n">
        <v>3.8</v>
      </c>
      <c r="AR5" s="61" t="n">
        <v>3.6</v>
      </c>
      <c r="AS5" s="61" t="n">
        <v>3.5</v>
      </c>
      <c r="AT5" s="61" t="n">
        <v>3.7</v>
      </c>
      <c r="AU5" s="61" t="n">
        <v>3.9</v>
      </c>
      <c r="AV5" s="61" t="n">
        <v>4</v>
      </c>
      <c r="AW5" s="5">
        <f>IF(MAESTRO!B5="","",IFERROR(TRUNC(AVERAGE(AK5:AV5),1),""))</f>
        <v/>
      </c>
      <c r="AX5" s="22" t="n">
        <v>4.6</v>
      </c>
      <c r="AY5" s="22" t="n">
        <v>3.8</v>
      </c>
      <c r="AZ5" s="22" t="n">
        <v>4.1</v>
      </c>
      <c r="BA5" s="22" t="n">
        <v>3.9</v>
      </c>
      <c r="BB5" s="22" t="n">
        <v>4.7</v>
      </c>
      <c r="BC5" s="22" t="n">
        <v>4.2</v>
      </c>
      <c r="BD5" s="22" t="n">
        <v>3.5</v>
      </c>
      <c r="BE5" s="22" t="n">
        <v>3.7</v>
      </c>
      <c r="BF5" s="22" t="n">
        <v>3.6</v>
      </c>
      <c r="BG5" s="22" t="n">
        <v>4.6</v>
      </c>
      <c r="BH5" s="5">
        <f>IF(MAESTRO!B5="","",IFERROR(TRUNC(AVERAGE(AX5:BG5),1),""))</f>
        <v/>
      </c>
      <c r="BI5" s="22" t="n">
        <v>3.4</v>
      </c>
      <c r="BJ5" s="22" t="n">
        <v>4.2</v>
      </c>
      <c r="BK5" s="22">
        <f>IF(MAESTRO!B5="","",IFERROR(AVERAGE(BI5,BJ5),""))</f>
        <v/>
      </c>
      <c r="BL5" s="5">
        <f>IF(MAESTRO!B5="","",IFERROR(TRUNC(AVERAGE(AW5,BH5,BK5),1),""))</f>
        <v/>
      </c>
      <c r="BM5" s="177" t="n"/>
      <c r="BN5" s="177" t="n">
        <v>1</v>
      </c>
      <c r="BO5" s="177" t="n">
        <v>1</v>
      </c>
      <c r="BP5" s="177">
        <f>IF(MAESTRO!B5="","",MAESTRO!B5)</f>
        <v/>
      </c>
      <c r="BQ5" s="178" t="n"/>
      <c r="BR5" s="5" t="n">
        <v>4.8</v>
      </c>
      <c r="BS5" s="5" t="n">
        <v>4.7</v>
      </c>
      <c r="BT5" s="5" t="n">
        <v>4.7</v>
      </c>
      <c r="BU5" s="5" t="n">
        <v>4.7</v>
      </c>
      <c r="BV5" s="5" t="n">
        <v>4.8</v>
      </c>
      <c r="BW5" s="5" t="n">
        <v>3.5</v>
      </c>
      <c r="BX5" s="5" t="n">
        <v>4</v>
      </c>
      <c r="BY5" s="5" t="n">
        <v>4.1</v>
      </c>
      <c r="BZ5" s="5" t="n">
        <v>4.5</v>
      </c>
      <c r="CA5" s="5" t="n">
        <v>3.8</v>
      </c>
      <c r="CB5" s="5" t="n">
        <v>4.5</v>
      </c>
      <c r="CC5" s="5" t="n">
        <v>3.1</v>
      </c>
      <c r="CD5" s="5" t="n">
        <v>4</v>
      </c>
      <c r="CE5" s="5">
        <f>IF(MAESTRO!B5="","",IFERROR(TRUNC(AVERAGE(BR5:CD5),1),""))</f>
        <v/>
      </c>
      <c r="CF5" s="5" t="n">
        <v>3.3</v>
      </c>
      <c r="CG5" s="5" t="n">
        <v>3.6</v>
      </c>
      <c r="CH5" s="5" t="n">
        <v>3.1</v>
      </c>
      <c r="CI5" s="5" t="n">
        <v>3.2</v>
      </c>
      <c r="CJ5" s="5" t="n">
        <v>4.3</v>
      </c>
      <c r="CK5" s="5" t="n">
        <v>4.3</v>
      </c>
      <c r="CL5" s="5" t="n">
        <v>3.7</v>
      </c>
      <c r="CM5" s="5" t="n">
        <v>3.7</v>
      </c>
      <c r="CN5" s="5" t="n">
        <v>4.6</v>
      </c>
      <c r="CO5" s="5" t="n">
        <v>4.8</v>
      </c>
      <c r="CP5" s="5">
        <f>IF(MAESTRO!B5="","",IFERROR(TRUNC(AVERAGE(CF5:CO5),1),""))</f>
        <v/>
      </c>
      <c r="CQ5" s="5" t="n">
        <v>4.1</v>
      </c>
      <c r="CR5" s="5" t="n">
        <v>3.9</v>
      </c>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v>3.3</v>
      </c>
      <c r="D6" s="5" t="n">
        <v>3.2</v>
      </c>
      <c r="E6" s="5" t="n">
        <v>3</v>
      </c>
      <c r="F6" s="5" t="n">
        <v>3.6</v>
      </c>
      <c r="G6" s="5" t="n">
        <v>3.3</v>
      </c>
      <c r="H6" s="5" t="n">
        <v>3</v>
      </c>
      <c r="I6" s="5" t="n">
        <v>3.6</v>
      </c>
      <c r="J6" s="5" t="n">
        <v>3.5</v>
      </c>
      <c r="K6" s="5" t="n">
        <v>4.6</v>
      </c>
      <c r="L6" s="5" t="n">
        <v>3.2</v>
      </c>
      <c r="M6" s="5" t="n">
        <v>4</v>
      </c>
      <c r="N6" s="5" t="n">
        <v>3.1</v>
      </c>
      <c r="O6" s="5" t="n">
        <v>3.9</v>
      </c>
      <c r="P6" s="5">
        <f>IF(MAESTRO!B6="","",IFERROR(TRUNC(AVERAGE(C6:O6),1),""))</f>
        <v/>
      </c>
      <c r="Q6" s="40" t="n">
        <v>2</v>
      </c>
      <c r="R6" s="22" t="n">
        <v>4.6</v>
      </c>
      <c r="S6" s="22" t="n">
        <v>3.7</v>
      </c>
      <c r="T6" s="22" t="n">
        <v>3</v>
      </c>
      <c r="U6" s="22" t="n">
        <v>3.2</v>
      </c>
      <c r="V6" s="22" t="n">
        <v>3.1</v>
      </c>
      <c r="W6" s="22" t="n">
        <v>3.5</v>
      </c>
      <c r="X6" s="22" t="n">
        <v>4.4</v>
      </c>
      <c r="Y6" s="22" t="n">
        <v>3.8</v>
      </c>
      <c r="Z6" s="22" t="n">
        <v>4.8</v>
      </c>
      <c r="AA6" s="45">
        <f>IF(MAESTRO!B6="","",IFERROR(TRUNC(AVERAGE(R6:Z6),1),""))</f>
        <v/>
      </c>
      <c r="AB6" s="5" t="n">
        <v>3.9</v>
      </c>
      <c r="AC6" s="42" t="n">
        <v>4.4</v>
      </c>
      <c r="AD6" s="5">
        <f>IF(MAESTRO!B6="","",IFERROR(AVERAGE(AB6:AC6),""))</f>
        <v/>
      </c>
      <c r="AE6" s="44">
        <f>IF(MAESTRO!B6="","",IFERROR(TRUNC(AVERAGE(P6,AA6,AD6),1),""))</f>
        <v/>
      </c>
      <c r="AF6" s="177" t="n"/>
      <c r="AG6" s="177" t="n">
        <v>2</v>
      </c>
      <c r="AH6" s="177" t="n">
        <v>2</v>
      </c>
      <c r="AI6" s="177">
        <f>IF(MAESTRO!B6="","",MAESTRO!B6)</f>
        <v/>
      </c>
      <c r="AJ6" s="178" t="n"/>
      <c r="AK6" s="61" t="n">
        <v>4.8</v>
      </c>
      <c r="AL6" s="61" t="n">
        <v>4.4</v>
      </c>
      <c r="AM6" s="61" t="n">
        <v>4.7</v>
      </c>
      <c r="AN6" s="61" t="n">
        <v>3.8</v>
      </c>
      <c r="AO6" s="61" t="n">
        <v>4.3</v>
      </c>
      <c r="AP6" s="61" t="n">
        <v>5</v>
      </c>
      <c r="AQ6" s="61" t="n">
        <v>3.2</v>
      </c>
      <c r="AR6" s="61" t="n">
        <v>3.1</v>
      </c>
      <c r="AS6" s="61" t="n">
        <v>4.4</v>
      </c>
      <c r="AT6" s="61" t="n">
        <v>3.8</v>
      </c>
      <c r="AU6" s="61" t="n">
        <v>4.8</v>
      </c>
      <c r="AV6" s="61" t="n">
        <v>4.6</v>
      </c>
      <c r="AW6" s="5">
        <f>IF(MAESTRO!B6="","",IFERROR(TRUNC(AVERAGE(AK6:AV6),1),""))</f>
        <v/>
      </c>
      <c r="AX6" s="22" t="n">
        <v>3.8</v>
      </c>
      <c r="AY6" s="22" t="n">
        <v>5</v>
      </c>
      <c r="AZ6" s="22" t="n">
        <v>4.3</v>
      </c>
      <c r="BA6" s="22" t="n">
        <v>4.2</v>
      </c>
      <c r="BB6" s="22" t="n">
        <v>3.2</v>
      </c>
      <c r="BC6" s="22" t="n">
        <v>3.8</v>
      </c>
      <c r="BD6" s="22" t="n">
        <v>4.8</v>
      </c>
      <c r="BE6" s="22" t="n">
        <v>3.9</v>
      </c>
      <c r="BF6" s="22" t="n">
        <v>4.3</v>
      </c>
      <c r="BG6" s="22" t="n">
        <v>3.2</v>
      </c>
      <c r="BH6" s="5">
        <f>IF(MAESTRO!B6="","",IFERROR(TRUNC(AVERAGE(AX6:BG6),1),""))</f>
        <v/>
      </c>
      <c r="BI6" s="22" t="n">
        <v>3.3</v>
      </c>
      <c r="BJ6" s="22" t="n">
        <v>4.4</v>
      </c>
      <c r="BK6" s="22">
        <f>IF(MAESTRO!B6="","",IFERROR(AVERAGE(BI6,BJ6),""))</f>
        <v/>
      </c>
      <c r="BL6" s="5">
        <f>IF(MAESTRO!B6="","",IFERROR(TRUNC(AVERAGE(AW6,BH6,BK6),1),""))</f>
        <v/>
      </c>
      <c r="BM6" s="177" t="n"/>
      <c r="BN6" s="177" t="n">
        <v>2</v>
      </c>
      <c r="BO6" s="177" t="n">
        <v>2</v>
      </c>
      <c r="BP6" s="177">
        <f>IF(MAESTRO!B6="","",MAESTRO!B6)</f>
        <v/>
      </c>
      <c r="BQ6" s="178" t="n"/>
      <c r="BR6" s="5" t="n">
        <v>3.6</v>
      </c>
      <c r="BS6" s="5" t="n">
        <v>4.9</v>
      </c>
      <c r="BT6" s="5" t="n">
        <v>4.3</v>
      </c>
      <c r="BU6" s="5" t="n">
        <v>4.1</v>
      </c>
      <c r="BV6" s="5" t="n">
        <v>4.1</v>
      </c>
      <c r="BW6" s="5" t="n">
        <v>3.6</v>
      </c>
      <c r="BX6" s="5" t="n">
        <v>3.1</v>
      </c>
      <c r="BY6" s="5" t="n">
        <v>3.1</v>
      </c>
      <c r="BZ6" s="5" t="n">
        <v>4.3</v>
      </c>
      <c r="CA6" s="5" t="n">
        <v>4.9</v>
      </c>
      <c r="CB6" s="5" t="n">
        <v>3.8</v>
      </c>
      <c r="CC6" s="5" t="n">
        <v>4.7</v>
      </c>
      <c r="CD6" s="5" t="n">
        <v>3.8</v>
      </c>
      <c r="CE6" s="5">
        <f>IF(MAESTRO!B6="","",IFERROR(TRUNC(AVERAGE(BR6:CD6),1),""))</f>
        <v/>
      </c>
      <c r="CF6" s="5" t="n">
        <v>3.9</v>
      </c>
      <c r="CG6" s="5" t="n">
        <v>4</v>
      </c>
      <c r="CH6" s="5" t="n">
        <v>3.9</v>
      </c>
      <c r="CI6" s="5" t="n">
        <v>3.5</v>
      </c>
      <c r="CJ6" s="5" t="n">
        <v>4</v>
      </c>
      <c r="CK6" s="5" t="n">
        <v>4.2</v>
      </c>
      <c r="CL6" s="5" t="n">
        <v>4.6</v>
      </c>
      <c r="CM6" s="5" t="n">
        <v>3.4</v>
      </c>
      <c r="CN6" s="5" t="n">
        <v>3.3</v>
      </c>
      <c r="CO6" s="5" t="n">
        <v>3.1</v>
      </c>
      <c r="CP6" s="5">
        <f>IF(MAESTRO!B6="","",IFERROR(TRUNC(AVERAGE(CF6:CO6),1),""))</f>
        <v/>
      </c>
      <c r="CQ6" s="5" t="n">
        <v>4.3</v>
      </c>
      <c r="CR6" s="5" t="n">
        <v>4.8</v>
      </c>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v>4.6</v>
      </c>
      <c r="D7" s="5" t="n">
        <v>4</v>
      </c>
      <c r="E7" s="5" t="n">
        <v>3.9</v>
      </c>
      <c r="F7" s="5" t="n">
        <v>4.8</v>
      </c>
      <c r="G7" s="5" t="n">
        <v>3.7</v>
      </c>
      <c r="H7" s="5" t="n">
        <v>3.2</v>
      </c>
      <c r="I7" s="5" t="n">
        <v>4.4</v>
      </c>
      <c r="J7" s="5" t="n">
        <v>4.8</v>
      </c>
      <c r="K7" s="5" t="n">
        <v>4.3</v>
      </c>
      <c r="L7" s="5" t="n">
        <v>3.4</v>
      </c>
      <c r="M7" s="5" t="n">
        <v>3.2</v>
      </c>
      <c r="N7" s="5" t="n">
        <v>3.7</v>
      </c>
      <c r="O7" s="5" t="n">
        <v>4.8</v>
      </c>
      <c r="P7" s="5">
        <f>IF(MAESTRO!B7="","",IFERROR(TRUNC(AVERAGE(C7:O7),1),""))</f>
        <v/>
      </c>
      <c r="Q7" s="40" t="n">
        <v>3</v>
      </c>
      <c r="R7" s="22" t="n">
        <v>3.5</v>
      </c>
      <c r="S7" s="22" t="n">
        <v>4.8</v>
      </c>
      <c r="T7" s="22" t="n">
        <v>4.8</v>
      </c>
      <c r="U7" s="22" t="n">
        <v>4</v>
      </c>
      <c r="V7" s="22" t="n">
        <v>3.8</v>
      </c>
      <c r="W7" s="22" t="n">
        <v>4.2</v>
      </c>
      <c r="X7" s="22" t="n">
        <v>3.4</v>
      </c>
      <c r="Y7" s="22" t="n">
        <v>4.8</v>
      </c>
      <c r="Z7" s="22" t="n">
        <v>4</v>
      </c>
      <c r="AA7" s="45">
        <f>IF(MAESTRO!B7="","",IFERROR(TRUNC(AVERAGE(R7:Z7),1),""))</f>
        <v/>
      </c>
      <c r="AB7" s="177" t="n">
        <v>4.9</v>
      </c>
      <c r="AC7" s="42" t="n">
        <v>3.8</v>
      </c>
      <c r="AD7" s="5">
        <f>IF(MAESTRO!B7="","",IFERROR(AVERAGE(AB7:AC7),""))</f>
        <v/>
      </c>
      <c r="AE7" s="44">
        <f>IF(MAESTRO!B7="","",IFERROR(TRUNC(AVERAGE(P7,AA7,AD7),1),""))</f>
        <v/>
      </c>
      <c r="AF7" s="177" t="n"/>
      <c r="AG7" s="177" t="n">
        <v>3</v>
      </c>
      <c r="AH7" s="177" t="n">
        <v>3</v>
      </c>
      <c r="AI7" s="177">
        <f>IF(MAESTRO!B7="","",MAESTRO!B7)</f>
        <v/>
      </c>
      <c r="AJ7" s="178" t="n"/>
      <c r="AK7" s="61" t="n">
        <v>3.3</v>
      </c>
      <c r="AL7" s="61" t="n">
        <v>3.8</v>
      </c>
      <c r="AM7" s="61" t="n">
        <v>3.5</v>
      </c>
      <c r="AN7" s="61" t="n">
        <v>3.1</v>
      </c>
      <c r="AO7" s="61" t="n">
        <v>3.8</v>
      </c>
      <c r="AP7" s="61" t="n">
        <v>3.5</v>
      </c>
      <c r="AQ7" s="61" t="n">
        <v>4</v>
      </c>
      <c r="AR7" s="61" t="n">
        <v>3.2</v>
      </c>
      <c r="AS7" s="61" t="n">
        <v>4.4</v>
      </c>
      <c r="AT7" s="61" t="n">
        <v>4.2</v>
      </c>
      <c r="AU7" s="61" t="n">
        <v>4.9</v>
      </c>
      <c r="AV7" s="61" t="n">
        <v>3.3</v>
      </c>
      <c r="AW7" s="5">
        <f>IF(MAESTRO!B7="","",IFERROR(TRUNC(AVERAGE(AK7:AV7),1),""))</f>
        <v/>
      </c>
      <c r="AX7" s="22" t="n">
        <v>3.3</v>
      </c>
      <c r="AY7" s="22" t="n">
        <v>4.3</v>
      </c>
      <c r="AZ7" s="22" t="n">
        <v>4</v>
      </c>
      <c r="BA7" s="22" t="n">
        <v>3.1</v>
      </c>
      <c r="BB7" s="22" t="n">
        <v>3.4</v>
      </c>
      <c r="BC7" s="22" t="n">
        <v>4.8</v>
      </c>
      <c r="BD7" s="22" t="n">
        <v>4.5</v>
      </c>
      <c r="BE7" s="22" t="n">
        <v>4.6</v>
      </c>
      <c r="BF7" s="22" t="n">
        <v>3.6</v>
      </c>
      <c r="BG7" s="22" t="n">
        <v>3.8</v>
      </c>
      <c r="BH7" s="5">
        <f>IF(MAESTRO!B7="","",IFERROR(TRUNC(AVERAGE(AX7:BG7),1),""))</f>
        <v/>
      </c>
      <c r="BI7" s="22" t="n">
        <v>3.8</v>
      </c>
      <c r="BJ7" s="22" t="n">
        <v>3.1</v>
      </c>
      <c r="BK7" s="22">
        <f>IF(MAESTRO!B7="","",IFERROR(AVERAGE(BI7,BJ7),""))</f>
        <v/>
      </c>
      <c r="BL7" s="5">
        <f>IF(MAESTRO!B7="","",IFERROR(TRUNC(AVERAGE(AW7,BH7,BK7),1),""))</f>
        <v/>
      </c>
      <c r="BM7" s="177" t="n"/>
      <c r="BN7" s="177" t="n">
        <v>3</v>
      </c>
      <c r="BO7" s="177" t="n">
        <v>3</v>
      </c>
      <c r="BP7" s="177">
        <f>IF(MAESTRO!B7="","",MAESTRO!B7)</f>
        <v/>
      </c>
      <c r="BQ7" s="178" t="n"/>
      <c r="BR7" s="5" t="n">
        <v>4.8</v>
      </c>
      <c r="BS7" s="5" t="n">
        <v>4.8</v>
      </c>
      <c r="BT7" s="5" t="n">
        <v>4.6</v>
      </c>
      <c r="BU7" s="5" t="n">
        <v>4</v>
      </c>
      <c r="BV7" s="5" t="n">
        <v>4.6</v>
      </c>
      <c r="BW7" s="5" t="n">
        <v>4.4</v>
      </c>
      <c r="BX7" s="5" t="n">
        <v>4.9</v>
      </c>
      <c r="BY7" s="5" t="n">
        <v>3</v>
      </c>
      <c r="BZ7" s="5" t="n">
        <v>4.5</v>
      </c>
      <c r="CA7" s="5" t="n">
        <v>3</v>
      </c>
      <c r="CB7" s="5" t="n">
        <v>3.3</v>
      </c>
      <c r="CC7" s="5" t="n">
        <v>4.4</v>
      </c>
      <c r="CD7" s="5" t="n">
        <v>4.1</v>
      </c>
      <c r="CE7" s="5">
        <f>IF(MAESTRO!B7="","",IFERROR(TRUNC(AVERAGE(BR7:CD7),1),""))</f>
        <v/>
      </c>
      <c r="CF7" s="5" t="n">
        <v>3.3</v>
      </c>
      <c r="CG7" s="5" t="n">
        <v>4.4</v>
      </c>
      <c r="CH7" s="5" t="n">
        <v>3.4</v>
      </c>
      <c r="CI7" s="5" t="n">
        <v>3.1</v>
      </c>
      <c r="CJ7" s="5" t="n">
        <v>4.7</v>
      </c>
      <c r="CK7" s="5" t="n">
        <v>4.7</v>
      </c>
      <c r="CL7" s="5" t="n">
        <v>3.8</v>
      </c>
      <c r="CM7" s="5" t="n">
        <v>4.4</v>
      </c>
      <c r="CN7" s="5" t="n">
        <v>3.8</v>
      </c>
      <c r="CO7" s="5" t="n">
        <v>3.5</v>
      </c>
      <c r="CP7" s="5">
        <f>IF(MAESTRO!B7="","",IFERROR(TRUNC(AVERAGE(CF7:CO7),1),""))</f>
        <v/>
      </c>
      <c r="CQ7" s="5" t="n">
        <v>4.2</v>
      </c>
      <c r="CR7" s="5" t="n">
        <v>4.9</v>
      </c>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v>3.4</v>
      </c>
      <c r="D8" s="5" t="n">
        <v>3.1</v>
      </c>
      <c r="E8" s="5" t="n">
        <v>4</v>
      </c>
      <c r="F8" s="5" t="n">
        <v>4.7</v>
      </c>
      <c r="G8" s="5" t="n">
        <v>3.1</v>
      </c>
      <c r="H8" s="5" t="n">
        <v>3.1</v>
      </c>
      <c r="I8" s="5" t="n">
        <v>4.8</v>
      </c>
      <c r="J8" s="5" t="n">
        <v>4.6</v>
      </c>
      <c r="K8" s="5" t="n">
        <v>4.1</v>
      </c>
      <c r="L8" s="5" t="n">
        <v>3.6</v>
      </c>
      <c r="M8" s="5" t="n">
        <v>4.8</v>
      </c>
      <c r="N8" s="5" t="n">
        <v>3.6</v>
      </c>
      <c r="O8" s="5" t="n">
        <v>4.8</v>
      </c>
      <c r="P8" s="5">
        <f>IF(MAESTRO!B8="","",IFERROR(TRUNC(AVERAGE(C8:O8),1),""))</f>
        <v/>
      </c>
      <c r="Q8" s="40" t="n">
        <v>4</v>
      </c>
      <c r="R8" s="22" t="n">
        <v>4.5</v>
      </c>
      <c r="S8" s="22" t="n">
        <v>4.4</v>
      </c>
      <c r="T8" s="22" t="n">
        <v>4.2</v>
      </c>
      <c r="U8" s="22" t="n">
        <v>3.5</v>
      </c>
      <c r="V8" s="22" t="n">
        <v>4</v>
      </c>
      <c r="W8" s="22" t="n">
        <v>4.3</v>
      </c>
      <c r="X8" s="22" t="n">
        <v>4.6</v>
      </c>
      <c r="Y8" s="22" t="n">
        <v>3.2</v>
      </c>
      <c r="Z8" s="22" t="n">
        <v>4.8</v>
      </c>
      <c r="AA8" s="45">
        <f>IF(MAESTRO!B8="","",IFERROR(TRUNC(AVERAGE(R8:Z8),1),""))</f>
        <v/>
      </c>
      <c r="AB8" s="177" t="n">
        <v>4</v>
      </c>
      <c r="AC8" s="42" t="n">
        <v>3.7</v>
      </c>
      <c r="AD8" s="5">
        <f>IF(MAESTRO!B8="","",IFERROR(AVERAGE(AB8:AC8),""))</f>
        <v/>
      </c>
      <c r="AE8" s="44">
        <f>IF(MAESTRO!B8="","",IFERROR(TRUNC(AVERAGE(P8,AA8,AD8),1),""))</f>
        <v/>
      </c>
      <c r="AF8" s="177" t="n"/>
      <c r="AG8" s="177" t="n">
        <v>4</v>
      </c>
      <c r="AH8" s="177" t="n">
        <v>4</v>
      </c>
      <c r="AI8" s="177">
        <f>IF(MAESTRO!B8="","",MAESTRO!B8)</f>
        <v/>
      </c>
      <c r="AJ8" s="178" t="n"/>
      <c r="AK8" s="61" t="n">
        <v>3.1</v>
      </c>
      <c r="AL8" s="61" t="n">
        <v>3.6</v>
      </c>
      <c r="AM8" s="61" t="n">
        <v>3.4</v>
      </c>
      <c r="AN8" s="61" t="n">
        <v>3.1</v>
      </c>
      <c r="AO8" s="61" t="n">
        <v>3.4</v>
      </c>
      <c r="AP8" s="61" t="n">
        <v>4.3</v>
      </c>
      <c r="AQ8" s="61" t="n">
        <v>3.2</v>
      </c>
      <c r="AR8" s="61" t="n">
        <v>4.8</v>
      </c>
      <c r="AS8" s="61" t="n">
        <v>3.1</v>
      </c>
      <c r="AT8" s="61" t="n">
        <v>4.7</v>
      </c>
      <c r="AU8" s="61" t="n">
        <v>3.2</v>
      </c>
      <c r="AV8" s="61" t="n">
        <v>4.5</v>
      </c>
      <c r="AW8" s="5">
        <f>IF(MAESTRO!B8="","",IFERROR(TRUNC(AVERAGE(AK8:AV8),1),""))</f>
        <v/>
      </c>
      <c r="AX8" s="22" t="n">
        <v>4.5</v>
      </c>
      <c r="AY8" s="22" t="n">
        <v>3.1</v>
      </c>
      <c r="AZ8" s="22" t="n">
        <v>3.7</v>
      </c>
      <c r="BA8" s="22" t="n">
        <v>3.6</v>
      </c>
      <c r="BB8" s="22" t="n">
        <v>4</v>
      </c>
      <c r="BC8" s="22" t="n">
        <v>4.5</v>
      </c>
      <c r="BD8" s="22" t="n">
        <v>4.8</v>
      </c>
      <c r="BE8" s="22" t="n">
        <v>3.2</v>
      </c>
      <c r="BF8" s="22" t="n">
        <v>4.2</v>
      </c>
      <c r="BG8" s="22" t="n">
        <v>3.9</v>
      </c>
      <c r="BH8" s="5">
        <f>IF(MAESTRO!B8="","",IFERROR(TRUNC(AVERAGE(AX8:BG8),1),""))</f>
        <v/>
      </c>
      <c r="BI8" s="22" t="n">
        <v>3.9</v>
      </c>
      <c r="BJ8" s="22" t="n">
        <v>4.4</v>
      </c>
      <c r="BK8" s="22">
        <f>IF(MAESTRO!B8="","",IFERROR(AVERAGE(BI8,BJ8),""))</f>
        <v/>
      </c>
      <c r="BL8" s="5">
        <f>IF(MAESTRO!B8="","",IFERROR(TRUNC(AVERAGE(AW8,BH8,BK8),1),""))</f>
        <v/>
      </c>
      <c r="BM8" s="177" t="n"/>
      <c r="BN8" s="177" t="n">
        <v>4</v>
      </c>
      <c r="BO8" s="177" t="n">
        <v>4</v>
      </c>
      <c r="BP8" s="177">
        <f>IF(MAESTRO!B8="","",MAESTRO!B8)</f>
        <v/>
      </c>
      <c r="BQ8" s="178" t="n"/>
      <c r="BR8" s="5" t="n">
        <v>3.9</v>
      </c>
      <c r="BS8" s="5" t="n">
        <v>4.9</v>
      </c>
      <c r="BT8" s="5" t="n">
        <v>4.3</v>
      </c>
      <c r="BU8" s="5" t="n">
        <v>4.1</v>
      </c>
      <c r="BV8" s="5" t="n">
        <v>3</v>
      </c>
      <c r="BW8" s="5" t="n">
        <v>4.5</v>
      </c>
      <c r="BX8" s="5" t="n">
        <v>3.1</v>
      </c>
      <c r="BY8" s="5" t="n">
        <v>3.3</v>
      </c>
      <c r="BZ8" s="5" t="n">
        <v>3.3</v>
      </c>
      <c r="CA8" s="5" t="n">
        <v>4</v>
      </c>
      <c r="CB8" s="5" t="n">
        <v>4.3</v>
      </c>
      <c r="CC8" s="5" t="n">
        <v>4.3</v>
      </c>
      <c r="CD8" s="5" t="n">
        <v>4.7</v>
      </c>
      <c r="CE8" s="5">
        <f>IF(MAESTRO!B8="","",IFERROR(TRUNC(AVERAGE(BR8:CD8),1),""))</f>
        <v/>
      </c>
      <c r="CF8" s="5" t="n">
        <v>3.2</v>
      </c>
      <c r="CG8" s="5" t="n">
        <v>4.6</v>
      </c>
      <c r="CH8" s="5" t="n">
        <v>4.7</v>
      </c>
      <c r="CI8" s="5" t="n">
        <v>4.2</v>
      </c>
      <c r="CJ8" s="5" t="n">
        <v>4.5</v>
      </c>
      <c r="CK8" s="5" t="n">
        <v>3.6</v>
      </c>
      <c r="CL8" s="5" t="n">
        <v>4.8</v>
      </c>
      <c r="CM8" s="5" t="n">
        <v>3.6</v>
      </c>
      <c r="CN8" s="5" t="n">
        <v>3</v>
      </c>
      <c r="CO8" s="5" t="n">
        <v>4.2</v>
      </c>
      <c r="CP8" s="5">
        <f>IF(MAESTRO!B8="","",IFERROR(TRUNC(AVERAGE(CF8:CO8),1),""))</f>
        <v/>
      </c>
      <c r="CQ8" s="5" t="n">
        <v>4.4</v>
      </c>
      <c r="CR8" s="5" t="n">
        <v>4.5</v>
      </c>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v>4.4</v>
      </c>
      <c r="D9" s="5" t="n">
        <v>3.8</v>
      </c>
      <c r="E9" s="5" t="n">
        <v>4.4</v>
      </c>
      <c r="F9" s="5" t="n">
        <v>4.2</v>
      </c>
      <c r="G9" s="5" t="n">
        <v>3.2</v>
      </c>
      <c r="H9" s="5" t="n">
        <v>4.2</v>
      </c>
      <c r="I9" s="5" t="n">
        <v>4.9</v>
      </c>
      <c r="J9" s="5" t="n">
        <v>4.5</v>
      </c>
      <c r="K9" s="5" t="n">
        <v>4.1</v>
      </c>
      <c r="L9" s="5" t="n">
        <v>3.3</v>
      </c>
      <c r="M9" s="5" t="n">
        <v>4.3</v>
      </c>
      <c r="N9" s="5" t="n">
        <v>3.2</v>
      </c>
      <c r="O9" s="5" t="n">
        <v>4.5</v>
      </c>
      <c r="P9" s="5">
        <f>IF(MAESTRO!B9="","",IFERROR(TRUNC(AVERAGE(C9:O9),1),""))</f>
        <v/>
      </c>
      <c r="Q9" s="40" t="n">
        <v>5</v>
      </c>
      <c r="R9" s="22" t="n">
        <v>3.8</v>
      </c>
      <c r="S9" s="22" t="n">
        <v>3.2</v>
      </c>
      <c r="T9" s="22" t="n">
        <v>5</v>
      </c>
      <c r="U9" s="22" t="n">
        <v>3.1</v>
      </c>
      <c r="V9" s="22" t="n">
        <v>4.1</v>
      </c>
      <c r="W9" s="22" t="n">
        <v>4.2</v>
      </c>
      <c r="X9" s="22" t="n">
        <v>3.2</v>
      </c>
      <c r="Y9" s="22" t="n">
        <v>4.7</v>
      </c>
      <c r="Z9" s="22" t="n">
        <v>3</v>
      </c>
      <c r="AA9" s="45">
        <f>IF(MAESTRO!B9="","",IFERROR(TRUNC(AVERAGE(R9:Z9),1),""))</f>
        <v/>
      </c>
      <c r="AB9" s="177" t="n">
        <v>4.4</v>
      </c>
      <c r="AC9" s="42" t="n">
        <v>3.7</v>
      </c>
      <c r="AD9" s="5">
        <f>IF(MAESTRO!B9="","",IFERROR(AVERAGE(AB9:AC9),""))</f>
        <v/>
      </c>
      <c r="AE9" s="44">
        <f>IF(MAESTRO!B9="","",IFERROR(TRUNC(AVERAGE(P9,AA9,AD9),1),""))</f>
        <v/>
      </c>
      <c r="AF9" s="177" t="n"/>
      <c r="AG9" s="177" t="n">
        <v>5</v>
      </c>
      <c r="AH9" s="177" t="n">
        <v>5</v>
      </c>
      <c r="AI9" s="177">
        <f>IF(MAESTRO!B9="","",MAESTRO!B9)</f>
        <v/>
      </c>
      <c r="AJ9" s="178" t="n"/>
      <c r="AK9" s="61" t="n">
        <v>3.4</v>
      </c>
      <c r="AL9" s="61" t="n">
        <v>3.2</v>
      </c>
      <c r="AM9" s="61" t="n">
        <v>3.5</v>
      </c>
      <c r="AN9" s="61" t="n">
        <v>3.2</v>
      </c>
      <c r="AO9" s="61" t="n">
        <v>3.3</v>
      </c>
      <c r="AP9" s="61" t="n">
        <v>3.9</v>
      </c>
      <c r="AQ9" s="61" t="n">
        <v>4.1</v>
      </c>
      <c r="AR9" s="61" t="n">
        <v>3.3</v>
      </c>
      <c r="AS9" s="61" t="n">
        <v>4.7</v>
      </c>
      <c r="AT9" s="61" t="n">
        <v>4.5</v>
      </c>
      <c r="AU9" s="61" t="n">
        <v>4.2</v>
      </c>
      <c r="AV9" s="61" t="n">
        <v>3.6</v>
      </c>
      <c r="AW9" s="5">
        <f>IF(MAESTRO!B9="","",IFERROR(TRUNC(AVERAGE(AK9:AV9),1),""))</f>
        <v/>
      </c>
      <c r="AX9" s="22" t="n">
        <v>3.3</v>
      </c>
      <c r="AY9" s="22" t="n">
        <v>4.6</v>
      </c>
      <c r="AZ9" s="22" t="n">
        <v>3.3</v>
      </c>
      <c r="BA9" s="22" t="n">
        <v>4.9</v>
      </c>
      <c r="BB9" s="22" t="n">
        <v>4</v>
      </c>
      <c r="BC9" s="22" t="n">
        <v>4.3</v>
      </c>
      <c r="BD9" s="22" t="n">
        <v>4.6</v>
      </c>
      <c r="BE9" s="22" t="n">
        <v>4.6</v>
      </c>
      <c r="BF9" s="22" t="n">
        <v>3.3</v>
      </c>
      <c r="BG9" s="22" t="n">
        <v>4.7</v>
      </c>
      <c r="BH9" s="5">
        <f>IF(MAESTRO!B9="","",IFERROR(TRUNC(AVERAGE(AX9:BG9),1),""))</f>
        <v/>
      </c>
      <c r="BI9" s="22" t="n">
        <v>4.6</v>
      </c>
      <c r="BJ9" s="22" t="n">
        <v>3.8</v>
      </c>
      <c r="BK9" s="22">
        <f>IF(MAESTRO!B9="","",IFERROR(AVERAGE(BI9,BJ9),""))</f>
        <v/>
      </c>
      <c r="BL9" s="5">
        <f>IF(MAESTRO!B9="","",IFERROR(TRUNC(AVERAGE(AW9,BH9,BK9),1),""))</f>
        <v/>
      </c>
      <c r="BM9" s="177" t="n"/>
      <c r="BN9" s="177" t="n">
        <v>5</v>
      </c>
      <c r="BO9" s="177" t="n">
        <v>5</v>
      </c>
      <c r="BP9" s="177">
        <f>IF(MAESTRO!B9="","",MAESTRO!B9)</f>
        <v/>
      </c>
      <c r="BQ9" s="178" t="n"/>
      <c r="BR9" s="5" t="n">
        <v>3.7</v>
      </c>
      <c r="BS9" s="5" t="n">
        <v>4.6</v>
      </c>
      <c r="BT9" s="5" t="n">
        <v>3.1</v>
      </c>
      <c r="BU9" s="5" t="n">
        <v>4.8</v>
      </c>
      <c r="BV9" s="5" t="n">
        <v>3.7</v>
      </c>
      <c r="BW9" s="5" t="n">
        <v>3.2</v>
      </c>
      <c r="BX9" s="5" t="n">
        <v>3.5</v>
      </c>
      <c r="BY9" s="5" t="n">
        <v>3.8</v>
      </c>
      <c r="BZ9" s="5" t="n">
        <v>4.3</v>
      </c>
      <c r="CA9" s="5" t="n">
        <v>4.5</v>
      </c>
      <c r="CB9" s="5" t="n">
        <v>3.5</v>
      </c>
      <c r="CC9" s="5" t="n">
        <v>4</v>
      </c>
      <c r="CD9" s="5" t="n">
        <v>3.5</v>
      </c>
      <c r="CE9" s="5">
        <f>IF(MAESTRO!B9="","",IFERROR(TRUNC(AVERAGE(BR9:CD9),1),""))</f>
        <v/>
      </c>
      <c r="CF9" s="5" t="n">
        <v>3.2</v>
      </c>
      <c r="CG9" s="5" t="n">
        <v>3.4</v>
      </c>
      <c r="CH9" s="5" t="n">
        <v>4.9</v>
      </c>
      <c r="CI9" s="5" t="n">
        <v>5</v>
      </c>
      <c r="CJ9" s="5" t="n">
        <v>3.8</v>
      </c>
      <c r="CK9" s="5" t="n">
        <v>4.9</v>
      </c>
      <c r="CL9" s="5" t="n">
        <v>3.6</v>
      </c>
      <c r="CM9" s="5" t="n">
        <v>4.5</v>
      </c>
      <c r="CN9" s="5" t="n">
        <v>3.6</v>
      </c>
      <c r="CO9" s="5" t="n">
        <v>3.2</v>
      </c>
      <c r="CP9" s="5">
        <f>IF(MAESTRO!B9="","",IFERROR(TRUNC(AVERAGE(CF9:CO9),1),""))</f>
        <v/>
      </c>
      <c r="CQ9" s="5" t="n">
        <v>4.8</v>
      </c>
      <c r="CR9" s="5" t="n">
        <v>5</v>
      </c>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v>3.3</v>
      </c>
      <c r="D10" s="5" t="n">
        <v>4.1</v>
      </c>
      <c r="E10" s="5" t="n">
        <v>3.7</v>
      </c>
      <c r="F10" s="5" t="n">
        <v>3.6</v>
      </c>
      <c r="G10" s="5" t="n">
        <v>3.1</v>
      </c>
      <c r="H10" s="5" t="n">
        <v>3.3</v>
      </c>
      <c r="I10" s="5" t="n">
        <v>4.9</v>
      </c>
      <c r="J10" s="5" t="n">
        <v>5</v>
      </c>
      <c r="K10" s="5" t="n">
        <v>3.9</v>
      </c>
      <c r="L10" s="5" t="n">
        <v>4.5</v>
      </c>
      <c r="M10" s="5" t="n">
        <v>4.9</v>
      </c>
      <c r="N10" s="5" t="n">
        <v>4.4</v>
      </c>
      <c r="O10" s="5" t="n">
        <v>3.9</v>
      </c>
      <c r="P10" s="5">
        <f>IF(MAESTRO!B10="","",IFERROR(TRUNC(AVERAGE(C10:O10),1),""))</f>
        <v/>
      </c>
      <c r="Q10" s="40" t="n">
        <v>6</v>
      </c>
      <c r="R10" s="22" t="n">
        <v>3.6</v>
      </c>
      <c r="S10" s="22" t="n">
        <v>4.7</v>
      </c>
      <c r="T10" s="22" t="n">
        <v>4</v>
      </c>
      <c r="U10" s="22" t="n">
        <v>4.9</v>
      </c>
      <c r="V10" s="22" t="n">
        <v>4.5</v>
      </c>
      <c r="W10" s="22" t="n">
        <v>4.2</v>
      </c>
      <c r="X10" s="22" t="n">
        <v>3.1</v>
      </c>
      <c r="Y10" s="22" t="n">
        <v>4.5</v>
      </c>
      <c r="Z10" s="22" t="n">
        <v>3.3</v>
      </c>
      <c r="AA10" s="45">
        <f>IF(MAESTRO!B10="","",IFERROR(TRUNC(AVERAGE(R10:Z10),1),""))</f>
        <v/>
      </c>
      <c r="AB10" s="177" t="n">
        <v>3.1</v>
      </c>
      <c r="AC10" s="42" t="n">
        <v>4.9</v>
      </c>
      <c r="AD10" s="5">
        <f>IF(MAESTRO!B10="","",IFERROR(AVERAGE(AB10:AC10),""))</f>
        <v/>
      </c>
      <c r="AE10" s="44">
        <f>IF(MAESTRO!B10="","",IFERROR(TRUNC(AVERAGE(P10,AA10,AD10),1),""))</f>
        <v/>
      </c>
      <c r="AF10" s="177" t="n"/>
      <c r="AG10" s="177" t="n">
        <v>6</v>
      </c>
      <c r="AH10" s="177" t="n">
        <v>6</v>
      </c>
      <c r="AI10" s="177">
        <f>IF(MAESTRO!B10="","",MAESTRO!B10)</f>
        <v/>
      </c>
      <c r="AJ10" s="178" t="n"/>
      <c r="AK10" s="61" t="n">
        <v>4.1</v>
      </c>
      <c r="AL10" s="61" t="n">
        <v>3.1</v>
      </c>
      <c r="AM10" s="61" t="n">
        <v>4.9</v>
      </c>
      <c r="AN10" s="61" t="n">
        <v>4.4</v>
      </c>
      <c r="AO10" s="61" t="n">
        <v>3.2</v>
      </c>
      <c r="AP10" s="61" t="n">
        <v>3.2</v>
      </c>
      <c r="AQ10" s="61" t="n">
        <v>3.2</v>
      </c>
      <c r="AR10" s="61" t="n">
        <v>4.5</v>
      </c>
      <c r="AS10" s="61" t="n">
        <v>3.1</v>
      </c>
      <c r="AT10" s="61" t="n">
        <v>4.8</v>
      </c>
      <c r="AU10" s="61" t="n">
        <v>3.1</v>
      </c>
      <c r="AV10" s="61" t="n">
        <v>5</v>
      </c>
      <c r="AW10" s="5">
        <f>IF(MAESTRO!B10="","",IFERROR(TRUNC(AVERAGE(AK10:AV10),1),""))</f>
        <v/>
      </c>
      <c r="AX10" s="22" t="n">
        <v>4.9</v>
      </c>
      <c r="AY10" s="22" t="n">
        <v>4.7</v>
      </c>
      <c r="AZ10" s="22" t="n">
        <v>3.6</v>
      </c>
      <c r="BA10" s="22" t="n">
        <v>3.1</v>
      </c>
      <c r="BB10" s="22" t="n">
        <v>4.4</v>
      </c>
      <c r="BC10" s="22" t="n">
        <v>3.8</v>
      </c>
      <c r="BD10" s="22" t="n">
        <v>4.4</v>
      </c>
      <c r="BE10" s="22" t="n">
        <v>3</v>
      </c>
      <c r="BF10" s="22" t="n">
        <v>3</v>
      </c>
      <c r="BG10" s="22" t="n">
        <v>4.5</v>
      </c>
      <c r="BH10" s="5">
        <f>IF(MAESTRO!B10="","",IFERROR(TRUNC(AVERAGE(AX10:BG10),1),""))</f>
        <v/>
      </c>
      <c r="BI10" s="22" t="n">
        <v>3.9</v>
      </c>
      <c r="BJ10" s="22" t="n">
        <v>4.3</v>
      </c>
      <c r="BK10" s="22">
        <f>IF(MAESTRO!B10="","",IFERROR(AVERAGE(BI10,BJ10),""))</f>
        <v/>
      </c>
      <c r="BL10" s="5">
        <f>IF(MAESTRO!B10="","",IFERROR(TRUNC(AVERAGE(AW10,BH10,BK10),1),""))</f>
        <v/>
      </c>
      <c r="BM10" s="177" t="n"/>
      <c r="BN10" s="177" t="n">
        <v>6</v>
      </c>
      <c r="BO10" s="177" t="n">
        <v>6</v>
      </c>
      <c r="BP10" s="177">
        <f>IF(MAESTRO!B10="","",MAESTRO!B10)</f>
        <v/>
      </c>
      <c r="BQ10" s="178" t="n"/>
      <c r="BR10" s="5" t="n">
        <v>3.1</v>
      </c>
      <c r="BS10" s="5" t="n">
        <v>3.7</v>
      </c>
      <c r="BT10" s="5" t="n">
        <v>4.6</v>
      </c>
      <c r="BU10" s="5" t="n">
        <v>4.2</v>
      </c>
      <c r="BV10" s="5" t="n">
        <v>3.8</v>
      </c>
      <c r="BW10" s="5" t="n">
        <v>3.1</v>
      </c>
      <c r="BX10" s="5" t="n">
        <v>3.2</v>
      </c>
      <c r="BY10" s="5" t="n">
        <v>4.8</v>
      </c>
      <c r="BZ10" s="5" t="n">
        <v>3.7</v>
      </c>
      <c r="CA10" s="5" t="n">
        <v>3</v>
      </c>
      <c r="CB10" s="5" t="n">
        <v>3.1</v>
      </c>
      <c r="CC10" s="5" t="n">
        <v>3</v>
      </c>
      <c r="CD10" s="5" t="n">
        <v>4.2</v>
      </c>
      <c r="CE10" s="5">
        <f>IF(MAESTRO!B10="","",IFERROR(TRUNC(AVERAGE(BR10:CD10),1),""))</f>
        <v/>
      </c>
      <c r="CF10" s="5" t="n">
        <v>4.9</v>
      </c>
      <c r="CG10" s="5" t="n">
        <v>3</v>
      </c>
      <c r="CH10" s="5" t="n">
        <v>3.7</v>
      </c>
      <c r="CI10" s="5" t="n">
        <v>4.8</v>
      </c>
      <c r="CJ10" s="5" t="n">
        <v>3.9</v>
      </c>
      <c r="CK10" s="5" t="n">
        <v>4.4</v>
      </c>
      <c r="CL10" s="5" t="n">
        <v>3.2</v>
      </c>
      <c r="CM10" s="5" t="n">
        <v>3.7</v>
      </c>
      <c r="CN10" s="5" t="n">
        <v>4.6</v>
      </c>
      <c r="CO10" s="5" t="n">
        <v>3.1</v>
      </c>
      <c r="CP10" s="5">
        <f>IF(MAESTRO!B10="","",IFERROR(TRUNC(AVERAGE(CF10:CO10),1),""))</f>
        <v/>
      </c>
      <c r="CQ10" s="5" t="n">
        <v>4</v>
      </c>
      <c r="CR10" s="5" t="n">
        <v>4.2</v>
      </c>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v>4.4</v>
      </c>
      <c r="D11" s="5" t="n">
        <v>4.9</v>
      </c>
      <c r="E11" s="5" t="n">
        <v>4.8</v>
      </c>
      <c r="F11" s="5" t="n">
        <v>4.4</v>
      </c>
      <c r="G11" s="5" t="n">
        <v>4.6</v>
      </c>
      <c r="H11" s="5" t="n">
        <v>4.8</v>
      </c>
      <c r="I11" s="5" t="n">
        <v>3.1</v>
      </c>
      <c r="J11" s="5" t="n">
        <v>3.3</v>
      </c>
      <c r="K11" s="5" t="n">
        <v>4.7</v>
      </c>
      <c r="L11" s="5" t="n">
        <v>3</v>
      </c>
      <c r="M11" s="5" t="n">
        <v>3.5</v>
      </c>
      <c r="N11" s="5" t="n">
        <v>4.8</v>
      </c>
      <c r="O11" s="5" t="n">
        <v>3.4</v>
      </c>
      <c r="P11" s="5">
        <f>IF(MAESTRO!B11="","",IFERROR(TRUNC(AVERAGE(C11:O11),1),""))</f>
        <v/>
      </c>
      <c r="Q11" s="40" t="n">
        <v>7</v>
      </c>
      <c r="R11" s="22" t="n">
        <v>3.2</v>
      </c>
      <c r="S11" s="22" t="n">
        <v>3</v>
      </c>
      <c r="T11" s="22" t="n">
        <v>4.3</v>
      </c>
      <c r="U11" s="22" t="n">
        <v>4.9</v>
      </c>
      <c r="V11" s="22" t="n">
        <v>3.9</v>
      </c>
      <c r="W11" s="22" t="n">
        <v>3.7</v>
      </c>
      <c r="X11" s="22" t="n">
        <v>4.8</v>
      </c>
      <c r="Y11" s="22" t="n">
        <v>4.7</v>
      </c>
      <c r="Z11" s="22" t="n">
        <v>3.3</v>
      </c>
      <c r="AA11" s="45">
        <f>IF(MAESTRO!B11="","",IFERROR(TRUNC(AVERAGE(R11:Z11),1),""))</f>
        <v/>
      </c>
      <c r="AB11" s="177" t="n">
        <v>4.8</v>
      </c>
      <c r="AC11" s="42" t="n">
        <v>3.9</v>
      </c>
      <c r="AD11" s="5">
        <f>IF(MAESTRO!B11="","",IFERROR(AVERAGE(AB11:AC11),""))</f>
        <v/>
      </c>
      <c r="AE11" s="44">
        <f>IF(MAESTRO!B11="","",IFERROR(TRUNC(AVERAGE(P11,AA11,AD11),1),""))</f>
        <v/>
      </c>
      <c r="AF11" s="177" t="n"/>
      <c r="AG11" s="177" t="n">
        <v>7</v>
      </c>
      <c r="AH11" s="177" t="n">
        <v>7</v>
      </c>
      <c r="AI11" s="177">
        <f>IF(MAESTRO!B11="","",MAESTRO!B11)</f>
        <v/>
      </c>
      <c r="AJ11" s="178" t="n"/>
      <c r="AK11" s="61" t="n">
        <v>4.9</v>
      </c>
      <c r="AL11" s="61" t="n">
        <v>3</v>
      </c>
      <c r="AM11" s="61" t="n">
        <v>3.2</v>
      </c>
      <c r="AN11" s="61" t="n">
        <v>4.8</v>
      </c>
      <c r="AO11" s="61" t="n">
        <v>5</v>
      </c>
      <c r="AP11" s="61" t="n">
        <v>4.6</v>
      </c>
      <c r="AQ11" s="61" t="n">
        <v>3.4</v>
      </c>
      <c r="AR11" s="61" t="n">
        <v>3.7</v>
      </c>
      <c r="AS11" s="61" t="n">
        <v>4.4</v>
      </c>
      <c r="AT11" s="61" t="n">
        <v>4.7</v>
      </c>
      <c r="AU11" s="61" t="n">
        <v>4.6</v>
      </c>
      <c r="AV11" s="61" t="n">
        <v>3.6</v>
      </c>
      <c r="AW11" s="5">
        <f>IF(MAESTRO!B11="","",IFERROR(TRUNC(AVERAGE(AK11:AV11),1),""))</f>
        <v/>
      </c>
      <c r="AX11" s="22" t="n">
        <v>3.6</v>
      </c>
      <c r="AY11" s="22" t="n">
        <v>4.5</v>
      </c>
      <c r="AZ11" s="22" t="n">
        <v>4.6</v>
      </c>
      <c r="BA11" s="22" t="n">
        <v>3.8</v>
      </c>
      <c r="BB11" s="22" t="n">
        <v>4.7</v>
      </c>
      <c r="BC11" s="22" t="n">
        <v>3.3</v>
      </c>
      <c r="BD11" s="22" t="n">
        <v>3.9</v>
      </c>
      <c r="BE11" s="22" t="n">
        <v>3.1</v>
      </c>
      <c r="BF11" s="22" t="n">
        <v>3.6</v>
      </c>
      <c r="BG11" s="22" t="n">
        <v>4.6</v>
      </c>
      <c r="BH11" s="5">
        <f>IF(MAESTRO!B11="","",IFERROR(TRUNC(AVERAGE(AX11:BG11),1),""))</f>
        <v/>
      </c>
      <c r="BI11" s="22" t="n">
        <v>4.2</v>
      </c>
      <c r="BJ11" s="22" t="n">
        <v>3.5</v>
      </c>
      <c r="BK11" s="22">
        <f>IF(MAESTRO!B11="","",IFERROR(AVERAGE(BI11,BJ11),""))</f>
        <v/>
      </c>
      <c r="BL11" s="5">
        <f>IF(MAESTRO!B11="","",IFERROR(TRUNC(AVERAGE(AW11,BH11,BK11),1),""))</f>
        <v/>
      </c>
      <c r="BM11" s="177" t="n"/>
      <c r="BN11" s="177" t="n">
        <v>7</v>
      </c>
      <c r="BO11" s="177" t="n">
        <v>7</v>
      </c>
      <c r="BP11" s="177">
        <f>IF(MAESTRO!B11="","",MAESTRO!B11)</f>
        <v/>
      </c>
      <c r="BQ11" s="178" t="n"/>
      <c r="BR11" s="5" t="n">
        <v>3.8</v>
      </c>
      <c r="BS11" s="5" t="n">
        <v>3.3</v>
      </c>
      <c r="BT11" s="5" t="n">
        <v>4.3</v>
      </c>
      <c r="BU11" s="5" t="n">
        <v>4.8</v>
      </c>
      <c r="BV11" s="5" t="n">
        <v>4.2</v>
      </c>
      <c r="BW11" s="5" t="n">
        <v>4.4</v>
      </c>
      <c r="BX11" s="5" t="n">
        <v>4.7</v>
      </c>
      <c r="BY11" s="5" t="n">
        <v>5</v>
      </c>
      <c r="BZ11" s="5" t="n">
        <v>4.2</v>
      </c>
      <c r="CA11" s="5" t="n">
        <v>3.7</v>
      </c>
      <c r="CB11" s="5" t="n">
        <v>3.1</v>
      </c>
      <c r="CC11" s="5" t="n">
        <v>3.1</v>
      </c>
      <c r="CD11" s="5" t="n">
        <v>4.1</v>
      </c>
      <c r="CE11" s="5">
        <f>IF(MAESTRO!B11="","",IFERROR(TRUNC(AVERAGE(BR11:CD11),1),""))</f>
        <v/>
      </c>
      <c r="CF11" s="5" t="n">
        <v>3.4</v>
      </c>
      <c r="CG11" s="5" t="n">
        <v>4.2</v>
      </c>
      <c r="CH11" s="5" t="n">
        <v>3.7</v>
      </c>
      <c r="CI11" s="5" t="n">
        <v>3.3</v>
      </c>
      <c r="CJ11" s="5" t="n">
        <v>4.1</v>
      </c>
      <c r="CK11" s="5" t="n">
        <v>3.7</v>
      </c>
      <c r="CL11" s="5" t="n">
        <v>4</v>
      </c>
      <c r="CM11" s="5" t="n">
        <v>4.9</v>
      </c>
      <c r="CN11" s="5" t="n">
        <v>4</v>
      </c>
      <c r="CO11" s="5" t="n">
        <v>4.3</v>
      </c>
      <c r="CP11" s="5">
        <f>IF(MAESTRO!B11="","",IFERROR(TRUNC(AVERAGE(CF11:CO11),1),""))</f>
        <v/>
      </c>
      <c r="CQ11" s="5" t="n">
        <v>3.9</v>
      </c>
      <c r="CR11" s="5" t="n">
        <v>3.9</v>
      </c>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v>3.4</v>
      </c>
      <c r="D12" s="5" t="n">
        <v>3.9</v>
      </c>
      <c r="E12" s="5" t="n">
        <v>3.6</v>
      </c>
      <c r="F12" s="5" t="n">
        <v>3.1</v>
      </c>
      <c r="G12" s="5" t="n">
        <v>4.8</v>
      </c>
      <c r="H12" s="5" t="n">
        <v>4.4</v>
      </c>
      <c r="I12" s="5" t="n">
        <v>4.6</v>
      </c>
      <c r="J12" s="5" t="n">
        <v>3.2</v>
      </c>
      <c r="K12" s="5" t="n">
        <v>3.1</v>
      </c>
      <c r="L12" s="5" t="n">
        <v>4.4</v>
      </c>
      <c r="M12" s="5" t="n">
        <v>3.7</v>
      </c>
      <c r="N12" s="5" t="n">
        <v>4.3</v>
      </c>
      <c r="O12" s="5" t="n">
        <v>4.9</v>
      </c>
      <c r="P12" s="5">
        <f>IF(MAESTRO!B12="","",IFERROR(TRUNC(AVERAGE(C12:O12),1),""))</f>
        <v/>
      </c>
      <c r="Q12" s="40" t="n">
        <v>8</v>
      </c>
      <c r="R12" s="22" t="n">
        <v>4.5</v>
      </c>
      <c r="S12" s="22" t="n">
        <v>3.8</v>
      </c>
      <c r="T12" s="22" t="n">
        <v>3.7</v>
      </c>
      <c r="U12" s="22" t="n">
        <v>4.9</v>
      </c>
      <c r="V12" s="22" t="n">
        <v>4.1</v>
      </c>
      <c r="W12" s="22" t="n">
        <v>4.2</v>
      </c>
      <c r="X12" s="22" t="n">
        <v>4.4</v>
      </c>
      <c r="Y12" s="22" t="n">
        <v>3.8</v>
      </c>
      <c r="Z12" s="22" t="n">
        <v>3.3</v>
      </c>
      <c r="AA12" s="45">
        <f>IF(MAESTRO!B12="","",IFERROR(TRUNC(AVERAGE(R12:Z12),1),""))</f>
        <v/>
      </c>
      <c r="AB12" s="177" t="n">
        <v>4.3</v>
      </c>
      <c r="AC12" s="42" t="n">
        <v>3.9</v>
      </c>
      <c r="AD12" s="5">
        <f>IF(MAESTRO!B12="","",IFERROR(AVERAGE(AB12:AC12),""))</f>
        <v/>
      </c>
      <c r="AE12" s="44">
        <f>IF(MAESTRO!B12="","",IFERROR(TRUNC(AVERAGE(P12,AA12,AD12),1),""))</f>
        <v/>
      </c>
      <c r="AF12" s="177" t="n"/>
      <c r="AG12" s="177" t="n">
        <v>8</v>
      </c>
      <c r="AH12" s="177" t="n">
        <v>8</v>
      </c>
      <c r="AI12" s="177">
        <f>IF(MAESTRO!B12="","",MAESTRO!B12)</f>
        <v/>
      </c>
      <c r="AJ12" s="178" t="n"/>
      <c r="AK12" s="61" t="n">
        <v>4.1</v>
      </c>
      <c r="AL12" s="61" t="n">
        <v>3.5</v>
      </c>
      <c r="AM12" s="61" t="n">
        <v>3.5</v>
      </c>
      <c r="AN12" s="61" t="n">
        <v>4</v>
      </c>
      <c r="AO12" s="61" t="n">
        <v>4.6</v>
      </c>
      <c r="AP12" s="61" t="n">
        <v>4.2</v>
      </c>
      <c r="AQ12" s="61" t="n">
        <v>3.9</v>
      </c>
      <c r="AR12" s="61" t="n">
        <v>4.6</v>
      </c>
      <c r="AS12" s="61" t="n">
        <v>3.4</v>
      </c>
      <c r="AT12" s="61" t="n">
        <v>4.5</v>
      </c>
      <c r="AU12" s="61" t="n">
        <v>4</v>
      </c>
      <c r="AV12" s="61" t="n">
        <v>3.7</v>
      </c>
      <c r="AW12" s="5">
        <f>IF(MAESTRO!B12="","",IFERROR(TRUNC(AVERAGE(AK12:AV12),1),""))</f>
        <v/>
      </c>
      <c r="AX12" s="22" t="n">
        <v>4.6</v>
      </c>
      <c r="AY12" s="22" t="n">
        <v>3.4</v>
      </c>
      <c r="AZ12" s="22" t="n">
        <v>3.3</v>
      </c>
      <c r="BA12" s="22" t="n">
        <v>4.7</v>
      </c>
      <c r="BB12" s="22" t="n">
        <v>3.7</v>
      </c>
      <c r="BC12" s="22" t="n">
        <v>3.1</v>
      </c>
      <c r="BD12" s="22" t="n">
        <v>3.6</v>
      </c>
      <c r="BE12" s="22" t="n">
        <v>3</v>
      </c>
      <c r="BF12" s="22" t="n">
        <v>4.7</v>
      </c>
      <c r="BG12" s="22" t="n">
        <v>3.3</v>
      </c>
      <c r="BH12" s="5">
        <f>IF(MAESTRO!B12="","",IFERROR(TRUNC(AVERAGE(AX12:BG12),1),""))</f>
        <v/>
      </c>
      <c r="BI12" s="22" t="n">
        <v>4.1</v>
      </c>
      <c r="BJ12" s="22" t="n">
        <v>4.5</v>
      </c>
      <c r="BK12" s="22">
        <f>IF(MAESTRO!B12="","",IFERROR(AVERAGE(BI12,BJ12),""))</f>
        <v/>
      </c>
      <c r="BL12" s="5">
        <f>IF(MAESTRO!B12="","",IFERROR(TRUNC(AVERAGE(AW12,BH12,BK12),1),""))</f>
        <v/>
      </c>
      <c r="BM12" s="177" t="n"/>
      <c r="BN12" s="177" t="n">
        <v>8</v>
      </c>
      <c r="BO12" s="177" t="n">
        <v>8</v>
      </c>
      <c r="BP12" s="177">
        <f>IF(MAESTRO!B12="","",MAESTRO!B12)</f>
        <v/>
      </c>
      <c r="BQ12" s="178" t="n"/>
      <c r="BR12" s="5" t="n">
        <v>3.9</v>
      </c>
      <c r="BS12" s="5" t="n">
        <v>3.4</v>
      </c>
      <c r="BT12" s="5" t="n">
        <v>3.6</v>
      </c>
      <c r="BU12" s="5" t="n">
        <v>3.6</v>
      </c>
      <c r="BV12" s="5" t="n">
        <v>3.5</v>
      </c>
      <c r="BW12" s="5" t="n">
        <v>4.5</v>
      </c>
      <c r="BX12" s="5" t="n">
        <v>4.9</v>
      </c>
      <c r="BY12" s="5" t="n">
        <v>3.4</v>
      </c>
      <c r="BZ12" s="5" t="n">
        <v>4.5</v>
      </c>
      <c r="CA12" s="5" t="n">
        <v>3.9</v>
      </c>
      <c r="CB12" s="5" t="n">
        <v>5</v>
      </c>
      <c r="CC12" s="5" t="n">
        <v>3.8</v>
      </c>
      <c r="CD12" s="5" t="n">
        <v>3.9</v>
      </c>
      <c r="CE12" s="5">
        <f>IF(MAESTRO!B12="","",IFERROR(TRUNC(AVERAGE(BR12:CD12),1),""))</f>
        <v/>
      </c>
      <c r="CF12" s="5" t="n">
        <v>4.8</v>
      </c>
      <c r="CG12" s="5" t="n">
        <v>4.4</v>
      </c>
      <c r="CH12" s="5" t="n">
        <v>3.9</v>
      </c>
      <c r="CI12" s="5" t="n">
        <v>3.1</v>
      </c>
      <c r="CJ12" s="5" t="n">
        <v>3.8</v>
      </c>
      <c r="CK12" s="5" t="n">
        <v>4.1</v>
      </c>
      <c r="CL12" s="5" t="n">
        <v>4.4</v>
      </c>
      <c r="CM12" s="5" t="n">
        <v>4.5</v>
      </c>
      <c r="CN12" s="5" t="n">
        <v>4.4</v>
      </c>
      <c r="CO12" s="5" t="n">
        <v>4.6</v>
      </c>
      <c r="CP12" s="5">
        <f>IF(MAESTRO!B12="","",IFERROR(TRUNC(AVERAGE(CF12:CO12),1),""))</f>
        <v/>
      </c>
      <c r="CQ12" s="5" t="n">
        <v>4.5</v>
      </c>
      <c r="CR12" s="5" t="n">
        <v>4.7</v>
      </c>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v>3.9</v>
      </c>
      <c r="D13" s="5" t="n">
        <v>3.8</v>
      </c>
      <c r="E13" s="5" t="n">
        <v>4.6</v>
      </c>
      <c r="F13" s="5" t="n">
        <v>3.4</v>
      </c>
      <c r="G13" s="5" t="n">
        <v>4.9</v>
      </c>
      <c r="H13" s="5" t="n">
        <v>3.4</v>
      </c>
      <c r="I13" s="5" t="n">
        <v>4.1</v>
      </c>
      <c r="J13" s="5" t="n">
        <v>4.7</v>
      </c>
      <c r="K13" s="5" t="n">
        <v>4.4</v>
      </c>
      <c r="L13" s="5" t="n">
        <v>3.7</v>
      </c>
      <c r="M13" s="5" t="n">
        <v>4.9</v>
      </c>
      <c r="N13" s="5" t="n">
        <v>3.4</v>
      </c>
      <c r="O13" s="5" t="n">
        <v>4.1</v>
      </c>
      <c r="P13" s="5">
        <f>IF(MAESTRO!B13="","",IFERROR(TRUNC(AVERAGE(C13:O13),1),""))</f>
        <v/>
      </c>
      <c r="Q13" s="40" t="n">
        <v>9</v>
      </c>
      <c r="R13" s="22" t="n">
        <v>3.9</v>
      </c>
      <c r="S13" s="5" t="n">
        <v>3.1</v>
      </c>
      <c r="T13" s="5" t="n">
        <v>4.9</v>
      </c>
      <c r="U13" s="5" t="n">
        <v>3.9</v>
      </c>
      <c r="V13" s="5" t="n">
        <v>3.7</v>
      </c>
      <c r="W13" s="5" t="n">
        <v>4</v>
      </c>
      <c r="X13" s="5" t="n">
        <v>4.1</v>
      </c>
      <c r="Y13" s="5" t="n">
        <v>4.2</v>
      </c>
      <c r="Z13" s="5" t="n">
        <v>4.4</v>
      </c>
      <c r="AA13" s="45">
        <f>IF(MAESTRO!B13="","",IFERROR(TRUNC(AVERAGE(R13:Z13),1),""))</f>
        <v/>
      </c>
      <c r="AB13" s="5" t="n">
        <v>3.1</v>
      </c>
      <c r="AC13" s="5" t="n">
        <v>3.9</v>
      </c>
      <c r="AD13" s="5">
        <f>IF(MAESTRO!B13="","",IFERROR(AVERAGE(AB13:AC13),""))</f>
        <v/>
      </c>
      <c r="AE13" s="44">
        <f>IF(MAESTRO!B13="","",IFERROR(TRUNC(AVERAGE(P13,AA13,AD13),1),""))</f>
        <v/>
      </c>
      <c r="AF13" s="177" t="n"/>
      <c r="AG13" s="177" t="n">
        <v>9</v>
      </c>
      <c r="AH13" s="177" t="n">
        <v>9</v>
      </c>
      <c r="AI13" s="177">
        <f>IF(MAESTRO!B13="","",MAESTRO!B13)</f>
        <v/>
      </c>
      <c r="AJ13" s="178" t="n"/>
      <c r="AK13" s="42" t="n">
        <v>4.2</v>
      </c>
      <c r="AL13" s="42" t="n">
        <v>4</v>
      </c>
      <c r="AM13" s="42" t="n">
        <v>3.8</v>
      </c>
      <c r="AN13" s="42" t="n">
        <v>3.2</v>
      </c>
      <c r="AO13" s="42" t="n">
        <v>3.8</v>
      </c>
      <c r="AP13" s="42" t="n">
        <v>4.3</v>
      </c>
      <c r="AQ13" s="42" t="n">
        <v>4.7</v>
      </c>
      <c r="AR13" s="61" t="n">
        <v>4.4</v>
      </c>
      <c r="AS13" s="61" t="n">
        <v>4.2</v>
      </c>
      <c r="AT13" s="61" t="n">
        <v>3.7</v>
      </c>
      <c r="AU13" s="61" t="n">
        <v>3</v>
      </c>
      <c r="AV13" s="61" t="n">
        <v>4.6</v>
      </c>
      <c r="AW13" s="5">
        <f>IF(MAESTRO!B13="","",IFERROR(TRUNC(AVERAGE(AK13:AV13),1),""))</f>
        <v/>
      </c>
      <c r="AX13" s="63" t="n">
        <v>4.7</v>
      </c>
      <c r="AY13" s="22" t="n">
        <v>3.6</v>
      </c>
      <c r="AZ13" s="63" t="n">
        <v>4.4</v>
      </c>
      <c r="BA13" s="63" t="n">
        <v>3.6</v>
      </c>
      <c r="BB13" s="22" t="n">
        <v>4.3</v>
      </c>
      <c r="BC13" s="63" t="n">
        <v>3.6</v>
      </c>
      <c r="BD13" s="63" t="n">
        <v>4</v>
      </c>
      <c r="BE13" s="63" t="n">
        <v>3.4</v>
      </c>
      <c r="BF13" s="63" t="n">
        <v>4.4</v>
      </c>
      <c r="BG13" s="22" t="n">
        <v>4.8</v>
      </c>
      <c r="BH13" s="5">
        <f>IF(MAESTRO!B13="","",IFERROR(TRUNC(AVERAGE(AX13:BG13),1),""))</f>
        <v/>
      </c>
      <c r="BI13" s="22" t="n">
        <v>4.9</v>
      </c>
      <c r="BJ13" s="22" t="n">
        <v>4.3</v>
      </c>
      <c r="BK13" s="22">
        <f>IF(MAESTRO!B13="","",IFERROR(AVERAGE(BI13,BJ13),""))</f>
        <v/>
      </c>
      <c r="BL13" s="5">
        <f>IF(MAESTRO!B13="","",IFERROR(TRUNC(AVERAGE(AW13,BH13,BK13),1),""))</f>
        <v/>
      </c>
      <c r="BM13" s="177" t="n"/>
      <c r="BN13" s="177" t="n">
        <v>9</v>
      </c>
      <c r="BO13" s="177" t="n">
        <v>9</v>
      </c>
      <c r="BP13" s="177">
        <f>IF(MAESTRO!B13="","",MAESTRO!B13)</f>
        <v/>
      </c>
      <c r="BQ13" s="178" t="n"/>
      <c r="BR13" s="5" t="n">
        <v>4.2</v>
      </c>
      <c r="BS13" s="5" t="n">
        <v>3.4</v>
      </c>
      <c r="BT13" s="5" t="n">
        <v>4.8</v>
      </c>
      <c r="BU13" s="5" t="n">
        <v>3.1</v>
      </c>
      <c r="BV13" s="5" t="n">
        <v>3.5</v>
      </c>
      <c r="BW13" s="5" t="n">
        <v>3.5</v>
      </c>
      <c r="BX13" s="5" t="n">
        <v>4.1</v>
      </c>
      <c r="BY13" s="5" t="n">
        <v>3.3</v>
      </c>
      <c r="BZ13" s="5" t="n">
        <v>4.7</v>
      </c>
      <c r="CA13" s="5" t="n">
        <v>3.9</v>
      </c>
      <c r="CB13" s="5" t="n">
        <v>4.8</v>
      </c>
      <c r="CC13" s="5" t="n">
        <v>4</v>
      </c>
      <c r="CD13" s="5" t="n">
        <v>4.7</v>
      </c>
      <c r="CE13" s="5">
        <f>IF(MAESTRO!B13="","",IFERROR(TRUNC(AVERAGE(BR13:CD13),1),""))</f>
        <v/>
      </c>
      <c r="CF13" s="5" t="n">
        <v>4.6</v>
      </c>
      <c r="CG13" s="5" t="n">
        <v>4.6</v>
      </c>
      <c r="CH13" s="5" t="n">
        <v>4.6</v>
      </c>
      <c r="CI13" s="5" t="n">
        <v>3.2</v>
      </c>
      <c r="CJ13" s="5" t="n">
        <v>4.8</v>
      </c>
      <c r="CK13" s="5" t="n">
        <v>3.9</v>
      </c>
      <c r="CL13" s="5" t="n">
        <v>4</v>
      </c>
      <c r="CM13" s="5" t="n">
        <v>4.5</v>
      </c>
      <c r="CN13" s="5" t="n">
        <v>4.7</v>
      </c>
      <c r="CO13" s="5" t="n">
        <v>3.3</v>
      </c>
      <c r="CP13" s="5">
        <f>IF(MAESTRO!B13="","",IFERROR(TRUNC(AVERAGE(CF13:CO13),1),""))</f>
        <v/>
      </c>
      <c r="CQ13" s="5" t="n">
        <v>3.5</v>
      </c>
      <c r="CR13" s="5" t="n">
        <v>3.2</v>
      </c>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v>3.2</v>
      </c>
      <c r="D14" s="5" t="n">
        <v>3.4</v>
      </c>
      <c r="E14" s="5" t="n">
        <v>4.6</v>
      </c>
      <c r="F14" s="5" t="n">
        <v>4.7</v>
      </c>
      <c r="G14" s="5" t="n">
        <v>4.1</v>
      </c>
      <c r="H14" s="5" t="n">
        <v>3.9</v>
      </c>
      <c r="I14" s="5" t="n">
        <v>3.1</v>
      </c>
      <c r="J14" s="5" t="n">
        <v>3.3</v>
      </c>
      <c r="K14" s="5" t="n">
        <v>4.7</v>
      </c>
      <c r="L14" s="5" t="n">
        <v>3.1</v>
      </c>
      <c r="M14" s="5" t="n">
        <v>3.7</v>
      </c>
      <c r="N14" s="5" t="n">
        <v>3.4</v>
      </c>
      <c r="O14" s="5" t="n">
        <v>4</v>
      </c>
      <c r="P14" s="5">
        <f>IF(MAESTRO!B14="","",IFERROR(TRUNC(AVERAGE(C14:O14),1),""))</f>
        <v/>
      </c>
      <c r="Q14" s="40" t="n">
        <v>10</v>
      </c>
      <c r="R14" s="22" t="n">
        <v>4.1</v>
      </c>
      <c r="S14" s="22" t="n">
        <v>3.2</v>
      </c>
      <c r="T14" s="22" t="n">
        <v>4.9</v>
      </c>
      <c r="U14" s="22" t="n">
        <v>3.5</v>
      </c>
      <c r="V14" s="22" t="n">
        <v>3</v>
      </c>
      <c r="W14" s="22" t="n">
        <v>4.7</v>
      </c>
      <c r="X14" s="22" t="n">
        <v>3</v>
      </c>
      <c r="Y14" s="22" t="n">
        <v>4.8</v>
      </c>
      <c r="Z14" s="22" t="n">
        <v>3.1</v>
      </c>
      <c r="AA14" s="45">
        <f>IF(MAESTRO!B14="","",IFERROR(TRUNC(AVERAGE(R14:Z14),1),""))</f>
        <v/>
      </c>
      <c r="AB14" s="177" t="n">
        <v>3.5</v>
      </c>
      <c r="AC14" s="42" t="n">
        <v>4.1</v>
      </c>
      <c r="AD14" s="5">
        <f>IF(MAESTRO!B14="","",IFERROR(AVERAGE(AB14:AC14),""))</f>
        <v/>
      </c>
      <c r="AE14" s="44">
        <f>IF(MAESTRO!B14="","",IFERROR(TRUNC(AVERAGE(P14,AA14,AD14),1),""))</f>
        <v/>
      </c>
      <c r="AF14" s="177" t="n"/>
      <c r="AG14" s="177" t="n">
        <v>10</v>
      </c>
      <c r="AH14" s="177" t="n">
        <v>10</v>
      </c>
      <c r="AI14" s="177">
        <f>IF(MAESTRO!B14="","",MAESTRO!B14)</f>
        <v/>
      </c>
      <c r="AJ14" s="178" t="n"/>
      <c r="AK14" s="61" t="n">
        <v>3.3</v>
      </c>
      <c r="AL14" s="61" t="n">
        <v>3.1</v>
      </c>
      <c r="AM14" s="61" t="n">
        <v>3.4</v>
      </c>
      <c r="AN14" s="61" t="n">
        <v>3.4</v>
      </c>
      <c r="AO14" s="61" t="n">
        <v>3.4</v>
      </c>
      <c r="AP14" s="61" t="n">
        <v>3.8</v>
      </c>
      <c r="AQ14" s="61" t="n">
        <v>3.1</v>
      </c>
      <c r="AR14" s="61" t="n">
        <v>4.8</v>
      </c>
      <c r="AS14" s="61" t="n">
        <v>3.1</v>
      </c>
      <c r="AT14" s="61" t="n">
        <v>4.9</v>
      </c>
      <c r="AU14" s="61" t="n">
        <v>3.8</v>
      </c>
      <c r="AV14" s="61" t="n">
        <v>4.8</v>
      </c>
      <c r="AW14" s="5">
        <f>IF(MAESTRO!B14="","",IFERROR(TRUNC(AVERAGE(AK14:AV14),1),""))</f>
        <v/>
      </c>
      <c r="AX14" s="22" t="n">
        <v>4.1</v>
      </c>
      <c r="AY14" s="22" t="n">
        <v>3.4</v>
      </c>
      <c r="AZ14" s="22" t="n">
        <v>3.2</v>
      </c>
      <c r="BA14" s="22" t="n">
        <v>5</v>
      </c>
      <c r="BB14" s="22" t="n">
        <v>3</v>
      </c>
      <c r="BC14" s="22" t="n">
        <v>3.2</v>
      </c>
      <c r="BD14" s="22" t="n">
        <v>3.8</v>
      </c>
      <c r="BE14" s="22" t="n">
        <v>4.4</v>
      </c>
      <c r="BF14" s="22" t="n">
        <v>4.1</v>
      </c>
      <c r="BG14" s="22" t="n">
        <v>5</v>
      </c>
      <c r="BH14" s="5">
        <f>IF(MAESTRO!B14="","",IFERROR(TRUNC(AVERAGE(AX14:BG14),1),""))</f>
        <v/>
      </c>
      <c r="BI14" s="22" t="n">
        <v>4.1</v>
      </c>
      <c r="BJ14" s="22" t="n">
        <v>4.7</v>
      </c>
      <c r="BK14" s="22">
        <f>IF(MAESTRO!B14="","",IFERROR(AVERAGE(BI14,BJ14),""))</f>
        <v/>
      </c>
      <c r="BL14" s="5">
        <f>IF(MAESTRO!B14="","",IFERROR(TRUNC(AVERAGE(AW14,BH14,BK14),1),""))</f>
        <v/>
      </c>
      <c r="BM14" s="177" t="n"/>
      <c r="BN14" s="177" t="n">
        <v>10</v>
      </c>
      <c r="BO14" s="177" t="n">
        <v>10</v>
      </c>
      <c r="BP14" s="177">
        <f>IF(MAESTRO!B14="","",MAESTRO!B14)</f>
        <v/>
      </c>
      <c r="BQ14" s="178" t="n"/>
      <c r="BR14" s="5" t="n">
        <v>3.2</v>
      </c>
      <c r="BS14" s="5" t="n">
        <v>4</v>
      </c>
      <c r="BT14" s="5" t="n">
        <v>3.7</v>
      </c>
      <c r="BU14" s="5" t="n">
        <v>4.7</v>
      </c>
      <c r="BV14" s="5" t="n">
        <v>4.2</v>
      </c>
      <c r="BW14" s="5" t="n">
        <v>4.1</v>
      </c>
      <c r="BX14" s="5" t="n">
        <v>4.3</v>
      </c>
      <c r="BY14" s="5" t="n">
        <v>4.1</v>
      </c>
      <c r="BZ14" s="5" t="n">
        <v>3.8</v>
      </c>
      <c r="CA14" s="5" t="n">
        <v>4.3</v>
      </c>
      <c r="CB14" s="5" t="n">
        <v>4.8</v>
      </c>
      <c r="CC14" s="5" t="n">
        <v>3.9</v>
      </c>
      <c r="CD14" s="5" t="n">
        <v>4.9</v>
      </c>
      <c r="CE14" s="5">
        <f>IF(MAESTRO!B14="","",IFERROR(TRUNC(AVERAGE(BR14:CD14),1),""))</f>
        <v/>
      </c>
      <c r="CF14" s="5" t="n">
        <v>4.7</v>
      </c>
      <c r="CG14" s="5" t="n">
        <v>5</v>
      </c>
      <c r="CH14" s="5" t="n">
        <v>3.9</v>
      </c>
      <c r="CI14" s="5" t="n">
        <v>4.4</v>
      </c>
      <c r="CJ14" s="5" t="n">
        <v>3.5</v>
      </c>
      <c r="CK14" s="5" t="n">
        <v>5</v>
      </c>
      <c r="CL14" s="5" t="n">
        <v>3.2</v>
      </c>
      <c r="CM14" s="5" t="n">
        <v>4.7</v>
      </c>
      <c r="CN14" s="5" t="n">
        <v>4.7</v>
      </c>
      <c r="CO14" s="5" t="n">
        <v>4.3</v>
      </c>
      <c r="CP14" s="5">
        <f>IF(MAESTRO!B14="","",IFERROR(TRUNC(AVERAGE(CF14:CO14),1),""))</f>
        <v/>
      </c>
      <c r="CQ14" s="5" t="n">
        <v>4.8</v>
      </c>
      <c r="CR14" s="5" t="n">
        <v>3.7</v>
      </c>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v>4.9</v>
      </c>
      <c r="D15" s="5" t="n">
        <v>4.6</v>
      </c>
      <c r="E15" s="5" t="n">
        <v>3.2</v>
      </c>
      <c r="F15" s="5" t="n">
        <v>4.2</v>
      </c>
      <c r="G15" s="5" t="n">
        <v>3.4</v>
      </c>
      <c r="H15" s="5" t="n">
        <v>4.4</v>
      </c>
      <c r="I15" s="5" t="n">
        <v>4.3</v>
      </c>
      <c r="J15" s="5" t="n">
        <v>3.5</v>
      </c>
      <c r="K15" s="5" t="n">
        <v>3.9</v>
      </c>
      <c r="L15" s="5" t="n">
        <v>3.6</v>
      </c>
      <c r="M15" s="5" t="n">
        <v>3.7</v>
      </c>
      <c r="N15" s="5" t="n">
        <v>3.7</v>
      </c>
      <c r="O15" s="5" t="n">
        <v>3.7</v>
      </c>
      <c r="P15" s="5">
        <f>IF(MAESTRO!B15="","",IFERROR(TRUNC(AVERAGE(C15:O15),1),""))</f>
        <v/>
      </c>
      <c r="Q15" s="40" t="n">
        <v>11</v>
      </c>
      <c r="R15" s="22" t="n">
        <v>4.8</v>
      </c>
      <c r="S15" s="22" t="n">
        <v>3.4</v>
      </c>
      <c r="T15" s="22" t="n">
        <v>3.7</v>
      </c>
      <c r="U15" s="22" t="n">
        <v>4.4</v>
      </c>
      <c r="V15" s="22" t="n">
        <v>4.9</v>
      </c>
      <c r="W15" s="22" t="n">
        <v>4.2</v>
      </c>
      <c r="X15" s="22" t="n">
        <v>3.6</v>
      </c>
      <c r="Y15" s="22" t="n">
        <v>3.5</v>
      </c>
      <c r="Z15" s="22" t="n">
        <v>4.7</v>
      </c>
      <c r="AA15" s="45">
        <f>IF(MAESTRO!B15="","",IFERROR(TRUNC(AVERAGE(R15:Z15),1),""))</f>
        <v/>
      </c>
      <c r="AB15" s="177" t="n">
        <v>4.9</v>
      </c>
      <c r="AC15" s="42" t="n">
        <v>3.3</v>
      </c>
      <c r="AD15" s="5">
        <f>IF(MAESTRO!B15="","",IFERROR(AVERAGE(AB15:AC15),""))</f>
        <v/>
      </c>
      <c r="AE15" s="44">
        <f>IF(MAESTRO!B15="","",IFERROR(TRUNC(AVERAGE(P15,AA15,AD15),1),""))</f>
        <v/>
      </c>
      <c r="AF15" s="177" t="n"/>
      <c r="AG15" s="177" t="n">
        <v>11</v>
      </c>
      <c r="AH15" s="177" t="n">
        <v>11</v>
      </c>
      <c r="AI15" s="177">
        <f>IF(MAESTRO!B15="","",MAESTRO!B15)</f>
        <v/>
      </c>
      <c r="AJ15" s="178" t="n"/>
      <c r="AK15" s="61" t="n">
        <v>4.1</v>
      </c>
      <c r="AL15" s="61" t="n">
        <v>3.6</v>
      </c>
      <c r="AM15" s="61" t="n">
        <v>3.7</v>
      </c>
      <c r="AN15" s="61" t="n">
        <v>3.6</v>
      </c>
      <c r="AO15" s="61" t="n">
        <v>4.9</v>
      </c>
      <c r="AP15" s="61" t="n">
        <v>4.3</v>
      </c>
      <c r="AQ15" s="61" t="n">
        <v>4.6</v>
      </c>
      <c r="AR15" s="61" t="n">
        <v>3.9</v>
      </c>
      <c r="AS15" s="61" t="n">
        <v>4.5</v>
      </c>
      <c r="AT15" s="61" t="n">
        <v>3.5</v>
      </c>
      <c r="AU15" s="61" t="n">
        <v>4.1</v>
      </c>
      <c r="AV15" s="61" t="n">
        <v>3.2</v>
      </c>
      <c r="AW15" s="5">
        <f>IF(MAESTRO!B15="","",IFERROR(TRUNC(AVERAGE(AK15:AV15),1),""))</f>
        <v/>
      </c>
      <c r="AX15" s="22" t="n">
        <v>3.5</v>
      </c>
      <c r="AY15" s="22" t="n">
        <v>4</v>
      </c>
      <c r="AZ15" s="22" t="n">
        <v>3</v>
      </c>
      <c r="BA15" s="22" t="n">
        <v>4.1</v>
      </c>
      <c r="BB15" s="22" t="n">
        <v>4.1</v>
      </c>
      <c r="BC15" s="22" t="n">
        <v>3.8</v>
      </c>
      <c r="BD15" s="22" t="n">
        <v>4.3</v>
      </c>
      <c r="BE15" s="22" t="n">
        <v>4.2</v>
      </c>
      <c r="BF15" s="22" t="n">
        <v>4.5</v>
      </c>
      <c r="BG15" s="22" t="n">
        <v>3.9</v>
      </c>
      <c r="BH15" s="5">
        <f>IF(MAESTRO!B15="","",IFERROR(TRUNC(AVERAGE(AX15:BG15),1),""))</f>
        <v/>
      </c>
      <c r="BI15" s="22" t="n">
        <v>4</v>
      </c>
      <c r="BJ15" s="22" t="n">
        <v>3.2</v>
      </c>
      <c r="BK15" s="22">
        <f>IF(MAESTRO!B15="","",IFERROR(AVERAGE(BI15,BJ15),""))</f>
        <v/>
      </c>
      <c r="BL15" s="5">
        <f>IF(MAESTRO!B15="","",IFERROR(TRUNC(AVERAGE(AW15,BH15,BK15),1),""))</f>
        <v/>
      </c>
      <c r="BM15" s="177" t="n"/>
      <c r="BN15" s="177" t="n">
        <v>11</v>
      </c>
      <c r="BO15" s="177" t="n">
        <v>11</v>
      </c>
      <c r="BP15" s="177">
        <f>IF(MAESTRO!B15="","",MAESTRO!B15)</f>
        <v/>
      </c>
      <c r="BQ15" s="178" t="n"/>
      <c r="BR15" s="5" t="n">
        <v>3.2</v>
      </c>
      <c r="BS15" s="5" t="n">
        <v>4.8</v>
      </c>
      <c r="BT15" s="5" t="n">
        <v>3.5</v>
      </c>
      <c r="BU15" s="5" t="n">
        <v>3.9</v>
      </c>
      <c r="BV15" s="5" t="n">
        <v>3.3</v>
      </c>
      <c r="BW15" s="5" t="n">
        <v>4.5</v>
      </c>
      <c r="BX15" s="5" t="n">
        <v>3.2</v>
      </c>
      <c r="BY15" s="5" t="n">
        <v>4.1</v>
      </c>
      <c r="BZ15" s="5" t="n">
        <v>4.5</v>
      </c>
      <c r="CA15" s="5" t="n">
        <v>3.6</v>
      </c>
      <c r="CB15" s="5" t="n">
        <v>4.7</v>
      </c>
      <c r="CC15" s="5" t="n">
        <v>4.9</v>
      </c>
      <c r="CD15" s="5" t="n">
        <v>4.3</v>
      </c>
      <c r="CE15" s="5">
        <f>IF(MAESTRO!B15="","",IFERROR(TRUNC(AVERAGE(BR15:CD15),1),""))</f>
        <v/>
      </c>
      <c r="CF15" s="5" t="n">
        <v>3.6</v>
      </c>
      <c r="CG15" s="5" t="n">
        <v>3.5</v>
      </c>
      <c r="CH15" s="5" t="n">
        <v>3.7</v>
      </c>
      <c r="CI15" s="5" t="n">
        <v>3.1</v>
      </c>
      <c r="CJ15" s="5" t="n">
        <v>4.4</v>
      </c>
      <c r="CK15" s="5" t="n">
        <v>4.5</v>
      </c>
      <c r="CL15" s="5" t="n">
        <v>3.6</v>
      </c>
      <c r="CM15" s="5" t="n">
        <v>4.9</v>
      </c>
      <c r="CN15" s="5" t="n">
        <v>4.3</v>
      </c>
      <c r="CO15" s="5" t="n">
        <v>4</v>
      </c>
      <c r="CP15" s="5">
        <f>IF(MAESTRO!B15="","",IFERROR(TRUNC(AVERAGE(CF15:CO15),1),""))</f>
        <v/>
      </c>
      <c r="CQ15" s="5" t="n">
        <v>4.1</v>
      </c>
      <c r="CR15" s="5" t="n">
        <v>3.7</v>
      </c>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v>3.4</v>
      </c>
      <c r="D16" s="5" t="n">
        <v>3.3</v>
      </c>
      <c r="E16" s="5" t="n">
        <v>4.3</v>
      </c>
      <c r="F16" s="5" t="n">
        <v>4.7</v>
      </c>
      <c r="G16" s="5" t="n">
        <v>3.4</v>
      </c>
      <c r="H16" s="5" t="n">
        <v>4.7</v>
      </c>
      <c r="I16" s="5" t="n">
        <v>4.9</v>
      </c>
      <c r="J16" s="5" t="n">
        <v>4.4</v>
      </c>
      <c r="K16" s="5" t="n">
        <v>4.7</v>
      </c>
      <c r="L16" s="5" t="n">
        <v>4.3</v>
      </c>
      <c r="M16" s="5" t="n">
        <v>4.6</v>
      </c>
      <c r="N16" s="5" t="n">
        <v>3.2</v>
      </c>
      <c r="O16" s="5" t="n">
        <v>3.8</v>
      </c>
      <c r="P16" s="5">
        <f>IF(MAESTRO!B16="","",IFERROR(TRUNC(AVERAGE(C16:O16),1),""))</f>
        <v/>
      </c>
      <c r="Q16" s="40" t="n">
        <v>12</v>
      </c>
      <c r="R16" s="22" t="n">
        <v>4.1</v>
      </c>
      <c r="S16" s="22" t="n">
        <v>4.6</v>
      </c>
      <c r="T16" s="22" t="n">
        <v>4.3</v>
      </c>
      <c r="U16" s="22" t="n">
        <v>3.6</v>
      </c>
      <c r="V16" s="22" t="n">
        <v>3.6</v>
      </c>
      <c r="W16" s="22" t="n">
        <v>4.7</v>
      </c>
      <c r="X16" s="22" t="n">
        <v>3.6</v>
      </c>
      <c r="Y16" s="22" t="n">
        <v>3.3</v>
      </c>
      <c r="Z16" s="22" t="n">
        <v>4.4</v>
      </c>
      <c r="AA16" s="45">
        <f>IF(MAESTRO!B16="","",IFERROR(TRUNC(AVERAGE(R16:Z16),1),""))</f>
        <v/>
      </c>
      <c r="AB16" s="177" t="n">
        <v>3.9</v>
      </c>
      <c r="AC16" s="42" t="n">
        <v>3.6</v>
      </c>
      <c r="AD16" s="5">
        <f>IF(MAESTRO!B16="","",IFERROR(AVERAGE(AB16:AC16),""))</f>
        <v/>
      </c>
      <c r="AE16" s="44">
        <f>IF(MAESTRO!B16="","",IFERROR(TRUNC(AVERAGE(P16,AA16,AD16),1),""))</f>
        <v/>
      </c>
      <c r="AF16" s="177" t="n"/>
      <c r="AG16" s="177" t="n">
        <v>12</v>
      </c>
      <c r="AH16" s="177" t="n">
        <v>12</v>
      </c>
      <c r="AI16" s="177">
        <f>IF(MAESTRO!B16="","",MAESTRO!B16)</f>
        <v/>
      </c>
      <c r="AJ16" s="178" t="n"/>
      <c r="AK16" s="61" t="n">
        <v>3.1</v>
      </c>
      <c r="AL16" s="61" t="n">
        <v>4.4</v>
      </c>
      <c r="AM16" s="61" t="n">
        <v>3.8</v>
      </c>
      <c r="AN16" s="61" t="n">
        <v>3.1</v>
      </c>
      <c r="AO16" s="61" t="n">
        <v>4.2</v>
      </c>
      <c r="AP16" s="61" t="n">
        <v>4</v>
      </c>
      <c r="AQ16" s="61" t="n">
        <v>5</v>
      </c>
      <c r="AR16" s="61" t="n">
        <v>3.1</v>
      </c>
      <c r="AS16" s="61" t="n">
        <v>4.9</v>
      </c>
      <c r="AT16" s="61" t="n">
        <v>3.7</v>
      </c>
      <c r="AU16" s="61" t="n">
        <v>4.9</v>
      </c>
      <c r="AV16" s="61" t="n">
        <v>3.8</v>
      </c>
      <c r="AW16" s="5">
        <f>IF(MAESTRO!B16="","",IFERROR(TRUNC(AVERAGE(AK16:AV16),1),""))</f>
        <v/>
      </c>
      <c r="AX16" s="22" t="n">
        <v>4.9</v>
      </c>
      <c r="AY16" s="22" t="n">
        <v>3.8</v>
      </c>
      <c r="AZ16" s="22" t="n">
        <v>4.8</v>
      </c>
      <c r="BA16" s="22" t="n">
        <v>4.1</v>
      </c>
      <c r="BB16" s="22" t="n">
        <v>3.5</v>
      </c>
      <c r="BC16" s="22" t="n">
        <v>4.6</v>
      </c>
      <c r="BD16" s="22" t="n">
        <v>3.2</v>
      </c>
      <c r="BE16" s="22" t="n">
        <v>3.6</v>
      </c>
      <c r="BF16" s="22" t="n">
        <v>3.7</v>
      </c>
      <c r="BG16" s="22" t="n">
        <v>4.5</v>
      </c>
      <c r="BH16" s="5">
        <f>IF(MAESTRO!B16="","",IFERROR(TRUNC(AVERAGE(AX16:BG16),1),""))</f>
        <v/>
      </c>
      <c r="BI16" s="22" t="n">
        <v>3.1</v>
      </c>
      <c r="BJ16" s="22" t="n">
        <v>4.4</v>
      </c>
      <c r="BK16" s="22">
        <f>IF(MAESTRO!B16="","",IFERROR(AVERAGE(BI16,BJ16),""))</f>
        <v/>
      </c>
      <c r="BL16" s="5">
        <f>IF(MAESTRO!B16="","",IFERROR(TRUNC(AVERAGE(AW16,BH16,BK16),1),""))</f>
        <v/>
      </c>
      <c r="BM16" s="177" t="n"/>
      <c r="BN16" s="177" t="n">
        <v>12</v>
      </c>
      <c r="BO16" s="177" t="n">
        <v>12</v>
      </c>
      <c r="BP16" s="177">
        <f>IF(MAESTRO!B16="","",MAESTRO!B16)</f>
        <v/>
      </c>
      <c r="BQ16" s="178" t="n"/>
      <c r="BR16" s="5" t="n">
        <v>3.8</v>
      </c>
      <c r="BS16" s="5" t="n">
        <v>4.9</v>
      </c>
      <c r="BT16" s="5" t="n">
        <v>3</v>
      </c>
      <c r="BU16" s="5" t="n">
        <v>3.3</v>
      </c>
      <c r="BV16" s="5" t="n">
        <v>3.3</v>
      </c>
      <c r="BW16" s="5" t="n">
        <v>4.2</v>
      </c>
      <c r="BX16" s="5" t="n">
        <v>4.4</v>
      </c>
      <c r="BY16" s="5" t="n">
        <v>4.5</v>
      </c>
      <c r="BZ16" s="5" t="n">
        <v>4.4</v>
      </c>
      <c r="CA16" s="5" t="n">
        <v>3.3</v>
      </c>
      <c r="CB16" s="5" t="n">
        <v>4.9</v>
      </c>
      <c r="CC16" s="5" t="n">
        <v>4</v>
      </c>
      <c r="CD16" s="5" t="n">
        <v>4.8</v>
      </c>
      <c r="CE16" s="5">
        <f>IF(MAESTRO!B16="","",IFERROR(TRUNC(AVERAGE(BR16:CD16),1),""))</f>
        <v/>
      </c>
      <c r="CF16" s="5" t="n">
        <v>3.3</v>
      </c>
      <c r="CG16" s="5" t="n">
        <v>4.6</v>
      </c>
      <c r="CH16" s="5" t="n">
        <v>4.7</v>
      </c>
      <c r="CI16" s="5" t="n">
        <v>3.9</v>
      </c>
      <c r="CJ16" s="5" t="n">
        <v>3.6</v>
      </c>
      <c r="CK16" s="5" t="n">
        <v>3</v>
      </c>
      <c r="CL16" s="5" t="n">
        <v>4.2</v>
      </c>
      <c r="CM16" s="5" t="n">
        <v>4</v>
      </c>
      <c r="CN16" s="5" t="n">
        <v>3.6</v>
      </c>
      <c r="CO16" s="5" t="n">
        <v>4.4</v>
      </c>
      <c r="CP16" s="5">
        <f>IF(MAESTRO!B16="","",IFERROR(TRUNC(AVERAGE(CF16:CO16),1),""))</f>
        <v/>
      </c>
      <c r="CQ16" s="5" t="n">
        <v>3.5</v>
      </c>
      <c r="CR16" s="5" t="n">
        <v>3.2</v>
      </c>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v>3.9</v>
      </c>
      <c r="D17" s="5" t="n">
        <v>4</v>
      </c>
      <c r="E17" s="5" t="n">
        <v>4.9</v>
      </c>
      <c r="F17" s="5" t="n">
        <v>3</v>
      </c>
      <c r="G17" s="5" t="n">
        <v>4.1</v>
      </c>
      <c r="H17" s="5" t="n">
        <v>4.3</v>
      </c>
      <c r="I17" s="5" t="n">
        <v>4.8</v>
      </c>
      <c r="J17" s="5" t="n">
        <v>3.6</v>
      </c>
      <c r="K17" s="5" t="n">
        <v>4.3</v>
      </c>
      <c r="L17" s="5" t="n">
        <v>4.9</v>
      </c>
      <c r="M17" s="5" t="n">
        <v>3</v>
      </c>
      <c r="N17" s="5" t="n">
        <v>3.5</v>
      </c>
      <c r="O17" s="5" t="n">
        <v>4.3</v>
      </c>
      <c r="P17" s="5">
        <f>IF(MAESTRO!B17="","",IFERROR(TRUNC(AVERAGE(C17:O17),1),""))</f>
        <v/>
      </c>
      <c r="Q17" s="40" t="n">
        <v>13</v>
      </c>
      <c r="R17" s="22" t="n">
        <v>4.5</v>
      </c>
      <c r="S17" s="22" t="n">
        <v>3.5</v>
      </c>
      <c r="T17" s="22" t="n">
        <v>3.5</v>
      </c>
      <c r="U17" s="22" t="n">
        <v>3.8</v>
      </c>
      <c r="V17" s="22" t="n">
        <v>4.8</v>
      </c>
      <c r="W17" s="22" t="n">
        <v>3.1</v>
      </c>
      <c r="X17" s="22" t="n">
        <v>3.2</v>
      </c>
      <c r="Y17" s="22" t="n">
        <v>4.1</v>
      </c>
      <c r="Z17" s="22" t="n">
        <v>4.7</v>
      </c>
      <c r="AA17" s="45">
        <f>IF(MAESTRO!B17="","",IFERROR(TRUNC(AVERAGE(R17:Z17),1),""))</f>
        <v/>
      </c>
      <c r="AB17" s="177" t="n">
        <v>3.8</v>
      </c>
      <c r="AC17" s="42" t="n">
        <v>3</v>
      </c>
      <c r="AD17" s="5">
        <f>IF(MAESTRO!B17="","",IFERROR(AVERAGE(AB17:AC17),""))</f>
        <v/>
      </c>
      <c r="AE17" s="44">
        <f>IF(MAESTRO!B17="","",IFERROR(TRUNC(AVERAGE(P17,AA17,AD17),1),""))</f>
        <v/>
      </c>
      <c r="AF17" s="177" t="n"/>
      <c r="AG17" s="177" t="n">
        <v>13</v>
      </c>
      <c r="AH17" s="177" t="n">
        <v>13</v>
      </c>
      <c r="AI17" s="177">
        <f>IF(MAESTRO!B17="","",MAESTRO!B17)</f>
        <v/>
      </c>
      <c r="AJ17" s="178" t="n"/>
      <c r="AK17" s="61" t="n">
        <v>3.4</v>
      </c>
      <c r="AL17" s="61" t="n">
        <v>3.9</v>
      </c>
      <c r="AM17" s="61" t="n">
        <v>4.6</v>
      </c>
      <c r="AN17" s="61" t="n">
        <v>3.4</v>
      </c>
      <c r="AO17" s="61" t="n">
        <v>4.3</v>
      </c>
      <c r="AP17" s="61" t="n">
        <v>4.8</v>
      </c>
      <c r="AQ17" s="61" t="n">
        <v>4.7</v>
      </c>
      <c r="AR17" s="61" t="n">
        <v>4.8</v>
      </c>
      <c r="AS17" s="61" t="n">
        <v>3.2</v>
      </c>
      <c r="AT17" s="61" t="n">
        <v>5</v>
      </c>
      <c r="AU17" s="61" t="n">
        <v>3.5</v>
      </c>
      <c r="AV17" s="61" t="n">
        <v>3.9</v>
      </c>
      <c r="AW17" s="5">
        <f>IF(MAESTRO!B17="","",IFERROR(TRUNC(AVERAGE(AK17:AV17),1),""))</f>
        <v/>
      </c>
      <c r="AX17" s="22" t="n">
        <v>5</v>
      </c>
      <c r="AY17" s="22" t="n">
        <v>3.1</v>
      </c>
      <c r="AZ17" s="22" t="n">
        <v>4</v>
      </c>
      <c r="BA17" s="22" t="n">
        <v>3.8</v>
      </c>
      <c r="BB17" s="22" t="n">
        <v>4.8</v>
      </c>
      <c r="BC17" s="22" t="n">
        <v>3.6</v>
      </c>
      <c r="BD17" s="22" t="n">
        <v>4.2</v>
      </c>
      <c r="BE17" s="22" t="n">
        <v>4.3</v>
      </c>
      <c r="BF17" s="22" t="n">
        <v>4.7</v>
      </c>
      <c r="BG17" s="22" t="n">
        <v>3.3</v>
      </c>
      <c r="BH17" s="5">
        <f>IF(MAESTRO!B17="","",IFERROR(TRUNC(AVERAGE(AX17:BG17),1),""))</f>
        <v/>
      </c>
      <c r="BI17" s="22" t="n">
        <v>3.3</v>
      </c>
      <c r="BJ17" s="22" t="n">
        <v>3</v>
      </c>
      <c r="BK17" s="22">
        <f>IF(MAESTRO!B17="","",IFERROR(AVERAGE(BI17,BJ17),""))</f>
        <v/>
      </c>
      <c r="BL17" s="5">
        <f>IF(MAESTRO!B17="","",IFERROR(TRUNC(AVERAGE(AW17,BH17,BK17),1),""))</f>
        <v/>
      </c>
      <c r="BM17" s="177" t="n"/>
      <c r="BN17" s="177" t="n">
        <v>13</v>
      </c>
      <c r="BO17" s="177" t="n">
        <v>13</v>
      </c>
      <c r="BP17" s="177">
        <f>IF(MAESTRO!B17="","",MAESTRO!B17)</f>
        <v/>
      </c>
      <c r="BQ17" s="178" t="n"/>
      <c r="BR17" s="5" t="n">
        <v>4.3</v>
      </c>
      <c r="BS17" s="5" t="n">
        <v>3.6</v>
      </c>
      <c r="BT17" s="5" t="n">
        <v>3.3</v>
      </c>
      <c r="BU17" s="5" t="n">
        <v>4.7</v>
      </c>
      <c r="BV17" s="5" t="n">
        <v>4.6</v>
      </c>
      <c r="BW17" s="5" t="n">
        <v>3.5</v>
      </c>
      <c r="BX17" s="5" t="n">
        <v>4.3</v>
      </c>
      <c r="BY17" s="5" t="n">
        <v>4</v>
      </c>
      <c r="BZ17" s="5" t="n">
        <v>3.8</v>
      </c>
      <c r="CA17" s="5" t="n">
        <v>4.8</v>
      </c>
      <c r="CB17" s="5" t="n">
        <v>3.7</v>
      </c>
      <c r="CC17" s="5" t="n">
        <v>3.9</v>
      </c>
      <c r="CD17" s="5" t="n">
        <v>3.4</v>
      </c>
      <c r="CE17" s="5">
        <f>IF(MAESTRO!B17="","",IFERROR(TRUNC(AVERAGE(BR17:CD17),1),""))</f>
        <v/>
      </c>
      <c r="CF17" s="5" t="n">
        <v>3.4</v>
      </c>
      <c r="CG17" s="5" t="n">
        <v>3.5</v>
      </c>
      <c r="CH17" s="5" t="n">
        <v>4</v>
      </c>
      <c r="CI17" s="5" t="n">
        <v>4.6</v>
      </c>
      <c r="CJ17" s="5" t="n">
        <v>3.4</v>
      </c>
      <c r="CK17" s="5" t="n">
        <v>4</v>
      </c>
      <c r="CL17" s="5" t="n">
        <v>4.6</v>
      </c>
      <c r="CM17" s="5" t="n">
        <v>3.2</v>
      </c>
      <c r="CN17" s="5" t="n">
        <v>3.6</v>
      </c>
      <c r="CO17" s="5" t="n">
        <v>3.5</v>
      </c>
      <c r="CP17" s="5">
        <f>IF(MAESTRO!B17="","",IFERROR(TRUNC(AVERAGE(CF17:CO17),1),""))</f>
        <v/>
      </c>
      <c r="CQ17" s="5" t="n">
        <v>4</v>
      </c>
      <c r="CR17" s="5" t="n">
        <v>4.5</v>
      </c>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v>3.2</v>
      </c>
      <c r="D18" s="5" t="n">
        <v>4.6</v>
      </c>
      <c r="E18" s="5" t="n">
        <v>4.1</v>
      </c>
      <c r="F18" s="5" t="n">
        <v>3.8</v>
      </c>
      <c r="G18" s="5" t="n">
        <v>4.6</v>
      </c>
      <c r="H18" s="5" t="n">
        <v>3</v>
      </c>
      <c r="I18" s="5" t="n">
        <v>3.4</v>
      </c>
      <c r="J18" s="5" t="n">
        <v>4.9</v>
      </c>
      <c r="K18" s="5" t="n">
        <v>3.4</v>
      </c>
      <c r="L18" s="5" t="n">
        <v>3.4</v>
      </c>
      <c r="M18" s="5" t="n">
        <v>4.8</v>
      </c>
      <c r="N18" s="5" t="n">
        <v>4.9</v>
      </c>
      <c r="O18" s="5" t="n">
        <v>4.2</v>
      </c>
      <c r="P18" s="5">
        <f>IF(MAESTRO!B18="","",IFERROR(TRUNC(AVERAGE(C18:O18),1),""))</f>
        <v/>
      </c>
      <c r="Q18" s="40" t="n">
        <v>14</v>
      </c>
      <c r="R18" s="22" t="n">
        <v>3.5</v>
      </c>
      <c r="S18" s="22" t="n">
        <v>3.7</v>
      </c>
      <c r="T18" s="22" t="n">
        <v>3.1</v>
      </c>
      <c r="U18" s="22" t="n">
        <v>3.7</v>
      </c>
      <c r="V18" s="22" t="n">
        <v>3</v>
      </c>
      <c r="W18" s="22" t="n">
        <v>3.6</v>
      </c>
      <c r="X18" s="22" t="n">
        <v>3.9</v>
      </c>
      <c r="Y18" s="22" t="n">
        <v>4.5</v>
      </c>
      <c r="Z18" s="22" t="n">
        <v>4.9</v>
      </c>
      <c r="AA18" s="45">
        <f>IF(MAESTRO!B18="","",IFERROR(TRUNC(AVERAGE(R18:Z18),1),""))</f>
        <v/>
      </c>
      <c r="AB18" s="177" t="n">
        <v>3.7</v>
      </c>
      <c r="AC18" s="42" t="n">
        <v>4.2</v>
      </c>
      <c r="AD18" s="5">
        <f>IF(MAESTRO!B18="","",IFERROR(AVERAGE(AB18:AC18),""))</f>
        <v/>
      </c>
      <c r="AE18" s="44">
        <f>IF(MAESTRO!B18="","",IFERROR(TRUNC(AVERAGE(P18,AA18,AD18),1),""))</f>
        <v/>
      </c>
      <c r="AF18" s="177" t="n"/>
      <c r="AG18" s="177" t="n">
        <v>14</v>
      </c>
      <c r="AH18" s="177" t="n">
        <v>14</v>
      </c>
      <c r="AI18" s="177">
        <f>IF(MAESTRO!B18="","",MAESTRO!B18)</f>
        <v/>
      </c>
      <c r="AJ18" s="178" t="n"/>
      <c r="AK18" s="61" t="n">
        <v>4.2</v>
      </c>
      <c r="AL18" s="61" t="n">
        <v>4.6</v>
      </c>
      <c r="AM18" s="61" t="n">
        <v>4.8</v>
      </c>
      <c r="AN18" s="61" t="n">
        <v>3.1</v>
      </c>
      <c r="AO18" s="61" t="n">
        <v>4.6</v>
      </c>
      <c r="AP18" s="61" t="n">
        <v>3.6</v>
      </c>
      <c r="AQ18" s="61" t="n">
        <v>3.6</v>
      </c>
      <c r="AR18" s="61" t="n">
        <v>3.1</v>
      </c>
      <c r="AS18" s="61" t="n">
        <v>3.5</v>
      </c>
      <c r="AT18" s="61" t="n">
        <v>4.5</v>
      </c>
      <c r="AU18" s="61" t="n">
        <v>3.3</v>
      </c>
      <c r="AV18" s="61" t="n">
        <v>3.4</v>
      </c>
      <c r="AW18" s="5">
        <f>IF(MAESTRO!B18="","",IFERROR(TRUNC(AVERAGE(AK18:AV18),1),""))</f>
        <v/>
      </c>
      <c r="AX18" s="22" t="n">
        <v>4.5</v>
      </c>
      <c r="AY18" s="22" t="n">
        <v>3.2</v>
      </c>
      <c r="AZ18" s="22" t="n">
        <v>4.1</v>
      </c>
      <c r="BA18" s="22" t="n">
        <v>4.7</v>
      </c>
      <c r="BB18" s="22" t="n">
        <v>4.7</v>
      </c>
      <c r="BC18" s="22" t="n">
        <v>4</v>
      </c>
      <c r="BD18" s="22" t="n">
        <v>5</v>
      </c>
      <c r="BE18" s="22" t="n">
        <v>4.6</v>
      </c>
      <c r="BF18" s="22" t="n">
        <v>3.8</v>
      </c>
      <c r="BG18" s="22" t="n">
        <v>3.5</v>
      </c>
      <c r="BH18" s="5">
        <f>IF(MAESTRO!B18="","",IFERROR(TRUNC(AVERAGE(AX18:BG18),1),""))</f>
        <v/>
      </c>
      <c r="BI18" s="22" t="n">
        <v>4.8</v>
      </c>
      <c r="BJ18" s="22" t="n">
        <v>4</v>
      </c>
      <c r="BK18" s="22">
        <f>IF(MAESTRO!B18="","",IFERROR(AVERAGE(BI18,BJ18),""))</f>
        <v/>
      </c>
      <c r="BL18" s="5">
        <f>IF(MAESTRO!B18="","",IFERROR(TRUNC(AVERAGE(AW18,BH18,BK18),1),""))</f>
        <v/>
      </c>
      <c r="BM18" s="177" t="n"/>
      <c r="BN18" s="177" t="n">
        <v>14</v>
      </c>
      <c r="BO18" s="177" t="n">
        <v>14</v>
      </c>
      <c r="BP18" s="177">
        <f>IF(MAESTRO!B18="","",MAESTRO!B18)</f>
        <v/>
      </c>
      <c r="BQ18" s="178" t="n"/>
      <c r="BR18" s="5" t="n">
        <v>4.3</v>
      </c>
      <c r="BS18" s="5" t="n">
        <v>4.3</v>
      </c>
      <c r="BT18" s="5" t="n">
        <v>3.5</v>
      </c>
      <c r="BU18" s="5" t="n">
        <v>4.6</v>
      </c>
      <c r="BV18" s="5" t="n">
        <v>4.3</v>
      </c>
      <c r="BW18" s="5" t="n">
        <v>4.9</v>
      </c>
      <c r="BX18" s="5" t="n">
        <v>3.5</v>
      </c>
      <c r="BY18" s="5" t="n">
        <v>4.9</v>
      </c>
      <c r="BZ18" s="5" t="n">
        <v>3.7</v>
      </c>
      <c r="CA18" s="5" t="n">
        <v>4.3</v>
      </c>
      <c r="CB18" s="5" t="n">
        <v>4.8</v>
      </c>
      <c r="CC18" s="5" t="n">
        <v>3.1</v>
      </c>
      <c r="CD18" s="5" t="n">
        <v>3.6</v>
      </c>
      <c r="CE18" s="5">
        <f>IF(MAESTRO!B18="","",IFERROR(TRUNC(AVERAGE(BR18:CD18),1),""))</f>
        <v/>
      </c>
      <c r="CF18" s="5" t="n">
        <v>3.6</v>
      </c>
      <c r="CG18" s="5" t="n">
        <v>4.6</v>
      </c>
      <c r="CH18" s="5" t="n">
        <v>5</v>
      </c>
      <c r="CI18" s="5" t="n">
        <v>3.4</v>
      </c>
      <c r="CJ18" s="5" t="n">
        <v>4.5</v>
      </c>
      <c r="CK18" s="5" t="n">
        <v>4.8</v>
      </c>
      <c r="CL18" s="5" t="n">
        <v>4.8</v>
      </c>
      <c r="CM18" s="5" t="n">
        <v>4.8</v>
      </c>
      <c r="CN18" s="5" t="n">
        <v>3.9</v>
      </c>
      <c r="CO18" s="5" t="n">
        <v>4.5</v>
      </c>
      <c r="CP18" s="5">
        <f>IF(MAESTRO!B18="","",IFERROR(TRUNC(AVERAGE(CF18:CO18),1),""))</f>
        <v/>
      </c>
      <c r="CQ18" s="5" t="n">
        <v>3.6</v>
      </c>
      <c r="CR18" s="5" t="n">
        <v>4.8</v>
      </c>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v>3.5</v>
      </c>
      <c r="D19" s="5" t="n">
        <v>3.4</v>
      </c>
      <c r="E19" s="5" t="n">
        <v>5</v>
      </c>
      <c r="F19" s="5" t="n">
        <v>3.3</v>
      </c>
      <c r="G19" s="5" t="n">
        <v>3.3</v>
      </c>
      <c r="H19" s="5" t="n">
        <v>3.2</v>
      </c>
      <c r="I19" s="5" t="n">
        <v>4.2</v>
      </c>
      <c r="J19" s="5" t="n">
        <v>4.2</v>
      </c>
      <c r="K19" s="5" t="n">
        <v>3.4</v>
      </c>
      <c r="L19" s="5" t="n">
        <v>4.8</v>
      </c>
      <c r="M19" s="5" t="n">
        <v>3.1</v>
      </c>
      <c r="N19" s="5" t="n">
        <v>5</v>
      </c>
      <c r="O19" s="5" t="n">
        <v>5</v>
      </c>
      <c r="P19" s="5">
        <f>IF(MAESTRO!B19="","",IFERROR(TRUNC(AVERAGE(C19:O19),1),""))</f>
        <v/>
      </c>
      <c r="Q19" s="40" t="n">
        <v>15</v>
      </c>
      <c r="R19" s="22" t="n">
        <v>3.7</v>
      </c>
      <c r="S19" s="22" t="n">
        <v>4.8</v>
      </c>
      <c r="T19" s="22" t="n">
        <v>4.8</v>
      </c>
      <c r="U19" s="22" t="n">
        <v>5</v>
      </c>
      <c r="V19" s="22" t="n">
        <v>3.5</v>
      </c>
      <c r="W19" s="22" t="n">
        <v>3.5</v>
      </c>
      <c r="X19" s="22" t="n">
        <v>4.2</v>
      </c>
      <c r="Y19" s="22" t="n">
        <v>4.6</v>
      </c>
      <c r="Z19" s="22" t="n">
        <v>4.9</v>
      </c>
      <c r="AA19" s="45">
        <f>IF(MAESTRO!B19="","",IFERROR(TRUNC(AVERAGE(R19:Z19),1),""))</f>
        <v/>
      </c>
      <c r="AB19" s="177" t="n">
        <v>4.2</v>
      </c>
      <c r="AC19" s="42" t="n">
        <v>3.4</v>
      </c>
      <c r="AD19" s="5">
        <f>IF(MAESTRO!B19="","",IFERROR(AVERAGE(AB19:AC19),""))</f>
        <v/>
      </c>
      <c r="AE19" s="44">
        <f>IF(MAESTRO!B19="","",IFERROR(TRUNC(AVERAGE(P19,AA19,AD19),1),""))</f>
        <v/>
      </c>
      <c r="AF19" s="177" t="n"/>
      <c r="AG19" s="177" t="n">
        <v>15</v>
      </c>
      <c r="AH19" s="177" t="n">
        <v>15</v>
      </c>
      <c r="AI19" s="177">
        <f>IF(MAESTRO!B19="","",MAESTRO!B19)</f>
        <v/>
      </c>
      <c r="AJ19" s="178" t="n"/>
      <c r="AK19" s="61" t="n">
        <v>3.5</v>
      </c>
      <c r="AL19" s="61" t="n">
        <v>4.2</v>
      </c>
      <c r="AM19" s="61" t="n">
        <v>3.9</v>
      </c>
      <c r="AN19" s="61" t="n">
        <v>3.9</v>
      </c>
      <c r="AO19" s="61" t="n">
        <v>3.1</v>
      </c>
      <c r="AP19" s="61" t="n">
        <v>4.1</v>
      </c>
      <c r="AQ19" s="61" t="n">
        <v>4.5</v>
      </c>
      <c r="AR19" s="61" t="n">
        <v>3.2</v>
      </c>
      <c r="AS19" s="61" t="n">
        <v>4.3</v>
      </c>
      <c r="AT19" s="61" t="n">
        <v>3.3</v>
      </c>
      <c r="AU19" s="61" t="n">
        <v>4.4</v>
      </c>
      <c r="AV19" s="61" t="n">
        <v>4.9</v>
      </c>
      <c r="AW19" s="5">
        <f>IF(MAESTRO!B19="","",IFERROR(TRUNC(AVERAGE(AK19:AV19),1),""))</f>
        <v/>
      </c>
      <c r="AX19" s="22" t="n">
        <v>3.8</v>
      </c>
      <c r="AY19" s="22" t="n">
        <v>4.3</v>
      </c>
      <c r="AZ19" s="22" t="n">
        <v>4.2</v>
      </c>
      <c r="BA19" s="22" t="n">
        <v>3.7</v>
      </c>
      <c r="BB19" s="22" t="n">
        <v>3</v>
      </c>
      <c r="BC19" s="22" t="n">
        <v>4.4</v>
      </c>
      <c r="BD19" s="22" t="n">
        <v>4.5</v>
      </c>
      <c r="BE19" s="22" t="n">
        <v>4</v>
      </c>
      <c r="BF19" s="22" t="n">
        <v>4.3</v>
      </c>
      <c r="BG19" s="22" t="n">
        <v>3.6</v>
      </c>
      <c r="BH19" s="5">
        <f>IF(MAESTRO!B19="","",IFERROR(TRUNC(AVERAGE(AX19:BG19),1),""))</f>
        <v/>
      </c>
      <c r="BI19" s="22" t="n">
        <v>3.4</v>
      </c>
      <c r="BJ19" s="22" t="n">
        <v>4.5</v>
      </c>
      <c r="BK19" s="22">
        <f>IF(MAESTRO!B19="","",IFERROR(AVERAGE(BI19,BJ19),""))</f>
        <v/>
      </c>
      <c r="BL19" s="5">
        <f>IF(MAESTRO!B19="","",IFERROR(TRUNC(AVERAGE(AW19,BH19,BK19),1),""))</f>
        <v/>
      </c>
      <c r="BM19" s="177" t="n"/>
      <c r="BN19" s="177" t="n">
        <v>15</v>
      </c>
      <c r="BO19" s="177" t="n">
        <v>15</v>
      </c>
      <c r="BP19" s="177">
        <f>IF(MAESTRO!B19="","",MAESTRO!B19)</f>
        <v/>
      </c>
      <c r="BQ19" s="178" t="n"/>
      <c r="BR19" s="5" t="n">
        <v>5</v>
      </c>
      <c r="BS19" s="5" t="n">
        <v>4.7</v>
      </c>
      <c r="BT19" s="5" t="n">
        <v>4.2</v>
      </c>
      <c r="BU19" s="5" t="n">
        <v>3.6</v>
      </c>
      <c r="BV19" s="5" t="n">
        <v>4</v>
      </c>
      <c r="BW19" s="5" t="n">
        <v>4.5</v>
      </c>
      <c r="BX19" s="5" t="n">
        <v>4.9</v>
      </c>
      <c r="BY19" s="5" t="n">
        <v>4.4</v>
      </c>
      <c r="BZ19" s="5" t="n">
        <v>3.1</v>
      </c>
      <c r="CA19" s="5" t="n">
        <v>4.4</v>
      </c>
      <c r="CB19" s="5" t="n">
        <v>5</v>
      </c>
      <c r="CC19" s="5" t="n">
        <v>4.4</v>
      </c>
      <c r="CD19" s="5" t="n">
        <v>4.1</v>
      </c>
      <c r="CE19" s="5">
        <f>IF(MAESTRO!B19="","",IFERROR(TRUNC(AVERAGE(BR19:CD19),1),""))</f>
        <v/>
      </c>
      <c r="CF19" s="5" t="n">
        <v>3.5</v>
      </c>
      <c r="CG19" s="5" t="n">
        <v>4.6</v>
      </c>
      <c r="CH19" s="5" t="n">
        <v>4.7</v>
      </c>
      <c r="CI19" s="5" t="n">
        <v>3.7</v>
      </c>
      <c r="CJ19" s="5" t="n">
        <v>3.3</v>
      </c>
      <c r="CK19" s="5" t="n">
        <v>4.3</v>
      </c>
      <c r="CL19" s="5" t="n">
        <v>3.6</v>
      </c>
      <c r="CM19" s="5" t="n">
        <v>4.4</v>
      </c>
      <c r="CN19" s="5" t="n">
        <v>3.9</v>
      </c>
      <c r="CO19" s="5" t="n">
        <v>4.1</v>
      </c>
      <c r="CP19" s="5">
        <f>IF(MAESTRO!B19="","",IFERROR(TRUNC(AVERAGE(CF19:CO19),1),""))</f>
        <v/>
      </c>
      <c r="CQ19" s="5" t="n">
        <v>4.9</v>
      </c>
      <c r="CR19" s="5" t="n">
        <v>3.3</v>
      </c>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v>3.9</v>
      </c>
      <c r="D20" s="5" t="n">
        <v>4.5</v>
      </c>
      <c r="E20" s="5" t="n">
        <v>4.7</v>
      </c>
      <c r="F20" s="5" t="n">
        <v>4.5</v>
      </c>
      <c r="G20" s="5" t="n">
        <v>4.2</v>
      </c>
      <c r="H20" s="5" t="n">
        <v>3.2</v>
      </c>
      <c r="I20" s="5" t="n">
        <v>3.2</v>
      </c>
      <c r="J20" s="5" t="n">
        <v>4.7</v>
      </c>
      <c r="K20" s="5" t="n">
        <v>5</v>
      </c>
      <c r="L20" s="5" t="n">
        <v>4</v>
      </c>
      <c r="M20" s="5" t="n">
        <v>3.1</v>
      </c>
      <c r="N20" s="5" t="n">
        <v>3.8</v>
      </c>
      <c r="O20" s="5" t="n">
        <v>4.1</v>
      </c>
      <c r="P20" s="5">
        <f>IF(MAESTRO!B20="","",IFERROR(TRUNC(AVERAGE(C20:O20),1),""))</f>
        <v/>
      </c>
      <c r="Q20" s="40" t="n">
        <v>16</v>
      </c>
      <c r="R20" s="22" t="n">
        <v>4.4</v>
      </c>
      <c r="S20" s="22" t="n">
        <v>4.1</v>
      </c>
      <c r="T20" s="22" t="n">
        <v>4.9</v>
      </c>
      <c r="U20" s="22" t="n">
        <v>4.5</v>
      </c>
      <c r="V20" s="22" t="n">
        <v>3.8</v>
      </c>
      <c r="W20" s="22" t="n">
        <v>4.7</v>
      </c>
      <c r="X20" s="22" t="n">
        <v>3.9</v>
      </c>
      <c r="Y20" s="22" t="n">
        <v>3.3</v>
      </c>
      <c r="Z20" s="22" t="n">
        <v>4.9</v>
      </c>
      <c r="AA20" s="45">
        <f>IF(MAESTRO!B20="","",IFERROR(TRUNC(AVERAGE(R20:Z20),1),""))</f>
        <v/>
      </c>
      <c r="AB20" s="177" t="n">
        <v>3.2</v>
      </c>
      <c r="AC20" s="42" t="n">
        <v>3.7</v>
      </c>
      <c r="AD20" s="5">
        <f>IF(MAESTRO!B20="","",IFERROR(AVERAGE(AB20:AC20),""))</f>
        <v/>
      </c>
      <c r="AE20" s="44">
        <f>IF(MAESTRO!B20="","",IFERROR(TRUNC(AVERAGE(P20,AA20,AD20),1),""))</f>
        <v/>
      </c>
      <c r="AF20" s="177" t="n"/>
      <c r="AG20" s="177" t="n">
        <v>16</v>
      </c>
      <c r="AH20" s="177" t="n">
        <v>16</v>
      </c>
      <c r="AI20" s="177">
        <f>IF(MAESTRO!B20="","",MAESTRO!B20)</f>
        <v/>
      </c>
      <c r="AJ20" s="178" t="n"/>
      <c r="AK20" s="61" t="n">
        <v>4.8</v>
      </c>
      <c r="AL20" s="61" t="n">
        <v>4.7</v>
      </c>
      <c r="AM20" s="61" t="n">
        <v>4.3</v>
      </c>
      <c r="AN20" s="61" t="n">
        <v>4.1</v>
      </c>
      <c r="AO20" s="61" t="n">
        <v>3.5</v>
      </c>
      <c r="AP20" s="61" t="n">
        <v>4.6</v>
      </c>
      <c r="AQ20" s="61" t="n">
        <v>3.2</v>
      </c>
      <c r="AR20" s="61" t="n">
        <v>4.2</v>
      </c>
      <c r="AS20" s="61" t="n">
        <v>3.8</v>
      </c>
      <c r="AT20" s="61" t="n">
        <v>3.4</v>
      </c>
      <c r="AU20" s="61" t="n">
        <v>3.4</v>
      </c>
      <c r="AV20" s="61" t="n">
        <v>3.1</v>
      </c>
      <c r="AW20" s="5">
        <f>IF(MAESTRO!B20="","",IFERROR(TRUNC(AVERAGE(AK20:AV20),1),""))</f>
        <v/>
      </c>
      <c r="AX20" s="22" t="n">
        <v>3.4</v>
      </c>
      <c r="AY20" s="22" t="n">
        <v>3.3</v>
      </c>
      <c r="AZ20" s="22" t="n">
        <v>4.7</v>
      </c>
      <c r="BA20" s="22" t="n">
        <v>4.9</v>
      </c>
      <c r="BB20" s="22" t="n">
        <v>3.8</v>
      </c>
      <c r="BC20" s="22" t="n">
        <v>4.5</v>
      </c>
      <c r="BD20" s="22" t="n">
        <v>3.1</v>
      </c>
      <c r="BE20" s="22" t="n">
        <v>3.6</v>
      </c>
      <c r="BF20" s="22" t="n">
        <v>3.7</v>
      </c>
      <c r="BG20" s="22" t="n">
        <v>3.1</v>
      </c>
      <c r="BH20" s="5">
        <f>IF(MAESTRO!B20="","",IFERROR(TRUNC(AVERAGE(AX20:BG20),1),""))</f>
        <v/>
      </c>
      <c r="BI20" s="22" t="n">
        <v>4.2</v>
      </c>
      <c r="BJ20" s="22" t="n">
        <v>3.7</v>
      </c>
      <c r="BK20" s="22">
        <f>IF(MAESTRO!B20="","",IFERROR(AVERAGE(BI20,BJ20),""))</f>
        <v/>
      </c>
      <c r="BL20" s="5">
        <f>IF(MAESTRO!B20="","",IFERROR(TRUNC(AVERAGE(AW20,BH20,BK20),1),""))</f>
        <v/>
      </c>
      <c r="BM20" s="177" t="n"/>
      <c r="BN20" s="177" t="n">
        <v>16</v>
      </c>
      <c r="BO20" s="177" t="n">
        <v>16</v>
      </c>
      <c r="BP20" s="177">
        <f>IF(MAESTRO!B20="","",MAESTRO!B20)</f>
        <v/>
      </c>
      <c r="BQ20" s="178" t="n"/>
      <c r="BR20" s="5" t="n">
        <v>4.6</v>
      </c>
      <c r="BS20" s="5" t="n">
        <v>4.2</v>
      </c>
      <c r="BT20" s="5" t="n">
        <v>3.8</v>
      </c>
      <c r="BU20" s="5" t="n">
        <v>4.8</v>
      </c>
      <c r="BV20" s="5" t="n">
        <v>3.6</v>
      </c>
      <c r="BW20" s="5" t="n">
        <v>4.2</v>
      </c>
      <c r="BX20" s="5" t="n">
        <v>3.1</v>
      </c>
      <c r="BY20" s="5" t="n">
        <v>4.6</v>
      </c>
      <c r="BZ20" s="5" t="n">
        <v>4.8</v>
      </c>
      <c r="CA20" s="5" t="n">
        <v>4.7</v>
      </c>
      <c r="CB20" s="5" t="n">
        <v>4.4</v>
      </c>
      <c r="CC20" s="5" t="n">
        <v>3.6</v>
      </c>
      <c r="CD20" s="5" t="n">
        <v>3.4</v>
      </c>
      <c r="CE20" s="5">
        <f>IF(MAESTRO!B20="","",IFERROR(TRUNC(AVERAGE(BR20:CD20),1),""))</f>
        <v/>
      </c>
      <c r="CF20" s="5" t="n">
        <v>4.6</v>
      </c>
      <c r="CG20" s="5" t="n">
        <v>3.3</v>
      </c>
      <c r="CH20" s="5" t="n">
        <v>4</v>
      </c>
      <c r="CI20" s="5" t="n">
        <v>3.3</v>
      </c>
      <c r="CJ20" s="5" t="n">
        <v>3.4</v>
      </c>
      <c r="CK20" s="5" t="n">
        <v>4.5</v>
      </c>
      <c r="CL20" s="5" t="n">
        <v>3.6</v>
      </c>
      <c r="CM20" s="5" t="n">
        <v>3.9</v>
      </c>
      <c r="CN20" s="5" t="n">
        <v>3</v>
      </c>
      <c r="CO20" s="5" t="n">
        <v>3.1</v>
      </c>
      <c r="CP20" s="5">
        <f>IF(MAESTRO!B20="","",IFERROR(TRUNC(AVERAGE(CF20:CO20),1),""))</f>
        <v/>
      </c>
      <c r="CQ20" s="5" t="n">
        <v>4.1</v>
      </c>
      <c r="CR20" s="5" t="n">
        <v>5</v>
      </c>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v>4.8</v>
      </c>
      <c r="D21" s="5" t="n">
        <v>4.2</v>
      </c>
      <c r="E21" s="5" t="n">
        <v>3.6</v>
      </c>
      <c r="F21" s="5" t="n">
        <v>4.6</v>
      </c>
      <c r="G21" s="5" t="n">
        <v>3.5</v>
      </c>
      <c r="H21" s="5" t="n">
        <v>4.2</v>
      </c>
      <c r="I21" s="5" t="n">
        <v>4.2</v>
      </c>
      <c r="J21" s="5" t="n">
        <v>3.4</v>
      </c>
      <c r="K21" s="5" t="n">
        <v>4.7</v>
      </c>
      <c r="L21" s="5" t="n">
        <v>3.1</v>
      </c>
      <c r="M21" s="5" t="n">
        <v>3.1</v>
      </c>
      <c r="N21" s="5" t="n">
        <v>3.1</v>
      </c>
      <c r="O21" s="5" t="n">
        <v>4</v>
      </c>
      <c r="P21" s="5">
        <f>IF(MAESTRO!B21="","",IFERROR(TRUNC(AVERAGE(C21:O21),1),""))</f>
        <v/>
      </c>
      <c r="Q21" s="40" t="n">
        <v>17</v>
      </c>
      <c r="R21" s="22" t="n">
        <v>4.5</v>
      </c>
      <c r="S21" s="22" t="n">
        <v>3.6</v>
      </c>
      <c r="T21" s="22" t="n">
        <v>3.9</v>
      </c>
      <c r="U21" s="22" t="n">
        <v>3.5</v>
      </c>
      <c r="V21" s="22" t="n">
        <v>4.7</v>
      </c>
      <c r="W21" s="22" t="n">
        <v>4.6</v>
      </c>
      <c r="X21" s="22" t="n">
        <v>3.1</v>
      </c>
      <c r="Y21" s="22" t="n">
        <v>3.2</v>
      </c>
      <c r="Z21" s="22" t="n">
        <v>3.1</v>
      </c>
      <c r="AA21" s="45">
        <f>IF(MAESTRO!B21="","",IFERROR(TRUNC(AVERAGE(R21:Z21),1),""))</f>
        <v/>
      </c>
      <c r="AB21" s="177" t="n">
        <v>5</v>
      </c>
      <c r="AC21" s="42" t="n">
        <v>4.1</v>
      </c>
      <c r="AD21" s="5">
        <f>IF(MAESTRO!B21="","",IFERROR(AVERAGE(AB21:AC21),""))</f>
        <v/>
      </c>
      <c r="AE21" s="44">
        <f>IF(MAESTRO!B21="","",IFERROR(TRUNC(AVERAGE(P21,AA21,AD21),1),""))</f>
        <v/>
      </c>
      <c r="AF21" s="177" t="n"/>
      <c r="AG21" s="177" t="n">
        <v>17</v>
      </c>
      <c r="AH21" s="177" t="n">
        <v>17</v>
      </c>
      <c r="AI21" s="177">
        <f>IF(MAESTRO!B21="","",MAESTRO!B21)</f>
        <v/>
      </c>
      <c r="AJ21" s="178" t="n"/>
      <c r="AK21" s="61" t="n">
        <v>3.6</v>
      </c>
      <c r="AL21" s="61" t="n">
        <v>3.7</v>
      </c>
      <c r="AM21" s="61" t="n">
        <v>3.9</v>
      </c>
      <c r="AN21" s="61" t="n">
        <v>4.9</v>
      </c>
      <c r="AO21" s="61" t="n">
        <v>4.5</v>
      </c>
      <c r="AP21" s="61" t="n">
        <v>4.6</v>
      </c>
      <c r="AQ21" s="61" t="n">
        <v>4.1</v>
      </c>
      <c r="AR21" s="61" t="n">
        <v>3</v>
      </c>
      <c r="AS21" s="61" t="n">
        <v>3.2</v>
      </c>
      <c r="AT21" s="61" t="n">
        <v>4.3</v>
      </c>
      <c r="AU21" s="61" t="n">
        <v>3.5</v>
      </c>
      <c r="AV21" s="61" t="n">
        <v>4</v>
      </c>
      <c r="AW21" s="5">
        <f>IF(MAESTRO!B21="","",IFERROR(TRUNC(AVERAGE(AK21:AV21),1),""))</f>
        <v/>
      </c>
      <c r="AX21" s="22" t="n">
        <v>4</v>
      </c>
      <c r="AY21" s="22" t="n">
        <v>3.8</v>
      </c>
      <c r="AZ21" s="22" t="n">
        <v>3.4</v>
      </c>
      <c r="BA21" s="22" t="n">
        <v>4.9</v>
      </c>
      <c r="BB21" s="22" t="n">
        <v>4.3</v>
      </c>
      <c r="BC21" s="22" t="n">
        <v>4.2</v>
      </c>
      <c r="BD21" s="22" t="n">
        <v>3</v>
      </c>
      <c r="BE21" s="22" t="n">
        <v>4.2</v>
      </c>
      <c r="BF21" s="22" t="n">
        <v>4.5</v>
      </c>
      <c r="BG21" s="22" t="n">
        <v>3.1</v>
      </c>
      <c r="BH21" s="5">
        <f>IF(MAESTRO!B21="","",IFERROR(TRUNC(AVERAGE(AX21:BG21),1),""))</f>
        <v/>
      </c>
      <c r="BI21" s="22" t="n">
        <v>4</v>
      </c>
      <c r="BJ21" s="22" t="n">
        <v>3.5</v>
      </c>
      <c r="BK21" s="22">
        <f>IF(MAESTRO!B21="","",IFERROR(AVERAGE(BI21,BJ21),""))</f>
        <v/>
      </c>
      <c r="BL21" s="5">
        <f>IF(MAESTRO!B21="","",IFERROR(TRUNC(AVERAGE(AW21,BH21,BK21),1),""))</f>
        <v/>
      </c>
      <c r="BM21" s="177" t="n"/>
      <c r="BN21" s="177" t="n">
        <v>17</v>
      </c>
      <c r="BO21" s="177" t="n">
        <v>17</v>
      </c>
      <c r="BP21" s="177">
        <f>IF(MAESTRO!B21="","",MAESTRO!B21)</f>
        <v/>
      </c>
      <c r="BQ21" s="178" t="n"/>
      <c r="BR21" s="5" t="n">
        <v>3.5</v>
      </c>
      <c r="BS21" s="5" t="n">
        <v>4.5</v>
      </c>
      <c r="BT21" s="5" t="n">
        <v>4.7</v>
      </c>
      <c r="BU21" s="5" t="n">
        <v>4.2</v>
      </c>
      <c r="BV21" s="5" t="n">
        <v>3.3</v>
      </c>
      <c r="BW21" s="5" t="n">
        <v>4.1</v>
      </c>
      <c r="BX21" s="5" t="n">
        <v>4.8</v>
      </c>
      <c r="BY21" s="5" t="n">
        <v>4.3</v>
      </c>
      <c r="BZ21" s="5" t="n">
        <v>4.5</v>
      </c>
      <c r="CA21" s="5" t="n">
        <v>3</v>
      </c>
      <c r="CB21" s="5" t="n">
        <v>4.1</v>
      </c>
      <c r="CC21" s="5" t="n">
        <v>3.2</v>
      </c>
      <c r="CD21" s="5" t="n">
        <v>3.6</v>
      </c>
      <c r="CE21" s="5">
        <f>IF(MAESTRO!B21="","",IFERROR(TRUNC(AVERAGE(BR21:CD21),1),""))</f>
        <v/>
      </c>
      <c r="CF21" s="5" t="n">
        <v>3.7</v>
      </c>
      <c r="CG21" s="5" t="n">
        <v>3.9</v>
      </c>
      <c r="CH21" s="5" t="n">
        <v>4.8</v>
      </c>
      <c r="CI21" s="5" t="n">
        <v>4</v>
      </c>
      <c r="CJ21" s="5" t="n">
        <v>3.8</v>
      </c>
      <c r="CK21" s="5" t="n">
        <v>3.4</v>
      </c>
      <c r="CL21" s="5" t="n">
        <v>3.8</v>
      </c>
      <c r="CM21" s="5" t="n">
        <v>3.6</v>
      </c>
      <c r="CN21" s="5" t="n">
        <v>4.7</v>
      </c>
      <c r="CO21" s="5" t="n">
        <v>4</v>
      </c>
      <c r="CP21" s="5">
        <f>IF(MAESTRO!B21="","",IFERROR(TRUNC(AVERAGE(CF21:CO21),1),""))</f>
        <v/>
      </c>
      <c r="CQ21" s="5" t="n">
        <v>4.8</v>
      </c>
      <c r="CR21" s="5" t="n">
        <v>4.9</v>
      </c>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v>4.5</v>
      </c>
      <c r="D22" s="5" t="n">
        <v>4.6</v>
      </c>
      <c r="E22" s="5" t="n">
        <v>4.9</v>
      </c>
      <c r="F22" s="5" t="n">
        <v>3.2</v>
      </c>
      <c r="G22" s="5" t="n">
        <v>3.3</v>
      </c>
      <c r="H22" s="5" t="n">
        <v>4.5</v>
      </c>
      <c r="I22" s="5" t="n">
        <v>4.7</v>
      </c>
      <c r="J22" s="5" t="n">
        <v>3</v>
      </c>
      <c r="K22" s="5" t="n">
        <v>4</v>
      </c>
      <c r="L22" s="5" t="n">
        <v>4.1</v>
      </c>
      <c r="M22" s="5" t="n">
        <v>3.2</v>
      </c>
      <c r="N22" s="5" t="n">
        <v>4.9</v>
      </c>
      <c r="O22" s="5" t="n">
        <v>4.2</v>
      </c>
      <c r="P22" s="5">
        <f>IF(MAESTRO!B22="","",IFERROR(TRUNC(AVERAGE(C22:O22),1),""))</f>
        <v/>
      </c>
      <c r="Q22" s="40" t="n">
        <v>18</v>
      </c>
      <c r="R22" s="22" t="n">
        <v>3.1</v>
      </c>
      <c r="S22" s="22" t="n">
        <v>4</v>
      </c>
      <c r="T22" s="22" t="n">
        <v>4.1</v>
      </c>
      <c r="U22" s="22" t="n">
        <v>3.6</v>
      </c>
      <c r="V22" s="22" t="n">
        <v>3.6</v>
      </c>
      <c r="W22" s="22" t="n">
        <v>3.4</v>
      </c>
      <c r="X22" s="22" t="n">
        <v>4.4</v>
      </c>
      <c r="Y22" s="22" t="n">
        <v>4</v>
      </c>
      <c r="Z22" s="22" t="n">
        <v>4.1</v>
      </c>
      <c r="AA22" s="45">
        <f>IF(MAESTRO!B22="","",IFERROR(TRUNC(AVERAGE(R22:Z22),1),""))</f>
        <v/>
      </c>
      <c r="AB22" s="177" t="n">
        <v>3.5</v>
      </c>
      <c r="AC22" s="42" t="n">
        <v>4.5</v>
      </c>
      <c r="AD22" s="5">
        <f>IF(MAESTRO!B22="","",IFERROR(AVERAGE(AB22:AC22),""))</f>
        <v/>
      </c>
      <c r="AE22" s="44">
        <f>IF(MAESTRO!B22="","",IFERROR(TRUNC(AVERAGE(P22,AA22,AD22),1),""))</f>
        <v/>
      </c>
      <c r="AF22" s="177" t="n"/>
      <c r="AG22" s="177" t="n">
        <v>18</v>
      </c>
      <c r="AH22" s="177" t="n">
        <v>18</v>
      </c>
      <c r="AI22" s="177">
        <f>IF(MAESTRO!B22="","",MAESTRO!B22)</f>
        <v/>
      </c>
      <c r="AJ22" s="178" t="n"/>
      <c r="AK22" s="61" t="n">
        <v>3.7</v>
      </c>
      <c r="AL22" s="62" t="n">
        <v>3.4</v>
      </c>
      <c r="AM22" s="61" t="n">
        <v>3.7</v>
      </c>
      <c r="AN22" s="61" t="n">
        <v>4.9</v>
      </c>
      <c r="AO22" s="61" t="n">
        <v>4.4</v>
      </c>
      <c r="AP22" s="61" t="n">
        <v>4.5</v>
      </c>
      <c r="AQ22" s="61" t="n">
        <v>4.9</v>
      </c>
      <c r="AR22" s="61" t="n">
        <v>4.2</v>
      </c>
      <c r="AS22" s="61" t="n">
        <v>3</v>
      </c>
      <c r="AT22" s="61" t="n">
        <v>4</v>
      </c>
      <c r="AU22" s="61" t="n">
        <v>4.8</v>
      </c>
      <c r="AV22" s="61" t="n">
        <v>4</v>
      </c>
      <c r="AW22" s="5">
        <f>IF(MAESTRO!B22="","",IFERROR(TRUNC(AVERAGE(AK22:AV22),1),""))</f>
        <v/>
      </c>
      <c r="AX22" s="22" t="n">
        <v>4.3</v>
      </c>
      <c r="AY22" s="22" t="n">
        <v>4.3</v>
      </c>
      <c r="AZ22" s="22" t="n">
        <v>3.2</v>
      </c>
      <c r="BA22" s="22" t="n">
        <v>3.9</v>
      </c>
      <c r="BB22" s="22" t="n">
        <v>4.7</v>
      </c>
      <c r="BC22" s="22" t="n">
        <v>3.2</v>
      </c>
      <c r="BD22" s="22" t="n">
        <v>3.8</v>
      </c>
      <c r="BE22" s="22" t="n">
        <v>3.4</v>
      </c>
      <c r="BF22" s="22" t="n">
        <v>3.7</v>
      </c>
      <c r="BG22" s="22" t="n">
        <v>4.3</v>
      </c>
      <c r="BH22" s="5">
        <f>IF(MAESTRO!B22="","",IFERROR(TRUNC(AVERAGE(AX22:BG22),1),""))</f>
        <v/>
      </c>
      <c r="BI22" s="22" t="n">
        <v>3.6</v>
      </c>
      <c r="BJ22" s="22" t="n">
        <v>4.6</v>
      </c>
      <c r="BK22" s="22">
        <f>IF(MAESTRO!B22="","",IFERROR(AVERAGE(BI22,BJ22),""))</f>
        <v/>
      </c>
      <c r="BL22" s="5">
        <f>IF(MAESTRO!B22="","",IFERROR(TRUNC(AVERAGE(AW22,BH22,BK22),1),""))</f>
        <v/>
      </c>
      <c r="BM22" s="177" t="n"/>
      <c r="BN22" s="177" t="n">
        <v>18</v>
      </c>
      <c r="BO22" s="177" t="n">
        <v>18</v>
      </c>
      <c r="BP22" s="177">
        <f>IF(MAESTRO!B22="","",MAESTRO!B22)</f>
        <v/>
      </c>
      <c r="BQ22" s="178" t="n"/>
      <c r="BR22" s="5" t="n">
        <v>4.3</v>
      </c>
      <c r="BS22" s="5" t="n">
        <v>4.3</v>
      </c>
      <c r="BT22" s="5" t="n">
        <v>4.2</v>
      </c>
      <c r="BU22" s="5" t="n">
        <v>4.6</v>
      </c>
      <c r="BV22" s="5" t="n">
        <v>3.6</v>
      </c>
      <c r="BW22" s="5" t="n">
        <v>3.6</v>
      </c>
      <c r="BX22" s="5" t="n">
        <v>4.9</v>
      </c>
      <c r="BY22" s="5" t="n">
        <v>3.4</v>
      </c>
      <c r="BZ22" s="5" t="n">
        <v>3.1</v>
      </c>
      <c r="CA22" s="5" t="n">
        <v>4.2</v>
      </c>
      <c r="CB22" s="5" t="n">
        <v>4.3</v>
      </c>
      <c r="CC22" s="5" t="n">
        <v>4.2</v>
      </c>
      <c r="CD22" s="5" t="n">
        <v>4.4</v>
      </c>
      <c r="CE22" s="5">
        <f>IF(MAESTRO!B22="","",IFERROR(TRUNC(AVERAGE(BR22:CD22),1),""))</f>
        <v/>
      </c>
      <c r="CF22" s="5" t="n">
        <v>3.6</v>
      </c>
      <c r="CG22" s="5" t="n">
        <v>3.5</v>
      </c>
      <c r="CH22" s="5" t="n">
        <v>3</v>
      </c>
      <c r="CI22" s="5" t="n">
        <v>4.1</v>
      </c>
      <c r="CJ22" s="5" t="n">
        <v>3.6</v>
      </c>
      <c r="CK22" s="5" t="n">
        <v>3.6</v>
      </c>
      <c r="CL22" s="5" t="n">
        <v>3.6</v>
      </c>
      <c r="CM22" s="5" t="n">
        <v>3.7</v>
      </c>
      <c r="CN22" s="5" t="n">
        <v>4.1</v>
      </c>
      <c r="CO22" s="5" t="n">
        <v>4.4</v>
      </c>
      <c r="CP22" s="5">
        <f>IF(MAESTRO!B22="","",IFERROR(TRUNC(AVERAGE(CF22:CO22),1),""))</f>
        <v/>
      </c>
      <c r="CQ22" s="5" t="n">
        <v>3.5</v>
      </c>
      <c r="CR22" s="5" t="n">
        <v>4.4</v>
      </c>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v>4.8</v>
      </c>
      <c r="D23" s="5" t="n">
        <v>4.4</v>
      </c>
      <c r="E23" s="5" t="n">
        <v>4.2</v>
      </c>
      <c r="F23" s="5" t="n">
        <v>3.9</v>
      </c>
      <c r="G23" s="5" t="n">
        <v>4.4</v>
      </c>
      <c r="H23" s="5" t="n">
        <v>4</v>
      </c>
      <c r="I23" s="5" t="n">
        <v>4.7</v>
      </c>
      <c r="J23" s="5" t="n">
        <v>4.8</v>
      </c>
      <c r="K23" s="5" t="n">
        <v>4.8</v>
      </c>
      <c r="L23" s="5" t="n">
        <v>3.2</v>
      </c>
      <c r="M23" s="5" t="n">
        <v>4.9</v>
      </c>
      <c r="N23" s="5" t="n">
        <v>4.1</v>
      </c>
      <c r="O23" s="5" t="n">
        <v>4</v>
      </c>
      <c r="P23" s="5">
        <f>IF(MAESTRO!B23="","",IFERROR(TRUNC(AVERAGE(C23:O23),1),""))</f>
        <v/>
      </c>
      <c r="Q23" s="40" t="n">
        <v>19</v>
      </c>
      <c r="R23" s="22" t="n">
        <v>3.3</v>
      </c>
      <c r="S23" s="22" t="n">
        <v>3.2</v>
      </c>
      <c r="T23" s="22" t="n">
        <v>3.9</v>
      </c>
      <c r="U23" s="22" t="n">
        <v>4.7</v>
      </c>
      <c r="V23" s="22" t="n">
        <v>4.2</v>
      </c>
      <c r="W23" s="22" t="n">
        <v>3.4</v>
      </c>
      <c r="X23" s="22" t="n">
        <v>3.5</v>
      </c>
      <c r="Y23" s="22" t="n">
        <v>4.8</v>
      </c>
      <c r="Z23" s="22" t="n">
        <v>4.6</v>
      </c>
      <c r="AA23" s="45">
        <f>IF(MAESTRO!B23="","",IFERROR(TRUNC(AVERAGE(R23:Z23),1),""))</f>
        <v/>
      </c>
      <c r="AB23" s="177" t="n">
        <v>3</v>
      </c>
      <c r="AC23" s="42" t="n">
        <v>4.7</v>
      </c>
      <c r="AD23" s="5">
        <f>IF(MAESTRO!B23="","",IFERROR(AVERAGE(AB23:AC23),""))</f>
        <v/>
      </c>
      <c r="AE23" s="44">
        <f>IF(MAESTRO!B23="","",IFERROR(TRUNC(AVERAGE(P23,AA23,AD23),1),""))</f>
        <v/>
      </c>
      <c r="AF23" s="177" t="n"/>
      <c r="AG23" s="177" t="n">
        <v>19</v>
      </c>
      <c r="AH23" s="177" t="n">
        <v>19</v>
      </c>
      <c r="AI23" s="177">
        <f>IF(MAESTRO!B23="","",MAESTRO!B23)</f>
        <v/>
      </c>
      <c r="AJ23" s="178" t="n"/>
      <c r="AK23" s="62" t="n">
        <v>3.8</v>
      </c>
      <c r="AL23" s="61" t="n">
        <v>3.5</v>
      </c>
      <c r="AM23" s="61" t="n">
        <v>4.5</v>
      </c>
      <c r="AN23" s="61" t="n">
        <v>4.9</v>
      </c>
      <c r="AO23" s="61" t="n">
        <v>4.5</v>
      </c>
      <c r="AP23" s="61" t="n">
        <v>4</v>
      </c>
      <c r="AQ23" s="61" t="n">
        <v>4.1</v>
      </c>
      <c r="AR23" s="61" t="n">
        <v>3.5</v>
      </c>
      <c r="AS23" s="61" t="n">
        <v>4</v>
      </c>
      <c r="AT23" s="61" t="n">
        <v>4.1</v>
      </c>
      <c r="AU23" s="61" t="n">
        <v>3.1</v>
      </c>
      <c r="AV23" s="61" t="n">
        <v>4.3</v>
      </c>
      <c r="AW23" s="5">
        <f>IF(MAESTRO!B23="","",IFERROR(TRUNC(AVERAGE(AK23:AV23),1),""))</f>
        <v/>
      </c>
      <c r="AX23" s="22" t="n">
        <v>3.4</v>
      </c>
      <c r="AY23" s="22" t="n">
        <v>3.2</v>
      </c>
      <c r="AZ23" s="22" t="n">
        <v>3</v>
      </c>
      <c r="BA23" s="22" t="n">
        <v>4.9</v>
      </c>
      <c r="BB23" s="22" t="n">
        <v>3.3</v>
      </c>
      <c r="BC23" s="22" t="n">
        <v>4.5</v>
      </c>
      <c r="BD23" s="22" t="n">
        <v>4.7</v>
      </c>
      <c r="BE23" s="22" t="n">
        <v>3.1</v>
      </c>
      <c r="BF23" s="22" t="n">
        <v>4.8</v>
      </c>
      <c r="BG23" s="22" t="n">
        <v>3.6</v>
      </c>
      <c r="BH23" s="5">
        <f>IF(MAESTRO!B23="","",IFERROR(TRUNC(AVERAGE(AX23:BG23),1),""))</f>
        <v/>
      </c>
      <c r="BI23" s="22" t="n">
        <v>3.4</v>
      </c>
      <c r="BJ23" s="22" t="n">
        <v>3.4</v>
      </c>
      <c r="BK23" s="22">
        <f>IF(MAESTRO!B23="","",IFERROR(AVERAGE(BI23,BJ23),""))</f>
        <v/>
      </c>
      <c r="BL23" s="5">
        <f>IF(MAESTRO!B23="","",IFERROR(TRUNC(AVERAGE(AW23,BH23,BK23),1),""))</f>
        <v/>
      </c>
      <c r="BM23" s="177" t="n"/>
      <c r="BN23" s="177" t="n">
        <v>19</v>
      </c>
      <c r="BO23" s="177" t="n">
        <v>19</v>
      </c>
      <c r="BP23" s="177">
        <f>IF(MAESTRO!B23="","",MAESTRO!B23)</f>
        <v/>
      </c>
      <c r="BQ23" s="178" t="n"/>
      <c r="BR23" s="5" t="n">
        <v>3.5</v>
      </c>
      <c r="BS23" s="5" t="n">
        <v>4</v>
      </c>
      <c r="BT23" s="5" t="n">
        <v>3.9</v>
      </c>
      <c r="BU23" s="5" t="n">
        <v>4</v>
      </c>
      <c r="BV23" s="5" t="n">
        <v>4.9</v>
      </c>
      <c r="BW23" s="5" t="n">
        <v>4.8</v>
      </c>
      <c r="BX23" s="5" t="n">
        <v>4.4</v>
      </c>
      <c r="BY23" s="5" t="n">
        <v>4.6</v>
      </c>
      <c r="BZ23" s="5" t="n">
        <v>3.6</v>
      </c>
      <c r="CA23" s="5" t="n">
        <v>3.9</v>
      </c>
      <c r="CB23" s="5" t="n">
        <v>4.8</v>
      </c>
      <c r="CC23" s="5" t="n">
        <v>5</v>
      </c>
      <c r="CD23" s="5" t="n">
        <v>3.4</v>
      </c>
      <c r="CE23" s="5">
        <f>IF(MAESTRO!B23="","",IFERROR(TRUNC(AVERAGE(BR23:CD23),1),""))</f>
        <v/>
      </c>
      <c r="CF23" s="5" t="n">
        <v>4.7</v>
      </c>
      <c r="CG23" s="5" t="n">
        <v>3.3</v>
      </c>
      <c r="CH23" s="5" t="n">
        <v>4.7</v>
      </c>
      <c r="CI23" s="5" t="n">
        <v>4.9</v>
      </c>
      <c r="CJ23" s="5" t="n">
        <v>4</v>
      </c>
      <c r="CK23" s="5" t="n">
        <v>3.3</v>
      </c>
      <c r="CL23" s="5" t="n">
        <v>3.5</v>
      </c>
      <c r="CM23" s="5" t="n">
        <v>4.7</v>
      </c>
      <c r="CN23" s="5" t="n">
        <v>4</v>
      </c>
      <c r="CO23" s="5" t="n">
        <v>3.5</v>
      </c>
      <c r="CP23" s="5">
        <f>IF(MAESTRO!B23="","",IFERROR(TRUNC(AVERAGE(CF23:CO23),1),""))</f>
        <v/>
      </c>
      <c r="CQ23" s="5" t="n">
        <v>3.6</v>
      </c>
      <c r="CR23" s="5" t="n">
        <v>4.1</v>
      </c>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v>4.2</v>
      </c>
      <c r="D24" s="5" t="n">
        <v>4.7</v>
      </c>
      <c r="E24" s="5" t="n">
        <v>4.6</v>
      </c>
      <c r="F24" s="5" t="n">
        <v>5</v>
      </c>
      <c r="G24" s="5" t="n">
        <v>3.1</v>
      </c>
      <c r="H24" s="5" t="n">
        <v>4.7</v>
      </c>
      <c r="I24" s="5" t="n">
        <v>4.8</v>
      </c>
      <c r="J24" s="5" t="n">
        <v>4.6</v>
      </c>
      <c r="K24" s="5" t="n">
        <v>3.8</v>
      </c>
      <c r="L24" s="5" t="n">
        <v>4.4</v>
      </c>
      <c r="M24" s="5" t="n">
        <v>3.3</v>
      </c>
      <c r="N24" s="5" t="n">
        <v>4</v>
      </c>
      <c r="O24" s="5" t="n">
        <v>4.6</v>
      </c>
      <c r="P24" s="5">
        <f>IF(MAESTRO!B24="","",IFERROR(TRUNC(AVERAGE(C24:O24),1),""))</f>
        <v/>
      </c>
      <c r="Q24" s="40" t="n">
        <v>20</v>
      </c>
      <c r="R24" s="22" t="n">
        <v>3.7</v>
      </c>
      <c r="S24" s="22" t="n">
        <v>4.5</v>
      </c>
      <c r="T24" s="22" t="n">
        <v>4</v>
      </c>
      <c r="U24" s="22" t="n">
        <v>3.9</v>
      </c>
      <c r="V24" s="22" t="n">
        <v>3.8</v>
      </c>
      <c r="W24" s="22" t="n">
        <v>4.3</v>
      </c>
      <c r="X24" s="22" t="n">
        <v>4.1</v>
      </c>
      <c r="Y24" s="22" t="n">
        <v>4.8</v>
      </c>
      <c r="Z24" s="22" t="n">
        <v>3.3</v>
      </c>
      <c r="AA24" s="45">
        <f>IF(MAESTRO!B24="","",IFERROR(TRUNC(AVERAGE(R24:Z24),1),""))</f>
        <v/>
      </c>
      <c r="AB24" s="177" t="n">
        <v>3.9</v>
      </c>
      <c r="AC24" s="42" t="n">
        <v>3.6</v>
      </c>
      <c r="AD24" s="5">
        <f>IF(MAESTRO!B24="","",IFERROR(AVERAGE(AB24:AC24),""))</f>
        <v/>
      </c>
      <c r="AE24" s="44">
        <f>IF(MAESTRO!B24="","",IFERROR(TRUNC(AVERAGE(P24,AA24,AD24),1),""))</f>
        <v/>
      </c>
      <c r="AF24" s="177" t="n"/>
      <c r="AG24" s="177" t="n">
        <v>20</v>
      </c>
      <c r="AH24" s="177" t="n">
        <v>20</v>
      </c>
      <c r="AI24" s="177">
        <f>IF(MAESTRO!B24="","",MAESTRO!B24)</f>
        <v/>
      </c>
      <c r="AJ24" s="178" t="n"/>
      <c r="AK24" s="61" t="n">
        <v>4.8</v>
      </c>
      <c r="AL24" s="61" t="n">
        <v>3.2</v>
      </c>
      <c r="AM24" s="61" t="n">
        <v>4.5</v>
      </c>
      <c r="AN24" s="61" t="n">
        <v>4.5</v>
      </c>
      <c r="AO24" s="61" t="n">
        <v>3.2</v>
      </c>
      <c r="AP24" s="61" t="n">
        <v>4.1</v>
      </c>
      <c r="AQ24" s="61" t="n">
        <v>4.6</v>
      </c>
      <c r="AR24" s="61" t="n">
        <v>3.7</v>
      </c>
      <c r="AS24" s="61" t="n">
        <v>3.2</v>
      </c>
      <c r="AT24" s="61" t="n">
        <v>4.2</v>
      </c>
      <c r="AU24" s="61" t="n">
        <v>3.6</v>
      </c>
      <c r="AV24" s="61" t="n">
        <v>3.4</v>
      </c>
      <c r="AW24" s="5">
        <f>IF(MAESTRO!B24="","",IFERROR(TRUNC(AVERAGE(AK24:AV24),1),""))</f>
        <v/>
      </c>
      <c r="AX24" s="22" t="n">
        <v>3.1</v>
      </c>
      <c r="AY24" s="22" t="n">
        <v>3.4</v>
      </c>
      <c r="AZ24" s="22" t="n">
        <v>4.6</v>
      </c>
      <c r="BA24" s="22" t="n">
        <v>4.8</v>
      </c>
      <c r="BB24" s="22" t="n">
        <v>4.1</v>
      </c>
      <c r="BC24" s="22" t="n">
        <v>4</v>
      </c>
      <c r="BD24" s="22" t="n">
        <v>3.7</v>
      </c>
      <c r="BE24" s="22" t="n">
        <v>4.6</v>
      </c>
      <c r="BF24" s="22" t="n">
        <v>4.4</v>
      </c>
      <c r="BG24" s="22" t="n">
        <v>4.3</v>
      </c>
      <c r="BH24" s="5">
        <f>IF(MAESTRO!B24="","",IFERROR(TRUNC(AVERAGE(AX24:BG24),1),""))</f>
        <v/>
      </c>
      <c r="BI24" s="22" t="n">
        <v>4.9</v>
      </c>
      <c r="BJ24" s="22" t="n">
        <v>3.2</v>
      </c>
      <c r="BK24" s="22">
        <f>IF(MAESTRO!B24="","",IFERROR(AVERAGE(BI24,BJ24),""))</f>
        <v/>
      </c>
      <c r="BL24" s="5">
        <f>IF(MAESTRO!B24="","",IFERROR(TRUNC(AVERAGE(AW24,BH24,BK24),1),""))</f>
        <v/>
      </c>
      <c r="BM24" s="177" t="n"/>
      <c r="BN24" s="177" t="n">
        <v>20</v>
      </c>
      <c r="BO24" s="177" t="n">
        <v>20</v>
      </c>
      <c r="BP24" s="177">
        <f>IF(MAESTRO!B24="","",MAESTRO!B24)</f>
        <v/>
      </c>
      <c r="BQ24" s="178" t="n"/>
      <c r="BR24" s="5" t="n">
        <v>4.7</v>
      </c>
      <c r="BS24" s="5" t="n">
        <v>4.4</v>
      </c>
      <c r="BT24" s="5" t="n">
        <v>3.5</v>
      </c>
      <c r="BU24" s="5" t="n">
        <v>3.3</v>
      </c>
      <c r="BV24" s="5" t="n">
        <v>4.7</v>
      </c>
      <c r="BW24" s="5" t="n">
        <v>4.4</v>
      </c>
      <c r="BX24" s="5" t="n">
        <v>3.9</v>
      </c>
      <c r="BY24" s="5" t="n">
        <v>4.8</v>
      </c>
      <c r="BZ24" s="5" t="n">
        <v>3.5</v>
      </c>
      <c r="CA24" s="5" t="n">
        <v>3.7</v>
      </c>
      <c r="CB24" s="5" t="n">
        <v>4.1</v>
      </c>
      <c r="CC24" s="5" t="n">
        <v>3.5</v>
      </c>
      <c r="CD24" s="5" t="n">
        <v>4.3</v>
      </c>
      <c r="CE24" s="5">
        <f>IF(MAESTRO!B24="","",IFERROR(TRUNC(AVERAGE(BR24:CD24),1),""))</f>
        <v/>
      </c>
      <c r="CF24" s="5" t="n">
        <v>3</v>
      </c>
      <c r="CG24" s="5" t="n">
        <v>4</v>
      </c>
      <c r="CH24" s="5" t="n">
        <v>3.8</v>
      </c>
      <c r="CI24" s="5" t="n">
        <v>4.3</v>
      </c>
      <c r="CJ24" s="5" t="n">
        <v>3.3</v>
      </c>
      <c r="CK24" s="5" t="n">
        <v>3.6</v>
      </c>
      <c r="CL24" s="5" t="n">
        <v>4.3</v>
      </c>
      <c r="CM24" s="5" t="n">
        <v>3.3</v>
      </c>
      <c r="CN24" s="5" t="n">
        <v>5</v>
      </c>
      <c r="CO24" s="5" t="n">
        <v>4.7</v>
      </c>
      <c r="CP24" s="5">
        <f>IF(MAESTRO!B24="","",IFERROR(TRUNC(AVERAGE(CF24:CO24),1),""))</f>
        <v/>
      </c>
      <c r="CQ24" s="5" t="n">
        <v>3.8</v>
      </c>
      <c r="CR24" s="5" t="n">
        <v>4.4</v>
      </c>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v>4</v>
      </c>
      <c r="D25" s="5" t="n">
        <v>3.2</v>
      </c>
      <c r="E25" s="5" t="n">
        <v>4.1</v>
      </c>
      <c r="F25" s="5" t="n">
        <v>4.5</v>
      </c>
      <c r="G25" s="5" t="n">
        <v>4.8</v>
      </c>
      <c r="H25" s="5" t="n">
        <v>4.6</v>
      </c>
      <c r="I25" s="5" t="n">
        <v>3.3</v>
      </c>
      <c r="J25" s="5" t="n">
        <v>4.8</v>
      </c>
      <c r="K25" s="5" t="n">
        <v>4.9</v>
      </c>
      <c r="L25" s="5" t="n">
        <v>4.4</v>
      </c>
      <c r="M25" s="5" t="n">
        <v>3.6</v>
      </c>
      <c r="N25" s="5" t="n">
        <v>4.6</v>
      </c>
      <c r="O25" s="5" t="n">
        <v>4.7</v>
      </c>
      <c r="P25" s="5">
        <f>IF(MAESTRO!B25="","",IFERROR(TRUNC(AVERAGE(C25:O25),1),""))</f>
        <v/>
      </c>
      <c r="Q25" s="40" t="n">
        <v>21</v>
      </c>
      <c r="R25" s="22" t="n">
        <v>4.2</v>
      </c>
      <c r="S25" s="22" t="n">
        <v>4.7</v>
      </c>
      <c r="T25" s="22" t="n">
        <v>3.7</v>
      </c>
      <c r="U25" s="22" t="n">
        <v>3.8</v>
      </c>
      <c r="V25" s="22" t="n">
        <v>3.3</v>
      </c>
      <c r="W25" s="22" t="n">
        <v>4.2</v>
      </c>
      <c r="X25" s="22" t="n">
        <v>4.8</v>
      </c>
      <c r="Y25" s="22" t="n">
        <v>3.6</v>
      </c>
      <c r="Z25" s="22" t="n">
        <v>3.7</v>
      </c>
      <c r="AA25" s="45">
        <f>IF(MAESTRO!B25="","",IFERROR(TRUNC(AVERAGE(R25:Z25),1),""))</f>
        <v/>
      </c>
      <c r="AB25" s="177" t="n">
        <v>3.6</v>
      </c>
      <c r="AC25" s="42" t="n">
        <v>4</v>
      </c>
      <c r="AD25" s="5">
        <f>IF(MAESTRO!B25="","",IFERROR(AVERAGE(AB25:AC25),""))</f>
        <v/>
      </c>
      <c r="AE25" s="44">
        <f>IF(MAESTRO!B25="","",IFERROR(TRUNC(AVERAGE(P25,AA25,AD25),1),""))</f>
        <v/>
      </c>
      <c r="AF25" s="177" t="n"/>
      <c r="AG25" s="177" t="n">
        <v>21</v>
      </c>
      <c r="AH25" s="177" t="n">
        <v>21</v>
      </c>
      <c r="AI25" s="177">
        <f>IF(MAESTRO!B25="","",MAESTRO!B25)</f>
        <v/>
      </c>
      <c r="AJ25" s="178" t="n"/>
      <c r="AK25" s="61" t="n">
        <v>4.1</v>
      </c>
      <c r="AL25" s="61" t="n">
        <v>4.6</v>
      </c>
      <c r="AM25" s="61" t="n">
        <v>3.6</v>
      </c>
      <c r="AN25" s="61" t="n">
        <v>4.1</v>
      </c>
      <c r="AO25" s="61" t="n">
        <v>3.6</v>
      </c>
      <c r="AP25" s="61" t="n">
        <v>3.2</v>
      </c>
      <c r="AQ25" s="61" t="n">
        <v>4.4</v>
      </c>
      <c r="AR25" s="61" t="n">
        <v>3.4</v>
      </c>
      <c r="AS25" s="61" t="n">
        <v>3.6</v>
      </c>
      <c r="AT25" s="61" t="n">
        <v>4.1</v>
      </c>
      <c r="AU25" s="61" t="n">
        <v>4.2</v>
      </c>
      <c r="AV25" s="61" t="n">
        <v>4.9</v>
      </c>
      <c r="AW25" s="5">
        <f>IF(MAESTRO!B25="","",IFERROR(TRUNC(AVERAGE(AK25:AV25),1),""))</f>
        <v/>
      </c>
      <c r="AX25" s="22" t="n">
        <v>3.2</v>
      </c>
      <c r="AY25" s="22" t="n">
        <v>3.2</v>
      </c>
      <c r="AZ25" s="22" t="n">
        <v>4.7</v>
      </c>
      <c r="BA25" s="22" t="n">
        <v>3.6</v>
      </c>
      <c r="BB25" s="22" t="n">
        <v>3.5</v>
      </c>
      <c r="BC25" s="22" t="n">
        <v>4.6</v>
      </c>
      <c r="BD25" s="22" t="n">
        <v>4.5</v>
      </c>
      <c r="BE25" s="22" t="n">
        <v>3.5</v>
      </c>
      <c r="BF25" s="22" t="n">
        <v>4.3</v>
      </c>
      <c r="BG25" s="22" t="n">
        <v>4.4</v>
      </c>
      <c r="BH25" s="5">
        <f>IF(MAESTRO!B25="","",IFERROR(TRUNC(AVERAGE(AX25:BG25),1),""))</f>
        <v/>
      </c>
      <c r="BI25" s="22" t="n">
        <v>3.7</v>
      </c>
      <c r="BJ25" s="22" t="n">
        <v>3.5</v>
      </c>
      <c r="BK25" s="22">
        <f>IF(MAESTRO!B25="","",IFERROR(AVERAGE(BI25,BJ25),""))</f>
        <v/>
      </c>
      <c r="BL25" s="5">
        <f>IF(MAESTRO!B25="","",IFERROR(TRUNC(AVERAGE(AW25,BH25,BK25),1),""))</f>
        <v/>
      </c>
      <c r="BM25" s="177" t="n"/>
      <c r="BN25" s="177" t="n">
        <v>21</v>
      </c>
      <c r="BO25" s="177" t="n">
        <v>21</v>
      </c>
      <c r="BP25" s="177">
        <f>IF(MAESTRO!B25="","",MAESTRO!B25)</f>
        <v/>
      </c>
      <c r="BQ25" s="178" t="n"/>
      <c r="BR25" s="5" t="n">
        <v>4.5</v>
      </c>
      <c r="BS25" s="5" t="n">
        <v>4.8</v>
      </c>
      <c r="BT25" s="5" t="n">
        <v>3.7</v>
      </c>
      <c r="BU25" s="5" t="n">
        <v>3.6</v>
      </c>
      <c r="BV25" s="5" t="n">
        <v>4.2</v>
      </c>
      <c r="BW25" s="5" t="n">
        <v>4.3</v>
      </c>
      <c r="BX25" s="5" t="n">
        <v>3.7</v>
      </c>
      <c r="BY25" s="5" t="n">
        <v>4.1</v>
      </c>
      <c r="BZ25" s="5" t="n">
        <v>4.4</v>
      </c>
      <c r="CA25" s="5" t="n">
        <v>3.9</v>
      </c>
      <c r="CB25" s="5" t="n">
        <v>3.2</v>
      </c>
      <c r="CC25" s="5" t="n">
        <v>4.1</v>
      </c>
      <c r="CD25" s="5" t="n">
        <v>4</v>
      </c>
      <c r="CE25" s="5">
        <f>IF(MAESTRO!B25="","",IFERROR(TRUNC(AVERAGE(BR25:CD25),1),""))</f>
        <v/>
      </c>
      <c r="CF25" s="5" t="n">
        <v>3.8</v>
      </c>
      <c r="CG25" s="5" t="n">
        <v>4.6</v>
      </c>
      <c r="CH25" s="5" t="n">
        <v>4.8</v>
      </c>
      <c r="CI25" s="5" t="n">
        <v>4.3</v>
      </c>
      <c r="CJ25" s="5" t="n">
        <v>4.7</v>
      </c>
      <c r="CK25" s="5" t="n">
        <v>3.8</v>
      </c>
      <c r="CL25" s="5" t="n">
        <v>4.7</v>
      </c>
      <c r="CM25" s="5" t="n">
        <v>4</v>
      </c>
      <c r="CN25" s="5" t="n">
        <v>4.5</v>
      </c>
      <c r="CO25" s="5" t="n">
        <v>4</v>
      </c>
      <c r="CP25" s="5">
        <f>IF(MAESTRO!B25="","",IFERROR(TRUNC(AVERAGE(CF25:CO25),1),""))</f>
        <v/>
      </c>
      <c r="CQ25" s="5" t="n">
        <v>3.7</v>
      </c>
      <c r="CR25" s="5" t="n">
        <v>5</v>
      </c>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v>4.3</v>
      </c>
      <c r="D26" s="5" t="n">
        <v>3.5</v>
      </c>
      <c r="E26" s="5" t="n">
        <v>4.2</v>
      </c>
      <c r="F26" s="5" t="n">
        <v>4.2</v>
      </c>
      <c r="G26" s="5" t="n">
        <v>4.2</v>
      </c>
      <c r="H26" s="5" t="n">
        <v>4.6</v>
      </c>
      <c r="I26" s="5" t="n">
        <v>4.4</v>
      </c>
      <c r="J26" s="5" t="n">
        <v>4.3</v>
      </c>
      <c r="K26" s="5" t="n">
        <v>4.8</v>
      </c>
      <c r="L26" s="5" t="n">
        <v>3.2</v>
      </c>
      <c r="M26" s="5" t="n">
        <v>4.2</v>
      </c>
      <c r="N26" s="5" t="n">
        <v>4.9</v>
      </c>
      <c r="O26" s="5" t="n">
        <v>3.6</v>
      </c>
      <c r="P26" s="5">
        <f>IF(MAESTRO!B26="","",IFERROR(TRUNC(AVERAGE(C26:O26),1),""))</f>
        <v/>
      </c>
      <c r="Q26" s="40" t="n">
        <v>22</v>
      </c>
      <c r="R26" s="22" t="n">
        <v>4.2</v>
      </c>
      <c r="S26" s="22" t="n">
        <v>4.4</v>
      </c>
      <c r="T26" s="22" t="n">
        <v>3.5</v>
      </c>
      <c r="U26" s="22" t="n">
        <v>4.6</v>
      </c>
      <c r="V26" s="22" t="n">
        <v>3</v>
      </c>
      <c r="W26" s="22" t="n">
        <v>4.2</v>
      </c>
      <c r="X26" s="22" t="n">
        <v>4.5</v>
      </c>
      <c r="Y26" s="22" t="n">
        <v>3.2</v>
      </c>
      <c r="Z26" s="22" t="n">
        <v>3.9</v>
      </c>
      <c r="AA26" s="45">
        <f>IF(MAESTRO!B26="","",IFERROR(TRUNC(AVERAGE(R26:Z26),1),""))</f>
        <v/>
      </c>
      <c r="AB26" s="177" t="n">
        <v>4.4</v>
      </c>
      <c r="AC26" s="42" t="n">
        <v>4.4</v>
      </c>
      <c r="AD26" s="5">
        <f>IF(MAESTRO!B26="","",IFERROR(AVERAGE(AB26:AC26),""))</f>
        <v/>
      </c>
      <c r="AE26" s="44">
        <f>IF(MAESTRO!B26="","",IFERROR(TRUNC(AVERAGE(P26,AA26,AD26),1),""))</f>
        <v/>
      </c>
      <c r="AF26" s="177" t="n"/>
      <c r="AG26" s="177" t="n">
        <v>22</v>
      </c>
      <c r="AH26" s="177" t="n">
        <v>22</v>
      </c>
      <c r="AI26" s="177">
        <f>IF(MAESTRO!B26="","",MAESTRO!B26)</f>
        <v/>
      </c>
      <c r="AJ26" s="178" t="n"/>
      <c r="AK26" s="61" t="n">
        <v>3.7</v>
      </c>
      <c r="AL26" s="61" t="n">
        <v>3.6</v>
      </c>
      <c r="AM26" s="61" t="n">
        <v>4.8</v>
      </c>
      <c r="AN26" s="61" t="n">
        <v>4.8</v>
      </c>
      <c r="AO26" s="61" t="n">
        <v>3.5</v>
      </c>
      <c r="AP26" s="61" t="n">
        <v>3.8</v>
      </c>
      <c r="AQ26" s="61" t="n">
        <v>3</v>
      </c>
      <c r="AR26" s="61" t="n">
        <v>3.6</v>
      </c>
      <c r="AS26" s="61" t="n">
        <v>4.9</v>
      </c>
      <c r="AT26" s="61" t="n">
        <v>4.9</v>
      </c>
      <c r="AU26" s="61" t="n">
        <v>3.2</v>
      </c>
      <c r="AV26" s="61" t="n">
        <v>3.4</v>
      </c>
      <c r="AW26" s="5">
        <f>IF(MAESTRO!B26="","",IFERROR(TRUNC(AVERAGE(AK26:AV26),1),""))</f>
        <v/>
      </c>
      <c r="AX26" s="22" t="n">
        <v>4.6</v>
      </c>
      <c r="AY26" s="22" t="n">
        <v>4.7</v>
      </c>
      <c r="AZ26" s="22" t="n">
        <v>3.8</v>
      </c>
      <c r="BA26" s="22" t="n">
        <v>4.4</v>
      </c>
      <c r="BB26" s="22" t="n">
        <v>4.1</v>
      </c>
      <c r="BC26" s="22" t="n">
        <v>3.9</v>
      </c>
      <c r="BD26" s="22" t="n">
        <v>4.9</v>
      </c>
      <c r="BE26" s="22" t="n">
        <v>3</v>
      </c>
      <c r="BF26" s="22" t="n">
        <v>4.6</v>
      </c>
      <c r="BG26" s="22" t="n">
        <v>3.1</v>
      </c>
      <c r="BH26" s="5">
        <f>IF(MAESTRO!B26="","",IFERROR(TRUNC(AVERAGE(AX26:BG26),1),""))</f>
        <v/>
      </c>
      <c r="BI26" s="22" t="n">
        <v>4.9</v>
      </c>
      <c r="BJ26" s="22" t="n">
        <v>3.3</v>
      </c>
      <c r="BK26" s="22">
        <f>IF(MAESTRO!B26="","",IFERROR(AVERAGE(BI26,BJ26),""))</f>
        <v/>
      </c>
      <c r="BL26" s="5">
        <f>IF(MAESTRO!B26="","",IFERROR(TRUNC(AVERAGE(AW26,BH26,BK26),1),""))</f>
        <v/>
      </c>
      <c r="BM26" s="177" t="n"/>
      <c r="BN26" s="177" t="n">
        <v>22</v>
      </c>
      <c r="BO26" s="177" t="n">
        <v>22</v>
      </c>
      <c r="BP26" s="177">
        <f>IF(MAESTRO!B26="","",MAESTRO!B26)</f>
        <v/>
      </c>
      <c r="BQ26" s="178" t="n"/>
      <c r="BR26" s="89" t="n">
        <v>4.1</v>
      </c>
      <c r="BS26" s="89" t="n">
        <v>4.9</v>
      </c>
      <c r="BT26" s="89" t="n">
        <v>4.4</v>
      </c>
      <c r="BU26" s="89" t="n">
        <v>4.6</v>
      </c>
      <c r="BV26" s="5" t="n">
        <v>3.4</v>
      </c>
      <c r="BW26" s="5" t="n">
        <v>3.5</v>
      </c>
      <c r="BX26" s="5" t="n">
        <v>4.1</v>
      </c>
      <c r="BY26" s="5" t="n">
        <v>3.3</v>
      </c>
      <c r="BZ26" s="5" t="n">
        <v>4.8</v>
      </c>
      <c r="CA26" s="5" t="n">
        <v>4.4</v>
      </c>
      <c r="CB26" s="5" t="n">
        <v>3.4</v>
      </c>
      <c r="CC26" s="5" t="n">
        <v>4.6</v>
      </c>
      <c r="CD26" s="5" t="n">
        <v>3.5</v>
      </c>
      <c r="CE26" s="5">
        <f>IF(MAESTRO!B26="","",IFERROR(TRUNC(AVERAGE(BR26:CD26),1),""))</f>
        <v/>
      </c>
      <c r="CF26" s="5" t="n">
        <v>4.5</v>
      </c>
      <c r="CG26" s="5" t="n">
        <v>4.2</v>
      </c>
      <c r="CH26" s="5" t="n">
        <v>4.4</v>
      </c>
      <c r="CI26" s="5" t="n">
        <v>4.3</v>
      </c>
      <c r="CJ26" s="5" t="n">
        <v>3.2</v>
      </c>
      <c r="CK26" s="5" t="n">
        <v>4.9</v>
      </c>
      <c r="CL26" s="5" t="n">
        <v>3</v>
      </c>
      <c r="CM26" s="5" t="n">
        <v>3.8</v>
      </c>
      <c r="CN26" s="5" t="n">
        <v>3.1</v>
      </c>
      <c r="CO26" s="5" t="n">
        <v>3.7</v>
      </c>
      <c r="CP26" s="5">
        <f>IF(MAESTRO!B26="","",IFERROR(TRUNC(AVERAGE(CF26:CO26),1),""))</f>
        <v/>
      </c>
      <c r="CQ26" s="5" t="n">
        <v>4.7</v>
      </c>
      <c r="CR26" s="5" t="n">
        <v>4.3</v>
      </c>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v>4</v>
      </c>
      <c r="D27" s="5" t="n">
        <v>3</v>
      </c>
      <c r="E27" s="5" t="n">
        <v>5</v>
      </c>
      <c r="F27" s="5" t="n">
        <v>4.7</v>
      </c>
      <c r="G27" s="5" t="n">
        <v>3.6</v>
      </c>
      <c r="H27" s="5" t="n">
        <v>3.3</v>
      </c>
      <c r="I27" s="5" t="n">
        <v>4.3</v>
      </c>
      <c r="J27" s="5" t="n">
        <v>3.7</v>
      </c>
      <c r="K27" s="5" t="n">
        <v>4.3</v>
      </c>
      <c r="L27" s="5" t="n">
        <v>3.3</v>
      </c>
      <c r="M27" s="5" t="n">
        <v>4.1</v>
      </c>
      <c r="N27" s="5" t="n">
        <v>4.7</v>
      </c>
      <c r="O27" s="5" t="n">
        <v>4.9</v>
      </c>
      <c r="P27" s="5">
        <f>IF(MAESTRO!B27="","",IFERROR(TRUNC(AVERAGE(C27:O27),1),""))</f>
        <v/>
      </c>
      <c r="Q27" s="40" t="n">
        <v>23</v>
      </c>
      <c r="R27" s="22" t="n">
        <v>4</v>
      </c>
      <c r="S27" s="22" t="n">
        <v>3</v>
      </c>
      <c r="T27" s="22" t="n">
        <v>3.2</v>
      </c>
      <c r="U27" s="22" t="n">
        <v>4.3</v>
      </c>
      <c r="V27" s="22" t="n">
        <v>3.7</v>
      </c>
      <c r="W27" s="22" t="n">
        <v>3.3</v>
      </c>
      <c r="X27" s="22" t="n">
        <v>4.7</v>
      </c>
      <c r="Y27" s="22" t="n">
        <v>3.7</v>
      </c>
      <c r="Z27" s="22" t="n">
        <v>3.3</v>
      </c>
      <c r="AA27" s="45">
        <f>IF(MAESTRO!B27="","",IFERROR(TRUNC(AVERAGE(R27:Z27),1),""))</f>
        <v/>
      </c>
      <c r="AB27" s="177" t="n">
        <v>3.7</v>
      </c>
      <c r="AC27" s="42" t="n">
        <v>4.6</v>
      </c>
      <c r="AD27" s="5">
        <f>IF(MAESTRO!B27="","",IFERROR(AVERAGE(AB27:AC27),""))</f>
        <v/>
      </c>
      <c r="AE27" s="44">
        <f>IF(MAESTRO!B27="","",IFERROR(TRUNC(AVERAGE(P27,AA27,AD27),1),""))</f>
        <v/>
      </c>
      <c r="AF27" s="177" t="n"/>
      <c r="AG27" s="177" t="n">
        <v>23</v>
      </c>
      <c r="AH27" s="177" t="n">
        <v>23</v>
      </c>
      <c r="AI27" s="177">
        <f>IF(MAESTRO!B27="","",MAESTRO!B27)</f>
        <v/>
      </c>
      <c r="AJ27" s="178" t="n"/>
      <c r="AK27" s="61" t="n">
        <v>4.9</v>
      </c>
      <c r="AL27" s="91" t="n">
        <v>4.6</v>
      </c>
      <c r="AM27" s="61" t="n">
        <v>3.4</v>
      </c>
      <c r="AN27" s="61" t="n">
        <v>3.1</v>
      </c>
      <c r="AO27" s="61" t="n">
        <v>3.4</v>
      </c>
      <c r="AP27" s="61" t="n">
        <v>4.3</v>
      </c>
      <c r="AQ27" s="61" t="n">
        <v>4.3</v>
      </c>
      <c r="AR27" s="61" t="n">
        <v>4.7</v>
      </c>
      <c r="AS27" s="61" t="n">
        <v>4.9</v>
      </c>
      <c r="AT27" s="61" t="n">
        <v>3.7</v>
      </c>
      <c r="AU27" s="61" t="n">
        <v>3.2</v>
      </c>
      <c r="AV27" s="61" t="n">
        <v>4.6</v>
      </c>
      <c r="AW27" s="5">
        <f>IF(MAESTRO!B27="","",IFERROR(TRUNC(AVERAGE(AK27:AV27),1),""))</f>
        <v/>
      </c>
      <c r="AX27" s="22" t="n">
        <v>4</v>
      </c>
      <c r="AY27" s="22" t="n">
        <v>4.4</v>
      </c>
      <c r="AZ27" s="22" t="n">
        <v>4.8</v>
      </c>
      <c r="BA27" s="22" t="n">
        <v>4.5</v>
      </c>
      <c r="BB27" s="22" t="n">
        <v>4</v>
      </c>
      <c r="BC27" s="22" t="n">
        <v>4.9</v>
      </c>
      <c r="BD27" s="22" t="n">
        <v>4.5</v>
      </c>
      <c r="BE27" s="22" t="n">
        <v>3.8</v>
      </c>
      <c r="BF27" s="22" t="n">
        <v>3.2</v>
      </c>
      <c r="BG27" s="22" t="n">
        <v>3.7</v>
      </c>
      <c r="BH27" s="5">
        <f>IF(MAESTRO!B27="","",IFERROR(TRUNC(AVERAGE(AX27:BG27),1),""))</f>
        <v/>
      </c>
      <c r="BI27" s="22" t="n">
        <v>3.4</v>
      </c>
      <c r="BJ27" s="22" t="n">
        <v>4.7</v>
      </c>
      <c r="BK27" s="22">
        <f>IF(MAESTRO!B27="","",IFERROR(AVERAGE(BI27,BJ27),""))</f>
        <v/>
      </c>
      <c r="BL27" s="5">
        <f>IF(MAESTRO!B27="","",IFERROR(TRUNC(AVERAGE(AW27,BH27,BK27),1),""))</f>
        <v/>
      </c>
      <c r="BM27" s="177" t="n"/>
      <c r="BN27" s="177" t="n">
        <v>23</v>
      </c>
      <c r="BO27" s="177" t="n">
        <v>23</v>
      </c>
      <c r="BP27" s="177">
        <f>IF(MAESTRO!B27="","",MAESTRO!B27)</f>
        <v/>
      </c>
      <c r="BQ27" s="178" t="n"/>
      <c r="BR27" s="89" t="n">
        <v>3.6</v>
      </c>
      <c r="BS27" s="89" t="n">
        <v>3.9</v>
      </c>
      <c r="BT27" s="89" t="n">
        <v>3.5</v>
      </c>
      <c r="BU27" s="89" t="n">
        <v>3.8</v>
      </c>
      <c r="BV27" s="5" t="n">
        <v>3.7</v>
      </c>
      <c r="BW27" s="5" t="n">
        <v>3.9</v>
      </c>
      <c r="BX27" s="5" t="n">
        <v>4.8</v>
      </c>
      <c r="BY27" s="5" t="n">
        <v>4.2</v>
      </c>
      <c r="BZ27" s="5" t="n">
        <v>3.5</v>
      </c>
      <c r="CA27" s="5" t="n">
        <v>4.9</v>
      </c>
      <c r="CB27" s="5" t="n">
        <v>4</v>
      </c>
      <c r="CC27" s="5" t="n">
        <v>4.3</v>
      </c>
      <c r="CD27" s="5" t="n">
        <v>4.9</v>
      </c>
      <c r="CE27" s="5">
        <f>IF(MAESTRO!B27="","",IFERROR(TRUNC(AVERAGE(BR27:CD27),1),""))</f>
        <v/>
      </c>
      <c r="CF27" s="5" t="n">
        <v>3.2</v>
      </c>
      <c r="CG27" s="5" t="n">
        <v>4.9</v>
      </c>
      <c r="CH27" s="5" t="n">
        <v>4.2</v>
      </c>
      <c r="CI27" s="5" t="n">
        <v>4</v>
      </c>
      <c r="CJ27" s="5" t="n">
        <v>3.3</v>
      </c>
      <c r="CK27" s="5" t="n">
        <v>4.6</v>
      </c>
      <c r="CL27" s="5" t="n">
        <v>4.2</v>
      </c>
      <c r="CM27" s="5" t="n">
        <v>3.8</v>
      </c>
      <c r="CN27" s="5" t="n">
        <v>4.7</v>
      </c>
      <c r="CO27" s="5" t="n">
        <v>3.1</v>
      </c>
      <c r="CP27" s="5">
        <f>IF(MAESTRO!B27="","",IFERROR(TRUNC(AVERAGE(CF27:CO27),1),""))</f>
        <v/>
      </c>
      <c r="CQ27" s="5" t="n">
        <v>4.8</v>
      </c>
      <c r="CR27" s="5" t="n">
        <v>4.3</v>
      </c>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v>4.6</v>
      </c>
      <c r="D28" s="5" t="n">
        <v>4.5</v>
      </c>
      <c r="E28" s="5" t="n">
        <v>4.9</v>
      </c>
      <c r="F28" s="5" t="n">
        <v>3.4</v>
      </c>
      <c r="G28" s="5" t="n">
        <v>3.7</v>
      </c>
      <c r="H28" s="5" t="n">
        <v>4.2</v>
      </c>
      <c r="I28" s="5" t="n">
        <v>4.1</v>
      </c>
      <c r="J28" s="5" t="n">
        <v>4.7</v>
      </c>
      <c r="K28" s="5" t="n">
        <v>3.3</v>
      </c>
      <c r="L28" s="5" t="n">
        <v>4.2</v>
      </c>
      <c r="M28" s="5" t="n">
        <v>3.4</v>
      </c>
      <c r="N28" s="5" t="n">
        <v>3.1</v>
      </c>
      <c r="O28" s="5" t="n">
        <v>3.5</v>
      </c>
      <c r="P28" s="5">
        <f>IF(MAESTRO!B28="","",IFERROR(TRUNC(AVERAGE(C28:O28),1),""))</f>
        <v/>
      </c>
      <c r="Q28" s="40" t="n">
        <v>24</v>
      </c>
      <c r="R28" s="22" t="n">
        <v>4.2</v>
      </c>
      <c r="S28" s="22" t="n">
        <v>4.3</v>
      </c>
      <c r="T28" s="22" t="n">
        <v>3</v>
      </c>
      <c r="U28" s="22" t="n">
        <v>4.8</v>
      </c>
      <c r="V28" s="22" t="n">
        <v>3.6</v>
      </c>
      <c r="W28" s="22" t="n">
        <v>3.5</v>
      </c>
      <c r="X28" s="22" t="n">
        <v>3.8</v>
      </c>
      <c r="Y28" s="22" t="n">
        <v>3.2</v>
      </c>
      <c r="Z28" s="22" t="n">
        <v>3.2</v>
      </c>
      <c r="AA28" s="45">
        <f>IF(MAESTRO!B28="","",IFERROR(TRUNC(AVERAGE(R28:Z28),1),""))</f>
        <v/>
      </c>
      <c r="AB28" s="177" t="n">
        <v>4.4</v>
      </c>
      <c r="AC28" s="42" t="n">
        <v>3.2</v>
      </c>
      <c r="AD28" s="5">
        <f>IF(MAESTRO!B28="","",IFERROR(AVERAGE(AB28:AC28),""))</f>
        <v/>
      </c>
      <c r="AE28" s="44">
        <f>IF(MAESTRO!B28="","",IFERROR(TRUNC(AVERAGE(P28,AA28,AD28),1),""))</f>
        <v/>
      </c>
      <c r="AF28" s="177" t="n"/>
      <c r="AG28" s="177" t="n">
        <v>24</v>
      </c>
      <c r="AH28" s="177" t="n">
        <v>24</v>
      </c>
      <c r="AI28" s="177">
        <f>IF(MAESTRO!B28="","",MAESTRO!B28)</f>
        <v/>
      </c>
      <c r="AJ28" s="178" t="n"/>
      <c r="AK28" s="61" t="n">
        <v>4.1</v>
      </c>
      <c r="AL28" s="91" t="n">
        <v>4.1</v>
      </c>
      <c r="AM28" s="61" t="n">
        <v>4.1</v>
      </c>
      <c r="AN28" s="61" t="n">
        <v>3.4</v>
      </c>
      <c r="AO28" s="61" t="n">
        <v>3.2</v>
      </c>
      <c r="AP28" s="61" t="n">
        <v>3.2</v>
      </c>
      <c r="AQ28" s="61" t="n">
        <v>4.3</v>
      </c>
      <c r="AR28" s="61" t="n">
        <v>4.4</v>
      </c>
      <c r="AS28" s="61" t="n">
        <v>3.7</v>
      </c>
      <c r="AT28" s="61" t="n">
        <v>4.3</v>
      </c>
      <c r="AU28" s="61" t="n">
        <v>4.3</v>
      </c>
      <c r="AV28" s="61" t="n">
        <v>3.1</v>
      </c>
      <c r="AW28" s="5">
        <f>IF(MAESTRO!B28="","",IFERROR(TRUNC(AVERAGE(AK28:AV28),1),""))</f>
        <v/>
      </c>
      <c r="AX28" s="22" t="n">
        <v>4.6</v>
      </c>
      <c r="AY28" s="22" t="n">
        <v>4.6</v>
      </c>
      <c r="AZ28" s="22" t="n">
        <v>3.9</v>
      </c>
      <c r="BA28" s="22" t="n">
        <v>4.5</v>
      </c>
      <c r="BB28" s="22" t="n">
        <v>3.8</v>
      </c>
      <c r="BC28" s="22" t="n">
        <v>4.5</v>
      </c>
      <c r="BD28" s="22" t="n">
        <v>4.5</v>
      </c>
      <c r="BE28" s="22" t="n">
        <v>4</v>
      </c>
      <c r="BF28" s="22" t="n">
        <v>4.9</v>
      </c>
      <c r="BG28" s="22" t="n">
        <v>4.7</v>
      </c>
      <c r="BH28" s="5">
        <f>IF(MAESTRO!B28="","",IFERROR(TRUNC(AVERAGE(AX28:BG28),1),""))</f>
        <v/>
      </c>
      <c r="BI28" s="22" t="n">
        <v>3.2</v>
      </c>
      <c r="BJ28" s="22" t="n">
        <v>3.7</v>
      </c>
      <c r="BK28" s="22">
        <f>IF(MAESTRO!B28="","",IFERROR(AVERAGE(BI28,BJ28),""))</f>
        <v/>
      </c>
      <c r="BL28" s="5">
        <f>IF(MAESTRO!B28="","",IFERROR(TRUNC(AVERAGE(AW28,BH28,BK28),1),""))</f>
        <v/>
      </c>
      <c r="BM28" s="177" t="n"/>
      <c r="BN28" s="177" t="n">
        <v>24</v>
      </c>
      <c r="BO28" s="177" t="n">
        <v>24</v>
      </c>
      <c r="BP28" s="177">
        <f>IF(MAESTRO!B28="","",MAESTRO!B28)</f>
        <v/>
      </c>
      <c r="BQ28" s="178" t="n"/>
      <c r="BR28" s="89" t="n">
        <v>4</v>
      </c>
      <c r="BS28" s="89" t="n">
        <v>3</v>
      </c>
      <c r="BT28" s="89" t="n">
        <v>4</v>
      </c>
      <c r="BU28" s="89" t="n">
        <v>4.5</v>
      </c>
      <c r="BV28" s="5" t="n">
        <v>3.1</v>
      </c>
      <c r="BW28" s="5" t="n">
        <v>3.5</v>
      </c>
      <c r="BX28" s="5" t="n">
        <v>4.9</v>
      </c>
      <c r="BY28" s="5" t="n">
        <v>3.9</v>
      </c>
      <c r="BZ28" s="5" t="n">
        <v>4.9</v>
      </c>
      <c r="CA28" s="5" t="n">
        <v>3.1</v>
      </c>
      <c r="CB28" s="5" t="n">
        <v>4.1</v>
      </c>
      <c r="CC28" s="5" t="n">
        <v>3.7</v>
      </c>
      <c r="CD28" s="5" t="n">
        <v>3.3</v>
      </c>
      <c r="CE28" s="5">
        <f>IF(MAESTRO!B28="","",IFERROR(TRUNC(AVERAGE(BR28:CD28),1),""))</f>
        <v/>
      </c>
      <c r="CF28" s="5" t="n">
        <v>3.1</v>
      </c>
      <c r="CG28" s="5" t="n">
        <v>4.4</v>
      </c>
      <c r="CH28" s="5" t="n">
        <v>4</v>
      </c>
      <c r="CI28" s="89" t="n">
        <v>3.3</v>
      </c>
      <c r="CJ28" s="5" t="n">
        <v>3.3</v>
      </c>
      <c r="CK28" s="5" t="n">
        <v>4.6</v>
      </c>
      <c r="CL28" s="5" t="n">
        <v>5</v>
      </c>
      <c r="CM28" s="5" t="n">
        <v>3.9</v>
      </c>
      <c r="CN28" s="5" t="n">
        <v>3.5</v>
      </c>
      <c r="CO28" s="5" t="n">
        <v>3.9</v>
      </c>
      <c r="CP28" s="5">
        <f>IF(MAESTRO!B28="","",IFERROR(TRUNC(AVERAGE(CF28:CO28),1),""))</f>
        <v/>
      </c>
      <c r="CQ28" s="5" t="n">
        <v>3.9</v>
      </c>
      <c r="CR28" s="5" t="n">
        <v>4.1</v>
      </c>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v>3.9</v>
      </c>
      <c r="D29" s="5" t="n">
        <v>3</v>
      </c>
      <c r="E29" s="5" t="n">
        <v>3.1</v>
      </c>
      <c r="F29" s="5" t="n">
        <v>3.8</v>
      </c>
      <c r="G29" s="5" t="n">
        <v>5</v>
      </c>
      <c r="H29" s="5" t="n">
        <v>4.5</v>
      </c>
      <c r="I29" s="5" t="n">
        <v>3</v>
      </c>
      <c r="J29" s="5" t="n">
        <v>4.3</v>
      </c>
      <c r="K29" s="5" t="n">
        <v>4.4</v>
      </c>
      <c r="L29" s="5" t="n">
        <v>4.5</v>
      </c>
      <c r="M29" s="5" t="n">
        <v>3.3</v>
      </c>
      <c r="N29" s="5" t="n">
        <v>4.5</v>
      </c>
      <c r="O29" s="5" t="n">
        <v>3.2</v>
      </c>
      <c r="P29" s="5">
        <f>IF(MAESTRO!B29="","",IFERROR(TRUNC(AVERAGE(C29:O29),1),""))</f>
        <v/>
      </c>
      <c r="Q29" s="40" t="n">
        <v>25</v>
      </c>
      <c r="R29" s="22" t="n">
        <v>3.2</v>
      </c>
      <c r="S29" s="22" t="n">
        <v>4</v>
      </c>
      <c r="T29" s="22" t="n">
        <v>3.5</v>
      </c>
      <c r="U29" s="22" t="n">
        <v>3.9</v>
      </c>
      <c r="V29" s="22" t="n">
        <v>3.2</v>
      </c>
      <c r="W29" s="22" t="n">
        <v>4.2</v>
      </c>
      <c r="X29" s="22" t="n">
        <v>3.5</v>
      </c>
      <c r="Y29" s="22" t="n">
        <v>4.2</v>
      </c>
      <c r="Z29" s="22" t="n">
        <v>3.7</v>
      </c>
      <c r="AA29" s="45">
        <f>IF(MAESTRO!B29="","",IFERROR(TRUNC(AVERAGE(R29:Z29),1),""))</f>
        <v/>
      </c>
      <c r="AB29" s="177" t="n">
        <v>3.2</v>
      </c>
      <c r="AC29" s="42" t="n">
        <v>4.5</v>
      </c>
      <c r="AD29" s="5">
        <f>IF(MAESTRO!B29="","",IFERROR(AVERAGE(AB29:AC29),""))</f>
        <v/>
      </c>
      <c r="AE29" s="44">
        <f>IF(MAESTRO!B29="","",IFERROR(TRUNC(AVERAGE(P29,AA29,AD29),1),""))</f>
        <v/>
      </c>
      <c r="AF29" s="177" t="n"/>
      <c r="AG29" s="177" t="n">
        <v>25</v>
      </c>
      <c r="AH29" s="177" t="n">
        <v>25</v>
      </c>
      <c r="AI29" s="177">
        <f>IF(MAESTRO!B29="","",MAESTRO!B29)</f>
        <v/>
      </c>
      <c r="AJ29" s="178" t="n"/>
      <c r="AK29" s="61" t="n">
        <v>3.1</v>
      </c>
      <c r="AL29" s="91" t="n">
        <v>4.4</v>
      </c>
      <c r="AM29" s="61" t="n">
        <v>3.1</v>
      </c>
      <c r="AN29" s="61" t="n">
        <v>4.7</v>
      </c>
      <c r="AO29" s="61" t="n">
        <v>4.2</v>
      </c>
      <c r="AP29" s="61" t="n">
        <v>3.3</v>
      </c>
      <c r="AQ29" s="61" t="n">
        <v>3.8</v>
      </c>
      <c r="AR29" s="61" t="n">
        <v>3.6</v>
      </c>
      <c r="AS29" s="61" t="n">
        <v>3.9</v>
      </c>
      <c r="AT29" s="61" t="n">
        <v>3.6</v>
      </c>
      <c r="AU29" s="61" t="n">
        <v>4.8</v>
      </c>
      <c r="AV29" s="61" t="n">
        <v>4.6</v>
      </c>
      <c r="AW29" s="5">
        <f>IF(MAESTRO!B29="","",IFERROR(TRUNC(AVERAGE(AK29:AV29),1),""))</f>
        <v/>
      </c>
      <c r="AX29" s="63" t="n">
        <v>4.6</v>
      </c>
      <c r="AY29" s="22" t="n">
        <v>4</v>
      </c>
      <c r="AZ29" s="22" t="n">
        <v>3.1</v>
      </c>
      <c r="BA29" s="22" t="n">
        <v>4.7</v>
      </c>
      <c r="BB29" s="22" t="n">
        <v>4.7</v>
      </c>
      <c r="BC29" s="63" t="n">
        <v>4.3</v>
      </c>
      <c r="BD29" s="63" t="n">
        <v>3.6</v>
      </c>
      <c r="BE29" s="63" t="n">
        <v>3.5</v>
      </c>
      <c r="BF29" s="63" t="n">
        <v>3</v>
      </c>
      <c r="BG29" s="22" t="n">
        <v>3.9</v>
      </c>
      <c r="BH29" s="5">
        <f>IF(MAESTRO!B29="","",IFERROR(TRUNC(AVERAGE(AX29:BG29),1),""))</f>
        <v/>
      </c>
      <c r="BI29" s="22" t="n">
        <v>4.6</v>
      </c>
      <c r="BJ29" s="22" t="n">
        <v>3.8</v>
      </c>
      <c r="BK29" s="22">
        <f>IF(MAESTRO!B29="","",IFERROR(AVERAGE(BI29,BJ29),""))</f>
        <v/>
      </c>
      <c r="BL29" s="5">
        <f>IF(MAESTRO!B29="","",IFERROR(TRUNC(AVERAGE(AW29,BH29,BK29),1),""))</f>
        <v/>
      </c>
      <c r="BM29" s="177" t="n"/>
      <c r="BN29" s="177" t="n">
        <v>25</v>
      </c>
      <c r="BO29" s="177" t="n">
        <v>25</v>
      </c>
      <c r="BP29" s="177">
        <f>IF(MAESTRO!B29="","",MAESTRO!B29)</f>
        <v/>
      </c>
      <c r="BQ29" s="178" t="n"/>
      <c r="BR29" s="89" t="n">
        <v>4</v>
      </c>
      <c r="BS29" s="89" t="n">
        <v>3.7</v>
      </c>
      <c r="BT29" s="89" t="n">
        <v>3.2</v>
      </c>
      <c r="BU29" s="89" t="n">
        <v>4</v>
      </c>
      <c r="BV29" s="5" t="n">
        <v>4.8</v>
      </c>
      <c r="BW29" s="5" t="n">
        <v>4.1</v>
      </c>
      <c r="BX29" s="5" t="n">
        <v>3.7</v>
      </c>
      <c r="BY29" s="5" t="n">
        <v>4.4</v>
      </c>
      <c r="BZ29" s="5" t="n">
        <v>3.1</v>
      </c>
      <c r="CA29" s="5" t="n">
        <v>3.1</v>
      </c>
      <c r="CB29" s="5" t="n">
        <v>3.2</v>
      </c>
      <c r="CC29" s="5" t="n">
        <v>3.3</v>
      </c>
      <c r="CD29" s="5" t="n">
        <v>3.1</v>
      </c>
      <c r="CE29" s="5">
        <f>IF(MAESTRO!B29="","",IFERROR(TRUNC(AVERAGE(BR29:CD29),1),""))</f>
        <v/>
      </c>
      <c r="CF29" s="5" t="n">
        <v>3.8</v>
      </c>
      <c r="CG29" s="5" t="n">
        <v>5</v>
      </c>
      <c r="CH29" s="5" t="n">
        <v>3.3</v>
      </c>
      <c r="CI29" s="89" t="n">
        <v>3.3</v>
      </c>
      <c r="CJ29" s="5" t="n">
        <v>3.3</v>
      </c>
      <c r="CK29" s="5" t="n">
        <v>3.8</v>
      </c>
      <c r="CL29" s="5" t="n">
        <v>3.1</v>
      </c>
      <c r="CM29" s="5" t="n">
        <v>4</v>
      </c>
      <c r="CN29" s="5" t="n">
        <v>3.6</v>
      </c>
      <c r="CO29" s="5" t="n">
        <v>4.7</v>
      </c>
      <c r="CP29" s="5">
        <f>IF(MAESTRO!B29="","",IFERROR(TRUNC(AVERAGE(CF29:CO29),1),""))</f>
        <v/>
      </c>
      <c r="CQ29" s="5" t="n">
        <v>4.7</v>
      </c>
      <c r="CR29" s="5" t="n">
        <v>4.5</v>
      </c>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v>26</v>
      </c>
      <c r="AH30" s="177" t="n">
        <v>26</v>
      </c>
      <c r="AI30" s="177">
        <f>IF(MAESTRO!B30="","",MAESTRO!B30)</f>
        <v/>
      </c>
      <c r="AJ30" s="178" t="n"/>
      <c r="AK30" s="91" t="n"/>
      <c r="AL30" s="91" t="n"/>
      <c r="AM30" s="91" t="n"/>
      <c r="AN30" s="91" t="n"/>
      <c r="AO30" s="91" t="n"/>
      <c r="AP30" s="91" t="n"/>
      <c r="AQ30" s="91" t="n"/>
      <c r="AR30" s="61" t="n"/>
      <c r="AS30" s="61" t="n"/>
      <c r="AT30" s="61" t="n"/>
      <c r="AU30" s="61" t="n"/>
      <c r="AV30" s="61" t="n"/>
      <c r="AW30" s="5">
        <f>IF(MAESTRO!B30="","",IFERROR(TRUNC(AVERAGE(AK30:AV30),1),""))</f>
        <v/>
      </c>
      <c r="AX30" s="22" t="n"/>
      <c r="AY30" s="22" t="n"/>
      <c r="AZ30" s="22" t="n"/>
      <c r="BA30" s="22" t="n"/>
      <c r="BB30" s="2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v>26</v>
      </c>
      <c r="BO30" s="177" t="n">
        <v>26</v>
      </c>
      <c r="BP30" s="177">
        <f>IF(MAESTRO!B30="","",MAESTRO!B30)</f>
        <v/>
      </c>
      <c r="BQ30" s="178" t="n"/>
      <c r="BR30" s="89" t="n"/>
      <c r="BS30" s="89" t="n"/>
      <c r="BT30" s="89" t="n"/>
      <c r="BU30" s="89" t="n"/>
      <c r="BV30" s="5" t="n"/>
      <c r="BW30" s="5" t="n"/>
      <c r="BX30" s="5" t="n"/>
      <c r="BY30" s="5" t="n"/>
      <c r="BZ30" s="5" t="n"/>
      <c r="CA30" s="5" t="n"/>
      <c r="CB30" s="5" t="n"/>
      <c r="CC30" s="5" t="n"/>
      <c r="CD30" s="5" t="n"/>
      <c r="CE30" s="5">
        <f>IF(MAESTRO!B30="","",IFERROR(TRUNC(AVERAGE(BR30:CD30),1),""))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5" t="n"/>
      <c r="E31" s="89" t="n"/>
      <c r="F31" s="5" t="n"/>
      <c r="G31" s="5" t="n"/>
      <c r="H31" s="5" t="n"/>
      <c r="I31" s="89" t="n"/>
      <c r="J31" s="5" t="n"/>
      <c r="K31" s="5" t="n"/>
      <c r="L31" s="5" t="n"/>
      <c r="M31" s="5" t="n"/>
      <c r="N31" s="5" t="n"/>
      <c r="O31" s="5" t="n"/>
      <c r="P31" s="5">
        <f>IF(MAESTRO!B31="","",IFERROR(TRUNC(AVERAGE(C31:O31),1),""))</f>
        <v/>
      </c>
      <c r="Q31" s="40" t="n">
        <v>27</v>
      </c>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v>27</v>
      </c>
      <c r="AH31" s="177" t="n">
        <v>27</v>
      </c>
      <c r="AI31" s="177">
        <f>IF(MAESTRO!B31="","",MAESTRO!B31)</f>
        <v/>
      </c>
      <c r="AJ31" s="178" t="n"/>
      <c r="AK31" s="91" t="n"/>
      <c r="AL31" s="91" t="n"/>
      <c r="AM31" s="91" t="n"/>
      <c r="AN31" s="91" t="n"/>
      <c r="AO31" s="9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v>27</v>
      </c>
      <c r="BO31" s="177" t="n">
        <v>27</v>
      </c>
      <c r="BP31" s="177">
        <f>IF(MAESTRO!B31="","",MAESTRO!B31)</f>
        <v/>
      </c>
      <c r="BQ31" s="178" t="n"/>
      <c r="BR31" s="89" t="n"/>
      <c r="BS31" s="89" t="n"/>
      <c r="BT31" s="89" t="n"/>
      <c r="BU31" s="89" t="n"/>
      <c r="BV31" s="5" t="n"/>
      <c r="BW31" s="5" t="n"/>
      <c r="BX31" s="5" t="n"/>
      <c r="BY31" s="5" t="n"/>
      <c r="BZ31" s="5" t="n"/>
      <c r="CA31" s="5" t="n"/>
      <c r="CB31" s="5" t="n"/>
      <c r="CC31" s="5" t="n"/>
      <c r="CD31" s="5" t="n"/>
      <c r="CE31" s="5">
        <f>IF(MAESTRO!B31="","",IFERROR(TRUNC(AVERAGE(BR31:CD31),1),""))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5" t="n"/>
      <c r="E32" s="89" t="n"/>
      <c r="F32" s="5" t="n"/>
      <c r="G32" s="5" t="n"/>
      <c r="H32" s="5" t="n"/>
      <c r="I32" s="89" t="n"/>
      <c r="J32" s="5" t="n"/>
      <c r="K32" s="5" t="n"/>
      <c r="L32" s="5" t="n"/>
      <c r="M32" s="5" t="n"/>
      <c r="N32" s="5" t="n"/>
      <c r="O32" s="5" t="n"/>
      <c r="P32" s="5">
        <f>IF(MAESTRO!B32="","",IFERROR(TRUNC(AVERAGE(C32:O32),1),""))</f>
        <v/>
      </c>
      <c r="Q32" s="40" t="n">
        <v>28</v>
      </c>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v>28</v>
      </c>
      <c r="AH32" s="177" t="n">
        <v>28</v>
      </c>
      <c r="AI32" s="177">
        <f>IF(MAESTRO!B32="","",MAESTRO!B32)</f>
        <v/>
      </c>
      <c r="AJ32" s="178" t="n"/>
      <c r="AK32" s="91" t="n"/>
      <c r="AL32" s="91" t="n"/>
      <c r="AM32" s="91" t="n"/>
      <c r="AN32" s="91" t="n"/>
      <c r="AO32" s="9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v>28</v>
      </c>
      <c r="BO32" s="177" t="n">
        <v>28</v>
      </c>
      <c r="BP32" s="177">
        <f>IF(MAESTRO!B32="","",MAESTRO!B32)</f>
        <v/>
      </c>
      <c r="BQ32" s="178" t="n"/>
      <c r="BR32" s="89" t="n"/>
      <c r="BS32" s="89" t="n"/>
      <c r="BT32" s="89" t="n"/>
      <c r="BU32" s="89" t="n"/>
      <c r="BV32" s="5" t="n"/>
      <c r="BW32" s="5" t="n"/>
      <c r="BX32" s="5" t="n"/>
      <c r="BY32" s="5" t="n"/>
      <c r="BZ32" s="5" t="n"/>
      <c r="CA32" s="5" t="n"/>
      <c r="CB32" s="5" t="n"/>
      <c r="CC32" s="5" t="n"/>
      <c r="CD32" s="5" t="n"/>
      <c r="CE32" s="5">
        <f>IF(MAESTRO!B32="","",IFERROR(TRUNC(AVERAGE(BR32:CD32),1),""))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5" t="n"/>
      <c r="D33" s="5" t="n"/>
      <c r="E33" s="89" t="n"/>
      <c r="F33" s="5" t="n"/>
      <c r="G33" s="5" t="n"/>
      <c r="H33" s="5" t="n"/>
      <c r="I33" s="89" t="n"/>
      <c r="J33" s="5" t="n"/>
      <c r="K33" s="5" t="n"/>
      <c r="L33" s="5" t="n"/>
      <c r="M33" s="5" t="n"/>
      <c r="N33" s="5" t="n"/>
      <c r="O33" s="5" t="n"/>
      <c r="P33" s="5">
        <f>IF(MAESTRO!B33="","",IFERROR(TRUNC(AVERAGE(C33:O33),1),""))</f>
        <v/>
      </c>
      <c r="Q33" s="40" t="n">
        <v>29</v>
      </c>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v>29</v>
      </c>
      <c r="AH33" s="177" t="n">
        <v>29</v>
      </c>
      <c r="AI33" s="177">
        <f>IF(MAESTRO!B33="","",MAESTRO!B33)</f>
        <v/>
      </c>
      <c r="AJ33" s="178" t="n"/>
      <c r="AK33" s="91" t="n"/>
      <c r="AL33" s="91" t="n"/>
      <c r="AM33" s="91" t="n"/>
      <c r="AN33" s="9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v>29</v>
      </c>
      <c r="BO33" s="177" t="n">
        <v>29</v>
      </c>
      <c r="BP33" s="177">
        <f>IF(MAESTRO!B33="","",MAESTRO!B33)</f>
        <v/>
      </c>
      <c r="BQ33" s="178" t="n"/>
      <c r="BR33" s="89" t="n"/>
      <c r="BS33" s="89" t="n"/>
      <c r="BT33" s="89" t="n"/>
      <c r="BU33" s="89" t="n"/>
      <c r="BV33" s="5" t="n"/>
      <c r="BW33" s="5" t="n"/>
      <c r="BX33" s="5" t="n"/>
      <c r="BY33" s="5" t="n"/>
      <c r="BZ33" s="5" t="n"/>
      <c r="CA33" s="5" t="n"/>
      <c r="CB33" s="5" t="n"/>
      <c r="CC33" s="5" t="n"/>
      <c r="CD33" s="5" t="n"/>
      <c r="CE33" s="5">
        <f>IF(MAESTRO!B33="","",IFERROR(TRUNC(AVERAGE(BR33:CD33),1),""))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89" t="n"/>
      <c r="H34" s="89" t="n"/>
      <c r="I34" s="89" t="n"/>
      <c r="J34" s="5" t="n"/>
      <c r="K34" s="5" t="n"/>
      <c r="L34" s="5" t="n"/>
      <c r="M34" s="5" t="n"/>
      <c r="N34" s="5" t="n"/>
      <c r="O34" s="5" t="n"/>
      <c r="P34" s="5">
        <f>IF(MAESTRO!B34="","",IFERROR(TRUNC(AVERAGE(C34:O34),1),""))</f>
        <v/>
      </c>
      <c r="Q34" s="40" t="n">
        <v>30</v>
      </c>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v>30</v>
      </c>
      <c r="AH34" s="177" t="n">
        <v>30</v>
      </c>
      <c r="AI34" s="177">
        <f>IF(MAESTRO!B34="","",MAESTRO!B34)</f>
        <v/>
      </c>
      <c r="AJ34" s="178" t="n"/>
      <c r="AK34" s="91" t="n"/>
      <c r="AL34" s="91" t="n"/>
      <c r="AM34" s="91" t="n"/>
      <c r="AN34" s="9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v>30</v>
      </c>
      <c r="BO34" s="177" t="n">
        <v>30</v>
      </c>
      <c r="BP34" s="177">
        <f>IF(MAESTRO!B34="","",MAESTRO!B34)</f>
        <v/>
      </c>
      <c r="BQ34" s="178" t="n"/>
      <c r="BR34" s="89" t="n"/>
      <c r="BS34" s="89" t="n"/>
      <c r="BT34" s="89" t="n"/>
      <c r="BU34" s="89" t="n"/>
      <c r="BV34" s="5" t="n"/>
      <c r="BW34" s="5" t="n"/>
      <c r="BX34" s="5" t="n"/>
      <c r="BY34" s="5" t="n"/>
      <c r="BZ34" s="5" t="n"/>
      <c r="CA34" s="5" t="n"/>
      <c r="CB34" s="5" t="n"/>
      <c r="CC34" s="5" t="n"/>
      <c r="CD34" s="5" t="n"/>
      <c r="CE34" s="5">
        <f>IF(MAESTRO!B34="","",IFERROR(TRUNC(AVERAGE(BR34:CD34),1),""))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89" t="n"/>
      <c r="H35" s="89" t="n"/>
      <c r="I35" s="89" t="n"/>
      <c r="J35" s="5" t="n"/>
      <c r="K35" s="5" t="n"/>
      <c r="L35" s="5" t="n"/>
      <c r="M35" s="5" t="n"/>
      <c r="N35" s="5" t="n"/>
      <c r="O35" s="5" t="n"/>
      <c r="P35" s="5">
        <f>IF(MAESTRO!B35="","",IFERROR(TRUNC(AVERAGE(C35:O35),1),""))</f>
        <v/>
      </c>
      <c r="Q35" s="40" t="n">
        <v>31</v>
      </c>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v>31</v>
      </c>
      <c r="AH35" s="177" t="n">
        <v>31</v>
      </c>
      <c r="AI35" s="177">
        <f>IF(MAESTRO!B35="","",MAESTRO!B35)</f>
        <v/>
      </c>
      <c r="AJ35" s="178" t="n"/>
      <c r="AK35" s="91" t="n"/>
      <c r="AL35" s="9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v>31</v>
      </c>
      <c r="BO35" s="177" t="n">
        <v>31</v>
      </c>
      <c r="BP35" s="177">
        <f>IF(MAESTRO!B35="","",MAESTRO!B35)</f>
        <v/>
      </c>
      <c r="BQ35" s="178" t="n"/>
      <c r="BR35" s="89" t="n"/>
      <c r="BS35" s="89" t="n"/>
      <c r="BT35" s="89" t="n"/>
      <c r="BU35" s="89" t="n"/>
      <c r="BV35" s="5" t="n"/>
      <c r="BW35" s="5" t="n"/>
      <c r="BX35" s="5" t="n"/>
      <c r="BY35" s="5" t="n"/>
      <c r="BZ35" s="5" t="n"/>
      <c r="CA35" s="5" t="n"/>
      <c r="CB35" s="5" t="n"/>
      <c r="CC35" s="5" t="n"/>
      <c r="CD35" s="5" t="n"/>
      <c r="CE35" s="5">
        <f>IF(MAESTRO!B35="","",IFERROR(TRUNC(AVERAGE(BR35:CD35),1),""))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89" t="n"/>
      <c r="H36" s="89" t="n"/>
      <c r="I36" s="89" t="n"/>
      <c r="J36" s="5" t="n"/>
      <c r="K36" s="5" t="n"/>
      <c r="L36" s="5" t="n"/>
      <c r="M36" s="5" t="n"/>
      <c r="N36" s="5" t="n"/>
      <c r="O36" s="5" t="n"/>
      <c r="P36" s="5">
        <f>IF(MAESTRO!B36="","",IFERROR(TRUNC(AVERAGE(C36:O36),1),""))</f>
        <v/>
      </c>
      <c r="Q36" s="40" t="n">
        <v>32</v>
      </c>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v>32</v>
      </c>
      <c r="AH36" s="177" t="n">
        <v>32</v>
      </c>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v>32</v>
      </c>
      <c r="BO36" s="177" t="n">
        <v>32</v>
      </c>
      <c r="BP36" s="177">
        <f>IF(MAESTRO!B36="","",MAESTRO!B36)</f>
        <v/>
      </c>
      <c r="BQ36" s="178" t="n"/>
      <c r="BR36" s="89" t="n"/>
      <c r="BS36" s="89" t="n"/>
      <c r="BT36" s="89" t="n"/>
      <c r="BU36" s="89" t="n"/>
      <c r="BV36" s="5" t="n"/>
      <c r="BW36" s="5" t="n"/>
      <c r="BX36" s="5" t="n"/>
      <c r="BY36" s="5" t="n"/>
      <c r="BZ36" s="5" t="n"/>
      <c r="CA36" s="5" t="n"/>
      <c r="CB36" s="5" t="n"/>
      <c r="CC36" s="5" t="n"/>
      <c r="CD36" s="5" t="n"/>
      <c r="CE36" s="5">
        <f>IF(MAESTRO!B36="","",IFERROR(TRUNC(AVERAGE(BR36:CD36),1),""))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89" t="n"/>
      <c r="H37" s="89" t="n"/>
      <c r="I37" s="89" t="n"/>
      <c r="J37" s="5" t="n"/>
      <c r="K37" s="5" t="n"/>
      <c r="L37" s="5" t="n"/>
      <c r="M37" s="5" t="n"/>
      <c r="N37" s="5" t="n"/>
      <c r="O37" s="5" t="n"/>
      <c r="P37" s="5">
        <f>IF(MAESTRO!B37="","",IFERROR(TRUNC(AVERAGE(C37:O37),1),""))</f>
        <v/>
      </c>
      <c r="Q37" s="40" t="n">
        <v>33</v>
      </c>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v>33</v>
      </c>
      <c r="AH37" s="177" t="n">
        <v>33</v>
      </c>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v>33</v>
      </c>
      <c r="BO37" s="177" t="n">
        <v>33</v>
      </c>
      <c r="BP37" s="177">
        <f>IF(MAESTRO!B37="","",MAESTRO!B37)</f>
        <v/>
      </c>
      <c r="BQ37" s="178" t="n"/>
      <c r="BR37" s="89" t="n"/>
      <c r="BS37" s="89" t="n"/>
      <c r="BT37" s="89" t="n"/>
      <c r="BU37" s="89" t="n"/>
      <c r="BV37" s="5" t="n"/>
      <c r="BW37" s="5" t="n"/>
      <c r="BX37" s="5" t="n"/>
      <c r="BY37" s="5" t="n"/>
      <c r="BZ37" s="5" t="n"/>
      <c r="CA37" s="5" t="n"/>
      <c r="CB37" s="5" t="n"/>
      <c r="CC37" s="5" t="n"/>
      <c r="CD37" s="5" t="n"/>
      <c r="CE37" s="5">
        <f>IF(MAESTRO!B37="","",IFERROR(TRUNC(AVERAGE(BR37:CD37),1),""))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89" t="n"/>
      <c r="H38" s="89" t="n"/>
      <c r="I38" s="89" t="n"/>
      <c r="J38" s="5" t="n"/>
      <c r="K38" s="5" t="n"/>
      <c r="L38" s="5" t="n"/>
      <c r="M38" s="5" t="n"/>
      <c r="N38" s="5" t="n"/>
      <c r="O38" s="5" t="n"/>
      <c r="P38" s="5">
        <f>IF(MAESTRO!B38="","",IFERROR(TRUNC(AVERAGE(C38:O38),1),""))</f>
        <v/>
      </c>
      <c r="Q38" s="40" t="n">
        <v>34</v>
      </c>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v>34</v>
      </c>
      <c r="AH38" s="177" t="n">
        <v>34</v>
      </c>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v>34</v>
      </c>
      <c r="BO38" s="177" t="n">
        <v>34</v>
      </c>
      <c r="BP38" s="177">
        <f>IF(MAESTRO!B38="","",MAESTRO!B38)</f>
        <v/>
      </c>
      <c r="BQ38" s="178" t="n"/>
      <c r="BR38" s="89" t="n"/>
      <c r="BS38" s="89" t="n"/>
      <c r="BT38" s="89" t="n"/>
      <c r="BU38" s="89" t="n"/>
      <c r="BV38" s="5" t="n"/>
      <c r="BW38" s="5" t="n"/>
      <c r="BX38" s="5" t="n"/>
      <c r="BY38" s="5" t="n"/>
      <c r="BZ38" s="5" t="n"/>
      <c r="CA38" s="5" t="n"/>
      <c r="CB38" s="5" t="n"/>
      <c r="CC38" s="5" t="n"/>
      <c r="CD38" s="5" t="n"/>
      <c r="CE38" s="5">
        <f>IF(MAESTRO!B38="","",IFERROR(TRUNC(AVERAGE(BR38:CD38),1),""))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89" t="n"/>
      <c r="H39" s="89" t="n"/>
      <c r="I39" s="89" t="n"/>
      <c r="J39" s="5" t="n"/>
      <c r="K39" s="5" t="n"/>
      <c r="L39" s="5" t="n"/>
      <c r="M39" s="5" t="n"/>
      <c r="N39" s="5" t="n"/>
      <c r="O39" s="5" t="n"/>
      <c r="P39" s="5">
        <f>IF(MAESTRO!B39="","",IFERROR(TRUNC(AVERAGE(C39:O39),1),""))</f>
        <v/>
      </c>
      <c r="Q39" s="40" t="n">
        <v>35</v>
      </c>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v>35</v>
      </c>
      <c r="AH39" s="177" t="n">
        <v>35</v>
      </c>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v>35</v>
      </c>
      <c r="BO39" s="177" t="n">
        <v>35</v>
      </c>
      <c r="BP39" s="177">
        <f>IF(MAESTRO!B39="","",MAESTRO!B39)</f>
        <v/>
      </c>
      <c r="BQ39" s="178" t="n"/>
      <c r="BR39" s="89" t="n"/>
      <c r="BS39" s="89" t="n"/>
      <c r="BT39" s="89" t="n"/>
      <c r="BU39" s="89" t="n"/>
      <c r="BV39" s="5" t="n"/>
      <c r="BW39" s="5" t="n"/>
      <c r="BX39" s="5" t="n"/>
      <c r="BY39" s="5" t="n"/>
      <c r="BZ39" s="5" t="n"/>
      <c r="CA39" s="5" t="n"/>
      <c r="CB39" s="5" t="n"/>
      <c r="CC39" s="5" t="n"/>
      <c r="CD39" s="5" t="n"/>
      <c r="CE39" s="5">
        <f>IF(MAESTRO!B39="","",IFERROR(TRUNC(AVERAGE(BR39:CD39),1),""))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89" t="n"/>
      <c r="H40" s="89" t="n"/>
      <c r="I40" s="89" t="n"/>
      <c r="J40" s="5" t="n"/>
      <c r="K40" s="5" t="n"/>
      <c r="L40" s="5" t="n"/>
      <c r="M40" s="5" t="n"/>
      <c r="N40" s="5" t="n"/>
      <c r="O40" s="5" t="n"/>
      <c r="P40" s="5">
        <f>IF(MAESTRO!B40="","",IFERROR(TRUNC(AVERAGE(C40:O40),1),""))</f>
        <v/>
      </c>
      <c r="Q40" s="40" t="n">
        <v>36</v>
      </c>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v>36</v>
      </c>
      <c r="AH40" s="177" t="n">
        <v>36</v>
      </c>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v>36</v>
      </c>
      <c r="BO40" s="177" t="n">
        <v>36</v>
      </c>
      <c r="BP40" s="177">
        <f>IF(MAESTRO!B40="","",MAESTRO!B40)</f>
        <v/>
      </c>
      <c r="BQ40" s="178" t="n"/>
      <c r="BR40" s="89" t="n"/>
      <c r="BS40" s="89" t="n"/>
      <c r="BT40" s="89" t="n"/>
      <c r="BU40" s="89" t="n"/>
      <c r="BV40" s="5" t="n"/>
      <c r="BW40" s="5" t="n"/>
      <c r="BX40" s="5" t="n"/>
      <c r="BY40" s="5" t="n"/>
      <c r="BZ40" s="5" t="n"/>
      <c r="CA40" s="5" t="n"/>
      <c r="CB40" s="5" t="n"/>
      <c r="CC40" s="5" t="n"/>
      <c r="CD40" s="5" t="n"/>
      <c r="CE40" s="5">
        <f>IF(MAESTRO!B40="","",IFERROR(TRUNC(AVERAGE(BR40:CD40),1),""))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89" t="n"/>
      <c r="H41" s="89" t="n"/>
      <c r="I41" s="89" t="n"/>
      <c r="J41" s="5" t="n"/>
      <c r="K41" s="5" t="n"/>
      <c r="L41" s="5" t="n"/>
      <c r="M41" s="5" t="n"/>
      <c r="N41" s="5" t="n"/>
      <c r="O41" s="5" t="n"/>
      <c r="P41" s="5">
        <f>IF(MAESTRO!B41="","",IFERROR(TRUNC(AVERAGE(C41:O41),1),""))</f>
        <v/>
      </c>
      <c r="Q41" s="40" t="n">
        <v>37</v>
      </c>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v>37</v>
      </c>
      <c r="AH41" s="177" t="n">
        <v>37</v>
      </c>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v>37</v>
      </c>
      <c r="BO41" s="177" t="n">
        <v>37</v>
      </c>
      <c r="BP41" s="177">
        <f>IF(MAESTRO!B41="","",MAESTRO!B41)</f>
        <v/>
      </c>
      <c r="BQ41" s="178" t="n"/>
      <c r="BR41" s="89" t="n"/>
      <c r="BS41" s="89" t="n"/>
      <c r="BT41" s="89" t="n"/>
      <c r="BU41" s="89" t="n"/>
      <c r="BV41" s="5" t="n"/>
      <c r="BW41" s="5" t="n"/>
      <c r="BX41" s="5" t="n"/>
      <c r="BY41" s="5" t="n"/>
      <c r="BZ41" s="5" t="n"/>
      <c r="CA41" s="5" t="n"/>
      <c r="CB41" s="5" t="n"/>
      <c r="CC41" s="5" t="n"/>
      <c r="CD41" s="5" t="n"/>
      <c r="CE41" s="5">
        <f>IF(MAESTRO!B41="","",IFERROR(TRUNC(AVERAGE(BR41:CD41),1),""))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311" t="inlineStr">
        <is>
          <t>Propagacion de Semilla</t>
        </is>
      </c>
      <c r="D42" s="288" t="inlineStr">
        <is>
          <t>Investigación - Vivero</t>
        </is>
      </c>
      <c r="E42" s="288" t="inlineStr">
        <is>
          <t>Investigacion - Herramientas y Preparar Tierra</t>
        </is>
      </c>
      <c r="F42" s="288" t="inlineStr">
        <is>
          <t>Tarea 6</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8" t="inlineStr">
        <is>
          <t>Tarea 18</t>
        </is>
      </c>
      <c r="S42" s="288" t="inlineStr">
        <is>
          <t>Tarea 19</t>
        </is>
      </c>
      <c r="T42" s="288" t="inlineStr">
        <is>
          <t>Tarea 20</t>
        </is>
      </c>
      <c r="U42" s="288" t="inlineStr">
        <is>
          <t>Tarea 21</t>
        </is>
      </c>
      <c r="V42" s="288" t="inlineStr">
        <is>
          <t>Tarea 22</t>
        </is>
      </c>
      <c r="W42" s="288" t="inlineStr">
        <is>
          <t>Tarea 23</t>
        </is>
      </c>
      <c r="X42" s="288" t="inlineStr">
        <is>
          <t>Tarea 24</t>
        </is>
      </c>
      <c r="Y42" s="288" t="inlineStr">
        <is>
          <t>Tarea 25</t>
        </is>
      </c>
      <c r="Z42" s="288" t="inlineStr">
        <is>
          <t>Tarea 26</t>
        </is>
      </c>
      <c r="AA42" s="45" t="n"/>
      <c r="AB42" s="288" t="inlineStr">
        <is>
          <t>Tarea 28</t>
        </is>
      </c>
      <c r="AC42" s="288" t="inlineStr">
        <is>
          <t>Tarea 29</t>
        </is>
      </c>
      <c r="AD42" s="5" t="n"/>
      <c r="AE42" s="44" t="n"/>
      <c r="AF42" s="177" t="n"/>
      <c r="AG42" s="177" t="n">
        <v>38</v>
      </c>
      <c r="AH42" s="177" t="n">
        <v>38</v>
      </c>
      <c r="AI42" s="177">
        <f>IF(MAESTRO!B42="","",MAESTRO!B42)</f>
        <v/>
      </c>
      <c r="AJ42" s="178" t="n"/>
      <c r="AK42" s="288" t="inlineStr">
        <is>
          <t>Tarea 37</t>
        </is>
      </c>
      <c r="AL42" s="288" t="inlineStr">
        <is>
          <t>Tarea 38</t>
        </is>
      </c>
      <c r="AM42" s="288" t="inlineStr">
        <is>
          <t>Tarea 39</t>
        </is>
      </c>
      <c r="AN42" s="288" t="inlineStr">
        <is>
          <t>Tarea 40</t>
        </is>
      </c>
      <c r="AO42" s="288" t="inlineStr">
        <is>
          <t>Tarea 41</t>
        </is>
      </c>
      <c r="AP42" s="288" t="inlineStr">
        <is>
          <t>Tarea 42</t>
        </is>
      </c>
      <c r="AQ42" s="288" t="inlineStr">
        <is>
          <t>Tarea 43</t>
        </is>
      </c>
      <c r="AR42" s="288" t="inlineStr">
        <is>
          <t>Tarea 44</t>
        </is>
      </c>
      <c r="AS42" s="288" t="inlineStr">
        <is>
          <t>Tarea 45</t>
        </is>
      </c>
      <c r="AT42" s="288" t="inlineStr">
        <is>
          <t>Tarea 46</t>
        </is>
      </c>
      <c r="AU42" s="288" t="inlineStr">
        <is>
          <t>Tarea 47</t>
        </is>
      </c>
      <c r="AV42" s="288" t="inlineStr">
        <is>
          <t>Tarea 48</t>
        </is>
      </c>
      <c r="AW42" s="5" t="n"/>
      <c r="AX42" s="288" t="inlineStr">
        <is>
          <t>Tarea 50</t>
        </is>
      </c>
      <c r="AY42" s="288" t="inlineStr">
        <is>
          <t>Tarea 51</t>
        </is>
      </c>
      <c r="AZ42" s="288" t="inlineStr">
        <is>
          <t>Tarea 52</t>
        </is>
      </c>
      <c r="BA42" s="288" t="inlineStr">
        <is>
          <t>Tarea 53</t>
        </is>
      </c>
      <c r="BB42" s="288" t="inlineStr">
        <is>
          <t>Tarea 54</t>
        </is>
      </c>
      <c r="BC42" s="288" t="inlineStr">
        <is>
          <t>Tarea 55</t>
        </is>
      </c>
      <c r="BD42" s="288" t="inlineStr">
        <is>
          <t>Tarea 56</t>
        </is>
      </c>
      <c r="BE42" s="288" t="inlineStr">
        <is>
          <t>Tarea 57</t>
        </is>
      </c>
      <c r="BF42" s="288" t="inlineStr">
        <is>
          <t>Tarea 58</t>
        </is>
      </c>
      <c r="BG42" s="288" t="inlineStr">
        <is>
          <t>Tarea 59</t>
        </is>
      </c>
      <c r="BH42" s="5" t="n"/>
      <c r="BI42" s="288" t="inlineStr">
        <is>
          <t>Tarea 61</t>
        </is>
      </c>
      <c r="BJ42" s="288" t="inlineStr">
        <is>
          <t>Tarea 62</t>
        </is>
      </c>
      <c r="BK42" s="22" t="n"/>
      <c r="BL42" s="5" t="n"/>
      <c r="BM42" s="177" t="n"/>
      <c r="BN42" s="177" t="n">
        <v>38</v>
      </c>
      <c r="BO42" s="177" t="n">
        <v>38</v>
      </c>
      <c r="BP42" s="177">
        <f>IF(MAESTRO!B42="","",MAESTRO!B42)</f>
        <v/>
      </c>
      <c r="BQ42" s="178" t="n"/>
      <c r="BR42" s="288" t="inlineStr">
        <is>
          <t>Tarea 70</t>
        </is>
      </c>
      <c r="BS42" s="288" t="inlineStr">
        <is>
          <t>Tarea 71</t>
        </is>
      </c>
      <c r="BT42" s="288" t="inlineStr">
        <is>
          <t>Tarea 72</t>
        </is>
      </c>
      <c r="BU42" s="288" t="inlineStr">
        <is>
          <t>Tarea 73</t>
        </is>
      </c>
      <c r="BV42" s="288" t="inlineStr">
        <is>
          <t>Tarea 74</t>
        </is>
      </c>
      <c r="BW42" s="288" t="inlineStr">
        <is>
          <t>Tarea 75</t>
        </is>
      </c>
      <c r="BX42" s="288" t="inlineStr">
        <is>
          <t>Tarea 76</t>
        </is>
      </c>
      <c r="BY42" s="288" t="inlineStr">
        <is>
          <t>Tarea 77</t>
        </is>
      </c>
      <c r="BZ42" s="288" t="inlineStr">
        <is>
          <t>Tarea 78</t>
        </is>
      </c>
      <c r="CA42" s="288" t="inlineStr">
        <is>
          <t>Tarea 79</t>
        </is>
      </c>
      <c r="CB42" s="288" t="inlineStr">
        <is>
          <t>Tarea 80</t>
        </is>
      </c>
      <c r="CC42" s="288" t="inlineStr">
        <is>
          <t>Tarea 81</t>
        </is>
      </c>
      <c r="CD42" s="288" t="inlineStr">
        <is>
          <t>Tarea 82</t>
        </is>
      </c>
      <c r="CE42" s="5" t="n"/>
      <c r="CF42" s="310" t="inlineStr">
        <is>
          <t>Tarea 84</t>
        </is>
      </c>
      <c r="CG42" s="288" t="inlineStr">
        <is>
          <t>Tarea 85</t>
        </is>
      </c>
      <c r="CH42" s="288" t="inlineStr">
        <is>
          <t>Tarea 86</t>
        </is>
      </c>
      <c r="CI42" s="288" t="inlineStr">
        <is>
          <t>Tarea 87</t>
        </is>
      </c>
      <c r="CJ42" s="288" t="inlineStr">
        <is>
          <t>Tarea 88</t>
        </is>
      </c>
      <c r="CK42" s="288" t="inlineStr">
        <is>
          <t>Tarea 89</t>
        </is>
      </c>
      <c r="CL42" s="288" t="inlineStr">
        <is>
          <t>Tarea 90</t>
        </is>
      </c>
      <c r="CM42" s="288" t="inlineStr">
        <is>
          <t>Tarea 91</t>
        </is>
      </c>
      <c r="CN42" s="288" t="inlineStr">
        <is>
          <t>Tarea 92</t>
        </is>
      </c>
      <c r="CO42" s="288" t="inlineStr">
        <is>
          <t>Tarea 93</t>
        </is>
      </c>
      <c r="CP42" s="5" t="n"/>
      <c r="CQ42" s="288" t="inlineStr">
        <is>
          <t>Tarea 95</t>
        </is>
      </c>
      <c r="CR42" s="288"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180"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180"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180"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180"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180"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181"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11" zoomScale="70" zoomScaleNormal="100" zoomScalePageLayoutView="70" workbookViewId="0">
      <selection activeCell="G32" sqref="G32:G4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(Agropecuaria 7°)'!AE21,""))</f>
        <v/>
      </c>
      <c r="G32" s="49">
        <f>IF(MAESTRO!B21="","",IFERROR('PROM (Agropecuaria 7°)'!BL21,""))</f>
        <v/>
      </c>
      <c r="H32" s="49">
        <f>IF(MAESTRO!B21="","",IFERROR('PROM (Agropecuaria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(Agropecuaria 7°)'!AE22,""))</f>
        <v/>
      </c>
      <c r="G33" s="49">
        <f>IF(MAESTRO!B22="","",IFERROR('PROM (Agropecuaria 7°)'!BL22,""))</f>
        <v/>
      </c>
      <c r="H33" s="49">
        <f>IF(MAESTRO!B22="","",IFERROR('PROM (Agropecuaria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(Agropecuaria 7°)'!AE23,""))</f>
        <v/>
      </c>
      <c r="G34" s="49">
        <f>IF(MAESTRO!B23="","",IFERROR('PROM (Agropecuaria 7°)'!BL23,""))</f>
        <v/>
      </c>
      <c r="H34" s="49">
        <f>IF(MAESTRO!B23="","",IFERROR('PROM (Agropecuaria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(Agropecuaria 7°)'!AE24,""))</f>
        <v/>
      </c>
      <c r="G35" s="49">
        <f>IF(MAESTRO!B24="","",IFERROR('PROM (Agropecuaria 7°)'!BL24,""))</f>
        <v/>
      </c>
      <c r="H35" s="49">
        <f>IF(MAESTRO!B24="","",IFERROR('PROM (Agropecuaria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(Agropecuaria 7°)'!AE25,""))</f>
        <v/>
      </c>
      <c r="G36" s="49">
        <f>IF(MAESTRO!B25="","",IFERROR('PROM (Agropecuaria 7°)'!BL25,""))</f>
        <v/>
      </c>
      <c r="H36" s="49">
        <f>IF(MAESTRO!B25="","",IFERROR('PROM (Agropecuaria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(Agropecuaria 7°)'!AE26,""))</f>
        <v/>
      </c>
      <c r="G37" s="49">
        <f>IF(MAESTRO!B26="","",IFERROR('PROM (Agropecuaria 7°)'!BL26,""))</f>
        <v/>
      </c>
      <c r="H37" s="49">
        <f>IF(MAESTRO!B26="","",IFERROR('PROM (Agropecuaria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(Agropecuaria 7°)'!AE27,""))</f>
        <v/>
      </c>
      <c r="G38" s="49">
        <f>IF(MAESTRO!B27="","",IFERROR('PROM (Agropecuaria 7°)'!BL27,""))</f>
        <v/>
      </c>
      <c r="H38" s="49">
        <f>IF(MAESTRO!B27="","",IFERROR('PROM (Agropecuaria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(Agropecuaria 7°)'!AE28,""))</f>
        <v/>
      </c>
      <c r="G39" s="49">
        <f>IF(MAESTRO!B28="","",IFERROR('PROM (Agropecuaria 7°)'!BL28,""))</f>
        <v/>
      </c>
      <c r="H39" s="49">
        <f>IF(MAESTRO!B28="","",IFERROR('PROM (Agropecuaria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(Agropecuaria 7°)'!AE29,""))</f>
        <v/>
      </c>
      <c r="G40" s="49">
        <f>IF(MAESTRO!B29="","",IFERROR('PROM (Agropecuaria 7°)'!BL29,""))</f>
        <v/>
      </c>
      <c r="H40" s="49">
        <f>IF(MAESTRO!B29="","",IFERROR('PROM (Agropecuaria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(Agropecuaria 7°)'!AE30,""))</f>
        <v/>
      </c>
      <c r="G41" s="68">
        <f>IF(MAESTRO!B30="","",IFERROR('PROM (Agropecuaria 7°)'!BL30,""))</f>
        <v/>
      </c>
      <c r="H41" s="49">
        <f>IF(MAESTRO!B30="","",IFERROR('PROM (Agropecuaria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(Agropecuaria 7°)'!AE31,""))</f>
        <v/>
      </c>
      <c r="G42" s="68">
        <f>IF(MAESTRO!B31="","",IFERROR('PROM (Agropecuaria 7°)'!BL31,""))</f>
        <v/>
      </c>
      <c r="H42" s="49">
        <f>IF(MAESTRO!B31="","",IFERROR('PROM (Agropecuaria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(Agropecuaria 7°)'!AE32,""))</f>
        <v/>
      </c>
      <c r="G43" s="68">
        <f>IF(MAESTRO!B32="","",IFERROR('PROM (Agropecuaria 7°)'!BL32,""))</f>
        <v/>
      </c>
      <c r="H43" s="49">
        <f>IF(MAESTRO!B32="","",IFERROR('PROM (Agropecuaria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(Agropecuaria 7°)'!AE33,""))</f>
        <v/>
      </c>
      <c r="G44" s="68">
        <f>IF(MAESTRO!B33="","",IFERROR('PROM (Agropecuaria 7°)'!BL33,""))</f>
        <v/>
      </c>
      <c r="H44" s="49">
        <f>IF(MAESTRO!B33="","",IFERROR('PROM (Agropecuaria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(Agropecuaria 7°)'!AE34,""))</f>
        <v/>
      </c>
      <c r="G45" s="68">
        <f>IF(MAESTRO!B34="","",IFERROR('PROM (Agropecuaria 7°)'!BL34,""))</f>
        <v/>
      </c>
      <c r="H45" s="49">
        <f>IF(MAESTRO!B34="","",IFERROR('PROM (Agropecuaria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(Agropecuaria 7°)'!AE35,""))</f>
        <v/>
      </c>
      <c r="G46" s="68">
        <f>IF(MAESTRO!B35="","",IFERROR('PROM (Agropecuaria 7°)'!BL35,""))</f>
        <v/>
      </c>
      <c r="H46" s="49">
        <f>IF(MAESTRO!B35="","",IFERROR('PROM (Agropecuaria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(Agropecuaria 7°)'!AE36,""))</f>
        <v/>
      </c>
      <c r="G47" s="68">
        <f>IF(MAESTRO!B36="","",IFERROR('PROM (Agropecuaria 7°)'!BL36,""))</f>
        <v/>
      </c>
      <c r="H47" s="49">
        <f>IF(MAESTRO!B36="","",IFERROR('PROM (Agropecuaria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(Agropecuaria 7°)'!AE37,""))</f>
        <v/>
      </c>
      <c r="G48" s="68">
        <f>IF(MAESTRO!B37="","",IFERROR('PROM (Agropecuaria 7°)'!BL37,""))</f>
        <v/>
      </c>
      <c r="H48" s="49">
        <f>IF(MAESTRO!B37="","",IFERROR('PROM (Agropecuaria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(Agropecuaria 7°)'!AE38,""))</f>
        <v/>
      </c>
      <c r="G49" s="68">
        <f>IF(MAESTRO!B38="","",IFERROR('PROM (Agropecuaria 7°)'!BL38,""))</f>
        <v/>
      </c>
      <c r="H49" s="49">
        <f>IF(MAESTRO!B38="","",IFERROR('PROM (Agropecuaria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(Agropecuaria 7°)'!AE39,""))</f>
        <v/>
      </c>
      <c r="G50" s="68">
        <f>IF(MAESTRO!B39="","",IFERROR('PROM (Agropecuaria 7°)'!BL39,""))</f>
        <v/>
      </c>
      <c r="H50" s="49">
        <f>IF(MAESTRO!B39="","",IFERROR('PROM (Agropecuaria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(Agropecuaria 7°)'!AE40,""))</f>
        <v/>
      </c>
      <c r="G51" s="68">
        <f>IF(MAESTRO!B40="","",IFERROR('PROM (Agropecuaria 7°)'!BL40,""))</f>
        <v/>
      </c>
      <c r="H51" s="49">
        <f>IF(MAESTRO!B40="","",IFERROR('PROM (Agropecuaria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(Agropecuaria 7°)'!AE41,""))</f>
        <v/>
      </c>
      <c r="G52" s="68">
        <f>IF(MAESTRO!B41="","",IFERROR('PROM (Agropecuaria 7°)'!BL41,""))</f>
        <v/>
      </c>
      <c r="H52" s="49">
        <f>IF(MAESTRO!B41="","",IFERROR('PROM (Agropecuaria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BP10" zoomScale="90" zoomScaleNormal="100" zoomScalePageLayoutView="90" workbookViewId="0">
      <selection activeCell="CP30" sqref="CP30"/>
    </sheetView>
  </sheetViews>
  <sheetFormatPr baseColWidth="10" defaultRowHeight="14.4"/>
  <cols>
    <col width="3.21875" bestFit="1" customWidth="1" style="176" min="1" max="1"/>
    <col width="19.554687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5546875" customWidth="1" style="176" min="99" max="99"/>
    <col width="3.109375" customWidth="1" style="176" min="100" max="100"/>
    <col width="2.77734375" customWidth="1" style="176" min="101" max="101"/>
    <col width="11.44140625" customWidth="1" style="176" min="102" max="102"/>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46097</v>
      </c>
      <c r="D4" s="23" t="n">
        <v>46118</v>
      </c>
      <c r="E4" s="23" t="n">
        <v>46125</v>
      </c>
      <c r="F4" s="23" t="n">
        <v>46132</v>
      </c>
      <c r="G4" s="177" t="n"/>
      <c r="H4" s="177" t="n"/>
      <c r="I4" s="177" t="n"/>
      <c r="J4" s="177" t="n"/>
      <c r="K4" s="177" t="n"/>
      <c r="L4" s="177" t="n"/>
      <c r="M4" s="177" t="n"/>
      <c r="N4" s="177" t="n"/>
      <c r="O4" s="177" t="n"/>
      <c r="P4" s="181" t="n"/>
      <c r="Q4" s="57" t="n"/>
      <c r="R4" s="23" t="n">
        <v>46118</v>
      </c>
      <c r="S4" s="23" t="n">
        <v>46147</v>
      </c>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IF(MAESTRO!D5="","",MAESTRO!D5)</f>
        <v/>
      </c>
      <c r="C5" s="5" t="n">
        <v>4.6</v>
      </c>
      <c r="D5" s="5" t="n">
        <v>3.4</v>
      </c>
      <c r="E5" s="5" t="n">
        <v>4.1</v>
      </c>
      <c r="F5" s="5" t="n">
        <v>4.3</v>
      </c>
      <c r="G5" s="5" t="n">
        <v>4.3</v>
      </c>
      <c r="H5" s="5" t="n">
        <v>4.9</v>
      </c>
      <c r="I5" s="5" t="n">
        <v>3.1</v>
      </c>
      <c r="J5" s="5" t="n">
        <v>3</v>
      </c>
      <c r="K5" s="5" t="n">
        <v>4.4</v>
      </c>
      <c r="L5" s="5" t="n">
        <v>3.3</v>
      </c>
      <c r="M5" s="5" t="n">
        <v>4.4</v>
      </c>
      <c r="N5" s="5" t="n">
        <v>3.9</v>
      </c>
      <c r="O5" s="5" t="n">
        <v>4</v>
      </c>
      <c r="P5" s="5">
        <f>IF(MAESTRO!D5="","",IFERROR(TRUNC(AVERAGE(C5:O5),1),""))</f>
        <v/>
      </c>
      <c r="Q5" s="40" t="n">
        <v>1</v>
      </c>
      <c r="R5" s="22" t="n">
        <v>3.8</v>
      </c>
      <c r="S5" s="22" t="n">
        <v>4.5</v>
      </c>
      <c r="T5" s="22" t="n">
        <v>4.8</v>
      </c>
      <c r="U5" s="22" t="n">
        <v>4.2</v>
      </c>
      <c r="V5" s="22" t="n">
        <v>3.4</v>
      </c>
      <c r="W5" s="22" t="n">
        <v>4.7</v>
      </c>
      <c r="X5" s="22" t="n">
        <v>3.6</v>
      </c>
      <c r="Y5" s="22" t="n">
        <v>4.8</v>
      </c>
      <c r="Z5" s="22" t="n">
        <v>4.3</v>
      </c>
      <c r="AA5" s="45">
        <f>IF(MAESTRO!D5="","",IFERROR(TRUNC(AVERAGE(R5:Z5),1),""))</f>
        <v/>
      </c>
      <c r="AB5" s="5" t="n">
        <v>3.1</v>
      </c>
      <c r="AC5" s="42" t="n">
        <v>4.1</v>
      </c>
      <c r="AD5" s="5">
        <f>IF(MAESTRO!D5="","",IFERROR(AVERAGE(AB5:AC5),""))</f>
        <v/>
      </c>
      <c r="AE5" s="44">
        <f>IF(MAESTRO!D5="","",IFERROR(TRUNC(AVERAGE(P5,AA5),1),""))</f>
        <v/>
      </c>
      <c r="AF5" s="177" t="n"/>
      <c r="AG5" s="177" t="n">
        <v>1</v>
      </c>
      <c r="AH5" s="177" t="n">
        <v>1</v>
      </c>
      <c r="AI5" s="177">
        <f>IF(MAESTRO!D5="","",MAESTRO!D5)</f>
        <v/>
      </c>
      <c r="AJ5" s="178" t="n"/>
      <c r="AK5" s="61" t="n">
        <v>3.8</v>
      </c>
      <c r="AL5" s="61" t="n">
        <v>3.9</v>
      </c>
      <c r="AM5" s="61" t="n">
        <v>3.8</v>
      </c>
      <c r="AN5" s="61" t="n">
        <v>3.1</v>
      </c>
      <c r="AO5" s="61" t="n">
        <v>3.2</v>
      </c>
      <c r="AP5" s="61" t="n">
        <v>3.5</v>
      </c>
      <c r="AQ5" s="61" t="n">
        <v>3.1</v>
      </c>
      <c r="AR5" s="61" t="n">
        <v>3.9</v>
      </c>
      <c r="AS5" s="61" t="n">
        <v>3.8</v>
      </c>
      <c r="AT5" s="61" t="n">
        <v>3.6</v>
      </c>
      <c r="AU5" s="61" t="n">
        <v>3.6</v>
      </c>
      <c r="AV5" s="61" t="n">
        <v>3.2</v>
      </c>
      <c r="AW5" s="5">
        <f>IF(MAESTRO!D5="","",IFERROR(TRUNC(AVERAGE(AK5:AV5),1),""))</f>
        <v/>
      </c>
      <c r="AX5" s="22" t="n">
        <v>4.1</v>
      </c>
      <c r="AY5" s="22" t="n">
        <v>3.1</v>
      </c>
      <c r="AZ5" s="22" t="n">
        <v>4.2</v>
      </c>
      <c r="BA5" s="22" t="n">
        <v>4.7</v>
      </c>
      <c r="BB5" s="22" t="n">
        <v>4.8</v>
      </c>
      <c r="BC5" s="22" t="n">
        <v>3.1</v>
      </c>
      <c r="BD5" s="22" t="n">
        <v>3.2</v>
      </c>
      <c r="BE5" s="22" t="n">
        <v>3.7</v>
      </c>
      <c r="BF5" s="22" t="n">
        <v>4</v>
      </c>
      <c r="BG5" s="22" t="n">
        <v>4.3</v>
      </c>
      <c r="BH5" s="5">
        <f>IF(MAESTRO!D5="","",IFERROR(TRUNC(AVERAGE(AX5:BG5),1),""))</f>
        <v/>
      </c>
      <c r="BI5" s="22" t="n">
        <v>3.8</v>
      </c>
      <c r="BJ5" s="22" t="n">
        <v>4</v>
      </c>
      <c r="BK5" s="22">
        <f>IF(MAESTRO!D5="","",IFERROR(AVERAGE(BI5:BJ5),""))</f>
        <v/>
      </c>
      <c r="BL5" s="5">
        <f>IF(MAESTRO!D5="","",IFERROR(TRUNC(AVERAGE(AW5,BH5),1),""))</f>
        <v/>
      </c>
      <c r="BM5" s="177" t="n"/>
      <c r="BN5" s="177" t="n">
        <v>1</v>
      </c>
      <c r="BO5" s="177" t="n">
        <v>1</v>
      </c>
      <c r="BP5" s="177">
        <f>IF(MAESTRO!D5="","",MAESTRO!D5)</f>
        <v/>
      </c>
      <c r="BQ5" s="178" t="n"/>
      <c r="BR5" s="5" t="n">
        <v>4.2</v>
      </c>
      <c r="BS5" s="5" t="n">
        <v>5</v>
      </c>
      <c r="BT5" s="5" t="n">
        <v>4.8</v>
      </c>
      <c r="BU5" s="5" t="n">
        <v>3.5</v>
      </c>
      <c r="BV5" s="5" t="n">
        <v>3.9</v>
      </c>
      <c r="BW5" s="5" t="n">
        <v>3</v>
      </c>
      <c r="BX5" s="5" t="n">
        <v>4.8</v>
      </c>
      <c r="BY5" s="5" t="n">
        <v>4.7</v>
      </c>
      <c r="BZ5" s="5" t="n">
        <v>3.8</v>
      </c>
      <c r="CA5" s="5" t="n">
        <v>3.9</v>
      </c>
      <c r="CB5" s="5" t="n">
        <v>3.1</v>
      </c>
      <c r="CC5" s="5" t="n">
        <v>4.8</v>
      </c>
      <c r="CD5" s="5" t="n">
        <v>3.2</v>
      </c>
      <c r="CE5" s="5">
        <f>IF(MAESTRO!D5="","",IFERROR(TRUNC(AVERAGE(BR5:CD5),1),""))</f>
        <v/>
      </c>
      <c r="CF5" s="5" t="n">
        <v>4.9</v>
      </c>
      <c r="CG5" s="5" t="n">
        <v>3</v>
      </c>
      <c r="CH5" s="5" t="n">
        <v>3.6</v>
      </c>
      <c r="CI5" s="5" t="n">
        <v>4.1</v>
      </c>
      <c r="CJ5" s="5" t="n">
        <v>4.4</v>
      </c>
      <c r="CK5" s="5" t="n">
        <v>3.9</v>
      </c>
      <c r="CL5" s="5" t="n">
        <v>3.2</v>
      </c>
      <c r="CM5" s="5" t="n">
        <v>3.3</v>
      </c>
      <c r="CN5" s="5" t="n">
        <v>4.2</v>
      </c>
      <c r="CO5" s="5" t="n">
        <v>4</v>
      </c>
      <c r="CP5" s="5">
        <f>IF(MAESTRO!D5="","",IFERROR(TRUNC(AVERAGE(CF5:CO5),1),""))</f>
        <v/>
      </c>
      <c r="CQ5" s="5" t="n">
        <v>3.5</v>
      </c>
      <c r="CR5" s="5" t="n">
        <v>4</v>
      </c>
      <c r="CS5" s="5">
        <f>IF(MAESTRO!D5="","",IFERROR(AVERAGE(CQ5:CR5),""))</f>
        <v/>
      </c>
      <c r="CT5" s="5">
        <f>IF(MAESTRO!D5="","",IFERROR(TRUNC(AVERAGE(CE5,CP5),1),""))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v>3.9</v>
      </c>
      <c r="D6" s="5" t="n">
        <v>4.1</v>
      </c>
      <c r="E6" s="5" t="n">
        <v>3.1</v>
      </c>
      <c r="F6" s="5" t="n">
        <v>3.2</v>
      </c>
      <c r="G6" s="5" t="n">
        <v>3.7</v>
      </c>
      <c r="H6" s="5" t="n">
        <v>3.7</v>
      </c>
      <c r="I6" s="5" t="n">
        <v>4.1</v>
      </c>
      <c r="J6" s="5" t="n">
        <v>4.5</v>
      </c>
      <c r="K6" s="5" t="n">
        <v>3.5</v>
      </c>
      <c r="L6" s="5" t="n">
        <v>4</v>
      </c>
      <c r="M6" s="5" t="n">
        <v>3.8</v>
      </c>
      <c r="N6" s="5" t="n">
        <v>5</v>
      </c>
      <c r="O6" s="5" t="n">
        <v>4.3</v>
      </c>
      <c r="P6" s="5">
        <f>IF(MAESTRO!D6="","",IFERROR(TRUNC(AVERAGE(C6:O6),1),""))</f>
        <v/>
      </c>
      <c r="Q6" s="40" t="n">
        <v>2</v>
      </c>
      <c r="R6" s="22" t="n">
        <v>4.8</v>
      </c>
      <c r="S6" s="22" t="n">
        <v>4.6</v>
      </c>
      <c r="T6" s="22" t="n">
        <v>4.8</v>
      </c>
      <c r="U6" s="22" t="n">
        <v>4.3</v>
      </c>
      <c r="V6" s="22" t="n">
        <v>4.2</v>
      </c>
      <c r="W6" s="22" t="n">
        <v>3.5</v>
      </c>
      <c r="X6" s="22" t="n">
        <v>4.4</v>
      </c>
      <c r="Y6" s="22" t="n">
        <v>3.2</v>
      </c>
      <c r="Z6" s="22" t="n">
        <v>3.1</v>
      </c>
      <c r="AA6" s="45">
        <f>IF(MAESTRO!D6="","",IFERROR(TRUNC(AVERAGE(R6:Z6),1),""))</f>
        <v/>
      </c>
      <c r="AB6" s="5" t="n">
        <v>3.5</v>
      </c>
      <c r="AC6" s="42" t="n">
        <v>4.3</v>
      </c>
      <c r="AD6" s="5">
        <f>IF(MAESTRO!D6="","",IFERROR(AVERAGE(AB6:AC6),""))</f>
        <v/>
      </c>
      <c r="AE6" s="44">
        <f>IF(MAESTRO!D6="","",IFERROR(TRUNC(AVERAGE(P6,AA6),1),""))</f>
        <v/>
      </c>
      <c r="AF6" s="177" t="n"/>
      <c r="AG6" s="177" t="n">
        <v>2</v>
      </c>
      <c r="AH6" s="177" t="n">
        <v>2</v>
      </c>
      <c r="AI6" s="177">
        <f>IF(MAESTRO!D6="","",MAESTRO!D6)</f>
        <v/>
      </c>
      <c r="AJ6" s="178" t="n"/>
      <c r="AK6" s="61" t="n">
        <v>4.7</v>
      </c>
      <c r="AL6" s="61" t="n">
        <v>4.3</v>
      </c>
      <c r="AM6" s="61" t="n">
        <v>4.5</v>
      </c>
      <c r="AN6" s="61" t="n">
        <v>5</v>
      </c>
      <c r="AO6" s="61" t="n">
        <v>4.9</v>
      </c>
      <c r="AP6" s="61" t="n">
        <v>3.2</v>
      </c>
      <c r="AQ6" s="61" t="n">
        <v>4.1</v>
      </c>
      <c r="AR6" s="61" t="n">
        <v>3.3</v>
      </c>
      <c r="AS6" s="61" t="n">
        <v>3.8</v>
      </c>
      <c r="AT6" s="61" t="n">
        <v>4.2</v>
      </c>
      <c r="AU6" s="61" t="n">
        <v>3.1</v>
      </c>
      <c r="AV6" s="61" t="n">
        <v>4.5</v>
      </c>
      <c r="AW6" s="5">
        <f>IF(MAESTRO!D6="","",IFERROR(TRUNC(AVERAGE(AK6:AV6),1),""))</f>
        <v/>
      </c>
      <c r="AX6" s="22" t="n">
        <v>4.9</v>
      </c>
      <c r="AY6" s="22" t="n">
        <v>4.2</v>
      </c>
      <c r="AZ6" s="22" t="n">
        <v>3.6</v>
      </c>
      <c r="BA6" s="22" t="n">
        <v>4</v>
      </c>
      <c r="BB6" s="22" t="n">
        <v>4.9</v>
      </c>
      <c r="BC6" s="22" t="n">
        <v>4.3</v>
      </c>
      <c r="BD6" s="22" t="n">
        <v>4.2</v>
      </c>
      <c r="BE6" s="22" t="n">
        <v>4.6</v>
      </c>
      <c r="BF6" s="22" t="n">
        <v>4.5</v>
      </c>
      <c r="BG6" s="22" t="n">
        <v>3.7</v>
      </c>
      <c r="BH6" s="5">
        <f>IF(MAESTRO!D6="","",IFERROR(TRUNC(AVERAGE(AX6:BG6),1),""))</f>
        <v/>
      </c>
      <c r="BI6" s="22" t="n">
        <v>4.1</v>
      </c>
      <c r="BJ6" s="22" t="n">
        <v>3.4</v>
      </c>
      <c r="BK6" s="22">
        <f>IF(MAESTRO!D6="","",IFERROR(AVERAGE(BI6:BJ6),""))</f>
        <v/>
      </c>
      <c r="BL6" s="5">
        <f>IF(MAESTRO!D6="","",IFERROR(TRUNC(AVERAGE(AW6,BH6),1),""))</f>
        <v/>
      </c>
      <c r="BM6" s="177" t="n"/>
      <c r="BN6" s="177" t="n">
        <v>2</v>
      </c>
      <c r="BO6" s="177" t="n">
        <v>2</v>
      </c>
      <c r="BP6" s="177">
        <f>IF(MAESTRO!D6="","",MAESTRO!D6)</f>
        <v/>
      </c>
      <c r="BQ6" s="178" t="n"/>
      <c r="BR6" s="5" t="n">
        <v>3.6</v>
      </c>
      <c r="BS6" s="5" t="n">
        <v>3.1</v>
      </c>
      <c r="BT6" s="5" t="n">
        <v>4.9</v>
      </c>
      <c r="BU6" s="5" t="n">
        <v>3.6</v>
      </c>
      <c r="BV6" s="5" t="n">
        <v>3.4</v>
      </c>
      <c r="BW6" s="5" t="n">
        <v>4.8</v>
      </c>
      <c r="BX6" s="5" t="n">
        <v>3</v>
      </c>
      <c r="BY6" s="5" t="n">
        <v>4.6</v>
      </c>
      <c r="BZ6" s="5" t="n">
        <v>3.1</v>
      </c>
      <c r="CA6" s="5" t="n">
        <v>4.5</v>
      </c>
      <c r="CB6" s="5" t="n">
        <v>3.3</v>
      </c>
      <c r="CC6" s="5" t="n">
        <v>3.6</v>
      </c>
      <c r="CD6" s="5" t="n">
        <v>4.3</v>
      </c>
      <c r="CE6" s="5">
        <f>IF(MAESTRO!D6="","",IFERROR(TRUNC(AVERAGE(BR6:CD6),1),""))</f>
        <v/>
      </c>
      <c r="CF6" s="5" t="n">
        <v>4.5</v>
      </c>
      <c r="CG6" s="5" t="n">
        <v>3.9</v>
      </c>
      <c r="CH6" s="5" t="n">
        <v>4.4</v>
      </c>
      <c r="CI6" s="5" t="n">
        <v>3.4</v>
      </c>
      <c r="CJ6" s="5" t="n">
        <v>4.8</v>
      </c>
      <c r="CK6" s="5" t="n">
        <v>3.8</v>
      </c>
      <c r="CL6" s="5" t="n">
        <v>4.4</v>
      </c>
      <c r="CM6" s="5" t="n">
        <v>3.9</v>
      </c>
      <c r="CN6" s="5" t="n">
        <v>3.7</v>
      </c>
      <c r="CO6" s="5" t="n">
        <v>3.1</v>
      </c>
      <c r="CP6" s="5">
        <f>IF(MAESTRO!D6="","",IFERROR(TRUNC(AVERAGE(CF6:CO6),1),""))</f>
        <v/>
      </c>
      <c r="CQ6" s="5" t="n">
        <v>3.9</v>
      </c>
      <c r="CR6" s="5" t="n">
        <v>3.8</v>
      </c>
      <c r="CS6" s="5">
        <f>IF(MAESTRO!D6="","",IFERROR(AVERAGE(CQ6:CR6),""))</f>
        <v/>
      </c>
      <c r="CT6" s="5">
        <f>IF(MAESTRO!D6="","",IFERROR(TRUNC(AVERAGE(CE6,CP6),1),""))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v>4.3</v>
      </c>
      <c r="D7" s="5" t="n">
        <v>4.6</v>
      </c>
      <c r="E7" s="5" t="n">
        <v>3.7</v>
      </c>
      <c r="F7" s="5" t="n">
        <v>3.1</v>
      </c>
      <c r="G7" s="5" t="n">
        <v>3.6</v>
      </c>
      <c r="H7" s="5" t="n">
        <v>3.9</v>
      </c>
      <c r="I7" s="5" t="n">
        <v>3.8</v>
      </c>
      <c r="J7" s="5" t="n">
        <v>5</v>
      </c>
      <c r="K7" s="5" t="n">
        <v>4.3</v>
      </c>
      <c r="L7" s="5" t="n">
        <v>3.6</v>
      </c>
      <c r="M7" s="5" t="n">
        <v>3.8</v>
      </c>
      <c r="N7" s="5" t="n">
        <v>3.3</v>
      </c>
      <c r="O7" s="5" t="n">
        <v>4.6</v>
      </c>
      <c r="P7" s="5">
        <f>IF(MAESTRO!D7="","",IFERROR(TRUNC(AVERAGE(C7:O7),1),""))</f>
        <v/>
      </c>
      <c r="Q7" s="40" t="n">
        <v>3</v>
      </c>
      <c r="R7" s="22" t="n">
        <v>3.7</v>
      </c>
      <c r="S7" s="22" t="n">
        <v>4.3</v>
      </c>
      <c r="T7" s="22" t="n">
        <v>4.1</v>
      </c>
      <c r="U7" s="22" t="n">
        <v>4.6</v>
      </c>
      <c r="V7" s="22" t="n">
        <v>3</v>
      </c>
      <c r="W7" s="22" t="n">
        <v>4.5</v>
      </c>
      <c r="X7" s="22" t="n">
        <v>4.4</v>
      </c>
      <c r="Y7" s="22" t="n">
        <v>3.4</v>
      </c>
      <c r="Z7" s="22" t="n">
        <v>4.3</v>
      </c>
      <c r="AA7" s="45">
        <f>IF(MAESTRO!D7="","",IFERROR(TRUNC(AVERAGE(R7:Z7),1),""))</f>
        <v/>
      </c>
      <c r="AB7" s="177" t="n">
        <v>4</v>
      </c>
      <c r="AC7" s="42" t="n">
        <v>3.5</v>
      </c>
      <c r="AD7" s="5">
        <f>IF(MAESTRO!D7="","",IFERROR(AVERAGE(AB7:AC7),""))</f>
        <v/>
      </c>
      <c r="AE7" s="44">
        <f>IF(MAESTRO!D7="","",IFERROR(TRUNC(AVERAGE(P7,AA7),1),""))</f>
        <v/>
      </c>
      <c r="AF7" s="177" t="n"/>
      <c r="AG7" s="177" t="n">
        <v>3</v>
      </c>
      <c r="AH7" s="177" t="n">
        <v>3</v>
      </c>
      <c r="AI7" s="177">
        <f>IF(MAESTRO!D7="","",MAESTRO!D7)</f>
        <v/>
      </c>
      <c r="AJ7" s="178" t="n"/>
      <c r="AK7" s="61" t="n">
        <v>3.5</v>
      </c>
      <c r="AL7" s="61" t="n">
        <v>4.4</v>
      </c>
      <c r="AM7" s="61" t="n">
        <v>4.5</v>
      </c>
      <c r="AN7" s="61" t="n">
        <v>3.7</v>
      </c>
      <c r="AO7" s="61" t="n">
        <v>4.4</v>
      </c>
      <c r="AP7" s="61" t="n">
        <v>3.3</v>
      </c>
      <c r="AQ7" s="61" t="n">
        <v>4.4</v>
      </c>
      <c r="AR7" s="61" t="n">
        <v>4</v>
      </c>
      <c r="AS7" s="61" t="n">
        <v>4.4</v>
      </c>
      <c r="AT7" s="61" t="n">
        <v>3.6</v>
      </c>
      <c r="AU7" s="61" t="n">
        <v>4.5</v>
      </c>
      <c r="AV7" s="61" t="n">
        <v>4.7</v>
      </c>
      <c r="AW7" s="5">
        <f>IF(MAESTRO!D7="","",IFERROR(TRUNC(AVERAGE(AK7:AV7),1),""))</f>
        <v/>
      </c>
      <c r="AX7" s="22" t="n">
        <v>4.2</v>
      </c>
      <c r="AY7" s="22" t="n">
        <v>4.4</v>
      </c>
      <c r="AZ7" s="22" t="n">
        <v>3.7</v>
      </c>
      <c r="BA7" s="22" t="n">
        <v>3.9</v>
      </c>
      <c r="BB7" s="22" t="n">
        <v>4.1</v>
      </c>
      <c r="BC7" s="22" t="n">
        <v>3.1</v>
      </c>
      <c r="BD7" s="22" t="n">
        <v>4.4</v>
      </c>
      <c r="BE7" s="22" t="n">
        <v>4.8</v>
      </c>
      <c r="BF7" s="22" t="n">
        <v>4.2</v>
      </c>
      <c r="BG7" s="22" t="n">
        <v>4.4</v>
      </c>
      <c r="BH7" s="5">
        <f>IF(MAESTRO!D7="","",IFERROR(TRUNC(AVERAGE(AX7:BG7),1),""))</f>
        <v/>
      </c>
      <c r="BI7" s="22" t="n">
        <v>5</v>
      </c>
      <c r="BJ7" s="22" t="n">
        <v>4.3</v>
      </c>
      <c r="BK7" s="22">
        <f>IF(MAESTRO!D7="","",IFERROR(AVERAGE(BI7:BJ7),""))</f>
        <v/>
      </c>
      <c r="BL7" s="5">
        <f>IF(MAESTRO!D7="","",IFERROR(TRUNC(AVERAGE(AW7,BH7),1),""))</f>
        <v/>
      </c>
      <c r="BM7" s="177" t="n"/>
      <c r="BN7" s="177" t="n">
        <v>3</v>
      </c>
      <c r="BO7" s="177" t="n">
        <v>3</v>
      </c>
      <c r="BP7" s="177">
        <f>IF(MAESTRO!D7="","",MAESTRO!D7)</f>
        <v/>
      </c>
      <c r="BQ7" s="178" t="n"/>
      <c r="BR7" s="5" t="n">
        <v>4.3</v>
      </c>
      <c r="BS7" s="5" t="n">
        <v>4.8</v>
      </c>
      <c r="BT7" s="5" t="n">
        <v>5</v>
      </c>
      <c r="BU7" s="5" t="n">
        <v>4.5</v>
      </c>
      <c r="BV7" s="5" t="n">
        <v>3.3</v>
      </c>
      <c r="BW7" s="5" t="n">
        <v>3.8</v>
      </c>
      <c r="BX7" s="5" t="n">
        <v>3.3</v>
      </c>
      <c r="BY7" s="5" t="n">
        <v>4.6</v>
      </c>
      <c r="BZ7" s="5" t="n">
        <v>4.3</v>
      </c>
      <c r="CA7" s="5" t="n">
        <v>3.6</v>
      </c>
      <c r="CB7" s="5" t="n">
        <v>4.3</v>
      </c>
      <c r="CC7" s="5" t="n">
        <v>3.1</v>
      </c>
      <c r="CD7" s="5" t="n">
        <v>3.1</v>
      </c>
      <c r="CE7" s="5">
        <f>IF(MAESTRO!D7="","",IFERROR(TRUNC(AVERAGE(BR7:CD7),1),""))</f>
        <v/>
      </c>
      <c r="CF7" s="5" t="n">
        <v>3.6</v>
      </c>
      <c r="CG7" s="5" t="n">
        <v>4.7</v>
      </c>
      <c r="CH7" s="5" t="n">
        <v>3.4</v>
      </c>
      <c r="CI7" s="5" t="n">
        <v>4.6</v>
      </c>
      <c r="CJ7" s="5" t="n">
        <v>4.2</v>
      </c>
      <c r="CK7" s="5" t="n">
        <v>3.1</v>
      </c>
      <c r="CL7" s="5" t="n">
        <v>4.9</v>
      </c>
      <c r="CM7" s="5" t="n">
        <v>3.2</v>
      </c>
      <c r="CN7" s="5" t="n">
        <v>3.3</v>
      </c>
      <c r="CO7" s="5" t="n">
        <v>4.8</v>
      </c>
      <c r="CP7" s="5">
        <f>IF(MAESTRO!D7="","",IFERROR(TRUNC(AVERAGE(CF7:CO7),1),""))</f>
        <v/>
      </c>
      <c r="CQ7" s="5" t="n">
        <v>4.6</v>
      </c>
      <c r="CR7" s="5" t="n">
        <v>3.8</v>
      </c>
      <c r="CS7" s="5">
        <f>IF(MAESTRO!D7="","",IFERROR(AVERAGE(CQ7:CR7),""))</f>
        <v/>
      </c>
      <c r="CT7" s="5">
        <f>IF(MAESTRO!D7="","",IFERROR(TRUNC(AVERAGE(CE7,CP7),1),""))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v>4.1</v>
      </c>
      <c r="D8" s="5" t="n">
        <v>3.2</v>
      </c>
      <c r="E8" s="5" t="n">
        <v>3.7</v>
      </c>
      <c r="F8" s="5" t="n">
        <v>4.4</v>
      </c>
      <c r="G8" s="5" t="n">
        <v>3.2</v>
      </c>
      <c r="H8" s="5" t="n">
        <v>3.2</v>
      </c>
      <c r="I8" s="5" t="n">
        <v>3.4</v>
      </c>
      <c r="J8" s="5" t="n">
        <v>4.3</v>
      </c>
      <c r="K8" s="5" t="n">
        <v>4</v>
      </c>
      <c r="L8" s="5" t="n">
        <v>3.3</v>
      </c>
      <c r="M8" s="5" t="n">
        <v>3.1</v>
      </c>
      <c r="N8" s="5" t="n">
        <v>3.6</v>
      </c>
      <c r="O8" s="5" t="n">
        <v>4.1</v>
      </c>
      <c r="P8" s="5">
        <f>IF(MAESTRO!D8="","",IFERROR(TRUNC(AVERAGE(C8:O8),1),""))</f>
        <v/>
      </c>
      <c r="Q8" s="40" t="n">
        <v>4</v>
      </c>
      <c r="R8" s="22" t="n">
        <v>3.2</v>
      </c>
      <c r="S8" s="22" t="n">
        <v>4.5</v>
      </c>
      <c r="T8" s="22" t="n">
        <v>3.1</v>
      </c>
      <c r="U8" s="22" t="n">
        <v>4.8</v>
      </c>
      <c r="V8" s="22" t="n">
        <v>3.7</v>
      </c>
      <c r="W8" s="22" t="n">
        <v>4.8</v>
      </c>
      <c r="X8" s="22" t="n">
        <v>4.5</v>
      </c>
      <c r="Y8" s="22" t="n">
        <v>3.6</v>
      </c>
      <c r="Z8" s="22" t="n">
        <v>3.9</v>
      </c>
      <c r="AA8" s="45">
        <f>IF(MAESTRO!D8="","",IFERROR(TRUNC(AVERAGE(R8:Z8),1),""))</f>
        <v/>
      </c>
      <c r="AB8" s="177" t="n">
        <v>3.4</v>
      </c>
      <c r="AC8" s="42" t="n">
        <v>4.1</v>
      </c>
      <c r="AD8" s="5">
        <f>IF(MAESTRO!D8="","",IFERROR(AVERAGE(AB8:AC8),""))</f>
        <v/>
      </c>
      <c r="AE8" s="44">
        <f>IF(MAESTRO!D8="","",IFERROR(TRUNC(AVERAGE(P8,AA8),1),""))</f>
        <v/>
      </c>
      <c r="AF8" s="177" t="n"/>
      <c r="AG8" s="177" t="n">
        <v>4</v>
      </c>
      <c r="AH8" s="177" t="n">
        <v>4</v>
      </c>
      <c r="AI8" s="177">
        <f>IF(MAESTRO!D8="","",MAESTRO!D8)</f>
        <v/>
      </c>
      <c r="AJ8" s="178" t="n"/>
      <c r="AK8" s="61" t="n">
        <v>3</v>
      </c>
      <c r="AL8" s="61" t="n">
        <v>3.4</v>
      </c>
      <c r="AM8" s="61" t="n">
        <v>3.8</v>
      </c>
      <c r="AN8" s="61" t="n">
        <v>3.7</v>
      </c>
      <c r="AO8" s="61" t="n">
        <v>4.9</v>
      </c>
      <c r="AP8" s="61" t="n">
        <v>4.2</v>
      </c>
      <c r="AQ8" s="61" t="n">
        <v>4.8</v>
      </c>
      <c r="AR8" s="61" t="n">
        <v>3.2</v>
      </c>
      <c r="AS8" s="61" t="n">
        <v>3</v>
      </c>
      <c r="AT8" s="61" t="n">
        <v>3.6</v>
      </c>
      <c r="AU8" s="61" t="n">
        <v>3.2</v>
      </c>
      <c r="AV8" s="61" t="n">
        <v>3.6</v>
      </c>
      <c r="AW8" s="5">
        <f>IF(MAESTRO!D8="","",IFERROR(TRUNC(AVERAGE(AK8:AV8),1),""))</f>
        <v/>
      </c>
      <c r="AX8" s="22" t="n">
        <v>4.3</v>
      </c>
      <c r="AY8" s="22" t="n">
        <v>3.8</v>
      </c>
      <c r="AZ8" s="22" t="n">
        <v>3.9</v>
      </c>
      <c r="BA8" s="22" t="n">
        <v>4.7</v>
      </c>
      <c r="BB8" s="22" t="n">
        <v>5</v>
      </c>
      <c r="BC8" s="22" t="n">
        <v>4</v>
      </c>
      <c r="BD8" s="22" t="n">
        <v>4.5</v>
      </c>
      <c r="BE8" s="22" t="n">
        <v>4.8</v>
      </c>
      <c r="BF8" s="22" t="n">
        <v>3.1</v>
      </c>
      <c r="BG8" s="22" t="n">
        <v>4.3</v>
      </c>
      <c r="BH8" s="5">
        <f>IF(MAESTRO!D8="","",IFERROR(TRUNC(AVERAGE(AX8:BG8),1),""))</f>
        <v/>
      </c>
      <c r="BI8" s="22" t="n">
        <v>4.5</v>
      </c>
      <c r="BJ8" s="22" t="n">
        <v>3.7</v>
      </c>
      <c r="BK8" s="22">
        <f>IF(MAESTRO!D8="","",IFERROR(AVERAGE(BI8:BJ8),""))</f>
        <v/>
      </c>
      <c r="BL8" s="5">
        <f>IF(MAESTRO!D8="","",IFERROR(TRUNC(AVERAGE(AW8,BH8),1),""))</f>
        <v/>
      </c>
      <c r="BM8" s="177" t="n"/>
      <c r="BN8" s="177" t="n">
        <v>4</v>
      </c>
      <c r="BO8" s="177" t="n">
        <v>4</v>
      </c>
      <c r="BP8" s="177">
        <f>IF(MAESTRO!D8="","",MAESTRO!D8)</f>
        <v/>
      </c>
      <c r="BQ8" s="178" t="n"/>
      <c r="BR8" s="5" t="n">
        <v>4.6</v>
      </c>
      <c r="BS8" s="5" t="n">
        <v>3.5</v>
      </c>
      <c r="BT8" s="5" t="n">
        <v>3.9</v>
      </c>
      <c r="BU8" s="5" t="n">
        <v>3.6</v>
      </c>
      <c r="BV8" s="5" t="n">
        <v>3.5</v>
      </c>
      <c r="BW8" s="5" t="n">
        <v>4.8</v>
      </c>
      <c r="BX8" s="5" t="n">
        <v>4</v>
      </c>
      <c r="BY8" s="5" t="n">
        <v>4.6</v>
      </c>
      <c r="BZ8" s="5" t="n">
        <v>4.1</v>
      </c>
      <c r="CA8" s="5" t="n">
        <v>3.7</v>
      </c>
      <c r="CB8" s="5" t="n">
        <v>3.6</v>
      </c>
      <c r="CC8" s="5" t="n">
        <v>3.7</v>
      </c>
      <c r="CD8" s="5" t="n">
        <v>4.1</v>
      </c>
      <c r="CE8" s="5">
        <f>IF(MAESTRO!D8="","",IFERROR(TRUNC(AVERAGE(BR8:CD8),1),""))</f>
        <v/>
      </c>
      <c r="CF8" s="5" t="n">
        <v>3.7</v>
      </c>
      <c r="CG8" s="5" t="n">
        <v>4.9</v>
      </c>
      <c r="CH8" s="5" t="n">
        <v>4.3</v>
      </c>
      <c r="CI8" s="5" t="n">
        <v>4.8</v>
      </c>
      <c r="CJ8" s="5" t="n">
        <v>3.9</v>
      </c>
      <c r="CK8" s="5" t="n">
        <v>4.4</v>
      </c>
      <c r="CL8" s="5" t="n">
        <v>4.4</v>
      </c>
      <c r="CM8" s="5" t="n">
        <v>4.5</v>
      </c>
      <c r="CN8" s="5" t="n">
        <v>3.5</v>
      </c>
      <c r="CO8" s="5" t="n">
        <v>4.6</v>
      </c>
      <c r="CP8" s="5">
        <f>IF(MAESTRO!D8="","",IFERROR(TRUNC(AVERAGE(CF8:CO8),1),""))</f>
        <v/>
      </c>
      <c r="CQ8" s="5" t="n">
        <v>3.9</v>
      </c>
      <c r="CR8" s="5" t="n">
        <v>3.5</v>
      </c>
      <c r="CS8" s="5">
        <f>IF(MAESTRO!D8="","",IFERROR(AVERAGE(CQ8:CR8),""))</f>
        <v/>
      </c>
      <c r="CT8" s="5">
        <f>IF(MAESTRO!D8="","",IFERROR(TRUNC(AVERAGE(CE8,CP8),1),""))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v>4.3</v>
      </c>
      <c r="D9" s="5" t="n">
        <v>3</v>
      </c>
      <c r="E9" s="5" t="n">
        <v>3</v>
      </c>
      <c r="F9" s="5" t="n">
        <v>4.3</v>
      </c>
      <c r="G9" s="5" t="n">
        <v>3.1</v>
      </c>
      <c r="H9" s="5" t="n">
        <v>5</v>
      </c>
      <c r="I9" s="5" t="n">
        <v>3.2</v>
      </c>
      <c r="J9" s="5" t="n">
        <v>4.8</v>
      </c>
      <c r="K9" s="5" t="n">
        <v>4.9</v>
      </c>
      <c r="L9" s="5" t="n">
        <v>4.9</v>
      </c>
      <c r="M9" s="5" t="n">
        <v>4.6</v>
      </c>
      <c r="N9" s="5" t="n">
        <v>4</v>
      </c>
      <c r="O9" s="5" t="n">
        <v>4.9</v>
      </c>
      <c r="P9" s="5">
        <f>IF(MAESTRO!D9="","",IFERROR(TRUNC(AVERAGE(C9:O9),1),""))</f>
        <v/>
      </c>
      <c r="Q9" s="40" t="n">
        <v>5</v>
      </c>
      <c r="R9" s="22" t="n">
        <v>4.6</v>
      </c>
      <c r="S9" s="22" t="n">
        <v>4.8</v>
      </c>
      <c r="T9" s="22" t="n">
        <v>4.5</v>
      </c>
      <c r="U9" s="22" t="n">
        <v>4.3</v>
      </c>
      <c r="V9" s="22" t="n">
        <v>4.1</v>
      </c>
      <c r="W9" s="22" t="n">
        <v>4.1</v>
      </c>
      <c r="X9" s="22" t="n">
        <v>3.8</v>
      </c>
      <c r="Y9" s="22" t="n">
        <v>4</v>
      </c>
      <c r="Z9" s="22" t="n">
        <v>3</v>
      </c>
      <c r="AA9" s="45">
        <f>IF(MAESTRO!D9="","",IFERROR(TRUNC(AVERAGE(R9:Z9),1),""))</f>
        <v/>
      </c>
      <c r="AB9" s="177" t="n">
        <v>4.9</v>
      </c>
      <c r="AC9" s="42" t="n">
        <v>4.3</v>
      </c>
      <c r="AD9" s="5">
        <f>IF(MAESTRO!D9="","",IFERROR(AVERAGE(AB9:AC9),""))</f>
        <v/>
      </c>
      <c r="AE9" s="44">
        <f>IF(MAESTRO!D9="","",IFERROR(TRUNC(AVERAGE(P9,AA9),1),""))</f>
        <v/>
      </c>
      <c r="AF9" s="177" t="n"/>
      <c r="AG9" s="177" t="n">
        <v>5</v>
      </c>
      <c r="AH9" s="177" t="n">
        <v>5</v>
      </c>
      <c r="AI9" s="177">
        <f>IF(MAESTRO!D9="","",MAESTRO!D9)</f>
        <v/>
      </c>
      <c r="AJ9" s="178" t="n"/>
      <c r="AK9" s="61" t="n">
        <v>5</v>
      </c>
      <c r="AL9" s="61" t="n">
        <v>4.2</v>
      </c>
      <c r="AM9" s="61" t="n">
        <v>3.9</v>
      </c>
      <c r="AN9" s="61" t="n">
        <v>3.7</v>
      </c>
      <c r="AO9" s="61" t="n">
        <v>4.6</v>
      </c>
      <c r="AP9" s="61" t="n">
        <v>3.4</v>
      </c>
      <c r="AQ9" s="61" t="n">
        <v>3.3</v>
      </c>
      <c r="AR9" s="61" t="n">
        <v>4.4</v>
      </c>
      <c r="AS9" s="61" t="n">
        <v>4.4</v>
      </c>
      <c r="AT9" s="61" t="n">
        <v>3.5</v>
      </c>
      <c r="AU9" s="61" t="n">
        <v>3.4</v>
      </c>
      <c r="AV9" s="61" t="n">
        <v>3.2</v>
      </c>
      <c r="AW9" s="5">
        <f>IF(MAESTRO!D9="","",IFERROR(TRUNC(AVERAGE(AK9:AV9),1),""))</f>
        <v/>
      </c>
      <c r="AX9" s="22" t="n">
        <v>4.9</v>
      </c>
      <c r="AY9" s="22" t="n">
        <v>4.3</v>
      </c>
      <c r="AZ9" s="22" t="n">
        <v>3.6</v>
      </c>
      <c r="BA9" s="22" t="n">
        <v>3.7</v>
      </c>
      <c r="BB9" s="22" t="n">
        <v>5</v>
      </c>
      <c r="BC9" s="22" t="n">
        <v>4.1</v>
      </c>
      <c r="BD9" s="22" t="n">
        <v>4.9</v>
      </c>
      <c r="BE9" s="22" t="n">
        <v>4.4</v>
      </c>
      <c r="BF9" s="22" t="n">
        <v>3.2</v>
      </c>
      <c r="BG9" s="22" t="n">
        <v>4</v>
      </c>
      <c r="BH9" s="5">
        <f>IF(MAESTRO!D9="","",IFERROR(TRUNC(AVERAGE(AX9:BG9),1),""))</f>
        <v/>
      </c>
      <c r="BI9" s="22" t="n">
        <v>3.7</v>
      </c>
      <c r="BJ9" s="22" t="n">
        <v>3.2</v>
      </c>
      <c r="BK9" s="22">
        <f>IF(MAESTRO!D9="","",IFERROR(AVERAGE(BI9:BJ9),""))</f>
        <v/>
      </c>
      <c r="BL9" s="5">
        <f>IF(MAESTRO!D9="","",IFERROR(TRUNC(AVERAGE(AW9,BH9),1),""))</f>
        <v/>
      </c>
      <c r="BM9" s="177" t="n"/>
      <c r="BN9" s="177" t="n">
        <v>5</v>
      </c>
      <c r="BO9" s="177" t="n">
        <v>5</v>
      </c>
      <c r="BP9" s="177">
        <f>IF(MAESTRO!D9="","",MAESTRO!D9)</f>
        <v/>
      </c>
      <c r="BQ9" s="178" t="n"/>
      <c r="BR9" s="5" t="n">
        <v>4.1</v>
      </c>
      <c r="BS9" s="5" t="n">
        <v>3.4</v>
      </c>
      <c r="BT9" s="5" t="n">
        <v>3.9</v>
      </c>
      <c r="BU9" s="5" t="n">
        <v>4</v>
      </c>
      <c r="BV9" s="5" t="n">
        <v>3.1</v>
      </c>
      <c r="BW9" s="5" t="n">
        <v>3.2</v>
      </c>
      <c r="BX9" s="5" t="n">
        <v>4.2</v>
      </c>
      <c r="BY9" s="5" t="n">
        <v>4.5</v>
      </c>
      <c r="BZ9" s="5" t="n">
        <v>4.8</v>
      </c>
      <c r="CA9" s="5" t="n">
        <v>4.6</v>
      </c>
      <c r="CB9" s="5" t="n">
        <v>4.8</v>
      </c>
      <c r="CC9" s="5" t="n">
        <v>3.2</v>
      </c>
      <c r="CD9" s="5" t="n">
        <v>4.2</v>
      </c>
      <c r="CE9" s="5">
        <f>IF(MAESTRO!D9="","",IFERROR(TRUNC(AVERAGE(BR9:CD9),1),""))</f>
        <v/>
      </c>
      <c r="CF9" s="5" t="n">
        <v>3.7</v>
      </c>
      <c r="CG9" s="5" t="n">
        <v>4.3</v>
      </c>
      <c r="CH9" s="5" t="n">
        <v>4.7</v>
      </c>
      <c r="CI9" s="5" t="n">
        <v>3.2</v>
      </c>
      <c r="CJ9" s="5" t="n">
        <v>3.3</v>
      </c>
      <c r="CK9" s="5" t="n">
        <v>3.3</v>
      </c>
      <c r="CL9" s="5" t="n">
        <v>4.4</v>
      </c>
      <c r="CM9" s="5" t="n">
        <v>3.1</v>
      </c>
      <c r="CN9" s="5" t="n">
        <v>4</v>
      </c>
      <c r="CO9" s="5" t="n">
        <v>3</v>
      </c>
      <c r="CP9" s="5">
        <f>IF(MAESTRO!D9="","",IFERROR(TRUNC(AVERAGE(CF9:CO9),1),""))</f>
        <v/>
      </c>
      <c r="CQ9" s="5" t="n">
        <v>4</v>
      </c>
      <c r="CR9" s="5" t="n">
        <v>3.5</v>
      </c>
      <c r="CS9" s="5">
        <f>IF(MAESTRO!D9="","",IFERROR(AVERAGE(CQ9:CR9),""))</f>
        <v/>
      </c>
      <c r="CT9" s="5">
        <f>IF(MAESTRO!D9="","",IFERROR(TRUNC(AVERAGE(CE9,CP9),1),""))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v>3.4</v>
      </c>
      <c r="D10" s="5" t="n">
        <v>3.5</v>
      </c>
      <c r="E10" s="5" t="n">
        <v>3.5</v>
      </c>
      <c r="F10" s="5" t="n">
        <v>4.7</v>
      </c>
      <c r="G10" s="5" t="n">
        <v>4.9</v>
      </c>
      <c r="H10" s="5" t="n">
        <v>3.2</v>
      </c>
      <c r="I10" s="5" t="n">
        <v>3.4</v>
      </c>
      <c r="J10" s="5" t="n">
        <v>4.6</v>
      </c>
      <c r="K10" s="5" t="n">
        <v>4.4</v>
      </c>
      <c r="L10" s="5" t="n">
        <v>4.3</v>
      </c>
      <c r="M10" s="5" t="n">
        <v>3.1</v>
      </c>
      <c r="N10" s="5" t="n">
        <v>4.8</v>
      </c>
      <c r="O10" s="5" t="n">
        <v>3.6</v>
      </c>
      <c r="P10" s="5">
        <f>IF(MAESTRO!D10="","",IFERROR(TRUNC(AVERAGE(C10:O10),1),""))</f>
        <v/>
      </c>
      <c r="Q10" s="40" t="n">
        <v>6</v>
      </c>
      <c r="R10" s="22" t="n">
        <v>4</v>
      </c>
      <c r="S10" s="22" t="n">
        <v>3</v>
      </c>
      <c r="T10" s="22" t="n">
        <v>4.7</v>
      </c>
      <c r="U10" s="22" t="n">
        <v>4.2</v>
      </c>
      <c r="V10" s="22" t="n">
        <v>4.6</v>
      </c>
      <c r="W10" s="22" t="n">
        <v>3.8</v>
      </c>
      <c r="X10" s="22" t="n">
        <v>3.3</v>
      </c>
      <c r="Y10" s="22" t="n">
        <v>3.8</v>
      </c>
      <c r="Z10" s="22" t="n">
        <v>4.6</v>
      </c>
      <c r="AA10" s="45">
        <f>IF(MAESTRO!D10="","",IFERROR(TRUNC(AVERAGE(R10:Z10),1),""))</f>
        <v/>
      </c>
      <c r="AB10" s="177" t="n">
        <v>3.4</v>
      </c>
      <c r="AC10" s="42" t="n">
        <v>4.5</v>
      </c>
      <c r="AD10" s="5">
        <f>IF(MAESTRO!D10="","",IFERROR(AVERAGE(AB10:AC10),""))</f>
        <v/>
      </c>
      <c r="AE10" s="44">
        <f>IF(MAESTRO!D10="","",IFERROR(TRUNC(AVERAGE(P10,AA10),1),""))</f>
        <v/>
      </c>
      <c r="AF10" s="177" t="n"/>
      <c r="AG10" s="177" t="n">
        <v>6</v>
      </c>
      <c r="AH10" s="177" t="n">
        <v>6</v>
      </c>
      <c r="AI10" s="177">
        <f>IF(MAESTRO!D10="","",MAESTRO!D10)</f>
        <v/>
      </c>
      <c r="AJ10" s="178" t="n"/>
      <c r="AK10" s="61" t="n">
        <v>4.5</v>
      </c>
      <c r="AL10" s="61" t="n">
        <v>4.6</v>
      </c>
      <c r="AM10" s="61" t="n">
        <v>4.8</v>
      </c>
      <c r="AN10" s="61" t="n">
        <v>4.6</v>
      </c>
      <c r="AO10" s="61" t="n">
        <v>3.1</v>
      </c>
      <c r="AP10" s="61" t="n">
        <v>4</v>
      </c>
      <c r="AQ10" s="61" t="n">
        <v>3.2</v>
      </c>
      <c r="AR10" s="61" t="n">
        <v>4.8</v>
      </c>
      <c r="AS10" s="61" t="n">
        <v>3.7</v>
      </c>
      <c r="AT10" s="61" t="n">
        <v>4</v>
      </c>
      <c r="AU10" s="61" t="n">
        <v>3.7</v>
      </c>
      <c r="AV10" s="61" t="n">
        <v>4.5</v>
      </c>
      <c r="AW10" s="5">
        <f>IF(MAESTRO!D10="","",IFERROR(TRUNC(AVERAGE(AK10:AV10),1),""))</f>
        <v/>
      </c>
      <c r="AX10" s="22" t="n">
        <v>3.2</v>
      </c>
      <c r="AY10" s="22" t="n">
        <v>3.9</v>
      </c>
      <c r="AZ10" s="22" t="n">
        <v>4.7</v>
      </c>
      <c r="BA10" s="22" t="n">
        <v>4</v>
      </c>
      <c r="BB10" s="22" t="n">
        <v>4.1</v>
      </c>
      <c r="BC10" s="22" t="n">
        <v>4.2</v>
      </c>
      <c r="BD10" s="22" t="n">
        <v>3.5</v>
      </c>
      <c r="BE10" s="22" t="n">
        <v>3.3</v>
      </c>
      <c r="BF10" s="22" t="n">
        <v>4.6</v>
      </c>
      <c r="BG10" s="22" t="n">
        <v>4.6</v>
      </c>
      <c r="BH10" s="5">
        <f>IF(MAESTRO!D10="","",IFERROR(TRUNC(AVERAGE(AX10:BG10),1),""))</f>
        <v/>
      </c>
      <c r="BI10" s="22" t="n">
        <v>5</v>
      </c>
      <c r="BJ10" s="22" t="n">
        <v>4.1</v>
      </c>
      <c r="BK10" s="22">
        <f>IF(MAESTRO!D10="","",IFERROR(AVERAGE(BI10:BJ10),""))</f>
        <v/>
      </c>
      <c r="BL10" s="5">
        <f>IF(MAESTRO!D10="","",IFERROR(TRUNC(AVERAGE(AW10,BH10),1),""))</f>
        <v/>
      </c>
      <c r="BM10" s="177" t="n"/>
      <c r="BN10" s="177" t="n">
        <v>6</v>
      </c>
      <c r="BO10" s="177" t="n">
        <v>6</v>
      </c>
      <c r="BP10" s="177">
        <f>IF(MAESTRO!D10="","",MAESTRO!D10)</f>
        <v/>
      </c>
      <c r="BQ10" s="178" t="n"/>
      <c r="BR10" s="5" t="n">
        <v>3.1</v>
      </c>
      <c r="BS10" s="5" t="n">
        <v>3.6</v>
      </c>
      <c r="BT10" s="5" t="n">
        <v>3.3</v>
      </c>
      <c r="BU10" s="5" t="n">
        <v>3.2</v>
      </c>
      <c r="BV10" s="5" t="n">
        <v>4.1</v>
      </c>
      <c r="BW10" s="5" t="n">
        <v>3.1</v>
      </c>
      <c r="BX10" s="5" t="n">
        <v>3.4</v>
      </c>
      <c r="BY10" s="5" t="n">
        <v>3.8</v>
      </c>
      <c r="BZ10" s="5" t="n">
        <v>4.7</v>
      </c>
      <c r="CA10" s="5" t="n">
        <v>4.3</v>
      </c>
      <c r="CB10" s="5" t="n">
        <v>5</v>
      </c>
      <c r="CC10" s="5" t="n">
        <v>4.5</v>
      </c>
      <c r="CD10" s="5" t="n">
        <v>4.1</v>
      </c>
      <c r="CE10" s="5">
        <f>IF(MAESTRO!D10="","",IFERROR(TRUNC(AVERAGE(BR10:CD10),1),""))</f>
        <v/>
      </c>
      <c r="CF10" s="5" t="n">
        <v>3</v>
      </c>
      <c r="CG10" s="5" t="n">
        <v>3.1</v>
      </c>
      <c r="CH10" s="5" t="n">
        <v>3.1</v>
      </c>
      <c r="CI10" s="5" t="n">
        <v>3.4</v>
      </c>
      <c r="CJ10" s="5" t="n">
        <v>3.8</v>
      </c>
      <c r="CK10" s="5" t="n">
        <v>3.4</v>
      </c>
      <c r="CL10" s="5" t="n">
        <v>3.8</v>
      </c>
      <c r="CM10" s="5" t="n">
        <v>4.5</v>
      </c>
      <c r="CN10" s="5" t="n">
        <v>3.7</v>
      </c>
      <c r="CO10" s="5" t="n">
        <v>4.3</v>
      </c>
      <c r="CP10" s="5">
        <f>IF(MAESTRO!D10="","",IFERROR(TRUNC(AVERAGE(CF10:CO10),1),""))</f>
        <v/>
      </c>
      <c r="CQ10" s="5" t="n">
        <v>4.1</v>
      </c>
      <c r="CR10" s="5" t="n">
        <v>4.7</v>
      </c>
      <c r="CS10" s="5">
        <f>IF(MAESTRO!D10="","",IFERROR(AVERAGE(CQ10:CR10),""))</f>
        <v/>
      </c>
      <c r="CT10" s="5">
        <f>IF(MAESTRO!D10="","",IFERROR(TRUNC(AVERAGE(CE10,CP10),1),""))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v>4.9</v>
      </c>
      <c r="D11" s="5" t="n">
        <v>4.1</v>
      </c>
      <c r="E11" s="5" t="n">
        <v>3.9</v>
      </c>
      <c r="F11" s="5" t="n">
        <v>3.4</v>
      </c>
      <c r="G11" s="5" t="n">
        <v>3.2</v>
      </c>
      <c r="H11" s="5" t="n">
        <v>3.8</v>
      </c>
      <c r="I11" s="5" t="n">
        <v>3.7</v>
      </c>
      <c r="J11" s="5" t="n">
        <v>4.4</v>
      </c>
      <c r="K11" s="5" t="n">
        <v>3.1</v>
      </c>
      <c r="L11" s="5" t="n">
        <v>3.8</v>
      </c>
      <c r="M11" s="5" t="n">
        <v>4.3</v>
      </c>
      <c r="N11" s="5" t="n">
        <v>3.7</v>
      </c>
      <c r="O11" s="5" t="n">
        <v>3.2</v>
      </c>
      <c r="P11" s="5">
        <f>IF(MAESTRO!D11="","",IFERROR(TRUNC(AVERAGE(C11:O11),1),""))</f>
        <v/>
      </c>
      <c r="Q11" s="40" t="n">
        <v>7</v>
      </c>
      <c r="R11" s="22" t="n">
        <v>4.1</v>
      </c>
      <c r="S11" s="22" t="n">
        <v>4.5</v>
      </c>
      <c r="T11" s="22" t="n">
        <v>3.2</v>
      </c>
      <c r="U11" s="22" t="n">
        <v>3.3</v>
      </c>
      <c r="V11" s="22" t="n">
        <v>4.6</v>
      </c>
      <c r="W11" s="22" t="n">
        <v>3.8</v>
      </c>
      <c r="X11" s="22" t="n">
        <v>3</v>
      </c>
      <c r="Y11" s="22" t="n">
        <v>4.2</v>
      </c>
      <c r="Z11" s="22" t="n">
        <v>3.1</v>
      </c>
      <c r="AA11" s="45">
        <f>IF(MAESTRO!D11="","",IFERROR(TRUNC(AVERAGE(R11:Z11),1),""))</f>
        <v/>
      </c>
      <c r="AB11" s="177" t="n">
        <v>3.3</v>
      </c>
      <c r="AC11" s="42" t="n">
        <v>4.2</v>
      </c>
      <c r="AD11" s="5">
        <f>IF(MAESTRO!D11="","",IFERROR(AVERAGE(AB11:AC11),""))</f>
        <v/>
      </c>
      <c r="AE11" s="44">
        <f>IF(MAESTRO!D11="","",IFERROR(TRUNC(AVERAGE(P11,AA11),1),""))</f>
        <v/>
      </c>
      <c r="AF11" s="177" t="n"/>
      <c r="AG11" s="177" t="n">
        <v>7</v>
      </c>
      <c r="AH11" s="177" t="n">
        <v>7</v>
      </c>
      <c r="AI11" s="177">
        <f>IF(MAESTRO!D11="","",MAESTRO!D11)</f>
        <v/>
      </c>
      <c r="AJ11" s="178" t="n"/>
      <c r="AK11" s="61" t="n">
        <v>4.1</v>
      </c>
      <c r="AL11" s="61" t="n">
        <v>5</v>
      </c>
      <c r="AM11" s="61" t="n">
        <v>3.1</v>
      </c>
      <c r="AN11" s="61" t="n">
        <v>3.8</v>
      </c>
      <c r="AO11" s="61" t="n">
        <v>3.5</v>
      </c>
      <c r="AP11" s="61" t="n">
        <v>3.5</v>
      </c>
      <c r="AQ11" s="61" t="n">
        <v>3.4</v>
      </c>
      <c r="AR11" s="61" t="n">
        <v>3.7</v>
      </c>
      <c r="AS11" s="61" t="n">
        <v>4.7</v>
      </c>
      <c r="AT11" s="61" t="n">
        <v>4.3</v>
      </c>
      <c r="AU11" s="61" t="n">
        <v>3.5</v>
      </c>
      <c r="AV11" s="61" t="n">
        <v>4.8</v>
      </c>
      <c r="AW11" s="5">
        <f>IF(MAESTRO!D11="","",IFERROR(TRUNC(AVERAGE(AK11:AV11),1),""))</f>
        <v/>
      </c>
      <c r="AX11" s="22" t="n">
        <v>4.5</v>
      </c>
      <c r="AY11" s="22" t="n">
        <v>3</v>
      </c>
      <c r="AZ11" s="22" t="n">
        <v>3.7</v>
      </c>
      <c r="BA11" s="22" t="n">
        <v>3.9</v>
      </c>
      <c r="BB11" s="22" t="n">
        <v>4</v>
      </c>
      <c r="BC11" s="22" t="n">
        <v>4.1</v>
      </c>
      <c r="BD11" s="22" t="n">
        <v>3.6</v>
      </c>
      <c r="BE11" s="22" t="n">
        <v>4.3</v>
      </c>
      <c r="BF11" s="22" t="n">
        <v>4.1</v>
      </c>
      <c r="BG11" s="22" t="n">
        <v>4</v>
      </c>
      <c r="BH11" s="5">
        <f>IF(MAESTRO!D11="","",IFERROR(TRUNC(AVERAGE(AX11:BG11),1),""))</f>
        <v/>
      </c>
      <c r="BI11" s="22" t="n">
        <v>3.8</v>
      </c>
      <c r="BJ11" s="22" t="n">
        <v>3.4</v>
      </c>
      <c r="BK11" s="22">
        <f>IF(MAESTRO!D11="","",IFERROR(AVERAGE(BI11:BJ11),""))</f>
        <v/>
      </c>
      <c r="BL11" s="5">
        <f>IF(MAESTRO!D11="","",IFERROR(TRUNC(AVERAGE(AW11,BH11),1),""))</f>
        <v/>
      </c>
      <c r="BM11" s="177" t="n"/>
      <c r="BN11" s="177" t="n">
        <v>7</v>
      </c>
      <c r="BO11" s="177" t="n">
        <v>7</v>
      </c>
      <c r="BP11" s="177">
        <f>IF(MAESTRO!D11="","",MAESTRO!D11)</f>
        <v/>
      </c>
      <c r="BQ11" s="178" t="n"/>
      <c r="BR11" s="5" t="n">
        <v>5</v>
      </c>
      <c r="BS11" s="5" t="n">
        <v>3.3</v>
      </c>
      <c r="BT11" s="5" t="n">
        <v>3.2</v>
      </c>
      <c r="BU11" s="5" t="n">
        <v>4.8</v>
      </c>
      <c r="BV11" s="5" t="n">
        <v>4.5</v>
      </c>
      <c r="BW11" s="5" t="n">
        <v>3.4</v>
      </c>
      <c r="BX11" s="5" t="n">
        <v>3.5</v>
      </c>
      <c r="BY11" s="5" t="n">
        <v>3.6</v>
      </c>
      <c r="BZ11" s="5" t="n">
        <v>4.6</v>
      </c>
      <c r="CA11" s="5" t="n">
        <v>3.2</v>
      </c>
      <c r="CB11" s="5" t="n">
        <v>3.5</v>
      </c>
      <c r="CC11" s="5" t="n">
        <v>4.6</v>
      </c>
      <c r="CD11" s="5" t="n">
        <v>3.4</v>
      </c>
      <c r="CE11" s="5">
        <f>IF(MAESTRO!D11="","",IFERROR(TRUNC(AVERAGE(BR11:CD11),1),""))</f>
        <v/>
      </c>
      <c r="CF11" s="5" t="n">
        <v>3.1</v>
      </c>
      <c r="CG11" s="5" t="n">
        <v>3.2</v>
      </c>
      <c r="CH11" s="5" t="n">
        <v>3.6</v>
      </c>
      <c r="CI11" s="5" t="n">
        <v>3.4</v>
      </c>
      <c r="CJ11" s="5" t="n">
        <v>3.4</v>
      </c>
      <c r="CK11" s="5" t="n">
        <v>3.4</v>
      </c>
      <c r="CL11" s="5" t="n">
        <v>4.8</v>
      </c>
      <c r="CM11" s="5" t="n">
        <v>4.4</v>
      </c>
      <c r="CN11" s="5" t="n">
        <v>4.4</v>
      </c>
      <c r="CO11" s="5" t="n">
        <v>3.5</v>
      </c>
      <c r="CP11" s="5">
        <f>IF(MAESTRO!D11="","",IFERROR(TRUNC(AVERAGE(CF11:CO11),1),""))</f>
        <v/>
      </c>
      <c r="CQ11" s="5" t="n">
        <v>3.7</v>
      </c>
      <c r="CR11" s="5" t="n">
        <v>3.2</v>
      </c>
      <c r="CS11" s="5">
        <f>IF(MAESTRO!D11="","",IFERROR(AVERAGE(CQ11:CR11),""))</f>
        <v/>
      </c>
      <c r="CT11" s="5">
        <f>IF(MAESTRO!D11="","",IFERROR(TRUNC(AVERAGE(CE11,CP11),1),""))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v>3</v>
      </c>
      <c r="D12" s="5" t="n">
        <v>3.8</v>
      </c>
      <c r="E12" s="5" t="n">
        <v>4.1</v>
      </c>
      <c r="F12" s="5" t="n">
        <v>3.1</v>
      </c>
      <c r="G12" s="5" t="n">
        <v>3.6</v>
      </c>
      <c r="H12" s="5" t="n">
        <v>3.4</v>
      </c>
      <c r="I12" s="5" t="n">
        <v>3.3</v>
      </c>
      <c r="J12" s="5" t="n">
        <v>3.6</v>
      </c>
      <c r="K12" s="5" t="n">
        <v>3.9</v>
      </c>
      <c r="L12" s="5" t="n">
        <v>3.3</v>
      </c>
      <c r="M12" s="5" t="n">
        <v>5</v>
      </c>
      <c r="N12" s="5" t="n">
        <v>3.7</v>
      </c>
      <c r="O12" s="5" t="n">
        <v>4</v>
      </c>
      <c r="P12" s="5">
        <f>IF(MAESTRO!D12="","",IFERROR(TRUNC(AVERAGE(C12:O12),1),""))</f>
        <v/>
      </c>
      <c r="Q12" s="40" t="n">
        <v>8</v>
      </c>
      <c r="R12" s="22" t="n">
        <v>4.3</v>
      </c>
      <c r="S12" s="22" t="n">
        <v>3.8</v>
      </c>
      <c r="T12" s="22" t="n">
        <v>4.8</v>
      </c>
      <c r="U12" s="22" t="n">
        <v>4.1</v>
      </c>
      <c r="V12" s="22" t="n">
        <v>3.1</v>
      </c>
      <c r="W12" s="22" t="n">
        <v>4</v>
      </c>
      <c r="X12" s="22" t="n">
        <v>4.6</v>
      </c>
      <c r="Y12" s="22" t="n">
        <v>4.8</v>
      </c>
      <c r="Z12" s="22" t="n">
        <v>3.9</v>
      </c>
      <c r="AA12" s="45">
        <f>IF(MAESTRO!D12="","",IFERROR(TRUNC(AVERAGE(R12:Z12),1),""))</f>
        <v/>
      </c>
      <c r="AB12" s="177" t="n">
        <v>3.5</v>
      </c>
      <c r="AC12" s="42" t="n">
        <v>3.2</v>
      </c>
      <c r="AD12" s="5">
        <f>IF(MAESTRO!D12="","",IFERROR(AVERAGE(AB12:AC12),""))</f>
        <v/>
      </c>
      <c r="AE12" s="44">
        <f>IF(MAESTRO!D12="","",IFERROR(TRUNC(AVERAGE(P12,AA12),1),""))</f>
        <v/>
      </c>
      <c r="AF12" s="177" t="n"/>
      <c r="AG12" s="177" t="n">
        <v>8</v>
      </c>
      <c r="AH12" s="177" t="n">
        <v>8</v>
      </c>
      <c r="AI12" s="177">
        <f>IF(MAESTRO!D12="","",MAESTRO!D12)</f>
        <v/>
      </c>
      <c r="AJ12" s="178" t="n"/>
      <c r="AK12" s="61" t="n">
        <v>4.4</v>
      </c>
      <c r="AL12" s="61" t="n">
        <v>3.7</v>
      </c>
      <c r="AM12" s="61" t="n">
        <v>5</v>
      </c>
      <c r="AN12" s="61" t="n">
        <v>4.7</v>
      </c>
      <c r="AO12" s="61" t="n">
        <v>3.2</v>
      </c>
      <c r="AP12" s="61" t="n">
        <v>3.6</v>
      </c>
      <c r="AQ12" s="61" t="n">
        <v>3.1</v>
      </c>
      <c r="AR12" s="61" t="n">
        <v>3.4</v>
      </c>
      <c r="AS12" s="61" t="n">
        <v>4.8</v>
      </c>
      <c r="AT12" s="61" t="n">
        <v>3.8</v>
      </c>
      <c r="AU12" s="61" t="n">
        <v>4.2</v>
      </c>
      <c r="AV12" s="61" t="n">
        <v>3.4</v>
      </c>
      <c r="AW12" s="5">
        <f>IF(MAESTRO!D12="","",IFERROR(TRUNC(AVERAGE(AK12:AV12),1),""))</f>
        <v/>
      </c>
      <c r="AX12" s="22" t="n">
        <v>4.6</v>
      </c>
      <c r="AY12" s="22" t="n">
        <v>3.1</v>
      </c>
      <c r="AZ12" s="22" t="n">
        <v>4.7</v>
      </c>
      <c r="BA12" s="22" t="n">
        <v>3.9</v>
      </c>
      <c r="BB12" s="22" t="n">
        <v>3.9</v>
      </c>
      <c r="BC12" s="22" t="n">
        <v>3.6</v>
      </c>
      <c r="BD12" s="22" t="n">
        <v>3</v>
      </c>
      <c r="BE12" s="22" t="n">
        <v>3.4</v>
      </c>
      <c r="BF12" s="22" t="n">
        <v>3.8</v>
      </c>
      <c r="BG12" s="22" t="n">
        <v>3.6</v>
      </c>
      <c r="BH12" s="5">
        <f>IF(MAESTRO!D12="","",IFERROR(TRUNC(AVERAGE(AX12:BG12),1),""))</f>
        <v/>
      </c>
      <c r="BI12" s="22" t="n">
        <v>3.8</v>
      </c>
      <c r="BJ12" s="22" t="n">
        <v>3.8</v>
      </c>
      <c r="BK12" s="22">
        <f>IF(MAESTRO!D12="","",IFERROR(AVERAGE(BI12:BJ12),""))</f>
        <v/>
      </c>
      <c r="BL12" s="5">
        <f>IF(MAESTRO!D12="","",IFERROR(TRUNC(AVERAGE(AW12,BH12),1),""))</f>
        <v/>
      </c>
      <c r="BM12" s="177" t="n"/>
      <c r="BN12" s="177" t="n">
        <v>8</v>
      </c>
      <c r="BO12" s="177" t="n">
        <v>8</v>
      </c>
      <c r="BP12" s="177">
        <f>IF(MAESTRO!D12="","",MAESTRO!D12)</f>
        <v/>
      </c>
      <c r="BQ12" s="178" t="n"/>
      <c r="BR12" s="5" t="n">
        <v>3.3</v>
      </c>
      <c r="BS12" s="5" t="n">
        <v>3.2</v>
      </c>
      <c r="BT12" s="5" t="n">
        <v>4.6</v>
      </c>
      <c r="BU12" s="5" t="n">
        <v>5</v>
      </c>
      <c r="BV12" s="5" t="n">
        <v>4.7</v>
      </c>
      <c r="BW12" s="5" t="n">
        <v>4</v>
      </c>
      <c r="BX12" s="5" t="n">
        <v>3.6</v>
      </c>
      <c r="BY12" s="5" t="n">
        <v>3.4</v>
      </c>
      <c r="BZ12" s="5" t="n">
        <v>4.6</v>
      </c>
      <c r="CA12" s="5" t="n">
        <v>3.4</v>
      </c>
      <c r="CB12" s="5" t="n">
        <v>4</v>
      </c>
      <c r="CC12" s="5" t="n">
        <v>4.6</v>
      </c>
      <c r="CD12" s="5" t="n">
        <v>5</v>
      </c>
      <c r="CE12" s="5">
        <f>IF(MAESTRO!D12="","",IFERROR(TRUNC(AVERAGE(BR12:CD12),1),""))</f>
        <v/>
      </c>
      <c r="CF12" s="5" t="n">
        <v>4.9</v>
      </c>
      <c r="CG12" s="5" t="n">
        <v>3.5</v>
      </c>
      <c r="CH12" s="5" t="n">
        <v>3.8</v>
      </c>
      <c r="CI12" s="5" t="n">
        <v>3.3</v>
      </c>
      <c r="CJ12" s="5" t="n">
        <v>4.8</v>
      </c>
      <c r="CK12" s="5" t="n">
        <v>4.5</v>
      </c>
      <c r="CL12" s="5" t="n">
        <v>4.8</v>
      </c>
      <c r="CM12" s="5" t="n">
        <v>4.7</v>
      </c>
      <c r="CN12" s="5" t="n">
        <v>3.4</v>
      </c>
      <c r="CO12" s="5" t="n">
        <v>3.9</v>
      </c>
      <c r="CP12" s="5">
        <f>IF(MAESTRO!D12="","",IFERROR(TRUNC(AVERAGE(CF12:CO12),1),""))</f>
        <v/>
      </c>
      <c r="CQ12" s="5" t="n">
        <v>5</v>
      </c>
      <c r="CR12" s="5" t="n">
        <v>4.4</v>
      </c>
      <c r="CS12" s="5">
        <f>IF(MAESTRO!D12="","",IFERROR(AVERAGE(CQ12:CR12),""))</f>
        <v/>
      </c>
      <c r="CT12" s="5">
        <f>IF(MAESTRO!D12="","",IFERROR(TRUNC(AVERAGE(CE12,CP12),1),""))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v>3.3</v>
      </c>
      <c r="D13" s="5" t="n">
        <v>3.5</v>
      </c>
      <c r="E13" s="5" t="n">
        <v>3.6</v>
      </c>
      <c r="F13" s="5" t="n">
        <v>3.2</v>
      </c>
      <c r="G13" s="5" t="n">
        <v>4.9</v>
      </c>
      <c r="H13" s="5" t="n">
        <v>3.5</v>
      </c>
      <c r="I13" s="5" t="n">
        <v>3.4</v>
      </c>
      <c r="J13" s="5" t="n">
        <v>4.9</v>
      </c>
      <c r="K13" s="5" t="n">
        <v>4.9</v>
      </c>
      <c r="L13" s="5" t="n">
        <v>4.7</v>
      </c>
      <c r="M13" s="5" t="n">
        <v>4.1</v>
      </c>
      <c r="N13" s="5" t="n">
        <v>3.6</v>
      </c>
      <c r="O13" s="5" t="n">
        <v>3.7</v>
      </c>
      <c r="P13" s="5">
        <f>IF(MAESTRO!D13="","",IFERROR(TRUNC(AVERAGE(C13:O13),1),""))</f>
        <v/>
      </c>
      <c r="Q13" s="40" t="n">
        <v>9</v>
      </c>
      <c r="R13" s="22" t="n">
        <v>4.1</v>
      </c>
      <c r="S13" s="5" t="n">
        <v>4.1</v>
      </c>
      <c r="T13" s="5" t="n">
        <v>4.8</v>
      </c>
      <c r="U13" s="5" t="n">
        <v>4.7</v>
      </c>
      <c r="V13" s="5" t="n">
        <v>3.4</v>
      </c>
      <c r="W13" s="5" t="n">
        <v>4.2</v>
      </c>
      <c r="X13" s="5" t="n">
        <v>4.5</v>
      </c>
      <c r="Y13" s="5" t="n">
        <v>4.4</v>
      </c>
      <c r="Z13" s="5" t="n">
        <v>3.5</v>
      </c>
      <c r="AA13" s="45">
        <f>IF(MAESTRO!D13="","",IFERROR(TRUNC(AVERAGE(R13:Z13),1),""))</f>
        <v/>
      </c>
      <c r="AB13" s="5" t="n">
        <v>4.1</v>
      </c>
      <c r="AC13" s="5" t="n">
        <v>4.2</v>
      </c>
      <c r="AD13" s="5">
        <f>IF(MAESTRO!D13="","",IFERROR(AVERAGE(AB13:AC13),""))</f>
        <v/>
      </c>
      <c r="AE13" s="44">
        <f>IF(MAESTRO!D13="","",IFERROR(TRUNC(AVERAGE(P13,AA13),1),""))</f>
        <v/>
      </c>
      <c r="AF13" s="177" t="n"/>
      <c r="AG13" s="177" t="n">
        <v>9</v>
      </c>
      <c r="AH13" s="177" t="n">
        <v>9</v>
      </c>
      <c r="AI13" s="177">
        <f>IF(MAESTRO!D13="","",MAESTRO!D13)</f>
        <v/>
      </c>
      <c r="AJ13" s="178" t="n"/>
      <c r="AK13" s="42" t="n">
        <v>3.4</v>
      </c>
      <c r="AL13" s="42" t="n">
        <v>3.1</v>
      </c>
      <c r="AM13" s="42" t="n">
        <v>4.1</v>
      </c>
      <c r="AN13" s="42" t="n">
        <v>4.8</v>
      </c>
      <c r="AO13" s="42" t="n">
        <v>3.7</v>
      </c>
      <c r="AP13" s="42" t="n">
        <v>4</v>
      </c>
      <c r="AQ13" s="42" t="n">
        <v>4.1</v>
      </c>
      <c r="AR13" s="61" t="n">
        <v>3.9</v>
      </c>
      <c r="AS13" s="61" t="n">
        <v>3.8</v>
      </c>
      <c r="AT13" s="61" t="n">
        <v>4</v>
      </c>
      <c r="AU13" s="61" t="n">
        <v>4.4</v>
      </c>
      <c r="AV13" s="61" t="n">
        <v>3.2</v>
      </c>
      <c r="AW13" s="5">
        <f>IF(MAESTRO!D13="","",IFERROR(TRUNC(AVERAGE(AK13:AV13),1),""))</f>
        <v/>
      </c>
      <c r="AX13" s="63" t="n">
        <v>4.3</v>
      </c>
      <c r="AY13" s="22" t="n">
        <v>4.1</v>
      </c>
      <c r="AZ13" s="63" t="n">
        <v>4.7</v>
      </c>
      <c r="BA13" s="63" t="n">
        <v>4.3</v>
      </c>
      <c r="BB13" s="22" t="n">
        <v>4.4</v>
      </c>
      <c r="BC13" s="63" t="n">
        <v>4.4</v>
      </c>
      <c r="BD13" s="63" t="n">
        <v>3.2</v>
      </c>
      <c r="BE13" s="63" t="n">
        <v>4.3</v>
      </c>
      <c r="BF13" s="63" t="n">
        <v>3.5</v>
      </c>
      <c r="BG13" s="22" t="n">
        <v>4.6</v>
      </c>
      <c r="BH13" s="5">
        <f>IF(MAESTRO!D13="","",IFERROR(TRUNC(AVERAGE(AX13:BG13),1),""))</f>
        <v/>
      </c>
      <c r="BI13" s="22" t="n">
        <v>3.4</v>
      </c>
      <c r="BJ13" s="22" t="n">
        <v>4.5</v>
      </c>
      <c r="BK13" s="22">
        <f>IF(MAESTRO!D13="","",IFERROR(AVERAGE(BI13:BJ13),""))</f>
        <v/>
      </c>
      <c r="BL13" s="5">
        <f>IF(MAESTRO!D13="","",IFERROR(TRUNC(AVERAGE(AW13,BH13),1),""))</f>
        <v/>
      </c>
      <c r="BM13" s="177" t="n"/>
      <c r="BN13" s="177" t="n">
        <v>9</v>
      </c>
      <c r="BO13" s="177" t="n">
        <v>9</v>
      </c>
      <c r="BP13" s="177">
        <f>IF(MAESTRO!D13="","",MAESTRO!D13)</f>
        <v/>
      </c>
      <c r="BQ13" s="178" t="n"/>
      <c r="BR13" s="5" t="n">
        <v>3.7</v>
      </c>
      <c r="BS13" s="5" t="n">
        <v>3.7</v>
      </c>
      <c r="BT13" s="5" t="n">
        <v>3.6</v>
      </c>
      <c r="BU13" s="5" t="n">
        <v>4.2</v>
      </c>
      <c r="BV13" s="5" t="n">
        <v>4.3</v>
      </c>
      <c r="BW13" s="5" t="n">
        <v>5</v>
      </c>
      <c r="BX13" s="5" t="n">
        <v>3.5</v>
      </c>
      <c r="BY13" s="5" t="n">
        <v>3.8</v>
      </c>
      <c r="BZ13" s="5" t="n">
        <v>3.6</v>
      </c>
      <c r="CA13" s="5" t="n">
        <v>3.3</v>
      </c>
      <c r="CB13" s="5" t="n">
        <v>3.7</v>
      </c>
      <c r="CC13" s="5" t="n">
        <v>4</v>
      </c>
      <c r="CD13" s="5" t="n">
        <v>4</v>
      </c>
      <c r="CE13" s="5">
        <f>IF(MAESTRO!D13="","",IFERROR(TRUNC(AVERAGE(BR13:CD13),1),""))</f>
        <v/>
      </c>
      <c r="CF13" s="5" t="n">
        <v>4.6</v>
      </c>
      <c r="CG13" s="5" t="n">
        <v>4.1</v>
      </c>
      <c r="CH13" s="5" t="n">
        <v>4.5</v>
      </c>
      <c r="CI13" s="5" t="n">
        <v>3.5</v>
      </c>
      <c r="CJ13" s="5" t="n">
        <v>3.5</v>
      </c>
      <c r="CK13" s="5" t="n">
        <v>4.7</v>
      </c>
      <c r="CL13" s="5" t="n">
        <v>3.3</v>
      </c>
      <c r="CM13" s="5" t="n">
        <v>3.5</v>
      </c>
      <c r="CN13" s="5" t="n">
        <v>4</v>
      </c>
      <c r="CO13" s="5" t="n">
        <v>4.1</v>
      </c>
      <c r="CP13" s="5">
        <f>IF(MAESTRO!D13="","",IFERROR(TRUNC(AVERAGE(CF13:CO13),1),""))</f>
        <v/>
      </c>
      <c r="CQ13" s="5" t="n">
        <v>3.2</v>
      </c>
      <c r="CR13" s="5" t="n">
        <v>3.9</v>
      </c>
      <c r="CS13" s="5">
        <f>IF(MAESTRO!D13="","",IFERROR(AVERAGE(CQ13:CR13),""))</f>
        <v/>
      </c>
      <c r="CT13" s="5">
        <f>IF(MAESTRO!D13="","",IFERROR(TRUNC(AVERAGE(CE13,CP13),1),""))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v>3.3</v>
      </c>
      <c r="D14" s="5" t="n">
        <v>4.2</v>
      </c>
      <c r="E14" s="5" t="n">
        <v>4</v>
      </c>
      <c r="F14" s="5" t="n">
        <v>3.1</v>
      </c>
      <c r="G14" s="5" t="n">
        <v>3.6</v>
      </c>
      <c r="H14" s="5" t="n">
        <v>3.3</v>
      </c>
      <c r="I14" s="5" t="n">
        <v>3.4</v>
      </c>
      <c r="J14" s="5" t="n">
        <v>3.8</v>
      </c>
      <c r="K14" s="5" t="n">
        <v>3.6</v>
      </c>
      <c r="L14" s="5" t="n">
        <v>4.7</v>
      </c>
      <c r="M14" s="5" t="n">
        <v>3.2</v>
      </c>
      <c r="N14" s="5" t="n">
        <v>3.5</v>
      </c>
      <c r="O14" s="5" t="n">
        <v>4.7</v>
      </c>
      <c r="P14" s="5">
        <f>IF(MAESTRO!D14="","",IFERROR(TRUNC(AVERAGE(C14:O14),1),""))</f>
        <v/>
      </c>
      <c r="Q14" s="40" t="n">
        <v>10</v>
      </c>
      <c r="R14" s="22" t="n">
        <v>3.4</v>
      </c>
      <c r="S14" s="22" t="n">
        <v>4.3</v>
      </c>
      <c r="T14" s="22" t="n">
        <v>4.9</v>
      </c>
      <c r="U14" s="22" t="n">
        <v>3.6</v>
      </c>
      <c r="V14" s="22" t="n">
        <v>4.1</v>
      </c>
      <c r="W14" s="22" t="n">
        <v>3.4</v>
      </c>
      <c r="X14" s="22" t="n">
        <v>4.1</v>
      </c>
      <c r="Y14" s="22" t="n">
        <v>4.7</v>
      </c>
      <c r="Z14" s="22" t="n">
        <v>3.5</v>
      </c>
      <c r="AA14" s="45">
        <f>IF(MAESTRO!D14="","",IFERROR(TRUNC(AVERAGE(R14:Z14),1),""))</f>
        <v/>
      </c>
      <c r="AB14" s="177" t="n">
        <v>4</v>
      </c>
      <c r="AC14" s="42" t="n">
        <v>3.6</v>
      </c>
      <c r="AD14" s="5">
        <f>IF(MAESTRO!D14="","",IFERROR(AVERAGE(AB14:AC14),""))</f>
        <v/>
      </c>
      <c r="AE14" s="44">
        <f>IF(MAESTRO!D14="","",IFERROR(TRUNC(AVERAGE(P14,AA14),1),""))</f>
        <v/>
      </c>
      <c r="AF14" s="177" t="n"/>
      <c r="AG14" s="177" t="n">
        <v>10</v>
      </c>
      <c r="AH14" s="177" t="n">
        <v>10</v>
      </c>
      <c r="AI14" s="177">
        <f>IF(MAESTRO!D14="","",MAESTRO!D14)</f>
        <v/>
      </c>
      <c r="AJ14" s="178" t="n"/>
      <c r="AK14" s="61" t="n">
        <v>4.4</v>
      </c>
      <c r="AL14" s="61" t="n">
        <v>4.4</v>
      </c>
      <c r="AM14" s="61" t="n">
        <v>3.1</v>
      </c>
      <c r="AN14" s="61" t="n">
        <v>4</v>
      </c>
      <c r="AO14" s="61" t="n">
        <v>3.2</v>
      </c>
      <c r="AP14" s="61" t="n">
        <v>4</v>
      </c>
      <c r="AQ14" s="61" t="n">
        <v>4.7</v>
      </c>
      <c r="AR14" s="61" t="n">
        <v>3.4</v>
      </c>
      <c r="AS14" s="61" t="n">
        <v>4.2</v>
      </c>
      <c r="AT14" s="61" t="n">
        <v>4</v>
      </c>
      <c r="AU14" s="61" t="n">
        <v>4.6</v>
      </c>
      <c r="AV14" s="61" t="n">
        <v>4.1</v>
      </c>
      <c r="AW14" s="5">
        <f>IF(MAESTRO!D14="","",IFERROR(TRUNC(AVERAGE(AK14:AV14),1),""))</f>
        <v/>
      </c>
      <c r="AX14" s="22" t="n">
        <v>3.8</v>
      </c>
      <c r="AY14" s="22" t="n">
        <v>3.8</v>
      </c>
      <c r="AZ14" s="22" t="n">
        <v>3.9</v>
      </c>
      <c r="BA14" s="22" t="n">
        <v>4.6</v>
      </c>
      <c r="BB14" s="22" t="n">
        <v>3.4</v>
      </c>
      <c r="BC14" s="22" t="n">
        <v>3.5</v>
      </c>
      <c r="BD14" s="22" t="n">
        <v>3.2</v>
      </c>
      <c r="BE14" s="22" t="n">
        <v>4.2</v>
      </c>
      <c r="BF14" s="22" t="n">
        <v>3.3</v>
      </c>
      <c r="BG14" s="22" t="n">
        <v>4.7</v>
      </c>
      <c r="BH14" s="5">
        <f>IF(MAESTRO!D14="","",IFERROR(TRUNC(AVERAGE(AX14:BG14),1),""))</f>
        <v/>
      </c>
      <c r="BI14" s="22" t="n">
        <v>4.8</v>
      </c>
      <c r="BJ14" s="22" t="n">
        <v>4</v>
      </c>
      <c r="BK14" s="22">
        <f>IF(MAESTRO!D14="","",IFERROR(AVERAGE(BI14:BJ14),""))</f>
        <v/>
      </c>
      <c r="BL14" s="5">
        <f>IF(MAESTRO!D14="","",IFERROR(TRUNC(AVERAGE(AW14,BH14),1),""))</f>
        <v/>
      </c>
      <c r="BM14" s="177" t="n"/>
      <c r="BN14" s="177" t="n">
        <v>10</v>
      </c>
      <c r="BO14" s="177" t="n">
        <v>10</v>
      </c>
      <c r="BP14" s="177">
        <f>IF(MAESTRO!D14="","",MAESTRO!D14)</f>
        <v/>
      </c>
      <c r="BQ14" s="178" t="n"/>
      <c r="BR14" s="5" t="n">
        <v>3.8</v>
      </c>
      <c r="BS14" s="5" t="n">
        <v>4.5</v>
      </c>
      <c r="BT14" s="5" t="n">
        <v>3.9</v>
      </c>
      <c r="BU14" s="5" t="n">
        <v>4.2</v>
      </c>
      <c r="BV14" s="5" t="n">
        <v>3.1</v>
      </c>
      <c r="BW14" s="5" t="n">
        <v>3.4</v>
      </c>
      <c r="BX14" s="5" t="n">
        <v>4.8</v>
      </c>
      <c r="BY14" s="5" t="n">
        <v>3.7</v>
      </c>
      <c r="BZ14" s="5" t="n">
        <v>4.4</v>
      </c>
      <c r="CA14" s="5" t="n">
        <v>4.3</v>
      </c>
      <c r="CB14" s="5" t="n">
        <v>4.3</v>
      </c>
      <c r="CC14" s="5" t="n">
        <v>4.6</v>
      </c>
      <c r="CD14" s="5" t="n">
        <v>4.7</v>
      </c>
      <c r="CE14" s="5">
        <f>IF(MAESTRO!D14="","",IFERROR(TRUNC(AVERAGE(BR14:CD14),1),""))</f>
        <v/>
      </c>
      <c r="CF14" s="5" t="n">
        <v>4.9</v>
      </c>
      <c r="CG14" s="5" t="n">
        <v>4.3</v>
      </c>
      <c r="CH14" s="5" t="n">
        <v>4.3</v>
      </c>
      <c r="CI14" s="5" t="n">
        <v>3.5</v>
      </c>
      <c r="CJ14" s="5" t="n">
        <v>3.7</v>
      </c>
      <c r="CK14" s="5" t="n">
        <v>3.7</v>
      </c>
      <c r="CL14" s="5" t="n">
        <v>4.6</v>
      </c>
      <c r="CM14" s="5" t="n">
        <v>3.6</v>
      </c>
      <c r="CN14" s="5" t="n">
        <v>4.7</v>
      </c>
      <c r="CO14" s="5" t="n">
        <v>4.4</v>
      </c>
      <c r="CP14" s="5">
        <f>IF(MAESTRO!D14="","",IFERROR(TRUNC(AVERAGE(CF14:CO14),1),""))</f>
        <v/>
      </c>
      <c r="CQ14" s="5" t="n">
        <v>4.4</v>
      </c>
      <c r="CR14" s="5" t="n">
        <v>4.3</v>
      </c>
      <c r="CS14" s="5">
        <f>IF(MAESTRO!D14="","",IFERROR(AVERAGE(CQ14:CR14),""))</f>
        <v/>
      </c>
      <c r="CT14" s="5">
        <f>IF(MAESTRO!D14="","",IFERROR(TRUNC(AVERAGE(CE14,CP14),1),""))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v>4.5</v>
      </c>
      <c r="D15" s="5" t="n">
        <v>4.3</v>
      </c>
      <c r="E15" s="5" t="n">
        <v>3.1</v>
      </c>
      <c r="F15" s="5" t="n">
        <v>4.7</v>
      </c>
      <c r="G15" s="5" t="n">
        <v>3.3</v>
      </c>
      <c r="H15" s="5" t="n">
        <v>4.6</v>
      </c>
      <c r="I15" s="5" t="n">
        <v>4.7</v>
      </c>
      <c r="J15" s="5" t="n">
        <v>4.4</v>
      </c>
      <c r="K15" s="5" t="n">
        <v>3.6</v>
      </c>
      <c r="L15" s="5" t="n">
        <v>4.5</v>
      </c>
      <c r="M15" s="5" t="n">
        <v>4.6</v>
      </c>
      <c r="N15" s="5" t="n">
        <v>3.9</v>
      </c>
      <c r="O15" s="5" t="n">
        <v>4.6</v>
      </c>
      <c r="P15" s="5">
        <f>IF(MAESTRO!D15="","",IFERROR(TRUNC(AVERAGE(C15:O15),1),""))</f>
        <v/>
      </c>
      <c r="Q15" s="40" t="n">
        <v>11</v>
      </c>
      <c r="R15" s="22" t="n">
        <v>4.7</v>
      </c>
      <c r="S15" s="22" t="n">
        <v>3</v>
      </c>
      <c r="T15" s="22" t="n">
        <v>3.7</v>
      </c>
      <c r="U15" s="22" t="n">
        <v>3.7</v>
      </c>
      <c r="V15" s="22" t="n">
        <v>4.9</v>
      </c>
      <c r="W15" s="22" t="n">
        <v>3.1</v>
      </c>
      <c r="X15" s="22" t="n">
        <v>3.3</v>
      </c>
      <c r="Y15" s="22" t="n">
        <v>3.8</v>
      </c>
      <c r="Z15" s="22" t="n">
        <v>3.7</v>
      </c>
      <c r="AA15" s="45">
        <f>IF(MAESTRO!D15="","",IFERROR(TRUNC(AVERAGE(R15:Z15),1),""))</f>
        <v/>
      </c>
      <c r="AB15" s="177" t="n">
        <v>4.3</v>
      </c>
      <c r="AC15" s="42" t="n">
        <v>4.5</v>
      </c>
      <c r="AD15" s="5">
        <f>IF(MAESTRO!D15="","",IFERROR(AVERAGE(AB15:AC15),""))</f>
        <v/>
      </c>
      <c r="AE15" s="44">
        <f>IF(MAESTRO!D15="","",IFERROR(TRUNC(AVERAGE(P15,AA15),1),""))</f>
        <v/>
      </c>
      <c r="AF15" s="177" t="n"/>
      <c r="AG15" s="177" t="n">
        <v>11</v>
      </c>
      <c r="AH15" s="177" t="n">
        <v>11</v>
      </c>
      <c r="AI15" s="177">
        <f>IF(MAESTRO!D15="","",MAESTRO!D15)</f>
        <v/>
      </c>
      <c r="AJ15" s="178" t="n"/>
      <c r="AK15" s="61" t="n">
        <v>4.1</v>
      </c>
      <c r="AL15" s="61" t="n">
        <v>4.9</v>
      </c>
      <c r="AM15" s="61" t="n">
        <v>4</v>
      </c>
      <c r="AN15" s="61" t="n">
        <v>3.5</v>
      </c>
      <c r="AO15" s="61" t="n">
        <v>3.9</v>
      </c>
      <c r="AP15" s="61" t="n">
        <v>3.7</v>
      </c>
      <c r="AQ15" s="61" t="n">
        <v>4.5</v>
      </c>
      <c r="AR15" s="61" t="n">
        <v>3.2</v>
      </c>
      <c r="AS15" s="61" t="n">
        <v>4.8</v>
      </c>
      <c r="AT15" s="61" t="n">
        <v>4.8</v>
      </c>
      <c r="AU15" s="61" t="n">
        <v>4.4</v>
      </c>
      <c r="AV15" s="61" t="n">
        <v>4.4</v>
      </c>
      <c r="AW15" s="5">
        <f>IF(MAESTRO!D15="","",IFERROR(TRUNC(AVERAGE(AK15:AV15),1),""))</f>
        <v/>
      </c>
      <c r="AX15" s="22" t="n">
        <v>3.9</v>
      </c>
      <c r="AY15" s="22" t="n">
        <v>3</v>
      </c>
      <c r="AZ15" s="22" t="n">
        <v>4.8</v>
      </c>
      <c r="BA15" s="22" t="n">
        <v>3.8</v>
      </c>
      <c r="BB15" s="22" t="n">
        <v>4.7</v>
      </c>
      <c r="BC15" s="22" t="n">
        <v>4.1</v>
      </c>
      <c r="BD15" s="22" t="n">
        <v>4.7</v>
      </c>
      <c r="BE15" s="22" t="n">
        <v>3.3</v>
      </c>
      <c r="BF15" s="22" t="n">
        <v>4.8</v>
      </c>
      <c r="BG15" s="22" t="n">
        <v>3.4</v>
      </c>
      <c r="BH15" s="5">
        <f>IF(MAESTRO!D15="","",IFERROR(TRUNC(AVERAGE(AX15:BG15),1),""))</f>
        <v/>
      </c>
      <c r="BI15" s="22" t="n">
        <v>3.1</v>
      </c>
      <c r="BJ15" s="22" t="n">
        <v>4</v>
      </c>
      <c r="BK15" s="22">
        <f>IF(MAESTRO!D15="","",IFERROR(AVERAGE(BI15:BJ15),""))</f>
        <v/>
      </c>
      <c r="BL15" s="5">
        <f>IF(MAESTRO!D15="","",IFERROR(TRUNC(AVERAGE(AW15,BH15),1),""))</f>
        <v/>
      </c>
      <c r="BM15" s="177" t="n"/>
      <c r="BN15" s="177" t="n">
        <v>11</v>
      </c>
      <c r="BO15" s="177" t="n">
        <v>11</v>
      </c>
      <c r="BP15" s="177">
        <f>IF(MAESTRO!D15="","",MAESTRO!D15)</f>
        <v/>
      </c>
      <c r="BQ15" s="178" t="n"/>
      <c r="BR15" s="5" t="n">
        <v>3.9</v>
      </c>
      <c r="BS15" s="5" t="n">
        <v>4.9</v>
      </c>
      <c r="BT15" s="5" t="n">
        <v>3</v>
      </c>
      <c r="BU15" s="5" t="n">
        <v>3.1</v>
      </c>
      <c r="BV15" s="5" t="n">
        <v>3.5</v>
      </c>
      <c r="BW15" s="5" t="n">
        <v>3.2</v>
      </c>
      <c r="BX15" s="5" t="n">
        <v>4.1</v>
      </c>
      <c r="BY15" s="5" t="n">
        <v>3.3</v>
      </c>
      <c r="BZ15" s="5" t="n">
        <v>4.2</v>
      </c>
      <c r="CA15" s="5" t="n">
        <v>3.5</v>
      </c>
      <c r="CB15" s="5" t="n">
        <v>3.4</v>
      </c>
      <c r="CC15" s="5" t="n">
        <v>4.2</v>
      </c>
      <c r="CD15" s="5" t="n">
        <v>5</v>
      </c>
      <c r="CE15" s="5">
        <f>IF(MAESTRO!D15="","",IFERROR(TRUNC(AVERAGE(BR15:CD15),1),""))</f>
        <v/>
      </c>
      <c r="CF15" s="5" t="n">
        <v>4.3</v>
      </c>
      <c r="CG15" s="5" t="n">
        <v>4.8</v>
      </c>
      <c r="CH15" s="5" t="n">
        <v>3.1</v>
      </c>
      <c r="CI15" s="5" t="n">
        <v>4.2</v>
      </c>
      <c r="CJ15" s="5" t="n">
        <v>5</v>
      </c>
      <c r="CK15" s="5" t="n">
        <v>3.3</v>
      </c>
      <c r="CL15" s="5" t="n">
        <v>3.6</v>
      </c>
      <c r="CM15" s="5" t="n">
        <v>3.1</v>
      </c>
      <c r="CN15" s="5" t="n">
        <v>3.2</v>
      </c>
      <c r="CO15" s="5" t="n">
        <v>3.2</v>
      </c>
      <c r="CP15" s="5">
        <f>IF(MAESTRO!D15="","",IFERROR(TRUNC(AVERAGE(CF15:CO15),1),""))</f>
        <v/>
      </c>
      <c r="CQ15" s="5" t="n">
        <v>4.5</v>
      </c>
      <c r="CR15" s="5" t="n">
        <v>3.5</v>
      </c>
      <c r="CS15" s="5">
        <f>IF(MAESTRO!D15="","",IFERROR(AVERAGE(CQ15:CR15),""))</f>
        <v/>
      </c>
      <c r="CT15" s="5">
        <f>IF(MAESTRO!D15="","",IFERROR(TRUNC(AVERAGE(CE15,CP15),1),""))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v>4.3</v>
      </c>
      <c r="D16" s="5" t="n">
        <v>4.8</v>
      </c>
      <c r="E16" s="5" t="n">
        <v>3.8</v>
      </c>
      <c r="F16" s="5" t="n">
        <v>3.4</v>
      </c>
      <c r="G16" s="5" t="n">
        <v>3.2</v>
      </c>
      <c r="H16" s="5" t="n">
        <v>3.8</v>
      </c>
      <c r="I16" s="5" t="n">
        <v>4.1</v>
      </c>
      <c r="J16" s="5" t="n">
        <v>4.7</v>
      </c>
      <c r="K16" s="5" t="n">
        <v>3.5</v>
      </c>
      <c r="L16" s="5" t="n">
        <v>5</v>
      </c>
      <c r="M16" s="5" t="n">
        <v>3.2</v>
      </c>
      <c r="N16" s="5" t="n">
        <v>4.9</v>
      </c>
      <c r="O16" s="5" t="n">
        <v>3.6</v>
      </c>
      <c r="P16" s="5">
        <f>IF(MAESTRO!D16="","",IFERROR(TRUNC(AVERAGE(C16:O16),1),""))</f>
        <v/>
      </c>
      <c r="Q16" s="40" t="n">
        <v>12</v>
      </c>
      <c r="R16" s="22" t="n">
        <v>4.2</v>
      </c>
      <c r="S16" s="22" t="n">
        <v>3.9</v>
      </c>
      <c r="T16" s="22" t="n">
        <v>4.4</v>
      </c>
      <c r="U16" s="22" t="n">
        <v>4.4</v>
      </c>
      <c r="V16" s="22" t="n">
        <v>4.2</v>
      </c>
      <c r="W16" s="22" t="n">
        <v>4.2</v>
      </c>
      <c r="X16" s="22" t="n">
        <v>3.1</v>
      </c>
      <c r="Y16" s="22" t="n">
        <v>3.4</v>
      </c>
      <c r="Z16" s="22" t="n">
        <v>3.8</v>
      </c>
      <c r="AA16" s="45">
        <f>IF(MAESTRO!D16="","",IFERROR(TRUNC(AVERAGE(R16:Z16),1),""))</f>
        <v/>
      </c>
      <c r="AB16" s="177" t="n">
        <v>3.1</v>
      </c>
      <c r="AC16" s="42" t="n">
        <v>3.6</v>
      </c>
      <c r="AD16" s="5">
        <f>IF(MAESTRO!D16="","",IFERROR(AVERAGE(AB16:AC16),""))</f>
        <v/>
      </c>
      <c r="AE16" s="44">
        <f>IF(MAESTRO!D16="","",IFERROR(TRUNC(AVERAGE(P16,AA16),1),""))</f>
        <v/>
      </c>
      <c r="AF16" s="177" t="n"/>
      <c r="AG16" s="177" t="n">
        <v>12</v>
      </c>
      <c r="AH16" s="177" t="n">
        <v>12</v>
      </c>
      <c r="AI16" s="177">
        <f>IF(MAESTRO!D16="","",MAESTRO!D16)</f>
        <v/>
      </c>
      <c r="AJ16" s="178" t="n"/>
      <c r="AK16" s="61" t="n">
        <v>3.7</v>
      </c>
      <c r="AL16" s="61" t="n">
        <v>4.8</v>
      </c>
      <c r="AM16" s="61" t="n">
        <v>3.3</v>
      </c>
      <c r="AN16" s="61" t="n">
        <v>3.5</v>
      </c>
      <c r="AO16" s="61" t="n">
        <v>4.8</v>
      </c>
      <c r="AP16" s="61" t="n">
        <v>4.5</v>
      </c>
      <c r="AQ16" s="61" t="n">
        <v>4.2</v>
      </c>
      <c r="AR16" s="61" t="n">
        <v>3.3</v>
      </c>
      <c r="AS16" s="61" t="n">
        <v>4.5</v>
      </c>
      <c r="AT16" s="61" t="n">
        <v>4.1</v>
      </c>
      <c r="AU16" s="61" t="n">
        <v>3.2</v>
      </c>
      <c r="AV16" s="61" t="n">
        <v>3.8</v>
      </c>
      <c r="AW16" s="5">
        <f>IF(MAESTRO!D16="","",IFERROR(TRUNC(AVERAGE(AK16:AV16),1),""))</f>
        <v/>
      </c>
      <c r="AX16" s="22" t="n">
        <v>3.8</v>
      </c>
      <c r="AY16" s="22" t="n">
        <v>3.7</v>
      </c>
      <c r="AZ16" s="22" t="n">
        <v>3.2</v>
      </c>
      <c r="BA16" s="22" t="n">
        <v>3.8</v>
      </c>
      <c r="BB16" s="22" t="n">
        <v>4.2</v>
      </c>
      <c r="BC16" s="22" t="n">
        <v>3</v>
      </c>
      <c r="BD16" s="22" t="n">
        <v>3.8</v>
      </c>
      <c r="BE16" s="22" t="n">
        <v>3.3</v>
      </c>
      <c r="BF16" s="22" t="n">
        <v>4</v>
      </c>
      <c r="BG16" s="22" t="n">
        <v>4.4</v>
      </c>
      <c r="BH16" s="5">
        <f>IF(MAESTRO!D16="","",IFERROR(TRUNC(AVERAGE(AX16:BG16),1),""))</f>
        <v/>
      </c>
      <c r="BI16" s="22" t="n">
        <v>4.3</v>
      </c>
      <c r="BJ16" s="22" t="n">
        <v>4.8</v>
      </c>
      <c r="BK16" s="22">
        <f>IF(MAESTRO!D16="","",IFERROR(AVERAGE(BI16:BJ16),""))</f>
        <v/>
      </c>
      <c r="BL16" s="5">
        <f>IF(MAESTRO!D16="","",IFERROR(TRUNC(AVERAGE(AW16,BH16),1),""))</f>
        <v/>
      </c>
      <c r="BM16" s="177" t="n"/>
      <c r="BN16" s="177" t="n">
        <v>12</v>
      </c>
      <c r="BO16" s="177" t="n">
        <v>12</v>
      </c>
      <c r="BP16" s="177">
        <f>IF(MAESTRO!D16="","",MAESTRO!D16)</f>
        <v/>
      </c>
      <c r="BQ16" s="178" t="n"/>
      <c r="BR16" s="5" t="n">
        <v>3.1</v>
      </c>
      <c r="BS16" s="5" t="n">
        <v>4.6</v>
      </c>
      <c r="BT16" s="5" t="n">
        <v>4.4</v>
      </c>
      <c r="BU16" s="5" t="n">
        <v>3.7</v>
      </c>
      <c r="BV16" s="5" t="n">
        <v>4.5</v>
      </c>
      <c r="BW16" s="5" t="n">
        <v>3.6</v>
      </c>
      <c r="BX16" s="5" t="n">
        <v>4.4</v>
      </c>
      <c r="BY16" s="5" t="n">
        <v>4.5</v>
      </c>
      <c r="BZ16" s="5" t="n">
        <v>3.4</v>
      </c>
      <c r="CA16" s="5" t="n">
        <v>3.9</v>
      </c>
      <c r="CB16" s="5" t="n">
        <v>3</v>
      </c>
      <c r="CC16" s="5" t="n">
        <v>4.8</v>
      </c>
      <c r="CD16" s="5" t="n">
        <v>3.5</v>
      </c>
      <c r="CE16" s="5">
        <f>IF(MAESTRO!D16="","",IFERROR(TRUNC(AVERAGE(BR16:CD16),1),""))</f>
        <v/>
      </c>
      <c r="CF16" s="5" t="n">
        <v>3.4</v>
      </c>
      <c r="CG16" s="5" t="n">
        <v>4.1</v>
      </c>
      <c r="CH16" s="5" t="n">
        <v>4.4</v>
      </c>
      <c r="CI16" s="5" t="n">
        <v>3.4</v>
      </c>
      <c r="CJ16" s="5" t="n">
        <v>4</v>
      </c>
      <c r="CK16" s="5" t="n">
        <v>4.8</v>
      </c>
      <c r="CL16" s="5" t="n">
        <v>4.4</v>
      </c>
      <c r="CM16" s="5" t="n">
        <v>3.3</v>
      </c>
      <c r="CN16" s="5" t="n">
        <v>4.5</v>
      </c>
      <c r="CO16" s="5" t="n">
        <v>3.7</v>
      </c>
      <c r="CP16" s="5">
        <f>IF(MAESTRO!D16="","",IFERROR(TRUNC(AVERAGE(CF16:CO16),1),""))</f>
        <v/>
      </c>
      <c r="CQ16" s="5" t="n">
        <v>4.3</v>
      </c>
      <c r="CR16" s="5" t="n">
        <v>4.1</v>
      </c>
      <c r="CS16" s="5">
        <f>IF(MAESTRO!D16="","",IFERROR(AVERAGE(CQ16:CR16),""))</f>
        <v/>
      </c>
      <c r="CT16" s="5">
        <f>IF(MAESTRO!D16="","",IFERROR(TRUNC(AVERAGE(CE16,CP16),1),""))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v>4.1</v>
      </c>
      <c r="D17" s="5" t="n">
        <v>4</v>
      </c>
      <c r="E17" s="5" t="n">
        <v>3.1</v>
      </c>
      <c r="F17" s="5" t="n">
        <v>4.7</v>
      </c>
      <c r="G17" s="5" t="n">
        <v>3.4</v>
      </c>
      <c r="H17" s="5" t="n">
        <v>3.9</v>
      </c>
      <c r="I17" s="5" t="n">
        <v>3.5</v>
      </c>
      <c r="J17" s="5" t="n">
        <v>4.1</v>
      </c>
      <c r="K17" s="5" t="n">
        <v>3.3</v>
      </c>
      <c r="L17" s="5" t="n">
        <v>3.9</v>
      </c>
      <c r="M17" s="5" t="n">
        <v>4.1</v>
      </c>
      <c r="N17" s="5" t="n">
        <v>4.6</v>
      </c>
      <c r="O17" s="5" t="n">
        <v>5</v>
      </c>
      <c r="P17" s="5">
        <f>IF(MAESTRO!D17="","",IFERROR(TRUNC(AVERAGE(C17:O17),1),""))</f>
        <v/>
      </c>
      <c r="Q17" s="40" t="n">
        <v>13</v>
      </c>
      <c r="R17" s="22" t="n">
        <v>3.4</v>
      </c>
      <c r="S17" s="22" t="n">
        <v>3.1</v>
      </c>
      <c r="T17" s="22" t="n">
        <v>4.9</v>
      </c>
      <c r="U17" s="22" t="n">
        <v>4.9</v>
      </c>
      <c r="V17" s="22" t="n">
        <v>3.7</v>
      </c>
      <c r="W17" s="22" t="n">
        <v>4</v>
      </c>
      <c r="X17" s="22" t="n">
        <v>3.1</v>
      </c>
      <c r="Y17" s="22" t="n">
        <v>4.4</v>
      </c>
      <c r="Z17" s="22" t="n">
        <v>3.7</v>
      </c>
      <c r="AA17" s="45">
        <f>IF(MAESTRO!D17="","",IFERROR(TRUNC(AVERAGE(R17:Z17),1),""))</f>
        <v/>
      </c>
      <c r="AB17" s="177" t="n">
        <v>3.2</v>
      </c>
      <c r="AC17" s="42" t="n">
        <v>4.2</v>
      </c>
      <c r="AD17" s="5">
        <f>IF(MAESTRO!D17="","",IFERROR(AVERAGE(AB17:AC17),""))</f>
        <v/>
      </c>
      <c r="AE17" s="44">
        <f>IF(MAESTRO!D17="","",IFERROR(TRUNC(AVERAGE(P17,AA17),1),""))</f>
        <v/>
      </c>
      <c r="AF17" s="177" t="n"/>
      <c r="AG17" s="177" t="n">
        <v>13</v>
      </c>
      <c r="AH17" s="177" t="n">
        <v>13</v>
      </c>
      <c r="AI17" s="177">
        <f>IF(MAESTRO!D17="","",MAESTRO!D17)</f>
        <v/>
      </c>
      <c r="AJ17" s="178" t="n"/>
      <c r="AK17" s="61" t="n">
        <v>4.9</v>
      </c>
      <c r="AL17" s="61" t="n">
        <v>4.5</v>
      </c>
      <c r="AM17" s="61" t="n">
        <v>3.4</v>
      </c>
      <c r="AN17" s="61" t="n">
        <v>4.8</v>
      </c>
      <c r="AO17" s="61" t="n">
        <v>4.3</v>
      </c>
      <c r="AP17" s="61" t="n">
        <v>3.3</v>
      </c>
      <c r="AQ17" s="61" t="n">
        <v>3.4</v>
      </c>
      <c r="AR17" s="61" t="n">
        <v>4.5</v>
      </c>
      <c r="AS17" s="61" t="n">
        <v>4.1</v>
      </c>
      <c r="AT17" s="61" t="n">
        <v>4</v>
      </c>
      <c r="AU17" s="61" t="n">
        <v>4.6</v>
      </c>
      <c r="AV17" s="61" t="n">
        <v>3.3</v>
      </c>
      <c r="AW17" s="5">
        <f>IF(MAESTRO!D17="","",IFERROR(TRUNC(AVERAGE(AK17:AV17),1),""))</f>
        <v/>
      </c>
      <c r="AX17" s="22" t="n">
        <v>3.9</v>
      </c>
      <c r="AY17" s="22" t="n">
        <v>4.5</v>
      </c>
      <c r="AZ17" s="22" t="n">
        <v>4.9</v>
      </c>
      <c r="BA17" s="22" t="n">
        <v>4</v>
      </c>
      <c r="BB17" s="22" t="n">
        <v>3.6</v>
      </c>
      <c r="BC17" s="22" t="n">
        <v>4</v>
      </c>
      <c r="BD17" s="22" t="n">
        <v>3</v>
      </c>
      <c r="BE17" s="22" t="n">
        <v>3.6</v>
      </c>
      <c r="BF17" s="22" t="n">
        <v>4.3</v>
      </c>
      <c r="BG17" s="22" t="n">
        <v>4</v>
      </c>
      <c r="BH17" s="5">
        <f>IF(MAESTRO!D17="","",IFERROR(TRUNC(AVERAGE(AX17:BG17),1),""))</f>
        <v/>
      </c>
      <c r="BI17" s="22" t="n">
        <v>3.9</v>
      </c>
      <c r="BJ17" s="22" t="n">
        <v>4.7</v>
      </c>
      <c r="BK17" s="22">
        <f>IF(MAESTRO!D17="","",IFERROR(AVERAGE(BI17:BJ17),""))</f>
        <v/>
      </c>
      <c r="BL17" s="5">
        <f>IF(MAESTRO!D17="","",IFERROR(TRUNC(AVERAGE(AW17,BH17),1),""))</f>
        <v/>
      </c>
      <c r="BM17" s="177" t="n"/>
      <c r="BN17" s="177" t="n">
        <v>13</v>
      </c>
      <c r="BO17" s="177" t="n">
        <v>13</v>
      </c>
      <c r="BP17" s="177">
        <f>IF(MAESTRO!D17="","",MAESTRO!D17)</f>
        <v/>
      </c>
      <c r="BQ17" s="178" t="n"/>
      <c r="BR17" s="5" t="n">
        <v>4.5</v>
      </c>
      <c r="BS17" s="5" t="n">
        <v>3.6</v>
      </c>
      <c r="BT17" s="5" t="n">
        <v>3.4</v>
      </c>
      <c r="BU17" s="5" t="n">
        <v>3.1</v>
      </c>
      <c r="BV17" s="5" t="n">
        <v>4.7</v>
      </c>
      <c r="BW17" s="5" t="n">
        <v>4.8</v>
      </c>
      <c r="BX17" s="5" t="n">
        <v>4.7</v>
      </c>
      <c r="BY17" s="5" t="n">
        <v>4.8</v>
      </c>
      <c r="BZ17" s="5" t="n">
        <v>3.1</v>
      </c>
      <c r="CA17" s="5" t="n">
        <v>3.2</v>
      </c>
      <c r="CB17" s="5" t="n">
        <v>3.8</v>
      </c>
      <c r="CC17" s="5" t="n">
        <v>3.3</v>
      </c>
      <c r="CD17" s="5" t="n">
        <v>3.6</v>
      </c>
      <c r="CE17" s="5">
        <f>IF(MAESTRO!D17="","",IFERROR(TRUNC(AVERAGE(BR17:CD17),1),""))</f>
        <v/>
      </c>
      <c r="CF17" s="5" t="n">
        <v>4.2</v>
      </c>
      <c r="CG17" s="5" t="n">
        <v>4.8</v>
      </c>
      <c r="CH17" s="5" t="n">
        <v>3</v>
      </c>
      <c r="CI17" s="5" t="n">
        <v>3</v>
      </c>
      <c r="CJ17" s="5" t="n">
        <v>3.6</v>
      </c>
      <c r="CK17" s="5" t="n">
        <v>4</v>
      </c>
      <c r="CL17" s="5" t="n">
        <v>4.7</v>
      </c>
      <c r="CM17" s="5" t="n">
        <v>4.7</v>
      </c>
      <c r="CN17" s="5" t="n">
        <v>3.4</v>
      </c>
      <c r="CO17" s="5" t="n">
        <v>3.1</v>
      </c>
      <c r="CP17" s="5">
        <f>IF(MAESTRO!D17="","",IFERROR(TRUNC(AVERAGE(CF17:CO17),1),""))</f>
        <v/>
      </c>
      <c r="CQ17" s="5" t="n">
        <v>3.5</v>
      </c>
      <c r="CR17" s="5" t="n">
        <v>4.5</v>
      </c>
      <c r="CS17" s="5">
        <f>IF(MAESTRO!D17="","",IFERROR(AVERAGE(CQ17:CR17),""))</f>
        <v/>
      </c>
      <c r="CT17" s="5">
        <f>IF(MAESTRO!D17="","",IFERROR(TRUNC(AVERAGE(CE17,CP17),1),""))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v>4.8</v>
      </c>
      <c r="D18" s="5" t="n">
        <v>3.9</v>
      </c>
      <c r="E18" s="5" t="n">
        <v>3.9</v>
      </c>
      <c r="F18" s="5" t="n">
        <v>4.9</v>
      </c>
      <c r="G18" s="5" t="n">
        <v>3.2</v>
      </c>
      <c r="H18" s="5" t="n">
        <v>4</v>
      </c>
      <c r="I18" s="5" t="n">
        <v>3.1</v>
      </c>
      <c r="J18" s="5" t="n">
        <v>4.4</v>
      </c>
      <c r="K18" s="5" t="n">
        <v>4.8</v>
      </c>
      <c r="L18" s="5" t="n">
        <v>4.5</v>
      </c>
      <c r="M18" s="5" t="n">
        <v>3.8</v>
      </c>
      <c r="N18" s="5" t="n">
        <v>4.3</v>
      </c>
      <c r="O18" s="5" t="n">
        <v>3.3</v>
      </c>
      <c r="P18" s="5">
        <f>IF(MAESTRO!D18="","",IFERROR(TRUNC(AVERAGE(C18:O18),1),""))</f>
        <v/>
      </c>
      <c r="Q18" s="40" t="n">
        <v>14</v>
      </c>
      <c r="R18" s="22" t="n">
        <v>3.3</v>
      </c>
      <c r="S18" s="22" t="n">
        <v>3.5</v>
      </c>
      <c r="T18" s="22" t="n">
        <v>3.4</v>
      </c>
      <c r="U18" s="22" t="n">
        <v>5</v>
      </c>
      <c r="V18" s="22" t="n">
        <v>4.6</v>
      </c>
      <c r="W18" s="22" t="n">
        <v>4.1</v>
      </c>
      <c r="X18" s="22" t="n">
        <v>3.5</v>
      </c>
      <c r="Y18" s="22" t="n">
        <v>4.4</v>
      </c>
      <c r="Z18" s="22" t="n">
        <v>3.3</v>
      </c>
      <c r="AA18" s="45">
        <f>IF(MAESTRO!D18="","",IFERROR(TRUNC(AVERAGE(R18:Z18),1),""))</f>
        <v/>
      </c>
      <c r="AB18" s="177" t="n">
        <v>4.9</v>
      </c>
      <c r="AC18" s="42" t="n">
        <v>4.3</v>
      </c>
      <c r="AD18" s="5">
        <f>IF(MAESTRO!D18="","",IFERROR(AVERAGE(AB18:AC18),""))</f>
        <v/>
      </c>
      <c r="AE18" s="44">
        <f>IF(MAESTRO!D18="","",IFERROR(TRUNC(AVERAGE(P18,AA18),1),""))</f>
        <v/>
      </c>
      <c r="AF18" s="177" t="n"/>
      <c r="AG18" s="177" t="n">
        <v>14</v>
      </c>
      <c r="AH18" s="177" t="n">
        <v>14</v>
      </c>
      <c r="AI18" s="177">
        <f>IF(MAESTRO!D18="","",MAESTRO!D18)</f>
        <v/>
      </c>
      <c r="AJ18" s="178" t="n"/>
      <c r="AK18" s="61" t="n">
        <v>3.6</v>
      </c>
      <c r="AL18" s="61" t="n">
        <v>4.1</v>
      </c>
      <c r="AM18" s="61" t="n">
        <v>3.5</v>
      </c>
      <c r="AN18" s="61" t="n">
        <v>4.3</v>
      </c>
      <c r="AO18" s="61" t="n">
        <v>4.5</v>
      </c>
      <c r="AP18" s="61" t="n">
        <v>3.7</v>
      </c>
      <c r="AQ18" s="61" t="n">
        <v>4.5</v>
      </c>
      <c r="AR18" s="61" t="n">
        <v>3.1</v>
      </c>
      <c r="AS18" s="61" t="n">
        <v>3.7</v>
      </c>
      <c r="AT18" s="61" t="n">
        <v>3.7</v>
      </c>
      <c r="AU18" s="61" t="n">
        <v>4</v>
      </c>
      <c r="AV18" s="61" t="n">
        <v>3.3</v>
      </c>
      <c r="AW18" s="5">
        <f>IF(MAESTRO!D18="","",IFERROR(TRUNC(AVERAGE(AK18:AV18),1),""))</f>
        <v/>
      </c>
      <c r="AX18" s="22" t="n">
        <v>3.5</v>
      </c>
      <c r="AY18" s="22" t="n">
        <v>4.1</v>
      </c>
      <c r="AZ18" s="22" t="n">
        <v>5</v>
      </c>
      <c r="BA18" s="22" t="n">
        <v>4.7</v>
      </c>
      <c r="BB18" s="22" t="n">
        <v>4.2</v>
      </c>
      <c r="BC18" s="22" t="n">
        <v>4.1</v>
      </c>
      <c r="BD18" s="22" t="n">
        <v>4</v>
      </c>
      <c r="BE18" s="22" t="n">
        <v>4.6</v>
      </c>
      <c r="BF18" s="22" t="n">
        <v>3.4</v>
      </c>
      <c r="BG18" s="22" t="n">
        <v>3.4</v>
      </c>
      <c r="BH18" s="5">
        <f>IF(MAESTRO!D18="","",IFERROR(TRUNC(AVERAGE(AX18:BG18),1),""))</f>
        <v/>
      </c>
      <c r="BI18" s="22" t="n">
        <v>3.4</v>
      </c>
      <c r="BJ18" s="22" t="n">
        <v>3.5</v>
      </c>
      <c r="BK18" s="22">
        <f>IF(MAESTRO!D18="","",IFERROR(AVERAGE(BI18:BJ18),""))</f>
        <v/>
      </c>
      <c r="BL18" s="5">
        <f>IF(MAESTRO!D18="","",IFERROR(TRUNC(AVERAGE(AW18,BH18),1),""))</f>
        <v/>
      </c>
      <c r="BM18" s="177" t="n"/>
      <c r="BN18" s="177" t="n">
        <v>14</v>
      </c>
      <c r="BO18" s="177" t="n">
        <v>14</v>
      </c>
      <c r="BP18" s="177">
        <f>IF(MAESTRO!D18="","",MAESTRO!D18)</f>
        <v/>
      </c>
      <c r="BQ18" s="178" t="n"/>
      <c r="BR18" s="5" t="n">
        <v>3.9</v>
      </c>
      <c r="BS18" s="5" t="n">
        <v>3.9</v>
      </c>
      <c r="BT18" s="5" t="n">
        <v>4.7</v>
      </c>
      <c r="BU18" s="5" t="n">
        <v>3.2</v>
      </c>
      <c r="BV18" s="5" t="n">
        <v>3.9</v>
      </c>
      <c r="BW18" s="5" t="n">
        <v>3.5</v>
      </c>
      <c r="BX18" s="5" t="n">
        <v>4.4</v>
      </c>
      <c r="BY18" s="5" t="n">
        <v>4.1</v>
      </c>
      <c r="BZ18" s="5" t="n">
        <v>3.7</v>
      </c>
      <c r="CA18" s="5" t="n">
        <v>3.2</v>
      </c>
      <c r="CB18" s="5" t="n">
        <v>4</v>
      </c>
      <c r="CC18" s="5" t="n">
        <v>4.9</v>
      </c>
      <c r="CD18" s="5" t="n">
        <v>4.4</v>
      </c>
      <c r="CE18" s="5">
        <f>IF(MAESTRO!D18="","",IFERROR(TRUNC(AVERAGE(BR18:CD18),1),""))</f>
        <v/>
      </c>
      <c r="CF18" s="5" t="n">
        <v>4.1</v>
      </c>
      <c r="CG18" s="5" t="n">
        <v>5</v>
      </c>
      <c r="CH18" s="5" t="n">
        <v>4</v>
      </c>
      <c r="CI18" s="5" t="n">
        <v>4.2</v>
      </c>
      <c r="CJ18" s="5" t="n">
        <v>3.5</v>
      </c>
      <c r="CK18" s="5" t="n">
        <v>4.3</v>
      </c>
      <c r="CL18" s="5" t="n">
        <v>3.6</v>
      </c>
      <c r="CM18" s="5" t="n">
        <v>3.2</v>
      </c>
      <c r="CN18" s="5" t="n">
        <v>4.6</v>
      </c>
      <c r="CO18" s="5" t="n">
        <v>4.5</v>
      </c>
      <c r="CP18" s="5">
        <f>IF(MAESTRO!D18="","",IFERROR(TRUNC(AVERAGE(CF18:CO18),1),""))</f>
        <v/>
      </c>
      <c r="CQ18" s="5" t="n">
        <v>3.1</v>
      </c>
      <c r="CR18" s="5" t="n">
        <v>3.7</v>
      </c>
      <c r="CS18" s="5">
        <f>IF(MAESTRO!D18="","",IFERROR(AVERAGE(CQ18:CR18),""))</f>
        <v/>
      </c>
      <c r="CT18" s="5">
        <f>IF(MAESTRO!D18="","",IFERROR(TRUNC(AVERAGE(CE18,CP18),1),""))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v>4.7</v>
      </c>
      <c r="D19" s="5" t="n">
        <v>4.9</v>
      </c>
      <c r="E19" s="5" t="n">
        <v>4.1</v>
      </c>
      <c r="F19" s="5" t="n">
        <v>3.8</v>
      </c>
      <c r="G19" s="5" t="n">
        <v>3.4</v>
      </c>
      <c r="H19" s="5" t="n">
        <v>4.4</v>
      </c>
      <c r="I19" s="5" t="n">
        <v>4.5</v>
      </c>
      <c r="J19" s="5" t="n">
        <v>3</v>
      </c>
      <c r="K19" s="5" t="n">
        <v>4.7</v>
      </c>
      <c r="L19" s="5" t="n">
        <v>3.9</v>
      </c>
      <c r="M19" s="5" t="n">
        <v>3.7</v>
      </c>
      <c r="N19" s="5" t="n">
        <v>4.2</v>
      </c>
      <c r="O19" s="5" t="n">
        <v>4</v>
      </c>
      <c r="P19" s="5">
        <f>IF(MAESTRO!D19="","",IFERROR(TRUNC(AVERAGE(C19:O19),1),""))</f>
        <v/>
      </c>
      <c r="Q19" s="40" t="n">
        <v>15</v>
      </c>
      <c r="R19" s="22" t="n">
        <v>4.8</v>
      </c>
      <c r="S19" s="22" t="n">
        <v>3.1</v>
      </c>
      <c r="T19" s="22" t="n">
        <v>4.6</v>
      </c>
      <c r="U19" s="22" t="n">
        <v>4.7</v>
      </c>
      <c r="V19" s="22" t="n">
        <v>4.8</v>
      </c>
      <c r="W19" s="22" t="n">
        <v>3.4</v>
      </c>
      <c r="X19" s="22" t="n">
        <v>3.4</v>
      </c>
      <c r="Y19" s="22" t="n">
        <v>4</v>
      </c>
      <c r="Z19" s="22" t="n">
        <v>3.9</v>
      </c>
      <c r="AA19" s="45">
        <f>IF(MAESTRO!D19="","",IFERROR(TRUNC(AVERAGE(R19:Z19),1),""))</f>
        <v/>
      </c>
      <c r="AB19" s="177" t="n">
        <v>3.4</v>
      </c>
      <c r="AC19" s="42" t="n">
        <v>3.4</v>
      </c>
      <c r="AD19" s="5">
        <f>IF(MAESTRO!D19="","",IFERROR(AVERAGE(AB19:AC19),""))</f>
        <v/>
      </c>
      <c r="AE19" s="44">
        <f>IF(MAESTRO!D19="","",IFERROR(TRUNC(AVERAGE(P19,AA19),1),""))</f>
        <v/>
      </c>
      <c r="AF19" s="177" t="n"/>
      <c r="AG19" s="177" t="n">
        <v>15</v>
      </c>
      <c r="AH19" s="177" t="n">
        <v>15</v>
      </c>
      <c r="AI19" s="177">
        <f>IF(MAESTRO!D19="","",MAESTRO!D19)</f>
        <v/>
      </c>
      <c r="AJ19" s="178" t="n"/>
      <c r="AK19" s="61" t="n">
        <v>4.6</v>
      </c>
      <c r="AL19" s="61" t="n">
        <v>3.5</v>
      </c>
      <c r="AM19" s="61" t="n">
        <v>4.5</v>
      </c>
      <c r="AN19" s="61" t="n">
        <v>3.3</v>
      </c>
      <c r="AO19" s="61" t="n">
        <v>3.2</v>
      </c>
      <c r="AP19" s="61" t="n">
        <v>5</v>
      </c>
      <c r="AQ19" s="61" t="n">
        <v>4.8</v>
      </c>
      <c r="AR19" s="61" t="n">
        <v>3.3</v>
      </c>
      <c r="AS19" s="61" t="n">
        <v>3.4</v>
      </c>
      <c r="AT19" s="61" t="n">
        <v>3.8</v>
      </c>
      <c r="AU19" s="61" t="n">
        <v>5</v>
      </c>
      <c r="AV19" s="61" t="n">
        <v>4.9</v>
      </c>
      <c r="AW19" s="5">
        <f>IF(MAESTRO!D19="","",IFERROR(TRUNC(AVERAGE(AK19:AV19),1),""))</f>
        <v/>
      </c>
      <c r="AX19" s="22" t="n">
        <v>3.6</v>
      </c>
      <c r="AY19" s="22" t="n">
        <v>5</v>
      </c>
      <c r="AZ19" s="22" t="n">
        <v>3.2</v>
      </c>
      <c r="BA19" s="22" t="n">
        <v>4.8</v>
      </c>
      <c r="BB19" s="22" t="n">
        <v>3.1</v>
      </c>
      <c r="BC19" s="22" t="n">
        <v>3.7</v>
      </c>
      <c r="BD19" s="22" t="n">
        <v>4</v>
      </c>
      <c r="BE19" s="22" t="n">
        <v>4</v>
      </c>
      <c r="BF19" s="22" t="n">
        <v>3.5</v>
      </c>
      <c r="BG19" s="22" t="n">
        <v>3.7</v>
      </c>
      <c r="BH19" s="5">
        <f>IF(MAESTRO!D19="","",IFERROR(TRUNC(AVERAGE(AX19:BG19),1),""))</f>
        <v/>
      </c>
      <c r="BI19" s="22" t="n">
        <v>3.6</v>
      </c>
      <c r="BJ19" s="22" t="n">
        <v>4.1</v>
      </c>
      <c r="BK19" s="22">
        <f>IF(MAESTRO!D19="","",IFERROR(AVERAGE(BI19:BJ19),""))</f>
        <v/>
      </c>
      <c r="BL19" s="5">
        <f>IF(MAESTRO!D19="","",IFERROR(TRUNC(AVERAGE(AW19,BH19),1),""))</f>
        <v/>
      </c>
      <c r="BM19" s="177" t="n"/>
      <c r="BN19" s="177" t="n">
        <v>15</v>
      </c>
      <c r="BO19" s="177" t="n">
        <v>15</v>
      </c>
      <c r="BP19" s="177">
        <f>IF(MAESTRO!D19="","",MAESTRO!D19)</f>
        <v/>
      </c>
      <c r="BQ19" s="178" t="n"/>
      <c r="BR19" s="5" t="n">
        <v>4.6</v>
      </c>
      <c r="BS19" s="5" t="n">
        <v>3</v>
      </c>
      <c r="BT19" s="5" t="n">
        <v>4.7</v>
      </c>
      <c r="BU19" s="5" t="n">
        <v>4.6</v>
      </c>
      <c r="BV19" s="5" t="n">
        <v>4.3</v>
      </c>
      <c r="BW19" s="5" t="n">
        <v>3.4</v>
      </c>
      <c r="BX19" s="5" t="n">
        <v>3</v>
      </c>
      <c r="BY19" s="5" t="n">
        <v>3.8</v>
      </c>
      <c r="BZ19" s="5" t="n">
        <v>3.1</v>
      </c>
      <c r="CA19" s="5" t="n">
        <v>3</v>
      </c>
      <c r="CB19" s="5" t="n">
        <v>3.5</v>
      </c>
      <c r="CC19" s="5" t="n">
        <v>4.4</v>
      </c>
      <c r="CD19" s="5" t="n">
        <v>3.3</v>
      </c>
      <c r="CE19" s="5">
        <f>IF(MAESTRO!D19="","",IFERROR(TRUNC(AVERAGE(BR19:CD19),1),""))</f>
        <v/>
      </c>
      <c r="CF19" s="5" t="n">
        <v>3.9</v>
      </c>
      <c r="CG19" s="5" t="n">
        <v>3.2</v>
      </c>
      <c r="CH19" s="5" t="n">
        <v>3.2</v>
      </c>
      <c r="CI19" s="5" t="n">
        <v>4.4</v>
      </c>
      <c r="CJ19" s="5" t="n">
        <v>3.2</v>
      </c>
      <c r="CK19" s="5" t="n">
        <v>3.4</v>
      </c>
      <c r="CL19" s="5" t="n">
        <v>5</v>
      </c>
      <c r="CM19" s="5" t="n">
        <v>4.3</v>
      </c>
      <c r="CN19" s="5" t="n">
        <v>4.7</v>
      </c>
      <c r="CO19" s="5" t="n">
        <v>3.7</v>
      </c>
      <c r="CP19" s="5">
        <f>IF(MAESTRO!D19="","",IFERROR(TRUNC(AVERAGE(CF19:CO19),1),""))</f>
        <v/>
      </c>
      <c r="CQ19" s="5" t="n">
        <v>3.9</v>
      </c>
      <c r="CR19" s="5" t="n">
        <v>4.1</v>
      </c>
      <c r="CS19" s="5">
        <f>IF(MAESTRO!D19="","",IFERROR(AVERAGE(CQ19:CR19),""))</f>
        <v/>
      </c>
      <c r="CT19" s="5">
        <f>IF(MAESTRO!D19="","",IFERROR(TRUNC(AVERAGE(CE19,CP19),1),""))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v>5</v>
      </c>
      <c r="D20" s="5" t="n">
        <v>4.4</v>
      </c>
      <c r="E20" s="5" t="n">
        <v>4.7</v>
      </c>
      <c r="F20" s="5" t="n">
        <v>3.3</v>
      </c>
      <c r="G20" s="5" t="n">
        <v>3.3</v>
      </c>
      <c r="H20" s="5" t="n">
        <v>4.6</v>
      </c>
      <c r="I20" s="5" t="n">
        <v>3.1</v>
      </c>
      <c r="J20" s="5" t="n">
        <v>5</v>
      </c>
      <c r="K20" s="5" t="n">
        <v>4.3</v>
      </c>
      <c r="L20" s="5" t="n">
        <v>4.8</v>
      </c>
      <c r="M20" s="5" t="n">
        <v>3.5</v>
      </c>
      <c r="N20" s="5" t="n">
        <v>3.1</v>
      </c>
      <c r="O20" s="5" t="n">
        <v>4.2</v>
      </c>
      <c r="P20" s="5">
        <f>IF(MAESTRO!D20="","",IFERROR(TRUNC(AVERAGE(C20:O20),1),""))</f>
        <v/>
      </c>
      <c r="Q20" s="40" t="n">
        <v>16</v>
      </c>
      <c r="R20" s="22" t="n">
        <v>3.8</v>
      </c>
      <c r="S20" s="22" t="n">
        <v>4.1</v>
      </c>
      <c r="T20" s="22" t="n">
        <v>3.7</v>
      </c>
      <c r="U20" s="22" t="n">
        <v>3.2</v>
      </c>
      <c r="V20" s="22" t="n">
        <v>4.9</v>
      </c>
      <c r="W20" s="22" t="n">
        <v>3.5</v>
      </c>
      <c r="X20" s="22" t="n">
        <v>5</v>
      </c>
      <c r="Y20" s="22" t="n">
        <v>4.1</v>
      </c>
      <c r="Z20" s="22" t="n">
        <v>3.1</v>
      </c>
      <c r="AA20" s="45">
        <f>IF(MAESTRO!D20="","",IFERROR(TRUNC(AVERAGE(R20:Z20),1),""))</f>
        <v/>
      </c>
      <c r="AB20" s="177" t="n">
        <v>3.5</v>
      </c>
      <c r="AC20" s="42" t="n">
        <v>3.7</v>
      </c>
      <c r="AD20" s="5">
        <f>IF(MAESTRO!D20="","",IFERROR(AVERAGE(AB20:AC20),""))</f>
        <v/>
      </c>
      <c r="AE20" s="44">
        <f>IF(MAESTRO!D20="","",IFERROR(TRUNC(AVERAGE(P20,AA20),1),""))</f>
        <v/>
      </c>
      <c r="AF20" s="177" t="n"/>
      <c r="AG20" s="177" t="n">
        <v>16</v>
      </c>
      <c r="AH20" s="177" t="n">
        <v>16</v>
      </c>
      <c r="AI20" s="177">
        <f>IF(MAESTRO!D20="","",MAESTRO!D20)</f>
        <v/>
      </c>
      <c r="AJ20" s="178" t="n"/>
      <c r="AK20" s="61" t="n">
        <v>3.8</v>
      </c>
      <c r="AL20" s="61" t="n">
        <v>5</v>
      </c>
      <c r="AM20" s="61" t="n">
        <v>4.9</v>
      </c>
      <c r="AN20" s="61" t="n">
        <v>3.5</v>
      </c>
      <c r="AO20" s="61" t="n">
        <v>4</v>
      </c>
      <c r="AP20" s="61" t="n">
        <v>3.2</v>
      </c>
      <c r="AQ20" s="61" t="n">
        <v>3.4</v>
      </c>
      <c r="AR20" s="61" t="n">
        <v>4.5</v>
      </c>
      <c r="AS20" s="61" t="n">
        <v>3.1</v>
      </c>
      <c r="AT20" s="61" t="n">
        <v>4.9</v>
      </c>
      <c r="AU20" s="61" t="n">
        <v>3.8</v>
      </c>
      <c r="AV20" s="61" t="n">
        <v>3.8</v>
      </c>
      <c r="AW20" s="5">
        <f>IF(MAESTRO!D20="","",IFERROR(TRUNC(AVERAGE(AK20:AV20),1),""))</f>
        <v/>
      </c>
      <c r="AX20" s="22" t="n">
        <v>3.7</v>
      </c>
      <c r="AY20" s="22" t="n">
        <v>4.5</v>
      </c>
      <c r="AZ20" s="22" t="n">
        <v>4.7</v>
      </c>
      <c r="BA20" s="22" t="n">
        <v>4.6</v>
      </c>
      <c r="BB20" s="22" t="n">
        <v>3.4</v>
      </c>
      <c r="BC20" s="22" t="n">
        <v>4.7</v>
      </c>
      <c r="BD20" s="22" t="n">
        <v>3.1</v>
      </c>
      <c r="BE20" s="22" t="n">
        <v>4.2</v>
      </c>
      <c r="BF20" s="22" t="n">
        <v>4.8</v>
      </c>
      <c r="BG20" s="22" t="n">
        <v>4.2</v>
      </c>
      <c r="BH20" s="5">
        <f>IF(MAESTRO!D20="","",IFERROR(TRUNC(AVERAGE(AX20:BG20),1),""))</f>
        <v/>
      </c>
      <c r="BI20" s="22" t="n">
        <v>3.8</v>
      </c>
      <c r="BJ20" s="22" t="n">
        <v>3.5</v>
      </c>
      <c r="BK20" s="22">
        <f>IF(MAESTRO!D20="","",IFERROR(AVERAGE(BI20:BJ20),""))</f>
        <v/>
      </c>
      <c r="BL20" s="5">
        <f>IF(MAESTRO!D20="","",IFERROR(TRUNC(AVERAGE(AW20,BH20),1),""))</f>
        <v/>
      </c>
      <c r="BM20" s="177" t="n"/>
      <c r="BN20" s="177" t="n">
        <v>16</v>
      </c>
      <c r="BO20" s="177" t="n">
        <v>16</v>
      </c>
      <c r="BP20" s="177">
        <f>IF(MAESTRO!D20="","",MAESTRO!D20)</f>
        <v/>
      </c>
      <c r="BQ20" s="178" t="n"/>
      <c r="BR20" s="5" t="n">
        <v>3.5</v>
      </c>
      <c r="BS20" s="5" t="n">
        <v>3.4</v>
      </c>
      <c r="BT20" s="5" t="n">
        <v>3.9</v>
      </c>
      <c r="BU20" s="5" t="n">
        <v>4.4</v>
      </c>
      <c r="BV20" s="5" t="n">
        <v>3.5</v>
      </c>
      <c r="BW20" s="5" t="n">
        <v>4.9</v>
      </c>
      <c r="BX20" s="5" t="n">
        <v>4.6</v>
      </c>
      <c r="BY20" s="5" t="n">
        <v>4.3</v>
      </c>
      <c r="BZ20" s="5" t="n">
        <v>3.9</v>
      </c>
      <c r="CA20" s="5" t="n">
        <v>3.5</v>
      </c>
      <c r="CB20" s="5" t="n">
        <v>4.1</v>
      </c>
      <c r="CC20" s="5" t="n">
        <v>4.6</v>
      </c>
      <c r="CD20" s="5" t="n">
        <v>4.4</v>
      </c>
      <c r="CE20" s="5">
        <f>IF(MAESTRO!D20="","",IFERROR(TRUNC(AVERAGE(BR20:CD20),1),""))</f>
        <v/>
      </c>
      <c r="CF20" s="5" t="n">
        <v>4.6</v>
      </c>
      <c r="CG20" s="5" t="n">
        <v>4.6</v>
      </c>
      <c r="CH20" s="5" t="n">
        <v>4</v>
      </c>
      <c r="CI20" s="5" t="n">
        <v>3.9</v>
      </c>
      <c r="CJ20" s="5" t="n">
        <v>3.9</v>
      </c>
      <c r="CK20" s="5" t="n">
        <v>4.8</v>
      </c>
      <c r="CL20" s="5" t="n">
        <v>4.7</v>
      </c>
      <c r="CM20" s="5" t="n">
        <v>4.3</v>
      </c>
      <c r="CN20" s="5" t="n">
        <v>3.8</v>
      </c>
      <c r="CO20" s="5" t="n">
        <v>4.6</v>
      </c>
      <c r="CP20" s="5">
        <f>IF(MAESTRO!D20="","",IFERROR(TRUNC(AVERAGE(CF20:CO20),1),""))</f>
        <v/>
      </c>
      <c r="CQ20" s="5" t="n">
        <v>4.8</v>
      </c>
      <c r="CR20" s="5" t="n">
        <v>3.6</v>
      </c>
      <c r="CS20" s="5">
        <f>IF(MAESTRO!D20="","",IFERROR(AVERAGE(CQ20:CR20),""))</f>
        <v/>
      </c>
      <c r="CT20" s="5">
        <f>IF(MAESTRO!D20="","",IFERROR(TRUNC(AVERAGE(CE20,CP20),1),""))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v>4.9</v>
      </c>
      <c r="D21" s="5" t="n">
        <v>3.1</v>
      </c>
      <c r="E21" s="5" t="n">
        <v>4.8</v>
      </c>
      <c r="F21" s="5" t="n">
        <v>3.5</v>
      </c>
      <c r="G21" s="5" t="n">
        <v>3.4</v>
      </c>
      <c r="H21" s="5" t="n">
        <v>3</v>
      </c>
      <c r="I21" s="5" t="n">
        <v>4.8</v>
      </c>
      <c r="J21" s="5" t="n">
        <v>3.9</v>
      </c>
      <c r="K21" s="5" t="n">
        <v>4.7</v>
      </c>
      <c r="L21" s="5" t="n">
        <v>4.1</v>
      </c>
      <c r="M21" s="5" t="n">
        <v>3.7</v>
      </c>
      <c r="N21" s="5" t="n">
        <v>4.6</v>
      </c>
      <c r="O21" s="5" t="n">
        <v>3.4</v>
      </c>
      <c r="P21" s="5">
        <f>IF(MAESTRO!D21="","",IFERROR(TRUNC(AVERAGE(C21:O21),1),""))</f>
        <v/>
      </c>
      <c r="Q21" s="40" t="n">
        <v>17</v>
      </c>
      <c r="R21" s="22" t="n">
        <v>3.3</v>
      </c>
      <c r="S21" s="22" t="n">
        <v>3.9</v>
      </c>
      <c r="T21" s="22" t="n">
        <v>4.3</v>
      </c>
      <c r="U21" s="22" t="n">
        <v>3.9</v>
      </c>
      <c r="V21" s="22" t="n">
        <v>4.7</v>
      </c>
      <c r="W21" s="22" t="n">
        <v>4.2</v>
      </c>
      <c r="X21" s="22" t="n">
        <v>4.4</v>
      </c>
      <c r="Y21" s="22" t="n">
        <v>3.1</v>
      </c>
      <c r="Z21" s="22" t="n">
        <v>4.9</v>
      </c>
      <c r="AA21" s="45">
        <f>IF(MAESTRO!D21="","",IFERROR(TRUNC(AVERAGE(R21:Z21),1),""))</f>
        <v/>
      </c>
      <c r="AB21" s="177" t="n">
        <v>4.5</v>
      </c>
      <c r="AC21" s="42" t="n">
        <v>3.4</v>
      </c>
      <c r="AD21" s="5">
        <f>IF(MAESTRO!D21="","",IFERROR(AVERAGE(AB21:AC21),""))</f>
        <v/>
      </c>
      <c r="AE21" s="44">
        <f>IF(MAESTRO!D21="","",IFERROR(TRUNC(AVERAGE(P21,AA21),1),""))</f>
        <v/>
      </c>
      <c r="AF21" s="177" t="n"/>
      <c r="AG21" s="177" t="n">
        <v>17</v>
      </c>
      <c r="AH21" s="177" t="n">
        <v>17</v>
      </c>
      <c r="AI21" s="177">
        <f>IF(MAESTRO!D21="","",MAESTRO!D21)</f>
        <v/>
      </c>
      <c r="AJ21" s="178" t="n"/>
      <c r="AK21" s="61" t="n">
        <v>4.5</v>
      </c>
      <c r="AL21" s="61" t="n">
        <v>4.1</v>
      </c>
      <c r="AM21" s="61" t="n">
        <v>4.5</v>
      </c>
      <c r="AN21" s="61" t="n">
        <v>3.8</v>
      </c>
      <c r="AO21" s="61" t="n">
        <v>3.1</v>
      </c>
      <c r="AP21" s="61" t="n">
        <v>4.2</v>
      </c>
      <c r="AQ21" s="61" t="n">
        <v>4.6</v>
      </c>
      <c r="AR21" s="61" t="n">
        <v>3.7</v>
      </c>
      <c r="AS21" s="61" t="n">
        <v>3.2</v>
      </c>
      <c r="AT21" s="61" t="n">
        <v>4.5</v>
      </c>
      <c r="AU21" s="61" t="n">
        <v>4.4</v>
      </c>
      <c r="AV21" s="61" t="n">
        <v>3.7</v>
      </c>
      <c r="AW21" s="5">
        <f>IF(MAESTRO!D21="","",IFERROR(TRUNC(AVERAGE(AK21:AV21),1),""))</f>
        <v/>
      </c>
      <c r="AX21" s="22" t="n">
        <v>3.4</v>
      </c>
      <c r="AY21" s="22" t="n">
        <v>3.7</v>
      </c>
      <c r="AZ21" s="22" t="n">
        <v>3.6</v>
      </c>
      <c r="BA21" s="22" t="n">
        <v>3.2</v>
      </c>
      <c r="BB21" s="22" t="n">
        <v>4</v>
      </c>
      <c r="BC21" s="22" t="n">
        <v>4.7</v>
      </c>
      <c r="BD21" s="22" t="n">
        <v>3.4</v>
      </c>
      <c r="BE21" s="22" t="n">
        <v>4.3</v>
      </c>
      <c r="BF21" s="22" t="n">
        <v>4.6</v>
      </c>
      <c r="BG21" s="22" t="n">
        <v>4.5</v>
      </c>
      <c r="BH21" s="5">
        <f>IF(MAESTRO!D21="","",IFERROR(TRUNC(AVERAGE(AX21:BG21),1),""))</f>
        <v/>
      </c>
      <c r="BI21" s="22" t="n">
        <v>4.3</v>
      </c>
      <c r="BJ21" s="22" t="n">
        <v>4.6</v>
      </c>
      <c r="BK21" s="22">
        <f>IF(MAESTRO!D21="","",IFERROR(AVERAGE(BI21:BJ21),""))</f>
        <v/>
      </c>
      <c r="BL21" s="5">
        <f>IF(MAESTRO!D21="","",IFERROR(TRUNC(AVERAGE(AW21,BH21),1),""))</f>
        <v/>
      </c>
      <c r="BM21" s="177" t="n"/>
      <c r="BN21" s="177" t="n">
        <v>17</v>
      </c>
      <c r="BO21" s="177" t="n">
        <v>17</v>
      </c>
      <c r="BP21" s="177">
        <f>IF(MAESTRO!D21="","",MAESTRO!D21)</f>
        <v/>
      </c>
      <c r="BQ21" s="178" t="n"/>
      <c r="BR21" s="5" t="n">
        <v>4.4</v>
      </c>
      <c r="BS21" s="5" t="n">
        <v>4.9</v>
      </c>
      <c r="BT21" s="5" t="n">
        <v>3.5</v>
      </c>
      <c r="BU21" s="5" t="n">
        <v>3.2</v>
      </c>
      <c r="BV21" s="5" t="n">
        <v>5</v>
      </c>
      <c r="BW21" s="5" t="n">
        <v>3.6</v>
      </c>
      <c r="BX21" s="5" t="n">
        <v>4.2</v>
      </c>
      <c r="BY21" s="5" t="n">
        <v>4.2</v>
      </c>
      <c r="BZ21" s="5" t="n">
        <v>4.3</v>
      </c>
      <c r="CA21" s="5" t="n">
        <v>3.6</v>
      </c>
      <c r="CB21" s="5" t="n">
        <v>3.2</v>
      </c>
      <c r="CC21" s="5" t="n">
        <v>3.4</v>
      </c>
      <c r="CD21" s="5" t="n">
        <v>3.9</v>
      </c>
      <c r="CE21" s="5">
        <f>IF(MAESTRO!D21="","",IFERROR(TRUNC(AVERAGE(BR21:CD21),1),""))</f>
        <v/>
      </c>
      <c r="CF21" s="5" t="n">
        <v>3.5</v>
      </c>
      <c r="CG21" s="5" t="n">
        <v>3.6</v>
      </c>
      <c r="CH21" s="5" t="n">
        <v>4.6</v>
      </c>
      <c r="CI21" s="5" t="n">
        <v>4.6</v>
      </c>
      <c r="CJ21" s="5" t="n">
        <v>3.7</v>
      </c>
      <c r="CK21" s="5" t="n">
        <v>5</v>
      </c>
      <c r="CL21" s="5" t="n">
        <v>3.8</v>
      </c>
      <c r="CM21" s="5" t="n">
        <v>3.6</v>
      </c>
      <c r="CN21" s="5" t="n">
        <v>3.5</v>
      </c>
      <c r="CO21" s="5" t="n">
        <v>4.7</v>
      </c>
      <c r="CP21" s="5">
        <f>IF(MAESTRO!D21="","",IFERROR(TRUNC(AVERAGE(CF21:CO21),1),""))</f>
        <v/>
      </c>
      <c r="CQ21" s="5" t="n">
        <v>4.7</v>
      </c>
      <c r="CR21" s="5" t="n">
        <v>3.9</v>
      </c>
      <c r="CS21" s="5">
        <f>IF(MAESTRO!D21="","",IFERROR(AVERAGE(CQ21:CR21),""))</f>
        <v/>
      </c>
      <c r="CT21" s="5">
        <f>IF(MAESTRO!D21="","",IFERROR(TRUNC(AVERAGE(CE21,CP21),1),""))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v>4.9</v>
      </c>
      <c r="D22" s="5" t="n">
        <v>3.2</v>
      </c>
      <c r="E22" s="5" t="n">
        <v>4.5</v>
      </c>
      <c r="F22" s="5" t="n">
        <v>4.2</v>
      </c>
      <c r="G22" s="5" t="n">
        <v>3.1</v>
      </c>
      <c r="H22" s="5" t="n">
        <v>3.7</v>
      </c>
      <c r="I22" s="5" t="n">
        <v>3.7</v>
      </c>
      <c r="J22" s="5" t="n">
        <v>4.7</v>
      </c>
      <c r="K22" s="5" t="n">
        <v>4.4</v>
      </c>
      <c r="L22" s="5" t="n">
        <v>4.9</v>
      </c>
      <c r="M22" s="5" t="n">
        <v>4.5</v>
      </c>
      <c r="N22" s="5" t="n">
        <v>4.4</v>
      </c>
      <c r="O22" s="5" t="n">
        <v>4.3</v>
      </c>
      <c r="P22" s="5">
        <f>IF(MAESTRO!D22="","",IFERROR(TRUNC(AVERAGE(C22:O22),1),""))</f>
        <v/>
      </c>
      <c r="Q22" s="40" t="n">
        <v>18</v>
      </c>
      <c r="R22" s="22" t="n">
        <v>3.9</v>
      </c>
      <c r="S22" s="22" t="n">
        <v>4.7</v>
      </c>
      <c r="T22" s="22" t="n">
        <v>3.2</v>
      </c>
      <c r="U22" s="22" t="n">
        <v>4.7</v>
      </c>
      <c r="V22" s="22" t="n">
        <v>3.9</v>
      </c>
      <c r="W22" s="22" t="n">
        <v>3.8</v>
      </c>
      <c r="X22" s="22" t="n">
        <v>4.4</v>
      </c>
      <c r="Y22" s="22" t="n">
        <v>5</v>
      </c>
      <c r="Z22" s="22" t="n">
        <v>4.2</v>
      </c>
      <c r="AA22" s="45">
        <f>IF(MAESTRO!D22="","",IFERROR(TRUNC(AVERAGE(R22:Z22),1),""))</f>
        <v/>
      </c>
      <c r="AB22" s="177" t="n">
        <v>3.2</v>
      </c>
      <c r="AC22" s="42" t="n">
        <v>4.2</v>
      </c>
      <c r="AD22" s="5">
        <f>IF(MAESTRO!D22="","",IFERROR(AVERAGE(AB22:AC22),""))</f>
        <v/>
      </c>
      <c r="AE22" s="44">
        <f>IF(MAESTRO!D22="","",IFERROR(TRUNC(AVERAGE(P22,AA22),1),""))</f>
        <v/>
      </c>
      <c r="AF22" s="177" t="n"/>
      <c r="AG22" s="177" t="n">
        <v>18</v>
      </c>
      <c r="AH22" s="177" t="n">
        <v>18</v>
      </c>
      <c r="AI22" s="177">
        <f>IF(MAESTRO!D22="","",MAESTRO!D22)</f>
        <v/>
      </c>
      <c r="AJ22" s="178" t="n"/>
      <c r="AK22" s="61" t="n">
        <v>3.5</v>
      </c>
      <c r="AL22" s="62" t="n">
        <v>3.1</v>
      </c>
      <c r="AM22" s="61" t="n">
        <v>3.8</v>
      </c>
      <c r="AN22" s="61" t="n">
        <v>4.3</v>
      </c>
      <c r="AO22" s="61" t="n">
        <v>4.3</v>
      </c>
      <c r="AP22" s="61" t="n">
        <v>4.9</v>
      </c>
      <c r="AQ22" s="61" t="n">
        <v>3.3</v>
      </c>
      <c r="AR22" s="61" t="n">
        <v>4.4</v>
      </c>
      <c r="AS22" s="61" t="n">
        <v>3.9</v>
      </c>
      <c r="AT22" s="61" t="n">
        <v>4.4</v>
      </c>
      <c r="AU22" s="61" t="n">
        <v>3.7</v>
      </c>
      <c r="AV22" s="61" t="n">
        <v>4.5</v>
      </c>
      <c r="AW22" s="5">
        <f>IF(MAESTRO!D22="","",IFERROR(TRUNC(AVERAGE(AK22:AV22),1),""))</f>
        <v/>
      </c>
      <c r="AX22" s="22" t="n">
        <v>3.8</v>
      </c>
      <c r="AY22" s="22" t="n">
        <v>4</v>
      </c>
      <c r="AZ22" s="22" t="n">
        <v>4.7</v>
      </c>
      <c r="BA22" s="22" t="n">
        <v>4.4</v>
      </c>
      <c r="BB22" s="22" t="n">
        <v>3.2</v>
      </c>
      <c r="BC22" s="22" t="n">
        <v>3.7</v>
      </c>
      <c r="BD22" s="22" t="n">
        <v>3.6</v>
      </c>
      <c r="BE22" s="22" t="n">
        <v>3.6</v>
      </c>
      <c r="BF22" s="22" t="n">
        <v>4.8</v>
      </c>
      <c r="BG22" s="22" t="n">
        <v>3.8</v>
      </c>
      <c r="BH22" s="5">
        <f>IF(MAESTRO!D22="","",IFERROR(TRUNC(AVERAGE(AX22:BG22),1),""))</f>
        <v/>
      </c>
      <c r="BI22" s="22" t="n">
        <v>4.9</v>
      </c>
      <c r="BJ22" s="22" t="n">
        <v>3.4</v>
      </c>
      <c r="BK22" s="22">
        <f>IF(MAESTRO!D22="","",IFERROR(AVERAGE(BI22:BJ22),""))</f>
        <v/>
      </c>
      <c r="BL22" s="5">
        <f>IF(MAESTRO!D22="","",IFERROR(TRUNC(AVERAGE(AW22,BH22),1),""))</f>
        <v/>
      </c>
      <c r="BM22" s="177" t="n"/>
      <c r="BN22" s="177" t="n">
        <v>18</v>
      </c>
      <c r="BO22" s="177" t="n">
        <v>18</v>
      </c>
      <c r="BP22" s="177">
        <f>IF(MAESTRO!D22="","",MAESTRO!D22)</f>
        <v/>
      </c>
      <c r="BQ22" s="178" t="n"/>
      <c r="BR22" s="5" t="n">
        <v>3.8</v>
      </c>
      <c r="BS22" s="5" t="n">
        <v>3.8</v>
      </c>
      <c r="BT22" s="5" t="n">
        <v>4.7</v>
      </c>
      <c r="BU22" s="5" t="n">
        <v>3.5</v>
      </c>
      <c r="BV22" s="5" t="n">
        <v>3.9</v>
      </c>
      <c r="BW22" s="5" t="n">
        <v>4.1</v>
      </c>
      <c r="BX22" s="5" t="n">
        <v>3.1</v>
      </c>
      <c r="BY22" s="5" t="n">
        <v>4</v>
      </c>
      <c r="BZ22" s="5" t="n">
        <v>4.2</v>
      </c>
      <c r="CA22" s="5" t="n">
        <v>3.6</v>
      </c>
      <c r="CB22" s="5" t="n">
        <v>4.4</v>
      </c>
      <c r="CC22" s="5" t="n">
        <v>3.3</v>
      </c>
      <c r="CD22" s="5" t="n">
        <v>4.2</v>
      </c>
      <c r="CE22" s="5">
        <f>IF(MAESTRO!D22="","",IFERROR(TRUNC(AVERAGE(BR22:CD22),1),""))</f>
        <v/>
      </c>
      <c r="CF22" s="5" t="n">
        <v>4.2</v>
      </c>
      <c r="CG22" s="5" t="n">
        <v>3.1</v>
      </c>
      <c r="CH22" s="5" t="n">
        <v>3.5</v>
      </c>
      <c r="CI22" s="5" t="n">
        <v>3.8</v>
      </c>
      <c r="CJ22" s="5" t="n">
        <v>4.7</v>
      </c>
      <c r="CK22" s="5" t="n">
        <v>3.7</v>
      </c>
      <c r="CL22" s="5" t="n">
        <v>3.1</v>
      </c>
      <c r="CM22" s="5" t="n">
        <v>4.9</v>
      </c>
      <c r="CN22" s="5" t="n">
        <v>3.7</v>
      </c>
      <c r="CO22" s="5" t="n">
        <v>4.5</v>
      </c>
      <c r="CP22" s="5">
        <f>IF(MAESTRO!D22="","",IFERROR(TRUNC(AVERAGE(CF22:CO22),1),""))</f>
        <v/>
      </c>
      <c r="CQ22" s="5" t="n">
        <v>4.2</v>
      </c>
      <c r="CR22" s="5" t="n">
        <v>3.5</v>
      </c>
      <c r="CS22" s="5">
        <f>IF(MAESTRO!D22="","",IFERROR(AVERAGE(CQ22:CR22),""))</f>
        <v/>
      </c>
      <c r="CT22" s="5">
        <f>IF(MAESTRO!D22="","",IFERROR(TRUNC(AVERAGE(CE22,CP22),1),""))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v>4.8</v>
      </c>
      <c r="D23" s="5" t="n">
        <v>3.8</v>
      </c>
      <c r="E23" s="5" t="n">
        <v>3.7</v>
      </c>
      <c r="F23" s="5" t="n">
        <v>3.4</v>
      </c>
      <c r="G23" s="5" t="n">
        <v>3.4</v>
      </c>
      <c r="H23" s="5" t="n">
        <v>4</v>
      </c>
      <c r="I23" s="5" t="n">
        <v>4.6</v>
      </c>
      <c r="J23" s="5" t="n">
        <v>4.8</v>
      </c>
      <c r="K23" s="5" t="n">
        <v>4.9</v>
      </c>
      <c r="L23" s="5" t="n">
        <v>3.9</v>
      </c>
      <c r="M23" s="5" t="n">
        <v>4.7</v>
      </c>
      <c r="N23" s="5" t="n">
        <v>4.1</v>
      </c>
      <c r="O23" s="5" t="n">
        <v>3.2</v>
      </c>
      <c r="P23" s="5">
        <f>IF(MAESTRO!D23="","",IFERROR(TRUNC(AVERAGE(C23:O23),1),""))</f>
        <v/>
      </c>
      <c r="Q23" s="40" t="n">
        <v>19</v>
      </c>
      <c r="R23" s="22" t="n">
        <v>4.4</v>
      </c>
      <c r="S23" s="22" t="n">
        <v>4</v>
      </c>
      <c r="T23" s="22" t="n">
        <v>3</v>
      </c>
      <c r="U23" s="22" t="n">
        <v>4</v>
      </c>
      <c r="V23" s="22" t="n">
        <v>3.4</v>
      </c>
      <c r="W23" s="22" t="n">
        <v>4.6</v>
      </c>
      <c r="X23" s="22" t="n">
        <v>4.6</v>
      </c>
      <c r="Y23" s="22" t="n">
        <v>4</v>
      </c>
      <c r="Z23" s="22" t="n">
        <v>3.2</v>
      </c>
      <c r="AA23" s="45">
        <f>IF(MAESTRO!D23="","",IFERROR(TRUNC(AVERAGE(R23:Z23),1),""))</f>
        <v/>
      </c>
      <c r="AB23" s="177" t="n">
        <v>3.1</v>
      </c>
      <c r="AC23" s="42" t="n">
        <v>3.7</v>
      </c>
      <c r="AD23" s="5">
        <f>IF(MAESTRO!D23="","",IFERROR(AVERAGE(AB23:AC23),""))</f>
        <v/>
      </c>
      <c r="AE23" s="44">
        <f>IF(MAESTRO!D23="","",IFERROR(TRUNC(AVERAGE(P23,AA23),1),""))</f>
        <v/>
      </c>
      <c r="AF23" s="177" t="n"/>
      <c r="AG23" s="177" t="n">
        <v>19</v>
      </c>
      <c r="AH23" s="177" t="n">
        <v>19</v>
      </c>
      <c r="AI23" s="177">
        <f>IF(MAESTRO!D23="","",MAESTRO!D23)</f>
        <v/>
      </c>
      <c r="AJ23" s="178" t="n"/>
      <c r="AK23" s="62" t="n">
        <v>3.9</v>
      </c>
      <c r="AL23" s="61" t="n">
        <v>3</v>
      </c>
      <c r="AM23" s="61" t="n">
        <v>3.5</v>
      </c>
      <c r="AN23" s="61" t="n">
        <v>3.5</v>
      </c>
      <c r="AO23" s="61" t="n">
        <v>3.5</v>
      </c>
      <c r="AP23" s="61" t="n">
        <v>3.5</v>
      </c>
      <c r="AQ23" s="61" t="n">
        <v>3.9</v>
      </c>
      <c r="AR23" s="61" t="n">
        <v>3.2</v>
      </c>
      <c r="AS23" s="61" t="n">
        <v>4.9</v>
      </c>
      <c r="AT23" s="61" t="n">
        <v>3.4</v>
      </c>
      <c r="AU23" s="61" t="n">
        <v>4.8</v>
      </c>
      <c r="AV23" s="61" t="n">
        <v>4.2</v>
      </c>
      <c r="AW23" s="5">
        <f>IF(MAESTRO!D23="","",IFERROR(TRUNC(AVERAGE(AK23:AV23),1),""))</f>
        <v/>
      </c>
      <c r="AX23" s="22" t="n">
        <v>4.4</v>
      </c>
      <c r="AY23" s="22" t="n">
        <v>3.9</v>
      </c>
      <c r="AZ23" s="22" t="n">
        <v>4.6</v>
      </c>
      <c r="BA23" s="22" t="n">
        <v>4.6</v>
      </c>
      <c r="BB23" s="22" t="n">
        <v>4.7</v>
      </c>
      <c r="BC23" s="22" t="n">
        <v>3.6</v>
      </c>
      <c r="BD23" s="22" t="n">
        <v>3.2</v>
      </c>
      <c r="BE23" s="22" t="n">
        <v>3.6</v>
      </c>
      <c r="BF23" s="22" t="n">
        <v>3.2</v>
      </c>
      <c r="BG23" s="22" t="n">
        <v>3.6</v>
      </c>
      <c r="BH23" s="5">
        <f>IF(MAESTRO!D23="","",IFERROR(TRUNC(AVERAGE(AX23:BG23),1),""))</f>
        <v/>
      </c>
      <c r="BI23" s="22" t="n">
        <v>3.5</v>
      </c>
      <c r="BJ23" s="22" t="n">
        <v>3.5</v>
      </c>
      <c r="BK23" s="22">
        <f>IF(MAESTRO!D23="","",IFERROR(AVERAGE(BI23:BJ23),""))</f>
        <v/>
      </c>
      <c r="BL23" s="5">
        <f>IF(MAESTRO!D23="","",IFERROR(TRUNC(AVERAGE(AW23,BH23),1),""))</f>
        <v/>
      </c>
      <c r="BM23" s="177" t="n"/>
      <c r="BN23" s="177" t="n">
        <v>19</v>
      </c>
      <c r="BO23" s="177" t="n">
        <v>19</v>
      </c>
      <c r="BP23" s="177">
        <f>IF(MAESTRO!D23="","",MAESTRO!D23)</f>
        <v/>
      </c>
      <c r="BQ23" s="178" t="n"/>
      <c r="BR23" s="5" t="n">
        <v>4.8</v>
      </c>
      <c r="BS23" s="5" t="n">
        <v>3.8</v>
      </c>
      <c r="BT23" s="5" t="n">
        <v>3.8</v>
      </c>
      <c r="BU23" s="5" t="n">
        <v>4.5</v>
      </c>
      <c r="BV23" s="5" t="n">
        <v>3.6</v>
      </c>
      <c r="BW23" s="5" t="n">
        <v>4.9</v>
      </c>
      <c r="BX23" s="5" t="n">
        <v>3</v>
      </c>
      <c r="BY23" s="5" t="n">
        <v>4.8</v>
      </c>
      <c r="BZ23" s="5" t="n">
        <v>3.5</v>
      </c>
      <c r="CA23" s="5" t="n">
        <v>4.7</v>
      </c>
      <c r="CB23" s="5" t="n">
        <v>4</v>
      </c>
      <c r="CC23" s="5" t="n">
        <v>4.1</v>
      </c>
      <c r="CD23" s="5" t="n">
        <v>4.1</v>
      </c>
      <c r="CE23" s="5">
        <f>IF(MAESTRO!D23="","",IFERROR(TRUNC(AVERAGE(BR23:CD23),1),""))</f>
        <v/>
      </c>
      <c r="CF23" s="5" t="n">
        <v>3.4</v>
      </c>
      <c r="CG23" s="5" t="n">
        <v>3.2</v>
      </c>
      <c r="CH23" s="5" t="n">
        <v>3.4</v>
      </c>
      <c r="CI23" s="5" t="n">
        <v>3.6</v>
      </c>
      <c r="CJ23" s="5" t="n">
        <v>3.9</v>
      </c>
      <c r="CK23" s="5" t="n">
        <v>4.1</v>
      </c>
      <c r="CL23" s="5" t="n">
        <v>5</v>
      </c>
      <c r="CM23" s="5" t="n">
        <v>4.5</v>
      </c>
      <c r="CN23" s="5" t="n">
        <v>3.2</v>
      </c>
      <c r="CO23" s="5" t="n">
        <v>3.9</v>
      </c>
      <c r="CP23" s="5">
        <f>IF(MAESTRO!D23="","",IFERROR(TRUNC(AVERAGE(CF23:CO23),1),""))</f>
        <v/>
      </c>
      <c r="CQ23" s="5" t="n">
        <v>3.9</v>
      </c>
      <c r="CR23" s="5" t="n">
        <v>3</v>
      </c>
      <c r="CS23" s="5">
        <f>IF(MAESTRO!D23="","",IFERROR(AVERAGE(CQ23:CR23),""))</f>
        <v/>
      </c>
      <c r="CT23" s="5">
        <f>IF(MAESTRO!D23="","",IFERROR(TRUNC(AVERAGE(CE23,CP23),1),""))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v>4.6</v>
      </c>
      <c r="D24" s="5" t="n">
        <v>4.6</v>
      </c>
      <c r="E24" s="5" t="n">
        <v>3.2</v>
      </c>
      <c r="F24" s="5" t="n">
        <v>4.1</v>
      </c>
      <c r="G24" s="5" t="n">
        <v>3.7</v>
      </c>
      <c r="H24" s="5" t="n">
        <v>3.2</v>
      </c>
      <c r="I24" s="5" t="n">
        <v>3.4</v>
      </c>
      <c r="J24" s="5" t="n">
        <v>4</v>
      </c>
      <c r="K24" s="5" t="n">
        <v>4.9</v>
      </c>
      <c r="L24" s="5" t="n">
        <v>4.3</v>
      </c>
      <c r="M24" s="5" t="n">
        <v>4.6</v>
      </c>
      <c r="N24" s="5" t="n">
        <v>3.6</v>
      </c>
      <c r="O24" s="5" t="n">
        <v>4</v>
      </c>
      <c r="P24" s="5">
        <f>IF(MAESTRO!D24="","",IFERROR(TRUNC(AVERAGE(C24:O24),1),""))</f>
        <v/>
      </c>
      <c r="Q24" s="40" t="n">
        <v>20</v>
      </c>
      <c r="R24" s="22" t="n">
        <v>3.5</v>
      </c>
      <c r="S24" s="22" t="n">
        <v>4.8</v>
      </c>
      <c r="T24" s="22" t="n">
        <v>4.9</v>
      </c>
      <c r="U24" s="22" t="n">
        <v>4.5</v>
      </c>
      <c r="V24" s="22" t="n">
        <v>4</v>
      </c>
      <c r="W24" s="22" t="n">
        <v>4.4</v>
      </c>
      <c r="X24" s="22" t="n">
        <v>4.1</v>
      </c>
      <c r="Y24" s="22" t="n">
        <v>3.8</v>
      </c>
      <c r="Z24" s="22" t="n">
        <v>4.5</v>
      </c>
      <c r="AA24" s="45">
        <f>IF(MAESTRO!D24="","",IFERROR(TRUNC(AVERAGE(R24:Z24),1),""))</f>
        <v/>
      </c>
      <c r="AB24" s="177" t="n">
        <v>3.9</v>
      </c>
      <c r="AC24" s="42" t="n">
        <v>3.1</v>
      </c>
      <c r="AD24" s="5">
        <f>IF(MAESTRO!D24="","",IFERROR(AVERAGE(AB24:AC24),""))</f>
        <v/>
      </c>
      <c r="AE24" s="44">
        <f>IF(MAESTRO!D24="","",IFERROR(TRUNC(AVERAGE(P24,AA24),1),""))</f>
        <v/>
      </c>
      <c r="AF24" s="177" t="n"/>
      <c r="AG24" s="177" t="n">
        <v>20</v>
      </c>
      <c r="AH24" s="177" t="n">
        <v>20</v>
      </c>
      <c r="AI24" s="177">
        <f>IF(MAESTRO!D24="","",MAESTRO!D24)</f>
        <v/>
      </c>
      <c r="AJ24" s="178" t="n"/>
      <c r="AK24" s="61" t="n">
        <v>4.6</v>
      </c>
      <c r="AL24" s="61" t="n">
        <v>3.6</v>
      </c>
      <c r="AM24" s="61" t="n">
        <v>3.7</v>
      </c>
      <c r="AN24" s="61" t="n">
        <v>3.9</v>
      </c>
      <c r="AO24" s="61" t="n">
        <v>4.1</v>
      </c>
      <c r="AP24" s="61" t="n">
        <v>4</v>
      </c>
      <c r="AQ24" s="61" t="n">
        <v>4.8</v>
      </c>
      <c r="AR24" s="61" t="n">
        <v>5</v>
      </c>
      <c r="AS24" s="61" t="n">
        <v>4.5</v>
      </c>
      <c r="AT24" s="61" t="n">
        <v>3.4</v>
      </c>
      <c r="AU24" s="61" t="n">
        <v>3.1</v>
      </c>
      <c r="AV24" s="61" t="n">
        <v>4.5</v>
      </c>
      <c r="AW24" s="5">
        <f>IF(MAESTRO!D24="","",IFERROR(TRUNC(AVERAGE(AK24:AV24),1),""))</f>
        <v/>
      </c>
      <c r="AX24" s="22" t="n">
        <v>4.3</v>
      </c>
      <c r="AY24" s="22" t="n">
        <v>3.6</v>
      </c>
      <c r="AZ24" s="22" t="n">
        <v>4.5</v>
      </c>
      <c r="BA24" s="22" t="n">
        <v>4.6</v>
      </c>
      <c r="BB24" s="22" t="n">
        <v>3.9</v>
      </c>
      <c r="BC24" s="22" t="n">
        <v>3.1</v>
      </c>
      <c r="BD24" s="22" t="n">
        <v>3.9</v>
      </c>
      <c r="BE24" s="22" t="n">
        <v>3.8</v>
      </c>
      <c r="BF24" s="22" t="n">
        <v>4.8</v>
      </c>
      <c r="BG24" s="22" t="n">
        <v>3.8</v>
      </c>
      <c r="BH24" s="5">
        <f>IF(MAESTRO!D24="","",IFERROR(TRUNC(AVERAGE(AX24:BG24),1),""))</f>
        <v/>
      </c>
      <c r="BI24" s="22" t="n">
        <v>3.4</v>
      </c>
      <c r="BJ24" s="22" t="n">
        <v>4.1</v>
      </c>
      <c r="BK24" s="22">
        <f>IF(MAESTRO!D24="","",IFERROR(AVERAGE(BI24:BJ24),""))</f>
        <v/>
      </c>
      <c r="BL24" s="5">
        <f>IF(MAESTRO!D24="","",IFERROR(TRUNC(AVERAGE(AW24,BH24),1),""))</f>
        <v/>
      </c>
      <c r="BM24" s="177" t="n"/>
      <c r="BN24" s="177" t="n">
        <v>20</v>
      </c>
      <c r="BO24" s="177" t="n">
        <v>20</v>
      </c>
      <c r="BP24" s="177">
        <f>IF(MAESTRO!D24="","",MAESTRO!D24)</f>
        <v/>
      </c>
      <c r="BQ24" s="178" t="n"/>
      <c r="BR24" s="5" t="n">
        <v>4.3</v>
      </c>
      <c r="BS24" s="5" t="n">
        <v>3.3</v>
      </c>
      <c r="BT24" s="5" t="n">
        <v>4.5</v>
      </c>
      <c r="BU24" s="5" t="n">
        <v>4.1</v>
      </c>
      <c r="BV24" s="5" t="n">
        <v>4.4</v>
      </c>
      <c r="BW24" s="5" t="n">
        <v>3.6</v>
      </c>
      <c r="BX24" s="5" t="n">
        <v>3.3</v>
      </c>
      <c r="BY24" s="5" t="n">
        <v>4.5</v>
      </c>
      <c r="BZ24" s="5" t="n">
        <v>5</v>
      </c>
      <c r="CA24" s="5" t="n">
        <v>4.1</v>
      </c>
      <c r="CB24" s="5" t="n">
        <v>4.7</v>
      </c>
      <c r="CC24" s="5" t="n">
        <v>3.6</v>
      </c>
      <c r="CD24" s="5" t="n">
        <v>4.5</v>
      </c>
      <c r="CE24" s="5">
        <f>IF(MAESTRO!D24="","",IFERROR(TRUNC(AVERAGE(BR24:CD24),1),""))</f>
        <v/>
      </c>
      <c r="CF24" s="5" t="n">
        <v>3.6</v>
      </c>
      <c r="CG24" s="5" t="n">
        <v>3.1</v>
      </c>
      <c r="CH24" s="5" t="n">
        <v>3.6</v>
      </c>
      <c r="CI24" s="5" t="n">
        <v>4.2</v>
      </c>
      <c r="CJ24" s="5" t="n">
        <v>3.1</v>
      </c>
      <c r="CK24" s="5" t="n">
        <v>4.6</v>
      </c>
      <c r="CL24" s="5" t="n">
        <v>4.4</v>
      </c>
      <c r="CM24" s="5" t="n">
        <v>4.8</v>
      </c>
      <c r="CN24" s="5" t="n">
        <v>4.3</v>
      </c>
      <c r="CO24" s="5" t="n">
        <v>4.5</v>
      </c>
      <c r="CP24" s="5">
        <f>IF(MAESTRO!D24="","",IFERROR(TRUNC(AVERAGE(CF24:CO24),1),""))</f>
        <v/>
      </c>
      <c r="CQ24" s="5" t="n">
        <v>3.2</v>
      </c>
      <c r="CR24" s="5" t="n">
        <v>4.6</v>
      </c>
      <c r="CS24" s="5">
        <f>IF(MAESTRO!D24="","",IFERROR(AVERAGE(CQ24:CR24),""))</f>
        <v/>
      </c>
      <c r="CT24" s="5">
        <f>IF(MAESTRO!D24="","",IFERROR(TRUNC(AVERAGE(CE24,CP24),1),""))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v>3.8</v>
      </c>
      <c r="D25" s="5" t="n">
        <v>4.4</v>
      </c>
      <c r="E25" s="5" t="n">
        <v>3.7</v>
      </c>
      <c r="F25" s="5" t="n">
        <v>3.7</v>
      </c>
      <c r="G25" s="5" t="n">
        <v>5</v>
      </c>
      <c r="H25" s="5" t="n">
        <v>4.3</v>
      </c>
      <c r="I25" s="5" t="n">
        <v>3.6</v>
      </c>
      <c r="J25" s="5" t="n">
        <v>3.4</v>
      </c>
      <c r="K25" s="5" t="n">
        <v>3.1</v>
      </c>
      <c r="L25" s="5" t="n">
        <v>4.4</v>
      </c>
      <c r="M25" s="5" t="n">
        <v>3</v>
      </c>
      <c r="N25" s="5" t="n">
        <v>4.4</v>
      </c>
      <c r="O25" s="5" t="n">
        <v>4.2</v>
      </c>
      <c r="P25" s="5">
        <f>IF(MAESTRO!D25="","",IFERROR(TRUNC(AVERAGE(C25:O25),1),""))</f>
        <v/>
      </c>
      <c r="Q25" s="40" t="n">
        <v>21</v>
      </c>
      <c r="R25" s="22" t="n">
        <v>4.9</v>
      </c>
      <c r="S25" s="22" t="n">
        <v>4.5</v>
      </c>
      <c r="T25" s="22" t="n">
        <v>4.6</v>
      </c>
      <c r="U25" s="22" t="n">
        <v>4.5</v>
      </c>
      <c r="V25" s="22" t="n">
        <v>4.4</v>
      </c>
      <c r="W25" s="22" t="n">
        <v>4.4</v>
      </c>
      <c r="X25" s="22" t="n">
        <v>3.1</v>
      </c>
      <c r="Y25" s="22" t="n">
        <v>3.8</v>
      </c>
      <c r="Z25" s="22" t="n">
        <v>3.7</v>
      </c>
      <c r="AA25" s="45">
        <f>IF(MAESTRO!D25="","",IFERROR(TRUNC(AVERAGE(R25:Z25),1),""))</f>
        <v/>
      </c>
      <c r="AB25" s="177" t="n">
        <v>4.8</v>
      </c>
      <c r="AC25" s="42" t="n">
        <v>3.4</v>
      </c>
      <c r="AD25" s="5">
        <f>IF(MAESTRO!D25="","",IFERROR(AVERAGE(AB25:AC25),""))</f>
        <v/>
      </c>
      <c r="AE25" s="44">
        <f>IF(MAESTRO!D25="","",IFERROR(TRUNC(AVERAGE(P25,AA25),1),""))</f>
        <v/>
      </c>
      <c r="AF25" s="177" t="n"/>
      <c r="AG25" s="177" t="n">
        <v>21</v>
      </c>
      <c r="AH25" s="177" t="n">
        <v>21</v>
      </c>
      <c r="AI25" s="177">
        <f>IF(MAESTRO!D25="","",MAESTRO!D25)</f>
        <v/>
      </c>
      <c r="AJ25" s="178" t="n"/>
      <c r="AK25" s="61" t="n">
        <v>3.4</v>
      </c>
      <c r="AL25" s="61" t="n">
        <v>4.1</v>
      </c>
      <c r="AM25" s="61" t="n">
        <v>4.6</v>
      </c>
      <c r="AN25" s="61" t="n">
        <v>4.2</v>
      </c>
      <c r="AO25" s="61" t="n">
        <v>3.8</v>
      </c>
      <c r="AP25" s="61" t="n">
        <v>3.3</v>
      </c>
      <c r="AQ25" s="61" t="n">
        <v>4.7</v>
      </c>
      <c r="AR25" s="61" t="n">
        <v>3.4</v>
      </c>
      <c r="AS25" s="61" t="n">
        <v>4.7</v>
      </c>
      <c r="AT25" s="61" t="n">
        <v>3.2</v>
      </c>
      <c r="AU25" s="61" t="n">
        <v>3.7</v>
      </c>
      <c r="AV25" s="61" t="n">
        <v>4.1</v>
      </c>
      <c r="AW25" s="5">
        <f>IF(MAESTRO!D25="","",IFERROR(TRUNC(AVERAGE(AK25:AV25),1),""))</f>
        <v/>
      </c>
      <c r="AX25" s="22" t="n">
        <v>4.3</v>
      </c>
      <c r="AY25" s="61" t="n">
        <v>4.3</v>
      </c>
      <c r="AZ25" s="22" t="n">
        <v>3.3</v>
      </c>
      <c r="BA25" s="22" t="n">
        <v>4.9</v>
      </c>
      <c r="BB25" s="22" t="n">
        <v>4.6</v>
      </c>
      <c r="BC25" s="22" t="n">
        <v>3.8</v>
      </c>
      <c r="BD25" s="22" t="n">
        <v>3.8</v>
      </c>
      <c r="BE25" s="22" t="n">
        <v>3.8</v>
      </c>
      <c r="BF25" s="22" t="n">
        <v>3.6</v>
      </c>
      <c r="BG25" s="22" t="n">
        <v>4</v>
      </c>
      <c r="BH25" s="5">
        <f>IF(MAESTRO!D25="","",IFERROR(TRUNC(AVERAGE(AX25:BG25),1),""))</f>
        <v/>
      </c>
      <c r="BI25" s="22" t="n">
        <v>3.2</v>
      </c>
      <c r="BJ25" s="22" t="n">
        <v>4</v>
      </c>
      <c r="BK25" s="22">
        <f>IF(MAESTRO!D25="","",IFERROR(AVERAGE(BI25:BJ25),""))</f>
        <v/>
      </c>
      <c r="BL25" s="5">
        <f>IF(MAESTRO!D25="","",IFERROR(TRUNC(AVERAGE(AW25,BH25),1),""))</f>
        <v/>
      </c>
      <c r="BM25" s="177" t="n"/>
      <c r="BN25" s="177" t="n">
        <v>21</v>
      </c>
      <c r="BO25" s="177" t="n">
        <v>21</v>
      </c>
      <c r="BP25" s="177">
        <f>IF(MAESTRO!D25="","",MAESTRO!D25)</f>
        <v/>
      </c>
      <c r="BQ25" s="178" t="n"/>
      <c r="BR25" s="5" t="n">
        <v>3.6</v>
      </c>
      <c r="BS25" s="5" t="n">
        <v>3.9</v>
      </c>
      <c r="BT25" s="5" t="n">
        <v>3.6</v>
      </c>
      <c r="BU25" s="5" t="n">
        <v>4.7</v>
      </c>
      <c r="BV25" s="5" t="n">
        <v>3.5</v>
      </c>
      <c r="BW25" s="5" t="n">
        <v>4.8</v>
      </c>
      <c r="BX25" s="5" t="n">
        <v>4.1</v>
      </c>
      <c r="BY25" s="5" t="n">
        <v>3.8</v>
      </c>
      <c r="BZ25" s="5" t="n">
        <v>4</v>
      </c>
      <c r="CA25" s="5" t="n">
        <v>3.7</v>
      </c>
      <c r="CB25" s="5" t="n">
        <v>3.8</v>
      </c>
      <c r="CC25" s="5" t="n">
        <v>4.8</v>
      </c>
      <c r="CD25" s="5" t="n">
        <v>4.3</v>
      </c>
      <c r="CE25" s="5">
        <f>IF(MAESTRO!D25="","",IFERROR(TRUNC(AVERAGE(BR25:CD25),1),""))</f>
        <v/>
      </c>
      <c r="CF25" s="5" t="n">
        <v>4.2</v>
      </c>
      <c r="CG25" s="5" t="n">
        <v>4.4</v>
      </c>
      <c r="CH25" s="5" t="n">
        <v>4.9</v>
      </c>
      <c r="CI25" s="5" t="n">
        <v>4.6</v>
      </c>
      <c r="CJ25" s="5" t="n">
        <v>3.6</v>
      </c>
      <c r="CK25" s="5" t="n">
        <v>3.7</v>
      </c>
      <c r="CL25" s="5" t="n">
        <v>3.3</v>
      </c>
      <c r="CM25" s="5" t="n">
        <v>4.9</v>
      </c>
      <c r="CN25" s="5" t="n">
        <v>3.4</v>
      </c>
      <c r="CO25" s="5" t="n">
        <v>3.2</v>
      </c>
      <c r="CP25" s="5">
        <f>IF(MAESTRO!D25="","",IFERROR(TRUNC(AVERAGE(CF25:CO25),1),""))</f>
        <v/>
      </c>
      <c r="CQ25" s="5" t="n">
        <v>3.9</v>
      </c>
      <c r="CR25" s="5" t="n">
        <v>3.9</v>
      </c>
      <c r="CS25" s="5">
        <f>IF(MAESTRO!D25="","",IFERROR(AVERAGE(CQ25:CR25),""))</f>
        <v/>
      </c>
      <c r="CT25" s="5">
        <f>IF(MAESTRO!D25="","",IFERROR(TRUNC(AVERAGE(CE25,CP25),1),""))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v>4.3</v>
      </c>
      <c r="D26" s="5" t="n">
        <v>4</v>
      </c>
      <c r="E26" s="5" t="n">
        <v>4.6</v>
      </c>
      <c r="F26" s="5" t="n">
        <v>3.7</v>
      </c>
      <c r="G26" s="5" t="n">
        <v>4.1</v>
      </c>
      <c r="H26" s="5" t="n">
        <v>3.2</v>
      </c>
      <c r="I26" s="5" t="n">
        <v>3.2</v>
      </c>
      <c r="J26" s="5" t="n">
        <v>3.5</v>
      </c>
      <c r="K26" s="5" t="n">
        <v>3.4</v>
      </c>
      <c r="L26" s="5" t="n">
        <v>3.7</v>
      </c>
      <c r="M26" s="5" t="n">
        <v>3.6</v>
      </c>
      <c r="N26" s="5" t="n">
        <v>3.7</v>
      </c>
      <c r="O26" s="5" t="n">
        <v>4.2</v>
      </c>
      <c r="P26" s="5">
        <f>IF(MAESTRO!D26="","",IFERROR(TRUNC(AVERAGE(C26:O26),1),""))</f>
        <v/>
      </c>
      <c r="Q26" s="40" t="n">
        <v>22</v>
      </c>
      <c r="R26" s="22" t="n">
        <v>4.7</v>
      </c>
      <c r="S26" s="22" t="n">
        <v>4.7</v>
      </c>
      <c r="T26" s="22" t="n">
        <v>3</v>
      </c>
      <c r="U26" s="22" t="n">
        <v>3.8</v>
      </c>
      <c r="V26" s="22" t="n">
        <v>3.4</v>
      </c>
      <c r="W26" s="22" t="n">
        <v>3.3</v>
      </c>
      <c r="X26" s="22" t="n">
        <v>4</v>
      </c>
      <c r="Y26" s="22" t="n">
        <v>3</v>
      </c>
      <c r="Z26" s="22" t="n">
        <v>4.3</v>
      </c>
      <c r="AA26" s="45">
        <f>IF(MAESTRO!D26="","",IFERROR(TRUNC(AVERAGE(R26:Z26),1),""))</f>
        <v/>
      </c>
      <c r="AB26" s="177" t="n">
        <v>4.6</v>
      </c>
      <c r="AC26" s="42" t="n">
        <v>3.1</v>
      </c>
      <c r="AD26" s="5">
        <f>IF(MAESTRO!D26="","",IFERROR(AVERAGE(AB26:AC26),""))</f>
        <v/>
      </c>
      <c r="AE26" s="44">
        <f>IF(MAESTRO!D26="","",IFERROR(TRUNC(AVERAGE(P26,AA26),1),""))</f>
        <v/>
      </c>
      <c r="AF26" s="177" t="n"/>
      <c r="AG26" s="177" t="n">
        <v>22</v>
      </c>
      <c r="AH26" s="177" t="n">
        <v>22</v>
      </c>
      <c r="AI26" s="177">
        <f>IF(MAESTRO!D26="","",MAESTRO!D26)</f>
        <v/>
      </c>
      <c r="AJ26" s="178" t="n"/>
      <c r="AK26" s="61" t="n">
        <v>4.7</v>
      </c>
      <c r="AL26" s="61" t="n">
        <v>3.3</v>
      </c>
      <c r="AM26" s="61" t="n">
        <v>4.9</v>
      </c>
      <c r="AN26" s="61" t="n">
        <v>4.8</v>
      </c>
      <c r="AO26" s="61" t="n">
        <v>3.1</v>
      </c>
      <c r="AP26" s="61" t="n">
        <v>3.3</v>
      </c>
      <c r="AQ26" s="61" t="n">
        <v>4.8</v>
      </c>
      <c r="AR26" s="61" t="n">
        <v>3.7</v>
      </c>
      <c r="AS26" s="61" t="n">
        <v>3.4</v>
      </c>
      <c r="AT26" s="61" t="n">
        <v>4.9</v>
      </c>
      <c r="AU26" s="61" t="n">
        <v>3.8</v>
      </c>
      <c r="AV26" s="61" t="n">
        <v>3.7</v>
      </c>
      <c r="AW26" s="5">
        <f>IF(MAESTRO!D26="","",IFERROR(TRUNC(AVERAGE(AK26:AV26),1),""))</f>
        <v/>
      </c>
      <c r="AX26" s="22" t="n">
        <v>3.8</v>
      </c>
      <c r="AY26" s="61" t="n">
        <v>4.7</v>
      </c>
      <c r="AZ26" s="22" t="n">
        <v>4.5</v>
      </c>
      <c r="BA26" s="22" t="n">
        <v>4.1</v>
      </c>
      <c r="BB26" s="22" t="n">
        <v>4.2</v>
      </c>
      <c r="BC26" s="22" t="n">
        <v>3.4</v>
      </c>
      <c r="BD26" s="22" t="n">
        <v>3.6</v>
      </c>
      <c r="BE26" s="22" t="n">
        <v>4.8</v>
      </c>
      <c r="BF26" s="22" t="n">
        <v>4.9</v>
      </c>
      <c r="BG26" s="22" t="n">
        <v>4.9</v>
      </c>
      <c r="BH26" s="5">
        <f>IF(MAESTRO!D26="","",IFERROR(TRUNC(AVERAGE(AX26:BG26),1),""))</f>
        <v/>
      </c>
      <c r="BI26" s="22" t="n">
        <v>4.8</v>
      </c>
      <c r="BJ26" s="22" t="n">
        <v>3.6</v>
      </c>
      <c r="BK26" s="22">
        <f>IF(MAESTRO!D26="","",IFERROR(AVERAGE(BI26:BJ26),""))</f>
        <v/>
      </c>
      <c r="BL26" s="5">
        <f>IF(MAESTRO!D26="","",IFERROR(TRUNC(AVERAGE(AW26,BH26),1),""))</f>
        <v/>
      </c>
      <c r="BM26" s="177" t="n"/>
      <c r="BN26" s="177" t="n">
        <v>22</v>
      </c>
      <c r="BO26" s="177" t="n">
        <v>22</v>
      </c>
      <c r="BP26" s="177">
        <f>IF(MAESTRO!D26="","",MAESTRO!D26)</f>
        <v/>
      </c>
      <c r="BQ26" s="178" t="n"/>
      <c r="BR26" s="5" t="n">
        <v>4.2</v>
      </c>
      <c r="BS26" s="5" t="n">
        <v>4.6</v>
      </c>
      <c r="BT26" s="5" t="n">
        <v>4.7</v>
      </c>
      <c r="BU26" s="5" t="n">
        <v>3.7</v>
      </c>
      <c r="BV26" s="5" t="n">
        <v>3.9</v>
      </c>
      <c r="BW26" s="5" t="n">
        <v>4.4</v>
      </c>
      <c r="BX26" s="5" t="n">
        <v>4.6</v>
      </c>
      <c r="BY26" s="5" t="n">
        <v>3.6</v>
      </c>
      <c r="BZ26" s="5" t="n">
        <v>3.9</v>
      </c>
      <c r="CA26" s="5" t="n">
        <v>5</v>
      </c>
      <c r="CB26" s="5" t="n">
        <v>4.6</v>
      </c>
      <c r="CC26" s="5" t="n">
        <v>3</v>
      </c>
      <c r="CD26" s="5" t="n">
        <v>3.2</v>
      </c>
      <c r="CE26" s="5">
        <f>IF(MAESTRO!D26="","",IFERROR(TRUNC(AVERAGE(BR26:CD26),1),""))</f>
        <v/>
      </c>
      <c r="CF26" s="5" t="n">
        <v>3.2</v>
      </c>
      <c r="CG26" s="5" t="n">
        <v>4</v>
      </c>
      <c r="CH26" s="5" t="n">
        <v>3.7</v>
      </c>
      <c r="CI26" s="5" t="n">
        <v>3</v>
      </c>
      <c r="CJ26" s="5" t="n">
        <v>3.1</v>
      </c>
      <c r="CK26" s="5" t="n">
        <v>3.5</v>
      </c>
      <c r="CL26" s="5" t="n">
        <v>5</v>
      </c>
      <c r="CM26" s="5" t="n">
        <v>3.9</v>
      </c>
      <c r="CN26" s="5" t="n">
        <v>3.8</v>
      </c>
      <c r="CO26" s="5" t="n">
        <v>3.8</v>
      </c>
      <c r="CP26" s="5">
        <f>IF(MAESTRO!D26="","",IFERROR(TRUNC(AVERAGE(CF26:CO26),1),""))</f>
        <v/>
      </c>
      <c r="CQ26" s="5" t="n">
        <v>4.9</v>
      </c>
      <c r="CR26" s="5" t="n">
        <v>3.3</v>
      </c>
      <c r="CS26" s="5">
        <f>IF(MAESTRO!D26="","",IFERROR(AVERAGE(CQ26:CR26),""))</f>
        <v/>
      </c>
      <c r="CT26" s="5">
        <f>IF(MAESTRO!D26="","",IFERROR(TRUNC(AVERAGE(CE26,CP26),1),""))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v>4.4</v>
      </c>
      <c r="D27" s="5" t="n">
        <v>4.4</v>
      </c>
      <c r="E27" s="5" t="n">
        <v>4.9</v>
      </c>
      <c r="F27" s="5" t="n">
        <v>3.7</v>
      </c>
      <c r="G27" s="5" t="n">
        <v>3.4</v>
      </c>
      <c r="H27" s="5" t="n">
        <v>4.8</v>
      </c>
      <c r="I27" s="5" t="n">
        <v>3.6</v>
      </c>
      <c r="J27" s="5" t="n">
        <v>4.8</v>
      </c>
      <c r="K27" s="5" t="n">
        <v>3.3</v>
      </c>
      <c r="L27" s="5" t="n">
        <v>3.6</v>
      </c>
      <c r="M27" s="5" t="n">
        <v>4.9</v>
      </c>
      <c r="N27" s="5" t="n">
        <v>3.9</v>
      </c>
      <c r="O27" s="5" t="n">
        <v>3.5</v>
      </c>
      <c r="P27" s="5">
        <f>IF(MAESTRO!D27="","",IFERROR(TRUNC(AVERAGE(C27:O27),1),""))</f>
        <v/>
      </c>
      <c r="Q27" s="40" t="n">
        <v>23</v>
      </c>
      <c r="R27" s="22" t="n">
        <v>3.4</v>
      </c>
      <c r="S27" s="22" t="n">
        <v>4.6</v>
      </c>
      <c r="T27" s="22" t="n">
        <v>4.2</v>
      </c>
      <c r="U27" s="22" t="n">
        <v>3.1</v>
      </c>
      <c r="V27" s="22" t="n">
        <v>4.7</v>
      </c>
      <c r="W27" s="22" t="n">
        <v>4.9</v>
      </c>
      <c r="X27" s="22" t="n">
        <v>4.8</v>
      </c>
      <c r="Y27" s="22" t="n">
        <v>4.2</v>
      </c>
      <c r="Z27" s="22" t="n">
        <v>4.2</v>
      </c>
      <c r="AA27" s="45">
        <f>IF(MAESTRO!D27="","",IFERROR(TRUNC(AVERAGE(R27:Z27),1),""))</f>
        <v/>
      </c>
      <c r="AB27" s="177" t="n">
        <v>3.6</v>
      </c>
      <c r="AC27" s="42" t="n">
        <v>3.3</v>
      </c>
      <c r="AD27" s="5">
        <f>IF(MAESTRO!D27="","",IFERROR(AVERAGE(AB27:AC27),""))</f>
        <v/>
      </c>
      <c r="AE27" s="44">
        <f>IF(MAESTRO!D27="","",IFERROR(TRUNC(AVERAGE(P27,AA27),1),""))</f>
        <v/>
      </c>
      <c r="AF27" s="177" t="n"/>
      <c r="AG27" s="177" t="n">
        <v>23</v>
      </c>
      <c r="AH27" s="177" t="n">
        <v>23</v>
      </c>
      <c r="AI27" s="177">
        <f>IF(MAESTRO!D27="","",MAESTRO!D27)</f>
        <v/>
      </c>
      <c r="AJ27" s="178" t="n"/>
      <c r="AK27" s="61" t="n">
        <v>4.2</v>
      </c>
      <c r="AL27" s="61" t="n">
        <v>4.3</v>
      </c>
      <c r="AM27" s="61" t="n">
        <v>4.7</v>
      </c>
      <c r="AN27" s="61" t="n">
        <v>4.6</v>
      </c>
      <c r="AO27" s="61" t="n">
        <v>4.5</v>
      </c>
      <c r="AP27" s="61" t="n">
        <v>3.8</v>
      </c>
      <c r="AQ27" s="61" t="n">
        <v>4.4</v>
      </c>
      <c r="AR27" s="61" t="n">
        <v>4.1</v>
      </c>
      <c r="AS27" s="61" t="n">
        <v>4.7</v>
      </c>
      <c r="AT27" s="61" t="n">
        <v>4.6</v>
      </c>
      <c r="AU27" s="61" t="n">
        <v>3</v>
      </c>
      <c r="AV27" s="61" t="n">
        <v>3.7</v>
      </c>
      <c r="AW27" s="5">
        <f>IF(MAESTRO!D27="","",IFERROR(TRUNC(AVERAGE(AK27:AV27),1),""))</f>
        <v/>
      </c>
      <c r="AX27" s="22" t="n">
        <v>4.9</v>
      </c>
      <c r="AY27" s="61" t="n">
        <v>4.7</v>
      </c>
      <c r="AZ27" s="22" t="n">
        <v>3.9</v>
      </c>
      <c r="BA27" s="22" t="n">
        <v>3.6</v>
      </c>
      <c r="BB27" s="22" t="n">
        <v>4.4</v>
      </c>
      <c r="BC27" s="22" t="n">
        <v>4.1</v>
      </c>
      <c r="BD27" s="22" t="n">
        <v>3.8</v>
      </c>
      <c r="BE27" s="22" t="n">
        <v>3.6</v>
      </c>
      <c r="BF27" s="22" t="n">
        <v>4</v>
      </c>
      <c r="BG27" s="22" t="n">
        <v>3.5</v>
      </c>
      <c r="BH27" s="5">
        <f>IF(MAESTRO!D27="","",IFERROR(TRUNC(AVERAGE(AX27:BG27),1),""))</f>
        <v/>
      </c>
      <c r="BI27" s="22" t="n">
        <v>3.3</v>
      </c>
      <c r="BJ27" s="22" t="n">
        <v>3.8</v>
      </c>
      <c r="BK27" s="22">
        <f>IF(MAESTRO!D27="","",IFERROR(AVERAGE(BI27:BJ27),""))</f>
        <v/>
      </c>
      <c r="BL27" s="5">
        <f>IF(MAESTRO!D27="","",IFERROR(TRUNC(AVERAGE(AW27,BH27),1),""))</f>
        <v/>
      </c>
      <c r="BM27" s="177" t="n"/>
      <c r="BN27" s="177" t="n">
        <v>23</v>
      </c>
      <c r="BO27" s="177" t="n">
        <v>23</v>
      </c>
      <c r="BP27" s="177">
        <f>IF(MAESTRO!D27="","",MAESTRO!D27)</f>
        <v/>
      </c>
      <c r="BQ27" s="178" t="n"/>
      <c r="BR27" s="5" t="n">
        <v>3.7</v>
      </c>
      <c r="BS27" s="5" t="n">
        <v>3.9</v>
      </c>
      <c r="BT27" s="5" t="n">
        <v>3.9</v>
      </c>
      <c r="BU27" s="5" t="n">
        <v>4.4</v>
      </c>
      <c r="BV27" s="5" t="n">
        <v>3.4</v>
      </c>
      <c r="BW27" s="5" t="n">
        <v>3.9</v>
      </c>
      <c r="BX27" s="5" t="n">
        <v>3.7</v>
      </c>
      <c r="BY27" s="5" t="n">
        <v>4.2</v>
      </c>
      <c r="BZ27" s="5" t="n">
        <v>4.8</v>
      </c>
      <c r="CA27" s="5" t="n">
        <v>3.5</v>
      </c>
      <c r="CB27" s="5" t="n">
        <v>3.7</v>
      </c>
      <c r="CC27" s="5" t="n">
        <v>4.1</v>
      </c>
      <c r="CD27" s="5" t="n">
        <v>5</v>
      </c>
      <c r="CE27" s="5">
        <f>IF(MAESTRO!D27="","",IFERROR(TRUNC(AVERAGE(BR27:CD27),1),""))</f>
        <v/>
      </c>
      <c r="CF27" s="5" t="n">
        <v>4.4</v>
      </c>
      <c r="CG27" s="5" t="n">
        <v>3.9</v>
      </c>
      <c r="CH27" s="5" t="n">
        <v>4.6</v>
      </c>
      <c r="CI27" s="5" t="n">
        <v>3.3</v>
      </c>
      <c r="CJ27" s="5" t="n">
        <v>4.2</v>
      </c>
      <c r="CK27" s="5" t="n">
        <v>4.8</v>
      </c>
      <c r="CL27" s="5" t="n">
        <v>3</v>
      </c>
      <c r="CM27" s="5" t="n">
        <v>3.3</v>
      </c>
      <c r="CN27" s="5" t="n">
        <v>4.4</v>
      </c>
      <c r="CO27" s="5" t="n">
        <v>4.8</v>
      </c>
      <c r="CP27" s="5">
        <f>IF(MAESTRO!D27="","",IFERROR(TRUNC(AVERAGE(CF27:CO27),1),""))</f>
        <v/>
      </c>
      <c r="CQ27" s="5" t="n">
        <v>4.3</v>
      </c>
      <c r="CR27" s="5" t="n">
        <v>4</v>
      </c>
      <c r="CS27" s="5">
        <f>IF(MAESTRO!D27="","",IFERROR(AVERAGE(CQ27:CR27),""))</f>
        <v/>
      </c>
      <c r="CT27" s="5">
        <f>IF(MAESTRO!D27="","",IFERROR(TRUNC(AVERAGE(CE27,CP27),1),""))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v>3.9</v>
      </c>
      <c r="D28" s="5" t="n">
        <v>3</v>
      </c>
      <c r="E28" s="5" t="n">
        <v>4.6</v>
      </c>
      <c r="F28" s="5" t="n">
        <v>3.3</v>
      </c>
      <c r="G28" s="5" t="n">
        <v>3.2</v>
      </c>
      <c r="H28" s="5" t="n">
        <v>3.8</v>
      </c>
      <c r="I28" s="5" t="n">
        <v>4.7</v>
      </c>
      <c r="J28" s="5" t="n">
        <v>4.9</v>
      </c>
      <c r="K28" s="5" t="n">
        <v>3.9</v>
      </c>
      <c r="L28" s="5" t="n">
        <v>4.5</v>
      </c>
      <c r="M28" s="5" t="n">
        <v>3.6</v>
      </c>
      <c r="N28" s="5" t="n">
        <v>5</v>
      </c>
      <c r="O28" s="5" t="n">
        <v>3.9</v>
      </c>
      <c r="P28" s="5">
        <f>IF(MAESTRO!D28="","",IFERROR(TRUNC(AVERAGE(C28:O28),1),""))</f>
        <v/>
      </c>
      <c r="Q28" s="40" t="n">
        <v>24</v>
      </c>
      <c r="R28" s="22" t="n">
        <v>4.3</v>
      </c>
      <c r="S28" s="22" t="n">
        <v>4.8</v>
      </c>
      <c r="T28" s="22" t="n">
        <v>5</v>
      </c>
      <c r="U28" s="22" t="n">
        <v>4.4</v>
      </c>
      <c r="V28" s="22" t="n">
        <v>3.8</v>
      </c>
      <c r="W28" s="22" t="n">
        <v>3.1</v>
      </c>
      <c r="X28" s="22" t="n">
        <v>5</v>
      </c>
      <c r="Y28" s="22" t="n">
        <v>4.7</v>
      </c>
      <c r="Z28" s="22" t="n">
        <v>4.7</v>
      </c>
      <c r="AA28" s="45">
        <f>IF(MAESTRO!D28="","",IFERROR(TRUNC(AVERAGE(R28:Z28),1),""))</f>
        <v/>
      </c>
      <c r="AB28" s="177" t="n">
        <v>3.8</v>
      </c>
      <c r="AC28" s="42" t="n">
        <v>3.2</v>
      </c>
      <c r="AD28" s="5">
        <f>IF(MAESTRO!D28="","",IFERROR(AVERAGE(AB28:AC28),""))</f>
        <v/>
      </c>
      <c r="AE28" s="44">
        <f>IF(MAESTRO!D28="","",IFERROR(TRUNC(AVERAGE(P28,AA28),1),""))</f>
        <v/>
      </c>
      <c r="AF28" s="177" t="n"/>
      <c r="AG28" s="177" t="n">
        <v>24</v>
      </c>
      <c r="AH28" s="177" t="n">
        <v>24</v>
      </c>
      <c r="AI28" s="177">
        <f>IF(MAESTRO!D28="","",MAESTRO!D28)</f>
        <v/>
      </c>
      <c r="AJ28" s="178" t="n"/>
      <c r="AK28" s="61" t="n">
        <v>4.3</v>
      </c>
      <c r="AL28" s="61" t="n">
        <v>4.9</v>
      </c>
      <c r="AM28" s="61" t="n">
        <v>4.4</v>
      </c>
      <c r="AN28" s="61" t="n">
        <v>3.7</v>
      </c>
      <c r="AO28" s="61" t="n">
        <v>3.1</v>
      </c>
      <c r="AP28" s="61" t="n">
        <v>3.3</v>
      </c>
      <c r="AQ28" s="61" t="n">
        <v>4.6</v>
      </c>
      <c r="AR28" s="61" t="n">
        <v>4.1</v>
      </c>
      <c r="AS28" s="61" t="n">
        <v>3.2</v>
      </c>
      <c r="AT28" s="61" t="n">
        <v>4.4</v>
      </c>
      <c r="AU28" s="61" t="n">
        <v>4.8</v>
      </c>
      <c r="AV28" s="61" t="n">
        <v>4.6</v>
      </c>
      <c r="AW28" s="5">
        <f>IF(MAESTRO!D28="","",IFERROR(TRUNC(AVERAGE(AK28:AV28),1),""))</f>
        <v/>
      </c>
      <c r="AX28" s="22" t="n">
        <v>3.8</v>
      </c>
      <c r="AY28" s="61" t="n">
        <v>3.2</v>
      </c>
      <c r="AZ28" s="22" t="n">
        <v>4.9</v>
      </c>
      <c r="BA28" s="22" t="n">
        <v>3.5</v>
      </c>
      <c r="BB28" s="22" t="n">
        <v>4.2</v>
      </c>
      <c r="BC28" s="22" t="n">
        <v>4</v>
      </c>
      <c r="BD28" s="22" t="n">
        <v>3.2</v>
      </c>
      <c r="BE28" s="22" t="n">
        <v>3.2</v>
      </c>
      <c r="BF28" s="22" t="n">
        <v>3.7</v>
      </c>
      <c r="BG28" s="22" t="n">
        <v>3.4</v>
      </c>
      <c r="BH28" s="5">
        <f>IF(MAESTRO!D28="","",IFERROR(TRUNC(AVERAGE(AX28:BG28),1),""))</f>
        <v/>
      </c>
      <c r="BI28" s="22" t="n">
        <v>5</v>
      </c>
      <c r="BJ28" s="22" t="n">
        <v>3.8</v>
      </c>
      <c r="BK28" s="22">
        <f>IF(MAESTRO!D28="","",IFERROR(AVERAGE(BI28:BJ28),""))</f>
        <v/>
      </c>
      <c r="BL28" s="5">
        <f>IF(MAESTRO!D28="","",IFERROR(TRUNC(AVERAGE(AW28,BH28),1),""))</f>
        <v/>
      </c>
      <c r="BM28" s="177" t="n"/>
      <c r="BN28" s="177" t="n">
        <v>24</v>
      </c>
      <c r="BO28" s="177" t="n">
        <v>24</v>
      </c>
      <c r="BP28" s="177">
        <f>IF(MAESTRO!D28="","",MAESTRO!D28)</f>
        <v/>
      </c>
      <c r="BQ28" s="178" t="n"/>
      <c r="BR28" s="5" t="n">
        <v>4</v>
      </c>
      <c r="BS28" s="5" t="n">
        <v>4</v>
      </c>
      <c r="BT28" s="5" t="n">
        <v>3.6</v>
      </c>
      <c r="BU28" s="5" t="n">
        <v>3.9</v>
      </c>
      <c r="BV28" s="5" t="n">
        <v>3.1</v>
      </c>
      <c r="BW28" s="5" t="n">
        <v>4.5</v>
      </c>
      <c r="BX28" s="5" t="n">
        <v>4.7</v>
      </c>
      <c r="BY28" s="5" t="n">
        <v>4.5</v>
      </c>
      <c r="BZ28" s="5" t="n">
        <v>3.5</v>
      </c>
      <c r="CA28" s="5" t="n">
        <v>5</v>
      </c>
      <c r="CB28" s="5" t="n">
        <v>4</v>
      </c>
      <c r="CC28" s="5" t="n">
        <v>4.6</v>
      </c>
      <c r="CD28" s="5" t="n">
        <v>4</v>
      </c>
      <c r="CE28" s="5">
        <f>IF(MAESTRO!D28="","",IFERROR(TRUNC(AVERAGE(BR28:CD28),1),""))</f>
        <v/>
      </c>
      <c r="CF28" s="5" t="n">
        <v>4.2</v>
      </c>
      <c r="CG28" s="5" t="n">
        <v>3.3</v>
      </c>
      <c r="CH28" s="5" t="n">
        <v>3.3</v>
      </c>
      <c r="CI28" s="5" t="n">
        <v>3.7</v>
      </c>
      <c r="CJ28" s="5" t="n">
        <v>3.1</v>
      </c>
      <c r="CK28" s="5" t="n">
        <v>3.9</v>
      </c>
      <c r="CL28" s="5" t="n">
        <v>4.3</v>
      </c>
      <c r="CM28" s="5" t="n">
        <v>3.5</v>
      </c>
      <c r="CN28" s="5" t="n">
        <v>3.1</v>
      </c>
      <c r="CO28" s="5" t="n">
        <v>3.4</v>
      </c>
      <c r="CP28" s="5">
        <f>IF(MAESTRO!D28="","",IFERROR(TRUNC(AVERAGE(CF28:CO28),1),""))</f>
        <v/>
      </c>
      <c r="CQ28" s="5" t="n">
        <v>4</v>
      </c>
      <c r="CR28" s="5" t="n">
        <v>3.3</v>
      </c>
      <c r="CS28" s="5">
        <f>IF(MAESTRO!D28="","",IFERROR(AVERAGE(CQ28:CR28),""))</f>
        <v/>
      </c>
      <c r="CT28" s="5">
        <f>IF(MAESTRO!D28="","",IFERROR(TRUNC(AVERAGE(CE28,CP28),1),""))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v>3.7</v>
      </c>
      <c r="D29" s="5" t="n">
        <v>4.8</v>
      </c>
      <c r="E29" s="5" t="n">
        <v>3.5</v>
      </c>
      <c r="F29" s="5" t="n">
        <v>3.5</v>
      </c>
      <c r="G29" s="5" t="n">
        <v>4.4</v>
      </c>
      <c r="H29" s="5" t="n">
        <v>4.7</v>
      </c>
      <c r="I29" s="5" t="n">
        <v>3</v>
      </c>
      <c r="J29" s="5" t="n">
        <v>4</v>
      </c>
      <c r="K29" s="5" t="n">
        <v>4.5</v>
      </c>
      <c r="L29" s="5" t="n">
        <v>3.9</v>
      </c>
      <c r="M29" s="5" t="n">
        <v>5</v>
      </c>
      <c r="N29" s="5" t="n">
        <v>4.1</v>
      </c>
      <c r="O29" s="5" t="n">
        <v>3.2</v>
      </c>
      <c r="P29" s="5">
        <f>IF(MAESTRO!D29="","",IFERROR(TRUNC(AVERAGE(C29:O29),1),""))</f>
        <v/>
      </c>
      <c r="Q29" s="40" t="n">
        <v>25</v>
      </c>
      <c r="R29" s="22" t="n">
        <v>4.7</v>
      </c>
      <c r="S29" s="22" t="n">
        <v>3.3</v>
      </c>
      <c r="T29" s="22" t="n">
        <v>4.2</v>
      </c>
      <c r="U29" s="22" t="n">
        <v>5</v>
      </c>
      <c r="V29" s="22" t="n">
        <v>4.7</v>
      </c>
      <c r="W29" s="22" t="n">
        <v>4.3</v>
      </c>
      <c r="X29" s="22" t="n">
        <v>4.1</v>
      </c>
      <c r="Y29" s="22" t="n">
        <v>3.4</v>
      </c>
      <c r="Z29" s="22" t="n">
        <v>4.8</v>
      </c>
      <c r="AA29" s="45">
        <f>IF(MAESTRO!D29="","",IFERROR(TRUNC(AVERAGE(R29:Z29),1),""))</f>
        <v/>
      </c>
      <c r="AB29" s="177" t="n">
        <v>3.1</v>
      </c>
      <c r="AC29" s="42" t="n">
        <v>3.9</v>
      </c>
      <c r="AD29" s="5">
        <f>IF(MAESTRO!D29="","",IFERROR(AVERAGE(AB29:AC29),""))</f>
        <v/>
      </c>
      <c r="AE29" s="44">
        <f>IF(MAESTRO!D29="","",IFERROR(TRUNC(AVERAGE(P29,AA29),1),""))</f>
        <v/>
      </c>
      <c r="AF29" s="177" t="n"/>
      <c r="AG29" s="177" t="n">
        <v>25</v>
      </c>
      <c r="AH29" s="177" t="n">
        <v>25</v>
      </c>
      <c r="AI29" s="177">
        <f>IF(MAESTRO!D29="","",MAESTRO!D29)</f>
        <v/>
      </c>
      <c r="AJ29" s="178" t="n"/>
      <c r="AK29" s="61" t="n">
        <v>3.7</v>
      </c>
      <c r="AL29" s="61" t="n">
        <v>3.4</v>
      </c>
      <c r="AM29" s="61" t="n">
        <v>4.4</v>
      </c>
      <c r="AN29" s="61" t="n">
        <v>3.4</v>
      </c>
      <c r="AO29" s="61" t="n">
        <v>3.7</v>
      </c>
      <c r="AP29" s="61" t="n">
        <v>3.4</v>
      </c>
      <c r="AQ29" s="61" t="n">
        <v>3.7</v>
      </c>
      <c r="AR29" s="61" t="n">
        <v>3.8</v>
      </c>
      <c r="AS29" s="61" t="n">
        <v>4.6</v>
      </c>
      <c r="AT29" s="61" t="n">
        <v>3.5</v>
      </c>
      <c r="AU29" s="61" t="n">
        <v>3.5</v>
      </c>
      <c r="AV29" s="61" t="n">
        <v>3.1</v>
      </c>
      <c r="AW29" s="5">
        <f>IF(MAESTRO!D29="","",IFERROR(TRUNC(AVERAGE(AK29:AV29),1),""))</f>
        <v/>
      </c>
      <c r="AX29" s="63" t="n">
        <v>3.1</v>
      </c>
      <c r="AY29" s="61" t="n">
        <v>3</v>
      </c>
      <c r="AZ29" s="61" t="n">
        <v>4.5</v>
      </c>
      <c r="BA29" s="61" t="n">
        <v>3.3</v>
      </c>
      <c r="BB29" s="61" t="n">
        <v>4.5</v>
      </c>
      <c r="BC29" s="63" t="n">
        <v>4</v>
      </c>
      <c r="BD29" s="63" t="n">
        <v>3.6</v>
      </c>
      <c r="BE29" s="63" t="n">
        <v>4.3</v>
      </c>
      <c r="BF29" s="63" t="n">
        <v>4.7</v>
      </c>
      <c r="BG29" s="22" t="n">
        <v>4.7</v>
      </c>
      <c r="BH29" s="5">
        <f>IF(MAESTRO!D29="","",IFERROR(TRUNC(AVERAGE(AX29:BG29),1),""))</f>
        <v/>
      </c>
      <c r="BI29" s="22" t="n">
        <v>3.8</v>
      </c>
      <c r="BJ29" s="22" t="n">
        <v>4.8</v>
      </c>
      <c r="BK29" s="22">
        <f>IF(MAESTRO!D29="","",IFERROR(AVERAGE(BI29:BJ29),""))</f>
        <v/>
      </c>
      <c r="BL29" s="5">
        <f>IF(MAESTRO!D29="","",IFERROR(TRUNC(AVERAGE(AW29,BH29),1),""))</f>
        <v/>
      </c>
      <c r="BM29" s="177" t="n"/>
      <c r="BN29" s="177" t="n">
        <v>25</v>
      </c>
      <c r="BO29" s="177" t="n">
        <v>25</v>
      </c>
      <c r="BP29" s="177">
        <f>IF(MAESTRO!D29="","",MAESTRO!D29)</f>
        <v/>
      </c>
      <c r="BQ29" s="178" t="n"/>
      <c r="BR29" s="5" t="n">
        <v>4.1</v>
      </c>
      <c r="BS29" s="5" t="n">
        <v>3.3</v>
      </c>
      <c r="BT29" s="5" t="n">
        <v>3.7</v>
      </c>
      <c r="BU29" s="5" t="n">
        <v>4.3</v>
      </c>
      <c r="BV29" s="5" t="n">
        <v>4.2</v>
      </c>
      <c r="BW29" s="5" t="n">
        <v>3.5</v>
      </c>
      <c r="BX29" s="5" t="n">
        <v>4.2</v>
      </c>
      <c r="BY29" s="5" t="n">
        <v>4.4</v>
      </c>
      <c r="BZ29" s="5" t="n">
        <v>4.7</v>
      </c>
      <c r="CA29" s="5" t="n">
        <v>4</v>
      </c>
      <c r="CB29" s="5" t="n">
        <v>4.8</v>
      </c>
      <c r="CC29" s="5" t="n">
        <v>3.8</v>
      </c>
      <c r="CD29" s="5" t="n">
        <v>3.7</v>
      </c>
      <c r="CE29" s="5">
        <f>IF(MAESTRO!D29="","",IFERROR(TRUNC(AVERAGE(BR29:CD29),1),""))</f>
        <v/>
      </c>
      <c r="CF29" s="5" t="n">
        <v>3.2</v>
      </c>
      <c r="CG29" s="5" t="n">
        <v>3.9</v>
      </c>
      <c r="CH29" s="5" t="n">
        <v>4.3</v>
      </c>
      <c r="CI29" s="5" t="n">
        <v>4.1</v>
      </c>
      <c r="CJ29" s="5" t="n">
        <v>4.4</v>
      </c>
      <c r="CK29" s="5" t="n">
        <v>4.1</v>
      </c>
      <c r="CL29" s="5" t="n">
        <v>3.9</v>
      </c>
      <c r="CM29" s="5" t="n">
        <v>3.5</v>
      </c>
      <c r="CN29" s="5" t="n">
        <v>4.2</v>
      </c>
      <c r="CO29" s="5" t="n">
        <v>4.8</v>
      </c>
      <c r="CP29" s="5">
        <f>IF(MAESTRO!D29="","",IFERROR(TRUNC(AVERAGE(CF29:CO29),1),""))</f>
        <v/>
      </c>
      <c r="CQ29" s="5" t="n">
        <v>3.9</v>
      </c>
      <c r="CR29" s="5" t="n">
        <v>4.3</v>
      </c>
      <c r="CS29" s="5">
        <f>IF(MAESTRO!D29="","",IFERROR(AVERAGE(CQ29:CR29),""))</f>
        <v/>
      </c>
      <c r="CT29" s="5">
        <f>IF(MAESTRO!D29="","",IFERROR(TRUNC(AVERAGE(CE29,CP29),1),""))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v>5</v>
      </c>
      <c r="D30" s="5" t="n">
        <v>2</v>
      </c>
      <c r="E30" s="5" t="n">
        <v>4.5</v>
      </c>
      <c r="F30" s="5" t="n">
        <v>3.5</v>
      </c>
      <c r="G30" s="5" t="n">
        <v>4.4</v>
      </c>
      <c r="H30" s="5" t="n">
        <v>4.7</v>
      </c>
      <c r="I30" s="5" t="n">
        <v>3</v>
      </c>
      <c r="J30" s="5" t="n">
        <v>4</v>
      </c>
      <c r="K30" s="5" t="n">
        <v>4.5</v>
      </c>
      <c r="L30" s="5" t="n">
        <v>3.9</v>
      </c>
      <c r="M30" s="5" t="n">
        <v>5</v>
      </c>
      <c r="N30" s="5" t="n">
        <v>4.1</v>
      </c>
      <c r="O30" s="5" t="n">
        <v>3.2</v>
      </c>
      <c r="P30" s="5">
        <f>IF(MAESTRO!D30="","",IFERROR(TRUNC(AVERAGE(C30:O30),1),""))</f>
        <v/>
      </c>
      <c r="Q30" s="40" t="n">
        <v>26</v>
      </c>
      <c r="R30" s="22" t="n">
        <v>5</v>
      </c>
      <c r="S30" s="22" t="n">
        <v>3.3</v>
      </c>
      <c r="T30" s="22" t="n">
        <v>4.2</v>
      </c>
      <c r="U30" s="22" t="n">
        <v>5</v>
      </c>
      <c r="V30" s="22" t="n">
        <v>4.7</v>
      </c>
      <c r="W30" s="22" t="n">
        <v>4.3</v>
      </c>
      <c r="X30" s="22" t="n">
        <v>4.1</v>
      </c>
      <c r="Y30" s="22" t="n">
        <v>3.4</v>
      </c>
      <c r="Z30" s="22" t="n">
        <v>4.8</v>
      </c>
      <c r="AA30" s="45">
        <f>IF(MAESTRO!D30="","",IFERROR(TRUNC(AVERAGE(R30:Z30),1),""))</f>
        <v/>
      </c>
      <c r="AB30" s="177" t="n">
        <v>3.1</v>
      </c>
      <c r="AC30" s="42" t="n">
        <v>3.9</v>
      </c>
      <c r="AD30" s="5">
        <f>IF(MAESTRO!D30="","",IFERROR(AVERAGE(AB30:AC30),""))</f>
        <v/>
      </c>
      <c r="AE30" s="44">
        <f>IF(MAESTRO!D30="","",IFERROR(TRUNC(AVERAGE(P30,AA30),1),""))</f>
        <v/>
      </c>
      <c r="AF30" s="177" t="n"/>
      <c r="AG30" s="177" t="n">
        <v>26</v>
      </c>
      <c r="AH30" s="177" t="n">
        <v>26</v>
      </c>
      <c r="AI30" s="177">
        <f>IF(MAESTRO!D30="","",MAESTRO!D30)</f>
        <v/>
      </c>
      <c r="AJ30" s="178" t="n"/>
      <c r="AK30" s="61" t="n">
        <v>3.7</v>
      </c>
      <c r="AL30" s="61" t="n">
        <v>3.4</v>
      </c>
      <c r="AM30" s="61" t="n">
        <v>4.4</v>
      </c>
      <c r="AN30" s="61" t="n">
        <v>3.4</v>
      </c>
      <c r="AO30" s="61" t="n">
        <v>3.7</v>
      </c>
      <c r="AP30" s="61" t="n">
        <v>3.4</v>
      </c>
      <c r="AQ30" s="61" t="n">
        <v>3.7</v>
      </c>
      <c r="AR30" s="61" t="n">
        <v>3.8</v>
      </c>
      <c r="AS30" s="61" t="n">
        <v>4.6</v>
      </c>
      <c r="AT30" s="61" t="n">
        <v>3.5</v>
      </c>
      <c r="AU30" s="61" t="n">
        <v>3.5</v>
      </c>
      <c r="AV30" s="61" t="n">
        <v>3.1</v>
      </c>
      <c r="AW30" s="5">
        <f>IF(MAESTRO!D30="","",IFERROR(TRUNC(AVERAGE(AK30:AV30),1),""))</f>
        <v/>
      </c>
      <c r="AX30" s="63" t="n">
        <v>3.1</v>
      </c>
      <c r="AY30" s="61" t="n">
        <v>3</v>
      </c>
      <c r="AZ30" s="61" t="n">
        <v>4.5</v>
      </c>
      <c r="BA30" s="61" t="n">
        <v>3.3</v>
      </c>
      <c r="BB30" s="61" t="n">
        <v>4.5</v>
      </c>
      <c r="BC30" s="63" t="n">
        <v>4</v>
      </c>
      <c r="BD30" s="63" t="n">
        <v>3.6</v>
      </c>
      <c r="BE30" s="63" t="n">
        <v>4.3</v>
      </c>
      <c r="BF30" s="63" t="n">
        <v>4.7</v>
      </c>
      <c r="BG30" s="22" t="n">
        <v>4.7</v>
      </c>
      <c r="BH30" s="5">
        <f>IF(MAESTRO!D30="","",IFERROR(TRUNC(AVERAGE(AX30:BG30),1),""))</f>
        <v/>
      </c>
      <c r="BI30" s="22" t="n">
        <v>3.8</v>
      </c>
      <c r="BJ30" s="22" t="n">
        <v>4.8</v>
      </c>
      <c r="BK30" s="22">
        <f>IF(MAESTRO!D30="","",IFERROR(AVERAGE(BI30:BJ30),""))</f>
        <v/>
      </c>
      <c r="BL30" s="5">
        <f>IF(MAESTRO!D30="","",IFERROR(TRUNC(AVERAGE(AW30,BH30),1),""))</f>
        <v/>
      </c>
      <c r="BM30" s="177" t="n"/>
      <c r="BN30" s="177" t="n">
        <v>26</v>
      </c>
      <c r="BO30" s="177" t="n">
        <v>26</v>
      </c>
      <c r="BP30" s="177">
        <f>IF(MAESTRO!D30="","",MAESTRO!D30)</f>
        <v/>
      </c>
      <c r="BQ30" s="178" t="n"/>
      <c r="BR30" s="5" t="n">
        <v>4.1</v>
      </c>
      <c r="BS30" s="5" t="n">
        <v>3.3</v>
      </c>
      <c r="BT30" s="5" t="n">
        <v>3.7</v>
      </c>
      <c r="BU30" s="5" t="n">
        <v>4.3</v>
      </c>
      <c r="BV30" s="5" t="n">
        <v>4.2</v>
      </c>
      <c r="BW30" s="5" t="n">
        <v>3.5</v>
      </c>
      <c r="BX30" s="5" t="n">
        <v>4.2</v>
      </c>
      <c r="BY30" s="5" t="n">
        <v>4.4</v>
      </c>
      <c r="BZ30" s="5" t="n">
        <v>4.7</v>
      </c>
      <c r="CA30" s="5" t="n">
        <v>4</v>
      </c>
      <c r="CB30" s="5" t="n">
        <v>4.8</v>
      </c>
      <c r="CC30" s="5" t="n">
        <v>3.8</v>
      </c>
      <c r="CD30" s="5" t="n">
        <v>3.7</v>
      </c>
      <c r="CE30" s="5">
        <f>IF(MAESTRO!D30="","",IFERROR(TRUNC(AVERAGE(BR30:CD30),1),""))</f>
        <v/>
      </c>
      <c r="CF30" s="5" t="n">
        <v>3.2</v>
      </c>
      <c r="CG30" s="5" t="n">
        <v>3.9</v>
      </c>
      <c r="CH30" s="5" t="n">
        <v>4.3</v>
      </c>
      <c r="CI30" s="5" t="n">
        <v>4.1</v>
      </c>
      <c r="CJ30" s="5" t="n">
        <v>4.4</v>
      </c>
      <c r="CK30" s="5" t="n">
        <v>4.1</v>
      </c>
      <c r="CL30" s="5" t="n">
        <v>3.9</v>
      </c>
      <c r="CM30" s="5" t="n">
        <v>3.5</v>
      </c>
      <c r="CN30" s="5" t="n">
        <v>4.2</v>
      </c>
      <c r="CO30" s="5" t="n">
        <v>4.8</v>
      </c>
      <c r="CP30" s="5">
        <f>IF(MAESTRO!D30="","",IFERROR(TRUNC(AVERAGE(CF30:CO30),1),""))</f>
        <v/>
      </c>
      <c r="CQ30" s="5" t="n">
        <v>3.9</v>
      </c>
      <c r="CR30" s="5" t="n">
        <v>4.3</v>
      </c>
      <c r="CS30" s="5">
        <f>IF(MAESTRO!D30="","",IFERROR(AVERAGE(CQ30:CR30),""))</f>
        <v/>
      </c>
      <c r="CT30" s="5">
        <f>IF(MAESTRO!D30="","",IFERROR(TRUNC(AVERAGE(CE30,CP30),1),""))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v>5</v>
      </c>
      <c r="D31" s="5" t="n">
        <v>2</v>
      </c>
      <c r="E31" s="5" t="n">
        <v>4.7</v>
      </c>
      <c r="F31" s="5" t="n">
        <v>3.5</v>
      </c>
      <c r="G31" s="5" t="n">
        <v>4.4</v>
      </c>
      <c r="H31" s="5" t="n">
        <v>4.7</v>
      </c>
      <c r="I31" s="5" t="n">
        <v>3</v>
      </c>
      <c r="J31" s="5" t="n">
        <v>4</v>
      </c>
      <c r="K31" s="5" t="n">
        <v>4.5</v>
      </c>
      <c r="L31" s="5" t="n">
        <v>3.9</v>
      </c>
      <c r="M31" s="5" t="n">
        <v>5</v>
      </c>
      <c r="N31" s="5" t="n">
        <v>4.1</v>
      </c>
      <c r="O31" s="5" t="n">
        <v>3.2</v>
      </c>
      <c r="P31" s="5">
        <f>IF(MAESTRO!D31="","",IFERROR(TRUNC(AVERAGE(C31:O31),1),""))</f>
        <v/>
      </c>
      <c r="Q31" s="40" t="n">
        <v>27</v>
      </c>
      <c r="R31" s="22" t="n">
        <v>5</v>
      </c>
      <c r="S31" s="22" t="n">
        <v>3.3</v>
      </c>
      <c r="T31" s="22" t="n">
        <v>4.2</v>
      </c>
      <c r="U31" s="22" t="n">
        <v>5</v>
      </c>
      <c r="V31" s="22" t="n">
        <v>4.7</v>
      </c>
      <c r="W31" s="22" t="n">
        <v>4.3</v>
      </c>
      <c r="X31" s="22" t="n">
        <v>4.1</v>
      </c>
      <c r="Y31" s="22" t="n">
        <v>3.4</v>
      </c>
      <c r="Z31" s="22" t="n">
        <v>4.8</v>
      </c>
      <c r="AA31" s="45">
        <f>IF(MAESTRO!D31="","",IFERROR(TRUNC(AVERAGE(R31:Z31),1),""))</f>
        <v/>
      </c>
      <c r="AB31" s="177" t="n">
        <v>3.1</v>
      </c>
      <c r="AC31" s="42" t="n">
        <v>3.9</v>
      </c>
      <c r="AD31" s="5">
        <f>IF(MAESTRO!D31="","",IFERROR(AVERAGE(AB31:AC31),""))</f>
        <v/>
      </c>
      <c r="AE31" s="44">
        <f>IF(MAESTRO!D31="","",IFERROR(TRUNC(AVERAGE(P31,AA31),1),""))</f>
        <v/>
      </c>
      <c r="AF31" s="177" t="n"/>
      <c r="AG31" s="177" t="n">
        <v>27</v>
      </c>
      <c r="AH31" s="177" t="n">
        <v>27</v>
      </c>
      <c r="AI31" s="177">
        <f>IF(MAESTRO!D31="","",MAESTRO!D31)</f>
        <v/>
      </c>
      <c r="AJ31" s="178" t="n"/>
      <c r="AK31" s="61" t="n">
        <v>3.7</v>
      </c>
      <c r="AL31" s="61" t="n">
        <v>3.4</v>
      </c>
      <c r="AM31" s="61" t="n">
        <v>4.4</v>
      </c>
      <c r="AN31" s="61" t="n">
        <v>3.4</v>
      </c>
      <c r="AO31" s="61" t="n">
        <v>3.7</v>
      </c>
      <c r="AP31" s="61" t="n">
        <v>3.4</v>
      </c>
      <c r="AQ31" s="61" t="n">
        <v>3.7</v>
      </c>
      <c r="AR31" s="61" t="n">
        <v>3.8</v>
      </c>
      <c r="AS31" s="61" t="n">
        <v>4.6</v>
      </c>
      <c r="AT31" s="61" t="n">
        <v>3.5</v>
      </c>
      <c r="AU31" s="61" t="n">
        <v>3.5</v>
      </c>
      <c r="AV31" s="61" t="n">
        <v>3.1</v>
      </c>
      <c r="AW31" s="5">
        <f>IF(MAESTRO!D31="","",IFERROR(TRUNC(AVERAGE(AK31:AV31),1),""))</f>
        <v/>
      </c>
      <c r="AX31" s="63" t="n">
        <v>3.1</v>
      </c>
      <c r="AY31" s="61" t="n">
        <v>3</v>
      </c>
      <c r="AZ31" s="61" t="n">
        <v>4.5</v>
      </c>
      <c r="BA31" s="61" t="n">
        <v>3.3</v>
      </c>
      <c r="BB31" s="61" t="n">
        <v>4.5</v>
      </c>
      <c r="BC31" s="63" t="n">
        <v>4</v>
      </c>
      <c r="BD31" s="63" t="n">
        <v>3.6</v>
      </c>
      <c r="BE31" s="63" t="n">
        <v>4.3</v>
      </c>
      <c r="BF31" s="63" t="n">
        <v>4.7</v>
      </c>
      <c r="BG31" s="22" t="n">
        <v>4.7</v>
      </c>
      <c r="BH31" s="5">
        <f>IF(MAESTRO!D31="","",IFERROR(TRUNC(AVERAGE(AX31:BG31),1),""))</f>
        <v/>
      </c>
      <c r="BI31" s="22" t="n">
        <v>3.8</v>
      </c>
      <c r="BJ31" s="22" t="n">
        <v>4.8</v>
      </c>
      <c r="BK31" s="22">
        <f>IF(MAESTRO!D31="","",IFERROR(AVERAGE(BI31:BJ31),""))</f>
        <v/>
      </c>
      <c r="BL31" s="5">
        <f>IF(MAESTRO!D31="","",IFERROR(TRUNC(AVERAGE(AW31,BH31),1),""))</f>
        <v/>
      </c>
      <c r="BM31" s="177" t="n"/>
      <c r="BN31" s="177" t="n">
        <v>27</v>
      </c>
      <c r="BO31" s="177" t="n">
        <v>27</v>
      </c>
      <c r="BP31" s="177">
        <f>IF(MAESTRO!D31="","",MAESTRO!D31)</f>
        <v/>
      </c>
      <c r="BQ31" s="178" t="n"/>
      <c r="BR31" s="5" t="n">
        <v>4.1</v>
      </c>
      <c r="BS31" s="5" t="n">
        <v>3.3</v>
      </c>
      <c r="BT31" s="5" t="n">
        <v>3.7</v>
      </c>
      <c r="BU31" s="5" t="n">
        <v>4.3</v>
      </c>
      <c r="BV31" s="5" t="n">
        <v>4.2</v>
      </c>
      <c r="BW31" s="5" t="n">
        <v>3.5</v>
      </c>
      <c r="BX31" s="5" t="n">
        <v>4.2</v>
      </c>
      <c r="BY31" s="5" t="n">
        <v>4.4</v>
      </c>
      <c r="BZ31" s="5" t="n">
        <v>4.7</v>
      </c>
      <c r="CA31" s="5" t="n">
        <v>4</v>
      </c>
      <c r="CB31" s="5" t="n">
        <v>4.8</v>
      </c>
      <c r="CC31" s="5" t="n">
        <v>3.8</v>
      </c>
      <c r="CD31" s="5" t="n">
        <v>3.7</v>
      </c>
      <c r="CE31" s="5">
        <f>IF(MAESTRO!D31="","",IFERROR(TRUNC(AVERAGE(BR31:CD31),1),""))</f>
        <v/>
      </c>
      <c r="CF31" s="5" t="n">
        <v>3.2</v>
      </c>
      <c r="CG31" s="5" t="n">
        <v>3.9</v>
      </c>
      <c r="CH31" s="5" t="n">
        <v>4.3</v>
      </c>
      <c r="CI31" s="5" t="n">
        <v>4.1</v>
      </c>
      <c r="CJ31" s="5" t="n">
        <v>4.4</v>
      </c>
      <c r="CK31" s="5" t="n">
        <v>4.1</v>
      </c>
      <c r="CL31" s="5" t="n">
        <v>3.9</v>
      </c>
      <c r="CM31" s="5" t="n">
        <v>3.5</v>
      </c>
      <c r="CN31" s="5" t="n">
        <v>4.2</v>
      </c>
      <c r="CO31" s="5" t="n">
        <v>4.8</v>
      </c>
      <c r="CP31" s="5">
        <f>IF(MAESTRO!D31="","",IFERROR(TRUNC(AVERAGE(CF31:CO31),1),""))</f>
        <v/>
      </c>
      <c r="CQ31" s="5" t="n">
        <v>3.9</v>
      </c>
      <c r="CR31" s="5" t="n">
        <v>4.3</v>
      </c>
      <c r="CS31" s="5">
        <f>IF(MAESTRO!D31="","",IFERROR(AVERAGE(CQ31:CR31),""))</f>
        <v/>
      </c>
      <c r="CT31" s="5">
        <f>IF(MAESTRO!D31="","",IFERROR(TRUNC(AVERAGE(CE31,CP31),1),""))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v>5</v>
      </c>
      <c r="D32" s="5" t="n">
        <v>2</v>
      </c>
      <c r="E32" s="5" t="n">
        <v>5</v>
      </c>
      <c r="F32" s="5" t="n">
        <v>4.8</v>
      </c>
      <c r="G32" s="5" t="n">
        <v>4.4</v>
      </c>
      <c r="H32" s="5" t="n">
        <v>4.7</v>
      </c>
      <c r="I32" s="5" t="n">
        <v>3</v>
      </c>
      <c r="J32" s="5" t="n">
        <v>4</v>
      </c>
      <c r="K32" s="5" t="n">
        <v>4.5</v>
      </c>
      <c r="L32" s="5" t="n">
        <v>3.9</v>
      </c>
      <c r="M32" s="5" t="n">
        <v>5</v>
      </c>
      <c r="N32" s="5" t="n">
        <v>4.1</v>
      </c>
      <c r="O32" s="5" t="n">
        <v>3.2</v>
      </c>
      <c r="P32" s="5">
        <f>IF(MAESTRO!D32="","",IFERROR(TRUNC(AVERAGE(C32:O32),1),""))</f>
        <v/>
      </c>
      <c r="Q32" s="40" t="n">
        <v>28</v>
      </c>
      <c r="R32" s="22" t="n">
        <v>5</v>
      </c>
      <c r="S32" s="22" t="n">
        <v>3.3</v>
      </c>
      <c r="T32" s="22" t="n">
        <v>4.2</v>
      </c>
      <c r="U32" s="22" t="n">
        <v>5</v>
      </c>
      <c r="V32" s="22" t="n">
        <v>4.7</v>
      </c>
      <c r="W32" s="22" t="n">
        <v>4.3</v>
      </c>
      <c r="X32" s="22" t="n">
        <v>4.1</v>
      </c>
      <c r="Y32" s="22" t="n">
        <v>3.4</v>
      </c>
      <c r="Z32" s="22" t="n">
        <v>4.8</v>
      </c>
      <c r="AA32" s="45">
        <f>IF(MAESTRO!D32="","",IFERROR(TRUNC(AVERAGE(R32:Z32),1),""))</f>
        <v/>
      </c>
      <c r="AB32" s="177" t="n">
        <v>3.1</v>
      </c>
      <c r="AC32" s="42" t="n">
        <v>3.9</v>
      </c>
      <c r="AD32" s="5">
        <f>IF(MAESTRO!D32="","",IFERROR(AVERAGE(AB32:AC32),""))</f>
        <v/>
      </c>
      <c r="AE32" s="44">
        <f>IF(MAESTRO!D32="","",IFERROR(TRUNC(AVERAGE(P32,AA32),1),""))</f>
        <v/>
      </c>
      <c r="AF32" s="177" t="n"/>
      <c r="AG32" s="177" t="n">
        <v>28</v>
      </c>
      <c r="AH32" s="177" t="n">
        <v>28</v>
      </c>
      <c r="AI32" s="177">
        <f>IF(MAESTRO!D32="","",MAESTRO!D32)</f>
        <v/>
      </c>
      <c r="AJ32" s="178" t="n"/>
      <c r="AK32" s="61" t="n">
        <v>3.7</v>
      </c>
      <c r="AL32" s="61" t="n">
        <v>3.4</v>
      </c>
      <c r="AM32" s="61" t="n">
        <v>4.4</v>
      </c>
      <c r="AN32" s="61" t="n">
        <v>3.4</v>
      </c>
      <c r="AO32" s="61" t="n">
        <v>3.7</v>
      </c>
      <c r="AP32" s="61" t="n">
        <v>3.4</v>
      </c>
      <c r="AQ32" s="61" t="n">
        <v>3.7</v>
      </c>
      <c r="AR32" s="61" t="n">
        <v>3.8</v>
      </c>
      <c r="AS32" s="61" t="n">
        <v>4.6</v>
      </c>
      <c r="AT32" s="61" t="n">
        <v>3.5</v>
      </c>
      <c r="AU32" s="61" t="n">
        <v>3.5</v>
      </c>
      <c r="AV32" s="61" t="n">
        <v>3.1</v>
      </c>
      <c r="AW32" s="5">
        <f>IF(MAESTRO!D32="","",IFERROR(TRUNC(AVERAGE(AK32:AV32),1),""))</f>
        <v/>
      </c>
      <c r="AX32" s="63" t="n">
        <v>3.1</v>
      </c>
      <c r="AY32" s="61" t="n">
        <v>3</v>
      </c>
      <c r="AZ32" s="61" t="n">
        <v>4.5</v>
      </c>
      <c r="BA32" s="61" t="n">
        <v>3.3</v>
      </c>
      <c r="BB32" s="61" t="n">
        <v>4.5</v>
      </c>
      <c r="BC32" s="63" t="n">
        <v>4</v>
      </c>
      <c r="BD32" s="63" t="n">
        <v>3.6</v>
      </c>
      <c r="BE32" s="63" t="n">
        <v>4.3</v>
      </c>
      <c r="BF32" s="63" t="n">
        <v>4.7</v>
      </c>
      <c r="BG32" s="22" t="n">
        <v>4.7</v>
      </c>
      <c r="BH32" s="5">
        <f>IF(MAESTRO!D32="","",IFERROR(TRUNC(AVERAGE(AX32:BG32),1),""))</f>
        <v/>
      </c>
      <c r="BI32" s="22" t="n">
        <v>3.8</v>
      </c>
      <c r="BJ32" s="22" t="n">
        <v>4.8</v>
      </c>
      <c r="BK32" s="22">
        <f>IF(MAESTRO!D32="","",IFERROR(AVERAGE(BI32:BJ32),""))</f>
        <v/>
      </c>
      <c r="BL32" s="5">
        <f>IF(MAESTRO!D32="","",IFERROR(TRUNC(AVERAGE(AW32,BH32),1),""))</f>
        <v/>
      </c>
      <c r="BM32" s="177" t="n"/>
      <c r="BN32" s="177" t="n">
        <v>28</v>
      </c>
      <c r="BO32" s="177" t="n">
        <v>28</v>
      </c>
      <c r="BP32" s="177">
        <f>IF(MAESTRO!D32="","",MAESTRO!D32)</f>
        <v/>
      </c>
      <c r="BQ32" s="178" t="n"/>
      <c r="BR32" s="5" t="n">
        <v>4.1</v>
      </c>
      <c r="BS32" s="5" t="n">
        <v>3.3</v>
      </c>
      <c r="BT32" s="5" t="n">
        <v>3.7</v>
      </c>
      <c r="BU32" s="5" t="n">
        <v>4.3</v>
      </c>
      <c r="BV32" s="5" t="n">
        <v>4.2</v>
      </c>
      <c r="BW32" s="5" t="n">
        <v>3.5</v>
      </c>
      <c r="BX32" s="5" t="n">
        <v>4.2</v>
      </c>
      <c r="BY32" s="5" t="n">
        <v>4.4</v>
      </c>
      <c r="BZ32" s="5" t="n">
        <v>4.7</v>
      </c>
      <c r="CA32" s="5" t="n">
        <v>4</v>
      </c>
      <c r="CB32" s="5" t="n">
        <v>4.8</v>
      </c>
      <c r="CC32" s="5" t="n">
        <v>3.8</v>
      </c>
      <c r="CD32" s="5" t="n">
        <v>3.7</v>
      </c>
      <c r="CE32" s="5">
        <f>IF(MAESTRO!D32="","",IFERROR(TRUNC(AVERAGE(BR32:CD32),1),""))</f>
        <v/>
      </c>
      <c r="CF32" s="5" t="n">
        <v>3.2</v>
      </c>
      <c r="CG32" s="5" t="n">
        <v>3.9</v>
      </c>
      <c r="CH32" s="5" t="n">
        <v>4.3</v>
      </c>
      <c r="CI32" s="5" t="n">
        <v>4.1</v>
      </c>
      <c r="CJ32" s="5" t="n">
        <v>4.4</v>
      </c>
      <c r="CK32" s="5" t="n">
        <v>4.1</v>
      </c>
      <c r="CL32" s="5" t="n">
        <v>3.9</v>
      </c>
      <c r="CM32" s="5" t="n">
        <v>3.5</v>
      </c>
      <c r="CN32" s="5" t="n">
        <v>4.2</v>
      </c>
      <c r="CO32" s="5" t="n">
        <v>4.8</v>
      </c>
      <c r="CP32" s="5">
        <f>IF(MAESTRO!D32="","",IFERROR(TRUNC(AVERAGE(CF32:CO32),1),""))</f>
        <v/>
      </c>
      <c r="CQ32" s="5" t="n">
        <v>3.9</v>
      </c>
      <c r="CR32" s="5" t="n">
        <v>4.3</v>
      </c>
      <c r="CS32" s="5">
        <f>IF(MAESTRO!D32="","",IFERROR(AVERAGE(CQ32:CR32),""))</f>
        <v/>
      </c>
      <c r="CT32" s="5">
        <f>IF(MAESTRO!D32="","",IFERROR(TRUNC(AVERAGE(CE32,CP32),1),""))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v>5</v>
      </c>
      <c r="D33" s="5" t="n">
        <v>2</v>
      </c>
      <c r="E33" s="5" t="n">
        <v>5</v>
      </c>
      <c r="F33" s="5" t="n">
        <v>4</v>
      </c>
      <c r="G33" s="5" t="n">
        <v>4.4</v>
      </c>
      <c r="H33" s="5" t="n">
        <v>4.7</v>
      </c>
      <c r="I33" s="5" t="n">
        <v>3</v>
      </c>
      <c r="J33" s="5" t="n">
        <v>4</v>
      </c>
      <c r="K33" s="5" t="n">
        <v>4.5</v>
      </c>
      <c r="L33" s="5" t="n">
        <v>3.9</v>
      </c>
      <c r="M33" s="5" t="n">
        <v>5</v>
      </c>
      <c r="N33" s="5" t="n">
        <v>4.1</v>
      </c>
      <c r="O33" s="5" t="n">
        <v>3.2</v>
      </c>
      <c r="P33" s="5">
        <f>IF(MAESTRO!D33="","",IFERROR(TRUNC(AVERAGE(C33:O33),1),""))</f>
        <v/>
      </c>
      <c r="Q33" s="40" t="n">
        <v>29</v>
      </c>
      <c r="R33" s="22" t="n">
        <v>5</v>
      </c>
      <c r="S33" s="22" t="n">
        <v>3.3</v>
      </c>
      <c r="T33" s="22" t="n">
        <v>4.2</v>
      </c>
      <c r="U33" s="22" t="n">
        <v>5</v>
      </c>
      <c r="V33" s="22" t="n">
        <v>4.7</v>
      </c>
      <c r="W33" s="22" t="n">
        <v>4.3</v>
      </c>
      <c r="X33" s="22" t="n">
        <v>4.1</v>
      </c>
      <c r="Y33" s="22" t="n">
        <v>3.4</v>
      </c>
      <c r="Z33" s="22" t="n">
        <v>4.8</v>
      </c>
      <c r="AA33" s="45">
        <f>IF(MAESTRO!D33="","",IFERROR(TRUNC(AVERAGE(R33:Z33),1),""))</f>
        <v/>
      </c>
      <c r="AB33" s="177" t="n">
        <v>3.1</v>
      </c>
      <c r="AC33" s="42" t="n">
        <v>3.9</v>
      </c>
      <c r="AD33" s="5">
        <f>IF(MAESTRO!D33="","",IFERROR(AVERAGE(AB33:AC33),""))</f>
        <v/>
      </c>
      <c r="AE33" s="44">
        <f>IF(MAESTRO!D33="","",IFERROR(TRUNC(AVERAGE(P33,AA33),1),""))</f>
        <v/>
      </c>
      <c r="AF33" s="177" t="n"/>
      <c r="AG33" s="177" t="n">
        <v>29</v>
      </c>
      <c r="AH33" s="177" t="n">
        <v>29</v>
      </c>
      <c r="AI33" s="177">
        <f>IF(MAESTRO!D33="","",MAESTRO!D33)</f>
        <v/>
      </c>
      <c r="AJ33" s="178" t="n"/>
      <c r="AK33" s="61" t="n">
        <v>3.7</v>
      </c>
      <c r="AL33" s="61" t="n">
        <v>3.4</v>
      </c>
      <c r="AM33" s="61" t="n">
        <v>4.4</v>
      </c>
      <c r="AN33" s="61" t="n">
        <v>3.4</v>
      </c>
      <c r="AO33" s="61" t="n">
        <v>3.7</v>
      </c>
      <c r="AP33" s="61" t="n">
        <v>3.4</v>
      </c>
      <c r="AQ33" s="61" t="n">
        <v>3.7</v>
      </c>
      <c r="AR33" s="61" t="n">
        <v>3.8</v>
      </c>
      <c r="AS33" s="61" t="n">
        <v>4.6</v>
      </c>
      <c r="AT33" s="61" t="n">
        <v>3.5</v>
      </c>
      <c r="AU33" s="61" t="n">
        <v>3.5</v>
      </c>
      <c r="AV33" s="61" t="n">
        <v>3.1</v>
      </c>
      <c r="AW33" s="5">
        <f>IF(MAESTRO!D33="","",IFERROR(TRUNC(AVERAGE(AK33:AV33),1),""))</f>
        <v/>
      </c>
      <c r="AX33" s="63" t="n">
        <v>3.1</v>
      </c>
      <c r="AY33" s="61" t="n">
        <v>3</v>
      </c>
      <c r="AZ33" s="61" t="n">
        <v>4.5</v>
      </c>
      <c r="BA33" s="61" t="n">
        <v>3.3</v>
      </c>
      <c r="BB33" s="61" t="n">
        <v>4.5</v>
      </c>
      <c r="BC33" s="63" t="n">
        <v>4</v>
      </c>
      <c r="BD33" s="63" t="n">
        <v>3.6</v>
      </c>
      <c r="BE33" s="63" t="n">
        <v>4.3</v>
      </c>
      <c r="BF33" s="63" t="n">
        <v>4.7</v>
      </c>
      <c r="BG33" s="22" t="n">
        <v>4.7</v>
      </c>
      <c r="BH33" s="5">
        <f>IF(MAESTRO!D33="","",IFERROR(TRUNC(AVERAGE(AX33:BG33),1),""))</f>
        <v/>
      </c>
      <c r="BI33" s="22" t="n">
        <v>3.8</v>
      </c>
      <c r="BJ33" s="22" t="n">
        <v>4.8</v>
      </c>
      <c r="BK33" s="22">
        <f>IF(MAESTRO!D33="","",IFERROR(AVERAGE(BI33:BJ33),""))</f>
        <v/>
      </c>
      <c r="BL33" s="5">
        <f>IF(MAESTRO!D33="","",IFERROR(TRUNC(AVERAGE(AW33,BH33),1),""))</f>
        <v/>
      </c>
      <c r="BM33" s="177" t="n"/>
      <c r="BN33" s="177" t="n">
        <v>29</v>
      </c>
      <c r="BO33" s="177" t="n">
        <v>29</v>
      </c>
      <c r="BP33" s="177">
        <f>IF(MAESTRO!D33="","",MAESTRO!D33)</f>
        <v/>
      </c>
      <c r="BQ33" s="178" t="n"/>
      <c r="BR33" s="5" t="n">
        <v>4.1</v>
      </c>
      <c r="BS33" s="5" t="n">
        <v>3.3</v>
      </c>
      <c r="BT33" s="5" t="n">
        <v>3.7</v>
      </c>
      <c r="BU33" s="5" t="n">
        <v>4.3</v>
      </c>
      <c r="BV33" s="5" t="n">
        <v>4.2</v>
      </c>
      <c r="BW33" s="5" t="n">
        <v>3.5</v>
      </c>
      <c r="BX33" s="5" t="n">
        <v>4.2</v>
      </c>
      <c r="BY33" s="5" t="n">
        <v>4.4</v>
      </c>
      <c r="BZ33" s="5" t="n">
        <v>4.7</v>
      </c>
      <c r="CA33" s="5" t="n">
        <v>4</v>
      </c>
      <c r="CB33" s="5" t="n">
        <v>4.8</v>
      </c>
      <c r="CC33" s="5" t="n">
        <v>3.8</v>
      </c>
      <c r="CD33" s="5" t="n">
        <v>3.7</v>
      </c>
      <c r="CE33" s="5">
        <f>IF(MAESTRO!D33="","",IFERROR(TRUNC(AVERAGE(BR33:CD33),1),""))</f>
        <v/>
      </c>
      <c r="CF33" s="5" t="n">
        <v>3.2</v>
      </c>
      <c r="CG33" s="5" t="n">
        <v>3.9</v>
      </c>
      <c r="CH33" s="5" t="n">
        <v>4.3</v>
      </c>
      <c r="CI33" s="5" t="n">
        <v>4.1</v>
      </c>
      <c r="CJ33" s="5" t="n">
        <v>4.4</v>
      </c>
      <c r="CK33" s="5" t="n">
        <v>4.1</v>
      </c>
      <c r="CL33" s="5" t="n">
        <v>3.9</v>
      </c>
      <c r="CM33" s="5" t="n">
        <v>3.5</v>
      </c>
      <c r="CN33" s="5" t="n">
        <v>4.2</v>
      </c>
      <c r="CO33" s="5" t="n">
        <v>4.8</v>
      </c>
      <c r="CP33" s="5">
        <f>IF(MAESTRO!D33="","",IFERROR(TRUNC(AVERAGE(CF33:CO33),1),""))</f>
        <v/>
      </c>
      <c r="CQ33" s="5" t="n">
        <v>3.9</v>
      </c>
      <c r="CR33" s="5" t="n">
        <v>4.3</v>
      </c>
      <c r="CS33" s="5">
        <f>IF(MAESTRO!D33="","",IFERROR(AVERAGE(CQ33:CR33),""))</f>
        <v/>
      </c>
      <c r="CT33" s="5">
        <f>IF(MAESTRO!D33="","",IFERROR(TRUNC(AVERAGE(CE33,CP33),1),""))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v>5</v>
      </c>
      <c r="D34" s="5" t="n">
        <v>4.2</v>
      </c>
      <c r="E34" s="5" t="n">
        <v>4.8</v>
      </c>
      <c r="F34" s="5" t="n">
        <v>4.3</v>
      </c>
      <c r="G34" s="5" t="n">
        <v>4.4</v>
      </c>
      <c r="H34" s="5" t="n">
        <v>4.7</v>
      </c>
      <c r="I34" s="5" t="n">
        <v>3</v>
      </c>
      <c r="J34" s="5" t="n">
        <v>4</v>
      </c>
      <c r="K34" s="5" t="n">
        <v>4.5</v>
      </c>
      <c r="L34" s="5" t="n">
        <v>3.9</v>
      </c>
      <c r="M34" s="5" t="n">
        <v>5</v>
      </c>
      <c r="N34" s="5" t="n">
        <v>4.1</v>
      </c>
      <c r="O34" s="5" t="n">
        <v>3.2</v>
      </c>
      <c r="P34" s="5">
        <f>IF(MAESTRO!D34="","",IFERROR(TRUNC(AVERAGE(C34:O34),1),""))</f>
        <v/>
      </c>
      <c r="Q34" s="40" t="n">
        <v>30</v>
      </c>
      <c r="R34" s="22" t="n">
        <v>5</v>
      </c>
      <c r="S34" s="22" t="n">
        <v>3.3</v>
      </c>
      <c r="T34" s="22" t="n">
        <v>4.2</v>
      </c>
      <c r="U34" s="22" t="n">
        <v>5</v>
      </c>
      <c r="V34" s="22" t="n">
        <v>4.7</v>
      </c>
      <c r="W34" s="22" t="n">
        <v>4.3</v>
      </c>
      <c r="X34" s="22" t="n">
        <v>4.1</v>
      </c>
      <c r="Y34" s="22" t="n">
        <v>3.4</v>
      </c>
      <c r="Z34" s="22" t="n">
        <v>4.8</v>
      </c>
      <c r="AA34" s="45">
        <f>IF(MAESTRO!D34="","",IFERROR(TRUNC(AVERAGE(R34:Z34),1),""))</f>
        <v/>
      </c>
      <c r="AB34" s="177" t="n">
        <v>3.1</v>
      </c>
      <c r="AC34" s="42" t="n">
        <v>3.9</v>
      </c>
      <c r="AD34" s="5">
        <f>IF(MAESTRO!D34="","",IFERROR(AVERAGE(AB34:AC34),""))</f>
        <v/>
      </c>
      <c r="AE34" s="44">
        <f>IF(MAESTRO!D34="","",IFERROR(TRUNC(AVERAGE(P34,AA34),1),""))</f>
        <v/>
      </c>
      <c r="AF34" s="177" t="n"/>
      <c r="AG34" s="177" t="n">
        <v>30</v>
      </c>
      <c r="AH34" s="177" t="n">
        <v>30</v>
      </c>
      <c r="AI34" s="177">
        <f>IF(MAESTRO!D34="","",MAESTRO!D34)</f>
        <v/>
      </c>
      <c r="AJ34" s="178" t="n"/>
      <c r="AK34" s="61" t="n">
        <v>3.7</v>
      </c>
      <c r="AL34" s="61" t="n">
        <v>3.4</v>
      </c>
      <c r="AM34" s="61" t="n">
        <v>4.4</v>
      </c>
      <c r="AN34" s="61" t="n">
        <v>3.4</v>
      </c>
      <c r="AO34" s="61" t="n">
        <v>3.7</v>
      </c>
      <c r="AP34" s="61" t="n">
        <v>3.4</v>
      </c>
      <c r="AQ34" s="61" t="n">
        <v>3.7</v>
      </c>
      <c r="AR34" s="61" t="n">
        <v>3.8</v>
      </c>
      <c r="AS34" s="61" t="n">
        <v>4.6</v>
      </c>
      <c r="AT34" s="61" t="n">
        <v>3.5</v>
      </c>
      <c r="AU34" s="61" t="n">
        <v>3.5</v>
      </c>
      <c r="AV34" s="61" t="n">
        <v>3.1</v>
      </c>
      <c r="AW34" s="5">
        <f>IF(MAESTRO!D34="","",IFERROR(TRUNC(AVERAGE(AK34:AV34),1),""))</f>
        <v/>
      </c>
      <c r="AX34" s="63" t="n">
        <v>3.1</v>
      </c>
      <c r="AY34" s="61" t="n">
        <v>3</v>
      </c>
      <c r="AZ34" s="61" t="n">
        <v>4.5</v>
      </c>
      <c r="BA34" s="61" t="n">
        <v>3.3</v>
      </c>
      <c r="BB34" s="61" t="n">
        <v>4.5</v>
      </c>
      <c r="BC34" s="63" t="n">
        <v>4</v>
      </c>
      <c r="BD34" s="63" t="n">
        <v>3.6</v>
      </c>
      <c r="BE34" s="63" t="n">
        <v>4.3</v>
      </c>
      <c r="BF34" s="63" t="n">
        <v>4.7</v>
      </c>
      <c r="BG34" s="22" t="n">
        <v>4.7</v>
      </c>
      <c r="BH34" s="5">
        <f>IF(MAESTRO!D34="","",IFERROR(TRUNC(AVERAGE(AX34:BG34),1),""))</f>
        <v/>
      </c>
      <c r="BI34" s="22" t="n">
        <v>3.8</v>
      </c>
      <c r="BJ34" s="22" t="n">
        <v>4.8</v>
      </c>
      <c r="BK34" s="22">
        <f>IF(MAESTRO!D34="","",IFERROR(AVERAGE(BI34:BJ34),""))</f>
        <v/>
      </c>
      <c r="BL34" s="5">
        <f>IF(MAESTRO!D34="","",IFERROR(TRUNC(AVERAGE(AW34,BH34),1),""))</f>
        <v/>
      </c>
      <c r="BM34" s="177" t="n"/>
      <c r="BN34" s="177" t="n">
        <v>30</v>
      </c>
      <c r="BO34" s="177" t="n">
        <v>30</v>
      </c>
      <c r="BP34" s="177">
        <f>IF(MAESTRO!D34="","",MAESTRO!D34)</f>
        <v/>
      </c>
      <c r="BQ34" s="178" t="n"/>
      <c r="BR34" s="5" t="n">
        <v>4.1</v>
      </c>
      <c r="BS34" s="5" t="n">
        <v>3.3</v>
      </c>
      <c r="BT34" s="5" t="n">
        <v>3.7</v>
      </c>
      <c r="BU34" s="5" t="n">
        <v>4.3</v>
      </c>
      <c r="BV34" s="5" t="n">
        <v>4.2</v>
      </c>
      <c r="BW34" s="5" t="n">
        <v>3.5</v>
      </c>
      <c r="BX34" s="5" t="n">
        <v>4.2</v>
      </c>
      <c r="BY34" s="5" t="n">
        <v>4.4</v>
      </c>
      <c r="BZ34" s="5" t="n">
        <v>4.7</v>
      </c>
      <c r="CA34" s="5" t="n">
        <v>4</v>
      </c>
      <c r="CB34" s="5" t="n">
        <v>4.8</v>
      </c>
      <c r="CC34" s="5" t="n">
        <v>3.8</v>
      </c>
      <c r="CD34" s="5" t="n">
        <v>3.7</v>
      </c>
      <c r="CE34" s="5">
        <f>IF(MAESTRO!D34="","",IFERROR(TRUNC(AVERAGE(BR34:CD34),1),""))</f>
        <v/>
      </c>
      <c r="CF34" s="5" t="n">
        <v>3.2</v>
      </c>
      <c r="CG34" s="5" t="n">
        <v>3.9</v>
      </c>
      <c r="CH34" s="5" t="n">
        <v>4.3</v>
      </c>
      <c r="CI34" s="5" t="n">
        <v>4.1</v>
      </c>
      <c r="CJ34" s="5" t="n">
        <v>4.4</v>
      </c>
      <c r="CK34" s="5" t="n">
        <v>4.1</v>
      </c>
      <c r="CL34" s="5" t="n">
        <v>3.9</v>
      </c>
      <c r="CM34" s="5" t="n">
        <v>3.5</v>
      </c>
      <c r="CN34" s="5" t="n">
        <v>4.2</v>
      </c>
      <c r="CO34" s="5" t="n">
        <v>4.8</v>
      </c>
      <c r="CP34" s="5">
        <f>IF(MAESTRO!D34="","",IFERROR(TRUNC(AVERAGE(CF34:CO34),1),""))</f>
        <v/>
      </c>
      <c r="CQ34" s="5" t="n">
        <v>3.9</v>
      </c>
      <c r="CR34" s="5" t="n">
        <v>4.3</v>
      </c>
      <c r="CS34" s="5">
        <f>IF(MAESTRO!D34="","",IFERROR(AVERAGE(CQ34:CR34),""))</f>
        <v/>
      </c>
      <c r="CT34" s="5">
        <f>IF(MAESTRO!D34="","",IFERROR(TRUNC(AVERAGE(CE34,CP34),1),""))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v>5</v>
      </c>
      <c r="D35" s="5" t="n">
        <v>2</v>
      </c>
      <c r="E35" s="5" t="n">
        <v>4.7</v>
      </c>
      <c r="F35" s="5" t="n">
        <v>4.3</v>
      </c>
      <c r="G35" s="5" t="n">
        <v>4.4</v>
      </c>
      <c r="H35" s="5" t="n">
        <v>4.7</v>
      </c>
      <c r="I35" s="5" t="n">
        <v>3</v>
      </c>
      <c r="J35" s="5" t="n">
        <v>4</v>
      </c>
      <c r="K35" s="5" t="n">
        <v>4.5</v>
      </c>
      <c r="L35" s="5" t="n">
        <v>3.9</v>
      </c>
      <c r="M35" s="5" t="n">
        <v>5</v>
      </c>
      <c r="N35" s="5" t="n">
        <v>4.1</v>
      </c>
      <c r="O35" s="5" t="n">
        <v>3.2</v>
      </c>
      <c r="P35" s="5">
        <f>IF(MAESTRO!D35="","",IFERROR(TRUNC(AVERAGE(C35:O35),1),""))</f>
        <v/>
      </c>
      <c r="Q35" s="40" t="n">
        <v>31</v>
      </c>
      <c r="R35" s="22" t="n">
        <v>5</v>
      </c>
      <c r="S35" s="22" t="n">
        <v>3.3</v>
      </c>
      <c r="T35" s="22" t="n">
        <v>4.2</v>
      </c>
      <c r="U35" s="22" t="n">
        <v>5</v>
      </c>
      <c r="V35" s="22" t="n">
        <v>4.7</v>
      </c>
      <c r="W35" s="22" t="n">
        <v>4.3</v>
      </c>
      <c r="X35" s="22" t="n">
        <v>4.1</v>
      </c>
      <c r="Y35" s="22" t="n">
        <v>3.4</v>
      </c>
      <c r="Z35" s="22" t="n">
        <v>4.8</v>
      </c>
      <c r="AA35" s="45">
        <f>IF(MAESTRO!D35="","",IFERROR(TRUNC(AVERAGE(R35:Z35),1),""))</f>
        <v/>
      </c>
      <c r="AB35" s="177" t="n">
        <v>3.1</v>
      </c>
      <c r="AC35" s="42" t="n">
        <v>3.9</v>
      </c>
      <c r="AD35" s="5">
        <f>IF(MAESTRO!D35="","",IFERROR(AVERAGE(AB35:AC35),""))</f>
        <v/>
      </c>
      <c r="AE35" s="44">
        <f>IF(MAESTRO!D35="","",IFERROR(TRUNC(AVERAGE(P35,AA35),1),""))</f>
        <v/>
      </c>
      <c r="AF35" s="177" t="n"/>
      <c r="AG35" s="177" t="n">
        <v>31</v>
      </c>
      <c r="AH35" s="177" t="n">
        <v>31</v>
      </c>
      <c r="AI35" s="177">
        <f>IF(MAESTRO!D35="","",MAESTRO!D35)</f>
        <v/>
      </c>
      <c r="AJ35" s="178" t="n"/>
      <c r="AK35" s="61" t="n">
        <v>3.7</v>
      </c>
      <c r="AL35" s="61" t="n">
        <v>3.4</v>
      </c>
      <c r="AM35" s="61" t="n">
        <v>4.4</v>
      </c>
      <c r="AN35" s="61" t="n">
        <v>3.4</v>
      </c>
      <c r="AO35" s="61" t="n">
        <v>3.7</v>
      </c>
      <c r="AP35" s="61" t="n">
        <v>3.4</v>
      </c>
      <c r="AQ35" s="61" t="n">
        <v>3.7</v>
      </c>
      <c r="AR35" s="61" t="n">
        <v>3.8</v>
      </c>
      <c r="AS35" s="61" t="n">
        <v>4.6</v>
      </c>
      <c r="AT35" s="61" t="n">
        <v>3.5</v>
      </c>
      <c r="AU35" s="61" t="n">
        <v>3.5</v>
      </c>
      <c r="AV35" s="61" t="n">
        <v>3.1</v>
      </c>
      <c r="AW35" s="5">
        <f>IF(MAESTRO!D35="","",IFERROR(TRUNC(AVERAGE(AK35:AV35),1),""))</f>
        <v/>
      </c>
      <c r="AX35" s="63" t="n">
        <v>3.1</v>
      </c>
      <c r="AY35" s="61" t="n">
        <v>3</v>
      </c>
      <c r="AZ35" s="61" t="n">
        <v>4.5</v>
      </c>
      <c r="BA35" s="61" t="n">
        <v>3.3</v>
      </c>
      <c r="BB35" s="61" t="n">
        <v>4.5</v>
      </c>
      <c r="BC35" s="63" t="n">
        <v>4</v>
      </c>
      <c r="BD35" s="63" t="n">
        <v>3.6</v>
      </c>
      <c r="BE35" s="63" t="n">
        <v>4.3</v>
      </c>
      <c r="BF35" s="63" t="n">
        <v>4.7</v>
      </c>
      <c r="BG35" s="22" t="n">
        <v>4.7</v>
      </c>
      <c r="BH35" s="5">
        <f>IF(MAESTRO!D35="","",IFERROR(TRUNC(AVERAGE(AX35:BG35),1),""))</f>
        <v/>
      </c>
      <c r="BI35" s="22" t="n">
        <v>3.8</v>
      </c>
      <c r="BJ35" s="22" t="n">
        <v>4.8</v>
      </c>
      <c r="BK35" s="22">
        <f>IF(MAESTRO!D35="","",IFERROR(AVERAGE(BI35:BJ35),""))</f>
        <v/>
      </c>
      <c r="BL35" s="5">
        <f>IF(MAESTRO!D35="","",IFERROR(TRUNC(AVERAGE(AW35,BH35),1),""))</f>
        <v/>
      </c>
      <c r="BM35" s="177" t="n"/>
      <c r="BN35" s="177" t="n">
        <v>31</v>
      </c>
      <c r="BO35" s="177" t="n">
        <v>31</v>
      </c>
      <c r="BP35" s="177">
        <f>IF(MAESTRO!D35="","",MAESTRO!D35)</f>
        <v/>
      </c>
      <c r="BQ35" s="178" t="n"/>
      <c r="BR35" s="5" t="n">
        <v>4.1</v>
      </c>
      <c r="BS35" s="5" t="n">
        <v>3.3</v>
      </c>
      <c r="BT35" s="5" t="n">
        <v>3.7</v>
      </c>
      <c r="BU35" s="5" t="n">
        <v>4.3</v>
      </c>
      <c r="BV35" s="5" t="n">
        <v>4.2</v>
      </c>
      <c r="BW35" s="5" t="n">
        <v>3.5</v>
      </c>
      <c r="BX35" s="5" t="n">
        <v>4.2</v>
      </c>
      <c r="BY35" s="5" t="n">
        <v>4.4</v>
      </c>
      <c r="BZ35" s="5" t="n">
        <v>4.7</v>
      </c>
      <c r="CA35" s="5" t="n">
        <v>4</v>
      </c>
      <c r="CB35" s="5" t="n">
        <v>4.8</v>
      </c>
      <c r="CC35" s="5" t="n">
        <v>3.8</v>
      </c>
      <c r="CD35" s="5" t="n">
        <v>3.7</v>
      </c>
      <c r="CE35" s="5">
        <f>IF(MAESTRO!D35="","",IFERROR(TRUNC(AVERAGE(BR35:CD35),1),""))</f>
        <v/>
      </c>
      <c r="CF35" s="5" t="n">
        <v>3.2</v>
      </c>
      <c r="CG35" s="5" t="n">
        <v>3.9</v>
      </c>
      <c r="CH35" s="5" t="n">
        <v>4.3</v>
      </c>
      <c r="CI35" s="5" t="n">
        <v>4.1</v>
      </c>
      <c r="CJ35" s="5" t="n">
        <v>4.4</v>
      </c>
      <c r="CK35" s="5" t="n">
        <v>4.1</v>
      </c>
      <c r="CL35" s="5" t="n">
        <v>3.9</v>
      </c>
      <c r="CM35" s="5" t="n">
        <v>3.5</v>
      </c>
      <c r="CN35" s="5" t="n">
        <v>4.2</v>
      </c>
      <c r="CO35" s="5" t="n">
        <v>4.8</v>
      </c>
      <c r="CP35" s="5">
        <f>IF(MAESTRO!D35="","",IFERROR(TRUNC(AVERAGE(CF35:CO35),1),""))</f>
        <v/>
      </c>
      <c r="CQ35" s="5" t="n">
        <v>3.9</v>
      </c>
      <c r="CR35" s="5" t="n">
        <v>4.3</v>
      </c>
      <c r="CS35" s="5">
        <f>IF(MAESTRO!D35="","",IFERROR(AVERAGE(CQ35:CR35),""))</f>
        <v/>
      </c>
      <c r="CT35" s="5">
        <f>IF(MAESTRO!D35="","",IFERROR(TRUNC(AVERAGE(CE35,CP35),1),""))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90" t="n"/>
      <c r="D36" s="90" t="n"/>
      <c r="E36" s="89" t="n"/>
      <c r="F36" s="5" t="n"/>
      <c r="G36" s="5" t="n"/>
      <c r="H36" s="5" t="n"/>
      <c r="I36" s="5" t="n"/>
      <c r="J36" s="5" t="n"/>
      <c r="K36" s="5" t="n"/>
      <c r="L36" s="5" t="n"/>
      <c r="M36" s="5" t="n"/>
      <c r="N36" s="5" t="n"/>
      <c r="O36" s="5" t="n"/>
      <c r="P36" s="5">
        <f>IF(MAESTRO!D36="","",IFERROR(TRUNC(AVERAGE(C36:O36),1),""))</f>
        <v/>
      </c>
      <c r="Q36" s="40" t="n">
        <v>32</v>
      </c>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IF(MAESTRO!D36="","",IFERROR(TRUNC(AVERAGE(P36,AA36),1),""))</f>
        <v/>
      </c>
      <c r="AF36" s="177" t="n"/>
      <c r="AG36" s="177" t="n">
        <v>32</v>
      </c>
      <c r="AH36" s="177" t="n">
        <v>32</v>
      </c>
      <c r="AI36" s="177">
        <f>IF(MAESTRO!D36="","",MAESTRO!D36)</f>
        <v/>
      </c>
      <c r="AJ36" s="178" t="n"/>
      <c r="AK36" s="91" t="n"/>
      <c r="AL36" s="91" t="n"/>
      <c r="AM36" s="91" t="n"/>
      <c r="AN36" s="91" t="n"/>
      <c r="AO36" s="91" t="n"/>
      <c r="AP36" s="6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v>32</v>
      </c>
      <c r="BO36" s="177" t="n">
        <v>32</v>
      </c>
      <c r="BP36" s="177">
        <f>IF(MAESTRO!D36="","",MAESTRO!D36)</f>
        <v/>
      </c>
      <c r="BQ36" s="178" t="n"/>
      <c r="BR36" s="89" t="n"/>
      <c r="BS36" s="89" t="n"/>
      <c r="BT36" s="89" t="n"/>
      <c r="BU36" s="5"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90" t="n"/>
      <c r="D37" s="90" t="n"/>
      <c r="E37" s="89" t="n"/>
      <c r="F37" s="5" t="n"/>
      <c r="G37" s="5" t="n"/>
      <c r="H37" s="5" t="n"/>
      <c r="I37" s="5" t="n"/>
      <c r="J37" s="5" t="n"/>
      <c r="K37" s="5" t="n"/>
      <c r="L37" s="5" t="n"/>
      <c r="M37" s="5" t="n"/>
      <c r="N37" s="5" t="n"/>
      <c r="O37" s="5" t="n"/>
      <c r="P37" s="5">
        <f>IF(MAESTRO!D37="","",IFERROR(TRUNC(AVERAGE(C37:O37),1),""))</f>
        <v/>
      </c>
      <c r="Q37" s="40" t="n">
        <v>33</v>
      </c>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IF(MAESTRO!D37="","",IFERROR(TRUNC(AVERAGE(P37,AA37),1),""))</f>
        <v/>
      </c>
      <c r="AF37" s="177" t="n"/>
      <c r="AG37" s="177" t="n">
        <v>33</v>
      </c>
      <c r="AH37" s="177" t="n">
        <v>33</v>
      </c>
      <c r="AI37" s="177">
        <f>IF(MAESTRO!D37="","",MAESTRO!D37)</f>
        <v/>
      </c>
      <c r="AJ37" s="178" t="n"/>
      <c r="AK37" s="91" t="n"/>
      <c r="AL37" s="91" t="n"/>
      <c r="AM37" s="91" t="n"/>
      <c r="AN37" s="91" t="n"/>
      <c r="AO37" s="91" t="n"/>
      <c r="AP37" s="6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v>33</v>
      </c>
      <c r="BO37" s="177" t="n">
        <v>33</v>
      </c>
      <c r="BP37" s="177">
        <f>IF(MAESTRO!D37="","",MAESTRO!D37)</f>
        <v/>
      </c>
      <c r="BQ37" s="178" t="n"/>
      <c r="BR37" s="89" t="n"/>
      <c r="BS37" s="89" t="n"/>
      <c r="BT37" s="89" t="n"/>
      <c r="BU37" s="5"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90" t="n"/>
      <c r="D38" s="90" t="n"/>
      <c r="E38" s="89" t="n"/>
      <c r="F38" s="5" t="n"/>
      <c r="G38" s="5" t="n"/>
      <c r="H38" s="5" t="n"/>
      <c r="I38" s="5" t="n"/>
      <c r="J38" s="5" t="n"/>
      <c r="K38" s="5" t="n"/>
      <c r="L38" s="5" t="n"/>
      <c r="M38" s="5" t="n"/>
      <c r="N38" s="5" t="n"/>
      <c r="O38" s="5" t="n"/>
      <c r="P38" s="5">
        <f>IF(MAESTRO!D38="","",IFERROR(TRUNC(AVERAGE(C38:O38),1),""))</f>
        <v/>
      </c>
      <c r="Q38" s="40" t="n">
        <v>34</v>
      </c>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IF(MAESTRO!D38="","",IFERROR(TRUNC(AVERAGE(P38,AA38),1),""))</f>
        <v/>
      </c>
      <c r="AF38" s="177" t="n"/>
      <c r="AG38" s="177" t="n">
        <v>34</v>
      </c>
      <c r="AH38" s="177" t="n">
        <v>34</v>
      </c>
      <c r="AI38" s="177">
        <f>IF(MAESTRO!D38="","",MAESTRO!D38)</f>
        <v/>
      </c>
      <c r="AJ38" s="178" t="n"/>
      <c r="AK38" s="91" t="n"/>
      <c r="AL38" s="91" t="n"/>
      <c r="AM38" s="91" t="n"/>
      <c r="AN38" s="91" t="n"/>
      <c r="AO38" s="91" t="n"/>
      <c r="AP38" s="6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v>34</v>
      </c>
      <c r="BO38" s="177" t="n">
        <v>34</v>
      </c>
      <c r="BP38" s="177">
        <f>IF(MAESTRO!D38="","",MAESTRO!D38)</f>
        <v/>
      </c>
      <c r="BQ38" s="178" t="n"/>
      <c r="BR38" s="89" t="n"/>
      <c r="BS38" s="89" t="n"/>
      <c r="BT38" s="89" t="n"/>
      <c r="BU38" s="5"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90" t="n"/>
      <c r="D39" s="90" t="n"/>
      <c r="E39" s="89" t="n"/>
      <c r="F39" s="5" t="n"/>
      <c r="G39" s="5" t="n"/>
      <c r="H39" s="5" t="n"/>
      <c r="I39" s="5" t="n"/>
      <c r="J39" s="5" t="n"/>
      <c r="K39" s="5" t="n"/>
      <c r="L39" s="5" t="n"/>
      <c r="M39" s="5" t="n"/>
      <c r="N39" s="5" t="n"/>
      <c r="O39" s="5" t="n"/>
      <c r="P39" s="5">
        <f>IF(MAESTRO!D39="","",IFERROR(TRUNC(AVERAGE(C39:O39),1),""))</f>
        <v/>
      </c>
      <c r="Q39" s="40" t="n">
        <v>35</v>
      </c>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IF(MAESTRO!D39="","",IFERROR(TRUNC(AVERAGE(P39,AA39),1),""))</f>
        <v/>
      </c>
      <c r="AF39" s="177" t="n"/>
      <c r="AG39" s="177" t="n">
        <v>35</v>
      </c>
      <c r="AH39" s="177" t="n">
        <v>35</v>
      </c>
      <c r="AI39" s="177">
        <f>IF(MAESTRO!D39="","",MAESTRO!D39)</f>
        <v/>
      </c>
      <c r="AJ39" s="178" t="n"/>
      <c r="AK39" s="91" t="n"/>
      <c r="AL39" s="91" t="n"/>
      <c r="AM39" s="91" t="n"/>
      <c r="AN39" s="91" t="n"/>
      <c r="AO39" s="91" t="n"/>
      <c r="AP39" s="6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v>35</v>
      </c>
      <c r="BO39" s="177" t="n">
        <v>35</v>
      </c>
      <c r="BP39" s="177">
        <f>IF(MAESTRO!D39="","",MAESTRO!D39)</f>
        <v/>
      </c>
      <c r="BQ39" s="178" t="n"/>
      <c r="BR39" s="89" t="n"/>
      <c r="BS39" s="89" t="n"/>
      <c r="BT39" s="89" t="n"/>
      <c r="BU39" s="5"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90" t="n"/>
      <c r="D40" s="90" t="n"/>
      <c r="E40" s="89" t="n"/>
      <c r="F40" s="5" t="n"/>
      <c r="G40" s="5" t="n"/>
      <c r="H40" s="5" t="n"/>
      <c r="I40" s="5" t="n"/>
      <c r="J40" s="5" t="n"/>
      <c r="K40" s="5" t="n"/>
      <c r="L40" s="5" t="n"/>
      <c r="M40" s="5" t="n"/>
      <c r="N40" s="5" t="n"/>
      <c r="O40" s="5" t="n"/>
      <c r="P40" s="5">
        <f>IF(MAESTRO!D40="","",IFERROR(TRUNC(AVERAGE(C40:O40),1),""))</f>
        <v/>
      </c>
      <c r="Q40" s="40" t="n">
        <v>36</v>
      </c>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IF(MAESTRO!D40="","",IFERROR(TRUNC(AVERAGE(P40,AA40),1),""))</f>
        <v/>
      </c>
      <c r="AF40" s="177" t="n"/>
      <c r="AG40" s="177" t="n">
        <v>36</v>
      </c>
      <c r="AH40" s="177" t="n">
        <v>36</v>
      </c>
      <c r="AI40" s="177">
        <f>IF(MAESTRO!D40="","",MAESTRO!D40)</f>
        <v/>
      </c>
      <c r="AJ40" s="178" t="n"/>
      <c r="AK40" s="91" t="n"/>
      <c r="AL40" s="91" t="n"/>
      <c r="AM40" s="91" t="n"/>
      <c r="AN40" s="91" t="n"/>
      <c r="AO40" s="91" t="n"/>
      <c r="AP40" s="6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v>36</v>
      </c>
      <c r="BO40" s="177" t="n">
        <v>36</v>
      </c>
      <c r="BP40" s="177">
        <f>IF(MAESTRO!D40="","",MAESTRO!D40)</f>
        <v/>
      </c>
      <c r="BQ40" s="178" t="n"/>
      <c r="BR40" s="89" t="n"/>
      <c r="BS40" s="89" t="n"/>
      <c r="BT40" s="89" t="n"/>
      <c r="BU40" s="5"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90" t="n"/>
      <c r="D41" s="90" t="n"/>
      <c r="E41" s="89" t="n"/>
      <c r="F41" s="5" t="n"/>
      <c r="G41" s="5" t="n"/>
      <c r="H41" s="5" t="n"/>
      <c r="I41" s="5" t="n"/>
      <c r="J41" s="5" t="n"/>
      <c r="K41" s="5" t="n"/>
      <c r="L41" s="5" t="n"/>
      <c r="M41" s="5" t="n"/>
      <c r="N41" s="5" t="n"/>
      <c r="O41" s="5" t="n"/>
      <c r="P41" s="5">
        <f>IF(MAESTRO!D41="","",IFERROR(TRUNC(AVERAGE(C41:O41),1),""))</f>
        <v/>
      </c>
      <c r="Q41" s="40" t="n">
        <v>37</v>
      </c>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IF(MAESTRO!D41="","",IFERROR(TRUNC(AVERAGE(P41,AA41),1),""))</f>
        <v/>
      </c>
      <c r="AF41" s="177" t="n"/>
      <c r="AG41" s="177" t="n">
        <v>37</v>
      </c>
      <c r="AH41" s="177" t="n">
        <v>37</v>
      </c>
      <c r="AI41" s="177">
        <f>IF(MAESTRO!D41="","",MAESTRO!D41)</f>
        <v/>
      </c>
      <c r="AJ41" s="178" t="n"/>
      <c r="AK41" s="91" t="n"/>
      <c r="AL41" s="91" t="n"/>
      <c r="AM41" s="91" t="n"/>
      <c r="AN41" s="91" t="n"/>
      <c r="AO41" s="91" t="n"/>
      <c r="AP41" s="6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v>37</v>
      </c>
      <c r="BO41" s="177" t="n">
        <v>37</v>
      </c>
      <c r="BP41" s="177">
        <f>IF(MAESTRO!D41="","",MAESTRO!D41)</f>
        <v/>
      </c>
      <c r="BQ41" s="178" t="n"/>
      <c r="BR41" s="89" t="n"/>
      <c r="BS41" s="89" t="n"/>
      <c r="BT41" s="89" t="n"/>
      <c r="BU41" s="5"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inlineStr">
        <is>
          <t>Vocabulario #1</t>
        </is>
      </c>
      <c r="D42" s="288" t="inlineStr">
        <is>
          <t>Exposición - Pueblo Etnicos</t>
        </is>
      </c>
      <c r="E42" s="288" t="inlineStr">
        <is>
          <t>Vocabulario #2</t>
        </is>
      </c>
      <c r="F42" s="288" t="inlineStr">
        <is>
          <t xml:space="preserve">Oraciones con Conectores </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8" t="inlineStr">
        <is>
          <t>Mural -Semana Santa</t>
        </is>
      </c>
      <c r="S42" s="288" t="inlineStr">
        <is>
          <t>Tradicion Familiar  dibujo y descr.</t>
        </is>
      </c>
      <c r="T42" s="288" t="inlineStr">
        <is>
          <t>Tarea 20</t>
        </is>
      </c>
      <c r="U42" s="288" t="inlineStr">
        <is>
          <t>Tarea 21</t>
        </is>
      </c>
      <c r="V42" s="288" t="inlineStr">
        <is>
          <t>Tarea 22</t>
        </is>
      </c>
      <c r="W42" s="288" t="inlineStr">
        <is>
          <t>Tarea 23</t>
        </is>
      </c>
      <c r="X42" s="288" t="inlineStr">
        <is>
          <t>Tarea 24</t>
        </is>
      </c>
      <c r="Y42" s="288" t="inlineStr">
        <is>
          <t>Tarea 25</t>
        </is>
      </c>
      <c r="Z42" s="288" t="inlineStr">
        <is>
          <t>Tarea 26</t>
        </is>
      </c>
      <c r="AA42" s="45" t="n"/>
      <c r="AB42" s="288" t="inlineStr">
        <is>
          <t>Tarea 28</t>
        </is>
      </c>
      <c r="AC42" s="288" t="inlineStr">
        <is>
          <t>Tarea 29</t>
        </is>
      </c>
      <c r="AD42" s="5" t="n"/>
      <c r="AE42" s="44" t="n"/>
      <c r="AF42" s="177" t="n"/>
      <c r="AG42" s="177" t="n">
        <v>38</v>
      </c>
      <c r="AH42" s="177" t="n">
        <v>38</v>
      </c>
      <c r="AI42" s="177">
        <f>IF(MAESTRO!D42="","",MAESTRO!D42)</f>
        <v/>
      </c>
      <c r="AJ42" s="178" t="n"/>
      <c r="AK42" s="288" t="inlineStr">
        <is>
          <t>Tarea 37</t>
        </is>
      </c>
      <c r="AL42" s="288" t="inlineStr">
        <is>
          <t>Tarea 38</t>
        </is>
      </c>
      <c r="AM42" s="288" t="inlineStr">
        <is>
          <t>Tarea 39</t>
        </is>
      </c>
      <c r="AN42" s="288" t="inlineStr">
        <is>
          <t>Tarea 40</t>
        </is>
      </c>
      <c r="AO42" s="288" t="inlineStr">
        <is>
          <t>Tarea 41</t>
        </is>
      </c>
      <c r="AP42" s="288" t="inlineStr">
        <is>
          <t>Tarea 42</t>
        </is>
      </c>
      <c r="AQ42" s="288" t="inlineStr">
        <is>
          <t>Tarea 43</t>
        </is>
      </c>
      <c r="AR42" s="288" t="inlineStr">
        <is>
          <t>Tarea 44</t>
        </is>
      </c>
      <c r="AS42" s="288" t="inlineStr">
        <is>
          <t>Tarea 45</t>
        </is>
      </c>
      <c r="AT42" s="288" t="inlineStr">
        <is>
          <t>Tarea 46</t>
        </is>
      </c>
      <c r="AU42" s="288" t="inlineStr">
        <is>
          <t>Tarea 47</t>
        </is>
      </c>
      <c r="AV42" s="288" t="inlineStr">
        <is>
          <t>Tarea 48</t>
        </is>
      </c>
      <c r="AW42" s="5" t="n"/>
      <c r="AX42" s="288" t="inlineStr">
        <is>
          <t>Tarea 50</t>
        </is>
      </c>
      <c r="AY42" s="288" t="inlineStr">
        <is>
          <t>Tarea 51</t>
        </is>
      </c>
      <c r="AZ42" s="288" t="inlineStr">
        <is>
          <t>Tarea 52</t>
        </is>
      </c>
      <c r="BA42" s="288" t="inlineStr">
        <is>
          <t>Tarea 53</t>
        </is>
      </c>
      <c r="BB42" s="288" t="inlineStr">
        <is>
          <t>Tarea 54</t>
        </is>
      </c>
      <c r="BC42" s="288" t="inlineStr">
        <is>
          <t>Tarea 55</t>
        </is>
      </c>
      <c r="BD42" s="288" t="inlineStr">
        <is>
          <t>Tarea 56</t>
        </is>
      </c>
      <c r="BE42" s="288" t="inlineStr">
        <is>
          <t>Tarea 57</t>
        </is>
      </c>
      <c r="BF42" s="288" t="inlineStr">
        <is>
          <t>Tarea 58</t>
        </is>
      </c>
      <c r="BG42" s="288" t="inlineStr">
        <is>
          <t>Tarea 59</t>
        </is>
      </c>
      <c r="BH42" s="5" t="n"/>
      <c r="BI42" s="288" t="inlineStr">
        <is>
          <t>Tarea 61</t>
        </is>
      </c>
      <c r="BJ42" s="288" t="inlineStr">
        <is>
          <t>Tarea 62</t>
        </is>
      </c>
      <c r="BK42" s="22" t="n"/>
      <c r="BL42" s="5" t="n"/>
      <c r="BM42" s="177" t="n"/>
      <c r="BN42" s="177" t="n">
        <v>38</v>
      </c>
      <c r="BO42" s="177" t="n">
        <v>38</v>
      </c>
      <c r="BP42" s="177">
        <f>IF(MAESTRO!D42="","",MAESTRO!D42)</f>
        <v/>
      </c>
      <c r="BQ42" s="178" t="n"/>
      <c r="BR42" s="288" t="inlineStr">
        <is>
          <t>Tarea 70</t>
        </is>
      </c>
      <c r="BS42" s="288" t="inlineStr">
        <is>
          <t>Tarea 71</t>
        </is>
      </c>
      <c r="BT42" s="288" t="inlineStr">
        <is>
          <t>Tarea 72</t>
        </is>
      </c>
      <c r="BU42" s="288" t="inlineStr">
        <is>
          <t>Tarea 73</t>
        </is>
      </c>
      <c r="BV42" s="288" t="inlineStr">
        <is>
          <t>Tarea 74</t>
        </is>
      </c>
      <c r="BW42" s="288" t="inlineStr">
        <is>
          <t>Tarea 75</t>
        </is>
      </c>
      <c r="BX42" s="288" t="inlineStr">
        <is>
          <t>Tarea 76</t>
        </is>
      </c>
      <c r="BY42" s="288" t="inlineStr">
        <is>
          <t>Tarea 77</t>
        </is>
      </c>
      <c r="BZ42" s="288" t="inlineStr">
        <is>
          <t>Tarea 78</t>
        </is>
      </c>
      <c r="CA42" s="288" t="inlineStr">
        <is>
          <t>Tarea 79</t>
        </is>
      </c>
      <c r="CB42" s="288" t="inlineStr">
        <is>
          <t>Tarea 80</t>
        </is>
      </c>
      <c r="CC42" s="288" t="inlineStr">
        <is>
          <t>Tarea 81</t>
        </is>
      </c>
      <c r="CD42" s="288" t="inlineStr">
        <is>
          <t>Tarea 82</t>
        </is>
      </c>
      <c r="CE42" s="5" t="n"/>
      <c r="CF42" s="288" t="inlineStr">
        <is>
          <t>Tarea 84</t>
        </is>
      </c>
      <c r="CG42" s="288" t="inlineStr">
        <is>
          <t>Tarea 85</t>
        </is>
      </c>
      <c r="CH42" s="288" t="inlineStr">
        <is>
          <t>Tarea 86</t>
        </is>
      </c>
      <c r="CI42" s="288" t="inlineStr">
        <is>
          <t>Tarea 87</t>
        </is>
      </c>
      <c r="CJ42" s="288" t="inlineStr">
        <is>
          <t>Tarea 88</t>
        </is>
      </c>
      <c r="CK42" s="288" t="inlineStr">
        <is>
          <t>Tarea 89</t>
        </is>
      </c>
      <c r="CL42" s="288" t="inlineStr">
        <is>
          <t>Tarea 90</t>
        </is>
      </c>
      <c r="CM42" s="288" t="inlineStr">
        <is>
          <t>Tarea 91</t>
        </is>
      </c>
      <c r="CN42" s="288" t="inlineStr">
        <is>
          <t>Tarea 92</t>
        </is>
      </c>
      <c r="CO42" s="288" t="inlineStr">
        <is>
          <t>Tarea 93</t>
        </is>
      </c>
      <c r="CP42" s="5" t="n"/>
      <c r="CQ42" s="288" t="inlineStr">
        <is>
          <t>Tarea 95</t>
        </is>
      </c>
      <c r="CR42" s="288"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IF(MAESTRO!D43="","",MAESTRO!D43)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IF(MAESTRO!D44="","",MAESTRO!D44)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BV42:BV48"/>
    <mergeCell ref="CX44:CY44"/>
    <mergeCell ref="AP42:AP48"/>
    <mergeCell ref="CW3:CW4"/>
    <mergeCell ref="CX5:CY5"/>
    <mergeCell ref="BP31:BQ31"/>
    <mergeCell ref="BX42:BX48"/>
    <mergeCell ref="BP40:BQ40"/>
    <mergeCell ref="BP24:BQ24"/>
    <mergeCell ref="CQ3:CR4"/>
    <mergeCell ref="BI3:BJ4"/>
    <mergeCell ref="AT42:AT48"/>
    <mergeCell ref="AV42:AV48"/>
    <mergeCell ref="CD42:CD48"/>
    <mergeCell ref="AI5:AJ5"/>
    <mergeCell ref="AK3:AV3"/>
    <mergeCell ref="CX45:CY45"/>
    <mergeCell ref="CX30:CY30"/>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AI18:AJ18"/>
    <mergeCell ref="BP44:BQ44"/>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AI44:AJ44"/>
    <mergeCell ref="CZ3:DL3"/>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K3:BK4"/>
    <mergeCell ref="BT42:BT48"/>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E42:E48"/>
    <mergeCell ref="AM42:AM48"/>
    <mergeCell ref="AK42:AK48"/>
    <mergeCell ref="BL3:BL4"/>
    <mergeCell ref="BP19:BQ19"/>
    <mergeCell ref="AD3:AD4"/>
    <mergeCell ref="AI47:AJ47"/>
    <mergeCell ref="BG42:BG48"/>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X42:X48"/>
    <mergeCell ref="AW3:AW4"/>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BJ42:BJ48"/>
    <mergeCell ref="AI20:AJ20"/>
    <mergeCell ref="CR42:CR48"/>
    <mergeCell ref="CX13:CY13"/>
    <mergeCell ref="AA3:AA4"/>
    <mergeCell ref="BP48:BQ48"/>
    <mergeCell ref="AI22:AJ22"/>
    <mergeCell ref="CX28:CY28"/>
    <mergeCell ref="CX6:CY6"/>
    <mergeCell ref="AI31:AJ31"/>
    <mergeCell ref="AI37:AJ37"/>
    <mergeCell ref="BR3:CD3"/>
    <mergeCell ref="CX15:CY15"/>
    <mergeCell ref="CX37:CY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20" zoomScale="70" zoomScaleNormal="100" zoomScalePageLayoutView="70" workbookViewId="0">
      <selection activeCell="O46" sqref="O4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(Ingles 8°)'!AF5,""))</f>
        <v/>
      </c>
      <c r="G16" s="49">
        <f>IF(MAESTRO!D5="","",IFERROR('PROM (Ingles 8°)'!BM5,""))</f>
        <v/>
      </c>
      <c r="H16" s="49">
        <f>IF(MAESTRO!D5="","",IFERROR('PROM (Ingles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(Ingles 8°)'!AF6,""))</f>
        <v/>
      </c>
      <c r="G17" s="49">
        <f>IF(MAESTRO!D6="","",IFERROR('PROM (Ingles 8°)'!BM6,""))</f>
        <v/>
      </c>
      <c r="H17" s="49">
        <f>IF(MAESTRO!D6="","",IFERROR('PROM (Ingles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(Ingles 8°)'!AF7,""))</f>
        <v/>
      </c>
      <c r="G18" s="49">
        <f>IF(MAESTRO!D7="","",IFERROR('PROM (Ingles 8°)'!BM7,""))</f>
        <v/>
      </c>
      <c r="H18" s="49">
        <f>IF(MAESTRO!D7="","",IFERROR('PROM (Ingles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(Ingles 8°)'!AF8,""))</f>
        <v/>
      </c>
      <c r="G19" s="49">
        <f>IF(MAESTRO!D8="","",IFERROR('PROM (Ingles 8°)'!BM8,""))</f>
        <v/>
      </c>
      <c r="H19" s="49">
        <f>IF(MAESTRO!D8="","",IFERROR('PROM (Ingles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(Ingles 8°)'!AF9,""))</f>
        <v/>
      </c>
      <c r="G20" s="49">
        <f>IF(MAESTRO!D9="","",IFERROR('PROM (Ingles 8°)'!BM9,""))</f>
        <v/>
      </c>
      <c r="H20" s="49">
        <f>IF(MAESTRO!D9="","",IFERROR('PROM (Ingles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(Ingles 8°)'!AF10,""))</f>
        <v/>
      </c>
      <c r="G21" s="49">
        <f>IF(MAESTRO!D10="","",IFERROR('PROM (Ingles 8°)'!BM10,""))</f>
        <v/>
      </c>
      <c r="H21" s="49">
        <f>IF(MAESTRO!D10="","",IFERROR('PROM (Ingles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(Ingles 8°)'!AF11,""))</f>
        <v/>
      </c>
      <c r="G22" s="49">
        <f>IF(MAESTRO!D11="","",IFERROR('PROM (Ingles 8°)'!BM11,""))</f>
        <v/>
      </c>
      <c r="H22" s="49">
        <f>IF(MAESTRO!D11="","",IFERROR('PROM (Ingles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(Ingles 8°)'!AF12,""))</f>
        <v/>
      </c>
      <c r="G23" s="49">
        <f>IF(MAESTRO!D12="","",IFERROR('PROM (Ingles 8°)'!BM12,""))</f>
        <v/>
      </c>
      <c r="H23" s="49">
        <f>IF(MAESTRO!D12="","",IFERROR('PROM (Ingles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(Ingles 8°)'!AF13,""))</f>
        <v/>
      </c>
      <c r="G24" s="49">
        <f>IF(MAESTRO!D13="","",IFERROR('PROM (Ingles 8°)'!BM13,""))</f>
        <v/>
      </c>
      <c r="H24" s="49">
        <f>IF(MAESTRO!D13="","",IFERROR('PROM (Ingles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(Ingles 8°)'!AF14,""))</f>
        <v/>
      </c>
      <c r="G25" s="49">
        <f>IF(MAESTRO!D14="","",IFERROR('PROM (Ingles 8°)'!BM14,""))</f>
        <v/>
      </c>
      <c r="H25" s="49">
        <f>IF(MAESTRO!D14="","",IFERROR('PROM (Ingles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(Ingles 8°)'!AF15,""))</f>
        <v/>
      </c>
      <c r="G26" s="49">
        <f>IF(MAESTRO!D15="","",IFERROR('PROM (Ingles 8°)'!BM15,""))</f>
        <v/>
      </c>
      <c r="H26" s="49">
        <f>IF(MAESTRO!D15="","",IFERROR('PROM (Ingles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(Ingles 8°)'!AF16,""))</f>
        <v/>
      </c>
      <c r="G27" s="49">
        <f>IF(MAESTRO!D16="","",IFERROR('PROM (Ingles 8°)'!BM16,""))</f>
        <v/>
      </c>
      <c r="H27" s="49">
        <f>IF(MAESTRO!D16="","",IFERROR('PROM (Ingles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(Ingles 8°)'!AF17,""))</f>
        <v/>
      </c>
      <c r="G28" s="49">
        <f>IF(MAESTRO!D17="","",IFERROR('PROM (Ingles 8°)'!BM17,""))</f>
        <v/>
      </c>
      <c r="H28" s="49">
        <f>IF(MAESTRO!D17="","",IFERROR('PROM (Ingles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(Ingles 8°)'!AF18,""))</f>
        <v/>
      </c>
      <c r="G29" s="49">
        <f>IF(MAESTRO!D18="","",IFERROR('PROM (Ingles 8°)'!BM18,""))</f>
        <v/>
      </c>
      <c r="H29" s="49">
        <f>IF(MAESTRO!D18="","",IFERROR('PROM (Ingles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(Ingles 8°)'!AF19,""))</f>
        <v/>
      </c>
      <c r="G30" s="49">
        <f>IF(MAESTRO!D19="","",IFERROR('PROM (Ingles 8°)'!BM19,""))</f>
        <v/>
      </c>
      <c r="H30" s="49">
        <f>IF(MAESTRO!D19="","",IFERROR('PROM (Ingles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(Ingles 8°)'!AF20,""))</f>
        <v/>
      </c>
      <c r="G31" s="49">
        <f>IF(MAESTRO!D20="","",IFERROR('PROM (Ingles 8°)'!BM20,""))</f>
        <v/>
      </c>
      <c r="H31" s="49">
        <f>IF(MAESTRO!D20="","",IFERROR('PROM (Ingles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(Ingles 8°)'!AF21,""))</f>
        <v/>
      </c>
      <c r="G32" s="49">
        <f>IF(MAESTRO!D21="","",IFERROR('PROM (Ingles 8°)'!BM21,""))</f>
        <v/>
      </c>
      <c r="H32" s="49">
        <f>IF(MAESTRO!D21="","",IFERROR('PROM (Ingles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(Ingles 8°)'!AF22,""))</f>
        <v/>
      </c>
      <c r="G33" s="49">
        <f>IF(MAESTRO!D22="","",IFERROR('PROM (Ingles 8°)'!BM22,""))</f>
        <v/>
      </c>
      <c r="H33" s="49">
        <f>IF(MAESTRO!D22="","",IFERROR('PROM (Ingles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(Ingles 8°)'!AF23,""))</f>
        <v/>
      </c>
      <c r="G34" s="49">
        <f>IF(MAESTRO!D23="","",IFERROR('PROM (Ingles 8°)'!BM23,""))</f>
        <v/>
      </c>
      <c r="H34" s="49">
        <f>IF(MAESTRO!D23="","",IFERROR('PROM (Ingles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(Ingles 8°)'!AF24,""))</f>
        <v/>
      </c>
      <c r="G35" s="49">
        <f>IF(MAESTRO!D24="","",IFERROR('PROM (Ingles 8°)'!BM24,""))</f>
        <v/>
      </c>
      <c r="H35" s="49">
        <f>IF(MAESTRO!D24="","",IFERROR('PROM (Ingles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(Ingles 8°)'!AF25,""))</f>
        <v/>
      </c>
      <c r="G36" s="49">
        <f>IF(MAESTRO!D25="","",IFERROR('PROM (Ingles 8°)'!BM25,""))</f>
        <v/>
      </c>
      <c r="H36" s="49">
        <f>IF(MAESTRO!D25="","",IFERROR('PROM (Ingles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(Ingles 8°)'!AF26,""))</f>
        <v/>
      </c>
      <c r="G37" s="49">
        <f>IF(MAESTRO!D26="","",IFERROR('PROM (Ingles 8°)'!BM26,""))</f>
        <v/>
      </c>
      <c r="H37" s="49">
        <f>IF(MAESTRO!D26="","",IFERROR('PROM (Ingles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(Ingles 8°)'!AF27,""))</f>
        <v/>
      </c>
      <c r="G38" s="49">
        <f>IF(MAESTRO!D27="","",IFERROR('PROM (Ingles 8°)'!BM27,""))</f>
        <v/>
      </c>
      <c r="H38" s="49">
        <f>IF(MAESTRO!D27="","",IFERROR('PROM (Ingles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(Ingles 8°)'!AF28,""))</f>
        <v/>
      </c>
      <c r="G39" s="49">
        <f>IF(MAESTRO!D28="","",IFERROR('PROM (Ingles 8°)'!BM28,""))</f>
        <v/>
      </c>
      <c r="H39" s="49">
        <f>IF(MAESTRO!D28="","",IFERROR('PROM (Ingles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(Ingles 8°)'!AF29,""))</f>
        <v/>
      </c>
      <c r="G40" s="49">
        <f>IF(MAESTRO!D29="","",IFERROR('PROM (Ingles 8°)'!BM29,""))</f>
        <v/>
      </c>
      <c r="H40" s="49">
        <f>IF(MAESTRO!D29="","",IFERROR('PROM (Ingles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(Ingles 8°)'!AF30,""))</f>
        <v/>
      </c>
      <c r="G41" s="49">
        <f>IF(MAESTRO!D30="","",IFERROR('PROM (Ingles 8°)'!BM30,""))</f>
        <v/>
      </c>
      <c r="H41" s="49">
        <f>IF(MAESTRO!D30="","",IFERROR('PROM (Ingles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(Ingles 8°)'!AF31,""))</f>
        <v/>
      </c>
      <c r="G42" s="49">
        <f>IF(MAESTRO!D31="","",IFERROR('PROM (Ingles 8°)'!BM31,""))</f>
        <v/>
      </c>
      <c r="H42" s="49">
        <f>IF(MAESTRO!D31="","",IFERROR('PROM (Ingles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(Ingles 8°)'!AF32,""))</f>
        <v/>
      </c>
      <c r="G43" s="49">
        <f>IF(MAESTRO!D32="","",IFERROR('PROM (Ingles 8°)'!BM32,""))</f>
        <v/>
      </c>
      <c r="H43" s="49">
        <f>IF(MAESTRO!D32="","",IFERROR('PROM (Ingles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(Ingles 8°)'!AF33,""))</f>
        <v/>
      </c>
      <c r="G44" s="49">
        <f>IF(MAESTRO!D33="","",IFERROR('PROM (Ingles 8°)'!BM33,""))</f>
        <v/>
      </c>
      <c r="H44" s="49">
        <f>IF(MAESTRO!D33="","",IFERROR('PROM (Ingles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(Ingles 8°)'!AF34,""))</f>
        <v/>
      </c>
      <c r="G45" s="49">
        <f>IF(MAESTRO!D34="","",IFERROR('PROM (Ingles 8°)'!BM34,""))</f>
        <v/>
      </c>
      <c r="H45" s="49">
        <f>IF(MAESTRO!D34="","",IFERROR('PROM (Ingles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(Ingles 8°)'!AF35,""))</f>
        <v/>
      </c>
      <c r="G46" s="49">
        <f>IF(MAESTRO!D35="","",IFERROR('PROM (Ingles 8°)'!BM35,""))</f>
        <v/>
      </c>
      <c r="H46" s="49">
        <f>IF(MAESTRO!D35="","",IFERROR('PROM (Ingles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(Ingles 8°)'!AF36,""))</f>
        <v/>
      </c>
      <c r="G47" s="49">
        <f>IF(MAESTRO!D36="","",IFERROR('PROM (Ingles 8°)'!BM36,""))</f>
        <v/>
      </c>
      <c r="H47" s="49">
        <f>IF(MAESTRO!D36="","",IFERROR('PROM (Ingles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(Ingles 8°)'!AF37,""))</f>
        <v/>
      </c>
      <c r="G48" s="49">
        <f>IF(MAESTRO!D37="","",IFERROR('PROM (Ingles 8°)'!BM37,""))</f>
        <v/>
      </c>
      <c r="H48" s="49">
        <f>IF(MAESTRO!D37="","",IFERROR('PROM (Ingles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(Ingles 8°)'!AF38,""))</f>
        <v/>
      </c>
      <c r="G49" s="49">
        <f>IF(MAESTRO!D38="","",IFERROR('PROM (Ingles 8°)'!BM38,""))</f>
        <v/>
      </c>
      <c r="H49" s="49">
        <f>IF(MAESTRO!D38="","",IFERROR('PROM (Ingles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(Ingles 8°)'!AF39,""))</f>
        <v/>
      </c>
      <c r="G50" s="49">
        <f>IF(MAESTRO!D39="","",IFERROR('PROM (Ingles 8°)'!BM39,""))</f>
        <v/>
      </c>
      <c r="H50" s="49">
        <f>IF(MAESTRO!D39="","",IFERROR('PROM (Ingles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(Ingles 8°)'!AF40,""))</f>
        <v/>
      </c>
      <c r="G51" s="49">
        <f>IF(MAESTRO!D40="","",IFERROR('PROM (Ingles 8°)'!BM40,""))</f>
        <v/>
      </c>
      <c r="H51" s="49">
        <f>IF(MAESTRO!D40="","",IFERROR('PROM (Ingles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(Ingles 8°)'!AF41,""))</f>
        <v/>
      </c>
      <c r="G52" s="49">
        <f>IF(MAESTRO!D41="","",IFERROR('PROM (Ingles 8°)'!BM41,""))</f>
        <v/>
      </c>
      <c r="H52" s="49">
        <f>IF(MAESTRO!D41="","",IFERROR('PROM (Ingles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(Ingles 8°)'!AF42,""))</f>
        <v/>
      </c>
      <c r="G53" s="49">
        <f>IF(MAESTRO!D42="","",IFERROR('PROM (Ingles 8°)'!BM42,""))</f>
        <v/>
      </c>
      <c r="H53" s="49">
        <f>IF(MAESTRO!D42="","",IFERROR('PROM (Ingles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(Ingles 8°)'!AF43,""))</f>
        <v/>
      </c>
      <c r="G54" s="49">
        <f>IF(MAESTRO!D43="","",IFERROR('PROM (Ingles 8°)'!BM43,""))</f>
        <v/>
      </c>
      <c r="H54" s="49">
        <f>IF(MAESTRO!D43="","",IFERROR('PROM (Ingles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(Ingles 8°)'!AF44,""))</f>
        <v/>
      </c>
      <c r="G55" s="49">
        <f>IF(MAESTRO!D44="","",IFERROR('PROM (Ingles 8°)'!BM44,""))</f>
        <v/>
      </c>
      <c r="H55" s="49">
        <f>IF(MAESTRO!D44="","",IFERROR('PROM (Ingles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topLeftCell="A16" zoomScale="70" zoomScaleNormal="100" zoomScalePageLayoutView="70" workbookViewId="0">
      <selection activeCell="H31" sqref="H3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44"/>
    <col width="4.664062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21875" customWidth="1" style="196" min="70" max="82"/>
    <col width="4.44140625" customWidth="1" style="176" min="83" max="83"/>
    <col width="3.88671875" customWidth="1" style="196" min="84" max="93"/>
    <col width="4.44140625" customWidth="1" style="196" min="9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46120</v>
      </c>
      <c r="D4" s="23" t="n">
        <v>46126</v>
      </c>
      <c r="E4" s="23" t="n">
        <v>46156</v>
      </c>
      <c r="F4" s="23" t="n"/>
      <c r="G4" s="177" t="n"/>
      <c r="H4" s="177" t="n"/>
      <c r="I4" s="177" t="n"/>
      <c r="J4" s="177" t="n"/>
      <c r="K4" s="177" t="n"/>
      <c r="L4" s="177" t="n"/>
      <c r="M4" s="177" t="n"/>
      <c r="N4" s="177" t="n"/>
      <c r="O4" s="177" t="n"/>
      <c r="P4" s="181" t="n"/>
      <c r="Q4" s="57" t="n"/>
      <c r="R4" s="23" t="n">
        <v>46118</v>
      </c>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IF(MAESTRO!D5="","",MAESTRO!D5)</f>
        <v/>
      </c>
      <c r="C5" s="5" t="n">
        <v>3.4</v>
      </c>
      <c r="D5" s="5" t="n">
        <v>3.1</v>
      </c>
      <c r="E5" s="5" t="n">
        <v>3.3</v>
      </c>
      <c r="F5" s="5" t="n">
        <v>4.5</v>
      </c>
      <c r="G5" s="5" t="n">
        <v>3.3</v>
      </c>
      <c r="H5" s="5" t="n">
        <v>4.2</v>
      </c>
      <c r="I5" s="5" t="n">
        <v>3.7</v>
      </c>
      <c r="J5" s="5" t="n">
        <v>3.3</v>
      </c>
      <c r="K5" s="5" t="n">
        <v>3.2</v>
      </c>
      <c r="L5" s="5" t="n">
        <v>3.2</v>
      </c>
      <c r="M5" s="5" t="n">
        <v>4.3</v>
      </c>
      <c r="N5" s="5" t="n">
        <v>4.1</v>
      </c>
      <c r="O5" s="5" t="n">
        <v>4.7</v>
      </c>
      <c r="P5" s="5">
        <f>IF(MAESTRO!D5="","",IFERROR(TRUNC(AVERAGE(C5:O5),1),""))</f>
        <v/>
      </c>
      <c r="Q5" s="40" t="n">
        <v>1</v>
      </c>
      <c r="R5" s="22" t="n">
        <v>4.6</v>
      </c>
      <c r="S5" s="22" t="n">
        <v>3</v>
      </c>
      <c r="T5" s="22" t="n">
        <v>4.1</v>
      </c>
      <c r="U5" s="22" t="n">
        <v>4.5</v>
      </c>
      <c r="V5" s="22" t="n">
        <v>4.9</v>
      </c>
      <c r="W5" s="22" t="n">
        <v>3.2</v>
      </c>
      <c r="X5" s="22" t="n">
        <v>3.2</v>
      </c>
      <c r="Y5" s="22" t="n">
        <v>3.1</v>
      </c>
      <c r="Z5" s="22" t="n">
        <v>4.7</v>
      </c>
      <c r="AA5" s="45">
        <f>IF(MAESTRO!D5="","",IFERROR(TRUNC(AVERAGE(R5:Z5),1),""))</f>
        <v/>
      </c>
      <c r="AB5" s="5" t="n">
        <v>4.1</v>
      </c>
      <c r="AC5" s="42" t="n">
        <v>3.8</v>
      </c>
      <c r="AD5" s="5">
        <f>IF(MAESTRO!D5="","",IFERROR(AVERAGE(AB5:AC5),""))</f>
        <v/>
      </c>
      <c r="AE5" s="44">
        <f>IF(MAESTRO!D5="","",IFERROR(TRUNC(AVERAGE(P5,AA5,AD5),1),""))</f>
        <v/>
      </c>
      <c r="AF5" s="177" t="n"/>
      <c r="AG5" s="177" t="n">
        <v>1</v>
      </c>
      <c r="AH5" s="177" t="n">
        <v>1</v>
      </c>
      <c r="AI5" s="177">
        <f>IF(MAESTRO!D5="","",MAESTRO!D5)</f>
        <v/>
      </c>
      <c r="AJ5" s="178" t="n"/>
      <c r="AK5" s="61" t="n">
        <v>3.2</v>
      </c>
      <c r="AL5" s="61" t="n">
        <v>3</v>
      </c>
      <c r="AM5" s="61" t="n">
        <v>3.5</v>
      </c>
      <c r="AN5" s="61" t="n">
        <v>3.6</v>
      </c>
      <c r="AO5" s="61" t="n">
        <v>4.3</v>
      </c>
      <c r="AP5" s="61" t="n">
        <v>4.2</v>
      </c>
      <c r="AQ5" s="61" t="n">
        <v>3.4</v>
      </c>
      <c r="AR5" s="61" t="n">
        <v>3.3</v>
      </c>
      <c r="AS5" s="61" t="n">
        <v>3.5</v>
      </c>
      <c r="AT5" s="61" t="n">
        <v>4.1</v>
      </c>
      <c r="AU5" s="61" t="n">
        <v>3.1</v>
      </c>
      <c r="AV5" s="61" t="n">
        <v>3.6</v>
      </c>
      <c r="AW5" s="5">
        <f>IF(MAESTRO!D5="","",IFERROR(TRUNC(AVERAGE(AK5:AV5),1),""))</f>
        <v/>
      </c>
      <c r="AX5" s="22" t="n">
        <v>3.3</v>
      </c>
      <c r="AY5" s="22" t="n">
        <v>3.1</v>
      </c>
      <c r="AZ5" s="22" t="n">
        <v>4.2</v>
      </c>
      <c r="BA5" s="22" t="n">
        <v>4.8</v>
      </c>
      <c r="BB5" s="22" t="n">
        <v>3.1</v>
      </c>
      <c r="BC5" s="22" t="n">
        <v>4.1</v>
      </c>
      <c r="BD5" s="22" t="n">
        <v>4.7</v>
      </c>
      <c r="BE5" s="22" t="n">
        <v>4.5</v>
      </c>
      <c r="BF5" s="22" t="n">
        <v>4.9</v>
      </c>
      <c r="BG5" s="52" t="n">
        <v>4.8</v>
      </c>
      <c r="BH5" s="5">
        <f>IF(MAESTRO!D5="","",IFERROR(TRUNC(AVERAGE(AX5:BG5),1),""))</f>
        <v/>
      </c>
      <c r="BI5" s="22" t="n">
        <v>4.8</v>
      </c>
      <c r="BJ5" s="22" t="n">
        <v>3.8</v>
      </c>
      <c r="BK5" s="22">
        <f>IF(MAESTRO!D5="","",IFERROR(AVERAGE(BI5:BJ5),""))</f>
        <v/>
      </c>
      <c r="BL5" s="5">
        <f>IF(MAESTRO!D5="","",IFERROR(TRUNC(AVERAGE(AW5,BH5),1),""))</f>
        <v/>
      </c>
      <c r="BM5" s="177" t="n"/>
      <c r="BN5" s="177" t="n">
        <v>1</v>
      </c>
      <c r="BO5" s="177" t="n">
        <v>1</v>
      </c>
      <c r="BP5" s="177">
        <f>IF(MAESTRO!D5="","",MAESTRO!D5)</f>
        <v/>
      </c>
      <c r="BQ5" s="178" t="n"/>
      <c r="BR5" s="5" t="n">
        <v>3.2</v>
      </c>
      <c r="BS5" s="5" t="n">
        <v>4.4</v>
      </c>
      <c r="BT5" s="5" t="n">
        <v>4</v>
      </c>
      <c r="BU5" s="5" t="n">
        <v>3.3</v>
      </c>
      <c r="BV5" s="5" t="n">
        <v>3.3</v>
      </c>
      <c r="BW5" s="5" t="n">
        <v>4.6</v>
      </c>
      <c r="BX5" s="5" t="n">
        <v>4.7</v>
      </c>
      <c r="BY5" s="5" t="n">
        <v>3.2</v>
      </c>
      <c r="BZ5" s="5" t="n">
        <v>4.9</v>
      </c>
      <c r="CA5" s="5" t="n">
        <v>4.7</v>
      </c>
      <c r="CB5" s="5" t="n">
        <v>3.9</v>
      </c>
      <c r="CC5" s="5" t="n">
        <v>4.4</v>
      </c>
      <c r="CD5" s="5" t="n">
        <v>3.1</v>
      </c>
      <c r="CE5" s="5">
        <f>IF(MAESTRO!D5="","",IFERROR(TRUNC(AVERAGE(BR5:CD5),1),""))</f>
        <v/>
      </c>
      <c r="CF5" s="5" t="n">
        <v>3.1</v>
      </c>
      <c r="CG5" s="5" t="n">
        <v>3.1</v>
      </c>
      <c r="CH5" s="5" t="n">
        <v>4.9</v>
      </c>
      <c r="CI5" s="5" t="n">
        <v>4.4</v>
      </c>
      <c r="CJ5" s="5" t="n">
        <v>5</v>
      </c>
      <c r="CK5" s="5" t="n">
        <v>4.3</v>
      </c>
      <c r="CL5" s="5" t="n">
        <v>4.6</v>
      </c>
      <c r="CM5" s="5" t="n">
        <v>4.7</v>
      </c>
      <c r="CN5" s="5" t="n">
        <v>4.2</v>
      </c>
      <c r="CO5" s="5" t="n">
        <v>3.7</v>
      </c>
      <c r="CP5" s="5">
        <f>IF(MAESTRO!D5="","",IFERROR(TRUNC(AVERAGE(CF5:CO5),1),""))</f>
        <v/>
      </c>
      <c r="CQ5" s="5" t="n">
        <v>4.1</v>
      </c>
      <c r="CR5" s="5" t="n">
        <v>3.9</v>
      </c>
      <c r="CS5" s="5">
        <f>IF(MAESTRO!D5="","",IFERROR(AVERAGE(CQ5:CR5),""))</f>
        <v/>
      </c>
      <c r="CT5" s="5">
        <f>IF(MAESTRO!D5="","",IFERROR(TRUNC(AVERAGE(CE5,CP5,CS5),1),""))</f>
        <v/>
      </c>
      <c r="CU5" s="177" t="n"/>
      <c r="CV5" s="55"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v>4.5</v>
      </c>
      <c r="D6" s="5" t="n">
        <v>3.9</v>
      </c>
      <c r="E6" s="5" t="n">
        <v>4.4</v>
      </c>
      <c r="F6" s="5" t="n">
        <v>3.3</v>
      </c>
      <c r="G6" s="5" t="n">
        <v>4.6</v>
      </c>
      <c r="H6" s="5" t="n">
        <v>4</v>
      </c>
      <c r="I6" s="5" t="n">
        <v>4.4</v>
      </c>
      <c r="J6" s="5" t="n">
        <v>4.9</v>
      </c>
      <c r="K6" s="5" t="n">
        <v>3.3</v>
      </c>
      <c r="L6" s="5" t="n">
        <v>3.1</v>
      </c>
      <c r="M6" s="5" t="n">
        <v>3.3</v>
      </c>
      <c r="N6" s="5" t="n">
        <v>3.5</v>
      </c>
      <c r="O6" s="5" t="n">
        <v>4.3</v>
      </c>
      <c r="P6" s="5">
        <f>IF(MAESTRO!D6="","",IFERROR(TRUNC(AVERAGE(C6:O6),1),""))</f>
        <v/>
      </c>
      <c r="Q6" s="40" t="n">
        <v>2</v>
      </c>
      <c r="R6" s="22" t="n">
        <v>4.8</v>
      </c>
      <c r="S6" s="22" t="n">
        <v>4</v>
      </c>
      <c r="T6" s="22" t="n">
        <v>4.5</v>
      </c>
      <c r="U6" s="22" t="n">
        <v>3.1</v>
      </c>
      <c r="V6" s="22" t="n">
        <v>4.6</v>
      </c>
      <c r="W6" s="22" t="n">
        <v>3.4</v>
      </c>
      <c r="X6" s="22" t="n">
        <v>3.5</v>
      </c>
      <c r="Y6" s="22" t="n">
        <v>3.5</v>
      </c>
      <c r="Z6" s="22" t="n">
        <v>3.5</v>
      </c>
      <c r="AA6" s="45">
        <f>IF(MAESTRO!D6="","",IFERROR(TRUNC(AVERAGE(R6:Z6),1),""))</f>
        <v/>
      </c>
      <c r="AB6" s="5" t="n">
        <v>4.2</v>
      </c>
      <c r="AC6" s="42" t="n">
        <v>4.2</v>
      </c>
      <c r="AD6" s="5">
        <f>IF(MAESTRO!D6="","",IFERROR(AVERAGE(AB6:AC6),""))</f>
        <v/>
      </c>
      <c r="AE6" s="44">
        <f>IF(MAESTRO!D6="","",IFERROR(TRUNC(AVERAGE(P6,AA6,AD6),1),""))</f>
        <v/>
      </c>
      <c r="AF6" s="177" t="n"/>
      <c r="AG6" s="177" t="n">
        <v>2</v>
      </c>
      <c r="AH6" s="177" t="n">
        <v>2</v>
      </c>
      <c r="AI6" s="177">
        <f>IF(MAESTRO!D6="","",MAESTRO!D6)</f>
        <v/>
      </c>
      <c r="AJ6" s="178" t="n"/>
      <c r="AK6" s="61" t="n">
        <v>3.6</v>
      </c>
      <c r="AL6" s="61" t="n">
        <v>4.4</v>
      </c>
      <c r="AM6" s="61" t="n">
        <v>4.8</v>
      </c>
      <c r="AN6" s="61" t="n">
        <v>4.9</v>
      </c>
      <c r="AO6" s="61" t="n">
        <v>4.1</v>
      </c>
      <c r="AP6" s="61" t="n">
        <v>4.9</v>
      </c>
      <c r="AQ6" s="61" t="n">
        <v>3.9</v>
      </c>
      <c r="AR6" s="61" t="n">
        <v>4.7</v>
      </c>
      <c r="AS6" s="61" t="n">
        <v>3.6</v>
      </c>
      <c r="AT6" s="61" t="n">
        <v>3.7</v>
      </c>
      <c r="AU6" s="61" t="n">
        <v>3.7</v>
      </c>
      <c r="AV6" s="61" t="n">
        <v>3.1</v>
      </c>
      <c r="AW6" s="5">
        <f>IF(MAESTRO!D6="","",IFERROR(TRUNC(AVERAGE(AK6:AV6),1),""))</f>
        <v/>
      </c>
      <c r="AX6" s="22" t="n">
        <v>4.4</v>
      </c>
      <c r="AY6" s="22" t="n">
        <v>4.7</v>
      </c>
      <c r="AZ6" s="22" t="n">
        <v>4.6</v>
      </c>
      <c r="BA6" s="22" t="n">
        <v>3.1</v>
      </c>
      <c r="BB6" s="22" t="n">
        <v>4.5</v>
      </c>
      <c r="BC6" s="22" t="n">
        <v>4</v>
      </c>
      <c r="BD6" s="22" t="n">
        <v>3.4</v>
      </c>
      <c r="BE6" s="22" t="n">
        <v>3.9</v>
      </c>
      <c r="BF6" s="22" t="n">
        <v>3.6</v>
      </c>
      <c r="BG6" s="52" t="n">
        <v>3.3</v>
      </c>
      <c r="BH6" s="5">
        <f>IF(MAESTRO!D6="","",IFERROR(TRUNC(AVERAGE(AX6:BG6),1),""))</f>
        <v/>
      </c>
      <c r="BI6" s="22" t="n">
        <v>3.9</v>
      </c>
      <c r="BJ6" s="22" t="n">
        <v>4.9</v>
      </c>
      <c r="BK6" s="22">
        <f>IF(MAESTRO!D6="","",IFERROR(AVERAGE(BI6:BJ6),""))</f>
        <v/>
      </c>
      <c r="BL6" s="5">
        <f>IF(MAESTRO!D6="","",IFERROR(TRUNC(AVERAGE(AW6,BH6),1),""))</f>
        <v/>
      </c>
      <c r="BM6" s="177" t="n"/>
      <c r="BN6" s="177" t="n">
        <v>2</v>
      </c>
      <c r="BO6" s="177" t="n">
        <v>2</v>
      </c>
      <c r="BP6" s="177">
        <f>IF(MAESTRO!D6="","",MAESTRO!D6)</f>
        <v/>
      </c>
      <c r="BQ6" s="178" t="n"/>
      <c r="BR6" s="5" t="n">
        <v>3.9</v>
      </c>
      <c r="BS6" s="5" t="n">
        <v>3</v>
      </c>
      <c r="BT6" s="5" t="n">
        <v>3.4</v>
      </c>
      <c r="BU6" s="5" t="n">
        <v>4.9</v>
      </c>
      <c r="BV6" s="5" t="n">
        <v>3.7</v>
      </c>
      <c r="BW6" s="5" t="n">
        <v>4.4</v>
      </c>
      <c r="BX6" s="5" t="n">
        <v>3.1</v>
      </c>
      <c r="BY6" s="5" t="n">
        <v>4.5</v>
      </c>
      <c r="BZ6" s="5" t="n">
        <v>3.2</v>
      </c>
      <c r="CA6" s="5" t="n">
        <v>4.2</v>
      </c>
      <c r="CB6" s="5" t="n">
        <v>3.1</v>
      </c>
      <c r="CC6" s="5" t="n">
        <v>4.8</v>
      </c>
      <c r="CD6" s="5" t="n">
        <v>3.5</v>
      </c>
      <c r="CE6" s="5">
        <f>IF(MAESTRO!D6="","",IFERROR(TRUNC(AVERAGE(BR6:CD6),1),""))</f>
        <v/>
      </c>
      <c r="CF6" s="5" t="n">
        <v>4</v>
      </c>
      <c r="CG6" s="5" t="n">
        <v>4</v>
      </c>
      <c r="CH6" s="5" t="n">
        <v>4.4</v>
      </c>
      <c r="CI6" s="5" t="n">
        <v>4.4</v>
      </c>
      <c r="CJ6" s="5" t="n">
        <v>3.3</v>
      </c>
      <c r="CK6" s="5" t="n">
        <v>4.4</v>
      </c>
      <c r="CL6" s="5" t="n">
        <v>4.4</v>
      </c>
      <c r="CM6" s="5" t="n">
        <v>3.9</v>
      </c>
      <c r="CN6" s="5" t="n">
        <v>3.7</v>
      </c>
      <c r="CO6" s="5" t="n">
        <v>3.9</v>
      </c>
      <c r="CP6" s="5">
        <f>IF(MAESTRO!D6="","",IFERROR(TRUNC(AVERAGE(CF6:CO6),1),""))</f>
        <v/>
      </c>
      <c r="CQ6" s="5" t="n">
        <v>4.1</v>
      </c>
      <c r="CR6" s="5" t="n">
        <v>3.9</v>
      </c>
      <c r="CS6" s="5">
        <f>IF(MAESTRO!D6="","",IFERROR(AVERAGE(CQ6:CR6),""))</f>
        <v/>
      </c>
      <c r="CT6" s="5">
        <f>IF(MAESTRO!D6="","",IFERROR(TRUNC(AVERAGE(CE6,CP6,CS6),1),""))</f>
        <v/>
      </c>
      <c r="CU6" s="177" t="n"/>
      <c r="CV6" s="55"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v>4.3</v>
      </c>
      <c r="D7" s="5" t="n">
        <v>3.2</v>
      </c>
      <c r="E7" s="5" t="n">
        <v>4.4</v>
      </c>
      <c r="F7" s="5" t="n">
        <v>4.4</v>
      </c>
      <c r="G7" s="5" t="n">
        <v>3.4</v>
      </c>
      <c r="H7" s="5" t="n">
        <v>4.1</v>
      </c>
      <c r="I7" s="5" t="n">
        <v>3.5</v>
      </c>
      <c r="J7" s="5" t="n">
        <v>3.1</v>
      </c>
      <c r="K7" s="5" t="n">
        <v>3.5</v>
      </c>
      <c r="L7" s="5" t="n">
        <v>4.8</v>
      </c>
      <c r="M7" s="5" t="n">
        <v>4</v>
      </c>
      <c r="N7" s="5" t="n">
        <v>3.2</v>
      </c>
      <c r="O7" s="5" t="n">
        <v>3.2</v>
      </c>
      <c r="P7" s="5">
        <f>IF(MAESTRO!D7="","",IFERROR(TRUNC(AVERAGE(C7:O7),1),""))</f>
        <v/>
      </c>
      <c r="Q7" s="40" t="n">
        <v>3</v>
      </c>
      <c r="R7" s="22" t="n">
        <v>5</v>
      </c>
      <c r="S7" s="22" t="n">
        <v>4</v>
      </c>
      <c r="T7" s="22" t="n">
        <v>3.5</v>
      </c>
      <c r="U7" s="22" t="n">
        <v>4.2</v>
      </c>
      <c r="V7" s="22" t="n">
        <v>3.6</v>
      </c>
      <c r="W7" s="22" t="n">
        <v>3.9</v>
      </c>
      <c r="X7" s="22" t="n">
        <v>3.1</v>
      </c>
      <c r="Y7" s="22" t="n">
        <v>3.8</v>
      </c>
      <c r="Z7" s="22" t="n">
        <v>3.7</v>
      </c>
      <c r="AA7" s="45">
        <f>IF(MAESTRO!D7="","",IFERROR(TRUNC(AVERAGE(R7:Z7),1),""))</f>
        <v/>
      </c>
      <c r="AB7" s="177" t="n">
        <v>3.2</v>
      </c>
      <c r="AC7" s="42" t="n">
        <v>4.6</v>
      </c>
      <c r="AD7" s="5">
        <f>IF(MAESTRO!D7="","",IFERROR(AVERAGE(AB7:AC7),""))</f>
        <v/>
      </c>
      <c r="AE7" s="44">
        <f>IF(MAESTRO!D7="","",IFERROR(TRUNC(AVERAGE(P7,AA7,AD7),1),""))</f>
        <v/>
      </c>
      <c r="AF7" s="177" t="n"/>
      <c r="AG7" s="177" t="n">
        <v>3</v>
      </c>
      <c r="AH7" s="177" t="n">
        <v>3</v>
      </c>
      <c r="AI7" s="177">
        <f>IF(MAESTRO!D7="","",MAESTRO!D7)</f>
        <v/>
      </c>
      <c r="AJ7" s="178" t="n"/>
      <c r="AK7" s="61" t="n">
        <v>3.5</v>
      </c>
      <c r="AL7" s="61" t="n">
        <v>4.8</v>
      </c>
      <c r="AM7" s="61" t="n">
        <v>3.6</v>
      </c>
      <c r="AN7" s="61" t="n">
        <v>4.9</v>
      </c>
      <c r="AO7" s="61" t="n">
        <v>5</v>
      </c>
      <c r="AP7" s="61" t="n">
        <v>4.2</v>
      </c>
      <c r="AQ7" s="61" t="n">
        <v>3.2</v>
      </c>
      <c r="AR7" s="61" t="n">
        <v>4.4</v>
      </c>
      <c r="AS7" s="61" t="n">
        <v>3.9</v>
      </c>
      <c r="AT7" s="61" t="n">
        <v>4.5</v>
      </c>
      <c r="AU7" s="61" t="n">
        <v>4.8</v>
      </c>
      <c r="AV7" s="61" t="n">
        <v>4.7</v>
      </c>
      <c r="AW7" s="5">
        <f>IF(MAESTRO!D7="","",IFERROR(TRUNC(AVERAGE(AK7:AV7),1),""))</f>
        <v/>
      </c>
      <c r="AX7" s="22" t="n">
        <v>3.2</v>
      </c>
      <c r="AY7" s="22" t="n">
        <v>3.2</v>
      </c>
      <c r="AZ7" s="22" t="n">
        <v>4.9</v>
      </c>
      <c r="BA7" s="22" t="n">
        <v>3.9</v>
      </c>
      <c r="BB7" s="22" t="n">
        <v>3.7</v>
      </c>
      <c r="BC7" s="22" t="n">
        <v>3.4</v>
      </c>
      <c r="BD7" s="22" t="n">
        <v>3.4</v>
      </c>
      <c r="BE7" s="22" t="n">
        <v>4.7</v>
      </c>
      <c r="BF7" s="22" t="n">
        <v>3.8</v>
      </c>
      <c r="BG7" s="52" t="n">
        <v>4</v>
      </c>
      <c r="BH7" s="5">
        <f>IF(MAESTRO!D7="","",IFERROR(TRUNC(AVERAGE(AX7:BG7),1),""))</f>
        <v/>
      </c>
      <c r="BI7" s="22" t="n">
        <v>4.4</v>
      </c>
      <c r="BJ7" s="22" t="n">
        <v>3.5</v>
      </c>
      <c r="BK7" s="22">
        <f>IF(MAESTRO!D7="","",IFERROR(AVERAGE(BI7:BJ7),""))</f>
        <v/>
      </c>
      <c r="BL7" s="5">
        <f>IF(MAESTRO!D7="","",IFERROR(TRUNC(AVERAGE(AW7,BH7),1),""))</f>
        <v/>
      </c>
      <c r="BM7" s="177" t="n"/>
      <c r="BN7" s="177" t="n">
        <v>3</v>
      </c>
      <c r="BO7" s="177" t="n">
        <v>3</v>
      </c>
      <c r="BP7" s="177">
        <f>IF(MAESTRO!D7="","",MAESTRO!D7)</f>
        <v/>
      </c>
      <c r="BQ7" s="178" t="n"/>
      <c r="BR7" s="5" t="n">
        <v>4.9</v>
      </c>
      <c r="BS7" s="5" t="n">
        <v>3.2</v>
      </c>
      <c r="BT7" s="5" t="n">
        <v>3.8</v>
      </c>
      <c r="BU7" s="5" t="n">
        <v>4.3</v>
      </c>
      <c r="BV7" s="5" t="n">
        <v>4.1</v>
      </c>
      <c r="BW7" s="5" t="n">
        <v>3.2</v>
      </c>
      <c r="BX7" s="5" t="n">
        <v>3.7</v>
      </c>
      <c r="BY7" s="5" t="n">
        <v>3.4</v>
      </c>
      <c r="BZ7" s="5" t="n">
        <v>4</v>
      </c>
      <c r="CA7" s="5" t="n">
        <v>4.9</v>
      </c>
      <c r="CB7" s="5" t="n">
        <v>5</v>
      </c>
      <c r="CC7" s="5" t="n">
        <v>4.6</v>
      </c>
      <c r="CD7" s="5" t="n">
        <v>3.1</v>
      </c>
      <c r="CE7" s="5">
        <f>IF(MAESTRO!D7="","",IFERROR(TRUNC(AVERAGE(BR7:CD7),1),""))</f>
        <v/>
      </c>
      <c r="CF7" s="5" t="n">
        <v>3.5</v>
      </c>
      <c r="CG7" s="5" t="n">
        <v>3.3</v>
      </c>
      <c r="CH7" s="5" t="n">
        <v>3.8</v>
      </c>
      <c r="CI7" s="5" t="n">
        <v>4.5</v>
      </c>
      <c r="CJ7" s="5" t="n">
        <v>4.1</v>
      </c>
      <c r="CK7" s="5" t="n">
        <v>4.5</v>
      </c>
      <c r="CL7" s="5" t="n">
        <v>5</v>
      </c>
      <c r="CM7" s="5" t="n">
        <v>4.1</v>
      </c>
      <c r="CN7" s="5" t="n">
        <v>4.8</v>
      </c>
      <c r="CO7" s="5" t="n">
        <v>4.4</v>
      </c>
      <c r="CP7" s="5">
        <f>IF(MAESTRO!D7="","",IFERROR(TRUNC(AVERAGE(CF7:CO7),1),""))</f>
        <v/>
      </c>
      <c r="CQ7" s="5" t="n">
        <v>3.3</v>
      </c>
      <c r="CR7" s="5" t="n">
        <v>4.7</v>
      </c>
      <c r="CS7" s="5">
        <f>IF(MAESTRO!D7="","",IFERROR(AVERAGE(CQ7:CR7),""))</f>
        <v/>
      </c>
      <c r="CT7" s="5">
        <f>IF(MAESTRO!D7="","",IFERROR(TRUNC(AVERAGE(CE7,CP7,CS7),1),""))</f>
        <v/>
      </c>
      <c r="CU7" s="177" t="n"/>
      <c r="CV7" s="55"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v>3.3</v>
      </c>
      <c r="D8" s="5" t="n">
        <v>3.9</v>
      </c>
      <c r="E8" s="5" t="n">
        <v>4.6</v>
      </c>
      <c r="F8" s="5" t="n">
        <v>5</v>
      </c>
      <c r="G8" s="5" t="n">
        <v>4.8</v>
      </c>
      <c r="H8" s="5" t="n">
        <v>4.3</v>
      </c>
      <c r="I8" s="5" t="n">
        <v>4.8</v>
      </c>
      <c r="J8" s="5" t="n">
        <v>4.7</v>
      </c>
      <c r="K8" s="5" t="n">
        <v>4.3</v>
      </c>
      <c r="L8" s="5" t="n">
        <v>5</v>
      </c>
      <c r="M8" s="5" t="n">
        <v>4.4</v>
      </c>
      <c r="N8" s="5" t="n">
        <v>4.7</v>
      </c>
      <c r="O8" s="5" t="n">
        <v>3.3</v>
      </c>
      <c r="P8" s="5">
        <f>IF(MAESTRO!D8="","",IFERROR(TRUNC(AVERAGE(C8:O8),1),""))</f>
        <v/>
      </c>
      <c r="Q8" s="40" t="n">
        <v>4</v>
      </c>
      <c r="R8" s="22" t="n">
        <v>4.7</v>
      </c>
      <c r="S8" s="22" t="n">
        <v>4.7</v>
      </c>
      <c r="T8" s="22" t="n">
        <v>3.8</v>
      </c>
      <c r="U8" s="22" t="n">
        <v>3.8</v>
      </c>
      <c r="V8" s="22" t="n">
        <v>4.8</v>
      </c>
      <c r="W8" s="22" t="n">
        <v>3.3</v>
      </c>
      <c r="X8" s="22" t="n">
        <v>4.2</v>
      </c>
      <c r="Y8" s="22" t="n">
        <v>4.7</v>
      </c>
      <c r="Z8" s="22" t="n">
        <v>4.8</v>
      </c>
      <c r="AA8" s="45">
        <f>IF(MAESTRO!D8="","",IFERROR(TRUNC(AVERAGE(R8:Z8),1),""))</f>
        <v/>
      </c>
      <c r="AB8" s="177" t="n">
        <v>3.8</v>
      </c>
      <c r="AC8" s="42" t="n">
        <v>4.6</v>
      </c>
      <c r="AD8" s="5">
        <f>IF(MAESTRO!D8="","",IFERROR(AVERAGE(AB8:AC8),""))</f>
        <v/>
      </c>
      <c r="AE8" s="44">
        <f>IF(MAESTRO!D8="","",IFERROR(TRUNC(AVERAGE(P8,AA8,AD8),1),""))</f>
        <v/>
      </c>
      <c r="AF8" s="177" t="n"/>
      <c r="AG8" s="177" t="n">
        <v>4</v>
      </c>
      <c r="AH8" s="177" t="n">
        <v>4</v>
      </c>
      <c r="AI8" s="177">
        <f>IF(MAESTRO!D8="","",MAESTRO!D8)</f>
        <v/>
      </c>
      <c r="AJ8" s="178" t="n"/>
      <c r="AK8" s="61" t="n">
        <v>3.6</v>
      </c>
      <c r="AL8" s="61" t="n">
        <v>3.6</v>
      </c>
      <c r="AM8" s="61" t="n">
        <v>4.8</v>
      </c>
      <c r="AN8" s="61" t="n">
        <v>4.2</v>
      </c>
      <c r="AO8" s="61" t="n">
        <v>4.4</v>
      </c>
      <c r="AP8" s="61" t="n">
        <v>4.4</v>
      </c>
      <c r="AQ8" s="61" t="n">
        <v>3</v>
      </c>
      <c r="AR8" s="61" t="n">
        <v>3.6</v>
      </c>
      <c r="AS8" s="61" t="n">
        <v>3.6</v>
      </c>
      <c r="AT8" s="61" t="n">
        <v>3.9</v>
      </c>
      <c r="AU8" s="61" t="n">
        <v>4.3</v>
      </c>
      <c r="AV8" s="61" t="n">
        <v>4.4</v>
      </c>
      <c r="AW8" s="5">
        <f>IF(MAESTRO!D8="","",IFERROR(TRUNC(AVERAGE(AK8:AV8),1),""))</f>
        <v/>
      </c>
      <c r="AX8" s="22" t="n">
        <v>4.6</v>
      </c>
      <c r="AY8" s="22" t="n">
        <v>3.2</v>
      </c>
      <c r="AZ8" s="22" t="n">
        <v>4</v>
      </c>
      <c r="BA8" s="22" t="n">
        <v>4.9</v>
      </c>
      <c r="BB8" s="22" t="n">
        <v>4.9</v>
      </c>
      <c r="BC8" s="22" t="n">
        <v>4.7</v>
      </c>
      <c r="BD8" s="22" t="n">
        <v>4.2</v>
      </c>
      <c r="BE8" s="22" t="n">
        <v>3.9</v>
      </c>
      <c r="BF8" s="22" t="n">
        <v>3.8</v>
      </c>
      <c r="BG8" s="52" t="n">
        <v>3.8</v>
      </c>
      <c r="BH8" s="5">
        <f>IF(MAESTRO!D8="","",IFERROR(TRUNC(AVERAGE(AX8:BG8),1),""))</f>
        <v/>
      </c>
      <c r="BI8" s="22" t="n">
        <v>4.6</v>
      </c>
      <c r="BJ8" s="22" t="n">
        <v>3.7</v>
      </c>
      <c r="BK8" s="22">
        <f>IF(MAESTRO!D8="","",IFERROR(AVERAGE(BI8:BJ8),""))</f>
        <v/>
      </c>
      <c r="BL8" s="5">
        <f>IF(MAESTRO!D8="","",IFERROR(TRUNC(AVERAGE(AW8,BH8),1),""))</f>
        <v/>
      </c>
      <c r="BM8" s="177" t="n"/>
      <c r="BN8" s="177" t="n">
        <v>4</v>
      </c>
      <c r="BO8" s="177" t="n">
        <v>4</v>
      </c>
      <c r="BP8" s="177">
        <f>IF(MAESTRO!D8="","",MAESTRO!D8)</f>
        <v/>
      </c>
      <c r="BQ8" s="178" t="n"/>
      <c r="BR8" s="5" t="n">
        <v>4.8</v>
      </c>
      <c r="BS8" s="5" t="n">
        <v>3.3</v>
      </c>
      <c r="BT8" s="5" t="n">
        <v>4.1</v>
      </c>
      <c r="BU8" s="5" t="n">
        <v>4.7</v>
      </c>
      <c r="BV8" s="5" t="n">
        <v>3</v>
      </c>
      <c r="BW8" s="5" t="n">
        <v>3.1</v>
      </c>
      <c r="BX8" s="5" t="n">
        <v>4.7</v>
      </c>
      <c r="BY8" s="5" t="n">
        <v>3.7</v>
      </c>
      <c r="BZ8" s="5" t="n">
        <v>4.7</v>
      </c>
      <c r="CA8" s="5" t="n">
        <v>3.6</v>
      </c>
      <c r="CB8" s="5" t="n">
        <v>3.6</v>
      </c>
      <c r="CC8" s="5" t="n">
        <v>3.1</v>
      </c>
      <c r="CD8" s="5" t="n">
        <v>3.3</v>
      </c>
      <c r="CE8" s="5">
        <f>IF(MAESTRO!D8="","",IFERROR(TRUNC(AVERAGE(BR8:CD8),1),""))</f>
        <v/>
      </c>
      <c r="CF8" s="5" t="n">
        <v>4.6</v>
      </c>
      <c r="CG8" s="5" t="n">
        <v>3.7</v>
      </c>
      <c r="CH8" s="5" t="n">
        <v>4.2</v>
      </c>
      <c r="CI8" s="5" t="n">
        <v>3.6</v>
      </c>
      <c r="CJ8" s="5" t="n">
        <v>3.6</v>
      </c>
      <c r="CK8" s="5" t="n">
        <v>4.9</v>
      </c>
      <c r="CL8" s="5" t="n">
        <v>3.1</v>
      </c>
      <c r="CM8" s="5" t="n">
        <v>4.7</v>
      </c>
      <c r="CN8" s="5" t="n">
        <v>3.5</v>
      </c>
      <c r="CO8" s="5" t="n">
        <v>3.4</v>
      </c>
      <c r="CP8" s="5">
        <f>IF(MAESTRO!D8="","",IFERROR(TRUNC(AVERAGE(CF8:CO8),1),""))</f>
        <v/>
      </c>
      <c r="CQ8" s="5" t="n">
        <v>4.9</v>
      </c>
      <c r="CR8" s="5" t="n">
        <v>4.5</v>
      </c>
      <c r="CS8" s="5">
        <f>IF(MAESTRO!D8="","",IFERROR(AVERAGE(CQ8:CR8),""))</f>
        <v/>
      </c>
      <c r="CT8" s="5">
        <f>IF(MAESTRO!D8="","",IFERROR(TRUNC(AVERAGE(CE8,CP8,CS8),1),""))</f>
        <v/>
      </c>
      <c r="CU8" s="177" t="n"/>
      <c r="CV8" s="55"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v>3.5</v>
      </c>
      <c r="D9" s="5" t="n">
        <v>3.8</v>
      </c>
      <c r="E9" s="5" t="n">
        <v>4.9</v>
      </c>
      <c r="F9" s="5" t="n">
        <v>3.1</v>
      </c>
      <c r="G9" s="5" t="n">
        <v>3.3</v>
      </c>
      <c r="H9" s="5" t="n">
        <v>3.4</v>
      </c>
      <c r="I9" s="5" t="n">
        <v>4.1</v>
      </c>
      <c r="J9" s="5" t="n">
        <v>3.2</v>
      </c>
      <c r="K9" s="5" t="n">
        <v>3.3</v>
      </c>
      <c r="L9" s="5" t="n">
        <v>4.1</v>
      </c>
      <c r="M9" s="5" t="n">
        <v>4.4</v>
      </c>
      <c r="N9" s="5" t="n">
        <v>4.2</v>
      </c>
      <c r="O9" s="5" t="n">
        <v>3.1</v>
      </c>
      <c r="P9" s="5">
        <f>IF(MAESTRO!D9="","",IFERROR(TRUNC(AVERAGE(C9:O9),1),""))</f>
        <v/>
      </c>
      <c r="Q9" s="40" t="n">
        <v>5</v>
      </c>
      <c r="R9" s="22" t="n">
        <v>4</v>
      </c>
      <c r="S9" s="22" t="n">
        <v>4.1</v>
      </c>
      <c r="T9" s="22" t="n">
        <v>4</v>
      </c>
      <c r="U9" s="22" t="n">
        <v>3.9</v>
      </c>
      <c r="V9" s="22" t="n">
        <v>3.5</v>
      </c>
      <c r="W9" s="22" t="n">
        <v>4.5</v>
      </c>
      <c r="X9" s="22" t="n">
        <v>4.7</v>
      </c>
      <c r="Y9" s="22" t="n">
        <v>4.8</v>
      </c>
      <c r="Z9" s="22" t="n">
        <v>3.1</v>
      </c>
      <c r="AA9" s="45">
        <f>IF(MAESTRO!D9="","",IFERROR(TRUNC(AVERAGE(R9:Z9),1),""))</f>
        <v/>
      </c>
      <c r="AB9" s="177" t="n">
        <v>3.5</v>
      </c>
      <c r="AC9" s="42" t="n">
        <v>4.8</v>
      </c>
      <c r="AD9" s="5">
        <f>IF(MAESTRO!D9="","",IFERROR(AVERAGE(AB9:AC9),""))</f>
        <v/>
      </c>
      <c r="AE9" s="44">
        <f>IF(MAESTRO!D9="","",IFERROR(TRUNC(AVERAGE(P9,AA9,AD9),1),""))</f>
        <v/>
      </c>
      <c r="AF9" s="177" t="n"/>
      <c r="AG9" s="177" t="n">
        <v>5</v>
      </c>
      <c r="AH9" s="177" t="n">
        <v>5</v>
      </c>
      <c r="AI9" s="177">
        <f>IF(MAESTRO!D9="","",MAESTRO!D9)</f>
        <v/>
      </c>
      <c r="AJ9" s="178" t="n"/>
      <c r="AK9" s="61" t="n">
        <v>3.4</v>
      </c>
      <c r="AL9" s="61" t="n">
        <v>4.6</v>
      </c>
      <c r="AM9" s="61" t="n">
        <v>3</v>
      </c>
      <c r="AN9" s="61" t="n">
        <v>3.6</v>
      </c>
      <c r="AO9" s="61" t="n">
        <v>3.8</v>
      </c>
      <c r="AP9" s="61" t="n">
        <v>3.5</v>
      </c>
      <c r="AQ9" s="61" t="n">
        <v>4.7</v>
      </c>
      <c r="AR9" s="61" t="n">
        <v>3.4</v>
      </c>
      <c r="AS9" s="61" t="n">
        <v>3.5</v>
      </c>
      <c r="AT9" s="61" t="n">
        <v>4</v>
      </c>
      <c r="AU9" s="61" t="n">
        <v>4.4</v>
      </c>
      <c r="AV9" s="61" t="n">
        <v>4.9</v>
      </c>
      <c r="AW9" s="5">
        <f>IF(MAESTRO!D9="","",IFERROR(TRUNC(AVERAGE(AK9:AV9),1),""))</f>
        <v/>
      </c>
      <c r="AX9" s="22" t="n">
        <v>3.7</v>
      </c>
      <c r="AY9" s="22" t="n">
        <v>4.2</v>
      </c>
      <c r="AZ9" s="22" t="n">
        <v>5</v>
      </c>
      <c r="BA9" s="22" t="n">
        <v>3.7</v>
      </c>
      <c r="BB9" s="22" t="n">
        <v>3.6</v>
      </c>
      <c r="BC9" s="22" t="n">
        <v>4.8</v>
      </c>
      <c r="BD9" s="22" t="n">
        <v>3.7</v>
      </c>
      <c r="BE9" s="22" t="n">
        <v>3.3</v>
      </c>
      <c r="BF9" s="22" t="n">
        <v>4.1</v>
      </c>
      <c r="BG9" s="52" t="n">
        <v>5</v>
      </c>
      <c r="BH9" s="5">
        <f>IF(MAESTRO!D9="","",IFERROR(TRUNC(AVERAGE(AX9:BG9),1),""))</f>
        <v/>
      </c>
      <c r="BI9" s="22" t="n">
        <v>4.5</v>
      </c>
      <c r="BJ9" s="22" t="n">
        <v>4.5</v>
      </c>
      <c r="BK9" s="22">
        <f>IF(MAESTRO!D9="","",IFERROR(AVERAGE(BI9:BJ9),""))</f>
        <v/>
      </c>
      <c r="BL9" s="5">
        <f>IF(MAESTRO!D9="","",IFERROR(TRUNC(AVERAGE(AW9,BH9),1),""))</f>
        <v/>
      </c>
      <c r="BM9" s="177" t="n"/>
      <c r="BN9" s="177" t="n">
        <v>5</v>
      </c>
      <c r="BO9" s="177" t="n">
        <v>5</v>
      </c>
      <c r="BP9" s="177">
        <f>IF(MAESTRO!D9="","",MAESTRO!D9)</f>
        <v/>
      </c>
      <c r="BQ9" s="178" t="n"/>
      <c r="BR9" s="5" t="n">
        <v>4.5</v>
      </c>
      <c r="BS9" s="5" t="n">
        <v>3.9</v>
      </c>
      <c r="BT9" s="5" t="n">
        <v>3.6</v>
      </c>
      <c r="BU9" s="5" t="n">
        <v>4.7</v>
      </c>
      <c r="BV9" s="5" t="n">
        <v>3.2</v>
      </c>
      <c r="BW9" s="5" t="n">
        <v>4.2</v>
      </c>
      <c r="BX9" s="5" t="n">
        <v>4.9</v>
      </c>
      <c r="BY9" s="5" t="n">
        <v>4.9</v>
      </c>
      <c r="BZ9" s="5" t="n">
        <v>3</v>
      </c>
      <c r="CA9" s="5" t="n">
        <v>4.3</v>
      </c>
      <c r="CB9" s="5" t="n">
        <v>3.2</v>
      </c>
      <c r="CC9" s="5" t="n">
        <v>4.6</v>
      </c>
      <c r="CD9" s="5" t="n">
        <v>4.2</v>
      </c>
      <c r="CE9" s="5">
        <f>IF(MAESTRO!D9="","",IFERROR(TRUNC(AVERAGE(BR9:CD9),1),""))</f>
        <v/>
      </c>
      <c r="CF9" s="5" t="n">
        <v>4.4</v>
      </c>
      <c r="CG9" s="5" t="n">
        <v>3.4</v>
      </c>
      <c r="CH9" s="5" t="n">
        <v>4.7</v>
      </c>
      <c r="CI9" s="5" t="n">
        <v>4.3</v>
      </c>
      <c r="CJ9" s="5" t="n">
        <v>4.7</v>
      </c>
      <c r="CK9" s="5" t="n">
        <v>3.2</v>
      </c>
      <c r="CL9" s="5" t="n">
        <v>4.4</v>
      </c>
      <c r="CM9" s="5" t="n">
        <v>3.5</v>
      </c>
      <c r="CN9" s="5" t="n">
        <v>3.8</v>
      </c>
      <c r="CO9" s="5" t="n">
        <v>3.4</v>
      </c>
      <c r="CP9" s="5">
        <f>IF(MAESTRO!D9="","",IFERROR(TRUNC(AVERAGE(CF9:CO9),1),""))</f>
        <v/>
      </c>
      <c r="CQ9" s="5" t="n">
        <v>4.5</v>
      </c>
      <c r="CR9" s="5" t="n">
        <v>3.7</v>
      </c>
      <c r="CS9" s="5">
        <f>IF(MAESTRO!D9="","",IFERROR(AVERAGE(CQ9:CR9),""))</f>
        <v/>
      </c>
      <c r="CT9" s="5">
        <f>IF(MAESTRO!D9="","",IFERROR(TRUNC(AVERAGE(CE9,CP9,CS9),1),""))</f>
        <v/>
      </c>
      <c r="CU9" s="177" t="n"/>
      <c r="CV9" s="55"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v>3.1</v>
      </c>
      <c r="D10" s="5" t="n">
        <v>4</v>
      </c>
      <c r="E10" s="5" t="n">
        <v>4.2</v>
      </c>
      <c r="F10" s="5" t="n">
        <v>3.1</v>
      </c>
      <c r="G10" s="5" t="n">
        <v>4.4</v>
      </c>
      <c r="H10" s="5" t="n">
        <v>3.5</v>
      </c>
      <c r="I10" s="5" t="n">
        <v>4.8</v>
      </c>
      <c r="J10" s="5" t="n">
        <v>4.8</v>
      </c>
      <c r="K10" s="5" t="n">
        <v>3.3</v>
      </c>
      <c r="L10" s="5" t="n">
        <v>4.5</v>
      </c>
      <c r="M10" s="5" t="n">
        <v>4.4</v>
      </c>
      <c r="N10" s="5" t="n">
        <v>4</v>
      </c>
      <c r="O10" s="5" t="n">
        <v>3.5</v>
      </c>
      <c r="P10" s="5">
        <f>IF(MAESTRO!D10="","",IFERROR(TRUNC(AVERAGE(C10:O10),1),""))</f>
        <v/>
      </c>
      <c r="Q10" s="40" t="n">
        <v>6</v>
      </c>
      <c r="R10" s="22" t="n">
        <v>3.5</v>
      </c>
      <c r="S10" s="22" t="n">
        <v>4.1</v>
      </c>
      <c r="T10" s="22" t="n">
        <v>3.3</v>
      </c>
      <c r="U10" s="22" t="n">
        <v>3.2</v>
      </c>
      <c r="V10" s="22" t="n">
        <v>4.1</v>
      </c>
      <c r="W10" s="22" t="n">
        <v>3.5</v>
      </c>
      <c r="X10" s="22" t="n">
        <v>4.4</v>
      </c>
      <c r="Y10" s="22" t="n">
        <v>4.9</v>
      </c>
      <c r="Z10" s="22" t="n">
        <v>3.4</v>
      </c>
      <c r="AA10" s="45">
        <f>IF(MAESTRO!D10="","",IFERROR(TRUNC(AVERAGE(R10:Z10),1),""))</f>
        <v/>
      </c>
      <c r="AB10" s="177" t="n">
        <v>3.7</v>
      </c>
      <c r="AC10" s="42" t="n">
        <v>3.8</v>
      </c>
      <c r="AD10" s="5">
        <f>IF(MAESTRO!D10="","",IFERROR(AVERAGE(AB10:AC10),""))</f>
        <v/>
      </c>
      <c r="AE10" s="44">
        <f>IF(MAESTRO!D10="","",IFERROR(TRUNC(AVERAGE(P10,AA10,AD10),1),""))</f>
        <v/>
      </c>
      <c r="AF10" s="177" t="n"/>
      <c r="AG10" s="177" t="n">
        <v>6</v>
      </c>
      <c r="AH10" s="177" t="n">
        <v>6</v>
      </c>
      <c r="AI10" s="177">
        <f>IF(MAESTRO!D10="","",MAESTRO!D10)</f>
        <v/>
      </c>
      <c r="AJ10" s="178" t="n"/>
      <c r="AK10" s="61" t="n">
        <v>3.6</v>
      </c>
      <c r="AL10" s="61" t="n">
        <v>4.2</v>
      </c>
      <c r="AM10" s="61" t="n">
        <v>3.4</v>
      </c>
      <c r="AN10" s="61" t="n">
        <v>4</v>
      </c>
      <c r="AO10" s="61" t="n">
        <v>3.5</v>
      </c>
      <c r="AP10" s="61" t="n">
        <v>3.5</v>
      </c>
      <c r="AQ10" s="61" t="n">
        <v>3.7</v>
      </c>
      <c r="AR10" s="61" t="n">
        <v>3.3</v>
      </c>
      <c r="AS10" s="61" t="n">
        <v>4.7</v>
      </c>
      <c r="AT10" s="61" t="n">
        <v>4.8</v>
      </c>
      <c r="AU10" s="61" t="n">
        <v>4.2</v>
      </c>
      <c r="AV10" s="61" t="n">
        <v>3.8</v>
      </c>
      <c r="AW10" s="5">
        <f>IF(MAESTRO!D10="","",IFERROR(TRUNC(AVERAGE(AK10:AV10),1),""))</f>
        <v/>
      </c>
      <c r="AX10" s="22" t="n">
        <v>3.3</v>
      </c>
      <c r="AY10" s="22" t="n">
        <v>4.6</v>
      </c>
      <c r="AZ10" s="22" t="n">
        <v>4.7</v>
      </c>
      <c r="BA10" s="22" t="n">
        <v>4.6</v>
      </c>
      <c r="BB10" s="22" t="n">
        <v>4.9</v>
      </c>
      <c r="BC10" s="22" t="n">
        <v>4.4</v>
      </c>
      <c r="BD10" s="22" t="n">
        <v>4.3</v>
      </c>
      <c r="BE10" s="22" t="n">
        <v>4.4</v>
      </c>
      <c r="BF10" s="22" t="n">
        <v>4.1</v>
      </c>
      <c r="BG10" s="52" t="n">
        <v>4.4</v>
      </c>
      <c r="BH10" s="5">
        <f>IF(MAESTRO!D10="","",IFERROR(TRUNC(AVERAGE(AX10:BG10),1),""))</f>
        <v/>
      </c>
      <c r="BI10" s="22" t="n">
        <v>4.8</v>
      </c>
      <c r="BJ10" s="22" t="n">
        <v>3.4</v>
      </c>
      <c r="BK10" s="22">
        <f>IF(MAESTRO!D10="","",IFERROR(AVERAGE(BI10:BJ10),""))</f>
        <v/>
      </c>
      <c r="BL10" s="5">
        <f>IF(MAESTRO!D10="","",IFERROR(TRUNC(AVERAGE(AW10,BH10),1),""))</f>
        <v/>
      </c>
      <c r="BM10" s="177" t="n"/>
      <c r="BN10" s="177" t="n">
        <v>6</v>
      </c>
      <c r="BO10" s="177" t="n">
        <v>6</v>
      </c>
      <c r="BP10" s="177">
        <f>IF(MAESTRO!D10="","",MAESTRO!D10)</f>
        <v/>
      </c>
      <c r="BQ10" s="178" t="n"/>
      <c r="BR10" s="5" t="n">
        <v>4.5</v>
      </c>
      <c r="BS10" s="5" t="n">
        <v>4.6</v>
      </c>
      <c r="BT10" s="5" t="n">
        <v>3.9</v>
      </c>
      <c r="BU10" s="5" t="n">
        <v>3.2</v>
      </c>
      <c r="BV10" s="5" t="n">
        <v>5</v>
      </c>
      <c r="BW10" s="5" t="n">
        <v>4.1</v>
      </c>
      <c r="BX10" s="5" t="n">
        <v>4.1</v>
      </c>
      <c r="BY10" s="5" t="n">
        <v>3.2</v>
      </c>
      <c r="BZ10" s="5" t="n">
        <v>3.6</v>
      </c>
      <c r="CA10" s="5" t="n">
        <v>3</v>
      </c>
      <c r="CB10" s="5" t="n">
        <v>3.2</v>
      </c>
      <c r="CC10" s="5" t="n">
        <v>4.5</v>
      </c>
      <c r="CD10" s="5" t="n">
        <v>4.3</v>
      </c>
      <c r="CE10" s="5">
        <f>IF(MAESTRO!D10="","",IFERROR(TRUNC(AVERAGE(BR10:CD10),1),""))</f>
        <v/>
      </c>
      <c r="CF10" s="5" t="n">
        <v>3.8</v>
      </c>
      <c r="CG10" s="5" t="n">
        <v>4.9</v>
      </c>
      <c r="CH10" s="5" t="n">
        <v>3.2</v>
      </c>
      <c r="CI10" s="5" t="n">
        <v>3.1</v>
      </c>
      <c r="CJ10" s="5" t="n">
        <v>3.3</v>
      </c>
      <c r="CK10" s="5" t="n">
        <v>4.6</v>
      </c>
      <c r="CL10" s="5" t="n">
        <v>5</v>
      </c>
      <c r="CM10" s="5" t="n">
        <v>4.5</v>
      </c>
      <c r="CN10" s="5" t="n">
        <v>4</v>
      </c>
      <c r="CO10" s="5" t="n">
        <v>4.3</v>
      </c>
      <c r="CP10" s="5">
        <f>IF(MAESTRO!D10="","",IFERROR(TRUNC(AVERAGE(CF10:CO10),1),""))</f>
        <v/>
      </c>
      <c r="CQ10" s="5" t="n">
        <v>3.9</v>
      </c>
      <c r="CR10" s="5" t="n">
        <v>4.5</v>
      </c>
      <c r="CS10" s="5">
        <f>IF(MAESTRO!D10="","",IFERROR(AVERAGE(CQ10:CR10),""))</f>
        <v/>
      </c>
      <c r="CT10" s="5">
        <f>IF(MAESTRO!D10="","",IFERROR(TRUNC(AVERAGE(CE10,CP10,CS10),1),""))</f>
        <v/>
      </c>
      <c r="CU10" s="177" t="n"/>
      <c r="CV10" s="55"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v>3.1</v>
      </c>
      <c r="D11" s="5" t="n">
        <v>4</v>
      </c>
      <c r="E11" s="5" t="n">
        <v>3.2</v>
      </c>
      <c r="F11" s="5" t="n">
        <v>3.6</v>
      </c>
      <c r="G11" s="5" t="n">
        <v>3.6</v>
      </c>
      <c r="H11" s="5" t="n">
        <v>4.6</v>
      </c>
      <c r="I11" s="5" t="n">
        <v>3.9</v>
      </c>
      <c r="J11" s="5" t="n">
        <v>4.1</v>
      </c>
      <c r="K11" s="5" t="n">
        <v>4.4</v>
      </c>
      <c r="L11" s="5" t="n">
        <v>4</v>
      </c>
      <c r="M11" s="5" t="n">
        <v>4.4</v>
      </c>
      <c r="N11" s="5" t="n">
        <v>4.5</v>
      </c>
      <c r="O11" s="5" t="n">
        <v>3.6</v>
      </c>
      <c r="P11" s="5">
        <f>IF(MAESTRO!D11="","",IFERROR(TRUNC(AVERAGE(C11:O11),1),""))</f>
        <v/>
      </c>
      <c r="Q11" s="40" t="n">
        <v>7</v>
      </c>
      <c r="R11" s="22" t="n">
        <v>4</v>
      </c>
      <c r="S11" s="22" t="n">
        <v>3.4</v>
      </c>
      <c r="T11" s="22" t="n">
        <v>4.5</v>
      </c>
      <c r="U11" s="22" t="n">
        <v>3.4</v>
      </c>
      <c r="V11" s="22" t="n">
        <v>3.2</v>
      </c>
      <c r="W11" s="22" t="n">
        <v>4.8</v>
      </c>
      <c r="X11" s="22" t="n">
        <v>3.6</v>
      </c>
      <c r="Y11" s="22" t="n">
        <v>3.1</v>
      </c>
      <c r="Z11" s="22" t="n">
        <v>4</v>
      </c>
      <c r="AA11" s="45">
        <f>IF(MAESTRO!D11="","",IFERROR(TRUNC(AVERAGE(R11:Z11),1),""))</f>
        <v/>
      </c>
      <c r="AB11" s="177" t="n">
        <v>3.6</v>
      </c>
      <c r="AC11" s="42" t="n">
        <v>4.2</v>
      </c>
      <c r="AD11" s="5">
        <f>IF(MAESTRO!D11="","",IFERROR(AVERAGE(AB11:AC11),""))</f>
        <v/>
      </c>
      <c r="AE11" s="44">
        <f>IF(MAESTRO!D11="","",IFERROR(TRUNC(AVERAGE(P11,AA11,AD11),1),""))</f>
        <v/>
      </c>
      <c r="AF11" s="177" t="n"/>
      <c r="AG11" s="177" t="n">
        <v>7</v>
      </c>
      <c r="AH11" s="177" t="n">
        <v>7</v>
      </c>
      <c r="AI11" s="177">
        <f>IF(MAESTRO!D11="","",MAESTRO!D11)</f>
        <v/>
      </c>
      <c r="AJ11" s="178" t="n"/>
      <c r="AK11" s="61" t="n">
        <v>4</v>
      </c>
      <c r="AL11" s="61" t="n">
        <v>4.9</v>
      </c>
      <c r="AM11" s="61" t="n">
        <v>3.3</v>
      </c>
      <c r="AN11" s="61" t="n">
        <v>3.8</v>
      </c>
      <c r="AO11" s="61" t="n">
        <v>4.1</v>
      </c>
      <c r="AP11" s="61" t="n">
        <v>3.6</v>
      </c>
      <c r="AQ11" s="61" t="n">
        <v>3.8</v>
      </c>
      <c r="AR11" s="61" t="n">
        <v>3.8</v>
      </c>
      <c r="AS11" s="61" t="n">
        <v>4.2</v>
      </c>
      <c r="AT11" s="61" t="n">
        <v>3.8</v>
      </c>
      <c r="AU11" s="61" t="n">
        <v>3.9</v>
      </c>
      <c r="AV11" s="61" t="n">
        <v>3</v>
      </c>
      <c r="AW11" s="5">
        <f>IF(MAESTRO!D11="","",IFERROR(TRUNC(AVERAGE(AK11:AV11),1),""))</f>
        <v/>
      </c>
      <c r="AX11" s="22" t="n">
        <v>4.3</v>
      </c>
      <c r="AY11" s="22" t="n">
        <v>3.9</v>
      </c>
      <c r="AZ11" s="22" t="n">
        <v>4.1</v>
      </c>
      <c r="BA11" s="22" t="n">
        <v>3.5</v>
      </c>
      <c r="BB11" s="22" t="n">
        <v>4.2</v>
      </c>
      <c r="BC11" s="22" t="n">
        <v>3.2</v>
      </c>
      <c r="BD11" s="22" t="n">
        <v>4.5</v>
      </c>
      <c r="BE11" s="22" t="n">
        <v>3.5</v>
      </c>
      <c r="BF11" s="22" t="n">
        <v>4.3</v>
      </c>
      <c r="BG11" s="52" t="n">
        <v>4.8</v>
      </c>
      <c r="BH11" s="5">
        <f>IF(MAESTRO!D11="","",IFERROR(TRUNC(AVERAGE(AX11:BG11),1),""))</f>
        <v/>
      </c>
      <c r="BI11" s="22" t="n">
        <v>4.6</v>
      </c>
      <c r="BJ11" s="22" t="n">
        <v>3.8</v>
      </c>
      <c r="BK11" s="22">
        <f>IF(MAESTRO!D11="","",IFERROR(AVERAGE(BI11:BJ11),""))</f>
        <v/>
      </c>
      <c r="BL11" s="5">
        <f>IF(MAESTRO!D11="","",IFERROR(TRUNC(AVERAGE(AW11,BH11),1),""))</f>
        <v/>
      </c>
      <c r="BM11" s="177" t="n"/>
      <c r="BN11" s="177" t="n">
        <v>7</v>
      </c>
      <c r="BO11" s="177" t="n">
        <v>7</v>
      </c>
      <c r="BP11" s="177">
        <f>IF(MAESTRO!D11="","",MAESTRO!D11)</f>
        <v/>
      </c>
      <c r="BQ11" s="178" t="n"/>
      <c r="BR11" s="5" t="n">
        <v>4.7</v>
      </c>
      <c r="BS11" s="5" t="n">
        <v>4.8</v>
      </c>
      <c r="BT11" s="5" t="n">
        <v>4</v>
      </c>
      <c r="BU11" s="5" t="n">
        <v>3.9</v>
      </c>
      <c r="BV11" s="5" t="n">
        <v>4.9</v>
      </c>
      <c r="BW11" s="5" t="n">
        <v>3.8</v>
      </c>
      <c r="BX11" s="5" t="n">
        <v>3.6</v>
      </c>
      <c r="BY11" s="5" t="n">
        <v>4.1</v>
      </c>
      <c r="BZ11" s="5" t="n">
        <v>3.8</v>
      </c>
      <c r="CA11" s="5" t="n">
        <v>4.3</v>
      </c>
      <c r="CB11" s="5" t="n">
        <v>4.6</v>
      </c>
      <c r="CC11" s="5" t="n">
        <v>4.9</v>
      </c>
      <c r="CD11" s="5" t="n">
        <v>3.6</v>
      </c>
      <c r="CE11" s="5">
        <f>IF(MAESTRO!D11="","",IFERROR(TRUNC(AVERAGE(BR11:CD11),1),""))</f>
        <v/>
      </c>
      <c r="CF11" s="5" t="n">
        <v>4.7</v>
      </c>
      <c r="CG11" s="5" t="n">
        <v>4.2</v>
      </c>
      <c r="CH11" s="5" t="n">
        <v>4.8</v>
      </c>
      <c r="CI11" s="5" t="n">
        <v>3.5</v>
      </c>
      <c r="CJ11" s="5" t="n">
        <v>4.3</v>
      </c>
      <c r="CK11" s="5" t="n">
        <v>4.2</v>
      </c>
      <c r="CL11" s="5" t="n">
        <v>3.6</v>
      </c>
      <c r="CM11" s="5" t="n">
        <v>3.5</v>
      </c>
      <c r="CN11" s="5" t="n">
        <v>3.8</v>
      </c>
      <c r="CO11" s="5" t="n">
        <v>3.9</v>
      </c>
      <c r="CP11" s="5">
        <f>IF(MAESTRO!D11="","",IFERROR(TRUNC(AVERAGE(CF11:CO11),1),""))</f>
        <v/>
      </c>
      <c r="CQ11" s="5" t="n">
        <v>3.1</v>
      </c>
      <c r="CR11" s="5" t="n">
        <v>3.9</v>
      </c>
      <c r="CS11" s="5">
        <f>IF(MAESTRO!D11="","",IFERROR(AVERAGE(CQ11:CR11),""))</f>
        <v/>
      </c>
      <c r="CT11" s="5">
        <f>IF(MAESTRO!D11="","",IFERROR(TRUNC(AVERAGE(CE11,CP11,CS11),1),""))</f>
        <v/>
      </c>
      <c r="CU11" s="177" t="n"/>
      <c r="CV11" s="55"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v>3.6</v>
      </c>
      <c r="D12" s="5" t="n">
        <v>4.2</v>
      </c>
      <c r="E12" s="5" t="n">
        <v>3.6</v>
      </c>
      <c r="F12" s="5" t="n">
        <v>3.8</v>
      </c>
      <c r="G12" s="5" t="n">
        <v>4.7</v>
      </c>
      <c r="H12" s="5" t="n">
        <v>4.4</v>
      </c>
      <c r="I12" s="5" t="n">
        <v>4.2</v>
      </c>
      <c r="J12" s="5" t="n">
        <v>4.6</v>
      </c>
      <c r="K12" s="5" t="n">
        <v>3.6</v>
      </c>
      <c r="L12" s="5" t="n">
        <v>3.9</v>
      </c>
      <c r="M12" s="5" t="n">
        <v>4.7</v>
      </c>
      <c r="N12" s="5" t="n">
        <v>4.7</v>
      </c>
      <c r="O12" s="5" t="n">
        <v>3.8</v>
      </c>
      <c r="P12" s="5">
        <f>IF(MAESTRO!D12="","",IFERROR(TRUNC(AVERAGE(C12:O12),1),""))</f>
        <v/>
      </c>
      <c r="Q12" s="40" t="n">
        <v>8</v>
      </c>
      <c r="R12" s="22" t="n">
        <v>4.6</v>
      </c>
      <c r="S12" s="22" t="n">
        <v>3.5</v>
      </c>
      <c r="T12" s="22" t="n">
        <v>3.8</v>
      </c>
      <c r="U12" s="22" t="n">
        <v>3.3</v>
      </c>
      <c r="V12" s="22" t="n">
        <v>3.8</v>
      </c>
      <c r="W12" s="22" t="n">
        <v>3.8</v>
      </c>
      <c r="X12" s="22" t="n">
        <v>3.3</v>
      </c>
      <c r="Y12" s="22" t="n">
        <v>3.6</v>
      </c>
      <c r="Z12" s="22" t="n">
        <v>3.4</v>
      </c>
      <c r="AA12" s="45">
        <f>IF(MAESTRO!D12="","",IFERROR(TRUNC(AVERAGE(R12:Z12),1),""))</f>
        <v/>
      </c>
      <c r="AB12" s="177" t="n">
        <v>4.7</v>
      </c>
      <c r="AC12" s="42" t="n">
        <v>3.9</v>
      </c>
      <c r="AD12" s="5">
        <f>IF(MAESTRO!D12="","",IFERROR(AVERAGE(AB12:AC12),""))</f>
        <v/>
      </c>
      <c r="AE12" s="44">
        <f>IF(MAESTRO!D12="","",IFERROR(TRUNC(AVERAGE(P12,AA12,AD12),1),""))</f>
        <v/>
      </c>
      <c r="AF12" s="177" t="n"/>
      <c r="AG12" s="177" t="n">
        <v>8</v>
      </c>
      <c r="AH12" s="177" t="n">
        <v>8</v>
      </c>
      <c r="AI12" s="177">
        <f>IF(MAESTRO!D12="","",MAESTRO!D12)</f>
        <v/>
      </c>
      <c r="AJ12" s="178" t="n"/>
      <c r="AK12" s="61" t="n">
        <v>3.8</v>
      </c>
      <c r="AL12" s="61" t="n">
        <v>3.9</v>
      </c>
      <c r="AM12" s="61" t="n">
        <v>3.9</v>
      </c>
      <c r="AN12" s="61" t="n">
        <v>4.4</v>
      </c>
      <c r="AO12" s="61" t="n">
        <v>4.8</v>
      </c>
      <c r="AP12" s="61" t="n">
        <v>4.1</v>
      </c>
      <c r="AQ12" s="61" t="n">
        <v>4.4</v>
      </c>
      <c r="AR12" s="61" t="n">
        <v>4.7</v>
      </c>
      <c r="AS12" s="61" t="n">
        <v>3.2</v>
      </c>
      <c r="AT12" s="61" t="n">
        <v>4.6</v>
      </c>
      <c r="AU12" s="61" t="n">
        <v>3.8</v>
      </c>
      <c r="AV12" s="61" t="n">
        <v>3.5</v>
      </c>
      <c r="AW12" s="5">
        <f>IF(MAESTRO!D12="","",IFERROR(TRUNC(AVERAGE(AK12:AV12),1),""))</f>
        <v/>
      </c>
      <c r="AX12" s="22" t="n">
        <v>5</v>
      </c>
      <c r="AY12" s="22" t="n">
        <v>4.6</v>
      </c>
      <c r="AZ12" s="22" t="n">
        <v>3.1</v>
      </c>
      <c r="BA12" s="22" t="n">
        <v>3.6</v>
      </c>
      <c r="BB12" s="22" t="n">
        <v>4.1</v>
      </c>
      <c r="BC12" s="22" t="n">
        <v>3.8</v>
      </c>
      <c r="BD12" s="22" t="n">
        <v>4.4</v>
      </c>
      <c r="BE12" s="22" t="n">
        <v>3.1</v>
      </c>
      <c r="BF12" s="22" t="n">
        <v>3.6</v>
      </c>
      <c r="BG12" s="52" t="n">
        <v>3.9</v>
      </c>
      <c r="BH12" s="5">
        <f>IF(MAESTRO!D12="","",IFERROR(TRUNC(AVERAGE(AX12:BG12),1),""))</f>
        <v/>
      </c>
      <c r="BI12" s="22" t="n">
        <v>3.7</v>
      </c>
      <c r="BJ12" s="22" t="n">
        <v>4.6</v>
      </c>
      <c r="BK12" s="22">
        <f>IF(MAESTRO!D12="","",IFERROR(AVERAGE(BI12:BJ12),""))</f>
        <v/>
      </c>
      <c r="BL12" s="5">
        <f>IF(MAESTRO!D12="","",IFERROR(TRUNC(AVERAGE(AW12,BH12),1),""))</f>
        <v/>
      </c>
      <c r="BM12" s="177" t="n"/>
      <c r="BN12" s="177" t="n">
        <v>8</v>
      </c>
      <c r="BO12" s="177" t="n">
        <v>8</v>
      </c>
      <c r="BP12" s="177">
        <f>IF(MAESTRO!D12="","",MAESTRO!D12)</f>
        <v/>
      </c>
      <c r="BQ12" s="178" t="n"/>
      <c r="BR12" s="5" t="n">
        <v>4.6</v>
      </c>
      <c r="BS12" s="5" t="n">
        <v>4.4</v>
      </c>
      <c r="BT12" s="5" t="n">
        <v>3.4</v>
      </c>
      <c r="BU12" s="5" t="n">
        <v>4.6</v>
      </c>
      <c r="BV12" s="5" t="n">
        <v>4.6</v>
      </c>
      <c r="BW12" s="5" t="n">
        <v>4.7</v>
      </c>
      <c r="BX12" s="5" t="n">
        <v>4.4</v>
      </c>
      <c r="BY12" s="5" t="n">
        <v>3.1</v>
      </c>
      <c r="BZ12" s="5" t="n">
        <v>3.4</v>
      </c>
      <c r="CA12" s="5" t="n">
        <v>4.3</v>
      </c>
      <c r="CB12" s="5" t="n">
        <v>4.8</v>
      </c>
      <c r="CC12" s="5" t="n">
        <v>3.1</v>
      </c>
      <c r="CD12" s="5" t="n">
        <v>3</v>
      </c>
      <c r="CE12" s="5">
        <f>IF(MAESTRO!D12="","",IFERROR(TRUNC(AVERAGE(BR12:CD12),1),""))</f>
        <v/>
      </c>
      <c r="CF12" s="5" t="n">
        <v>3.5</v>
      </c>
      <c r="CG12" s="5" t="n">
        <v>3.6</v>
      </c>
      <c r="CH12" s="5" t="n">
        <v>3.5</v>
      </c>
      <c r="CI12" s="5" t="n">
        <v>3.3</v>
      </c>
      <c r="CJ12" s="5" t="n">
        <v>3.6</v>
      </c>
      <c r="CK12" s="5" t="n">
        <v>3.3</v>
      </c>
      <c r="CL12" s="5" t="n">
        <v>4</v>
      </c>
      <c r="CM12" s="5" t="n">
        <v>4.6</v>
      </c>
      <c r="CN12" s="5" t="n">
        <v>3.3</v>
      </c>
      <c r="CO12" s="5" t="n">
        <v>4.5</v>
      </c>
      <c r="CP12" s="5">
        <f>IF(MAESTRO!D12="","",IFERROR(TRUNC(AVERAGE(CF12:CO12),1),""))</f>
        <v/>
      </c>
      <c r="CQ12" s="5" t="n">
        <v>3.3</v>
      </c>
      <c r="CR12" s="5" t="n">
        <v>3.8</v>
      </c>
      <c r="CS12" s="5">
        <f>IF(MAESTRO!D12="","",IFERROR(AVERAGE(CQ12:CR12),""))</f>
        <v/>
      </c>
      <c r="CT12" s="5">
        <f>IF(MAESTRO!D12="","",IFERROR(TRUNC(AVERAGE(CE12,CP12,CS12),1),""))</f>
        <v/>
      </c>
      <c r="CU12" s="177" t="n"/>
      <c r="CV12" s="55"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v>3.3</v>
      </c>
      <c r="D13" s="5" t="n">
        <v>4</v>
      </c>
      <c r="E13" s="5" t="n">
        <v>3.2</v>
      </c>
      <c r="F13" s="5" t="n">
        <v>3.8</v>
      </c>
      <c r="G13" s="5" t="n">
        <v>4.4</v>
      </c>
      <c r="H13" s="5" t="n">
        <v>4.6</v>
      </c>
      <c r="I13" s="5" t="n">
        <v>4.9</v>
      </c>
      <c r="J13" s="5" t="n">
        <v>3.2</v>
      </c>
      <c r="K13" s="5" t="n">
        <v>4.1</v>
      </c>
      <c r="L13" s="5" t="n">
        <v>3.3</v>
      </c>
      <c r="M13" s="5" t="n">
        <v>3.6</v>
      </c>
      <c r="N13" s="5" t="n">
        <v>4</v>
      </c>
      <c r="O13" s="5" t="n">
        <v>4.2</v>
      </c>
      <c r="P13" s="5">
        <f>IF(MAESTRO!D13="","",IFERROR(TRUNC(AVERAGE(C13:O13),1),""))</f>
        <v/>
      </c>
      <c r="Q13" s="40" t="n">
        <v>9</v>
      </c>
      <c r="R13" s="22" t="n">
        <v>4.9</v>
      </c>
      <c r="S13" s="5" t="n">
        <v>4.4</v>
      </c>
      <c r="T13" s="5" t="n">
        <v>3.8</v>
      </c>
      <c r="U13" s="5" t="n">
        <v>4.1</v>
      </c>
      <c r="V13" s="5" t="n">
        <v>4.1</v>
      </c>
      <c r="W13" s="5" t="n">
        <v>4.7</v>
      </c>
      <c r="X13" s="5" t="n">
        <v>3</v>
      </c>
      <c r="Y13" s="5" t="n">
        <v>4.3</v>
      </c>
      <c r="Z13" s="5" t="n">
        <v>4.1</v>
      </c>
      <c r="AA13" s="45">
        <f>IF(MAESTRO!D13="","",IFERROR(TRUNC(AVERAGE(R13:Z13),1),""))</f>
        <v/>
      </c>
      <c r="AB13" s="5" t="n">
        <v>4.5</v>
      </c>
      <c r="AC13" s="5" t="n">
        <v>4.4</v>
      </c>
      <c r="AD13" s="5">
        <f>IF(MAESTRO!D13="","",IFERROR(AVERAGE(AB13:AC13),""))</f>
        <v/>
      </c>
      <c r="AE13" s="44">
        <f>IF(MAESTRO!D13="","",IFERROR(TRUNC(AVERAGE(P13,AA13,AD13),1),""))</f>
        <v/>
      </c>
      <c r="AF13" s="177" t="n"/>
      <c r="AG13" s="177" t="n">
        <v>9</v>
      </c>
      <c r="AH13" s="177" t="n">
        <v>9</v>
      </c>
      <c r="AI13" s="177">
        <f>IF(MAESTRO!D13="","",MAESTRO!D13)</f>
        <v/>
      </c>
      <c r="AJ13" s="178" t="n"/>
      <c r="AK13" s="42" t="n">
        <v>4.1</v>
      </c>
      <c r="AL13" s="42" t="n">
        <v>4.4</v>
      </c>
      <c r="AM13" s="42" t="n">
        <v>4.5</v>
      </c>
      <c r="AN13" s="42" t="n">
        <v>3.3</v>
      </c>
      <c r="AO13" s="42" t="n">
        <v>4.9</v>
      </c>
      <c r="AP13" s="42" t="n">
        <v>3.6</v>
      </c>
      <c r="AQ13" s="42" t="n">
        <v>4.1</v>
      </c>
      <c r="AR13" s="61" t="n">
        <v>3.7</v>
      </c>
      <c r="AS13" s="61" t="n">
        <v>4.5</v>
      </c>
      <c r="AT13" s="61" t="n">
        <v>3.8</v>
      </c>
      <c r="AU13" s="61" t="n">
        <v>3.6</v>
      </c>
      <c r="AV13" s="61" t="n">
        <v>4.8</v>
      </c>
      <c r="AW13" s="5">
        <f>IF(MAESTRO!D13="","",IFERROR(TRUNC(AVERAGE(AK13:AV13),1),""))</f>
        <v/>
      </c>
      <c r="AX13" s="63" t="n">
        <v>4.2</v>
      </c>
      <c r="AY13" s="22" t="n">
        <v>4.3</v>
      </c>
      <c r="AZ13" s="63" t="n">
        <v>4.8</v>
      </c>
      <c r="BA13" s="63" t="n">
        <v>3.8</v>
      </c>
      <c r="BB13" s="22" t="n">
        <v>3.9</v>
      </c>
      <c r="BC13" s="63" t="n">
        <v>4.3</v>
      </c>
      <c r="BD13" s="63" t="n">
        <v>4.5</v>
      </c>
      <c r="BE13" s="63" t="n">
        <v>4.5</v>
      </c>
      <c r="BF13" s="63" t="n">
        <v>4.7</v>
      </c>
      <c r="BG13" s="52" t="n">
        <v>4.8</v>
      </c>
      <c r="BH13" s="5">
        <f>IF(MAESTRO!D13="","",IFERROR(TRUNC(AVERAGE(AX13:BG13),1),""))</f>
        <v/>
      </c>
      <c r="BI13" s="22" t="n">
        <v>4.1</v>
      </c>
      <c r="BJ13" s="22" t="n">
        <v>4.7</v>
      </c>
      <c r="BK13" s="22">
        <f>IF(MAESTRO!D13="","",IFERROR(AVERAGE(BI13:BJ13),""))</f>
        <v/>
      </c>
      <c r="BL13" s="5">
        <f>IF(MAESTRO!D13="","",IFERROR(TRUNC(AVERAGE(AW13,BH13),1),""))</f>
        <v/>
      </c>
      <c r="BM13" s="177" t="n"/>
      <c r="BN13" s="177" t="n">
        <v>9</v>
      </c>
      <c r="BO13" s="177" t="n">
        <v>9</v>
      </c>
      <c r="BP13" s="177">
        <f>IF(MAESTRO!D13="","",MAESTRO!D13)</f>
        <v/>
      </c>
      <c r="BQ13" s="178" t="n"/>
      <c r="BR13" s="5" t="n">
        <v>4.8</v>
      </c>
      <c r="BS13" s="5" t="n">
        <v>3.5</v>
      </c>
      <c r="BT13" s="5" t="n">
        <v>3.2</v>
      </c>
      <c r="BU13" s="5" t="n">
        <v>4.8</v>
      </c>
      <c r="BV13" s="5" t="n">
        <v>4.3</v>
      </c>
      <c r="BW13" s="5" t="n">
        <v>4.9</v>
      </c>
      <c r="BX13" s="5" t="n">
        <v>3.3</v>
      </c>
      <c r="BY13" s="5" t="n">
        <v>3.5</v>
      </c>
      <c r="BZ13" s="5" t="n">
        <v>4.3</v>
      </c>
      <c r="CA13" s="5" t="n">
        <v>3.9</v>
      </c>
      <c r="CB13" s="5" t="n">
        <v>3.5</v>
      </c>
      <c r="CC13" s="5" t="n">
        <v>3.1</v>
      </c>
      <c r="CD13" s="5" t="n">
        <v>5</v>
      </c>
      <c r="CE13" s="5">
        <f>IF(MAESTRO!D13="","",IFERROR(TRUNC(AVERAGE(BR13:CD13),1),""))</f>
        <v/>
      </c>
      <c r="CF13" s="5" t="n">
        <v>4.4</v>
      </c>
      <c r="CG13" s="5" t="n">
        <v>4.8</v>
      </c>
      <c r="CH13" s="5" t="n">
        <v>4.7</v>
      </c>
      <c r="CI13" s="5" t="n">
        <v>4.4</v>
      </c>
      <c r="CJ13" s="5" t="n">
        <v>3.5</v>
      </c>
      <c r="CK13" s="5" t="n">
        <v>5</v>
      </c>
      <c r="CL13" s="5" t="n">
        <v>3.1</v>
      </c>
      <c r="CM13" s="5" t="n">
        <v>4</v>
      </c>
      <c r="CN13" s="5" t="n">
        <v>4.3</v>
      </c>
      <c r="CO13" s="5" t="n">
        <v>4.1</v>
      </c>
      <c r="CP13" s="5">
        <f>IF(MAESTRO!D13="","",IFERROR(TRUNC(AVERAGE(CF13:CO13),1),""))</f>
        <v/>
      </c>
      <c r="CQ13" s="5" t="n">
        <v>4</v>
      </c>
      <c r="CR13" s="5" t="n">
        <v>3.4</v>
      </c>
      <c r="CS13" s="5">
        <f>IF(MAESTRO!D13="","",IFERROR(AVERAGE(CQ13:CR13),""))</f>
        <v/>
      </c>
      <c r="CT13" s="5">
        <f>IF(MAESTRO!D13="","",IFERROR(TRUNC(AVERAGE(CE13,CP13,CS13),1),""))</f>
        <v/>
      </c>
      <c r="CU13" s="177" t="n"/>
      <c r="CV13" s="55"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v>3.7</v>
      </c>
      <c r="D14" s="5" t="n">
        <v>3.8</v>
      </c>
      <c r="E14" s="5" t="n">
        <v>4.9</v>
      </c>
      <c r="F14" s="5" t="n">
        <v>3.4</v>
      </c>
      <c r="G14" s="5" t="n">
        <v>3.8</v>
      </c>
      <c r="H14" s="5" t="n">
        <v>4.8</v>
      </c>
      <c r="I14" s="5" t="n">
        <v>4.2</v>
      </c>
      <c r="J14" s="5" t="n">
        <v>4.8</v>
      </c>
      <c r="K14" s="5" t="n">
        <v>3.4</v>
      </c>
      <c r="L14" s="5" t="n">
        <v>3.1</v>
      </c>
      <c r="M14" s="5" t="n">
        <v>4.5</v>
      </c>
      <c r="N14" s="5" t="n">
        <v>3.2</v>
      </c>
      <c r="O14" s="5" t="n">
        <v>4</v>
      </c>
      <c r="P14" s="5">
        <f>IF(MAESTRO!D14="","",IFERROR(TRUNC(AVERAGE(C14:O14),1),""))</f>
        <v/>
      </c>
      <c r="Q14" s="40" t="n">
        <v>10</v>
      </c>
      <c r="R14" s="22" t="n">
        <v>4.2</v>
      </c>
      <c r="S14" s="22" t="n">
        <v>4.2</v>
      </c>
      <c r="T14" s="22" t="n">
        <v>3.7</v>
      </c>
      <c r="U14" s="22" t="n">
        <v>4</v>
      </c>
      <c r="V14" s="22" t="n">
        <v>4.1</v>
      </c>
      <c r="W14" s="22" t="n">
        <v>3.5</v>
      </c>
      <c r="X14" s="22" t="n">
        <v>3.2</v>
      </c>
      <c r="Y14" s="22" t="n">
        <v>3.6</v>
      </c>
      <c r="Z14" s="22" t="n">
        <v>3.5</v>
      </c>
      <c r="AA14" s="45">
        <f>IF(MAESTRO!D14="","",IFERROR(TRUNC(AVERAGE(R14:Z14),1),""))</f>
        <v/>
      </c>
      <c r="AB14" s="177" t="n">
        <v>3.7</v>
      </c>
      <c r="AC14" s="42" t="n">
        <v>4.5</v>
      </c>
      <c r="AD14" s="5">
        <f>IF(MAESTRO!D14="","",IFERROR(AVERAGE(AB14:AC14),""))</f>
        <v/>
      </c>
      <c r="AE14" s="44">
        <f>IF(MAESTRO!D14="","",IFERROR(TRUNC(AVERAGE(P14,AA14,AD14),1),""))</f>
        <v/>
      </c>
      <c r="AF14" s="177" t="n"/>
      <c r="AG14" s="177" t="n">
        <v>10</v>
      </c>
      <c r="AH14" s="177" t="n">
        <v>10</v>
      </c>
      <c r="AI14" s="177">
        <f>IF(MAESTRO!D14="","",MAESTRO!D14)</f>
        <v/>
      </c>
      <c r="AJ14" s="178" t="n"/>
      <c r="AK14" s="61" t="n">
        <v>4.4</v>
      </c>
      <c r="AL14" s="61" t="n">
        <v>4.1</v>
      </c>
      <c r="AM14" s="61" t="n">
        <v>3.6</v>
      </c>
      <c r="AN14" s="61" t="n">
        <v>3.5</v>
      </c>
      <c r="AO14" s="61" t="n">
        <v>3.9</v>
      </c>
      <c r="AP14" s="61" t="n">
        <v>3.7</v>
      </c>
      <c r="AQ14" s="61" t="n">
        <v>4.6</v>
      </c>
      <c r="AR14" s="61" t="n">
        <v>5</v>
      </c>
      <c r="AS14" s="61" t="n">
        <v>4.2</v>
      </c>
      <c r="AT14" s="61" t="n">
        <v>3.6</v>
      </c>
      <c r="AU14" s="61" t="n">
        <v>3</v>
      </c>
      <c r="AV14" s="61" t="n">
        <v>3.2</v>
      </c>
      <c r="AW14" s="5">
        <f>IF(MAESTRO!D14="","",IFERROR(TRUNC(AVERAGE(AK14:AV14),1),""))</f>
        <v/>
      </c>
      <c r="AX14" s="22" t="n">
        <v>3</v>
      </c>
      <c r="AY14" s="22" t="n">
        <v>4.1</v>
      </c>
      <c r="AZ14" s="22" t="n">
        <v>3.7</v>
      </c>
      <c r="BA14" s="22" t="n">
        <v>3.1</v>
      </c>
      <c r="BB14" s="22" t="n">
        <v>3.2</v>
      </c>
      <c r="BC14" s="22" t="n">
        <v>4</v>
      </c>
      <c r="BD14" s="22" t="n">
        <v>3.2</v>
      </c>
      <c r="BE14" s="22" t="n">
        <v>3.5</v>
      </c>
      <c r="BF14" s="22" t="n">
        <v>4.1</v>
      </c>
      <c r="BG14" s="52" t="n">
        <v>4.1</v>
      </c>
      <c r="BH14" s="5">
        <f>IF(MAESTRO!D14="","",IFERROR(TRUNC(AVERAGE(AX14:BG14),1),""))</f>
        <v/>
      </c>
      <c r="BI14" s="22" t="n">
        <v>4.1</v>
      </c>
      <c r="BJ14" s="22" t="n">
        <v>3.3</v>
      </c>
      <c r="BK14" s="22">
        <f>IF(MAESTRO!D14="","",IFERROR(AVERAGE(BI14:BJ14),""))</f>
        <v/>
      </c>
      <c r="BL14" s="5">
        <f>IF(MAESTRO!D14="","",IFERROR(TRUNC(AVERAGE(AW14,BH14),1),""))</f>
        <v/>
      </c>
      <c r="BM14" s="177" t="n"/>
      <c r="BN14" s="177" t="n">
        <v>10</v>
      </c>
      <c r="BO14" s="177" t="n">
        <v>10</v>
      </c>
      <c r="BP14" s="177">
        <f>IF(MAESTRO!D14="","",MAESTRO!D14)</f>
        <v/>
      </c>
      <c r="BQ14" s="178" t="n"/>
      <c r="BR14" s="5" t="n">
        <v>4.6</v>
      </c>
      <c r="BS14" s="5" t="n">
        <v>3.2</v>
      </c>
      <c r="BT14" s="5" t="n">
        <v>4.6</v>
      </c>
      <c r="BU14" s="5" t="n">
        <v>4.8</v>
      </c>
      <c r="BV14" s="5" t="n">
        <v>3.7</v>
      </c>
      <c r="BW14" s="5" t="n">
        <v>3.2</v>
      </c>
      <c r="BX14" s="5" t="n">
        <v>4.4</v>
      </c>
      <c r="BY14" s="5" t="n">
        <v>5</v>
      </c>
      <c r="BZ14" s="5" t="n">
        <v>3.9</v>
      </c>
      <c r="CA14" s="5" t="n">
        <v>3.1</v>
      </c>
      <c r="CB14" s="5" t="n">
        <v>4.1</v>
      </c>
      <c r="CC14" s="5" t="n">
        <v>4.6</v>
      </c>
      <c r="CD14" s="5" t="n">
        <v>4.3</v>
      </c>
      <c r="CE14" s="5">
        <f>IF(MAESTRO!D14="","",IFERROR(TRUNC(AVERAGE(BR14:CD14),1),""))</f>
        <v/>
      </c>
      <c r="CF14" s="5" t="n">
        <v>3.8</v>
      </c>
      <c r="CG14" s="5" t="n">
        <v>4.6</v>
      </c>
      <c r="CH14" s="5" t="n">
        <v>4.3</v>
      </c>
      <c r="CI14" s="5" t="n">
        <v>3.9</v>
      </c>
      <c r="CJ14" s="5" t="n">
        <v>4</v>
      </c>
      <c r="CK14" s="5" t="n">
        <v>3.4</v>
      </c>
      <c r="CL14" s="5" t="n">
        <v>5</v>
      </c>
      <c r="CM14" s="5" t="n">
        <v>3.9</v>
      </c>
      <c r="CN14" s="5" t="n">
        <v>4.4</v>
      </c>
      <c r="CO14" s="5" t="n">
        <v>3.2</v>
      </c>
      <c r="CP14" s="5">
        <f>IF(MAESTRO!D14="","",IFERROR(TRUNC(AVERAGE(CF14:CO14),1),""))</f>
        <v/>
      </c>
      <c r="CQ14" s="5" t="n">
        <v>3.6</v>
      </c>
      <c r="CR14" s="5" t="n">
        <v>3</v>
      </c>
      <c r="CS14" s="5">
        <f>IF(MAESTRO!D14="","",IFERROR(AVERAGE(CQ14:CR14),""))</f>
        <v/>
      </c>
      <c r="CT14" s="5">
        <f>IF(MAESTRO!D14="","",IFERROR(TRUNC(AVERAGE(CE14,CP14,CS14),1),""))</f>
        <v/>
      </c>
      <c r="CU14" s="177" t="n"/>
      <c r="CV14" s="55"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v>3.7</v>
      </c>
      <c r="D15" s="5" t="n">
        <v>4.7</v>
      </c>
      <c r="E15" s="5" t="n">
        <v>3.5</v>
      </c>
      <c r="F15" s="5" t="n">
        <v>3.4</v>
      </c>
      <c r="G15" s="5" t="n">
        <v>4.2</v>
      </c>
      <c r="H15" s="5" t="n">
        <v>4</v>
      </c>
      <c r="I15" s="5" t="n">
        <v>3.9</v>
      </c>
      <c r="J15" s="5" t="n">
        <v>3.3</v>
      </c>
      <c r="K15" s="5" t="n">
        <v>3.3</v>
      </c>
      <c r="L15" s="5" t="n">
        <v>4.3</v>
      </c>
      <c r="M15" s="5" t="n">
        <v>3.7</v>
      </c>
      <c r="N15" s="5" t="n">
        <v>4.1</v>
      </c>
      <c r="O15" s="5" t="n">
        <v>4.9</v>
      </c>
      <c r="P15" s="5">
        <f>IF(MAESTRO!D15="","",IFERROR(TRUNC(AVERAGE(C15:O15),1),""))</f>
        <v/>
      </c>
      <c r="Q15" s="40" t="n">
        <v>11</v>
      </c>
      <c r="R15" s="22" t="n">
        <v>4.5</v>
      </c>
      <c r="S15" s="22" t="n">
        <v>5</v>
      </c>
      <c r="T15" s="22" t="n">
        <v>4.2</v>
      </c>
      <c r="U15" s="22" t="n">
        <v>3.7</v>
      </c>
      <c r="V15" s="22" t="n">
        <v>4.4</v>
      </c>
      <c r="W15" s="22" t="n">
        <v>3.4</v>
      </c>
      <c r="X15" s="22" t="n">
        <v>4.6</v>
      </c>
      <c r="Y15" s="22" t="n">
        <v>3.4</v>
      </c>
      <c r="Z15" s="22" t="n">
        <v>4.9</v>
      </c>
      <c r="AA15" s="45">
        <f>IF(MAESTRO!D15="","",IFERROR(TRUNC(AVERAGE(R15:Z15),1),""))</f>
        <v/>
      </c>
      <c r="AB15" s="177" t="n">
        <v>3.6</v>
      </c>
      <c r="AC15" s="42" t="n">
        <v>4.1</v>
      </c>
      <c r="AD15" s="5">
        <f>IF(MAESTRO!D15="","",IFERROR(AVERAGE(AB15:AC15),""))</f>
        <v/>
      </c>
      <c r="AE15" s="44">
        <f>IF(MAESTRO!D15="","",IFERROR(TRUNC(AVERAGE(P15,AA15,AD15),1),""))</f>
        <v/>
      </c>
      <c r="AF15" s="177" t="n"/>
      <c r="AG15" s="177" t="n">
        <v>11</v>
      </c>
      <c r="AH15" s="177" t="n">
        <v>11</v>
      </c>
      <c r="AI15" s="177">
        <f>IF(MAESTRO!D15="","",MAESTRO!D15)</f>
        <v/>
      </c>
      <c r="AJ15" s="178" t="n"/>
      <c r="AK15" s="61" t="n">
        <v>3.1</v>
      </c>
      <c r="AL15" s="61" t="n">
        <v>4.8</v>
      </c>
      <c r="AM15" s="61" t="n">
        <v>3.3</v>
      </c>
      <c r="AN15" s="61" t="n">
        <v>4.8</v>
      </c>
      <c r="AO15" s="61" t="n">
        <v>4.9</v>
      </c>
      <c r="AP15" s="61" t="n">
        <v>4.2</v>
      </c>
      <c r="AQ15" s="61" t="n">
        <v>4.7</v>
      </c>
      <c r="AR15" s="61" t="n">
        <v>4.2</v>
      </c>
      <c r="AS15" s="61" t="n">
        <v>3.8</v>
      </c>
      <c r="AT15" s="61" t="n">
        <v>3.4</v>
      </c>
      <c r="AU15" s="61" t="n">
        <v>4.4</v>
      </c>
      <c r="AV15" s="61" t="n">
        <v>4.8</v>
      </c>
      <c r="AW15" s="5">
        <f>IF(MAESTRO!D15="","",IFERROR(TRUNC(AVERAGE(AK15:AV15),1),""))</f>
        <v/>
      </c>
      <c r="AX15" s="22" t="n">
        <v>4.9</v>
      </c>
      <c r="AY15" s="22" t="n">
        <v>4.3</v>
      </c>
      <c r="AZ15" s="22" t="n">
        <v>4.1</v>
      </c>
      <c r="BA15" s="22" t="n">
        <v>4.9</v>
      </c>
      <c r="BB15" s="22" t="n">
        <v>3.8</v>
      </c>
      <c r="BC15" s="22" t="n">
        <v>4.8</v>
      </c>
      <c r="BD15" s="22" t="n">
        <v>3.5</v>
      </c>
      <c r="BE15" s="22" t="n">
        <v>4.5</v>
      </c>
      <c r="BF15" s="22" t="n">
        <v>3.4</v>
      </c>
      <c r="BG15" s="52" t="n">
        <v>3.6</v>
      </c>
      <c r="BH15" s="5">
        <f>IF(MAESTRO!D15="","",IFERROR(TRUNC(AVERAGE(AX15:BG15),1),""))</f>
        <v/>
      </c>
      <c r="BI15" s="22" t="n">
        <v>3.8</v>
      </c>
      <c r="BJ15" s="22" t="n">
        <v>3.6</v>
      </c>
      <c r="BK15" s="22">
        <f>IF(MAESTRO!D15="","",IFERROR(AVERAGE(BI15:BJ15),""))</f>
        <v/>
      </c>
      <c r="BL15" s="5">
        <f>IF(MAESTRO!D15="","",IFERROR(TRUNC(AVERAGE(AW15,BH15),1),""))</f>
        <v/>
      </c>
      <c r="BM15" s="177" t="n"/>
      <c r="BN15" s="177" t="n">
        <v>11</v>
      </c>
      <c r="BO15" s="177" t="n">
        <v>11</v>
      </c>
      <c r="BP15" s="177">
        <f>IF(MAESTRO!D15="","",MAESTRO!D15)</f>
        <v/>
      </c>
      <c r="BQ15" s="178" t="n"/>
      <c r="BR15" s="5" t="n">
        <v>3.8</v>
      </c>
      <c r="BS15" s="5" t="n">
        <v>4.9</v>
      </c>
      <c r="BT15" s="5" t="n">
        <v>3.2</v>
      </c>
      <c r="BU15" s="5" t="n">
        <v>3.5</v>
      </c>
      <c r="BV15" s="5" t="n">
        <v>4</v>
      </c>
      <c r="BW15" s="5" t="n">
        <v>3.9</v>
      </c>
      <c r="BX15" s="5" t="n">
        <v>3.9</v>
      </c>
      <c r="BY15" s="5" t="n">
        <v>4.2</v>
      </c>
      <c r="BZ15" s="5" t="n">
        <v>4.1</v>
      </c>
      <c r="CA15" s="5" t="n">
        <v>3</v>
      </c>
      <c r="CB15" s="5" t="n">
        <v>3.8</v>
      </c>
      <c r="CC15" s="5" t="n">
        <v>3.3</v>
      </c>
      <c r="CD15" s="5" t="n">
        <v>3.6</v>
      </c>
      <c r="CE15" s="5">
        <f>IF(MAESTRO!D15="","",IFERROR(TRUNC(AVERAGE(BR15:CD15),1),""))</f>
        <v/>
      </c>
      <c r="CF15" s="5" t="n">
        <v>3.6</v>
      </c>
      <c r="CG15" s="5" t="n">
        <v>3.8</v>
      </c>
      <c r="CH15" s="5" t="n">
        <v>3.6</v>
      </c>
      <c r="CI15" s="5" t="n">
        <v>3.5</v>
      </c>
      <c r="CJ15" s="5" t="n">
        <v>4.1</v>
      </c>
      <c r="CK15" s="5" t="n">
        <v>3.6</v>
      </c>
      <c r="CL15" s="5" t="n">
        <v>3.3</v>
      </c>
      <c r="CM15" s="5" t="n">
        <v>3.6</v>
      </c>
      <c r="CN15" s="5" t="n">
        <v>3.5</v>
      </c>
      <c r="CO15" s="5" t="n">
        <v>3.9</v>
      </c>
      <c r="CP15" s="5">
        <f>IF(MAESTRO!D15="","",IFERROR(TRUNC(AVERAGE(CF15:CO15),1),""))</f>
        <v/>
      </c>
      <c r="CQ15" s="5" t="n">
        <v>3.9</v>
      </c>
      <c r="CR15" s="5" t="n">
        <v>4.2</v>
      </c>
      <c r="CS15" s="5">
        <f>IF(MAESTRO!D15="","",IFERROR(AVERAGE(CQ15:CR15),""))</f>
        <v/>
      </c>
      <c r="CT15" s="5">
        <f>IF(MAESTRO!D15="","",IFERROR(TRUNC(AVERAGE(CE15,CP15,CS15),1),""))</f>
        <v/>
      </c>
      <c r="CU15" s="177" t="n"/>
      <c r="CV15" s="55"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v>5</v>
      </c>
      <c r="D16" s="5" t="n">
        <v>4.1</v>
      </c>
      <c r="E16" s="5" t="n">
        <v>3.4</v>
      </c>
      <c r="F16" s="5" t="n">
        <v>4.3</v>
      </c>
      <c r="G16" s="5" t="n">
        <v>3.6</v>
      </c>
      <c r="H16" s="5" t="n">
        <v>3.5</v>
      </c>
      <c r="I16" s="5" t="n">
        <v>3</v>
      </c>
      <c r="J16" s="5" t="n">
        <v>4.1</v>
      </c>
      <c r="K16" s="5" t="n">
        <v>4.4</v>
      </c>
      <c r="L16" s="5" t="n">
        <v>3.7</v>
      </c>
      <c r="M16" s="5" t="n">
        <v>4.6</v>
      </c>
      <c r="N16" s="5" t="n">
        <v>4.1</v>
      </c>
      <c r="O16" s="5" t="n">
        <v>4.2</v>
      </c>
      <c r="P16" s="5">
        <f>IF(MAESTRO!D16="","",IFERROR(TRUNC(AVERAGE(C16:O16),1),""))</f>
        <v/>
      </c>
      <c r="Q16" s="40" t="n">
        <v>12</v>
      </c>
      <c r="R16" s="22" t="n">
        <v>4.4</v>
      </c>
      <c r="S16" s="22" t="n">
        <v>3.4</v>
      </c>
      <c r="T16" s="22" t="n">
        <v>4.7</v>
      </c>
      <c r="U16" s="22" t="n">
        <v>4.3</v>
      </c>
      <c r="V16" s="22" t="n">
        <v>3.9</v>
      </c>
      <c r="W16" s="22" t="n">
        <v>3.1</v>
      </c>
      <c r="X16" s="22" t="n">
        <v>4.6</v>
      </c>
      <c r="Y16" s="22" t="n">
        <v>3.8</v>
      </c>
      <c r="Z16" s="22" t="n">
        <v>3.7</v>
      </c>
      <c r="AA16" s="45">
        <f>IF(MAESTRO!D16="","",IFERROR(TRUNC(AVERAGE(R16:Z16),1),""))</f>
        <v/>
      </c>
      <c r="AB16" s="177" t="n">
        <v>3.1</v>
      </c>
      <c r="AC16" s="42" t="n">
        <v>3.1</v>
      </c>
      <c r="AD16" s="5">
        <f>IF(MAESTRO!D16="","",IFERROR(AVERAGE(AB16:AC16),""))</f>
        <v/>
      </c>
      <c r="AE16" s="44">
        <f>IF(MAESTRO!D16="","",IFERROR(TRUNC(AVERAGE(P16,AA16,AD16),1),""))</f>
        <v/>
      </c>
      <c r="AF16" s="177" t="n"/>
      <c r="AG16" s="177" t="n">
        <v>12</v>
      </c>
      <c r="AH16" s="177" t="n">
        <v>12</v>
      </c>
      <c r="AI16" s="177">
        <f>IF(MAESTRO!D16="","",MAESTRO!D16)</f>
        <v/>
      </c>
      <c r="AJ16" s="178" t="n"/>
      <c r="AK16" s="61" t="n">
        <v>3.6</v>
      </c>
      <c r="AL16" s="61" t="n">
        <v>4.4</v>
      </c>
      <c r="AM16" s="61" t="n">
        <v>4.1</v>
      </c>
      <c r="AN16" s="61" t="n">
        <v>3.1</v>
      </c>
      <c r="AO16" s="61" t="n">
        <v>3.7</v>
      </c>
      <c r="AP16" s="61" t="n">
        <v>4.2</v>
      </c>
      <c r="AQ16" s="61" t="n">
        <v>3.1</v>
      </c>
      <c r="AR16" s="61" t="n">
        <v>4.2</v>
      </c>
      <c r="AS16" s="61" t="n">
        <v>3.2</v>
      </c>
      <c r="AT16" s="61" t="n">
        <v>4.9</v>
      </c>
      <c r="AU16" s="61" t="n">
        <v>4.1</v>
      </c>
      <c r="AV16" s="61" t="n">
        <v>3.7</v>
      </c>
      <c r="AW16" s="5">
        <f>IF(MAESTRO!D16="","",IFERROR(TRUNC(AVERAGE(AK16:AV16),1),""))</f>
        <v/>
      </c>
      <c r="AX16" s="22" t="n">
        <v>3.2</v>
      </c>
      <c r="AY16" s="22" t="n">
        <v>4.5</v>
      </c>
      <c r="AZ16" s="22" t="n">
        <v>3.7</v>
      </c>
      <c r="BA16" s="22" t="n">
        <v>4.2</v>
      </c>
      <c r="BB16" s="22" t="n">
        <v>3.9</v>
      </c>
      <c r="BC16" s="22" t="n">
        <v>4.8</v>
      </c>
      <c r="BD16" s="22" t="n">
        <v>3.7</v>
      </c>
      <c r="BE16" s="22" t="n">
        <v>3.9</v>
      </c>
      <c r="BF16" s="22" t="n">
        <v>3.5</v>
      </c>
      <c r="BG16" s="52" t="n">
        <v>4.6</v>
      </c>
      <c r="BH16" s="5">
        <f>IF(MAESTRO!D16="","",IFERROR(TRUNC(AVERAGE(AX16:BG16),1),""))</f>
        <v/>
      </c>
      <c r="BI16" s="22" t="n">
        <v>4.1</v>
      </c>
      <c r="BJ16" s="22" t="n">
        <v>4.5</v>
      </c>
      <c r="BK16" s="22">
        <f>IF(MAESTRO!D16="","",IFERROR(AVERAGE(BI16:BJ16),""))</f>
        <v/>
      </c>
      <c r="BL16" s="5">
        <f>IF(MAESTRO!D16="","",IFERROR(TRUNC(AVERAGE(AW16,BH16),1),""))</f>
        <v/>
      </c>
      <c r="BM16" s="177" t="n"/>
      <c r="BN16" s="177" t="n">
        <v>12</v>
      </c>
      <c r="BO16" s="177" t="n">
        <v>12</v>
      </c>
      <c r="BP16" s="177">
        <f>IF(MAESTRO!D16="","",MAESTRO!D16)</f>
        <v/>
      </c>
      <c r="BQ16" s="178" t="n"/>
      <c r="BR16" s="5" t="n">
        <v>3.4</v>
      </c>
      <c r="BS16" s="5" t="n">
        <v>3.1</v>
      </c>
      <c r="BT16" s="5" t="n">
        <v>3.7</v>
      </c>
      <c r="BU16" s="5" t="n">
        <v>4.6</v>
      </c>
      <c r="BV16" s="5" t="n">
        <v>3.8</v>
      </c>
      <c r="BW16" s="5" t="n">
        <v>3.5</v>
      </c>
      <c r="BX16" s="5" t="n">
        <v>3.2</v>
      </c>
      <c r="BY16" s="5" t="n">
        <v>4.9</v>
      </c>
      <c r="BZ16" s="5" t="n">
        <v>3</v>
      </c>
      <c r="CA16" s="5" t="n">
        <v>4.8</v>
      </c>
      <c r="CB16" s="5" t="n">
        <v>4.7</v>
      </c>
      <c r="CC16" s="5" t="n">
        <v>3.3</v>
      </c>
      <c r="CD16" s="5" t="n">
        <v>4.9</v>
      </c>
      <c r="CE16" s="5">
        <f>IF(MAESTRO!D16="","",IFERROR(TRUNC(AVERAGE(BR16:CD16),1),""))</f>
        <v/>
      </c>
      <c r="CF16" s="5" t="n">
        <v>4.4</v>
      </c>
      <c r="CG16" s="5" t="n">
        <v>3.4</v>
      </c>
      <c r="CH16" s="5" t="n">
        <v>5</v>
      </c>
      <c r="CI16" s="5" t="n">
        <v>4.9</v>
      </c>
      <c r="CJ16" s="5" t="n">
        <v>3.7</v>
      </c>
      <c r="CK16" s="5" t="n">
        <v>3.3</v>
      </c>
      <c r="CL16" s="5" t="n">
        <v>3.3</v>
      </c>
      <c r="CM16" s="5" t="n">
        <v>4.1</v>
      </c>
      <c r="CN16" s="5" t="n">
        <v>3.1</v>
      </c>
      <c r="CO16" s="5" t="n">
        <v>3.1</v>
      </c>
      <c r="CP16" s="5">
        <f>IF(MAESTRO!D16="","",IFERROR(TRUNC(AVERAGE(CF16:CO16),1),""))</f>
        <v/>
      </c>
      <c r="CQ16" s="5" t="n">
        <v>4.7</v>
      </c>
      <c r="CR16" s="5" t="n">
        <v>3.2</v>
      </c>
      <c r="CS16" s="5">
        <f>IF(MAESTRO!D16="","",IFERROR(AVERAGE(CQ16:CR16),""))</f>
        <v/>
      </c>
      <c r="CT16" s="5">
        <f>IF(MAESTRO!D16="","",IFERROR(TRUNC(AVERAGE(CE16,CP16,CS16),1),""))</f>
        <v/>
      </c>
      <c r="CU16" s="177" t="n"/>
      <c r="CV16" s="55"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v>3.9</v>
      </c>
      <c r="D17" s="5" t="n">
        <v>3.9</v>
      </c>
      <c r="E17" s="5" t="n">
        <v>4</v>
      </c>
      <c r="F17" s="5" t="n">
        <v>3.2</v>
      </c>
      <c r="G17" s="5" t="n">
        <v>4.9</v>
      </c>
      <c r="H17" s="5" t="n">
        <v>3.8</v>
      </c>
      <c r="I17" s="5" t="n">
        <v>4.5</v>
      </c>
      <c r="J17" s="5" t="n">
        <v>5</v>
      </c>
      <c r="K17" s="5" t="n">
        <v>3.5</v>
      </c>
      <c r="L17" s="5" t="n">
        <v>3.5</v>
      </c>
      <c r="M17" s="5" t="n">
        <v>3.7</v>
      </c>
      <c r="N17" s="5" t="n">
        <v>3.3</v>
      </c>
      <c r="O17" s="5" t="n">
        <v>3.9</v>
      </c>
      <c r="P17" s="5">
        <f>IF(MAESTRO!D17="","",IFERROR(TRUNC(AVERAGE(C17:O17),1),""))</f>
        <v/>
      </c>
      <c r="Q17" s="40" t="n">
        <v>13</v>
      </c>
      <c r="R17" s="22" t="n">
        <v>4.8</v>
      </c>
      <c r="S17" s="22" t="n">
        <v>3.8</v>
      </c>
      <c r="T17" s="22" t="n">
        <v>3.9</v>
      </c>
      <c r="U17" s="22" t="n">
        <v>3.2</v>
      </c>
      <c r="V17" s="22" t="n">
        <v>3.1</v>
      </c>
      <c r="W17" s="22" t="n">
        <v>4.4</v>
      </c>
      <c r="X17" s="22" t="n">
        <v>3.7</v>
      </c>
      <c r="Y17" s="22" t="n">
        <v>3.8</v>
      </c>
      <c r="Z17" s="22" t="n">
        <v>3.8</v>
      </c>
      <c r="AA17" s="45">
        <f>IF(MAESTRO!D17="","",IFERROR(TRUNC(AVERAGE(R17:Z17),1),""))</f>
        <v/>
      </c>
      <c r="AB17" s="177" t="n">
        <v>4.1</v>
      </c>
      <c r="AC17" s="42" t="n">
        <v>4.6</v>
      </c>
      <c r="AD17" s="5">
        <f>IF(MAESTRO!D17="","",IFERROR(AVERAGE(AB17:AC17),""))</f>
        <v/>
      </c>
      <c r="AE17" s="44">
        <f>IF(MAESTRO!D17="","",IFERROR(TRUNC(AVERAGE(P17,AA17,AD17),1),""))</f>
        <v/>
      </c>
      <c r="AF17" s="177" t="n"/>
      <c r="AG17" s="177" t="n">
        <v>13</v>
      </c>
      <c r="AH17" s="177" t="n">
        <v>13</v>
      </c>
      <c r="AI17" s="177">
        <f>IF(MAESTRO!D17="","",MAESTRO!D17)</f>
        <v/>
      </c>
      <c r="AJ17" s="178" t="n"/>
      <c r="AK17" s="61" t="n">
        <v>3.6</v>
      </c>
      <c r="AL17" s="61" t="n">
        <v>4.6</v>
      </c>
      <c r="AM17" s="61" t="n">
        <v>3.4</v>
      </c>
      <c r="AN17" s="61" t="n">
        <v>4.9</v>
      </c>
      <c r="AO17" s="61" t="n">
        <v>3.5</v>
      </c>
      <c r="AP17" s="61" t="n">
        <v>4.5</v>
      </c>
      <c r="AQ17" s="61" t="n">
        <v>3.1</v>
      </c>
      <c r="AR17" s="61" t="n">
        <v>3</v>
      </c>
      <c r="AS17" s="61" t="n">
        <v>4.4</v>
      </c>
      <c r="AT17" s="61" t="n">
        <v>4.8</v>
      </c>
      <c r="AU17" s="61" t="n">
        <v>4.1</v>
      </c>
      <c r="AV17" s="61" t="n">
        <v>3.9</v>
      </c>
      <c r="AW17" s="5">
        <f>IF(MAESTRO!D17="","",IFERROR(TRUNC(AVERAGE(AK17:AV17),1),""))</f>
        <v/>
      </c>
      <c r="AX17" s="22" t="n">
        <v>4.2</v>
      </c>
      <c r="AY17" s="22" t="n">
        <v>4.8</v>
      </c>
      <c r="AZ17" s="22" t="n">
        <v>3.9</v>
      </c>
      <c r="BA17" s="22" t="n">
        <v>3.4</v>
      </c>
      <c r="BB17" s="22" t="n">
        <v>3.2</v>
      </c>
      <c r="BC17" s="22" t="n">
        <v>4.3</v>
      </c>
      <c r="BD17" s="22" t="n">
        <v>3.1</v>
      </c>
      <c r="BE17" s="22" t="n">
        <v>4.3</v>
      </c>
      <c r="BF17" s="22" t="n">
        <v>3.7</v>
      </c>
      <c r="BG17" s="52" t="n">
        <v>4.3</v>
      </c>
      <c r="BH17" s="5">
        <f>IF(MAESTRO!D17="","",IFERROR(TRUNC(AVERAGE(AX17:BG17),1),""))</f>
        <v/>
      </c>
      <c r="BI17" s="22" t="n">
        <v>5</v>
      </c>
      <c r="BJ17" s="22" t="n">
        <v>3.4</v>
      </c>
      <c r="BK17" s="22">
        <f>IF(MAESTRO!D17="","",IFERROR(AVERAGE(BI17:BJ17),""))</f>
        <v/>
      </c>
      <c r="BL17" s="5">
        <f>IF(MAESTRO!D17="","",IFERROR(TRUNC(AVERAGE(AW17,BH17),1),""))</f>
        <v/>
      </c>
      <c r="BM17" s="177" t="n"/>
      <c r="BN17" s="177" t="n">
        <v>13</v>
      </c>
      <c r="BO17" s="177" t="n">
        <v>13</v>
      </c>
      <c r="BP17" s="177">
        <f>IF(MAESTRO!D17="","",MAESTRO!D17)</f>
        <v/>
      </c>
      <c r="BQ17" s="178" t="n"/>
      <c r="BR17" s="5" t="n">
        <v>4.5</v>
      </c>
      <c r="BS17" s="5" t="n">
        <v>4.9</v>
      </c>
      <c r="BT17" s="5" t="n">
        <v>3.5</v>
      </c>
      <c r="BU17" s="5" t="n">
        <v>4.6</v>
      </c>
      <c r="BV17" s="5" t="n">
        <v>3.8</v>
      </c>
      <c r="BW17" s="5" t="n">
        <v>3.4</v>
      </c>
      <c r="BX17" s="5" t="n">
        <v>4.5</v>
      </c>
      <c r="BY17" s="5" t="n">
        <v>3.2</v>
      </c>
      <c r="BZ17" s="5" t="n">
        <v>3.2</v>
      </c>
      <c r="CA17" s="5" t="n">
        <v>4.1</v>
      </c>
      <c r="CB17" s="5" t="n">
        <v>4</v>
      </c>
      <c r="CC17" s="5" t="n">
        <v>4.2</v>
      </c>
      <c r="CD17" s="5" t="n">
        <v>4.2</v>
      </c>
      <c r="CE17" s="5">
        <f>IF(MAESTRO!D17="","",IFERROR(TRUNC(AVERAGE(BR17:CD17),1),""))</f>
        <v/>
      </c>
      <c r="CF17" s="5" t="n">
        <v>4.5</v>
      </c>
      <c r="CG17" s="5" t="n">
        <v>4</v>
      </c>
      <c r="CH17" s="5" t="n">
        <v>3.5</v>
      </c>
      <c r="CI17" s="5" t="n">
        <v>3.3</v>
      </c>
      <c r="CJ17" s="5" t="n">
        <v>4.8</v>
      </c>
      <c r="CK17" s="5" t="n">
        <v>4.1</v>
      </c>
      <c r="CL17" s="5" t="n">
        <v>4.3</v>
      </c>
      <c r="CM17" s="5" t="n">
        <v>4.9</v>
      </c>
      <c r="CN17" s="5" t="n">
        <v>5</v>
      </c>
      <c r="CO17" s="5" t="n">
        <v>4.6</v>
      </c>
      <c r="CP17" s="5">
        <f>IF(MAESTRO!D17="","",IFERROR(TRUNC(AVERAGE(CF17:CO17),1),""))</f>
        <v/>
      </c>
      <c r="CQ17" s="5" t="n">
        <v>3</v>
      </c>
      <c r="CR17" s="5" t="n">
        <v>4.4</v>
      </c>
      <c r="CS17" s="5">
        <f>IF(MAESTRO!D17="","",IFERROR(AVERAGE(CQ17:CR17),""))</f>
        <v/>
      </c>
      <c r="CT17" s="5">
        <f>IF(MAESTRO!D17="","",IFERROR(TRUNC(AVERAGE(CE17,CP17,CS17),1),""))</f>
        <v/>
      </c>
      <c r="CU17" s="177" t="n"/>
      <c r="CV17" s="55"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v>4.7</v>
      </c>
      <c r="D18" s="5" t="n">
        <v>4.5</v>
      </c>
      <c r="E18" s="5" t="n">
        <v>3.8</v>
      </c>
      <c r="F18" s="5" t="n">
        <v>4.2</v>
      </c>
      <c r="G18" s="5" t="n">
        <v>4.3</v>
      </c>
      <c r="H18" s="5" t="n">
        <v>4.8</v>
      </c>
      <c r="I18" s="5" t="n">
        <v>3.7</v>
      </c>
      <c r="J18" s="5" t="n">
        <v>4.1</v>
      </c>
      <c r="K18" s="5" t="n">
        <v>4.6</v>
      </c>
      <c r="L18" s="5" t="n">
        <v>3.9</v>
      </c>
      <c r="M18" s="5" t="n">
        <v>4.3</v>
      </c>
      <c r="N18" s="5" t="n">
        <v>3.2</v>
      </c>
      <c r="O18" s="5" t="n">
        <v>4.8</v>
      </c>
      <c r="P18" s="5">
        <f>IF(MAESTRO!D18="","",IFERROR(TRUNC(AVERAGE(C18:O18),1),""))</f>
        <v/>
      </c>
      <c r="Q18" s="40" t="n">
        <v>14</v>
      </c>
      <c r="R18" s="22" t="n">
        <v>3.2</v>
      </c>
      <c r="S18" s="22" t="n">
        <v>4.6</v>
      </c>
      <c r="T18" s="22" t="n">
        <v>4.1</v>
      </c>
      <c r="U18" s="22" t="n">
        <v>3.4</v>
      </c>
      <c r="V18" s="22" t="n">
        <v>4.6</v>
      </c>
      <c r="W18" s="22" t="n">
        <v>4.3</v>
      </c>
      <c r="X18" s="22" t="n">
        <v>4.5</v>
      </c>
      <c r="Y18" s="22" t="n">
        <v>4.8</v>
      </c>
      <c r="Z18" s="22" t="n">
        <v>3.7</v>
      </c>
      <c r="AA18" s="45">
        <f>IF(MAESTRO!D18="","",IFERROR(TRUNC(AVERAGE(R18:Z18),1),""))</f>
        <v/>
      </c>
      <c r="AB18" s="177" t="n">
        <v>4.2</v>
      </c>
      <c r="AC18" s="42" t="n">
        <v>4</v>
      </c>
      <c r="AD18" s="5">
        <f>IF(MAESTRO!D18="","",IFERROR(AVERAGE(AB18:AC18),""))</f>
        <v/>
      </c>
      <c r="AE18" s="44">
        <f>IF(MAESTRO!D18="","",IFERROR(TRUNC(AVERAGE(P18,AA18,AD18),1),""))</f>
        <v/>
      </c>
      <c r="AF18" s="177" t="n"/>
      <c r="AG18" s="177" t="n">
        <v>14</v>
      </c>
      <c r="AH18" s="177" t="n">
        <v>14</v>
      </c>
      <c r="AI18" s="177">
        <f>IF(MAESTRO!D18="","",MAESTRO!D18)</f>
        <v/>
      </c>
      <c r="AJ18" s="178" t="n"/>
      <c r="AK18" s="61" t="n">
        <v>3.7</v>
      </c>
      <c r="AL18" s="61" t="n">
        <v>3.1</v>
      </c>
      <c r="AM18" s="61" t="n">
        <v>3.8</v>
      </c>
      <c r="AN18" s="61" t="n">
        <v>3.8</v>
      </c>
      <c r="AO18" s="61" t="n">
        <v>4.7</v>
      </c>
      <c r="AP18" s="61" t="n">
        <v>3.7</v>
      </c>
      <c r="AQ18" s="61" t="n">
        <v>3.4</v>
      </c>
      <c r="AR18" s="61" t="n">
        <v>3.8</v>
      </c>
      <c r="AS18" s="61" t="n">
        <v>3.4</v>
      </c>
      <c r="AT18" s="61" t="n">
        <v>4.4</v>
      </c>
      <c r="AU18" s="61" t="n">
        <v>4.7</v>
      </c>
      <c r="AV18" s="61" t="n">
        <v>4.1</v>
      </c>
      <c r="AW18" s="5">
        <f>IF(MAESTRO!D18="","",IFERROR(TRUNC(AVERAGE(AK18:AV18),1),""))</f>
        <v/>
      </c>
      <c r="AX18" s="22" t="n">
        <v>3.7</v>
      </c>
      <c r="AY18" s="22" t="n">
        <v>3.1</v>
      </c>
      <c r="AZ18" s="22" t="n">
        <v>3.4</v>
      </c>
      <c r="BA18" s="22" t="n">
        <v>4.9</v>
      </c>
      <c r="BB18" s="22" t="n">
        <v>4.8</v>
      </c>
      <c r="BC18" s="22" t="n">
        <v>4.1</v>
      </c>
      <c r="BD18" s="22" t="n">
        <v>3.8</v>
      </c>
      <c r="BE18" s="22" t="n">
        <v>4.4</v>
      </c>
      <c r="BF18" s="22" t="n">
        <v>4.5</v>
      </c>
      <c r="BG18" s="52" t="n">
        <v>3.5</v>
      </c>
      <c r="BH18" s="5">
        <f>IF(MAESTRO!D18="","",IFERROR(TRUNC(AVERAGE(AX18:BG18),1),""))</f>
        <v/>
      </c>
      <c r="BI18" s="22" t="n">
        <v>3.7</v>
      </c>
      <c r="BJ18" s="22" t="n">
        <v>4.5</v>
      </c>
      <c r="BK18" s="22">
        <f>IF(MAESTRO!D18="","",IFERROR(AVERAGE(BI18:BJ18),""))</f>
        <v/>
      </c>
      <c r="BL18" s="5">
        <f>IF(MAESTRO!D18="","",IFERROR(TRUNC(AVERAGE(AW18,BH18),1),""))</f>
        <v/>
      </c>
      <c r="BM18" s="177" t="n"/>
      <c r="BN18" s="177" t="n">
        <v>14</v>
      </c>
      <c r="BO18" s="177" t="n">
        <v>14</v>
      </c>
      <c r="BP18" s="177">
        <f>IF(MAESTRO!D18="","",MAESTRO!D18)</f>
        <v/>
      </c>
      <c r="BQ18" s="178" t="n"/>
      <c r="BR18" s="5" t="n">
        <v>3.8</v>
      </c>
      <c r="BS18" s="5" t="n">
        <v>4.8</v>
      </c>
      <c r="BT18" s="5" t="n">
        <v>3.6</v>
      </c>
      <c r="BU18" s="5" t="n">
        <v>4.4</v>
      </c>
      <c r="BV18" s="5" t="n">
        <v>4.5</v>
      </c>
      <c r="BW18" s="5" t="n">
        <v>3.5</v>
      </c>
      <c r="BX18" s="5" t="n">
        <v>3.9</v>
      </c>
      <c r="BY18" s="5" t="n">
        <v>3.1</v>
      </c>
      <c r="BZ18" s="5" t="n">
        <v>4.1</v>
      </c>
      <c r="CA18" s="5" t="n">
        <v>3.9</v>
      </c>
      <c r="CB18" s="5" t="n">
        <v>4.5</v>
      </c>
      <c r="CC18" s="5" t="n">
        <v>4.8</v>
      </c>
      <c r="CD18" s="5" t="n">
        <v>3.8</v>
      </c>
      <c r="CE18" s="5">
        <f>IF(MAESTRO!D18="","",IFERROR(TRUNC(AVERAGE(BR18:CD18),1),""))</f>
        <v/>
      </c>
      <c r="CF18" s="5" t="n">
        <v>4.7</v>
      </c>
      <c r="CG18" s="5" t="n">
        <v>3</v>
      </c>
      <c r="CH18" s="5" t="n">
        <v>4.9</v>
      </c>
      <c r="CI18" s="5" t="n">
        <v>3.4</v>
      </c>
      <c r="CJ18" s="5" t="n">
        <v>3.2</v>
      </c>
      <c r="CK18" s="5" t="n">
        <v>3.1</v>
      </c>
      <c r="CL18" s="5" t="n">
        <v>3.1</v>
      </c>
      <c r="CM18" s="5" t="n">
        <v>3.6</v>
      </c>
      <c r="CN18" s="5" t="n">
        <v>3.6</v>
      </c>
      <c r="CO18" s="5" t="n">
        <v>4.6</v>
      </c>
      <c r="CP18" s="5">
        <f>IF(MAESTRO!D18="","",IFERROR(TRUNC(AVERAGE(CF18:CO18),1),""))</f>
        <v/>
      </c>
      <c r="CQ18" s="5" t="n">
        <v>4.7</v>
      </c>
      <c r="CR18" s="5" t="n">
        <v>4.2</v>
      </c>
      <c r="CS18" s="5">
        <f>IF(MAESTRO!D18="","",IFERROR(AVERAGE(CQ18:CR18),""))</f>
        <v/>
      </c>
      <c r="CT18" s="5">
        <f>IF(MAESTRO!D18="","",IFERROR(TRUNC(AVERAGE(CE18,CP18,CS18),1),""))</f>
        <v/>
      </c>
      <c r="CU18" s="177" t="n"/>
      <c r="CV18" s="55"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v>4.5</v>
      </c>
      <c r="D19" s="5" t="n">
        <v>4.1</v>
      </c>
      <c r="E19" s="5" t="n">
        <v>4.2</v>
      </c>
      <c r="F19" s="5" t="n">
        <v>4.6</v>
      </c>
      <c r="G19" s="5" t="n">
        <v>4.8</v>
      </c>
      <c r="H19" s="5" t="n">
        <v>4.6</v>
      </c>
      <c r="I19" s="5" t="n">
        <v>4.4</v>
      </c>
      <c r="J19" s="5" t="n">
        <v>4.1</v>
      </c>
      <c r="K19" s="5" t="n">
        <v>3.1</v>
      </c>
      <c r="L19" s="5" t="n">
        <v>4.6</v>
      </c>
      <c r="M19" s="5" t="n">
        <v>3.2</v>
      </c>
      <c r="N19" s="5" t="n">
        <v>4</v>
      </c>
      <c r="O19" s="5" t="n">
        <v>4.2</v>
      </c>
      <c r="P19" s="5">
        <f>IF(MAESTRO!D19="","",IFERROR(TRUNC(AVERAGE(C19:O19),1),""))</f>
        <v/>
      </c>
      <c r="Q19" s="40" t="n">
        <v>15</v>
      </c>
      <c r="R19" s="22" t="n">
        <v>4.9</v>
      </c>
      <c r="S19" s="22" t="n">
        <v>4.6</v>
      </c>
      <c r="T19" s="22" t="n">
        <v>4.5</v>
      </c>
      <c r="U19" s="22" t="n">
        <v>3.7</v>
      </c>
      <c r="V19" s="22" t="n">
        <v>3.9</v>
      </c>
      <c r="W19" s="22" t="n">
        <v>4</v>
      </c>
      <c r="X19" s="22" t="n">
        <v>4.8</v>
      </c>
      <c r="Y19" s="22" t="n">
        <v>3.4</v>
      </c>
      <c r="Z19" s="22" t="n">
        <v>4.7</v>
      </c>
      <c r="AA19" s="45">
        <f>IF(MAESTRO!D19="","",IFERROR(TRUNC(AVERAGE(R19:Z19),1),""))</f>
        <v/>
      </c>
      <c r="AB19" s="177" t="n">
        <v>4.5</v>
      </c>
      <c r="AC19" s="42" t="n">
        <v>3.9</v>
      </c>
      <c r="AD19" s="5">
        <f>IF(MAESTRO!D19="","",IFERROR(AVERAGE(AB19:AC19),""))</f>
        <v/>
      </c>
      <c r="AE19" s="44">
        <f>IF(MAESTRO!D19="","",IFERROR(TRUNC(AVERAGE(P19,AA19,AD19),1),""))</f>
        <v/>
      </c>
      <c r="AF19" s="177" t="n"/>
      <c r="AG19" s="177" t="n">
        <v>15</v>
      </c>
      <c r="AH19" s="177" t="n">
        <v>15</v>
      </c>
      <c r="AI19" s="177">
        <f>IF(MAESTRO!D19="","",MAESTRO!D19)</f>
        <v/>
      </c>
      <c r="AJ19" s="178" t="n"/>
      <c r="AK19" s="61" t="n">
        <v>4.3</v>
      </c>
      <c r="AL19" s="61" t="n">
        <v>4.4</v>
      </c>
      <c r="AM19" s="61" t="n">
        <v>4.7</v>
      </c>
      <c r="AN19" s="61" t="n">
        <v>4.1</v>
      </c>
      <c r="AO19" s="61" t="n">
        <v>4.2</v>
      </c>
      <c r="AP19" s="61" t="n">
        <v>4.4</v>
      </c>
      <c r="AQ19" s="61" t="n">
        <v>4.2</v>
      </c>
      <c r="AR19" s="61" t="n">
        <v>3.6</v>
      </c>
      <c r="AS19" s="61" t="n">
        <v>3.9</v>
      </c>
      <c r="AT19" s="61" t="n">
        <v>3.1</v>
      </c>
      <c r="AU19" s="61" t="n">
        <v>4.6</v>
      </c>
      <c r="AV19" s="61" t="n">
        <v>4.3</v>
      </c>
      <c r="AW19" s="5">
        <f>IF(MAESTRO!D19="","",IFERROR(TRUNC(AVERAGE(AK19:AV19),1),""))</f>
        <v/>
      </c>
      <c r="AX19" s="22" t="n">
        <v>4.7</v>
      </c>
      <c r="AY19" s="22" t="n">
        <v>4.3</v>
      </c>
      <c r="AZ19" s="22" t="n">
        <v>3.9</v>
      </c>
      <c r="BA19" s="22" t="n">
        <v>4.3</v>
      </c>
      <c r="BB19" s="22" t="n">
        <v>4.1</v>
      </c>
      <c r="BC19" s="22" t="n">
        <v>3.6</v>
      </c>
      <c r="BD19" s="22" t="n">
        <v>3.9</v>
      </c>
      <c r="BE19" s="22" t="n">
        <v>4.3</v>
      </c>
      <c r="BF19" s="22" t="n">
        <v>4.5</v>
      </c>
      <c r="BG19" s="52" t="n">
        <v>3.6</v>
      </c>
      <c r="BH19" s="5">
        <f>IF(MAESTRO!D19="","",IFERROR(TRUNC(AVERAGE(AX19:BG19),1),""))</f>
        <v/>
      </c>
      <c r="BI19" s="22" t="n">
        <v>4.1</v>
      </c>
      <c r="BJ19" s="22" t="n">
        <v>3.5</v>
      </c>
      <c r="BK19" s="22">
        <f>IF(MAESTRO!D19="","",IFERROR(AVERAGE(BI19:BJ19),""))</f>
        <v/>
      </c>
      <c r="BL19" s="5">
        <f>IF(MAESTRO!D19="","",IFERROR(TRUNC(AVERAGE(AW19,BH19),1),""))</f>
        <v/>
      </c>
      <c r="BM19" s="177" t="n"/>
      <c r="BN19" s="177" t="n">
        <v>15</v>
      </c>
      <c r="BO19" s="177" t="n">
        <v>15</v>
      </c>
      <c r="BP19" s="177">
        <f>IF(MAESTRO!D19="","",MAESTRO!D19)</f>
        <v/>
      </c>
      <c r="BQ19" s="178" t="n"/>
      <c r="BR19" s="5" t="n">
        <v>3.9</v>
      </c>
      <c r="BS19" s="5" t="n">
        <v>4.7</v>
      </c>
      <c r="BT19" s="5" t="n">
        <v>4.4</v>
      </c>
      <c r="BU19" s="5" t="n">
        <v>3.3</v>
      </c>
      <c r="BV19" s="5" t="n">
        <v>3.1</v>
      </c>
      <c r="BW19" s="5" t="n">
        <v>3.7</v>
      </c>
      <c r="BX19" s="5" t="n">
        <v>4</v>
      </c>
      <c r="BY19" s="5" t="n">
        <v>4.4</v>
      </c>
      <c r="BZ19" s="5" t="n">
        <v>3.1</v>
      </c>
      <c r="CA19" s="5" t="n">
        <v>3.9</v>
      </c>
      <c r="CB19" s="5" t="n">
        <v>4.4</v>
      </c>
      <c r="CC19" s="5" t="n">
        <v>3.5</v>
      </c>
      <c r="CD19" s="5" t="n">
        <v>4.8</v>
      </c>
      <c r="CE19" s="5">
        <f>IF(MAESTRO!D19="","",IFERROR(TRUNC(AVERAGE(BR19:CD19),1),""))</f>
        <v/>
      </c>
      <c r="CF19" s="5" t="n">
        <v>3.7</v>
      </c>
      <c r="CG19" s="5" t="n">
        <v>3.2</v>
      </c>
      <c r="CH19" s="5" t="n">
        <v>4.7</v>
      </c>
      <c r="CI19" s="5" t="n">
        <v>4.6</v>
      </c>
      <c r="CJ19" s="5" t="n">
        <v>4.2</v>
      </c>
      <c r="CK19" s="5" t="n">
        <v>3.7</v>
      </c>
      <c r="CL19" s="5" t="n">
        <v>3.2</v>
      </c>
      <c r="CM19" s="5" t="n">
        <v>3.5</v>
      </c>
      <c r="CN19" s="5" t="n">
        <v>4.1</v>
      </c>
      <c r="CO19" s="5" t="n">
        <v>4.5</v>
      </c>
      <c r="CP19" s="5">
        <f>IF(MAESTRO!D19="","",IFERROR(TRUNC(AVERAGE(CF19:CO19),1),""))</f>
        <v/>
      </c>
      <c r="CQ19" s="5" t="n">
        <v>4.8</v>
      </c>
      <c r="CR19" s="5" t="n">
        <v>4.7</v>
      </c>
      <c r="CS19" s="5">
        <f>IF(MAESTRO!D19="","",IFERROR(AVERAGE(CQ19:CR19),""))</f>
        <v/>
      </c>
      <c r="CT19" s="5">
        <f>IF(MAESTRO!D19="","",IFERROR(TRUNC(AVERAGE(CE19,CP19,CS19),1),""))</f>
        <v/>
      </c>
      <c r="CU19" s="177" t="n"/>
      <c r="CV19" s="55"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v>4.3</v>
      </c>
      <c r="D20" s="5" t="n">
        <v>3.3</v>
      </c>
      <c r="E20" s="5" t="n">
        <v>4.7</v>
      </c>
      <c r="F20" s="5" t="n">
        <v>4.1</v>
      </c>
      <c r="G20" s="5" t="n">
        <v>3.6</v>
      </c>
      <c r="H20" s="5" t="n">
        <v>3.7</v>
      </c>
      <c r="I20" s="5" t="n">
        <v>4.1</v>
      </c>
      <c r="J20" s="5" t="n">
        <v>4.3</v>
      </c>
      <c r="K20" s="5" t="n">
        <v>4.6</v>
      </c>
      <c r="L20" s="5" t="n">
        <v>4</v>
      </c>
      <c r="M20" s="5" t="n">
        <v>4.8</v>
      </c>
      <c r="N20" s="5" t="n">
        <v>3.7</v>
      </c>
      <c r="O20" s="5" t="n">
        <v>4.1</v>
      </c>
      <c r="P20" s="5">
        <f>IF(MAESTRO!D20="","",IFERROR(TRUNC(AVERAGE(C20:O20),1),""))</f>
        <v/>
      </c>
      <c r="Q20" s="40" t="n">
        <v>16</v>
      </c>
      <c r="R20" s="22" t="n">
        <v>4</v>
      </c>
      <c r="S20" s="22" t="n">
        <v>4.4</v>
      </c>
      <c r="T20" s="22" t="n">
        <v>4.4</v>
      </c>
      <c r="U20" s="22" t="n">
        <v>4</v>
      </c>
      <c r="V20" s="22" t="n">
        <v>3.4</v>
      </c>
      <c r="W20" s="22" t="n">
        <v>4.6</v>
      </c>
      <c r="X20" s="22" t="n">
        <v>4.7</v>
      </c>
      <c r="Y20" s="22" t="n">
        <v>3.4</v>
      </c>
      <c r="Z20" s="22" t="n">
        <v>3.9</v>
      </c>
      <c r="AA20" s="45">
        <f>IF(MAESTRO!D20="","",IFERROR(TRUNC(AVERAGE(R20:Z20),1),""))</f>
        <v/>
      </c>
      <c r="AB20" s="177" t="n">
        <v>3.7</v>
      </c>
      <c r="AC20" s="42" t="n">
        <v>3.6</v>
      </c>
      <c r="AD20" s="5">
        <f>IF(MAESTRO!D20="","",IFERROR(AVERAGE(AB20:AC20),""))</f>
        <v/>
      </c>
      <c r="AE20" s="44">
        <f>IF(MAESTRO!D20="","",IFERROR(TRUNC(AVERAGE(P20,AA20,AD20),1),""))</f>
        <v/>
      </c>
      <c r="AF20" s="177" t="n"/>
      <c r="AG20" s="177" t="n">
        <v>16</v>
      </c>
      <c r="AH20" s="177" t="n">
        <v>16</v>
      </c>
      <c r="AI20" s="177">
        <f>IF(MAESTRO!D20="","",MAESTRO!D20)</f>
        <v/>
      </c>
      <c r="AJ20" s="178" t="n"/>
      <c r="AK20" s="61" t="n">
        <v>3</v>
      </c>
      <c r="AL20" s="61" t="n">
        <v>4</v>
      </c>
      <c r="AM20" s="61" t="n">
        <v>3.3</v>
      </c>
      <c r="AN20" s="61" t="n">
        <v>3.3</v>
      </c>
      <c r="AO20" s="61" t="n">
        <v>4</v>
      </c>
      <c r="AP20" s="61" t="n">
        <v>3.9</v>
      </c>
      <c r="AQ20" s="61" t="n">
        <v>4.8</v>
      </c>
      <c r="AR20" s="61" t="n">
        <v>4.6</v>
      </c>
      <c r="AS20" s="61" t="n">
        <v>3.8</v>
      </c>
      <c r="AT20" s="61" t="n">
        <v>4.7</v>
      </c>
      <c r="AU20" s="61" t="n">
        <v>3.3</v>
      </c>
      <c r="AV20" s="61" t="n">
        <v>3.3</v>
      </c>
      <c r="AW20" s="5">
        <f>IF(MAESTRO!D20="","",IFERROR(TRUNC(AVERAGE(AK20:AV20),1),""))</f>
        <v/>
      </c>
      <c r="AX20" s="22" t="n">
        <v>4.5</v>
      </c>
      <c r="AY20" s="22" t="n">
        <v>4.8</v>
      </c>
      <c r="AZ20" s="22" t="n">
        <v>4.7</v>
      </c>
      <c r="BA20" s="22" t="n">
        <v>3.3</v>
      </c>
      <c r="BB20" s="22" t="n">
        <v>4.7</v>
      </c>
      <c r="BC20" s="22" t="n">
        <v>4.8</v>
      </c>
      <c r="BD20" s="22" t="n">
        <v>4.1</v>
      </c>
      <c r="BE20" s="22" t="n">
        <v>3.9</v>
      </c>
      <c r="BF20" s="22" t="n">
        <v>4.5</v>
      </c>
      <c r="BG20" s="52" t="n">
        <v>5</v>
      </c>
      <c r="BH20" s="5">
        <f>IF(MAESTRO!D20="","",IFERROR(TRUNC(AVERAGE(AX20:BG20),1),""))</f>
        <v/>
      </c>
      <c r="BI20" s="22" t="n">
        <v>4.7</v>
      </c>
      <c r="BJ20" s="22" t="n">
        <v>4.1</v>
      </c>
      <c r="BK20" s="22">
        <f>IF(MAESTRO!D20="","",IFERROR(AVERAGE(BI20:BJ20),""))</f>
        <v/>
      </c>
      <c r="BL20" s="5">
        <f>IF(MAESTRO!D20="","",IFERROR(TRUNC(AVERAGE(AW20,BH20),1),""))</f>
        <v/>
      </c>
      <c r="BM20" s="177" t="n"/>
      <c r="BN20" s="177" t="n">
        <v>16</v>
      </c>
      <c r="BO20" s="177" t="n">
        <v>16</v>
      </c>
      <c r="BP20" s="177">
        <f>IF(MAESTRO!D20="","",MAESTRO!D20)</f>
        <v/>
      </c>
      <c r="BQ20" s="178" t="n"/>
      <c r="BR20" s="5" t="n">
        <v>3.2</v>
      </c>
      <c r="BS20" s="5" t="n">
        <v>4.8</v>
      </c>
      <c r="BT20" s="5" t="n">
        <v>3.3</v>
      </c>
      <c r="BU20" s="5" t="n">
        <v>4.5</v>
      </c>
      <c r="BV20" s="5" t="n">
        <v>3.4</v>
      </c>
      <c r="BW20" s="5" t="n">
        <v>4.1</v>
      </c>
      <c r="BX20" s="5" t="n">
        <v>4.8</v>
      </c>
      <c r="BY20" s="5" t="n">
        <v>3.1</v>
      </c>
      <c r="BZ20" s="5" t="n">
        <v>3.4</v>
      </c>
      <c r="CA20" s="5" t="n">
        <v>4.9</v>
      </c>
      <c r="CB20" s="5" t="n">
        <v>4.7</v>
      </c>
      <c r="CC20" s="5" t="n">
        <v>3.5</v>
      </c>
      <c r="CD20" s="5" t="n">
        <v>4.3</v>
      </c>
      <c r="CE20" s="5">
        <f>IF(MAESTRO!D20="","",IFERROR(TRUNC(AVERAGE(BR20:CD20),1),""))</f>
        <v/>
      </c>
      <c r="CF20" s="5" t="n">
        <v>3.5</v>
      </c>
      <c r="CG20" s="5" t="n">
        <v>3.2</v>
      </c>
      <c r="CH20" s="5" t="n">
        <v>3.7</v>
      </c>
      <c r="CI20" s="5" t="n">
        <v>3.8</v>
      </c>
      <c r="CJ20" s="5" t="n">
        <v>3.9</v>
      </c>
      <c r="CK20" s="5" t="n">
        <v>4.6</v>
      </c>
      <c r="CL20" s="5" t="n">
        <v>3.4</v>
      </c>
      <c r="CM20" s="5" t="n">
        <v>4.5</v>
      </c>
      <c r="CN20" s="5" t="n">
        <v>4.6</v>
      </c>
      <c r="CO20" s="5" t="n">
        <v>3.8</v>
      </c>
      <c r="CP20" s="5">
        <f>IF(MAESTRO!D20="","",IFERROR(TRUNC(AVERAGE(CF20:CO20),1),""))</f>
        <v/>
      </c>
      <c r="CQ20" s="5" t="n">
        <v>3.7</v>
      </c>
      <c r="CR20" s="5" t="n">
        <v>5</v>
      </c>
      <c r="CS20" s="5">
        <f>IF(MAESTRO!D20="","",IFERROR(AVERAGE(CQ20:CR20),""))</f>
        <v/>
      </c>
      <c r="CT20" s="5">
        <f>IF(MAESTRO!D20="","",IFERROR(TRUNC(AVERAGE(CE20,CP20,CS20),1),""))</f>
        <v/>
      </c>
      <c r="CU20" s="177" t="n"/>
      <c r="CV20" s="55"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v>4.8</v>
      </c>
      <c r="D21" s="5" t="n">
        <v>3.3</v>
      </c>
      <c r="E21" s="5" t="n">
        <v>4.8</v>
      </c>
      <c r="F21" s="5" t="n">
        <v>4</v>
      </c>
      <c r="G21" s="5" t="n">
        <v>4.4</v>
      </c>
      <c r="H21" s="5" t="n">
        <v>4.6</v>
      </c>
      <c r="I21" s="5" t="n">
        <v>3.4</v>
      </c>
      <c r="J21" s="5" t="n">
        <v>3.9</v>
      </c>
      <c r="K21" s="5" t="n">
        <v>3.1</v>
      </c>
      <c r="L21" s="5" t="n">
        <v>4.1</v>
      </c>
      <c r="M21" s="5" t="n">
        <v>4.8</v>
      </c>
      <c r="N21" s="5" t="n">
        <v>3.9</v>
      </c>
      <c r="O21" s="5" t="n">
        <v>4.6</v>
      </c>
      <c r="P21" s="5">
        <f>IF(MAESTRO!D21="","",IFERROR(TRUNC(AVERAGE(C21:O21),1),""))</f>
        <v/>
      </c>
      <c r="Q21" s="40" t="n">
        <v>17</v>
      </c>
      <c r="R21" s="22" t="n">
        <v>3.6</v>
      </c>
      <c r="S21" s="22" t="n">
        <v>4</v>
      </c>
      <c r="T21" s="22" t="n">
        <v>3.7</v>
      </c>
      <c r="U21" s="22" t="n">
        <v>3.7</v>
      </c>
      <c r="V21" s="22" t="n">
        <v>3.1</v>
      </c>
      <c r="W21" s="22" t="n">
        <v>4.3</v>
      </c>
      <c r="X21" s="22" t="n">
        <v>4.9</v>
      </c>
      <c r="Y21" s="22" t="n">
        <v>4.6</v>
      </c>
      <c r="Z21" s="22" t="n">
        <v>3.9</v>
      </c>
      <c r="AA21" s="45">
        <f>IF(MAESTRO!D21="","",IFERROR(TRUNC(AVERAGE(R21:Z21),1),""))</f>
        <v/>
      </c>
      <c r="AB21" s="177" t="n">
        <v>3.8</v>
      </c>
      <c r="AC21" s="42" t="n">
        <v>3.9</v>
      </c>
      <c r="AD21" s="5">
        <f>IF(MAESTRO!D21="","",IFERROR(AVERAGE(AB21:AC21),""))</f>
        <v/>
      </c>
      <c r="AE21" s="44">
        <f>IF(MAESTRO!D21="","",IFERROR(TRUNC(AVERAGE(P21,AA21,AD21),1),""))</f>
        <v/>
      </c>
      <c r="AF21" s="177" t="n"/>
      <c r="AG21" s="177" t="n">
        <v>17</v>
      </c>
      <c r="AH21" s="177" t="n">
        <v>17</v>
      </c>
      <c r="AI21" s="177">
        <f>IF(MAESTRO!D21="","",MAESTRO!D21)</f>
        <v/>
      </c>
      <c r="AJ21" s="178" t="n"/>
      <c r="AK21" s="61" t="n">
        <v>4.4</v>
      </c>
      <c r="AL21" s="61" t="n">
        <v>4.6</v>
      </c>
      <c r="AM21" s="61" t="n">
        <v>4.2</v>
      </c>
      <c r="AN21" s="61" t="n">
        <v>4.8</v>
      </c>
      <c r="AO21" s="61" t="n">
        <v>4.6</v>
      </c>
      <c r="AP21" s="61" t="n">
        <v>3</v>
      </c>
      <c r="AQ21" s="61" t="n">
        <v>4.4</v>
      </c>
      <c r="AR21" s="61" t="n">
        <v>4.7</v>
      </c>
      <c r="AS21" s="61" t="n">
        <v>4.8</v>
      </c>
      <c r="AT21" s="61" t="n">
        <v>4.3</v>
      </c>
      <c r="AU21" s="61" t="n">
        <v>3.1</v>
      </c>
      <c r="AV21" s="61" t="n">
        <v>4.8</v>
      </c>
      <c r="AW21" s="5">
        <f>IF(MAESTRO!D21="","",IFERROR(TRUNC(AVERAGE(AK21:AV21),1),""))</f>
        <v/>
      </c>
      <c r="AX21" s="22" t="n">
        <v>3.2</v>
      </c>
      <c r="AY21" s="22" t="n">
        <v>3.9</v>
      </c>
      <c r="AZ21" s="22" t="n">
        <v>4</v>
      </c>
      <c r="BA21" s="22" t="n">
        <v>4.3</v>
      </c>
      <c r="BB21" s="22" t="n">
        <v>3.7</v>
      </c>
      <c r="BC21" s="22" t="n">
        <v>3.8</v>
      </c>
      <c r="BD21" s="22" t="n">
        <v>5</v>
      </c>
      <c r="BE21" s="22" t="n">
        <v>3.3</v>
      </c>
      <c r="BF21" s="22" t="n">
        <v>4.1</v>
      </c>
      <c r="BG21" s="52" t="n">
        <v>3.5</v>
      </c>
      <c r="BH21" s="5">
        <f>IF(MAESTRO!D21="","",IFERROR(TRUNC(AVERAGE(AX21:BG21),1),""))</f>
        <v/>
      </c>
      <c r="BI21" s="22" t="n">
        <v>3.6</v>
      </c>
      <c r="BJ21" s="22" t="n">
        <v>4.1</v>
      </c>
      <c r="BK21" s="22">
        <f>IF(MAESTRO!D21="","",IFERROR(AVERAGE(BI21:BJ21),""))</f>
        <v/>
      </c>
      <c r="BL21" s="5">
        <f>IF(MAESTRO!D21="","",IFERROR(TRUNC(AVERAGE(AW21,BH21),1),""))</f>
        <v/>
      </c>
      <c r="BM21" s="177" t="n"/>
      <c r="BN21" s="177" t="n">
        <v>17</v>
      </c>
      <c r="BO21" s="177" t="n">
        <v>17</v>
      </c>
      <c r="BP21" s="177">
        <f>IF(MAESTRO!D21="","",MAESTRO!D21)</f>
        <v/>
      </c>
      <c r="BQ21" s="178" t="n"/>
      <c r="BR21" s="5" t="n">
        <v>4.8</v>
      </c>
      <c r="BS21" s="5" t="n">
        <v>3.4</v>
      </c>
      <c r="BT21" s="5" t="n">
        <v>3.3</v>
      </c>
      <c r="BU21" s="5" t="n">
        <v>3.2</v>
      </c>
      <c r="BV21" s="5" t="n">
        <v>3.3</v>
      </c>
      <c r="BW21" s="5" t="n">
        <v>4.5</v>
      </c>
      <c r="BX21" s="5" t="n">
        <v>3.7</v>
      </c>
      <c r="BY21" s="5" t="n">
        <v>3.9</v>
      </c>
      <c r="BZ21" s="5" t="n">
        <v>4.4</v>
      </c>
      <c r="CA21" s="5" t="n">
        <v>4.2</v>
      </c>
      <c r="CB21" s="5" t="n">
        <v>4.8</v>
      </c>
      <c r="CC21" s="5" t="n">
        <v>4.4</v>
      </c>
      <c r="CD21" s="5" t="n">
        <v>4.3</v>
      </c>
      <c r="CE21" s="5">
        <f>IF(MAESTRO!D21="","",IFERROR(TRUNC(AVERAGE(BR21:CD21),1),""))</f>
        <v/>
      </c>
      <c r="CF21" s="5" t="n">
        <v>4.1</v>
      </c>
      <c r="CG21" s="5" t="n">
        <v>3.4</v>
      </c>
      <c r="CH21" s="5" t="n">
        <v>3.9</v>
      </c>
      <c r="CI21" s="5" t="n">
        <v>4.8</v>
      </c>
      <c r="CJ21" s="5" t="n">
        <v>4.7</v>
      </c>
      <c r="CK21" s="5" t="n">
        <v>3.7</v>
      </c>
      <c r="CL21" s="5" t="n">
        <v>3.7</v>
      </c>
      <c r="CM21" s="5" t="n">
        <v>4.6</v>
      </c>
      <c r="CN21" s="5" t="n">
        <v>3.7</v>
      </c>
      <c r="CO21" s="5" t="n">
        <v>4.9</v>
      </c>
      <c r="CP21" s="5">
        <f>IF(MAESTRO!D21="","",IFERROR(TRUNC(AVERAGE(CF21:CO21),1),""))</f>
        <v/>
      </c>
      <c r="CQ21" s="5" t="n">
        <v>3.8</v>
      </c>
      <c r="CR21" s="5" t="n">
        <v>4.5</v>
      </c>
      <c r="CS21" s="5">
        <f>IF(MAESTRO!D21="","",IFERROR(AVERAGE(CQ21:CR21),""))</f>
        <v/>
      </c>
      <c r="CT21" s="5">
        <f>IF(MAESTRO!D21="","",IFERROR(TRUNC(AVERAGE(CE21,CP21,CS21),1),""))</f>
        <v/>
      </c>
      <c r="CU21" s="177" t="n"/>
      <c r="CV21" s="55"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v>4.4</v>
      </c>
      <c r="D22" s="5" t="n">
        <v>4.4</v>
      </c>
      <c r="E22" s="5" t="n">
        <v>4.7</v>
      </c>
      <c r="F22" s="5" t="n">
        <v>3.5</v>
      </c>
      <c r="G22" s="5" t="n">
        <v>4.3</v>
      </c>
      <c r="H22" s="5" t="n">
        <v>4.9</v>
      </c>
      <c r="I22" s="5" t="n">
        <v>4.1</v>
      </c>
      <c r="J22" s="5" t="n">
        <v>3.6</v>
      </c>
      <c r="K22" s="5" t="n">
        <v>4.1</v>
      </c>
      <c r="L22" s="5" t="n">
        <v>4.2</v>
      </c>
      <c r="M22" s="5" t="n">
        <v>3.2</v>
      </c>
      <c r="N22" s="5" t="n">
        <v>4</v>
      </c>
      <c r="O22" s="5" t="n">
        <v>3.6</v>
      </c>
      <c r="P22" s="5">
        <f>IF(MAESTRO!D22="","",IFERROR(TRUNC(AVERAGE(C22:O22),1),""))</f>
        <v/>
      </c>
      <c r="Q22" s="40" t="n">
        <v>18</v>
      </c>
      <c r="R22" s="22" t="n">
        <v>4.2</v>
      </c>
      <c r="S22" s="22" t="n">
        <v>4.7</v>
      </c>
      <c r="T22" s="22" t="n">
        <v>4.4</v>
      </c>
      <c r="U22" s="22" t="n">
        <v>3.7</v>
      </c>
      <c r="V22" s="22" t="n">
        <v>4.7</v>
      </c>
      <c r="W22" s="22" t="n">
        <v>3.1</v>
      </c>
      <c r="X22" s="22" t="n">
        <v>4.7</v>
      </c>
      <c r="Y22" s="22" t="n">
        <v>4.8</v>
      </c>
      <c r="Z22" s="22" t="n">
        <v>3</v>
      </c>
      <c r="AA22" s="45">
        <f>IF(MAESTRO!D22="","",IFERROR(TRUNC(AVERAGE(R22:Z22),1),""))</f>
        <v/>
      </c>
      <c r="AB22" s="177" t="n">
        <v>3.1</v>
      </c>
      <c r="AC22" s="42" t="n">
        <v>3.1</v>
      </c>
      <c r="AD22" s="5">
        <f>IF(MAESTRO!D22="","",IFERROR(AVERAGE(AB22:AC22),""))</f>
        <v/>
      </c>
      <c r="AE22" s="44">
        <f>IF(MAESTRO!D22="","",IFERROR(TRUNC(AVERAGE(P22,AA22,AD22),1),""))</f>
        <v/>
      </c>
      <c r="AF22" s="177" t="n"/>
      <c r="AG22" s="177" t="n">
        <v>18</v>
      </c>
      <c r="AH22" s="177" t="n">
        <v>18</v>
      </c>
      <c r="AI22" s="177">
        <f>IF(MAESTRO!D22="","",MAESTRO!D22)</f>
        <v/>
      </c>
      <c r="AJ22" s="178" t="n"/>
      <c r="AK22" s="61" t="n">
        <v>4.7</v>
      </c>
      <c r="AL22" s="62" t="n">
        <v>4.4</v>
      </c>
      <c r="AM22" s="61" t="n">
        <v>4.8</v>
      </c>
      <c r="AN22" s="61" t="n">
        <v>4.8</v>
      </c>
      <c r="AO22" s="61" t="n">
        <v>4.4</v>
      </c>
      <c r="AP22" s="61" t="n">
        <v>4.6</v>
      </c>
      <c r="AQ22" s="61" t="n">
        <v>3.3</v>
      </c>
      <c r="AR22" s="61" t="n">
        <v>3.9</v>
      </c>
      <c r="AS22" s="61" t="n">
        <v>4</v>
      </c>
      <c r="AT22" s="61" t="n">
        <v>3</v>
      </c>
      <c r="AU22" s="61" t="n">
        <v>4.5</v>
      </c>
      <c r="AV22" s="61" t="n">
        <v>3.3</v>
      </c>
      <c r="AW22" s="5">
        <f>IF(MAESTRO!D22="","",IFERROR(TRUNC(AVERAGE(AK22:AV22),1),""))</f>
        <v/>
      </c>
      <c r="AX22" s="22" t="n">
        <v>3.5</v>
      </c>
      <c r="AY22" s="22" t="n">
        <v>4.5</v>
      </c>
      <c r="AZ22" s="22" t="n">
        <v>3.8</v>
      </c>
      <c r="BA22" s="22" t="n">
        <v>3.7</v>
      </c>
      <c r="BB22" s="22" t="n">
        <v>3.3</v>
      </c>
      <c r="BC22" s="22" t="n">
        <v>3.3</v>
      </c>
      <c r="BD22" s="22" t="n">
        <v>4.5</v>
      </c>
      <c r="BE22" s="22" t="n">
        <v>3.4</v>
      </c>
      <c r="BF22" s="22" t="n">
        <v>3.4</v>
      </c>
      <c r="BG22" s="52" t="n">
        <v>4.2</v>
      </c>
      <c r="BH22" s="5">
        <f>IF(MAESTRO!D22="","",IFERROR(TRUNC(AVERAGE(AX22:BG22),1),""))</f>
        <v/>
      </c>
      <c r="BI22" s="22" t="n">
        <v>3.4</v>
      </c>
      <c r="BJ22" s="22" t="n">
        <v>4.6</v>
      </c>
      <c r="BK22" s="22">
        <f>IF(MAESTRO!D22="","",IFERROR(AVERAGE(BI22:BJ22),""))</f>
        <v/>
      </c>
      <c r="BL22" s="5">
        <f>IF(MAESTRO!D22="","",IFERROR(TRUNC(AVERAGE(AW22,BH22),1),""))</f>
        <v/>
      </c>
      <c r="BM22" s="177" t="n"/>
      <c r="BN22" s="177" t="n">
        <v>18</v>
      </c>
      <c r="BO22" s="177" t="n">
        <v>18</v>
      </c>
      <c r="BP22" s="177">
        <f>IF(MAESTRO!D22="","",MAESTRO!D22)</f>
        <v/>
      </c>
      <c r="BQ22" s="178" t="n"/>
      <c r="BR22" s="5" t="n">
        <v>3.8</v>
      </c>
      <c r="BS22" s="5" t="n">
        <v>4.2</v>
      </c>
      <c r="BT22" s="5" t="n">
        <v>3.5</v>
      </c>
      <c r="BU22" s="5" t="n">
        <v>4.7</v>
      </c>
      <c r="BV22" s="5" t="n">
        <v>4.8</v>
      </c>
      <c r="BW22" s="5" t="n">
        <v>4.9</v>
      </c>
      <c r="BX22" s="5" t="n">
        <v>3.6</v>
      </c>
      <c r="BY22" s="5" t="n">
        <v>4.5</v>
      </c>
      <c r="BZ22" s="5" t="n">
        <v>4.4</v>
      </c>
      <c r="CA22" s="5" t="n">
        <v>3.6</v>
      </c>
      <c r="CB22" s="5" t="n">
        <v>4.3</v>
      </c>
      <c r="CC22" s="5" t="n">
        <v>4.6</v>
      </c>
      <c r="CD22" s="5" t="n">
        <v>4.1</v>
      </c>
      <c r="CE22" s="5">
        <f>IF(MAESTRO!D22="","",IFERROR(TRUNC(AVERAGE(BR22:CD22),1),""))</f>
        <v/>
      </c>
      <c r="CF22" s="5" t="n">
        <v>4.9</v>
      </c>
      <c r="CG22" s="5" t="n">
        <v>3.3</v>
      </c>
      <c r="CH22" s="5" t="n">
        <v>4.9</v>
      </c>
      <c r="CI22" s="5" t="n">
        <v>4.6</v>
      </c>
      <c r="CJ22" s="5" t="n">
        <v>4.4</v>
      </c>
      <c r="CK22" s="5" t="n">
        <v>4.7</v>
      </c>
      <c r="CL22" s="5" t="n">
        <v>4.5</v>
      </c>
      <c r="CM22" s="5" t="n">
        <v>3.5</v>
      </c>
      <c r="CN22" s="5" t="n">
        <v>4</v>
      </c>
      <c r="CO22" s="5" t="n">
        <v>3.2</v>
      </c>
      <c r="CP22" s="5">
        <f>IF(MAESTRO!D22="","",IFERROR(TRUNC(AVERAGE(CF22:CO22),1),""))</f>
        <v/>
      </c>
      <c r="CQ22" s="5" t="n">
        <v>4.3</v>
      </c>
      <c r="CR22" s="5" t="n">
        <v>4.5</v>
      </c>
      <c r="CS22" s="5">
        <f>IF(MAESTRO!D22="","",IFERROR(AVERAGE(CQ22:CR22),""))</f>
        <v/>
      </c>
      <c r="CT22" s="5">
        <f>IF(MAESTRO!D22="","",IFERROR(TRUNC(AVERAGE(CE22,CP22,CS22),1),""))</f>
        <v/>
      </c>
      <c r="CU22" s="177" t="n"/>
      <c r="CV22" s="55"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v>4.4</v>
      </c>
      <c r="D23" s="5" t="n">
        <v>3.5</v>
      </c>
      <c r="E23" s="5" t="n">
        <v>4.9</v>
      </c>
      <c r="F23" s="5" t="n">
        <v>4.7</v>
      </c>
      <c r="G23" s="5" t="n">
        <v>3.5</v>
      </c>
      <c r="H23" s="5" t="n">
        <v>3.2</v>
      </c>
      <c r="I23" s="5" t="n">
        <v>3.2</v>
      </c>
      <c r="J23" s="5" t="n">
        <v>4.4</v>
      </c>
      <c r="K23" s="5" t="n">
        <v>4.6</v>
      </c>
      <c r="L23" s="5" t="n">
        <v>3.6</v>
      </c>
      <c r="M23" s="5" t="n">
        <v>4.2</v>
      </c>
      <c r="N23" s="5" t="n">
        <v>4.1</v>
      </c>
      <c r="O23" s="5" t="n">
        <v>3.4</v>
      </c>
      <c r="P23" s="5">
        <f>IF(MAESTRO!D23="","",IFERROR(TRUNC(AVERAGE(C23:O23),1),""))</f>
        <v/>
      </c>
      <c r="Q23" s="40" t="n">
        <v>19</v>
      </c>
      <c r="R23" s="22" t="n">
        <v>4.6</v>
      </c>
      <c r="S23" s="22" t="n">
        <v>3.8</v>
      </c>
      <c r="T23" s="22" t="n">
        <v>3.5</v>
      </c>
      <c r="U23" s="22" t="n">
        <v>3.9</v>
      </c>
      <c r="V23" s="22" t="n">
        <v>4.1</v>
      </c>
      <c r="W23" s="22" t="n">
        <v>3.5</v>
      </c>
      <c r="X23" s="22" t="n">
        <v>4.2</v>
      </c>
      <c r="Y23" s="22" t="n">
        <v>3.4</v>
      </c>
      <c r="Z23" s="22" t="n">
        <v>3.4</v>
      </c>
      <c r="AA23" s="45">
        <f>IF(MAESTRO!D23="","",IFERROR(TRUNC(AVERAGE(R23:Z23),1),""))</f>
        <v/>
      </c>
      <c r="AB23" s="177" t="n">
        <v>4.5</v>
      </c>
      <c r="AC23" s="42" t="n">
        <v>3.3</v>
      </c>
      <c r="AD23" s="5">
        <f>IF(MAESTRO!D23="","",IFERROR(AVERAGE(AB23:AC23),""))</f>
        <v/>
      </c>
      <c r="AE23" s="44">
        <f>IF(MAESTRO!D23="","",IFERROR(TRUNC(AVERAGE(P23,AA23,AD23),1),""))</f>
        <v/>
      </c>
      <c r="AF23" s="177" t="n"/>
      <c r="AG23" s="177" t="n">
        <v>19</v>
      </c>
      <c r="AH23" s="177" t="n">
        <v>19</v>
      </c>
      <c r="AI23" s="177">
        <f>IF(MAESTRO!D23="","",MAESTRO!D23)</f>
        <v/>
      </c>
      <c r="AJ23" s="178" t="n"/>
      <c r="AK23" s="62" t="n">
        <v>4.1</v>
      </c>
      <c r="AL23" s="61" t="n">
        <v>4.5</v>
      </c>
      <c r="AM23" s="61" t="n">
        <v>3.8</v>
      </c>
      <c r="AN23" s="61" t="n">
        <v>3.3</v>
      </c>
      <c r="AO23" s="61" t="n">
        <v>4.1</v>
      </c>
      <c r="AP23" s="61" t="n">
        <v>3.1</v>
      </c>
      <c r="AQ23" s="61" t="n">
        <v>3</v>
      </c>
      <c r="AR23" s="61" t="n">
        <v>4.7</v>
      </c>
      <c r="AS23" s="61" t="n">
        <v>4.9</v>
      </c>
      <c r="AT23" s="61" t="n">
        <v>4.3</v>
      </c>
      <c r="AU23" s="61" t="n">
        <v>4</v>
      </c>
      <c r="AV23" s="61" t="n">
        <v>4.3</v>
      </c>
      <c r="AW23" s="5">
        <f>IF(MAESTRO!D23="","",IFERROR(TRUNC(AVERAGE(AK23:AV23),1),""))</f>
        <v/>
      </c>
      <c r="AX23" s="22" t="n">
        <v>4.1</v>
      </c>
      <c r="AY23" s="22" t="n">
        <v>4.9</v>
      </c>
      <c r="AZ23" s="22" t="n">
        <v>3.5</v>
      </c>
      <c r="BA23" s="22" t="n">
        <v>3.9</v>
      </c>
      <c r="BB23" s="22" t="n">
        <v>4.9</v>
      </c>
      <c r="BC23" s="22" t="n">
        <v>4.9</v>
      </c>
      <c r="BD23" s="22" t="n">
        <v>3.7</v>
      </c>
      <c r="BE23" s="22" t="n">
        <v>4.9</v>
      </c>
      <c r="BF23" s="22" t="n">
        <v>4.5</v>
      </c>
      <c r="BG23" s="52" t="n">
        <v>3.3</v>
      </c>
      <c r="BH23" s="5">
        <f>IF(MAESTRO!D23="","",IFERROR(TRUNC(AVERAGE(AX23:BG23),1),""))</f>
        <v/>
      </c>
      <c r="BI23" s="22" t="n">
        <v>3.5</v>
      </c>
      <c r="BJ23" s="22" t="n">
        <v>3.2</v>
      </c>
      <c r="BK23" s="22">
        <f>IF(MAESTRO!D23="","",IFERROR(AVERAGE(BI23:BJ23),""))</f>
        <v/>
      </c>
      <c r="BL23" s="5">
        <f>IF(MAESTRO!D23="","",IFERROR(TRUNC(AVERAGE(AW23,BH23),1),""))</f>
        <v/>
      </c>
      <c r="BM23" s="177" t="n"/>
      <c r="BN23" s="177" t="n">
        <v>19</v>
      </c>
      <c r="BO23" s="177" t="n">
        <v>19</v>
      </c>
      <c r="BP23" s="177">
        <f>IF(MAESTRO!D23="","",MAESTRO!D23)</f>
        <v/>
      </c>
      <c r="BQ23" s="178" t="n"/>
      <c r="BR23" s="5" t="n">
        <v>3.3</v>
      </c>
      <c r="BS23" s="5" t="n">
        <v>4.5</v>
      </c>
      <c r="BT23" s="5" t="n">
        <v>3.1</v>
      </c>
      <c r="BU23" s="5" t="n">
        <v>3.3</v>
      </c>
      <c r="BV23" s="5" t="n">
        <v>4.3</v>
      </c>
      <c r="BW23" s="5" t="n">
        <v>4.4</v>
      </c>
      <c r="BX23" s="5" t="n">
        <v>3.5</v>
      </c>
      <c r="BY23" s="5" t="n">
        <v>4.6</v>
      </c>
      <c r="BZ23" s="5" t="n">
        <v>3.5</v>
      </c>
      <c r="CA23" s="5" t="n">
        <v>3.5</v>
      </c>
      <c r="CB23" s="5" t="n">
        <v>4.1</v>
      </c>
      <c r="CC23" s="5" t="n">
        <v>4.5</v>
      </c>
      <c r="CD23" s="5" t="n">
        <v>3.9</v>
      </c>
      <c r="CE23" s="5">
        <f>IF(MAESTRO!D23="","",IFERROR(TRUNC(AVERAGE(BR23:CD23),1),""))</f>
        <v/>
      </c>
      <c r="CF23" s="5" t="n">
        <v>3.2</v>
      </c>
      <c r="CG23" s="5" t="n">
        <v>4.9</v>
      </c>
      <c r="CH23" s="5" t="n">
        <v>3.2</v>
      </c>
      <c r="CI23" s="5" t="n">
        <v>3.4</v>
      </c>
      <c r="CJ23" s="5" t="n">
        <v>4.2</v>
      </c>
      <c r="CK23" s="5" t="n">
        <v>4</v>
      </c>
      <c r="CL23" s="5" t="n">
        <v>4.5</v>
      </c>
      <c r="CM23" s="5" t="n">
        <v>3.1</v>
      </c>
      <c r="CN23" s="5" t="n">
        <v>4.3</v>
      </c>
      <c r="CO23" s="5" t="n">
        <v>4.9</v>
      </c>
      <c r="CP23" s="5">
        <f>IF(MAESTRO!D23="","",IFERROR(TRUNC(AVERAGE(CF23:CO23),1),""))</f>
        <v/>
      </c>
      <c r="CQ23" s="5" t="n">
        <v>5</v>
      </c>
      <c r="CR23" s="5" t="n">
        <v>3.7</v>
      </c>
      <c r="CS23" s="5">
        <f>IF(MAESTRO!D23="","",IFERROR(AVERAGE(CQ23:CR23),""))</f>
        <v/>
      </c>
      <c r="CT23" s="5">
        <f>IF(MAESTRO!D23="","",IFERROR(TRUNC(AVERAGE(CE23,CP23,CS23),1),""))</f>
        <v/>
      </c>
      <c r="CU23" s="177" t="n"/>
      <c r="CV23" s="55"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v>3.8</v>
      </c>
      <c r="D24" s="5" t="n">
        <v>5</v>
      </c>
      <c r="E24" s="5" t="n">
        <v>4.5</v>
      </c>
      <c r="F24" s="5" t="n">
        <v>3.7</v>
      </c>
      <c r="G24" s="5" t="n">
        <v>4.4</v>
      </c>
      <c r="H24" s="5" t="n">
        <v>4.6</v>
      </c>
      <c r="I24" s="5" t="n">
        <v>3.3</v>
      </c>
      <c r="J24" s="5" t="n">
        <v>4</v>
      </c>
      <c r="K24" s="5" t="n">
        <v>3.6</v>
      </c>
      <c r="L24" s="5" t="n">
        <v>4</v>
      </c>
      <c r="M24" s="5" t="n">
        <v>3.5</v>
      </c>
      <c r="N24" s="5" t="n">
        <v>4.5</v>
      </c>
      <c r="O24" s="5" t="n">
        <v>4.4</v>
      </c>
      <c r="P24" s="5">
        <f>IF(MAESTRO!D24="","",IFERROR(TRUNC(AVERAGE(C24:O24),1),""))</f>
        <v/>
      </c>
      <c r="Q24" s="40" t="n">
        <v>20</v>
      </c>
      <c r="R24" s="22" t="n">
        <v>3.3</v>
      </c>
      <c r="S24" s="22" t="n">
        <v>3.1</v>
      </c>
      <c r="T24" s="22" t="n">
        <v>3.8</v>
      </c>
      <c r="U24" s="22" t="n">
        <v>4</v>
      </c>
      <c r="V24" s="22" t="n">
        <v>3.2</v>
      </c>
      <c r="W24" s="22" t="n">
        <v>3.5</v>
      </c>
      <c r="X24" s="22" t="n">
        <v>4.9</v>
      </c>
      <c r="Y24" s="22" t="n">
        <v>3.8</v>
      </c>
      <c r="Z24" s="22" t="n">
        <v>4.8</v>
      </c>
      <c r="AA24" s="45">
        <f>IF(MAESTRO!D24="","",IFERROR(TRUNC(AVERAGE(R24:Z24),1),""))</f>
        <v/>
      </c>
      <c r="AB24" s="177" t="n">
        <v>3.5</v>
      </c>
      <c r="AC24" s="42" t="n">
        <v>3.4</v>
      </c>
      <c r="AD24" s="5">
        <f>IF(MAESTRO!D24="","",IFERROR(AVERAGE(AB24:AC24),""))</f>
        <v/>
      </c>
      <c r="AE24" s="44">
        <f>IF(MAESTRO!D24="","",IFERROR(TRUNC(AVERAGE(P24,AA24,AD24),1),""))</f>
        <v/>
      </c>
      <c r="AF24" s="177" t="n"/>
      <c r="AG24" s="177" t="n">
        <v>20</v>
      </c>
      <c r="AH24" s="177" t="n">
        <v>20</v>
      </c>
      <c r="AI24" s="177">
        <f>IF(MAESTRO!D24="","",MAESTRO!D24)</f>
        <v/>
      </c>
      <c r="AJ24" s="178" t="n"/>
      <c r="AK24" s="61" t="n">
        <v>3.9</v>
      </c>
      <c r="AL24" s="61" t="n">
        <v>4.8</v>
      </c>
      <c r="AM24" s="61" t="n">
        <v>5</v>
      </c>
      <c r="AN24" s="61" t="n">
        <v>4.9</v>
      </c>
      <c r="AO24" s="61" t="n">
        <v>3.2</v>
      </c>
      <c r="AP24" s="61" t="n">
        <v>3.6</v>
      </c>
      <c r="AQ24" s="61" t="n">
        <v>4.1</v>
      </c>
      <c r="AR24" s="61" t="n">
        <v>4.7</v>
      </c>
      <c r="AS24" s="61" t="n">
        <v>3.5</v>
      </c>
      <c r="AT24" s="61" t="n">
        <v>4.4</v>
      </c>
      <c r="AU24" s="61" t="n">
        <v>4.3</v>
      </c>
      <c r="AV24" s="61" t="n">
        <v>4.6</v>
      </c>
      <c r="AW24" s="5">
        <f>IF(MAESTRO!D24="","",IFERROR(TRUNC(AVERAGE(AK24:AV24),1),""))</f>
        <v/>
      </c>
      <c r="AX24" s="22" t="n">
        <v>3.5</v>
      </c>
      <c r="AY24" s="22" t="n">
        <v>3.4</v>
      </c>
      <c r="AZ24" s="22" t="n">
        <v>4</v>
      </c>
      <c r="BA24" s="22" t="n">
        <v>3.4</v>
      </c>
      <c r="BB24" s="22" t="n">
        <v>4</v>
      </c>
      <c r="BC24" s="22" t="n">
        <v>4.7</v>
      </c>
      <c r="BD24" s="22" t="n">
        <v>3.2</v>
      </c>
      <c r="BE24" s="22" t="n">
        <v>4.4</v>
      </c>
      <c r="BF24" s="22" t="n">
        <v>4.9</v>
      </c>
      <c r="BG24" s="52" t="n">
        <v>4.7</v>
      </c>
      <c r="BH24" s="5">
        <f>IF(MAESTRO!D24="","",IFERROR(TRUNC(AVERAGE(AX24:BG24),1),""))</f>
        <v/>
      </c>
      <c r="BI24" s="22" t="n">
        <v>3.8</v>
      </c>
      <c r="BJ24" s="22" t="n">
        <v>4.8</v>
      </c>
      <c r="BK24" s="22">
        <f>IF(MAESTRO!D24="","",IFERROR(AVERAGE(BI24:BJ24),""))</f>
        <v/>
      </c>
      <c r="BL24" s="5">
        <f>IF(MAESTRO!D24="","",IFERROR(TRUNC(AVERAGE(AW24,BH24),1),""))</f>
        <v/>
      </c>
      <c r="BM24" s="177" t="n"/>
      <c r="BN24" s="177" t="n">
        <v>20</v>
      </c>
      <c r="BO24" s="177" t="n">
        <v>20</v>
      </c>
      <c r="BP24" s="177">
        <f>IF(MAESTRO!D24="","",MAESTRO!D24)</f>
        <v/>
      </c>
      <c r="BQ24" s="178" t="n"/>
      <c r="BR24" s="5" t="n">
        <v>4.4</v>
      </c>
      <c r="BS24" s="89" t="n">
        <v>3</v>
      </c>
      <c r="BT24" s="5" t="n">
        <v>4.8</v>
      </c>
      <c r="BU24" s="5" t="n">
        <v>3.6</v>
      </c>
      <c r="BV24" s="5" t="n">
        <v>4.3</v>
      </c>
      <c r="BW24" s="5" t="n">
        <v>4.4</v>
      </c>
      <c r="BX24" s="5" t="n">
        <v>4.3</v>
      </c>
      <c r="BY24" s="5" t="n">
        <v>3.8</v>
      </c>
      <c r="BZ24" s="5" t="n">
        <v>3.5</v>
      </c>
      <c r="CA24" s="5" t="n">
        <v>3.6</v>
      </c>
      <c r="CB24" s="5" t="n">
        <v>4.1</v>
      </c>
      <c r="CC24" s="5" t="n">
        <v>3.9</v>
      </c>
      <c r="CD24" s="5" t="n">
        <v>4.9</v>
      </c>
      <c r="CE24" s="5">
        <f>IF(MAESTRO!D24="","",IFERROR(TRUNC(AVERAGE(BR24:CD24),1),""))</f>
        <v/>
      </c>
      <c r="CF24" s="5" t="n">
        <v>3.7</v>
      </c>
      <c r="CG24" s="5" t="n">
        <v>3.7</v>
      </c>
      <c r="CH24" s="5" t="n">
        <v>3.4</v>
      </c>
      <c r="CI24" s="5" t="n">
        <v>4.1</v>
      </c>
      <c r="CJ24" s="5" t="n">
        <v>3.3</v>
      </c>
      <c r="CK24" s="5" t="n">
        <v>3.5</v>
      </c>
      <c r="CL24" s="5" t="n">
        <v>4.5</v>
      </c>
      <c r="CM24" s="5" t="n">
        <v>3.6</v>
      </c>
      <c r="CN24" s="5" t="n">
        <v>3.5</v>
      </c>
      <c r="CO24" s="5" t="n">
        <v>5</v>
      </c>
      <c r="CP24" s="5">
        <f>IF(MAESTRO!D24="","",IFERROR(TRUNC(AVERAGE(CF24:CO24),1),""))</f>
        <v/>
      </c>
      <c r="CQ24" s="5" t="n">
        <v>4.7</v>
      </c>
      <c r="CR24" s="5" t="n">
        <v>4.2</v>
      </c>
      <c r="CS24" s="5">
        <f>IF(MAESTRO!D24="","",IFERROR(AVERAGE(CQ24:CR24),""))</f>
        <v/>
      </c>
      <c r="CT24" s="5">
        <f>IF(MAESTRO!D24="","",IFERROR(TRUNC(AVERAGE(CE24,CP24,CS24),1),""))</f>
        <v/>
      </c>
      <c r="CU24" s="177" t="n"/>
      <c r="CV24" s="55"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v>4.2</v>
      </c>
      <c r="D25" s="5" t="n">
        <v>3.2</v>
      </c>
      <c r="E25" s="5" t="n">
        <v>3.6</v>
      </c>
      <c r="F25" s="5" t="n">
        <v>3.7</v>
      </c>
      <c r="G25" s="5" t="n">
        <v>4.1</v>
      </c>
      <c r="H25" s="5" t="n">
        <v>4.6</v>
      </c>
      <c r="I25" s="5" t="n">
        <v>3.2</v>
      </c>
      <c r="J25" s="5" t="n">
        <v>3.9</v>
      </c>
      <c r="K25" s="5" t="n">
        <v>3.4</v>
      </c>
      <c r="L25" s="5" t="n">
        <v>3.8</v>
      </c>
      <c r="M25" s="5" t="n">
        <v>3.4</v>
      </c>
      <c r="N25" s="5" t="n">
        <v>3.4</v>
      </c>
      <c r="O25" s="5" t="n">
        <v>4.5</v>
      </c>
      <c r="P25" s="5">
        <f>IF(MAESTRO!D25="","",IFERROR(TRUNC(AVERAGE(C25:O25),1),""))</f>
        <v/>
      </c>
      <c r="Q25" s="40" t="n">
        <v>21</v>
      </c>
      <c r="R25" s="22" t="n">
        <v>3</v>
      </c>
      <c r="S25" s="22" t="n">
        <v>4.7</v>
      </c>
      <c r="T25" s="22" t="n">
        <v>4.6</v>
      </c>
      <c r="U25" s="22" t="n">
        <v>3.5</v>
      </c>
      <c r="V25" s="22" t="n">
        <v>3.7</v>
      </c>
      <c r="W25" s="22" t="n">
        <v>4.1</v>
      </c>
      <c r="X25" s="22" t="n">
        <v>4.1</v>
      </c>
      <c r="Y25" s="22" t="n">
        <v>4.5</v>
      </c>
      <c r="Z25" s="22" t="n">
        <v>4.2</v>
      </c>
      <c r="AA25" s="45">
        <f>IF(MAESTRO!D25="","",IFERROR(TRUNC(AVERAGE(R25:Z25),1),""))</f>
        <v/>
      </c>
      <c r="AB25" s="177" t="n">
        <v>3</v>
      </c>
      <c r="AC25" s="42" t="n">
        <v>4.5</v>
      </c>
      <c r="AD25" s="5">
        <f>IF(MAESTRO!D25="","",IFERROR(AVERAGE(AB25:AC25),""))</f>
        <v/>
      </c>
      <c r="AE25" s="44">
        <f>IF(MAESTRO!D25="","",IFERROR(TRUNC(AVERAGE(P25,AA25,AD25),1),""))</f>
        <v/>
      </c>
      <c r="AF25" s="177" t="n"/>
      <c r="AG25" s="177" t="n">
        <v>21</v>
      </c>
      <c r="AH25" s="177" t="n">
        <v>21</v>
      </c>
      <c r="AI25" s="177">
        <f>IF(MAESTRO!D25="","",MAESTRO!D25)</f>
        <v/>
      </c>
      <c r="AJ25" s="178" t="n"/>
      <c r="AK25" s="61" t="n">
        <v>4.1</v>
      </c>
      <c r="AL25" s="61" t="n">
        <v>3.9</v>
      </c>
      <c r="AM25" s="61" t="n">
        <v>4.4</v>
      </c>
      <c r="AN25" s="61" t="n">
        <v>4.6</v>
      </c>
      <c r="AO25" s="61" t="n">
        <v>3.5</v>
      </c>
      <c r="AP25" s="61" t="n">
        <v>5</v>
      </c>
      <c r="AQ25" s="61" t="n">
        <v>4</v>
      </c>
      <c r="AR25" s="61" t="n">
        <v>4.9</v>
      </c>
      <c r="AS25" s="61" t="n">
        <v>3.3</v>
      </c>
      <c r="AT25" s="61" t="n">
        <v>4.6</v>
      </c>
      <c r="AU25" s="61" t="n">
        <v>3.3</v>
      </c>
      <c r="AV25" s="61" t="n">
        <v>3.9</v>
      </c>
      <c r="AW25" s="5">
        <f>IF(MAESTRO!D25="","",IFERROR(TRUNC(AVERAGE(AK25:AV25),1),""))</f>
        <v/>
      </c>
      <c r="AX25" s="22" t="n">
        <v>3</v>
      </c>
      <c r="AY25" s="92" t="n">
        <v>3.2</v>
      </c>
      <c r="AZ25" s="22" t="n">
        <v>3.3</v>
      </c>
      <c r="BA25" s="22" t="n">
        <v>3.8</v>
      </c>
      <c r="BB25" s="22" t="n">
        <v>4.7</v>
      </c>
      <c r="BC25" s="22" t="n">
        <v>3.9</v>
      </c>
      <c r="BD25" s="22" t="n">
        <v>4.9</v>
      </c>
      <c r="BE25" s="22" t="n">
        <v>4.6</v>
      </c>
      <c r="BF25" s="22" t="n">
        <v>3.6</v>
      </c>
      <c r="BG25" s="52" t="n">
        <v>3.4</v>
      </c>
      <c r="BH25" s="5">
        <f>IF(MAESTRO!D25="","",IFERROR(TRUNC(AVERAGE(AX25:BG25),1),""))</f>
        <v/>
      </c>
      <c r="BI25" s="22" t="n">
        <v>4.6</v>
      </c>
      <c r="BJ25" s="22" t="n">
        <v>4.7</v>
      </c>
      <c r="BK25" s="22">
        <f>IF(MAESTRO!D25="","",IFERROR(AVERAGE(BI25:BJ25),""))</f>
        <v/>
      </c>
      <c r="BL25" s="5">
        <f>IF(MAESTRO!D25="","",IFERROR(TRUNC(AVERAGE(AW25,BH25),1),""))</f>
        <v/>
      </c>
      <c r="BM25" s="177" t="n"/>
      <c r="BN25" s="177" t="n">
        <v>21</v>
      </c>
      <c r="BO25" s="177" t="n">
        <v>21</v>
      </c>
      <c r="BP25" s="177">
        <f>IF(MAESTRO!D25="","",MAESTRO!D25)</f>
        <v/>
      </c>
      <c r="BQ25" s="178" t="n"/>
      <c r="BR25" s="5" t="n">
        <v>4.8</v>
      </c>
      <c r="BS25" s="89" t="n">
        <v>3</v>
      </c>
      <c r="BT25" s="5" t="n">
        <v>4.1</v>
      </c>
      <c r="BU25" s="5" t="n">
        <v>4.4</v>
      </c>
      <c r="BV25" s="5" t="n">
        <v>4.7</v>
      </c>
      <c r="BW25" s="5" t="n">
        <v>4.1</v>
      </c>
      <c r="BX25" s="5" t="n">
        <v>4</v>
      </c>
      <c r="BY25" s="5" t="n">
        <v>4.7</v>
      </c>
      <c r="BZ25" s="5" t="n">
        <v>3.3</v>
      </c>
      <c r="CA25" s="5" t="n">
        <v>3.1</v>
      </c>
      <c r="CB25" s="5" t="n">
        <v>5</v>
      </c>
      <c r="CC25" s="5" t="n">
        <v>3.8</v>
      </c>
      <c r="CD25" s="5" t="n">
        <v>3.9</v>
      </c>
      <c r="CE25" s="5">
        <f>IF(MAESTRO!D25="","",IFERROR(TRUNC(AVERAGE(BR25:CD25),1),""))</f>
        <v/>
      </c>
      <c r="CF25" s="5" t="n">
        <v>4.9</v>
      </c>
      <c r="CG25" s="5" t="n">
        <v>3.9</v>
      </c>
      <c r="CH25" s="5" t="n">
        <v>4.5</v>
      </c>
      <c r="CI25" s="5" t="n">
        <v>3.4</v>
      </c>
      <c r="CJ25" s="5" t="n">
        <v>3.6</v>
      </c>
      <c r="CK25" s="5" t="n">
        <v>3.3</v>
      </c>
      <c r="CL25" s="5" t="n">
        <v>4.8</v>
      </c>
      <c r="CM25" s="5" t="n">
        <v>3.9</v>
      </c>
      <c r="CN25" s="5" t="n">
        <v>4</v>
      </c>
      <c r="CO25" s="5" t="n">
        <v>3.4</v>
      </c>
      <c r="CP25" s="5">
        <f>IF(MAESTRO!D25="","",IFERROR(TRUNC(AVERAGE(CF25:CO25),1),""))</f>
        <v/>
      </c>
      <c r="CQ25" s="5" t="n">
        <v>3.2</v>
      </c>
      <c r="CR25" s="5" t="n">
        <v>5</v>
      </c>
      <c r="CS25" s="5">
        <f>IF(MAESTRO!D25="","",IFERROR(AVERAGE(CQ25:CR25),""))</f>
        <v/>
      </c>
      <c r="CT25" s="5">
        <f>IF(MAESTRO!D25="","",IFERROR(TRUNC(AVERAGE(CE25,CP25,CS25),1),""))</f>
        <v/>
      </c>
      <c r="CU25" s="177" t="n"/>
      <c r="CV25" s="55"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v>4.5</v>
      </c>
      <c r="D26" s="5" t="n">
        <v>4</v>
      </c>
      <c r="E26" s="5" t="n">
        <v>4.4</v>
      </c>
      <c r="F26" s="5" t="n">
        <v>3.8</v>
      </c>
      <c r="G26" s="5" t="n">
        <v>3.6</v>
      </c>
      <c r="H26" s="5" t="n">
        <v>3.2</v>
      </c>
      <c r="I26" s="5" t="n">
        <v>3.4</v>
      </c>
      <c r="J26" s="5" t="n">
        <v>4.5</v>
      </c>
      <c r="K26" s="5" t="n">
        <v>3.4</v>
      </c>
      <c r="L26" s="5" t="n">
        <v>3.1</v>
      </c>
      <c r="M26" s="5" t="n">
        <v>4.1</v>
      </c>
      <c r="N26" s="5" t="n">
        <v>4.2</v>
      </c>
      <c r="O26" s="5" t="n">
        <v>4.5</v>
      </c>
      <c r="P26" s="5">
        <f>IF(MAESTRO!D26="","",IFERROR(TRUNC(AVERAGE(C26:O26),1),""))</f>
        <v/>
      </c>
      <c r="Q26" s="40" t="n">
        <v>22</v>
      </c>
      <c r="R26" s="22" t="n">
        <v>3.4</v>
      </c>
      <c r="S26" s="22" t="n">
        <v>3.3</v>
      </c>
      <c r="T26" s="22" t="n">
        <v>3.3</v>
      </c>
      <c r="U26" s="22" t="n">
        <v>4.2</v>
      </c>
      <c r="V26" s="22" t="n">
        <v>3.2</v>
      </c>
      <c r="W26" s="22" t="n">
        <v>4.7</v>
      </c>
      <c r="X26" s="22" t="n">
        <v>4.1</v>
      </c>
      <c r="Y26" s="22" t="n">
        <v>4.4</v>
      </c>
      <c r="Z26" s="22" t="n">
        <v>5</v>
      </c>
      <c r="AA26" s="45">
        <f>IF(MAESTRO!D26="","",IFERROR(TRUNC(AVERAGE(R26:Z26),1),""))</f>
        <v/>
      </c>
      <c r="AB26" s="177" t="n">
        <v>4.1</v>
      </c>
      <c r="AC26" s="42" t="n">
        <v>4.5</v>
      </c>
      <c r="AD26" s="5">
        <f>IF(MAESTRO!D26="","",IFERROR(AVERAGE(AB26:AC26),""))</f>
        <v/>
      </c>
      <c r="AE26" s="44">
        <f>IF(MAESTRO!D26="","",IFERROR(TRUNC(AVERAGE(P26,AA26,AD26),1),""))</f>
        <v/>
      </c>
      <c r="AF26" s="177" t="n"/>
      <c r="AG26" s="177" t="n">
        <v>22</v>
      </c>
      <c r="AH26" s="177" t="n">
        <v>22</v>
      </c>
      <c r="AI26" s="177">
        <f>IF(MAESTRO!D26="","",MAESTRO!D26)</f>
        <v/>
      </c>
      <c r="AJ26" s="178" t="n"/>
      <c r="AK26" s="61" t="n">
        <v>3.9</v>
      </c>
      <c r="AL26" s="61" t="n">
        <v>4.5</v>
      </c>
      <c r="AM26" s="61" t="n">
        <v>3.5</v>
      </c>
      <c r="AN26" s="61" t="n">
        <v>3.9</v>
      </c>
      <c r="AO26" s="61" t="n">
        <v>4.9</v>
      </c>
      <c r="AP26" s="61" t="n">
        <v>4.1</v>
      </c>
      <c r="AQ26" s="61" t="n">
        <v>3.1</v>
      </c>
      <c r="AR26" s="61" t="n">
        <v>3.5</v>
      </c>
      <c r="AS26" s="61" t="n">
        <v>3.9</v>
      </c>
      <c r="AT26" s="61" t="n">
        <v>4.7</v>
      </c>
      <c r="AU26" s="61" t="n">
        <v>3.6</v>
      </c>
      <c r="AV26" s="61" t="n">
        <v>3.3</v>
      </c>
      <c r="AW26" s="5">
        <f>IF(MAESTRO!D26="","",IFERROR(TRUNC(AVERAGE(AK26:AV26),1),""))</f>
        <v/>
      </c>
      <c r="AX26" s="22" t="n">
        <v>4.7</v>
      </c>
      <c r="AY26" s="92" t="n">
        <v>3.6</v>
      </c>
      <c r="AZ26" s="22" t="n">
        <v>4.8</v>
      </c>
      <c r="BA26" s="22" t="n">
        <v>3.1</v>
      </c>
      <c r="BB26" s="22" t="n">
        <v>3.7</v>
      </c>
      <c r="BC26" s="22" t="n">
        <v>3</v>
      </c>
      <c r="BD26" s="22" t="n">
        <v>4.5</v>
      </c>
      <c r="BE26" s="22" t="n">
        <v>3.2</v>
      </c>
      <c r="BF26" s="22" t="n">
        <v>4.2</v>
      </c>
      <c r="BG26" s="52" t="n">
        <v>3.4</v>
      </c>
      <c r="BH26" s="5">
        <f>IF(MAESTRO!D26="","",IFERROR(TRUNC(AVERAGE(AX26:BG26),1),""))</f>
        <v/>
      </c>
      <c r="BI26" s="22" t="n">
        <v>4</v>
      </c>
      <c r="BJ26" s="22" t="n">
        <v>4.8</v>
      </c>
      <c r="BK26" s="22">
        <f>IF(MAESTRO!D26="","",IFERROR(AVERAGE(BI26:BJ26),""))</f>
        <v/>
      </c>
      <c r="BL26" s="5">
        <f>IF(MAESTRO!D26="","",IFERROR(TRUNC(AVERAGE(AW26,BH26),1),""))</f>
        <v/>
      </c>
      <c r="BM26" s="177" t="n"/>
      <c r="BN26" s="177" t="n">
        <v>22</v>
      </c>
      <c r="BO26" s="177" t="n">
        <v>22</v>
      </c>
      <c r="BP26" s="177">
        <f>IF(MAESTRO!D26="","",MAESTRO!D26)</f>
        <v/>
      </c>
      <c r="BQ26" s="178" t="n"/>
      <c r="BR26" s="89" t="n">
        <v>3.6</v>
      </c>
      <c r="BS26" s="89" t="n">
        <v>3.3</v>
      </c>
      <c r="BT26" s="89" t="n">
        <v>3.2</v>
      </c>
      <c r="BU26" s="89" t="n">
        <v>4.2</v>
      </c>
      <c r="BV26" s="5" t="n">
        <v>4.7</v>
      </c>
      <c r="BW26" s="5" t="n">
        <v>4</v>
      </c>
      <c r="BX26" s="5" t="n">
        <v>4.1</v>
      </c>
      <c r="BY26" s="5" t="n">
        <v>3.2</v>
      </c>
      <c r="BZ26" s="5" t="n">
        <v>4.7</v>
      </c>
      <c r="CA26" s="5" t="n">
        <v>3.4</v>
      </c>
      <c r="CB26" s="5" t="n">
        <v>3.6</v>
      </c>
      <c r="CC26" s="5" t="n">
        <v>3.9</v>
      </c>
      <c r="CD26" s="5" t="n">
        <v>4.9</v>
      </c>
      <c r="CE26" s="5">
        <f>IF(MAESTRO!D26="","",IFERROR(TRUNC(AVERAGE(BR26:CD26),1),""))</f>
        <v/>
      </c>
      <c r="CF26" s="5" t="n">
        <v>3</v>
      </c>
      <c r="CG26" s="5" t="n">
        <v>3.3</v>
      </c>
      <c r="CH26" s="5" t="n">
        <v>4.4</v>
      </c>
      <c r="CI26" s="5" t="n">
        <v>4.8</v>
      </c>
      <c r="CJ26" s="5" t="n">
        <v>4.8</v>
      </c>
      <c r="CK26" s="5" t="n">
        <v>4.7</v>
      </c>
      <c r="CL26" s="5" t="n">
        <v>4.5</v>
      </c>
      <c r="CM26" s="5" t="n">
        <v>3</v>
      </c>
      <c r="CN26" s="5" t="n">
        <v>3.4</v>
      </c>
      <c r="CO26" s="5" t="n">
        <v>4.3</v>
      </c>
      <c r="CP26" s="5">
        <f>IF(MAESTRO!D26="","",IFERROR(TRUNC(AVERAGE(CF26:CO26),1),""))</f>
        <v/>
      </c>
      <c r="CQ26" s="5" t="n">
        <v>3.4</v>
      </c>
      <c r="CR26" s="5" t="n">
        <v>3.7</v>
      </c>
      <c r="CS26" s="5">
        <f>IF(MAESTRO!D26="","",IFERROR(AVERAGE(CQ26:CR26),""))</f>
        <v/>
      </c>
      <c r="CT26" s="5">
        <f>IF(MAESTRO!D26="","",IFERROR(TRUNC(AVERAGE(CE26,CP26,CS26),1),""))</f>
        <v/>
      </c>
      <c r="CU26" s="177" t="n"/>
      <c r="CV26" s="55"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v>4.3</v>
      </c>
      <c r="D27" s="5" t="n">
        <v>4.7</v>
      </c>
      <c r="E27" s="5" t="n">
        <v>3.4</v>
      </c>
      <c r="F27" s="5" t="n">
        <v>4.3</v>
      </c>
      <c r="G27" s="5" t="n">
        <v>3.8</v>
      </c>
      <c r="H27" s="5" t="n">
        <v>4.8</v>
      </c>
      <c r="I27" s="5" t="n">
        <v>3.1</v>
      </c>
      <c r="J27" s="5" t="n">
        <v>5</v>
      </c>
      <c r="K27" s="5" t="n">
        <v>4.5</v>
      </c>
      <c r="L27" s="5" t="n">
        <v>3.5</v>
      </c>
      <c r="M27" s="5" t="n">
        <v>5</v>
      </c>
      <c r="N27" s="5" t="n">
        <v>3.9</v>
      </c>
      <c r="O27" s="5" t="n">
        <v>3.4</v>
      </c>
      <c r="P27" s="5">
        <f>IF(MAESTRO!D27="","",IFERROR(TRUNC(AVERAGE(C27:O27),1),""))</f>
        <v/>
      </c>
      <c r="Q27" s="40" t="n">
        <v>23</v>
      </c>
      <c r="R27" s="22" t="n">
        <v>3.3</v>
      </c>
      <c r="S27" s="22" t="n">
        <v>4.1</v>
      </c>
      <c r="T27" s="22" t="n">
        <v>5</v>
      </c>
      <c r="U27" s="22" t="n">
        <v>4.8</v>
      </c>
      <c r="V27" s="22" t="n">
        <v>3.1</v>
      </c>
      <c r="W27" s="22" t="n">
        <v>4</v>
      </c>
      <c r="X27" s="22" t="n">
        <v>3.3</v>
      </c>
      <c r="Y27" s="22" t="n">
        <v>3.8</v>
      </c>
      <c r="Z27" s="22" t="n">
        <v>4.6</v>
      </c>
      <c r="AA27" s="45">
        <f>IF(MAESTRO!D27="","",IFERROR(TRUNC(AVERAGE(R27:Z27),1),""))</f>
        <v/>
      </c>
      <c r="AB27" s="177" t="n">
        <v>3.1</v>
      </c>
      <c r="AC27" s="42" t="n">
        <v>5</v>
      </c>
      <c r="AD27" s="5">
        <f>IF(MAESTRO!D27="","",IFERROR(AVERAGE(AB27:AC27),""))</f>
        <v/>
      </c>
      <c r="AE27" s="44">
        <f>IF(MAESTRO!D27="","",IFERROR(TRUNC(AVERAGE(P27,AA27,AD27),1),""))</f>
        <v/>
      </c>
      <c r="AF27" s="177" t="n"/>
      <c r="AG27" s="177" t="n">
        <v>23</v>
      </c>
      <c r="AH27" s="177" t="n">
        <v>23</v>
      </c>
      <c r="AI27" s="177">
        <f>IF(MAESTRO!D27="","",MAESTRO!D27)</f>
        <v/>
      </c>
      <c r="AJ27" s="178" t="n"/>
      <c r="AK27" s="61" t="n">
        <v>4.6</v>
      </c>
      <c r="AL27" s="61" t="n">
        <v>4.4</v>
      </c>
      <c r="AM27" s="61" t="n">
        <v>4.1</v>
      </c>
      <c r="AN27" s="61" t="n">
        <v>4.8</v>
      </c>
      <c r="AO27" s="61" t="n">
        <v>4.1</v>
      </c>
      <c r="AP27" s="61" t="n">
        <v>3.9</v>
      </c>
      <c r="AQ27" s="61" t="n">
        <v>4.1</v>
      </c>
      <c r="AR27" s="61" t="n">
        <v>3.1</v>
      </c>
      <c r="AS27" s="61" t="n">
        <v>4.7</v>
      </c>
      <c r="AT27" s="61" t="n">
        <v>3.2</v>
      </c>
      <c r="AU27" s="61" t="n">
        <v>3.5</v>
      </c>
      <c r="AV27" s="61" t="n">
        <v>3.4</v>
      </c>
      <c r="AW27" s="5">
        <f>IF(MAESTRO!D27="","",IFERROR(TRUNC(AVERAGE(AK27:AV27),1),""))</f>
        <v/>
      </c>
      <c r="AX27" s="22" t="n">
        <v>4.7</v>
      </c>
      <c r="AY27" s="92" t="n">
        <v>3.6</v>
      </c>
      <c r="AZ27" s="22" t="n">
        <v>4.9</v>
      </c>
      <c r="BA27" s="22" t="n">
        <v>4</v>
      </c>
      <c r="BB27" s="22" t="n">
        <v>4.4</v>
      </c>
      <c r="BC27" s="22" t="n">
        <v>3.9</v>
      </c>
      <c r="BD27" s="22" t="n">
        <v>4.3</v>
      </c>
      <c r="BE27" s="22" t="n">
        <v>3.1</v>
      </c>
      <c r="BF27" s="22" t="n">
        <v>4.8</v>
      </c>
      <c r="BG27" s="52" t="n">
        <v>3.9</v>
      </c>
      <c r="BH27" s="5">
        <f>IF(MAESTRO!D27="","",IFERROR(TRUNC(AVERAGE(AX27:BG27),1),""))</f>
        <v/>
      </c>
      <c r="BI27" s="22" t="n">
        <v>3.3</v>
      </c>
      <c r="BJ27" s="22" t="n">
        <v>3.1</v>
      </c>
      <c r="BK27" s="22">
        <f>IF(MAESTRO!D27="","",IFERROR(AVERAGE(BI27:BJ27),""))</f>
        <v/>
      </c>
      <c r="BL27" s="5">
        <f>IF(MAESTRO!D27="","",IFERROR(TRUNC(AVERAGE(AW27,BH27),1),""))</f>
        <v/>
      </c>
      <c r="BM27" s="177" t="n"/>
      <c r="BN27" s="177" t="n">
        <v>23</v>
      </c>
      <c r="BO27" s="177" t="n">
        <v>23</v>
      </c>
      <c r="BP27" s="177">
        <f>IF(MAESTRO!D27="","",MAESTRO!D27)</f>
        <v/>
      </c>
      <c r="BQ27" s="178" t="n"/>
      <c r="BR27" s="89" t="n">
        <v>4.8</v>
      </c>
      <c r="BS27" s="89" t="n">
        <v>3.1</v>
      </c>
      <c r="BT27" s="89" t="n">
        <v>3.7</v>
      </c>
      <c r="BU27" s="89" t="n">
        <v>4</v>
      </c>
      <c r="BV27" s="5" t="n">
        <v>4.1</v>
      </c>
      <c r="BW27" s="5" t="n">
        <v>4</v>
      </c>
      <c r="BX27" s="5" t="n">
        <v>3.6</v>
      </c>
      <c r="BY27" s="5" t="n">
        <v>4.6</v>
      </c>
      <c r="BZ27" s="5" t="n">
        <v>4.7</v>
      </c>
      <c r="CA27" s="5" t="n">
        <v>4.2</v>
      </c>
      <c r="CB27" s="5" t="n">
        <v>4.6</v>
      </c>
      <c r="CC27" s="5" t="n">
        <v>4.4</v>
      </c>
      <c r="CD27" s="5" t="n">
        <v>4.5</v>
      </c>
      <c r="CE27" s="5">
        <f>IF(MAESTRO!D27="","",IFERROR(TRUNC(AVERAGE(BR27:CD27),1),""))</f>
        <v/>
      </c>
      <c r="CF27" s="5" t="n">
        <v>4.7</v>
      </c>
      <c r="CG27" s="5" t="n">
        <v>4.6</v>
      </c>
      <c r="CH27" s="5" t="n">
        <v>4.6</v>
      </c>
      <c r="CI27" s="5" t="n">
        <v>4.4</v>
      </c>
      <c r="CJ27" s="5" t="n">
        <v>4.4</v>
      </c>
      <c r="CK27" s="5" t="n">
        <v>3.1</v>
      </c>
      <c r="CL27" s="5" t="n">
        <v>4.2</v>
      </c>
      <c r="CM27" s="5" t="n">
        <v>4.7</v>
      </c>
      <c r="CN27" s="5" t="n">
        <v>3.8</v>
      </c>
      <c r="CO27" s="5" t="n">
        <v>3.4</v>
      </c>
      <c r="CP27" s="5">
        <f>IF(MAESTRO!D27="","",IFERROR(TRUNC(AVERAGE(CF27:CO27),1),""))</f>
        <v/>
      </c>
      <c r="CQ27" s="5" t="n">
        <v>4</v>
      </c>
      <c r="CR27" s="5" t="n">
        <v>4.5</v>
      </c>
      <c r="CS27" s="5">
        <f>IF(MAESTRO!D27="","",IFERROR(AVERAGE(CQ27:CR27),""))</f>
        <v/>
      </c>
      <c r="CT27" s="5">
        <f>IF(MAESTRO!D27="","",IFERROR(TRUNC(AVERAGE(CE27,CP27,CS27),1),""))</f>
        <v/>
      </c>
      <c r="CU27" s="177" t="n"/>
      <c r="CV27" s="55"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v>3.9</v>
      </c>
      <c r="D28" s="5" t="n">
        <v>4.3</v>
      </c>
      <c r="E28" s="5" t="n">
        <v>4.4</v>
      </c>
      <c r="F28" s="5" t="n">
        <v>4.2</v>
      </c>
      <c r="G28" s="5" t="n">
        <v>4.6</v>
      </c>
      <c r="H28" s="5" t="n">
        <v>3.4</v>
      </c>
      <c r="I28" s="5" t="n">
        <v>3.2</v>
      </c>
      <c r="J28" s="5" t="n">
        <v>3.8</v>
      </c>
      <c r="K28" s="5" t="n">
        <v>3.2</v>
      </c>
      <c r="L28" s="5" t="n">
        <v>4.9</v>
      </c>
      <c r="M28" s="5" t="n">
        <v>4.6</v>
      </c>
      <c r="N28" s="5" t="n">
        <v>3.5</v>
      </c>
      <c r="O28" s="5" t="n">
        <v>4</v>
      </c>
      <c r="P28" s="5">
        <f>IF(MAESTRO!D28="","",IFERROR(TRUNC(AVERAGE(C28:O28),1),""))</f>
        <v/>
      </c>
      <c r="Q28" s="40" t="n">
        <v>24</v>
      </c>
      <c r="R28" s="22" t="n">
        <v>3.6</v>
      </c>
      <c r="S28" s="22" t="n">
        <v>4.2</v>
      </c>
      <c r="T28" s="22" t="n">
        <v>4.7</v>
      </c>
      <c r="U28" s="22" t="n">
        <v>3.1</v>
      </c>
      <c r="V28" s="22" t="n">
        <v>4.2</v>
      </c>
      <c r="W28" s="22" t="n">
        <v>3.6</v>
      </c>
      <c r="X28" s="22" t="n">
        <v>3.8</v>
      </c>
      <c r="Y28" s="22" t="n">
        <v>4.7</v>
      </c>
      <c r="Z28" s="22" t="n">
        <v>4.6</v>
      </c>
      <c r="AA28" s="45">
        <f>IF(MAESTRO!D28="","",IFERROR(TRUNC(AVERAGE(R28:Z28),1),""))</f>
        <v/>
      </c>
      <c r="AB28" s="177" t="n">
        <v>4.6</v>
      </c>
      <c r="AC28" s="42" t="n">
        <v>3.3</v>
      </c>
      <c r="AD28" s="5">
        <f>IF(MAESTRO!D28="","",IFERROR(AVERAGE(AB28:AC28),""))</f>
        <v/>
      </c>
      <c r="AE28" s="44">
        <f>IF(MAESTRO!D28="","",IFERROR(TRUNC(AVERAGE(P28,AA28,AD28),1),""))</f>
        <v/>
      </c>
      <c r="AF28" s="177" t="n"/>
      <c r="AG28" s="177" t="n">
        <v>24</v>
      </c>
      <c r="AH28" s="177" t="n">
        <v>24</v>
      </c>
      <c r="AI28" s="177">
        <f>IF(MAESTRO!D28="","",MAESTRO!D28)</f>
        <v/>
      </c>
      <c r="AJ28" s="178" t="n"/>
      <c r="AK28" s="91" t="n">
        <v>4.8</v>
      </c>
      <c r="AL28" s="91" t="n">
        <v>3.5</v>
      </c>
      <c r="AM28" s="91" t="n">
        <v>3.1</v>
      </c>
      <c r="AN28" s="91" t="n">
        <v>3.6</v>
      </c>
      <c r="AO28" s="91" t="n">
        <v>3.4</v>
      </c>
      <c r="AP28" s="91" t="n">
        <v>3.3</v>
      </c>
      <c r="AQ28" s="61" t="n">
        <v>3.6</v>
      </c>
      <c r="AR28" s="61" t="n">
        <v>3.4</v>
      </c>
      <c r="AS28" s="61" t="n">
        <v>4</v>
      </c>
      <c r="AT28" s="61" t="n">
        <v>4.5</v>
      </c>
      <c r="AU28" s="61" t="n">
        <v>3.4</v>
      </c>
      <c r="AV28" s="61" t="n">
        <v>4.6</v>
      </c>
      <c r="AW28" s="5">
        <f>IF(MAESTRO!D28="","",IFERROR(TRUNC(AVERAGE(AK28:AV28),1),""))</f>
        <v/>
      </c>
      <c r="AX28" s="22" t="n">
        <v>4.7</v>
      </c>
      <c r="AY28" s="92" t="n">
        <v>3.2</v>
      </c>
      <c r="AZ28" s="22" t="n">
        <v>4.1</v>
      </c>
      <c r="BA28" s="22" t="n">
        <v>4.5</v>
      </c>
      <c r="BB28" s="22" t="n">
        <v>3.2</v>
      </c>
      <c r="BC28" s="22" t="n">
        <v>4.6</v>
      </c>
      <c r="BD28" s="22" t="n">
        <v>3</v>
      </c>
      <c r="BE28" s="22" t="n">
        <v>3.1</v>
      </c>
      <c r="BF28" s="22" t="n">
        <v>4.6</v>
      </c>
      <c r="BG28" s="52" t="n">
        <v>3.3</v>
      </c>
      <c r="BH28" s="5">
        <f>IF(MAESTRO!D28="","",IFERROR(TRUNC(AVERAGE(AX28:BG28),1),""))</f>
        <v/>
      </c>
      <c r="BI28" s="22" t="n">
        <v>4.1</v>
      </c>
      <c r="BJ28" s="22" t="n">
        <v>3.8</v>
      </c>
      <c r="BK28" s="22">
        <f>IF(MAESTRO!D28="","",IFERROR(AVERAGE(BI28:BJ28),""))</f>
        <v/>
      </c>
      <c r="BL28" s="5">
        <f>IF(MAESTRO!D28="","",IFERROR(TRUNC(AVERAGE(AW28,BH28),1),""))</f>
        <v/>
      </c>
      <c r="BM28" s="177" t="n"/>
      <c r="BN28" s="177" t="n">
        <v>24</v>
      </c>
      <c r="BO28" s="177" t="n">
        <v>24</v>
      </c>
      <c r="BP28" s="177">
        <f>IF(MAESTRO!D28="","",MAESTRO!D28)</f>
        <v/>
      </c>
      <c r="BQ28" s="178" t="n"/>
      <c r="BR28" s="89" t="n">
        <v>3.1</v>
      </c>
      <c r="BS28" s="89" t="n">
        <v>4.7</v>
      </c>
      <c r="BT28" s="89" t="n">
        <v>4.6</v>
      </c>
      <c r="BU28" s="89" t="n">
        <v>3.1</v>
      </c>
      <c r="BV28" s="5" t="n">
        <v>3.6</v>
      </c>
      <c r="BW28" s="5" t="n">
        <v>3.3</v>
      </c>
      <c r="BX28" s="5" t="n">
        <v>3.3</v>
      </c>
      <c r="BY28" s="5" t="n">
        <v>3.9</v>
      </c>
      <c r="BZ28" s="5" t="n">
        <v>4.7</v>
      </c>
      <c r="CA28" s="5" t="n">
        <v>3.5</v>
      </c>
      <c r="CB28" s="5" t="n">
        <v>4.4</v>
      </c>
      <c r="CC28" s="5" t="n">
        <v>3.4</v>
      </c>
      <c r="CD28" s="5" t="n">
        <v>3.2</v>
      </c>
      <c r="CE28" s="5">
        <f>IF(MAESTRO!D28="","",IFERROR(TRUNC(AVERAGE(BR28:CD28),1),""))</f>
        <v/>
      </c>
      <c r="CF28" s="5" t="n">
        <v>3</v>
      </c>
      <c r="CG28" s="5" t="n">
        <v>4.4</v>
      </c>
      <c r="CH28" s="5" t="n">
        <v>3.2</v>
      </c>
      <c r="CI28" s="89" t="n">
        <v>4.6</v>
      </c>
      <c r="CJ28" s="5" t="n">
        <v>3.5</v>
      </c>
      <c r="CK28" s="5" t="n">
        <v>3.4</v>
      </c>
      <c r="CL28" s="5" t="n">
        <v>4.2</v>
      </c>
      <c r="CM28" s="5" t="n">
        <v>4.9</v>
      </c>
      <c r="CN28" s="5" t="n">
        <v>4.2</v>
      </c>
      <c r="CO28" s="5" t="n">
        <v>3.8</v>
      </c>
      <c r="CP28" s="5">
        <f>IF(MAESTRO!D28="","",IFERROR(TRUNC(AVERAGE(CF28:CO28),1),""))</f>
        <v/>
      </c>
      <c r="CQ28" s="5" t="n">
        <v>4.3</v>
      </c>
      <c r="CR28" s="5" t="n">
        <v>4.8</v>
      </c>
      <c r="CS28" s="5">
        <f>IF(MAESTRO!D28="","",IFERROR(AVERAGE(CQ28:CR28),""))</f>
        <v/>
      </c>
      <c r="CT28" s="5">
        <f>IF(MAESTRO!D28="","",IFERROR(TRUNC(AVERAGE(CE28,CP28,CS28),1),""))</f>
        <v/>
      </c>
      <c r="CU28" s="177" t="n"/>
      <c r="CV28" s="55"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v>4.2</v>
      </c>
      <c r="D29" s="5" t="n">
        <v>3.1</v>
      </c>
      <c r="E29" s="5" t="n">
        <v>4</v>
      </c>
      <c r="F29" s="5" t="n">
        <v>4.1</v>
      </c>
      <c r="G29" s="5" t="n">
        <v>3.7</v>
      </c>
      <c r="H29" s="5" t="n">
        <v>4.3</v>
      </c>
      <c r="I29" s="5" t="n">
        <v>3.2</v>
      </c>
      <c r="J29" s="5" t="n">
        <v>3.4</v>
      </c>
      <c r="K29" s="5" t="n">
        <v>3.5</v>
      </c>
      <c r="L29" s="5" t="n">
        <v>4</v>
      </c>
      <c r="M29" s="5" t="n">
        <v>4.7</v>
      </c>
      <c r="N29" s="5" t="n">
        <v>3.9</v>
      </c>
      <c r="O29" s="5" t="n">
        <v>3.2</v>
      </c>
      <c r="P29" s="5">
        <f>IF(MAESTRO!D29="","",IFERROR(TRUNC(AVERAGE(C29:O29),1),""))</f>
        <v/>
      </c>
      <c r="Q29" s="40" t="n">
        <v>25</v>
      </c>
      <c r="R29" s="22" t="n">
        <v>4.6</v>
      </c>
      <c r="S29" s="22" t="n">
        <v>3.8</v>
      </c>
      <c r="T29" s="22" t="n">
        <v>3.5</v>
      </c>
      <c r="U29" s="22" t="n">
        <v>3.4</v>
      </c>
      <c r="V29" s="22" t="n">
        <v>3</v>
      </c>
      <c r="W29" s="22" t="n">
        <v>3</v>
      </c>
      <c r="X29" s="22" t="n">
        <v>3.6</v>
      </c>
      <c r="Y29" s="22" t="n">
        <v>3.4</v>
      </c>
      <c r="Z29" s="22" t="n">
        <v>3.8</v>
      </c>
      <c r="AA29" s="45">
        <f>IF(MAESTRO!D29="","",IFERROR(TRUNC(AVERAGE(R29:Z29),1),""))</f>
        <v/>
      </c>
      <c r="AB29" s="177" t="n">
        <v>4.4</v>
      </c>
      <c r="AC29" s="42" t="n">
        <v>4.1</v>
      </c>
      <c r="AD29" s="5">
        <f>IF(MAESTRO!D29="","",IFERROR(AVERAGE(AB29:AC29),""))</f>
        <v/>
      </c>
      <c r="AE29" s="44">
        <f>IF(MAESTRO!D29="","",IFERROR(TRUNC(AVERAGE(P29,AA29,AD29),1),""))</f>
        <v/>
      </c>
      <c r="AF29" s="177" t="n"/>
      <c r="AG29" s="177" t="n">
        <v>25</v>
      </c>
      <c r="AH29" s="177" t="n">
        <v>25</v>
      </c>
      <c r="AI29" s="177">
        <f>IF(MAESTRO!D29="","",MAESTRO!D29)</f>
        <v/>
      </c>
      <c r="AJ29" s="178" t="n"/>
      <c r="AK29" s="91" t="n">
        <v>4.1</v>
      </c>
      <c r="AL29" s="91" t="n">
        <v>4.9</v>
      </c>
      <c r="AM29" s="91" t="n">
        <v>5</v>
      </c>
      <c r="AN29" s="91" t="n">
        <v>3.7</v>
      </c>
      <c r="AO29" s="91" t="n">
        <v>4</v>
      </c>
      <c r="AP29" s="91" t="n">
        <v>4.8</v>
      </c>
      <c r="AQ29" s="61" t="n">
        <v>4.8</v>
      </c>
      <c r="AR29" s="61" t="n">
        <v>4.7</v>
      </c>
      <c r="AS29" s="61" t="n">
        <v>4.6</v>
      </c>
      <c r="AT29" s="61" t="n">
        <v>3.5</v>
      </c>
      <c r="AU29" s="61" t="n">
        <v>4.4</v>
      </c>
      <c r="AV29" s="61" t="n">
        <v>4.4</v>
      </c>
      <c r="AW29" s="5">
        <f>IF(MAESTRO!D29="","",IFERROR(TRUNC(AVERAGE(AK29:AV29),1),""))</f>
        <v/>
      </c>
      <c r="AX29" s="63" t="n">
        <v>4.7</v>
      </c>
      <c r="AY29" s="92" t="n">
        <v>4.5</v>
      </c>
      <c r="AZ29" s="92" t="n">
        <v>3.9</v>
      </c>
      <c r="BA29" s="92" t="n">
        <v>4.6</v>
      </c>
      <c r="BB29" s="92" t="n">
        <v>4.2</v>
      </c>
      <c r="BC29" s="63" t="n">
        <v>4.9</v>
      </c>
      <c r="BD29" s="63" t="n">
        <v>4.5</v>
      </c>
      <c r="BE29" s="63" t="n">
        <v>3.2</v>
      </c>
      <c r="BF29" s="63" t="n">
        <v>3.7</v>
      </c>
      <c r="BG29" s="52" t="n">
        <v>4.1</v>
      </c>
      <c r="BH29" s="5">
        <f>IF(MAESTRO!D29="","",IFERROR(TRUNC(AVERAGE(AX29:BG29),1),""))</f>
        <v/>
      </c>
      <c r="BI29" s="22" t="n">
        <v>4.5</v>
      </c>
      <c r="BJ29" s="22" t="n">
        <v>4.4</v>
      </c>
      <c r="BK29" s="22">
        <f>IF(MAESTRO!D29="","",IFERROR(AVERAGE(BI29:BJ29),""))</f>
        <v/>
      </c>
      <c r="BL29" s="5">
        <f>IF(MAESTRO!D29="","",IFERROR(TRUNC(AVERAGE(AW29,BH29),1),""))</f>
        <v/>
      </c>
      <c r="BM29" s="177" t="n"/>
      <c r="BN29" s="177" t="n">
        <v>25</v>
      </c>
      <c r="BO29" s="177" t="n">
        <v>25</v>
      </c>
      <c r="BP29" s="177">
        <f>IF(MAESTRO!D29="","",MAESTRO!D29)</f>
        <v/>
      </c>
      <c r="BQ29" s="178" t="n"/>
      <c r="BR29" s="89" t="n">
        <v>4.6</v>
      </c>
      <c r="BS29" s="89" t="n">
        <v>3.8</v>
      </c>
      <c r="BT29" s="89" t="n">
        <v>4.6</v>
      </c>
      <c r="BU29" s="89" t="n">
        <v>4</v>
      </c>
      <c r="BV29" s="5" t="n">
        <v>3.7</v>
      </c>
      <c r="BW29" s="5" t="n">
        <v>5</v>
      </c>
      <c r="BX29" s="5" t="n">
        <v>3.2</v>
      </c>
      <c r="BY29" s="5" t="n">
        <v>3.6</v>
      </c>
      <c r="BZ29" s="5" t="n">
        <v>3.5</v>
      </c>
      <c r="CA29" s="5" t="n">
        <v>4.4</v>
      </c>
      <c r="CB29" s="5" t="n">
        <v>3.6</v>
      </c>
      <c r="CC29" s="5" t="n">
        <v>3.1</v>
      </c>
      <c r="CD29" s="5" t="n">
        <v>3.9</v>
      </c>
      <c r="CE29" s="5">
        <f>IF(MAESTRO!D29="","",IFERROR(TRUNC(AVERAGE(BR29:CD29),1),""))</f>
        <v/>
      </c>
      <c r="CF29" s="5" t="n">
        <v>4.4</v>
      </c>
      <c r="CG29" s="5" t="n">
        <v>4.8</v>
      </c>
      <c r="CH29" s="5" t="n">
        <v>3.6</v>
      </c>
      <c r="CI29" s="89" t="n">
        <v>4.6</v>
      </c>
      <c r="CJ29" s="5" t="n">
        <v>4.8</v>
      </c>
      <c r="CK29" s="5" t="n">
        <v>3.6</v>
      </c>
      <c r="CL29" s="5" t="n">
        <v>3.3</v>
      </c>
      <c r="CM29" s="5" t="n">
        <v>3.8</v>
      </c>
      <c r="CN29" s="5" t="n">
        <v>4.6</v>
      </c>
      <c r="CO29" s="5" t="n">
        <v>3.6</v>
      </c>
      <c r="CP29" s="5">
        <f>IF(MAESTRO!D29="","",IFERROR(TRUNC(AVERAGE(CF29:CO29),1),""))</f>
        <v/>
      </c>
      <c r="CQ29" s="5" t="n">
        <v>3.9</v>
      </c>
      <c r="CR29" s="5" t="n">
        <v>4.7</v>
      </c>
      <c r="CS29" s="5">
        <f>IF(MAESTRO!D29="","",IFERROR(AVERAGE(CQ29:CR29),""))</f>
        <v/>
      </c>
      <c r="CT29" s="5">
        <f>IF(MAESTRO!D29="","",IFERROR(TRUNC(AVERAGE(CE29,CP29,CS29),1),""))</f>
        <v/>
      </c>
      <c r="CU29" s="177" t="n"/>
      <c r="CV29" s="55"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v>26</v>
      </c>
      <c r="R30" s="22" t="n">
        <v>5</v>
      </c>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IF(MAESTRO!D30="","",IFERROR(TRUNC(AVERAGE(P30,AA30,AD30),1),""))</f>
        <v/>
      </c>
      <c r="AF30" s="177" t="n"/>
      <c r="AG30" s="177" t="n">
        <v>26</v>
      </c>
      <c r="AH30" s="177" t="n">
        <v>26</v>
      </c>
      <c r="AI30" s="177">
        <f>IF(MAESTRO!D30="","",MAESTRO!D30)</f>
        <v/>
      </c>
      <c r="AJ30" s="178" t="n"/>
      <c r="AK30" s="91" t="n"/>
      <c r="AL30" s="91" t="n"/>
      <c r="AM30" s="91" t="n"/>
      <c r="AN30" s="91" t="n"/>
      <c r="AO30" s="91" t="n"/>
      <c r="AP30" s="91" t="n"/>
      <c r="AQ30" s="61" t="n"/>
      <c r="AR30" s="61" t="n"/>
      <c r="AS30" s="61" t="n"/>
      <c r="AT30" s="61" t="n"/>
      <c r="AU30" s="61" t="n"/>
      <c r="AV30" s="61" t="n"/>
      <c r="AW30" s="5">
        <f>IF(MAESTRO!D30="","",IFERROR(TRUNC(AVERAGE(AK30:AV30),1),""))</f>
        <v/>
      </c>
      <c r="AX30" s="22" t="n"/>
      <c r="AY30" s="92" t="n"/>
      <c r="AZ30" s="92" t="n"/>
      <c r="BA30" s="92" t="n"/>
      <c r="BB30" s="92" t="n"/>
      <c r="BC30" s="22" t="n"/>
      <c r="BD30" s="22" t="n"/>
      <c r="BE30" s="22" t="n"/>
      <c r="BF30" s="22" t="n"/>
      <c r="BG30" s="52" t="n"/>
      <c r="BH30" s="5">
        <f>IF(MAESTRO!D30="","",IFERROR(TRUNC(AVERAGE(AX30:BG30),1),""))</f>
        <v/>
      </c>
      <c r="BI30" s="22" t="n"/>
      <c r="BJ30" s="22" t="n"/>
      <c r="BK30" s="22">
        <f>IF(MAESTRO!D30="","",IFERROR(AVERAGE(BI30:BJ30),""))</f>
        <v/>
      </c>
      <c r="BL30" s="5">
        <f>IF(MAESTRO!D30="","",IFERROR(TRUNC(AVERAGE(AW30,BH30),1),""))</f>
        <v/>
      </c>
      <c r="BM30" s="177" t="n"/>
      <c r="BN30" s="177" t="n">
        <v>26</v>
      </c>
      <c r="BO30" s="177" t="n">
        <v>26</v>
      </c>
      <c r="BP30" s="177">
        <f>IF(MAESTRO!D30="","",MAESTRO!D30)</f>
        <v/>
      </c>
      <c r="BQ30" s="178" t="n"/>
      <c r="BR30" s="89" t="n"/>
      <c r="BS30" s="89" t="n"/>
      <c r="BT30" s="89" t="n"/>
      <c r="BU30" s="89" t="n"/>
      <c r="BV30" s="5" t="n"/>
      <c r="BW30" s="5" t="n"/>
      <c r="BX30" s="5" t="n"/>
      <c r="BY30" s="5" t="n"/>
      <c r="BZ30" s="5" t="n"/>
      <c r="CA30" s="5" t="n"/>
      <c r="CB30" s="5" t="n"/>
      <c r="CC30" s="5" t="n"/>
      <c r="CD30" s="5" t="n"/>
      <c r="CE30" s="5">
        <f>IF(MAESTRO!D30="","",IFERROR(TRUNC(AVERAGE(BR30:CD30),1),""))</f>
        <v/>
      </c>
      <c r="CF30" s="5" t="n"/>
      <c r="CG30" s="5" t="n"/>
      <c r="CH30" s="5" t="n"/>
      <c r="CI30" s="89"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177" t="n"/>
      <c r="CV30" s="55"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v>4.5</v>
      </c>
      <c r="D31" s="5" t="n"/>
      <c r="E31" s="5" t="n"/>
      <c r="F31" s="5" t="n"/>
      <c r="G31" s="5" t="n"/>
      <c r="H31" s="5" t="n"/>
      <c r="I31" s="5" t="n"/>
      <c r="J31" s="5" t="n"/>
      <c r="K31" s="5" t="n"/>
      <c r="L31" s="5" t="n"/>
      <c r="M31" s="5" t="n"/>
      <c r="N31" s="5" t="n"/>
      <c r="O31" s="5" t="n"/>
      <c r="P31" s="5">
        <f>IF(MAESTRO!D31="","",IFERROR(TRUNC(AVERAGE(C31:O31),1),""))</f>
        <v/>
      </c>
      <c r="Q31" s="40" t="n">
        <v>27</v>
      </c>
      <c r="R31" s="22" t="n">
        <v>5</v>
      </c>
      <c r="S31" s="90"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IF(MAESTRO!D31="","",IFERROR(TRUNC(AVERAGE(P31,AA31,AD31),1),""))</f>
        <v/>
      </c>
      <c r="AF31" s="177" t="n"/>
      <c r="AG31" s="177" t="n">
        <v>27</v>
      </c>
      <c r="AH31" s="177" t="n">
        <v>27</v>
      </c>
      <c r="AI31" s="177">
        <f>IF(MAESTRO!D31="","",MAESTRO!D31)</f>
        <v/>
      </c>
      <c r="AJ31" s="178" t="n"/>
      <c r="AK31" s="91" t="n"/>
      <c r="AL31" s="91" t="n"/>
      <c r="AM31" s="91" t="n"/>
      <c r="AN31" s="91" t="n"/>
      <c r="AO31" s="91" t="n"/>
      <c r="AP31" s="91" t="n"/>
      <c r="AQ31" s="61" t="n"/>
      <c r="AR31" s="61" t="n"/>
      <c r="AS31" s="61" t="n"/>
      <c r="AT31" s="61" t="n"/>
      <c r="AU31" s="61" t="n"/>
      <c r="AV31" s="61" t="n"/>
      <c r="AW31" s="5">
        <f>IF(MAESTRO!D31="","",IFERROR(TRUNC(AVERAGE(AK31:AV31),1),""))</f>
        <v/>
      </c>
      <c r="AX31" s="22" t="n"/>
      <c r="AY31" s="92" t="n"/>
      <c r="AZ31" s="92" t="n"/>
      <c r="BA31" s="92" t="n"/>
      <c r="BB31" s="92" t="n"/>
      <c r="BC31" s="22" t="n"/>
      <c r="BD31" s="22" t="n"/>
      <c r="BE31" s="22" t="n"/>
      <c r="BF31" s="22" t="n"/>
      <c r="BG31" s="52" t="n"/>
      <c r="BH31" s="5">
        <f>IF(MAESTRO!D31="","",IFERROR(TRUNC(AVERAGE(AX31:BG31),1),""))</f>
        <v/>
      </c>
      <c r="BI31" s="22" t="n"/>
      <c r="BJ31" s="22" t="n"/>
      <c r="BK31" s="22">
        <f>IF(MAESTRO!D31="","",IFERROR(AVERAGE(BI31:BJ31),""))</f>
        <v/>
      </c>
      <c r="BL31" s="5">
        <f>IF(MAESTRO!D31="","",IFERROR(TRUNC(AVERAGE(AW31,BH31),1),""))</f>
        <v/>
      </c>
      <c r="BM31" s="177" t="n"/>
      <c r="BN31" s="177" t="n">
        <v>27</v>
      </c>
      <c r="BO31" s="177" t="n">
        <v>27</v>
      </c>
      <c r="BP31" s="177">
        <f>IF(MAESTRO!D31="","",MAESTRO!D31)</f>
        <v/>
      </c>
      <c r="BQ31" s="178" t="n"/>
      <c r="BR31" s="89" t="n"/>
      <c r="BS31" s="89" t="n"/>
      <c r="BT31" s="89" t="n"/>
      <c r="BU31" s="89" t="n"/>
      <c r="BV31" s="5" t="n"/>
      <c r="BW31" s="5" t="n"/>
      <c r="BX31" s="5" t="n"/>
      <c r="BY31" s="5" t="n"/>
      <c r="BZ31" s="5" t="n"/>
      <c r="CA31" s="5" t="n"/>
      <c r="CB31" s="5" t="n"/>
      <c r="CC31" s="5" t="n"/>
      <c r="CD31" s="5" t="n"/>
      <c r="CE31" s="5">
        <f>IF(MAESTRO!D31="","",IFERROR(TRUNC(AVERAGE(BR31:CD31),1),""))</f>
        <v/>
      </c>
      <c r="CF31" s="5" t="n"/>
      <c r="CG31" s="5" t="n"/>
      <c r="CH31" s="5" t="n"/>
      <c r="CI31" s="89"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177" t="n"/>
      <c r="CV31" s="55"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v>5</v>
      </c>
      <c r="D32" s="5" t="n"/>
      <c r="E32" s="5" t="n"/>
      <c r="F32" s="5" t="n"/>
      <c r="G32" s="5" t="n"/>
      <c r="H32" s="5" t="n"/>
      <c r="I32" s="5" t="n"/>
      <c r="J32" s="5" t="n"/>
      <c r="K32" s="5" t="n"/>
      <c r="L32" s="5" t="n"/>
      <c r="M32" s="5" t="n"/>
      <c r="N32" s="5" t="n"/>
      <c r="O32" s="5" t="n"/>
      <c r="P32" s="5">
        <f>IF(MAESTRO!D32="","",IFERROR(TRUNC(AVERAGE(C32:O32),1),""))</f>
        <v/>
      </c>
      <c r="Q32" s="40" t="n">
        <v>28</v>
      </c>
      <c r="R32" s="22" t="n">
        <v>5</v>
      </c>
      <c r="S32" s="90"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IF(MAESTRO!D32="","",IFERROR(TRUNC(AVERAGE(P32,AA32,AD32),1),""))</f>
        <v/>
      </c>
      <c r="AF32" s="177" t="n"/>
      <c r="AG32" s="177" t="n">
        <v>28</v>
      </c>
      <c r="AH32" s="177" t="n">
        <v>28</v>
      </c>
      <c r="AI32" s="177">
        <f>IF(MAESTRO!D32="","",MAESTRO!D32)</f>
        <v/>
      </c>
      <c r="AJ32" s="178" t="n"/>
      <c r="AK32" s="91" t="n"/>
      <c r="AL32" s="91" t="n"/>
      <c r="AM32" s="91" t="n"/>
      <c r="AN32" s="91" t="n"/>
      <c r="AO32" s="91" t="n"/>
      <c r="AP32" s="91" t="n"/>
      <c r="AQ32" s="61" t="n"/>
      <c r="AR32" s="61" t="n"/>
      <c r="AS32" s="61" t="n"/>
      <c r="AT32" s="61" t="n"/>
      <c r="AU32" s="61" t="n"/>
      <c r="AV32" s="61" t="n"/>
      <c r="AW32" s="5">
        <f>IF(MAESTRO!D32="","",IFERROR(TRUNC(AVERAGE(AK32:AV32),1),""))</f>
        <v/>
      </c>
      <c r="AX32" s="92" t="n"/>
      <c r="AY32" s="92" t="n"/>
      <c r="AZ32" s="92" t="n"/>
      <c r="BA32" s="92" t="n"/>
      <c r="BB32" s="92" t="n"/>
      <c r="BC32" s="22" t="n"/>
      <c r="BD32" s="22" t="n"/>
      <c r="BE32" s="22" t="n"/>
      <c r="BF32" s="22" t="n"/>
      <c r="BG32" s="52" t="n"/>
      <c r="BH32" s="5">
        <f>IF(MAESTRO!D32="","",IFERROR(TRUNC(AVERAGE(AX32:BG32),1),""))</f>
        <v/>
      </c>
      <c r="BI32" s="22" t="n"/>
      <c r="BJ32" s="22" t="n"/>
      <c r="BK32" s="22">
        <f>IF(MAESTRO!D32="","",IFERROR(AVERAGE(BI32:BJ32),""))</f>
        <v/>
      </c>
      <c r="BL32" s="5">
        <f>IF(MAESTRO!D32="","",IFERROR(TRUNC(AVERAGE(AW32,BH32),1),""))</f>
        <v/>
      </c>
      <c r="BM32" s="177" t="n"/>
      <c r="BN32" s="177" t="n">
        <v>28</v>
      </c>
      <c r="BO32" s="177" t="n">
        <v>28</v>
      </c>
      <c r="BP32" s="177">
        <f>IF(MAESTRO!D32="","",MAESTRO!D32)</f>
        <v/>
      </c>
      <c r="BQ32" s="178" t="n"/>
      <c r="BR32" s="89" t="n"/>
      <c r="BS32" s="89" t="n"/>
      <c r="BT32" s="89" t="n"/>
      <c r="BU32" s="89" t="n"/>
      <c r="BV32" s="5" t="n"/>
      <c r="BW32" s="5" t="n"/>
      <c r="BX32" s="5" t="n"/>
      <c r="BY32" s="5" t="n"/>
      <c r="BZ32" s="5" t="n"/>
      <c r="CA32" s="5" t="n"/>
      <c r="CB32" s="5" t="n"/>
      <c r="CC32" s="5" t="n"/>
      <c r="CD32" s="5" t="n"/>
      <c r="CE32" s="5">
        <f>IF(MAESTRO!D32="","",IFERROR(TRUNC(AVERAGE(BR32:CD32),1),""))</f>
        <v/>
      </c>
      <c r="CF32" s="5" t="n"/>
      <c r="CG32" s="5" t="n"/>
      <c r="CH32" s="5" t="n"/>
      <c r="CI32" s="89"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177" t="n"/>
      <c r="CV32" s="55"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v>3</v>
      </c>
      <c r="D33" s="5" t="n">
        <v>3.5</v>
      </c>
      <c r="E33" s="5" t="n"/>
      <c r="F33" s="5" t="n"/>
      <c r="G33" s="5" t="n"/>
      <c r="H33" s="5" t="n"/>
      <c r="I33" s="5" t="n"/>
      <c r="J33" s="5" t="n"/>
      <c r="K33" s="5" t="n"/>
      <c r="L33" s="5" t="n"/>
      <c r="M33" s="5" t="n"/>
      <c r="N33" s="5" t="n"/>
      <c r="O33" s="5" t="n"/>
      <c r="P33" s="5">
        <f>IF(MAESTRO!D33="","",IFERROR(TRUNC(AVERAGE(C33:O33),1),""))</f>
        <v/>
      </c>
      <c r="Q33" s="40" t="n">
        <v>29</v>
      </c>
      <c r="R33" s="22" t="n">
        <v>5</v>
      </c>
      <c r="S33" s="90"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IF(MAESTRO!D33="","",IFERROR(TRUNC(AVERAGE(P33,AA33,AD33),1),""))</f>
        <v/>
      </c>
      <c r="AF33" s="177" t="n"/>
      <c r="AG33" s="177" t="n">
        <v>29</v>
      </c>
      <c r="AH33" s="177" t="n">
        <v>29</v>
      </c>
      <c r="AI33" s="177">
        <f>IF(MAESTRO!D33="","",MAESTRO!D33)</f>
        <v/>
      </c>
      <c r="AJ33" s="178" t="n"/>
      <c r="AK33" s="91" t="n"/>
      <c r="AL33" s="91" t="n"/>
      <c r="AM33" s="91" t="n"/>
      <c r="AN33" s="91" t="n"/>
      <c r="AO33" s="91" t="n"/>
      <c r="AP33" s="91" t="n"/>
      <c r="AQ33" s="61" t="n"/>
      <c r="AR33" s="61" t="n"/>
      <c r="AS33" s="61" t="n"/>
      <c r="AT33" s="61" t="n"/>
      <c r="AU33" s="61" t="n"/>
      <c r="AV33" s="61" t="n"/>
      <c r="AW33" s="5">
        <f>IF(MAESTRO!D33="","",IFERROR(TRUNC(AVERAGE(AK33:AV33),1),""))</f>
        <v/>
      </c>
      <c r="AX33" s="92" t="n"/>
      <c r="AY33" s="92" t="n"/>
      <c r="AZ33" s="92" t="n"/>
      <c r="BA33" s="92" t="n"/>
      <c r="BB33" s="92" t="n"/>
      <c r="BC33" s="22" t="n"/>
      <c r="BD33" s="22" t="n"/>
      <c r="BE33" s="22" t="n"/>
      <c r="BF33" s="22" t="n"/>
      <c r="BG33" s="52" t="n"/>
      <c r="BH33" s="5">
        <f>IF(MAESTRO!D33="","",IFERROR(TRUNC(AVERAGE(AX33:BG33),1),""))</f>
        <v/>
      </c>
      <c r="BI33" s="22" t="n"/>
      <c r="BJ33" s="22" t="n"/>
      <c r="BK33" s="22">
        <f>IF(MAESTRO!D33="","",IFERROR(AVERAGE(BI33:BJ33),""))</f>
        <v/>
      </c>
      <c r="BL33" s="5">
        <f>IF(MAESTRO!D33="","",IFERROR(TRUNC(AVERAGE(AW33,BH33),1),""))</f>
        <v/>
      </c>
      <c r="BM33" s="177" t="n"/>
      <c r="BN33" s="177" t="n">
        <v>29</v>
      </c>
      <c r="BO33" s="177" t="n">
        <v>29</v>
      </c>
      <c r="BP33" s="177">
        <f>IF(MAESTRO!D33="","",MAESTRO!D33)</f>
        <v/>
      </c>
      <c r="BQ33" s="178" t="n"/>
      <c r="BR33" s="89" t="n"/>
      <c r="BS33" s="89" t="n"/>
      <c r="BT33" s="89" t="n"/>
      <c r="BU33" s="89" t="n"/>
      <c r="BV33" s="5" t="n"/>
      <c r="BW33" s="5" t="n"/>
      <c r="BX33" s="5" t="n"/>
      <c r="BY33" s="5" t="n"/>
      <c r="BZ33" s="5" t="n"/>
      <c r="CA33" s="5" t="n"/>
      <c r="CB33" s="5" t="n"/>
      <c r="CC33" s="5" t="n"/>
      <c r="CD33" s="5" t="n"/>
      <c r="CE33" s="5">
        <f>IF(MAESTRO!D33="","",IFERROR(TRUNC(AVERAGE(BR33:CD33),1),""))</f>
        <v/>
      </c>
      <c r="CF33" s="5" t="n"/>
      <c r="CG33" s="5" t="n"/>
      <c r="CH33" s="5" t="n"/>
      <c r="CI33" s="89"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177" t="n"/>
      <c r="CV33" s="55"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v>4.6</v>
      </c>
      <c r="D34" s="5" t="n">
        <v>4.2</v>
      </c>
      <c r="E34" s="5" t="n"/>
      <c r="F34" s="5" t="n"/>
      <c r="G34" s="5" t="n"/>
      <c r="H34" s="5" t="n"/>
      <c r="I34" s="5" t="n"/>
      <c r="J34" s="5" t="n"/>
      <c r="K34" s="5" t="n"/>
      <c r="L34" s="5" t="n"/>
      <c r="M34" s="5" t="n"/>
      <c r="N34" s="5" t="n"/>
      <c r="O34" s="5" t="n"/>
      <c r="P34" s="5">
        <f>IF(MAESTRO!D34="","",IFERROR(TRUNC(AVERAGE(C34:O34),1),""))</f>
        <v/>
      </c>
      <c r="Q34" s="40" t="n">
        <v>30</v>
      </c>
      <c r="R34" s="22" t="n">
        <v>5</v>
      </c>
      <c r="S34" s="90"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IF(MAESTRO!D34="","",IFERROR(TRUNC(AVERAGE(P34,AA34,AD34),1),""))</f>
        <v/>
      </c>
      <c r="AF34" s="177" t="n"/>
      <c r="AG34" s="177" t="n">
        <v>30</v>
      </c>
      <c r="AH34" s="177" t="n">
        <v>30</v>
      </c>
      <c r="AI34" s="177">
        <f>IF(MAESTRO!D34="","",MAESTRO!D34)</f>
        <v/>
      </c>
      <c r="AJ34" s="178" t="n"/>
      <c r="AK34" s="91" t="n"/>
      <c r="AL34" s="91" t="n"/>
      <c r="AM34" s="91" t="n"/>
      <c r="AN34" s="91" t="n"/>
      <c r="AO34" s="91" t="n"/>
      <c r="AP34" s="91" t="n"/>
      <c r="AQ34" s="61" t="n"/>
      <c r="AR34" s="61" t="n"/>
      <c r="AS34" s="61" t="n"/>
      <c r="AT34" s="61" t="n"/>
      <c r="AU34" s="61" t="n"/>
      <c r="AV34" s="61" t="n"/>
      <c r="AW34" s="5">
        <f>IF(MAESTRO!D34="","",IFERROR(TRUNC(AVERAGE(AK34:AV34),1),""))</f>
        <v/>
      </c>
      <c r="AX34" s="92" t="n"/>
      <c r="AY34" s="92" t="n"/>
      <c r="AZ34" s="92" t="n"/>
      <c r="BA34" s="92" t="n"/>
      <c r="BB34" s="92" t="n"/>
      <c r="BC34" s="22" t="n"/>
      <c r="BD34" s="22" t="n"/>
      <c r="BE34" s="22" t="n"/>
      <c r="BF34" s="22" t="n"/>
      <c r="BG34" s="52" t="n"/>
      <c r="BH34" s="5">
        <f>IF(MAESTRO!D34="","",IFERROR(TRUNC(AVERAGE(AX34:BG34),1),""))</f>
        <v/>
      </c>
      <c r="BI34" s="22" t="n"/>
      <c r="BJ34" s="22" t="n"/>
      <c r="BK34" s="22">
        <f>IF(MAESTRO!D34="","",IFERROR(AVERAGE(BI34:BJ34),""))</f>
        <v/>
      </c>
      <c r="BL34" s="5">
        <f>IF(MAESTRO!D34="","",IFERROR(TRUNC(AVERAGE(AW34,BH34),1),""))</f>
        <v/>
      </c>
      <c r="BM34" s="177" t="n"/>
      <c r="BN34" s="177" t="n">
        <v>30</v>
      </c>
      <c r="BO34" s="177" t="n">
        <v>30</v>
      </c>
      <c r="BP34" s="177">
        <f>IF(MAESTRO!D34="","",MAESTRO!D34)</f>
        <v/>
      </c>
      <c r="BQ34" s="178" t="n"/>
      <c r="BR34" s="89" t="n"/>
      <c r="BS34" s="89" t="n"/>
      <c r="BT34" s="89" t="n"/>
      <c r="BU34" s="89" t="n"/>
      <c r="BV34" s="5" t="n"/>
      <c r="BW34" s="5" t="n"/>
      <c r="BX34" s="5" t="n"/>
      <c r="BY34" s="5" t="n"/>
      <c r="BZ34" s="5" t="n"/>
      <c r="CA34" s="5" t="n"/>
      <c r="CB34" s="5" t="n"/>
      <c r="CC34" s="5" t="n"/>
      <c r="CD34" s="5" t="n"/>
      <c r="CE34" s="5">
        <f>IF(MAESTRO!D34="","",IFERROR(TRUNC(AVERAGE(BR34:CD34),1),""))</f>
        <v/>
      </c>
      <c r="CF34" s="89" t="n"/>
      <c r="CG34" s="89" t="n"/>
      <c r="CH34" s="89" t="n"/>
      <c r="CI34" s="89"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177" t="n"/>
      <c r="CV34" s="55"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v>31</v>
      </c>
      <c r="R35" s="22" t="n">
        <v>5</v>
      </c>
      <c r="S35" s="90"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IF(MAESTRO!D35="","",IFERROR(TRUNC(AVERAGE(P35,AA35,AD35),1),""))</f>
        <v/>
      </c>
      <c r="AF35" s="177" t="n"/>
      <c r="AG35" s="177" t="n">
        <v>31</v>
      </c>
      <c r="AH35" s="177" t="n">
        <v>31</v>
      </c>
      <c r="AI35" s="177">
        <f>IF(MAESTRO!D35="","",MAESTRO!D35)</f>
        <v/>
      </c>
      <c r="AJ35" s="178" t="n"/>
      <c r="AK35" s="91" t="n"/>
      <c r="AL35" s="91" t="n"/>
      <c r="AM35" s="91" t="n"/>
      <c r="AN35" s="91" t="n"/>
      <c r="AO35" s="91" t="n"/>
      <c r="AP35" s="91" t="n"/>
      <c r="AQ35" s="61" t="n"/>
      <c r="AR35" s="61" t="n"/>
      <c r="AS35" s="61" t="n"/>
      <c r="AT35" s="61" t="n"/>
      <c r="AU35" s="61" t="n"/>
      <c r="AV35" s="61" t="n"/>
      <c r="AW35" s="5">
        <f>IF(MAESTRO!D35="","",IFERROR(TRUNC(AVERAGE(AK35:AV35),1),""))</f>
        <v/>
      </c>
      <c r="AX35" s="92" t="n"/>
      <c r="AY35" s="92" t="n"/>
      <c r="AZ35" s="92" t="n"/>
      <c r="BA35" s="92" t="n"/>
      <c r="BB35" s="92" t="n"/>
      <c r="BC35" s="22" t="n"/>
      <c r="BD35" s="22" t="n"/>
      <c r="BE35" s="22" t="n"/>
      <c r="BF35" s="22" t="n"/>
      <c r="BG35" s="52" t="n"/>
      <c r="BH35" s="5">
        <f>IF(MAESTRO!D35="","",IFERROR(TRUNC(AVERAGE(AX35:BG35),1),""))</f>
        <v/>
      </c>
      <c r="BI35" s="22" t="n"/>
      <c r="BJ35" s="22" t="n"/>
      <c r="BK35" s="22">
        <f>IF(MAESTRO!D35="","",IFERROR(AVERAGE(BI35:BJ35),""))</f>
        <v/>
      </c>
      <c r="BL35" s="5">
        <f>IF(MAESTRO!D35="","",IFERROR(TRUNC(AVERAGE(AW35,BH35),1),""))</f>
        <v/>
      </c>
      <c r="BM35" s="177" t="n"/>
      <c r="BN35" s="177" t="n">
        <v>31</v>
      </c>
      <c r="BO35" s="177" t="n">
        <v>31</v>
      </c>
      <c r="BP35" s="177">
        <f>IF(MAESTRO!D35="","",MAESTRO!D35)</f>
        <v/>
      </c>
      <c r="BQ35" s="178" t="n"/>
      <c r="BR35" s="89" t="n"/>
      <c r="BS35" s="89" t="n"/>
      <c r="BT35" s="89" t="n"/>
      <c r="BU35" s="89" t="n"/>
      <c r="BV35" s="5" t="n"/>
      <c r="BW35" s="5" t="n"/>
      <c r="BX35" s="5" t="n"/>
      <c r="BY35" s="5" t="n"/>
      <c r="BZ35" s="5" t="n"/>
      <c r="CA35" s="5" t="n"/>
      <c r="CB35" s="5" t="n"/>
      <c r="CC35" s="5" t="n"/>
      <c r="CD35" s="5" t="n"/>
      <c r="CE35" s="5">
        <f>IF(MAESTRO!D35="","",IFERROR(TRUNC(AVERAGE(BR35:CD35),1),""))</f>
        <v/>
      </c>
      <c r="CF35" s="89" t="n"/>
      <c r="CG35" s="89" t="n"/>
      <c r="CH35" s="89" t="n"/>
      <c r="CI35" s="89"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177" t="n"/>
      <c r="CV35" s="55"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89" t="n"/>
      <c r="D36" s="89" t="n"/>
      <c r="E36" s="89" t="n"/>
      <c r="F36" s="89" t="n"/>
      <c r="G36" s="5" t="n"/>
      <c r="H36" s="5" t="n"/>
      <c r="I36" s="5" t="n"/>
      <c r="J36" s="5" t="n"/>
      <c r="K36" s="5" t="n"/>
      <c r="L36" s="5" t="n"/>
      <c r="M36" s="5" t="n"/>
      <c r="N36" s="5" t="n"/>
      <c r="O36" s="5" t="n"/>
      <c r="P36" s="5">
        <f>IF(MAESTRO!D36="","",IFERROR(TRUNC(AVERAGE(C36:O36),1),""))</f>
        <v/>
      </c>
      <c r="Q36" s="40" t="n">
        <v>32</v>
      </c>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IF(MAESTRO!D36="","",IFERROR(TRUNC(AVERAGE(P36,AA36,AD36),1),""))</f>
        <v/>
      </c>
      <c r="AF36" s="177" t="n"/>
      <c r="AG36" s="177" t="n">
        <v>32</v>
      </c>
      <c r="AH36" s="177" t="n">
        <v>32</v>
      </c>
      <c r="AI36" s="177">
        <f>IF(MAESTRO!D36="","",MAESTRO!D36)</f>
        <v/>
      </c>
      <c r="AJ36" s="178" t="n"/>
      <c r="AK36" s="91" t="n"/>
      <c r="AL36" s="91" t="n"/>
      <c r="AM36" s="91" t="n"/>
      <c r="AN36" s="91" t="n"/>
      <c r="AO36" s="91" t="n"/>
      <c r="AP36" s="9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v>32</v>
      </c>
      <c r="BO36" s="177" t="n">
        <v>32</v>
      </c>
      <c r="BP36" s="177">
        <f>IF(MAESTRO!D36="","",MAESTRO!D36)</f>
        <v/>
      </c>
      <c r="BQ36" s="178" t="n"/>
      <c r="BR36" s="89" t="n"/>
      <c r="BS36" s="89" t="n"/>
      <c r="BT36" s="89" t="n"/>
      <c r="BU36" s="89"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177" t="n"/>
      <c r="CV36" s="55"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89" t="n"/>
      <c r="D37" s="89" t="n"/>
      <c r="E37" s="89" t="n"/>
      <c r="F37" s="89" t="n"/>
      <c r="G37" s="5" t="n"/>
      <c r="H37" s="5" t="n"/>
      <c r="I37" s="5" t="n"/>
      <c r="J37" s="5" t="n"/>
      <c r="K37" s="5" t="n"/>
      <c r="L37" s="5" t="n"/>
      <c r="M37" s="5" t="n"/>
      <c r="N37" s="5" t="n"/>
      <c r="O37" s="5" t="n"/>
      <c r="P37" s="5">
        <f>IF(MAESTRO!D37="","",IFERROR(TRUNC(AVERAGE(C37:O37),1),""))</f>
        <v/>
      </c>
      <c r="Q37" s="40" t="n">
        <v>33</v>
      </c>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IF(MAESTRO!D37="","",IFERROR(TRUNC(AVERAGE(P37,AA37,AD37),1),""))</f>
        <v/>
      </c>
      <c r="AF37" s="177" t="n"/>
      <c r="AG37" s="177" t="n">
        <v>33</v>
      </c>
      <c r="AH37" s="177" t="n">
        <v>33</v>
      </c>
      <c r="AI37" s="177">
        <f>IF(MAESTRO!D37="","",MAESTRO!D37)</f>
        <v/>
      </c>
      <c r="AJ37" s="178" t="n"/>
      <c r="AK37" s="91" t="n"/>
      <c r="AL37" s="91" t="n"/>
      <c r="AM37" s="91" t="n"/>
      <c r="AN37" s="91" t="n"/>
      <c r="AO37" s="91" t="n"/>
      <c r="AP37" s="9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v>33</v>
      </c>
      <c r="BO37" s="177" t="n">
        <v>33</v>
      </c>
      <c r="BP37" s="177">
        <f>IF(MAESTRO!D37="","",MAESTRO!D37)</f>
        <v/>
      </c>
      <c r="BQ37" s="178" t="n"/>
      <c r="BR37" s="89" t="n"/>
      <c r="BS37" s="89" t="n"/>
      <c r="BT37" s="89" t="n"/>
      <c r="BU37" s="89"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177" t="n"/>
      <c r="CV37" s="55"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89" t="n"/>
      <c r="D38" s="89" t="n"/>
      <c r="E38" s="89" t="n"/>
      <c r="F38" s="89" t="n"/>
      <c r="G38" s="5" t="n"/>
      <c r="H38" s="5" t="n"/>
      <c r="I38" s="5" t="n"/>
      <c r="J38" s="5" t="n"/>
      <c r="K38" s="5" t="n"/>
      <c r="L38" s="5" t="n"/>
      <c r="M38" s="5" t="n"/>
      <c r="N38" s="5" t="n"/>
      <c r="O38" s="5" t="n"/>
      <c r="P38" s="5">
        <f>IF(MAESTRO!D38="","",IFERROR(TRUNC(AVERAGE(C38:O38),1),""))</f>
        <v/>
      </c>
      <c r="Q38" s="40" t="n">
        <v>34</v>
      </c>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IF(MAESTRO!D38="","",IFERROR(TRUNC(AVERAGE(P38,AA38,AD38),1),""))</f>
        <v/>
      </c>
      <c r="AF38" s="177" t="n"/>
      <c r="AG38" s="177" t="n">
        <v>34</v>
      </c>
      <c r="AH38" s="177" t="n">
        <v>34</v>
      </c>
      <c r="AI38" s="177">
        <f>IF(MAESTRO!D38="","",MAESTRO!D38)</f>
        <v/>
      </c>
      <c r="AJ38" s="178" t="n"/>
      <c r="AK38" s="91" t="n"/>
      <c r="AL38" s="91" t="n"/>
      <c r="AM38" s="91" t="n"/>
      <c r="AN38" s="91" t="n"/>
      <c r="AO38" s="91" t="n"/>
      <c r="AP38" s="9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v>34</v>
      </c>
      <c r="BO38" s="177" t="n">
        <v>34</v>
      </c>
      <c r="BP38" s="177">
        <f>IF(MAESTRO!D38="","",MAESTRO!D38)</f>
        <v/>
      </c>
      <c r="BQ38" s="178" t="n"/>
      <c r="BR38" s="89" t="n"/>
      <c r="BS38" s="89" t="n"/>
      <c r="BT38" s="89" t="n"/>
      <c r="BU38" s="89"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177" t="n"/>
      <c r="CV38" s="55"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89" t="n"/>
      <c r="D39" s="89" t="n"/>
      <c r="E39" s="89" t="n"/>
      <c r="F39" s="89" t="n"/>
      <c r="G39" s="5" t="n"/>
      <c r="H39" s="5" t="n"/>
      <c r="I39" s="5" t="n"/>
      <c r="J39" s="5" t="n"/>
      <c r="K39" s="5" t="n"/>
      <c r="L39" s="5" t="n"/>
      <c r="M39" s="5" t="n"/>
      <c r="N39" s="5" t="n"/>
      <c r="O39" s="5" t="n"/>
      <c r="P39" s="5">
        <f>IF(MAESTRO!D39="","",IFERROR(TRUNC(AVERAGE(C39:O39),1),""))</f>
        <v/>
      </c>
      <c r="Q39" s="40" t="n">
        <v>35</v>
      </c>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IF(MAESTRO!D39="","",IFERROR(TRUNC(AVERAGE(P39,AA39,AD39),1),""))</f>
        <v/>
      </c>
      <c r="AF39" s="177" t="n"/>
      <c r="AG39" s="177" t="n">
        <v>35</v>
      </c>
      <c r="AH39" s="177" t="n">
        <v>35</v>
      </c>
      <c r="AI39" s="177">
        <f>IF(MAESTRO!D39="","",MAESTRO!D39)</f>
        <v/>
      </c>
      <c r="AJ39" s="178" t="n"/>
      <c r="AK39" s="91" t="n"/>
      <c r="AL39" s="91" t="n"/>
      <c r="AM39" s="91" t="n"/>
      <c r="AN39" s="91" t="n"/>
      <c r="AO39" s="91" t="n"/>
      <c r="AP39" s="9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v>35</v>
      </c>
      <c r="BO39" s="177" t="n">
        <v>35</v>
      </c>
      <c r="BP39" s="177">
        <f>IF(MAESTRO!D39="","",MAESTRO!D39)</f>
        <v/>
      </c>
      <c r="BQ39" s="178" t="n"/>
      <c r="BR39" s="89" t="n"/>
      <c r="BS39" s="89" t="n"/>
      <c r="BT39" s="89" t="n"/>
      <c r="BU39" s="89"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177" t="n"/>
      <c r="CV39" s="55"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89" t="n"/>
      <c r="D40" s="89" t="n"/>
      <c r="E40" s="89" t="n"/>
      <c r="F40" s="89" t="n"/>
      <c r="G40" s="5" t="n"/>
      <c r="H40" s="5" t="n"/>
      <c r="I40" s="5" t="n"/>
      <c r="J40" s="5" t="n"/>
      <c r="K40" s="5" t="n"/>
      <c r="L40" s="5" t="n"/>
      <c r="M40" s="5" t="n"/>
      <c r="N40" s="5" t="n"/>
      <c r="O40" s="5" t="n"/>
      <c r="P40" s="5">
        <f>IF(MAESTRO!D40="","",IFERROR(TRUNC(AVERAGE(C40:O40),1),""))</f>
        <v/>
      </c>
      <c r="Q40" s="40" t="n">
        <v>36</v>
      </c>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IF(MAESTRO!D40="","",IFERROR(TRUNC(AVERAGE(P40,AA40,AD40),1),""))</f>
        <v/>
      </c>
      <c r="AF40" s="177" t="n"/>
      <c r="AG40" s="177" t="n">
        <v>36</v>
      </c>
      <c r="AH40" s="177" t="n">
        <v>36</v>
      </c>
      <c r="AI40" s="177">
        <f>IF(MAESTRO!D40="","",MAESTRO!D40)</f>
        <v/>
      </c>
      <c r="AJ40" s="178" t="n"/>
      <c r="AK40" s="91" t="n"/>
      <c r="AL40" s="91" t="n"/>
      <c r="AM40" s="91" t="n"/>
      <c r="AN40" s="91" t="n"/>
      <c r="AO40" s="91" t="n"/>
      <c r="AP40" s="9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v>36</v>
      </c>
      <c r="BO40" s="177" t="n">
        <v>36</v>
      </c>
      <c r="BP40" s="177">
        <f>IF(MAESTRO!D40="","",MAESTRO!D40)</f>
        <v/>
      </c>
      <c r="BQ40" s="178" t="n"/>
      <c r="BR40" s="89" t="n"/>
      <c r="BS40" s="89" t="n"/>
      <c r="BT40" s="89" t="n"/>
      <c r="BU40" s="89"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177" t="n"/>
      <c r="CV40" s="55"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89" t="n"/>
      <c r="D41" s="89" t="n"/>
      <c r="E41" s="89" t="n"/>
      <c r="F41" s="89" t="n"/>
      <c r="G41" s="5" t="n"/>
      <c r="H41" s="5" t="n"/>
      <c r="I41" s="5" t="n"/>
      <c r="J41" s="5" t="n"/>
      <c r="K41" s="5" t="n"/>
      <c r="L41" s="5" t="n"/>
      <c r="M41" s="5" t="n"/>
      <c r="N41" s="5" t="n"/>
      <c r="O41" s="5" t="n"/>
      <c r="P41" s="5">
        <f>IF(MAESTRO!D41="","",IFERROR(TRUNC(AVERAGE(C41:O41),1),""))</f>
        <v/>
      </c>
      <c r="Q41" s="40" t="n">
        <v>37</v>
      </c>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IF(MAESTRO!D41="","",IFERROR(TRUNC(AVERAGE(P41,AA41,AD41),1),""))</f>
        <v/>
      </c>
      <c r="AF41" s="177" t="n"/>
      <c r="AG41" s="177" t="n">
        <v>37</v>
      </c>
      <c r="AH41" s="177" t="n">
        <v>37</v>
      </c>
      <c r="AI41" s="177">
        <f>IF(MAESTRO!D41="","",MAESTRO!D41)</f>
        <v/>
      </c>
      <c r="AJ41" s="178" t="n"/>
      <c r="AK41" s="91" t="n"/>
      <c r="AL41" s="91" t="n"/>
      <c r="AM41" s="91" t="n"/>
      <c r="AN41" s="91" t="n"/>
      <c r="AO41" s="91" t="n"/>
      <c r="AP41" s="9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v>37</v>
      </c>
      <c r="BO41" s="177" t="n">
        <v>37</v>
      </c>
      <c r="BP41" s="177">
        <f>IF(MAESTRO!D41="","",MAESTRO!D41)</f>
        <v/>
      </c>
      <c r="BQ41" s="178" t="n"/>
      <c r="BR41" s="89" t="n"/>
      <c r="BS41" s="89" t="n"/>
      <c r="BT41" s="89" t="n"/>
      <c r="BU41" s="89"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177" t="n"/>
      <c r="CV41" s="55"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inlineStr">
        <is>
          <t xml:space="preserve">Cuadro - Bienes y Servicios </t>
        </is>
      </c>
      <c r="D42" s="288" t="inlineStr">
        <is>
          <t>Vocabulario - O. Comercio</t>
        </is>
      </c>
      <c r="E42" s="288" t="inlineStr">
        <is>
          <t>Ensayo - Import. del Comercio</t>
        </is>
      </c>
      <c r="F42" s="288" t="inlineStr">
        <is>
          <t>Tarea 6</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8" t="inlineStr">
        <is>
          <t>Mural -Semana Santa</t>
        </is>
      </c>
      <c r="S42" s="281" t="inlineStr">
        <is>
          <t>Tarea 19</t>
        </is>
      </c>
      <c r="T42" s="286"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45" t="n"/>
      <c r="AB42" s="309" t="inlineStr">
        <is>
          <t>Tarea 28</t>
        </is>
      </c>
      <c r="AC42" s="286" t="inlineStr">
        <is>
          <t>Tarea 29</t>
        </is>
      </c>
      <c r="AD42" s="5" t="n"/>
      <c r="AE42" s="44" t="n"/>
      <c r="AF42" s="177" t="n"/>
      <c r="AG42" s="177" t="n">
        <v>38</v>
      </c>
      <c r="AH42" s="177" t="n">
        <v>38</v>
      </c>
      <c r="AI42" s="177">
        <f>IF(MAESTRO!D42="","",MAESTRO!D42)</f>
        <v/>
      </c>
      <c r="AJ42" s="178" t="n"/>
      <c r="AK42" s="284" t="inlineStr">
        <is>
          <t>Tarea 37</t>
        </is>
      </c>
      <c r="AL42" s="284" t="inlineStr">
        <is>
          <t>Tarea 38</t>
        </is>
      </c>
      <c r="AM42" s="284" t="inlineStr">
        <is>
          <t>Tarea 39</t>
        </is>
      </c>
      <c r="AN42" s="284" t="inlineStr">
        <is>
          <t>Tarea 40</t>
        </is>
      </c>
      <c r="AO42" s="284" t="inlineStr">
        <is>
          <t>Tarea 41</t>
        </is>
      </c>
      <c r="AP42" s="284" t="inlineStr">
        <is>
          <t>Tarea 42</t>
        </is>
      </c>
      <c r="AQ42" s="290"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IF(MAESTRO!D42="","",MAESTRO!D42)</f>
        <v/>
      </c>
      <c r="BQ42" s="178" t="n"/>
      <c r="BR42" s="281" t="inlineStr">
        <is>
          <t>Tarea 70</t>
        </is>
      </c>
      <c r="BS42" s="281" t="inlineStr">
        <is>
          <t>Tarea 71</t>
        </is>
      </c>
      <c r="BT42" s="281" t="inlineStr">
        <is>
          <t>Tarea 72</t>
        </is>
      </c>
      <c r="BU42" s="281" t="inlineStr">
        <is>
          <t>Tarea 73</t>
        </is>
      </c>
      <c r="BV42" s="287" t="inlineStr">
        <is>
          <t>Tarea 74</t>
        </is>
      </c>
      <c r="BW42" s="287" t="inlineStr">
        <is>
          <t>Tarea 75</t>
        </is>
      </c>
      <c r="BX42" s="287" t="inlineStr">
        <is>
          <t>Tarea 76</t>
        </is>
      </c>
      <c r="BY42" s="287" t="inlineStr">
        <is>
          <t>Tarea 77</t>
        </is>
      </c>
      <c r="BZ42" s="312" t="inlineStr">
        <is>
          <t>Tarea 78</t>
        </is>
      </c>
      <c r="CA42" s="287" t="inlineStr">
        <is>
          <t>Tarea 79</t>
        </is>
      </c>
      <c r="CB42" s="287" t="inlineStr">
        <is>
          <t>Tarea 80</t>
        </is>
      </c>
      <c r="CC42" s="287" t="inlineStr">
        <is>
          <t>Tarea 81</t>
        </is>
      </c>
      <c r="CD42" s="287" t="inlineStr">
        <is>
          <t>Tarea 82</t>
        </is>
      </c>
      <c r="CE42" s="5" t="n"/>
      <c r="CF42" s="281" t="inlineStr">
        <is>
          <t>Tarea 84</t>
        </is>
      </c>
      <c r="CG42" s="281" t="inlineStr">
        <is>
          <t>Tarea 85</t>
        </is>
      </c>
      <c r="CH42" s="281" t="inlineStr">
        <is>
          <t>Tarea 86</t>
        </is>
      </c>
      <c r="CI42" s="281" t="inlineStr">
        <is>
          <t>Tarea 87</t>
        </is>
      </c>
      <c r="CJ42" s="312" t="inlineStr">
        <is>
          <t>Tarea 88</t>
        </is>
      </c>
      <c r="CK42" s="287" t="inlineStr">
        <is>
          <t>Tarea 89</t>
        </is>
      </c>
      <c r="CL42" s="287" t="inlineStr">
        <is>
          <t>Tarea 90</t>
        </is>
      </c>
      <c r="CM42" s="287" t="inlineStr">
        <is>
          <t>Tarea 91</t>
        </is>
      </c>
      <c r="CN42" s="287" t="inlineStr">
        <is>
          <t>Tarea 92</t>
        </is>
      </c>
      <c r="CO42" s="287" t="inlineStr">
        <is>
          <t>Tarea 93</t>
        </is>
      </c>
      <c r="CP42" s="5" t="n"/>
      <c r="CQ42" s="287" t="inlineStr">
        <is>
          <t>Tarea 95</t>
        </is>
      </c>
      <c r="CR42" s="287" t="inlineStr">
        <is>
          <t>Tarea 96</t>
        </is>
      </c>
      <c r="CS42" s="5" t="n"/>
      <c r="CT42" s="5" t="n"/>
      <c r="CU42" s="177" t="n"/>
      <c r="CV42" s="55"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IF(MAESTRO!D43="","",MAESTRO!D43)</f>
        <v/>
      </c>
      <c r="BQ43" s="178" t="n"/>
      <c r="BR43" s="282" t="n"/>
      <c r="BS43" s="282" t="n"/>
      <c r="BT43" s="282" t="n"/>
      <c r="BU43" s="282" t="n"/>
      <c r="BV43" s="282" t="n"/>
      <c r="BW43" s="282" t="n"/>
      <c r="BX43" s="282" t="n"/>
      <c r="BY43" s="282" t="n"/>
      <c r="BZ43" s="180" t="n"/>
      <c r="CA43" s="282" t="n"/>
      <c r="CB43" s="282" t="n"/>
      <c r="CC43" s="282" t="n"/>
      <c r="CD43" s="282" t="n"/>
      <c r="CE43" s="5" t="n"/>
      <c r="CF43" s="282" t="n"/>
      <c r="CG43" s="282" t="n"/>
      <c r="CH43" s="282" t="n"/>
      <c r="CI43" s="282" t="n"/>
      <c r="CJ43" s="180" t="n"/>
      <c r="CK43" s="282" t="n"/>
      <c r="CL43" s="282" t="n"/>
      <c r="CM43" s="282" t="n"/>
      <c r="CN43" s="282" t="n"/>
      <c r="CO43" s="282" t="n"/>
      <c r="CP43" s="5" t="n"/>
      <c r="CQ43" s="282" t="n"/>
      <c r="CR43" s="282" t="n"/>
      <c r="CS43" s="5" t="n"/>
      <c r="CT43" s="5" t="n"/>
      <c r="CU43" s="177" t="n"/>
      <c r="CV43" s="55"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IF(MAESTRO!D44="","",MAESTRO!D44)</f>
        <v/>
      </c>
      <c r="BQ44" s="178" t="n"/>
      <c r="BR44" s="282" t="n"/>
      <c r="BS44" s="282" t="n"/>
      <c r="BT44" s="282" t="n"/>
      <c r="BU44" s="282" t="n"/>
      <c r="BV44" s="282" t="n"/>
      <c r="BW44" s="282" t="n"/>
      <c r="BX44" s="282" t="n"/>
      <c r="BY44" s="282" t="n"/>
      <c r="BZ44" s="180" t="n"/>
      <c r="CA44" s="282" t="n"/>
      <c r="CB44" s="282" t="n"/>
      <c r="CC44" s="282" t="n"/>
      <c r="CD44" s="282" t="n"/>
      <c r="CE44" s="5" t="n"/>
      <c r="CF44" s="282" t="n"/>
      <c r="CG44" s="282" t="n"/>
      <c r="CH44" s="282" t="n"/>
      <c r="CI44" s="282" t="n"/>
      <c r="CJ44" s="180" t="n"/>
      <c r="CK44" s="282" t="n"/>
      <c r="CL44" s="282" t="n"/>
      <c r="CM44" s="282" t="n"/>
      <c r="CN44" s="282" t="n"/>
      <c r="CO44" s="282" t="n"/>
      <c r="CP44" s="5" t="n"/>
      <c r="CQ44" s="282" t="n"/>
      <c r="CR44" s="282" t="n"/>
      <c r="CS44" s="5" t="n"/>
      <c r="CT44" s="5" t="n"/>
      <c r="CU44" s="177" t="n"/>
      <c r="CV44" s="55"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180" t="n"/>
      <c r="CA45" s="282" t="n"/>
      <c r="CB45" s="282" t="n"/>
      <c r="CC45" s="282" t="n"/>
      <c r="CD45" s="282" t="n"/>
      <c r="CE45" s="5" t="n"/>
      <c r="CF45" s="282" t="n"/>
      <c r="CG45" s="282" t="n"/>
      <c r="CH45" s="282" t="n"/>
      <c r="CI45" s="282" t="n"/>
      <c r="CJ45" s="180" t="n"/>
      <c r="CK45" s="282" t="n"/>
      <c r="CL45" s="282" t="n"/>
      <c r="CM45" s="282" t="n"/>
      <c r="CN45" s="282" t="n"/>
      <c r="CO45" s="282" t="n"/>
      <c r="CP45" s="5" t="n"/>
      <c r="CQ45" s="282" t="n"/>
      <c r="CR45" s="282" t="n"/>
      <c r="CS45" s="5" t="n"/>
      <c r="CT45" s="5" t="n"/>
      <c r="CU45" s="177" t="n"/>
      <c r="CV45" s="55"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180" t="n"/>
      <c r="CA46" s="282" t="n"/>
      <c r="CB46" s="282" t="n"/>
      <c r="CC46" s="282" t="n"/>
      <c r="CD46" s="282" t="n"/>
      <c r="CE46" s="5" t="n"/>
      <c r="CF46" s="282" t="n"/>
      <c r="CG46" s="282" t="n"/>
      <c r="CH46" s="282" t="n"/>
      <c r="CI46" s="282" t="n"/>
      <c r="CJ46" s="180" t="n"/>
      <c r="CK46" s="282" t="n"/>
      <c r="CL46" s="282" t="n"/>
      <c r="CM46" s="282" t="n"/>
      <c r="CN46" s="282" t="n"/>
      <c r="CO46" s="282" t="n"/>
      <c r="CP46" s="5" t="n"/>
      <c r="CQ46" s="282" t="n"/>
      <c r="CR46" s="282" t="n"/>
      <c r="CS46" s="5" t="n"/>
      <c r="CT46" s="5" t="n"/>
      <c r="CU46" s="177" t="n"/>
      <c r="CV46" s="55"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180" t="n"/>
      <c r="CA47" s="282" t="n"/>
      <c r="CB47" s="282" t="n"/>
      <c r="CC47" s="282" t="n"/>
      <c r="CD47" s="282" t="n"/>
      <c r="CE47" s="5" t="n"/>
      <c r="CF47" s="282" t="n"/>
      <c r="CG47" s="282" t="n"/>
      <c r="CH47" s="282" t="n"/>
      <c r="CI47" s="282" t="n"/>
      <c r="CJ47" s="180" t="n"/>
      <c r="CK47" s="282" t="n"/>
      <c r="CL47" s="282" t="n"/>
      <c r="CM47" s="282" t="n"/>
      <c r="CN47" s="282" t="n"/>
      <c r="CO47" s="282" t="n"/>
      <c r="CP47" s="5" t="n"/>
      <c r="CQ47" s="282" t="n"/>
      <c r="CR47" s="282" t="n"/>
      <c r="CS47" s="5" t="n"/>
      <c r="CT47" s="5" t="n"/>
      <c r="CU47" s="177" t="n"/>
      <c r="CV47" s="55"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181" t="n"/>
      <c r="CA48" s="283" t="n"/>
      <c r="CB48" s="283" t="n"/>
      <c r="CC48" s="283" t="n"/>
      <c r="CD48" s="283" t="n"/>
      <c r="CE48" s="5" t="n"/>
      <c r="CF48" s="283" t="n"/>
      <c r="CG48" s="283" t="n"/>
      <c r="CH48" s="283" t="n"/>
      <c r="CI48" s="283" t="n"/>
      <c r="CJ48" s="181" t="n"/>
      <c r="CK48" s="283" t="n"/>
      <c r="CL48" s="283" t="n"/>
      <c r="CM48" s="283" t="n"/>
      <c r="CN48" s="283" t="n"/>
      <c r="CO48" s="283" t="n"/>
      <c r="CP48" s="5" t="n"/>
      <c r="CQ48" s="283" t="n"/>
      <c r="CR48" s="283" t="n"/>
      <c r="CS48" s="5" t="n"/>
      <c r="CT48" s="5" t="n"/>
      <c r="CU48" s="177" t="n"/>
      <c r="CV48" s="55"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(Comercio 8°)'!AF5,""))</f>
        <v/>
      </c>
      <c r="G16" s="49">
        <f>IF(MAESTRO!D5="","",IFERROR('PROM (Comercio 8°)'!BM5,""))</f>
        <v/>
      </c>
      <c r="H16" s="49">
        <f>IF(MAESTRO!D5="","",IFERROR('PROM (Comercio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(Comercio 8°)'!AF6,""))</f>
        <v/>
      </c>
      <c r="G17" s="49">
        <f>IF(MAESTRO!D6="","",IFERROR('PROM (Comercio 8°)'!BM6,""))</f>
        <v/>
      </c>
      <c r="H17" s="49">
        <f>IF(MAESTRO!D6="","",IFERROR('PROM (Comercio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(Comercio 8°)'!AF7,""))</f>
        <v/>
      </c>
      <c r="G18" s="49">
        <f>IF(MAESTRO!D7="","",IFERROR('PROM (Comercio 8°)'!BM7,""))</f>
        <v/>
      </c>
      <c r="H18" s="49">
        <f>IF(MAESTRO!D7="","",IFERROR('PROM (Comercio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(Comercio 8°)'!AF8,""))</f>
        <v/>
      </c>
      <c r="G19" s="49">
        <f>IF(MAESTRO!D8="","",IFERROR('PROM (Comercio 8°)'!BM8,""))</f>
        <v/>
      </c>
      <c r="H19" s="49">
        <f>IF(MAESTRO!D8="","",IFERROR('PROM (Comercio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(Comercio 8°)'!AF9,""))</f>
        <v/>
      </c>
      <c r="G20" s="49">
        <f>IF(MAESTRO!D9="","",IFERROR('PROM (Comercio 8°)'!BM9,""))</f>
        <v/>
      </c>
      <c r="H20" s="49">
        <f>IF(MAESTRO!D9="","",IFERROR('PROM (Comercio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(Comercio 8°)'!AF10,""))</f>
        <v/>
      </c>
      <c r="G21" s="49">
        <f>IF(MAESTRO!D10="","",IFERROR('PROM (Comercio 8°)'!BM10,""))</f>
        <v/>
      </c>
      <c r="H21" s="49">
        <f>IF(MAESTRO!D10="","",IFERROR('PROM (Comercio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(Comercio 8°)'!AF11,""))</f>
        <v/>
      </c>
      <c r="G22" s="49">
        <f>IF(MAESTRO!D11="","",IFERROR('PROM (Comercio 8°)'!BM11,""))</f>
        <v/>
      </c>
      <c r="H22" s="49">
        <f>IF(MAESTRO!D11="","",IFERROR('PROM (Comercio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(Comercio 8°)'!AF12,""))</f>
        <v/>
      </c>
      <c r="G23" s="49">
        <f>IF(MAESTRO!D12="","",IFERROR('PROM (Comercio 8°)'!BM12,""))</f>
        <v/>
      </c>
      <c r="H23" s="49">
        <f>IF(MAESTRO!D12="","",IFERROR('PROM (Comercio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(Comercio 8°)'!AF13,""))</f>
        <v/>
      </c>
      <c r="G24" s="49">
        <f>IF(MAESTRO!D13="","",IFERROR('PROM (Comercio 8°)'!BM13,""))</f>
        <v/>
      </c>
      <c r="H24" s="49">
        <f>IF(MAESTRO!D13="","",IFERROR('PROM (Comercio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(Comercio 8°)'!AF14,""))</f>
        <v/>
      </c>
      <c r="G25" s="49">
        <f>IF(MAESTRO!D14="","",IFERROR('PROM (Comercio 8°)'!BM14,""))</f>
        <v/>
      </c>
      <c r="H25" s="49">
        <f>IF(MAESTRO!D14="","",IFERROR('PROM (Comercio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(Comercio 8°)'!AF15,""))</f>
        <v/>
      </c>
      <c r="G26" s="49">
        <f>IF(MAESTRO!D15="","",IFERROR('PROM (Comercio 8°)'!BM15,""))</f>
        <v/>
      </c>
      <c r="H26" s="49">
        <f>IF(MAESTRO!D15="","",IFERROR('PROM (Comercio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(Comercio 8°)'!AF16,""))</f>
        <v/>
      </c>
      <c r="G27" s="49">
        <f>IF(MAESTRO!D16="","",IFERROR('PROM (Comercio 8°)'!BM16,""))</f>
        <v/>
      </c>
      <c r="H27" s="49">
        <f>IF(MAESTRO!D16="","",IFERROR('PROM (Comercio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(Comercio 8°)'!AF17,""))</f>
        <v/>
      </c>
      <c r="G28" s="49">
        <f>IF(MAESTRO!D17="","",IFERROR('PROM (Comercio 8°)'!BM17,""))</f>
        <v/>
      </c>
      <c r="H28" s="49">
        <f>IF(MAESTRO!D17="","",IFERROR('PROM (Comercio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(Comercio 8°)'!AF18,""))</f>
        <v/>
      </c>
      <c r="G29" s="49">
        <f>IF(MAESTRO!D18="","",IFERROR('PROM (Comercio 8°)'!BM18,""))</f>
        <v/>
      </c>
      <c r="H29" s="49">
        <f>IF(MAESTRO!D18="","",IFERROR('PROM (Comercio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(Comercio 8°)'!AF19,""))</f>
        <v/>
      </c>
      <c r="G30" s="49">
        <f>IF(MAESTRO!D19="","",IFERROR('PROM (Comercio 8°)'!BM19,""))</f>
        <v/>
      </c>
      <c r="H30" s="49">
        <f>IF(MAESTRO!D19="","",IFERROR('PROM (Comercio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(Comercio 8°)'!AF20,""))</f>
        <v/>
      </c>
      <c r="G31" s="49">
        <f>IF(MAESTRO!D20="","",IFERROR('PROM (Comercio 8°)'!BM20,""))</f>
        <v/>
      </c>
      <c r="H31" s="49">
        <f>IF(MAESTRO!D20="","",IFERROR('PROM (Comercio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(Comercio 8°)'!AF21,""))</f>
        <v/>
      </c>
      <c r="G32" s="49">
        <f>IF(MAESTRO!D21="","",IFERROR('PROM (Comercio 8°)'!BM21,""))</f>
        <v/>
      </c>
      <c r="H32" s="49">
        <f>IF(MAESTRO!D21="","",IFERROR('PROM (Comercio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(Comercio 8°)'!AF22,""))</f>
        <v/>
      </c>
      <c r="G33" s="49">
        <f>IF(MAESTRO!D22="","",IFERROR('PROM (Comercio 8°)'!BM22,""))</f>
        <v/>
      </c>
      <c r="H33" s="49">
        <f>IF(MAESTRO!D22="","",IFERROR('PROM (Comercio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(Comercio 8°)'!AF23,""))</f>
        <v/>
      </c>
      <c r="G34" s="49">
        <f>IF(MAESTRO!D23="","",IFERROR('PROM (Comercio 8°)'!BM23,""))</f>
        <v/>
      </c>
      <c r="H34" s="49">
        <f>IF(MAESTRO!D23="","",IFERROR('PROM (Comercio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(Comercio 8°)'!AF24,""))</f>
        <v/>
      </c>
      <c r="G35" s="49">
        <f>IF(MAESTRO!D24="","",IFERROR('PROM (Comercio 8°)'!BM24,""))</f>
        <v/>
      </c>
      <c r="H35" s="49">
        <f>IF(MAESTRO!D24="","",IFERROR('PROM (Comercio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(Comercio 8°)'!AF25,""))</f>
        <v/>
      </c>
      <c r="G36" s="49">
        <f>IF(MAESTRO!D25="","",IFERROR('PROM (Comercio 8°)'!BM25,""))</f>
        <v/>
      </c>
      <c r="H36" s="49">
        <f>IF(MAESTRO!D25="","",IFERROR('PROM (Comercio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(Comercio 8°)'!AF26,""))</f>
        <v/>
      </c>
      <c r="G37" s="49">
        <f>IF(MAESTRO!D26="","",IFERROR('PROM (Comercio 8°)'!BM26,""))</f>
        <v/>
      </c>
      <c r="H37" s="49">
        <f>IF(MAESTRO!D26="","",IFERROR('PROM (Comercio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(Comercio 8°)'!AF27,""))</f>
        <v/>
      </c>
      <c r="G38" s="49">
        <f>IF(MAESTRO!D27="","",IFERROR('PROM (Comercio 8°)'!BM27,""))</f>
        <v/>
      </c>
      <c r="H38" s="49">
        <f>IF(MAESTRO!D27="","",IFERROR('PROM (Comercio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(Comercio 8°)'!AF28,""))</f>
        <v/>
      </c>
      <c r="G39" s="49">
        <f>IF(MAESTRO!D28="","",IFERROR('PROM (Comercio 8°)'!BM28,""))</f>
        <v/>
      </c>
      <c r="H39" s="49">
        <f>IF(MAESTRO!D28="","",IFERROR('PROM (Comercio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(Comercio 8°)'!AF29,""))</f>
        <v/>
      </c>
      <c r="G40" s="49">
        <f>IF(MAESTRO!D29="","",IFERROR('PROM (Comercio 8°)'!BM29,""))</f>
        <v/>
      </c>
      <c r="H40" s="49">
        <f>IF(MAESTRO!D29="","",IFERROR('PROM (Comercio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(Comercio 8°)'!AF30,""))</f>
        <v/>
      </c>
      <c r="G41" s="49">
        <f>IF(MAESTRO!D30="","",IFERROR('PROM (Comercio 8°)'!BM30,""))</f>
        <v/>
      </c>
      <c r="H41" s="49">
        <f>IF(MAESTRO!D30="","",IFERROR('PROM (Comercio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(Comercio 8°)'!AF31,""))</f>
        <v/>
      </c>
      <c r="G42" s="49">
        <f>IF(MAESTRO!D31="","",IFERROR('PROM (Comercio 8°)'!BM31,""))</f>
        <v/>
      </c>
      <c r="H42" s="49">
        <f>IF(MAESTRO!D31="","",IFERROR('PROM (Comercio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(Comercio 8°)'!AF32,""))</f>
        <v/>
      </c>
      <c r="G43" s="49">
        <f>IF(MAESTRO!D32="","",IFERROR('PROM (Comercio 8°)'!BM32,""))</f>
        <v/>
      </c>
      <c r="H43" s="49">
        <f>IF(MAESTRO!D32="","",IFERROR('PROM (Comercio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(Comercio 8°)'!AF33,""))</f>
        <v/>
      </c>
      <c r="G44" s="49">
        <f>IF(MAESTRO!D33="","",IFERROR('PROM (Comercio 8°)'!BM33,""))</f>
        <v/>
      </c>
      <c r="H44" s="49">
        <f>IF(MAESTRO!D33="","",IFERROR('PROM (Comercio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(Comercio 8°)'!AF34,""))</f>
        <v/>
      </c>
      <c r="G45" s="49">
        <f>IF(MAESTRO!D34="","",IFERROR('PROM (Comercio 8°)'!BM34,""))</f>
        <v/>
      </c>
      <c r="H45" s="49">
        <f>IF(MAESTRO!D34="","",IFERROR('PROM (Comercio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(Comercio 8°)'!AF35,""))</f>
        <v/>
      </c>
      <c r="G46" s="49">
        <f>IF(MAESTRO!D35="","",IFERROR('PROM (Comercio 8°)'!BM35,""))</f>
        <v/>
      </c>
      <c r="H46" s="49">
        <f>IF(MAESTRO!D35="","",IFERROR('PROM (Comercio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(Comercio 8°)'!AF36,""))</f>
        <v/>
      </c>
      <c r="G47" s="49">
        <f>IF(MAESTRO!D36="","",IFERROR('PROM (Comercio 8°)'!BM36,""))</f>
        <v/>
      </c>
      <c r="H47" s="49">
        <f>IF(MAESTRO!D36="","",IFERROR('PROM (Comercio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(Comercio 8°)'!AF37,""))</f>
        <v/>
      </c>
      <c r="G48" s="49">
        <f>IF(MAESTRO!D37="","",IFERROR('PROM (Comercio 8°)'!BM37,""))</f>
        <v/>
      </c>
      <c r="H48" s="49">
        <f>IF(MAESTRO!D37="","",IFERROR('PROM (Comercio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(Comercio 8°)'!AF38,""))</f>
        <v/>
      </c>
      <c r="G49" s="49">
        <f>IF(MAESTRO!D38="","",IFERROR('PROM (Comercio 8°)'!BM38,""))</f>
        <v/>
      </c>
      <c r="H49" s="49">
        <f>IF(MAESTRO!D38="","",IFERROR('PROM (Comercio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(Comercio 8°)'!AF39,""))</f>
        <v/>
      </c>
      <c r="G50" s="49">
        <f>IF(MAESTRO!D39="","",IFERROR('PROM (Comercio 8°)'!BM39,""))</f>
        <v/>
      </c>
      <c r="H50" s="49">
        <f>IF(MAESTRO!D39="","",IFERROR('PROM (Comercio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(Comercio 8°)'!AF40,""))</f>
        <v/>
      </c>
      <c r="G51" s="49">
        <f>IF(MAESTRO!D40="","",IFERROR('PROM (Comercio 8°)'!BM40,""))</f>
        <v/>
      </c>
      <c r="H51" s="49">
        <f>IF(MAESTRO!D40="","",IFERROR('PROM (Comercio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(Comercio 8°)'!AF41,""))</f>
        <v/>
      </c>
      <c r="G52" s="49">
        <f>IF(MAESTRO!D41="","",IFERROR('PROM (Comercio 8°)'!BM41,""))</f>
        <v/>
      </c>
      <c r="H52" s="49">
        <f>IF(MAESTRO!D41="","",IFERROR('PROM (Comercio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(Comercio 8°)'!AF42,""))</f>
        <v/>
      </c>
      <c r="G53" s="49">
        <f>IF(MAESTRO!D42="","",IFERROR('PROM (Comercio 8°)'!BM42,""))</f>
        <v/>
      </c>
      <c r="H53" s="49">
        <f>IF(MAESTRO!D42="","",IFERROR('PROM (Comercio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(Comercio 8°)'!AF43,""))</f>
        <v/>
      </c>
      <c r="G54" s="49">
        <f>IF(MAESTRO!D43="","",IFERROR('PROM (Comercio 8°)'!BM43,""))</f>
        <v/>
      </c>
      <c r="H54" s="49">
        <f>IF(MAESTRO!D43="","",IFERROR('PROM (Comercio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(Comercio 8°)'!AF44,""))</f>
        <v/>
      </c>
      <c r="G55" s="49">
        <f>IF(MAESTRO!D44="","",IFERROR('PROM (Comercio 8°)'!BM44,""))</f>
        <v/>
      </c>
      <c r="H55" s="49">
        <f>IF(MAESTRO!D44="","",IFERROR('PROM (Comercio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2" zoomScale="83" zoomScaleNormal="100" zoomScalePageLayoutView="83" workbookViewId="0">
      <selection activeCell="F18" sqref="F18"/>
    </sheetView>
  </sheetViews>
  <sheetFormatPr baseColWidth="10" defaultRowHeight="14.4"/>
  <cols>
    <col width="2.77734375" bestFit="1" customWidth="1" style="176" min="1" max="1"/>
    <col width="19.44140625" bestFit="1" customWidth="1" style="176" min="2" max="2"/>
    <col width="4.44140625" customWidth="1" style="176" min="3" max="16"/>
    <col width="4.88671875" customWidth="1" style="176" min="17" max="17"/>
    <col width="3.33203125" customWidth="1" style="176" min="18" max="18"/>
    <col width="4.44140625" customWidth="1" style="21" min="19" max="19"/>
    <col width="4.44140625" customWidth="1" style="176" min="20" max="29"/>
    <col width="5.33203125" customWidth="1" style="212" min="30" max="30"/>
    <col width="4.44140625" customWidth="1" style="176" min="31" max="31"/>
    <col width="6.44140625" customWidth="1" style="176" min="32" max="32"/>
    <col width="17.44140625" customWidth="1" style="176" min="33" max="33"/>
    <col width="3.33203125" customWidth="1" style="176" min="34" max="34"/>
    <col width="2.77734375" customWidth="1" style="176" min="35" max="35"/>
    <col width="13" customWidth="1" style="176" min="37" max="37"/>
    <col width="4.77734375" customWidth="1" style="197" min="38" max="45"/>
    <col width="4.77734375" customWidth="1" style="198" min="46"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109375" customWidth="1" style="196" min="71" max="83"/>
    <col width="4.44140625" customWidth="1" style="176" min="84" max="84"/>
    <col width="4.44140625" customWidth="1" style="196" min="85" max="99"/>
    <col width="20.44140625" customWidth="1" style="176" min="100" max="100"/>
    <col width="3.109375" customWidth="1" style="176" min="101" max="101"/>
    <col width="2.77734375" customWidth="1" style="176" min="102" max="102"/>
    <col width="14.33203125" customWidth="1" style="176" min="104" max="104"/>
    <col width="4.44140625" customWidth="1" style="176" min="105" max="130"/>
    <col width="4.77734375" customWidth="1" style="176" min="131" max="131"/>
    <col width="4.44140625" customWidth="1" style="176" min="132" max="133"/>
    <col width="20.44140625" customWidth="1" style="176" min="134" max="134"/>
    <col width="3.109375" customWidth="1" style="176" min="135" max="135"/>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205" t="n"/>
      <c r="Q1" s="178" t="n"/>
      <c r="R1" s="39" t="n"/>
      <c r="S1" s="204" t="inlineStr">
        <is>
          <t>CALIFICACIONES-PRIMER TRIMESTRE</t>
        </is>
      </c>
      <c r="T1" s="205" t="n"/>
      <c r="U1" s="205" t="n"/>
      <c r="V1" s="205" t="n"/>
      <c r="W1" s="205" t="n"/>
      <c r="X1" s="205" t="n"/>
      <c r="Y1" s="205" t="n"/>
      <c r="Z1" s="205" t="n"/>
      <c r="AA1" s="205" t="n"/>
      <c r="AB1" s="205" t="n"/>
      <c r="AC1" s="205" t="n"/>
      <c r="AD1" s="205" t="n"/>
      <c r="AE1" s="205" t="n"/>
      <c r="AF1" s="205" t="n"/>
      <c r="AG1" s="205" t="n"/>
      <c r="AH1" s="178" t="n"/>
      <c r="AI1" s="202" t="inlineStr">
        <is>
          <t>CALIFICACIONES-SEGUNDO TRIMESTRE</t>
        </is>
      </c>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205" t="n"/>
      <c r="CF1" s="178" t="n"/>
      <c r="CG1" s="204" t="inlineStr">
        <is>
          <t>CALIFICACIONES-TERCER TRIMESTRE</t>
        </is>
      </c>
      <c r="CH1" s="205" t="n"/>
      <c r="CI1" s="205" t="n"/>
      <c r="CJ1" s="205" t="n"/>
      <c r="CK1" s="205" t="n"/>
      <c r="CL1" s="205" t="n"/>
      <c r="CM1" s="205" t="n"/>
      <c r="CN1" s="205" t="n"/>
      <c r="CO1" s="205" t="n"/>
      <c r="CP1" s="205" t="n"/>
      <c r="CQ1" s="205" t="n"/>
      <c r="CR1" s="205" t="n"/>
      <c r="CS1" s="205" t="n"/>
      <c r="CT1" s="205" t="n"/>
      <c r="CU1" s="205" t="n"/>
      <c r="CV1" s="205" t="n"/>
      <c r="CW1" s="178" t="n"/>
      <c r="CX1" s="203" t="n"/>
      <c r="DO1" s="213" t="n"/>
    </row>
    <row r="2" ht="6" customHeight="1" s="176">
      <c r="A2" s="191" t="n"/>
      <c r="R2" s="191" t="n"/>
      <c r="S2" s="193" t="n"/>
      <c r="AI2" s="191" t="n"/>
      <c r="AY2" s="193" t="n"/>
      <c r="BP2" s="191" t="n"/>
      <c r="CG2" s="193" t="n"/>
      <c r="CX2" s="191" t="n"/>
      <c r="DO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205" t="n"/>
      <c r="P3" s="178" t="n"/>
      <c r="Q3" s="201" t="inlineStr">
        <is>
          <t>PROMEDIO</t>
        </is>
      </c>
      <c r="R3" s="56" t="n"/>
      <c r="S3" s="209" t="inlineStr">
        <is>
          <t>NOTAS DE APRECIACIÓN</t>
        </is>
      </c>
      <c r="T3" s="205" t="n"/>
      <c r="U3" s="205" t="n"/>
      <c r="V3" s="205" t="n"/>
      <c r="W3" s="205" t="n"/>
      <c r="X3" s="205" t="n"/>
      <c r="Y3" s="205" t="n"/>
      <c r="Z3" s="205" t="n"/>
      <c r="AA3" s="178" t="n"/>
      <c r="AB3" s="201" t="inlineStr">
        <is>
          <t>PROMEDIO</t>
        </is>
      </c>
      <c r="AC3" s="184" t="inlineStr">
        <is>
          <t>PRUEBAS TRIMESTRALES 1/3</t>
        </is>
      </c>
      <c r="AD3" s="185" t="n"/>
      <c r="AE3" s="201" t="inlineStr">
        <is>
          <t>PROMEDIO</t>
        </is>
      </c>
      <c r="AF3" s="200" t="inlineStr">
        <is>
          <t>CALIFICACIÓN           TRIMESTRAL</t>
        </is>
      </c>
      <c r="AG3" s="207" t="inlineStr">
        <is>
          <t>OBSERVACIONES</t>
        </is>
      </c>
      <c r="AH3" s="185" t="n"/>
      <c r="AI3" s="192" t="n"/>
      <c r="AJ3" s="202" t="inlineStr">
        <is>
          <t>NOMBRE                          ALUMNA-ALUMNO</t>
        </is>
      </c>
      <c r="AK3" s="185" t="n"/>
      <c r="AL3" s="209" t="inlineStr">
        <is>
          <t>NOTAS PARCIALES 1/3</t>
        </is>
      </c>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205" t="n"/>
      <c r="CE3" s="178" t="n"/>
      <c r="CF3" s="201" t="inlineStr">
        <is>
          <t>PROMEDIO</t>
        </is>
      </c>
      <c r="CG3" s="211" t="inlineStr">
        <is>
          <t>NOTAS DE APRECIACIÓN</t>
        </is>
      </c>
      <c r="CH3" s="205" t="n"/>
      <c r="CI3" s="205" t="n"/>
      <c r="CJ3" s="205" t="n"/>
      <c r="CK3" s="205" t="n"/>
      <c r="CL3" s="205" t="n"/>
      <c r="CM3" s="205" t="n"/>
      <c r="CN3" s="205" t="n"/>
      <c r="CO3" s="205" t="n"/>
      <c r="CP3" s="178" t="n"/>
      <c r="CQ3" s="206" t="inlineStr">
        <is>
          <t>PROMEDIO</t>
        </is>
      </c>
      <c r="CR3" s="199" t="inlineStr">
        <is>
          <t>PRUEBAS BIMESTRALES 1/3</t>
        </is>
      </c>
      <c r="CS3" s="185" t="n"/>
      <c r="CT3" s="206" t="inlineStr">
        <is>
          <t>PROMEDIO</t>
        </is>
      </c>
      <c r="CU3" s="190" t="inlineStr">
        <is>
          <t>CALIFICACIÓN           BIMESTRAL</t>
        </is>
      </c>
      <c r="CV3" s="207" t="inlineStr">
        <is>
          <t>OBSERVACIONES</t>
        </is>
      </c>
      <c r="CW3" s="185" t="n"/>
      <c r="CX3" s="193" t="n"/>
      <c r="CY3" s="203" t="n"/>
      <c r="DA3" s="183" t="n"/>
      <c r="DN3" s="175" t="n"/>
      <c r="DO3" s="183" t="n"/>
      <c r="DY3" s="175" t="n"/>
      <c r="DZ3" s="208" t="n"/>
      <c r="EB3" s="175" t="n"/>
      <c r="EC3" s="182" t="n"/>
      <c r="ED3" s="188" t="n"/>
    </row>
    <row r="4" ht="44.25" customHeight="1" s="176">
      <c r="A4" s="181" t="n"/>
      <c r="B4" s="181" t="n"/>
      <c r="C4" s="23" t="n">
        <v>46104</v>
      </c>
      <c r="D4" s="23" t="n">
        <v>46099</v>
      </c>
      <c r="E4" s="23" t="n">
        <v>46125</v>
      </c>
      <c r="F4" s="23" t="n">
        <v>46139</v>
      </c>
      <c r="G4" s="23" t="n">
        <v>46148</v>
      </c>
      <c r="H4" s="23" t="n"/>
      <c r="I4" s="23" t="n"/>
      <c r="J4" s="23" t="n"/>
      <c r="K4" s="23" t="n"/>
      <c r="L4" s="23" t="n"/>
      <c r="M4" s="23" t="n"/>
      <c r="N4" s="172" t="n"/>
      <c r="O4" s="23" t="n"/>
      <c r="P4" s="23" t="n"/>
      <c r="Q4" s="181" t="n"/>
      <c r="R4" s="57" t="n"/>
      <c r="S4" s="23" t="n">
        <v>46118</v>
      </c>
      <c r="T4" s="23" t="n"/>
      <c r="U4" s="57" t="n"/>
      <c r="V4" s="57" t="n"/>
      <c r="W4" s="57" t="n"/>
      <c r="X4" s="177" t="n"/>
      <c r="Y4" s="177" t="n"/>
      <c r="Z4" s="177" t="n"/>
      <c r="AA4" s="177" t="n"/>
      <c r="AB4" s="181" t="n"/>
      <c r="AC4" s="186" t="n"/>
      <c r="AD4" s="187" t="n"/>
      <c r="AE4" s="181" t="n"/>
      <c r="AF4" s="181" t="n"/>
      <c r="AG4" s="186" t="n"/>
      <c r="AH4" s="187" t="n"/>
      <c r="AI4" s="181" t="n"/>
      <c r="AJ4" s="186" t="n"/>
      <c r="AK4" s="187" t="n"/>
      <c r="AL4" s="23" t="n"/>
      <c r="AM4" s="23" t="n"/>
      <c r="AN4" s="23" t="n"/>
      <c r="AO4" s="23" t="n"/>
      <c r="AP4" s="23" t="n"/>
      <c r="AQ4" s="23" t="n"/>
      <c r="AR4" s="23" t="n"/>
      <c r="AS4" s="23" t="n"/>
      <c r="AT4" s="23" t="n"/>
      <c r="AU4" s="23" t="n"/>
      <c r="AV4" s="23" t="n"/>
      <c r="AW4" s="23"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23" t="n"/>
      <c r="CF4" s="181" t="n"/>
      <c r="CG4" s="23" t="n"/>
      <c r="CH4" s="23" t="n"/>
      <c r="CI4" s="23" t="n"/>
      <c r="CJ4" s="23" t="n"/>
      <c r="CK4" s="5" t="n"/>
      <c r="CL4" s="5" t="n"/>
      <c r="CM4" s="5" t="n"/>
      <c r="CN4" s="5" t="n"/>
      <c r="CO4" s="5" t="n"/>
      <c r="CP4" s="5" t="n"/>
      <c r="CQ4" s="181" t="n"/>
      <c r="CR4" s="186" t="n"/>
      <c r="CS4" s="187" t="n"/>
      <c r="CT4" s="181" t="n"/>
      <c r="CU4" s="181" t="n"/>
      <c r="CV4" s="186" t="n"/>
      <c r="CW4" s="187" t="n"/>
    </row>
    <row r="5" ht="13.5" customHeight="1" s="176">
      <c r="A5" s="177" t="n">
        <v>1</v>
      </c>
      <c r="B5" s="9">
        <f>IF(MAESTRO!D5="","",MAESTRO!D5)</f>
        <v/>
      </c>
      <c r="C5" s="5" t="n">
        <v>3.8</v>
      </c>
      <c r="D5" s="5" t="n">
        <v>4</v>
      </c>
      <c r="E5" s="5" t="n">
        <v>3.5</v>
      </c>
      <c r="F5" s="5" t="n">
        <v>4.3</v>
      </c>
      <c r="G5" s="5" t="n">
        <v>3.1</v>
      </c>
      <c r="H5" s="5" t="n">
        <v>4</v>
      </c>
      <c r="I5" s="5" t="n">
        <v>3.8</v>
      </c>
      <c r="J5" s="5" t="n">
        <v>3.9</v>
      </c>
      <c r="K5" s="5" t="n">
        <v>3.8</v>
      </c>
      <c r="L5" s="5" t="n">
        <v>3.7</v>
      </c>
      <c r="M5" s="5" t="n">
        <v>3.7</v>
      </c>
      <c r="N5" s="173" t="n">
        <v>4</v>
      </c>
      <c r="O5" s="5" t="n">
        <v>5</v>
      </c>
      <c r="P5" s="5" t="n">
        <v>4</v>
      </c>
      <c r="Q5" s="5">
        <f>IF(MAESTRO!D5="","",IFERROR(TRUNC(AVERAGE(C5:P5),1),""))</f>
        <v/>
      </c>
      <c r="R5" s="40" t="n">
        <v>1</v>
      </c>
      <c r="S5" s="22" t="n">
        <v>3.3</v>
      </c>
      <c r="T5" s="22" t="n">
        <v>4.9</v>
      </c>
      <c r="U5" s="22" t="n">
        <v>4.7</v>
      </c>
      <c r="V5" s="22" t="n">
        <v>3.3</v>
      </c>
      <c r="W5" s="22" t="n">
        <v>4.2</v>
      </c>
      <c r="X5" s="22" t="n">
        <v>4.9</v>
      </c>
      <c r="Y5" s="22" t="n">
        <v>5</v>
      </c>
      <c r="Z5" s="22" t="n">
        <v>3.7</v>
      </c>
      <c r="AA5" s="22" t="n">
        <v>3.7</v>
      </c>
      <c r="AB5" s="45">
        <f>IF(MAESTRO!D5="","",IFERROR(TRUNC(AVERAGE(S5:AA5),1),""))</f>
        <v/>
      </c>
      <c r="AC5" s="5" t="n">
        <v>4.4</v>
      </c>
      <c r="AD5" s="42" t="n">
        <v>3.6</v>
      </c>
      <c r="AE5" s="5">
        <f>IF(MAESTRO!D5="","",IFERROR(AVERAGE(AC5:AD5),""))</f>
        <v/>
      </c>
      <c r="AF5" s="44">
        <f>IF(MAESTRO!D5="","",IFERROR(TRUNC(AVERAGE(Q5,AB5,AE5),1),""))</f>
        <v/>
      </c>
      <c r="AG5" s="177" t="n"/>
      <c r="AH5" s="177" t="n">
        <v>1</v>
      </c>
      <c r="AI5" s="177" t="n">
        <v>1</v>
      </c>
      <c r="AJ5" s="177">
        <f>IF(MAESTRO!D5="","",MAESTRO!D5)</f>
        <v/>
      </c>
      <c r="AK5" s="178" t="n"/>
      <c r="AL5" s="61" t="n">
        <v>4</v>
      </c>
      <c r="AM5" s="61" t="n">
        <v>4.9</v>
      </c>
      <c r="AN5" s="61" t="n">
        <v>4.8</v>
      </c>
      <c r="AO5" s="61" t="n">
        <v>3.2</v>
      </c>
      <c r="AP5" s="61" t="n">
        <v>4.8</v>
      </c>
      <c r="AQ5" s="61" t="n">
        <v>3.2</v>
      </c>
      <c r="AR5" s="61" t="n">
        <v>4.1</v>
      </c>
      <c r="AS5" s="61" t="n">
        <v>3.4</v>
      </c>
      <c r="AT5" s="61" t="n">
        <v>4.1</v>
      </c>
      <c r="AU5" s="61" t="n">
        <v>4.9</v>
      </c>
      <c r="AV5" s="61" t="n">
        <v>5</v>
      </c>
      <c r="AW5" s="61" t="n">
        <v>4</v>
      </c>
      <c r="AX5" s="5">
        <f>IF(MAESTRO!D5="","",IFERROR(TRUNC(AVERAGE(AL5:AW5),1),""))</f>
        <v/>
      </c>
      <c r="AY5" s="22" t="n">
        <v>3.1</v>
      </c>
      <c r="AZ5" s="22" t="n">
        <v>4.3</v>
      </c>
      <c r="BA5" s="22" t="n">
        <v>4.9</v>
      </c>
      <c r="BB5" s="22" t="n">
        <v>3.1</v>
      </c>
      <c r="BC5" s="22" t="n">
        <v>3.2</v>
      </c>
      <c r="BD5" s="22" t="n">
        <v>4.4</v>
      </c>
      <c r="BE5" s="22" t="n">
        <v>3.8</v>
      </c>
      <c r="BF5" s="22" t="n">
        <v>4.8</v>
      </c>
      <c r="BG5" s="22" t="n">
        <v>4.7</v>
      </c>
      <c r="BH5" s="52" t="n">
        <v>3.6</v>
      </c>
      <c r="BI5" s="5">
        <f>IF(MAESTRO!D5="","",IFERROR(TRUNC(AVERAGE(AY5:BH5),1),""))</f>
        <v/>
      </c>
      <c r="BJ5" s="22" t="n">
        <v>5</v>
      </c>
      <c r="BK5" s="22" t="n">
        <v>3.2</v>
      </c>
      <c r="BL5" s="22">
        <f>IF(MAESTRO!D5="","",IFERROR(AVERAGE(BJ5,BK5),""))</f>
        <v/>
      </c>
      <c r="BM5" s="5">
        <f>IF(MAESTRO!D5="","",IFERROR(TRUNC(AVERAGE(AX5,BI5,BL5),1),""))</f>
        <v/>
      </c>
      <c r="BN5" s="177" t="n"/>
      <c r="BO5" s="177" t="n">
        <v>1</v>
      </c>
      <c r="BP5" s="177" t="n">
        <v>1</v>
      </c>
      <c r="BQ5" s="177">
        <f>IF(MAESTRO!D5="","",MAESTRO!D5)</f>
        <v/>
      </c>
      <c r="BR5" s="178" t="n"/>
      <c r="BS5" s="5" t="n">
        <v>3.5</v>
      </c>
      <c r="BT5" s="5" t="n">
        <v>3.5</v>
      </c>
      <c r="BU5" s="5" t="n">
        <v>4.4</v>
      </c>
      <c r="BV5" s="5" t="n">
        <v>4.9</v>
      </c>
      <c r="BW5" s="5" t="n">
        <v>3.6</v>
      </c>
      <c r="BX5" s="5" t="n">
        <v>3.3</v>
      </c>
      <c r="BY5" s="5" t="n">
        <v>3.1</v>
      </c>
      <c r="BZ5" s="5" t="n">
        <v>3.2</v>
      </c>
      <c r="CA5" s="5" t="n">
        <v>4.5</v>
      </c>
      <c r="CB5" s="5" t="n">
        <v>4.1</v>
      </c>
      <c r="CC5" s="5" t="n">
        <v>3.5</v>
      </c>
      <c r="CD5" s="5" t="n">
        <v>4.4</v>
      </c>
      <c r="CE5" s="5" t="n">
        <v>4.1</v>
      </c>
      <c r="CF5" s="5">
        <f>IF(MAESTRO!D5="","",IFERROR(TRUNC(AVERAGE(BS5:CE5),1),""))</f>
        <v/>
      </c>
      <c r="CG5" s="5" t="n">
        <v>3.3</v>
      </c>
      <c r="CH5" s="5" t="n">
        <v>3.5</v>
      </c>
      <c r="CI5" s="5" t="n">
        <v>4</v>
      </c>
      <c r="CJ5" s="5" t="n">
        <v>3</v>
      </c>
      <c r="CK5" s="5" t="n">
        <v>4.3</v>
      </c>
      <c r="CL5" s="5" t="n">
        <v>4.5</v>
      </c>
      <c r="CM5" s="5" t="n">
        <v>4.5</v>
      </c>
      <c r="CN5" s="5" t="n">
        <v>3.6</v>
      </c>
      <c r="CO5" s="5" t="n">
        <v>3.4</v>
      </c>
      <c r="CP5" s="5" t="n">
        <v>3.5</v>
      </c>
      <c r="CQ5" s="5">
        <f>IF(MAESTRO!D5="","",IFERROR(TRUNC(AVERAGE(CG5:CP5),1),""))</f>
        <v/>
      </c>
      <c r="CR5" s="5" t="n">
        <v>3.2</v>
      </c>
      <c r="CS5" s="5" t="n">
        <v>4.2</v>
      </c>
      <c r="CT5" s="5">
        <f>IF(MAESTRO!D5="","",IFERROR(AVERAGE(CR5:CS5),""))</f>
        <v/>
      </c>
      <c r="CU5" s="5">
        <f>IF(MAESTRO!D5="","",IFERROR(TRUNC(AVERAGE(CF5,CQ5,CT5),1),""))</f>
        <v/>
      </c>
      <c r="CV5" s="177" t="n"/>
      <c r="CW5" s="171" t="n">
        <v>1</v>
      </c>
      <c r="DA5" s="196" t="n"/>
      <c r="DB5" s="196" t="n"/>
      <c r="DC5" s="196" t="n"/>
      <c r="DD5" s="196" t="n"/>
      <c r="DE5" s="196" t="n"/>
      <c r="DF5" s="196" t="n"/>
      <c r="DG5" s="196" t="n"/>
      <c r="DH5" s="196" t="n"/>
      <c r="DI5" s="196" t="n"/>
      <c r="DJ5" s="196" t="n"/>
      <c r="DK5" s="196" t="n"/>
      <c r="DL5" s="196" t="n"/>
      <c r="DM5" s="196" t="n"/>
      <c r="DN5" s="196" t="n"/>
      <c r="EB5" s="196" t="n"/>
      <c r="EC5" s="196" t="n"/>
    </row>
    <row r="6" ht="13.5" customHeight="1" s="176">
      <c r="A6" s="177" t="n">
        <v>2</v>
      </c>
      <c r="B6" s="9">
        <f>IF(MAESTRO!D6="","",MAESTRO!D6)</f>
        <v/>
      </c>
      <c r="C6" s="5" t="n">
        <v>3.6</v>
      </c>
      <c r="D6" s="5" t="n">
        <v>4.1</v>
      </c>
      <c r="E6" s="5" t="n">
        <v>4.9</v>
      </c>
      <c r="F6" s="5" t="n">
        <v>5</v>
      </c>
      <c r="G6" s="5" t="n">
        <v>3</v>
      </c>
      <c r="H6" s="5" t="n">
        <v>3</v>
      </c>
      <c r="I6" s="5" t="n">
        <v>4.2</v>
      </c>
      <c r="J6" s="5" t="n">
        <v>3.2</v>
      </c>
      <c r="K6" s="5" t="n">
        <v>4.8</v>
      </c>
      <c r="L6" s="5" t="n">
        <v>4.2</v>
      </c>
      <c r="M6" s="5" t="n">
        <v>4.5</v>
      </c>
      <c r="N6" s="173" t="n">
        <v>4.7</v>
      </c>
      <c r="O6" s="5" t="n">
        <v>3</v>
      </c>
      <c r="P6" s="5" t="n">
        <v>4.3</v>
      </c>
      <c r="Q6" s="5">
        <f>IF(MAESTRO!D6="","",IFERROR(TRUNC(AVERAGE(C6:P6),1),""))</f>
        <v/>
      </c>
      <c r="R6" s="40" t="n">
        <v>2</v>
      </c>
      <c r="S6" s="22" t="n">
        <v>4.5</v>
      </c>
      <c r="T6" s="22" t="n">
        <v>4.5</v>
      </c>
      <c r="U6" s="22" t="n">
        <v>3</v>
      </c>
      <c r="V6" s="22" t="n">
        <v>4.9</v>
      </c>
      <c r="W6" s="22" t="n">
        <v>5</v>
      </c>
      <c r="X6" s="22" t="n">
        <v>3.7</v>
      </c>
      <c r="Y6" s="22" t="n">
        <v>4.2</v>
      </c>
      <c r="Z6" s="22" t="n">
        <v>4.7</v>
      </c>
      <c r="AA6" s="22" t="n">
        <v>4.2</v>
      </c>
      <c r="AB6" s="45">
        <f>IF(MAESTRO!D6="","",IFERROR(TRUNC(AVERAGE(S6:AA6),1),""))</f>
        <v/>
      </c>
      <c r="AC6" s="5" t="n">
        <v>4.6</v>
      </c>
      <c r="AD6" s="42" t="n">
        <v>4.6</v>
      </c>
      <c r="AE6" s="5">
        <f>IF(MAESTRO!D6="","",IFERROR(AVERAGE(AC6:AD6),""))</f>
        <v/>
      </c>
      <c r="AF6" s="44">
        <f>IF(MAESTRO!D6="","",IFERROR(TRUNC(AVERAGE(Q6,AB6,AE6),1),""))</f>
        <v/>
      </c>
      <c r="AG6" s="177" t="n"/>
      <c r="AH6" s="177" t="n">
        <v>2</v>
      </c>
      <c r="AI6" s="177" t="n">
        <v>2</v>
      </c>
      <c r="AJ6" s="177">
        <f>IF(MAESTRO!D6="","",MAESTRO!D6)</f>
        <v/>
      </c>
      <c r="AK6" s="178" t="n"/>
      <c r="AL6" s="61" t="n">
        <v>4.3</v>
      </c>
      <c r="AM6" s="61" t="n">
        <v>4.4</v>
      </c>
      <c r="AN6" s="61" t="n">
        <v>3.1</v>
      </c>
      <c r="AO6" s="61" t="n">
        <v>5</v>
      </c>
      <c r="AP6" s="61" t="n">
        <v>3.1</v>
      </c>
      <c r="AQ6" s="61" t="n">
        <v>3.9</v>
      </c>
      <c r="AR6" s="61" t="n">
        <v>3.5</v>
      </c>
      <c r="AS6" s="61" t="n">
        <v>4.5</v>
      </c>
      <c r="AT6" s="61" t="n">
        <v>4.1</v>
      </c>
      <c r="AU6" s="61" t="n">
        <v>3.7</v>
      </c>
      <c r="AV6" s="61" t="n">
        <v>4.9</v>
      </c>
      <c r="AW6" s="61" t="n">
        <v>4</v>
      </c>
      <c r="AX6" s="5">
        <f>IF(MAESTRO!D6="","",IFERROR(TRUNC(AVERAGE(AL6:AW6),1),""))</f>
        <v/>
      </c>
      <c r="AY6" s="22" t="n">
        <v>3.6</v>
      </c>
      <c r="AZ6" s="22" t="n">
        <v>3.2</v>
      </c>
      <c r="BA6" s="22" t="n">
        <v>3.3</v>
      </c>
      <c r="BB6" s="22" t="n">
        <v>3.1</v>
      </c>
      <c r="BC6" s="22" t="n">
        <v>3.2</v>
      </c>
      <c r="BD6" s="22" t="n">
        <v>4.9</v>
      </c>
      <c r="BE6" s="22" t="n">
        <v>3.9</v>
      </c>
      <c r="BF6" s="22" t="n">
        <v>3.5</v>
      </c>
      <c r="BG6" s="22" t="n">
        <v>3.5</v>
      </c>
      <c r="BH6" s="52" t="n">
        <v>3.1</v>
      </c>
      <c r="BI6" s="5">
        <f>IF(MAESTRO!D6="","",IFERROR(TRUNC(AVERAGE(AY6:BH6),1),""))</f>
        <v/>
      </c>
      <c r="BJ6" s="22" t="n">
        <v>3</v>
      </c>
      <c r="BK6" s="22" t="n">
        <v>4.7</v>
      </c>
      <c r="BL6" s="22">
        <f>IF(MAESTRO!D6="","",IFERROR(AVERAGE(BJ6,BK6),""))</f>
        <v/>
      </c>
      <c r="BM6" s="5">
        <f>IF(MAESTRO!D6="","",IFERROR(TRUNC(AVERAGE(AX6,BI6,BL6),1),""))</f>
        <v/>
      </c>
      <c r="BN6" s="177" t="n"/>
      <c r="BO6" s="177" t="n">
        <v>2</v>
      </c>
      <c r="BP6" s="177" t="n">
        <v>2</v>
      </c>
      <c r="BQ6" s="177">
        <f>IF(MAESTRO!D6="","",MAESTRO!D6)</f>
        <v/>
      </c>
      <c r="BR6" s="178" t="n"/>
      <c r="BS6" s="5" t="n">
        <v>4.2</v>
      </c>
      <c r="BT6" s="5" t="n">
        <v>3.2</v>
      </c>
      <c r="BU6" s="5" t="n">
        <v>4.2</v>
      </c>
      <c r="BV6" s="5" t="n">
        <v>4.5</v>
      </c>
      <c r="BW6" s="5" t="n">
        <v>3</v>
      </c>
      <c r="BX6" s="5" t="n">
        <v>4.9</v>
      </c>
      <c r="BY6" s="5" t="n">
        <v>3.3</v>
      </c>
      <c r="BZ6" s="5" t="n">
        <v>3.1</v>
      </c>
      <c r="CA6" s="5" t="n">
        <v>4.8</v>
      </c>
      <c r="CB6" s="5" t="n">
        <v>4.7</v>
      </c>
      <c r="CC6" s="5" t="n">
        <v>4.2</v>
      </c>
      <c r="CD6" s="5" t="n">
        <v>4.7</v>
      </c>
      <c r="CE6" s="5" t="n">
        <v>4.4</v>
      </c>
      <c r="CF6" s="5">
        <f>IF(MAESTRO!D6="","",IFERROR(TRUNC(AVERAGE(BS6:CE6),1),""))</f>
        <v/>
      </c>
      <c r="CG6" s="5" t="n">
        <v>3.1</v>
      </c>
      <c r="CH6" s="5" t="n">
        <v>3.7</v>
      </c>
      <c r="CI6" s="5" t="n">
        <v>3.4</v>
      </c>
      <c r="CJ6" s="5" t="n">
        <v>3.5</v>
      </c>
      <c r="CK6" s="5" t="n">
        <v>3</v>
      </c>
      <c r="CL6" s="5" t="n">
        <v>4.6</v>
      </c>
      <c r="CM6" s="5" t="n">
        <v>4</v>
      </c>
      <c r="CN6" s="5" t="n">
        <v>4.9</v>
      </c>
      <c r="CO6" s="5" t="n">
        <v>3.3</v>
      </c>
      <c r="CP6" s="5" t="n">
        <v>3</v>
      </c>
      <c r="CQ6" s="5">
        <f>IF(MAESTRO!D6="","",IFERROR(TRUNC(AVERAGE(CG6:CP6),1),""))</f>
        <v/>
      </c>
      <c r="CR6" s="5" t="n">
        <v>3.4</v>
      </c>
      <c r="CS6" s="5" t="n">
        <v>3.9</v>
      </c>
      <c r="CT6" s="5">
        <f>IF(MAESTRO!D6="","",IFERROR(AVERAGE(CR6:CS6),""))</f>
        <v/>
      </c>
      <c r="CU6" s="5">
        <f>IF(MAESTRO!D6="","",IFERROR(TRUNC(AVERAGE(CF6,CQ6,CT6),1),""))</f>
        <v/>
      </c>
      <c r="CV6" s="177" t="n"/>
      <c r="CW6" s="171" t="n">
        <v>2</v>
      </c>
      <c r="DA6" s="196" t="n"/>
      <c r="DB6" s="196" t="n"/>
      <c r="DC6" s="196" t="n"/>
      <c r="DD6" s="196" t="n"/>
      <c r="DE6" s="196" t="n"/>
      <c r="DF6" s="196" t="n"/>
      <c r="DG6" s="196" t="n"/>
      <c r="DH6" s="196" t="n"/>
      <c r="DI6" s="196" t="n"/>
      <c r="DJ6" s="196" t="n"/>
      <c r="DK6" s="196" t="n"/>
      <c r="DL6" s="196" t="n"/>
      <c r="DM6" s="196" t="n"/>
      <c r="DN6" s="196" t="n"/>
      <c r="EB6" s="196" t="n"/>
      <c r="EC6" s="196" t="n"/>
    </row>
    <row r="7" ht="13.5" customHeight="1" s="176">
      <c r="A7" s="177" t="n">
        <v>3</v>
      </c>
      <c r="B7" s="9">
        <f>IF(MAESTRO!D7="","",MAESTRO!D7)</f>
        <v/>
      </c>
      <c r="C7" s="5" t="n">
        <v>4.1</v>
      </c>
      <c r="D7" s="5" t="n">
        <v>3.4</v>
      </c>
      <c r="E7" s="5" t="n">
        <v>4.3</v>
      </c>
      <c r="F7" s="5" t="n">
        <v>4.5</v>
      </c>
      <c r="G7" s="5" t="n">
        <v>3.1</v>
      </c>
      <c r="H7" s="5" t="n">
        <v>3.8</v>
      </c>
      <c r="I7" s="5" t="n">
        <v>3.3</v>
      </c>
      <c r="J7" s="5" t="n">
        <v>3.4</v>
      </c>
      <c r="K7" s="5" t="n">
        <v>4.9</v>
      </c>
      <c r="L7" s="5" t="n">
        <v>3.7</v>
      </c>
      <c r="M7" s="5" t="n">
        <v>3.6</v>
      </c>
      <c r="N7" s="173" t="n">
        <v>3.2</v>
      </c>
      <c r="O7" s="5" t="n">
        <v>3.5</v>
      </c>
      <c r="P7" s="5" t="n">
        <v>3.3</v>
      </c>
      <c r="Q7" s="5">
        <f>IF(MAESTRO!D7="","",IFERROR(TRUNC(AVERAGE(C7:P7),1),""))</f>
        <v/>
      </c>
      <c r="R7" s="40" t="n">
        <v>3</v>
      </c>
      <c r="S7" s="22" t="n">
        <v>3.4</v>
      </c>
      <c r="T7" s="22" t="n">
        <v>4</v>
      </c>
      <c r="U7" s="22" t="n">
        <v>4.4</v>
      </c>
      <c r="V7" s="22" t="n">
        <v>4.4</v>
      </c>
      <c r="W7" s="22" t="n">
        <v>4.4</v>
      </c>
      <c r="X7" s="22" t="n">
        <v>4.2</v>
      </c>
      <c r="Y7" s="22" t="n">
        <v>3.8</v>
      </c>
      <c r="Z7" s="22" t="n">
        <v>4.5</v>
      </c>
      <c r="AA7" s="22" t="n">
        <v>4.1</v>
      </c>
      <c r="AB7" s="45">
        <f>IF(MAESTRO!D7="","",IFERROR(TRUNC(AVERAGE(S7:AA7),1),""))</f>
        <v/>
      </c>
      <c r="AC7" s="177" t="n">
        <v>3.4</v>
      </c>
      <c r="AD7" s="42" t="n">
        <v>4.7</v>
      </c>
      <c r="AE7" s="5">
        <f>IF(MAESTRO!D7="","",IFERROR(AVERAGE(AC7:AD7),""))</f>
        <v/>
      </c>
      <c r="AF7" s="44">
        <f>IF(MAESTRO!D7="","",IFERROR(TRUNC(AVERAGE(Q7,AB7,AE7),1),""))</f>
        <v/>
      </c>
      <c r="AG7" s="177" t="n"/>
      <c r="AH7" s="177" t="n">
        <v>3</v>
      </c>
      <c r="AI7" s="177" t="n">
        <v>3</v>
      </c>
      <c r="AJ7" s="177">
        <f>IF(MAESTRO!D7="","",MAESTRO!D7)</f>
        <v/>
      </c>
      <c r="AK7" s="178" t="n"/>
      <c r="AL7" s="61" t="n">
        <v>4</v>
      </c>
      <c r="AM7" s="61" t="n">
        <v>4.3</v>
      </c>
      <c r="AN7" s="61" t="n">
        <v>3.9</v>
      </c>
      <c r="AO7" s="61" t="n">
        <v>3</v>
      </c>
      <c r="AP7" s="61" t="n">
        <v>3.1</v>
      </c>
      <c r="AQ7" s="61" t="n">
        <v>3.5</v>
      </c>
      <c r="AR7" s="61" t="n">
        <v>4.4</v>
      </c>
      <c r="AS7" s="61" t="n">
        <v>3.7</v>
      </c>
      <c r="AT7" s="61" t="n">
        <v>4.5</v>
      </c>
      <c r="AU7" s="61" t="n">
        <v>3.3</v>
      </c>
      <c r="AV7" s="61" t="n">
        <v>3.6</v>
      </c>
      <c r="AW7" s="61" t="n">
        <v>4.8</v>
      </c>
      <c r="AX7" s="5">
        <f>IF(MAESTRO!D7="","",IFERROR(TRUNC(AVERAGE(AL7:AW7),1),""))</f>
        <v/>
      </c>
      <c r="AY7" s="22" t="n">
        <v>4.7</v>
      </c>
      <c r="AZ7" s="22" t="n">
        <v>4</v>
      </c>
      <c r="BA7" s="22" t="n">
        <v>3.4</v>
      </c>
      <c r="BB7" s="22" t="n">
        <v>4.2</v>
      </c>
      <c r="BC7" s="22" t="n">
        <v>3.4</v>
      </c>
      <c r="BD7" s="22" t="n">
        <v>3.8</v>
      </c>
      <c r="BE7" s="22" t="n">
        <v>3.7</v>
      </c>
      <c r="BF7" s="22" t="n">
        <v>3.4</v>
      </c>
      <c r="BG7" s="22" t="n">
        <v>3.7</v>
      </c>
      <c r="BH7" s="52" t="n">
        <v>3.6</v>
      </c>
      <c r="BI7" s="5">
        <f>IF(MAESTRO!D7="","",IFERROR(TRUNC(AVERAGE(AY7:BH7),1),""))</f>
        <v/>
      </c>
      <c r="BJ7" s="22" t="n">
        <v>3.7</v>
      </c>
      <c r="BK7" s="22" t="n">
        <v>4.8</v>
      </c>
      <c r="BL7" s="22">
        <f>IF(MAESTRO!D7="","",IFERROR(AVERAGE(BJ7,BK7),""))</f>
        <v/>
      </c>
      <c r="BM7" s="5">
        <f>IF(MAESTRO!D7="","",IFERROR(TRUNC(AVERAGE(AX7,BI7,BL7),1),""))</f>
        <v/>
      </c>
      <c r="BN7" s="177" t="n"/>
      <c r="BO7" s="177" t="n">
        <v>3</v>
      </c>
      <c r="BP7" s="177" t="n">
        <v>3</v>
      </c>
      <c r="BQ7" s="177">
        <f>IF(MAESTRO!D7="","",MAESTRO!D7)</f>
        <v/>
      </c>
      <c r="BR7" s="178" t="n"/>
      <c r="BS7" s="5" t="n">
        <v>3.4</v>
      </c>
      <c r="BT7" s="5" t="n">
        <v>4</v>
      </c>
      <c r="BU7" s="5" t="n">
        <v>4</v>
      </c>
      <c r="BV7" s="5" t="n">
        <v>3.6</v>
      </c>
      <c r="BW7" s="5" t="n">
        <v>3.4</v>
      </c>
      <c r="BX7" s="5" t="n">
        <v>4.9</v>
      </c>
      <c r="BY7" s="5" t="n">
        <v>3.1</v>
      </c>
      <c r="BZ7" s="5" t="n">
        <v>4.7</v>
      </c>
      <c r="CA7" s="5" t="n">
        <v>4.1</v>
      </c>
      <c r="CB7" s="5" t="n">
        <v>3.8</v>
      </c>
      <c r="CC7" s="5" t="n">
        <v>3.5</v>
      </c>
      <c r="CD7" s="5" t="n">
        <v>4.5</v>
      </c>
      <c r="CE7" s="5" t="n">
        <v>3.4</v>
      </c>
      <c r="CF7" s="5">
        <f>IF(MAESTRO!D7="","",IFERROR(TRUNC(AVERAGE(BS7:CE7),1),""))</f>
        <v/>
      </c>
      <c r="CG7" s="5" t="n">
        <v>3.4</v>
      </c>
      <c r="CH7" s="5" t="n">
        <v>4.6</v>
      </c>
      <c r="CI7" s="5" t="n">
        <v>4</v>
      </c>
      <c r="CJ7" s="5" t="n">
        <v>3.5</v>
      </c>
      <c r="CK7" s="5" t="n">
        <v>4.6</v>
      </c>
      <c r="CL7" s="5" t="n">
        <v>4.7</v>
      </c>
      <c r="CM7" s="5" t="n">
        <v>4.8</v>
      </c>
      <c r="CN7" s="5" t="n">
        <v>3.4</v>
      </c>
      <c r="CO7" s="5" t="n">
        <v>3.4</v>
      </c>
      <c r="CP7" s="5" t="n">
        <v>3.6</v>
      </c>
      <c r="CQ7" s="5">
        <f>IF(MAESTRO!D7="","",IFERROR(TRUNC(AVERAGE(CG7:CP7),1),""))</f>
        <v/>
      </c>
      <c r="CR7" s="5" t="n">
        <v>3.4</v>
      </c>
      <c r="CS7" s="5" t="n">
        <v>3.3</v>
      </c>
      <c r="CT7" s="5">
        <f>IF(MAESTRO!D7="","",IFERROR(AVERAGE(CR7:CS7),""))</f>
        <v/>
      </c>
      <c r="CU7" s="5">
        <f>IF(MAESTRO!D7="","",IFERROR(TRUNC(AVERAGE(CF7,CQ7,CT7),1),""))</f>
        <v/>
      </c>
      <c r="CV7" s="177" t="n"/>
      <c r="CW7" s="171" t="n">
        <v>3</v>
      </c>
      <c r="DA7" s="196" t="n"/>
      <c r="DB7" s="196" t="n"/>
      <c r="DC7" s="196" t="n"/>
      <c r="DD7" s="196" t="n"/>
      <c r="DE7" s="196" t="n"/>
      <c r="DF7" s="196" t="n"/>
      <c r="DG7" s="196" t="n"/>
      <c r="DH7" s="196" t="n"/>
      <c r="DI7" s="196" t="n"/>
      <c r="DJ7" s="196" t="n"/>
      <c r="DK7" s="196" t="n"/>
      <c r="DL7" s="196" t="n"/>
      <c r="DM7" s="196" t="n"/>
      <c r="DN7" s="196" t="n"/>
      <c r="EB7" s="196" t="n"/>
      <c r="EC7" s="196" t="n"/>
    </row>
    <row r="8" ht="13.5" customHeight="1" s="176">
      <c r="A8" s="177" t="n">
        <v>4</v>
      </c>
      <c r="B8" s="9">
        <f>IF(MAESTRO!D8="","",MAESTRO!D8)</f>
        <v/>
      </c>
      <c r="C8" s="5" t="n">
        <v>4.7</v>
      </c>
      <c r="D8" s="5" t="n">
        <v>4.5</v>
      </c>
      <c r="E8" s="5" t="n">
        <v>4.4</v>
      </c>
      <c r="F8" s="5" t="n">
        <v>4.2</v>
      </c>
      <c r="G8" s="5" t="n">
        <v>3.5</v>
      </c>
      <c r="H8" s="5" t="n">
        <v>4</v>
      </c>
      <c r="I8" s="5" t="n">
        <v>3.9</v>
      </c>
      <c r="J8" s="5" t="n">
        <v>4.5</v>
      </c>
      <c r="K8" s="5" t="n">
        <v>4.2</v>
      </c>
      <c r="L8" s="5" t="n">
        <v>3.7</v>
      </c>
      <c r="M8" s="5" t="n">
        <v>4.9</v>
      </c>
      <c r="N8" s="173" t="n">
        <v>4.5</v>
      </c>
      <c r="O8" s="5" t="n">
        <v>4.6</v>
      </c>
      <c r="P8" s="5" t="n">
        <v>4.7</v>
      </c>
      <c r="Q8" s="5">
        <f>IF(MAESTRO!D8="","",IFERROR(TRUNC(AVERAGE(C8:P8),1),""))</f>
        <v/>
      </c>
      <c r="R8" s="40" t="n">
        <v>4</v>
      </c>
      <c r="S8" s="22" t="n">
        <v>4.7</v>
      </c>
      <c r="T8" s="22" t="n">
        <v>3.4</v>
      </c>
      <c r="U8" s="22" t="n">
        <v>3.8</v>
      </c>
      <c r="V8" s="22" t="n">
        <v>4.3</v>
      </c>
      <c r="W8" s="22" t="n">
        <v>4.2</v>
      </c>
      <c r="X8" s="22" t="n">
        <v>4</v>
      </c>
      <c r="Y8" s="22" t="n">
        <v>4.4</v>
      </c>
      <c r="Z8" s="22" t="n">
        <v>4.4</v>
      </c>
      <c r="AA8" s="22" t="n">
        <v>4.9</v>
      </c>
      <c r="AB8" s="45">
        <f>IF(MAESTRO!D8="","",IFERROR(TRUNC(AVERAGE(S8:AA8),1),""))</f>
        <v/>
      </c>
      <c r="AC8" s="177" t="n">
        <v>3.7</v>
      </c>
      <c r="AD8" s="42" t="n">
        <v>4.1</v>
      </c>
      <c r="AE8" s="5">
        <f>IF(MAESTRO!D8="","",IFERROR(AVERAGE(AC8:AD8),""))</f>
        <v/>
      </c>
      <c r="AF8" s="44">
        <f>IF(MAESTRO!D8="","",IFERROR(TRUNC(AVERAGE(Q8,AB8,AE8),1),""))</f>
        <v/>
      </c>
      <c r="AG8" s="177" t="n"/>
      <c r="AH8" s="177" t="n">
        <v>4</v>
      </c>
      <c r="AI8" s="177" t="n">
        <v>4</v>
      </c>
      <c r="AJ8" s="177">
        <f>IF(MAESTRO!D8="","",MAESTRO!D8)</f>
        <v/>
      </c>
      <c r="AK8" s="178" t="n"/>
      <c r="AL8" s="61" t="n">
        <v>4.2</v>
      </c>
      <c r="AM8" s="61" t="n">
        <v>4.8</v>
      </c>
      <c r="AN8" s="61" t="n">
        <v>4.5</v>
      </c>
      <c r="AO8" s="61" t="n">
        <v>3.7</v>
      </c>
      <c r="AP8" s="61" t="n">
        <v>4.6</v>
      </c>
      <c r="AQ8" s="61" t="n">
        <v>4.7</v>
      </c>
      <c r="AR8" s="61" t="n">
        <v>4.8</v>
      </c>
      <c r="AS8" s="61" t="n">
        <v>3.9</v>
      </c>
      <c r="AT8" s="61" t="n">
        <v>3.1</v>
      </c>
      <c r="AU8" s="61" t="n">
        <v>3.2</v>
      </c>
      <c r="AV8" s="61" t="n">
        <v>4</v>
      </c>
      <c r="AW8" s="61" t="n">
        <v>3.4</v>
      </c>
      <c r="AX8" s="5">
        <f>IF(MAESTRO!D8="","",IFERROR(TRUNC(AVERAGE(AL8:AW8),1),""))</f>
        <v/>
      </c>
      <c r="AY8" s="22" t="n">
        <v>3.4</v>
      </c>
      <c r="AZ8" s="22" t="n">
        <v>4.6</v>
      </c>
      <c r="BA8" s="22" t="n">
        <v>3.9</v>
      </c>
      <c r="BB8" s="22" t="n">
        <v>4.7</v>
      </c>
      <c r="BC8" s="22" t="n">
        <v>4.4</v>
      </c>
      <c r="BD8" s="22" t="n">
        <v>4.9</v>
      </c>
      <c r="BE8" s="22" t="n">
        <v>4.8</v>
      </c>
      <c r="BF8" s="22" t="n">
        <v>3.2</v>
      </c>
      <c r="BG8" s="22" t="n">
        <v>4.1</v>
      </c>
      <c r="BH8" s="52" t="n">
        <v>3.7</v>
      </c>
      <c r="BI8" s="5">
        <f>IF(MAESTRO!D8="","",IFERROR(TRUNC(AVERAGE(AY8:BH8),1),""))</f>
        <v/>
      </c>
      <c r="BJ8" s="22" t="n">
        <v>3.9</v>
      </c>
      <c r="BK8" s="22" t="n">
        <v>4.3</v>
      </c>
      <c r="BL8" s="22">
        <f>IF(MAESTRO!D8="","",IFERROR(AVERAGE(BJ8,BK8),""))</f>
        <v/>
      </c>
      <c r="BM8" s="5">
        <f>IF(MAESTRO!D8="","",IFERROR(TRUNC(AVERAGE(AX8,BI8,BL8),1),""))</f>
        <v/>
      </c>
      <c r="BN8" s="177" t="n"/>
      <c r="BO8" s="177" t="n">
        <v>4</v>
      </c>
      <c r="BP8" s="177" t="n">
        <v>4</v>
      </c>
      <c r="BQ8" s="177">
        <f>IF(MAESTRO!D8="","",MAESTRO!D8)</f>
        <v/>
      </c>
      <c r="BR8" s="178" t="n"/>
      <c r="BS8" s="5" t="n">
        <v>4.8</v>
      </c>
      <c r="BT8" s="5" t="n">
        <v>3.2</v>
      </c>
      <c r="BU8" s="5" t="n">
        <v>3.6</v>
      </c>
      <c r="BV8" s="5" t="n">
        <v>5</v>
      </c>
      <c r="BW8" s="5" t="n">
        <v>3.6</v>
      </c>
      <c r="BX8" s="5" t="n">
        <v>3.2</v>
      </c>
      <c r="BY8" s="5" t="n">
        <v>3</v>
      </c>
      <c r="BZ8" s="5" t="n">
        <v>4.8</v>
      </c>
      <c r="CA8" s="5" t="n">
        <v>4.3</v>
      </c>
      <c r="CB8" s="5" t="n">
        <v>4.9</v>
      </c>
      <c r="CC8" s="5" t="n">
        <v>3</v>
      </c>
      <c r="CD8" s="5" t="n">
        <v>4.7</v>
      </c>
      <c r="CE8" s="5" t="n">
        <v>3.7</v>
      </c>
      <c r="CF8" s="5">
        <f>IF(MAESTRO!D8="","",IFERROR(TRUNC(AVERAGE(BS8:CE8),1),""))</f>
        <v/>
      </c>
      <c r="CG8" s="5" t="n">
        <v>3.4</v>
      </c>
      <c r="CH8" s="5" t="n">
        <v>3.1</v>
      </c>
      <c r="CI8" s="5" t="n">
        <v>4.1</v>
      </c>
      <c r="CJ8" s="5" t="n">
        <v>3.3</v>
      </c>
      <c r="CK8" s="5" t="n">
        <v>4.4</v>
      </c>
      <c r="CL8" s="5" t="n">
        <v>3.4</v>
      </c>
      <c r="CM8" s="5" t="n">
        <v>3.1</v>
      </c>
      <c r="CN8" s="5" t="n">
        <v>5</v>
      </c>
      <c r="CO8" s="5" t="n">
        <v>3.7</v>
      </c>
      <c r="CP8" s="5" t="n">
        <v>3.7</v>
      </c>
      <c r="CQ8" s="5">
        <f>IF(MAESTRO!D8="","",IFERROR(TRUNC(AVERAGE(CG8:CP8),1),""))</f>
        <v/>
      </c>
      <c r="CR8" s="5" t="n">
        <v>4.1</v>
      </c>
      <c r="CS8" s="5" t="n">
        <v>4.4</v>
      </c>
      <c r="CT8" s="5">
        <f>IF(MAESTRO!D8="","",IFERROR(AVERAGE(CR8:CS8),""))</f>
        <v/>
      </c>
      <c r="CU8" s="5">
        <f>IF(MAESTRO!D8="","",IFERROR(TRUNC(AVERAGE(CF8,CQ8,CT8),1),""))</f>
        <v/>
      </c>
      <c r="CV8" s="177" t="n"/>
      <c r="CW8" s="171" t="n">
        <v>4</v>
      </c>
      <c r="DA8" s="196" t="n"/>
      <c r="DB8" s="196" t="n"/>
      <c r="DC8" s="196" t="n"/>
      <c r="DD8" s="196" t="n"/>
      <c r="DE8" s="196" t="n"/>
      <c r="DF8" s="196" t="n"/>
      <c r="DG8" s="196" t="n"/>
      <c r="DH8" s="196" t="n"/>
      <c r="DI8" s="196" t="n"/>
      <c r="DJ8" s="196" t="n"/>
      <c r="DK8" s="196" t="n"/>
      <c r="DL8" s="196" t="n"/>
      <c r="DM8" s="196" t="n"/>
      <c r="DN8" s="196" t="n"/>
      <c r="EB8" s="196" t="n"/>
      <c r="EC8" s="196" t="n"/>
    </row>
    <row r="9" ht="13.5" customHeight="1" s="176">
      <c r="A9" s="177" t="n">
        <v>5</v>
      </c>
      <c r="B9" s="9">
        <f>IF(MAESTRO!D9="","",MAESTRO!D9)</f>
        <v/>
      </c>
      <c r="C9" s="5" t="n">
        <v>3.4</v>
      </c>
      <c r="D9" s="5" t="n">
        <v>5</v>
      </c>
      <c r="E9" s="5" t="n">
        <v>3.7</v>
      </c>
      <c r="F9" s="5" t="n">
        <v>4.7</v>
      </c>
      <c r="G9" s="5" t="n">
        <v>4.3</v>
      </c>
      <c r="H9" s="5" t="n">
        <v>4.6</v>
      </c>
      <c r="I9" s="5" t="n">
        <v>3</v>
      </c>
      <c r="J9" s="5" t="n">
        <v>3.6</v>
      </c>
      <c r="K9" s="5" t="n">
        <v>3.7</v>
      </c>
      <c r="L9" s="5" t="n">
        <v>3.5</v>
      </c>
      <c r="M9" s="5" t="n">
        <v>4.9</v>
      </c>
      <c r="N9" s="173" t="n">
        <v>4.8</v>
      </c>
      <c r="O9" s="5" t="n">
        <v>3.2</v>
      </c>
      <c r="P9" s="5" t="n">
        <v>3.2</v>
      </c>
      <c r="Q9" s="5">
        <f>IF(MAESTRO!D9="","",IFERROR(TRUNC(AVERAGE(C9:P9),1),""))</f>
        <v/>
      </c>
      <c r="R9" s="40" t="n">
        <v>5</v>
      </c>
      <c r="S9" s="22" t="n">
        <v>3.5</v>
      </c>
      <c r="T9" s="22" t="n">
        <v>4.5</v>
      </c>
      <c r="U9" s="22" t="n">
        <v>4.9</v>
      </c>
      <c r="V9" s="22" t="n">
        <v>4.4</v>
      </c>
      <c r="W9" s="22" t="n">
        <v>4.7</v>
      </c>
      <c r="X9" s="22" t="n">
        <v>3.2</v>
      </c>
      <c r="Y9" s="22" t="n">
        <v>4.6</v>
      </c>
      <c r="Z9" s="22" t="n">
        <v>4</v>
      </c>
      <c r="AA9" s="22" t="n">
        <v>3.8</v>
      </c>
      <c r="AB9" s="45">
        <f>IF(MAESTRO!D9="","",IFERROR(TRUNC(AVERAGE(S9:AA9),1),""))</f>
        <v/>
      </c>
      <c r="AC9" s="177" t="n">
        <v>4</v>
      </c>
      <c r="AD9" s="42" t="n">
        <v>4.3</v>
      </c>
      <c r="AE9" s="5">
        <f>IF(MAESTRO!D9="","",IFERROR(AVERAGE(AC9:AD9),""))</f>
        <v/>
      </c>
      <c r="AF9" s="44">
        <f>IF(MAESTRO!D9="","",IFERROR(TRUNC(AVERAGE(Q9,AB9,AE9),1),""))</f>
        <v/>
      </c>
      <c r="AG9" s="177" t="n"/>
      <c r="AH9" s="177" t="n">
        <v>5</v>
      </c>
      <c r="AI9" s="177" t="n">
        <v>5</v>
      </c>
      <c r="AJ9" s="177">
        <f>IF(MAESTRO!D9="","",MAESTRO!D9)</f>
        <v/>
      </c>
      <c r="AK9" s="178" t="n"/>
      <c r="AL9" s="61" t="n">
        <v>4.6</v>
      </c>
      <c r="AM9" s="61" t="n">
        <v>3.8</v>
      </c>
      <c r="AN9" s="61" t="n">
        <v>3</v>
      </c>
      <c r="AO9" s="61" t="n">
        <v>4.1</v>
      </c>
      <c r="AP9" s="61" t="n">
        <v>3.9</v>
      </c>
      <c r="AQ9" s="61" t="n">
        <v>4.7</v>
      </c>
      <c r="AR9" s="61" t="n">
        <v>3.6</v>
      </c>
      <c r="AS9" s="61" t="n">
        <v>3.6</v>
      </c>
      <c r="AT9" s="61" t="n">
        <v>4.2</v>
      </c>
      <c r="AU9" s="61" t="n">
        <v>4</v>
      </c>
      <c r="AV9" s="61" t="n">
        <v>4.9</v>
      </c>
      <c r="AW9" s="61" t="n">
        <v>3.4</v>
      </c>
      <c r="AX9" s="5">
        <f>IF(MAESTRO!D9="","",IFERROR(TRUNC(AVERAGE(AL9:AW9),1),""))</f>
        <v/>
      </c>
      <c r="AY9" s="22" t="n">
        <v>3.9</v>
      </c>
      <c r="AZ9" s="22" t="n">
        <v>4.8</v>
      </c>
      <c r="BA9" s="22" t="n">
        <v>4.6</v>
      </c>
      <c r="BB9" s="22" t="n">
        <v>3.3</v>
      </c>
      <c r="BC9" s="22" t="n">
        <v>3.9</v>
      </c>
      <c r="BD9" s="22" t="n">
        <v>4</v>
      </c>
      <c r="BE9" s="22" t="n">
        <v>4.8</v>
      </c>
      <c r="BF9" s="22" t="n">
        <v>3.4</v>
      </c>
      <c r="BG9" s="22" t="n">
        <v>4</v>
      </c>
      <c r="BH9" s="52" t="n">
        <v>3.6</v>
      </c>
      <c r="BI9" s="5">
        <f>IF(MAESTRO!D9="","",IFERROR(TRUNC(AVERAGE(AY9:BH9),1),""))</f>
        <v/>
      </c>
      <c r="BJ9" s="22" t="n">
        <v>4.3</v>
      </c>
      <c r="BK9" s="22" t="n">
        <v>3.6</v>
      </c>
      <c r="BL9" s="22">
        <f>IF(MAESTRO!D9="","",IFERROR(AVERAGE(BJ9,BK9),""))</f>
        <v/>
      </c>
      <c r="BM9" s="5">
        <f>IF(MAESTRO!D9="","",IFERROR(TRUNC(AVERAGE(AX9,BI9,BL9),1),""))</f>
        <v/>
      </c>
      <c r="BN9" s="177" t="n"/>
      <c r="BO9" s="177" t="n">
        <v>5</v>
      </c>
      <c r="BP9" s="177" t="n">
        <v>5</v>
      </c>
      <c r="BQ9" s="177">
        <f>IF(MAESTRO!D9="","",MAESTRO!D9)</f>
        <v/>
      </c>
      <c r="BR9" s="178" t="n"/>
      <c r="BS9" s="5" t="n">
        <v>4.3</v>
      </c>
      <c r="BT9" s="5" t="n">
        <v>3.2</v>
      </c>
      <c r="BU9" s="5" t="n">
        <v>3.5</v>
      </c>
      <c r="BV9" s="5" t="n">
        <v>3.3</v>
      </c>
      <c r="BW9" s="5" t="n">
        <v>3.6</v>
      </c>
      <c r="BX9" s="5" t="n">
        <v>4.4</v>
      </c>
      <c r="BY9" s="5" t="n">
        <v>3.4</v>
      </c>
      <c r="BZ9" s="5" t="n">
        <v>4.6</v>
      </c>
      <c r="CA9" s="5" t="n">
        <v>4.1</v>
      </c>
      <c r="CB9" s="5" t="n">
        <v>4.3</v>
      </c>
      <c r="CC9" s="5" t="n">
        <v>3.4</v>
      </c>
      <c r="CD9" s="5" t="n">
        <v>3.7</v>
      </c>
      <c r="CE9" s="5" t="n">
        <v>4</v>
      </c>
      <c r="CF9" s="5">
        <f>IF(MAESTRO!D9="","",IFERROR(TRUNC(AVERAGE(BS9:CE9),1),""))</f>
        <v/>
      </c>
      <c r="CG9" s="5" t="n">
        <v>3.6</v>
      </c>
      <c r="CH9" s="5" t="n">
        <v>3.7</v>
      </c>
      <c r="CI9" s="5" t="n">
        <v>4.1</v>
      </c>
      <c r="CJ9" s="5" t="n">
        <v>3</v>
      </c>
      <c r="CK9" s="5" t="n">
        <v>3.5</v>
      </c>
      <c r="CL9" s="5" t="n">
        <v>4.1</v>
      </c>
      <c r="CM9" s="5" t="n">
        <v>4.9</v>
      </c>
      <c r="CN9" s="5" t="n">
        <v>4.7</v>
      </c>
      <c r="CO9" s="5" t="n">
        <v>3</v>
      </c>
      <c r="CP9" s="5" t="n">
        <v>3.9</v>
      </c>
      <c r="CQ9" s="5">
        <f>IF(MAESTRO!D9="","",IFERROR(TRUNC(AVERAGE(CG9:CP9),1),""))</f>
        <v/>
      </c>
      <c r="CR9" s="5" t="n">
        <v>3.2</v>
      </c>
      <c r="CS9" s="5" t="n">
        <v>4.2</v>
      </c>
      <c r="CT9" s="5">
        <f>IF(MAESTRO!D9="","",IFERROR(AVERAGE(CR9:CS9),""))</f>
        <v/>
      </c>
      <c r="CU9" s="5">
        <f>IF(MAESTRO!D9="","",IFERROR(TRUNC(AVERAGE(CF9,CQ9,CT9),1),""))</f>
        <v/>
      </c>
      <c r="CV9" s="177" t="n"/>
      <c r="CW9" s="171" t="n">
        <v>5</v>
      </c>
      <c r="DA9" s="196" t="n"/>
      <c r="DB9" s="196" t="n"/>
      <c r="DC9" s="196" t="n"/>
      <c r="DD9" s="196" t="n"/>
      <c r="DE9" s="196" t="n"/>
      <c r="DF9" s="196" t="n"/>
      <c r="DG9" s="196" t="n"/>
      <c r="DH9" s="196" t="n"/>
      <c r="DI9" s="196" t="n"/>
      <c r="DJ9" s="196" t="n"/>
      <c r="DK9" s="196" t="n"/>
      <c r="DL9" s="196" t="n"/>
      <c r="DM9" s="196" t="n"/>
      <c r="DN9" s="196" t="n"/>
      <c r="EB9" s="196" t="n"/>
      <c r="EC9" s="196" t="n"/>
    </row>
    <row r="10" ht="13.5" customHeight="1" s="176">
      <c r="A10" s="177" t="n">
        <v>6</v>
      </c>
      <c r="B10" s="9">
        <f>IF(MAESTRO!D10="","",MAESTRO!D10)</f>
        <v/>
      </c>
      <c r="C10" s="5" t="n">
        <v>4.2</v>
      </c>
      <c r="D10" s="5" t="n">
        <v>3.7</v>
      </c>
      <c r="E10" s="5" t="n">
        <v>4.2</v>
      </c>
      <c r="F10" s="5" t="n">
        <v>4</v>
      </c>
      <c r="G10" s="5" t="n">
        <v>4.2</v>
      </c>
      <c r="H10" s="5" t="n">
        <v>3</v>
      </c>
      <c r="I10" s="5" t="n">
        <v>3.5</v>
      </c>
      <c r="J10" s="5" t="n">
        <v>3.3</v>
      </c>
      <c r="K10" s="5" t="n">
        <v>4.8</v>
      </c>
      <c r="L10" s="5" t="n">
        <v>3.9</v>
      </c>
      <c r="M10" s="5" t="n">
        <v>4.7</v>
      </c>
      <c r="N10" s="173" t="n">
        <v>3.8</v>
      </c>
      <c r="O10" s="5" t="n">
        <v>4.9</v>
      </c>
      <c r="P10" s="5" t="n">
        <v>3.2</v>
      </c>
      <c r="Q10" s="5">
        <f>IF(MAESTRO!D10="","",IFERROR(TRUNC(AVERAGE(C10:P10),1),""))</f>
        <v/>
      </c>
      <c r="R10" s="40" t="n">
        <v>6</v>
      </c>
      <c r="S10" s="22" t="n">
        <v>4.1</v>
      </c>
      <c r="T10" s="22" t="n">
        <v>4.7</v>
      </c>
      <c r="U10" s="22" t="n">
        <v>4.7</v>
      </c>
      <c r="V10" s="22" t="n">
        <v>3.2</v>
      </c>
      <c r="W10" s="22" t="n">
        <v>3.8</v>
      </c>
      <c r="X10" s="22" t="n">
        <v>3.5</v>
      </c>
      <c r="Y10" s="22" t="n">
        <v>4.1</v>
      </c>
      <c r="Z10" s="22" t="n">
        <v>3.2</v>
      </c>
      <c r="AA10" s="22" t="n">
        <v>3.4</v>
      </c>
      <c r="AB10" s="45">
        <f>IF(MAESTRO!D10="","",IFERROR(TRUNC(AVERAGE(S10:AA10),1),""))</f>
        <v/>
      </c>
      <c r="AC10" s="177" t="n">
        <v>4.6</v>
      </c>
      <c r="AD10" s="42" t="n">
        <v>4.8</v>
      </c>
      <c r="AE10" s="5">
        <f>IF(MAESTRO!D10="","",IFERROR(AVERAGE(AC10:AD10),""))</f>
        <v/>
      </c>
      <c r="AF10" s="44">
        <f>IF(MAESTRO!D10="","",IFERROR(TRUNC(AVERAGE(Q10,AB10,AE10),1),""))</f>
        <v/>
      </c>
      <c r="AG10" s="177" t="n"/>
      <c r="AH10" s="177" t="n">
        <v>6</v>
      </c>
      <c r="AI10" s="177" t="n">
        <v>6</v>
      </c>
      <c r="AJ10" s="177">
        <f>IF(MAESTRO!D10="","",MAESTRO!D10)</f>
        <v/>
      </c>
      <c r="AK10" s="178" t="n"/>
      <c r="AL10" s="61" t="n">
        <v>4.7</v>
      </c>
      <c r="AM10" s="61" t="n">
        <v>4.9</v>
      </c>
      <c r="AN10" s="61" t="n">
        <v>3.5</v>
      </c>
      <c r="AO10" s="61" t="n">
        <v>3.2</v>
      </c>
      <c r="AP10" s="61" t="n">
        <v>3.7</v>
      </c>
      <c r="AQ10" s="61" t="n">
        <v>3</v>
      </c>
      <c r="AR10" s="61" t="n">
        <v>3.4</v>
      </c>
      <c r="AS10" s="61" t="n">
        <v>3.9</v>
      </c>
      <c r="AT10" s="61" t="n">
        <v>3.1</v>
      </c>
      <c r="AU10" s="61" t="n">
        <v>3.8</v>
      </c>
      <c r="AV10" s="61" t="n">
        <v>4.4</v>
      </c>
      <c r="AW10" s="61" t="n">
        <v>4</v>
      </c>
      <c r="AX10" s="5">
        <f>IF(MAESTRO!D10="","",IFERROR(TRUNC(AVERAGE(AL10:AW10),1),""))</f>
        <v/>
      </c>
      <c r="AY10" s="22" t="n">
        <v>3.7</v>
      </c>
      <c r="AZ10" s="22" t="n">
        <v>3.3</v>
      </c>
      <c r="BA10" s="22" t="n">
        <v>3.1</v>
      </c>
      <c r="BB10" s="22" t="n">
        <v>4</v>
      </c>
      <c r="BC10" s="22" t="n">
        <v>3.7</v>
      </c>
      <c r="BD10" s="22" t="n">
        <v>4.7</v>
      </c>
      <c r="BE10" s="22" t="n">
        <v>4.2</v>
      </c>
      <c r="BF10" s="22" t="n">
        <v>4.1</v>
      </c>
      <c r="BG10" s="22" t="n">
        <v>3</v>
      </c>
      <c r="BH10" s="52" t="n">
        <v>4.4</v>
      </c>
      <c r="BI10" s="5">
        <f>IF(MAESTRO!D10="","",IFERROR(TRUNC(AVERAGE(AY10:BH10),1),""))</f>
        <v/>
      </c>
      <c r="BJ10" s="22" t="n">
        <v>4.5</v>
      </c>
      <c r="BK10" s="22" t="n">
        <v>4.2</v>
      </c>
      <c r="BL10" s="22">
        <f>IF(MAESTRO!D10="","",IFERROR(AVERAGE(BJ10,BK10),""))</f>
        <v/>
      </c>
      <c r="BM10" s="5">
        <f>IF(MAESTRO!D10="","",IFERROR(TRUNC(AVERAGE(AX10,BI10,BL10),1),""))</f>
        <v/>
      </c>
      <c r="BN10" s="177" t="n"/>
      <c r="BO10" s="177" t="n">
        <v>6</v>
      </c>
      <c r="BP10" s="177" t="n">
        <v>6</v>
      </c>
      <c r="BQ10" s="177">
        <f>IF(MAESTRO!D10="","",MAESTRO!D10)</f>
        <v/>
      </c>
      <c r="BR10" s="178" t="n"/>
      <c r="BS10" s="5" t="n">
        <v>3.8</v>
      </c>
      <c r="BT10" s="5" t="n">
        <v>4.9</v>
      </c>
      <c r="BU10" s="5" t="n">
        <v>3.8</v>
      </c>
      <c r="BV10" s="5" t="n">
        <v>3.7</v>
      </c>
      <c r="BW10" s="5" t="n">
        <v>3.5</v>
      </c>
      <c r="BX10" s="5" t="n">
        <v>3.1</v>
      </c>
      <c r="BY10" s="5" t="n">
        <v>5</v>
      </c>
      <c r="BZ10" s="5" t="n">
        <v>3.1</v>
      </c>
      <c r="CA10" s="5" t="n">
        <v>3.1</v>
      </c>
      <c r="CB10" s="5" t="n">
        <v>4.9</v>
      </c>
      <c r="CC10" s="5" t="n">
        <v>5</v>
      </c>
      <c r="CD10" s="5" t="n">
        <v>4.7</v>
      </c>
      <c r="CE10" s="5" t="n">
        <v>3</v>
      </c>
      <c r="CF10" s="5">
        <f>IF(MAESTRO!D10="","",IFERROR(TRUNC(AVERAGE(BS10:CE10),1),""))</f>
        <v/>
      </c>
      <c r="CG10" s="5" t="n">
        <v>4.1</v>
      </c>
      <c r="CH10" s="5" t="n">
        <v>3.4</v>
      </c>
      <c r="CI10" s="5" t="n">
        <v>4.5</v>
      </c>
      <c r="CJ10" s="5" t="n">
        <v>4.4</v>
      </c>
      <c r="CK10" s="5" t="n">
        <v>4.3</v>
      </c>
      <c r="CL10" s="5" t="n">
        <v>3.1</v>
      </c>
      <c r="CM10" s="5" t="n">
        <v>3.5</v>
      </c>
      <c r="CN10" s="5" t="n">
        <v>3.5</v>
      </c>
      <c r="CO10" s="5" t="n">
        <v>5</v>
      </c>
      <c r="CP10" s="5" t="n">
        <v>3.8</v>
      </c>
      <c r="CQ10" s="5">
        <f>IF(MAESTRO!D10="","",IFERROR(TRUNC(AVERAGE(CG10:CP10),1),""))</f>
        <v/>
      </c>
      <c r="CR10" s="5" t="n">
        <v>3.4</v>
      </c>
      <c r="CS10" s="5" t="n">
        <v>4.3</v>
      </c>
      <c r="CT10" s="5">
        <f>IF(MAESTRO!D10="","",IFERROR(AVERAGE(CR10:CS10),""))</f>
        <v/>
      </c>
      <c r="CU10" s="5">
        <f>IF(MAESTRO!D10="","",IFERROR(TRUNC(AVERAGE(CF10,CQ10,CT10),1),""))</f>
        <v/>
      </c>
      <c r="CV10" s="177" t="n"/>
      <c r="CW10" s="171" t="n">
        <v>6</v>
      </c>
      <c r="DA10" s="196" t="n"/>
      <c r="DB10" s="196" t="n"/>
      <c r="DC10" s="196" t="n"/>
      <c r="DD10" s="196" t="n"/>
      <c r="DE10" s="196" t="n"/>
      <c r="DF10" s="196" t="n"/>
      <c r="DG10" s="196" t="n"/>
      <c r="DH10" s="196" t="n"/>
      <c r="DI10" s="196" t="n"/>
      <c r="DJ10" s="196" t="n"/>
      <c r="DK10" s="196" t="n"/>
      <c r="DL10" s="196" t="n"/>
      <c r="DM10" s="196" t="n"/>
      <c r="DN10" s="196" t="n"/>
      <c r="EB10" s="196" t="n"/>
      <c r="EC10" s="196" t="n"/>
    </row>
    <row r="11" ht="13.5" customHeight="1" s="176">
      <c r="A11" s="177" t="n">
        <v>7</v>
      </c>
      <c r="B11" s="9">
        <f>IF(MAESTRO!D11="","",MAESTRO!D11)</f>
        <v/>
      </c>
      <c r="C11" s="5" t="n">
        <v>4.4</v>
      </c>
      <c r="D11" s="5" t="n">
        <v>4.3</v>
      </c>
      <c r="E11" s="5" t="n">
        <v>4.8</v>
      </c>
      <c r="F11" s="5" t="n">
        <v>4.4</v>
      </c>
      <c r="G11" s="5" t="n">
        <v>4.8</v>
      </c>
      <c r="H11" s="5" t="n">
        <v>3.3</v>
      </c>
      <c r="I11" s="5" t="n">
        <v>4</v>
      </c>
      <c r="J11" s="5" t="n">
        <v>4.2</v>
      </c>
      <c r="K11" s="5" t="n">
        <v>3.9</v>
      </c>
      <c r="L11" s="5" t="n">
        <v>3</v>
      </c>
      <c r="M11" s="5" t="n">
        <v>4.3</v>
      </c>
      <c r="N11" s="173" t="n">
        <v>3.4</v>
      </c>
      <c r="O11" s="5" t="n">
        <v>3.4</v>
      </c>
      <c r="P11" s="5" t="n">
        <v>3.7</v>
      </c>
      <c r="Q11" s="5">
        <f>IF(MAESTRO!D11="","",IFERROR(TRUNC(AVERAGE(C11:P11),1),""))</f>
        <v/>
      </c>
      <c r="R11" s="40" t="n">
        <v>7</v>
      </c>
      <c r="S11" s="22" t="n">
        <v>3.8</v>
      </c>
      <c r="T11" s="22" t="n">
        <v>4</v>
      </c>
      <c r="U11" s="22" t="n">
        <v>3.6</v>
      </c>
      <c r="V11" s="22" t="n">
        <v>3.6</v>
      </c>
      <c r="W11" s="22" t="n">
        <v>3.3</v>
      </c>
      <c r="X11" s="22" t="n">
        <v>5</v>
      </c>
      <c r="Y11" s="22" t="n">
        <v>3.9</v>
      </c>
      <c r="Z11" s="22" t="n">
        <v>3.4</v>
      </c>
      <c r="AA11" s="22" t="n">
        <v>3.5</v>
      </c>
      <c r="AB11" s="45">
        <f>IF(MAESTRO!D11="","",IFERROR(TRUNC(AVERAGE(S11:AA11),1),""))</f>
        <v/>
      </c>
      <c r="AC11" s="177" t="n">
        <v>4.9</v>
      </c>
      <c r="AD11" s="42" t="n">
        <v>3</v>
      </c>
      <c r="AE11" s="5">
        <f>IF(MAESTRO!D11="","",IFERROR(AVERAGE(AC11:AD11),""))</f>
        <v/>
      </c>
      <c r="AF11" s="44">
        <f>IF(MAESTRO!D11="","",IFERROR(TRUNC(AVERAGE(Q11,AB11,AE11),1),""))</f>
        <v/>
      </c>
      <c r="AG11" s="177" t="n"/>
      <c r="AH11" s="177" t="n">
        <v>7</v>
      </c>
      <c r="AI11" s="177" t="n">
        <v>7</v>
      </c>
      <c r="AJ11" s="177">
        <f>IF(MAESTRO!D11="","",MAESTRO!D11)</f>
        <v/>
      </c>
      <c r="AK11" s="178" t="n"/>
      <c r="AL11" s="61" t="n">
        <v>4.4</v>
      </c>
      <c r="AM11" s="61" t="n">
        <v>4.1</v>
      </c>
      <c r="AN11" s="61" t="n">
        <v>3</v>
      </c>
      <c r="AO11" s="61" t="n">
        <v>3.7</v>
      </c>
      <c r="AP11" s="61" t="n">
        <v>4</v>
      </c>
      <c r="AQ11" s="61" t="n">
        <v>4.7</v>
      </c>
      <c r="AR11" s="61" t="n">
        <v>3.8</v>
      </c>
      <c r="AS11" s="61" t="n">
        <v>3.8</v>
      </c>
      <c r="AT11" s="61" t="n">
        <v>3.9</v>
      </c>
      <c r="AU11" s="61" t="n">
        <v>3.2</v>
      </c>
      <c r="AV11" s="61" t="n">
        <v>3.4</v>
      </c>
      <c r="AW11" s="61" t="n">
        <v>4.1</v>
      </c>
      <c r="AX11" s="5">
        <f>IF(MAESTRO!D11="","",IFERROR(TRUNC(AVERAGE(AL11:AW11),1),""))</f>
        <v/>
      </c>
      <c r="AY11" s="22" t="n">
        <v>4.5</v>
      </c>
      <c r="AZ11" s="22" t="n">
        <v>4.5</v>
      </c>
      <c r="BA11" s="22" t="n">
        <v>3.3</v>
      </c>
      <c r="BB11" s="22" t="n">
        <v>4</v>
      </c>
      <c r="BC11" s="22" t="n">
        <v>3.8</v>
      </c>
      <c r="BD11" s="22" t="n">
        <v>3.2</v>
      </c>
      <c r="BE11" s="22" t="n">
        <v>3.1</v>
      </c>
      <c r="BF11" s="22" t="n">
        <v>5</v>
      </c>
      <c r="BG11" s="22" t="n">
        <v>3.6</v>
      </c>
      <c r="BH11" s="52" t="n">
        <v>4</v>
      </c>
      <c r="BI11" s="5">
        <f>IF(MAESTRO!D11="","",IFERROR(TRUNC(AVERAGE(AY11:BH11),1),""))</f>
        <v/>
      </c>
      <c r="BJ11" s="22" t="n">
        <v>3.8</v>
      </c>
      <c r="BK11" s="22" t="n">
        <v>4.7</v>
      </c>
      <c r="BL11" s="22">
        <f>IF(MAESTRO!D11="","",IFERROR(AVERAGE(BJ11,BK11),""))</f>
        <v/>
      </c>
      <c r="BM11" s="5">
        <f>IF(MAESTRO!D11="","",IFERROR(TRUNC(AVERAGE(AX11,BI11,BL11),1),""))</f>
        <v/>
      </c>
      <c r="BN11" s="177" t="n"/>
      <c r="BO11" s="177" t="n">
        <v>7</v>
      </c>
      <c r="BP11" s="177" t="n">
        <v>7</v>
      </c>
      <c r="BQ11" s="177">
        <f>IF(MAESTRO!D11="","",MAESTRO!D11)</f>
        <v/>
      </c>
      <c r="BR11" s="178" t="n"/>
      <c r="BS11" s="5" t="n">
        <v>4.9</v>
      </c>
      <c r="BT11" s="5" t="n">
        <v>4.2</v>
      </c>
      <c r="BU11" s="5" t="n">
        <v>4.5</v>
      </c>
      <c r="BV11" s="5" t="n">
        <v>4.5</v>
      </c>
      <c r="BW11" s="5" t="n">
        <v>3</v>
      </c>
      <c r="BX11" s="5" t="n">
        <v>4.5</v>
      </c>
      <c r="BY11" s="5" t="n">
        <v>4.3</v>
      </c>
      <c r="BZ11" s="5" t="n">
        <v>3.1</v>
      </c>
      <c r="CA11" s="5" t="n">
        <v>4.2</v>
      </c>
      <c r="CB11" s="5" t="n">
        <v>3.7</v>
      </c>
      <c r="CC11" s="5" t="n">
        <v>4.9</v>
      </c>
      <c r="CD11" s="5" t="n">
        <v>4.4</v>
      </c>
      <c r="CE11" s="5" t="n">
        <v>4.5</v>
      </c>
      <c r="CF11" s="5">
        <f>IF(MAESTRO!D11="","",IFERROR(TRUNC(AVERAGE(BS11:CE11),1),""))</f>
        <v/>
      </c>
      <c r="CG11" s="5" t="n">
        <v>4.5</v>
      </c>
      <c r="CH11" s="5" t="n">
        <v>4.3</v>
      </c>
      <c r="CI11" s="5" t="n">
        <v>3.4</v>
      </c>
      <c r="CJ11" s="5" t="n">
        <v>3.8</v>
      </c>
      <c r="CK11" s="5" t="n">
        <v>3</v>
      </c>
      <c r="CL11" s="5" t="n">
        <v>3.2</v>
      </c>
      <c r="CM11" s="5" t="n">
        <v>3</v>
      </c>
      <c r="CN11" s="5" t="n">
        <v>4.2</v>
      </c>
      <c r="CO11" s="5" t="n">
        <v>3.1</v>
      </c>
      <c r="CP11" s="5" t="n">
        <v>4.9</v>
      </c>
      <c r="CQ11" s="5">
        <f>IF(MAESTRO!D11="","",IFERROR(TRUNC(AVERAGE(CG11:CP11),1),""))</f>
        <v/>
      </c>
      <c r="CR11" s="5" t="n">
        <v>4.8</v>
      </c>
      <c r="CS11" s="5" t="n">
        <v>4.4</v>
      </c>
      <c r="CT11" s="5">
        <f>IF(MAESTRO!D11="","",IFERROR(AVERAGE(CR11:CS11),""))</f>
        <v/>
      </c>
      <c r="CU11" s="5">
        <f>IF(MAESTRO!D11="","",IFERROR(TRUNC(AVERAGE(CF11,CQ11,CT11),1),""))</f>
        <v/>
      </c>
      <c r="CV11" s="177" t="n"/>
      <c r="CW11" s="171" t="n">
        <v>7</v>
      </c>
      <c r="DA11" s="196" t="n"/>
      <c r="DB11" s="196" t="n"/>
      <c r="DC11" s="196" t="n"/>
      <c r="DD11" s="196" t="n"/>
      <c r="DE11" s="196" t="n"/>
      <c r="DF11" s="196" t="n"/>
      <c r="DG11" s="196" t="n"/>
      <c r="DH11" s="196" t="n"/>
      <c r="DI11" s="196" t="n"/>
      <c r="DJ11" s="196" t="n"/>
      <c r="DK11" s="196" t="n"/>
      <c r="DL11" s="196" t="n"/>
      <c r="DM11" s="196" t="n"/>
      <c r="DN11" s="196" t="n"/>
      <c r="EB11" s="196" t="n"/>
      <c r="EC11" s="196" t="n"/>
    </row>
    <row r="12" ht="13.5" customHeight="1" s="176">
      <c r="A12" s="177" t="n">
        <v>8</v>
      </c>
      <c r="B12" s="9">
        <f>IF(MAESTRO!D12="","",MAESTRO!D12)</f>
        <v/>
      </c>
      <c r="C12" s="5" t="n">
        <v>4.9</v>
      </c>
      <c r="D12" t="n">
        <v>4.4</v>
      </c>
      <c r="E12" s="5" t="n">
        <v>4.5</v>
      </c>
      <c r="F12" s="5" t="n">
        <v>4.9</v>
      </c>
      <c r="G12" s="5" t="n">
        <v>4.8</v>
      </c>
      <c r="H12" t="n">
        <v>3.4</v>
      </c>
      <c r="I12" s="5" t="n">
        <v>4</v>
      </c>
      <c r="J12" s="5" t="n">
        <v>4.7</v>
      </c>
      <c r="K12" s="5" t="n">
        <v>4.8</v>
      </c>
      <c r="L12" s="5" t="n">
        <v>4.5</v>
      </c>
      <c r="M12" s="5" t="n">
        <v>3.5</v>
      </c>
      <c r="N12" s="173" t="n">
        <v>4.4</v>
      </c>
      <c r="O12" s="5" t="n">
        <v>4.6</v>
      </c>
      <c r="P12" s="5" t="n">
        <v>4.5</v>
      </c>
      <c r="Q12" s="5">
        <f>IF(MAESTRO!D12="","",IFERROR(TRUNC(AVERAGE(C12:P12),1),""))</f>
        <v/>
      </c>
      <c r="R12" s="40" t="n">
        <v>8</v>
      </c>
      <c r="S12" s="22" t="n">
        <v>3.7</v>
      </c>
      <c r="T12" s="22" t="n">
        <v>4.3</v>
      </c>
      <c r="U12" s="22" t="n">
        <v>3.6</v>
      </c>
      <c r="V12" s="22" t="n">
        <v>3.4</v>
      </c>
      <c r="W12" s="22" t="n">
        <v>3.6</v>
      </c>
      <c r="X12" s="22" t="n">
        <v>3.8</v>
      </c>
      <c r="Y12" s="22" t="n">
        <v>4.4</v>
      </c>
      <c r="Z12" s="22" t="n">
        <v>3.3</v>
      </c>
      <c r="AA12" s="22" t="n">
        <v>3.8</v>
      </c>
      <c r="AB12" s="45">
        <f>IF(MAESTRO!D12="","",IFERROR(TRUNC(AVERAGE(S12:AA12),1),""))</f>
        <v/>
      </c>
      <c r="AC12" s="177" t="n">
        <v>4.7</v>
      </c>
      <c r="AD12" s="42" t="n">
        <v>3.9</v>
      </c>
      <c r="AE12" s="5">
        <f>IF(MAESTRO!D12="","",IFERROR(AVERAGE(AC12:AD12),""))</f>
        <v/>
      </c>
      <c r="AF12" s="44">
        <f>IF(MAESTRO!D12="","",IFERROR(TRUNC(AVERAGE(Q12,AB12,AE12),1),""))</f>
        <v/>
      </c>
      <c r="AG12" s="177" t="n"/>
      <c r="AH12" s="177" t="n">
        <v>8</v>
      </c>
      <c r="AI12" s="177" t="n">
        <v>8</v>
      </c>
      <c r="AJ12" s="177">
        <f>IF(MAESTRO!D12="","",MAESTRO!D12)</f>
        <v/>
      </c>
      <c r="AK12" s="178" t="n"/>
      <c r="AL12" s="61" t="n">
        <v>3</v>
      </c>
      <c r="AM12" s="61" t="n">
        <v>4.3</v>
      </c>
      <c r="AN12" s="61" t="n">
        <v>4.5</v>
      </c>
      <c r="AO12" s="61" t="n">
        <v>4.2</v>
      </c>
      <c r="AP12" s="61" t="n">
        <v>4.5</v>
      </c>
      <c r="AQ12" s="61" t="n">
        <v>3.7</v>
      </c>
      <c r="AR12" s="61" t="n">
        <v>4.6</v>
      </c>
      <c r="AS12" s="61" t="n">
        <v>4.1</v>
      </c>
      <c r="AT12" s="61" t="n">
        <v>3.9</v>
      </c>
      <c r="AU12" s="61" t="n">
        <v>3.2</v>
      </c>
      <c r="AV12" s="61" t="n">
        <v>4.1</v>
      </c>
      <c r="AW12" s="61" t="n">
        <v>4.1</v>
      </c>
      <c r="AX12" s="5">
        <f>IF(MAESTRO!D12="","",IFERROR(TRUNC(AVERAGE(AL12:AW12),1),""))</f>
        <v/>
      </c>
      <c r="AY12" s="22" t="n">
        <v>3.8</v>
      </c>
      <c r="AZ12" s="22" t="n">
        <v>4.6</v>
      </c>
      <c r="BA12" s="22" t="n">
        <v>3</v>
      </c>
      <c r="BB12" s="22" t="n">
        <v>4</v>
      </c>
      <c r="BC12" s="22" t="n">
        <v>3.1</v>
      </c>
      <c r="BD12" s="22" t="n">
        <v>3.2</v>
      </c>
      <c r="BE12" s="22" t="n">
        <v>3.4</v>
      </c>
      <c r="BF12" s="22" t="n">
        <v>3.6</v>
      </c>
      <c r="BG12" s="22" t="n">
        <v>3.2</v>
      </c>
      <c r="BH12" s="52" t="n">
        <v>4.7</v>
      </c>
      <c r="BI12" s="5">
        <f>IF(MAESTRO!D12="","",IFERROR(TRUNC(AVERAGE(AY12:BH12),1),""))</f>
        <v/>
      </c>
      <c r="BJ12" s="22" t="n">
        <v>3.5</v>
      </c>
      <c r="BK12" s="22" t="n">
        <v>4.1</v>
      </c>
      <c r="BL12" s="22">
        <f>IF(MAESTRO!D12="","",IFERROR(AVERAGE(BJ12,BK12),""))</f>
        <v/>
      </c>
      <c r="BM12" s="5">
        <f>IF(MAESTRO!D12="","",IFERROR(TRUNC(AVERAGE(AX12,BI12,BL12),1),""))</f>
        <v/>
      </c>
      <c r="BN12" s="177" t="n"/>
      <c r="BO12" s="177" t="n">
        <v>8</v>
      </c>
      <c r="BP12" s="177" t="n">
        <v>8</v>
      </c>
      <c r="BQ12" s="177">
        <f>IF(MAESTRO!D12="","",MAESTRO!D12)</f>
        <v/>
      </c>
      <c r="BR12" s="178" t="n"/>
      <c r="BS12" s="5" t="n">
        <v>3.8</v>
      </c>
      <c r="BT12" s="5" t="n">
        <v>4.8</v>
      </c>
      <c r="BU12" s="5" t="n">
        <v>4.4</v>
      </c>
      <c r="BV12" s="5" t="n">
        <v>3.7</v>
      </c>
      <c r="BW12" s="5" t="n">
        <v>4.3</v>
      </c>
      <c r="BX12" s="5" t="n">
        <v>4.2</v>
      </c>
      <c r="BY12" s="5" t="n">
        <v>3.2</v>
      </c>
      <c r="BZ12" s="5" t="n">
        <v>4.7</v>
      </c>
      <c r="CA12" s="5" t="n">
        <v>4.4</v>
      </c>
      <c r="CB12" s="5" t="n">
        <v>3.6</v>
      </c>
      <c r="CC12" s="5" t="n">
        <v>4.5</v>
      </c>
      <c r="CD12" s="5" t="n">
        <v>4.8</v>
      </c>
      <c r="CE12" s="5" t="n">
        <v>3.5</v>
      </c>
      <c r="CF12" s="5">
        <f>IF(MAESTRO!D12="","",IFERROR(TRUNC(AVERAGE(BS12:CE12),1),""))</f>
        <v/>
      </c>
      <c r="CG12" s="5" t="n">
        <v>4</v>
      </c>
      <c r="CH12" s="5" t="n">
        <v>4.9</v>
      </c>
      <c r="CI12" s="5" t="n">
        <v>4.4</v>
      </c>
      <c r="CJ12" s="5" t="n">
        <v>3.3</v>
      </c>
      <c r="CK12" s="5" t="n">
        <v>4.7</v>
      </c>
      <c r="CL12" s="5" t="n">
        <v>4.8</v>
      </c>
      <c r="CM12" s="5" t="n">
        <v>3.2</v>
      </c>
      <c r="CN12" s="5" t="n">
        <v>3.2</v>
      </c>
      <c r="CO12" s="5" t="n">
        <v>4.2</v>
      </c>
      <c r="CP12" s="5" t="n">
        <v>4.8</v>
      </c>
      <c r="CQ12" s="5">
        <f>IF(MAESTRO!D12="","",IFERROR(TRUNC(AVERAGE(CG12:CP12),1),""))</f>
        <v/>
      </c>
      <c r="CR12" s="5" t="n">
        <v>4.5</v>
      </c>
      <c r="CS12" s="5" t="n">
        <v>3</v>
      </c>
      <c r="CT12" s="5">
        <f>IF(MAESTRO!D12="","",IFERROR(AVERAGE(CR12:CS12),""))</f>
        <v/>
      </c>
      <c r="CU12" s="5">
        <f>IF(MAESTRO!D12="","",IFERROR(TRUNC(AVERAGE(CF12,CQ12,CT12),1),""))</f>
        <v/>
      </c>
      <c r="CV12" s="177" t="n"/>
      <c r="CW12" s="171" t="n">
        <v>8</v>
      </c>
      <c r="DA12" s="196" t="n"/>
      <c r="DB12" s="196" t="n"/>
      <c r="DC12" s="196" t="n"/>
      <c r="DD12" s="196" t="n"/>
      <c r="DE12" s="196" t="n"/>
      <c r="DF12" s="196" t="n"/>
      <c r="DG12" s="196" t="n"/>
      <c r="DH12" s="196" t="n"/>
      <c r="DI12" s="196" t="n"/>
      <c r="DJ12" s="196" t="n"/>
      <c r="DK12" s="196" t="n"/>
      <c r="DL12" s="196" t="n"/>
      <c r="DM12" s="196" t="n"/>
      <c r="DN12" s="196" t="n"/>
      <c r="EB12" s="196" t="n"/>
      <c r="EC12" s="196" t="n"/>
    </row>
    <row r="13" ht="13.5" customHeight="1" s="176">
      <c r="A13" s="177" t="n">
        <v>9</v>
      </c>
      <c r="B13" s="9">
        <f>IF(MAESTRO!D13="","",MAESTRO!D13)</f>
        <v/>
      </c>
      <c r="C13" s="5" t="n">
        <v>4.2</v>
      </c>
      <c r="D13" s="5" t="n">
        <v>3.9</v>
      </c>
      <c r="E13" s="5" t="n">
        <v>4.1</v>
      </c>
      <c r="F13" s="5" t="n">
        <v>4.2</v>
      </c>
      <c r="G13" s="5" t="n">
        <v>3.3</v>
      </c>
      <c r="H13" s="5" t="n">
        <v>3.6</v>
      </c>
      <c r="I13" s="5" t="n">
        <v>3.9</v>
      </c>
      <c r="J13" s="5" t="n">
        <v>4.4</v>
      </c>
      <c r="K13" s="5" t="n">
        <v>4.9</v>
      </c>
      <c r="L13" s="5" t="n">
        <v>3.1</v>
      </c>
      <c r="M13" s="5" t="n">
        <v>5</v>
      </c>
      <c r="N13" s="173" t="n">
        <v>3.7</v>
      </c>
      <c r="O13" s="5" t="n">
        <v>4.2</v>
      </c>
      <c r="P13" s="5" t="n">
        <v>4</v>
      </c>
      <c r="Q13" s="5">
        <f>IF(MAESTRO!D13="","",IFERROR(TRUNC(AVERAGE(C13:P13),1),""))</f>
        <v/>
      </c>
      <c r="R13" s="40" t="n">
        <v>9</v>
      </c>
      <c r="S13" s="22" t="n">
        <v>4.6</v>
      </c>
      <c r="T13" s="5" t="n">
        <v>4.6</v>
      </c>
      <c r="U13" s="5" t="n">
        <v>3.4</v>
      </c>
      <c r="V13" s="5" t="n">
        <v>4.6</v>
      </c>
      <c r="W13" s="5" t="n">
        <v>4.8</v>
      </c>
      <c r="X13" s="5" t="n">
        <v>3.5</v>
      </c>
      <c r="Y13" s="5" t="n">
        <v>3.8</v>
      </c>
      <c r="Z13" s="5" t="n">
        <v>4.2</v>
      </c>
      <c r="AA13" s="5" t="n">
        <v>4.6</v>
      </c>
      <c r="AB13" s="45">
        <f>IF(MAESTRO!D13="","",IFERROR(TRUNC(AVERAGE(S13:AA13),1),""))</f>
        <v/>
      </c>
      <c r="AC13" s="5" t="n">
        <v>4.4</v>
      </c>
      <c r="AD13" s="5" t="n">
        <v>4.3</v>
      </c>
      <c r="AE13" s="5">
        <f>IF(MAESTRO!D13="","",IFERROR(AVERAGE(AC13:AD13),""))</f>
        <v/>
      </c>
      <c r="AF13" s="44">
        <f>IF(MAESTRO!D13="","",IFERROR(TRUNC(AVERAGE(Q13,AB13,AE13),1),""))</f>
        <v/>
      </c>
      <c r="AG13" s="177" t="n"/>
      <c r="AH13" s="177" t="n">
        <v>9</v>
      </c>
      <c r="AI13" s="177" t="n">
        <v>9</v>
      </c>
      <c r="AJ13" s="177">
        <f>IF(MAESTRO!D13="","",MAESTRO!D13)</f>
        <v/>
      </c>
      <c r="AK13" s="178" t="n"/>
      <c r="AL13" s="42" t="n">
        <v>3.7</v>
      </c>
      <c r="AM13" s="42" t="n">
        <v>4</v>
      </c>
      <c r="AN13" s="42" t="n">
        <v>4.2</v>
      </c>
      <c r="AO13" s="42" t="n">
        <v>3.9</v>
      </c>
      <c r="AP13" s="42" t="n">
        <v>4.1</v>
      </c>
      <c r="AQ13" s="42" t="n">
        <v>4.5</v>
      </c>
      <c r="AR13" s="42" t="n">
        <v>4.9</v>
      </c>
      <c r="AS13" s="61" t="n">
        <v>4.5</v>
      </c>
      <c r="AT13" s="61" t="n">
        <v>4.5</v>
      </c>
      <c r="AU13" s="61" t="n">
        <v>3.9</v>
      </c>
      <c r="AV13" s="61" t="n">
        <v>3.7</v>
      </c>
      <c r="AW13" s="61" t="n">
        <v>4.1</v>
      </c>
      <c r="AX13" s="5">
        <f>IF(MAESTRO!D13="","",IFERROR(TRUNC(AVERAGE(AL13:AW13),1),""))</f>
        <v/>
      </c>
      <c r="AY13" s="63" t="n">
        <v>4.3</v>
      </c>
      <c r="AZ13" s="22" t="n">
        <v>4.6</v>
      </c>
      <c r="BA13" s="63" t="n">
        <v>4.3</v>
      </c>
      <c r="BB13" s="63" t="n">
        <v>4.9</v>
      </c>
      <c r="BC13" s="22" t="n">
        <v>3.9</v>
      </c>
      <c r="BD13" s="63" t="n">
        <v>4.6</v>
      </c>
      <c r="BE13" s="63" t="n">
        <v>4.9</v>
      </c>
      <c r="BF13" s="63" t="n">
        <v>4</v>
      </c>
      <c r="BG13" s="63" t="n">
        <v>4.2</v>
      </c>
      <c r="BH13" s="52" t="n">
        <v>3.2</v>
      </c>
      <c r="BI13" s="5">
        <f>IF(MAESTRO!D13="","",IFERROR(TRUNC(AVERAGE(AY13:BH13),1),""))</f>
        <v/>
      </c>
      <c r="BJ13" s="22" t="n">
        <v>3.2</v>
      </c>
      <c r="BK13" s="22" t="n">
        <v>3.7</v>
      </c>
      <c r="BL13" s="22">
        <f>IF(MAESTRO!D13="","",IFERROR(AVERAGE(BJ13,BK13),""))</f>
        <v/>
      </c>
      <c r="BM13" s="5">
        <f>IF(MAESTRO!D13="","",IFERROR(TRUNC(AVERAGE(AX13,BI13,BL13),1),""))</f>
        <v/>
      </c>
      <c r="BN13" s="177" t="n"/>
      <c r="BO13" s="177" t="n">
        <v>9</v>
      </c>
      <c r="BP13" s="177" t="n">
        <v>9</v>
      </c>
      <c r="BQ13" s="177">
        <f>IF(MAESTRO!D13="","",MAESTRO!D13)</f>
        <v/>
      </c>
      <c r="BR13" s="178" t="n"/>
      <c r="BS13" s="5" t="n">
        <v>3.7</v>
      </c>
      <c r="BT13" s="5" t="n">
        <v>4.8</v>
      </c>
      <c r="BU13" s="5" t="n">
        <v>3.7</v>
      </c>
      <c r="BV13" s="5" t="n">
        <v>3.2</v>
      </c>
      <c r="BW13" s="5" t="n">
        <v>3.4</v>
      </c>
      <c r="BX13" s="5" t="n">
        <v>3.4</v>
      </c>
      <c r="BY13" s="5" t="n">
        <v>3.5</v>
      </c>
      <c r="BZ13" s="5" t="n">
        <v>3.4</v>
      </c>
      <c r="CA13" s="5" t="n">
        <v>3.2</v>
      </c>
      <c r="CB13" s="5" t="n">
        <v>4</v>
      </c>
      <c r="CC13" s="5" t="n">
        <v>4.2</v>
      </c>
      <c r="CD13" s="5" t="n">
        <v>4.5</v>
      </c>
      <c r="CE13" s="5" t="n">
        <v>4.6</v>
      </c>
      <c r="CF13" s="5">
        <f>IF(MAESTRO!D13="","",IFERROR(TRUNC(AVERAGE(BS13:CE13),1),""))</f>
        <v/>
      </c>
      <c r="CG13" s="5" t="n">
        <v>4.2</v>
      </c>
      <c r="CH13" s="5" t="n">
        <v>4.4</v>
      </c>
      <c r="CI13" s="5" t="n">
        <v>4.4</v>
      </c>
      <c r="CJ13" s="5" t="n">
        <v>3.4</v>
      </c>
      <c r="CK13" s="5" t="n">
        <v>3.9</v>
      </c>
      <c r="CL13" s="5" t="n">
        <v>3.2</v>
      </c>
      <c r="CM13" s="5" t="n">
        <v>4.1</v>
      </c>
      <c r="CN13" s="5" t="n">
        <v>4.5</v>
      </c>
      <c r="CO13" s="5" t="n">
        <v>3.7</v>
      </c>
      <c r="CP13" s="5" t="n">
        <v>3.1</v>
      </c>
      <c r="CQ13" s="5">
        <f>IF(MAESTRO!D13="","",IFERROR(TRUNC(AVERAGE(CG13:CP13),1),""))</f>
        <v/>
      </c>
      <c r="CR13" s="5" t="n">
        <v>3.7</v>
      </c>
      <c r="CS13" s="5" t="n">
        <v>3.6</v>
      </c>
      <c r="CT13" s="5">
        <f>IF(MAESTRO!D13="","",IFERROR(AVERAGE(CR13:CS13),""))</f>
        <v/>
      </c>
      <c r="CU13" s="5">
        <f>IF(MAESTRO!D13="","",IFERROR(TRUNC(AVERAGE(CF13,CQ13,CT13),1),""))</f>
        <v/>
      </c>
      <c r="CV13" s="177" t="n"/>
      <c r="CW13" s="171" t="n">
        <v>9</v>
      </c>
      <c r="DA13" s="196" t="n"/>
      <c r="DB13" s="196" t="n"/>
      <c r="DC13" s="196" t="n"/>
      <c r="DD13" s="196" t="n"/>
      <c r="DE13" s="196" t="n"/>
      <c r="DF13" s="196" t="n"/>
      <c r="DG13" s="196" t="n"/>
      <c r="DH13" s="196" t="n"/>
      <c r="DI13" s="196" t="n"/>
      <c r="DJ13" s="196" t="n"/>
      <c r="DK13" s="196" t="n"/>
      <c r="DL13" s="196" t="n"/>
      <c r="DM13" s="196" t="n"/>
      <c r="DN13" s="196" t="n"/>
      <c r="EB13" s="196" t="n"/>
      <c r="EC13" s="196" t="n"/>
    </row>
    <row r="14" ht="13.5" customHeight="1" s="176">
      <c r="A14" s="177" t="n">
        <v>10</v>
      </c>
      <c r="B14" s="9">
        <f>IF(MAESTRO!D14="","",MAESTRO!D14)</f>
        <v/>
      </c>
      <c r="C14" s="5" t="n">
        <v>3.1</v>
      </c>
      <c r="D14" s="5" t="n">
        <v>3.2</v>
      </c>
      <c r="E14" s="5" t="n">
        <v>3.6</v>
      </c>
      <c r="F14" s="5" t="n">
        <v>4.2</v>
      </c>
      <c r="G14" s="5" t="n">
        <v>4.8</v>
      </c>
      <c r="H14" s="5" t="n">
        <v>3.8</v>
      </c>
      <c r="I14" s="5" t="n">
        <v>3.2</v>
      </c>
      <c r="J14" s="5" t="n">
        <v>4.9</v>
      </c>
      <c r="K14" s="5" t="n">
        <v>4.8</v>
      </c>
      <c r="L14" s="5" t="n">
        <v>4.2</v>
      </c>
      <c r="M14" s="5" t="n">
        <v>4.9</v>
      </c>
      <c r="N14" s="173" t="n">
        <v>3</v>
      </c>
      <c r="O14" s="5" t="n">
        <v>4.5</v>
      </c>
      <c r="P14" s="5" t="n">
        <v>4.1</v>
      </c>
      <c r="Q14" s="5">
        <f>IF(MAESTRO!D14="","",IFERROR(TRUNC(AVERAGE(C14:P14),1),""))</f>
        <v/>
      </c>
      <c r="R14" s="40" t="n">
        <v>10</v>
      </c>
      <c r="S14" s="22" t="n">
        <v>4.8</v>
      </c>
      <c r="T14" s="22" t="n">
        <v>4.1</v>
      </c>
      <c r="U14" s="22" t="n">
        <v>3.1</v>
      </c>
      <c r="V14" s="22" t="n">
        <v>4.2</v>
      </c>
      <c r="W14" s="22" t="n">
        <v>4.1</v>
      </c>
      <c r="X14" s="22" t="n">
        <v>4.2</v>
      </c>
      <c r="Y14" s="22" t="n">
        <v>4.9</v>
      </c>
      <c r="Z14" s="22" t="n">
        <v>3.4</v>
      </c>
      <c r="AA14" s="22" t="n">
        <v>3.5</v>
      </c>
      <c r="AB14" s="45">
        <f>IF(MAESTRO!D14="","",IFERROR(TRUNC(AVERAGE(S14:AA14),1),""))</f>
        <v/>
      </c>
      <c r="AC14" s="177" t="n">
        <v>4.3</v>
      </c>
      <c r="AD14" s="42" t="n">
        <v>4.1</v>
      </c>
      <c r="AE14" s="5">
        <f>IF(MAESTRO!D14="","",IFERROR(AVERAGE(AC14:AD14),""))</f>
        <v/>
      </c>
      <c r="AF14" s="44">
        <f>IF(MAESTRO!D14="","",IFERROR(TRUNC(AVERAGE(Q14,AB14,AE14),1),""))</f>
        <v/>
      </c>
      <c r="AG14" s="177" t="n"/>
      <c r="AH14" s="177" t="n">
        <v>10</v>
      </c>
      <c r="AI14" s="177" t="n">
        <v>10</v>
      </c>
      <c r="AJ14" s="177">
        <f>IF(MAESTRO!D14="","",MAESTRO!D14)</f>
        <v/>
      </c>
      <c r="AK14" s="178" t="n"/>
      <c r="AL14" s="61" t="n">
        <v>4.1</v>
      </c>
      <c r="AM14" s="61" t="n">
        <v>5</v>
      </c>
      <c r="AN14" s="61" t="n">
        <v>4.8</v>
      </c>
      <c r="AO14" s="61" t="n">
        <v>4.1</v>
      </c>
      <c r="AP14" s="61" t="n">
        <v>3.4</v>
      </c>
      <c r="AQ14" s="61" t="n">
        <v>4.3</v>
      </c>
      <c r="AR14" s="61" t="n">
        <v>5</v>
      </c>
      <c r="AS14" s="61" t="n">
        <v>4.1</v>
      </c>
      <c r="AT14" s="61" t="n">
        <v>4.8</v>
      </c>
      <c r="AU14" s="61" t="n">
        <v>3.1</v>
      </c>
      <c r="AV14" s="61" t="n">
        <v>3.2</v>
      </c>
      <c r="AW14" s="61" t="n">
        <v>4</v>
      </c>
      <c r="AX14" s="5">
        <f>IF(MAESTRO!D14="","",IFERROR(TRUNC(AVERAGE(AL14:AW14),1),""))</f>
        <v/>
      </c>
      <c r="AY14" s="22" t="n">
        <v>3.9</v>
      </c>
      <c r="AZ14" s="22" t="n">
        <v>4</v>
      </c>
      <c r="BA14" s="22" t="n">
        <v>3.6</v>
      </c>
      <c r="BB14" s="22" t="n">
        <v>3.8</v>
      </c>
      <c r="BC14" s="22" t="n">
        <v>3.7</v>
      </c>
      <c r="BD14" s="22" t="n">
        <v>4.4</v>
      </c>
      <c r="BE14" s="22" t="n">
        <v>4.2</v>
      </c>
      <c r="BF14" s="22" t="n">
        <v>4.7</v>
      </c>
      <c r="BG14" s="22" t="n">
        <v>4.6</v>
      </c>
      <c r="BH14" s="52" t="n">
        <v>3.8</v>
      </c>
      <c r="BI14" s="5">
        <f>IF(MAESTRO!D14="","",IFERROR(TRUNC(AVERAGE(AY14:BH14),1),""))</f>
        <v/>
      </c>
      <c r="BJ14" s="22" t="n">
        <v>3.2</v>
      </c>
      <c r="BK14" s="22" t="n">
        <v>3.8</v>
      </c>
      <c r="BL14" s="22">
        <f>IF(MAESTRO!D14="","",IFERROR(AVERAGE(BJ14,BK14),""))</f>
        <v/>
      </c>
      <c r="BM14" s="5">
        <f>IF(MAESTRO!D14="","",IFERROR(TRUNC(AVERAGE(AX14,BI14,BL14),1),""))</f>
        <v/>
      </c>
      <c r="BN14" s="177" t="n"/>
      <c r="BO14" s="177" t="n">
        <v>10</v>
      </c>
      <c r="BP14" s="177" t="n">
        <v>10</v>
      </c>
      <c r="BQ14" s="177">
        <f>IF(MAESTRO!D14="","",MAESTRO!D14)</f>
        <v/>
      </c>
      <c r="BR14" s="178" t="n"/>
      <c r="BS14" s="5" t="n">
        <v>4.4</v>
      </c>
      <c r="BT14" s="5" t="n">
        <v>3.6</v>
      </c>
      <c r="BU14" s="5" t="n">
        <v>4.2</v>
      </c>
      <c r="BV14" s="5" t="n">
        <v>3.2</v>
      </c>
      <c r="BW14" s="5" t="n">
        <v>4.3</v>
      </c>
      <c r="BX14" s="5" t="n">
        <v>4.1</v>
      </c>
      <c r="BY14" s="5" t="n">
        <v>4.3</v>
      </c>
      <c r="BZ14" s="5" t="n">
        <v>4.1</v>
      </c>
      <c r="CA14" s="5" t="n">
        <v>3.2</v>
      </c>
      <c r="CB14" s="5" t="n">
        <v>3.9</v>
      </c>
      <c r="CC14" s="5" t="n">
        <v>4.9</v>
      </c>
      <c r="CD14" s="5" t="n">
        <v>4.3</v>
      </c>
      <c r="CE14" s="5" t="n">
        <v>3.3</v>
      </c>
      <c r="CF14" s="5">
        <f>IF(MAESTRO!D14="","",IFERROR(TRUNC(AVERAGE(BS14:CE14),1),""))</f>
        <v/>
      </c>
      <c r="CG14" s="5" t="n">
        <v>3.4</v>
      </c>
      <c r="CH14" s="5" t="n">
        <v>3.4</v>
      </c>
      <c r="CI14" s="5" t="n">
        <v>4.2</v>
      </c>
      <c r="CJ14" s="5" t="n">
        <v>3.5</v>
      </c>
      <c r="CK14" s="5" t="n">
        <v>4.8</v>
      </c>
      <c r="CL14" s="5" t="n">
        <v>3</v>
      </c>
      <c r="CM14" s="5" t="n">
        <v>4.6</v>
      </c>
      <c r="CN14" s="5" t="n">
        <v>4.8</v>
      </c>
      <c r="CO14" s="5" t="n">
        <v>4.6</v>
      </c>
      <c r="CP14" s="5" t="n">
        <v>3.4</v>
      </c>
      <c r="CQ14" s="5">
        <f>IF(MAESTRO!D14="","",IFERROR(TRUNC(AVERAGE(CG14:CP14),1),""))</f>
        <v/>
      </c>
      <c r="CR14" s="5" t="n">
        <v>3.7</v>
      </c>
      <c r="CS14" s="5" t="n">
        <v>3.9</v>
      </c>
      <c r="CT14" s="5">
        <f>IF(MAESTRO!D14="","",IFERROR(AVERAGE(CR14:CS14),""))</f>
        <v/>
      </c>
      <c r="CU14" s="5">
        <f>IF(MAESTRO!D14="","",IFERROR(TRUNC(AVERAGE(CF14,CQ14,CT14),1),""))</f>
        <v/>
      </c>
      <c r="CV14" s="177" t="n"/>
      <c r="CW14" s="171" t="n">
        <v>10</v>
      </c>
      <c r="DA14" s="196" t="n"/>
      <c r="DB14" s="196" t="n"/>
      <c r="DC14" s="196" t="n"/>
      <c r="DD14" s="196" t="n"/>
      <c r="DE14" s="196" t="n"/>
      <c r="DF14" s="196" t="n"/>
      <c r="DG14" s="196" t="n"/>
      <c r="DH14" s="196" t="n"/>
      <c r="DI14" s="196" t="n"/>
      <c r="DJ14" s="196" t="n"/>
      <c r="DK14" s="196" t="n"/>
      <c r="DL14" s="196" t="n"/>
      <c r="DM14" s="196" t="n"/>
      <c r="DN14" s="196" t="n"/>
      <c r="EB14" s="196" t="n"/>
      <c r="EC14" s="196" t="n"/>
    </row>
    <row r="15" ht="13.5" customHeight="1" s="176">
      <c r="A15" s="177" t="n">
        <v>11</v>
      </c>
      <c r="B15" s="9">
        <f>IF(MAESTRO!D15="","",MAESTRO!D15)</f>
        <v/>
      </c>
      <c r="C15" s="5" t="n">
        <v>3.3</v>
      </c>
      <c r="D15" s="5" t="n">
        <v>3.3</v>
      </c>
      <c r="E15" s="5" t="n">
        <v>3.9</v>
      </c>
      <c r="F15" s="5" t="n">
        <v>4</v>
      </c>
      <c r="G15" s="5" t="n">
        <v>3.3</v>
      </c>
      <c r="H15" s="5" t="n">
        <v>3.7</v>
      </c>
      <c r="I15" s="5" t="n">
        <v>3.7</v>
      </c>
      <c r="J15" s="5" t="n">
        <v>3.2</v>
      </c>
      <c r="K15" s="5" t="n">
        <v>3.7</v>
      </c>
      <c r="L15" s="5" t="n">
        <v>4.1</v>
      </c>
      <c r="M15" s="5" t="n">
        <v>3.3</v>
      </c>
      <c r="N15" s="173" t="n">
        <v>3.1</v>
      </c>
      <c r="O15" s="5" t="n">
        <v>4.2</v>
      </c>
      <c r="P15" s="5" t="n">
        <v>3.3</v>
      </c>
      <c r="Q15" s="5">
        <f>IF(MAESTRO!D15="","",IFERROR(TRUNC(AVERAGE(C15:P15),1),""))</f>
        <v/>
      </c>
      <c r="R15" s="40" t="n">
        <v>11</v>
      </c>
      <c r="S15" s="22" t="n">
        <v>3.8</v>
      </c>
      <c r="T15" s="22" t="n">
        <v>3.8</v>
      </c>
      <c r="U15" s="22" t="n">
        <v>3.4</v>
      </c>
      <c r="V15" s="22" t="n">
        <v>3.1</v>
      </c>
      <c r="W15" s="22" t="n">
        <v>4.8</v>
      </c>
      <c r="X15" s="22" t="n">
        <v>4.9</v>
      </c>
      <c r="Y15" s="22" t="n">
        <v>3.1</v>
      </c>
      <c r="Z15" s="22" t="n">
        <v>4</v>
      </c>
      <c r="AA15" s="22" t="n">
        <v>3.2</v>
      </c>
      <c r="AB15" s="45">
        <f>IF(MAESTRO!D15="","",IFERROR(TRUNC(AVERAGE(S15:AA15),1),""))</f>
        <v/>
      </c>
      <c r="AC15" s="177" t="n">
        <v>3.6</v>
      </c>
      <c r="AD15" s="42" t="n">
        <v>4.8</v>
      </c>
      <c r="AE15" s="5">
        <f>IF(MAESTRO!D15="","",IFERROR(AVERAGE(AC15:AD15),""))</f>
        <v/>
      </c>
      <c r="AF15" s="44">
        <f>IF(MAESTRO!D15="","",IFERROR(TRUNC(AVERAGE(Q15,AB15,AE15),1),""))</f>
        <v/>
      </c>
      <c r="AG15" s="177" t="n"/>
      <c r="AH15" s="177" t="n">
        <v>11</v>
      </c>
      <c r="AI15" s="177" t="n">
        <v>11</v>
      </c>
      <c r="AJ15" s="177">
        <f>IF(MAESTRO!D15="","",MAESTRO!D15)</f>
        <v/>
      </c>
      <c r="AK15" s="178" t="n"/>
      <c r="AL15" s="61" t="n">
        <v>4.5</v>
      </c>
      <c r="AM15" s="61" t="n">
        <v>3.9</v>
      </c>
      <c r="AN15" s="61" t="n">
        <v>3</v>
      </c>
      <c r="AO15" s="61" t="n">
        <v>3.4</v>
      </c>
      <c r="AP15" s="61" t="n">
        <v>3.2</v>
      </c>
      <c r="AQ15" s="61" t="n">
        <v>3.1</v>
      </c>
      <c r="AR15" s="61" t="n">
        <v>3.3</v>
      </c>
      <c r="AS15" s="61" t="n">
        <v>3</v>
      </c>
      <c r="AT15" s="61" t="n">
        <v>4.1</v>
      </c>
      <c r="AU15" s="61" t="n">
        <v>3.4</v>
      </c>
      <c r="AV15" s="61" t="n">
        <v>4.4</v>
      </c>
      <c r="AW15" s="61" t="n">
        <v>4.3</v>
      </c>
      <c r="AX15" s="5">
        <f>IF(MAESTRO!D15="","",IFERROR(TRUNC(AVERAGE(AL15:AW15),1),""))</f>
        <v/>
      </c>
      <c r="AY15" s="22" t="n">
        <v>4.1</v>
      </c>
      <c r="AZ15" s="22" t="n">
        <v>4.8</v>
      </c>
      <c r="BA15" s="22" t="n">
        <v>3.9</v>
      </c>
      <c r="BB15" s="22" t="n">
        <v>3.9</v>
      </c>
      <c r="BC15" s="22" t="n">
        <v>4.6</v>
      </c>
      <c r="BD15" s="22" t="n">
        <v>3.2</v>
      </c>
      <c r="BE15" s="22" t="n">
        <v>4.4</v>
      </c>
      <c r="BF15" s="22" t="n">
        <v>3.6</v>
      </c>
      <c r="BG15" s="22" t="n">
        <v>3.3</v>
      </c>
      <c r="BH15" s="52" t="n">
        <v>3.8</v>
      </c>
      <c r="BI15" s="5">
        <f>IF(MAESTRO!D15="","",IFERROR(TRUNC(AVERAGE(AY15:BH15),1),""))</f>
        <v/>
      </c>
      <c r="BJ15" s="22" t="n">
        <v>4.8</v>
      </c>
      <c r="BK15" s="22" t="n">
        <v>4</v>
      </c>
      <c r="BL15" s="22">
        <f>IF(MAESTRO!D15="","",IFERROR(AVERAGE(BJ15,BK15),""))</f>
        <v/>
      </c>
      <c r="BM15" s="5">
        <f>IF(MAESTRO!D15="","",IFERROR(TRUNC(AVERAGE(AX15,BI15,BL15),1),""))</f>
        <v/>
      </c>
      <c r="BN15" s="177" t="n"/>
      <c r="BO15" s="177" t="n">
        <v>11</v>
      </c>
      <c r="BP15" s="177" t="n">
        <v>11</v>
      </c>
      <c r="BQ15" s="177">
        <f>IF(MAESTRO!D15="","",MAESTRO!D15)</f>
        <v/>
      </c>
      <c r="BR15" s="178" t="n"/>
      <c r="BS15" s="5" t="n">
        <v>4.5</v>
      </c>
      <c r="BT15" s="5" t="n">
        <v>4.9</v>
      </c>
      <c r="BU15" s="5" t="n">
        <v>3.5</v>
      </c>
      <c r="BV15" s="5" t="n">
        <v>3.3</v>
      </c>
      <c r="BW15" s="5" t="n">
        <v>3.3</v>
      </c>
      <c r="BX15" s="5" t="n">
        <v>3.7</v>
      </c>
      <c r="BY15" s="5" t="n">
        <v>3.8</v>
      </c>
      <c r="BZ15" s="5" t="n">
        <v>4.3</v>
      </c>
      <c r="CA15" s="5" t="n">
        <v>3.9</v>
      </c>
      <c r="CB15" s="5" t="n">
        <v>3.9</v>
      </c>
      <c r="CC15" s="5" t="n">
        <v>4.5</v>
      </c>
      <c r="CD15" s="5" t="n">
        <v>3.3</v>
      </c>
      <c r="CE15" s="5" t="n">
        <v>3.5</v>
      </c>
      <c r="CF15" s="5">
        <f>IF(MAESTRO!D15="","",IFERROR(TRUNC(AVERAGE(BS15:CE15),1),""))</f>
        <v/>
      </c>
      <c r="CG15" s="5" t="n">
        <v>3.3</v>
      </c>
      <c r="CH15" s="5" t="n">
        <v>3.4</v>
      </c>
      <c r="CI15" s="5" t="n">
        <v>4.7</v>
      </c>
      <c r="CJ15" s="5" t="n">
        <v>3.5</v>
      </c>
      <c r="CK15" s="5" t="n">
        <v>3.9</v>
      </c>
      <c r="CL15" s="5" t="n">
        <v>4.8</v>
      </c>
      <c r="CM15" s="5" t="n">
        <v>4.4</v>
      </c>
      <c r="CN15" s="5" t="n">
        <v>3.6</v>
      </c>
      <c r="CO15" s="5" t="n">
        <v>4.1</v>
      </c>
      <c r="CP15" s="5" t="n">
        <v>4.7</v>
      </c>
      <c r="CQ15" s="5">
        <f>IF(MAESTRO!D15="","",IFERROR(TRUNC(AVERAGE(CG15:CP15),1),""))</f>
        <v/>
      </c>
      <c r="CR15" s="5" t="n">
        <v>3.8</v>
      </c>
      <c r="CS15" s="5" t="n">
        <v>4.3</v>
      </c>
      <c r="CT15" s="5">
        <f>IF(MAESTRO!D15="","",IFERROR(AVERAGE(CR15:CS15),""))</f>
        <v/>
      </c>
      <c r="CU15" s="5">
        <f>IF(MAESTRO!D15="","",IFERROR(TRUNC(AVERAGE(CF15,CQ15,CT15),1),""))</f>
        <v/>
      </c>
      <c r="CV15" s="177" t="n"/>
      <c r="CW15" s="171" t="n">
        <v>11</v>
      </c>
      <c r="DA15" s="196" t="n"/>
      <c r="DB15" s="196" t="n"/>
      <c r="DC15" s="196" t="n"/>
      <c r="DD15" s="196" t="n"/>
      <c r="DE15" s="196" t="n"/>
      <c r="DF15" s="196" t="n"/>
      <c r="DG15" s="196" t="n"/>
      <c r="DH15" s="196" t="n"/>
      <c r="DI15" s="196" t="n"/>
      <c r="DJ15" s="196" t="n"/>
      <c r="DK15" s="196" t="n"/>
      <c r="DL15" s="196" t="n"/>
      <c r="DM15" s="196" t="n"/>
      <c r="DN15" s="196" t="n"/>
      <c r="EB15" s="196" t="n"/>
      <c r="EC15" s="196" t="n"/>
    </row>
    <row r="16" ht="13.5" customHeight="1" s="176">
      <c r="A16" s="177" t="n">
        <v>12</v>
      </c>
      <c r="B16" s="9">
        <f>IF(MAESTRO!D16="","",MAESTRO!D16)</f>
        <v/>
      </c>
      <c r="C16" s="5" t="n">
        <v>4.4</v>
      </c>
      <c r="D16" s="5" t="n">
        <v>4</v>
      </c>
      <c r="E16" s="5" t="n">
        <v>4.3</v>
      </c>
      <c r="F16" s="5" t="n">
        <v>4.7</v>
      </c>
      <c r="G16" s="5" t="n">
        <v>4.8</v>
      </c>
      <c r="H16" s="5" t="n">
        <v>3.5</v>
      </c>
      <c r="I16" s="5" t="n">
        <v>3.7</v>
      </c>
      <c r="J16" s="5" t="n">
        <v>4.1</v>
      </c>
      <c r="K16" s="5" t="n">
        <v>4.6</v>
      </c>
      <c r="L16" s="5" t="n">
        <v>3.1</v>
      </c>
      <c r="M16" s="5" t="n">
        <v>4.4</v>
      </c>
      <c r="N16" s="173" t="n">
        <v>3.3</v>
      </c>
      <c r="O16" s="5" t="n">
        <v>4.8</v>
      </c>
      <c r="P16" s="5" t="n">
        <v>3.2</v>
      </c>
      <c r="Q16" s="5">
        <f>IF(MAESTRO!D16="","",IFERROR(TRUNC(AVERAGE(C16:P16),1),""))</f>
        <v/>
      </c>
      <c r="R16" s="40" t="n">
        <v>12</v>
      </c>
      <c r="S16" s="22" t="n">
        <v>4.4</v>
      </c>
      <c r="T16" s="22" t="n">
        <v>3.6</v>
      </c>
      <c r="U16" s="22" t="n">
        <v>4.1</v>
      </c>
      <c r="V16" s="22" t="n">
        <v>3.5</v>
      </c>
      <c r="W16" s="22" t="n">
        <v>4</v>
      </c>
      <c r="X16" s="22" t="n">
        <v>3.8</v>
      </c>
      <c r="Y16" s="22" t="n">
        <v>3.9</v>
      </c>
      <c r="Z16" s="22" t="n">
        <v>3</v>
      </c>
      <c r="AA16" s="22" t="n">
        <v>4.4</v>
      </c>
      <c r="AB16" s="45">
        <f>IF(MAESTRO!D16="","",IFERROR(TRUNC(AVERAGE(S16:AA16),1),""))</f>
        <v/>
      </c>
      <c r="AC16" s="177" t="n">
        <v>4.8</v>
      </c>
      <c r="AD16" s="42" t="n">
        <v>4.6</v>
      </c>
      <c r="AE16" s="5">
        <f>IF(MAESTRO!D16="","",IFERROR(AVERAGE(AC16:AD16),""))</f>
        <v/>
      </c>
      <c r="AF16" s="44">
        <f>IF(MAESTRO!D16="","",IFERROR(TRUNC(AVERAGE(Q16,AB16,AE16),1),""))</f>
        <v/>
      </c>
      <c r="AG16" s="177" t="n"/>
      <c r="AH16" s="177" t="n">
        <v>12</v>
      </c>
      <c r="AI16" s="177" t="n">
        <v>12</v>
      </c>
      <c r="AJ16" s="177">
        <f>IF(MAESTRO!D16="","",MAESTRO!D16)</f>
        <v/>
      </c>
      <c r="AK16" s="178" t="n"/>
      <c r="AL16" s="61" t="n">
        <v>3.4</v>
      </c>
      <c r="AM16" s="61" t="n">
        <v>4.6</v>
      </c>
      <c r="AN16" s="61" t="n">
        <v>3.9</v>
      </c>
      <c r="AO16" s="61" t="n">
        <v>3.7</v>
      </c>
      <c r="AP16" s="61" t="n">
        <v>4.6</v>
      </c>
      <c r="AQ16" s="61" t="n">
        <v>3.3</v>
      </c>
      <c r="AR16" s="61" t="n">
        <v>4.1</v>
      </c>
      <c r="AS16" s="61" t="n">
        <v>4.2</v>
      </c>
      <c r="AT16" s="61" t="n">
        <v>4.3</v>
      </c>
      <c r="AU16" s="61" t="n">
        <v>4.9</v>
      </c>
      <c r="AV16" s="61" t="n">
        <v>3.5</v>
      </c>
      <c r="AW16" s="61" t="n">
        <v>4</v>
      </c>
      <c r="AX16" s="5">
        <f>IF(MAESTRO!D16="","",IFERROR(TRUNC(AVERAGE(AL16:AW16),1),""))</f>
        <v/>
      </c>
      <c r="AY16" s="22" t="n">
        <v>4.8</v>
      </c>
      <c r="AZ16" s="22" t="n">
        <v>4.5</v>
      </c>
      <c r="BA16" s="22" t="n">
        <v>4</v>
      </c>
      <c r="BB16" s="22" t="n">
        <v>4.2</v>
      </c>
      <c r="BC16" s="22" t="n">
        <v>4.1</v>
      </c>
      <c r="BD16" s="22" t="n">
        <v>4.4</v>
      </c>
      <c r="BE16" s="22" t="n">
        <v>3.9</v>
      </c>
      <c r="BF16" s="22" t="n">
        <v>3.6</v>
      </c>
      <c r="BG16" s="22" t="n">
        <v>4.4</v>
      </c>
      <c r="BH16" s="52" t="n">
        <v>4.3</v>
      </c>
      <c r="BI16" s="5">
        <f>IF(MAESTRO!D16="","",IFERROR(TRUNC(AVERAGE(AY16:BH16),1),""))</f>
        <v/>
      </c>
      <c r="BJ16" s="22" t="n">
        <v>4.1</v>
      </c>
      <c r="BK16" s="22" t="n">
        <v>3.7</v>
      </c>
      <c r="BL16" s="22">
        <f>IF(MAESTRO!D16="","",IFERROR(AVERAGE(BJ16,BK16),""))</f>
        <v/>
      </c>
      <c r="BM16" s="5">
        <f>IF(MAESTRO!D16="","",IFERROR(TRUNC(AVERAGE(AX16,BI16,BL16),1),""))</f>
        <v/>
      </c>
      <c r="BN16" s="177" t="n"/>
      <c r="BO16" s="177" t="n">
        <v>12</v>
      </c>
      <c r="BP16" s="177" t="n">
        <v>12</v>
      </c>
      <c r="BQ16" s="177">
        <f>IF(MAESTRO!D16="","",MAESTRO!D16)</f>
        <v/>
      </c>
      <c r="BR16" s="178" t="n"/>
      <c r="BS16" s="5" t="n">
        <v>3.4</v>
      </c>
      <c r="BT16" s="5" t="n">
        <v>3.1</v>
      </c>
      <c r="BU16" s="5" t="n">
        <v>3.9</v>
      </c>
      <c r="BV16" s="5" t="n">
        <v>4.7</v>
      </c>
      <c r="BW16" s="5" t="n">
        <v>3.8</v>
      </c>
      <c r="BX16" s="5" t="n">
        <v>3.3</v>
      </c>
      <c r="BY16" s="5" t="n">
        <v>3.2</v>
      </c>
      <c r="BZ16" s="5" t="n">
        <v>5</v>
      </c>
      <c r="CA16" s="5" t="n">
        <v>3.5</v>
      </c>
      <c r="CB16" s="5" t="n">
        <v>3.8</v>
      </c>
      <c r="CC16" s="5" t="n">
        <v>4.5</v>
      </c>
      <c r="CD16" s="5" t="n">
        <v>4</v>
      </c>
      <c r="CE16" s="5" t="n">
        <v>4.1</v>
      </c>
      <c r="CF16" s="5">
        <f>IF(MAESTRO!D16="","",IFERROR(TRUNC(AVERAGE(BS16:CE16),1),""))</f>
        <v/>
      </c>
      <c r="CG16" s="5" t="n">
        <v>3.4</v>
      </c>
      <c r="CH16" s="5" t="n">
        <v>5</v>
      </c>
      <c r="CI16" s="5" t="n">
        <v>3.5</v>
      </c>
      <c r="CJ16" s="5" t="n">
        <v>3.2</v>
      </c>
      <c r="CK16" s="5" t="n">
        <v>3.1</v>
      </c>
      <c r="CL16" s="5" t="n">
        <v>4.8</v>
      </c>
      <c r="CM16" s="5" t="n">
        <v>4.3</v>
      </c>
      <c r="CN16" s="5" t="n">
        <v>4.9</v>
      </c>
      <c r="CO16" s="5" t="n">
        <v>3.7</v>
      </c>
      <c r="CP16" s="5" t="n">
        <v>4.8</v>
      </c>
      <c r="CQ16" s="5">
        <f>IF(MAESTRO!D16="","",IFERROR(TRUNC(AVERAGE(CG16:CP16),1),""))</f>
        <v/>
      </c>
      <c r="CR16" s="5" t="n">
        <v>3.4</v>
      </c>
      <c r="CS16" s="5" t="n">
        <v>3.8</v>
      </c>
      <c r="CT16" s="5">
        <f>IF(MAESTRO!D16="","",IFERROR(AVERAGE(CR16:CS16),""))</f>
        <v/>
      </c>
      <c r="CU16" s="5">
        <f>IF(MAESTRO!D16="","",IFERROR(TRUNC(AVERAGE(CF16,CQ16,CT16),1),""))</f>
        <v/>
      </c>
      <c r="CV16" s="177" t="n"/>
      <c r="CW16" s="171" t="n">
        <v>12</v>
      </c>
      <c r="DA16" s="196" t="n"/>
      <c r="DB16" s="196" t="n"/>
      <c r="DC16" s="196" t="n"/>
      <c r="DD16" s="196" t="n"/>
      <c r="DE16" s="196" t="n"/>
      <c r="DF16" s="196" t="n"/>
      <c r="DG16" s="196" t="n"/>
      <c r="DH16" s="196" t="n"/>
      <c r="DI16" s="196" t="n"/>
      <c r="DJ16" s="196" t="n"/>
      <c r="DK16" s="196" t="n"/>
      <c r="DL16" s="196" t="n"/>
      <c r="DM16" s="196" t="n"/>
      <c r="DN16" s="196" t="n"/>
      <c r="EB16" s="196" t="n"/>
      <c r="EC16" s="196" t="n"/>
    </row>
    <row r="17" ht="13.5" customHeight="1" s="176">
      <c r="A17" s="177" t="n">
        <v>13</v>
      </c>
      <c r="B17" s="9">
        <f>IF(MAESTRO!D17="","",MAESTRO!D17)</f>
        <v/>
      </c>
      <c r="C17" s="5" t="n">
        <v>4.2</v>
      </c>
      <c r="D17" s="5" t="n">
        <v>4.2</v>
      </c>
      <c r="E17" s="5" t="n">
        <v>3.6</v>
      </c>
      <c r="F17" s="5" t="n">
        <v>3.1</v>
      </c>
      <c r="G17" s="5" t="n">
        <v>3.1</v>
      </c>
      <c r="H17" s="5" t="n">
        <v>4.1</v>
      </c>
      <c r="I17" s="5" t="n">
        <v>4.4</v>
      </c>
      <c r="J17" s="5" t="n">
        <v>5</v>
      </c>
      <c r="K17" s="5" t="n">
        <v>3.1</v>
      </c>
      <c r="L17" s="5" t="n">
        <v>4.6</v>
      </c>
      <c r="M17" s="5" t="n">
        <v>4.9</v>
      </c>
      <c r="N17" s="173" t="n">
        <v>4.5</v>
      </c>
      <c r="O17" s="5" t="n">
        <v>4.7</v>
      </c>
      <c r="P17" s="5" t="n">
        <v>4</v>
      </c>
      <c r="Q17" s="5">
        <f>IF(MAESTRO!D17="","",IFERROR(TRUNC(AVERAGE(C17:P17),1),""))</f>
        <v/>
      </c>
      <c r="R17" s="40" t="n">
        <v>13</v>
      </c>
      <c r="S17" s="22" t="n">
        <v>4</v>
      </c>
      <c r="T17" s="22" t="n">
        <v>4.2</v>
      </c>
      <c r="U17" s="22" t="n">
        <v>4</v>
      </c>
      <c r="V17" s="22" t="n">
        <v>3.2</v>
      </c>
      <c r="W17" s="22" t="n">
        <v>3.7</v>
      </c>
      <c r="X17" s="22" t="n">
        <v>4.3</v>
      </c>
      <c r="Y17" s="22" t="n">
        <v>4.8</v>
      </c>
      <c r="Z17" s="22" t="n">
        <v>4.2</v>
      </c>
      <c r="AA17" s="22" t="n">
        <v>4.9</v>
      </c>
      <c r="AB17" s="45">
        <f>IF(MAESTRO!D17="","",IFERROR(TRUNC(AVERAGE(S17:AA17),1),""))</f>
        <v/>
      </c>
      <c r="AC17" s="177" t="n">
        <v>3.5</v>
      </c>
      <c r="AD17" s="42" t="n">
        <v>3.9</v>
      </c>
      <c r="AE17" s="5">
        <f>IF(MAESTRO!D17="","",IFERROR(AVERAGE(AC17:AD17),""))</f>
        <v/>
      </c>
      <c r="AF17" s="44">
        <f>IF(MAESTRO!D17="","",IFERROR(TRUNC(AVERAGE(Q17,AB17,AE17),1),""))</f>
        <v/>
      </c>
      <c r="AG17" s="177" t="n"/>
      <c r="AH17" s="177" t="n">
        <v>13</v>
      </c>
      <c r="AI17" s="177" t="n">
        <v>13</v>
      </c>
      <c r="AJ17" s="177">
        <f>IF(MAESTRO!D17="","",MAESTRO!D17)</f>
        <v/>
      </c>
      <c r="AK17" s="178" t="n"/>
      <c r="AL17" s="61" t="n">
        <v>4.7</v>
      </c>
      <c r="AM17" s="61" t="n">
        <v>3.9</v>
      </c>
      <c r="AN17" s="61" t="n">
        <v>4.2</v>
      </c>
      <c r="AO17" s="61" t="n">
        <v>3.6</v>
      </c>
      <c r="AP17" s="61" t="n">
        <v>4.8</v>
      </c>
      <c r="AQ17" s="61" t="n">
        <v>3.8</v>
      </c>
      <c r="AR17" s="61" t="n">
        <v>5</v>
      </c>
      <c r="AS17" s="61" t="n">
        <v>4.1</v>
      </c>
      <c r="AT17" s="61" t="n">
        <v>4.9</v>
      </c>
      <c r="AU17" s="61" t="n">
        <v>4</v>
      </c>
      <c r="AV17" s="61" t="n">
        <v>3.6</v>
      </c>
      <c r="AW17" s="61" t="n">
        <v>3.7</v>
      </c>
      <c r="AX17" s="5">
        <f>IF(MAESTRO!D17="","",IFERROR(TRUNC(AVERAGE(AL17:AW17),1),""))</f>
        <v/>
      </c>
      <c r="AY17" s="22" t="n">
        <v>4.8</v>
      </c>
      <c r="AZ17" s="22" t="n">
        <v>3.6</v>
      </c>
      <c r="BA17" s="22" t="n">
        <v>3.4</v>
      </c>
      <c r="BB17" s="22" t="n">
        <v>4</v>
      </c>
      <c r="BC17" s="22" t="n">
        <v>4.4</v>
      </c>
      <c r="BD17" s="22" t="n">
        <v>4.3</v>
      </c>
      <c r="BE17" s="22" t="n">
        <v>4.5</v>
      </c>
      <c r="BF17" s="22" t="n">
        <v>3.9</v>
      </c>
      <c r="BG17" s="22" t="n">
        <v>3.1</v>
      </c>
      <c r="BH17" s="52" t="n">
        <v>3.8</v>
      </c>
      <c r="BI17" s="5">
        <f>IF(MAESTRO!D17="","",IFERROR(TRUNC(AVERAGE(AY17:BH17),1),""))</f>
        <v/>
      </c>
      <c r="BJ17" s="22" t="n">
        <v>4.6</v>
      </c>
      <c r="BK17" s="22" t="n">
        <v>3.4</v>
      </c>
      <c r="BL17" s="22">
        <f>IF(MAESTRO!D17="","",IFERROR(AVERAGE(BJ17,BK17),""))</f>
        <v/>
      </c>
      <c r="BM17" s="5">
        <f>IF(MAESTRO!D17="","",IFERROR(TRUNC(AVERAGE(AX17,BI17,BL17),1),""))</f>
        <v/>
      </c>
      <c r="BN17" s="177" t="n"/>
      <c r="BO17" s="177" t="n">
        <v>13</v>
      </c>
      <c r="BP17" s="177" t="n">
        <v>13</v>
      </c>
      <c r="BQ17" s="177">
        <f>IF(MAESTRO!D17="","",MAESTRO!D17)</f>
        <v/>
      </c>
      <c r="BR17" s="178" t="n"/>
      <c r="BS17" s="5" t="n">
        <v>3.7</v>
      </c>
      <c r="BT17" s="5" t="n">
        <v>3.6</v>
      </c>
      <c r="BU17" s="5" t="n">
        <v>4.2</v>
      </c>
      <c r="BV17" s="5" t="n">
        <v>3.5</v>
      </c>
      <c r="BW17" s="5" t="n">
        <v>4.1</v>
      </c>
      <c r="BX17" s="5" t="n">
        <v>3.7</v>
      </c>
      <c r="BY17" s="5" t="n">
        <v>4.9</v>
      </c>
      <c r="BZ17" s="5" t="n">
        <v>4.7</v>
      </c>
      <c r="CA17" s="5" t="n">
        <v>4.7</v>
      </c>
      <c r="CB17" s="5" t="n">
        <v>3.8</v>
      </c>
      <c r="CC17" s="5" t="n">
        <v>4.1</v>
      </c>
      <c r="CD17" s="5" t="n">
        <v>4.3</v>
      </c>
      <c r="CE17" s="5" t="n">
        <v>3.2</v>
      </c>
      <c r="CF17" s="5">
        <f>IF(MAESTRO!D17="","",IFERROR(TRUNC(AVERAGE(BS17:CE17),1),""))</f>
        <v/>
      </c>
      <c r="CG17" s="5" t="n">
        <v>3.6</v>
      </c>
      <c r="CH17" s="5" t="n">
        <v>3.3</v>
      </c>
      <c r="CI17" s="5" t="n">
        <v>4.7</v>
      </c>
      <c r="CJ17" s="5" t="n">
        <v>4.5</v>
      </c>
      <c r="CK17" s="5" t="n">
        <v>4.4</v>
      </c>
      <c r="CL17" s="5" t="n">
        <v>3.9</v>
      </c>
      <c r="CM17" s="5" t="n">
        <v>3.7</v>
      </c>
      <c r="CN17" s="5" t="n">
        <v>4</v>
      </c>
      <c r="CO17" s="5" t="n">
        <v>4.8</v>
      </c>
      <c r="CP17" s="5" t="n">
        <v>4.8</v>
      </c>
      <c r="CQ17" s="5">
        <f>IF(MAESTRO!D17="","",IFERROR(TRUNC(AVERAGE(CG17:CP17),1),""))</f>
        <v/>
      </c>
      <c r="CR17" s="5" t="n">
        <v>4</v>
      </c>
      <c r="CS17" s="5" t="n">
        <v>3.6</v>
      </c>
      <c r="CT17" s="5">
        <f>IF(MAESTRO!D17="","",IFERROR(AVERAGE(CR17:CS17),""))</f>
        <v/>
      </c>
      <c r="CU17" s="5">
        <f>IF(MAESTRO!D17="","",IFERROR(TRUNC(AVERAGE(CF17,CQ17,CT17),1),""))</f>
        <v/>
      </c>
      <c r="CV17" s="177" t="n"/>
      <c r="CW17" s="171" t="n">
        <v>13</v>
      </c>
      <c r="DA17" s="196" t="n"/>
      <c r="DB17" s="196" t="n"/>
      <c r="DC17" s="196" t="n"/>
      <c r="DD17" s="196" t="n"/>
      <c r="DE17" s="196" t="n"/>
      <c r="DF17" s="196" t="n"/>
      <c r="DG17" s="196" t="n"/>
      <c r="DH17" s="196" t="n"/>
      <c r="DI17" s="196" t="n"/>
      <c r="DJ17" s="196" t="n"/>
      <c r="DK17" s="196" t="n"/>
      <c r="DL17" s="196" t="n"/>
      <c r="DM17" s="196" t="n"/>
      <c r="DN17" s="196" t="n"/>
      <c r="EB17" s="196" t="n"/>
      <c r="EC17" s="196" t="n"/>
    </row>
    <row r="18" ht="13.5" customHeight="1" s="176">
      <c r="A18" s="177" t="n">
        <v>14</v>
      </c>
      <c r="B18" s="9">
        <f>IF(MAESTRO!D18="","",MAESTRO!D18)</f>
        <v/>
      </c>
      <c r="C18" s="5" t="n">
        <v>3.1</v>
      </c>
      <c r="D18" s="5" t="n">
        <v>4.3</v>
      </c>
      <c r="E18" s="5" t="n">
        <v>3.5</v>
      </c>
      <c r="F18" s="5" t="n">
        <v>4.8</v>
      </c>
      <c r="G18" s="5" t="n">
        <v>4</v>
      </c>
      <c r="H18" s="5" t="n">
        <v>4.9</v>
      </c>
      <c r="I18" s="5" t="n">
        <v>3.8</v>
      </c>
      <c r="J18" s="5" t="n">
        <v>4.3</v>
      </c>
      <c r="K18" s="5" t="n">
        <v>3</v>
      </c>
      <c r="L18" s="5" t="n">
        <v>3.6</v>
      </c>
      <c r="M18" s="5" t="n">
        <v>4.7</v>
      </c>
      <c r="N18" s="173" t="n">
        <v>3.1</v>
      </c>
      <c r="O18" s="5" t="n">
        <v>4.9</v>
      </c>
      <c r="P18" s="5" t="n">
        <v>4.4</v>
      </c>
      <c r="Q18" s="5">
        <f>IF(MAESTRO!D18="","",IFERROR(TRUNC(AVERAGE(C18:P18),1),""))</f>
        <v/>
      </c>
      <c r="R18" s="40" t="n">
        <v>14</v>
      </c>
      <c r="S18" s="22" t="n">
        <v>4.7</v>
      </c>
      <c r="T18" s="22" t="n">
        <v>3.4</v>
      </c>
      <c r="U18" s="22" t="n">
        <v>3.7</v>
      </c>
      <c r="V18" s="22" t="n">
        <v>4.8</v>
      </c>
      <c r="W18" s="22" t="n">
        <v>4.4</v>
      </c>
      <c r="X18" s="22" t="n">
        <v>4.8</v>
      </c>
      <c r="Y18" s="22" t="n">
        <v>4.2</v>
      </c>
      <c r="Z18" s="22" t="n">
        <v>4.2</v>
      </c>
      <c r="AA18" s="22" t="n">
        <v>3.8</v>
      </c>
      <c r="AB18" s="45">
        <f>IF(MAESTRO!D18="","",IFERROR(TRUNC(AVERAGE(S18:AA18),1),""))</f>
        <v/>
      </c>
      <c r="AC18" s="177" t="n">
        <v>4.7</v>
      </c>
      <c r="AD18" s="42" t="n">
        <v>3.5</v>
      </c>
      <c r="AE18" s="5">
        <f>IF(MAESTRO!D18="","",IFERROR(AVERAGE(AC18:AD18),""))</f>
        <v/>
      </c>
      <c r="AF18" s="44">
        <f>IF(MAESTRO!D18="","",IFERROR(TRUNC(AVERAGE(Q18,AB18,AE18),1),""))</f>
        <v/>
      </c>
      <c r="AG18" s="177" t="n"/>
      <c r="AH18" s="177" t="n">
        <v>14</v>
      </c>
      <c r="AI18" s="177" t="n">
        <v>14</v>
      </c>
      <c r="AJ18" s="177">
        <f>IF(MAESTRO!D18="","",MAESTRO!D18)</f>
        <v/>
      </c>
      <c r="AK18" s="178" t="n"/>
      <c r="AL18" s="61" t="n">
        <v>4.4</v>
      </c>
      <c r="AM18" s="61" t="n">
        <v>3.3</v>
      </c>
      <c r="AN18" s="61" t="n">
        <v>4.1</v>
      </c>
      <c r="AO18" s="61" t="n">
        <v>3.4</v>
      </c>
      <c r="AP18" s="61" t="n">
        <v>3.8</v>
      </c>
      <c r="AQ18" s="61" t="n">
        <v>4</v>
      </c>
      <c r="AR18" s="61" t="n">
        <v>3.5</v>
      </c>
      <c r="AS18" s="61" t="n">
        <v>4.6</v>
      </c>
      <c r="AT18" s="61" t="n">
        <v>3.9</v>
      </c>
      <c r="AU18" s="61" t="n">
        <v>4.8</v>
      </c>
      <c r="AV18" s="61" t="n">
        <v>3.7</v>
      </c>
      <c r="AW18" s="61" t="n">
        <v>4.7</v>
      </c>
      <c r="AX18" s="5">
        <f>IF(MAESTRO!D18="","",IFERROR(TRUNC(AVERAGE(AL18:AW18),1),""))</f>
        <v/>
      </c>
      <c r="AY18" s="22" t="n">
        <v>4.7</v>
      </c>
      <c r="AZ18" s="22" t="n">
        <v>4.1</v>
      </c>
      <c r="BA18" s="22" t="n">
        <v>3.1</v>
      </c>
      <c r="BB18" s="22" t="n">
        <v>3.3</v>
      </c>
      <c r="BC18" s="22" t="n">
        <v>4.7</v>
      </c>
      <c r="BD18" s="22" t="n">
        <v>3.3</v>
      </c>
      <c r="BE18" s="22" t="n">
        <v>3.4</v>
      </c>
      <c r="BF18" s="22" t="n">
        <v>3.2</v>
      </c>
      <c r="BG18" s="22" t="n">
        <v>4.7</v>
      </c>
      <c r="BH18" s="52" t="n">
        <v>4.1</v>
      </c>
      <c r="BI18" s="5">
        <f>IF(MAESTRO!D18="","",IFERROR(TRUNC(AVERAGE(AY18:BH18),1),""))</f>
        <v/>
      </c>
      <c r="BJ18" s="22" t="n">
        <v>3.1</v>
      </c>
      <c r="BK18" s="22" t="n">
        <v>3.9</v>
      </c>
      <c r="BL18" s="22">
        <f>IF(MAESTRO!D18="","",IFERROR(AVERAGE(BJ18,BK18),""))</f>
        <v/>
      </c>
      <c r="BM18" s="5">
        <f>IF(MAESTRO!D18="","",IFERROR(TRUNC(AVERAGE(AX18,BI18,BL18),1),""))</f>
        <v/>
      </c>
      <c r="BN18" s="177" t="n"/>
      <c r="BO18" s="177" t="n">
        <v>14</v>
      </c>
      <c r="BP18" s="177" t="n">
        <v>14</v>
      </c>
      <c r="BQ18" s="177">
        <f>IF(MAESTRO!D18="","",MAESTRO!D18)</f>
        <v/>
      </c>
      <c r="BR18" s="178" t="n"/>
      <c r="BS18" s="5" t="n">
        <v>4.5</v>
      </c>
      <c r="BT18" s="5" t="n">
        <v>3.1</v>
      </c>
      <c r="BU18" s="5" t="n">
        <v>3.8</v>
      </c>
      <c r="BV18" s="5" t="n">
        <v>3.7</v>
      </c>
      <c r="BW18" s="5" t="n">
        <v>4.6</v>
      </c>
      <c r="BX18" s="5" t="n">
        <v>3.2</v>
      </c>
      <c r="BY18" s="5" t="n">
        <v>4</v>
      </c>
      <c r="BZ18" s="5" t="n">
        <v>3.4</v>
      </c>
      <c r="CA18" s="5" t="n">
        <v>4.5</v>
      </c>
      <c r="CB18" s="5" t="n">
        <v>4.2</v>
      </c>
      <c r="CC18" s="5" t="n">
        <v>4.3</v>
      </c>
      <c r="CD18" s="5" t="n">
        <v>4.1</v>
      </c>
      <c r="CE18" s="5" t="n">
        <v>3</v>
      </c>
      <c r="CF18" s="5">
        <f>IF(MAESTRO!D18="","",IFERROR(TRUNC(AVERAGE(BS18:CE18),1),""))</f>
        <v/>
      </c>
      <c r="CG18" s="5" t="n">
        <v>4.8</v>
      </c>
      <c r="CH18" s="5" t="n">
        <v>3.3</v>
      </c>
      <c r="CI18" s="5" t="n">
        <v>4.7</v>
      </c>
      <c r="CJ18" s="5" t="n">
        <v>3.3</v>
      </c>
      <c r="CK18" s="5" t="n">
        <v>3.3</v>
      </c>
      <c r="CL18" s="5" t="n">
        <v>3.2</v>
      </c>
      <c r="CM18" s="5" t="n">
        <v>3.7</v>
      </c>
      <c r="CN18" s="5" t="n">
        <v>4.3</v>
      </c>
      <c r="CO18" s="5" t="n">
        <v>4.3</v>
      </c>
      <c r="CP18" s="5" t="n">
        <v>3.1</v>
      </c>
      <c r="CQ18" s="5">
        <f>IF(MAESTRO!D18="","",IFERROR(TRUNC(AVERAGE(CG18:CP18),1),""))</f>
        <v/>
      </c>
      <c r="CR18" s="5" t="n">
        <v>3.5</v>
      </c>
      <c r="CS18" s="5" t="n">
        <v>3.8</v>
      </c>
      <c r="CT18" s="5">
        <f>IF(MAESTRO!D18="","",IFERROR(AVERAGE(CR18:CS18),""))</f>
        <v/>
      </c>
      <c r="CU18" s="5">
        <f>IF(MAESTRO!D18="","",IFERROR(TRUNC(AVERAGE(CF18,CQ18,CT18),1),""))</f>
        <v/>
      </c>
      <c r="CV18" s="177" t="n"/>
      <c r="CW18" s="171" t="n">
        <v>14</v>
      </c>
      <c r="DA18" s="196" t="n"/>
      <c r="DB18" s="196" t="n"/>
      <c r="DC18" s="196" t="n"/>
      <c r="DD18" s="196" t="n"/>
      <c r="DE18" s="196" t="n"/>
      <c r="DF18" s="196" t="n"/>
      <c r="DG18" s="196" t="n"/>
      <c r="DH18" s="196" t="n"/>
      <c r="DI18" s="196" t="n"/>
      <c r="DJ18" s="196" t="n"/>
      <c r="DK18" s="196" t="n"/>
      <c r="DL18" s="196" t="n"/>
      <c r="DM18" s="196" t="n"/>
      <c r="DN18" s="196" t="n"/>
      <c r="EB18" s="196" t="n"/>
      <c r="EC18" s="196" t="n"/>
    </row>
    <row r="19" ht="13.5" customHeight="1" s="176">
      <c r="A19" s="177" t="n">
        <v>15</v>
      </c>
      <c r="B19" s="9">
        <f>IF(MAESTRO!D19="","",MAESTRO!D19)</f>
        <v/>
      </c>
      <c r="C19" s="5" t="n">
        <v>4</v>
      </c>
      <c r="D19" s="5" t="n">
        <v>3.5</v>
      </c>
      <c r="E19" s="5" t="n">
        <v>3.3</v>
      </c>
      <c r="F19" s="5" t="n">
        <v>4.3</v>
      </c>
      <c r="G19" s="5" t="n">
        <v>3.4</v>
      </c>
      <c r="H19" s="5" t="n">
        <v>3.9</v>
      </c>
      <c r="I19" s="5" t="n">
        <v>4.4</v>
      </c>
      <c r="J19" s="5" t="n">
        <v>4.1</v>
      </c>
      <c r="K19" s="5" t="n">
        <v>4.5</v>
      </c>
      <c r="L19" s="5" t="n">
        <v>3.4</v>
      </c>
      <c r="M19" s="5" t="n">
        <v>4.3</v>
      </c>
      <c r="N19" s="173" t="n">
        <v>4.3</v>
      </c>
      <c r="O19" s="5" t="n">
        <v>3.5</v>
      </c>
      <c r="P19" s="5" t="n">
        <v>3</v>
      </c>
      <c r="Q19" s="5">
        <f>IF(MAESTRO!D19="","",IFERROR(TRUNC(AVERAGE(C19:P19),1),""))</f>
        <v/>
      </c>
      <c r="R19" s="40" t="n">
        <v>15</v>
      </c>
      <c r="S19" s="22" t="n">
        <v>4</v>
      </c>
      <c r="T19" s="22" t="n">
        <v>4.8</v>
      </c>
      <c r="U19" s="22" t="n">
        <v>3.7</v>
      </c>
      <c r="V19" s="22" t="n">
        <v>4.5</v>
      </c>
      <c r="W19" s="22" t="n">
        <v>4</v>
      </c>
      <c r="X19" s="22" t="n">
        <v>4.6</v>
      </c>
      <c r="Y19" s="22" t="n">
        <v>5</v>
      </c>
      <c r="Z19" s="22" t="n">
        <v>3.6</v>
      </c>
      <c r="AA19" s="22" t="n">
        <v>3.5</v>
      </c>
      <c r="AB19" s="45">
        <f>IF(MAESTRO!D19="","",IFERROR(TRUNC(AVERAGE(S19:AA19),1),""))</f>
        <v/>
      </c>
      <c r="AC19" s="177" t="n">
        <v>4.3</v>
      </c>
      <c r="AD19" s="42" t="n">
        <v>3</v>
      </c>
      <c r="AE19" s="5">
        <f>IF(MAESTRO!D19="","",IFERROR(AVERAGE(AC19:AD19),""))</f>
        <v/>
      </c>
      <c r="AF19" s="44">
        <f>IF(MAESTRO!D19="","",IFERROR(TRUNC(AVERAGE(Q19,AB19,AE19),1),""))</f>
        <v/>
      </c>
      <c r="AG19" s="177" t="n"/>
      <c r="AH19" s="177" t="n">
        <v>15</v>
      </c>
      <c r="AI19" s="177" t="n">
        <v>15</v>
      </c>
      <c r="AJ19" s="177">
        <f>IF(MAESTRO!D19="","",MAESTRO!D19)</f>
        <v/>
      </c>
      <c r="AK19" s="178" t="n"/>
      <c r="AL19" s="61" t="n">
        <v>4</v>
      </c>
      <c r="AM19" s="61" t="n">
        <v>3.4</v>
      </c>
      <c r="AN19" s="61" t="n">
        <v>3.6</v>
      </c>
      <c r="AO19" s="61" t="n">
        <v>4.1</v>
      </c>
      <c r="AP19" s="61" t="n">
        <v>4.6</v>
      </c>
      <c r="AQ19" s="61" t="n">
        <v>3.4</v>
      </c>
      <c r="AR19" s="61" t="n">
        <v>3.1</v>
      </c>
      <c r="AS19" s="61" t="n">
        <v>3.3</v>
      </c>
      <c r="AT19" s="61" t="n">
        <v>3.2</v>
      </c>
      <c r="AU19" s="61" t="n">
        <v>3.1</v>
      </c>
      <c r="AV19" s="61" t="n">
        <v>4</v>
      </c>
      <c r="AW19" s="61" t="n">
        <v>4.2</v>
      </c>
      <c r="AX19" s="5">
        <f>IF(MAESTRO!D19="","",IFERROR(TRUNC(AVERAGE(AL19:AW19),1),""))</f>
        <v/>
      </c>
      <c r="AY19" s="22" t="n">
        <v>4.5</v>
      </c>
      <c r="AZ19" s="22" t="n">
        <v>3.5</v>
      </c>
      <c r="BA19" s="22" t="n">
        <v>4.8</v>
      </c>
      <c r="BB19" s="22" t="n">
        <v>4.9</v>
      </c>
      <c r="BC19" s="22" t="n">
        <v>3.5</v>
      </c>
      <c r="BD19" s="22" t="n">
        <v>3.3</v>
      </c>
      <c r="BE19" s="22" t="n">
        <v>3.1</v>
      </c>
      <c r="BF19" s="22" t="n">
        <v>3.7</v>
      </c>
      <c r="BG19" s="22" t="n">
        <v>3.1</v>
      </c>
      <c r="BH19" s="52" t="n">
        <v>3.9</v>
      </c>
      <c r="BI19" s="5">
        <f>IF(MAESTRO!D19="","",IFERROR(TRUNC(AVERAGE(AY19:BH19),1),""))</f>
        <v/>
      </c>
      <c r="BJ19" s="22" t="n">
        <v>3.3</v>
      </c>
      <c r="BK19" s="22" t="n">
        <v>4.4</v>
      </c>
      <c r="BL19" s="22">
        <f>IF(MAESTRO!D19="","",IFERROR(AVERAGE(BJ19,BK19),""))</f>
        <v/>
      </c>
      <c r="BM19" s="5">
        <f>IF(MAESTRO!D19="","",IFERROR(TRUNC(AVERAGE(AX19,BI19,BL19),1),""))</f>
        <v/>
      </c>
      <c r="BN19" s="177" t="n"/>
      <c r="BO19" s="177" t="n">
        <v>15</v>
      </c>
      <c r="BP19" s="177" t="n">
        <v>15</v>
      </c>
      <c r="BQ19" s="177">
        <f>IF(MAESTRO!D19="","",MAESTRO!D19)</f>
        <v/>
      </c>
      <c r="BR19" s="178" t="n"/>
      <c r="BS19" s="5" t="n">
        <v>3.5</v>
      </c>
      <c r="BT19" s="5" t="n">
        <v>4.5</v>
      </c>
      <c r="BU19" s="5" t="n">
        <v>3</v>
      </c>
      <c r="BV19" s="5" t="n">
        <v>4.5</v>
      </c>
      <c r="BW19" s="5" t="n">
        <v>3.7</v>
      </c>
      <c r="BX19" s="5" t="n">
        <v>4.8</v>
      </c>
      <c r="BY19" s="5" t="n">
        <v>3</v>
      </c>
      <c r="BZ19" s="5" t="n">
        <v>3.8</v>
      </c>
      <c r="CA19" s="5" t="n">
        <v>3.7</v>
      </c>
      <c r="CB19" s="5" t="n">
        <v>4.7</v>
      </c>
      <c r="CC19" s="5" t="n">
        <v>3.4</v>
      </c>
      <c r="CD19" s="5" t="n">
        <v>3.6</v>
      </c>
      <c r="CE19" s="5" t="n">
        <v>3.8</v>
      </c>
      <c r="CF19" s="5">
        <f>IF(MAESTRO!D19="","",IFERROR(TRUNC(AVERAGE(BS19:CE19),1),""))</f>
        <v/>
      </c>
      <c r="CG19" s="5" t="n">
        <v>4.3</v>
      </c>
      <c r="CH19" s="5" t="n">
        <v>4.4</v>
      </c>
      <c r="CI19" s="5" t="n">
        <v>4.6</v>
      </c>
      <c r="CJ19" s="5" t="n">
        <v>3.3</v>
      </c>
      <c r="CK19" s="5" t="n">
        <v>4</v>
      </c>
      <c r="CL19" s="5" t="n">
        <v>4.4</v>
      </c>
      <c r="CM19" s="5" t="n">
        <v>5</v>
      </c>
      <c r="CN19" s="5" t="n">
        <v>4.9</v>
      </c>
      <c r="CO19" s="5" t="n">
        <v>3.1</v>
      </c>
      <c r="CP19" s="5" t="n">
        <v>3.4</v>
      </c>
      <c r="CQ19" s="5">
        <f>IF(MAESTRO!D19="","",IFERROR(TRUNC(AVERAGE(CG19:CP19),1),""))</f>
        <v/>
      </c>
      <c r="CR19" s="5" t="n">
        <v>3.4</v>
      </c>
      <c r="CS19" s="5" t="n">
        <v>4.6</v>
      </c>
      <c r="CT19" s="5">
        <f>IF(MAESTRO!D19="","",IFERROR(AVERAGE(CR19:CS19),""))</f>
        <v/>
      </c>
      <c r="CU19" s="5">
        <f>IF(MAESTRO!D19="","",IFERROR(TRUNC(AVERAGE(CF19,CQ19,CT19),1),""))</f>
        <v/>
      </c>
      <c r="CV19" s="177" t="n"/>
      <c r="CW19" s="171" t="n">
        <v>15</v>
      </c>
      <c r="DA19" s="196" t="n"/>
      <c r="DB19" s="196" t="n"/>
      <c r="DC19" s="196" t="n"/>
      <c r="DD19" s="196" t="n"/>
      <c r="DE19" s="196" t="n"/>
      <c r="DF19" s="196" t="n"/>
      <c r="DG19" s="196" t="n"/>
      <c r="DH19" s="196" t="n"/>
      <c r="DI19" s="196" t="n"/>
      <c r="DJ19" s="196" t="n"/>
      <c r="DK19" s="196" t="n"/>
      <c r="DL19" s="196" t="n"/>
      <c r="DM19" s="196" t="n"/>
      <c r="DN19" s="196" t="n"/>
      <c r="EB19" s="196" t="n"/>
      <c r="EC19" s="196" t="n"/>
    </row>
    <row r="20" ht="13.5" customHeight="1" s="176">
      <c r="A20" s="177" t="n">
        <v>16</v>
      </c>
      <c r="B20" s="9">
        <f>IF(MAESTRO!D20="","",MAESTRO!D20)</f>
        <v/>
      </c>
      <c r="C20" s="5" t="n">
        <v>3.7</v>
      </c>
      <c r="D20" s="5" t="n">
        <v>4</v>
      </c>
      <c r="E20" s="5" t="n">
        <v>3.2</v>
      </c>
      <c r="F20" s="5" t="n">
        <v>3.7</v>
      </c>
      <c r="G20" s="5" t="n">
        <v>5</v>
      </c>
      <c r="H20" s="5" t="n">
        <v>4</v>
      </c>
      <c r="I20" s="5" t="n">
        <v>4.7</v>
      </c>
      <c r="J20" s="5" t="n">
        <v>4.5</v>
      </c>
      <c r="K20" s="5" t="n">
        <v>4.2</v>
      </c>
      <c r="L20" s="5" t="n">
        <v>4.6</v>
      </c>
      <c r="M20" s="5" t="n">
        <v>4.7</v>
      </c>
      <c r="N20" s="173" t="n">
        <v>4.4</v>
      </c>
      <c r="O20" s="5" t="n">
        <v>4.8</v>
      </c>
      <c r="P20" s="5" t="n">
        <v>4</v>
      </c>
      <c r="Q20" s="5">
        <f>IF(MAESTRO!D20="","",IFERROR(TRUNC(AVERAGE(C20:P20),1),""))</f>
        <v/>
      </c>
      <c r="R20" s="40" t="n">
        <v>16</v>
      </c>
      <c r="S20" s="22" t="n">
        <v>3.4</v>
      </c>
      <c r="T20" s="22" t="n">
        <v>3.5</v>
      </c>
      <c r="U20" s="22" t="n">
        <v>4.5</v>
      </c>
      <c r="V20" s="22" t="n">
        <v>3.6</v>
      </c>
      <c r="W20" s="22" t="n">
        <v>4.8</v>
      </c>
      <c r="X20" s="22" t="n">
        <v>4.7</v>
      </c>
      <c r="Y20" s="22" t="n">
        <v>4.6</v>
      </c>
      <c r="Z20" s="22" t="n">
        <v>4.1</v>
      </c>
      <c r="AA20" s="22" t="n">
        <v>4.7</v>
      </c>
      <c r="AB20" s="45">
        <f>IF(MAESTRO!D20="","",IFERROR(TRUNC(AVERAGE(S20:AA20),1),""))</f>
        <v/>
      </c>
      <c r="AC20" s="177" t="n">
        <v>4.5</v>
      </c>
      <c r="AD20" s="42" t="n">
        <v>4.9</v>
      </c>
      <c r="AE20" s="5">
        <f>IF(MAESTRO!D20="","",IFERROR(AVERAGE(AC20:AD20),""))</f>
        <v/>
      </c>
      <c r="AF20" s="44">
        <f>IF(MAESTRO!D20="","",IFERROR(TRUNC(AVERAGE(Q20,AB20,AE20),1),""))</f>
        <v/>
      </c>
      <c r="AG20" s="177" t="n"/>
      <c r="AH20" s="177" t="n">
        <v>16</v>
      </c>
      <c r="AI20" s="177" t="n">
        <v>16</v>
      </c>
      <c r="AJ20" s="177">
        <f>IF(MAESTRO!D20="","",MAESTRO!D20)</f>
        <v/>
      </c>
      <c r="AK20" s="178" t="n"/>
      <c r="AL20" s="61" t="n">
        <v>5</v>
      </c>
      <c r="AM20" s="61" t="n">
        <v>3.1</v>
      </c>
      <c r="AN20" s="61" t="n">
        <v>3.1</v>
      </c>
      <c r="AO20" s="61" t="n">
        <v>4.4</v>
      </c>
      <c r="AP20" s="61" t="n">
        <v>3.7</v>
      </c>
      <c r="AQ20" s="61" t="n">
        <v>3.2</v>
      </c>
      <c r="AR20" s="61" t="n">
        <v>4.8</v>
      </c>
      <c r="AS20" s="61" t="n">
        <v>3.5</v>
      </c>
      <c r="AT20" s="61" t="n">
        <v>4.8</v>
      </c>
      <c r="AU20" s="61" t="n">
        <v>4.5</v>
      </c>
      <c r="AV20" s="61" t="n">
        <v>3.3</v>
      </c>
      <c r="AW20" s="61" t="n">
        <v>4.8</v>
      </c>
      <c r="AX20" s="5">
        <f>IF(MAESTRO!D20="","",IFERROR(TRUNC(AVERAGE(AL20:AW20),1),""))</f>
        <v/>
      </c>
      <c r="AY20" s="22" t="n">
        <v>4.8</v>
      </c>
      <c r="AZ20" s="22" t="n">
        <v>4</v>
      </c>
      <c r="BA20" s="22" t="n">
        <v>3.5</v>
      </c>
      <c r="BB20" s="22" t="n">
        <v>4.1</v>
      </c>
      <c r="BC20" s="22" t="n">
        <v>4.6</v>
      </c>
      <c r="BD20" s="22" t="n">
        <v>3.3</v>
      </c>
      <c r="BE20" s="22" t="n">
        <v>3.6</v>
      </c>
      <c r="BF20" s="22" t="n">
        <v>4.6</v>
      </c>
      <c r="BG20" s="22" t="n">
        <v>4.9</v>
      </c>
      <c r="BH20" s="52" t="n">
        <v>4.9</v>
      </c>
      <c r="BI20" s="5">
        <f>IF(MAESTRO!D20="","",IFERROR(TRUNC(AVERAGE(AY20:BH20),1),""))</f>
        <v/>
      </c>
      <c r="BJ20" s="22" t="n">
        <v>4.7</v>
      </c>
      <c r="BK20" s="22" t="n">
        <v>4.2</v>
      </c>
      <c r="BL20" s="22">
        <f>IF(MAESTRO!D20="","",IFERROR(AVERAGE(BJ20,BK20),""))</f>
        <v/>
      </c>
      <c r="BM20" s="5">
        <f>IF(MAESTRO!D20="","",IFERROR(TRUNC(AVERAGE(AX20,BI20,BL20),1),""))</f>
        <v/>
      </c>
      <c r="BN20" s="177" t="n"/>
      <c r="BO20" s="177" t="n">
        <v>16</v>
      </c>
      <c r="BP20" s="177" t="n">
        <v>16</v>
      </c>
      <c r="BQ20" s="177">
        <f>IF(MAESTRO!D20="","",MAESTRO!D20)</f>
        <v/>
      </c>
      <c r="BR20" s="178" t="n"/>
      <c r="BS20" s="5" t="n">
        <v>4.2</v>
      </c>
      <c r="BT20" s="5" t="n">
        <v>3.9</v>
      </c>
      <c r="BU20" s="5" t="n">
        <v>5</v>
      </c>
      <c r="BV20" s="5" t="n">
        <v>3.1</v>
      </c>
      <c r="BW20" s="5" t="n">
        <v>5</v>
      </c>
      <c r="BX20" s="5" t="n">
        <v>3.2</v>
      </c>
      <c r="BY20" s="5" t="n">
        <v>3.9</v>
      </c>
      <c r="BZ20" s="5" t="n">
        <v>3.1</v>
      </c>
      <c r="CA20" s="5" t="n">
        <v>3.4</v>
      </c>
      <c r="CB20" s="5" t="n">
        <v>4.6</v>
      </c>
      <c r="CC20" s="5" t="n">
        <v>4.4</v>
      </c>
      <c r="CD20" s="5" t="n">
        <v>3.5</v>
      </c>
      <c r="CE20" s="5" t="n">
        <v>4.2</v>
      </c>
      <c r="CF20" s="5">
        <f>IF(MAESTRO!D20="","",IFERROR(TRUNC(AVERAGE(BS20:CE20),1),""))</f>
        <v/>
      </c>
      <c r="CG20" s="5" t="n">
        <v>3.1</v>
      </c>
      <c r="CH20" s="5" t="n">
        <v>4.9</v>
      </c>
      <c r="CI20" s="5" t="n">
        <v>4.6</v>
      </c>
      <c r="CJ20" s="5" t="n">
        <v>3.7</v>
      </c>
      <c r="CK20" s="5" t="n">
        <v>3.6</v>
      </c>
      <c r="CL20" s="5" t="n">
        <v>4.5</v>
      </c>
      <c r="CM20" s="5" t="n">
        <v>3.2</v>
      </c>
      <c r="CN20" s="5" t="n">
        <v>3.5</v>
      </c>
      <c r="CO20" s="5" t="n">
        <v>3.6</v>
      </c>
      <c r="CP20" s="5" t="n">
        <v>4.4</v>
      </c>
      <c r="CQ20" s="5">
        <f>IF(MAESTRO!D20="","",IFERROR(TRUNC(AVERAGE(CG20:CP20),1),""))</f>
        <v/>
      </c>
      <c r="CR20" s="5" t="n">
        <v>4.1</v>
      </c>
      <c r="CS20" s="5" t="n">
        <v>3.5</v>
      </c>
      <c r="CT20" s="5">
        <f>IF(MAESTRO!D20="","",IFERROR(AVERAGE(CR20:CS20),""))</f>
        <v/>
      </c>
      <c r="CU20" s="5">
        <f>IF(MAESTRO!D20="","",IFERROR(TRUNC(AVERAGE(CF20,CQ20,CT20),1),""))</f>
        <v/>
      </c>
      <c r="CV20" s="177" t="n"/>
      <c r="CW20" s="171" t="n">
        <v>16</v>
      </c>
      <c r="DA20" s="196" t="n"/>
      <c r="DB20" s="196" t="n"/>
      <c r="DC20" s="196" t="n"/>
      <c r="DD20" s="196" t="n"/>
      <c r="DE20" s="196" t="n"/>
      <c r="DF20" s="196" t="n"/>
      <c r="DG20" s="196" t="n"/>
      <c r="DH20" s="196" t="n"/>
      <c r="DI20" s="196" t="n"/>
      <c r="DJ20" s="196" t="n"/>
      <c r="DK20" s="196" t="n"/>
      <c r="DL20" s="196" t="n"/>
      <c r="DM20" s="196" t="n"/>
      <c r="DN20" s="196" t="n"/>
      <c r="EB20" s="196" t="n"/>
      <c r="EC20" s="196" t="n"/>
    </row>
    <row r="21" ht="13.5" customHeight="1" s="176">
      <c r="A21" s="177" t="n">
        <v>17</v>
      </c>
      <c r="B21" s="9">
        <f>IF(MAESTRO!D21="","",MAESTRO!D21)</f>
        <v/>
      </c>
      <c r="C21" s="5" t="n">
        <v>4.3</v>
      </c>
      <c r="D21" s="5" t="n">
        <v>3.7</v>
      </c>
      <c r="E21" s="5" t="n">
        <v>4</v>
      </c>
      <c r="F21" s="5" t="n">
        <v>3.6</v>
      </c>
      <c r="G21" s="5" t="n">
        <v>5</v>
      </c>
      <c r="H21" s="5" t="n">
        <v>4.7</v>
      </c>
      <c r="I21" s="5" t="n">
        <v>3.7</v>
      </c>
      <c r="J21" s="5" t="n">
        <v>4.7</v>
      </c>
      <c r="K21" s="5" t="n">
        <v>4.1</v>
      </c>
      <c r="L21" s="5" t="n">
        <v>4.9</v>
      </c>
      <c r="M21" s="5" t="n">
        <v>4.2</v>
      </c>
      <c r="N21" s="173" t="n">
        <v>4.2</v>
      </c>
      <c r="O21" s="5" t="n">
        <v>3.2</v>
      </c>
      <c r="P21" s="5" t="n">
        <v>4.2</v>
      </c>
      <c r="Q21" s="5">
        <f>IF(MAESTRO!D21="","",IFERROR(TRUNC(AVERAGE(C21:P21),1),""))</f>
        <v/>
      </c>
      <c r="R21" s="40" t="n">
        <v>17</v>
      </c>
      <c r="S21" s="22" t="n">
        <v>3.2</v>
      </c>
      <c r="T21" s="22" t="n">
        <v>4.1</v>
      </c>
      <c r="U21" s="22" t="n">
        <v>4.7</v>
      </c>
      <c r="V21" s="22" t="n">
        <v>4.7</v>
      </c>
      <c r="W21" s="22" t="n">
        <v>5</v>
      </c>
      <c r="X21" s="22" t="n">
        <v>4.5</v>
      </c>
      <c r="Y21" s="22" t="n">
        <v>3.5</v>
      </c>
      <c r="Z21" s="22" t="n">
        <v>4.9</v>
      </c>
      <c r="AA21" s="22" t="n">
        <v>4</v>
      </c>
      <c r="AB21" s="45">
        <f>IF(MAESTRO!D21="","",IFERROR(TRUNC(AVERAGE(S21:AA21),1),""))</f>
        <v/>
      </c>
      <c r="AC21" s="177" t="n">
        <v>4.4</v>
      </c>
      <c r="AD21" s="42" t="n">
        <v>3.3</v>
      </c>
      <c r="AE21" s="5">
        <f>IF(MAESTRO!D21="","",IFERROR(AVERAGE(AC21:AD21),""))</f>
        <v/>
      </c>
      <c r="AF21" s="44">
        <f>IF(MAESTRO!D21="","",IFERROR(TRUNC(AVERAGE(Q21,AB21,AE21),1),""))</f>
        <v/>
      </c>
      <c r="AG21" s="177" t="n"/>
      <c r="AH21" s="177" t="n">
        <v>17</v>
      </c>
      <c r="AI21" s="177" t="n">
        <v>17</v>
      </c>
      <c r="AJ21" s="177">
        <f>IF(MAESTRO!D21="","",MAESTRO!D21)</f>
        <v/>
      </c>
      <c r="AK21" s="178" t="n"/>
      <c r="AL21" s="61" t="n">
        <v>3.4</v>
      </c>
      <c r="AM21" s="61" t="n">
        <v>4.7</v>
      </c>
      <c r="AN21" s="61" t="n">
        <v>4</v>
      </c>
      <c r="AO21" s="61" t="n">
        <v>4.5</v>
      </c>
      <c r="AP21" s="61" t="n">
        <v>3.4</v>
      </c>
      <c r="AQ21" s="61" t="n">
        <v>4.9</v>
      </c>
      <c r="AR21" s="61" t="n">
        <v>4.4</v>
      </c>
      <c r="AS21" s="61" t="n">
        <v>4.8</v>
      </c>
      <c r="AT21" s="61" t="n">
        <v>4.2</v>
      </c>
      <c r="AU21" s="61" t="n">
        <v>3.9</v>
      </c>
      <c r="AV21" s="61" t="n">
        <v>3.3</v>
      </c>
      <c r="AW21" s="61" t="n">
        <v>4.3</v>
      </c>
      <c r="AX21" s="5">
        <f>IF(MAESTRO!D21="","",IFERROR(TRUNC(AVERAGE(AL21:AW21),1),""))</f>
        <v/>
      </c>
      <c r="AY21" s="22" t="n">
        <v>3.8</v>
      </c>
      <c r="AZ21" s="22" t="n">
        <v>4</v>
      </c>
      <c r="BA21" s="22" t="n">
        <v>4.1</v>
      </c>
      <c r="BB21" s="22" t="n">
        <v>3.4</v>
      </c>
      <c r="BC21" s="22" t="n">
        <v>3.6</v>
      </c>
      <c r="BD21" s="22" t="n">
        <v>3.3</v>
      </c>
      <c r="BE21" s="22" t="n">
        <v>3.7</v>
      </c>
      <c r="BF21" s="22" t="n">
        <v>4.5</v>
      </c>
      <c r="BG21" s="22" t="n">
        <v>4.5</v>
      </c>
      <c r="BH21" s="52" t="n">
        <v>3.1</v>
      </c>
      <c r="BI21" s="5">
        <f>IF(MAESTRO!D21="","",IFERROR(TRUNC(AVERAGE(AY21:BH21),1),""))</f>
        <v/>
      </c>
      <c r="BJ21" s="22" t="n">
        <v>4</v>
      </c>
      <c r="BK21" s="22" t="n">
        <v>3.4</v>
      </c>
      <c r="BL21" s="22">
        <f>IF(MAESTRO!D21="","",IFERROR(AVERAGE(BJ21,BK21),""))</f>
        <v/>
      </c>
      <c r="BM21" s="5">
        <f>IF(MAESTRO!D21="","",IFERROR(TRUNC(AVERAGE(AX21,BI21,BL21),1),""))</f>
        <v/>
      </c>
      <c r="BN21" s="177" t="n"/>
      <c r="BO21" s="177" t="n">
        <v>17</v>
      </c>
      <c r="BP21" s="177" t="n">
        <v>17</v>
      </c>
      <c r="BQ21" s="177">
        <f>IF(MAESTRO!D21="","",MAESTRO!D21)</f>
        <v/>
      </c>
      <c r="BR21" s="178" t="n"/>
      <c r="BS21" s="5" t="n">
        <v>3.5</v>
      </c>
      <c r="BT21" s="5" t="n">
        <v>3</v>
      </c>
      <c r="BU21" s="5" t="n">
        <v>5</v>
      </c>
      <c r="BV21" s="5" t="n">
        <v>3.8</v>
      </c>
      <c r="BW21" s="5" t="n">
        <v>3.4</v>
      </c>
      <c r="BX21" s="5" t="n">
        <v>3.8</v>
      </c>
      <c r="BY21" s="5" t="n">
        <v>3.2</v>
      </c>
      <c r="BZ21" s="5" t="n">
        <v>4.8</v>
      </c>
      <c r="CA21" s="5" t="n">
        <v>3</v>
      </c>
      <c r="CB21" s="5" t="n">
        <v>4.2</v>
      </c>
      <c r="CC21" s="5" t="n">
        <v>3.6</v>
      </c>
      <c r="CD21" s="5" t="n">
        <v>4.6</v>
      </c>
      <c r="CE21" s="5" t="n">
        <v>3.1</v>
      </c>
      <c r="CF21" s="5">
        <f>IF(MAESTRO!D21="","",IFERROR(TRUNC(AVERAGE(BS21:CE21),1),""))</f>
        <v/>
      </c>
      <c r="CG21" s="5" t="n">
        <v>4.7</v>
      </c>
      <c r="CH21" s="5" t="n">
        <v>3.1</v>
      </c>
      <c r="CI21" s="5" t="n">
        <v>3.2</v>
      </c>
      <c r="CJ21" s="5" t="n">
        <v>4.2</v>
      </c>
      <c r="CK21" s="5" t="n">
        <v>3.3</v>
      </c>
      <c r="CL21" s="5" t="n">
        <v>3.7</v>
      </c>
      <c r="CM21" s="5" t="n">
        <v>4.1</v>
      </c>
      <c r="CN21" s="5" t="n">
        <v>3</v>
      </c>
      <c r="CO21" s="5" t="n">
        <v>3.7</v>
      </c>
      <c r="CP21" s="5" t="n">
        <v>3.6</v>
      </c>
      <c r="CQ21" s="5">
        <f>IF(MAESTRO!D21="","",IFERROR(TRUNC(AVERAGE(CG21:CP21),1),""))</f>
        <v/>
      </c>
      <c r="CR21" s="5" t="n">
        <v>3.3</v>
      </c>
      <c r="CS21" s="5" t="n">
        <v>4.2</v>
      </c>
      <c r="CT21" s="5">
        <f>IF(MAESTRO!D21="","",IFERROR(AVERAGE(CR21:CS21),""))</f>
        <v/>
      </c>
      <c r="CU21" s="5">
        <f>IF(MAESTRO!D21="","",IFERROR(TRUNC(AVERAGE(CF21,CQ21,CT21),1),""))</f>
        <v/>
      </c>
      <c r="CV21" s="177" t="n"/>
      <c r="CW21" s="171" t="n">
        <v>17</v>
      </c>
      <c r="DA21" s="196" t="n"/>
      <c r="DB21" s="196" t="n"/>
      <c r="DC21" s="196" t="n"/>
      <c r="DD21" s="196" t="n"/>
      <c r="DE21" s="196" t="n"/>
      <c r="DF21" s="196" t="n"/>
      <c r="DG21" s="196" t="n"/>
      <c r="DH21" s="196" t="n"/>
      <c r="DI21" s="196" t="n"/>
      <c r="DJ21" s="196" t="n"/>
      <c r="DK21" s="196" t="n"/>
      <c r="DL21" s="196" t="n"/>
      <c r="DM21" s="196" t="n"/>
      <c r="DN21" s="196" t="n"/>
      <c r="EB21" s="196" t="n"/>
      <c r="EC21" s="196" t="n"/>
    </row>
    <row r="22" ht="13.5" customHeight="1" s="176">
      <c r="A22" s="177" t="n">
        <v>18</v>
      </c>
      <c r="B22" s="9">
        <f>IF(MAESTRO!D22="","",MAESTRO!D22)</f>
        <v/>
      </c>
      <c r="C22" s="5" t="n">
        <v>3.8</v>
      </c>
      <c r="D22" s="5" t="n">
        <v>4.5</v>
      </c>
      <c r="E22" s="5" t="n">
        <v>3.7</v>
      </c>
      <c r="F22" s="5" t="n">
        <v>3.4</v>
      </c>
      <c r="G22" s="5" t="n">
        <v>3.3</v>
      </c>
      <c r="H22" s="5" t="n">
        <v>4</v>
      </c>
      <c r="I22" s="5" t="n">
        <v>3.4</v>
      </c>
      <c r="J22" s="5" t="n">
        <v>4.2</v>
      </c>
      <c r="K22" s="5" t="n">
        <v>4.3</v>
      </c>
      <c r="L22" s="5" t="n">
        <v>4.7</v>
      </c>
      <c r="M22" s="5" t="n">
        <v>3.9</v>
      </c>
      <c r="N22" s="173" t="n">
        <v>4.5</v>
      </c>
      <c r="O22" s="5" t="n">
        <v>3.8</v>
      </c>
      <c r="P22" s="5" t="n">
        <v>4</v>
      </c>
      <c r="Q22" s="5">
        <f>IF(MAESTRO!D22="","",IFERROR(TRUNC(AVERAGE(C22:P22),1),""))</f>
        <v/>
      </c>
      <c r="R22" s="40" t="n">
        <v>18</v>
      </c>
      <c r="S22" s="22" t="n">
        <v>3.8</v>
      </c>
      <c r="T22" s="22" t="n">
        <v>4.6</v>
      </c>
      <c r="U22" s="22" t="n">
        <v>3.3</v>
      </c>
      <c r="V22" s="22" t="n">
        <v>4.2</v>
      </c>
      <c r="W22" s="22" t="n">
        <v>4.7</v>
      </c>
      <c r="X22" s="22" t="n">
        <v>4.8</v>
      </c>
      <c r="Y22" s="22" t="n">
        <v>5</v>
      </c>
      <c r="Z22" s="22" t="n">
        <v>4.9</v>
      </c>
      <c r="AA22" s="22" t="n">
        <v>3.7</v>
      </c>
      <c r="AB22" s="45">
        <f>IF(MAESTRO!D22="","",IFERROR(TRUNC(AVERAGE(S22:AA22),1),""))</f>
        <v/>
      </c>
      <c r="AC22" s="177" t="n">
        <v>4.8</v>
      </c>
      <c r="AD22" s="42" t="n">
        <v>4.5</v>
      </c>
      <c r="AE22" s="5">
        <f>IF(MAESTRO!D22="","",IFERROR(AVERAGE(AC22:AD22),""))</f>
        <v/>
      </c>
      <c r="AF22" s="44">
        <f>IF(MAESTRO!D22="","",IFERROR(TRUNC(AVERAGE(Q22,AB22,AE22),1),""))</f>
        <v/>
      </c>
      <c r="AG22" s="177" t="n"/>
      <c r="AH22" s="177" t="n">
        <v>18</v>
      </c>
      <c r="AI22" s="177" t="n">
        <v>18</v>
      </c>
      <c r="AJ22" s="177">
        <f>IF(MAESTRO!D22="","",MAESTRO!D22)</f>
        <v/>
      </c>
      <c r="AK22" s="178" t="n"/>
      <c r="AL22" s="61" t="n">
        <v>3</v>
      </c>
      <c r="AM22" s="62" t="n">
        <v>3</v>
      </c>
      <c r="AN22" s="61" t="n">
        <v>4.3</v>
      </c>
      <c r="AO22" s="61" t="n">
        <v>4</v>
      </c>
      <c r="AP22" s="61" t="n">
        <v>4.8</v>
      </c>
      <c r="AQ22" s="61" t="n">
        <v>4.9</v>
      </c>
      <c r="AR22" s="61" t="n">
        <v>3</v>
      </c>
      <c r="AS22" s="61" t="n">
        <v>4.6</v>
      </c>
      <c r="AT22" s="61" t="n">
        <v>4.4</v>
      </c>
      <c r="AU22" s="61" t="n">
        <v>4.4</v>
      </c>
      <c r="AV22" s="61" t="n">
        <v>4.5</v>
      </c>
      <c r="AW22" s="61" t="n">
        <v>4.6</v>
      </c>
      <c r="AX22" s="5">
        <f>IF(MAESTRO!D22="","",IFERROR(TRUNC(AVERAGE(AL22:AW22),1),""))</f>
        <v/>
      </c>
      <c r="AY22" s="22" t="n">
        <v>3.2</v>
      </c>
      <c r="AZ22" s="22" t="n">
        <v>4.3</v>
      </c>
      <c r="BA22" s="22" t="n">
        <v>3.6</v>
      </c>
      <c r="BB22" s="22" t="n">
        <v>3.7</v>
      </c>
      <c r="BC22" s="22" t="n">
        <v>4.7</v>
      </c>
      <c r="BD22" s="22" t="n">
        <v>4.4</v>
      </c>
      <c r="BE22" s="22" t="n">
        <v>3.2</v>
      </c>
      <c r="BF22" s="22" t="n">
        <v>4.8</v>
      </c>
      <c r="BG22" s="22" t="n">
        <v>4</v>
      </c>
      <c r="BH22" s="52" t="n">
        <v>4.6</v>
      </c>
      <c r="BI22" s="5">
        <f>IF(MAESTRO!D22="","",IFERROR(TRUNC(AVERAGE(AY22:BH22),1),""))</f>
        <v/>
      </c>
      <c r="BJ22" s="22" t="n">
        <v>3.5</v>
      </c>
      <c r="BK22" s="22" t="n">
        <v>3.3</v>
      </c>
      <c r="BL22" s="22">
        <f>IF(MAESTRO!D22="","",IFERROR(AVERAGE(BJ22,BK22),""))</f>
        <v/>
      </c>
      <c r="BM22" s="5">
        <f>IF(MAESTRO!D22="","",IFERROR(TRUNC(AVERAGE(AX22,BI22,BL22),1),""))</f>
        <v/>
      </c>
      <c r="BN22" s="177" t="n"/>
      <c r="BO22" s="177" t="n">
        <v>18</v>
      </c>
      <c r="BP22" s="177" t="n">
        <v>18</v>
      </c>
      <c r="BQ22" s="177">
        <f>IF(MAESTRO!D22="","",MAESTRO!D22)</f>
        <v/>
      </c>
      <c r="BR22" s="178" t="n"/>
      <c r="BS22" s="5" t="n">
        <v>4.1</v>
      </c>
      <c r="BT22" s="5" t="n">
        <v>4.1</v>
      </c>
      <c r="BU22" s="5" t="n">
        <v>4.4</v>
      </c>
      <c r="BV22" s="5" t="n">
        <v>4.1</v>
      </c>
      <c r="BW22" s="5" t="n">
        <v>4.4</v>
      </c>
      <c r="BX22" s="5" t="n">
        <v>4.1</v>
      </c>
      <c r="BY22" s="5" t="n">
        <v>4.6</v>
      </c>
      <c r="BZ22" s="5" t="n">
        <v>4.4</v>
      </c>
      <c r="CA22" s="5" t="n">
        <v>4.6</v>
      </c>
      <c r="CB22" s="5" t="n">
        <v>3.7</v>
      </c>
      <c r="CC22" s="5" t="n">
        <v>3.1</v>
      </c>
      <c r="CD22" s="5" t="n">
        <v>4.1</v>
      </c>
      <c r="CE22" s="5" t="n">
        <v>3.8</v>
      </c>
      <c r="CF22" s="5">
        <f>IF(MAESTRO!D22="","",IFERROR(TRUNC(AVERAGE(BS22:CE22),1),""))</f>
        <v/>
      </c>
      <c r="CG22" s="5" t="n">
        <v>3.7</v>
      </c>
      <c r="CH22" s="5" t="n">
        <v>4.4</v>
      </c>
      <c r="CI22" s="5" t="n">
        <v>3</v>
      </c>
      <c r="CJ22" s="5" t="n">
        <v>4</v>
      </c>
      <c r="CK22" s="5" t="n">
        <v>4.4</v>
      </c>
      <c r="CL22" s="5" t="n">
        <v>4.3</v>
      </c>
      <c r="CM22" s="5" t="n">
        <v>4.7</v>
      </c>
      <c r="CN22" s="5" t="n">
        <v>3.7</v>
      </c>
      <c r="CO22" s="5" t="n">
        <v>4.1</v>
      </c>
      <c r="CP22" s="5" t="n">
        <v>4</v>
      </c>
      <c r="CQ22" s="5">
        <f>IF(MAESTRO!D22="","",IFERROR(TRUNC(AVERAGE(CG22:CP22),1),""))</f>
        <v/>
      </c>
      <c r="CR22" s="5" t="n">
        <v>3.9</v>
      </c>
      <c r="CS22" s="5" t="n">
        <v>3.4</v>
      </c>
      <c r="CT22" s="5">
        <f>IF(MAESTRO!D22="","",IFERROR(AVERAGE(CR22:CS22),""))</f>
        <v/>
      </c>
      <c r="CU22" s="5">
        <f>IF(MAESTRO!D22="","",IFERROR(TRUNC(AVERAGE(CF22,CQ22,CT22),1),""))</f>
        <v/>
      </c>
      <c r="CV22" s="177" t="n"/>
      <c r="CW22" s="171" t="n">
        <v>18</v>
      </c>
      <c r="DA22" s="196" t="n"/>
      <c r="DB22" s="196" t="n"/>
      <c r="DC22" s="196" t="n"/>
      <c r="DD22" s="196" t="n"/>
      <c r="DE22" s="196" t="n"/>
      <c r="DF22" s="196" t="n"/>
      <c r="DG22" s="196" t="n"/>
      <c r="DH22" s="196" t="n"/>
      <c r="DI22" s="196" t="n"/>
      <c r="DJ22" s="196" t="n"/>
      <c r="DK22" s="196" t="n"/>
      <c r="DL22" s="196" t="n"/>
      <c r="DM22" s="196" t="n"/>
      <c r="DN22" s="196" t="n"/>
      <c r="EB22" s="196" t="n"/>
      <c r="EC22" s="196" t="n"/>
    </row>
    <row r="23" ht="13.5" customHeight="1" s="176">
      <c r="A23" s="177" t="n">
        <v>19</v>
      </c>
      <c r="B23" s="9">
        <f>IF(MAESTRO!D23="","",MAESTRO!D23)</f>
        <v/>
      </c>
      <c r="C23" s="5" t="n">
        <v>4.1</v>
      </c>
      <c r="D23" s="5" t="n">
        <v>4.7</v>
      </c>
      <c r="E23" s="5" t="n">
        <v>4.8</v>
      </c>
      <c r="F23" s="5" t="n">
        <v>3.6</v>
      </c>
      <c r="G23" s="5" t="n">
        <v>4.6</v>
      </c>
      <c r="H23" s="5" t="n">
        <v>3.9</v>
      </c>
      <c r="I23" s="5" t="n">
        <v>4.4</v>
      </c>
      <c r="J23" s="5" t="n">
        <v>3.5</v>
      </c>
      <c r="K23" s="5" t="n">
        <v>3.6</v>
      </c>
      <c r="L23" s="5" t="n">
        <v>4.4</v>
      </c>
      <c r="M23" s="5" t="n">
        <v>4</v>
      </c>
      <c r="N23" s="173" t="n">
        <v>3.6</v>
      </c>
      <c r="O23" s="5" t="n">
        <v>5</v>
      </c>
      <c r="P23" s="5" t="n">
        <v>3</v>
      </c>
      <c r="Q23" s="5">
        <f>IF(MAESTRO!D23="","",IFERROR(TRUNC(AVERAGE(C23:P23),1),""))</f>
        <v/>
      </c>
      <c r="R23" s="40" t="n">
        <v>19</v>
      </c>
      <c r="S23" s="22" t="n">
        <v>4.5</v>
      </c>
      <c r="T23" s="22" t="n">
        <v>3.9</v>
      </c>
      <c r="U23" s="22" t="n">
        <v>3.7</v>
      </c>
      <c r="V23" s="22" t="n">
        <v>4</v>
      </c>
      <c r="W23" s="22" t="n">
        <v>3.5</v>
      </c>
      <c r="X23" s="22" t="n">
        <v>3.9</v>
      </c>
      <c r="Y23" s="22" t="n">
        <v>4.6</v>
      </c>
      <c r="Z23" s="22" t="n">
        <v>4.2</v>
      </c>
      <c r="AA23" s="22" t="n">
        <v>3.1</v>
      </c>
      <c r="AB23" s="45">
        <f>IF(MAESTRO!D23="","",IFERROR(TRUNC(AVERAGE(S23:AA23),1),""))</f>
        <v/>
      </c>
      <c r="AC23" s="177" t="n">
        <v>3.9</v>
      </c>
      <c r="AD23" s="42" t="n">
        <v>3.2</v>
      </c>
      <c r="AE23" s="5">
        <f>IF(MAESTRO!D23="","",IFERROR(AVERAGE(AC23:AD23),""))</f>
        <v/>
      </c>
      <c r="AF23" s="44">
        <f>IF(MAESTRO!D23="","",IFERROR(TRUNC(AVERAGE(Q23,AB23,AE23),1),""))</f>
        <v/>
      </c>
      <c r="AG23" s="177" t="n"/>
      <c r="AH23" s="177" t="n">
        <v>19</v>
      </c>
      <c r="AI23" s="177" t="n">
        <v>19</v>
      </c>
      <c r="AJ23" s="177">
        <f>IF(MAESTRO!D23="","",MAESTRO!D23)</f>
        <v/>
      </c>
      <c r="AK23" s="178" t="n"/>
      <c r="AL23" s="62" t="n">
        <v>4.3</v>
      </c>
      <c r="AM23" s="61" t="n">
        <v>4.4</v>
      </c>
      <c r="AN23" s="61" t="n">
        <v>4.6</v>
      </c>
      <c r="AO23" s="61" t="n">
        <v>3.6</v>
      </c>
      <c r="AP23" s="61" t="n">
        <v>4.9</v>
      </c>
      <c r="AQ23" s="61" t="n">
        <v>3.1</v>
      </c>
      <c r="AR23" s="61" t="n">
        <v>3.2</v>
      </c>
      <c r="AS23" s="61" t="n">
        <v>3.9</v>
      </c>
      <c r="AT23" s="61" t="n">
        <v>4</v>
      </c>
      <c r="AU23" s="61" t="n">
        <v>4.5</v>
      </c>
      <c r="AV23" s="61" t="n">
        <v>3.2</v>
      </c>
      <c r="AW23" s="61" t="n">
        <v>3.6</v>
      </c>
      <c r="AX23" s="5">
        <f>IF(MAESTRO!D23="","",IFERROR(TRUNC(AVERAGE(AL23:AW23),1),""))</f>
        <v/>
      </c>
      <c r="AY23" s="22" t="n">
        <v>3.4</v>
      </c>
      <c r="AZ23" s="22" t="n">
        <v>3.5</v>
      </c>
      <c r="BA23" s="22" t="n">
        <v>4.8</v>
      </c>
      <c r="BB23" s="22" t="n">
        <v>4.4</v>
      </c>
      <c r="BC23" s="22" t="n">
        <v>4.6</v>
      </c>
      <c r="BD23" s="22" t="n">
        <v>3.8</v>
      </c>
      <c r="BE23" s="22" t="n">
        <v>3.2</v>
      </c>
      <c r="BF23" s="22" t="n">
        <v>4.9</v>
      </c>
      <c r="BG23" s="22" t="n">
        <v>4.4</v>
      </c>
      <c r="BH23" s="52" t="n">
        <v>3.1</v>
      </c>
      <c r="BI23" s="5">
        <f>IF(MAESTRO!D23="","",IFERROR(TRUNC(AVERAGE(AY23:BH23),1),""))</f>
        <v/>
      </c>
      <c r="BJ23" s="22" t="n">
        <v>4.6</v>
      </c>
      <c r="BK23" s="22" t="n">
        <v>4.1</v>
      </c>
      <c r="BL23" s="22">
        <f>IF(MAESTRO!D23="","",IFERROR(AVERAGE(BJ23,BK23),""))</f>
        <v/>
      </c>
      <c r="BM23" s="5">
        <f>IF(MAESTRO!D23="","",IFERROR(TRUNC(AVERAGE(AX23,BI23,BL23),1),""))</f>
        <v/>
      </c>
      <c r="BN23" s="177" t="n"/>
      <c r="BO23" s="177" t="n">
        <v>19</v>
      </c>
      <c r="BP23" s="177" t="n">
        <v>19</v>
      </c>
      <c r="BQ23" s="177">
        <f>IF(MAESTRO!D23="","",MAESTRO!D23)</f>
        <v/>
      </c>
      <c r="BR23" s="178" t="n"/>
      <c r="BS23" s="5" t="n">
        <v>4.9</v>
      </c>
      <c r="BT23" s="5" t="n">
        <v>4.3</v>
      </c>
      <c r="BU23" s="5" t="n">
        <v>4.7</v>
      </c>
      <c r="BV23" s="5" t="n">
        <v>4</v>
      </c>
      <c r="BW23" s="5" t="n">
        <v>4.4</v>
      </c>
      <c r="BX23" s="5" t="n">
        <v>4.8</v>
      </c>
      <c r="BY23" s="5" t="n">
        <v>4.5</v>
      </c>
      <c r="BZ23" s="5" t="n">
        <v>4.8</v>
      </c>
      <c r="CA23" s="5" t="n">
        <v>3.3</v>
      </c>
      <c r="CB23" s="5" t="n">
        <v>3.8</v>
      </c>
      <c r="CC23" s="5" t="n">
        <v>3.8</v>
      </c>
      <c r="CD23" s="5" t="n">
        <v>4</v>
      </c>
      <c r="CE23" s="5" t="n">
        <v>4.3</v>
      </c>
      <c r="CF23" s="5">
        <f>IF(MAESTRO!D23="","",IFERROR(TRUNC(AVERAGE(BS23:CE23),1),""))</f>
        <v/>
      </c>
      <c r="CG23" s="5" t="n">
        <v>4.4</v>
      </c>
      <c r="CH23" s="5" t="n">
        <v>3.5</v>
      </c>
      <c r="CI23" s="5" t="n">
        <v>4.3</v>
      </c>
      <c r="CJ23" s="5" t="n">
        <v>3.7</v>
      </c>
      <c r="CK23" s="5" t="n">
        <v>3.7</v>
      </c>
      <c r="CL23" s="5" t="n">
        <v>4.6</v>
      </c>
      <c r="CM23" s="5" t="n">
        <v>4.5</v>
      </c>
      <c r="CN23" s="5" t="n">
        <v>4.8</v>
      </c>
      <c r="CO23" s="5" t="n">
        <v>4.9</v>
      </c>
      <c r="CP23" s="5" t="n">
        <v>4.3</v>
      </c>
      <c r="CQ23" s="5">
        <f>IF(MAESTRO!D23="","",IFERROR(TRUNC(AVERAGE(CG23:CP23),1),""))</f>
        <v/>
      </c>
      <c r="CR23" s="5" t="n">
        <v>4.1</v>
      </c>
      <c r="CS23" s="5" t="n">
        <v>4.3</v>
      </c>
      <c r="CT23" s="5">
        <f>IF(MAESTRO!D23="","",IFERROR(AVERAGE(CR23:CS23),""))</f>
        <v/>
      </c>
      <c r="CU23" s="5">
        <f>IF(MAESTRO!D23="","",IFERROR(TRUNC(AVERAGE(CF23,CQ23,CT23),1),""))</f>
        <v/>
      </c>
      <c r="CV23" s="177" t="n"/>
      <c r="CW23" s="171" t="n">
        <v>19</v>
      </c>
      <c r="DA23" s="196" t="n"/>
      <c r="DB23" s="196" t="n"/>
      <c r="DC23" s="196" t="n"/>
      <c r="DD23" s="196" t="n"/>
      <c r="DE23" s="196" t="n"/>
      <c r="DF23" s="196" t="n"/>
      <c r="DG23" s="196" t="n"/>
      <c r="DH23" s="196" t="n"/>
      <c r="DI23" s="196" t="n"/>
      <c r="DJ23" s="196" t="n"/>
      <c r="DK23" s="196" t="n"/>
      <c r="DL23" s="196" t="n"/>
      <c r="DM23" s="196" t="n"/>
      <c r="DN23" s="196" t="n"/>
      <c r="EB23" s="196" t="n"/>
      <c r="EC23" s="196" t="n"/>
    </row>
    <row r="24" ht="13.5" customHeight="1" s="176">
      <c r="A24" s="177" t="n">
        <v>20</v>
      </c>
      <c r="B24" s="9">
        <f>IF(MAESTRO!D24="","",MAESTRO!D24)</f>
        <v/>
      </c>
      <c r="C24" s="5" t="n">
        <v>4.8</v>
      </c>
      <c r="D24" s="5" t="n">
        <v>3.5</v>
      </c>
      <c r="E24" s="5" t="n">
        <v>4.3</v>
      </c>
      <c r="F24" s="5" t="n">
        <v>4.3</v>
      </c>
      <c r="G24" s="5" t="n">
        <v>3.2</v>
      </c>
      <c r="H24" s="5" t="n">
        <v>4.8</v>
      </c>
      <c r="I24" s="5" t="n">
        <v>4.3</v>
      </c>
      <c r="J24" s="5" t="n">
        <v>3.2</v>
      </c>
      <c r="K24" s="5" t="n">
        <v>3.3</v>
      </c>
      <c r="L24" s="5" t="n">
        <v>4.9</v>
      </c>
      <c r="M24" s="5" t="n">
        <v>4</v>
      </c>
      <c r="N24" s="173" t="n">
        <v>3.2</v>
      </c>
      <c r="O24" s="5" t="n">
        <v>4.2</v>
      </c>
      <c r="P24" s="5" t="n">
        <v>4.1</v>
      </c>
      <c r="Q24" s="5">
        <f>IF(MAESTRO!D24="","",IFERROR(TRUNC(AVERAGE(C24:P24),1),""))</f>
        <v/>
      </c>
      <c r="R24" s="40" t="n">
        <v>20</v>
      </c>
      <c r="S24" s="22" t="n">
        <v>4.4</v>
      </c>
      <c r="T24" s="22" t="n">
        <v>3.8</v>
      </c>
      <c r="U24" s="22" t="n">
        <v>4.9</v>
      </c>
      <c r="V24" s="22" t="n">
        <v>4.7</v>
      </c>
      <c r="W24" s="22" t="n">
        <v>3.7</v>
      </c>
      <c r="X24" s="22" t="n">
        <v>4.3</v>
      </c>
      <c r="Y24" s="22" t="n">
        <v>3.9</v>
      </c>
      <c r="Z24" s="22" t="n">
        <v>4.7</v>
      </c>
      <c r="AA24" s="22" t="n">
        <v>4.9</v>
      </c>
      <c r="AB24" s="45">
        <f>IF(MAESTRO!D24="","",IFERROR(TRUNC(AVERAGE(S24:AA24),1),""))</f>
        <v/>
      </c>
      <c r="AC24" s="177" t="n">
        <v>4.3</v>
      </c>
      <c r="AD24" s="42" t="n">
        <v>4.9</v>
      </c>
      <c r="AE24" s="5">
        <f>IF(MAESTRO!D24="","",IFERROR(AVERAGE(AC24:AD24),""))</f>
        <v/>
      </c>
      <c r="AF24" s="44">
        <f>IF(MAESTRO!D24="","",IFERROR(TRUNC(AVERAGE(Q24,AB24,AE24),1),""))</f>
        <v/>
      </c>
      <c r="AG24" s="177" t="n"/>
      <c r="AH24" s="177" t="n">
        <v>20</v>
      </c>
      <c r="AI24" s="177" t="n">
        <v>20</v>
      </c>
      <c r="AJ24" s="177">
        <f>IF(MAESTRO!D24="","",MAESTRO!D24)</f>
        <v/>
      </c>
      <c r="AK24" s="178" t="n"/>
      <c r="AL24" s="61" t="n">
        <v>4</v>
      </c>
      <c r="AM24" s="61" t="n">
        <v>3.1</v>
      </c>
      <c r="AN24" s="61" t="n">
        <v>3.2</v>
      </c>
      <c r="AO24" s="61" t="n">
        <v>3.6</v>
      </c>
      <c r="AP24" s="61" t="n">
        <v>5</v>
      </c>
      <c r="AQ24" s="61" t="n">
        <v>4.4</v>
      </c>
      <c r="AR24" s="61" t="n">
        <v>4.2</v>
      </c>
      <c r="AS24" s="61" t="n">
        <v>3.1</v>
      </c>
      <c r="AT24" s="61" t="n">
        <v>3.2</v>
      </c>
      <c r="AU24" s="61" t="n">
        <v>4.8</v>
      </c>
      <c r="AV24" s="61" t="n">
        <v>4.1</v>
      </c>
      <c r="AW24" s="61" t="n">
        <v>3.8</v>
      </c>
      <c r="AX24" s="5">
        <f>IF(MAESTRO!D24="","",IFERROR(TRUNC(AVERAGE(AL24:AW24),1),""))</f>
        <v/>
      </c>
      <c r="AY24" s="22" t="n">
        <v>3.9</v>
      </c>
      <c r="AZ24" s="22" t="n">
        <v>4</v>
      </c>
      <c r="BA24" s="22" t="n">
        <v>3.5</v>
      </c>
      <c r="BB24" s="22" t="n">
        <v>4.3</v>
      </c>
      <c r="BC24" s="22" t="n">
        <v>3.9</v>
      </c>
      <c r="BD24" s="22" t="n">
        <v>4.5</v>
      </c>
      <c r="BE24" s="22" t="n">
        <v>3</v>
      </c>
      <c r="BF24" s="22" t="n">
        <v>3.8</v>
      </c>
      <c r="BG24" s="22" t="n">
        <v>4.7</v>
      </c>
      <c r="BH24" s="52" t="n">
        <v>3.4</v>
      </c>
      <c r="BI24" s="5">
        <f>IF(MAESTRO!D24="","",IFERROR(TRUNC(AVERAGE(AY24:BH24),1),""))</f>
        <v/>
      </c>
      <c r="BJ24" s="22" t="n">
        <v>3.5</v>
      </c>
      <c r="BK24" s="22" t="n">
        <v>3.9</v>
      </c>
      <c r="BL24" s="22">
        <f>IF(MAESTRO!D24="","",IFERROR(AVERAGE(BJ24,BK24),""))</f>
        <v/>
      </c>
      <c r="BM24" s="5">
        <f>IF(MAESTRO!D24="","",IFERROR(TRUNC(AVERAGE(AX24,BI24,BL24),1),""))</f>
        <v/>
      </c>
      <c r="BN24" s="177" t="n"/>
      <c r="BO24" s="177" t="n">
        <v>20</v>
      </c>
      <c r="BP24" s="177" t="n">
        <v>20</v>
      </c>
      <c r="BQ24" s="177">
        <f>IF(MAESTRO!D24="","",MAESTRO!D24)</f>
        <v/>
      </c>
      <c r="BR24" s="178" t="n"/>
      <c r="BS24" s="5" t="n">
        <v>3.7</v>
      </c>
      <c r="BT24" s="5" t="n">
        <v>4.5</v>
      </c>
      <c r="BU24" s="5" t="n">
        <v>4.6</v>
      </c>
      <c r="BV24" s="5" t="n">
        <v>4.3</v>
      </c>
      <c r="BW24" s="5" t="n">
        <v>4.9</v>
      </c>
      <c r="BX24" s="5" t="n">
        <v>4.4</v>
      </c>
      <c r="BY24" s="5" t="n">
        <v>3.2</v>
      </c>
      <c r="BZ24" s="5" t="n">
        <v>4.1</v>
      </c>
      <c r="CA24" s="5" t="n">
        <v>4</v>
      </c>
      <c r="CB24" s="5" t="n">
        <v>3.1</v>
      </c>
      <c r="CC24" s="5" t="n">
        <v>4</v>
      </c>
      <c r="CD24" s="5" t="n">
        <v>3.2</v>
      </c>
      <c r="CE24" s="5" t="n">
        <v>3.1</v>
      </c>
      <c r="CF24" s="5">
        <f>IF(MAESTRO!D24="","",IFERROR(TRUNC(AVERAGE(BS24:CE24),1),""))</f>
        <v/>
      </c>
      <c r="CG24" s="5" t="n">
        <v>3.2</v>
      </c>
      <c r="CH24" s="5" t="n">
        <v>4.1</v>
      </c>
      <c r="CI24" s="5" t="n">
        <v>4.1</v>
      </c>
      <c r="CJ24" s="5" t="n">
        <v>4.8</v>
      </c>
      <c r="CK24" s="5" t="n">
        <v>4.8</v>
      </c>
      <c r="CL24" s="5" t="n">
        <v>3.9</v>
      </c>
      <c r="CM24" s="5" t="n">
        <v>3.2</v>
      </c>
      <c r="CN24" s="5" t="n">
        <v>4.5</v>
      </c>
      <c r="CO24" s="5" t="n">
        <v>3.9</v>
      </c>
      <c r="CP24" s="5" t="n">
        <v>3</v>
      </c>
      <c r="CQ24" s="5">
        <f>IF(MAESTRO!D24="","",IFERROR(TRUNC(AVERAGE(CG24:CP24),1),""))</f>
        <v/>
      </c>
      <c r="CR24" s="5" t="n">
        <v>3.3</v>
      </c>
      <c r="CS24" s="5" t="n">
        <v>4.7</v>
      </c>
      <c r="CT24" s="5">
        <f>IF(MAESTRO!D24="","",IFERROR(AVERAGE(CR24:CS24),""))</f>
        <v/>
      </c>
      <c r="CU24" s="5">
        <f>IF(MAESTRO!D24="","",IFERROR(TRUNC(AVERAGE(CF24,CQ24,CT24),1),""))</f>
        <v/>
      </c>
      <c r="CV24" s="177" t="n"/>
      <c r="CW24" s="171" t="n">
        <v>20</v>
      </c>
      <c r="DA24" s="196" t="n"/>
      <c r="DB24" s="196" t="n"/>
      <c r="DC24" s="196" t="n"/>
      <c r="DD24" s="196" t="n"/>
      <c r="DE24" s="196" t="n"/>
      <c r="DF24" s="196" t="n"/>
      <c r="DG24" s="196" t="n"/>
      <c r="DH24" s="196" t="n"/>
      <c r="DI24" s="196" t="n"/>
      <c r="DJ24" s="196" t="n"/>
      <c r="DK24" s="196" t="n"/>
      <c r="DL24" s="196" t="n"/>
      <c r="DM24" s="196" t="n"/>
      <c r="DN24" s="196" t="n"/>
      <c r="EB24" s="196" t="n"/>
      <c r="EC24" s="196" t="n"/>
    </row>
    <row r="25" ht="13.5" customHeight="1" s="176">
      <c r="A25" s="177" t="n">
        <v>21</v>
      </c>
      <c r="B25" s="9">
        <f>IF(MAESTRO!D25="","",MAESTRO!D25)</f>
        <v/>
      </c>
      <c r="C25" s="5" t="n">
        <v>5</v>
      </c>
      <c r="D25" s="5" t="n">
        <v>4.9</v>
      </c>
      <c r="E25" s="5" t="n">
        <v>3.8</v>
      </c>
      <c r="F25" s="5" t="n">
        <v>3.8</v>
      </c>
      <c r="G25" s="5" t="n">
        <v>4.8</v>
      </c>
      <c r="H25" s="5" t="n">
        <v>4.3</v>
      </c>
      <c r="I25" s="5" t="n">
        <v>4.3</v>
      </c>
      <c r="J25" s="5" t="n">
        <v>4.4</v>
      </c>
      <c r="K25" s="5" t="n">
        <v>4.1</v>
      </c>
      <c r="L25" s="5" t="n">
        <v>3.6</v>
      </c>
      <c r="M25" s="5" t="n">
        <v>4.4</v>
      </c>
      <c r="N25" s="5" t="n">
        <v>3.1</v>
      </c>
      <c r="O25" s="5" t="n">
        <v>4.4</v>
      </c>
      <c r="P25" s="5" t="n">
        <v>4.3</v>
      </c>
      <c r="Q25" s="5">
        <f>IF(MAESTRO!D25="","",IFERROR(TRUNC(AVERAGE(C25:P25),1),""))</f>
        <v/>
      </c>
      <c r="R25" s="40" t="n">
        <v>21</v>
      </c>
      <c r="S25" s="22" t="n">
        <v>3.1</v>
      </c>
      <c r="T25" s="22" t="n">
        <v>3.4</v>
      </c>
      <c r="U25" s="22" t="n">
        <v>4.4</v>
      </c>
      <c r="V25" s="22" t="n">
        <v>4</v>
      </c>
      <c r="W25" s="22" t="n">
        <v>3.3</v>
      </c>
      <c r="X25" s="22" t="n">
        <v>4.5</v>
      </c>
      <c r="Y25" s="22" t="n">
        <v>4</v>
      </c>
      <c r="Z25" s="22" t="n">
        <v>4.3</v>
      </c>
      <c r="AA25" s="22" t="n">
        <v>3</v>
      </c>
      <c r="AB25" s="45">
        <f>IF(MAESTRO!D25="","",IFERROR(TRUNC(AVERAGE(S25:AA25),1),""))</f>
        <v/>
      </c>
      <c r="AC25" s="177" t="n">
        <v>3.8</v>
      </c>
      <c r="AD25" s="42" t="n">
        <v>3.2</v>
      </c>
      <c r="AE25" s="5">
        <f>IF(MAESTRO!D25="","",IFERROR(AVERAGE(AC25:AD25),""))</f>
        <v/>
      </c>
      <c r="AF25" s="44">
        <f>IF(MAESTRO!D25="","",IFERROR(TRUNC(AVERAGE(Q25,AB25,AE25),1),""))</f>
        <v/>
      </c>
      <c r="AG25" s="177" t="n"/>
      <c r="AH25" s="177" t="n">
        <v>21</v>
      </c>
      <c r="AI25" s="177" t="n">
        <v>21</v>
      </c>
      <c r="AJ25" s="177">
        <f>IF(MAESTRO!D25="","",MAESTRO!D25)</f>
        <v/>
      </c>
      <c r="AK25" s="178" t="n"/>
      <c r="AL25" s="61" t="n">
        <v>4.5</v>
      </c>
      <c r="AM25" s="61" t="n">
        <v>4.5</v>
      </c>
      <c r="AN25" s="61" t="n">
        <v>4.3</v>
      </c>
      <c r="AO25" s="61" t="n">
        <v>3.5</v>
      </c>
      <c r="AP25" s="61" t="n">
        <v>3.4</v>
      </c>
      <c r="AQ25" s="61" t="n">
        <v>4</v>
      </c>
      <c r="AR25" s="61" t="n">
        <v>3.1</v>
      </c>
      <c r="AS25" s="61" t="n">
        <v>3.5</v>
      </c>
      <c r="AT25" s="61" t="n">
        <v>4.1</v>
      </c>
      <c r="AU25" s="61" t="n">
        <v>4.8</v>
      </c>
      <c r="AV25" s="61" t="n">
        <v>3.4</v>
      </c>
      <c r="AW25" s="61" t="n">
        <v>4.7</v>
      </c>
      <c r="AX25" s="5">
        <f>IF(MAESTRO!D25="","",IFERROR(TRUNC(AVERAGE(AL25:AW25),1),""))</f>
        <v/>
      </c>
      <c r="AY25" s="22" t="n">
        <v>3.3</v>
      </c>
      <c r="AZ25" s="92" t="n">
        <v>4.4</v>
      </c>
      <c r="BA25" s="22" t="n">
        <v>4</v>
      </c>
      <c r="BB25" s="22" t="n">
        <v>4.3</v>
      </c>
      <c r="BC25" s="22" t="n">
        <v>3.5</v>
      </c>
      <c r="BD25" s="22" t="n">
        <v>3.3</v>
      </c>
      <c r="BE25" s="22" t="n">
        <v>4.2</v>
      </c>
      <c r="BF25" s="22" t="n">
        <v>4.9</v>
      </c>
      <c r="BG25" s="22" t="n">
        <v>4.5</v>
      </c>
      <c r="BH25" s="52" t="n">
        <v>3.9</v>
      </c>
      <c r="BI25" s="5">
        <f>IF(MAESTRO!D25="","",IFERROR(TRUNC(AVERAGE(AY25:BH25),1),""))</f>
        <v/>
      </c>
      <c r="BJ25" s="22" t="n">
        <v>4.7</v>
      </c>
      <c r="BK25" s="22" t="n">
        <v>5</v>
      </c>
      <c r="BL25" s="22">
        <f>IF(MAESTRO!D25="","",IFERROR(AVERAGE(BJ25,BK25),""))</f>
        <v/>
      </c>
      <c r="BM25" s="5">
        <f>IF(MAESTRO!D25="","",IFERROR(TRUNC(AVERAGE(AX25,BI25,BL25),1),""))</f>
        <v/>
      </c>
      <c r="BN25" s="177" t="n"/>
      <c r="BO25" s="177" t="n">
        <v>21</v>
      </c>
      <c r="BP25" s="177" t="n">
        <v>21</v>
      </c>
      <c r="BQ25" s="177">
        <f>IF(MAESTRO!D25="","",MAESTRO!D25)</f>
        <v/>
      </c>
      <c r="BR25" s="178" t="n"/>
      <c r="BS25" s="5" t="n">
        <v>4.6</v>
      </c>
      <c r="BT25" s="5" t="n">
        <v>4.6</v>
      </c>
      <c r="BU25" s="5" t="n">
        <v>3.4</v>
      </c>
      <c r="BV25" s="5" t="n">
        <v>3.6</v>
      </c>
      <c r="BW25" s="5" t="n">
        <v>3.4</v>
      </c>
      <c r="BX25" s="5" t="n">
        <v>3.6</v>
      </c>
      <c r="BY25" s="5" t="n">
        <v>4.8</v>
      </c>
      <c r="BZ25" s="5" t="n">
        <v>4.9</v>
      </c>
      <c r="CA25" s="5" t="n">
        <v>3.8</v>
      </c>
      <c r="CB25" s="5" t="n">
        <v>3</v>
      </c>
      <c r="CC25" s="5" t="n">
        <v>4.9</v>
      </c>
      <c r="CD25" s="5" t="n">
        <v>4.4</v>
      </c>
      <c r="CE25" s="5" t="n">
        <v>4.7</v>
      </c>
      <c r="CF25" s="5">
        <f>IF(MAESTRO!D25="","",IFERROR(TRUNC(AVERAGE(BS25:CE25),1),""))</f>
        <v/>
      </c>
      <c r="CG25" s="5" t="n">
        <v>3.7</v>
      </c>
      <c r="CH25" s="5" t="n">
        <v>4.1</v>
      </c>
      <c r="CI25" s="5" t="n">
        <v>4</v>
      </c>
      <c r="CJ25" s="5" t="n">
        <v>4.1</v>
      </c>
      <c r="CK25" s="5" t="n">
        <v>4</v>
      </c>
      <c r="CL25" s="5" t="n">
        <v>4.6</v>
      </c>
      <c r="CM25" s="5" t="n">
        <v>3.5</v>
      </c>
      <c r="CN25" s="5" t="n">
        <v>3.9</v>
      </c>
      <c r="CO25" s="5" t="n">
        <v>5</v>
      </c>
      <c r="CP25" s="5" t="n">
        <v>4</v>
      </c>
      <c r="CQ25" s="5">
        <f>IF(MAESTRO!D25="","",IFERROR(TRUNC(AVERAGE(CG25:CP25),1),""))</f>
        <v/>
      </c>
      <c r="CR25" s="5" t="n">
        <v>4.1</v>
      </c>
      <c r="CS25" s="5" t="n">
        <v>3.3</v>
      </c>
      <c r="CT25" s="5">
        <f>IF(MAESTRO!D25="","",IFERROR(AVERAGE(CR25:CS25),""))</f>
        <v/>
      </c>
      <c r="CU25" s="5">
        <f>IF(MAESTRO!D25="","",IFERROR(TRUNC(AVERAGE(CF25,CQ25,CT25),1),""))</f>
        <v/>
      </c>
      <c r="CV25" s="177" t="n"/>
      <c r="CW25" s="171" t="n">
        <v>21</v>
      </c>
      <c r="DA25" s="196" t="n"/>
      <c r="DB25" s="196" t="n"/>
      <c r="DC25" s="196" t="n"/>
      <c r="DD25" s="196" t="n"/>
      <c r="DE25" s="196" t="n"/>
      <c r="DF25" s="196" t="n"/>
      <c r="DG25" s="196" t="n"/>
      <c r="DH25" s="196" t="n"/>
      <c r="DI25" s="196" t="n"/>
      <c r="DJ25" s="196" t="n"/>
      <c r="DK25" s="196" t="n"/>
      <c r="DL25" s="196" t="n"/>
      <c r="DM25" s="196" t="n"/>
      <c r="DN25" s="196" t="n"/>
      <c r="EB25" s="196" t="n"/>
      <c r="EC25" s="196" t="n"/>
    </row>
    <row r="26" ht="13.5" customHeight="1" s="176">
      <c r="A26" s="177" t="n">
        <v>22</v>
      </c>
      <c r="B26" s="9">
        <f>IF(MAESTRO!D26="","",MAESTRO!D26)</f>
        <v/>
      </c>
      <c r="C26" s="5" t="n">
        <v>4.8</v>
      </c>
      <c r="D26" s="5" t="n">
        <v>4.5</v>
      </c>
      <c r="E26" s="5" t="n">
        <v>3.6</v>
      </c>
      <c r="F26" s="5" t="n">
        <v>3.2</v>
      </c>
      <c r="G26" s="5" t="n">
        <v>4.6</v>
      </c>
      <c r="H26" s="5" t="n">
        <v>3.9</v>
      </c>
      <c r="I26" s="5" t="n">
        <v>3.3</v>
      </c>
      <c r="J26" s="5" t="n">
        <v>3.8</v>
      </c>
      <c r="K26" s="5" t="n">
        <v>4.4</v>
      </c>
      <c r="L26" s="5" t="n">
        <v>4.7</v>
      </c>
      <c r="M26" s="5" t="n">
        <v>4.1</v>
      </c>
      <c r="N26" s="5" t="n">
        <v>3.1</v>
      </c>
      <c r="O26" s="5" t="n">
        <v>4.8</v>
      </c>
      <c r="P26" s="5" t="n">
        <v>3.4</v>
      </c>
      <c r="Q26" s="5">
        <f>IF(MAESTRO!D26="","",IFERROR(TRUNC(AVERAGE(C26:P26),1),""))</f>
        <v/>
      </c>
      <c r="R26" s="40" t="n">
        <v>22</v>
      </c>
      <c r="S26" s="22" t="n">
        <v>4.6</v>
      </c>
      <c r="T26" s="22" t="n">
        <v>4.4</v>
      </c>
      <c r="U26" s="22" t="n">
        <v>3.1</v>
      </c>
      <c r="V26" s="22" t="n">
        <v>4.9</v>
      </c>
      <c r="W26" s="22" t="n">
        <v>4.8</v>
      </c>
      <c r="X26" s="22" t="n">
        <v>4.8</v>
      </c>
      <c r="Y26" s="22" t="n">
        <v>4.3</v>
      </c>
      <c r="Z26" s="22" t="n">
        <v>5</v>
      </c>
      <c r="AA26" s="22" t="n">
        <v>4.2</v>
      </c>
      <c r="AB26" s="45">
        <f>IF(MAESTRO!D26="","",IFERROR(TRUNC(AVERAGE(S26:AA26),1),""))</f>
        <v/>
      </c>
      <c r="AC26" s="177" t="n">
        <v>4.9</v>
      </c>
      <c r="AD26" s="42" t="n">
        <v>3.9</v>
      </c>
      <c r="AE26" s="5">
        <f>IF(MAESTRO!D26="","",IFERROR(AVERAGE(AC26:AD26),""))</f>
        <v/>
      </c>
      <c r="AF26" s="44">
        <f>IF(MAESTRO!D26="","",IFERROR(TRUNC(AVERAGE(Q26,AB26,AE26),1),""))</f>
        <v/>
      </c>
      <c r="AG26" s="177" t="n"/>
      <c r="AH26" s="177" t="n">
        <v>22</v>
      </c>
      <c r="AI26" s="177" t="n">
        <v>22</v>
      </c>
      <c r="AJ26" s="177">
        <f>IF(MAESTRO!D26="","",MAESTRO!D26)</f>
        <v/>
      </c>
      <c r="AK26" s="178" t="n"/>
      <c r="AL26" s="61" t="n">
        <v>4.6</v>
      </c>
      <c r="AM26" s="61" t="n">
        <v>3.2</v>
      </c>
      <c r="AN26" s="61" t="n">
        <v>4.1</v>
      </c>
      <c r="AO26" s="61" t="n">
        <v>4.3</v>
      </c>
      <c r="AP26" s="61" t="n">
        <v>4.3</v>
      </c>
      <c r="AQ26" s="61" t="n">
        <v>4.6</v>
      </c>
      <c r="AR26" s="61" t="n">
        <v>3</v>
      </c>
      <c r="AS26" s="61" t="n">
        <v>3.9</v>
      </c>
      <c r="AT26" s="61" t="n">
        <v>4.6</v>
      </c>
      <c r="AU26" s="61" t="n">
        <v>3.3</v>
      </c>
      <c r="AV26" s="61" t="n">
        <v>4</v>
      </c>
      <c r="AW26" s="61" t="n">
        <v>3.2</v>
      </c>
      <c r="AX26" s="5">
        <f>IF(MAESTRO!D26="","",IFERROR(TRUNC(AVERAGE(AL26:AW26),1),""))</f>
        <v/>
      </c>
      <c r="AY26" s="22" t="n">
        <v>3.7</v>
      </c>
      <c r="AZ26" s="92" t="n">
        <v>4</v>
      </c>
      <c r="BA26" s="22" t="n">
        <v>3.4</v>
      </c>
      <c r="BB26" s="22" t="n">
        <v>4.5</v>
      </c>
      <c r="BC26" s="22" t="n">
        <v>4</v>
      </c>
      <c r="BD26" s="22" t="n">
        <v>3.3</v>
      </c>
      <c r="BE26" s="22" t="n">
        <v>3.8</v>
      </c>
      <c r="BF26" s="22" t="n">
        <v>3.8</v>
      </c>
      <c r="BG26" s="22" t="n">
        <v>3.3</v>
      </c>
      <c r="BH26" s="52" t="n">
        <v>3.6</v>
      </c>
      <c r="BI26" s="5">
        <f>IF(MAESTRO!D26="","",IFERROR(TRUNC(AVERAGE(AY26:BH26),1),""))</f>
        <v/>
      </c>
      <c r="BJ26" s="22" t="n">
        <v>3.6</v>
      </c>
      <c r="BK26" s="22" t="n">
        <v>4.6</v>
      </c>
      <c r="BL26" s="22">
        <f>IF(MAESTRO!D26="","",IFERROR(AVERAGE(BJ26,BK26),""))</f>
        <v/>
      </c>
      <c r="BM26" s="5">
        <f>IF(MAESTRO!D26="","",IFERROR(TRUNC(AVERAGE(AX26,BI26,BL26),1),""))</f>
        <v/>
      </c>
      <c r="BN26" s="177" t="n"/>
      <c r="BO26" s="177" t="n">
        <v>22</v>
      </c>
      <c r="BP26" s="177" t="n">
        <v>22</v>
      </c>
      <c r="BQ26" s="177">
        <f>IF(MAESTRO!D26="","",MAESTRO!D26)</f>
        <v/>
      </c>
      <c r="BR26" s="178" t="n"/>
      <c r="BS26" s="5" t="n">
        <v>3.1</v>
      </c>
      <c r="BT26" s="5" t="n">
        <v>3.3</v>
      </c>
      <c r="BU26" s="5" t="n">
        <v>3.5</v>
      </c>
      <c r="BV26" s="5" t="n">
        <v>4.5</v>
      </c>
      <c r="BW26" s="5" t="n">
        <v>4.8</v>
      </c>
      <c r="BX26" s="5" t="n">
        <v>4.9</v>
      </c>
      <c r="BY26" s="5" t="n">
        <v>3.8</v>
      </c>
      <c r="BZ26" s="5" t="n">
        <v>4.1</v>
      </c>
      <c r="CA26" s="5" t="n">
        <v>4.3</v>
      </c>
      <c r="CB26" s="5" t="n">
        <v>4.5</v>
      </c>
      <c r="CC26" s="5" t="n">
        <v>3.2</v>
      </c>
      <c r="CD26" s="5" t="n">
        <v>4.7</v>
      </c>
      <c r="CE26" s="5" t="n">
        <v>3.3</v>
      </c>
      <c r="CF26" s="5">
        <f>IF(MAESTRO!D26="","",IFERROR(TRUNC(AVERAGE(BS26:CE26),1),""))</f>
        <v/>
      </c>
      <c r="CG26" s="5" t="n">
        <v>3.7</v>
      </c>
      <c r="CH26" s="5" t="n">
        <v>4.3</v>
      </c>
      <c r="CI26" s="5" t="n">
        <v>3.9</v>
      </c>
      <c r="CJ26" s="5" t="n">
        <v>4.5</v>
      </c>
      <c r="CK26" s="5" t="n">
        <v>4.2</v>
      </c>
      <c r="CL26" s="5" t="n">
        <v>3.4</v>
      </c>
      <c r="CM26" s="5" t="n">
        <v>3.9</v>
      </c>
      <c r="CN26" s="5" t="n">
        <v>4.3</v>
      </c>
      <c r="CO26" s="5" t="n">
        <v>4</v>
      </c>
      <c r="CP26" s="5" t="n">
        <v>3.6</v>
      </c>
      <c r="CQ26" s="5">
        <f>IF(MAESTRO!D26="","",IFERROR(TRUNC(AVERAGE(CG26:CP26),1),""))</f>
        <v/>
      </c>
      <c r="CR26" s="5" t="n">
        <v>4.3</v>
      </c>
      <c r="CS26" s="5" t="n">
        <v>4.8</v>
      </c>
      <c r="CT26" s="5">
        <f>IF(MAESTRO!D26="","",IFERROR(AVERAGE(CR26:CS26),""))</f>
        <v/>
      </c>
      <c r="CU26" s="5">
        <f>IF(MAESTRO!D26="","",IFERROR(TRUNC(AVERAGE(CF26,CQ26,CT26),1),""))</f>
        <v/>
      </c>
      <c r="CV26" s="177" t="n"/>
      <c r="CW26" s="171" t="n">
        <v>22</v>
      </c>
      <c r="DA26" s="196" t="n"/>
      <c r="DB26" s="196" t="n"/>
      <c r="DC26" s="196" t="n"/>
      <c r="DD26" s="196" t="n"/>
      <c r="DE26" s="196" t="n"/>
      <c r="DF26" s="196" t="n"/>
      <c r="DG26" s="196" t="n"/>
      <c r="DH26" s="196" t="n"/>
      <c r="DI26" s="196" t="n"/>
      <c r="DJ26" s="196" t="n"/>
      <c r="DK26" s="196" t="n"/>
      <c r="DL26" s="196" t="n"/>
      <c r="DM26" s="196" t="n"/>
      <c r="DN26" s="196" t="n"/>
      <c r="EB26" s="196" t="n"/>
      <c r="EC26" s="196" t="n"/>
    </row>
    <row r="27" ht="13.5" customHeight="1" s="176">
      <c r="A27" s="177" t="n">
        <v>23</v>
      </c>
      <c r="B27" s="9">
        <f>IF(MAESTRO!D27="","",MAESTRO!D27)</f>
        <v/>
      </c>
      <c r="C27" s="5" t="n">
        <v>3.6</v>
      </c>
      <c r="D27" s="5" t="n">
        <v>4.3</v>
      </c>
      <c r="E27" s="5" t="n">
        <v>4.3</v>
      </c>
      <c r="F27" s="5" t="n">
        <v>3.8</v>
      </c>
      <c r="G27" s="5" t="n">
        <v>4.2</v>
      </c>
      <c r="H27" s="5" t="n">
        <v>4.1</v>
      </c>
      <c r="I27" s="5" t="n">
        <v>4.2</v>
      </c>
      <c r="J27" s="5" t="n">
        <v>3.6</v>
      </c>
      <c r="K27" s="5" t="n">
        <v>4.4</v>
      </c>
      <c r="L27" s="5" t="n">
        <v>4</v>
      </c>
      <c r="M27" s="5" t="n">
        <v>4.5</v>
      </c>
      <c r="N27" s="5" t="n">
        <v>4.6</v>
      </c>
      <c r="O27" s="5" t="n">
        <v>3.7</v>
      </c>
      <c r="P27" s="5" t="n">
        <v>4</v>
      </c>
      <c r="Q27" s="5">
        <f>IF(MAESTRO!D27="","",IFERROR(TRUNC(AVERAGE(C27:P27),1),""))</f>
        <v/>
      </c>
      <c r="R27" s="40" t="n">
        <v>23</v>
      </c>
      <c r="S27" s="22" t="n">
        <v>4.8</v>
      </c>
      <c r="T27" s="22" t="n">
        <v>4.5</v>
      </c>
      <c r="U27" s="22" t="n">
        <v>4.1</v>
      </c>
      <c r="V27" s="22" t="n">
        <v>3.5</v>
      </c>
      <c r="W27" s="22" t="n">
        <v>4.4</v>
      </c>
      <c r="X27" s="22" t="n">
        <v>4.9</v>
      </c>
      <c r="Y27" s="22" t="n">
        <v>3.9</v>
      </c>
      <c r="Z27" s="22" t="n">
        <v>4.1</v>
      </c>
      <c r="AA27" s="22" t="n">
        <v>3.1</v>
      </c>
      <c r="AB27" s="45">
        <f>IF(MAESTRO!D27="","",IFERROR(TRUNC(AVERAGE(S27:AA27),1),""))</f>
        <v/>
      </c>
      <c r="AC27" s="177" t="n">
        <v>4.4</v>
      </c>
      <c r="AD27" s="42" t="n">
        <v>4.3</v>
      </c>
      <c r="AE27" s="5">
        <f>IF(MAESTRO!D27="","",IFERROR(AVERAGE(AC27:AD27),""))</f>
        <v/>
      </c>
      <c r="AF27" s="44">
        <f>IF(MAESTRO!D27="","",IFERROR(TRUNC(AVERAGE(Q27,AB27,AE27),1),""))</f>
        <v/>
      </c>
      <c r="AG27" s="177" t="n"/>
      <c r="AH27" s="177" t="n">
        <v>23</v>
      </c>
      <c r="AI27" s="177" t="n">
        <v>23</v>
      </c>
      <c r="AJ27" s="177">
        <f>IF(MAESTRO!D27="","",MAESTRO!D27)</f>
        <v/>
      </c>
      <c r="AK27" s="178" t="n"/>
      <c r="AL27" s="61" t="n">
        <v>3.9</v>
      </c>
      <c r="AM27" s="61" t="n">
        <v>3.8</v>
      </c>
      <c r="AN27" s="61" t="n">
        <v>3.5</v>
      </c>
      <c r="AO27" s="61" t="n">
        <v>4.3</v>
      </c>
      <c r="AP27" s="61" t="n">
        <v>3.8</v>
      </c>
      <c r="AQ27" s="61" t="n">
        <v>4.5</v>
      </c>
      <c r="AR27" s="61" t="n">
        <v>4.9</v>
      </c>
      <c r="AS27" s="61" t="n">
        <v>3.8</v>
      </c>
      <c r="AT27" s="61" t="n">
        <v>3.1</v>
      </c>
      <c r="AU27" s="61" t="n">
        <v>3</v>
      </c>
      <c r="AV27" s="61" t="n">
        <v>4.8</v>
      </c>
      <c r="AW27" s="61" t="n">
        <v>4</v>
      </c>
      <c r="AX27" s="5">
        <f>IF(MAESTRO!D27="","",IFERROR(TRUNC(AVERAGE(AL27:AW27),1),""))</f>
        <v/>
      </c>
      <c r="AY27" s="22" t="n">
        <v>3.9</v>
      </c>
      <c r="AZ27" s="92" t="n">
        <v>4.6</v>
      </c>
      <c r="BA27" s="22" t="n">
        <v>3.1</v>
      </c>
      <c r="BB27" s="22" t="n">
        <v>3.4</v>
      </c>
      <c r="BC27" s="22" t="n">
        <v>4.2</v>
      </c>
      <c r="BD27" s="22" t="n">
        <v>3.2</v>
      </c>
      <c r="BE27" s="22" t="n">
        <v>4.4</v>
      </c>
      <c r="BF27" s="22" t="n">
        <v>3.3</v>
      </c>
      <c r="BG27" s="22" t="n">
        <v>4.1</v>
      </c>
      <c r="BH27" s="52" t="n">
        <v>4.8</v>
      </c>
      <c r="BI27" s="5">
        <f>IF(MAESTRO!D27="","",IFERROR(TRUNC(AVERAGE(AY27:BH27),1),""))</f>
        <v/>
      </c>
      <c r="BJ27" s="22" t="n">
        <v>3.3</v>
      </c>
      <c r="BK27" s="22" t="n">
        <v>4</v>
      </c>
      <c r="BL27" s="22">
        <f>IF(MAESTRO!D27="","",IFERROR(AVERAGE(BJ27,BK27),""))</f>
        <v/>
      </c>
      <c r="BM27" s="5">
        <f>IF(MAESTRO!D27="","",IFERROR(TRUNC(AVERAGE(AX27,BI27,BL27),1),""))</f>
        <v/>
      </c>
      <c r="BN27" s="177" t="n"/>
      <c r="BO27" s="177" t="n">
        <v>23</v>
      </c>
      <c r="BP27" s="177" t="n">
        <v>23</v>
      </c>
      <c r="BQ27" s="177">
        <f>IF(MAESTRO!D27="","",MAESTRO!D27)</f>
        <v/>
      </c>
      <c r="BR27" s="178" t="n"/>
      <c r="BS27" s="5" t="n">
        <v>3.7</v>
      </c>
      <c r="BT27" s="5" t="n">
        <v>3.8</v>
      </c>
      <c r="BU27" s="89" t="n">
        <v>3.1</v>
      </c>
      <c r="BV27" s="5" t="n">
        <v>3.2</v>
      </c>
      <c r="BW27" s="5" t="n">
        <v>4.2</v>
      </c>
      <c r="BX27" s="5" t="n">
        <v>4.4</v>
      </c>
      <c r="BY27" s="5" t="n">
        <v>3.8</v>
      </c>
      <c r="BZ27" s="5" t="n">
        <v>4.5</v>
      </c>
      <c r="CA27" s="5" t="n">
        <v>4.1</v>
      </c>
      <c r="CB27" s="5" t="n">
        <v>4.2</v>
      </c>
      <c r="CC27" s="5" t="n">
        <v>4.7</v>
      </c>
      <c r="CD27" s="5" t="n">
        <v>4.4</v>
      </c>
      <c r="CE27" s="5" t="n">
        <v>3.2</v>
      </c>
      <c r="CF27" s="5">
        <f>IF(MAESTRO!D27="","",IFERROR(TRUNC(AVERAGE(BS27:CE27),1),""))</f>
        <v/>
      </c>
      <c r="CG27" s="5" t="n">
        <v>3.5</v>
      </c>
      <c r="CH27" s="5" t="n">
        <v>3.7</v>
      </c>
      <c r="CI27" s="5" t="n">
        <v>3.7</v>
      </c>
      <c r="CJ27" s="5" t="n">
        <v>3.3</v>
      </c>
      <c r="CK27" s="5" t="n">
        <v>4.6</v>
      </c>
      <c r="CL27" s="5" t="n">
        <v>3.8</v>
      </c>
      <c r="CM27" s="5" t="n">
        <v>4.8</v>
      </c>
      <c r="CN27" s="5" t="n">
        <v>4.3</v>
      </c>
      <c r="CO27" s="5" t="n">
        <v>4.9</v>
      </c>
      <c r="CP27" s="5" t="n">
        <v>3.3</v>
      </c>
      <c r="CQ27" s="5">
        <f>IF(MAESTRO!D27="","",IFERROR(TRUNC(AVERAGE(CG27:CP27),1),""))</f>
        <v/>
      </c>
      <c r="CR27" s="5" t="n">
        <v>4.6</v>
      </c>
      <c r="CS27" s="5" t="n">
        <v>4.6</v>
      </c>
      <c r="CT27" s="5">
        <f>IF(MAESTRO!D27="","",IFERROR(AVERAGE(CR27:CS27),""))</f>
        <v/>
      </c>
      <c r="CU27" s="5">
        <f>IF(MAESTRO!D27="","",IFERROR(TRUNC(AVERAGE(CF27,CQ27,CT27),1),""))</f>
        <v/>
      </c>
      <c r="CV27" s="177" t="n"/>
      <c r="CW27" s="171" t="n">
        <v>23</v>
      </c>
      <c r="DA27" s="196" t="n"/>
      <c r="DB27" s="196" t="n"/>
      <c r="DC27" s="196" t="n"/>
      <c r="DD27" s="196" t="n"/>
      <c r="DE27" s="196" t="n"/>
      <c r="DF27" s="196" t="n"/>
      <c r="DG27" s="196" t="n"/>
      <c r="DH27" s="196" t="n"/>
      <c r="DI27" s="196" t="n"/>
      <c r="DJ27" s="196" t="n"/>
      <c r="DK27" s="196" t="n"/>
      <c r="DL27" s="196" t="n"/>
      <c r="DM27" s="196" t="n"/>
      <c r="DN27" s="196" t="n"/>
      <c r="EB27" s="196" t="n"/>
      <c r="EC27" s="196" t="n"/>
    </row>
    <row r="28" ht="13.5" customHeight="1" s="176">
      <c r="A28" s="177" t="n">
        <v>24</v>
      </c>
      <c r="B28" s="9">
        <f>IF(MAESTRO!D28="","",MAESTRO!D28)</f>
        <v/>
      </c>
      <c r="C28" s="5" t="n">
        <v>4.7</v>
      </c>
      <c r="D28" s="5" t="n">
        <v>4.9</v>
      </c>
      <c r="E28" s="5" t="n">
        <v>4.6</v>
      </c>
      <c r="F28" s="5" t="n">
        <v>4.2</v>
      </c>
      <c r="G28" s="5" t="n">
        <v>3.7</v>
      </c>
      <c r="H28" s="5" t="n">
        <v>4.2</v>
      </c>
      <c r="I28" s="5" t="n">
        <v>3.7</v>
      </c>
      <c r="J28" s="5" t="n">
        <v>4.6</v>
      </c>
      <c r="K28" s="5" t="n">
        <v>3.6</v>
      </c>
      <c r="L28" s="5" t="n">
        <v>3.1</v>
      </c>
      <c r="M28" s="5" t="n">
        <v>4.7</v>
      </c>
      <c r="N28" s="5" t="n">
        <v>3.1</v>
      </c>
      <c r="O28" s="5" t="n">
        <v>4.3</v>
      </c>
      <c r="P28" s="5" t="n">
        <v>4.1</v>
      </c>
      <c r="Q28" s="5">
        <f>IF(MAESTRO!D28="","",IFERROR(TRUNC(AVERAGE(C28:P28),1),""))</f>
        <v/>
      </c>
      <c r="R28" s="40" t="n">
        <v>24</v>
      </c>
      <c r="S28" s="22" t="n">
        <v>4.3</v>
      </c>
      <c r="T28" s="22" t="n">
        <v>3.1</v>
      </c>
      <c r="U28" s="22" t="n">
        <v>4.6</v>
      </c>
      <c r="V28" s="22" t="n">
        <v>3.3</v>
      </c>
      <c r="W28" s="22" t="n">
        <v>3.8</v>
      </c>
      <c r="X28" s="22" t="n">
        <v>4.2</v>
      </c>
      <c r="Y28" s="22" t="n">
        <v>3</v>
      </c>
      <c r="Z28" s="22" t="n">
        <v>4.3</v>
      </c>
      <c r="AA28" s="22" t="n">
        <v>4.9</v>
      </c>
      <c r="AB28" s="45">
        <f>IF(MAESTRO!D28="","",IFERROR(TRUNC(AVERAGE(S28:AA28),1),""))</f>
        <v/>
      </c>
      <c r="AC28" s="177" t="n">
        <v>3.3</v>
      </c>
      <c r="AD28" s="42" t="n">
        <v>4.3</v>
      </c>
      <c r="AE28" s="5">
        <f>IF(MAESTRO!D28="","",IFERROR(AVERAGE(AC28:AD28),""))</f>
        <v/>
      </c>
      <c r="AF28" s="44">
        <f>IF(MAESTRO!D28="","",IFERROR(TRUNC(AVERAGE(Q28,AB28,AE28),1),""))</f>
        <v/>
      </c>
      <c r="AG28" s="177" t="n"/>
      <c r="AH28" s="177" t="n">
        <v>24</v>
      </c>
      <c r="AI28" s="177" t="n">
        <v>24</v>
      </c>
      <c r="AJ28" s="177">
        <f>IF(MAESTRO!D28="","",MAESTRO!D28)</f>
        <v/>
      </c>
      <c r="AK28" s="178" t="n"/>
      <c r="AL28" s="61" t="n">
        <v>4.4</v>
      </c>
      <c r="AM28" s="61" t="n">
        <v>4.7</v>
      </c>
      <c r="AN28" s="61" t="n">
        <v>3.6</v>
      </c>
      <c r="AO28" s="61" t="n">
        <v>4.7</v>
      </c>
      <c r="AP28" s="61" t="n">
        <v>3.8</v>
      </c>
      <c r="AQ28" s="61" t="n">
        <v>3.9</v>
      </c>
      <c r="AR28" s="61" t="n">
        <v>3.3</v>
      </c>
      <c r="AS28" s="61" t="n">
        <v>3.9</v>
      </c>
      <c r="AT28" s="61" t="n">
        <v>4.6</v>
      </c>
      <c r="AU28" s="61" t="n">
        <v>3.3</v>
      </c>
      <c r="AV28" s="61" t="n">
        <v>4.9</v>
      </c>
      <c r="AW28" s="61" t="n">
        <v>4.8</v>
      </c>
      <c r="AX28" s="5">
        <f>IF(MAESTRO!D28="","",IFERROR(TRUNC(AVERAGE(AL28:AW28),1),""))</f>
        <v/>
      </c>
      <c r="AY28" s="22" t="n">
        <v>4.7</v>
      </c>
      <c r="AZ28" s="92" t="n">
        <v>3</v>
      </c>
      <c r="BA28" s="22" t="n">
        <v>3.6</v>
      </c>
      <c r="BB28" s="22" t="n">
        <v>4.4</v>
      </c>
      <c r="BC28" s="22" t="n">
        <v>3.4</v>
      </c>
      <c r="BD28" s="22" t="n">
        <v>4.1</v>
      </c>
      <c r="BE28" s="22" t="n">
        <v>3.3</v>
      </c>
      <c r="BF28" s="22" t="n">
        <v>3</v>
      </c>
      <c r="BG28" s="22" t="n">
        <v>3</v>
      </c>
      <c r="BH28" s="52" t="n">
        <v>3.3</v>
      </c>
      <c r="BI28" s="5">
        <f>IF(MAESTRO!D28="","",IFERROR(TRUNC(AVERAGE(AY28:BH28),1),""))</f>
        <v/>
      </c>
      <c r="BJ28" s="22" t="n">
        <v>4.1</v>
      </c>
      <c r="BK28" s="22" t="n">
        <v>3.9</v>
      </c>
      <c r="BL28" s="22">
        <f>IF(MAESTRO!D28="","",IFERROR(AVERAGE(BJ28,BK28),""))</f>
        <v/>
      </c>
      <c r="BM28" s="5">
        <f>IF(MAESTRO!D28="","",IFERROR(TRUNC(AVERAGE(AX28,BI28,BL28),1),""))</f>
        <v/>
      </c>
      <c r="BN28" s="177" t="n"/>
      <c r="BO28" s="177" t="n">
        <v>24</v>
      </c>
      <c r="BP28" s="177" t="n">
        <v>24</v>
      </c>
      <c r="BQ28" s="177">
        <f>IF(MAESTRO!D28="","",MAESTRO!D28)</f>
        <v/>
      </c>
      <c r="BR28" s="178" t="n"/>
      <c r="BS28" s="5" t="n">
        <v>3.1</v>
      </c>
      <c r="BT28" s="5" t="n">
        <v>4.4</v>
      </c>
      <c r="BU28" s="89" t="n">
        <v>4.9</v>
      </c>
      <c r="BV28" s="5" t="n">
        <v>3.1</v>
      </c>
      <c r="BW28" s="5" t="n">
        <v>5</v>
      </c>
      <c r="BX28" s="5" t="n">
        <v>4.7</v>
      </c>
      <c r="BY28" s="5" t="n">
        <v>4.1</v>
      </c>
      <c r="BZ28" s="5" t="n">
        <v>4.5</v>
      </c>
      <c r="CA28" s="5" t="n">
        <v>4</v>
      </c>
      <c r="CB28" s="5" t="n">
        <v>4</v>
      </c>
      <c r="CC28" s="5" t="n">
        <v>4.6</v>
      </c>
      <c r="CD28" s="5" t="n">
        <v>3.6</v>
      </c>
      <c r="CE28" s="5" t="n">
        <v>3.1</v>
      </c>
      <c r="CF28" s="5">
        <f>IF(MAESTRO!D28="","",IFERROR(TRUNC(AVERAGE(BS28:CE28),1),""))</f>
        <v/>
      </c>
      <c r="CG28" s="5" t="n">
        <v>3.5</v>
      </c>
      <c r="CH28" s="5" t="n">
        <v>4.9</v>
      </c>
      <c r="CI28" s="5" t="n">
        <v>3.8</v>
      </c>
      <c r="CJ28" s="89" t="n">
        <v>4.5</v>
      </c>
      <c r="CK28" s="5" t="n">
        <v>4.5</v>
      </c>
      <c r="CL28" s="5" t="n">
        <v>4.3</v>
      </c>
      <c r="CM28" s="5" t="n">
        <v>4.5</v>
      </c>
      <c r="CN28" s="5" t="n">
        <v>4.4</v>
      </c>
      <c r="CO28" s="5" t="n">
        <v>3.6</v>
      </c>
      <c r="CP28" s="5" t="n">
        <v>3.4</v>
      </c>
      <c r="CQ28" s="5">
        <f>IF(MAESTRO!D28="","",IFERROR(TRUNC(AVERAGE(CG28:CP28),1),""))</f>
        <v/>
      </c>
      <c r="CR28" s="5" t="n">
        <v>4.3</v>
      </c>
      <c r="CS28" s="5" t="n">
        <v>4.5</v>
      </c>
      <c r="CT28" s="5">
        <f>IF(MAESTRO!D28="","",IFERROR(AVERAGE(CR28:CS28),""))</f>
        <v/>
      </c>
      <c r="CU28" s="5">
        <f>IF(MAESTRO!D28="","",IFERROR(TRUNC(AVERAGE(CF28,CQ28,CT28),1),""))</f>
        <v/>
      </c>
      <c r="CV28" s="177" t="n"/>
      <c r="CW28" s="171" t="n">
        <v>24</v>
      </c>
      <c r="DA28" s="196" t="n"/>
      <c r="DB28" s="196" t="n"/>
      <c r="DC28" s="196" t="n"/>
      <c r="DD28" s="196" t="n"/>
      <c r="DE28" s="196" t="n"/>
      <c r="DF28" s="196" t="n"/>
      <c r="DG28" s="196" t="n"/>
      <c r="DH28" s="196" t="n"/>
      <c r="DI28" s="196" t="n"/>
      <c r="DJ28" s="196" t="n"/>
      <c r="DK28" s="196" t="n"/>
      <c r="DL28" s="196" t="n"/>
      <c r="DM28" s="196" t="n"/>
      <c r="DN28" s="196" t="n"/>
      <c r="EB28" s="196" t="n"/>
      <c r="EC28" s="196" t="n"/>
    </row>
    <row r="29" ht="13.5" customHeight="1" s="176">
      <c r="A29" s="177" t="n">
        <v>25</v>
      </c>
      <c r="B29" s="9">
        <f>IF(MAESTRO!D29="","",MAESTRO!D29)</f>
        <v/>
      </c>
      <c r="C29" s="5" t="n">
        <v>3.8</v>
      </c>
      <c r="D29" s="5" t="n">
        <v>3.7</v>
      </c>
      <c r="E29" s="5" t="n">
        <v>3.5</v>
      </c>
      <c r="F29" s="5" t="n">
        <v>4.9</v>
      </c>
      <c r="G29" s="5" t="n">
        <v>4.4</v>
      </c>
      <c r="H29" s="5" t="n">
        <v>4.2</v>
      </c>
      <c r="I29" s="5" t="n">
        <v>5</v>
      </c>
      <c r="J29" s="5" t="n">
        <v>4.2</v>
      </c>
      <c r="K29" s="5" t="n">
        <v>3.3</v>
      </c>
      <c r="L29" s="5" t="n">
        <v>3.4</v>
      </c>
      <c r="M29" s="5" t="n">
        <v>4.3</v>
      </c>
      <c r="N29" s="5" t="n">
        <v>4.9</v>
      </c>
      <c r="O29" s="5" t="n">
        <v>5</v>
      </c>
      <c r="P29" s="5" t="n">
        <v>3.2</v>
      </c>
      <c r="Q29" s="5">
        <f>IF(MAESTRO!D29="","",IFERROR(TRUNC(AVERAGE(C29:P29),1),""))</f>
        <v/>
      </c>
      <c r="R29" s="40" t="n">
        <v>25</v>
      </c>
      <c r="S29" s="22" t="n">
        <v>3.8</v>
      </c>
      <c r="T29" s="22" t="n">
        <v>4.3</v>
      </c>
      <c r="U29" s="22" t="n">
        <v>4.4</v>
      </c>
      <c r="V29" s="22" t="n">
        <v>3.8</v>
      </c>
      <c r="W29" s="22" t="n">
        <v>3.5</v>
      </c>
      <c r="X29" s="22" t="n">
        <v>4.9</v>
      </c>
      <c r="Y29" s="22" t="n">
        <v>3.3</v>
      </c>
      <c r="Z29" s="22" t="n">
        <v>4.4</v>
      </c>
      <c r="AA29" s="22" t="n">
        <v>3.3</v>
      </c>
      <c r="AB29" s="45">
        <f>IF(MAESTRO!D29="","",IFERROR(TRUNC(AVERAGE(S29:AA29),1),""))</f>
        <v/>
      </c>
      <c r="AC29" s="177" t="n">
        <v>4.3</v>
      </c>
      <c r="AD29" s="42" t="n">
        <v>3.1</v>
      </c>
      <c r="AE29" s="5">
        <f>IF(MAESTRO!D29="","",IFERROR(AVERAGE(AC29:AD29),""))</f>
        <v/>
      </c>
      <c r="AF29" s="44">
        <f>IF(MAESTRO!D29="","",IFERROR(TRUNC(AVERAGE(Q29,AB29,AE29),1),""))</f>
        <v/>
      </c>
      <c r="AG29" s="177" t="n"/>
      <c r="AH29" s="177" t="n">
        <v>25</v>
      </c>
      <c r="AI29" s="177" t="n">
        <v>25</v>
      </c>
      <c r="AJ29" s="177">
        <f>IF(MAESTRO!D29="","",MAESTRO!D29)</f>
        <v/>
      </c>
      <c r="AK29" s="178" t="n"/>
      <c r="AL29" s="61" t="n">
        <v>4.4</v>
      </c>
      <c r="AM29" s="61" t="n">
        <v>3.5</v>
      </c>
      <c r="AN29" s="61" t="n">
        <v>3.8</v>
      </c>
      <c r="AO29" s="61" t="n">
        <v>3.1</v>
      </c>
      <c r="AP29" s="61" t="n">
        <v>4.2</v>
      </c>
      <c r="AQ29" s="61" t="n">
        <v>5</v>
      </c>
      <c r="AR29" s="61" t="n">
        <v>4.9</v>
      </c>
      <c r="AS29" s="61" t="n">
        <v>4.5</v>
      </c>
      <c r="AT29" s="61" t="n">
        <v>3.8</v>
      </c>
      <c r="AU29" s="61" t="n">
        <v>4.9</v>
      </c>
      <c r="AV29" s="61" t="n">
        <v>3.4</v>
      </c>
      <c r="AW29" s="61" t="n">
        <v>3.3</v>
      </c>
      <c r="AX29" s="5">
        <f>IF(MAESTRO!D29="","",IFERROR(TRUNC(AVERAGE(AL29:AW29),1),""))</f>
        <v/>
      </c>
      <c r="AY29" s="63" t="n">
        <v>4.2</v>
      </c>
      <c r="AZ29" s="92" t="n">
        <v>3.1</v>
      </c>
      <c r="BA29" s="92" t="n">
        <v>3.6</v>
      </c>
      <c r="BB29" s="92" t="n">
        <v>3.2</v>
      </c>
      <c r="BC29" s="92" t="n">
        <v>4.9</v>
      </c>
      <c r="BD29" s="63" t="n">
        <v>4.9</v>
      </c>
      <c r="BE29" s="63" t="n">
        <v>5</v>
      </c>
      <c r="BF29" s="63" t="n">
        <v>4.4</v>
      </c>
      <c r="BG29" s="63" t="n">
        <v>3.9</v>
      </c>
      <c r="BH29" s="52" t="n">
        <v>3.8</v>
      </c>
      <c r="BI29" s="5">
        <f>IF(MAESTRO!D29="","",IFERROR(TRUNC(AVERAGE(AY29:BH29),1),""))</f>
        <v/>
      </c>
      <c r="BJ29" s="22" t="n">
        <v>4</v>
      </c>
      <c r="BK29" s="22" t="n">
        <v>3.8</v>
      </c>
      <c r="BL29" s="22">
        <f>IF(MAESTRO!D29="","",IFERROR(AVERAGE(BJ29,BK29),""))</f>
        <v/>
      </c>
      <c r="BM29" s="5">
        <f>IF(MAESTRO!D29="","",IFERROR(TRUNC(AVERAGE(AX29,BI29,BL29),1),""))</f>
        <v/>
      </c>
      <c r="BN29" s="177" t="n"/>
      <c r="BO29" s="177" t="n">
        <v>25</v>
      </c>
      <c r="BP29" s="177" t="n">
        <v>25</v>
      </c>
      <c r="BQ29" s="177">
        <f>IF(MAESTRO!D29="","",MAESTRO!D29)</f>
        <v/>
      </c>
      <c r="BR29" s="178" t="n"/>
      <c r="BS29" s="5" t="n">
        <v>4.3</v>
      </c>
      <c r="BT29" s="5" t="n">
        <v>3.1</v>
      </c>
      <c r="BU29" s="89" t="n">
        <v>3.3</v>
      </c>
      <c r="BV29" s="5" t="n">
        <v>5</v>
      </c>
      <c r="BW29" s="5" t="n">
        <v>3.4</v>
      </c>
      <c r="BX29" s="5" t="n">
        <v>4.5</v>
      </c>
      <c r="BY29" s="5" t="n">
        <v>3.5</v>
      </c>
      <c r="BZ29" s="5" t="n">
        <v>3.2</v>
      </c>
      <c r="CA29" s="5" t="n">
        <v>3.8</v>
      </c>
      <c r="CB29" s="5" t="n">
        <v>4.7</v>
      </c>
      <c r="CC29" s="5" t="n">
        <v>3.9</v>
      </c>
      <c r="CD29" s="5" t="n">
        <v>4.1</v>
      </c>
      <c r="CE29" s="5" t="n">
        <v>3.2</v>
      </c>
      <c r="CF29" s="5">
        <f>IF(MAESTRO!D29="","",IFERROR(TRUNC(AVERAGE(BS29:CE29),1),""))</f>
        <v/>
      </c>
      <c r="CG29" s="5" t="n">
        <v>3.7</v>
      </c>
      <c r="CH29" s="5" t="n">
        <v>3.7</v>
      </c>
      <c r="CI29" s="5" t="n">
        <v>3.1</v>
      </c>
      <c r="CJ29" s="89" t="n">
        <v>4.8</v>
      </c>
      <c r="CK29" s="5" t="n">
        <v>3.6</v>
      </c>
      <c r="CL29" s="5" t="n">
        <v>3.6</v>
      </c>
      <c r="CM29" s="5" t="n">
        <v>4.4</v>
      </c>
      <c r="CN29" s="5" t="n">
        <v>3</v>
      </c>
      <c r="CO29" s="5" t="n">
        <v>5</v>
      </c>
      <c r="CP29" s="5" t="n">
        <v>4.6</v>
      </c>
      <c r="CQ29" s="5">
        <f>IF(MAESTRO!D29="","",IFERROR(TRUNC(AVERAGE(CG29:CP29),1),""))</f>
        <v/>
      </c>
      <c r="CR29" s="5" t="n">
        <v>3.9</v>
      </c>
      <c r="CS29" s="5" t="n">
        <v>4.9</v>
      </c>
      <c r="CT29" s="5">
        <f>IF(MAESTRO!D29="","",IFERROR(AVERAGE(CR29:CS29),""))</f>
        <v/>
      </c>
      <c r="CU29" s="5">
        <f>IF(MAESTRO!D29="","",IFERROR(TRUNC(AVERAGE(CF29,CQ29,CT29),1),""))</f>
        <v/>
      </c>
      <c r="CV29" s="177" t="n"/>
      <c r="CW29" s="171" t="n">
        <v>25</v>
      </c>
      <c r="DA29" s="196" t="n"/>
      <c r="DB29" s="196" t="n"/>
      <c r="DC29" s="196" t="n"/>
      <c r="DD29" s="196" t="n"/>
      <c r="DE29" s="196" t="n"/>
      <c r="DF29" s="196" t="n"/>
      <c r="DG29" s="196" t="n"/>
      <c r="DH29" s="196" t="n"/>
      <c r="DI29" s="196" t="n"/>
      <c r="DJ29" s="196" t="n"/>
      <c r="DK29" s="196" t="n"/>
      <c r="DL29" s="196" t="n"/>
      <c r="DM29" s="196" t="n"/>
      <c r="DN29" s="196" t="n"/>
      <c r="EB29" s="196" t="n"/>
      <c r="EC29" s="196" t="n"/>
    </row>
    <row r="30" ht="13.5" customHeight="1" s="176">
      <c r="A30" s="177" t="n">
        <v>26</v>
      </c>
      <c r="B30" s="9">
        <f>IF(MAESTRO!D30="","",MAESTRO!D30)</f>
        <v/>
      </c>
      <c r="C30" s="5" t="n">
        <v>4</v>
      </c>
      <c r="D30" s="5" t="n"/>
      <c r="E30" s="5" t="n">
        <v>4</v>
      </c>
      <c r="F30" s="5" t="n"/>
      <c r="G30" s="5" t="n"/>
      <c r="H30" s="5" t="n"/>
      <c r="I30" s="5" t="n"/>
      <c r="J30" s="5" t="n"/>
      <c r="K30" s="5" t="n"/>
      <c r="L30" s="5" t="n"/>
      <c r="M30" s="5" t="n"/>
      <c r="N30" s="5" t="n"/>
      <c r="O30" s="5" t="n"/>
      <c r="P30" s="5" t="n"/>
      <c r="Q30" s="5">
        <f>IF(MAESTRO!D30="","",IFERROR(TRUNC(AVERAGE(C30:P30),1),""))</f>
        <v/>
      </c>
      <c r="R30" s="40" t="n">
        <v>26</v>
      </c>
      <c r="S30" s="22" t="n">
        <v>5</v>
      </c>
      <c r="T30" s="22" t="n"/>
      <c r="U30" s="22" t="n"/>
      <c r="V30" s="22" t="n"/>
      <c r="W30" s="22" t="n"/>
      <c r="X30" s="22" t="n"/>
      <c r="Y30" s="22" t="n"/>
      <c r="Z30" s="22" t="n"/>
      <c r="AA30" s="22" t="n"/>
      <c r="AB30" s="45">
        <f>IF(MAESTRO!D30="","",IFERROR(TRUNC(AVERAGE(S30:AA30),1),""))</f>
        <v/>
      </c>
      <c r="AC30" s="177" t="n"/>
      <c r="AD30" s="42" t="n"/>
      <c r="AE30" s="5">
        <f>IF(MAESTRO!D30="","",IFERROR(AVERAGE(AC30:AD30),""))</f>
        <v/>
      </c>
      <c r="AF30" s="44">
        <f>IF(MAESTRO!D30="","",IFERROR(TRUNC(AVERAGE(Q30,AB30,AE30),1),""))</f>
        <v/>
      </c>
      <c r="AG30" s="177" t="n"/>
      <c r="AH30" s="177" t="n">
        <v>26</v>
      </c>
      <c r="AI30" s="177" t="n">
        <v>26</v>
      </c>
      <c r="AJ30" s="177">
        <f>IF(MAESTRO!D30="","",MAESTRO!D30)</f>
        <v/>
      </c>
      <c r="AK30" s="178" t="n"/>
      <c r="AL30" s="61" t="n"/>
      <c r="AM30" s="61" t="n"/>
      <c r="AN30" s="61" t="n"/>
      <c r="AO30" s="61" t="n"/>
      <c r="AP30" s="61" t="n"/>
      <c r="AQ30" s="61" t="n"/>
      <c r="AR30" s="61" t="n"/>
      <c r="AS30" s="61" t="n"/>
      <c r="AT30" s="61" t="n"/>
      <c r="AU30" s="61" t="n"/>
      <c r="AV30" s="61" t="n"/>
      <c r="AW30" s="61" t="n"/>
      <c r="AX30" s="5">
        <f>IF(MAESTRO!D30="","",IFERROR(TRUNC(AVERAGE(AL30:AW30),1),""))</f>
        <v/>
      </c>
      <c r="AY30" s="22" t="n"/>
      <c r="AZ30" s="92" t="n"/>
      <c r="BA30" s="92" t="n"/>
      <c r="BB30" s="92" t="n"/>
      <c r="BC30" s="92" t="n"/>
      <c r="BD30" s="22" t="n"/>
      <c r="BE30" s="22" t="n"/>
      <c r="BF30" s="22" t="n"/>
      <c r="BG30" s="22" t="n"/>
      <c r="BH30" s="52" t="n"/>
      <c r="BI30" s="5">
        <f>IF(MAESTRO!D30="","",IFERROR(TRUNC(AVERAGE(AY30:BH30),1),""))</f>
        <v/>
      </c>
      <c r="BJ30" s="22" t="n"/>
      <c r="BK30" s="22" t="n"/>
      <c r="BL30" s="22">
        <f>IF(MAESTRO!D30="","",IFERROR(AVERAGE(BJ30,BK30),""))</f>
        <v/>
      </c>
      <c r="BM30" s="5">
        <f>IF(MAESTRO!D30="","",IFERROR(TRUNC(AVERAGE(AX30,BI30,BL30),1),""))</f>
        <v/>
      </c>
      <c r="BN30" s="177" t="n"/>
      <c r="BO30" s="177" t="n">
        <v>26</v>
      </c>
      <c r="BP30" s="177" t="n">
        <v>26</v>
      </c>
      <c r="BQ30" s="177">
        <f>IF(MAESTRO!D30="","",MAESTRO!D30)</f>
        <v/>
      </c>
      <c r="BR30" s="178" t="n"/>
      <c r="BS30" s="5" t="n"/>
      <c r="BT30" s="5" t="n"/>
      <c r="BU30" s="89" t="n"/>
      <c r="BV30" s="5" t="n"/>
      <c r="BW30" s="5" t="n"/>
      <c r="BX30" s="5" t="n"/>
      <c r="BY30" s="5" t="n"/>
      <c r="BZ30" s="5" t="n"/>
      <c r="CA30" s="5" t="n"/>
      <c r="CB30" s="5" t="n"/>
      <c r="CC30" s="5" t="n"/>
      <c r="CD30" s="5" t="n"/>
      <c r="CE30" s="5" t="n"/>
      <c r="CF30" s="5">
        <f>IF(MAESTRO!D30="","",IFERROR(TRUNC(AVERAGE(BS30:CE30),1),""))</f>
        <v/>
      </c>
      <c r="CG30" s="5" t="n"/>
      <c r="CH30" s="5" t="n"/>
      <c r="CI30" s="5" t="n"/>
      <c r="CJ30" s="89"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177" t="n"/>
      <c r="CW30" s="171" t="n">
        <v>26</v>
      </c>
      <c r="DA30" s="196" t="n"/>
      <c r="DB30" s="196" t="n"/>
      <c r="DC30" s="196" t="n"/>
      <c r="DD30" s="196" t="n"/>
      <c r="DE30" s="196" t="n"/>
      <c r="DF30" s="196" t="n"/>
      <c r="DG30" s="196" t="n"/>
      <c r="DH30" s="196" t="n"/>
      <c r="DI30" s="196" t="n"/>
      <c r="DJ30" s="196" t="n"/>
      <c r="DK30" s="196" t="n"/>
      <c r="DL30" s="196" t="n"/>
      <c r="DM30" s="196" t="n"/>
      <c r="DN30" s="196" t="n"/>
      <c r="EB30" s="196" t="n"/>
      <c r="EC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t="n"/>
      <c r="Q31" s="5">
        <f>IF(MAESTRO!D31="","",IFERROR(TRUNC(AVERAGE(C31:P31),1),""))</f>
        <v/>
      </c>
      <c r="R31" s="40" t="n">
        <v>27</v>
      </c>
      <c r="S31" s="22" t="n">
        <v>5</v>
      </c>
      <c r="T31" s="90" t="n"/>
      <c r="U31" s="22" t="n"/>
      <c r="V31" s="22" t="n"/>
      <c r="W31" s="22" t="n"/>
      <c r="X31" s="22" t="n"/>
      <c r="Y31" s="22" t="n"/>
      <c r="Z31" s="22" t="n"/>
      <c r="AA31" s="22" t="n"/>
      <c r="AB31" s="45">
        <f>IF(MAESTRO!D31="","",IFERROR(TRUNC(AVERAGE(S31:AA31),1),""))</f>
        <v/>
      </c>
      <c r="AC31" s="177" t="n"/>
      <c r="AD31" s="42" t="n"/>
      <c r="AE31" s="5">
        <f>IF(MAESTRO!D31="","",IFERROR(AVERAGE(AC31:AD31),""))</f>
        <v/>
      </c>
      <c r="AF31" s="44">
        <f>IF(MAESTRO!D31="","",IFERROR(TRUNC(AVERAGE(Q31,AB31,AE31),1),""))</f>
        <v/>
      </c>
      <c r="AG31" s="177" t="n"/>
      <c r="AH31" s="177" t="n">
        <v>27</v>
      </c>
      <c r="AI31" s="177" t="n">
        <v>27</v>
      </c>
      <c r="AJ31" s="177">
        <f>IF(MAESTRO!D31="","",MAESTRO!D31)</f>
        <v/>
      </c>
      <c r="AK31" s="178" t="n"/>
      <c r="AL31" s="61" t="n"/>
      <c r="AM31" s="61" t="n"/>
      <c r="AN31" s="61" t="n"/>
      <c r="AO31" s="61" t="n"/>
      <c r="AP31" s="61" t="n"/>
      <c r="AQ31" s="61" t="n"/>
      <c r="AR31" s="61" t="n"/>
      <c r="AS31" s="61" t="n"/>
      <c r="AT31" s="61" t="n"/>
      <c r="AU31" s="61" t="n"/>
      <c r="AV31" s="61" t="n"/>
      <c r="AW31" s="61" t="n"/>
      <c r="AX31" s="5">
        <f>IF(MAESTRO!D31="","",IFERROR(TRUNC(AVERAGE(AL31:AW31),1),""))</f>
        <v/>
      </c>
      <c r="AY31" s="22" t="n"/>
      <c r="AZ31" s="92" t="n"/>
      <c r="BA31" s="92" t="n"/>
      <c r="BB31" s="92" t="n"/>
      <c r="BC31" s="92" t="n"/>
      <c r="BD31" s="22" t="n"/>
      <c r="BE31" s="22" t="n"/>
      <c r="BF31" s="22" t="n"/>
      <c r="BG31" s="22" t="n"/>
      <c r="BH31" s="52" t="n"/>
      <c r="BI31" s="5">
        <f>IF(MAESTRO!D31="","",IFERROR(TRUNC(AVERAGE(AY31:BH31),1),""))</f>
        <v/>
      </c>
      <c r="BJ31" s="22" t="n"/>
      <c r="BK31" s="22" t="n"/>
      <c r="BL31" s="22">
        <f>IF(MAESTRO!D31="","",IFERROR(AVERAGE(BJ31,BK31),""))</f>
        <v/>
      </c>
      <c r="BM31" s="5">
        <f>IF(MAESTRO!D31="","",IFERROR(TRUNC(AVERAGE(AX31,BI31,BL31),1),""))</f>
        <v/>
      </c>
      <c r="BN31" s="177" t="n"/>
      <c r="BO31" s="177" t="n">
        <v>27</v>
      </c>
      <c r="BP31" s="177" t="n">
        <v>27</v>
      </c>
      <c r="BQ31" s="177">
        <f>IF(MAESTRO!D31="","",MAESTRO!D31)</f>
        <v/>
      </c>
      <c r="BR31" s="178" t="n"/>
      <c r="BS31" s="5" t="n"/>
      <c r="BT31" s="5" t="n"/>
      <c r="BU31" s="89" t="n"/>
      <c r="BV31" s="5" t="n"/>
      <c r="BW31" s="5" t="n"/>
      <c r="BX31" s="5" t="n"/>
      <c r="BY31" s="5" t="n"/>
      <c r="BZ31" s="5" t="n"/>
      <c r="CA31" s="5" t="n"/>
      <c r="CB31" s="5" t="n"/>
      <c r="CC31" s="5" t="n"/>
      <c r="CD31" s="5" t="n"/>
      <c r="CE31" s="5" t="n"/>
      <c r="CF31" s="5">
        <f>IF(MAESTRO!D31="","",IFERROR(TRUNC(AVERAGE(BS31:CE31),1),""))</f>
        <v/>
      </c>
      <c r="CG31" s="5" t="n"/>
      <c r="CH31" s="5" t="n"/>
      <c r="CI31" s="5" t="n"/>
      <c r="CJ31" s="89"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177" t="n"/>
      <c r="CW31" s="171" t="n">
        <v>27</v>
      </c>
      <c r="DA31" s="196" t="n"/>
      <c r="DB31" s="196" t="n"/>
      <c r="DC31" s="196" t="n"/>
      <c r="DD31" s="196" t="n"/>
      <c r="DE31" s="196" t="n"/>
      <c r="DF31" s="196" t="n"/>
      <c r="DG31" s="196" t="n"/>
      <c r="DH31" s="196" t="n"/>
      <c r="DI31" s="196" t="n"/>
      <c r="DJ31" s="196" t="n"/>
      <c r="DK31" s="196" t="n"/>
      <c r="DL31" s="196" t="n"/>
      <c r="DM31" s="196" t="n"/>
      <c r="DN31" s="196" t="n"/>
      <c r="EB31" s="196" t="n"/>
      <c r="EC31" s="196" t="n"/>
    </row>
    <row r="32" ht="13.5" customHeight="1" s="176">
      <c r="A32" s="177" t="n">
        <v>28</v>
      </c>
      <c r="B32" s="9">
        <f>IF(MAESTRO!D32="","",MAESTRO!D32)</f>
        <v/>
      </c>
      <c r="C32" s="5" t="n">
        <v>4.2</v>
      </c>
      <c r="D32" s="5" t="n">
        <v>4.5</v>
      </c>
      <c r="E32" s="5" t="n">
        <v>5</v>
      </c>
      <c r="F32" s="5" t="n">
        <v>4.8</v>
      </c>
      <c r="G32" s="5" t="n"/>
      <c r="H32" s="5" t="n"/>
      <c r="I32" s="5" t="n"/>
      <c r="J32" s="5" t="n"/>
      <c r="K32" s="5" t="n"/>
      <c r="L32" s="5" t="n"/>
      <c r="M32" s="5" t="n"/>
      <c r="N32" s="5" t="n"/>
      <c r="O32" s="5" t="n"/>
      <c r="P32" s="5" t="n"/>
      <c r="Q32" s="5">
        <f>IF(MAESTRO!D32="","",IFERROR(TRUNC(AVERAGE(C32:P32),1),""))</f>
        <v/>
      </c>
      <c r="R32" s="40" t="n">
        <v>28</v>
      </c>
      <c r="S32" s="22" t="n">
        <v>5</v>
      </c>
      <c r="T32" s="90" t="n"/>
      <c r="U32" s="22" t="n"/>
      <c r="V32" s="22" t="n"/>
      <c r="W32" s="22" t="n"/>
      <c r="X32" s="22" t="n"/>
      <c r="Y32" s="22" t="n"/>
      <c r="Z32" s="22" t="n"/>
      <c r="AA32" s="22" t="n"/>
      <c r="AB32" s="45">
        <f>IF(MAESTRO!D32="","",IFERROR(TRUNC(AVERAGE(S32:AA32),1),""))</f>
        <v/>
      </c>
      <c r="AC32" s="177" t="n"/>
      <c r="AD32" s="42" t="n"/>
      <c r="AE32" s="5">
        <f>IF(MAESTRO!D32="","",IFERROR(AVERAGE(AC32:AD32),""))</f>
        <v/>
      </c>
      <c r="AF32" s="44">
        <f>IF(MAESTRO!D32="","",IFERROR(TRUNC(AVERAGE(Q32,AB32,AE32),1),""))</f>
        <v/>
      </c>
      <c r="AG32" s="177" t="n"/>
      <c r="AH32" s="177" t="n">
        <v>28</v>
      </c>
      <c r="AI32" s="177" t="n">
        <v>28</v>
      </c>
      <c r="AJ32" s="177">
        <f>IF(MAESTRO!D32="","",MAESTRO!D32)</f>
        <v/>
      </c>
      <c r="AK32" s="178" t="n"/>
      <c r="AL32" s="91" t="n"/>
      <c r="AM32" s="91" t="n"/>
      <c r="AN32" s="91" t="n"/>
      <c r="AO32" s="91" t="n"/>
      <c r="AP32" s="91" t="n"/>
      <c r="AQ32" s="91" t="n"/>
      <c r="AR32" s="91" t="n"/>
      <c r="AS32" s="61" t="n"/>
      <c r="AT32" s="61" t="n"/>
      <c r="AU32" s="61" t="n"/>
      <c r="AV32" s="61" t="n"/>
      <c r="AW32" s="61" t="n"/>
      <c r="AX32" s="5">
        <f>IF(MAESTRO!D32="","",IFERROR(TRUNC(AVERAGE(AL32:AW32),1),""))</f>
        <v/>
      </c>
      <c r="AY32" s="92" t="n"/>
      <c r="AZ32" s="92" t="n"/>
      <c r="BA32" s="92" t="n"/>
      <c r="BB32" s="92" t="n"/>
      <c r="BC32" s="92" t="n"/>
      <c r="BD32" s="22" t="n"/>
      <c r="BE32" s="22" t="n"/>
      <c r="BF32" s="22" t="n"/>
      <c r="BG32" s="22" t="n"/>
      <c r="BH32" s="52" t="n"/>
      <c r="BI32" s="5">
        <f>IF(MAESTRO!D32="","",IFERROR(TRUNC(AVERAGE(AY32:BH32),1),""))</f>
        <v/>
      </c>
      <c r="BJ32" s="22" t="n"/>
      <c r="BK32" s="22" t="n"/>
      <c r="BL32" s="22">
        <f>IF(MAESTRO!D32="","",IFERROR(AVERAGE(BJ32,BK32),""))</f>
        <v/>
      </c>
      <c r="BM32" s="5">
        <f>IF(MAESTRO!D32="","",IFERROR(TRUNC(AVERAGE(AX32,BI32,BL32),1),""))</f>
        <v/>
      </c>
      <c r="BN32" s="177" t="n"/>
      <c r="BO32" s="177" t="n">
        <v>28</v>
      </c>
      <c r="BP32" s="177" t="n">
        <v>28</v>
      </c>
      <c r="BQ32" s="177">
        <f>IF(MAESTRO!D32="","",MAESTRO!D32)</f>
        <v/>
      </c>
      <c r="BR32" s="178" t="n"/>
      <c r="BS32" s="5" t="n"/>
      <c r="BT32" s="5" t="n"/>
      <c r="BU32" s="89" t="n"/>
      <c r="BV32" s="5" t="n"/>
      <c r="BW32" s="5" t="n"/>
      <c r="BX32" s="5" t="n"/>
      <c r="BY32" s="5" t="n"/>
      <c r="BZ32" s="5" t="n"/>
      <c r="CA32" s="5" t="n"/>
      <c r="CB32" s="5" t="n"/>
      <c r="CC32" s="5" t="n"/>
      <c r="CD32" s="5" t="n"/>
      <c r="CE32" s="5" t="n"/>
      <c r="CF32" s="5">
        <f>IF(MAESTRO!D32="","",IFERROR(TRUNC(AVERAGE(BS32:CE32),1),""))</f>
        <v/>
      </c>
      <c r="CG32" s="5" t="n"/>
      <c r="CH32" s="5" t="n"/>
      <c r="CI32" s="5" t="n"/>
      <c r="CJ32" s="89"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177" t="n"/>
      <c r="CW32" s="171" t="n">
        <v>28</v>
      </c>
      <c r="DA32" s="196" t="n"/>
      <c r="DB32" s="196" t="n"/>
      <c r="DC32" s="196" t="n"/>
      <c r="DD32" s="196" t="n"/>
      <c r="DE32" s="196" t="n"/>
      <c r="DF32" s="196" t="n"/>
      <c r="DG32" s="196" t="n"/>
      <c r="DH32" s="196" t="n"/>
      <c r="DI32" s="196" t="n"/>
      <c r="DJ32" s="196" t="n"/>
      <c r="DK32" s="196" t="n"/>
      <c r="DL32" s="196" t="n"/>
      <c r="DM32" s="196" t="n"/>
      <c r="DN32" s="196" t="n"/>
      <c r="EB32" s="196" t="n"/>
      <c r="EC32" s="196" t="n"/>
    </row>
    <row r="33" ht="13.5" customHeight="1" s="176">
      <c r="A33" s="177" t="n">
        <v>29</v>
      </c>
      <c r="B33" s="9">
        <f>IF(MAESTRO!D33="","",MAESTRO!D33)</f>
        <v/>
      </c>
      <c r="C33" s="5" t="n">
        <v>4.8</v>
      </c>
      <c r="D33" s="5" t="n">
        <v>5</v>
      </c>
      <c r="E33" s="5" t="n"/>
      <c r="F33" s="5" t="n">
        <v>4.2</v>
      </c>
      <c r="G33" s="5" t="n"/>
      <c r="H33" s="5" t="n"/>
      <c r="I33" s="5" t="n"/>
      <c r="J33" s="5" t="n"/>
      <c r="K33" s="5" t="n"/>
      <c r="L33" s="5" t="n"/>
      <c r="M33" s="5" t="n"/>
      <c r="N33" s="5" t="n"/>
      <c r="O33" s="5" t="n"/>
      <c r="P33" s="5" t="n"/>
      <c r="Q33" s="5">
        <f>IF(MAESTRO!D33="","",IFERROR(TRUNC(AVERAGE(C33:P33),1),""))</f>
        <v/>
      </c>
      <c r="R33" s="40" t="n">
        <v>29</v>
      </c>
      <c r="S33" s="22" t="n">
        <v>5</v>
      </c>
      <c r="T33" s="90" t="n"/>
      <c r="U33" s="22" t="n"/>
      <c r="V33" s="22" t="n"/>
      <c r="W33" s="22" t="n"/>
      <c r="X33" s="22" t="n"/>
      <c r="Y33" s="22" t="n"/>
      <c r="Z33" s="22" t="n"/>
      <c r="AA33" s="22" t="n"/>
      <c r="AB33" s="45">
        <f>IF(MAESTRO!D33="","",IFERROR(TRUNC(AVERAGE(S33:AA33),1),""))</f>
        <v/>
      </c>
      <c r="AC33" s="177" t="n"/>
      <c r="AD33" s="42" t="n"/>
      <c r="AE33" s="5">
        <f>IF(MAESTRO!D33="","",IFERROR(AVERAGE(AC33:AD33),""))</f>
        <v/>
      </c>
      <c r="AF33" s="44">
        <f>IF(MAESTRO!D33="","",IFERROR(TRUNC(AVERAGE(Q33,AB33,AE33),1),""))</f>
        <v/>
      </c>
      <c r="AG33" s="177" t="n"/>
      <c r="AH33" s="177" t="n">
        <v>29</v>
      </c>
      <c r="AI33" s="177" t="n">
        <v>29</v>
      </c>
      <c r="AJ33" s="177">
        <f>IF(MAESTRO!D33="","",MAESTRO!D33)</f>
        <v/>
      </c>
      <c r="AK33" s="178" t="n"/>
      <c r="AL33" s="91" t="n"/>
      <c r="AM33" s="91" t="n"/>
      <c r="AN33" s="91" t="n"/>
      <c r="AO33" s="91" t="n"/>
      <c r="AP33" s="91" t="n"/>
      <c r="AQ33" s="91" t="n"/>
      <c r="AR33" s="91" t="n"/>
      <c r="AS33" s="61" t="n"/>
      <c r="AT33" s="61" t="n"/>
      <c r="AU33" s="61" t="n"/>
      <c r="AV33" s="61" t="n"/>
      <c r="AW33" s="61" t="n"/>
      <c r="AX33" s="5">
        <f>IF(MAESTRO!D33="","",IFERROR(TRUNC(AVERAGE(AL33:AW33),1),""))</f>
        <v/>
      </c>
      <c r="AY33" s="92" t="n"/>
      <c r="AZ33" s="92" t="n"/>
      <c r="BA33" s="92" t="n"/>
      <c r="BB33" s="92" t="n"/>
      <c r="BC33" s="92" t="n"/>
      <c r="BD33" s="22" t="n"/>
      <c r="BE33" s="22" t="n"/>
      <c r="BF33" s="22" t="n"/>
      <c r="BG33" s="22" t="n"/>
      <c r="BH33" s="52" t="n"/>
      <c r="BI33" s="5">
        <f>IF(MAESTRO!D33="","",IFERROR(TRUNC(AVERAGE(AY33:BH33),1),""))</f>
        <v/>
      </c>
      <c r="BJ33" s="22" t="n"/>
      <c r="BK33" s="22" t="n"/>
      <c r="BL33" s="22">
        <f>IF(MAESTRO!D33="","",IFERROR(AVERAGE(BJ33,BK33),""))</f>
        <v/>
      </c>
      <c r="BM33" s="5">
        <f>IF(MAESTRO!D33="","",IFERROR(TRUNC(AVERAGE(AX33,BI33,BL33),1),""))</f>
        <v/>
      </c>
      <c r="BN33" s="177" t="n"/>
      <c r="BO33" s="177" t="n">
        <v>29</v>
      </c>
      <c r="BP33" s="177" t="n">
        <v>29</v>
      </c>
      <c r="BQ33" s="177">
        <f>IF(MAESTRO!D33="","",MAESTRO!D33)</f>
        <v/>
      </c>
      <c r="BR33" s="178" t="n"/>
      <c r="BS33" s="89" t="n"/>
      <c r="BT33" s="89" t="n"/>
      <c r="BU33" s="89" t="n"/>
      <c r="BV33" s="89" t="n"/>
      <c r="BW33" s="5" t="n"/>
      <c r="BX33" s="5" t="n"/>
      <c r="BY33" s="5" t="n"/>
      <c r="BZ33" s="5" t="n"/>
      <c r="CA33" s="5" t="n"/>
      <c r="CB33" s="5" t="n"/>
      <c r="CC33" s="5" t="n"/>
      <c r="CD33" s="5" t="n"/>
      <c r="CE33" s="5" t="n"/>
      <c r="CF33" s="5">
        <f>IF(MAESTRO!D33="","",IFERROR(TRUNC(AVERAGE(BS33:CE33),1),""))</f>
        <v/>
      </c>
      <c r="CG33" s="5" t="n"/>
      <c r="CH33" s="5" t="n"/>
      <c r="CI33" s="5" t="n"/>
      <c r="CJ33" s="89"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177" t="n"/>
      <c r="CW33" s="171" t="n">
        <v>29</v>
      </c>
      <c r="DA33" s="196" t="n"/>
      <c r="DB33" s="196" t="n"/>
      <c r="DC33" s="196" t="n"/>
      <c r="DD33" s="196" t="n"/>
      <c r="DE33" s="196" t="n"/>
      <c r="DF33" s="196" t="n"/>
      <c r="DG33" s="196" t="n"/>
      <c r="DH33" s="196" t="n"/>
      <c r="DI33" s="196" t="n"/>
      <c r="DJ33" s="196" t="n"/>
      <c r="DK33" s="196" t="n"/>
      <c r="DL33" s="196" t="n"/>
      <c r="DM33" s="196" t="n"/>
      <c r="DN33" s="196" t="n"/>
      <c r="EB33" s="196" t="n"/>
      <c r="EC33" s="196" t="n"/>
    </row>
    <row r="34" ht="13.5" customHeight="1" s="176">
      <c r="A34" s="177" t="n">
        <v>30</v>
      </c>
      <c r="B34" s="9">
        <f>IF(MAESTRO!D34="","",MAESTRO!D34)</f>
        <v/>
      </c>
      <c r="C34" s="5" t="n">
        <v>3.6</v>
      </c>
      <c r="D34" s="5" t="n"/>
      <c r="E34" s="5" t="n">
        <v>4.9</v>
      </c>
      <c r="F34" s="5" t="n">
        <v>4.8</v>
      </c>
      <c r="G34" s="5" t="n"/>
      <c r="H34" s="5" t="n"/>
      <c r="I34" s="5" t="n"/>
      <c r="J34" s="5" t="n"/>
      <c r="K34" s="5" t="n"/>
      <c r="L34" s="5" t="n"/>
      <c r="M34" s="5" t="n"/>
      <c r="N34" s="5" t="n"/>
      <c r="O34" s="5" t="n"/>
      <c r="P34" s="5" t="n"/>
      <c r="Q34" s="5">
        <f>IF(MAESTRO!D34="","",IFERROR(TRUNC(AVERAGE(C34:P34),1),""))</f>
        <v/>
      </c>
      <c r="R34" s="40" t="n">
        <v>30</v>
      </c>
      <c r="S34" s="22" t="n">
        <v>5</v>
      </c>
      <c r="T34" s="90" t="n"/>
      <c r="U34" s="22" t="n"/>
      <c r="V34" s="22" t="n"/>
      <c r="W34" s="22" t="n"/>
      <c r="X34" s="22" t="n"/>
      <c r="Y34" s="22" t="n"/>
      <c r="Z34" s="22" t="n"/>
      <c r="AA34" s="22" t="n"/>
      <c r="AB34" s="45">
        <f>IF(MAESTRO!D34="","",IFERROR(TRUNC(AVERAGE(S34:AA34),1),""))</f>
        <v/>
      </c>
      <c r="AC34" s="177" t="n"/>
      <c r="AD34" s="42" t="n"/>
      <c r="AE34" s="5">
        <f>IF(MAESTRO!D34="","",IFERROR(AVERAGE(AC34:AD34),""))</f>
        <v/>
      </c>
      <c r="AF34" s="44">
        <f>IF(MAESTRO!D34="","",IFERROR(TRUNC(AVERAGE(Q34,AB34,AE34),1),""))</f>
        <v/>
      </c>
      <c r="AG34" s="177" t="n"/>
      <c r="AH34" s="177" t="n">
        <v>30</v>
      </c>
      <c r="AI34" s="177" t="n">
        <v>30</v>
      </c>
      <c r="AJ34" s="177">
        <f>IF(MAESTRO!D34="","",MAESTRO!D34)</f>
        <v/>
      </c>
      <c r="AK34" s="178" t="n"/>
      <c r="AL34" s="91" t="n"/>
      <c r="AM34" s="91" t="n"/>
      <c r="AN34" s="91" t="n"/>
      <c r="AO34" s="91" t="n"/>
      <c r="AP34" s="91" t="n"/>
      <c r="AQ34" s="91" t="n"/>
      <c r="AR34" s="91" t="n"/>
      <c r="AS34" s="61" t="n"/>
      <c r="AT34" s="61" t="n"/>
      <c r="AU34" s="61" t="n"/>
      <c r="AV34" s="61" t="n"/>
      <c r="AW34" s="61" t="n"/>
      <c r="AX34" s="5">
        <f>IF(MAESTRO!D34="","",IFERROR(TRUNC(AVERAGE(AL34:AW34),1),""))</f>
        <v/>
      </c>
      <c r="AY34" s="92" t="n"/>
      <c r="AZ34" s="92" t="n"/>
      <c r="BA34" s="92" t="n"/>
      <c r="BB34" s="92" t="n"/>
      <c r="BC34" s="92" t="n"/>
      <c r="BD34" s="22" t="n"/>
      <c r="BE34" s="22" t="n"/>
      <c r="BF34" s="22" t="n"/>
      <c r="BG34" s="22" t="n"/>
      <c r="BH34" s="52" t="n"/>
      <c r="BI34" s="5">
        <f>IF(MAESTRO!D34="","",IFERROR(TRUNC(AVERAGE(AY34:BH34),1),""))</f>
        <v/>
      </c>
      <c r="BJ34" s="22" t="n"/>
      <c r="BK34" s="22" t="n"/>
      <c r="BL34" s="22">
        <f>IF(MAESTRO!D34="","",IFERROR(AVERAGE(BJ34,BK34),""))</f>
        <v/>
      </c>
      <c r="BM34" s="5">
        <f>IF(MAESTRO!D34="","",IFERROR(TRUNC(AVERAGE(AX34,BI34,BL34),1),""))</f>
        <v/>
      </c>
      <c r="BN34" s="177" t="n"/>
      <c r="BO34" s="177" t="n">
        <v>30</v>
      </c>
      <c r="BP34" s="177" t="n">
        <v>30</v>
      </c>
      <c r="BQ34" s="177">
        <f>IF(MAESTRO!D34="","",MAESTRO!D34)</f>
        <v/>
      </c>
      <c r="BR34" s="178" t="n"/>
      <c r="BS34" s="89" t="n"/>
      <c r="BT34" s="89" t="n"/>
      <c r="BU34" s="89" t="n"/>
      <c r="BV34" s="89" t="n"/>
      <c r="BW34" s="5" t="n"/>
      <c r="BX34" s="5" t="n"/>
      <c r="BY34" s="5" t="n"/>
      <c r="BZ34" s="5" t="n"/>
      <c r="CA34" s="5" t="n"/>
      <c r="CB34" s="5" t="n"/>
      <c r="CC34" s="5" t="n"/>
      <c r="CD34" s="5" t="n"/>
      <c r="CE34" s="5" t="n"/>
      <c r="CF34" s="5">
        <f>IF(MAESTRO!D34="","",IFERROR(TRUNC(AVERAGE(BS34:CE34),1),""))</f>
        <v/>
      </c>
      <c r="CG34" s="89" t="n"/>
      <c r="CH34" s="89" t="n"/>
      <c r="CI34" s="89" t="n"/>
      <c r="CJ34" s="89"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177" t="n"/>
      <c r="CW34" s="171" t="n">
        <v>30</v>
      </c>
      <c r="DA34" s="196" t="n"/>
      <c r="DB34" s="196" t="n"/>
      <c r="DC34" s="196" t="n"/>
      <c r="DD34" s="196" t="n"/>
      <c r="DE34" s="196" t="n"/>
      <c r="DF34" s="196" t="n"/>
      <c r="DG34" s="196" t="n"/>
      <c r="DH34" s="196" t="n"/>
      <c r="DI34" s="196" t="n"/>
      <c r="DJ34" s="196" t="n"/>
      <c r="DK34" s="196" t="n"/>
      <c r="DL34" s="196" t="n"/>
      <c r="DM34" s="196" t="n"/>
      <c r="DN34" s="196" t="n"/>
      <c r="EB34" s="196" t="n"/>
      <c r="EC34" s="196" t="n"/>
    </row>
    <row r="35" ht="13.5" customHeight="1" s="176">
      <c r="A35" s="177" t="n">
        <v>31</v>
      </c>
      <c r="B35" s="9">
        <f>IF(MAESTRO!D35="","",MAESTRO!D35)</f>
        <v/>
      </c>
      <c r="C35" s="5" t="n">
        <v>4.9</v>
      </c>
      <c r="D35" s="5" t="n">
        <v>3</v>
      </c>
      <c r="E35" s="5" t="n"/>
      <c r="F35" s="5" t="n"/>
      <c r="G35" s="5" t="n"/>
      <c r="H35" s="5" t="n"/>
      <c r="I35" s="5" t="n"/>
      <c r="J35" s="5" t="n"/>
      <c r="K35" s="5" t="n"/>
      <c r="L35" s="5" t="n"/>
      <c r="M35" s="5" t="n"/>
      <c r="N35" s="5" t="n"/>
      <c r="O35" s="5" t="n"/>
      <c r="P35" s="5" t="n"/>
      <c r="Q35" s="5">
        <f>IF(MAESTRO!D35="","",IFERROR(TRUNC(AVERAGE(C35:P35),1),""))</f>
        <v/>
      </c>
      <c r="R35" s="40" t="n">
        <v>31</v>
      </c>
      <c r="S35" s="22" t="n">
        <v>5</v>
      </c>
      <c r="T35" s="90" t="n"/>
      <c r="U35" s="22" t="n"/>
      <c r="V35" s="22" t="n"/>
      <c r="W35" s="22" t="n"/>
      <c r="X35" s="22" t="n"/>
      <c r="Y35" s="22" t="n"/>
      <c r="Z35" s="22" t="n"/>
      <c r="AA35" s="22" t="n"/>
      <c r="AB35" s="45">
        <f>IF(MAESTRO!D35="","",IFERROR(TRUNC(AVERAGE(S35:AA35),1),""))</f>
        <v/>
      </c>
      <c r="AC35" s="177" t="n"/>
      <c r="AD35" s="42" t="n"/>
      <c r="AE35" s="5">
        <f>IF(MAESTRO!D35="","",IFERROR(AVERAGE(AC35:AD35),""))</f>
        <v/>
      </c>
      <c r="AF35" s="44">
        <f>IF(MAESTRO!D35="","",IFERROR(TRUNC(AVERAGE(Q35,AB35,AE35),1),""))</f>
        <v/>
      </c>
      <c r="AG35" s="177" t="n"/>
      <c r="AH35" s="177" t="n">
        <v>31</v>
      </c>
      <c r="AI35" s="177" t="n">
        <v>31</v>
      </c>
      <c r="AJ35" s="177">
        <f>IF(MAESTRO!D35="","",MAESTRO!D35)</f>
        <v/>
      </c>
      <c r="AK35" s="178" t="n"/>
      <c r="AL35" s="91" t="n"/>
      <c r="AM35" s="91" t="n"/>
      <c r="AN35" s="91" t="n"/>
      <c r="AO35" s="91" t="n"/>
      <c r="AP35" s="91" t="n"/>
      <c r="AQ35" s="91" t="n"/>
      <c r="AR35" s="91" t="n"/>
      <c r="AS35" s="61" t="n"/>
      <c r="AT35" s="61" t="n"/>
      <c r="AU35" s="61" t="n"/>
      <c r="AV35" s="61" t="n"/>
      <c r="AW35" s="61" t="n"/>
      <c r="AX35" s="5">
        <f>IF(MAESTRO!D35="","",IFERROR(TRUNC(AVERAGE(AL35:AW35),1),""))</f>
        <v/>
      </c>
      <c r="AY35" s="92" t="n"/>
      <c r="AZ35" s="92" t="n"/>
      <c r="BA35" s="92" t="n"/>
      <c r="BB35" s="92" t="n"/>
      <c r="BC35" s="92" t="n"/>
      <c r="BD35" s="22" t="n"/>
      <c r="BE35" s="22" t="n"/>
      <c r="BF35" s="22" t="n"/>
      <c r="BG35" s="22" t="n"/>
      <c r="BH35" s="52" t="n"/>
      <c r="BI35" s="5">
        <f>IF(MAESTRO!D35="","",IFERROR(TRUNC(AVERAGE(AY35:BH35),1),""))</f>
        <v/>
      </c>
      <c r="BJ35" s="22" t="n"/>
      <c r="BK35" s="22" t="n"/>
      <c r="BL35" s="22">
        <f>IF(MAESTRO!D35="","",IFERROR(AVERAGE(BJ35,BK35),""))</f>
        <v/>
      </c>
      <c r="BM35" s="5">
        <f>IF(MAESTRO!D35="","",IFERROR(TRUNC(AVERAGE(AX35,BI35,BL35),1),""))</f>
        <v/>
      </c>
      <c r="BN35" s="177" t="n"/>
      <c r="BO35" s="177" t="n">
        <v>31</v>
      </c>
      <c r="BP35" s="177" t="n">
        <v>31</v>
      </c>
      <c r="BQ35" s="177">
        <f>IF(MAESTRO!D35="","",MAESTRO!D35)</f>
        <v/>
      </c>
      <c r="BR35" s="178" t="n"/>
      <c r="BS35" s="89" t="n"/>
      <c r="BT35" s="89" t="n"/>
      <c r="BU35" s="89" t="n"/>
      <c r="BV35" s="89" t="n"/>
      <c r="BW35" s="5" t="n"/>
      <c r="BX35" s="5" t="n"/>
      <c r="BY35" s="5" t="n"/>
      <c r="BZ35" s="5" t="n"/>
      <c r="CA35" s="5" t="n"/>
      <c r="CB35" s="5" t="n"/>
      <c r="CC35" s="5" t="n"/>
      <c r="CD35" s="5" t="n"/>
      <c r="CE35" s="5" t="n"/>
      <c r="CF35" s="5">
        <f>IF(MAESTRO!D35="","",IFERROR(TRUNC(AVERAGE(BS35:CE35),1),""))</f>
        <v/>
      </c>
      <c r="CG35" s="89" t="n"/>
      <c r="CH35" s="89" t="n"/>
      <c r="CI35" s="89" t="n"/>
      <c r="CJ35" s="89"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177" t="n"/>
      <c r="CW35" s="171" t="n">
        <v>31</v>
      </c>
      <c r="DA35" s="196" t="n"/>
      <c r="DB35" s="196" t="n"/>
      <c r="DC35" s="196" t="n"/>
      <c r="DD35" s="196" t="n"/>
      <c r="DE35" s="196" t="n"/>
      <c r="DF35" s="196" t="n"/>
      <c r="DG35" s="196" t="n"/>
      <c r="DH35" s="196" t="n"/>
      <c r="DI35" s="196" t="n"/>
      <c r="DJ35" s="196" t="n"/>
      <c r="DK35" s="196" t="n"/>
      <c r="DL35" s="196" t="n"/>
      <c r="DM35" s="196" t="n"/>
      <c r="DN35" s="196" t="n"/>
      <c r="EB35" s="196" t="n"/>
      <c r="EC35" s="196" t="n"/>
    </row>
    <row r="36" ht="13.5" customHeight="1" s="176">
      <c r="A36" s="177" t="n">
        <v>32</v>
      </c>
      <c r="B36" s="9">
        <f>IF(MAESTRO!D36="","",MAESTRO!D36)</f>
        <v/>
      </c>
      <c r="C36" s="90" t="n"/>
      <c r="D36" s="89" t="n"/>
      <c r="E36" s="89" t="n"/>
      <c r="F36" s="89" t="n"/>
      <c r="G36" s="89" t="n"/>
      <c r="H36" s="89" t="n"/>
      <c r="I36" s="89" t="n"/>
      <c r="J36" s="89" t="n"/>
      <c r="K36" s="89" t="n"/>
      <c r="L36" s="90" t="n"/>
      <c r="M36" s="5" t="n"/>
      <c r="N36" s="173" t="n"/>
      <c r="O36" s="5" t="n"/>
      <c r="P36" s="5" t="n"/>
      <c r="Q36" s="5">
        <f>IF(MAESTRO!D36="","",IFERROR(TRUNC(AVERAGE(C36:P36),1),""))</f>
        <v/>
      </c>
      <c r="R36" s="40" t="n">
        <v>32</v>
      </c>
      <c r="S36" s="90" t="n"/>
      <c r="T36" s="90" t="n"/>
      <c r="U36" s="22" t="n"/>
      <c r="V36" s="22" t="n"/>
      <c r="W36" s="22" t="n"/>
      <c r="X36" s="22" t="n"/>
      <c r="Y36" s="22" t="n"/>
      <c r="Z36" s="22" t="n"/>
      <c r="AA36" s="22" t="n"/>
      <c r="AB36" s="45">
        <f>IF(MAESTRO!D36="","",IFERROR(TRUNC(AVERAGE(S36:AA36),1),""))</f>
        <v/>
      </c>
      <c r="AC36" s="177" t="n"/>
      <c r="AD36" s="42" t="n"/>
      <c r="AE36" s="5">
        <f>IF(MAESTRO!D36="","",IFERROR(AVERAGE(AC36:AD36),""))</f>
        <v/>
      </c>
      <c r="AF36" s="44">
        <f>IF(MAESTRO!D36="","",IFERROR(TRUNC(AVERAGE(Q36,AB36,AE36),1),""))</f>
        <v/>
      </c>
      <c r="AG36" s="177" t="n"/>
      <c r="AH36" s="177" t="n">
        <v>32</v>
      </c>
      <c r="AI36" s="177" t="n">
        <v>32</v>
      </c>
      <c r="AJ36" s="177">
        <f>IF(MAESTRO!D36="","",MAESTRO!D36)</f>
        <v/>
      </c>
      <c r="AK36" s="178" t="n"/>
      <c r="AL36" s="91" t="n"/>
      <c r="AM36" s="91" t="n"/>
      <c r="AN36" s="91" t="n"/>
      <c r="AO36" s="91" t="n"/>
      <c r="AP36" s="91" t="n"/>
      <c r="AQ36" s="91" t="n"/>
      <c r="AR36" s="91" t="n"/>
      <c r="AS36" s="61" t="n"/>
      <c r="AT36" s="61" t="n"/>
      <c r="AU36" s="61" t="n"/>
      <c r="AV36" s="61" t="n"/>
      <c r="AW36" s="61" t="n"/>
      <c r="AX36" s="5">
        <f>IF(MAESTRO!D36="","",IFERROR(TRUNC(AVERAGE(AL36:AW36),1),""))</f>
        <v/>
      </c>
      <c r="AY36" s="92" t="n"/>
      <c r="AZ36" s="92" t="n"/>
      <c r="BA36" s="92" t="n"/>
      <c r="BB36" s="92" t="n"/>
      <c r="BC36" s="92" t="n"/>
      <c r="BD36" s="22" t="n"/>
      <c r="BE36" s="22" t="n"/>
      <c r="BF36" s="22" t="n"/>
      <c r="BG36" s="22" t="n"/>
      <c r="BH36" s="52" t="n"/>
      <c r="BI36" s="5">
        <f>IF(MAESTRO!D36="","",IFERROR(TRUNC(AVERAGE(AY36:BH36),1),""))</f>
        <v/>
      </c>
      <c r="BJ36" s="22" t="n"/>
      <c r="BK36" s="22" t="n"/>
      <c r="BL36" s="22">
        <f>IF(MAESTRO!D36="","",IFERROR(AVERAGE(BJ36,BK36),""))</f>
        <v/>
      </c>
      <c r="BM36" s="5">
        <f>IF(MAESTRO!D36="","",IFERROR(TRUNC(AVERAGE(AX36,BI36,BL36),1),""))</f>
        <v/>
      </c>
      <c r="BN36" s="177" t="n"/>
      <c r="BO36" s="177" t="n">
        <v>32</v>
      </c>
      <c r="BP36" s="177" t="n">
        <v>32</v>
      </c>
      <c r="BQ36" s="177">
        <f>IF(MAESTRO!D36="","",MAESTRO!D36)</f>
        <v/>
      </c>
      <c r="BR36" s="178" t="n"/>
      <c r="BS36" s="89" t="n"/>
      <c r="BT36" s="89" t="n"/>
      <c r="BU36" s="89" t="n"/>
      <c r="BV36" s="89" t="n"/>
      <c r="BW36" s="5" t="n"/>
      <c r="BX36" s="5" t="n"/>
      <c r="BY36" s="5" t="n"/>
      <c r="BZ36" s="5" t="n"/>
      <c r="CA36" s="5" t="n"/>
      <c r="CB36" s="5" t="n"/>
      <c r="CC36" s="5" t="n"/>
      <c r="CD36" s="5" t="n"/>
      <c r="CE36" s="5" t="n"/>
      <c r="CF36" s="5">
        <f>IF(MAESTRO!D36="","",IFERROR(TRUNC(AVERAGE(BS36:CE36),1),""))</f>
        <v/>
      </c>
      <c r="CG36" s="89" t="n"/>
      <c r="CH36" s="89" t="n"/>
      <c r="CI36" s="89" t="n"/>
      <c r="CJ36" s="89"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177" t="n"/>
      <c r="CW36" s="171" t="n">
        <v>32</v>
      </c>
      <c r="DA36" s="196" t="n"/>
      <c r="DB36" s="196" t="n"/>
      <c r="DC36" s="196" t="n"/>
      <c r="DD36" s="196" t="n"/>
      <c r="DE36" s="196" t="n"/>
      <c r="DF36" s="196" t="n"/>
      <c r="DG36" s="196" t="n"/>
      <c r="DH36" s="196" t="n"/>
      <c r="DI36" s="196" t="n"/>
      <c r="DJ36" s="196" t="n"/>
      <c r="DK36" s="196" t="n"/>
      <c r="DL36" s="196" t="n"/>
      <c r="DM36" s="196" t="n"/>
      <c r="DN36" s="196" t="n"/>
      <c r="EB36" s="196" t="n"/>
      <c r="EC36" s="196" t="n"/>
    </row>
    <row r="37" ht="13.5" customHeight="1" s="176">
      <c r="A37" s="177" t="n">
        <v>33</v>
      </c>
      <c r="B37" s="9">
        <f>IF(MAESTRO!D37="","",MAESTRO!D37)</f>
        <v/>
      </c>
      <c r="C37" s="90" t="n"/>
      <c r="D37" s="89" t="n"/>
      <c r="E37" s="89" t="n"/>
      <c r="F37" s="89" t="n"/>
      <c r="G37" s="89" t="n"/>
      <c r="H37" s="89" t="n"/>
      <c r="I37" s="89" t="n"/>
      <c r="J37" s="89" t="n"/>
      <c r="K37" s="89" t="n"/>
      <c r="L37" s="90" t="n"/>
      <c r="M37" s="5" t="n"/>
      <c r="N37" s="173" t="n"/>
      <c r="O37" s="5" t="n"/>
      <c r="P37" s="5" t="n"/>
      <c r="Q37" s="5">
        <f>IF(MAESTRO!D37="","",IFERROR(TRUNC(AVERAGE(C37:P37),1),""))</f>
        <v/>
      </c>
      <c r="R37" s="40" t="n">
        <v>33</v>
      </c>
      <c r="S37" s="90" t="n"/>
      <c r="T37" s="90" t="n"/>
      <c r="U37" s="22" t="n"/>
      <c r="V37" s="22" t="n"/>
      <c r="W37" s="22" t="n"/>
      <c r="X37" s="22" t="n"/>
      <c r="Y37" s="22" t="n"/>
      <c r="Z37" s="22" t="n"/>
      <c r="AA37" s="22" t="n"/>
      <c r="AB37" s="45">
        <f>IF(MAESTRO!D37="","",IFERROR(TRUNC(AVERAGE(S37:AA37),1),""))</f>
        <v/>
      </c>
      <c r="AC37" s="177" t="n"/>
      <c r="AD37" s="42" t="n"/>
      <c r="AE37" s="5">
        <f>IF(MAESTRO!D37="","",IFERROR(AVERAGE(AC37:AD37),""))</f>
        <v/>
      </c>
      <c r="AF37" s="44">
        <f>IF(MAESTRO!D37="","",IFERROR(TRUNC(AVERAGE(Q37,AB37,AE37),1),""))</f>
        <v/>
      </c>
      <c r="AG37" s="177" t="n"/>
      <c r="AH37" s="177" t="n">
        <v>33</v>
      </c>
      <c r="AI37" s="177" t="n">
        <v>33</v>
      </c>
      <c r="AJ37" s="177">
        <f>IF(MAESTRO!D37="","",MAESTRO!D37)</f>
        <v/>
      </c>
      <c r="AK37" s="178" t="n"/>
      <c r="AL37" s="91" t="n"/>
      <c r="AM37" s="91" t="n"/>
      <c r="AN37" s="91" t="n"/>
      <c r="AO37" s="91" t="n"/>
      <c r="AP37" s="91" t="n"/>
      <c r="AQ37" s="91" t="n"/>
      <c r="AR37" s="91" t="n"/>
      <c r="AS37" s="61" t="n"/>
      <c r="AT37" s="61" t="n"/>
      <c r="AU37" s="61" t="n"/>
      <c r="AV37" s="61" t="n"/>
      <c r="AW37" s="61" t="n"/>
      <c r="AX37" s="5">
        <f>IF(MAESTRO!D37="","",IFERROR(TRUNC(AVERAGE(AL37:AW37),1),""))</f>
        <v/>
      </c>
      <c r="AY37" s="92" t="n"/>
      <c r="AZ37" s="92" t="n"/>
      <c r="BA37" s="92" t="n"/>
      <c r="BB37" s="92" t="n"/>
      <c r="BC37" s="92" t="n"/>
      <c r="BD37" s="22" t="n"/>
      <c r="BE37" s="22" t="n"/>
      <c r="BF37" s="22" t="n"/>
      <c r="BG37" s="22" t="n"/>
      <c r="BH37" s="52" t="n"/>
      <c r="BI37" s="5">
        <f>IF(MAESTRO!D37="","",IFERROR(TRUNC(AVERAGE(AY37:BH37),1),""))</f>
        <v/>
      </c>
      <c r="BJ37" s="22" t="n"/>
      <c r="BK37" s="22" t="n"/>
      <c r="BL37" s="22">
        <f>IF(MAESTRO!D37="","",IFERROR(AVERAGE(BJ37,BK37),""))</f>
        <v/>
      </c>
      <c r="BM37" s="5">
        <f>IF(MAESTRO!D37="","",IFERROR(TRUNC(AVERAGE(AX37,BI37,BL37),1),""))</f>
        <v/>
      </c>
      <c r="BN37" s="177" t="n"/>
      <c r="BO37" s="177" t="n">
        <v>33</v>
      </c>
      <c r="BP37" s="177" t="n">
        <v>33</v>
      </c>
      <c r="BQ37" s="177">
        <f>IF(MAESTRO!D37="","",MAESTRO!D37)</f>
        <v/>
      </c>
      <c r="BR37" s="178" t="n"/>
      <c r="BS37" s="89" t="n"/>
      <c r="BT37" s="89" t="n"/>
      <c r="BU37" s="89" t="n"/>
      <c r="BV37" s="89" t="n"/>
      <c r="BW37" s="5" t="n"/>
      <c r="BX37" s="5" t="n"/>
      <c r="BY37" s="5" t="n"/>
      <c r="BZ37" s="5" t="n"/>
      <c r="CA37" s="5" t="n"/>
      <c r="CB37" s="5" t="n"/>
      <c r="CC37" s="5" t="n"/>
      <c r="CD37" s="5" t="n"/>
      <c r="CE37" s="5" t="n"/>
      <c r="CF37" s="5">
        <f>IF(MAESTRO!D37="","",IFERROR(TRUNC(AVERAGE(BS37:CE37),1),""))</f>
        <v/>
      </c>
      <c r="CG37" s="89" t="n"/>
      <c r="CH37" s="89" t="n"/>
      <c r="CI37" s="89" t="n"/>
      <c r="CJ37" s="89"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177" t="n"/>
      <c r="CW37" s="171" t="n">
        <v>33</v>
      </c>
      <c r="DA37" s="196" t="n"/>
      <c r="DB37" s="196" t="n"/>
      <c r="DC37" s="196" t="n"/>
      <c r="DD37" s="196" t="n"/>
      <c r="DE37" s="196" t="n"/>
      <c r="DF37" s="196" t="n"/>
      <c r="DG37" s="196" t="n"/>
      <c r="DH37" s="196" t="n"/>
      <c r="DI37" s="196" t="n"/>
      <c r="DJ37" s="196" t="n"/>
      <c r="DK37" s="196" t="n"/>
      <c r="DL37" s="196" t="n"/>
      <c r="DM37" s="196" t="n"/>
      <c r="DN37" s="196" t="n"/>
      <c r="EB37" s="196" t="n"/>
      <c r="EC37" s="196" t="n"/>
    </row>
    <row r="38" ht="13.5" customHeight="1" s="176">
      <c r="A38" s="177" t="n">
        <v>34</v>
      </c>
      <c r="B38" s="9">
        <f>IF(MAESTRO!D38="","",MAESTRO!D38)</f>
        <v/>
      </c>
      <c r="C38" s="90" t="n"/>
      <c r="D38" s="89" t="n"/>
      <c r="E38" s="89" t="n"/>
      <c r="F38" s="89" t="n"/>
      <c r="G38" s="89" t="n"/>
      <c r="H38" s="89" t="n"/>
      <c r="I38" s="89" t="n"/>
      <c r="J38" s="89" t="n"/>
      <c r="K38" s="89" t="n"/>
      <c r="L38" s="90" t="n"/>
      <c r="M38" s="5" t="n"/>
      <c r="N38" s="173" t="n"/>
      <c r="O38" s="5" t="n"/>
      <c r="P38" s="5" t="n"/>
      <c r="Q38" s="5">
        <f>IF(MAESTRO!D38="","",IFERROR(TRUNC(AVERAGE(C38:P38),1),""))</f>
        <v/>
      </c>
      <c r="R38" s="40" t="n">
        <v>34</v>
      </c>
      <c r="S38" s="90" t="n"/>
      <c r="T38" s="90" t="n"/>
      <c r="U38" s="22" t="n"/>
      <c r="V38" s="22" t="n"/>
      <c r="W38" s="22" t="n"/>
      <c r="X38" s="22" t="n"/>
      <c r="Y38" s="22" t="n"/>
      <c r="Z38" s="22" t="n"/>
      <c r="AA38" s="22" t="n"/>
      <c r="AB38" s="45">
        <f>IF(MAESTRO!D38="","",IFERROR(TRUNC(AVERAGE(S38:AA38),1),""))</f>
        <v/>
      </c>
      <c r="AC38" s="177" t="n"/>
      <c r="AD38" s="42" t="n"/>
      <c r="AE38" s="5">
        <f>IF(MAESTRO!D38="","",IFERROR(AVERAGE(AC38:AD38),""))</f>
        <v/>
      </c>
      <c r="AF38" s="44">
        <f>IF(MAESTRO!D38="","",IFERROR(TRUNC(AVERAGE(Q38,AB38,AE38),1),""))</f>
        <v/>
      </c>
      <c r="AG38" s="177" t="n"/>
      <c r="AH38" s="177" t="n">
        <v>34</v>
      </c>
      <c r="AI38" s="177" t="n">
        <v>34</v>
      </c>
      <c r="AJ38" s="177">
        <f>IF(MAESTRO!D38="","",MAESTRO!D38)</f>
        <v/>
      </c>
      <c r="AK38" s="178" t="n"/>
      <c r="AL38" s="91" t="n"/>
      <c r="AM38" s="91" t="n"/>
      <c r="AN38" s="91" t="n"/>
      <c r="AO38" s="91" t="n"/>
      <c r="AP38" s="91" t="n"/>
      <c r="AQ38" s="91" t="n"/>
      <c r="AR38" s="91" t="n"/>
      <c r="AS38" s="61" t="n"/>
      <c r="AT38" s="61" t="n"/>
      <c r="AU38" s="61" t="n"/>
      <c r="AV38" s="61" t="n"/>
      <c r="AW38" s="61" t="n"/>
      <c r="AX38" s="5">
        <f>IF(MAESTRO!D38="","",IFERROR(TRUNC(AVERAGE(AL38:AW38),1),""))</f>
        <v/>
      </c>
      <c r="AY38" s="92" t="n"/>
      <c r="AZ38" s="92" t="n"/>
      <c r="BA38" s="92" t="n"/>
      <c r="BB38" s="92" t="n"/>
      <c r="BC38" s="92" t="n"/>
      <c r="BD38" s="22" t="n"/>
      <c r="BE38" s="22" t="n"/>
      <c r="BF38" s="22" t="n"/>
      <c r="BG38" s="22" t="n"/>
      <c r="BH38" s="52" t="n"/>
      <c r="BI38" s="5">
        <f>IF(MAESTRO!D38="","",IFERROR(TRUNC(AVERAGE(AY38:BH38),1),""))</f>
        <v/>
      </c>
      <c r="BJ38" s="22" t="n"/>
      <c r="BK38" s="22" t="n"/>
      <c r="BL38" s="22">
        <f>IF(MAESTRO!D38="","",IFERROR(AVERAGE(BJ38,BK38),""))</f>
        <v/>
      </c>
      <c r="BM38" s="5">
        <f>IF(MAESTRO!D38="","",IFERROR(TRUNC(AVERAGE(AX38,BI38,BL38),1),""))</f>
        <v/>
      </c>
      <c r="BN38" s="177" t="n"/>
      <c r="BO38" s="177" t="n">
        <v>34</v>
      </c>
      <c r="BP38" s="177" t="n">
        <v>34</v>
      </c>
      <c r="BQ38" s="177">
        <f>IF(MAESTRO!D38="","",MAESTRO!D38)</f>
        <v/>
      </c>
      <c r="BR38" s="178" t="n"/>
      <c r="BS38" s="89" t="n"/>
      <c r="BT38" s="89" t="n"/>
      <c r="BU38" s="89" t="n"/>
      <c r="BV38" s="89" t="n"/>
      <c r="BW38" s="5" t="n"/>
      <c r="BX38" s="5" t="n"/>
      <c r="BY38" s="5" t="n"/>
      <c r="BZ38" s="5" t="n"/>
      <c r="CA38" s="5" t="n"/>
      <c r="CB38" s="5" t="n"/>
      <c r="CC38" s="5" t="n"/>
      <c r="CD38" s="5" t="n"/>
      <c r="CE38" s="5" t="n"/>
      <c r="CF38" s="5">
        <f>IF(MAESTRO!D38="","",IFERROR(TRUNC(AVERAGE(BS38:CE38),1),""))</f>
        <v/>
      </c>
      <c r="CG38" s="89" t="n"/>
      <c r="CH38" s="89" t="n"/>
      <c r="CI38" s="89" t="n"/>
      <c r="CJ38" s="89"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177" t="n"/>
      <c r="CW38" s="171" t="n">
        <v>34</v>
      </c>
      <c r="DA38" s="196" t="n"/>
      <c r="DB38" s="196" t="n"/>
      <c r="DC38" s="196" t="n"/>
      <c r="DD38" s="196" t="n"/>
      <c r="DE38" s="196" t="n"/>
      <c r="DF38" s="196" t="n"/>
      <c r="DG38" s="196" t="n"/>
      <c r="DH38" s="196" t="n"/>
      <c r="DI38" s="196" t="n"/>
      <c r="DJ38" s="196" t="n"/>
      <c r="DK38" s="196" t="n"/>
      <c r="DL38" s="196" t="n"/>
      <c r="DM38" s="196" t="n"/>
      <c r="DN38" s="196" t="n"/>
      <c r="EB38" s="196" t="n"/>
      <c r="EC38" s="196" t="n"/>
    </row>
    <row r="39" ht="13.5" customHeight="1" s="176">
      <c r="A39" s="177" t="n">
        <v>35</v>
      </c>
      <c r="B39" s="9">
        <f>IF(MAESTRO!D39="","",MAESTRO!D39)</f>
        <v/>
      </c>
      <c r="C39" s="90" t="n"/>
      <c r="D39" s="89" t="n"/>
      <c r="E39" s="89" t="n"/>
      <c r="F39" s="89" t="n"/>
      <c r="G39" s="89" t="n"/>
      <c r="H39" s="89" t="n"/>
      <c r="I39" s="89" t="n"/>
      <c r="J39" s="89" t="n"/>
      <c r="K39" s="89" t="n"/>
      <c r="L39" s="90" t="n"/>
      <c r="M39" s="5" t="n"/>
      <c r="N39" s="173" t="n"/>
      <c r="O39" s="5" t="n"/>
      <c r="P39" s="5" t="n"/>
      <c r="Q39" s="5">
        <f>IF(MAESTRO!D39="","",IFERROR(TRUNC(AVERAGE(C39:P39),1),""))</f>
        <v/>
      </c>
      <c r="R39" s="40" t="n">
        <v>35</v>
      </c>
      <c r="S39" s="90" t="n"/>
      <c r="T39" s="90" t="n"/>
      <c r="U39" s="22" t="n"/>
      <c r="V39" s="22" t="n"/>
      <c r="W39" s="22" t="n"/>
      <c r="X39" s="22" t="n"/>
      <c r="Y39" s="22" t="n"/>
      <c r="Z39" s="22" t="n"/>
      <c r="AA39" s="22" t="n"/>
      <c r="AB39" s="45">
        <f>IF(MAESTRO!D39="","",IFERROR(TRUNC(AVERAGE(S39:AA39),1),""))</f>
        <v/>
      </c>
      <c r="AC39" s="177" t="n"/>
      <c r="AD39" s="42" t="n"/>
      <c r="AE39" s="5">
        <f>IF(MAESTRO!D39="","",IFERROR(AVERAGE(AC39:AD39),""))</f>
        <v/>
      </c>
      <c r="AF39" s="44">
        <f>IF(MAESTRO!D39="","",IFERROR(TRUNC(AVERAGE(Q39,AB39,AE39),1),""))</f>
        <v/>
      </c>
      <c r="AG39" s="177" t="n"/>
      <c r="AH39" s="177" t="n">
        <v>35</v>
      </c>
      <c r="AI39" s="177" t="n">
        <v>35</v>
      </c>
      <c r="AJ39" s="177">
        <f>IF(MAESTRO!D39="","",MAESTRO!D39)</f>
        <v/>
      </c>
      <c r="AK39" s="178" t="n"/>
      <c r="AL39" s="91" t="n"/>
      <c r="AM39" s="91" t="n"/>
      <c r="AN39" s="91" t="n"/>
      <c r="AO39" s="91" t="n"/>
      <c r="AP39" s="91" t="n"/>
      <c r="AQ39" s="91" t="n"/>
      <c r="AR39" s="91" t="n"/>
      <c r="AS39" s="61" t="n"/>
      <c r="AT39" s="61" t="n"/>
      <c r="AU39" s="61" t="n"/>
      <c r="AV39" s="61" t="n"/>
      <c r="AW39" s="61" t="n"/>
      <c r="AX39" s="5">
        <f>IF(MAESTRO!D39="","",IFERROR(TRUNC(AVERAGE(AL39:AW39),1),""))</f>
        <v/>
      </c>
      <c r="AY39" s="92" t="n"/>
      <c r="AZ39" s="92" t="n"/>
      <c r="BA39" s="92" t="n"/>
      <c r="BB39" s="92" t="n"/>
      <c r="BC39" s="92" t="n"/>
      <c r="BD39" s="22" t="n"/>
      <c r="BE39" s="22" t="n"/>
      <c r="BF39" s="22" t="n"/>
      <c r="BG39" s="22" t="n"/>
      <c r="BH39" s="52" t="n"/>
      <c r="BI39" s="5">
        <f>IF(MAESTRO!D39="","",IFERROR(TRUNC(AVERAGE(AY39:BH39),1),""))</f>
        <v/>
      </c>
      <c r="BJ39" s="22" t="n"/>
      <c r="BK39" s="22" t="n"/>
      <c r="BL39" s="22">
        <f>IF(MAESTRO!D39="","",IFERROR(AVERAGE(BJ39,BK39),""))</f>
        <v/>
      </c>
      <c r="BM39" s="5">
        <f>IF(MAESTRO!D39="","",IFERROR(TRUNC(AVERAGE(AX39,BI39,BL39),1),""))</f>
        <v/>
      </c>
      <c r="BN39" s="177" t="n"/>
      <c r="BO39" s="177" t="n">
        <v>35</v>
      </c>
      <c r="BP39" s="177" t="n">
        <v>35</v>
      </c>
      <c r="BQ39" s="177">
        <f>IF(MAESTRO!D39="","",MAESTRO!D39)</f>
        <v/>
      </c>
      <c r="BR39" s="178" t="n"/>
      <c r="BS39" s="89" t="n"/>
      <c r="BT39" s="89" t="n"/>
      <c r="BU39" s="89" t="n"/>
      <c r="BV39" s="89" t="n"/>
      <c r="BW39" s="5" t="n"/>
      <c r="BX39" s="5" t="n"/>
      <c r="BY39" s="5" t="n"/>
      <c r="BZ39" s="5" t="n"/>
      <c r="CA39" s="5" t="n"/>
      <c r="CB39" s="5" t="n"/>
      <c r="CC39" s="5" t="n"/>
      <c r="CD39" s="5" t="n"/>
      <c r="CE39" s="5" t="n"/>
      <c r="CF39" s="5">
        <f>IF(MAESTRO!D39="","",IFERROR(TRUNC(AVERAGE(BS39:CE39),1),""))</f>
        <v/>
      </c>
      <c r="CG39" s="89" t="n"/>
      <c r="CH39" s="89" t="n"/>
      <c r="CI39" s="89" t="n"/>
      <c r="CJ39" s="89"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177" t="n"/>
      <c r="CW39" s="171" t="n">
        <v>35</v>
      </c>
      <c r="DA39" s="196" t="n"/>
      <c r="DB39" s="196" t="n"/>
      <c r="DC39" s="196" t="n"/>
      <c r="DD39" s="196" t="n"/>
      <c r="DE39" s="196" t="n"/>
      <c r="DF39" s="196" t="n"/>
      <c r="DG39" s="196" t="n"/>
      <c r="DH39" s="196" t="n"/>
      <c r="DI39" s="196" t="n"/>
      <c r="DJ39" s="196" t="n"/>
      <c r="DK39" s="196" t="n"/>
      <c r="DL39" s="196" t="n"/>
      <c r="DM39" s="196" t="n"/>
      <c r="DN39" s="196" t="n"/>
      <c r="EB39" s="196" t="n"/>
      <c r="EC39" s="196" t="n"/>
    </row>
    <row r="40" ht="13.5" customHeight="1" s="176">
      <c r="A40" s="177" t="n">
        <v>36</v>
      </c>
      <c r="B40" s="9">
        <f>IF(MAESTRO!D40="","",MAESTRO!D40)</f>
        <v/>
      </c>
      <c r="C40" s="90" t="n"/>
      <c r="D40" s="89" t="n"/>
      <c r="E40" s="89" t="n"/>
      <c r="F40" s="89" t="n"/>
      <c r="G40" s="89" t="n"/>
      <c r="H40" s="89" t="n"/>
      <c r="I40" s="89" t="n"/>
      <c r="J40" s="89" t="n"/>
      <c r="K40" s="89" t="n"/>
      <c r="L40" s="90" t="n"/>
      <c r="M40" s="5" t="n"/>
      <c r="N40" s="173" t="n"/>
      <c r="O40" s="5" t="n"/>
      <c r="P40" s="5" t="n"/>
      <c r="Q40" s="5">
        <f>IF(MAESTRO!D40="","",IFERROR(TRUNC(AVERAGE(C40:P40),1),""))</f>
        <v/>
      </c>
      <c r="R40" s="40" t="n">
        <v>36</v>
      </c>
      <c r="S40" s="90" t="n"/>
      <c r="T40" s="90" t="n"/>
      <c r="U40" s="22" t="n"/>
      <c r="V40" s="22" t="n"/>
      <c r="W40" s="22" t="n"/>
      <c r="X40" s="22" t="n"/>
      <c r="Y40" s="22" t="n"/>
      <c r="Z40" s="22" t="n"/>
      <c r="AA40" s="22" t="n"/>
      <c r="AB40" s="45">
        <f>IF(MAESTRO!D40="","",IFERROR(TRUNC(AVERAGE(S40:AA40),1),""))</f>
        <v/>
      </c>
      <c r="AC40" s="177" t="n"/>
      <c r="AD40" s="42" t="n"/>
      <c r="AE40" s="5">
        <f>IF(MAESTRO!D40="","",IFERROR(AVERAGE(AC40:AD40),""))</f>
        <v/>
      </c>
      <c r="AF40" s="44">
        <f>IF(MAESTRO!D40="","",IFERROR(TRUNC(AVERAGE(Q40,AB40,AE40),1),""))</f>
        <v/>
      </c>
      <c r="AG40" s="177" t="n"/>
      <c r="AH40" s="177" t="n">
        <v>36</v>
      </c>
      <c r="AI40" s="177" t="n">
        <v>36</v>
      </c>
      <c r="AJ40" s="177">
        <f>IF(MAESTRO!D40="","",MAESTRO!D40)</f>
        <v/>
      </c>
      <c r="AK40" s="178" t="n"/>
      <c r="AL40" s="91" t="n"/>
      <c r="AM40" s="91" t="n"/>
      <c r="AN40" s="91" t="n"/>
      <c r="AO40" s="91" t="n"/>
      <c r="AP40" s="91" t="n"/>
      <c r="AQ40" s="91" t="n"/>
      <c r="AR40" s="91" t="n"/>
      <c r="AS40" s="61" t="n"/>
      <c r="AT40" s="61" t="n"/>
      <c r="AU40" s="61" t="n"/>
      <c r="AV40" s="61" t="n"/>
      <c r="AW40" s="61" t="n"/>
      <c r="AX40" s="5">
        <f>IF(MAESTRO!D40="","",IFERROR(TRUNC(AVERAGE(AL40:AW40),1),""))</f>
        <v/>
      </c>
      <c r="AY40" s="92" t="n"/>
      <c r="AZ40" s="92" t="n"/>
      <c r="BA40" s="92" t="n"/>
      <c r="BB40" s="92" t="n"/>
      <c r="BC40" s="92" t="n"/>
      <c r="BD40" s="22" t="n"/>
      <c r="BE40" s="22" t="n"/>
      <c r="BF40" s="22" t="n"/>
      <c r="BG40" s="22" t="n"/>
      <c r="BH40" s="52" t="n"/>
      <c r="BI40" s="5">
        <f>IF(MAESTRO!D40="","",IFERROR(TRUNC(AVERAGE(AY40:BH40),1),""))</f>
        <v/>
      </c>
      <c r="BJ40" s="22" t="n"/>
      <c r="BK40" s="22" t="n"/>
      <c r="BL40" s="22">
        <f>IF(MAESTRO!D40="","",IFERROR(AVERAGE(BJ40,BK40),""))</f>
        <v/>
      </c>
      <c r="BM40" s="5">
        <f>IF(MAESTRO!D40="","",IFERROR(TRUNC(AVERAGE(AX40,BI40,BL40),1),""))</f>
        <v/>
      </c>
      <c r="BN40" s="177" t="n"/>
      <c r="BO40" s="177" t="n">
        <v>36</v>
      </c>
      <c r="BP40" s="177" t="n">
        <v>36</v>
      </c>
      <c r="BQ40" s="177">
        <f>IF(MAESTRO!D40="","",MAESTRO!D40)</f>
        <v/>
      </c>
      <c r="BR40" s="178" t="n"/>
      <c r="BS40" s="89" t="n"/>
      <c r="BT40" s="89" t="n"/>
      <c r="BU40" s="89" t="n"/>
      <c r="BV40" s="89" t="n"/>
      <c r="BW40" s="5" t="n"/>
      <c r="BX40" s="5" t="n"/>
      <c r="BY40" s="5" t="n"/>
      <c r="BZ40" s="5" t="n"/>
      <c r="CA40" s="5" t="n"/>
      <c r="CB40" s="5" t="n"/>
      <c r="CC40" s="5" t="n"/>
      <c r="CD40" s="5" t="n"/>
      <c r="CE40" s="5" t="n"/>
      <c r="CF40" s="5">
        <f>IF(MAESTRO!D40="","",IFERROR(TRUNC(AVERAGE(BS40:CE40),1),""))</f>
        <v/>
      </c>
      <c r="CG40" s="89" t="n"/>
      <c r="CH40" s="89" t="n"/>
      <c r="CI40" s="89" t="n"/>
      <c r="CJ40" s="89"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177" t="n"/>
      <c r="CW40" s="171" t="n">
        <v>36</v>
      </c>
      <c r="DA40" s="196" t="n"/>
      <c r="DB40" s="196" t="n"/>
      <c r="DC40" s="196" t="n"/>
      <c r="DD40" s="196" t="n"/>
      <c r="DE40" s="196" t="n"/>
      <c r="DF40" s="196" t="n"/>
      <c r="DG40" s="196" t="n"/>
      <c r="DH40" s="196" t="n"/>
      <c r="DI40" s="196" t="n"/>
      <c r="DJ40" s="196" t="n"/>
      <c r="DK40" s="196" t="n"/>
      <c r="DL40" s="196" t="n"/>
      <c r="DM40" s="196" t="n"/>
      <c r="DN40" s="196" t="n"/>
      <c r="EB40" s="196" t="n"/>
      <c r="EC40" s="196" t="n"/>
    </row>
    <row r="41" ht="13.5" customHeight="1" s="176">
      <c r="A41" s="177" t="n">
        <v>37</v>
      </c>
      <c r="B41" s="9">
        <f>IF(MAESTRO!D41="","",MAESTRO!D41)</f>
        <v/>
      </c>
      <c r="C41" s="90" t="n"/>
      <c r="D41" s="89" t="n"/>
      <c r="E41" s="89" t="n"/>
      <c r="F41" s="89" t="n"/>
      <c r="G41" s="89" t="n"/>
      <c r="H41" s="89" t="n"/>
      <c r="I41" s="89" t="n"/>
      <c r="J41" s="89" t="n"/>
      <c r="K41" s="89" t="n"/>
      <c r="L41" s="90" t="n"/>
      <c r="M41" s="5" t="n"/>
      <c r="N41" s="173" t="n"/>
      <c r="O41" s="5" t="n"/>
      <c r="P41" s="5" t="n"/>
      <c r="Q41" s="5">
        <f>IF(MAESTRO!D41="","",IFERROR(TRUNC(AVERAGE(C41:P41),1),""))</f>
        <v/>
      </c>
      <c r="R41" s="40" t="n">
        <v>37</v>
      </c>
      <c r="S41" s="90" t="n"/>
      <c r="T41" s="90" t="n"/>
      <c r="U41" s="22" t="n"/>
      <c r="V41" s="22" t="n"/>
      <c r="W41" s="22" t="n"/>
      <c r="X41" s="22" t="n"/>
      <c r="Y41" s="22" t="n"/>
      <c r="Z41" s="22" t="n"/>
      <c r="AA41" s="22" t="n"/>
      <c r="AB41" s="45">
        <f>IF(MAESTRO!D41="","",IFERROR(TRUNC(AVERAGE(S41:AA41),1),""))</f>
        <v/>
      </c>
      <c r="AC41" s="177" t="n"/>
      <c r="AD41" s="42" t="n"/>
      <c r="AE41" s="5">
        <f>IF(MAESTRO!D41="","",IFERROR(AVERAGE(AC41:AD41),""))</f>
        <v/>
      </c>
      <c r="AF41" s="44">
        <f>IF(MAESTRO!D41="","",IFERROR(TRUNC(AVERAGE(Q41,AB41,AE41),1),""))</f>
        <v/>
      </c>
      <c r="AG41" s="177" t="n"/>
      <c r="AH41" s="177" t="n">
        <v>37</v>
      </c>
      <c r="AI41" s="177" t="n">
        <v>37</v>
      </c>
      <c r="AJ41" s="177">
        <f>IF(MAESTRO!D41="","",MAESTRO!D41)</f>
        <v/>
      </c>
      <c r="AK41" s="178" t="n"/>
      <c r="AL41" s="91" t="n"/>
      <c r="AM41" s="91" t="n"/>
      <c r="AN41" s="91" t="n"/>
      <c r="AO41" s="91" t="n"/>
      <c r="AP41" s="91" t="n"/>
      <c r="AQ41" s="91" t="n"/>
      <c r="AR41" s="91" t="n"/>
      <c r="AS41" s="61" t="n"/>
      <c r="AT41" s="61" t="n"/>
      <c r="AU41" s="61" t="n"/>
      <c r="AV41" s="61" t="n"/>
      <c r="AW41" s="61" t="n"/>
      <c r="AX41" s="5">
        <f>IF(MAESTRO!D41="","",IFERROR(TRUNC(AVERAGE(AL41:AW41),1),""))</f>
        <v/>
      </c>
      <c r="AY41" s="92" t="n"/>
      <c r="AZ41" s="92" t="n"/>
      <c r="BA41" s="92" t="n"/>
      <c r="BB41" s="92" t="n"/>
      <c r="BC41" s="92" t="n"/>
      <c r="BD41" s="22" t="n"/>
      <c r="BE41" s="22" t="n"/>
      <c r="BF41" s="22" t="n"/>
      <c r="BG41" s="22" t="n"/>
      <c r="BH41" s="52" t="n"/>
      <c r="BI41" s="5">
        <f>IF(MAESTRO!D41="","",IFERROR(TRUNC(AVERAGE(AY41:BH41),1),""))</f>
        <v/>
      </c>
      <c r="BJ41" s="22" t="n"/>
      <c r="BK41" s="22" t="n"/>
      <c r="BL41" s="22">
        <f>IF(MAESTRO!D41="","",IFERROR(AVERAGE(BJ41,BK41),""))</f>
        <v/>
      </c>
      <c r="BM41" s="5">
        <f>IF(MAESTRO!D41="","",IFERROR(TRUNC(AVERAGE(AX41,BI41,BL41),1),""))</f>
        <v/>
      </c>
      <c r="BN41" s="177" t="n"/>
      <c r="BO41" s="177" t="n">
        <v>37</v>
      </c>
      <c r="BP41" s="177" t="n">
        <v>37</v>
      </c>
      <c r="BQ41" s="177">
        <f>IF(MAESTRO!D41="","",MAESTRO!D41)</f>
        <v/>
      </c>
      <c r="BR41" s="178" t="n"/>
      <c r="BS41" s="89" t="n"/>
      <c r="BT41" s="89" t="n"/>
      <c r="BU41" s="89" t="n"/>
      <c r="BV41" s="89" t="n"/>
      <c r="BW41" s="5" t="n"/>
      <c r="BX41" s="5" t="n"/>
      <c r="BY41" s="5" t="n"/>
      <c r="BZ41" s="5" t="n"/>
      <c r="CA41" s="5" t="n"/>
      <c r="CB41" s="5" t="n"/>
      <c r="CC41" s="5" t="n"/>
      <c r="CD41" s="5" t="n"/>
      <c r="CE41" s="5" t="n"/>
      <c r="CF41" s="5">
        <f>IF(MAESTRO!D41="","",IFERROR(TRUNC(AVERAGE(BS41:CE41),1),""))</f>
        <v/>
      </c>
      <c r="CG41" s="89" t="n"/>
      <c r="CH41" s="89" t="n"/>
      <c r="CI41" s="89" t="n"/>
      <c r="CJ41" s="89"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177" t="n"/>
      <c r="CW41" s="171" t="n">
        <v>37</v>
      </c>
      <c r="DA41" s="196" t="n"/>
      <c r="DB41" s="196" t="n"/>
      <c r="DC41" s="196" t="n"/>
      <c r="DD41" s="196" t="n"/>
      <c r="DE41" s="196" t="n"/>
      <c r="DF41" s="196" t="n"/>
      <c r="DG41" s="196" t="n"/>
      <c r="DH41" s="196" t="n"/>
      <c r="DI41" s="196" t="n"/>
      <c r="DJ41" s="196" t="n"/>
      <c r="DK41" s="196" t="n"/>
      <c r="DL41" s="196" t="n"/>
      <c r="DM41" s="196" t="n"/>
      <c r="DN41" s="196" t="n"/>
      <c r="EB41" s="196" t="n"/>
      <c r="EC41" s="196" t="n"/>
    </row>
    <row r="42" ht="13.5" customHeight="1" s="176">
      <c r="A42" s="177" t="n">
        <v>38</v>
      </c>
      <c r="B42" s="9">
        <f>IF(MAESTRO!D42="","",MAESTRO!D42)</f>
        <v/>
      </c>
      <c r="C42" s="288" t="inlineStr">
        <is>
          <t>Vocabulario #1</t>
        </is>
      </c>
      <c r="D42" s="288" t="inlineStr">
        <is>
          <t>Dibujar y Clasificar Tipos de Plantas</t>
        </is>
      </c>
      <c r="E42" s="288" t="inlineStr">
        <is>
          <t xml:space="preserve">Dibujar una Planta y Explciar su uso </t>
        </is>
      </c>
      <c r="F42" s="288" t="inlineStr">
        <is>
          <t xml:space="preserve">Bonsái / orquideologia </t>
        </is>
      </c>
      <c r="G42" s="288" t="inlineStr">
        <is>
          <t>Plan Estrategico / Venta</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288" t="inlineStr">
        <is>
          <t>Tarea 16</t>
        </is>
      </c>
      <c r="Q42" s="5" t="n"/>
      <c r="R42" s="40" t="n">
        <v>38</v>
      </c>
      <c r="S42" s="288" t="inlineStr">
        <is>
          <t>Mural -Semana Santa</t>
        </is>
      </c>
      <c r="T42" s="281"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286" t="inlineStr">
        <is>
          <t>Tarea 27</t>
        </is>
      </c>
      <c r="AB42" s="45" t="n"/>
      <c r="AC42" s="309" t="inlineStr">
        <is>
          <t>Tarea 29</t>
        </is>
      </c>
      <c r="AD42" s="286" t="inlineStr">
        <is>
          <t>Tarea 30</t>
        </is>
      </c>
      <c r="AE42" s="5" t="n"/>
      <c r="AF42" s="44" t="n"/>
      <c r="AG42" s="177" t="n"/>
      <c r="AH42" s="177" t="n">
        <v>38</v>
      </c>
      <c r="AI42" s="177" t="n">
        <v>38</v>
      </c>
      <c r="AJ42" s="177">
        <f>IF(MAESTRO!D42="","",MAESTRO!D42)</f>
        <v/>
      </c>
      <c r="AK42" s="178" t="n"/>
      <c r="AL42" s="284" t="inlineStr">
        <is>
          <t>Tarea 38</t>
        </is>
      </c>
      <c r="AM42" s="284" t="inlineStr">
        <is>
          <t>Tarea 39</t>
        </is>
      </c>
      <c r="AN42" s="284" t="inlineStr">
        <is>
          <t>Tarea 40</t>
        </is>
      </c>
      <c r="AO42" s="284" t="inlineStr">
        <is>
          <t>Tarea 41</t>
        </is>
      </c>
      <c r="AP42" s="284" t="inlineStr">
        <is>
          <t>Tarea 42</t>
        </is>
      </c>
      <c r="AQ42" s="284" t="inlineStr">
        <is>
          <t>Tarea 43</t>
        </is>
      </c>
      <c r="AR42" s="284" t="inlineStr">
        <is>
          <t>Tarea 44</t>
        </is>
      </c>
      <c r="AS42" s="290" t="inlineStr">
        <is>
          <t>Tarea 45</t>
        </is>
      </c>
      <c r="AT42" s="290" t="inlineStr">
        <is>
          <t>Tarea 46</t>
        </is>
      </c>
      <c r="AU42" s="290" t="inlineStr">
        <is>
          <t>Tarea 47</t>
        </is>
      </c>
      <c r="AV42" s="290" t="inlineStr">
        <is>
          <t>Tarea 48</t>
        </is>
      </c>
      <c r="AW42" s="290" t="inlineStr">
        <is>
          <t>Tarea 49</t>
        </is>
      </c>
      <c r="AX42" s="5" t="n"/>
      <c r="AY42" s="285" t="inlineStr">
        <is>
          <t>Tarea 51</t>
        </is>
      </c>
      <c r="AZ42" s="285" t="inlineStr">
        <is>
          <t>Tarea 52</t>
        </is>
      </c>
      <c r="BA42" s="285" t="inlineStr">
        <is>
          <t>Tarea 53</t>
        </is>
      </c>
      <c r="BB42" s="285" t="inlineStr">
        <is>
          <t>Tarea 54</t>
        </is>
      </c>
      <c r="BC42" s="285" t="inlineStr">
        <is>
          <t>Tarea 55</t>
        </is>
      </c>
      <c r="BD42" s="286" t="inlineStr">
        <is>
          <t>Tarea 56</t>
        </is>
      </c>
      <c r="BE42" s="286" t="inlineStr">
        <is>
          <t>Tarea 57</t>
        </is>
      </c>
      <c r="BF42" s="286" t="inlineStr">
        <is>
          <t>Tarea 58</t>
        </is>
      </c>
      <c r="BG42" s="286" t="inlineStr">
        <is>
          <t>Tarea 59</t>
        </is>
      </c>
      <c r="BH42" s="291" t="inlineStr">
        <is>
          <t>Tarea 60</t>
        </is>
      </c>
      <c r="BI42" s="5" t="n"/>
      <c r="BJ42" s="286" t="inlineStr">
        <is>
          <t>Tarea 62</t>
        </is>
      </c>
      <c r="BK42" s="286" t="inlineStr">
        <is>
          <t>Tarea 63</t>
        </is>
      </c>
      <c r="BL42" s="22" t="n"/>
      <c r="BM42" s="5" t="n"/>
      <c r="BN42" s="177" t="n"/>
      <c r="BO42" s="177" t="n">
        <v>38</v>
      </c>
      <c r="BP42" s="177" t="n">
        <v>38</v>
      </c>
      <c r="BQ42" s="177">
        <f>IF(MAESTRO!D42="","",MAESTRO!D42)</f>
        <v/>
      </c>
      <c r="BR42" s="178" t="n"/>
      <c r="BS42" s="288" t="inlineStr">
        <is>
          <t>Tarea 71</t>
        </is>
      </c>
      <c r="BT42" s="281" t="inlineStr">
        <is>
          <t>Tarea 72</t>
        </is>
      </c>
      <c r="BU42" s="281" t="inlineStr">
        <is>
          <t>Tarea 73</t>
        </is>
      </c>
      <c r="BV42" s="281"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287" t="inlineStr">
        <is>
          <t>Tarea 83</t>
        </is>
      </c>
      <c r="CF42" s="5" t="n"/>
      <c r="CG42" s="281" t="inlineStr">
        <is>
          <t>Tarea 85</t>
        </is>
      </c>
      <c r="CH42" s="281" t="inlineStr">
        <is>
          <t>Tarea 86</t>
        </is>
      </c>
      <c r="CI42" s="281" t="inlineStr">
        <is>
          <t>Tarea 87</t>
        </is>
      </c>
      <c r="CJ42" s="281" t="inlineStr">
        <is>
          <t>Tarea 88</t>
        </is>
      </c>
      <c r="CK42" s="287" t="inlineStr">
        <is>
          <t>Tarea 89</t>
        </is>
      </c>
      <c r="CL42" s="287" t="inlineStr">
        <is>
          <t>Tarea 90</t>
        </is>
      </c>
      <c r="CM42" s="287" t="inlineStr">
        <is>
          <t>Tarea 91</t>
        </is>
      </c>
      <c r="CN42" s="287" t="inlineStr">
        <is>
          <t>Tarea 92</t>
        </is>
      </c>
      <c r="CO42" s="287" t="inlineStr">
        <is>
          <t>Tarea 93</t>
        </is>
      </c>
      <c r="CP42" s="287" t="inlineStr">
        <is>
          <t>Tarea 94</t>
        </is>
      </c>
      <c r="CQ42" s="5" t="n"/>
      <c r="CR42" s="287" t="inlineStr">
        <is>
          <t>Tarea 96</t>
        </is>
      </c>
      <c r="CS42" s="287" t="inlineStr">
        <is>
          <t>Tarea 97</t>
        </is>
      </c>
      <c r="CT42" s="5" t="n"/>
      <c r="CU42" s="5" t="n"/>
      <c r="CV42" s="177" t="n"/>
      <c r="CW42" s="171" t="n">
        <v>38</v>
      </c>
      <c r="DA42" s="196" t="n"/>
      <c r="DB42" s="196" t="n"/>
      <c r="DC42" s="196" t="n"/>
      <c r="DD42" s="196" t="n"/>
      <c r="DE42" s="196" t="n"/>
      <c r="DF42" s="196" t="n"/>
      <c r="DG42" s="196" t="n"/>
      <c r="DH42" s="196" t="n"/>
      <c r="DI42" s="196" t="n"/>
      <c r="DJ42" s="196" t="n"/>
      <c r="DK42" s="196" t="n"/>
      <c r="DL42" s="196" t="n"/>
      <c r="DM42" s="196" t="n"/>
      <c r="DN42" s="196" t="n"/>
      <c r="EB42" s="196" t="n"/>
      <c r="EC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282" t="n"/>
      <c r="Q43" s="5" t="n"/>
      <c r="R43" s="40" t="n">
        <v>39</v>
      </c>
      <c r="S43" s="282" t="n"/>
      <c r="T43" s="282" t="n"/>
      <c r="U43" s="282" t="n"/>
      <c r="V43" s="282" t="n"/>
      <c r="W43" s="282" t="n"/>
      <c r="X43" s="282" t="n"/>
      <c r="Y43" s="282" t="n"/>
      <c r="Z43" s="282" t="n"/>
      <c r="AA43" s="282" t="n"/>
      <c r="AB43" s="45" t="n"/>
      <c r="AC43" s="282" t="n"/>
      <c r="AD43" s="282" t="n"/>
      <c r="AE43" s="5" t="n"/>
      <c r="AF43" s="44" t="n"/>
      <c r="AG43" s="177" t="n"/>
      <c r="AH43" s="177" t="n">
        <v>39</v>
      </c>
      <c r="AI43" s="177" t="n">
        <v>39</v>
      </c>
      <c r="AJ43" s="177">
        <f>IF(MAESTRO!D43="","",MAESTRO!D43)</f>
        <v/>
      </c>
      <c r="AK43" s="178"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177" t="n"/>
      <c r="BO43" s="177" t="n">
        <v>39</v>
      </c>
      <c r="BP43" s="177" t="n">
        <v>39</v>
      </c>
      <c r="BQ43" s="177">
        <f>IF(MAESTRO!D43="","",MAESTRO!D43)</f>
        <v/>
      </c>
      <c r="BR43" s="178" t="n"/>
      <c r="BS43" s="282" t="n"/>
      <c r="BT43" s="282" t="n"/>
      <c r="BU43" s="282" t="n"/>
      <c r="BV43" s="282" t="n"/>
      <c r="BW43" s="282" t="n"/>
      <c r="BX43" s="282" t="n"/>
      <c r="BY43" s="282" t="n"/>
      <c r="BZ43" s="282" t="n"/>
      <c r="CA43" s="282" t="n"/>
      <c r="CB43" s="282" t="n"/>
      <c r="CC43" s="282" t="n"/>
      <c r="CD43" s="282" t="n"/>
      <c r="CE43" s="282" t="n"/>
      <c r="CF43" s="5" t="n"/>
      <c r="CG43" s="282" t="n"/>
      <c r="CH43" s="282" t="n"/>
      <c r="CI43" s="282" t="n"/>
      <c r="CJ43" s="282" t="n"/>
      <c r="CK43" s="282" t="n"/>
      <c r="CL43" s="282" t="n"/>
      <c r="CM43" s="282" t="n"/>
      <c r="CN43" s="282" t="n"/>
      <c r="CO43" s="282" t="n"/>
      <c r="CP43" s="282" t="n"/>
      <c r="CQ43" s="5" t="n"/>
      <c r="CR43" s="282" t="n"/>
      <c r="CS43" s="282" t="n"/>
      <c r="CT43" s="5" t="n"/>
      <c r="CU43" s="5" t="n"/>
      <c r="CV43" s="177" t="n"/>
      <c r="CW43" s="171" t="n">
        <v>39</v>
      </c>
      <c r="DA43" s="196" t="n"/>
      <c r="DB43" s="196" t="n"/>
      <c r="DC43" s="196" t="n"/>
      <c r="DD43" s="196" t="n"/>
      <c r="DE43" s="196" t="n"/>
      <c r="DF43" s="196" t="n"/>
      <c r="DG43" s="196" t="n"/>
      <c r="DH43" s="196" t="n"/>
      <c r="DI43" s="196" t="n"/>
      <c r="DJ43" s="196" t="n"/>
      <c r="DK43" s="196" t="n"/>
      <c r="DL43" s="196" t="n"/>
      <c r="DM43" s="196" t="n"/>
      <c r="DN43" s="196" t="n"/>
      <c r="EB43" s="196" t="n"/>
      <c r="EC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282" t="n"/>
      <c r="Q44" s="5" t="n"/>
      <c r="R44" s="40" t="n">
        <v>40</v>
      </c>
      <c r="S44" s="282" t="n"/>
      <c r="T44" s="282" t="n"/>
      <c r="U44" s="282" t="n"/>
      <c r="V44" s="282" t="n"/>
      <c r="W44" s="282" t="n"/>
      <c r="X44" s="282" t="n"/>
      <c r="Y44" s="282" t="n"/>
      <c r="Z44" s="282" t="n"/>
      <c r="AA44" s="282" t="n"/>
      <c r="AB44" s="22" t="n"/>
      <c r="AC44" s="282" t="n"/>
      <c r="AD44" s="282" t="n"/>
      <c r="AE44" s="22" t="n"/>
      <c r="AF44" s="22" t="n"/>
      <c r="AG44" s="177" t="n"/>
      <c r="AH44" s="177" t="n">
        <v>40</v>
      </c>
      <c r="AI44" s="177" t="n">
        <v>40</v>
      </c>
      <c r="AJ44" s="177">
        <f>IF(MAESTRO!D44="","",MAESTRO!D44)</f>
        <v/>
      </c>
      <c r="AK44" s="178"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177" t="n"/>
      <c r="BO44" s="177" t="n">
        <v>40</v>
      </c>
      <c r="BP44" s="177" t="n">
        <v>40</v>
      </c>
      <c r="BQ44" s="177">
        <f>IF(MAESTRO!D44="","",MAESTRO!D44)</f>
        <v/>
      </c>
      <c r="BR44" s="178" t="n"/>
      <c r="BS44" s="282" t="n"/>
      <c r="BT44" s="282" t="n"/>
      <c r="BU44" s="282" t="n"/>
      <c r="BV44" s="282" t="n"/>
      <c r="BW44" s="282" t="n"/>
      <c r="BX44" s="282" t="n"/>
      <c r="BY44" s="282" t="n"/>
      <c r="BZ44" s="282" t="n"/>
      <c r="CA44" s="282" t="n"/>
      <c r="CB44" s="282" t="n"/>
      <c r="CC44" s="282" t="n"/>
      <c r="CD44" s="282" t="n"/>
      <c r="CE44" s="282" t="n"/>
      <c r="CF44" s="5" t="n"/>
      <c r="CG44" s="282" t="n"/>
      <c r="CH44" s="282" t="n"/>
      <c r="CI44" s="282" t="n"/>
      <c r="CJ44" s="282" t="n"/>
      <c r="CK44" s="282" t="n"/>
      <c r="CL44" s="282" t="n"/>
      <c r="CM44" s="282" t="n"/>
      <c r="CN44" s="282" t="n"/>
      <c r="CO44" s="282" t="n"/>
      <c r="CP44" s="282" t="n"/>
      <c r="CQ44" s="5" t="n"/>
      <c r="CR44" s="282" t="n"/>
      <c r="CS44" s="282" t="n"/>
      <c r="CT44" s="5" t="n"/>
      <c r="CU44" s="5" t="n"/>
      <c r="CV44" s="177" t="n"/>
      <c r="CW44" s="171" t="n">
        <v>40</v>
      </c>
      <c r="DA44" s="196" t="n"/>
      <c r="DB44" s="196" t="n"/>
      <c r="DC44" s="196" t="n"/>
      <c r="DD44" s="196" t="n"/>
      <c r="DE44" s="196" t="n"/>
      <c r="DF44" s="196" t="n"/>
      <c r="DG44" s="196" t="n"/>
      <c r="DH44" s="196" t="n"/>
      <c r="DI44" s="196" t="n"/>
      <c r="DJ44" s="196" t="n"/>
      <c r="DK44" s="196" t="n"/>
      <c r="DL44" s="196" t="n"/>
      <c r="DM44" s="196" t="n"/>
      <c r="DN44" s="196" t="n"/>
      <c r="EB44" s="196" t="n"/>
      <c r="EC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282" t="n"/>
      <c r="Q45" s="5" t="n"/>
      <c r="R45" s="40" t="n">
        <v>41</v>
      </c>
      <c r="S45" s="282" t="n"/>
      <c r="T45" s="282" t="n"/>
      <c r="U45" s="282" t="n"/>
      <c r="V45" s="282" t="n"/>
      <c r="W45" s="282" t="n"/>
      <c r="X45" s="282" t="n"/>
      <c r="Y45" s="282" t="n"/>
      <c r="Z45" s="282" t="n"/>
      <c r="AA45" s="282" t="n"/>
      <c r="AB45" s="22" t="n"/>
      <c r="AC45" s="282" t="n"/>
      <c r="AD45" s="282" t="n"/>
      <c r="AE45" s="22" t="n"/>
      <c r="AF45" s="22" t="n"/>
      <c r="AG45" s="177" t="n"/>
      <c r="AH45" s="177" t="n">
        <v>41</v>
      </c>
      <c r="AI45" s="177" t="n">
        <v>41</v>
      </c>
      <c r="AJ45" s="177" t="n"/>
      <c r="AK45" s="178"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177" t="n"/>
      <c r="BO45" s="177" t="n">
        <v>41</v>
      </c>
      <c r="BP45" s="177" t="n">
        <v>41</v>
      </c>
      <c r="BQ45" s="177" t="n"/>
      <c r="BR45" s="178" t="n"/>
      <c r="BS45" s="282" t="n"/>
      <c r="BT45" s="282" t="n"/>
      <c r="BU45" s="282" t="n"/>
      <c r="BV45" s="282" t="n"/>
      <c r="BW45" s="282" t="n"/>
      <c r="BX45" s="282" t="n"/>
      <c r="BY45" s="282" t="n"/>
      <c r="BZ45" s="282" t="n"/>
      <c r="CA45" s="282" t="n"/>
      <c r="CB45" s="282" t="n"/>
      <c r="CC45" s="282" t="n"/>
      <c r="CD45" s="282" t="n"/>
      <c r="CE45" s="282" t="n"/>
      <c r="CF45" s="5" t="n"/>
      <c r="CG45" s="282" t="n"/>
      <c r="CH45" s="282" t="n"/>
      <c r="CI45" s="282" t="n"/>
      <c r="CJ45" s="282" t="n"/>
      <c r="CK45" s="282" t="n"/>
      <c r="CL45" s="282" t="n"/>
      <c r="CM45" s="282" t="n"/>
      <c r="CN45" s="282" t="n"/>
      <c r="CO45" s="282" t="n"/>
      <c r="CP45" s="282" t="n"/>
      <c r="CQ45" s="5" t="n"/>
      <c r="CR45" s="282" t="n"/>
      <c r="CS45" s="282" t="n"/>
      <c r="CT45" s="5" t="n"/>
      <c r="CU45" s="5" t="n"/>
      <c r="CV45" s="177" t="n"/>
      <c r="CW45" s="171" t="n">
        <v>41</v>
      </c>
      <c r="DA45" s="196" t="n"/>
      <c r="DB45" s="196" t="n"/>
      <c r="DC45" s="196" t="n"/>
      <c r="DD45" s="196" t="n"/>
      <c r="DE45" s="196" t="n"/>
      <c r="DF45" s="196" t="n"/>
      <c r="DG45" s="196" t="n"/>
      <c r="DH45" s="196" t="n"/>
      <c r="DI45" s="196" t="n"/>
      <c r="DJ45" s="196" t="n"/>
      <c r="DK45" s="196" t="n"/>
      <c r="DL45" s="196" t="n"/>
      <c r="DM45" s="196" t="n"/>
      <c r="DN45" s="196" t="n"/>
      <c r="EB45" s="196" t="n"/>
      <c r="EC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282" t="n"/>
      <c r="Q46" s="5" t="n"/>
      <c r="R46" s="40" t="n">
        <v>42</v>
      </c>
      <c r="S46" s="282" t="n"/>
      <c r="T46" s="282" t="n"/>
      <c r="U46" s="282" t="n"/>
      <c r="V46" s="282" t="n"/>
      <c r="W46" s="282" t="n"/>
      <c r="X46" s="282" t="n"/>
      <c r="Y46" s="282" t="n"/>
      <c r="Z46" s="282" t="n"/>
      <c r="AA46" s="282" t="n"/>
      <c r="AB46" s="22" t="n"/>
      <c r="AC46" s="282" t="n"/>
      <c r="AD46" s="282" t="n"/>
      <c r="AE46" s="22" t="n"/>
      <c r="AF46" s="22" t="n"/>
      <c r="AG46" s="177" t="n"/>
      <c r="AH46" s="177" t="n">
        <v>42</v>
      </c>
      <c r="AI46" s="177" t="n">
        <v>42</v>
      </c>
      <c r="AJ46" s="177" t="n"/>
      <c r="AK46" s="178"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177" t="n"/>
      <c r="BO46" s="177" t="n">
        <v>42</v>
      </c>
      <c r="BP46" s="177" t="n">
        <v>42</v>
      </c>
      <c r="BQ46" s="177" t="n"/>
      <c r="BR46" s="178" t="n"/>
      <c r="BS46" s="282" t="n"/>
      <c r="BT46" s="282" t="n"/>
      <c r="BU46" s="282" t="n"/>
      <c r="BV46" s="282" t="n"/>
      <c r="BW46" s="282" t="n"/>
      <c r="BX46" s="282" t="n"/>
      <c r="BY46" s="282" t="n"/>
      <c r="BZ46" s="282" t="n"/>
      <c r="CA46" s="282" t="n"/>
      <c r="CB46" s="282" t="n"/>
      <c r="CC46" s="282" t="n"/>
      <c r="CD46" s="282" t="n"/>
      <c r="CE46" s="282" t="n"/>
      <c r="CF46" s="5" t="n"/>
      <c r="CG46" s="282" t="n"/>
      <c r="CH46" s="282" t="n"/>
      <c r="CI46" s="282" t="n"/>
      <c r="CJ46" s="282" t="n"/>
      <c r="CK46" s="282" t="n"/>
      <c r="CL46" s="282" t="n"/>
      <c r="CM46" s="282" t="n"/>
      <c r="CN46" s="282" t="n"/>
      <c r="CO46" s="282" t="n"/>
      <c r="CP46" s="282" t="n"/>
      <c r="CQ46" s="5" t="n"/>
      <c r="CR46" s="282" t="n"/>
      <c r="CS46" s="282" t="n"/>
      <c r="CT46" s="5" t="n"/>
      <c r="CU46" s="5" t="n"/>
      <c r="CV46" s="177" t="n"/>
      <c r="CW46" s="171" t="n">
        <v>42</v>
      </c>
      <c r="DA46" s="196" t="n"/>
      <c r="DB46" s="196" t="n"/>
      <c r="DC46" s="196" t="n"/>
      <c r="DD46" s="196" t="n"/>
      <c r="DE46" s="196" t="n"/>
      <c r="DF46" s="196" t="n"/>
      <c r="DG46" s="196" t="n"/>
      <c r="DH46" s="196" t="n"/>
      <c r="DI46" s="196" t="n"/>
      <c r="DJ46" s="196" t="n"/>
      <c r="DK46" s="196" t="n"/>
      <c r="DL46" s="196" t="n"/>
      <c r="DM46" s="196" t="n"/>
      <c r="DN46" s="196" t="n"/>
      <c r="EB46" s="196" t="n"/>
      <c r="EC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282" t="n"/>
      <c r="Q47" s="5" t="n"/>
      <c r="R47" s="40" t="n">
        <v>43</v>
      </c>
      <c r="S47" s="282" t="n"/>
      <c r="T47" s="282" t="n"/>
      <c r="U47" s="282" t="n"/>
      <c r="V47" s="282" t="n"/>
      <c r="W47" s="282" t="n"/>
      <c r="X47" s="282" t="n"/>
      <c r="Y47" s="282" t="n"/>
      <c r="Z47" s="282" t="n"/>
      <c r="AA47" s="282" t="n"/>
      <c r="AB47" s="22" t="n"/>
      <c r="AC47" s="282" t="n"/>
      <c r="AD47" s="282" t="n"/>
      <c r="AE47" s="22" t="n"/>
      <c r="AF47" s="22" t="n"/>
      <c r="AG47" s="177" t="n"/>
      <c r="AH47" s="177" t="n">
        <v>43</v>
      </c>
      <c r="AI47" s="177" t="n">
        <v>43</v>
      </c>
      <c r="AJ47" s="177" t="n"/>
      <c r="AK47" s="178"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177" t="n"/>
      <c r="BO47" s="177" t="n">
        <v>43</v>
      </c>
      <c r="BP47" s="177" t="n">
        <v>43</v>
      </c>
      <c r="BQ47" s="177" t="n"/>
      <c r="BR47" s="178" t="n"/>
      <c r="BS47" s="282" t="n"/>
      <c r="BT47" s="282" t="n"/>
      <c r="BU47" s="282" t="n"/>
      <c r="BV47" s="282" t="n"/>
      <c r="BW47" s="282" t="n"/>
      <c r="BX47" s="282" t="n"/>
      <c r="BY47" s="282" t="n"/>
      <c r="BZ47" s="282" t="n"/>
      <c r="CA47" s="282" t="n"/>
      <c r="CB47" s="282" t="n"/>
      <c r="CC47" s="282" t="n"/>
      <c r="CD47" s="282" t="n"/>
      <c r="CE47" s="282" t="n"/>
      <c r="CF47" s="5" t="n"/>
      <c r="CG47" s="282" t="n"/>
      <c r="CH47" s="282" t="n"/>
      <c r="CI47" s="282" t="n"/>
      <c r="CJ47" s="282" t="n"/>
      <c r="CK47" s="282" t="n"/>
      <c r="CL47" s="282" t="n"/>
      <c r="CM47" s="282" t="n"/>
      <c r="CN47" s="282" t="n"/>
      <c r="CO47" s="282" t="n"/>
      <c r="CP47" s="282" t="n"/>
      <c r="CQ47" s="5" t="n"/>
      <c r="CR47" s="282" t="n"/>
      <c r="CS47" s="282" t="n"/>
      <c r="CT47" s="5" t="n"/>
      <c r="CU47" s="5" t="n"/>
      <c r="CV47" s="177" t="n"/>
      <c r="CW47" s="171" t="n">
        <v>43</v>
      </c>
      <c r="DA47" s="196" t="n"/>
      <c r="DB47" s="196" t="n"/>
      <c r="DC47" s="196" t="n"/>
      <c r="DD47" s="196" t="n"/>
      <c r="DE47" s="196" t="n"/>
      <c r="DF47" s="196" t="n"/>
      <c r="DG47" s="196" t="n"/>
      <c r="DH47" s="196" t="n"/>
      <c r="DI47" s="196" t="n"/>
      <c r="DJ47" s="196" t="n"/>
      <c r="DK47" s="196" t="n"/>
      <c r="DL47" s="196" t="n"/>
      <c r="DM47" s="196" t="n"/>
      <c r="DN47" s="196" t="n"/>
      <c r="EB47" s="196" t="n"/>
      <c r="EC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283" t="n"/>
      <c r="Q48" s="5" t="n"/>
      <c r="R48" s="40" t="n">
        <v>44</v>
      </c>
      <c r="S48" s="283" t="n"/>
      <c r="T48" s="283" t="n"/>
      <c r="U48" s="283" t="n"/>
      <c r="V48" s="283" t="n"/>
      <c r="W48" s="283" t="n"/>
      <c r="X48" s="283" t="n"/>
      <c r="Y48" s="283" t="n"/>
      <c r="Z48" s="283" t="n"/>
      <c r="AA48" s="283" t="n"/>
      <c r="AB48" s="22" t="n"/>
      <c r="AC48" s="283" t="n"/>
      <c r="AD48" s="283" t="n"/>
      <c r="AE48" s="22" t="n"/>
      <c r="AF48" s="22" t="n"/>
      <c r="AG48" s="177" t="n"/>
      <c r="AH48" s="177" t="n">
        <v>44</v>
      </c>
      <c r="AI48" s="177" t="n">
        <v>44</v>
      </c>
      <c r="AJ48" s="177" t="n"/>
      <c r="AK48" s="178" t="n"/>
      <c r="AL48" s="283" t="n"/>
      <c r="AM48" s="283" t="n"/>
      <c r="AN48" s="283" t="n"/>
      <c r="AO48" s="283" t="n"/>
      <c r="AP48" s="283" t="n"/>
      <c r="AQ48" s="283" t="n"/>
      <c r="AR48" s="283" t="n"/>
      <c r="AS48" s="283" t="n"/>
      <c r="AT48" s="283" t="n"/>
      <c r="AU48" s="283" t="n"/>
      <c r="AV48" s="283" t="n"/>
      <c r="AW48" s="283" t="n"/>
      <c r="AX48" s="5" t="n"/>
      <c r="AY48" s="283" t="n"/>
      <c r="AZ48" s="283" t="n"/>
      <c r="BA48" s="283" t="n"/>
      <c r="BB48" s="283" t="n"/>
      <c r="BC48" s="283" t="n"/>
      <c r="BD48" s="283" t="n"/>
      <c r="BE48" s="283" t="n"/>
      <c r="BF48" s="283" t="n"/>
      <c r="BG48" s="283" t="n"/>
      <c r="BH48" s="283" t="n"/>
      <c r="BI48" s="22" t="n"/>
      <c r="BJ48" s="283" t="n"/>
      <c r="BK48" s="283" t="n"/>
      <c r="BL48" s="22" t="n"/>
      <c r="BM48" s="22" t="n"/>
      <c r="BN48" s="177" t="n"/>
      <c r="BO48" s="177" t="n">
        <v>44</v>
      </c>
      <c r="BP48" s="177" t="n">
        <v>44</v>
      </c>
      <c r="BQ48" s="177" t="n"/>
      <c r="BR48" s="178" t="n"/>
      <c r="BS48" s="283" t="n"/>
      <c r="BT48" s="283" t="n"/>
      <c r="BU48" s="283" t="n"/>
      <c r="BV48" s="283" t="n"/>
      <c r="BW48" s="283" t="n"/>
      <c r="BX48" s="283" t="n"/>
      <c r="BY48" s="283" t="n"/>
      <c r="BZ48" s="283" t="n"/>
      <c r="CA48" s="283" t="n"/>
      <c r="CB48" s="283" t="n"/>
      <c r="CC48" s="283" t="n"/>
      <c r="CD48" s="283" t="n"/>
      <c r="CE48" s="283" t="n"/>
      <c r="CF48" s="5" t="n"/>
      <c r="CG48" s="283" t="n"/>
      <c r="CH48" s="283" t="n"/>
      <c r="CI48" s="283" t="n"/>
      <c r="CJ48" s="283" t="n"/>
      <c r="CK48" s="283" t="n"/>
      <c r="CL48" s="283" t="n"/>
      <c r="CM48" s="283" t="n"/>
      <c r="CN48" s="283" t="n"/>
      <c r="CO48" s="283" t="n"/>
      <c r="CP48" s="283" t="n"/>
      <c r="CQ48" s="5" t="n"/>
      <c r="CR48" s="283" t="n"/>
      <c r="CS48" s="283" t="n"/>
      <c r="CT48" s="5" t="n"/>
      <c r="CU48" s="5" t="n"/>
      <c r="CV48" s="177" t="n"/>
      <c r="CW48" s="171" t="n">
        <v>44</v>
      </c>
      <c r="DA48" s="196" t="n"/>
      <c r="DB48" s="196" t="n"/>
      <c r="DC48" s="196" t="n"/>
      <c r="DD48" s="196" t="n"/>
      <c r="DE48" s="196" t="n"/>
      <c r="DF48" s="196" t="n"/>
      <c r="DG48" s="196" t="n"/>
      <c r="DH48" s="196" t="n"/>
      <c r="DI48" s="196" t="n"/>
      <c r="DJ48" s="196" t="n"/>
      <c r="DK48" s="196" t="n"/>
      <c r="DL48" s="196" t="n"/>
      <c r="DM48" s="196" t="n"/>
      <c r="DN48" s="196" t="n"/>
      <c r="EB48" s="196" t="n"/>
      <c r="EC48" s="196" t="n"/>
    </row>
  </sheetData>
  <mergeCells count="262">
    <mergeCell ref="CE42:CE48"/>
    <mergeCell ref="BQ13:BR13"/>
    <mergeCell ref="AJ43:AK43"/>
    <mergeCell ref="BQ44:BR44"/>
    <mergeCell ref="CG42:CG48"/>
    <mergeCell ref="C3:P3"/>
    <mergeCell ref="DO1:EE1"/>
    <mergeCell ref="AJ3:AK4"/>
    <mergeCell ref="CY33:CZ33"/>
    <mergeCell ref="AO42:AO48"/>
    <mergeCell ref="BQ6:BR6"/>
    <mergeCell ref="AQ42:AQ48"/>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D42:D48"/>
    <mergeCell ref="AL42:AL48"/>
    <mergeCell ref="BQ32:BR32"/>
    <mergeCell ref="AN42:AN48"/>
    <mergeCell ref="DZ3:EA4"/>
    <mergeCell ref="AJ28:AK28"/>
    <mergeCell ref="BQ41:BR41"/>
    <mergeCell ref="CT3:CT4"/>
    <mergeCell ref="BQ47:BR47"/>
    <mergeCell ref="AJ30:AK30"/>
    <mergeCell ref="CY26:CZ26"/>
    <mergeCell ref="H42:H48"/>
    <mergeCell ref="J42:J48"/>
    <mergeCell ref="AJ6:AK6"/>
    <mergeCell ref="AI3:AI4"/>
    <mergeCell ref="T42:T48"/>
    <mergeCell ref="AD42:AD48"/>
    <mergeCell ref="AY2:BO2"/>
    <mergeCell ref="V42:V48"/>
    <mergeCell ref="CU3:CU4"/>
    <mergeCell ref="CG3:CP3"/>
    <mergeCell ref="BQ18:BR18"/>
    <mergeCell ref="BP1:CF1"/>
    <mergeCell ref="CX1:DN1"/>
    <mergeCell ref="AP42:AP48"/>
    <mergeCell ref="BQ27:BR27"/>
    <mergeCell ref="BV42:BV48"/>
    <mergeCell ref="AC3:AD4"/>
    <mergeCell ref="CY8:CZ8"/>
    <mergeCell ref="BQ8:BR8"/>
    <mergeCell ref="BX42:BX48"/>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CY36:CZ36"/>
    <mergeCell ref="AW42:AW48"/>
    <mergeCell ref="CY18:CZ18"/>
    <mergeCell ref="AJ27:AK27"/>
    <mergeCell ref="BP3:BP4"/>
    <mergeCell ref="I42:I48"/>
    <mergeCell ref="BQ5:BR5"/>
    <mergeCell ref="K42:K48"/>
    <mergeCell ref="CS42:CS48"/>
    <mergeCell ref="AJ8:AK8"/>
    <mergeCell ref="AI2:AX2"/>
    <mergeCell ref="AJ17:AK17"/>
    <mergeCell ref="BQ29:BR29"/>
    <mergeCell ref="M42:M48"/>
    <mergeCell ref="O42:O48"/>
    <mergeCell ref="AJ10:AK10"/>
    <mergeCell ref="CY6:CZ6"/>
    <mergeCell ref="AJ19:AK19"/>
    <mergeCell ref="CY44:CZ44"/>
    <mergeCell ref="CY15:CZ15"/>
    <mergeCell ref="AX3:AX4"/>
    <mergeCell ref="DA3:DM3"/>
    <mergeCell ref="BS3:CE3"/>
    <mergeCell ref="CG2:CW2"/>
    <mergeCell ref="BQ31:BR31"/>
    <mergeCell ref="CI42:CI48"/>
    <mergeCell ref="Y42:Y48"/>
    <mergeCell ref="CA42:CA48"/>
    <mergeCell ref="AJ34:AK34"/>
    <mergeCell ref="AA42:AA48"/>
    <mergeCell ref="CC42:CC48"/>
    <mergeCell ref="CY12:CZ12"/>
    <mergeCell ref="CY3:CZ4"/>
    <mergeCell ref="BQ21:BR21"/>
    <mergeCell ref="CY21:CZ21"/>
    <mergeCell ref="A2:Q2"/>
    <mergeCell ref="P42:P48"/>
    <mergeCell ref="CV3:CW4"/>
    <mergeCell ref="AJ36:AK36"/>
    <mergeCell ref="AJ5:AK5"/>
    <mergeCell ref="AY42:AY48"/>
    <mergeCell ref="AJ45:AK45"/>
    <mergeCell ref="CY41:CZ41"/>
    <mergeCell ref="BQ23:BR23"/>
    <mergeCell ref="CY23:CZ23"/>
    <mergeCell ref="BQ46:BR46"/>
    <mergeCell ref="AJ20:AK20"/>
    <mergeCell ref="AJ29:AK29"/>
    <mergeCell ref="CY13:CZ13"/>
    <mergeCell ref="BQ7:BR7"/>
    <mergeCell ref="CY7:CZ7"/>
    <mergeCell ref="CY43:CZ43"/>
    <mergeCell ref="S3:AA3"/>
    <mergeCell ref="AJ44:AK44"/>
    <mergeCell ref="BQ48:BR48"/>
    <mergeCell ref="BB42:BB48"/>
    <mergeCell ref="CY40:CZ40"/>
    <mergeCell ref="AJ22:AK22"/>
    <mergeCell ref="BD42:BD48"/>
    <mergeCell ref="AJ31:AK31"/>
    <mergeCell ref="CY27:CZ27"/>
    <mergeCell ref="AJ12:AK12"/>
    <mergeCell ref="AJ21:AK21"/>
    <mergeCell ref="AE3:AE4"/>
    <mergeCell ref="F42:F48"/>
    <mergeCell ref="BQ34:BR34"/>
    <mergeCell ref="BH42:BH48"/>
    <mergeCell ref="AJ14:AK14"/>
    <mergeCell ref="BI3:BI4"/>
    <mergeCell ref="CQ3:CQ4"/>
    <mergeCell ref="BT42:BT48"/>
    <mergeCell ref="AJ23:AK23"/>
    <mergeCell ref="CN42:CN48"/>
    <mergeCell ref="BQ36:BR36"/>
    <mergeCell ref="CP42:CP48"/>
    <mergeCell ref="S1:AH1"/>
    <mergeCell ref="CH42:CH48"/>
    <mergeCell ref="AJ7:AK7"/>
    <mergeCell ref="BQ33:BR33"/>
    <mergeCell ref="BQ20:BR20"/>
    <mergeCell ref="AY3:BH3"/>
    <mergeCell ref="CY25:CZ25"/>
    <mergeCell ref="AJ48:AK48"/>
    <mergeCell ref="U42:U48"/>
    <mergeCell ref="AR42:AR48"/>
    <mergeCell ref="W42:W48"/>
    <mergeCell ref="CY30:CZ30"/>
    <mergeCell ref="BW42:BW48"/>
    <mergeCell ref="BQ35:BR35"/>
    <mergeCell ref="CY5:CZ5"/>
    <mergeCell ref="AJ18:AK18"/>
    <mergeCell ref="AI1:AX1"/>
    <mergeCell ref="DO3:DX3"/>
    <mergeCell ref="BQ22:BR22"/>
    <mergeCell ref="CY34:CZ34"/>
    <mergeCell ref="AJ33:AK33"/>
    <mergeCell ref="BQ12:BR12"/>
    <mergeCell ref="AS42:AS48"/>
    <mergeCell ref="CY11:CZ11"/>
    <mergeCell ref="C42:C48"/>
    <mergeCell ref="AU42:AU48"/>
    <mergeCell ref="S2:AH2"/>
    <mergeCell ref="AM42:AM48"/>
    <mergeCell ref="BL3:BL4"/>
    <mergeCell ref="EC3:EC4"/>
    <mergeCell ref="E42:E48"/>
    <mergeCell ref="CM42:CM48"/>
    <mergeCell ref="AB3:AB4"/>
    <mergeCell ref="CO42:CO48"/>
    <mergeCell ref="CG1:CW1"/>
    <mergeCell ref="DN3:DN4"/>
    <mergeCell ref="BG42:BG48"/>
    <mergeCell ref="AJ35:AK35"/>
    <mergeCell ref="CY32:CZ32"/>
    <mergeCell ref="BQ39:BR39"/>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AJ11:AK11"/>
    <mergeCell ref="AJ46:AK46"/>
    <mergeCell ref="L42:L48"/>
    <mergeCell ref="BQ37:BR37"/>
    <mergeCell ref="CY37:CZ37"/>
    <mergeCell ref="N42:N48"/>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A3:A4"/>
    <mergeCell ref="CY29:CZ29"/>
    <mergeCell ref="AJ38:AK38"/>
    <mergeCell ref="BQ16:BR16"/>
    <mergeCell ref="CY16:CZ16"/>
    <mergeCell ref="AJ13:AK13"/>
    <mergeCell ref="BQ25:BR25"/>
    <mergeCell ref="AZ42:AZ48"/>
    <mergeCell ref="BP2:CF2"/>
    <mergeCell ref="BJ42:BJ48"/>
    <mergeCell ref="CR42:CR48"/>
    <mergeCell ref="CX2:DN2"/>
    <mergeCell ref="CY9:CZ9"/>
    <mergeCell ref="AJ37:AK37"/>
    <mergeCell ref="CY45:CZ45"/>
    <mergeCell ref="AJ15:AK15"/>
    <mergeCell ref="AJ24:AK24"/>
    <mergeCell ref="CY20:CZ20"/>
    <mergeCell ref="BQ42:BR42"/>
    <mergeCell ref="BQ11:BR11"/>
    <mergeCell ref="CJ42:CJ48"/>
    <mergeCell ref="BQ43:BR43"/>
    <mergeCell ref="CY35:CZ35"/>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(Agropecuaria 8°)'!AF21,""))</f>
        <v/>
      </c>
      <c r="G32" s="68">
        <f>IF(MAESTRO!D21="","",IFERROR('PROM (Agropecuaria 8°)'!BM21,""))</f>
        <v/>
      </c>
      <c r="H32" s="49">
        <f>IF(MAESTRO!D21="","",IFERROR('PROM (Agropecuaria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(Agropecuaria 8°)'!AF22,""))</f>
        <v/>
      </c>
      <c r="G33" s="68">
        <f>IF(MAESTRO!D22="","",IFERROR('PROM (Agropecuaria 8°)'!BM22,""))</f>
        <v/>
      </c>
      <c r="H33" s="49">
        <f>IF(MAESTRO!D22="","",IFERROR('PROM (Agropecuaria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(Agropecuaria 8°)'!AF23,""))</f>
        <v/>
      </c>
      <c r="G34" s="68">
        <f>IF(MAESTRO!D23="","",IFERROR('PROM (Agropecuaria 8°)'!BM23,""))</f>
        <v/>
      </c>
      <c r="H34" s="49">
        <f>IF(MAESTRO!D23="","",IFERROR('PROM (Agropecuaria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(Agropecuaria 8°)'!AF24,""))</f>
        <v/>
      </c>
      <c r="G35" s="68">
        <f>IF(MAESTRO!D24="","",IFERROR('PROM (Agropecuaria 8°)'!BM24,""))</f>
        <v/>
      </c>
      <c r="H35" s="49">
        <f>IF(MAESTRO!D24="","",IFERROR('PROM (Agropecuaria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(Agropecuaria 8°)'!AF25,""))</f>
        <v/>
      </c>
      <c r="G36" s="68">
        <f>IF(MAESTRO!D25="","",IFERROR('PROM (Agropecuaria 8°)'!BM25,""))</f>
        <v/>
      </c>
      <c r="H36" s="49">
        <f>IF(MAESTRO!D25="","",IFERROR('PROM (Agropecuaria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(Agropecuaria 8°)'!AF26,""))</f>
        <v/>
      </c>
      <c r="G37" s="68">
        <f>IF(MAESTRO!D26="","",IFERROR('PROM (Agropecuaria 8°)'!BM26,""))</f>
        <v/>
      </c>
      <c r="H37" s="49">
        <f>IF(MAESTRO!D26="","",IFERROR('PROM (Agropecuaria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(Agropecuaria 8°)'!AF27,""))</f>
        <v/>
      </c>
      <c r="G38" s="68">
        <f>IF(MAESTRO!D27="","",IFERROR('PROM (Agropecuaria 8°)'!BM27,""))</f>
        <v/>
      </c>
      <c r="H38" s="49">
        <f>IF(MAESTRO!D27="","",IFERROR('PROM (Agropecuaria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(Agropecuaria 8°)'!AF28,""))</f>
        <v/>
      </c>
      <c r="G39" s="68">
        <f>IF(MAESTRO!D28="","",IFERROR('PROM (Agropecuaria 8°)'!BM28,""))</f>
        <v/>
      </c>
      <c r="H39" s="49">
        <f>IF(MAESTRO!D28="","",IFERROR('PROM (Agropecuaria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(Agropecuaria 8°)'!AF29,""))</f>
        <v/>
      </c>
      <c r="G40" s="68">
        <f>IF(MAESTRO!D29="","",IFERROR('PROM (Agropecuaria 8°)'!BM29,""))</f>
        <v/>
      </c>
      <c r="H40" s="49">
        <f>IF(MAESTRO!D29="","",IFERROR('PROM (Agropecuaria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(Agropecuaria 8°)'!AF30,""))</f>
        <v/>
      </c>
      <c r="G41" s="68">
        <f>IF(MAESTRO!D30="","",IFERROR('PROM (Agropecuaria 8°)'!BM30,""))</f>
        <v/>
      </c>
      <c r="H41" s="49">
        <f>IF(MAESTRO!D30="","",IFERROR('PROM (Agropecuaria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(Agropecuaria 8°)'!AF31,""))</f>
        <v/>
      </c>
      <c r="G42" s="68">
        <f>IF(MAESTRO!D31="","",IFERROR('PROM (Agropecuaria 8°)'!BM31,""))</f>
        <v/>
      </c>
      <c r="H42" s="49">
        <f>IF(MAESTRO!D31="","",IFERROR('PROM (Agropecuaria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(Agropecuaria 8°)'!AF32,""))</f>
        <v/>
      </c>
      <c r="G43" s="68">
        <f>IF(MAESTRO!D32="","",IFERROR('PROM (Agropecuaria 8°)'!BM32,""))</f>
        <v/>
      </c>
      <c r="H43" s="49">
        <f>IF(MAESTRO!D32="","",IFERROR('PROM (Agropecuaria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(Agropecuaria 8°)'!AF33,""))</f>
        <v/>
      </c>
      <c r="G44" s="68">
        <f>IF(MAESTRO!D33="","",IFERROR('PROM (Agropecuaria 8°)'!BM33,""))</f>
        <v/>
      </c>
      <c r="H44" s="49">
        <f>IF(MAESTRO!D33="","",IFERROR('PROM (Agropecuaria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(Agropecuaria 8°)'!AF34,""))</f>
        <v/>
      </c>
      <c r="G45" s="68">
        <f>IF(MAESTRO!D34="","",IFERROR('PROM (Agropecuaria 8°)'!BM34,""))</f>
        <v/>
      </c>
      <c r="H45" s="49">
        <f>IF(MAESTRO!D34="","",IFERROR('PROM (Agropecuaria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(Agropecuaria 8°)'!AF35,""))</f>
        <v/>
      </c>
      <c r="G46" s="68">
        <f>IF(MAESTRO!D35="","",IFERROR('PROM (Agropecuaria 8°)'!BM35,""))</f>
        <v/>
      </c>
      <c r="H46" s="49">
        <f>IF(MAESTRO!D35="","",IFERROR('PROM (Agropecuaria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(Agropecuaria 8°)'!AF36,""))</f>
        <v/>
      </c>
      <c r="G47" s="68">
        <f>IF(MAESTRO!D36="","",IFERROR('PROM (Agropecuaria 8°)'!BM36,""))</f>
        <v/>
      </c>
      <c r="H47" s="49">
        <f>IF(MAESTRO!D36="","",IFERROR('PROM (Agropecuaria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(Agropecuaria 8°)'!AF37,""))</f>
        <v/>
      </c>
      <c r="G48" s="68">
        <f>IF(MAESTRO!D37="","",IFERROR('PROM (Agropecuaria 8°)'!BM37,""))</f>
        <v/>
      </c>
      <c r="H48" s="49">
        <f>IF(MAESTRO!D37="","",IFERROR('PROM (Agropecuaria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(Agropecuaria 8°)'!AF38,""))</f>
        <v/>
      </c>
      <c r="G49" s="68">
        <f>IF(MAESTRO!D38="","",IFERROR('PROM (Agropecuaria 8°)'!BM38,""))</f>
        <v/>
      </c>
      <c r="H49" s="49">
        <f>IF(MAESTRO!D38="","",IFERROR('PROM (Agropecuaria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(Agropecuaria 8°)'!AF39,""))</f>
        <v/>
      </c>
      <c r="G50" s="68">
        <f>IF(MAESTRO!D39="","",IFERROR('PROM (Agropecuaria 8°)'!BM39,""))</f>
        <v/>
      </c>
      <c r="H50" s="49">
        <f>IF(MAESTRO!D39="","",IFERROR('PROM (Agropecuaria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(Agropecuaria 8°)'!AF40,""))</f>
        <v/>
      </c>
      <c r="G51" s="68">
        <f>IF(MAESTRO!D40="","",IFERROR('PROM (Agropecuaria 8°)'!BM40,""))</f>
        <v/>
      </c>
      <c r="H51" s="49">
        <f>IF(MAESTRO!D40="","",IFERROR('PROM (Agropecuaria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(Agropecuaria 8°)'!AF41,""))</f>
        <v/>
      </c>
      <c r="G52" s="68">
        <f>IF(MAESTRO!D41="","",IFERROR('PROM (Agropecuaria 8°)'!BM41,""))</f>
        <v/>
      </c>
      <c r="H52" s="49">
        <f>IF(MAESTRO!D41="","",IFERROR('PROM (Agropecuaria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A2"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77734375" customWidth="1" style="176" min="3" max="15"/>
    <col width="5.66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46099</v>
      </c>
      <c r="D4" s="23" t="n">
        <v>46126</v>
      </c>
      <c r="E4" s="23" t="n"/>
      <c r="F4" s="23" t="n"/>
      <c r="G4" s="177" t="n"/>
      <c r="H4" s="177" t="n"/>
      <c r="I4" s="177" t="n"/>
      <c r="J4" s="177" t="n"/>
      <c r="K4" s="177" t="n"/>
      <c r="L4" s="177" t="n"/>
      <c r="M4" s="177" t="n"/>
      <c r="N4" s="177" t="n"/>
      <c r="O4" s="177" t="n"/>
      <c r="P4" s="181" t="n"/>
      <c r="Q4" s="57" t="n"/>
      <c r="R4" s="23" t="n">
        <v>46099</v>
      </c>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v>4.7</v>
      </c>
      <c r="D5" s="5" t="n">
        <v>4.3</v>
      </c>
      <c r="E5" s="5" t="n">
        <v>4.5</v>
      </c>
      <c r="F5" s="5" t="n">
        <v>3.3</v>
      </c>
      <c r="G5" s="5" t="n">
        <v>3.5</v>
      </c>
      <c r="H5" s="5" t="n">
        <v>3.1</v>
      </c>
      <c r="I5" s="5" t="n">
        <v>3.8</v>
      </c>
      <c r="J5" s="5" t="n">
        <v>4.9</v>
      </c>
      <c r="K5" s="5" t="n">
        <v>4.5</v>
      </c>
      <c r="L5" s="5" t="n">
        <v>3.6</v>
      </c>
      <c r="M5" s="5" t="n">
        <v>4.4</v>
      </c>
      <c r="N5" s="5" t="n">
        <v>3.3</v>
      </c>
      <c r="O5" s="5" t="n">
        <v>4.7</v>
      </c>
      <c r="P5" s="5">
        <f>IF(MAESTRO!F5="","",IFERROR(TRUNC(AVERAGE(C5:O5),1),""))</f>
        <v/>
      </c>
      <c r="Q5" s="95" t="n">
        <v>1</v>
      </c>
      <c r="R5" s="22" t="n">
        <v>3.4</v>
      </c>
      <c r="S5" s="22" t="n">
        <v>4.7</v>
      </c>
      <c r="T5" s="22" t="n">
        <v>4.1</v>
      </c>
      <c r="U5" s="22" t="n">
        <v>3.5</v>
      </c>
      <c r="V5" s="22" t="n">
        <v>4.4</v>
      </c>
      <c r="W5" s="22" t="n">
        <v>3.6</v>
      </c>
      <c r="X5" s="22" t="n">
        <v>3.4</v>
      </c>
      <c r="Y5" s="22" t="n">
        <v>4.9</v>
      </c>
      <c r="Z5" s="22" t="n">
        <v>4.4</v>
      </c>
      <c r="AA5" s="45">
        <f>IF(MAESTRO!F5="","",IFERROR(TRUNC(AVERAGE(R5:Z5),1),""))</f>
        <v/>
      </c>
      <c r="AB5" s="5" t="n">
        <v>3.2</v>
      </c>
      <c r="AC5" s="42" t="n">
        <v>4.3</v>
      </c>
      <c r="AD5" s="5">
        <f>IF(MAESTRO!F5="","",IFERROR(AVERAGE(AB5:AC5),""))</f>
        <v/>
      </c>
      <c r="AE5" s="44">
        <f>IF(MAESTRO!F5="","",IFERROR(TRUNC(AVERAGE(P5,AA5,AD5),1),""))</f>
        <v/>
      </c>
      <c r="AF5" s="177" t="n"/>
      <c r="AG5" s="177" t="n">
        <v>1</v>
      </c>
      <c r="AH5" s="177" t="n">
        <v>1</v>
      </c>
      <c r="AI5" s="177">
        <f>IF(MAESTRO!F5="","",MAESTRO!F5)</f>
        <v/>
      </c>
      <c r="AJ5" s="178" t="n"/>
      <c r="AK5" s="61" t="n">
        <v>5</v>
      </c>
      <c r="AL5" s="61" t="n">
        <v>4.5</v>
      </c>
      <c r="AM5" s="61" t="n">
        <v>4.1</v>
      </c>
      <c r="AN5" s="61" t="n">
        <v>3.2</v>
      </c>
      <c r="AO5" s="61" t="n">
        <v>4.8</v>
      </c>
      <c r="AP5" s="61" t="n">
        <v>3</v>
      </c>
      <c r="AQ5" s="61" t="n">
        <v>4.9</v>
      </c>
      <c r="AR5" s="61" t="n">
        <v>3.7</v>
      </c>
      <c r="AS5" s="61" t="n">
        <v>3.5</v>
      </c>
      <c r="AT5" s="61" t="n">
        <v>4.9</v>
      </c>
      <c r="AU5" s="61" t="n">
        <v>4.5</v>
      </c>
      <c r="AV5" s="61" t="n">
        <v>3.7</v>
      </c>
      <c r="AW5" s="5">
        <f>IF(MAESTRO!F5="","",IFERROR(TRUNC(AVERAGE(AK5:AV5),1),""))</f>
        <v/>
      </c>
      <c r="AX5" s="22" t="n">
        <v>3.5</v>
      </c>
      <c r="AY5" s="22" t="n">
        <v>3.8</v>
      </c>
      <c r="AZ5" s="22" t="n">
        <v>3.9</v>
      </c>
      <c r="BA5" s="22" t="n">
        <v>3.3</v>
      </c>
      <c r="BB5" s="22" t="n">
        <v>3.4</v>
      </c>
      <c r="BC5" s="22" t="n">
        <v>3.5</v>
      </c>
      <c r="BD5" s="22" t="n">
        <v>4.2</v>
      </c>
      <c r="BE5" s="22" t="n">
        <v>3.7</v>
      </c>
      <c r="BF5" s="22" t="n">
        <v>3.1</v>
      </c>
      <c r="BG5" s="52" t="n">
        <v>3.4</v>
      </c>
      <c r="BH5" s="5">
        <f>IF(MAESTRO!F5="","",IFERROR(TRUNC(AVERAGE(AX5:BG5),1),""))</f>
        <v/>
      </c>
      <c r="BI5" s="22" t="n">
        <v>3.8</v>
      </c>
      <c r="BJ5" s="22" t="n">
        <v>3.2</v>
      </c>
      <c r="BK5" s="22">
        <f>IF(MAESTRO!F5="","",IFERROR(AVERAGE(BI5,BJ5),""))</f>
        <v/>
      </c>
      <c r="BL5" s="5">
        <f>IF(MAESTRO!F5="","",IFERROR(TRUNC(AVERAGE(AW5,BH5,BK5),1),""))</f>
        <v/>
      </c>
      <c r="BM5" s="177" t="n"/>
      <c r="BN5" s="177" t="n">
        <v>1</v>
      </c>
      <c r="BO5" s="177" t="n">
        <v>1</v>
      </c>
      <c r="BP5" s="177">
        <f>IF(MAESTRO!F5="","",MAESTRO!F5)</f>
        <v/>
      </c>
      <c r="BQ5" s="178" t="n"/>
      <c r="BR5" s="5" t="n">
        <v>4.5</v>
      </c>
      <c r="BS5" s="5" t="n">
        <v>4.4</v>
      </c>
      <c r="BT5" s="5" t="n">
        <v>4.7</v>
      </c>
      <c r="BU5" s="5" t="n">
        <v>3.1</v>
      </c>
      <c r="BV5" s="5" t="n">
        <v>3.9</v>
      </c>
      <c r="BW5" s="5" t="n">
        <v>4</v>
      </c>
      <c r="BX5" s="5" t="n">
        <v>4</v>
      </c>
      <c r="BY5" s="5" t="n">
        <v>3.7</v>
      </c>
      <c r="BZ5" s="5" t="n">
        <v>3</v>
      </c>
      <c r="CA5" s="5" t="n">
        <v>4.1</v>
      </c>
      <c r="CB5" s="5" t="n">
        <v>3.3</v>
      </c>
      <c r="CC5" s="5" t="n">
        <v>3.8</v>
      </c>
      <c r="CD5" s="5" t="n">
        <v>4.6</v>
      </c>
      <c r="CE5" s="5">
        <f>IF(MAESTRO!F5="","",IFERROR(TRUNC(AVERAGE(BR5:CD5),1),""))</f>
        <v/>
      </c>
      <c r="CF5" s="5" t="n">
        <v>3.7</v>
      </c>
      <c r="CG5" s="5" t="n">
        <v>3.6</v>
      </c>
      <c r="CH5" s="5" t="n">
        <v>3.3</v>
      </c>
      <c r="CI5" s="5" t="n">
        <v>4.3</v>
      </c>
      <c r="CJ5" s="5" t="n">
        <v>3.5</v>
      </c>
      <c r="CK5" s="5" t="n">
        <v>3.9</v>
      </c>
      <c r="CL5" s="5" t="n">
        <v>3.2</v>
      </c>
      <c r="CM5" s="5" t="n">
        <v>3.1</v>
      </c>
      <c r="CN5" s="5" t="n">
        <v>4</v>
      </c>
      <c r="CO5" s="5" t="n">
        <v>3.6</v>
      </c>
      <c r="CP5" s="5">
        <f>IF(MAESTRO!F5="","",IFERROR(TRUNC(AVERAGE(CF5:CO5),1),""))</f>
        <v/>
      </c>
      <c r="CQ5" s="5" t="n">
        <v>4.9</v>
      </c>
      <c r="CR5" s="5" t="n">
        <v>4</v>
      </c>
      <c r="CS5" s="5">
        <f>IF(MAESTRO!F5="","",IFERROR(AVERAGE(CQ5:CR5),""))</f>
        <v/>
      </c>
      <c r="CT5" s="5">
        <f>IF(MAESTRO!F5="","",IFERROR(TRUNC(AVERAGE(CE5,CP5,CS5),1),""))</f>
        <v/>
      </c>
      <c r="CU5" s="177" t="n"/>
      <c r="CV5" s="177"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v>3.9</v>
      </c>
      <c r="D6" s="5" t="n">
        <v>4</v>
      </c>
      <c r="E6" s="5" t="n">
        <v>3.8</v>
      </c>
      <c r="F6" s="5" t="n">
        <v>3.4</v>
      </c>
      <c r="G6" s="5" t="n">
        <v>4.5</v>
      </c>
      <c r="H6" s="5" t="n">
        <v>4.5</v>
      </c>
      <c r="I6" s="5" t="n">
        <v>4.6</v>
      </c>
      <c r="J6" s="5" t="n">
        <v>4.5</v>
      </c>
      <c r="K6" s="5" t="n">
        <v>4.6</v>
      </c>
      <c r="L6" s="5" t="n">
        <v>4.7</v>
      </c>
      <c r="M6" s="5" t="n">
        <v>4.7</v>
      </c>
      <c r="N6" s="5" t="n">
        <v>3.9</v>
      </c>
      <c r="O6" s="5" t="n">
        <v>4.9</v>
      </c>
      <c r="P6" s="5">
        <f>IF(MAESTRO!F6="","",IFERROR(TRUNC(AVERAGE(C6:O6),1),""))</f>
        <v/>
      </c>
      <c r="Q6" s="95" t="n">
        <v>2</v>
      </c>
      <c r="R6" s="22" t="n">
        <v>3.3</v>
      </c>
      <c r="S6" s="22" t="n">
        <v>4.6</v>
      </c>
      <c r="T6" s="22" t="n">
        <v>4.9</v>
      </c>
      <c r="U6" s="22" t="n">
        <v>4.4</v>
      </c>
      <c r="V6" s="22" t="n">
        <v>3.9</v>
      </c>
      <c r="W6" s="22" t="n">
        <v>3.3</v>
      </c>
      <c r="X6" s="22" t="n">
        <v>4.3</v>
      </c>
      <c r="Y6" s="22" t="n">
        <v>4.6</v>
      </c>
      <c r="Z6" s="22" t="n">
        <v>4.6</v>
      </c>
      <c r="AA6" s="45">
        <f>IF(MAESTRO!F6="","",IFERROR(TRUNC(AVERAGE(R6:Z6),1),""))</f>
        <v/>
      </c>
      <c r="AB6" s="5" t="n">
        <v>3.3</v>
      </c>
      <c r="AC6" s="42" t="n">
        <v>3.6</v>
      </c>
      <c r="AD6" s="5">
        <f>IF(MAESTRO!F6="","",IFERROR(AVERAGE(AB6:AC6),""))</f>
        <v/>
      </c>
      <c r="AE6" s="44">
        <f>IF(MAESTRO!F6="","",IFERROR(TRUNC(AVERAGE(P6,AA6,AD6),1),""))</f>
        <v/>
      </c>
      <c r="AF6" s="177" t="n"/>
      <c r="AG6" s="177" t="n">
        <v>2</v>
      </c>
      <c r="AH6" s="177" t="n">
        <v>2</v>
      </c>
      <c r="AI6" s="177">
        <f>IF(MAESTRO!F6="","",MAESTRO!F6)</f>
        <v/>
      </c>
      <c r="AJ6" s="178" t="n"/>
      <c r="AK6" s="61" t="n">
        <v>3.1</v>
      </c>
      <c r="AL6" s="61" t="n">
        <v>4.2</v>
      </c>
      <c r="AM6" s="61" t="n">
        <v>4</v>
      </c>
      <c r="AN6" s="61" t="n">
        <v>3</v>
      </c>
      <c r="AO6" s="61" t="n">
        <v>4.6</v>
      </c>
      <c r="AP6" s="61" t="n">
        <v>4.5</v>
      </c>
      <c r="AQ6" s="61" t="n">
        <v>3.2</v>
      </c>
      <c r="AR6" s="61" t="n">
        <v>3.1</v>
      </c>
      <c r="AS6" s="61" t="n">
        <v>3.8</v>
      </c>
      <c r="AT6" s="61" t="n">
        <v>4.8</v>
      </c>
      <c r="AU6" s="61" t="n">
        <v>3.6</v>
      </c>
      <c r="AV6" s="61" t="n">
        <v>4.5</v>
      </c>
      <c r="AW6" s="5">
        <f>IF(MAESTRO!F6="","",IFERROR(TRUNC(AVERAGE(AK6:AV6),1),""))</f>
        <v/>
      </c>
      <c r="AX6" s="22" t="n">
        <v>4.4</v>
      </c>
      <c r="AY6" s="22" t="n">
        <v>4</v>
      </c>
      <c r="AZ6" s="22" t="n">
        <v>4.8</v>
      </c>
      <c r="BA6" s="22" t="n">
        <v>3.4</v>
      </c>
      <c r="BB6" s="22" t="n">
        <v>3</v>
      </c>
      <c r="BC6" s="22" t="n">
        <v>3.6</v>
      </c>
      <c r="BD6" s="22" t="n">
        <v>4.2</v>
      </c>
      <c r="BE6" s="22" t="n">
        <v>4.4</v>
      </c>
      <c r="BF6" s="22" t="n">
        <v>4.4</v>
      </c>
      <c r="BG6" s="52" t="n">
        <v>3.7</v>
      </c>
      <c r="BH6" s="5">
        <f>IF(MAESTRO!F6="","",IFERROR(TRUNC(AVERAGE(AX6:BG6),1),""))</f>
        <v/>
      </c>
      <c r="BI6" s="22" t="n">
        <v>4.1</v>
      </c>
      <c r="BJ6" s="22" t="n">
        <v>3.4</v>
      </c>
      <c r="BK6" s="22">
        <f>IF(MAESTRO!F6="","",IFERROR(AVERAGE(BI6,BJ6),""))</f>
        <v/>
      </c>
      <c r="BL6" s="5">
        <f>IF(MAESTRO!F6="","",IFERROR(TRUNC(AVERAGE(AW6,BH6,BK6),1),""))</f>
        <v/>
      </c>
      <c r="BM6" s="177" t="n"/>
      <c r="BN6" s="177" t="n">
        <v>2</v>
      </c>
      <c r="BO6" s="177" t="n">
        <v>2</v>
      </c>
      <c r="BP6" s="177">
        <f>IF(MAESTRO!F6="","",MAESTRO!F6)</f>
        <v/>
      </c>
      <c r="BQ6" s="178" t="n"/>
      <c r="BR6" s="5" t="n">
        <v>3.8</v>
      </c>
      <c r="BS6" s="5" t="n">
        <v>4.6</v>
      </c>
      <c r="BT6" s="5" t="n">
        <v>5</v>
      </c>
      <c r="BU6" s="5" t="n">
        <v>4.4</v>
      </c>
      <c r="BV6" s="5" t="n">
        <v>3.3</v>
      </c>
      <c r="BW6" s="5" t="n">
        <v>3.1</v>
      </c>
      <c r="BX6" s="5" t="n">
        <v>3.1</v>
      </c>
      <c r="BY6" s="5" t="n">
        <v>3.8</v>
      </c>
      <c r="BZ6" s="5" t="n">
        <v>3.4</v>
      </c>
      <c r="CA6" s="5" t="n">
        <v>3.6</v>
      </c>
      <c r="CB6" s="5" t="n">
        <v>4.4</v>
      </c>
      <c r="CC6" s="5" t="n">
        <v>4.6</v>
      </c>
      <c r="CD6" s="5" t="n">
        <v>4.2</v>
      </c>
      <c r="CE6" s="5">
        <f>IF(MAESTRO!F6="","",IFERROR(TRUNC(AVERAGE(BR6:CD6),1),""))</f>
        <v/>
      </c>
      <c r="CF6" s="5" t="n">
        <v>3.7</v>
      </c>
      <c r="CG6" s="5" t="n">
        <v>3.1</v>
      </c>
      <c r="CH6" s="5" t="n">
        <v>3.8</v>
      </c>
      <c r="CI6" s="5" t="n">
        <v>3.6</v>
      </c>
      <c r="CJ6" s="5" t="n">
        <v>4.4</v>
      </c>
      <c r="CK6" s="5" t="n">
        <v>4.6</v>
      </c>
      <c r="CL6" s="5" t="n">
        <v>4.1</v>
      </c>
      <c r="CM6" s="5" t="n">
        <v>4.2</v>
      </c>
      <c r="CN6" s="5" t="n">
        <v>3.4</v>
      </c>
      <c r="CO6" s="5" t="n">
        <v>4.3</v>
      </c>
      <c r="CP6" s="5">
        <f>IF(MAESTRO!F6="","",IFERROR(TRUNC(AVERAGE(CF6:CO6),1),""))</f>
        <v/>
      </c>
      <c r="CQ6" s="5" t="n">
        <v>4.6</v>
      </c>
      <c r="CR6" s="5" t="n">
        <v>4.9</v>
      </c>
      <c r="CS6" s="5">
        <f>IF(MAESTRO!F6="","",IFERROR(AVERAGE(CQ6:CR6),""))</f>
        <v/>
      </c>
      <c r="CT6" s="5">
        <f>IF(MAESTRO!F6="","",IFERROR(TRUNC(AVERAGE(CE6,CP6,CS6),1),""))</f>
        <v/>
      </c>
      <c r="CU6" s="177" t="n"/>
      <c r="CV6" s="177"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v>4.5</v>
      </c>
      <c r="D7" s="5" t="n">
        <v>3.2</v>
      </c>
      <c r="E7" s="5" t="n">
        <v>4.1</v>
      </c>
      <c r="F7" s="5" t="n">
        <v>4.2</v>
      </c>
      <c r="G7" s="5" t="n">
        <v>3.3</v>
      </c>
      <c r="H7" s="5" t="n">
        <v>4.3</v>
      </c>
      <c r="I7" s="5" t="n">
        <v>4.4</v>
      </c>
      <c r="J7" s="5" t="n">
        <v>3.7</v>
      </c>
      <c r="K7" s="5" t="n">
        <v>4.8</v>
      </c>
      <c r="L7" s="5" t="n">
        <v>4.8</v>
      </c>
      <c r="M7" s="5" t="n">
        <v>3.6</v>
      </c>
      <c r="N7" s="5" t="n">
        <v>3.8</v>
      </c>
      <c r="O7" s="5" t="n">
        <v>3.5</v>
      </c>
      <c r="P7" s="5">
        <f>IF(MAESTRO!F7="","",IFERROR(TRUNC(AVERAGE(C7:O7),1),""))</f>
        <v/>
      </c>
      <c r="Q7" s="95" t="n">
        <v>3</v>
      </c>
      <c r="R7" s="22" t="n">
        <v>3.4</v>
      </c>
      <c r="S7" s="22" t="n">
        <v>4.8</v>
      </c>
      <c r="T7" s="22" t="n">
        <v>4.5</v>
      </c>
      <c r="U7" s="22" t="n">
        <v>4</v>
      </c>
      <c r="V7" s="22" t="n">
        <v>4.1</v>
      </c>
      <c r="W7" s="22" t="n">
        <v>3.5</v>
      </c>
      <c r="X7" s="22" t="n">
        <v>3.5</v>
      </c>
      <c r="Y7" s="22" t="n">
        <v>3.5</v>
      </c>
      <c r="Z7" s="22" t="n">
        <v>4.2</v>
      </c>
      <c r="AA7" s="45">
        <f>IF(MAESTRO!F7="","",IFERROR(TRUNC(AVERAGE(R7:Z7),1),""))</f>
        <v/>
      </c>
      <c r="AB7" s="177" t="n">
        <v>3.4</v>
      </c>
      <c r="AC7" s="42" t="n">
        <v>3.8</v>
      </c>
      <c r="AD7" s="5">
        <f>IF(MAESTRO!F7="","",IFERROR(AVERAGE(AB7:AC7),""))</f>
        <v/>
      </c>
      <c r="AE7" s="44">
        <f>IF(MAESTRO!F7="","",IFERROR(TRUNC(AVERAGE(P7,AA7,AD7),1),""))</f>
        <v/>
      </c>
      <c r="AF7" s="177" t="n"/>
      <c r="AG7" s="177" t="n">
        <v>3</v>
      </c>
      <c r="AH7" s="177" t="n">
        <v>3</v>
      </c>
      <c r="AI7" s="177">
        <f>IF(MAESTRO!F7="","",MAESTRO!F7)</f>
        <v/>
      </c>
      <c r="AJ7" s="178" t="n"/>
      <c r="AK7" s="61" t="n">
        <v>4.9</v>
      </c>
      <c r="AL7" s="61" t="n">
        <v>3.8</v>
      </c>
      <c r="AM7" s="61" t="n">
        <v>3.5</v>
      </c>
      <c r="AN7" s="61" t="n">
        <v>3.5</v>
      </c>
      <c r="AO7" s="61" t="n">
        <v>4.4</v>
      </c>
      <c r="AP7" s="61" t="n">
        <v>5</v>
      </c>
      <c r="AQ7" s="61" t="n">
        <v>3.2</v>
      </c>
      <c r="AR7" s="61" t="n">
        <v>4.7</v>
      </c>
      <c r="AS7" s="61" t="n">
        <v>4.8</v>
      </c>
      <c r="AT7" s="61" t="n">
        <v>4.7</v>
      </c>
      <c r="AU7" s="61" t="n">
        <v>4</v>
      </c>
      <c r="AV7" s="61" t="n">
        <v>4.5</v>
      </c>
      <c r="AW7" s="5">
        <f>IF(MAESTRO!F7="","",IFERROR(TRUNC(AVERAGE(AK7:AV7),1),""))</f>
        <v/>
      </c>
      <c r="AX7" s="22" t="n">
        <v>4</v>
      </c>
      <c r="AY7" s="22" t="n">
        <v>3.5</v>
      </c>
      <c r="AZ7" s="22" t="n">
        <v>4.3</v>
      </c>
      <c r="BA7" s="22" t="n">
        <v>4</v>
      </c>
      <c r="BB7" s="22" t="n">
        <v>4.9</v>
      </c>
      <c r="BC7" s="22" t="n">
        <v>4.7</v>
      </c>
      <c r="BD7" s="22" t="n">
        <v>3.9</v>
      </c>
      <c r="BE7" s="22" t="n">
        <v>3.4</v>
      </c>
      <c r="BF7" s="22" t="n">
        <v>4.2</v>
      </c>
      <c r="BG7" s="52" t="n">
        <v>3.9</v>
      </c>
      <c r="BH7" s="5">
        <f>IF(MAESTRO!F7="","",IFERROR(TRUNC(AVERAGE(AX7:BG7),1),""))</f>
        <v/>
      </c>
      <c r="BI7" s="22" t="n">
        <v>4.8</v>
      </c>
      <c r="BJ7" s="22" t="n">
        <v>3.5</v>
      </c>
      <c r="BK7" s="22">
        <f>IF(MAESTRO!F7="","",IFERROR(AVERAGE(BI7,BJ7),""))</f>
        <v/>
      </c>
      <c r="BL7" s="5">
        <f>IF(MAESTRO!F7="","",IFERROR(TRUNC(AVERAGE(AW7,BH7,BK7),1),""))</f>
        <v/>
      </c>
      <c r="BM7" s="177" t="n"/>
      <c r="BN7" s="177" t="n">
        <v>3</v>
      </c>
      <c r="BO7" s="177" t="n">
        <v>3</v>
      </c>
      <c r="BP7" s="177">
        <f>IF(MAESTRO!F7="","",MAESTRO!F7)</f>
        <v/>
      </c>
      <c r="BQ7" s="178" t="n"/>
      <c r="BR7" s="5" t="n">
        <v>3.5</v>
      </c>
      <c r="BS7" s="5" t="n">
        <v>4.6</v>
      </c>
      <c r="BT7" s="5" t="n">
        <v>4.1</v>
      </c>
      <c r="BU7" s="5" t="n">
        <v>4</v>
      </c>
      <c r="BV7" s="5" t="n">
        <v>3.5</v>
      </c>
      <c r="BW7" s="5" t="n">
        <v>4.4</v>
      </c>
      <c r="BX7" s="5" t="n">
        <v>3.4</v>
      </c>
      <c r="BY7" s="5" t="n">
        <v>3.3</v>
      </c>
      <c r="BZ7" s="5" t="n">
        <v>4.5</v>
      </c>
      <c r="CA7" s="5" t="n">
        <v>4.8</v>
      </c>
      <c r="CB7" s="5" t="n">
        <v>4.7</v>
      </c>
      <c r="CC7" s="5" t="n">
        <v>4.1</v>
      </c>
      <c r="CD7" s="5" t="n">
        <v>3.1</v>
      </c>
      <c r="CE7" s="5">
        <f>IF(MAESTRO!F7="","",IFERROR(TRUNC(AVERAGE(BR7:CD7),1),""))</f>
        <v/>
      </c>
      <c r="CF7" s="5" t="n">
        <v>3.2</v>
      </c>
      <c r="CG7" s="5" t="n">
        <v>4.4</v>
      </c>
      <c r="CH7" s="5" t="n">
        <v>3.5</v>
      </c>
      <c r="CI7" s="5" t="n">
        <v>3.5</v>
      </c>
      <c r="CJ7" s="5" t="n">
        <v>3.8</v>
      </c>
      <c r="CK7" s="5" t="n">
        <v>3</v>
      </c>
      <c r="CL7" s="5" t="n">
        <v>5</v>
      </c>
      <c r="CM7" s="5" t="n">
        <v>4.3</v>
      </c>
      <c r="CN7" s="5" t="n">
        <v>3.4</v>
      </c>
      <c r="CO7" s="5" t="n">
        <v>3.8</v>
      </c>
      <c r="CP7" s="5">
        <f>IF(MAESTRO!F7="","",IFERROR(TRUNC(AVERAGE(CF7:CO7),1),""))</f>
        <v/>
      </c>
      <c r="CQ7" s="5" t="n">
        <v>4.4</v>
      </c>
      <c r="CR7" s="5" t="n">
        <v>4.1</v>
      </c>
      <c r="CS7" s="5">
        <f>IF(MAESTRO!F7="","",IFERROR(AVERAGE(CQ7:CR7),""))</f>
        <v/>
      </c>
      <c r="CT7" s="5">
        <f>IF(MAESTRO!F7="","",IFERROR(TRUNC(AVERAGE(CE7,CP7,CS7),1),""))</f>
        <v/>
      </c>
      <c r="CU7" s="177" t="n"/>
      <c r="CV7" s="177"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v>3.3</v>
      </c>
      <c r="D8" s="5" t="n">
        <v>4.3</v>
      </c>
      <c r="E8" s="5" t="n">
        <v>4.3</v>
      </c>
      <c r="F8" s="5" t="n">
        <v>3.3</v>
      </c>
      <c r="G8" s="5" t="n">
        <v>4.7</v>
      </c>
      <c r="H8" s="5" t="n">
        <v>4.1</v>
      </c>
      <c r="I8" s="5" t="n">
        <v>3.5</v>
      </c>
      <c r="J8" s="5" t="n">
        <v>3.7</v>
      </c>
      <c r="K8" s="5" t="n">
        <v>4.5</v>
      </c>
      <c r="L8" s="5" t="n">
        <v>4</v>
      </c>
      <c r="M8" s="5" t="n">
        <v>4.5</v>
      </c>
      <c r="N8" s="5" t="n">
        <v>3.5</v>
      </c>
      <c r="O8" s="5" t="n">
        <v>4.4</v>
      </c>
      <c r="P8" s="5">
        <f>IF(MAESTRO!F8="","",IFERROR(TRUNC(AVERAGE(C8:O8),1),""))</f>
        <v/>
      </c>
      <c r="Q8" s="95" t="n">
        <v>4</v>
      </c>
      <c r="R8" s="22" t="n">
        <v>4.8</v>
      </c>
      <c r="S8" s="22" t="n">
        <v>4</v>
      </c>
      <c r="T8" s="22" t="n">
        <v>3.8</v>
      </c>
      <c r="U8" s="22" t="n">
        <v>4.2</v>
      </c>
      <c r="V8" s="22" t="n">
        <v>4</v>
      </c>
      <c r="W8" s="22" t="n">
        <v>4.9</v>
      </c>
      <c r="X8" s="22" t="n">
        <v>3.5</v>
      </c>
      <c r="Y8" s="22" t="n">
        <v>3.1</v>
      </c>
      <c r="Z8" s="22" t="n">
        <v>4.2</v>
      </c>
      <c r="AA8" s="45">
        <f>IF(MAESTRO!F8="","",IFERROR(TRUNC(AVERAGE(R8:Z8),1),""))</f>
        <v/>
      </c>
      <c r="AB8" s="177" t="n">
        <v>3.5</v>
      </c>
      <c r="AC8" s="42" t="n">
        <v>4</v>
      </c>
      <c r="AD8" s="5">
        <f>IF(MAESTRO!F8="","",IFERROR(AVERAGE(AB8:AC8),""))</f>
        <v/>
      </c>
      <c r="AE8" s="44">
        <f>IF(MAESTRO!F8="","",IFERROR(TRUNC(AVERAGE(P8,AA8,AD8),1),""))</f>
        <v/>
      </c>
      <c r="AF8" s="177" t="n"/>
      <c r="AG8" s="177" t="n">
        <v>4</v>
      </c>
      <c r="AH8" s="177" t="n">
        <v>4</v>
      </c>
      <c r="AI8" s="177">
        <f>IF(MAESTRO!F8="","",MAESTRO!F8)</f>
        <v/>
      </c>
      <c r="AJ8" s="178" t="n"/>
      <c r="AK8" s="61" t="n">
        <v>3.3</v>
      </c>
      <c r="AL8" s="61" t="n">
        <v>4.9</v>
      </c>
      <c r="AM8" s="61" t="n">
        <v>3.2</v>
      </c>
      <c r="AN8" s="61" t="n">
        <v>3.2</v>
      </c>
      <c r="AO8" s="61" t="n">
        <v>3.1</v>
      </c>
      <c r="AP8" s="61" t="n">
        <v>3.1</v>
      </c>
      <c r="AQ8" s="61" t="n">
        <v>3.7</v>
      </c>
      <c r="AR8" s="61" t="n">
        <v>3.3</v>
      </c>
      <c r="AS8" s="61" t="n">
        <v>4.1</v>
      </c>
      <c r="AT8" s="61" t="n">
        <v>4.5</v>
      </c>
      <c r="AU8" s="61" t="n">
        <v>4.2</v>
      </c>
      <c r="AV8" s="61" t="n">
        <v>3.3</v>
      </c>
      <c r="AW8" s="5">
        <f>IF(MAESTRO!F8="","",IFERROR(TRUNC(AVERAGE(AK8:AV8),1),""))</f>
        <v/>
      </c>
      <c r="AX8" s="22" t="n">
        <v>3.8</v>
      </c>
      <c r="AY8" s="22" t="n">
        <v>4.3</v>
      </c>
      <c r="AZ8" s="22" t="n">
        <v>3.6</v>
      </c>
      <c r="BA8" s="22" t="n">
        <v>4.7</v>
      </c>
      <c r="BB8" s="22" t="n">
        <v>4.1</v>
      </c>
      <c r="BC8" s="22" t="n">
        <v>3.9</v>
      </c>
      <c r="BD8" s="22" t="n">
        <v>4</v>
      </c>
      <c r="BE8" s="22" t="n">
        <v>5</v>
      </c>
      <c r="BF8" s="22" t="n">
        <v>4.7</v>
      </c>
      <c r="BG8" s="52" t="n">
        <v>3.1</v>
      </c>
      <c r="BH8" s="5">
        <f>IF(MAESTRO!F8="","",IFERROR(TRUNC(AVERAGE(AX8:BG8),1),""))</f>
        <v/>
      </c>
      <c r="BI8" s="22" t="n">
        <v>4.5</v>
      </c>
      <c r="BJ8" s="22" t="n">
        <v>4.5</v>
      </c>
      <c r="BK8" s="22">
        <f>IF(MAESTRO!F8="","",IFERROR(AVERAGE(BI8,BJ8),""))</f>
        <v/>
      </c>
      <c r="BL8" s="5">
        <f>IF(MAESTRO!F8="","",IFERROR(TRUNC(AVERAGE(AW8,BH8,BK8),1),""))</f>
        <v/>
      </c>
      <c r="BM8" s="177" t="n"/>
      <c r="BN8" s="177" t="n">
        <v>4</v>
      </c>
      <c r="BO8" s="177" t="n">
        <v>4</v>
      </c>
      <c r="BP8" s="177">
        <f>IF(MAESTRO!F8="","",MAESTRO!F8)</f>
        <v/>
      </c>
      <c r="BQ8" s="178" t="n"/>
      <c r="BR8" s="5" t="n">
        <v>3.4</v>
      </c>
      <c r="BS8" s="5" t="n">
        <v>3</v>
      </c>
      <c r="BT8" s="5" t="n">
        <v>3.6</v>
      </c>
      <c r="BU8" s="5" t="n">
        <v>4.8</v>
      </c>
      <c r="BV8" s="5" t="n">
        <v>3.6</v>
      </c>
      <c r="BW8" s="5" t="n">
        <v>3</v>
      </c>
      <c r="BX8" s="5" t="n">
        <v>5</v>
      </c>
      <c r="BY8" s="5" t="n">
        <v>3.7</v>
      </c>
      <c r="BZ8" s="5" t="n">
        <v>4.7</v>
      </c>
      <c r="CA8" s="5" t="n">
        <v>4.1</v>
      </c>
      <c r="CB8" s="5" t="n">
        <v>3.1</v>
      </c>
      <c r="CC8" s="5" t="n">
        <v>3.7</v>
      </c>
      <c r="CD8" s="5" t="n">
        <v>4.7</v>
      </c>
      <c r="CE8" s="5">
        <f>IF(MAESTRO!F8="","",IFERROR(TRUNC(AVERAGE(BR8:CD8),1),""))</f>
        <v/>
      </c>
      <c r="CF8" s="5" t="n">
        <v>3.8</v>
      </c>
      <c r="CG8" s="5" t="n">
        <v>3.9</v>
      </c>
      <c r="CH8" s="5" t="n">
        <v>3.9</v>
      </c>
      <c r="CI8" s="5" t="n">
        <v>4.3</v>
      </c>
      <c r="CJ8" s="5" t="n">
        <v>3.3</v>
      </c>
      <c r="CK8" s="5" t="n">
        <v>4.6</v>
      </c>
      <c r="CL8" s="5" t="n">
        <v>4.9</v>
      </c>
      <c r="CM8" s="5" t="n">
        <v>4.3</v>
      </c>
      <c r="CN8" s="5" t="n">
        <v>3.9</v>
      </c>
      <c r="CO8" s="5" t="n">
        <v>3.7</v>
      </c>
      <c r="CP8" s="5">
        <f>IF(MAESTRO!F8="","",IFERROR(TRUNC(AVERAGE(CF8:CO8),1),""))</f>
        <v/>
      </c>
      <c r="CQ8" s="5" t="n">
        <v>4.1</v>
      </c>
      <c r="CR8" s="5" t="n">
        <v>4</v>
      </c>
      <c r="CS8" s="5">
        <f>IF(MAESTRO!F8="","",IFERROR(AVERAGE(CQ8:CR8),""))</f>
        <v/>
      </c>
      <c r="CT8" s="5">
        <f>IF(MAESTRO!F8="","",IFERROR(TRUNC(AVERAGE(CE8,CP8,CS8),1),""))</f>
        <v/>
      </c>
      <c r="CU8" s="177" t="n"/>
      <c r="CV8" s="177"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v>4.9</v>
      </c>
      <c r="D9" s="5" t="n">
        <v>4.6</v>
      </c>
      <c r="E9" s="5" t="n">
        <v>4.4</v>
      </c>
      <c r="F9" s="5" t="n">
        <v>4</v>
      </c>
      <c r="G9" s="5" t="n">
        <v>3.5</v>
      </c>
      <c r="H9" s="5" t="n">
        <v>4.9</v>
      </c>
      <c r="I9" s="5" t="n">
        <v>4.3</v>
      </c>
      <c r="J9" s="5" t="n">
        <v>4.5</v>
      </c>
      <c r="K9" s="5" t="n">
        <v>4.1</v>
      </c>
      <c r="L9" s="5" t="n">
        <v>3.6</v>
      </c>
      <c r="M9" s="5" t="n">
        <v>4.9</v>
      </c>
      <c r="N9" s="5" t="n">
        <v>4.1</v>
      </c>
      <c r="O9" s="5" t="n">
        <v>4.3</v>
      </c>
      <c r="P9" s="5">
        <f>IF(MAESTRO!F9="","",IFERROR(TRUNC(AVERAGE(C9:O9),1),""))</f>
        <v/>
      </c>
      <c r="Q9" s="95" t="n">
        <v>5</v>
      </c>
      <c r="R9" s="22" t="n">
        <v>3.6</v>
      </c>
      <c r="S9" s="22" t="n">
        <v>4.9</v>
      </c>
      <c r="T9" s="22" t="n">
        <v>4.7</v>
      </c>
      <c r="U9" s="22" t="n">
        <v>4.2</v>
      </c>
      <c r="V9" s="22" t="n">
        <v>3.7</v>
      </c>
      <c r="W9" s="22" t="n">
        <v>3.5</v>
      </c>
      <c r="X9" s="22" t="n">
        <v>4.2</v>
      </c>
      <c r="Y9" s="22" t="n">
        <v>4.2</v>
      </c>
      <c r="Z9" s="22" t="n">
        <v>3.1</v>
      </c>
      <c r="AA9" s="45">
        <f>IF(MAESTRO!F9="","",IFERROR(TRUNC(AVERAGE(R9:Z9),1),""))</f>
        <v/>
      </c>
      <c r="AB9" s="177" t="n">
        <v>3.9</v>
      </c>
      <c r="AC9" s="42" t="n">
        <v>4</v>
      </c>
      <c r="AD9" s="5">
        <f>IF(MAESTRO!F9="","",IFERROR(AVERAGE(AB9:AC9),""))</f>
        <v/>
      </c>
      <c r="AE9" s="44">
        <f>IF(MAESTRO!F9="","",IFERROR(TRUNC(AVERAGE(P9,AA9,AD9),1),""))</f>
        <v/>
      </c>
      <c r="AF9" s="177" t="n"/>
      <c r="AG9" s="177" t="n">
        <v>5</v>
      </c>
      <c r="AH9" s="177" t="n">
        <v>5</v>
      </c>
      <c r="AI9" s="177">
        <f>IF(MAESTRO!F9="","",MAESTRO!F9)</f>
        <v/>
      </c>
      <c r="AJ9" s="178" t="n"/>
      <c r="AK9" s="61" t="n">
        <v>4.2</v>
      </c>
      <c r="AL9" s="61" t="n">
        <v>4.1</v>
      </c>
      <c r="AM9" s="61" t="n">
        <v>4.9</v>
      </c>
      <c r="AN9" s="61" t="n">
        <v>4.4</v>
      </c>
      <c r="AO9" s="61" t="n">
        <v>4.1</v>
      </c>
      <c r="AP9" s="61" t="n">
        <v>3.1</v>
      </c>
      <c r="AQ9" s="61" t="n">
        <v>3.8</v>
      </c>
      <c r="AR9" s="61" t="n">
        <v>3.8</v>
      </c>
      <c r="AS9" s="61" t="n">
        <v>4.9</v>
      </c>
      <c r="AT9" s="61" t="n">
        <v>4.9</v>
      </c>
      <c r="AU9" s="61" t="n">
        <v>4.2</v>
      </c>
      <c r="AV9" s="61" t="n">
        <v>3.6</v>
      </c>
      <c r="AW9" s="5">
        <f>IF(MAESTRO!F9="","",IFERROR(TRUNC(AVERAGE(AK9:AV9),1),""))</f>
        <v/>
      </c>
      <c r="AX9" s="22" t="n">
        <v>4.4</v>
      </c>
      <c r="AY9" s="22" t="n">
        <v>3.1</v>
      </c>
      <c r="AZ9" s="22" t="n">
        <v>3.4</v>
      </c>
      <c r="BA9" s="22" t="n">
        <v>4.7</v>
      </c>
      <c r="BB9" s="22" t="n">
        <v>3.3</v>
      </c>
      <c r="BC9" s="22" t="n">
        <v>3.2</v>
      </c>
      <c r="BD9" s="22" t="n">
        <v>4.5</v>
      </c>
      <c r="BE9" s="22" t="n">
        <v>3.6</v>
      </c>
      <c r="BF9" s="22" t="n">
        <v>4.6</v>
      </c>
      <c r="BG9" s="52" t="n">
        <v>3.1</v>
      </c>
      <c r="BH9" s="5">
        <f>IF(MAESTRO!F9="","",IFERROR(TRUNC(AVERAGE(AX9:BG9),1),""))</f>
        <v/>
      </c>
      <c r="BI9" s="22" t="n">
        <v>3.7</v>
      </c>
      <c r="BJ9" s="22" t="n">
        <v>3.9</v>
      </c>
      <c r="BK9" s="22">
        <f>IF(MAESTRO!F9="","",IFERROR(AVERAGE(BI9,BJ9),""))</f>
        <v/>
      </c>
      <c r="BL9" s="5">
        <f>IF(MAESTRO!F9="","",IFERROR(TRUNC(AVERAGE(AW9,BH9,BK9),1),""))</f>
        <v/>
      </c>
      <c r="BM9" s="177" t="n"/>
      <c r="BN9" s="177" t="n">
        <v>5</v>
      </c>
      <c r="BO9" s="177" t="n">
        <v>5</v>
      </c>
      <c r="BP9" s="177">
        <f>IF(MAESTRO!F9="","",MAESTRO!F9)</f>
        <v/>
      </c>
      <c r="BQ9" s="178" t="n"/>
      <c r="BR9" s="5" t="n">
        <v>3.1</v>
      </c>
      <c r="BS9" s="5" t="n">
        <v>3</v>
      </c>
      <c r="BT9" s="5" t="n">
        <v>3.6</v>
      </c>
      <c r="BU9" s="5" t="n">
        <v>3.7</v>
      </c>
      <c r="BV9" s="5" t="n">
        <v>4.4</v>
      </c>
      <c r="BW9" s="5" t="n">
        <v>3.3</v>
      </c>
      <c r="BX9" s="5" t="n">
        <v>3.8</v>
      </c>
      <c r="BY9" s="5" t="n">
        <v>3.2</v>
      </c>
      <c r="BZ9" s="5" t="n">
        <v>4.2</v>
      </c>
      <c r="CA9" s="5" t="n">
        <v>3.9</v>
      </c>
      <c r="CB9" s="5" t="n">
        <v>3.7</v>
      </c>
      <c r="CC9" s="5" t="n">
        <v>3.4</v>
      </c>
      <c r="CD9" s="5" t="n">
        <v>3.6</v>
      </c>
      <c r="CE9" s="5">
        <f>IF(MAESTRO!F9="","",IFERROR(TRUNC(AVERAGE(BR9:CD9),1),""))</f>
        <v/>
      </c>
      <c r="CF9" s="5" t="n">
        <v>3.7</v>
      </c>
      <c r="CG9" s="5" t="n">
        <v>3</v>
      </c>
      <c r="CH9" s="5" t="n">
        <v>4.7</v>
      </c>
      <c r="CI9" s="5" t="n">
        <v>4.6</v>
      </c>
      <c r="CJ9" s="5" t="n">
        <v>4.7</v>
      </c>
      <c r="CK9" s="5" t="n">
        <v>4.6</v>
      </c>
      <c r="CL9" s="5" t="n">
        <v>4.9</v>
      </c>
      <c r="CM9" s="5" t="n">
        <v>3.1</v>
      </c>
      <c r="CN9" s="5" t="n">
        <v>3.7</v>
      </c>
      <c r="CO9" s="5" t="n">
        <v>4.4</v>
      </c>
      <c r="CP9" s="5">
        <f>IF(MAESTRO!F9="","",IFERROR(TRUNC(AVERAGE(CF9:CO9),1),""))</f>
        <v/>
      </c>
      <c r="CQ9" s="5" t="n">
        <v>3.3</v>
      </c>
      <c r="CR9" s="5" t="n">
        <v>3.5</v>
      </c>
      <c r="CS9" s="5">
        <f>IF(MAESTRO!F9="","",IFERROR(AVERAGE(CQ9:CR9),""))</f>
        <v/>
      </c>
      <c r="CT9" s="5">
        <f>IF(MAESTRO!F9="","",IFERROR(TRUNC(AVERAGE(CE9,CP9,CS9),1),""))</f>
        <v/>
      </c>
      <c r="CU9" s="177" t="n"/>
      <c r="CV9" s="177"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v>3.7</v>
      </c>
      <c r="D10" s="5" t="n">
        <v>4.7</v>
      </c>
      <c r="E10" s="5" t="n">
        <v>3.1</v>
      </c>
      <c r="F10" s="5" t="n">
        <v>4.9</v>
      </c>
      <c r="G10" s="5" t="n">
        <v>3.7</v>
      </c>
      <c r="H10" s="5" t="n">
        <v>3.1</v>
      </c>
      <c r="I10" s="5" t="n">
        <v>3.9</v>
      </c>
      <c r="J10" s="5" t="n">
        <v>3.7</v>
      </c>
      <c r="K10" s="5" t="n">
        <v>4.6</v>
      </c>
      <c r="L10" s="5" t="n">
        <v>3.3</v>
      </c>
      <c r="M10" s="5" t="n">
        <v>4.5</v>
      </c>
      <c r="N10" s="5" t="n">
        <v>4</v>
      </c>
      <c r="O10" s="5" t="n">
        <v>3.1</v>
      </c>
      <c r="P10" s="5">
        <f>IF(MAESTRO!F10="","",IFERROR(TRUNC(AVERAGE(C10:O10),1),""))</f>
        <v/>
      </c>
      <c r="Q10" s="95" t="n">
        <v>6</v>
      </c>
      <c r="R10" s="22" t="n">
        <v>4.5</v>
      </c>
      <c r="S10" s="22" t="n">
        <v>4.8</v>
      </c>
      <c r="T10" s="22" t="n">
        <v>3.7</v>
      </c>
      <c r="U10" s="22" t="n">
        <v>4.2</v>
      </c>
      <c r="V10" s="22" t="n">
        <v>3.9</v>
      </c>
      <c r="W10" s="22" t="n">
        <v>3.7</v>
      </c>
      <c r="X10" s="22" t="n">
        <v>3</v>
      </c>
      <c r="Y10" s="22" t="n">
        <v>3.9</v>
      </c>
      <c r="Z10" s="22" t="n">
        <v>4.6</v>
      </c>
      <c r="AA10" s="45">
        <f>IF(MAESTRO!F10="","",IFERROR(TRUNC(AVERAGE(R10:Z10),1),""))</f>
        <v/>
      </c>
      <c r="AB10" s="177" t="n">
        <v>3.5</v>
      </c>
      <c r="AC10" s="42" t="n">
        <v>4.9</v>
      </c>
      <c r="AD10" s="5">
        <f>IF(MAESTRO!F10="","",IFERROR(AVERAGE(AB10:AC10),""))</f>
        <v/>
      </c>
      <c r="AE10" s="44">
        <f>IF(MAESTRO!F10="","",IFERROR(TRUNC(AVERAGE(P10,AA10,AD10),1),""))</f>
        <v/>
      </c>
      <c r="AF10" s="177" t="n"/>
      <c r="AG10" s="177" t="n">
        <v>6</v>
      </c>
      <c r="AH10" s="177" t="n">
        <v>6</v>
      </c>
      <c r="AI10" s="177">
        <f>IF(MAESTRO!F10="","",MAESTRO!F10)</f>
        <v/>
      </c>
      <c r="AJ10" s="178" t="n"/>
      <c r="AK10" s="61" t="n">
        <v>4.6</v>
      </c>
      <c r="AL10" s="61" t="n">
        <v>3</v>
      </c>
      <c r="AM10" s="61" t="n">
        <v>3.1</v>
      </c>
      <c r="AN10" s="61" t="n">
        <v>4.7</v>
      </c>
      <c r="AO10" s="61" t="n">
        <v>3.2</v>
      </c>
      <c r="AP10" s="61" t="n">
        <v>4.7</v>
      </c>
      <c r="AQ10" s="61" t="n">
        <v>3.5</v>
      </c>
      <c r="AR10" s="61" t="n">
        <v>4.5</v>
      </c>
      <c r="AS10" s="61" t="n">
        <v>3.5</v>
      </c>
      <c r="AT10" s="61" t="n">
        <v>4.7</v>
      </c>
      <c r="AU10" s="61" t="n">
        <v>4.4</v>
      </c>
      <c r="AV10" s="61" t="n">
        <v>4.3</v>
      </c>
      <c r="AW10" s="5">
        <f>IF(MAESTRO!F10="","",IFERROR(TRUNC(AVERAGE(AK10:AV10),1),""))</f>
        <v/>
      </c>
      <c r="AX10" s="22" t="n">
        <v>3.5</v>
      </c>
      <c r="AY10" s="22" t="n">
        <v>4.4</v>
      </c>
      <c r="AZ10" s="22" t="n">
        <v>3.2</v>
      </c>
      <c r="BA10" s="22" t="n">
        <v>3.7</v>
      </c>
      <c r="BB10" s="22" t="n">
        <v>4.2</v>
      </c>
      <c r="BC10" s="22" t="n">
        <v>4.4</v>
      </c>
      <c r="BD10" s="22" t="n">
        <v>4.7</v>
      </c>
      <c r="BE10" s="22" t="n">
        <v>4</v>
      </c>
      <c r="BF10" s="22" t="n">
        <v>3.9</v>
      </c>
      <c r="BG10" s="52" t="n">
        <v>4.1</v>
      </c>
      <c r="BH10" s="5">
        <f>IF(MAESTRO!F10="","",IFERROR(TRUNC(AVERAGE(AX10:BG10),1),""))</f>
        <v/>
      </c>
      <c r="BI10" s="22" t="n">
        <v>3.2</v>
      </c>
      <c r="BJ10" s="22" t="n">
        <v>3.3</v>
      </c>
      <c r="BK10" s="22">
        <f>IF(MAESTRO!F10="","",IFERROR(AVERAGE(BI10,BJ10),""))</f>
        <v/>
      </c>
      <c r="BL10" s="5">
        <f>IF(MAESTRO!F10="","",IFERROR(TRUNC(AVERAGE(AW10,BH10,BK10),1),""))</f>
        <v/>
      </c>
      <c r="BM10" s="177" t="n"/>
      <c r="BN10" s="177" t="n">
        <v>6</v>
      </c>
      <c r="BO10" s="177" t="n">
        <v>6</v>
      </c>
      <c r="BP10" s="177">
        <f>IF(MAESTRO!F10="","",MAESTRO!F10)</f>
        <v/>
      </c>
      <c r="BQ10" s="178" t="n"/>
      <c r="BR10" s="5" t="n">
        <v>4.6</v>
      </c>
      <c r="BS10" s="5" t="n">
        <v>3.7</v>
      </c>
      <c r="BT10" s="5" t="n">
        <v>3.2</v>
      </c>
      <c r="BU10" s="5" t="n">
        <v>4.7</v>
      </c>
      <c r="BV10" s="5" t="n">
        <v>4.1</v>
      </c>
      <c r="BW10" s="5" t="n">
        <v>4.5</v>
      </c>
      <c r="BX10" s="5" t="n">
        <v>3</v>
      </c>
      <c r="BY10" s="5" t="n">
        <v>4.7</v>
      </c>
      <c r="BZ10" s="5" t="n">
        <v>4.9</v>
      </c>
      <c r="CA10" s="5" t="n">
        <v>3.9</v>
      </c>
      <c r="CB10" s="5" t="n">
        <v>3.6</v>
      </c>
      <c r="CC10" s="5" t="n">
        <v>4.6</v>
      </c>
      <c r="CD10" s="5" t="n">
        <v>3.6</v>
      </c>
      <c r="CE10" s="5">
        <f>IF(MAESTRO!F10="","",IFERROR(TRUNC(AVERAGE(BR10:CD10),1),""))</f>
        <v/>
      </c>
      <c r="CF10" s="5" t="n">
        <v>3.2</v>
      </c>
      <c r="CG10" s="5" t="n">
        <v>3.1</v>
      </c>
      <c r="CH10" s="5" t="n">
        <v>3.6</v>
      </c>
      <c r="CI10" s="5" t="n">
        <v>4</v>
      </c>
      <c r="CJ10" s="5" t="n">
        <v>5</v>
      </c>
      <c r="CK10" s="5" t="n">
        <v>4.8</v>
      </c>
      <c r="CL10" s="5" t="n">
        <v>4.3</v>
      </c>
      <c r="CM10" s="5" t="n">
        <v>3.8</v>
      </c>
      <c r="CN10" s="5" t="n">
        <v>3.8</v>
      </c>
      <c r="CO10" s="5" t="n">
        <v>3.5</v>
      </c>
      <c r="CP10" s="5">
        <f>IF(MAESTRO!F10="","",IFERROR(TRUNC(AVERAGE(CF10:CO10),1),""))</f>
        <v/>
      </c>
      <c r="CQ10" s="5" t="n">
        <v>3.2</v>
      </c>
      <c r="CR10" s="5" t="n">
        <v>4.1</v>
      </c>
      <c r="CS10" s="5">
        <f>IF(MAESTRO!F10="","",IFERROR(AVERAGE(CQ10:CR10),""))</f>
        <v/>
      </c>
      <c r="CT10" s="5">
        <f>IF(MAESTRO!F10="","",IFERROR(TRUNC(AVERAGE(CE10,CP10,CS10),1),""))</f>
        <v/>
      </c>
      <c r="CU10" s="177" t="n"/>
      <c r="CV10" s="177"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v>3.4</v>
      </c>
      <c r="D11" s="5" t="n">
        <v>3.6</v>
      </c>
      <c r="E11" s="5" t="n">
        <v>4.1</v>
      </c>
      <c r="F11" s="5" t="n">
        <v>4</v>
      </c>
      <c r="G11" s="5" t="n">
        <v>4.8</v>
      </c>
      <c r="H11" s="5" t="n">
        <v>4.1</v>
      </c>
      <c r="I11" s="5" t="n">
        <v>3</v>
      </c>
      <c r="J11" s="5" t="n">
        <v>4.9</v>
      </c>
      <c r="K11" s="5" t="n">
        <v>3.3</v>
      </c>
      <c r="L11" s="5" t="n">
        <v>4.1</v>
      </c>
      <c r="M11" s="5" t="n">
        <v>4.7</v>
      </c>
      <c r="N11" s="5" t="n">
        <v>4.7</v>
      </c>
      <c r="O11" s="5" t="n">
        <v>4.7</v>
      </c>
      <c r="P11" s="5">
        <f>IF(MAESTRO!F11="","",IFERROR(TRUNC(AVERAGE(C11:O11),1),""))</f>
        <v/>
      </c>
      <c r="Q11" s="95" t="n">
        <v>7</v>
      </c>
      <c r="R11" s="22" t="n">
        <v>3</v>
      </c>
      <c r="S11" s="22" t="n">
        <v>3.7</v>
      </c>
      <c r="T11" s="22" t="n">
        <v>3.8</v>
      </c>
      <c r="U11" s="22" t="n">
        <v>4.1</v>
      </c>
      <c r="V11" s="22" t="n">
        <v>4.9</v>
      </c>
      <c r="W11" s="22" t="n">
        <v>4.1</v>
      </c>
      <c r="X11" s="22" t="n">
        <v>3.7</v>
      </c>
      <c r="Y11" s="22" t="n">
        <v>3.3</v>
      </c>
      <c r="Z11" s="22" t="n">
        <v>5</v>
      </c>
      <c r="AA11" s="45">
        <f>IF(MAESTRO!F11="","",IFERROR(TRUNC(AVERAGE(R11:Z11),1),""))</f>
        <v/>
      </c>
      <c r="AB11" s="177" t="n">
        <v>4</v>
      </c>
      <c r="AC11" s="42" t="n">
        <v>4.8</v>
      </c>
      <c r="AD11" s="5">
        <f>IF(MAESTRO!F11="","",IFERROR(AVERAGE(AB11:AC11),""))</f>
        <v/>
      </c>
      <c r="AE11" s="44">
        <f>IF(MAESTRO!F11="","",IFERROR(TRUNC(AVERAGE(P11,AA11,AD11),1),""))</f>
        <v/>
      </c>
      <c r="AF11" s="177" t="n"/>
      <c r="AG11" s="177" t="n">
        <v>7</v>
      </c>
      <c r="AH11" s="177" t="n">
        <v>7</v>
      </c>
      <c r="AI11" s="177">
        <f>IF(MAESTRO!F11="","",MAESTRO!F11)</f>
        <v/>
      </c>
      <c r="AJ11" s="178" t="n"/>
      <c r="AK11" s="61" t="n">
        <v>4.7</v>
      </c>
      <c r="AL11" s="61" t="n">
        <v>3.8</v>
      </c>
      <c r="AM11" s="61" t="n">
        <v>3.6</v>
      </c>
      <c r="AN11" s="61" t="n">
        <v>3.4</v>
      </c>
      <c r="AO11" s="61" t="n">
        <v>4.8</v>
      </c>
      <c r="AP11" s="61" t="n">
        <v>3.2</v>
      </c>
      <c r="AQ11" s="61" t="n">
        <v>4.3</v>
      </c>
      <c r="AR11" s="61" t="n">
        <v>4.2</v>
      </c>
      <c r="AS11" s="61" t="n">
        <v>4.9</v>
      </c>
      <c r="AT11" s="61" t="n">
        <v>4.9</v>
      </c>
      <c r="AU11" s="61" t="n">
        <v>3.3</v>
      </c>
      <c r="AV11" s="61" t="n">
        <v>4.8</v>
      </c>
      <c r="AW11" s="5">
        <f>IF(MAESTRO!F11="","",IFERROR(TRUNC(AVERAGE(AK11:AV11),1),""))</f>
        <v/>
      </c>
      <c r="AX11" s="22" t="n">
        <v>3.5</v>
      </c>
      <c r="AY11" s="22" t="n">
        <v>3.4</v>
      </c>
      <c r="AZ11" s="22" t="n">
        <v>4.9</v>
      </c>
      <c r="BA11" s="22" t="n">
        <v>3.9</v>
      </c>
      <c r="BB11" s="22" t="n">
        <v>4.1</v>
      </c>
      <c r="BC11" s="22" t="n">
        <v>3.4</v>
      </c>
      <c r="BD11" s="22" t="n">
        <v>3</v>
      </c>
      <c r="BE11" s="22" t="n">
        <v>3.2</v>
      </c>
      <c r="BF11" s="22" t="n">
        <v>3.5</v>
      </c>
      <c r="BG11" s="52" t="n">
        <v>3.5</v>
      </c>
      <c r="BH11" s="5">
        <f>IF(MAESTRO!F11="","",IFERROR(TRUNC(AVERAGE(AX11:BG11),1),""))</f>
        <v/>
      </c>
      <c r="BI11" s="22" t="n">
        <v>5</v>
      </c>
      <c r="BJ11" s="22" t="n">
        <v>3.3</v>
      </c>
      <c r="BK11" s="22">
        <f>IF(MAESTRO!F11="","",IFERROR(AVERAGE(BI11,BJ11),""))</f>
        <v/>
      </c>
      <c r="BL11" s="5">
        <f>IF(MAESTRO!F11="","",IFERROR(TRUNC(AVERAGE(AW11,BH11,BK11),1),""))</f>
        <v/>
      </c>
      <c r="BM11" s="177" t="n"/>
      <c r="BN11" s="177" t="n">
        <v>7</v>
      </c>
      <c r="BO11" s="177" t="n">
        <v>7</v>
      </c>
      <c r="BP11" s="177">
        <f>IF(MAESTRO!F11="","",MAESTRO!F11)</f>
        <v/>
      </c>
      <c r="BQ11" s="178" t="n"/>
      <c r="BR11" s="5" t="n">
        <v>4.3</v>
      </c>
      <c r="BS11" s="5" t="n">
        <v>4.7</v>
      </c>
      <c r="BT11" s="5" t="n">
        <v>3.5</v>
      </c>
      <c r="BU11" s="5" t="n">
        <v>5</v>
      </c>
      <c r="BV11" s="5" t="n">
        <v>4.5</v>
      </c>
      <c r="BW11" s="5" t="n">
        <v>4.9</v>
      </c>
      <c r="BX11" s="5" t="n">
        <v>3.8</v>
      </c>
      <c r="BY11" s="5" t="n">
        <v>3.9</v>
      </c>
      <c r="BZ11" s="5" t="n">
        <v>4.9</v>
      </c>
      <c r="CA11" s="5" t="n">
        <v>3.1</v>
      </c>
      <c r="CB11" s="5" t="n">
        <v>3.4</v>
      </c>
      <c r="CC11" s="5" t="n">
        <v>4</v>
      </c>
      <c r="CD11" s="5" t="n">
        <v>3.6</v>
      </c>
      <c r="CE11" s="5">
        <f>IF(MAESTRO!F11="","",IFERROR(TRUNC(AVERAGE(BR11:CD11),1),""))</f>
        <v/>
      </c>
      <c r="CF11" s="5" t="n">
        <v>3.3</v>
      </c>
      <c r="CG11" s="5" t="n">
        <v>4.1</v>
      </c>
      <c r="CH11" s="5" t="n">
        <v>4</v>
      </c>
      <c r="CI11" s="5" t="n">
        <v>3.7</v>
      </c>
      <c r="CJ11" s="5" t="n">
        <v>3.5</v>
      </c>
      <c r="CK11" s="5" t="n">
        <v>4.9</v>
      </c>
      <c r="CL11" s="5" t="n">
        <v>4.2</v>
      </c>
      <c r="CM11" s="5" t="n">
        <v>4.3</v>
      </c>
      <c r="CN11" s="5" t="n">
        <v>3.1</v>
      </c>
      <c r="CO11" s="5" t="n">
        <v>3.5</v>
      </c>
      <c r="CP11" s="5">
        <f>IF(MAESTRO!F11="","",IFERROR(TRUNC(AVERAGE(CF11:CO11),1),""))</f>
        <v/>
      </c>
      <c r="CQ11" s="5" t="n">
        <v>3.3</v>
      </c>
      <c r="CR11" s="5" t="n">
        <v>3.5</v>
      </c>
      <c r="CS11" s="5">
        <f>IF(MAESTRO!F11="","",IFERROR(AVERAGE(CQ11:CR11),""))</f>
        <v/>
      </c>
      <c r="CT11" s="5">
        <f>IF(MAESTRO!F11="","",IFERROR(TRUNC(AVERAGE(CE11,CP11,CS11),1),""))</f>
        <v/>
      </c>
      <c r="CU11" s="177" t="n"/>
      <c r="CV11" s="177"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v>3.9</v>
      </c>
      <c r="D12" s="5" t="n">
        <v>4.1</v>
      </c>
      <c r="E12" s="5" t="n">
        <v>3.2</v>
      </c>
      <c r="F12" s="5" t="n">
        <v>3.6</v>
      </c>
      <c r="G12" s="5" t="n">
        <v>4.2</v>
      </c>
      <c r="H12" s="5" t="n">
        <v>3.2</v>
      </c>
      <c r="I12" s="5" t="n">
        <v>4</v>
      </c>
      <c r="J12" s="5" t="n">
        <v>5</v>
      </c>
      <c r="K12" s="5" t="n">
        <v>3</v>
      </c>
      <c r="L12" s="5" t="n">
        <v>3.3</v>
      </c>
      <c r="M12" s="5" t="n">
        <v>4.4</v>
      </c>
      <c r="N12" s="5" t="n">
        <v>3.2</v>
      </c>
      <c r="O12" s="5" t="n">
        <v>4.9</v>
      </c>
      <c r="P12" s="5">
        <f>IF(MAESTRO!F12="","",IFERROR(TRUNC(AVERAGE(C12:O12),1),""))</f>
        <v/>
      </c>
      <c r="Q12" s="95" t="n">
        <v>8</v>
      </c>
      <c r="R12" s="22" t="n">
        <v>3.3</v>
      </c>
      <c r="S12" s="22" t="n">
        <v>3.9</v>
      </c>
      <c r="T12" s="22" t="n">
        <v>3.6</v>
      </c>
      <c r="U12" s="22" t="n">
        <v>4.3</v>
      </c>
      <c r="V12" s="22" t="n">
        <v>4.4</v>
      </c>
      <c r="W12" s="22" t="n">
        <v>3.9</v>
      </c>
      <c r="X12" s="22" t="n">
        <v>4.9</v>
      </c>
      <c r="Y12" s="22" t="n">
        <v>4.8</v>
      </c>
      <c r="Z12" s="22" t="n">
        <v>3.6</v>
      </c>
      <c r="AA12" s="45">
        <f>IF(MAESTRO!F12="","",IFERROR(TRUNC(AVERAGE(R12:Z12),1),""))</f>
        <v/>
      </c>
      <c r="AB12" s="177" t="n">
        <v>4.4</v>
      </c>
      <c r="AC12" s="42" t="n">
        <v>3.3</v>
      </c>
      <c r="AD12" s="5">
        <f>IF(MAESTRO!F12="","",IFERROR(AVERAGE(AB12:AC12),""))</f>
        <v/>
      </c>
      <c r="AE12" s="44">
        <f>IF(MAESTRO!F12="","",IFERROR(TRUNC(AVERAGE(P12,AA12,AD12),1),""))</f>
        <v/>
      </c>
      <c r="AF12" s="177" t="n"/>
      <c r="AG12" s="177" t="n">
        <v>8</v>
      </c>
      <c r="AH12" s="177" t="n">
        <v>8</v>
      </c>
      <c r="AI12" s="177">
        <f>IF(MAESTRO!F12="","",MAESTRO!F12)</f>
        <v/>
      </c>
      <c r="AJ12" s="178" t="n"/>
      <c r="AK12" s="61" t="n">
        <v>4.3</v>
      </c>
      <c r="AL12" s="61" t="n">
        <v>4</v>
      </c>
      <c r="AM12" s="61" t="n">
        <v>4.4</v>
      </c>
      <c r="AN12" s="61" t="n">
        <v>4</v>
      </c>
      <c r="AO12" s="61" t="n">
        <v>4.5</v>
      </c>
      <c r="AP12" s="61" t="n">
        <v>4.1</v>
      </c>
      <c r="AQ12" s="61" t="n">
        <v>5</v>
      </c>
      <c r="AR12" s="61" t="n">
        <v>3.9</v>
      </c>
      <c r="AS12" s="61" t="n">
        <v>3.2</v>
      </c>
      <c r="AT12" s="61" t="n">
        <v>4.6</v>
      </c>
      <c r="AU12" s="61" t="n">
        <v>3.7</v>
      </c>
      <c r="AV12" s="61" t="n">
        <v>4.8</v>
      </c>
      <c r="AW12" s="5">
        <f>IF(MAESTRO!F12="","",IFERROR(TRUNC(AVERAGE(AK12:AV12),1),""))</f>
        <v/>
      </c>
      <c r="AX12" s="22" t="n">
        <v>3.5</v>
      </c>
      <c r="AY12" s="22" t="n">
        <v>4</v>
      </c>
      <c r="AZ12" s="22" t="n">
        <v>4.5</v>
      </c>
      <c r="BA12" s="22" t="n">
        <v>3.8</v>
      </c>
      <c r="BB12" s="22" t="n">
        <v>3.5</v>
      </c>
      <c r="BC12" s="22" t="n">
        <v>3.7</v>
      </c>
      <c r="BD12" s="22" t="n">
        <v>4.6</v>
      </c>
      <c r="BE12" s="22" t="n">
        <v>3.1</v>
      </c>
      <c r="BF12" s="22" t="n">
        <v>4.7</v>
      </c>
      <c r="BG12" s="52" t="n">
        <v>4.4</v>
      </c>
      <c r="BH12" s="5">
        <f>IF(MAESTRO!F12="","",IFERROR(TRUNC(AVERAGE(AX12:BG12),1),""))</f>
        <v/>
      </c>
      <c r="BI12" s="22" t="n">
        <v>4.2</v>
      </c>
      <c r="BJ12" s="22" t="n">
        <v>3.5</v>
      </c>
      <c r="BK12" s="22">
        <f>IF(MAESTRO!F12="","",IFERROR(AVERAGE(BI12,BJ12),""))</f>
        <v/>
      </c>
      <c r="BL12" s="5">
        <f>IF(MAESTRO!F12="","",IFERROR(TRUNC(AVERAGE(AW12,BH12,BK12),1),""))</f>
        <v/>
      </c>
      <c r="BM12" s="177" t="n"/>
      <c r="BN12" s="177" t="n">
        <v>8</v>
      </c>
      <c r="BO12" s="177" t="n">
        <v>8</v>
      </c>
      <c r="BP12" s="177">
        <f>IF(MAESTRO!F12="","",MAESTRO!F12)</f>
        <v/>
      </c>
      <c r="BQ12" s="178" t="n"/>
      <c r="BR12" s="5" t="n">
        <v>3.7</v>
      </c>
      <c r="BS12" s="5" t="n">
        <v>3.2</v>
      </c>
      <c r="BT12" s="5" t="n">
        <v>3.1</v>
      </c>
      <c r="BU12" s="5" t="n">
        <v>4</v>
      </c>
      <c r="BV12" s="5" t="n">
        <v>3.4</v>
      </c>
      <c r="BW12" s="5" t="n">
        <v>4.8</v>
      </c>
      <c r="BX12" s="5" t="n">
        <v>4.8</v>
      </c>
      <c r="BY12" s="5" t="n">
        <v>3.6</v>
      </c>
      <c r="BZ12" s="5" t="n">
        <v>3.3</v>
      </c>
      <c r="CA12" s="5" t="n">
        <v>3.2</v>
      </c>
      <c r="CB12" s="5" t="n">
        <v>3.4</v>
      </c>
      <c r="CC12" s="5" t="n">
        <v>3.1</v>
      </c>
      <c r="CD12" s="5" t="n">
        <v>4.8</v>
      </c>
      <c r="CE12" s="5">
        <f>IF(MAESTRO!F12="","",IFERROR(TRUNC(AVERAGE(BR12:CD12),1),""))</f>
        <v/>
      </c>
      <c r="CF12" s="5" t="n">
        <v>3.3</v>
      </c>
      <c r="CG12" s="5" t="n">
        <v>3.5</v>
      </c>
      <c r="CH12" s="5" t="n">
        <v>3.2</v>
      </c>
      <c r="CI12" s="5" t="n">
        <v>3.3</v>
      </c>
      <c r="CJ12" s="5" t="n">
        <v>4.9</v>
      </c>
      <c r="CK12" s="5" t="n">
        <v>4.2</v>
      </c>
      <c r="CL12" s="5" t="n">
        <v>4.4</v>
      </c>
      <c r="CM12" s="5" t="n">
        <v>4.4</v>
      </c>
      <c r="CN12" s="5" t="n">
        <v>4.3</v>
      </c>
      <c r="CO12" s="5" t="n">
        <v>4.9</v>
      </c>
      <c r="CP12" s="5">
        <f>IF(MAESTRO!F12="","",IFERROR(TRUNC(AVERAGE(CF12:CO12),1),""))</f>
        <v/>
      </c>
      <c r="CQ12" s="5" t="n">
        <v>4.9</v>
      </c>
      <c r="CR12" s="5" t="n">
        <v>3.8</v>
      </c>
      <c r="CS12" s="5">
        <f>IF(MAESTRO!F12="","",IFERROR(AVERAGE(CQ12:CR12),""))</f>
        <v/>
      </c>
      <c r="CT12" s="5">
        <f>IF(MAESTRO!F12="","",IFERROR(TRUNC(AVERAGE(CE12,CP12,CS12),1),""))</f>
        <v/>
      </c>
      <c r="CU12" s="177" t="n"/>
      <c r="CV12" s="177"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v>3.8</v>
      </c>
      <c r="D13" s="5" t="n">
        <v>3.4</v>
      </c>
      <c r="E13" s="5" t="n">
        <v>4.3</v>
      </c>
      <c r="F13" s="5" t="n">
        <v>4.3</v>
      </c>
      <c r="G13" s="5" t="n">
        <v>4.7</v>
      </c>
      <c r="H13" s="5" t="n">
        <v>4</v>
      </c>
      <c r="I13" s="5" t="n">
        <v>4.5</v>
      </c>
      <c r="J13" s="5" t="n">
        <v>3.3</v>
      </c>
      <c r="K13" s="5" t="n">
        <v>3.7</v>
      </c>
      <c r="L13" s="5" t="n">
        <v>3.4</v>
      </c>
      <c r="M13" s="5" t="n">
        <v>3.5</v>
      </c>
      <c r="N13" s="5" t="n">
        <v>4.5</v>
      </c>
      <c r="O13" s="5" t="n">
        <v>3.9</v>
      </c>
      <c r="P13" s="5">
        <f>IF(MAESTRO!F13="","",IFERROR(TRUNC(AVERAGE(C13:O13),1),""))</f>
        <v/>
      </c>
      <c r="Q13" s="95" t="n">
        <v>9</v>
      </c>
      <c r="R13" s="22" t="n">
        <v>4.9</v>
      </c>
      <c r="S13" s="5" t="n">
        <v>3.8</v>
      </c>
      <c r="T13" s="5" t="n">
        <v>4.1</v>
      </c>
      <c r="U13" s="5" t="n">
        <v>4.2</v>
      </c>
      <c r="V13" s="5" t="n">
        <v>3</v>
      </c>
      <c r="W13" s="5" t="n">
        <v>4.1</v>
      </c>
      <c r="X13" s="5" t="n">
        <v>4.4</v>
      </c>
      <c r="Y13" s="5" t="n">
        <v>4.5</v>
      </c>
      <c r="Z13" s="5" t="n">
        <v>3.7</v>
      </c>
      <c r="AA13" s="45">
        <f>IF(MAESTRO!F13="","",IFERROR(TRUNC(AVERAGE(R13:Z13),1),""))</f>
        <v/>
      </c>
      <c r="AB13" s="5" t="n">
        <v>4</v>
      </c>
      <c r="AC13" s="5" t="n">
        <v>3.4</v>
      </c>
      <c r="AD13" s="5">
        <f>IF(MAESTRO!F13="","",IFERROR(AVERAGE(AB13:AC13),""))</f>
        <v/>
      </c>
      <c r="AE13" s="44">
        <f>IF(MAESTRO!F13="","",IFERROR(TRUNC(AVERAGE(P13,AA13,AD13),1),""))</f>
        <v/>
      </c>
      <c r="AF13" s="177" t="n"/>
      <c r="AG13" s="177" t="n">
        <v>9</v>
      </c>
      <c r="AH13" s="177" t="n">
        <v>9</v>
      </c>
      <c r="AI13" s="177">
        <f>IF(MAESTRO!F13="","",MAESTRO!F13)</f>
        <v/>
      </c>
      <c r="AJ13" s="178" t="n"/>
      <c r="AK13" s="42" t="n">
        <v>3.6</v>
      </c>
      <c r="AL13" s="42" t="n">
        <v>3.5</v>
      </c>
      <c r="AM13" s="42" t="n">
        <v>3.4</v>
      </c>
      <c r="AN13" s="42" t="n">
        <v>3.9</v>
      </c>
      <c r="AO13" s="42" t="n">
        <v>4.2</v>
      </c>
      <c r="AP13" s="42" t="n">
        <v>4.7</v>
      </c>
      <c r="AQ13" s="42" t="n">
        <v>4.7</v>
      </c>
      <c r="AR13" s="61" t="n">
        <v>4.8</v>
      </c>
      <c r="AS13" s="61" t="n">
        <v>4.4</v>
      </c>
      <c r="AT13" s="61" t="n">
        <v>4.6</v>
      </c>
      <c r="AU13" s="61" t="n">
        <v>4.6</v>
      </c>
      <c r="AV13" s="61" t="n">
        <v>4.1</v>
      </c>
      <c r="AW13" s="5">
        <f>IF(MAESTRO!F13="","",IFERROR(TRUNC(AVERAGE(AK13:AV13),1),""))</f>
        <v/>
      </c>
      <c r="AX13" s="63" t="n">
        <v>3.7</v>
      </c>
      <c r="AY13" s="22" t="n">
        <v>3.6</v>
      </c>
      <c r="AZ13" s="63" t="n">
        <v>5</v>
      </c>
      <c r="BA13" s="63" t="n">
        <v>3.3</v>
      </c>
      <c r="BB13" s="22" t="n">
        <v>5</v>
      </c>
      <c r="BC13" s="63" t="n">
        <v>4.2</v>
      </c>
      <c r="BD13" s="63" t="n">
        <v>4</v>
      </c>
      <c r="BE13" s="63" t="n">
        <v>4.9</v>
      </c>
      <c r="BF13" s="63" t="n">
        <v>4.5</v>
      </c>
      <c r="BG13" s="52" t="n">
        <v>4.7</v>
      </c>
      <c r="BH13" s="5">
        <f>IF(MAESTRO!F13="","",IFERROR(TRUNC(AVERAGE(AX13:BG13),1),""))</f>
        <v/>
      </c>
      <c r="BI13" s="22" t="n">
        <v>5</v>
      </c>
      <c r="BJ13" s="22" t="n">
        <v>3.9</v>
      </c>
      <c r="BK13" s="22">
        <f>IF(MAESTRO!F13="","",IFERROR(AVERAGE(BI13,BJ13),""))</f>
        <v/>
      </c>
      <c r="BL13" s="5">
        <f>IF(MAESTRO!F13="","",IFERROR(TRUNC(AVERAGE(AW13,BH13,BK13),1),""))</f>
        <v/>
      </c>
      <c r="BM13" s="177" t="n"/>
      <c r="BN13" s="177" t="n">
        <v>9</v>
      </c>
      <c r="BO13" s="177" t="n">
        <v>9</v>
      </c>
      <c r="BP13" s="177">
        <f>IF(MAESTRO!F13="","",MAESTRO!F13)</f>
        <v/>
      </c>
      <c r="BQ13" s="178" t="n"/>
      <c r="BR13" s="5" t="n">
        <v>3.1</v>
      </c>
      <c r="BS13" s="5" t="n">
        <v>5</v>
      </c>
      <c r="BT13" s="5" t="n">
        <v>4.4</v>
      </c>
      <c r="BU13" s="5" t="n">
        <v>4.4</v>
      </c>
      <c r="BV13" s="5" t="n">
        <v>4.3</v>
      </c>
      <c r="BW13" s="5" t="n">
        <v>3.1</v>
      </c>
      <c r="BX13" s="5" t="n">
        <v>4.9</v>
      </c>
      <c r="BY13" s="5" t="n">
        <v>3.4</v>
      </c>
      <c r="BZ13" s="5" t="n">
        <v>4.9</v>
      </c>
      <c r="CA13" s="5" t="n">
        <v>4.9</v>
      </c>
      <c r="CB13" s="5" t="n">
        <v>4.4</v>
      </c>
      <c r="CC13" s="5" t="n">
        <v>4.1</v>
      </c>
      <c r="CD13" s="5" t="n">
        <v>4.5</v>
      </c>
      <c r="CE13" s="5">
        <f>IF(MAESTRO!F13="","",IFERROR(TRUNC(AVERAGE(BR13:CD13),1),""))</f>
        <v/>
      </c>
      <c r="CF13" s="5" t="n">
        <v>3.6</v>
      </c>
      <c r="CG13" s="5" t="n">
        <v>4.3</v>
      </c>
      <c r="CH13" s="5" t="n">
        <v>3.7</v>
      </c>
      <c r="CI13" s="5" t="n">
        <v>4</v>
      </c>
      <c r="CJ13" s="5" t="n">
        <v>3.2</v>
      </c>
      <c r="CK13" s="5" t="n">
        <v>4.6</v>
      </c>
      <c r="CL13" s="5" t="n">
        <v>4.5</v>
      </c>
      <c r="CM13" s="5" t="n">
        <v>4.3</v>
      </c>
      <c r="CN13" s="5" t="n">
        <v>4</v>
      </c>
      <c r="CO13" s="5" t="n">
        <v>4.4</v>
      </c>
      <c r="CP13" s="5">
        <f>IF(MAESTRO!F13="","",IFERROR(TRUNC(AVERAGE(CF13:CO13),1),""))</f>
        <v/>
      </c>
      <c r="CQ13" s="5" t="n">
        <v>4</v>
      </c>
      <c r="CR13" s="5" t="n">
        <v>4.9</v>
      </c>
      <c r="CS13" s="5">
        <f>IF(MAESTRO!F13="","",IFERROR(AVERAGE(CQ13:CR13),""))</f>
        <v/>
      </c>
      <c r="CT13" s="5">
        <f>IF(MAESTRO!F13="","",IFERROR(TRUNC(AVERAGE(CE13,CP13,CS13),1),""))</f>
        <v/>
      </c>
      <c r="CU13" s="177" t="n"/>
      <c r="CV13" s="177"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v>5</v>
      </c>
      <c r="D14" s="5" t="n">
        <v>3.3</v>
      </c>
      <c r="E14" s="5" t="n">
        <v>4.7</v>
      </c>
      <c r="F14" s="5" t="n">
        <v>3.6</v>
      </c>
      <c r="G14" s="5" t="n">
        <v>3.8</v>
      </c>
      <c r="H14" s="5" t="n">
        <v>4.6</v>
      </c>
      <c r="I14" s="5" t="n">
        <v>3</v>
      </c>
      <c r="J14" s="5" t="n">
        <v>4.5</v>
      </c>
      <c r="K14" s="5" t="n">
        <v>3.3</v>
      </c>
      <c r="L14" s="5" t="n">
        <v>3.7</v>
      </c>
      <c r="M14" s="5" t="n">
        <v>3.8</v>
      </c>
      <c r="N14" s="5" t="n">
        <v>3.2</v>
      </c>
      <c r="O14" s="5" t="n">
        <v>4.6</v>
      </c>
      <c r="P14" s="5">
        <f>IF(MAESTRO!F14="","",IFERROR(TRUNC(AVERAGE(C14:O14),1),""))</f>
        <v/>
      </c>
      <c r="Q14" s="95" t="n">
        <v>10</v>
      </c>
      <c r="R14" s="22" t="n">
        <v>3.2</v>
      </c>
      <c r="S14" s="22" t="n">
        <v>3.2</v>
      </c>
      <c r="T14" s="22" t="n">
        <v>4</v>
      </c>
      <c r="U14" s="22" t="n">
        <v>3.2</v>
      </c>
      <c r="V14" s="22" t="n">
        <v>4.6</v>
      </c>
      <c r="W14" s="22" t="n">
        <v>4.5</v>
      </c>
      <c r="X14" s="22" t="n">
        <v>4.2</v>
      </c>
      <c r="Y14" s="22" t="n">
        <v>4.1</v>
      </c>
      <c r="Z14" s="22" t="n">
        <v>3.2</v>
      </c>
      <c r="AA14" s="45">
        <f>IF(MAESTRO!F14="","",IFERROR(TRUNC(AVERAGE(R14:Z14),1),""))</f>
        <v/>
      </c>
      <c r="AB14" s="177" t="n">
        <v>4.3</v>
      </c>
      <c r="AC14" s="42" t="n">
        <v>3.1</v>
      </c>
      <c r="AD14" s="5">
        <f>IF(MAESTRO!F14="","",IFERROR(AVERAGE(AB14:AC14),""))</f>
        <v/>
      </c>
      <c r="AE14" s="44">
        <f>IF(MAESTRO!F14="","",IFERROR(TRUNC(AVERAGE(P14,AA14,AD14),1),""))</f>
        <v/>
      </c>
      <c r="AF14" s="177" t="n"/>
      <c r="AG14" s="177" t="n">
        <v>10</v>
      </c>
      <c r="AH14" s="177" t="n">
        <v>10</v>
      </c>
      <c r="AI14" s="177">
        <f>IF(MAESTRO!F14="","",MAESTRO!F14)</f>
        <v/>
      </c>
      <c r="AJ14" s="178" t="n"/>
      <c r="AK14" s="61" t="n">
        <v>3.7</v>
      </c>
      <c r="AL14" s="61" t="n">
        <v>3.2</v>
      </c>
      <c r="AM14" s="61" t="n">
        <v>3.4</v>
      </c>
      <c r="AN14" s="61" t="n">
        <v>3.4</v>
      </c>
      <c r="AO14" s="61" t="n">
        <v>4.4</v>
      </c>
      <c r="AP14" s="61" t="n">
        <v>4.3</v>
      </c>
      <c r="AQ14" s="61" t="n">
        <v>4</v>
      </c>
      <c r="AR14" s="61" t="n">
        <v>3.8</v>
      </c>
      <c r="AS14" s="61" t="n">
        <v>3</v>
      </c>
      <c r="AT14" s="61" t="n">
        <v>4.1</v>
      </c>
      <c r="AU14" s="61" t="n">
        <v>4.8</v>
      </c>
      <c r="AV14" s="61" t="n">
        <v>3.8</v>
      </c>
      <c r="AW14" s="5">
        <f>IF(MAESTRO!F14="","",IFERROR(TRUNC(AVERAGE(AK14:AV14),1),""))</f>
        <v/>
      </c>
      <c r="AX14" s="22" t="n">
        <v>4.4</v>
      </c>
      <c r="AY14" s="22" t="n">
        <v>3.6</v>
      </c>
      <c r="AZ14" s="22" t="n">
        <v>3.2</v>
      </c>
      <c r="BA14" s="22" t="n">
        <v>3.8</v>
      </c>
      <c r="BB14" s="22" t="n">
        <v>4</v>
      </c>
      <c r="BC14" s="22" t="n">
        <v>5</v>
      </c>
      <c r="BD14" s="22" t="n">
        <v>3.2</v>
      </c>
      <c r="BE14" s="22" t="n">
        <v>3.4</v>
      </c>
      <c r="BF14" s="22" t="n">
        <v>3.1</v>
      </c>
      <c r="BG14" s="52" t="n">
        <v>4.5</v>
      </c>
      <c r="BH14" s="5">
        <f>IF(MAESTRO!F14="","",IFERROR(TRUNC(AVERAGE(AX14:BG14),1),""))</f>
        <v/>
      </c>
      <c r="BI14" s="22" t="n">
        <v>3.7</v>
      </c>
      <c r="BJ14" s="22" t="n">
        <v>4.5</v>
      </c>
      <c r="BK14" s="22">
        <f>IF(MAESTRO!F14="","",IFERROR(AVERAGE(BI14,BJ14),""))</f>
        <v/>
      </c>
      <c r="BL14" s="5">
        <f>IF(MAESTRO!F14="","",IFERROR(TRUNC(AVERAGE(AW14,BH14,BK14),1),""))</f>
        <v/>
      </c>
      <c r="BM14" s="177" t="n"/>
      <c r="BN14" s="177" t="n">
        <v>10</v>
      </c>
      <c r="BO14" s="177" t="n">
        <v>10</v>
      </c>
      <c r="BP14" s="177">
        <f>IF(MAESTRO!F14="","",MAESTRO!F14)</f>
        <v/>
      </c>
      <c r="BQ14" s="178" t="n"/>
      <c r="BR14" s="5" t="n">
        <v>3.6</v>
      </c>
      <c r="BS14" s="5" t="n">
        <v>4.4</v>
      </c>
      <c r="BT14" s="5" t="n">
        <v>3.3</v>
      </c>
      <c r="BU14" s="5" t="n">
        <v>3</v>
      </c>
      <c r="BV14" s="5" t="n">
        <v>4.6</v>
      </c>
      <c r="BW14" s="5" t="n">
        <v>3.6</v>
      </c>
      <c r="BX14" s="5" t="n">
        <v>3.1</v>
      </c>
      <c r="BY14" s="5" t="n">
        <v>5</v>
      </c>
      <c r="BZ14" s="5" t="n">
        <v>3.6</v>
      </c>
      <c r="CA14" s="5" t="n">
        <v>4.7</v>
      </c>
      <c r="CB14" s="5" t="n">
        <v>3.6</v>
      </c>
      <c r="CC14" s="5" t="n">
        <v>4</v>
      </c>
      <c r="CD14" s="5" t="n">
        <v>4.7</v>
      </c>
      <c r="CE14" s="5">
        <f>IF(MAESTRO!F14="","",IFERROR(TRUNC(AVERAGE(BR14:CD14),1),""))</f>
        <v/>
      </c>
      <c r="CF14" s="5" t="n">
        <v>4.6</v>
      </c>
      <c r="CG14" s="5" t="n">
        <v>4.7</v>
      </c>
      <c r="CH14" s="5" t="n">
        <v>4.8</v>
      </c>
      <c r="CI14" s="5" t="n">
        <v>3.7</v>
      </c>
      <c r="CJ14" s="5" t="n">
        <v>4.9</v>
      </c>
      <c r="CK14" s="5" t="n">
        <v>3</v>
      </c>
      <c r="CL14" s="5" t="n">
        <v>3.6</v>
      </c>
      <c r="CM14" s="5" t="n">
        <v>3.1</v>
      </c>
      <c r="CN14" s="5" t="n">
        <v>4.5</v>
      </c>
      <c r="CO14" s="5" t="n">
        <v>4.2</v>
      </c>
      <c r="CP14" s="5">
        <f>IF(MAESTRO!F14="","",IFERROR(TRUNC(AVERAGE(CF14:CO14),1),""))</f>
        <v/>
      </c>
      <c r="CQ14" s="5" t="n">
        <v>4.7</v>
      </c>
      <c r="CR14" s="5" t="n">
        <v>4.6</v>
      </c>
      <c r="CS14" s="5">
        <f>IF(MAESTRO!F14="","",IFERROR(AVERAGE(CQ14:CR14),""))</f>
        <v/>
      </c>
      <c r="CT14" s="5">
        <f>IF(MAESTRO!F14="","",IFERROR(TRUNC(AVERAGE(CE14,CP14,CS14),1),""))</f>
        <v/>
      </c>
      <c r="CU14" s="177" t="n"/>
      <c r="CV14" s="177"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v>4.3</v>
      </c>
      <c r="D15" s="5" t="n">
        <v>3.8</v>
      </c>
      <c r="E15" s="5" t="n">
        <v>3.7</v>
      </c>
      <c r="F15" s="5" t="n">
        <v>3.8</v>
      </c>
      <c r="G15" s="5" t="n">
        <v>3.6</v>
      </c>
      <c r="H15" s="5" t="n">
        <v>3.8</v>
      </c>
      <c r="I15" s="5" t="n">
        <v>4.9</v>
      </c>
      <c r="J15" s="5" t="n">
        <v>3</v>
      </c>
      <c r="K15" s="5" t="n">
        <v>3.8</v>
      </c>
      <c r="L15" s="5" t="n">
        <v>4.1</v>
      </c>
      <c r="M15" s="5" t="n">
        <v>3.2</v>
      </c>
      <c r="N15" s="5" t="n">
        <v>4.2</v>
      </c>
      <c r="O15" s="5" t="n">
        <v>3.2</v>
      </c>
      <c r="P15" s="5">
        <f>IF(MAESTRO!F15="","",IFERROR(TRUNC(AVERAGE(C15:O15),1),""))</f>
        <v/>
      </c>
      <c r="Q15" s="95" t="n">
        <v>11</v>
      </c>
      <c r="R15" s="22" t="n">
        <v>3.5</v>
      </c>
      <c r="S15" s="22" t="n">
        <v>3.2</v>
      </c>
      <c r="T15" s="22" t="n">
        <v>3.6</v>
      </c>
      <c r="U15" s="22" t="n">
        <v>4.8</v>
      </c>
      <c r="V15" s="22" t="n">
        <v>4.3</v>
      </c>
      <c r="W15" s="22" t="n">
        <v>3.9</v>
      </c>
      <c r="X15" s="22" t="n">
        <v>3.8</v>
      </c>
      <c r="Y15" s="22" t="n">
        <v>4</v>
      </c>
      <c r="Z15" s="22" t="n">
        <v>4.5</v>
      </c>
      <c r="AA15" s="45">
        <f>IF(MAESTRO!F15="","",IFERROR(TRUNC(AVERAGE(R15:Z15),1),""))</f>
        <v/>
      </c>
      <c r="AB15" s="177" t="n">
        <v>3.4</v>
      </c>
      <c r="AC15" s="42" t="n">
        <v>4.6</v>
      </c>
      <c r="AD15" s="5">
        <f>IF(MAESTRO!F15="","",IFERROR(AVERAGE(AB15:AC15),""))</f>
        <v/>
      </c>
      <c r="AE15" s="44">
        <f>IF(MAESTRO!F15="","",IFERROR(TRUNC(AVERAGE(P15,AA15,AD15),1),""))</f>
        <v/>
      </c>
      <c r="AF15" s="177" t="n"/>
      <c r="AG15" s="177" t="n">
        <v>11</v>
      </c>
      <c r="AH15" s="177" t="n">
        <v>11</v>
      </c>
      <c r="AI15" s="177">
        <f>IF(MAESTRO!F15="","",MAESTRO!F15)</f>
        <v/>
      </c>
      <c r="AJ15" s="178" t="n"/>
      <c r="AK15" s="61" t="n">
        <v>4.9</v>
      </c>
      <c r="AL15" s="61" t="n">
        <v>4.5</v>
      </c>
      <c r="AM15" s="61" t="n">
        <v>3.2</v>
      </c>
      <c r="AN15" s="61" t="n">
        <v>3.3</v>
      </c>
      <c r="AO15" s="61" t="n">
        <v>3.4</v>
      </c>
      <c r="AP15" s="61" t="n">
        <v>4.1</v>
      </c>
      <c r="AQ15" s="61" t="n">
        <v>3.8</v>
      </c>
      <c r="AR15" s="61" t="n">
        <v>3.2</v>
      </c>
      <c r="AS15" s="61" t="n">
        <v>4.6</v>
      </c>
      <c r="AT15" s="61" t="n">
        <v>3.4</v>
      </c>
      <c r="AU15" s="61" t="n">
        <v>4.2</v>
      </c>
      <c r="AV15" s="61" t="n">
        <v>3.1</v>
      </c>
      <c r="AW15" s="5">
        <f>IF(MAESTRO!F15="","",IFERROR(TRUNC(AVERAGE(AK15:AV15),1),""))</f>
        <v/>
      </c>
      <c r="AX15" s="22" t="n">
        <v>4.7</v>
      </c>
      <c r="AY15" s="22" t="n">
        <v>4.6</v>
      </c>
      <c r="AZ15" s="22" t="n">
        <v>3.2</v>
      </c>
      <c r="BA15" s="22" t="n">
        <v>3.5</v>
      </c>
      <c r="BB15" s="22" t="n">
        <v>3.4</v>
      </c>
      <c r="BC15" s="22" t="n">
        <v>4.9</v>
      </c>
      <c r="BD15" s="22" t="n">
        <v>4.9</v>
      </c>
      <c r="BE15" s="22" t="n">
        <v>4.7</v>
      </c>
      <c r="BF15" s="22" t="n">
        <v>3.4</v>
      </c>
      <c r="BG15" s="52" t="n">
        <v>3.8</v>
      </c>
      <c r="BH15" s="5">
        <f>IF(MAESTRO!F15="","",IFERROR(TRUNC(AVERAGE(AX15:BG15),1),""))</f>
        <v/>
      </c>
      <c r="BI15" s="22" t="n">
        <v>4.8</v>
      </c>
      <c r="BJ15" s="22" t="n">
        <v>4.7</v>
      </c>
      <c r="BK15" s="22">
        <f>IF(MAESTRO!F15="","",IFERROR(AVERAGE(BI15,BJ15),""))</f>
        <v/>
      </c>
      <c r="BL15" s="5">
        <f>IF(MAESTRO!F15="","",IFERROR(TRUNC(AVERAGE(AW15,BH15,BK15),1),""))</f>
        <v/>
      </c>
      <c r="BM15" s="177" t="n"/>
      <c r="BN15" s="177" t="n">
        <v>11</v>
      </c>
      <c r="BO15" s="177" t="n">
        <v>11</v>
      </c>
      <c r="BP15" s="177">
        <f>IF(MAESTRO!F15="","",MAESTRO!F15)</f>
        <v/>
      </c>
      <c r="BQ15" s="178" t="n"/>
      <c r="BR15" s="5" t="n">
        <v>4.5</v>
      </c>
      <c r="BS15" s="5" t="n">
        <v>4.6</v>
      </c>
      <c r="BT15" s="5" t="n">
        <v>4.7</v>
      </c>
      <c r="BU15" s="5" t="n">
        <v>4</v>
      </c>
      <c r="BV15" s="5" t="n">
        <v>3.2</v>
      </c>
      <c r="BW15" s="5" t="n">
        <v>4.6</v>
      </c>
      <c r="BX15" s="5" t="n">
        <v>4</v>
      </c>
      <c r="BY15" s="5" t="n">
        <v>3.6</v>
      </c>
      <c r="BZ15" s="5" t="n">
        <v>3</v>
      </c>
      <c r="CA15" s="5" t="n">
        <v>3.7</v>
      </c>
      <c r="CB15" s="5" t="n">
        <v>4.8</v>
      </c>
      <c r="CC15" s="5" t="n">
        <v>3.9</v>
      </c>
      <c r="CD15" s="5" t="n">
        <v>4.7</v>
      </c>
      <c r="CE15" s="5">
        <f>IF(MAESTRO!F15="","",IFERROR(TRUNC(AVERAGE(BR15:CD15),1),""))</f>
        <v/>
      </c>
      <c r="CF15" s="5" t="n">
        <v>3.2</v>
      </c>
      <c r="CG15" s="5" t="n">
        <v>4.8</v>
      </c>
      <c r="CH15" s="5" t="n">
        <v>3.4</v>
      </c>
      <c r="CI15" s="5" t="n">
        <v>3.3</v>
      </c>
      <c r="CJ15" s="5" t="n">
        <v>4.7</v>
      </c>
      <c r="CK15" s="5" t="n">
        <v>4.6</v>
      </c>
      <c r="CL15" s="5" t="n">
        <v>3.1</v>
      </c>
      <c r="CM15" s="5" t="n">
        <v>5</v>
      </c>
      <c r="CN15" s="5" t="n">
        <v>4.5</v>
      </c>
      <c r="CO15" s="5" t="n">
        <v>3.6</v>
      </c>
      <c r="CP15" s="5">
        <f>IF(MAESTRO!F15="","",IFERROR(TRUNC(AVERAGE(CF15:CO15),1),""))</f>
        <v/>
      </c>
      <c r="CQ15" s="5" t="n">
        <v>4.5</v>
      </c>
      <c r="CR15" s="5" t="n">
        <v>4.1</v>
      </c>
      <c r="CS15" s="5">
        <f>IF(MAESTRO!F15="","",IFERROR(AVERAGE(CQ15:CR15),""))</f>
        <v/>
      </c>
      <c r="CT15" s="5">
        <f>IF(MAESTRO!F15="","",IFERROR(TRUNC(AVERAGE(CE15,CP15,CS15),1),""))</f>
        <v/>
      </c>
      <c r="CU15" s="177" t="n"/>
      <c r="CV15" s="177"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v>3</v>
      </c>
      <c r="D16" s="5" t="n">
        <v>3.7</v>
      </c>
      <c r="E16" s="5" t="n">
        <v>4.5</v>
      </c>
      <c r="F16" s="5" t="n">
        <v>4</v>
      </c>
      <c r="G16" s="5" t="n">
        <v>3.3</v>
      </c>
      <c r="H16" s="5" t="n">
        <v>4.8</v>
      </c>
      <c r="I16" s="5" t="n">
        <v>4.6</v>
      </c>
      <c r="J16" s="5" t="n">
        <v>3.1</v>
      </c>
      <c r="K16" s="5" t="n">
        <v>3.8</v>
      </c>
      <c r="L16" s="5" t="n">
        <v>4.7</v>
      </c>
      <c r="M16" s="5" t="n">
        <v>3.4</v>
      </c>
      <c r="N16" s="5" t="n">
        <v>4.8</v>
      </c>
      <c r="O16" s="5" t="n">
        <v>3.4</v>
      </c>
      <c r="P16" s="5">
        <f>IF(MAESTRO!F16="","",IFERROR(TRUNC(AVERAGE(C16:O16),1),""))</f>
        <v/>
      </c>
      <c r="Q16" s="95" t="n">
        <v>12</v>
      </c>
      <c r="R16" s="22" t="n">
        <v>4.7</v>
      </c>
      <c r="S16" s="22" t="n">
        <v>4.3</v>
      </c>
      <c r="T16" s="22" t="n">
        <v>3.7</v>
      </c>
      <c r="U16" s="22" t="n">
        <v>4.4</v>
      </c>
      <c r="V16" s="22" t="n">
        <v>3.5</v>
      </c>
      <c r="W16" s="22" t="n">
        <v>3.9</v>
      </c>
      <c r="X16" s="22" t="n">
        <v>4.1</v>
      </c>
      <c r="Y16" s="22" t="n">
        <v>3.3</v>
      </c>
      <c r="Z16" s="22" t="n">
        <v>4</v>
      </c>
      <c r="AA16" s="45">
        <f>IF(MAESTRO!F16="","",IFERROR(TRUNC(AVERAGE(R16:Z16),1),""))</f>
        <v/>
      </c>
      <c r="AB16" s="177" t="n">
        <v>3.8</v>
      </c>
      <c r="AC16" s="42" t="n">
        <v>3.9</v>
      </c>
      <c r="AD16" s="5">
        <f>IF(MAESTRO!F16="","",IFERROR(AVERAGE(AB16:AC16),""))</f>
        <v/>
      </c>
      <c r="AE16" s="44">
        <f>IF(MAESTRO!F16="","",IFERROR(TRUNC(AVERAGE(P16,AA16,AD16),1),""))</f>
        <v/>
      </c>
      <c r="AF16" s="177" t="n"/>
      <c r="AG16" s="177" t="n">
        <v>12</v>
      </c>
      <c r="AH16" s="177" t="n">
        <v>12</v>
      </c>
      <c r="AI16" s="177">
        <f>IF(MAESTRO!F16="","",MAESTRO!F16)</f>
        <v/>
      </c>
      <c r="AJ16" s="178" t="n"/>
      <c r="AK16" s="61" t="n">
        <v>3.7</v>
      </c>
      <c r="AL16" s="61" t="n">
        <v>3.9</v>
      </c>
      <c r="AM16" s="61" t="n">
        <v>3.5</v>
      </c>
      <c r="AN16" s="61" t="n">
        <v>4.2</v>
      </c>
      <c r="AO16" s="61" t="n">
        <v>4.1</v>
      </c>
      <c r="AP16" s="61" t="n">
        <v>4.6</v>
      </c>
      <c r="AQ16" s="61" t="n">
        <v>4.6</v>
      </c>
      <c r="AR16" s="61" t="n">
        <v>3.1</v>
      </c>
      <c r="AS16" s="61" t="n">
        <v>3.6</v>
      </c>
      <c r="AT16" s="61" t="n">
        <v>4.8</v>
      </c>
      <c r="AU16" s="61" t="n">
        <v>4.8</v>
      </c>
      <c r="AV16" s="61" t="n">
        <v>3.6</v>
      </c>
      <c r="AW16" s="5">
        <f>IF(MAESTRO!F16="","",IFERROR(TRUNC(AVERAGE(AK16:AV16),1),""))</f>
        <v/>
      </c>
      <c r="AX16" s="22" t="n">
        <v>3.8</v>
      </c>
      <c r="AY16" s="22" t="n">
        <v>3.9</v>
      </c>
      <c r="AZ16" s="22" t="n">
        <v>4.5</v>
      </c>
      <c r="BA16" s="22" t="n">
        <v>4.4</v>
      </c>
      <c r="BB16" s="22" t="n">
        <v>3.4</v>
      </c>
      <c r="BC16" s="22" t="n">
        <v>4.4</v>
      </c>
      <c r="BD16" s="22" t="n">
        <v>4.1</v>
      </c>
      <c r="BE16" s="22" t="n">
        <v>4.6</v>
      </c>
      <c r="BF16" s="22" t="n">
        <v>3.8</v>
      </c>
      <c r="BG16" s="52" t="n">
        <v>3.6</v>
      </c>
      <c r="BH16" s="5">
        <f>IF(MAESTRO!F16="","",IFERROR(TRUNC(AVERAGE(AX16:BG16),1),""))</f>
        <v/>
      </c>
      <c r="BI16" s="22" t="n">
        <v>4.9</v>
      </c>
      <c r="BJ16" s="22" t="n">
        <v>3.3</v>
      </c>
      <c r="BK16" s="22">
        <f>IF(MAESTRO!F16="","",IFERROR(AVERAGE(BI16,BJ16),""))</f>
        <v/>
      </c>
      <c r="BL16" s="5">
        <f>IF(MAESTRO!F16="","",IFERROR(TRUNC(AVERAGE(AW16,BH16,BK16),1),""))</f>
        <v/>
      </c>
      <c r="BM16" s="177" t="n"/>
      <c r="BN16" s="177" t="n">
        <v>12</v>
      </c>
      <c r="BO16" s="177" t="n">
        <v>12</v>
      </c>
      <c r="BP16" s="177">
        <f>IF(MAESTRO!F16="","",MAESTRO!F16)</f>
        <v/>
      </c>
      <c r="BQ16" s="178" t="n"/>
      <c r="BR16" s="5" t="n">
        <v>4.7</v>
      </c>
      <c r="BS16" s="5" t="n">
        <v>4.4</v>
      </c>
      <c r="BT16" s="5" t="n">
        <v>3.6</v>
      </c>
      <c r="BU16" s="5" t="n">
        <v>4.3</v>
      </c>
      <c r="BV16" s="5" t="n">
        <v>3.3</v>
      </c>
      <c r="BW16" s="5" t="n">
        <v>4.8</v>
      </c>
      <c r="BX16" s="5" t="n">
        <v>4.1</v>
      </c>
      <c r="BY16" s="5" t="n">
        <v>4.2</v>
      </c>
      <c r="BZ16" s="5" t="n">
        <v>4.9</v>
      </c>
      <c r="CA16" s="5" t="n">
        <v>3.6</v>
      </c>
      <c r="CB16" s="5" t="n">
        <v>4.9</v>
      </c>
      <c r="CC16" s="5" t="n">
        <v>3.8</v>
      </c>
      <c r="CD16" s="5" t="n">
        <v>3.8</v>
      </c>
      <c r="CE16" s="5">
        <f>IF(MAESTRO!F16="","",IFERROR(TRUNC(AVERAGE(BR16:CD16),1),""))</f>
        <v/>
      </c>
      <c r="CF16" s="5" t="n">
        <v>3.2</v>
      </c>
      <c r="CG16" s="5" t="n">
        <v>3.3</v>
      </c>
      <c r="CH16" s="5" t="n">
        <v>3.2</v>
      </c>
      <c r="CI16" s="5" t="n">
        <v>3.9</v>
      </c>
      <c r="CJ16" s="5" t="n">
        <v>4.3</v>
      </c>
      <c r="CK16" s="5" t="n">
        <v>3.8</v>
      </c>
      <c r="CL16" s="5" t="n">
        <v>3.4</v>
      </c>
      <c r="CM16" s="5" t="n">
        <v>4.1</v>
      </c>
      <c r="CN16" s="5" t="n">
        <v>4.5</v>
      </c>
      <c r="CO16" s="5" t="n">
        <v>3.8</v>
      </c>
      <c r="CP16" s="5">
        <f>IF(MAESTRO!F16="","",IFERROR(TRUNC(AVERAGE(CF16:CO16),1),""))</f>
        <v/>
      </c>
      <c r="CQ16" s="5" t="n">
        <v>4.6</v>
      </c>
      <c r="CR16" s="5" t="n">
        <v>4.4</v>
      </c>
      <c r="CS16" s="5">
        <f>IF(MAESTRO!F16="","",IFERROR(AVERAGE(CQ16:CR16),""))</f>
        <v/>
      </c>
      <c r="CT16" s="5">
        <f>IF(MAESTRO!F16="","",IFERROR(TRUNC(AVERAGE(CE16,CP16,CS16),1),""))</f>
        <v/>
      </c>
      <c r="CU16" s="177" t="n"/>
      <c r="CV16" s="177"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v>5</v>
      </c>
      <c r="D17" s="5" t="n">
        <v>3.6</v>
      </c>
      <c r="E17" s="5" t="n">
        <v>4.8</v>
      </c>
      <c r="F17" s="5" t="n">
        <v>4.1</v>
      </c>
      <c r="G17" s="5" t="n">
        <v>3.9</v>
      </c>
      <c r="H17" s="5" t="n">
        <v>3.2</v>
      </c>
      <c r="I17" s="5" t="n">
        <v>4.9</v>
      </c>
      <c r="J17" s="5" t="n">
        <v>4.3</v>
      </c>
      <c r="K17" t="n">
        <v>3.7</v>
      </c>
      <c r="L17" s="5" t="n">
        <v>4.6</v>
      </c>
      <c r="M17" s="5" t="n">
        <v>3.1</v>
      </c>
      <c r="N17" s="5" t="n">
        <v>3.9</v>
      </c>
      <c r="O17" s="5" t="n">
        <v>4.3</v>
      </c>
      <c r="P17" s="5">
        <f>IF(MAESTRO!F17="","",IFERROR(TRUNC(AVERAGE(C17:O17),1),""))</f>
        <v/>
      </c>
      <c r="Q17" s="95" t="n">
        <v>13</v>
      </c>
      <c r="R17" s="22" t="n">
        <v>3.9</v>
      </c>
      <c r="S17" s="22" t="n">
        <v>3.4</v>
      </c>
      <c r="T17" s="22" t="n">
        <v>4.7</v>
      </c>
      <c r="U17" s="22" t="n">
        <v>3.6</v>
      </c>
      <c r="V17" s="22" t="n">
        <v>4.5</v>
      </c>
      <c r="W17" s="22" t="n">
        <v>3.3</v>
      </c>
      <c r="X17" s="22" t="n">
        <v>3.9</v>
      </c>
      <c r="Y17" s="22" t="n">
        <v>4.6</v>
      </c>
      <c r="Z17" s="22" t="n">
        <v>4.2</v>
      </c>
      <c r="AA17" s="45">
        <f>IF(MAESTRO!F17="","",IFERROR(TRUNC(AVERAGE(R17:Z17),1),""))</f>
        <v/>
      </c>
      <c r="AB17" s="177" t="n">
        <v>4.9</v>
      </c>
      <c r="AC17" s="42" t="n">
        <v>4.1</v>
      </c>
      <c r="AD17" s="5">
        <f>IF(MAESTRO!F17="","",IFERROR(AVERAGE(AB17:AC17),""))</f>
        <v/>
      </c>
      <c r="AE17" s="44">
        <f>IF(MAESTRO!F17="","",IFERROR(TRUNC(AVERAGE(P17,AA17,AD17),1),""))</f>
        <v/>
      </c>
      <c r="AF17" s="177" t="n"/>
      <c r="AG17" s="177" t="n">
        <v>13</v>
      </c>
      <c r="AH17" s="177" t="n">
        <v>13</v>
      </c>
      <c r="AI17" s="177">
        <f>IF(MAESTRO!F17="","",MAESTRO!F17)</f>
        <v/>
      </c>
      <c r="AJ17" s="178" t="n"/>
      <c r="AK17" s="61" t="n">
        <v>3.9</v>
      </c>
      <c r="AL17" s="61" t="n">
        <v>3.3</v>
      </c>
      <c r="AM17" s="61" t="n">
        <v>3.9</v>
      </c>
      <c r="AN17" s="61" t="n">
        <v>4.6</v>
      </c>
      <c r="AO17" s="61" t="n">
        <v>3.5</v>
      </c>
      <c r="AP17" s="61" t="n">
        <v>4.5</v>
      </c>
      <c r="AQ17" s="61" t="n">
        <v>4.3</v>
      </c>
      <c r="AR17" s="61" t="n">
        <v>5</v>
      </c>
      <c r="AS17" s="61" t="n">
        <v>3.5</v>
      </c>
      <c r="AT17" s="61" t="n">
        <v>4.1</v>
      </c>
      <c r="AU17" s="61" t="n">
        <v>4.6</v>
      </c>
      <c r="AV17" s="61" t="n">
        <v>4.5</v>
      </c>
      <c r="AW17" s="5">
        <f>IF(MAESTRO!F17="","",IFERROR(TRUNC(AVERAGE(AK17:AV17),1),""))</f>
        <v/>
      </c>
      <c r="AX17" s="22" t="n">
        <v>4.1</v>
      </c>
      <c r="AY17" s="22" t="n">
        <v>3.1</v>
      </c>
      <c r="AZ17" s="22" t="n">
        <v>3.4</v>
      </c>
      <c r="BA17" s="22" t="n">
        <v>4.8</v>
      </c>
      <c r="BB17" s="22" t="n">
        <v>4.4</v>
      </c>
      <c r="BC17" s="22" t="n">
        <v>4.4</v>
      </c>
      <c r="BD17" s="22" t="n">
        <v>4.8</v>
      </c>
      <c r="BE17" s="22" t="n">
        <v>3.1</v>
      </c>
      <c r="BF17" s="22" t="n">
        <v>3.8</v>
      </c>
      <c r="BG17" s="52" t="n">
        <v>3.3</v>
      </c>
      <c r="BH17" s="5">
        <f>IF(MAESTRO!F17="","",IFERROR(TRUNC(AVERAGE(AX17:BG17),1),""))</f>
        <v/>
      </c>
      <c r="BI17" s="22" t="n">
        <v>3.8</v>
      </c>
      <c r="BJ17" s="22" t="n">
        <v>4</v>
      </c>
      <c r="BK17" s="22">
        <f>IF(MAESTRO!F17="","",IFERROR(AVERAGE(BI17,BJ17),""))</f>
        <v/>
      </c>
      <c r="BL17" s="5">
        <f>IF(MAESTRO!F17="","",IFERROR(TRUNC(AVERAGE(AW17,BH17,BK17),1),""))</f>
        <v/>
      </c>
      <c r="BM17" s="177" t="n"/>
      <c r="BN17" s="177" t="n">
        <v>13</v>
      </c>
      <c r="BO17" s="177" t="n">
        <v>13</v>
      </c>
      <c r="BP17" s="177">
        <f>IF(MAESTRO!F17="","",MAESTRO!F17)</f>
        <v/>
      </c>
      <c r="BQ17" s="178" t="n"/>
      <c r="BR17" s="5" t="n">
        <v>3.5</v>
      </c>
      <c r="BS17" s="5" t="n">
        <v>5</v>
      </c>
      <c r="BT17" s="5" t="n">
        <v>3.3</v>
      </c>
      <c r="BU17" s="5" t="n">
        <v>4</v>
      </c>
      <c r="BV17" s="5" t="n">
        <v>4.3</v>
      </c>
      <c r="BW17" s="5" t="n">
        <v>3.9</v>
      </c>
      <c r="BX17" s="5" t="n">
        <v>3.2</v>
      </c>
      <c r="BY17" s="5" t="n">
        <v>4.4</v>
      </c>
      <c r="BZ17" s="5" t="n">
        <v>3.5</v>
      </c>
      <c r="CA17" s="5" t="n">
        <v>3.1</v>
      </c>
      <c r="CB17" s="5" t="n">
        <v>3.6</v>
      </c>
      <c r="CC17" s="5" t="n">
        <v>4.3</v>
      </c>
      <c r="CD17" s="5" t="n">
        <v>3.8</v>
      </c>
      <c r="CE17" s="5">
        <f>IF(MAESTRO!F17="","",IFERROR(TRUNC(AVERAGE(BR17:CD17),1),""))</f>
        <v/>
      </c>
      <c r="CF17" s="5" t="n">
        <v>3.9</v>
      </c>
      <c r="CG17" s="5" t="n">
        <v>4.5</v>
      </c>
      <c r="CH17" s="5" t="n">
        <v>4.7</v>
      </c>
      <c r="CI17" s="5" t="n">
        <v>3.6</v>
      </c>
      <c r="CJ17" s="5" t="n">
        <v>3.6</v>
      </c>
      <c r="CK17" s="5" t="n">
        <v>4.5</v>
      </c>
      <c r="CL17" s="5" t="n">
        <v>5</v>
      </c>
      <c r="CM17" s="5" t="n">
        <v>4.6</v>
      </c>
      <c r="CN17" s="5" t="n">
        <v>4.2</v>
      </c>
      <c r="CO17" s="5" t="n">
        <v>4.7</v>
      </c>
      <c r="CP17" s="5">
        <f>IF(MAESTRO!F17="","",IFERROR(TRUNC(AVERAGE(CF17:CO17),1),""))</f>
        <v/>
      </c>
      <c r="CQ17" s="5" t="n">
        <v>3.1</v>
      </c>
      <c r="CR17" s="5" t="n">
        <v>4.5</v>
      </c>
      <c r="CS17" s="5">
        <f>IF(MAESTRO!F17="","",IFERROR(AVERAGE(CQ17:CR17),""))</f>
        <v/>
      </c>
      <c r="CT17" s="5">
        <f>IF(MAESTRO!F17="","",IFERROR(TRUNC(AVERAGE(CE17,CP17,CS17),1),""))</f>
        <v/>
      </c>
      <c r="CU17" s="177" t="n"/>
      <c r="CV17" s="177"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v>4.4</v>
      </c>
      <c r="D18" s="5" t="n">
        <v>4.8</v>
      </c>
      <c r="E18" s="5" t="n">
        <v>4.3</v>
      </c>
      <c r="F18" s="5" t="n">
        <v>4.2</v>
      </c>
      <c r="G18" s="5" t="n">
        <v>4.7</v>
      </c>
      <c r="H18" s="5" t="n">
        <v>3.5</v>
      </c>
      <c r="I18" s="5" t="n">
        <v>3.6</v>
      </c>
      <c r="J18" s="5" t="n">
        <v>3.9</v>
      </c>
      <c r="K18" s="5" t="n">
        <v>3.7</v>
      </c>
      <c r="L18" s="5" t="n">
        <v>4.3</v>
      </c>
      <c r="M18" s="5" t="n">
        <v>4.9</v>
      </c>
      <c r="N18" s="5" t="n">
        <v>3.9</v>
      </c>
      <c r="O18" s="5" t="n">
        <v>3.8</v>
      </c>
      <c r="P18" s="5">
        <f>IF(MAESTRO!F18="","",IFERROR(TRUNC(AVERAGE(C18:O18),1),""))</f>
        <v/>
      </c>
      <c r="Q18" s="95" t="n">
        <v>14</v>
      </c>
      <c r="R18" s="22" t="n">
        <v>3</v>
      </c>
      <c r="S18" s="22" t="n">
        <v>4.5</v>
      </c>
      <c r="T18" s="22" t="n">
        <v>3.6</v>
      </c>
      <c r="U18" s="22" t="n">
        <v>4.9</v>
      </c>
      <c r="V18" s="22" t="n">
        <v>4.8</v>
      </c>
      <c r="W18" s="22" t="n">
        <v>3</v>
      </c>
      <c r="X18" s="22" t="n">
        <v>4.7</v>
      </c>
      <c r="Y18" s="22" t="n">
        <v>3.6</v>
      </c>
      <c r="Z18" s="22" t="n">
        <v>5</v>
      </c>
      <c r="AA18" s="45">
        <f>IF(MAESTRO!F18="","",IFERROR(TRUNC(AVERAGE(R18:Z18),1),""))</f>
        <v/>
      </c>
      <c r="AB18" s="177" t="n">
        <v>3.5</v>
      </c>
      <c r="AC18" s="42" t="n">
        <v>4.4</v>
      </c>
      <c r="AD18" s="5">
        <f>IF(MAESTRO!F18="","",IFERROR(AVERAGE(AB18:AC18),""))</f>
        <v/>
      </c>
      <c r="AE18" s="44">
        <f>IF(MAESTRO!F18="","",IFERROR(TRUNC(AVERAGE(P18,AA18,AD18),1),""))</f>
        <v/>
      </c>
      <c r="AF18" s="177" t="n"/>
      <c r="AG18" s="177" t="n">
        <v>14</v>
      </c>
      <c r="AH18" s="177" t="n">
        <v>14</v>
      </c>
      <c r="AI18" s="177">
        <f>IF(MAESTRO!F18="","",MAESTRO!F18)</f>
        <v/>
      </c>
      <c r="AJ18" s="178" t="n"/>
      <c r="AK18" s="61" t="n">
        <v>4.9</v>
      </c>
      <c r="AL18" s="61" t="n">
        <v>4.5</v>
      </c>
      <c r="AM18" s="61" t="n">
        <v>3.6</v>
      </c>
      <c r="AN18" s="61" t="n">
        <v>3.4</v>
      </c>
      <c r="AO18" s="61" t="n">
        <v>4.7</v>
      </c>
      <c r="AP18" s="61" t="n">
        <v>5</v>
      </c>
      <c r="AQ18" s="61" t="n">
        <v>3.9</v>
      </c>
      <c r="AR18" s="61" t="n">
        <v>4.4</v>
      </c>
      <c r="AS18" s="61" t="n">
        <v>3.5</v>
      </c>
      <c r="AT18" s="61" t="n">
        <v>4.7</v>
      </c>
      <c r="AU18" s="61" t="n">
        <v>4.1</v>
      </c>
      <c r="AV18" s="61" t="n">
        <v>4.4</v>
      </c>
      <c r="AW18" s="5">
        <f>IF(MAESTRO!F18="","",IFERROR(TRUNC(AVERAGE(AK18:AV18),1),""))</f>
        <v/>
      </c>
      <c r="AX18" s="22" t="n">
        <v>4.3</v>
      </c>
      <c r="AY18" s="22" t="n">
        <v>3.1</v>
      </c>
      <c r="AZ18" s="22" t="n">
        <v>4.8</v>
      </c>
      <c r="BA18" s="22" t="n">
        <v>4.7</v>
      </c>
      <c r="BB18" s="22" t="n">
        <v>4.8</v>
      </c>
      <c r="BC18" s="22" t="n">
        <v>4.7</v>
      </c>
      <c r="BD18" s="22" t="n">
        <v>3.8</v>
      </c>
      <c r="BE18" s="22" t="n">
        <v>4.6</v>
      </c>
      <c r="BF18" s="22" t="n">
        <v>4.6</v>
      </c>
      <c r="BG18" s="52" t="n">
        <v>4.2</v>
      </c>
      <c r="BH18" s="5">
        <f>IF(MAESTRO!F18="","",IFERROR(TRUNC(AVERAGE(AX18:BG18),1),""))</f>
        <v/>
      </c>
      <c r="BI18" s="22" t="n">
        <v>4.3</v>
      </c>
      <c r="BJ18" s="22" t="n">
        <v>3.4</v>
      </c>
      <c r="BK18" s="22">
        <f>IF(MAESTRO!F18="","",IFERROR(AVERAGE(BI18,BJ18),""))</f>
        <v/>
      </c>
      <c r="BL18" s="5">
        <f>IF(MAESTRO!F18="","",IFERROR(TRUNC(AVERAGE(AW18,BH18,BK18),1),""))</f>
        <v/>
      </c>
      <c r="BM18" s="177" t="n"/>
      <c r="BN18" s="177" t="n">
        <v>14</v>
      </c>
      <c r="BO18" s="177" t="n">
        <v>14</v>
      </c>
      <c r="BP18" s="177">
        <f>IF(MAESTRO!F18="","",MAESTRO!F18)</f>
        <v/>
      </c>
      <c r="BQ18" s="178" t="n"/>
      <c r="BR18" s="5" t="n">
        <v>4.3</v>
      </c>
      <c r="BS18" s="5" t="n">
        <v>3.7</v>
      </c>
      <c r="BT18" s="5" t="n">
        <v>3.5</v>
      </c>
      <c r="BU18" s="5" t="n">
        <v>3.7</v>
      </c>
      <c r="BV18" s="5" t="n">
        <v>4.8</v>
      </c>
      <c r="BW18" s="5" t="n">
        <v>3.7</v>
      </c>
      <c r="BX18" s="5" t="n">
        <v>3.3</v>
      </c>
      <c r="BY18" s="5" t="n">
        <v>3.9</v>
      </c>
      <c r="BZ18" s="5" t="n">
        <v>3.4</v>
      </c>
      <c r="CA18" s="5" t="n">
        <v>4.2</v>
      </c>
      <c r="CB18" s="5" t="n">
        <v>3.4</v>
      </c>
      <c r="CC18" s="5" t="n">
        <v>3.7</v>
      </c>
      <c r="CD18" s="5" t="n">
        <v>4.7</v>
      </c>
      <c r="CE18" s="5">
        <f>IF(MAESTRO!F18="","",IFERROR(TRUNC(AVERAGE(BR18:CD18),1),""))</f>
        <v/>
      </c>
      <c r="CF18" s="5" t="n">
        <v>4.9</v>
      </c>
      <c r="CG18" s="5" t="n">
        <v>3.5</v>
      </c>
      <c r="CH18" s="5" t="n">
        <v>4.6</v>
      </c>
      <c r="CI18" s="5" t="n">
        <v>4</v>
      </c>
      <c r="CJ18" s="5" t="n">
        <v>3.9</v>
      </c>
      <c r="CK18" s="5" t="n">
        <v>3.3</v>
      </c>
      <c r="CL18" s="5" t="n">
        <v>4.1</v>
      </c>
      <c r="CM18" s="5" t="n">
        <v>3.9</v>
      </c>
      <c r="CN18" s="5" t="n">
        <v>3.2</v>
      </c>
      <c r="CO18" s="5" t="n">
        <v>3.1</v>
      </c>
      <c r="CP18" s="5">
        <f>IF(MAESTRO!F18="","",IFERROR(TRUNC(AVERAGE(CF18:CO18),1),""))</f>
        <v/>
      </c>
      <c r="CQ18" s="5" t="n">
        <v>3.4</v>
      </c>
      <c r="CR18" s="5" t="n">
        <v>4.5</v>
      </c>
      <c r="CS18" s="5">
        <f>IF(MAESTRO!F18="","",IFERROR(AVERAGE(CQ18:CR18),""))</f>
        <v/>
      </c>
      <c r="CT18" s="5">
        <f>IF(MAESTRO!F18="","",IFERROR(TRUNC(AVERAGE(CE18,CP18,CS18),1),""))</f>
        <v/>
      </c>
      <c r="CU18" s="177" t="n"/>
      <c r="CV18" s="177"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v>3.5</v>
      </c>
      <c r="D19" s="5" t="n">
        <v>3.3</v>
      </c>
      <c r="E19" s="5" t="n">
        <v>4.2</v>
      </c>
      <c r="F19" s="5" t="n">
        <v>3.2</v>
      </c>
      <c r="G19" s="5" t="n">
        <v>4.8</v>
      </c>
      <c r="H19" s="5" t="n">
        <v>3.3</v>
      </c>
      <c r="I19" s="5" t="n">
        <v>4.7</v>
      </c>
      <c r="J19" s="5" t="n">
        <v>4.4</v>
      </c>
      <c r="K19" s="5" t="n">
        <v>3.1</v>
      </c>
      <c r="L19" s="5" t="n">
        <v>3.1</v>
      </c>
      <c r="M19" s="5" t="n">
        <v>3.4</v>
      </c>
      <c r="N19" s="5" t="n">
        <v>4.3</v>
      </c>
      <c r="O19" s="5" t="n">
        <v>3.7</v>
      </c>
      <c r="P19" s="5">
        <f>IF(MAESTRO!F19="","",IFERROR(TRUNC(AVERAGE(C19:O19),1),""))</f>
        <v/>
      </c>
      <c r="Q19" s="95" t="n">
        <v>15</v>
      </c>
      <c r="R19" s="22" t="n">
        <v>4</v>
      </c>
      <c r="S19" s="22" t="n">
        <v>4.8</v>
      </c>
      <c r="T19" s="22" t="n">
        <v>3.6</v>
      </c>
      <c r="U19" s="22" t="n">
        <v>4.5</v>
      </c>
      <c r="V19" s="22" t="n">
        <v>3.8</v>
      </c>
      <c r="W19" s="22" t="n">
        <v>3.3</v>
      </c>
      <c r="X19" s="22" t="n">
        <v>4</v>
      </c>
      <c r="Y19" s="22" t="n">
        <v>3.1</v>
      </c>
      <c r="Z19" s="22" t="n">
        <v>3.2</v>
      </c>
      <c r="AA19" s="45">
        <f>IF(MAESTRO!F19="","",IFERROR(TRUNC(AVERAGE(R19:Z19),1),""))</f>
        <v/>
      </c>
      <c r="AB19" s="177" t="n">
        <v>4.9</v>
      </c>
      <c r="AC19" s="42" t="n">
        <v>4.6</v>
      </c>
      <c r="AD19" s="5">
        <f>IF(MAESTRO!F19="","",IFERROR(AVERAGE(AB19:AC19),""))</f>
        <v/>
      </c>
      <c r="AE19" s="44">
        <f>IF(MAESTRO!F19="","",IFERROR(TRUNC(AVERAGE(P19,AA19,AD19),1),""))</f>
        <v/>
      </c>
      <c r="AF19" s="177" t="n"/>
      <c r="AG19" s="177" t="n">
        <v>15</v>
      </c>
      <c r="AH19" s="177" t="n">
        <v>15</v>
      </c>
      <c r="AI19" s="177">
        <f>IF(MAESTRO!F19="","",MAESTRO!F19)</f>
        <v/>
      </c>
      <c r="AJ19" s="178" t="n"/>
      <c r="AK19" s="61" t="n">
        <v>3.4</v>
      </c>
      <c r="AL19" s="61" t="n">
        <v>3.7</v>
      </c>
      <c r="AM19" s="61" t="n">
        <v>4.9</v>
      </c>
      <c r="AN19" s="61" t="n">
        <v>3.4</v>
      </c>
      <c r="AO19" s="61" t="n">
        <v>3.3</v>
      </c>
      <c r="AP19" s="61" t="n">
        <v>3.4</v>
      </c>
      <c r="AQ19" s="61" t="n">
        <v>4</v>
      </c>
      <c r="AR19" s="61" t="n">
        <v>3.1</v>
      </c>
      <c r="AS19" s="61" t="n">
        <v>4.2</v>
      </c>
      <c r="AT19" s="61" t="n">
        <v>4.7</v>
      </c>
      <c r="AU19" s="61" t="n">
        <v>4.3</v>
      </c>
      <c r="AV19" s="61" t="n">
        <v>3.1</v>
      </c>
      <c r="AW19" s="5">
        <f>IF(MAESTRO!F19="","",IFERROR(TRUNC(AVERAGE(AK19:AV19),1),""))</f>
        <v/>
      </c>
      <c r="AX19" s="22" t="n">
        <v>4</v>
      </c>
      <c r="AY19" s="22" t="n">
        <v>4.9</v>
      </c>
      <c r="AZ19" s="22" t="n">
        <v>4.5</v>
      </c>
      <c r="BA19" s="22" t="n">
        <v>4.7</v>
      </c>
      <c r="BB19" s="22" t="n">
        <v>4.9</v>
      </c>
      <c r="BC19" s="22" t="n">
        <v>4.6</v>
      </c>
      <c r="BD19" s="22" t="n">
        <v>4.6</v>
      </c>
      <c r="BE19" s="22" t="n">
        <v>4.8</v>
      </c>
      <c r="BF19" s="22" t="n">
        <v>3.2</v>
      </c>
      <c r="BG19" s="52" t="n">
        <v>4</v>
      </c>
      <c r="BH19" s="5">
        <f>IF(MAESTRO!F19="","",IFERROR(TRUNC(AVERAGE(AX19:BG19),1),""))</f>
        <v/>
      </c>
      <c r="BI19" s="22" t="n">
        <v>4.6</v>
      </c>
      <c r="BJ19" s="22" t="n">
        <v>4.6</v>
      </c>
      <c r="BK19" s="22">
        <f>IF(MAESTRO!F19="","",IFERROR(AVERAGE(BI19,BJ19),""))</f>
        <v/>
      </c>
      <c r="BL19" s="5">
        <f>IF(MAESTRO!F19="","",IFERROR(TRUNC(AVERAGE(AW19,BH19,BK19),1),""))</f>
        <v/>
      </c>
      <c r="BM19" s="177" t="n"/>
      <c r="BN19" s="177" t="n">
        <v>15</v>
      </c>
      <c r="BO19" s="177" t="n">
        <v>15</v>
      </c>
      <c r="BP19" s="177">
        <f>IF(MAESTRO!F19="","",MAESTRO!F19)</f>
        <v/>
      </c>
      <c r="BQ19" s="178" t="n"/>
      <c r="BR19" s="5" t="n">
        <v>3.6</v>
      </c>
      <c r="BS19" s="5" t="n">
        <v>3.6</v>
      </c>
      <c r="BT19" s="5" t="n">
        <v>4</v>
      </c>
      <c r="BU19" s="5" t="n">
        <v>3.5</v>
      </c>
      <c r="BV19" s="5" t="n">
        <v>3.9</v>
      </c>
      <c r="BW19" s="5" t="n">
        <v>4.2</v>
      </c>
      <c r="BX19" s="5" t="n">
        <v>3.9</v>
      </c>
      <c r="BY19" s="5" t="n">
        <v>3.8</v>
      </c>
      <c r="BZ19" s="5" t="n">
        <v>4.3</v>
      </c>
      <c r="CA19" s="5" t="n">
        <v>3.8</v>
      </c>
      <c r="CB19" s="5" t="n">
        <v>3.8</v>
      </c>
      <c r="CC19" s="5" t="n">
        <v>3.1</v>
      </c>
      <c r="CD19" s="5" t="n">
        <v>4.9</v>
      </c>
      <c r="CE19" s="5">
        <f>IF(MAESTRO!F19="","",IFERROR(TRUNC(AVERAGE(BR19:CD19),1),""))</f>
        <v/>
      </c>
      <c r="CF19" s="5" t="n">
        <v>3</v>
      </c>
      <c r="CG19" s="5" t="n">
        <v>4.1</v>
      </c>
      <c r="CH19" s="5" t="n">
        <v>4.8</v>
      </c>
      <c r="CI19" s="5" t="n">
        <v>3.7</v>
      </c>
      <c r="CJ19" s="5" t="n">
        <v>3.2</v>
      </c>
      <c r="CK19" s="5" t="n">
        <v>4.3</v>
      </c>
      <c r="CL19" s="5" t="n">
        <v>3.2</v>
      </c>
      <c r="CM19" s="5" t="n">
        <v>3.6</v>
      </c>
      <c r="CN19" s="5" t="n">
        <v>3.9</v>
      </c>
      <c r="CO19" s="5" t="n">
        <v>3.6</v>
      </c>
      <c r="CP19" s="5">
        <f>IF(MAESTRO!F19="","",IFERROR(TRUNC(AVERAGE(CF19:CO19),1),""))</f>
        <v/>
      </c>
      <c r="CQ19" s="5" t="n">
        <v>4.7</v>
      </c>
      <c r="CR19" s="5" t="n">
        <v>3.4</v>
      </c>
      <c r="CS19" s="5">
        <f>IF(MAESTRO!F19="","",IFERROR(AVERAGE(CQ19:CR19),""))</f>
        <v/>
      </c>
      <c r="CT19" s="5">
        <f>IF(MAESTRO!F19="","",IFERROR(TRUNC(AVERAGE(CE19,CP19,CS19),1),""))</f>
        <v/>
      </c>
      <c r="CU19" s="177" t="n"/>
      <c r="CV19" s="177"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v>4.6</v>
      </c>
      <c r="D20" s="5" t="n">
        <v>4.6</v>
      </c>
      <c r="E20" s="5" t="n">
        <v>4.6</v>
      </c>
      <c r="F20" s="5" t="n">
        <v>4.5</v>
      </c>
      <c r="G20" s="5" t="n">
        <v>3.4</v>
      </c>
      <c r="H20" s="5" t="n">
        <v>3.9</v>
      </c>
      <c r="I20" s="5" t="n">
        <v>3.1</v>
      </c>
      <c r="J20" s="5" t="n">
        <v>4.5</v>
      </c>
      <c r="K20" s="5" t="n">
        <v>3.9</v>
      </c>
      <c r="L20" s="5" t="n">
        <v>4.4</v>
      </c>
      <c r="M20" s="5" t="n">
        <v>4.3</v>
      </c>
      <c r="N20" s="5" t="n">
        <v>4.3</v>
      </c>
      <c r="O20" s="5" t="n">
        <v>3.6</v>
      </c>
      <c r="P20" s="5">
        <f>IF(MAESTRO!F20="","",IFERROR(TRUNC(AVERAGE(C20:O20),1),""))</f>
        <v/>
      </c>
      <c r="Q20" s="95" t="n">
        <v>16</v>
      </c>
      <c r="R20" s="22" t="n">
        <v>4.9</v>
      </c>
      <c r="S20" s="22" t="n">
        <v>4</v>
      </c>
      <c r="T20" s="22" t="n">
        <v>3.4</v>
      </c>
      <c r="U20" s="22" t="n">
        <v>3.6</v>
      </c>
      <c r="V20" s="22" t="n">
        <v>3.6</v>
      </c>
      <c r="W20" s="22" t="n">
        <v>4.1</v>
      </c>
      <c r="X20" s="22" t="n">
        <v>4</v>
      </c>
      <c r="Y20" s="22" t="n">
        <v>4.6</v>
      </c>
      <c r="Z20" s="22" t="n">
        <v>4.8</v>
      </c>
      <c r="AA20" s="45">
        <f>IF(MAESTRO!F20="","",IFERROR(TRUNC(AVERAGE(R20:Z20),1),""))</f>
        <v/>
      </c>
      <c r="AB20" s="177" t="n">
        <v>4</v>
      </c>
      <c r="AC20" s="42" t="n">
        <v>4</v>
      </c>
      <c r="AD20" s="5">
        <f>IF(MAESTRO!F20="","",IFERROR(AVERAGE(AB20:AC20),""))</f>
        <v/>
      </c>
      <c r="AE20" s="44">
        <f>IF(MAESTRO!F20="","",IFERROR(TRUNC(AVERAGE(P20,AA20,AD20),1),""))</f>
        <v/>
      </c>
      <c r="AF20" s="177" t="n"/>
      <c r="AG20" s="177" t="n">
        <v>16</v>
      </c>
      <c r="AH20" s="177" t="n">
        <v>16</v>
      </c>
      <c r="AI20" s="177">
        <f>IF(MAESTRO!F20="","",MAESTRO!F20)</f>
        <v/>
      </c>
      <c r="AJ20" s="178" t="n"/>
      <c r="AK20" s="61" t="n">
        <v>4.4</v>
      </c>
      <c r="AL20" s="61" t="n">
        <v>4.9</v>
      </c>
      <c r="AM20" s="61" t="n">
        <v>4.3</v>
      </c>
      <c r="AN20" s="61" t="n">
        <v>4.7</v>
      </c>
      <c r="AO20" s="61" t="n">
        <v>4.5</v>
      </c>
      <c r="AP20" s="61" t="n">
        <v>4.2</v>
      </c>
      <c r="AQ20" s="61" t="n">
        <v>4.2</v>
      </c>
      <c r="AR20" s="61" t="n">
        <v>3.1</v>
      </c>
      <c r="AS20" s="61" t="n">
        <v>3.2</v>
      </c>
      <c r="AT20" s="61" t="n">
        <v>3.8</v>
      </c>
      <c r="AU20" s="61" t="n">
        <v>3.6</v>
      </c>
      <c r="AV20" s="61" t="n">
        <v>4.5</v>
      </c>
      <c r="AW20" s="5">
        <f>IF(MAESTRO!F20="","",IFERROR(TRUNC(AVERAGE(AK20:AV20),1),""))</f>
        <v/>
      </c>
      <c r="AX20" s="22" t="n">
        <v>4.6</v>
      </c>
      <c r="AY20" s="22" t="n">
        <v>4.6</v>
      </c>
      <c r="AZ20" s="22" t="n">
        <v>5</v>
      </c>
      <c r="BA20" s="22" t="n">
        <v>3.8</v>
      </c>
      <c r="BB20" s="22" t="n">
        <v>4.5</v>
      </c>
      <c r="BC20" s="22" t="n">
        <v>3.9</v>
      </c>
      <c r="BD20" s="22" t="n">
        <v>4.4</v>
      </c>
      <c r="BE20" s="22" t="n">
        <v>4</v>
      </c>
      <c r="BF20" s="22" t="n">
        <v>3.2</v>
      </c>
      <c r="BG20" s="52" t="n">
        <v>3.1</v>
      </c>
      <c r="BH20" s="5">
        <f>IF(MAESTRO!F20="","",IFERROR(TRUNC(AVERAGE(AX20:BG20),1),""))</f>
        <v/>
      </c>
      <c r="BI20" s="22" t="n">
        <v>4.8</v>
      </c>
      <c r="BJ20" s="22" t="n">
        <v>3.2</v>
      </c>
      <c r="BK20" s="22">
        <f>IF(MAESTRO!F20="","",IFERROR(AVERAGE(BI20,BJ20),""))</f>
        <v/>
      </c>
      <c r="BL20" s="5">
        <f>IF(MAESTRO!F20="","",IFERROR(TRUNC(AVERAGE(AW20,BH20,BK20),1),""))</f>
        <v/>
      </c>
      <c r="BM20" s="177" t="n"/>
      <c r="BN20" s="177" t="n">
        <v>16</v>
      </c>
      <c r="BO20" s="177" t="n">
        <v>16</v>
      </c>
      <c r="BP20" s="177">
        <f>IF(MAESTRO!F20="","",MAESTRO!F20)</f>
        <v/>
      </c>
      <c r="BQ20" s="178" t="n"/>
      <c r="BR20" s="5" t="n">
        <v>3.7</v>
      </c>
      <c r="BS20" s="5" t="n">
        <v>3.9</v>
      </c>
      <c r="BT20" s="5" t="n">
        <v>4.5</v>
      </c>
      <c r="BU20" s="5" t="n">
        <v>4</v>
      </c>
      <c r="BV20" s="5" t="n">
        <v>3.9</v>
      </c>
      <c r="BW20" s="5" t="n">
        <v>4.7</v>
      </c>
      <c r="BX20" s="5" t="n">
        <v>4.4</v>
      </c>
      <c r="BY20" s="5" t="n">
        <v>4.9</v>
      </c>
      <c r="BZ20" s="5" t="n">
        <v>3.3</v>
      </c>
      <c r="CA20" s="5" t="n">
        <v>4.3</v>
      </c>
      <c r="CB20" s="5" t="n">
        <v>3.5</v>
      </c>
      <c r="CC20" s="5" t="n">
        <v>4.2</v>
      </c>
      <c r="CD20" s="5" t="n">
        <v>3.4</v>
      </c>
      <c r="CE20" s="5">
        <f>IF(MAESTRO!F20="","",IFERROR(TRUNC(AVERAGE(BR20:CD20),1),""))</f>
        <v/>
      </c>
      <c r="CF20" s="5" t="n">
        <v>4.9</v>
      </c>
      <c r="CG20" s="5" t="n">
        <v>4.2</v>
      </c>
      <c r="CH20" s="5" t="n">
        <v>3.7</v>
      </c>
      <c r="CI20" s="5" t="n">
        <v>4.9</v>
      </c>
      <c r="CJ20" s="5" t="n">
        <v>4</v>
      </c>
      <c r="CK20" s="5" t="n">
        <v>3.3</v>
      </c>
      <c r="CL20" s="5" t="n">
        <v>4</v>
      </c>
      <c r="CM20" s="5" t="n">
        <v>3.6</v>
      </c>
      <c r="CN20" s="5" t="n">
        <v>4.5</v>
      </c>
      <c r="CO20" s="5" t="n">
        <v>3.3</v>
      </c>
      <c r="CP20" s="5">
        <f>IF(MAESTRO!F20="","",IFERROR(TRUNC(AVERAGE(CF20:CO20),1),""))</f>
        <v/>
      </c>
      <c r="CQ20" s="5" t="n">
        <v>3.8</v>
      </c>
      <c r="CR20" s="5" t="n">
        <v>3.4</v>
      </c>
      <c r="CS20" s="5">
        <f>IF(MAESTRO!F20="","",IFERROR(AVERAGE(CQ20:CR20),""))</f>
        <v/>
      </c>
      <c r="CT20" s="5">
        <f>IF(MAESTRO!F20="","",IFERROR(TRUNC(AVERAGE(CE20,CP20,CS20),1),""))</f>
        <v/>
      </c>
      <c r="CU20" s="177" t="n"/>
      <c r="CV20" s="177"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v>4</v>
      </c>
      <c r="D21" s="5" t="n">
        <v>3.3</v>
      </c>
      <c r="E21" s="5" t="n">
        <v>3.5</v>
      </c>
      <c r="F21" s="5" t="n">
        <v>4</v>
      </c>
      <c r="G21" s="5" t="n">
        <v>4.2</v>
      </c>
      <c r="H21" s="5" t="n">
        <v>3.6</v>
      </c>
      <c r="I21" s="5" t="n">
        <v>3</v>
      </c>
      <c r="J21" s="5" t="n">
        <v>4.6</v>
      </c>
      <c r="K21" s="5" t="n">
        <v>3.9</v>
      </c>
      <c r="L21" s="5" t="n">
        <v>3.5</v>
      </c>
      <c r="M21" s="5" t="n">
        <v>4.1</v>
      </c>
      <c r="N21" s="5" t="n">
        <v>4.5</v>
      </c>
      <c r="O21" s="5" t="n">
        <v>4</v>
      </c>
      <c r="P21" s="5">
        <f>IF(MAESTRO!F21="","",IFERROR(TRUNC(AVERAGE(C21:O21),1),""))</f>
        <v/>
      </c>
      <c r="Q21" s="95" t="n">
        <v>17</v>
      </c>
      <c r="R21" s="22" t="n">
        <v>4.9</v>
      </c>
      <c r="S21" s="22" t="n">
        <v>5</v>
      </c>
      <c r="T21" s="22" t="n">
        <v>4.9</v>
      </c>
      <c r="U21" s="22" t="n">
        <v>3.4</v>
      </c>
      <c r="V21" s="22" t="n">
        <v>3.2</v>
      </c>
      <c r="W21" s="22" t="n">
        <v>5</v>
      </c>
      <c r="X21" s="22" t="n">
        <v>3.9</v>
      </c>
      <c r="Y21" s="22" t="n">
        <v>3.7</v>
      </c>
      <c r="Z21" s="22" t="n">
        <v>4.3</v>
      </c>
      <c r="AA21" s="45">
        <f>IF(MAESTRO!F21="","",IFERROR(TRUNC(AVERAGE(R21:Z21),1),""))</f>
        <v/>
      </c>
      <c r="AB21" s="177" t="n">
        <v>3.4</v>
      </c>
      <c r="AC21" s="42" t="n">
        <v>3</v>
      </c>
      <c r="AD21" s="5">
        <f>IF(MAESTRO!F21="","",IFERROR(AVERAGE(AB21:AC21),""))</f>
        <v/>
      </c>
      <c r="AE21" s="44">
        <f>IF(MAESTRO!F21="","",IFERROR(TRUNC(AVERAGE(P21,AA21,AD21),1),""))</f>
        <v/>
      </c>
      <c r="AF21" s="177" t="n"/>
      <c r="AG21" s="177" t="n">
        <v>17</v>
      </c>
      <c r="AH21" s="177" t="n">
        <v>17</v>
      </c>
      <c r="AI21" s="177">
        <f>IF(MAESTRO!F21="","",MAESTRO!F21)</f>
        <v/>
      </c>
      <c r="AJ21" s="178" t="n"/>
      <c r="AK21" s="61" t="n">
        <v>4.7</v>
      </c>
      <c r="AL21" s="61" t="n">
        <v>3.9</v>
      </c>
      <c r="AM21" s="61" t="n">
        <v>3.9</v>
      </c>
      <c r="AN21" s="61" t="n">
        <v>4.3</v>
      </c>
      <c r="AO21" s="61" t="n">
        <v>4.9</v>
      </c>
      <c r="AP21" s="61" t="n">
        <v>4</v>
      </c>
      <c r="AQ21" s="61" t="n">
        <v>3.5</v>
      </c>
      <c r="AR21" s="61" t="n">
        <v>4.9</v>
      </c>
      <c r="AS21" s="61" t="n">
        <v>3.7</v>
      </c>
      <c r="AT21" s="61" t="n">
        <v>4.7</v>
      </c>
      <c r="AU21" s="61" t="n">
        <v>3.4</v>
      </c>
      <c r="AV21" s="61" t="n">
        <v>3.3</v>
      </c>
      <c r="AW21" s="5">
        <f>IF(MAESTRO!F21="","",IFERROR(TRUNC(AVERAGE(AK21:AV21),1),""))</f>
        <v/>
      </c>
      <c r="AX21" s="22" t="n">
        <v>3.6</v>
      </c>
      <c r="AY21" s="22" t="n">
        <v>3.4</v>
      </c>
      <c r="AZ21" s="22" t="n">
        <v>3.6</v>
      </c>
      <c r="BA21" s="22" t="n">
        <v>3.8</v>
      </c>
      <c r="BB21" s="22" t="n">
        <v>3.5</v>
      </c>
      <c r="BC21" s="22" t="n">
        <v>3.7</v>
      </c>
      <c r="BD21" s="22" t="n">
        <v>3.6</v>
      </c>
      <c r="BE21" s="22" t="n">
        <v>3</v>
      </c>
      <c r="BF21" s="22" t="n">
        <v>4.4</v>
      </c>
      <c r="BG21" s="52" t="n">
        <v>3.1</v>
      </c>
      <c r="BH21" s="5">
        <f>IF(MAESTRO!F21="","",IFERROR(TRUNC(AVERAGE(AX21:BG21),1),""))</f>
        <v/>
      </c>
      <c r="BI21" s="22" t="n">
        <v>4.3</v>
      </c>
      <c r="BJ21" s="22" t="n">
        <v>4.7</v>
      </c>
      <c r="BK21" s="22">
        <f>IF(MAESTRO!F21="","",IFERROR(AVERAGE(BI21,BJ21),""))</f>
        <v/>
      </c>
      <c r="BL21" s="5">
        <f>IF(MAESTRO!F21="","",IFERROR(TRUNC(AVERAGE(AW21,BH21,BK21),1),""))</f>
        <v/>
      </c>
      <c r="BM21" s="177" t="n"/>
      <c r="BN21" s="177" t="n">
        <v>17</v>
      </c>
      <c r="BO21" s="177" t="n">
        <v>17</v>
      </c>
      <c r="BP21" s="177">
        <f>IF(MAESTRO!F21="","",MAESTRO!F21)</f>
        <v/>
      </c>
      <c r="BQ21" s="178" t="n"/>
      <c r="BR21" s="5" t="n">
        <v>4.5</v>
      </c>
      <c r="BS21" s="5" t="n">
        <v>4.8</v>
      </c>
      <c r="BT21" s="5" t="n">
        <v>3</v>
      </c>
      <c r="BU21" s="5" t="n">
        <v>3.4</v>
      </c>
      <c r="BV21" s="5" t="n">
        <v>3.2</v>
      </c>
      <c r="BW21" s="5" t="n">
        <v>3.2</v>
      </c>
      <c r="BX21" s="5" t="n">
        <v>3.4</v>
      </c>
      <c r="BY21" s="5" t="n">
        <v>4.5</v>
      </c>
      <c r="BZ21" s="5" t="n">
        <v>3.2</v>
      </c>
      <c r="CA21" s="5" t="n">
        <v>4.9</v>
      </c>
      <c r="CB21" s="5" t="n">
        <v>4</v>
      </c>
      <c r="CC21" s="5" t="n">
        <v>4.6</v>
      </c>
      <c r="CD21" s="5" t="n">
        <v>4.6</v>
      </c>
      <c r="CE21" s="5">
        <f>IF(MAESTRO!F21="","",IFERROR(TRUNC(AVERAGE(BR21:CD21),1),""))</f>
        <v/>
      </c>
      <c r="CF21" s="5" t="n">
        <v>4.7</v>
      </c>
      <c r="CG21" s="5" t="n">
        <v>3.4</v>
      </c>
      <c r="CH21" s="5" t="n">
        <v>3.4</v>
      </c>
      <c r="CI21" s="5" t="n">
        <v>5</v>
      </c>
      <c r="CJ21" s="5" t="n">
        <v>3.1</v>
      </c>
      <c r="CK21" s="5" t="n">
        <v>4.5</v>
      </c>
      <c r="CL21" s="5" t="n">
        <v>4.9</v>
      </c>
      <c r="CM21" s="5" t="n">
        <v>4.2</v>
      </c>
      <c r="CN21" s="5" t="n">
        <v>3.1</v>
      </c>
      <c r="CO21" s="5" t="n">
        <v>4.3</v>
      </c>
      <c r="CP21" s="5">
        <f>IF(MAESTRO!F21="","",IFERROR(TRUNC(AVERAGE(CF21:CO21),1),""))</f>
        <v/>
      </c>
      <c r="CQ21" s="5" t="n">
        <v>3.1</v>
      </c>
      <c r="CR21" s="5" t="n">
        <v>3.4</v>
      </c>
      <c r="CS21" s="5">
        <f>IF(MAESTRO!F21="","",IFERROR(AVERAGE(CQ21:CR21),""))</f>
        <v/>
      </c>
      <c r="CT21" s="5">
        <f>IF(MAESTRO!F21="","",IFERROR(TRUNC(AVERAGE(CE21,CP21,CS21),1),""))</f>
        <v/>
      </c>
      <c r="CU21" s="177" t="n"/>
      <c r="CV21" s="177"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v>3.9</v>
      </c>
      <c r="D22" s="5" t="n">
        <v>3.2</v>
      </c>
      <c r="E22" s="5" t="n">
        <v>4.3</v>
      </c>
      <c r="F22" s="5" t="n">
        <v>4</v>
      </c>
      <c r="G22" s="5" t="n">
        <v>5</v>
      </c>
      <c r="H22" s="5" t="n">
        <v>4</v>
      </c>
      <c r="I22" s="5" t="n">
        <v>4.9</v>
      </c>
      <c r="J22" s="5" t="n">
        <v>3.3</v>
      </c>
      <c r="K22" s="5" t="n">
        <v>4.5</v>
      </c>
      <c r="L22" s="5" t="n">
        <v>3</v>
      </c>
      <c r="M22" s="5" t="n">
        <v>4.3</v>
      </c>
      <c r="N22" s="5" t="n">
        <v>3.5</v>
      </c>
      <c r="O22" s="5" t="n">
        <v>3.3</v>
      </c>
      <c r="P22" s="5">
        <f>IF(MAESTRO!F22="","",IFERROR(TRUNC(AVERAGE(C22:O22),1),""))</f>
        <v/>
      </c>
      <c r="Q22" s="95" t="n">
        <v>18</v>
      </c>
      <c r="R22" s="22" t="n">
        <v>4.7</v>
      </c>
      <c r="S22" s="22" t="n">
        <v>3.6</v>
      </c>
      <c r="T22" s="22" t="n">
        <v>3.2</v>
      </c>
      <c r="U22" s="22" t="n">
        <v>3.9</v>
      </c>
      <c r="V22" s="22" t="n">
        <v>4.8</v>
      </c>
      <c r="W22" s="22" t="n">
        <v>3.3</v>
      </c>
      <c r="X22" s="22" t="n">
        <v>4.6</v>
      </c>
      <c r="Y22" s="22" t="n">
        <v>4.2</v>
      </c>
      <c r="Z22" s="22" t="n">
        <v>4.7</v>
      </c>
      <c r="AA22" s="45">
        <f>IF(MAESTRO!F22="","",IFERROR(TRUNC(AVERAGE(R22:Z22),1),""))</f>
        <v/>
      </c>
      <c r="AB22" s="177" t="n">
        <v>4.6</v>
      </c>
      <c r="AC22" s="42" t="n">
        <v>4.1</v>
      </c>
      <c r="AD22" s="5">
        <f>IF(MAESTRO!F22="","",IFERROR(AVERAGE(AB22:AC22),""))</f>
        <v/>
      </c>
      <c r="AE22" s="44">
        <f>IF(MAESTRO!F22="","",IFERROR(TRUNC(AVERAGE(P22,AA22,AD22),1),""))</f>
        <v/>
      </c>
      <c r="AF22" s="177" t="n"/>
      <c r="AG22" s="177" t="n">
        <v>18</v>
      </c>
      <c r="AH22" s="177" t="n">
        <v>18</v>
      </c>
      <c r="AI22" s="177">
        <f>IF(MAESTRO!F22="","",MAESTRO!F22)</f>
        <v/>
      </c>
      <c r="AJ22" s="178" t="n"/>
      <c r="AK22" s="61" t="n">
        <v>4.1</v>
      </c>
      <c r="AL22" s="62" t="n">
        <v>4.7</v>
      </c>
      <c r="AM22" s="61" t="n">
        <v>4</v>
      </c>
      <c r="AN22" s="61" t="n">
        <v>3.1</v>
      </c>
      <c r="AO22" s="61" t="n">
        <v>3.9</v>
      </c>
      <c r="AP22" s="61" t="n">
        <v>3.1</v>
      </c>
      <c r="AQ22" s="61" t="n">
        <v>3.6</v>
      </c>
      <c r="AR22" s="61" t="n">
        <v>3.8</v>
      </c>
      <c r="AS22" s="61" t="n">
        <v>4.5</v>
      </c>
      <c r="AT22" s="61" t="n">
        <v>3.7</v>
      </c>
      <c r="AU22" s="61" t="n">
        <v>3.1</v>
      </c>
      <c r="AV22" s="61" t="n">
        <v>4</v>
      </c>
      <c r="AW22" s="5">
        <f>IF(MAESTRO!F22="","",IFERROR(TRUNC(AVERAGE(AK22:AV22),1),""))</f>
        <v/>
      </c>
      <c r="AX22" s="22" t="n">
        <v>3.2</v>
      </c>
      <c r="AY22" s="22" t="n">
        <v>3.9</v>
      </c>
      <c r="AZ22" s="22" t="n">
        <v>3.1</v>
      </c>
      <c r="BA22" s="22" t="n">
        <v>4.7</v>
      </c>
      <c r="BB22" s="22" t="n">
        <v>4</v>
      </c>
      <c r="BC22" s="22" t="n">
        <v>4.3</v>
      </c>
      <c r="BD22" s="22" t="n">
        <v>3.8</v>
      </c>
      <c r="BE22" s="22" t="n">
        <v>4.6</v>
      </c>
      <c r="BF22" s="22" t="n">
        <v>4</v>
      </c>
      <c r="BG22" s="52" t="n">
        <v>3.1</v>
      </c>
      <c r="BH22" s="5">
        <f>IF(MAESTRO!F22="","",IFERROR(TRUNC(AVERAGE(AX22:BG22),1),""))</f>
        <v/>
      </c>
      <c r="BI22" s="22" t="n">
        <v>4.8</v>
      </c>
      <c r="BJ22" s="22" t="n">
        <v>4.3</v>
      </c>
      <c r="BK22" s="22">
        <f>IF(MAESTRO!F22="","",IFERROR(AVERAGE(BI22,BJ22),""))</f>
        <v/>
      </c>
      <c r="BL22" s="5">
        <f>IF(MAESTRO!F22="","",IFERROR(TRUNC(AVERAGE(AW22,BH22,BK22),1),""))</f>
        <v/>
      </c>
      <c r="BM22" s="177" t="n"/>
      <c r="BN22" s="177" t="n">
        <v>18</v>
      </c>
      <c r="BO22" s="177" t="n">
        <v>18</v>
      </c>
      <c r="BP22" s="177">
        <f>IF(MAESTRO!F22="","",MAESTRO!F22)</f>
        <v/>
      </c>
      <c r="BQ22" s="178" t="n"/>
      <c r="BR22" s="5" t="n">
        <v>4.2</v>
      </c>
      <c r="BS22" s="5" t="n">
        <v>4.5</v>
      </c>
      <c r="BT22" s="5" t="n">
        <v>4</v>
      </c>
      <c r="BU22" s="5" t="n">
        <v>4</v>
      </c>
      <c r="BV22" s="5" t="n">
        <v>4.9</v>
      </c>
      <c r="BW22" s="5" t="n">
        <v>4.6</v>
      </c>
      <c r="BX22" s="5" t="n">
        <v>4.3</v>
      </c>
      <c r="BY22" s="5" t="n">
        <v>3.9</v>
      </c>
      <c r="BZ22" s="5" t="n">
        <v>4</v>
      </c>
      <c r="CA22" s="5" t="n">
        <v>4.8</v>
      </c>
      <c r="CB22" s="5" t="n">
        <v>3.1</v>
      </c>
      <c r="CC22" s="5" t="n">
        <v>3.5</v>
      </c>
      <c r="CD22" s="5" t="n">
        <v>3.9</v>
      </c>
      <c r="CE22" s="5">
        <f>IF(MAESTRO!F22="","",IFERROR(TRUNC(AVERAGE(BR22:CD22),1),""))</f>
        <v/>
      </c>
      <c r="CF22" s="5" t="n">
        <v>4.6</v>
      </c>
      <c r="CG22" s="5" t="n">
        <v>4.1</v>
      </c>
      <c r="CH22" s="5" t="n">
        <v>3.3</v>
      </c>
      <c r="CI22" s="5" t="n">
        <v>4.5</v>
      </c>
      <c r="CJ22" s="5" t="n">
        <v>3.2</v>
      </c>
      <c r="CK22" s="5" t="n">
        <v>3.5</v>
      </c>
      <c r="CL22" s="5" t="n">
        <v>3.7</v>
      </c>
      <c r="CM22" s="5" t="n">
        <v>4.6</v>
      </c>
      <c r="CN22" s="5" t="n">
        <v>3.7</v>
      </c>
      <c r="CO22" s="5" t="n">
        <v>5</v>
      </c>
      <c r="CP22" s="5">
        <f>IF(MAESTRO!F22="","",IFERROR(TRUNC(AVERAGE(CF22:CO22),1),""))</f>
        <v/>
      </c>
      <c r="CQ22" s="5" t="n">
        <v>3.4</v>
      </c>
      <c r="CR22" s="5" t="n">
        <v>3.9</v>
      </c>
      <c r="CS22" s="5">
        <f>IF(MAESTRO!F22="","",IFERROR(AVERAGE(CQ22:CR22),""))</f>
        <v/>
      </c>
      <c r="CT22" s="5">
        <f>IF(MAESTRO!F22="","",IFERROR(TRUNC(AVERAGE(CE22,CP22,CS22),1),""))</f>
        <v/>
      </c>
      <c r="CU22" s="177" t="n"/>
      <c r="CV22" s="177"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v>3.7</v>
      </c>
      <c r="D23" s="5" t="n">
        <v>3.5</v>
      </c>
      <c r="E23" s="5" t="n">
        <v>5</v>
      </c>
      <c r="F23" s="5" t="n">
        <v>3.7</v>
      </c>
      <c r="G23" s="5" t="n">
        <v>3</v>
      </c>
      <c r="H23" s="5" t="n">
        <v>3.9</v>
      </c>
      <c r="I23" s="5" t="n">
        <v>4.9</v>
      </c>
      <c r="J23" s="5" t="n">
        <v>4.5</v>
      </c>
      <c r="K23" s="5" t="n">
        <v>4.5</v>
      </c>
      <c r="L23" s="5" t="n">
        <v>3.8</v>
      </c>
      <c r="M23" s="5" t="n">
        <v>5</v>
      </c>
      <c r="N23" s="5" t="n">
        <v>4.3</v>
      </c>
      <c r="O23" s="5" t="n">
        <v>3.9</v>
      </c>
      <c r="P23" s="5">
        <f>IF(MAESTRO!F23="","",IFERROR(TRUNC(AVERAGE(C23:O23),1),""))</f>
        <v/>
      </c>
      <c r="Q23" s="95" t="n">
        <v>19</v>
      </c>
      <c r="R23" s="22" t="n">
        <v>4.4</v>
      </c>
      <c r="S23" s="22" t="n">
        <v>3.9</v>
      </c>
      <c r="T23" s="22" t="n">
        <v>4.6</v>
      </c>
      <c r="U23" s="22" t="n">
        <v>4.1</v>
      </c>
      <c r="V23" s="22" t="n">
        <v>3.1</v>
      </c>
      <c r="W23" s="22" t="n">
        <v>5</v>
      </c>
      <c r="X23" s="22" t="n">
        <v>3.7</v>
      </c>
      <c r="Y23" s="22" t="n">
        <v>4.7</v>
      </c>
      <c r="Z23" s="22" t="n">
        <v>3.3</v>
      </c>
      <c r="AA23" s="45">
        <f>IF(MAESTRO!F23="","",IFERROR(TRUNC(AVERAGE(R23:Z23),1),""))</f>
        <v/>
      </c>
      <c r="AB23" s="177" t="n">
        <v>4.8</v>
      </c>
      <c r="AC23" s="42" t="n">
        <v>3.6</v>
      </c>
      <c r="AD23" s="5">
        <f>IF(MAESTRO!F23="","",IFERROR(AVERAGE(AB23:AC23),""))</f>
        <v/>
      </c>
      <c r="AE23" s="44">
        <f>IF(MAESTRO!F23="","",IFERROR(TRUNC(AVERAGE(P23,AA23,AD23),1),""))</f>
        <v/>
      </c>
      <c r="AF23" s="177" t="n"/>
      <c r="AG23" s="177" t="n">
        <v>19</v>
      </c>
      <c r="AH23" s="177" t="n">
        <v>19</v>
      </c>
      <c r="AI23" s="177">
        <f>IF(MAESTRO!F23="","",MAESTRO!F23)</f>
        <v/>
      </c>
      <c r="AJ23" s="178" t="n"/>
      <c r="AK23" s="62" t="n">
        <v>3.1</v>
      </c>
      <c r="AL23" s="61" t="n">
        <v>3.1</v>
      </c>
      <c r="AM23" s="61" t="n">
        <v>3.3</v>
      </c>
      <c r="AN23" s="61" t="n">
        <v>3.4</v>
      </c>
      <c r="AO23" s="61" t="n">
        <v>4.6</v>
      </c>
      <c r="AP23" s="61" t="n">
        <v>3.2</v>
      </c>
      <c r="AQ23" s="61" t="n">
        <v>4.5</v>
      </c>
      <c r="AR23" s="61" t="n">
        <v>3.4</v>
      </c>
      <c r="AS23" s="61" t="n">
        <v>4.2</v>
      </c>
      <c r="AT23" s="61" t="n">
        <v>4.9</v>
      </c>
      <c r="AU23" s="61" t="n">
        <v>4.2</v>
      </c>
      <c r="AV23" s="61" t="n">
        <v>3.5</v>
      </c>
      <c r="AW23" s="5">
        <f>IF(MAESTRO!F23="","",IFERROR(TRUNC(AVERAGE(AK23:AV23),1),""))</f>
        <v/>
      </c>
      <c r="AX23" s="22" t="n">
        <v>3.6</v>
      </c>
      <c r="AY23" s="22" t="n">
        <v>4.3</v>
      </c>
      <c r="AZ23" s="22" t="n">
        <v>4.1</v>
      </c>
      <c r="BA23" s="22" t="n">
        <v>3.2</v>
      </c>
      <c r="BB23" s="22" t="n">
        <v>4.3</v>
      </c>
      <c r="BC23" s="22" t="n">
        <v>3.5</v>
      </c>
      <c r="BD23" s="22" t="n">
        <v>4.4</v>
      </c>
      <c r="BE23" s="22" t="n">
        <v>4.8</v>
      </c>
      <c r="BF23" s="22" t="n">
        <v>4.1</v>
      </c>
      <c r="BG23" s="52" t="n">
        <v>3.4</v>
      </c>
      <c r="BH23" s="5">
        <f>IF(MAESTRO!F23="","",IFERROR(TRUNC(AVERAGE(AX23:BG23),1),""))</f>
        <v/>
      </c>
      <c r="BI23" s="22" t="n">
        <v>3.3</v>
      </c>
      <c r="BJ23" s="22" t="n">
        <v>3.8</v>
      </c>
      <c r="BK23" s="22">
        <f>IF(MAESTRO!F23="","",IFERROR(AVERAGE(BI23,BJ23),""))</f>
        <v/>
      </c>
      <c r="BL23" s="5">
        <f>IF(MAESTRO!F23="","",IFERROR(TRUNC(AVERAGE(AW23,BH23,BK23),1),""))</f>
        <v/>
      </c>
      <c r="BM23" s="177" t="n"/>
      <c r="BN23" s="177" t="n">
        <v>19</v>
      </c>
      <c r="BO23" s="177" t="n">
        <v>19</v>
      </c>
      <c r="BP23" s="177">
        <f>IF(MAESTRO!F23="","",MAESTRO!F23)</f>
        <v/>
      </c>
      <c r="BQ23" s="178" t="n"/>
      <c r="BR23" s="5" t="n">
        <v>4.5</v>
      </c>
      <c r="BS23" s="5" t="n">
        <v>4.7</v>
      </c>
      <c r="BT23" s="5" t="n">
        <v>4.4</v>
      </c>
      <c r="BU23" s="5" t="n">
        <v>4.6</v>
      </c>
      <c r="BV23" s="5" t="n">
        <v>3.4</v>
      </c>
      <c r="BW23" s="5" t="n">
        <v>3.3</v>
      </c>
      <c r="BX23" s="5" t="n">
        <v>5</v>
      </c>
      <c r="BY23" s="5" t="n">
        <v>4.2</v>
      </c>
      <c r="BZ23" s="5" t="n">
        <v>4</v>
      </c>
      <c r="CA23" s="5" t="n">
        <v>3.7</v>
      </c>
      <c r="CB23" s="5" t="n">
        <v>4</v>
      </c>
      <c r="CC23" s="5" t="n">
        <v>3.5</v>
      </c>
      <c r="CD23" s="5" t="n">
        <v>3.3</v>
      </c>
      <c r="CE23" s="5">
        <f>IF(MAESTRO!F23="","",IFERROR(TRUNC(AVERAGE(BR23:CD23),1),""))</f>
        <v/>
      </c>
      <c r="CF23" s="5" t="n">
        <v>4.9</v>
      </c>
      <c r="CG23" s="5" t="n">
        <v>3.4</v>
      </c>
      <c r="CH23" s="5" t="n">
        <v>4.5</v>
      </c>
      <c r="CI23" s="5" t="n">
        <v>3.7</v>
      </c>
      <c r="CJ23" s="5" t="n">
        <v>3.8</v>
      </c>
      <c r="CK23" s="5" t="n">
        <v>4.6</v>
      </c>
      <c r="CL23" s="5" t="n">
        <v>3.2</v>
      </c>
      <c r="CM23" s="5" t="n">
        <v>5</v>
      </c>
      <c r="CN23" s="5" t="n">
        <v>3.3</v>
      </c>
      <c r="CO23" s="5" t="n">
        <v>3.3</v>
      </c>
      <c r="CP23" s="5">
        <f>IF(MAESTRO!F23="","",IFERROR(TRUNC(AVERAGE(CF23:CO23),1),""))</f>
        <v/>
      </c>
      <c r="CQ23" s="5" t="n">
        <v>3</v>
      </c>
      <c r="CR23" s="5" t="n">
        <v>4.3</v>
      </c>
      <c r="CS23" s="5">
        <f>IF(MAESTRO!F23="","",IFERROR(AVERAGE(CQ23:CR23),""))</f>
        <v/>
      </c>
      <c r="CT23" s="5">
        <f>IF(MAESTRO!F23="","",IFERROR(TRUNC(AVERAGE(CE23,CP23,CS23),1),""))</f>
        <v/>
      </c>
      <c r="CU23" s="177" t="n"/>
      <c r="CV23" s="177"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v>4</v>
      </c>
      <c r="D24" s="5" t="n">
        <v>4.4</v>
      </c>
      <c r="E24" s="5" t="n">
        <v>3.6</v>
      </c>
      <c r="F24" s="5" t="n">
        <v>4.4</v>
      </c>
      <c r="G24" s="5" t="n">
        <v>4.8</v>
      </c>
      <c r="H24" s="5" t="n">
        <v>4.1</v>
      </c>
      <c r="I24" s="5" t="n">
        <v>4.7</v>
      </c>
      <c r="J24" s="5" t="n">
        <v>4.4</v>
      </c>
      <c r="K24" s="5" t="n">
        <v>3.4</v>
      </c>
      <c r="L24" s="5" t="n">
        <v>4.4</v>
      </c>
      <c r="M24" s="5" t="n">
        <v>4.6</v>
      </c>
      <c r="N24" s="5" t="n">
        <v>3.6</v>
      </c>
      <c r="O24" s="5" t="n">
        <v>4.7</v>
      </c>
      <c r="P24" s="5">
        <f>IF(MAESTRO!F24="","",IFERROR(TRUNC(AVERAGE(C24:O24),1),""))</f>
        <v/>
      </c>
      <c r="Q24" s="95" t="n">
        <v>20</v>
      </c>
      <c r="R24" s="22" t="n">
        <v>4.8</v>
      </c>
      <c r="S24" s="22" t="n">
        <v>3.4</v>
      </c>
      <c r="T24" s="22" t="n">
        <v>4.1</v>
      </c>
      <c r="U24" s="22" t="n">
        <v>4.7</v>
      </c>
      <c r="V24" s="22" t="n">
        <v>3.3</v>
      </c>
      <c r="W24" s="22" t="n">
        <v>4.5</v>
      </c>
      <c r="X24" s="22" t="n">
        <v>3.1</v>
      </c>
      <c r="Y24" s="22" t="n">
        <v>4.3</v>
      </c>
      <c r="Z24" s="22" t="n">
        <v>4.5</v>
      </c>
      <c r="AA24" s="45">
        <f>IF(MAESTRO!F24="","",IFERROR(TRUNC(AVERAGE(R24:Z24),1),""))</f>
        <v/>
      </c>
      <c r="AB24" s="177" t="n">
        <v>4.7</v>
      </c>
      <c r="AC24" s="42" t="n">
        <v>4.4</v>
      </c>
      <c r="AD24" s="5">
        <f>IF(MAESTRO!F24="","",IFERROR(AVERAGE(AB24:AC24),""))</f>
        <v/>
      </c>
      <c r="AE24" s="44">
        <f>IF(MAESTRO!F24="","",IFERROR(TRUNC(AVERAGE(P24,AA24,AD24),1),""))</f>
        <v/>
      </c>
      <c r="AF24" s="177" t="n"/>
      <c r="AG24" s="177" t="n">
        <v>20</v>
      </c>
      <c r="AH24" s="177" t="n">
        <v>20</v>
      </c>
      <c r="AI24" s="177">
        <f>IF(MAESTRO!F24="","",MAESTRO!F24)</f>
        <v/>
      </c>
      <c r="AJ24" s="178" t="n"/>
      <c r="AK24" s="61" t="n">
        <v>3.8</v>
      </c>
      <c r="AL24" s="61" t="n">
        <v>4.6</v>
      </c>
      <c r="AM24" s="61" t="n">
        <v>3.5</v>
      </c>
      <c r="AN24" s="61" t="n">
        <v>4.2</v>
      </c>
      <c r="AO24" s="61" t="n">
        <v>4.1</v>
      </c>
      <c r="AP24" s="61" t="n">
        <v>4.6</v>
      </c>
      <c r="AQ24" s="61" t="n">
        <v>3.6</v>
      </c>
      <c r="AR24" s="61" t="n">
        <v>3.7</v>
      </c>
      <c r="AS24" s="61" t="n">
        <v>4.7</v>
      </c>
      <c r="AT24" s="61" t="n">
        <v>3.7</v>
      </c>
      <c r="AU24" s="61" t="n">
        <v>3.8</v>
      </c>
      <c r="AV24" s="61" t="n">
        <v>4.6</v>
      </c>
      <c r="AW24" s="5">
        <f>IF(MAESTRO!F24="","",IFERROR(TRUNC(AVERAGE(AK24:AV24),1),""))</f>
        <v/>
      </c>
      <c r="AX24" s="22" t="n">
        <v>4.3</v>
      </c>
      <c r="AY24" s="22" t="n">
        <v>4.8</v>
      </c>
      <c r="AZ24" s="22" t="n">
        <v>3.6</v>
      </c>
      <c r="BA24" s="22" t="n">
        <v>4.8</v>
      </c>
      <c r="BB24" s="22" t="n">
        <v>3.7</v>
      </c>
      <c r="BC24" s="22" t="n">
        <v>3.8</v>
      </c>
      <c r="BD24" s="22" t="n">
        <v>4</v>
      </c>
      <c r="BE24" s="22" t="n">
        <v>4.8</v>
      </c>
      <c r="BF24" s="22" t="n">
        <v>4.8</v>
      </c>
      <c r="BG24" s="52" t="n">
        <v>3.5</v>
      </c>
      <c r="BH24" s="5">
        <f>IF(MAESTRO!F24="","",IFERROR(TRUNC(AVERAGE(AX24:BG24),1),""))</f>
        <v/>
      </c>
      <c r="BI24" s="22" t="n">
        <v>3.5</v>
      </c>
      <c r="BJ24" s="22" t="n">
        <v>3.9</v>
      </c>
      <c r="BK24" s="22">
        <f>IF(MAESTRO!F24="","",IFERROR(AVERAGE(BI24,BJ24),""))</f>
        <v/>
      </c>
      <c r="BL24" s="5">
        <f>IF(MAESTRO!F24="","",IFERROR(TRUNC(AVERAGE(AW24,BH24,BK24),1),""))</f>
        <v/>
      </c>
      <c r="BM24" s="177" t="n"/>
      <c r="BN24" s="177" t="n">
        <v>20</v>
      </c>
      <c r="BO24" s="177" t="n">
        <v>20</v>
      </c>
      <c r="BP24" s="177">
        <f>IF(MAESTRO!F24="","",MAESTRO!F24)</f>
        <v/>
      </c>
      <c r="BQ24" s="178" t="n"/>
      <c r="BR24" s="5" t="n">
        <v>3.8</v>
      </c>
      <c r="BS24" s="5" t="n">
        <v>3.4</v>
      </c>
      <c r="BT24" s="5" t="n">
        <v>3.1</v>
      </c>
      <c r="BU24" s="5" t="n">
        <v>3.6</v>
      </c>
      <c r="BV24" s="5" t="n">
        <v>5</v>
      </c>
      <c r="BW24" s="5" t="n">
        <v>4.4</v>
      </c>
      <c r="BX24" s="5" t="n">
        <v>4.8</v>
      </c>
      <c r="BY24" s="5" t="n">
        <v>4.2</v>
      </c>
      <c r="BZ24" s="5" t="n">
        <v>4.5</v>
      </c>
      <c r="CA24" s="5" t="n">
        <v>4.3</v>
      </c>
      <c r="CB24" s="5" t="n">
        <v>3.2</v>
      </c>
      <c r="CC24" s="5" t="n">
        <v>3.7</v>
      </c>
      <c r="CD24" s="5" t="n">
        <v>3.6</v>
      </c>
      <c r="CE24" s="5">
        <f>IF(MAESTRO!F24="","",IFERROR(TRUNC(AVERAGE(BR24:CD24),1),""))</f>
        <v/>
      </c>
      <c r="CF24" s="5" t="n">
        <v>4.7</v>
      </c>
      <c r="CG24" s="5" t="n">
        <v>3.8</v>
      </c>
      <c r="CH24" s="5" t="n">
        <v>4.5</v>
      </c>
      <c r="CI24" s="5" t="n">
        <v>3.3</v>
      </c>
      <c r="CJ24" s="5" t="n">
        <v>3.2</v>
      </c>
      <c r="CK24" s="5" t="n">
        <v>3.8</v>
      </c>
      <c r="CL24" s="5" t="n">
        <v>3.2</v>
      </c>
      <c r="CM24" s="5" t="n">
        <v>3</v>
      </c>
      <c r="CN24" s="5" t="n">
        <v>3.7</v>
      </c>
      <c r="CO24" s="5" t="n">
        <v>4.3</v>
      </c>
      <c r="CP24" s="5">
        <f>IF(MAESTRO!F24="","",IFERROR(TRUNC(AVERAGE(CF24:CO24),1),""))</f>
        <v/>
      </c>
      <c r="CQ24" s="5" t="n">
        <v>4.3</v>
      </c>
      <c r="CR24" s="5" t="n">
        <v>5</v>
      </c>
      <c r="CS24" s="5">
        <f>IF(MAESTRO!F24="","",IFERROR(AVERAGE(CQ24:CR24),""))</f>
        <v/>
      </c>
      <c r="CT24" s="5">
        <f>IF(MAESTRO!F24="","",IFERROR(TRUNC(AVERAGE(CE24,CP24,CS24),1),""))</f>
        <v/>
      </c>
      <c r="CU24" s="177" t="n"/>
      <c r="CV24" s="177"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v>3.9</v>
      </c>
      <c r="D25" s="5" t="n">
        <v>3.5</v>
      </c>
      <c r="E25" s="5" t="n">
        <v>3.2</v>
      </c>
      <c r="F25" s="5" t="n">
        <v>4.7</v>
      </c>
      <c r="G25" s="5" t="n">
        <v>3.2</v>
      </c>
      <c r="H25" s="5" t="n">
        <v>4.5</v>
      </c>
      <c r="I25" s="5" t="n">
        <v>3.2</v>
      </c>
      <c r="J25" s="5" t="n">
        <v>4.7</v>
      </c>
      <c r="K25" s="5" t="n">
        <v>3.4</v>
      </c>
      <c r="L25" s="5" t="n">
        <v>3.8</v>
      </c>
      <c r="M25" s="5" t="n">
        <v>4.5</v>
      </c>
      <c r="N25" s="5" t="n">
        <v>4.3</v>
      </c>
      <c r="O25" s="5" t="n">
        <v>3.4</v>
      </c>
      <c r="P25" s="5">
        <f>IF(MAESTRO!F25="","",IFERROR(TRUNC(AVERAGE(C25:O25),1),""))</f>
        <v/>
      </c>
      <c r="Q25" s="95" t="n">
        <v>21</v>
      </c>
      <c r="R25" s="22" t="n">
        <v>3.3</v>
      </c>
      <c r="S25" s="22" t="n">
        <v>4.2</v>
      </c>
      <c r="T25" s="22" t="n">
        <v>4.7</v>
      </c>
      <c r="U25" s="22" t="n">
        <v>4</v>
      </c>
      <c r="V25" s="22" t="n">
        <v>3.7</v>
      </c>
      <c r="W25" s="22" t="n">
        <v>4.4</v>
      </c>
      <c r="X25" s="22" t="n">
        <v>3.8</v>
      </c>
      <c r="Y25" s="22" t="n">
        <v>4.5</v>
      </c>
      <c r="Z25" s="22" t="n">
        <v>3.1</v>
      </c>
      <c r="AA25" s="45">
        <f>IF(MAESTRO!F25="","",IFERROR(TRUNC(AVERAGE(R25:Z25),1),""))</f>
        <v/>
      </c>
      <c r="AB25" s="177" t="n">
        <v>3.3</v>
      </c>
      <c r="AC25" s="42" t="n">
        <v>3.7</v>
      </c>
      <c r="AD25" s="5">
        <f>IF(MAESTRO!F25="","",IFERROR(AVERAGE(AB25:AC25),""))</f>
        <v/>
      </c>
      <c r="AE25" s="44">
        <f>IF(MAESTRO!F25="","",IFERROR(TRUNC(AVERAGE(P25,AA25,AD25),1),""))</f>
        <v/>
      </c>
      <c r="AF25" s="177" t="n"/>
      <c r="AG25" s="177" t="n">
        <v>21</v>
      </c>
      <c r="AH25" s="177" t="n">
        <v>21</v>
      </c>
      <c r="AI25" s="177">
        <f>IF(MAESTRO!F25="","",MAESTRO!F25)</f>
        <v/>
      </c>
      <c r="AJ25" s="178" t="n"/>
      <c r="AK25" s="61" t="n">
        <v>3.4</v>
      </c>
      <c r="AL25" s="61" t="n">
        <v>3.7</v>
      </c>
      <c r="AM25" s="91" t="n">
        <v>4.1</v>
      </c>
      <c r="AN25" s="61" t="n">
        <v>4.3</v>
      </c>
      <c r="AO25" s="61" t="n">
        <v>4.1</v>
      </c>
      <c r="AP25" s="61" t="n">
        <v>3.1</v>
      </c>
      <c r="AQ25" s="61" t="n">
        <v>4</v>
      </c>
      <c r="AR25" s="61" t="n">
        <v>4.9</v>
      </c>
      <c r="AS25" s="61" t="n">
        <v>3.2</v>
      </c>
      <c r="AT25" s="61" t="n">
        <v>3.4</v>
      </c>
      <c r="AU25" s="61" t="n">
        <v>4.9</v>
      </c>
      <c r="AV25" s="61" t="n">
        <v>4.7</v>
      </c>
      <c r="AW25" s="5">
        <f>IF(MAESTRO!F25="","",IFERROR(TRUNC(AVERAGE(AK25:AV25),1),""))</f>
        <v/>
      </c>
      <c r="AX25" s="22" t="n">
        <v>4.8</v>
      </c>
      <c r="AY25" s="92" t="n">
        <v>4.9</v>
      </c>
      <c r="AZ25" s="22" t="n">
        <v>3.2</v>
      </c>
      <c r="BA25" s="22" t="n">
        <v>4.1</v>
      </c>
      <c r="BB25" s="22" t="n">
        <v>4.5</v>
      </c>
      <c r="BC25" s="22" t="n">
        <v>4</v>
      </c>
      <c r="BD25" s="22" t="n">
        <v>3.1</v>
      </c>
      <c r="BE25" s="22" t="n">
        <v>3.7</v>
      </c>
      <c r="BF25" s="22" t="n">
        <v>3</v>
      </c>
      <c r="BG25" s="52" t="n">
        <v>3.3</v>
      </c>
      <c r="BH25" s="5">
        <f>IF(MAESTRO!F25="","",IFERROR(TRUNC(AVERAGE(AX25:BG25),1),""))</f>
        <v/>
      </c>
      <c r="BI25" s="22" t="n">
        <v>4</v>
      </c>
      <c r="BJ25" s="22" t="n">
        <v>4.5</v>
      </c>
      <c r="BK25" s="22">
        <f>IF(MAESTRO!F25="","",IFERROR(AVERAGE(BI25,BJ25),""))</f>
        <v/>
      </c>
      <c r="BL25" s="5">
        <f>IF(MAESTRO!F25="","",IFERROR(TRUNC(AVERAGE(AW25,BH25,BK25),1),""))</f>
        <v/>
      </c>
      <c r="BM25" s="177" t="n"/>
      <c r="BN25" s="177" t="n">
        <v>21</v>
      </c>
      <c r="BO25" s="177" t="n">
        <v>21</v>
      </c>
      <c r="BP25" s="177">
        <f>IF(MAESTRO!F25="","",MAESTRO!F25)</f>
        <v/>
      </c>
      <c r="BQ25" s="178" t="n"/>
      <c r="BR25" s="5" t="n">
        <v>4.8</v>
      </c>
      <c r="BS25" s="89" t="n">
        <v>3.6</v>
      </c>
      <c r="BT25" s="5" t="n">
        <v>3.7</v>
      </c>
      <c r="BU25" s="5" t="n">
        <v>3.2</v>
      </c>
      <c r="BV25" s="5" t="n">
        <v>4.9</v>
      </c>
      <c r="BW25" s="5" t="n">
        <v>4.8</v>
      </c>
      <c r="BX25" s="5" t="n">
        <v>3</v>
      </c>
      <c r="BY25" s="5" t="n">
        <v>3.1</v>
      </c>
      <c r="BZ25" s="5" t="n">
        <v>4.2</v>
      </c>
      <c r="CA25" s="5" t="n">
        <v>4.4</v>
      </c>
      <c r="CB25" s="5" t="n">
        <v>4.8</v>
      </c>
      <c r="CC25" s="5" t="n">
        <v>3.2</v>
      </c>
      <c r="CD25" s="5" t="n">
        <v>3.6</v>
      </c>
      <c r="CE25" s="5">
        <f>IF(MAESTRO!F25="","",IFERROR(TRUNC(AVERAGE(BR25:CD25),1),""))</f>
        <v/>
      </c>
      <c r="CF25" s="5" t="n">
        <v>3.6</v>
      </c>
      <c r="CG25" s="5" t="n">
        <v>3.2</v>
      </c>
      <c r="CH25" s="5" t="n">
        <v>4.1</v>
      </c>
      <c r="CI25" s="5" t="n">
        <v>3.7</v>
      </c>
      <c r="CJ25" s="5" t="n">
        <v>3.8</v>
      </c>
      <c r="CK25" s="5" t="n">
        <v>3.8</v>
      </c>
      <c r="CL25" s="5" t="n">
        <v>4</v>
      </c>
      <c r="CM25" s="5" t="n">
        <v>3.2</v>
      </c>
      <c r="CN25" s="5" t="n">
        <v>4.2</v>
      </c>
      <c r="CO25" s="5" t="n">
        <v>4.9</v>
      </c>
      <c r="CP25" s="5">
        <f>IF(MAESTRO!F25="","",IFERROR(TRUNC(AVERAGE(CF25:CO25),1),""))</f>
        <v/>
      </c>
      <c r="CQ25" s="5" t="n">
        <v>4</v>
      </c>
      <c r="CR25" s="5" t="n">
        <v>4.3</v>
      </c>
      <c r="CS25" s="5">
        <f>IF(MAESTRO!F25="","",IFERROR(AVERAGE(CQ25:CR25),""))</f>
        <v/>
      </c>
      <c r="CT25" s="5">
        <f>IF(MAESTRO!F25="","",IFERROR(TRUNC(AVERAGE(CE25,CP25,CS25),1),""))</f>
        <v/>
      </c>
      <c r="CU25" s="177" t="n"/>
      <c r="CV25" s="177"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v>4.3</v>
      </c>
      <c r="D26" s="5" t="n">
        <v>3.2</v>
      </c>
      <c r="E26" s="5" t="n">
        <v>3.3</v>
      </c>
      <c r="F26" s="5" t="n">
        <v>4.4</v>
      </c>
      <c r="G26" s="5" t="n">
        <v>4.5</v>
      </c>
      <c r="H26" s="5" t="n">
        <v>3.1</v>
      </c>
      <c r="I26" s="5" t="n">
        <v>4</v>
      </c>
      <c r="J26" s="5" t="n">
        <v>3.5</v>
      </c>
      <c r="K26" s="5" t="n">
        <v>4.6</v>
      </c>
      <c r="L26" s="5" t="n">
        <v>4.6</v>
      </c>
      <c r="M26" s="5" t="n">
        <v>5</v>
      </c>
      <c r="N26" s="5" t="n">
        <v>4.8</v>
      </c>
      <c r="O26" s="5" t="n">
        <v>3.7</v>
      </c>
      <c r="P26" s="5">
        <f>IF(MAESTRO!F26="","",IFERROR(TRUNC(AVERAGE(C26:O26),1),""))</f>
        <v/>
      </c>
      <c r="Q26" s="95" t="n">
        <v>22</v>
      </c>
      <c r="R26" s="22" t="n">
        <v>3.2</v>
      </c>
      <c r="S26" s="22" t="n">
        <v>3.7</v>
      </c>
      <c r="T26" s="22" t="n">
        <v>3.7</v>
      </c>
      <c r="U26" s="22" t="n">
        <v>3.9</v>
      </c>
      <c r="V26" s="22" t="n">
        <v>3</v>
      </c>
      <c r="W26" s="22" t="n">
        <v>4.9</v>
      </c>
      <c r="X26" s="22" t="n">
        <v>3</v>
      </c>
      <c r="Y26" s="22" t="n">
        <v>4.3</v>
      </c>
      <c r="Z26" s="22" t="n">
        <v>4.3</v>
      </c>
      <c r="AA26" s="45">
        <f>IF(MAESTRO!F26="","",IFERROR(TRUNC(AVERAGE(R26:Z26),1),""))</f>
        <v/>
      </c>
      <c r="AB26" s="177" t="n">
        <v>3.8</v>
      </c>
      <c r="AC26" s="42" t="n">
        <v>3.9</v>
      </c>
      <c r="AD26" s="5">
        <f>IF(MAESTRO!F26="","",IFERROR(AVERAGE(AB26:AC26),""))</f>
        <v/>
      </c>
      <c r="AE26" s="44">
        <f>IF(MAESTRO!F26="","",IFERROR(TRUNC(AVERAGE(P26,AA26,AD26),1),""))</f>
        <v/>
      </c>
      <c r="AF26" s="177" t="n"/>
      <c r="AG26" s="177" t="n">
        <v>22</v>
      </c>
      <c r="AH26" s="177" t="n">
        <v>22</v>
      </c>
      <c r="AI26" s="177">
        <f>IF(MAESTRO!F26="","",MAESTRO!F26)</f>
        <v/>
      </c>
      <c r="AJ26" s="178" t="n"/>
      <c r="AK26" s="61" t="n">
        <v>3.3</v>
      </c>
      <c r="AL26" s="61" t="n">
        <v>4.3</v>
      </c>
      <c r="AM26" s="91" t="n">
        <v>4</v>
      </c>
      <c r="AN26" s="61" t="n">
        <v>3.3</v>
      </c>
      <c r="AO26" s="61" t="n">
        <v>3.6</v>
      </c>
      <c r="AP26" s="61" t="n">
        <v>3.5</v>
      </c>
      <c r="AQ26" s="61" t="n">
        <v>4.1</v>
      </c>
      <c r="AR26" s="61" t="n">
        <v>3.8</v>
      </c>
      <c r="AS26" s="61" t="n">
        <v>4.9</v>
      </c>
      <c r="AT26" s="61" t="n">
        <v>4.5</v>
      </c>
      <c r="AU26" s="61" t="n">
        <v>4.1</v>
      </c>
      <c r="AV26" s="61" t="n">
        <v>3.3</v>
      </c>
      <c r="AW26" s="5">
        <f>IF(MAESTRO!F26="","",IFERROR(TRUNC(AVERAGE(AK26:AV26),1),""))</f>
        <v/>
      </c>
      <c r="AX26" s="22" t="n">
        <v>3.1</v>
      </c>
      <c r="AY26" s="92" t="n">
        <v>3.1</v>
      </c>
      <c r="AZ26" s="22" t="n">
        <v>4</v>
      </c>
      <c r="BA26" s="22" t="n">
        <v>3</v>
      </c>
      <c r="BB26" s="22" t="n">
        <v>3.6</v>
      </c>
      <c r="BC26" s="22" t="n">
        <v>4</v>
      </c>
      <c r="BD26" s="22" t="n">
        <v>3.2</v>
      </c>
      <c r="BE26" s="22" t="n">
        <v>3.1</v>
      </c>
      <c r="BF26" s="22" t="n">
        <v>4.9</v>
      </c>
      <c r="BG26" s="52" t="n">
        <v>4.1</v>
      </c>
      <c r="BH26" s="5">
        <f>IF(MAESTRO!F26="","",IFERROR(TRUNC(AVERAGE(AX26:BG26),1),""))</f>
        <v/>
      </c>
      <c r="BI26" s="22" t="n">
        <v>3.8</v>
      </c>
      <c r="BJ26" s="22" t="n">
        <v>3.8</v>
      </c>
      <c r="BK26" s="22">
        <f>IF(MAESTRO!F26="","",IFERROR(AVERAGE(BI26,BJ26),""))</f>
        <v/>
      </c>
      <c r="BL26" s="5">
        <f>IF(MAESTRO!F26="","",IFERROR(TRUNC(AVERAGE(AW26,BH26,BK26),1),""))</f>
        <v/>
      </c>
      <c r="BM26" s="177" t="n"/>
      <c r="BN26" s="177" t="n">
        <v>22</v>
      </c>
      <c r="BO26" s="177" t="n">
        <v>22</v>
      </c>
      <c r="BP26" s="177">
        <f>IF(MAESTRO!F26="","",MAESTRO!F26)</f>
        <v/>
      </c>
      <c r="BQ26" s="178" t="n"/>
      <c r="BR26" s="5" t="n">
        <v>3.6</v>
      </c>
      <c r="BS26" s="89" t="n">
        <v>3.1</v>
      </c>
      <c r="BT26" s="5" t="n">
        <v>4.4</v>
      </c>
      <c r="BU26" s="5" t="n">
        <v>3</v>
      </c>
      <c r="BV26" s="5" t="n">
        <v>3.2</v>
      </c>
      <c r="BW26" s="5" t="n">
        <v>3.5</v>
      </c>
      <c r="BX26" s="5" t="n">
        <v>4.3</v>
      </c>
      <c r="BY26" s="5" t="n">
        <v>4.7</v>
      </c>
      <c r="BZ26" s="5" t="n">
        <v>4.3</v>
      </c>
      <c r="CA26" s="5" t="n">
        <v>3.4</v>
      </c>
      <c r="CB26" s="5" t="n">
        <v>3.3</v>
      </c>
      <c r="CC26" s="5" t="n">
        <v>3.1</v>
      </c>
      <c r="CD26" s="5" t="n">
        <v>3.6</v>
      </c>
      <c r="CE26" s="5">
        <f>IF(MAESTRO!F26="","",IFERROR(TRUNC(AVERAGE(BR26:CD26),1),""))</f>
        <v/>
      </c>
      <c r="CF26" s="5" t="n">
        <v>4.3</v>
      </c>
      <c r="CG26" s="5" t="n">
        <v>3.4</v>
      </c>
      <c r="CH26" s="5" t="n">
        <v>3.4</v>
      </c>
      <c r="CI26" s="5" t="n">
        <v>4.7</v>
      </c>
      <c r="CJ26" s="5" t="n">
        <v>3.9</v>
      </c>
      <c r="CK26" s="5" t="n">
        <v>3.5</v>
      </c>
      <c r="CL26" s="5" t="n">
        <v>3.6</v>
      </c>
      <c r="CM26" s="5" t="n">
        <v>4.6</v>
      </c>
      <c r="CN26" s="5" t="n">
        <v>4.3</v>
      </c>
      <c r="CO26" s="5" t="n">
        <v>3.1</v>
      </c>
      <c r="CP26" s="5">
        <f>IF(MAESTRO!F26="","",IFERROR(TRUNC(AVERAGE(CF26:CO26),1),""))</f>
        <v/>
      </c>
      <c r="CQ26" s="5" t="n">
        <v>4.2</v>
      </c>
      <c r="CR26" s="5" t="n">
        <v>3.3</v>
      </c>
      <c r="CS26" s="5">
        <f>IF(MAESTRO!F26="","",IFERROR(AVERAGE(CQ26:CR26),""))</f>
        <v/>
      </c>
      <c r="CT26" s="5">
        <f>IF(MAESTRO!F26="","",IFERROR(TRUNC(AVERAGE(CE26,CP26,CS26),1),""))</f>
        <v/>
      </c>
      <c r="CU26" s="177" t="n"/>
      <c r="CV26" s="177"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v>4.1</v>
      </c>
      <c r="D27" s="5" t="n">
        <v>4.2</v>
      </c>
      <c r="E27" s="5" t="n">
        <v>4.5</v>
      </c>
      <c r="F27" s="5" t="n">
        <v>4</v>
      </c>
      <c r="G27" s="5" t="n">
        <v>4.5</v>
      </c>
      <c r="H27" s="5" t="n">
        <v>4.2</v>
      </c>
      <c r="I27" s="5" t="n">
        <v>3.9</v>
      </c>
      <c r="J27" s="5" t="n">
        <v>4.7</v>
      </c>
      <c r="K27" s="5" t="n">
        <v>3.6</v>
      </c>
      <c r="L27" s="5" t="n">
        <v>4.7</v>
      </c>
      <c r="M27" s="5" t="n">
        <v>4.6</v>
      </c>
      <c r="N27" s="5" t="n">
        <v>3.5</v>
      </c>
      <c r="O27" s="5" t="n">
        <v>3.2</v>
      </c>
      <c r="P27" s="5">
        <f>IF(MAESTRO!F27="","",IFERROR(TRUNC(AVERAGE(C27:O27),1),""))</f>
        <v/>
      </c>
      <c r="Q27" s="95" t="n">
        <v>23</v>
      </c>
      <c r="R27" s="22" t="n">
        <v>3.6</v>
      </c>
      <c r="S27" s="22" t="n">
        <v>3.8</v>
      </c>
      <c r="T27" s="22" t="n">
        <v>3.9</v>
      </c>
      <c r="U27" s="22" t="n">
        <v>3.3</v>
      </c>
      <c r="V27" s="22" t="n">
        <v>3.3</v>
      </c>
      <c r="W27" s="22" t="n">
        <v>4.4</v>
      </c>
      <c r="X27" s="22" t="n">
        <v>3.5</v>
      </c>
      <c r="Y27" s="22" t="n">
        <v>3.6</v>
      </c>
      <c r="Z27" s="22" t="n">
        <v>4</v>
      </c>
      <c r="AA27" s="45">
        <f>IF(MAESTRO!F27="","",IFERROR(TRUNC(AVERAGE(R27:Z27),1),""))</f>
        <v/>
      </c>
      <c r="AB27" s="177" t="n">
        <v>4.7</v>
      </c>
      <c r="AC27" s="42" t="n">
        <v>3.7</v>
      </c>
      <c r="AD27" s="5">
        <f>IF(MAESTRO!F27="","",IFERROR(AVERAGE(AB27:AC27),""))</f>
        <v/>
      </c>
      <c r="AE27" s="44">
        <f>IF(MAESTRO!F27="","",IFERROR(TRUNC(AVERAGE(P27,AA27,AD27),1),""))</f>
        <v/>
      </c>
      <c r="AF27" s="177" t="n"/>
      <c r="AG27" s="177" t="n">
        <v>23</v>
      </c>
      <c r="AH27" s="177" t="n">
        <v>23</v>
      </c>
      <c r="AI27" s="177">
        <f>IF(MAESTRO!F27="","",MAESTRO!F27)</f>
        <v/>
      </c>
      <c r="AJ27" s="178" t="n"/>
      <c r="AK27" s="61" t="n">
        <v>3.5</v>
      </c>
      <c r="AL27" s="61" t="n">
        <v>3.9</v>
      </c>
      <c r="AM27" s="91" t="n">
        <v>4.2</v>
      </c>
      <c r="AN27" s="61" t="n">
        <v>4.3</v>
      </c>
      <c r="AO27" s="61" t="n">
        <v>3.9</v>
      </c>
      <c r="AP27" s="61" t="n">
        <v>4.4</v>
      </c>
      <c r="AQ27" s="61" t="n">
        <v>4.1</v>
      </c>
      <c r="AR27" s="61" t="n">
        <v>3.5</v>
      </c>
      <c r="AS27" s="61" t="n">
        <v>4.7</v>
      </c>
      <c r="AT27" s="61" t="n">
        <v>4.5</v>
      </c>
      <c r="AU27" s="61" t="n">
        <v>4.5</v>
      </c>
      <c r="AV27" s="61" t="n">
        <v>5</v>
      </c>
      <c r="AW27" s="5">
        <f>IF(MAESTRO!F27="","",IFERROR(TRUNC(AVERAGE(AK27:AV27),1),""))</f>
        <v/>
      </c>
      <c r="AX27" s="22" t="n">
        <v>4</v>
      </c>
      <c r="AY27" s="92" t="n">
        <v>5</v>
      </c>
      <c r="AZ27" s="22" t="n">
        <v>4.3</v>
      </c>
      <c r="BA27" s="22" t="n">
        <v>4.7</v>
      </c>
      <c r="BB27" s="22" t="n">
        <v>3.8</v>
      </c>
      <c r="BC27" s="22" t="n">
        <v>3.1</v>
      </c>
      <c r="BD27" s="22" t="n">
        <v>4.1</v>
      </c>
      <c r="BE27" s="22" t="n">
        <v>4.5</v>
      </c>
      <c r="BF27" s="22" t="n">
        <v>4.4</v>
      </c>
      <c r="BG27" s="52" t="n">
        <v>4.5</v>
      </c>
      <c r="BH27" s="5">
        <f>IF(MAESTRO!F27="","",IFERROR(TRUNC(AVERAGE(AX27:BG27),1),""))</f>
        <v/>
      </c>
      <c r="BI27" s="22" t="n">
        <v>4.1</v>
      </c>
      <c r="BJ27" s="22" t="n">
        <v>4.4</v>
      </c>
      <c r="BK27" s="22">
        <f>IF(MAESTRO!F27="","",IFERROR(AVERAGE(BI27,BJ27),""))</f>
        <v/>
      </c>
      <c r="BL27" s="5">
        <f>IF(MAESTRO!F27="","",IFERROR(TRUNC(AVERAGE(AW27,BH27,BK27),1),""))</f>
        <v/>
      </c>
      <c r="BM27" s="177" t="n"/>
      <c r="BN27" s="177" t="n">
        <v>23</v>
      </c>
      <c r="BO27" s="177" t="n">
        <v>23</v>
      </c>
      <c r="BP27" s="177">
        <f>IF(MAESTRO!F27="","",MAESTRO!F27)</f>
        <v/>
      </c>
      <c r="BQ27" s="178" t="n"/>
      <c r="BR27" s="5" t="n">
        <v>3.1</v>
      </c>
      <c r="BS27" s="89" t="n">
        <v>3.4</v>
      </c>
      <c r="BT27" s="89" t="n">
        <v>4.3</v>
      </c>
      <c r="BU27" s="5" t="n">
        <v>4.5</v>
      </c>
      <c r="BV27" s="5" t="n">
        <v>4.3</v>
      </c>
      <c r="BW27" s="5" t="n">
        <v>4.1</v>
      </c>
      <c r="BX27" s="5" t="n">
        <v>3.6</v>
      </c>
      <c r="BY27" s="5" t="n">
        <v>3.2</v>
      </c>
      <c r="BZ27" s="5" t="n">
        <v>4.7</v>
      </c>
      <c r="CA27" s="5" t="n">
        <v>4.3</v>
      </c>
      <c r="CB27" s="5" t="n">
        <v>4.8</v>
      </c>
      <c r="CC27" s="5" t="n">
        <v>4.8</v>
      </c>
      <c r="CD27" s="5" t="n">
        <v>4.8</v>
      </c>
      <c r="CE27" s="5">
        <f>IF(MAESTRO!F27="","",IFERROR(TRUNC(AVERAGE(BR27:CD27),1),""))</f>
        <v/>
      </c>
      <c r="CF27" s="5" t="n">
        <v>4.2</v>
      </c>
      <c r="CG27" s="5" t="n">
        <v>3.1</v>
      </c>
      <c r="CH27" s="5" t="n">
        <v>3.6</v>
      </c>
      <c r="CI27" s="5" t="n">
        <v>4.8</v>
      </c>
      <c r="CJ27" s="5" t="n">
        <v>3.5</v>
      </c>
      <c r="CK27" s="5" t="n">
        <v>3.5</v>
      </c>
      <c r="CL27" s="5" t="n">
        <v>3.4</v>
      </c>
      <c r="CM27" s="5" t="n">
        <v>3.3</v>
      </c>
      <c r="CN27" s="5" t="n">
        <v>3.2</v>
      </c>
      <c r="CO27" s="5" t="n">
        <v>3.7</v>
      </c>
      <c r="CP27" s="5">
        <f>IF(MAESTRO!F27="","",IFERROR(TRUNC(AVERAGE(CF27:CO27),1),""))</f>
        <v/>
      </c>
      <c r="CQ27" s="5" t="n">
        <v>4.3</v>
      </c>
      <c r="CR27" s="5" t="n">
        <v>4.2</v>
      </c>
      <c r="CS27" s="5">
        <f>IF(MAESTRO!F27="","",IFERROR(AVERAGE(CQ27:CR27),""))</f>
        <v/>
      </c>
      <c r="CT27" s="5">
        <f>IF(MAESTRO!F27="","",IFERROR(TRUNC(AVERAGE(CE27,CP27,CS27),1),""))</f>
        <v/>
      </c>
      <c r="CU27" s="177" t="n"/>
      <c r="CV27" s="177"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v>3.4</v>
      </c>
      <c r="D28" s="5" t="n">
        <v>4.4</v>
      </c>
      <c r="E28" s="5" t="n">
        <v>3.3</v>
      </c>
      <c r="F28" s="5" t="n">
        <v>4.4</v>
      </c>
      <c r="G28" s="5" t="n">
        <v>3.5</v>
      </c>
      <c r="H28" s="5" t="n">
        <v>4.3</v>
      </c>
      <c r="I28" s="5" t="n">
        <v>3.2</v>
      </c>
      <c r="J28" s="5" t="n">
        <v>4.4</v>
      </c>
      <c r="K28" s="5" t="n">
        <v>4.1</v>
      </c>
      <c r="L28" s="5" t="n">
        <v>4.1</v>
      </c>
      <c r="M28" s="5" t="n">
        <v>3.1</v>
      </c>
      <c r="N28" s="5" t="n">
        <v>4.6</v>
      </c>
      <c r="O28" s="5" t="n">
        <v>3.6</v>
      </c>
      <c r="P28" s="5">
        <f>IF(MAESTRO!F28="","",IFERROR(TRUNC(AVERAGE(C28:O28),1),""))</f>
        <v/>
      </c>
      <c r="Q28" s="95" t="n">
        <v>24</v>
      </c>
      <c r="R28" s="22" t="n">
        <v>4</v>
      </c>
      <c r="S28" s="22" t="n">
        <v>4.2</v>
      </c>
      <c r="T28" s="22" t="n">
        <v>4.9</v>
      </c>
      <c r="U28" s="22" t="n">
        <v>3.9</v>
      </c>
      <c r="V28" s="22" t="n">
        <v>4.6</v>
      </c>
      <c r="W28" s="22" t="n">
        <v>4.7</v>
      </c>
      <c r="X28" s="22" t="n">
        <v>4.3</v>
      </c>
      <c r="Y28" s="22" t="n">
        <v>3.1</v>
      </c>
      <c r="Z28" s="22" t="n">
        <v>3.8</v>
      </c>
      <c r="AA28" s="45">
        <f>IF(MAESTRO!F28="","",IFERROR(TRUNC(AVERAGE(R28:Z28),1),""))</f>
        <v/>
      </c>
      <c r="AB28" s="177" t="n">
        <v>3.8</v>
      </c>
      <c r="AC28" s="42" t="n">
        <v>3.1</v>
      </c>
      <c r="AD28" s="5">
        <f>IF(MAESTRO!F28="","",IFERROR(AVERAGE(AB28:AC28),""))</f>
        <v/>
      </c>
      <c r="AE28" s="44">
        <f>IF(MAESTRO!F28="","",IFERROR(TRUNC(AVERAGE(P28,AA28,AD28),1),""))</f>
        <v/>
      </c>
      <c r="AF28" s="177" t="n"/>
      <c r="AG28" s="177" t="n">
        <v>24</v>
      </c>
      <c r="AH28" s="177" t="n">
        <v>24</v>
      </c>
      <c r="AI28" s="177">
        <f>IF(MAESTRO!F28="","",MAESTRO!F28)</f>
        <v/>
      </c>
      <c r="AJ28" s="178" t="n"/>
      <c r="AK28" s="61" t="n">
        <v>3</v>
      </c>
      <c r="AL28" s="61" t="n">
        <v>3.4</v>
      </c>
      <c r="AM28" s="91" t="n">
        <v>3.7</v>
      </c>
      <c r="AN28" s="61" t="n">
        <v>4.9</v>
      </c>
      <c r="AO28" s="61" t="n">
        <v>4.5</v>
      </c>
      <c r="AP28" s="61" t="n">
        <v>3.1</v>
      </c>
      <c r="AQ28" s="61" t="n">
        <v>3.4</v>
      </c>
      <c r="AR28" s="61" t="n">
        <v>3.8</v>
      </c>
      <c r="AS28" s="61" t="n">
        <v>4.2</v>
      </c>
      <c r="AT28" s="61" t="n">
        <v>4</v>
      </c>
      <c r="AU28" s="61" t="n">
        <v>3.7</v>
      </c>
      <c r="AV28" s="61" t="n">
        <v>4.3</v>
      </c>
      <c r="AW28" s="5">
        <f>IF(MAESTRO!F28="","",IFERROR(TRUNC(AVERAGE(AK28:AV28),1),""))</f>
        <v/>
      </c>
      <c r="AX28" s="22" t="n">
        <v>4.9</v>
      </c>
      <c r="AY28" s="92" t="n">
        <v>3.7</v>
      </c>
      <c r="AZ28" s="22" t="n">
        <v>3.5</v>
      </c>
      <c r="BA28" s="22" t="n">
        <v>4.2</v>
      </c>
      <c r="BB28" s="22" t="n">
        <v>4.7</v>
      </c>
      <c r="BC28" s="22" t="n">
        <v>4.1</v>
      </c>
      <c r="BD28" s="22" t="n">
        <v>4.8</v>
      </c>
      <c r="BE28" s="22" t="n">
        <v>3.7</v>
      </c>
      <c r="BF28" s="22" t="n">
        <v>3.7</v>
      </c>
      <c r="BG28" s="52" t="n">
        <v>4.6</v>
      </c>
      <c r="BH28" s="5">
        <f>IF(MAESTRO!F28="","",IFERROR(TRUNC(AVERAGE(AX28:BG28),1),""))</f>
        <v/>
      </c>
      <c r="BI28" s="22" t="n">
        <v>3.8</v>
      </c>
      <c r="BJ28" s="22" t="n">
        <v>4.7</v>
      </c>
      <c r="BK28" s="22">
        <f>IF(MAESTRO!F28="","",IFERROR(AVERAGE(BI28,BJ28),""))</f>
        <v/>
      </c>
      <c r="BL28" s="5">
        <f>IF(MAESTRO!F28="","",IFERROR(TRUNC(AVERAGE(AW28,BH28,BK28),1),""))</f>
        <v/>
      </c>
      <c r="BM28" s="177" t="n"/>
      <c r="BN28" s="177" t="n">
        <v>24</v>
      </c>
      <c r="BO28" s="177" t="n">
        <v>24</v>
      </c>
      <c r="BP28" s="177">
        <f>IF(MAESTRO!F28="","",MAESTRO!F28)</f>
        <v/>
      </c>
      <c r="BQ28" s="178" t="n"/>
      <c r="BR28" s="5" t="n">
        <v>3.7</v>
      </c>
      <c r="BS28" s="89" t="n">
        <v>4.5</v>
      </c>
      <c r="BT28" s="89" t="n">
        <v>3.8</v>
      </c>
      <c r="BU28" s="5" t="n">
        <v>4.2</v>
      </c>
      <c r="BV28" s="5" t="n">
        <v>3.2</v>
      </c>
      <c r="BW28" s="5" t="n">
        <v>4.1</v>
      </c>
      <c r="BX28" s="5" t="n">
        <v>4.6</v>
      </c>
      <c r="BY28" s="5" t="n">
        <v>3.2</v>
      </c>
      <c r="BZ28" s="5" t="n">
        <v>4.9</v>
      </c>
      <c r="CA28" s="5" t="n">
        <v>4.2</v>
      </c>
      <c r="CB28" s="5" t="n">
        <v>4.6</v>
      </c>
      <c r="CC28" s="5" t="n">
        <v>3.5</v>
      </c>
      <c r="CD28" s="5" t="n">
        <v>3.5</v>
      </c>
      <c r="CE28" s="5">
        <f>IF(MAESTRO!F28="","",IFERROR(TRUNC(AVERAGE(BR28:CD28),1),""))</f>
        <v/>
      </c>
      <c r="CF28" s="5" t="n">
        <v>4.6</v>
      </c>
      <c r="CG28" s="5" t="n">
        <v>3.5</v>
      </c>
      <c r="CH28" s="5" t="n">
        <v>4.5</v>
      </c>
      <c r="CI28" s="89" t="n">
        <v>4.9</v>
      </c>
      <c r="CJ28" s="5" t="n">
        <v>3.4</v>
      </c>
      <c r="CK28" s="5" t="n">
        <v>4.7</v>
      </c>
      <c r="CL28" s="5" t="n">
        <v>4.4</v>
      </c>
      <c r="CM28" s="5" t="n">
        <v>4</v>
      </c>
      <c r="CN28" s="5" t="n">
        <v>4</v>
      </c>
      <c r="CO28" s="5" t="n">
        <v>3.2</v>
      </c>
      <c r="CP28" s="5">
        <f>IF(MAESTRO!F28="","",IFERROR(TRUNC(AVERAGE(CF28:CO28),1),""))</f>
        <v/>
      </c>
      <c r="CQ28" s="5" t="n">
        <v>3.3</v>
      </c>
      <c r="CR28" s="5" t="n">
        <v>4.4</v>
      </c>
      <c r="CS28" s="5">
        <f>IF(MAESTRO!F28="","",IFERROR(AVERAGE(CQ28:CR28),""))</f>
        <v/>
      </c>
      <c r="CT28" s="5">
        <f>IF(MAESTRO!F28="","",IFERROR(TRUNC(AVERAGE(CE28,CP28,CS28),1),""))</f>
        <v/>
      </c>
      <c r="CU28" s="177" t="n"/>
      <c r="CV28" s="177"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v>4.7</v>
      </c>
      <c r="D29" s="5" t="n">
        <v>3.9</v>
      </c>
      <c r="E29" s="5" t="n">
        <v>3</v>
      </c>
      <c r="F29" s="5" t="n">
        <v>3.3</v>
      </c>
      <c r="G29" s="5" t="n">
        <v>4.3</v>
      </c>
      <c r="H29" s="5" t="n">
        <v>3.1</v>
      </c>
      <c r="I29" s="5" t="n">
        <v>3.4</v>
      </c>
      <c r="J29" s="5" t="n">
        <v>4</v>
      </c>
      <c r="K29" s="5" t="n">
        <v>3.5</v>
      </c>
      <c r="L29" s="5" t="n">
        <v>3.2</v>
      </c>
      <c r="M29" s="5" t="n">
        <v>3.3</v>
      </c>
      <c r="N29" s="5" t="n">
        <v>4.8</v>
      </c>
      <c r="O29" s="5" t="n">
        <v>4.4</v>
      </c>
      <c r="P29" s="5">
        <f>IF(MAESTRO!F29="","",IFERROR(TRUNC(AVERAGE(C29:O29),1),""))</f>
        <v/>
      </c>
      <c r="Q29" s="95" t="n">
        <v>25</v>
      </c>
      <c r="R29" s="22" t="n">
        <v>4.3</v>
      </c>
      <c r="S29" s="22" t="n">
        <v>3.4</v>
      </c>
      <c r="T29" s="22" t="n">
        <v>3.5</v>
      </c>
      <c r="U29" s="22" t="n">
        <v>4.6</v>
      </c>
      <c r="V29" s="22" t="n">
        <v>4.8</v>
      </c>
      <c r="W29" s="22" t="n">
        <v>4.6</v>
      </c>
      <c r="X29" s="22" t="n">
        <v>3.7</v>
      </c>
      <c r="Y29" s="22" t="n">
        <v>3.9</v>
      </c>
      <c r="Z29" s="22" t="n">
        <v>4.8</v>
      </c>
      <c r="AA29" s="45">
        <f>IF(MAESTRO!F29="","",IFERROR(TRUNC(AVERAGE(R29:Z29),1),""))</f>
        <v/>
      </c>
      <c r="AB29" s="177" t="n">
        <v>5</v>
      </c>
      <c r="AC29" s="42" t="n">
        <v>3.6</v>
      </c>
      <c r="AD29" s="5">
        <f>IF(MAESTRO!F29="","",IFERROR(AVERAGE(AB29:AC29),""))</f>
        <v/>
      </c>
      <c r="AE29" s="44">
        <f>IF(MAESTRO!F29="","",IFERROR(TRUNC(AVERAGE(P29,AA29,AD29),1),""))</f>
        <v/>
      </c>
      <c r="AF29" s="177" t="n"/>
      <c r="AG29" s="177" t="n">
        <v>25</v>
      </c>
      <c r="AH29" s="177" t="n">
        <v>25</v>
      </c>
      <c r="AI29" s="177">
        <f>IF(MAESTRO!F29="","",MAESTRO!F29)</f>
        <v/>
      </c>
      <c r="AJ29" s="178" t="n"/>
      <c r="AK29" s="61" t="n">
        <v>3.9</v>
      </c>
      <c r="AL29" s="61" t="n">
        <v>4.7</v>
      </c>
      <c r="AM29" s="91" t="n">
        <v>4.1</v>
      </c>
      <c r="AN29" s="61" t="n">
        <v>3.2</v>
      </c>
      <c r="AO29" s="61" t="n">
        <v>3.3</v>
      </c>
      <c r="AP29" s="61" t="n">
        <v>3.6</v>
      </c>
      <c r="AQ29" s="61" t="n">
        <v>3.8</v>
      </c>
      <c r="AR29" s="61" t="n">
        <v>3.2</v>
      </c>
      <c r="AS29" s="61" t="n">
        <v>3.1</v>
      </c>
      <c r="AT29" s="61" t="n">
        <v>4.5</v>
      </c>
      <c r="AU29" s="61" t="n">
        <v>3.5</v>
      </c>
      <c r="AV29" s="61" t="n">
        <v>4.6</v>
      </c>
      <c r="AW29" s="5">
        <f>IF(MAESTRO!F29="","",IFERROR(TRUNC(AVERAGE(AK29:AV29),1),""))</f>
        <v/>
      </c>
      <c r="AX29" s="63" t="n">
        <v>3.6</v>
      </c>
      <c r="AY29" s="92" t="n">
        <v>3.8</v>
      </c>
      <c r="AZ29" s="92" t="n">
        <v>4.1</v>
      </c>
      <c r="BA29" s="92" t="n">
        <v>4.9</v>
      </c>
      <c r="BB29" s="92" t="n">
        <v>3.8</v>
      </c>
      <c r="BC29" s="63" t="n">
        <v>3.1</v>
      </c>
      <c r="BD29" s="63" t="n">
        <v>3</v>
      </c>
      <c r="BE29" s="63" t="n">
        <v>3.6</v>
      </c>
      <c r="BF29" s="63" t="n">
        <v>3.3</v>
      </c>
      <c r="BG29" s="52" t="n">
        <v>4.7</v>
      </c>
      <c r="BH29" s="5">
        <f>IF(MAESTRO!F29="","",IFERROR(TRUNC(AVERAGE(AX29:BG29),1),""))</f>
        <v/>
      </c>
      <c r="BI29" s="22" t="n">
        <v>4.4</v>
      </c>
      <c r="BJ29" s="22" t="n">
        <v>4.2</v>
      </c>
      <c r="BK29" s="22">
        <f>IF(MAESTRO!F29="","",IFERROR(AVERAGE(BI29,BJ29),""))</f>
        <v/>
      </c>
      <c r="BL29" s="5">
        <f>IF(MAESTRO!F29="","",IFERROR(TRUNC(AVERAGE(AW29,BH29,BK29),1),""))</f>
        <v/>
      </c>
      <c r="BM29" s="177" t="n"/>
      <c r="BN29" s="177" t="n">
        <v>25</v>
      </c>
      <c r="BO29" s="177" t="n">
        <v>25</v>
      </c>
      <c r="BP29" s="177">
        <f>IF(MAESTRO!F29="","",MAESTRO!F29)</f>
        <v/>
      </c>
      <c r="BQ29" s="178" t="n"/>
      <c r="BR29" s="5" t="n">
        <v>4.7</v>
      </c>
      <c r="BS29" s="89" t="n">
        <v>4.1</v>
      </c>
      <c r="BT29" s="89" t="n">
        <v>4.1</v>
      </c>
      <c r="BU29" s="5" t="n">
        <v>3.9</v>
      </c>
      <c r="BV29" s="5" t="n">
        <v>4.9</v>
      </c>
      <c r="BW29" s="5" t="n">
        <v>4.8</v>
      </c>
      <c r="BX29" s="5" t="n">
        <v>3.7</v>
      </c>
      <c r="BY29" s="5" t="n">
        <v>3.8</v>
      </c>
      <c r="BZ29" s="5" t="n">
        <v>3.2</v>
      </c>
      <c r="CA29" s="5" t="n">
        <v>3.4</v>
      </c>
      <c r="CB29" s="5" t="n">
        <v>3.1</v>
      </c>
      <c r="CC29" s="5" t="n">
        <v>3.6</v>
      </c>
      <c r="CD29" s="5" t="n">
        <v>4.9</v>
      </c>
      <c r="CE29" s="5">
        <f>IF(MAESTRO!F29="","",IFERROR(TRUNC(AVERAGE(BR29:CD29),1),""))</f>
        <v/>
      </c>
      <c r="CF29" s="5" t="n">
        <v>3.3</v>
      </c>
      <c r="CG29" s="5" t="n">
        <v>3.3</v>
      </c>
      <c r="CH29" s="5" t="n">
        <v>3.2</v>
      </c>
      <c r="CI29" s="89" t="n">
        <v>3.2</v>
      </c>
      <c r="CJ29" s="5" t="n">
        <v>4.8</v>
      </c>
      <c r="CK29" s="5" t="n">
        <v>4</v>
      </c>
      <c r="CL29" s="5" t="n">
        <v>4.4</v>
      </c>
      <c r="CM29" s="5" t="n">
        <v>4.1</v>
      </c>
      <c r="CN29" s="5" t="n">
        <v>3.2</v>
      </c>
      <c r="CO29" s="5" t="n">
        <v>3.9</v>
      </c>
      <c r="CP29" s="5">
        <f>IF(MAESTRO!F29="","",IFERROR(TRUNC(AVERAGE(CF29:CO29),1),""))</f>
        <v/>
      </c>
      <c r="CQ29" s="5" t="n">
        <v>3.4</v>
      </c>
      <c r="CR29" s="5" t="n">
        <v>4.6</v>
      </c>
      <c r="CS29" s="5">
        <f>IF(MAESTRO!F29="","",IFERROR(AVERAGE(CQ29:CR29),""))</f>
        <v/>
      </c>
      <c r="CT29" s="5">
        <f>IF(MAESTRO!F29="","",IFERROR(TRUNC(AVERAGE(CE29,CP29,CS29),1),""))</f>
        <v/>
      </c>
      <c r="CU29" s="177" t="n"/>
      <c r="CV29" s="177"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95" t="n">
        <v>26</v>
      </c>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v>26</v>
      </c>
      <c r="AH30" s="177" t="n">
        <v>26</v>
      </c>
      <c r="AI30" s="177">
        <f>IF(MAESTRO!F30="","",MAESTRO!F30)</f>
        <v/>
      </c>
      <c r="AJ30" s="178" t="n"/>
      <c r="AK30" s="91" t="n"/>
      <c r="AL30" s="91" t="n"/>
      <c r="AM30" s="91" t="n"/>
      <c r="AN30" s="91" t="n"/>
      <c r="AO30" s="9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v>26</v>
      </c>
      <c r="BO30" s="177" t="n">
        <v>26</v>
      </c>
      <c r="BP30" s="177">
        <f>IF(MAESTRO!F30="","",MAESTRO!F30)</f>
        <v/>
      </c>
      <c r="BQ30" s="178" t="n"/>
      <c r="BR30" s="5"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7"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v>4.7</v>
      </c>
      <c r="D31" s="5" t="n"/>
      <c r="E31" s="5" t="n"/>
      <c r="F31" s="5" t="n"/>
      <c r="G31" s="5" t="n"/>
      <c r="H31" s="5" t="n"/>
      <c r="I31" s="5" t="n"/>
      <c r="J31" s="5" t="n"/>
      <c r="K31" s="5" t="n"/>
      <c r="L31" s="5" t="n"/>
      <c r="M31" s="5" t="n"/>
      <c r="N31" s="5" t="n"/>
      <c r="O31" s="5" t="n"/>
      <c r="P31" s="5">
        <f>IF(MAESTRO!F31="","",IFERROR(TRUNC(AVERAGE(C31:O31),1),""))</f>
        <v/>
      </c>
      <c r="Q31" s="95" t="n">
        <v>27</v>
      </c>
      <c r="R31" s="22" t="n">
        <v>4.7</v>
      </c>
      <c r="S31" s="22"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v>27</v>
      </c>
      <c r="AH31" s="177" t="n">
        <v>27</v>
      </c>
      <c r="AI31" s="177">
        <f>IF(MAESTRO!F31="","",MAESTRO!F31)</f>
        <v/>
      </c>
      <c r="AJ31" s="178" t="n"/>
      <c r="AK31" s="91" t="n"/>
      <c r="AL31" s="91" t="n"/>
      <c r="AM31" s="91" t="n"/>
      <c r="AN31" s="91" t="n"/>
      <c r="AO31" s="9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v>27</v>
      </c>
      <c r="BO31" s="177" t="n">
        <v>27</v>
      </c>
      <c r="BP31" s="177">
        <f>IF(MAESTRO!F31="","",MAESTRO!F31)</f>
        <v/>
      </c>
      <c r="BQ31" s="178" t="n"/>
      <c r="BR31" s="5"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7"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v>4</v>
      </c>
      <c r="D32" s="5" t="n"/>
      <c r="E32" s="5" t="n"/>
      <c r="F32" s="5" t="n"/>
      <c r="G32" s="5" t="n"/>
      <c r="H32" s="5" t="n"/>
      <c r="I32" s="5" t="n"/>
      <c r="J32" s="5" t="n"/>
      <c r="K32" s="5" t="n"/>
      <c r="L32" s="5" t="n"/>
      <c r="M32" s="5" t="n"/>
      <c r="N32" s="5" t="n"/>
      <c r="O32" s="5" t="n"/>
      <c r="P32" s="5">
        <f>IF(MAESTRO!F32="","",IFERROR(TRUNC(AVERAGE(C32:O32),1),""))</f>
        <v/>
      </c>
      <c r="Q32" s="95" t="n">
        <v>28</v>
      </c>
      <c r="R32" s="22" t="n"/>
      <c r="S32" s="22"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v>28</v>
      </c>
      <c r="AH32" s="177" t="n">
        <v>28</v>
      </c>
      <c r="AI32" s="177">
        <f>IF(MAESTRO!F32="","",MAESTRO!F32)</f>
        <v/>
      </c>
      <c r="AJ32" s="178" t="n"/>
      <c r="AK32" s="91" t="n"/>
      <c r="AL32" s="91" t="n"/>
      <c r="AM32" s="91" t="n"/>
      <c r="AN32" s="91" t="n"/>
      <c r="AO32" s="9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v>28</v>
      </c>
      <c r="BO32" s="177" t="n">
        <v>28</v>
      </c>
      <c r="BP32" s="177">
        <f>IF(MAESTRO!F32="","",MAESTRO!F32)</f>
        <v/>
      </c>
      <c r="BQ32" s="178" t="n"/>
      <c r="BR32" s="5"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7"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v>4.7</v>
      </c>
      <c r="D33" s="5" t="n"/>
      <c r="E33" s="5" t="n"/>
      <c r="F33" s="5" t="n"/>
      <c r="G33" s="5" t="n"/>
      <c r="H33" s="5" t="n"/>
      <c r="I33" s="5" t="n"/>
      <c r="J33" s="5" t="n"/>
      <c r="K33" s="5" t="n"/>
      <c r="L33" s="5" t="n"/>
      <c r="M33" s="5" t="n"/>
      <c r="N33" s="5" t="n"/>
      <c r="O33" s="5" t="n"/>
      <c r="P33" s="5">
        <f>IF(MAESTRO!F33="","",IFERROR(TRUNC(AVERAGE(C33:O33),1),""))</f>
        <v/>
      </c>
      <c r="Q33" s="95" t="n">
        <v>29</v>
      </c>
      <c r="R33" s="22" t="n">
        <v>4.7</v>
      </c>
      <c r="S33" s="22"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v>29</v>
      </c>
      <c r="AH33" s="177" t="n">
        <v>29</v>
      </c>
      <c r="AI33" s="177">
        <f>IF(MAESTRO!F33="","",MAESTRO!F33)</f>
        <v/>
      </c>
      <c r="AJ33" s="178" t="n"/>
      <c r="AK33" s="91" t="n"/>
      <c r="AL33" s="91" t="n"/>
      <c r="AM33" s="91" t="n"/>
      <c r="AN33" s="91" t="n"/>
      <c r="AO33" s="9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v>29</v>
      </c>
      <c r="BO33" s="177" t="n">
        <v>29</v>
      </c>
      <c r="BP33" s="177">
        <f>IF(MAESTRO!F33="","",MAESTRO!F33)</f>
        <v/>
      </c>
      <c r="BQ33" s="178" t="n"/>
      <c r="BR33" s="5"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7"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5" t="n">
        <v>30</v>
      </c>
      <c r="R34" s="22" t="n"/>
      <c r="S34" s="22"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v>30</v>
      </c>
      <c r="AH34" s="177" t="n">
        <v>30</v>
      </c>
      <c r="AI34" s="177">
        <f>IF(MAESTRO!F34="","",MAESTRO!F34)</f>
        <v/>
      </c>
      <c r="AJ34" s="178" t="n"/>
      <c r="AK34" s="91" t="n"/>
      <c r="AL34" s="91" t="n"/>
      <c r="AM34" s="91" t="n"/>
      <c r="AN34" s="91" t="n"/>
      <c r="AO34" s="9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v>30</v>
      </c>
      <c r="BO34" s="177" t="n">
        <v>30</v>
      </c>
      <c r="BP34" s="177">
        <f>IF(MAESTRO!F34="","",MAESTRO!F34)</f>
        <v/>
      </c>
      <c r="BQ34" s="178" t="n"/>
      <c r="BR34" s="5"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7"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v>4.9</v>
      </c>
      <c r="D35" s="5" t="n"/>
      <c r="E35" s="5" t="n"/>
      <c r="F35" s="5" t="n"/>
      <c r="G35" s="5" t="n"/>
      <c r="H35" s="5" t="n"/>
      <c r="I35" s="5" t="n"/>
      <c r="J35" s="5" t="n"/>
      <c r="K35" s="5" t="n"/>
      <c r="L35" s="5" t="n"/>
      <c r="M35" s="5" t="n"/>
      <c r="N35" s="5" t="n"/>
      <c r="O35" s="5" t="n"/>
      <c r="P35" s="5">
        <f>IF(MAESTRO!F35="","",IFERROR(TRUNC(AVERAGE(C35:O35),1),""))</f>
        <v/>
      </c>
      <c r="Q35" s="95" t="n">
        <v>31</v>
      </c>
      <c r="R35" s="22" t="n">
        <v>4.9</v>
      </c>
      <c r="S35" s="22"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v>31</v>
      </c>
      <c r="AH35" s="177" t="n">
        <v>31</v>
      </c>
      <c r="AI35" s="177">
        <f>IF(MAESTRO!F35="","",MAESTRO!F35)</f>
        <v/>
      </c>
      <c r="AJ35" s="178" t="n"/>
      <c r="AK35" s="91" t="n"/>
      <c r="AL35" s="91" t="n"/>
      <c r="AM35" s="91" t="n"/>
      <c r="AN35" s="91" t="n"/>
      <c r="AO35" s="9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v>31</v>
      </c>
      <c r="BO35" s="177" t="n">
        <v>31</v>
      </c>
      <c r="BP35" s="177">
        <f>IF(MAESTRO!F35="","",MAESTRO!F35)</f>
        <v/>
      </c>
      <c r="BQ35" s="178" t="n"/>
      <c r="BR35" s="5"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7"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v>4</v>
      </c>
      <c r="D36" s="5" t="n"/>
      <c r="E36" s="5" t="n"/>
      <c r="F36" s="5" t="n"/>
      <c r="G36" s="5" t="n"/>
      <c r="H36" s="5" t="n"/>
      <c r="I36" s="5" t="n"/>
      <c r="J36" s="5" t="n"/>
      <c r="K36" s="5" t="n"/>
      <c r="L36" s="5" t="n"/>
      <c r="M36" s="5" t="n"/>
      <c r="N36" s="5" t="n"/>
      <c r="O36" s="5" t="n"/>
      <c r="P36" s="5">
        <f>IF(MAESTRO!F36="","",IFERROR(TRUNC(AVERAGE(C36:O36),1),""))</f>
        <v/>
      </c>
      <c r="Q36" s="95" t="n">
        <v>32</v>
      </c>
      <c r="R36" s="22" t="n"/>
      <c r="S36" s="22"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v>32</v>
      </c>
      <c r="AH36" s="177" t="n">
        <v>32</v>
      </c>
      <c r="AI36" s="177">
        <f>IF(MAESTRO!F36="","",MAESTRO!F36)</f>
        <v/>
      </c>
      <c r="AJ36" s="178" t="n"/>
      <c r="AK36" s="91" t="n"/>
      <c r="AL36" s="91" t="n"/>
      <c r="AM36" s="91" t="n"/>
      <c r="AN36" s="91" t="n"/>
      <c r="AO36" s="9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v>32</v>
      </c>
      <c r="BO36" s="177" t="n">
        <v>32</v>
      </c>
      <c r="BP36" s="177">
        <f>IF(MAESTRO!F36="","",MAESTRO!F36)</f>
        <v/>
      </c>
      <c r="BQ36" s="178" t="n"/>
      <c r="BR36" s="5"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7"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v>4.9</v>
      </c>
      <c r="D37" s="5" t="n"/>
      <c r="E37" s="5" t="n"/>
      <c r="F37" s="5" t="n"/>
      <c r="G37" s="5" t="n"/>
      <c r="H37" s="5" t="n"/>
      <c r="I37" s="5" t="n"/>
      <c r="J37" s="5" t="n"/>
      <c r="K37" s="5" t="n"/>
      <c r="L37" s="5" t="n"/>
      <c r="M37" s="5" t="n"/>
      <c r="N37" s="5" t="n"/>
      <c r="O37" s="5" t="n"/>
      <c r="P37" s="5">
        <f>IF(MAESTRO!F37="","",IFERROR(TRUNC(AVERAGE(C37:O37),1),""))</f>
        <v/>
      </c>
      <c r="Q37" s="95" t="n">
        <v>33</v>
      </c>
      <c r="R37" s="22" t="n"/>
      <c r="S37" s="22"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v>33</v>
      </c>
      <c r="AH37" s="177" t="n">
        <v>33</v>
      </c>
      <c r="AI37" s="177">
        <f>IF(MAESTRO!F37="","",MAESTRO!F37)</f>
        <v/>
      </c>
      <c r="AJ37" s="178" t="n"/>
      <c r="AK37" s="91" t="n"/>
      <c r="AL37" s="91" t="n"/>
      <c r="AM37" s="91" t="n"/>
      <c r="AN37" s="91" t="n"/>
      <c r="AO37" s="9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v>33</v>
      </c>
      <c r="BO37" s="177" t="n">
        <v>33</v>
      </c>
      <c r="BP37" s="177">
        <f>IF(MAESTRO!F37="","",MAESTRO!F37)</f>
        <v/>
      </c>
      <c r="BQ37" s="178" t="n"/>
      <c r="BR37" s="5"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7"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5" t="n">
        <v>34</v>
      </c>
      <c r="R38" s="22" t="n">
        <v>4.7</v>
      </c>
      <c r="S38" s="22"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v>34</v>
      </c>
      <c r="AH38" s="177" t="n">
        <v>34</v>
      </c>
      <c r="AI38" s="177">
        <f>IF(MAESTRO!F38="","",MAESTRO!F38)</f>
        <v/>
      </c>
      <c r="AJ38" s="178" t="n"/>
      <c r="AK38" s="91" t="n"/>
      <c r="AL38" s="91" t="n"/>
      <c r="AM38" s="91" t="n"/>
      <c r="AN38" s="91" t="n"/>
      <c r="AO38" s="9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v>34</v>
      </c>
      <c r="BO38" s="177" t="n">
        <v>34</v>
      </c>
      <c r="BP38" s="177">
        <f>IF(MAESTRO!F38="","",MAESTRO!F38)</f>
        <v/>
      </c>
      <c r="BQ38" s="178" t="n"/>
      <c r="BR38" s="5"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7"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5" t="n">
        <v>35</v>
      </c>
      <c r="R39" s="22" t="n">
        <v>4.7</v>
      </c>
      <c r="S39" s="22"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v>35</v>
      </c>
      <c r="AH39" s="177" t="n">
        <v>35</v>
      </c>
      <c r="AI39" s="177">
        <f>IF(MAESTRO!F39="","",MAESTRO!F39)</f>
        <v/>
      </c>
      <c r="AJ39" s="178" t="n"/>
      <c r="AK39" s="91" t="n"/>
      <c r="AL39" s="91" t="n"/>
      <c r="AM39" s="91" t="n"/>
      <c r="AN39" s="91" t="n"/>
      <c r="AO39" s="9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v>35</v>
      </c>
      <c r="BO39" s="177" t="n">
        <v>35</v>
      </c>
      <c r="BP39" s="177">
        <f>IF(MAESTRO!F39="","",MAESTRO!F39)</f>
        <v/>
      </c>
      <c r="BQ39" s="178" t="n"/>
      <c r="BR39" s="5"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7"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5" t="n">
        <v>36</v>
      </c>
      <c r="R40" s="22" t="n"/>
      <c r="S40" s="22"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v>36</v>
      </c>
      <c r="AH40" s="177" t="n">
        <v>36</v>
      </c>
      <c r="AI40" s="177">
        <f>IF(MAESTRO!F40="","",MAESTRO!F40)</f>
        <v/>
      </c>
      <c r="AJ40" s="178" t="n"/>
      <c r="AK40" s="91" t="n"/>
      <c r="AL40" s="91" t="n"/>
      <c r="AM40" s="91" t="n"/>
      <c r="AN40" s="91" t="n"/>
      <c r="AO40" s="9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v>36</v>
      </c>
      <c r="BO40" s="177" t="n">
        <v>36</v>
      </c>
      <c r="BP40" s="177">
        <f>IF(MAESTRO!F40="","",MAESTRO!F40)</f>
        <v/>
      </c>
      <c r="BQ40" s="178" t="n"/>
      <c r="BR40" s="5"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7"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189" t="inlineStr">
        <is>
          <t xml:space="preserve">Vocabulario Valores </t>
        </is>
      </c>
      <c r="D41" s="189" t="inlineStr">
        <is>
          <t>Conectores- Taller</t>
        </is>
      </c>
      <c r="E41" s="189" t="n"/>
      <c r="F41" s="189" t="n"/>
      <c r="G41" s="189" t="n"/>
      <c r="H41" s="189" t="n"/>
      <c r="I41" s="189" t="n"/>
      <c r="J41" s="189" t="n"/>
      <c r="K41" s="189" t="n"/>
      <c r="L41" s="189" t="n"/>
      <c r="M41" s="189" t="n"/>
      <c r="N41" s="189" t="n"/>
      <c r="O41" s="189" t="n"/>
      <c r="P41" s="5">
        <f>IF(MAESTRO!F41="","",IFERROR(TRUNC(AVERAGE(C41:O41),1),""))</f>
        <v/>
      </c>
      <c r="Q41" s="95" t="n">
        <v>37</v>
      </c>
      <c r="R41" s="22" t="n"/>
      <c r="S41" s="22"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v>37</v>
      </c>
      <c r="AH41" s="177" t="n">
        <v>37</v>
      </c>
      <c r="AI41" s="177">
        <f>IF(MAESTRO!F41="","",MAESTRO!F41)</f>
        <v/>
      </c>
      <c r="AJ41" s="178" t="n"/>
      <c r="AK41" s="91" t="n"/>
      <c r="AL41" s="91" t="n"/>
      <c r="AM41" s="91" t="n"/>
      <c r="AN41" s="91" t="n"/>
      <c r="AO41" s="9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v>37</v>
      </c>
      <c r="BO41" s="177" t="n">
        <v>37</v>
      </c>
      <c r="BP41" s="177">
        <f>IF(MAESTRO!F41="","",MAESTRO!F41)</f>
        <v/>
      </c>
      <c r="BQ41" s="178" t="n"/>
      <c r="BR41" s="5"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7"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180" t="n"/>
      <c r="D42" s="180" t="n"/>
      <c r="E42" s="180" t="n"/>
      <c r="F42" s="180" t="n"/>
      <c r="G42" s="180" t="n"/>
      <c r="H42" s="180" t="n"/>
      <c r="I42" s="180" t="n"/>
      <c r="J42" s="180" t="n"/>
      <c r="K42" s="180" t="n"/>
      <c r="L42" s="180" t="n"/>
      <c r="M42" s="180" t="n"/>
      <c r="N42" s="180" t="n"/>
      <c r="O42" s="180" t="n"/>
      <c r="P42" s="5" t="n"/>
      <c r="Q42" s="95" t="n">
        <v>38</v>
      </c>
      <c r="R42" s="313" t="inlineStr">
        <is>
          <t xml:space="preserve">Pregunta de Analisis </t>
        </is>
      </c>
      <c r="S42" s="281" t="inlineStr">
        <is>
          <t>Tarea 19</t>
        </is>
      </c>
      <c r="T42" s="281" t="inlineStr">
        <is>
          <t>Tarea 20</t>
        </is>
      </c>
      <c r="U42" s="281" t="inlineStr">
        <is>
          <t>Tarea 21</t>
        </is>
      </c>
      <c r="V42" s="281" t="inlineStr">
        <is>
          <t>Tarea 22</t>
        </is>
      </c>
      <c r="W42" s="281" t="inlineStr">
        <is>
          <t>Tarea 23</t>
        </is>
      </c>
      <c r="X42" s="286" t="inlineStr">
        <is>
          <t>Tarea 24</t>
        </is>
      </c>
      <c r="Y42" s="286" t="inlineStr">
        <is>
          <t>Tarea 25</t>
        </is>
      </c>
      <c r="Z42" s="286" t="inlineStr">
        <is>
          <t>Tarea 26</t>
        </is>
      </c>
      <c r="AA42" s="45" t="n"/>
      <c r="AB42" s="309" t="inlineStr">
        <is>
          <t>Tarea 28</t>
        </is>
      </c>
      <c r="AC42" s="286" t="inlineStr">
        <is>
          <t>Tarea 29</t>
        </is>
      </c>
      <c r="AD42" s="5" t="n"/>
      <c r="AE42" s="44" t="n"/>
      <c r="AF42" s="177" t="n"/>
      <c r="AG42" s="177" t="n">
        <v>38</v>
      </c>
      <c r="AH42" s="177" t="n">
        <v>38</v>
      </c>
      <c r="AI42" s="177">
        <f>IF(MAESTRO!F42="","",MAESTRO!F42)</f>
        <v/>
      </c>
      <c r="AJ42" s="178" t="n"/>
      <c r="AK42" s="284" t="inlineStr">
        <is>
          <t>Tarea 37</t>
        </is>
      </c>
      <c r="AL42" s="284" t="inlineStr">
        <is>
          <t>Tarea 38</t>
        </is>
      </c>
      <c r="AM42" s="284" t="inlineStr">
        <is>
          <t>Tarea 39</t>
        </is>
      </c>
      <c r="AN42" s="284" t="inlineStr">
        <is>
          <t>Tarea 40</t>
        </is>
      </c>
      <c r="AO42" s="284" t="inlineStr">
        <is>
          <t>Tarea 41</t>
        </is>
      </c>
      <c r="AP42" s="290" t="inlineStr">
        <is>
          <t>Tarea 42</t>
        </is>
      </c>
      <c r="AQ42" s="290"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IF(MAESTRO!F42="","",MAESTRO!F42)</f>
        <v/>
      </c>
      <c r="BQ42" s="178" t="n"/>
      <c r="BR42" s="287" t="inlineStr">
        <is>
          <t>Tarea 70</t>
        </is>
      </c>
      <c r="BS42" s="281" t="inlineStr">
        <is>
          <t>Tarea 71</t>
        </is>
      </c>
      <c r="BT42" s="281" t="inlineStr">
        <is>
          <t>Tarea 72</t>
        </is>
      </c>
      <c r="BU42" s="287" t="inlineStr">
        <is>
          <t>Tarea 73</t>
        </is>
      </c>
      <c r="BV42" s="287"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5">
        <f>IF(MAESTRO!F42="","",IFERROR(TRUNC(AVERAGE(BR42:CD42),1),""))</f>
        <v/>
      </c>
      <c r="CF42" s="281" t="inlineStr">
        <is>
          <t>Tarea 84</t>
        </is>
      </c>
      <c r="CG42" s="281" t="inlineStr">
        <is>
          <t>Tarea 85</t>
        </is>
      </c>
      <c r="CH42" s="281" t="inlineStr">
        <is>
          <t>Tarea 86</t>
        </is>
      </c>
      <c r="CI42" s="281" t="inlineStr">
        <is>
          <t>Tarea 87</t>
        </is>
      </c>
      <c r="CJ42" s="287" t="inlineStr">
        <is>
          <t>Tarea 88</t>
        </is>
      </c>
      <c r="CK42" s="287" t="inlineStr">
        <is>
          <t>Tarea 89</t>
        </is>
      </c>
      <c r="CL42" s="287" t="inlineStr">
        <is>
          <t>Tarea 90</t>
        </is>
      </c>
      <c r="CM42" s="287" t="inlineStr">
        <is>
          <t>Tarea 91</t>
        </is>
      </c>
      <c r="CN42" s="287" t="inlineStr">
        <is>
          <t>Tarea 92</t>
        </is>
      </c>
      <c r="CO42" s="287" t="inlineStr">
        <is>
          <t>Tarea 93</t>
        </is>
      </c>
      <c r="CP42" s="5" t="n"/>
      <c r="CQ42" s="287" t="inlineStr">
        <is>
          <t>Tarea 95</t>
        </is>
      </c>
      <c r="CR42" s="287" t="inlineStr">
        <is>
          <t>Tarea 96</t>
        </is>
      </c>
      <c r="CS42" s="5" t="n"/>
      <c r="CT42" s="5" t="n"/>
      <c r="CU42" s="177" t="n"/>
      <c r="CV42" s="177"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180" t="n"/>
      <c r="D43" s="180" t="n"/>
      <c r="E43" s="180" t="n"/>
      <c r="F43" s="180" t="n"/>
      <c r="G43" s="180" t="n"/>
      <c r="H43" s="180" t="n"/>
      <c r="I43" s="180" t="n"/>
      <c r="J43" s="180" t="n"/>
      <c r="K43" s="180" t="n"/>
      <c r="L43" s="180" t="n"/>
      <c r="M43" s="180" t="n"/>
      <c r="N43" s="180" t="n"/>
      <c r="O43" s="180" t="n"/>
      <c r="P43" s="5" t="n"/>
      <c r="Q43" s="95"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7"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180" t="n"/>
      <c r="D44" s="180" t="n"/>
      <c r="E44" s="180" t="n"/>
      <c r="F44" s="180" t="n"/>
      <c r="G44" s="180" t="n"/>
      <c r="H44" s="180" t="n"/>
      <c r="I44" s="180" t="n"/>
      <c r="J44" s="180" t="n"/>
      <c r="K44" s="180" t="n"/>
      <c r="L44" s="180" t="n"/>
      <c r="M44" s="180" t="n"/>
      <c r="N44" s="180" t="n"/>
      <c r="O44" s="180" t="n"/>
      <c r="P44" s="5" t="n"/>
      <c r="Q44" s="95"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7"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7"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7"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7"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7" t="n">
        <v>44</v>
      </c>
      <c r="CZ48" s="196" t="n"/>
      <c r="DA48" s="196" t="n"/>
      <c r="DB48" s="196" t="n"/>
      <c r="DC48" s="196" t="n"/>
      <c r="DD48" s="196" t="n"/>
      <c r="DE48" s="196" t="n"/>
      <c r="DF48" s="196" t="n"/>
      <c r="DG48" s="196" t="n"/>
      <c r="DH48" s="196" t="n"/>
      <c r="DI48" s="196" t="n"/>
      <c r="DJ48" s="196" t="n"/>
      <c r="DK48" s="196" t="n"/>
      <c r="DL48" s="196" t="n"/>
      <c r="DM48" s="196" t="n"/>
      <c r="EA48" s="196" t="n"/>
      <c r="EB48" s="196" t="n"/>
    </row>
    <row r="49" ht="15" customHeight="1" s="176">
      <c r="D49" s="196" t="n"/>
      <c r="E49" s="196" t="n"/>
      <c r="F49" s="196" t="n"/>
      <c r="G49" s="196" t="n"/>
      <c r="H49" s="196" t="n"/>
      <c r="I49" s="196" t="n"/>
      <c r="J49" s="196" t="n"/>
      <c r="K49" s="196" t="n"/>
      <c r="L49" s="196" t="n"/>
      <c r="M49" s="196" t="n"/>
      <c r="N49" s="196" t="n"/>
      <c r="O49" s="196" t="n"/>
      <c r="P49" s="196" t="n"/>
      <c r="Q49" s="196" t="n"/>
      <c r="AE49" s="196" t="n"/>
      <c r="AF49" s="196" t="n"/>
    </row>
  </sheetData>
  <mergeCells count="262">
    <mergeCell ref="BP36:BQ36"/>
    <mergeCell ref="EA3:EA4"/>
    <mergeCell ref="AI13:AJ13"/>
    <mergeCell ref="CG42:CG48"/>
    <mergeCell ref="AX3:BG3"/>
    <mergeCell ref="AO42:AO48"/>
    <mergeCell ref="AQ42:AQ48"/>
    <mergeCell ref="BH3:BH4"/>
    <mergeCell ref="CX41:CY41"/>
    <mergeCell ref="BA42:BA48"/>
    <mergeCell ref="BC42:BC48"/>
    <mergeCell ref="CK42:CK48"/>
    <mergeCell ref="N41:N48"/>
    <mergeCell ref="EB3:EB4"/>
    <mergeCell ref="CX33:CY33"/>
    <mergeCell ref="DN3:DW3"/>
    <mergeCell ref="BE42:BE48"/>
    <mergeCell ref="BP22:BQ22"/>
    <mergeCell ref="S42:S48"/>
    <mergeCell ref="CX17:CY17"/>
    <mergeCell ref="BP12:BQ12"/>
    <mergeCell ref="EC3:ED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CX44:CY44"/>
    <mergeCell ref="BV42:BV48"/>
    <mergeCell ref="AP42:AP48"/>
    <mergeCell ref="CW3:CW4"/>
    <mergeCell ref="CX5:CY5"/>
    <mergeCell ref="BP31:BQ31"/>
    <mergeCell ref="BX42:BX48"/>
    <mergeCell ref="BP40:BQ40"/>
    <mergeCell ref="BP24:BQ24"/>
    <mergeCell ref="BI3:BJ4"/>
    <mergeCell ref="CQ3:CR4"/>
    <mergeCell ref="AT42:AT48"/>
    <mergeCell ref="E41:E48"/>
    <mergeCell ref="AV42:AV48"/>
    <mergeCell ref="AI5:AJ5"/>
    <mergeCell ref="CD42:CD48"/>
    <mergeCell ref="CX30:CY30"/>
    <mergeCell ref="CX45:CY45"/>
    <mergeCell ref="G41:G48"/>
    <mergeCell ref="DM3:DM4"/>
    <mergeCell ref="CE3:CE4"/>
    <mergeCell ref="AI48:AJ48"/>
    <mergeCell ref="AK3:AV3"/>
    <mergeCell ref="CX32:CY32"/>
    <mergeCell ref="DN2:ED2"/>
    <mergeCell ref="AI39:AJ39"/>
    <mergeCell ref="BP26:BQ26"/>
    <mergeCell ref="BF42:BF48"/>
    <mergeCell ref="AI29:AJ29"/>
    <mergeCell ref="B3:B4"/>
    <mergeCell ref="AI38:AJ38"/>
    <mergeCell ref="BP7:BQ7"/>
    <mergeCell ref="CX7:CY7"/>
    <mergeCell ref="CX47:CY47"/>
    <mergeCell ref="BP16:BQ16"/>
    <mergeCell ref="CX16:CY16"/>
    <mergeCell ref="CX31:CY31"/>
    <mergeCell ref="AI40:AJ40"/>
    <mergeCell ref="CF2:CV2"/>
    <mergeCell ref="BP18:BQ18"/>
    <mergeCell ref="CX18:CY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C42:CC48"/>
    <mergeCell ref="CX10:CY10"/>
    <mergeCell ref="AF3:AG4"/>
    <mergeCell ref="A1:P1"/>
    <mergeCell ref="AI7:AJ7"/>
    <mergeCell ref="AI16:AJ16"/>
    <mergeCell ref="BP20:BQ20"/>
    <mergeCell ref="CX34:CY34"/>
    <mergeCell ref="BP28:BQ28"/>
    <mergeCell ref="CX3:CY4"/>
    <mergeCell ref="J41:J48"/>
    <mergeCell ref="AY42:AY48"/>
    <mergeCell ref="L41:L48"/>
    <mergeCell ref="BP13:BQ13"/>
    <mergeCell ref="AI43:AJ43"/>
    <mergeCell ref="BP44:BQ44"/>
    <mergeCell ref="CX27:CY27"/>
    <mergeCell ref="AI18:AJ18"/>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D42:BD48"/>
    <mergeCell ref="BP25:BQ25"/>
    <mergeCell ref="CX35:CY35"/>
    <mergeCell ref="AI44:AJ44"/>
    <mergeCell ref="CZ3:DL3"/>
    <mergeCell ref="CX22:CY22"/>
    <mergeCell ref="AE3:AE4"/>
    <mergeCell ref="BP45:BQ45"/>
    <mergeCell ref="AI34:AJ34"/>
    <mergeCell ref="AI28:AJ28"/>
    <mergeCell ref="BP32:BQ32"/>
    <mergeCell ref="CX12:CY12"/>
    <mergeCell ref="R42:R48"/>
    <mergeCell ref="BP41:BQ41"/>
    <mergeCell ref="AH2:AW2"/>
    <mergeCell ref="BR42:BR48"/>
    <mergeCell ref="CX21:CY21"/>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C41:C48"/>
    <mergeCell ref="BW42:BW48"/>
    <mergeCell ref="W42:W48"/>
    <mergeCell ref="CX39:CY39"/>
    <mergeCell ref="BP8:BQ8"/>
    <mergeCell ref="CX48:CY48"/>
    <mergeCell ref="BP17:BQ17"/>
    <mergeCell ref="P3:P4"/>
    <mergeCell ref="BP35:BQ35"/>
    <mergeCell ref="BM3:BN4"/>
    <mergeCell ref="AI32:AJ32"/>
    <mergeCell ref="AS42:AS48"/>
    <mergeCell ref="AI46:AJ46"/>
    <mergeCell ref="D41:D48"/>
    <mergeCell ref="BP10:BQ10"/>
    <mergeCell ref="AK42:AK48"/>
    <mergeCell ref="F41:F48"/>
    <mergeCell ref="BL3:BL4"/>
    <mergeCell ref="BP19:BQ19"/>
    <mergeCell ref="AD3:AD4"/>
    <mergeCell ref="CM42:CM48"/>
    <mergeCell ref="AM42:AM48"/>
    <mergeCell ref="AU42:AU48"/>
    <mergeCell ref="CO42:CO48"/>
    <mergeCell ref="BG42:BG48"/>
    <mergeCell ref="AI47:AJ47"/>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AI10:AJ10"/>
    <mergeCell ref="AI19:AJ19"/>
    <mergeCell ref="X42:X48"/>
    <mergeCell ref="AX1:BN1"/>
    <mergeCell ref="AW3:AW4"/>
    <mergeCell ref="Z42:Z48"/>
    <mergeCell ref="H41:H48"/>
    <mergeCell ref="BZ42:BZ48"/>
    <mergeCell ref="BP46:BQ46"/>
    <mergeCell ref="BP37:BQ37"/>
    <mergeCell ref="CB42:CB48"/>
    <mergeCell ref="R2:AG2"/>
    <mergeCell ref="AI9:AJ9"/>
    <mergeCell ref="CX43:CY43"/>
    <mergeCell ref="AI3:AJ4"/>
    <mergeCell ref="CF1:CV1"/>
    <mergeCell ref="DN1:ED1"/>
    <mergeCell ref="BP21:BQ21"/>
    <mergeCell ref="A3:A4"/>
    <mergeCell ref="R3:Z3"/>
    <mergeCell ref="CU3:CV4"/>
    <mergeCell ref="CX42:CY42"/>
    <mergeCell ref="AI36:AJ36"/>
    <mergeCell ref="AX42:AX48"/>
    <mergeCell ref="I41:I48"/>
    <mergeCell ref="AI45:AJ45"/>
    <mergeCell ref="BO3:BO4"/>
    <mergeCell ref="AZ42:AZ48"/>
    <mergeCell ref="CX14:CY14"/>
    <mergeCell ref="K41:K48"/>
    <mergeCell ref="CX23:CY23"/>
    <mergeCell ref="BP23:BQ23"/>
    <mergeCell ref="CR42:CR48"/>
    <mergeCell ref="BJ42:BJ48"/>
    <mergeCell ref="AI20:AJ20"/>
    <mergeCell ref="CX29:CY29"/>
    <mergeCell ref="CX13:CY13"/>
    <mergeCell ref="AA3:AA4"/>
    <mergeCell ref="O41:O48"/>
    <mergeCell ref="BP48:BQ48"/>
    <mergeCell ref="AI22:AJ22"/>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AI14:AJ14"/>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(Ingles 9°)'!AE21,""))</f>
        <v/>
      </c>
      <c r="G32" s="68">
        <f>IF(MAESTRO!F21="","",IFERROR('PROM (Ingles 9°)'!BL21,""))</f>
        <v/>
      </c>
      <c r="H32" s="49">
        <f>IF(MAESTRO!F21="","",IFERROR('PROM (Ingles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(Ingles 9°)'!AE22,""))</f>
        <v/>
      </c>
      <c r="G33" s="68">
        <f>IF(MAESTRO!F22="","",IFERROR('PROM (Ingles 9°)'!BL22,""))</f>
        <v/>
      </c>
      <c r="H33" s="49">
        <f>IF(MAESTRO!F22="","",IFERROR('PROM (Ingles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(Ingles 9°)'!AE23,""))</f>
        <v/>
      </c>
      <c r="G34" s="68">
        <f>IF(MAESTRO!F23="","",IFERROR('PROM (Ingles 9°)'!BL23,""))</f>
        <v/>
      </c>
      <c r="H34" s="49">
        <f>IF(MAESTRO!F23="","",IFERROR('PROM (Ingles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(Ingles 9°)'!AE24,""))</f>
        <v/>
      </c>
      <c r="G35" s="68">
        <f>IF(MAESTRO!F24="","",IFERROR('PROM (Ingles 9°)'!BL24,""))</f>
        <v/>
      </c>
      <c r="H35" s="49">
        <f>IF(MAESTRO!F24="","",IFERROR('PROM (Ingles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(Ingles 9°)'!AE25,""))</f>
        <v/>
      </c>
      <c r="G36" s="68">
        <f>IF(MAESTRO!F25="","",IFERROR('PROM (Ingles 9°)'!BL25,""))</f>
        <v/>
      </c>
      <c r="H36" s="49">
        <f>IF(MAESTRO!F25="","",IFERROR('PROM (Ingles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(Ingles 9°)'!AE26,""))</f>
        <v/>
      </c>
      <c r="G37" s="68">
        <f>IF(MAESTRO!F26="","",IFERROR('PROM (Ingles 9°)'!BL26,""))</f>
        <v/>
      </c>
      <c r="H37" s="49">
        <f>IF(MAESTRO!F26="","",IFERROR('PROM (Ingles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(Ingles 9°)'!AE27,""))</f>
        <v/>
      </c>
      <c r="G38" s="68">
        <f>IF(MAESTRO!F27="","",IFERROR('PROM (Ingles 9°)'!BL27,""))</f>
        <v/>
      </c>
      <c r="H38" s="49">
        <f>IF(MAESTRO!F27="","",IFERROR('PROM (Ingles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(Ingles 9°)'!AE28,""))</f>
        <v/>
      </c>
      <c r="G39" s="68">
        <f>IF(MAESTRO!F28="","",IFERROR('PROM (Ingles 9°)'!BL28,""))</f>
        <v/>
      </c>
      <c r="H39" s="49">
        <f>IF(MAESTRO!F28="","",IFERROR('PROM (Ingles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(Ingles 9°)'!AE29,""))</f>
        <v/>
      </c>
      <c r="G40" s="68">
        <f>IF(MAESTRO!F29="","",IFERROR('PROM (Ingles 9°)'!BL29,""))</f>
        <v/>
      </c>
      <c r="H40" s="49">
        <f>IF(MAESTRO!F29="","",IFERROR('PROM (Ingles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(Ingles 9°)'!AE30,""))</f>
        <v/>
      </c>
      <c r="G41" s="68">
        <f>IF(MAESTRO!F30="","",IFERROR('PROM (Ingles 9°)'!BL30,""))</f>
        <v/>
      </c>
      <c r="H41" s="49">
        <f>IF(MAESTRO!F30="","",IFERROR('PROM (Ingles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(Ingles 9°)'!AE31,""))</f>
        <v/>
      </c>
      <c r="G42" s="68">
        <f>IF(MAESTRO!F31="","",IFERROR('PROM (Ingles 9°)'!BL31,""))</f>
        <v/>
      </c>
      <c r="H42" s="49">
        <f>IF(MAESTRO!F31="","",IFERROR('PROM (Ingles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(Ingles 9°)'!AE32,""))</f>
        <v/>
      </c>
      <c r="G43" s="68">
        <f>IF(MAESTRO!F32="","",IFERROR('PROM (Ingles 9°)'!BL32,""))</f>
        <v/>
      </c>
      <c r="H43" s="49">
        <f>IF(MAESTRO!F32="","",IFERROR('PROM (Ingles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(Ingles 9°)'!AE33,""))</f>
        <v/>
      </c>
      <c r="G44" s="68">
        <f>IF(MAESTRO!F33="","",IFERROR('PROM (Ingles 9°)'!BL33,""))</f>
        <v/>
      </c>
      <c r="H44" s="49">
        <f>IF(MAESTRO!F33="","",IFERROR('PROM (Ingles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(Ingles 9°)'!AE34,""))</f>
        <v/>
      </c>
      <c r="G45" s="68">
        <f>IF(MAESTRO!F34="","",IFERROR('PROM (Ingles 9°)'!BL34,""))</f>
        <v/>
      </c>
      <c r="H45" s="49">
        <f>IF(MAESTRO!F34="","",IFERROR('PROM (Ingles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(Ingles 9°)'!AE35,""))</f>
        <v/>
      </c>
      <c r="G46" s="68">
        <f>IF(MAESTRO!F35="","",IFERROR('PROM (Ingles 9°)'!BL35,""))</f>
        <v/>
      </c>
      <c r="H46" s="49">
        <f>IF(MAESTRO!F35="","",IFERROR('PROM (Ingles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(Ingles 9°)'!AE36,""))</f>
        <v/>
      </c>
      <c r="G47" s="68">
        <f>IF(MAESTRO!F36="","",IFERROR('PROM (Ingles 9°)'!BL36,""))</f>
        <v/>
      </c>
      <c r="H47" s="49">
        <f>IF(MAESTRO!F36="","",IFERROR('PROM (Ingles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(Ingles 9°)'!AE37,""))</f>
        <v/>
      </c>
      <c r="G48" s="68">
        <f>IF(MAESTRO!F37="","",IFERROR('PROM (Ingles 9°)'!BL37,""))</f>
        <v/>
      </c>
      <c r="H48" s="49">
        <f>IF(MAESTRO!F37="","",IFERROR('PROM (Ingles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(Ingles 9°)'!AE38,""))</f>
        <v/>
      </c>
      <c r="G49" s="68">
        <f>IF(MAESTRO!F38="","",IFERROR('PROM (Ingles 9°)'!BL38,""))</f>
        <v/>
      </c>
      <c r="H49" s="49">
        <f>IF(MAESTRO!F38="","",IFERROR('PROM (Ingles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(Ingles 9°)'!AE39,""))</f>
        <v/>
      </c>
      <c r="G50" s="68">
        <f>IF(MAESTRO!F39="","",IFERROR('PROM (Ingles 9°)'!BL39,""))</f>
        <v/>
      </c>
      <c r="H50" s="49">
        <f>IF(MAESTRO!F39="","",IFERROR('PROM (Ingles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(Ingles 9°)'!AE40,""))</f>
        <v/>
      </c>
      <c r="G51" s="68">
        <f>IF(MAESTRO!F40="","",IFERROR('PROM (Ingles 9°)'!BL40,""))</f>
        <v/>
      </c>
      <c r="H51" s="49">
        <f>IF(MAESTRO!F40="","",IFERROR('PROM (Ingles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(Ingles 9°)'!AE41,""))</f>
        <v/>
      </c>
      <c r="G52" s="68">
        <f>IF(MAESTRO!F41="","",IFERROR('PROM (Ingles 9°)'!BL41,""))</f>
        <v/>
      </c>
      <c r="H52" s="49">
        <f>IF(MAESTRO!F41="","",IFERROR('PROM (Ingles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46105</v>
      </c>
      <c r="D4" s="23" t="n">
        <v>46125</v>
      </c>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0"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v>4.4</v>
      </c>
      <c r="D5" s="5" t="n">
        <v>3.1</v>
      </c>
      <c r="E5" s="5" t="n">
        <v>4.5</v>
      </c>
      <c r="F5" s="5" t="n">
        <v>3.8</v>
      </c>
      <c r="G5" s="5" t="n">
        <v>3.9</v>
      </c>
      <c r="H5" s="5" t="n">
        <v>4.5</v>
      </c>
      <c r="I5" s="5" t="n">
        <v>4.9</v>
      </c>
      <c r="J5" s="5" t="n">
        <v>4.4</v>
      </c>
      <c r="K5" s="5" t="n">
        <v>4.6</v>
      </c>
      <c r="L5" s="5" t="n">
        <v>4.7</v>
      </c>
      <c r="M5" s="5" t="n">
        <v>4.5</v>
      </c>
      <c r="N5" s="5" t="n">
        <v>4.2</v>
      </c>
      <c r="O5" s="5" t="n">
        <v>4.1</v>
      </c>
      <c r="P5" s="5">
        <f>IF(MAESTRO!F5="","",IFERROR(TRUNC(AVERAGE(C5:O5),1),""))</f>
        <v/>
      </c>
      <c r="Q5" s="40" t="n">
        <v>1</v>
      </c>
      <c r="R5" s="22" t="n">
        <v>3.7</v>
      </c>
      <c r="S5" s="22" t="n">
        <v>3.6</v>
      </c>
      <c r="T5" s="22" t="n">
        <v>4.7</v>
      </c>
      <c r="U5" s="22" t="n">
        <v>5</v>
      </c>
      <c r="V5" s="22" t="n">
        <v>3.7</v>
      </c>
      <c r="W5" s="22" t="n">
        <v>4.4</v>
      </c>
      <c r="X5" s="22" t="n">
        <v>4.9</v>
      </c>
      <c r="Y5" s="22" t="n">
        <v>4.5</v>
      </c>
      <c r="Z5" s="22" t="n">
        <v>3.6</v>
      </c>
      <c r="AA5" s="45">
        <f>IF(MAESTRO!F5="","",IFERROR(TRUNC(AVERAGE(R5:Z5),1),""))</f>
        <v/>
      </c>
      <c r="AB5" s="5" t="n">
        <v>4.5</v>
      </c>
      <c r="AC5" s="42" t="n">
        <v>3.7</v>
      </c>
      <c r="AD5" s="5">
        <f>IF(MAESTRO!F5="","",IFERROR(AVERAGE(AB5:AC5),""))</f>
        <v/>
      </c>
      <c r="AE5" s="44">
        <f>IF(MAESTRO!F5="","",IFERROR(TRUNC(AVERAGE(P5,AA5,AD5),1),""))</f>
        <v/>
      </c>
      <c r="AF5" s="177" t="n"/>
      <c r="AG5" s="177" t="n">
        <v>1</v>
      </c>
      <c r="AH5" s="177" t="n">
        <v>1</v>
      </c>
      <c r="AI5" s="177">
        <f>IF(MAESTRO!F5="","",MAESTRO!F5)</f>
        <v/>
      </c>
      <c r="AJ5" s="178" t="n"/>
      <c r="AK5" s="61" t="n">
        <v>3.3</v>
      </c>
      <c r="AL5" s="61" t="n">
        <v>3.5</v>
      </c>
      <c r="AM5" s="61" t="n">
        <v>3.5</v>
      </c>
      <c r="AN5" s="61" t="n">
        <v>3.6</v>
      </c>
      <c r="AO5" s="61" t="n">
        <v>4.8</v>
      </c>
      <c r="AP5" s="61" t="n">
        <v>3.1</v>
      </c>
      <c r="AQ5" s="61" t="n">
        <v>4.9</v>
      </c>
      <c r="AR5" s="61" t="n">
        <v>4.2</v>
      </c>
      <c r="AS5" s="61" t="n">
        <v>5</v>
      </c>
      <c r="AT5" s="61" t="n">
        <v>3.4</v>
      </c>
      <c r="AU5" s="61" t="n">
        <v>3.2</v>
      </c>
      <c r="AV5" s="61" t="n">
        <v>3.2</v>
      </c>
      <c r="AW5" s="5">
        <f>IF(MAESTRO!F5="","",IFERROR(TRUNC(AVERAGE(AK5:AV5),1),""))</f>
        <v/>
      </c>
      <c r="AX5" s="22" t="n">
        <v>4.9</v>
      </c>
      <c r="AY5" s="22" t="n">
        <v>3.6</v>
      </c>
      <c r="AZ5" s="22" t="n">
        <v>3.6</v>
      </c>
      <c r="BA5" s="22" t="n">
        <v>3.7</v>
      </c>
      <c r="BB5" s="22" t="n">
        <v>3.7</v>
      </c>
      <c r="BC5" s="22" t="n">
        <v>3.3</v>
      </c>
      <c r="BD5" s="22" t="n">
        <v>4</v>
      </c>
      <c r="BE5" s="22" t="n">
        <v>3.5</v>
      </c>
      <c r="BF5" s="22" t="n">
        <v>3.8</v>
      </c>
      <c r="BG5" s="52" t="n">
        <v>4.9</v>
      </c>
      <c r="BH5" s="5">
        <f>IF(MAESTRO!F5="","",IFERROR(TRUNC(AVERAGE(AX5:BG5),1),""))</f>
        <v/>
      </c>
      <c r="BI5" s="22" t="n">
        <v>4.9</v>
      </c>
      <c r="BJ5" s="22" t="n">
        <v>4.1</v>
      </c>
      <c r="BK5" s="22">
        <f>IF(MAESTRO!F5="","",IFERROR(AVERAGE(BI5,BJ5),""))</f>
        <v/>
      </c>
      <c r="BL5" s="5">
        <f>IF(MAESTRO!F5="","",IFERROR(TRUNC(AVERAGE(AW5,BH5,BK5),1),""))</f>
        <v/>
      </c>
      <c r="BM5" s="177" t="n"/>
      <c r="BN5" s="177" t="n">
        <v>1</v>
      </c>
      <c r="BO5" s="177" t="n">
        <v>1</v>
      </c>
      <c r="BP5" s="177">
        <f>IF(MAESTRO!F5="","",MAESTRO!F5)</f>
        <v/>
      </c>
      <c r="BQ5" s="178" t="n"/>
      <c r="BR5" s="5" t="n">
        <v>3.8</v>
      </c>
      <c r="BS5" s="5" t="n">
        <v>4.3</v>
      </c>
      <c r="BT5" s="5" t="n">
        <v>4.9</v>
      </c>
      <c r="BU5" s="5" t="n">
        <v>4.4</v>
      </c>
      <c r="BV5" s="5" t="n">
        <v>4.4</v>
      </c>
      <c r="BW5" s="5" t="n">
        <v>4.8</v>
      </c>
      <c r="BX5" s="5" t="n">
        <v>4.2</v>
      </c>
      <c r="BY5" s="5" t="n">
        <v>3.1</v>
      </c>
      <c r="BZ5" s="5" t="n">
        <v>3.9</v>
      </c>
      <c r="CA5" s="5" t="n">
        <v>4.2</v>
      </c>
      <c r="CB5" s="5" t="n">
        <v>3.5</v>
      </c>
      <c r="CC5" s="5" t="n">
        <v>4.3</v>
      </c>
      <c r="CD5" s="5" t="n">
        <v>3.8</v>
      </c>
      <c r="CE5" s="5">
        <f>IF(MAESTRO!F5="","",IFERROR(TRUNC(AVERAGE(BR5:CD5),1),""))</f>
        <v/>
      </c>
      <c r="CF5" s="5" t="n">
        <v>4.6</v>
      </c>
      <c r="CG5" s="5" t="n">
        <v>3.6</v>
      </c>
      <c r="CH5" s="5" t="n">
        <v>3.2</v>
      </c>
      <c r="CI5" s="5" t="n">
        <v>3.4</v>
      </c>
      <c r="CJ5" s="5" t="n">
        <v>3.7</v>
      </c>
      <c r="CK5" s="5" t="n">
        <v>3.8</v>
      </c>
      <c r="CL5" s="5" t="n">
        <v>4.9</v>
      </c>
      <c r="CM5" s="5" t="n">
        <v>3.4</v>
      </c>
      <c r="CN5" s="5" t="n">
        <v>3.7</v>
      </c>
      <c r="CO5" s="5" t="n">
        <v>3.9</v>
      </c>
      <c r="CP5" s="5">
        <f>IF(MAESTRO!F5="","",IFERROR(TRUNC(AVERAGE(CF5:CO5),1),""))</f>
        <v/>
      </c>
      <c r="CQ5" s="5" t="n">
        <v>4.4</v>
      </c>
      <c r="CR5" s="5" t="n">
        <v>4.2</v>
      </c>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v>4.2</v>
      </c>
      <c r="D6" s="5" t="n">
        <v>3.3</v>
      </c>
      <c r="E6" s="5" t="n">
        <v>4.5</v>
      </c>
      <c r="F6" s="5" t="n">
        <v>3.3</v>
      </c>
      <c r="G6" s="5" t="n">
        <v>4.5</v>
      </c>
      <c r="H6" s="5" t="n">
        <v>3.5</v>
      </c>
      <c r="I6" s="5" t="n">
        <v>4</v>
      </c>
      <c r="J6" s="5" t="n">
        <v>3.7</v>
      </c>
      <c r="K6" s="5" t="n">
        <v>3.3</v>
      </c>
      <c r="L6" s="5" t="n">
        <v>3.2</v>
      </c>
      <c r="M6" s="5" t="n">
        <v>4.1</v>
      </c>
      <c r="N6" s="5" t="n">
        <v>3.4</v>
      </c>
      <c r="O6" s="5" t="n">
        <v>3.4</v>
      </c>
      <c r="P6" s="5">
        <f>IF(MAESTRO!F6="","",IFERROR(TRUNC(AVERAGE(C6:O6),1),""))</f>
        <v/>
      </c>
      <c r="Q6" s="40" t="n">
        <v>2</v>
      </c>
      <c r="R6" s="22" t="n">
        <v>3.7</v>
      </c>
      <c r="S6" s="22" t="n">
        <v>4.3</v>
      </c>
      <c r="T6" s="22" t="n">
        <v>4.3</v>
      </c>
      <c r="U6" s="22" t="n">
        <v>3.7</v>
      </c>
      <c r="V6" s="22" t="n">
        <v>3.1</v>
      </c>
      <c r="W6" s="22" t="n">
        <v>3.3</v>
      </c>
      <c r="X6" s="22" t="n">
        <v>4.9</v>
      </c>
      <c r="Y6" s="22" t="n">
        <v>4.8</v>
      </c>
      <c r="Z6" s="22" t="n">
        <v>3.9</v>
      </c>
      <c r="AA6" s="45">
        <f>IF(MAESTRO!F6="","",IFERROR(TRUNC(AVERAGE(R6:Z6),1),""))</f>
        <v/>
      </c>
      <c r="AB6" s="5" t="n">
        <v>3.3</v>
      </c>
      <c r="AC6" s="42" t="n">
        <v>4.7</v>
      </c>
      <c r="AD6" s="5">
        <f>IF(MAESTRO!F6="","",IFERROR(AVERAGE(AB6:AC6),""))</f>
        <v/>
      </c>
      <c r="AE6" s="44">
        <f>IF(MAESTRO!F6="","",IFERROR(TRUNC(AVERAGE(P6,AA6,AD6),1),""))</f>
        <v/>
      </c>
      <c r="AF6" s="177" t="n"/>
      <c r="AG6" s="177" t="n">
        <v>2</v>
      </c>
      <c r="AH6" s="177" t="n">
        <v>2</v>
      </c>
      <c r="AI6" s="177">
        <f>IF(MAESTRO!F6="","",MAESTRO!F6)</f>
        <v/>
      </c>
      <c r="AJ6" s="178" t="n"/>
      <c r="AK6" s="61" t="n">
        <v>4.2</v>
      </c>
      <c r="AL6" s="61" t="n">
        <v>4.2</v>
      </c>
      <c r="AM6" s="61" t="n">
        <v>4.2</v>
      </c>
      <c r="AN6" s="61" t="n">
        <v>4</v>
      </c>
      <c r="AO6" s="61" t="n">
        <v>3.7</v>
      </c>
      <c r="AP6" s="61" t="n">
        <v>4.9</v>
      </c>
      <c r="AQ6" s="61" t="n">
        <v>4.6</v>
      </c>
      <c r="AR6" s="61" t="n">
        <v>4.4</v>
      </c>
      <c r="AS6" s="61" t="n">
        <v>3.5</v>
      </c>
      <c r="AT6" s="61" t="n">
        <v>4.3</v>
      </c>
      <c r="AU6" s="61" t="n">
        <v>4.5</v>
      </c>
      <c r="AV6" s="61" t="n">
        <v>3.4</v>
      </c>
      <c r="AW6" s="5">
        <f>IF(MAESTRO!F6="","",IFERROR(TRUNC(AVERAGE(AK6:AV6),1),""))</f>
        <v/>
      </c>
      <c r="AX6" s="22" t="n">
        <v>4.6</v>
      </c>
      <c r="AY6" s="22" t="n">
        <v>3.2</v>
      </c>
      <c r="AZ6" s="22" t="n">
        <v>3.8</v>
      </c>
      <c r="BA6" s="22" t="n">
        <v>3.9</v>
      </c>
      <c r="BB6" s="22" t="n">
        <v>4.8</v>
      </c>
      <c r="BC6" s="22" t="n">
        <v>3.1</v>
      </c>
      <c r="BD6" s="22" t="n">
        <v>4.5</v>
      </c>
      <c r="BE6" s="22" t="n">
        <v>4.5</v>
      </c>
      <c r="BF6" s="22" t="n">
        <v>3.4</v>
      </c>
      <c r="BG6" s="52" t="n">
        <v>4.9</v>
      </c>
      <c r="BH6" s="5">
        <f>IF(MAESTRO!F6="","",IFERROR(TRUNC(AVERAGE(AX6:BG6),1),""))</f>
        <v/>
      </c>
      <c r="BI6" s="22" t="n">
        <v>4.7</v>
      </c>
      <c r="BJ6" s="22" t="n">
        <v>5</v>
      </c>
      <c r="BK6" s="22">
        <f>IF(MAESTRO!F6="","",IFERROR(AVERAGE(BI6,BJ6),""))</f>
        <v/>
      </c>
      <c r="BL6" s="5">
        <f>IF(MAESTRO!F6="","",IFERROR(TRUNC(AVERAGE(AW6,BH6,BK6),1),""))</f>
        <v/>
      </c>
      <c r="BM6" s="177" t="n"/>
      <c r="BN6" s="177" t="n">
        <v>2</v>
      </c>
      <c r="BO6" s="177" t="n">
        <v>2</v>
      </c>
      <c r="BP6" s="177">
        <f>IF(MAESTRO!F6="","",MAESTRO!F6)</f>
        <v/>
      </c>
      <c r="BQ6" s="178" t="n"/>
      <c r="BR6" s="5" t="n">
        <v>3.7</v>
      </c>
      <c r="BS6" s="5" t="n">
        <v>4.3</v>
      </c>
      <c r="BT6" s="5" t="n">
        <v>4.4</v>
      </c>
      <c r="BU6" s="5" t="n">
        <v>3.8</v>
      </c>
      <c r="BV6" s="5" t="n">
        <v>4.2</v>
      </c>
      <c r="BW6" s="5" t="n">
        <v>3.6</v>
      </c>
      <c r="BX6" s="5" t="n">
        <v>3.4</v>
      </c>
      <c r="BY6" s="5" t="n">
        <v>3.9</v>
      </c>
      <c r="BZ6" s="5" t="n">
        <v>4.6</v>
      </c>
      <c r="CA6" s="5" t="n">
        <v>3.3</v>
      </c>
      <c r="CB6" s="5" t="n">
        <v>4</v>
      </c>
      <c r="CC6" s="5" t="n">
        <v>3.5</v>
      </c>
      <c r="CD6" s="5" t="n">
        <v>3.3</v>
      </c>
      <c r="CE6" s="5">
        <f>IF(MAESTRO!F6="","",IFERROR(TRUNC(AVERAGE(BR6:CD6),1),""))</f>
        <v/>
      </c>
      <c r="CF6" s="5" t="n">
        <v>4.5</v>
      </c>
      <c r="CG6" s="5" t="n">
        <v>4.9</v>
      </c>
      <c r="CH6" s="5" t="n">
        <v>4</v>
      </c>
      <c r="CI6" s="5" t="n">
        <v>4.3</v>
      </c>
      <c r="CJ6" s="5" t="n">
        <v>4.9</v>
      </c>
      <c r="CK6" s="5" t="n">
        <v>4.2</v>
      </c>
      <c r="CL6" s="5" t="n">
        <v>3.1</v>
      </c>
      <c r="CM6" s="5" t="n">
        <v>3.6</v>
      </c>
      <c r="CN6" s="5" t="n">
        <v>3.6</v>
      </c>
      <c r="CO6" s="5" t="n">
        <v>4.2</v>
      </c>
      <c r="CP6" s="5">
        <f>IF(MAESTRO!F6="","",IFERROR(TRUNC(AVERAGE(CF6:CO6),1),""))</f>
        <v/>
      </c>
      <c r="CQ6" s="5" t="n">
        <v>4.3</v>
      </c>
      <c r="CR6" s="5" t="n">
        <v>3.6</v>
      </c>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v>3</v>
      </c>
      <c r="D7" s="5" t="n">
        <v>4.5</v>
      </c>
      <c r="E7" s="5" t="n">
        <v>3.8</v>
      </c>
      <c r="F7" s="5" t="n">
        <v>4.9</v>
      </c>
      <c r="G7" s="5" t="n">
        <v>3</v>
      </c>
      <c r="H7" s="5" t="n">
        <v>4.9</v>
      </c>
      <c r="I7" s="5" t="n">
        <v>4.4</v>
      </c>
      <c r="J7" s="5" t="n">
        <v>3.9</v>
      </c>
      <c r="K7" s="5" t="n">
        <v>4.8</v>
      </c>
      <c r="L7" s="5" t="n">
        <v>4.5</v>
      </c>
      <c r="M7" s="5" t="n">
        <v>3.2</v>
      </c>
      <c r="N7" s="5" t="n">
        <v>3.6</v>
      </c>
      <c r="O7" s="5" t="n">
        <v>3.3</v>
      </c>
      <c r="P7" s="5">
        <f>IF(MAESTRO!F7="","",IFERROR(TRUNC(AVERAGE(C7:O7),1),""))</f>
        <v/>
      </c>
      <c r="Q7" s="40" t="n">
        <v>3</v>
      </c>
      <c r="R7" s="22" t="n">
        <v>4.4</v>
      </c>
      <c r="S7" s="22" t="n">
        <v>4.1</v>
      </c>
      <c r="T7" s="22" t="n">
        <v>4.1</v>
      </c>
      <c r="U7" s="22" t="n">
        <v>4.9</v>
      </c>
      <c r="V7" s="22" t="n">
        <v>4.9</v>
      </c>
      <c r="W7" s="22" t="n">
        <v>3.4</v>
      </c>
      <c r="X7" s="22" t="n">
        <v>4</v>
      </c>
      <c r="Y7" s="22" t="n">
        <v>3.8</v>
      </c>
      <c r="Z7" s="22" t="n">
        <v>4</v>
      </c>
      <c r="AA7" s="45">
        <f>IF(MAESTRO!F7="","",IFERROR(TRUNC(AVERAGE(R7:Z7),1),""))</f>
        <v/>
      </c>
      <c r="AB7" s="177" t="n">
        <v>3.9</v>
      </c>
      <c r="AC7" s="42" t="n">
        <v>3.2</v>
      </c>
      <c r="AD7" s="5">
        <f>IF(MAESTRO!F7="","",IFERROR(AVERAGE(AB7:AC7),""))</f>
        <v/>
      </c>
      <c r="AE7" s="44">
        <f>IF(MAESTRO!F7="","",IFERROR(TRUNC(AVERAGE(P7,AA7,AD7),1),""))</f>
        <v/>
      </c>
      <c r="AF7" s="177" t="n"/>
      <c r="AG7" s="177" t="n">
        <v>3</v>
      </c>
      <c r="AH7" s="177" t="n">
        <v>3</v>
      </c>
      <c r="AI7" s="177">
        <f>IF(MAESTRO!F7="","",MAESTRO!F7)</f>
        <v/>
      </c>
      <c r="AJ7" s="178" t="n"/>
      <c r="AK7" s="61" t="n">
        <v>3.7</v>
      </c>
      <c r="AL7" s="61" t="n">
        <v>3.7</v>
      </c>
      <c r="AM7" s="61" t="n">
        <v>4.9</v>
      </c>
      <c r="AN7" s="61" t="n">
        <v>4.9</v>
      </c>
      <c r="AO7" s="61" t="n">
        <v>3.3</v>
      </c>
      <c r="AP7" s="61" t="n">
        <v>3.1</v>
      </c>
      <c r="AQ7" s="61" t="n">
        <v>3.6</v>
      </c>
      <c r="AR7" s="61" t="n">
        <v>5</v>
      </c>
      <c r="AS7" s="61" t="n">
        <v>3.9</v>
      </c>
      <c r="AT7" s="61" t="n">
        <v>3.1</v>
      </c>
      <c r="AU7" s="61" t="n">
        <v>4.3</v>
      </c>
      <c r="AV7" s="61" t="n">
        <v>4.5</v>
      </c>
      <c r="AW7" s="5">
        <f>IF(MAESTRO!F7="","",IFERROR(TRUNC(AVERAGE(AK7:AV7),1),""))</f>
        <v/>
      </c>
      <c r="AX7" s="22" t="n">
        <v>3.2</v>
      </c>
      <c r="AY7" s="22" t="n">
        <v>3.5</v>
      </c>
      <c r="AZ7" s="22" t="n">
        <v>3.1</v>
      </c>
      <c r="BA7" s="22" t="n">
        <v>4.9</v>
      </c>
      <c r="BB7" s="22" t="n">
        <v>4.7</v>
      </c>
      <c r="BC7" s="22" t="n">
        <v>3.6</v>
      </c>
      <c r="BD7" s="22" t="n">
        <v>3.8</v>
      </c>
      <c r="BE7" s="22" t="n">
        <v>4.5</v>
      </c>
      <c r="BF7" s="22" t="n">
        <v>4.8</v>
      </c>
      <c r="BG7" s="52" t="n">
        <v>4.9</v>
      </c>
      <c r="BH7" s="5">
        <f>IF(MAESTRO!F7="","",IFERROR(TRUNC(AVERAGE(AX7:BG7),1),""))</f>
        <v/>
      </c>
      <c r="BI7" s="22" t="n">
        <v>4.6</v>
      </c>
      <c r="BJ7" s="22" t="n">
        <v>4.3</v>
      </c>
      <c r="BK7" s="22">
        <f>IF(MAESTRO!F7="","",IFERROR(AVERAGE(BI7,BJ7),""))</f>
        <v/>
      </c>
      <c r="BL7" s="5">
        <f>IF(MAESTRO!F7="","",IFERROR(TRUNC(AVERAGE(AW7,BH7,BK7),1),""))</f>
        <v/>
      </c>
      <c r="BM7" s="177" t="n"/>
      <c r="BN7" s="177" t="n">
        <v>3</v>
      </c>
      <c r="BO7" s="177" t="n">
        <v>3</v>
      </c>
      <c r="BP7" s="177">
        <f>IF(MAESTRO!F7="","",MAESTRO!F7)</f>
        <v/>
      </c>
      <c r="BQ7" s="178" t="n"/>
      <c r="BR7" s="5" t="n">
        <v>3.3</v>
      </c>
      <c r="BS7" s="5" t="n">
        <v>3.8</v>
      </c>
      <c r="BT7" s="5" t="n">
        <v>4.5</v>
      </c>
      <c r="BU7" s="5" t="n">
        <v>3.7</v>
      </c>
      <c r="BV7" s="5" t="n">
        <v>3.6</v>
      </c>
      <c r="BW7" s="5" t="n">
        <v>4.5</v>
      </c>
      <c r="BX7" s="5" t="n">
        <v>4.3</v>
      </c>
      <c r="BY7" s="5" t="n">
        <v>4.5</v>
      </c>
      <c r="BZ7" s="5" t="n">
        <v>3</v>
      </c>
      <c r="CA7" s="5" t="n">
        <v>3.2</v>
      </c>
      <c r="CB7" s="5" t="n">
        <v>4.1</v>
      </c>
      <c r="CC7" s="5" t="n">
        <v>4.9</v>
      </c>
      <c r="CD7" s="5" t="n">
        <v>4.4</v>
      </c>
      <c r="CE7" s="5">
        <f>IF(MAESTRO!F7="","",IFERROR(TRUNC(AVERAGE(BR7:CD7),1),""))</f>
        <v/>
      </c>
      <c r="CF7" s="5" t="n">
        <v>4.5</v>
      </c>
      <c r="CG7" s="5" t="n">
        <v>3.4</v>
      </c>
      <c r="CH7" s="5" t="n">
        <v>4.8</v>
      </c>
      <c r="CI7" s="5" t="n">
        <v>3.9</v>
      </c>
      <c r="CJ7" s="5" t="n">
        <v>3.1</v>
      </c>
      <c r="CK7" s="5" t="n">
        <v>4.7</v>
      </c>
      <c r="CL7" s="5" t="n">
        <v>3.9</v>
      </c>
      <c r="CM7" s="5" t="n">
        <v>3.6</v>
      </c>
      <c r="CN7" s="5" t="n">
        <v>3.1</v>
      </c>
      <c r="CO7" s="5" t="n">
        <v>4.6</v>
      </c>
      <c r="CP7" s="5">
        <f>IF(MAESTRO!F7="","",IFERROR(TRUNC(AVERAGE(CF7:CO7),1),""))</f>
        <v/>
      </c>
      <c r="CQ7" s="5" t="n">
        <v>3.9</v>
      </c>
      <c r="CR7" s="5" t="n">
        <v>3.3</v>
      </c>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v>3.2</v>
      </c>
      <c r="D8" s="5" t="n">
        <v>4.2</v>
      </c>
      <c r="E8" s="5" t="n">
        <v>5</v>
      </c>
      <c r="F8" s="5" t="n">
        <v>3.1</v>
      </c>
      <c r="G8" s="5" t="n">
        <v>3.1</v>
      </c>
      <c r="H8" s="5" t="n">
        <v>4.4</v>
      </c>
      <c r="I8" s="5" t="n">
        <v>3.5</v>
      </c>
      <c r="J8" s="5" t="n">
        <v>3.7</v>
      </c>
      <c r="K8" s="5" t="n">
        <v>3.9</v>
      </c>
      <c r="L8" s="5" t="n">
        <v>3.5</v>
      </c>
      <c r="M8" s="5" t="n">
        <v>3.9</v>
      </c>
      <c r="N8" s="5" t="n">
        <v>4.4</v>
      </c>
      <c r="O8" s="5" t="n">
        <v>3.9</v>
      </c>
      <c r="P8" s="5">
        <f>IF(MAESTRO!F8="","",IFERROR(TRUNC(AVERAGE(C8:O8),1),""))</f>
        <v/>
      </c>
      <c r="Q8" s="40" t="n">
        <v>4</v>
      </c>
      <c r="R8" s="22" t="n">
        <v>3.5</v>
      </c>
      <c r="S8" s="22" t="n">
        <v>3.3</v>
      </c>
      <c r="T8" s="22" t="n">
        <v>4.6</v>
      </c>
      <c r="U8" s="22" t="n">
        <v>4.4</v>
      </c>
      <c r="V8" s="22" t="n">
        <v>3.6</v>
      </c>
      <c r="W8" s="22" t="n">
        <v>3.9</v>
      </c>
      <c r="X8" s="22" t="n">
        <v>3.7</v>
      </c>
      <c r="Y8" s="22" t="n">
        <v>3.6</v>
      </c>
      <c r="Z8" s="22" t="n">
        <v>3.4</v>
      </c>
      <c r="AA8" s="45">
        <f>IF(MAESTRO!F8="","",IFERROR(TRUNC(AVERAGE(R8:Z8),1),""))</f>
        <v/>
      </c>
      <c r="AB8" s="177" t="n">
        <v>3.6</v>
      </c>
      <c r="AC8" s="42" t="n">
        <v>3.4</v>
      </c>
      <c r="AD8" s="5">
        <f>IF(MAESTRO!F8="","",IFERROR(AVERAGE(AB8:AC8),""))</f>
        <v/>
      </c>
      <c r="AE8" s="44">
        <f>IF(MAESTRO!F8="","",IFERROR(TRUNC(AVERAGE(P8,AA8,AD8),1),""))</f>
        <v/>
      </c>
      <c r="AF8" s="177" t="n"/>
      <c r="AG8" s="177" t="n">
        <v>4</v>
      </c>
      <c r="AH8" s="177" t="n">
        <v>4</v>
      </c>
      <c r="AI8" s="177">
        <f>IF(MAESTRO!F8="","",MAESTRO!F8)</f>
        <v/>
      </c>
      <c r="AJ8" s="178" t="n"/>
      <c r="AK8" s="61" t="n">
        <v>4.1</v>
      </c>
      <c r="AL8" s="61" t="n">
        <v>3.8</v>
      </c>
      <c r="AM8" s="61" t="n">
        <v>4.8</v>
      </c>
      <c r="AN8" s="61" t="n">
        <v>3.5</v>
      </c>
      <c r="AO8" s="61" t="n">
        <v>3.9</v>
      </c>
      <c r="AP8" s="61" t="n">
        <v>3.2</v>
      </c>
      <c r="AQ8" s="61" t="n">
        <v>3.2</v>
      </c>
      <c r="AR8" s="61" t="n">
        <v>4.6</v>
      </c>
      <c r="AS8" s="61" t="n">
        <v>3.1</v>
      </c>
      <c r="AT8" s="61" t="n">
        <v>4.1</v>
      </c>
      <c r="AU8" s="61" t="n">
        <v>3.4</v>
      </c>
      <c r="AV8" s="61" t="n">
        <v>3</v>
      </c>
      <c r="AW8" s="5">
        <f>IF(MAESTRO!F8="","",IFERROR(TRUNC(AVERAGE(AK8:AV8),1),""))</f>
        <v/>
      </c>
      <c r="AX8" s="22" t="n">
        <v>3.3</v>
      </c>
      <c r="AY8" s="22" t="n">
        <v>3.3</v>
      </c>
      <c r="AZ8" s="22" t="n">
        <v>3.1</v>
      </c>
      <c r="BA8" s="22" t="n">
        <v>4.4</v>
      </c>
      <c r="BB8" s="22" t="n">
        <v>4.3</v>
      </c>
      <c r="BC8" s="22" t="n">
        <v>4.2</v>
      </c>
      <c r="BD8" s="22" t="n">
        <v>4</v>
      </c>
      <c r="BE8" s="22" t="n">
        <v>4.6</v>
      </c>
      <c r="BF8" s="22" t="n">
        <v>4</v>
      </c>
      <c r="BG8" s="52" t="n">
        <v>3.4</v>
      </c>
      <c r="BH8" s="5">
        <f>IF(MAESTRO!F8="","",IFERROR(TRUNC(AVERAGE(AX8:BG8),1),""))</f>
        <v/>
      </c>
      <c r="BI8" s="22" t="n">
        <v>3.2</v>
      </c>
      <c r="BJ8" s="22" t="n">
        <v>4.9</v>
      </c>
      <c r="BK8" s="22">
        <f>IF(MAESTRO!F8="","",IFERROR(AVERAGE(BI8,BJ8),""))</f>
        <v/>
      </c>
      <c r="BL8" s="5">
        <f>IF(MAESTRO!F8="","",IFERROR(TRUNC(AVERAGE(AW8,BH8,BK8),1),""))</f>
        <v/>
      </c>
      <c r="BM8" s="177" t="n"/>
      <c r="BN8" s="177" t="n">
        <v>4</v>
      </c>
      <c r="BO8" s="177" t="n">
        <v>4</v>
      </c>
      <c r="BP8" s="177">
        <f>IF(MAESTRO!F8="","",MAESTRO!F8)</f>
        <v/>
      </c>
      <c r="BQ8" s="178" t="n"/>
      <c r="BR8" s="5" t="n">
        <v>3.6</v>
      </c>
      <c r="BS8" s="5" t="n">
        <v>4</v>
      </c>
      <c r="BT8" s="5" t="n">
        <v>4.6</v>
      </c>
      <c r="BU8" s="5" t="n">
        <v>4</v>
      </c>
      <c r="BV8" s="5" t="n">
        <v>4.6</v>
      </c>
      <c r="BW8" s="5" t="n">
        <v>4.8</v>
      </c>
      <c r="BX8" s="5" t="n">
        <v>4.2</v>
      </c>
      <c r="BY8" s="5" t="n">
        <v>4.8</v>
      </c>
      <c r="BZ8" s="5" t="n">
        <v>4.8</v>
      </c>
      <c r="CA8" s="5" t="n">
        <v>4.8</v>
      </c>
      <c r="CB8" s="5" t="n">
        <v>4.6</v>
      </c>
      <c r="CC8" s="5" t="n">
        <v>5</v>
      </c>
      <c r="CD8" s="5" t="n">
        <v>3.6</v>
      </c>
      <c r="CE8" s="5">
        <f>IF(MAESTRO!F8="","",IFERROR(TRUNC(AVERAGE(BR8:CD8),1),""))</f>
        <v/>
      </c>
      <c r="CF8" s="5" t="n">
        <v>3.5</v>
      </c>
      <c r="CG8" s="5" t="n">
        <v>3.5</v>
      </c>
      <c r="CH8" s="5" t="n">
        <v>5</v>
      </c>
      <c r="CI8" s="5" t="n">
        <v>3.4</v>
      </c>
      <c r="CJ8" s="5" t="n">
        <v>4.1</v>
      </c>
      <c r="CK8" s="5" t="n">
        <v>3.6</v>
      </c>
      <c r="CL8" s="5" t="n">
        <v>4.9</v>
      </c>
      <c r="CM8" s="5" t="n">
        <v>4.9</v>
      </c>
      <c r="CN8" s="5" t="n">
        <v>3.4</v>
      </c>
      <c r="CO8" s="5" t="n">
        <v>5</v>
      </c>
      <c r="CP8" s="5">
        <f>IF(MAESTRO!F8="","",IFERROR(TRUNC(AVERAGE(CF8:CO8),1),""))</f>
        <v/>
      </c>
      <c r="CQ8" s="5" t="n">
        <v>4</v>
      </c>
      <c r="CR8" s="5" t="n">
        <v>4.2</v>
      </c>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v>4.7</v>
      </c>
      <c r="D9" s="5" t="n">
        <v>4.5</v>
      </c>
      <c r="E9" s="5" t="n">
        <v>4.9</v>
      </c>
      <c r="F9" s="5" t="n">
        <v>4.5</v>
      </c>
      <c r="G9" s="5" t="n">
        <v>3.9</v>
      </c>
      <c r="H9" s="5" t="n">
        <v>4.7</v>
      </c>
      <c r="I9" s="5" t="n">
        <v>3.8</v>
      </c>
      <c r="J9" s="5" t="n">
        <v>3.3</v>
      </c>
      <c r="K9" s="5" t="n">
        <v>4</v>
      </c>
      <c r="L9" s="5" t="n">
        <v>3.9</v>
      </c>
      <c r="M9" s="5" t="n">
        <v>3.4</v>
      </c>
      <c r="N9" s="5" t="n">
        <v>3.2</v>
      </c>
      <c r="O9" s="5" t="n">
        <v>3.2</v>
      </c>
      <c r="P9" s="5">
        <f>IF(MAESTRO!F9="","",IFERROR(TRUNC(AVERAGE(C9:O9),1),""))</f>
        <v/>
      </c>
      <c r="Q9" s="40" t="n">
        <v>5</v>
      </c>
      <c r="R9" s="22" t="n">
        <v>4.7</v>
      </c>
      <c r="S9" s="22" t="n">
        <v>4.8</v>
      </c>
      <c r="T9" s="22" t="n">
        <v>5</v>
      </c>
      <c r="U9" s="22" t="n">
        <v>4.3</v>
      </c>
      <c r="V9" s="22" t="n">
        <v>4.9</v>
      </c>
      <c r="W9" s="22" t="n">
        <v>4.1</v>
      </c>
      <c r="X9" s="22" t="n">
        <v>4</v>
      </c>
      <c r="Y9" s="22" t="n">
        <v>4.8</v>
      </c>
      <c r="Z9" s="22" t="n">
        <v>4.7</v>
      </c>
      <c r="AA9" s="45">
        <f>IF(MAESTRO!F9="","",IFERROR(TRUNC(AVERAGE(R9:Z9),1),""))</f>
        <v/>
      </c>
      <c r="AB9" s="177" t="n">
        <v>4.9</v>
      </c>
      <c r="AC9" s="42" t="n">
        <v>4.9</v>
      </c>
      <c r="AD9" s="5">
        <f>IF(MAESTRO!F9="","",IFERROR(AVERAGE(AB9:AC9),""))</f>
        <v/>
      </c>
      <c r="AE9" s="44">
        <f>IF(MAESTRO!F9="","",IFERROR(TRUNC(AVERAGE(P9,AA9,AD9),1),""))</f>
        <v/>
      </c>
      <c r="AF9" s="177" t="n"/>
      <c r="AG9" s="177" t="n">
        <v>5</v>
      </c>
      <c r="AH9" s="177" t="n">
        <v>5</v>
      </c>
      <c r="AI9" s="177">
        <f>IF(MAESTRO!F9="","",MAESTRO!F9)</f>
        <v/>
      </c>
      <c r="AJ9" s="178" t="n"/>
      <c r="AK9" s="61" t="n">
        <v>4</v>
      </c>
      <c r="AL9" s="61" t="n">
        <v>4.6</v>
      </c>
      <c r="AM9" s="61" t="n">
        <v>4.1</v>
      </c>
      <c r="AN9" s="61" t="n">
        <v>4.8</v>
      </c>
      <c r="AO9" s="61" t="n">
        <v>3.7</v>
      </c>
      <c r="AP9" s="61" t="n">
        <v>4.7</v>
      </c>
      <c r="AQ9" s="61" t="n">
        <v>3.2</v>
      </c>
      <c r="AR9" s="61" t="n">
        <v>4.9</v>
      </c>
      <c r="AS9" s="61" t="n">
        <v>4.8</v>
      </c>
      <c r="AT9" s="61" t="n">
        <v>3.5</v>
      </c>
      <c r="AU9" s="61" t="n">
        <v>4.7</v>
      </c>
      <c r="AV9" s="61" t="n">
        <v>3.3</v>
      </c>
      <c r="AW9" s="5">
        <f>IF(MAESTRO!F9="","",IFERROR(TRUNC(AVERAGE(AK9:AV9),1),""))</f>
        <v/>
      </c>
      <c r="AX9" s="22" t="n">
        <v>4.7</v>
      </c>
      <c r="AY9" s="22" t="n">
        <v>4.5</v>
      </c>
      <c r="AZ9" s="22" t="n">
        <v>4.8</v>
      </c>
      <c r="BA9" s="22" t="n">
        <v>3.5</v>
      </c>
      <c r="BB9" s="22" t="n">
        <v>4.5</v>
      </c>
      <c r="BC9" s="22" t="n">
        <v>3.3</v>
      </c>
      <c r="BD9" s="22" t="n">
        <v>3.1</v>
      </c>
      <c r="BE9" s="22" t="n">
        <v>3.6</v>
      </c>
      <c r="BF9" s="22" t="n">
        <v>4.9</v>
      </c>
      <c r="BG9" s="52" t="n">
        <v>4.7</v>
      </c>
      <c r="BH9" s="5">
        <f>IF(MAESTRO!F9="","",IFERROR(TRUNC(AVERAGE(AX9:BG9),1),""))</f>
        <v/>
      </c>
      <c r="BI9" s="22" t="n">
        <v>3.4</v>
      </c>
      <c r="BJ9" s="22" t="n">
        <v>4.6</v>
      </c>
      <c r="BK9" s="22">
        <f>IF(MAESTRO!F9="","",IFERROR(AVERAGE(BI9,BJ9),""))</f>
        <v/>
      </c>
      <c r="BL9" s="5">
        <f>IF(MAESTRO!F9="","",IFERROR(TRUNC(AVERAGE(AW9,BH9,BK9),1),""))</f>
        <v/>
      </c>
      <c r="BM9" s="177" t="n"/>
      <c r="BN9" s="177" t="n">
        <v>5</v>
      </c>
      <c r="BO9" s="177" t="n">
        <v>5</v>
      </c>
      <c r="BP9" s="177">
        <f>IF(MAESTRO!F9="","",MAESTRO!F9)</f>
        <v/>
      </c>
      <c r="BQ9" s="178" t="n"/>
      <c r="BR9" s="5" t="n">
        <v>3.9</v>
      </c>
      <c r="BS9" s="5" t="n">
        <v>4.6</v>
      </c>
      <c r="BT9" s="5" t="n">
        <v>3.2</v>
      </c>
      <c r="BU9" s="5" t="n">
        <v>4.6</v>
      </c>
      <c r="BV9" s="5" t="n">
        <v>3.8</v>
      </c>
      <c r="BW9" s="5" t="n">
        <v>4</v>
      </c>
      <c r="BX9" s="5" t="n">
        <v>4.2</v>
      </c>
      <c r="BY9" s="5" t="n">
        <v>4.8</v>
      </c>
      <c r="BZ9" s="5" t="n">
        <v>3.3</v>
      </c>
      <c r="CA9" s="5" t="n">
        <v>4.5</v>
      </c>
      <c r="CB9" s="5" t="n">
        <v>3.5</v>
      </c>
      <c r="CC9" s="5" t="n">
        <v>4.3</v>
      </c>
      <c r="CD9" s="5" t="n">
        <v>4</v>
      </c>
      <c r="CE9" s="5">
        <f>IF(MAESTRO!F9="","",IFERROR(TRUNC(AVERAGE(BR9:CD9),1),""))</f>
        <v/>
      </c>
      <c r="CF9" s="5" t="n">
        <v>3.8</v>
      </c>
      <c r="CG9" s="5" t="n">
        <v>4</v>
      </c>
      <c r="CH9" s="5" t="n">
        <v>3.1</v>
      </c>
      <c r="CI9" s="5" t="n">
        <v>4.2</v>
      </c>
      <c r="CJ9" s="5" t="n">
        <v>5</v>
      </c>
      <c r="CK9" s="5" t="n">
        <v>4.8</v>
      </c>
      <c r="CL9" s="5" t="n">
        <v>4.6</v>
      </c>
      <c r="CM9" s="5" t="n">
        <v>3.4</v>
      </c>
      <c r="CN9" s="5" t="n">
        <v>4.6</v>
      </c>
      <c r="CO9" s="5" t="n">
        <v>3.7</v>
      </c>
      <c r="CP9" s="5">
        <f>IF(MAESTRO!F9="","",IFERROR(TRUNC(AVERAGE(CF9:CO9),1),""))</f>
        <v/>
      </c>
      <c r="CQ9" s="5" t="n">
        <v>4.3</v>
      </c>
      <c r="CR9" s="5" t="n">
        <v>5</v>
      </c>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v>4.8</v>
      </c>
      <c r="D10" s="5" t="n">
        <v>4.5</v>
      </c>
      <c r="E10" s="5" t="n">
        <v>3.2</v>
      </c>
      <c r="F10" s="5" t="n">
        <v>4.3</v>
      </c>
      <c r="G10" s="5" t="n">
        <v>3.8</v>
      </c>
      <c r="H10" s="5" t="n">
        <v>4.8</v>
      </c>
      <c r="I10" s="5" t="n">
        <v>3.8</v>
      </c>
      <c r="J10" s="5" t="n">
        <v>4.1</v>
      </c>
      <c r="K10" s="5" t="n">
        <v>3.1</v>
      </c>
      <c r="L10" s="5" t="n">
        <v>3.2</v>
      </c>
      <c r="M10" s="5" t="n">
        <v>4</v>
      </c>
      <c r="N10" s="5" t="n">
        <v>4.9</v>
      </c>
      <c r="O10" s="5" t="n">
        <v>4.4</v>
      </c>
      <c r="P10" s="5">
        <f>IF(MAESTRO!F10="","",IFERROR(TRUNC(AVERAGE(C10:O10),1),""))</f>
        <v/>
      </c>
      <c r="Q10" s="40" t="n">
        <v>6</v>
      </c>
      <c r="R10" s="22" t="n">
        <v>5</v>
      </c>
      <c r="S10" s="22" t="n">
        <v>4.5</v>
      </c>
      <c r="T10" s="22" t="n">
        <v>3.1</v>
      </c>
      <c r="U10" s="22" t="n">
        <v>4.4</v>
      </c>
      <c r="V10" s="22" t="n">
        <v>3.9</v>
      </c>
      <c r="W10" s="22" t="n">
        <v>3.7</v>
      </c>
      <c r="X10" s="22" t="n">
        <v>3.3</v>
      </c>
      <c r="Y10" s="22" t="n">
        <v>3.8</v>
      </c>
      <c r="Z10" s="22" t="n">
        <v>3.5</v>
      </c>
      <c r="AA10" s="45">
        <f>IF(MAESTRO!F10="","",IFERROR(TRUNC(AVERAGE(R10:Z10),1),""))</f>
        <v/>
      </c>
      <c r="AB10" s="177" t="n">
        <v>4.3</v>
      </c>
      <c r="AC10" s="42" t="n">
        <v>3.7</v>
      </c>
      <c r="AD10" s="5">
        <f>IF(MAESTRO!F10="","",IFERROR(AVERAGE(AB10:AC10),""))</f>
        <v/>
      </c>
      <c r="AE10" s="44">
        <f>IF(MAESTRO!F10="","",IFERROR(TRUNC(AVERAGE(P10,AA10,AD10),1),""))</f>
        <v/>
      </c>
      <c r="AF10" s="177" t="n"/>
      <c r="AG10" s="177" t="n">
        <v>6</v>
      </c>
      <c r="AH10" s="177" t="n">
        <v>6</v>
      </c>
      <c r="AI10" s="177">
        <f>IF(MAESTRO!F10="","",MAESTRO!F10)</f>
        <v/>
      </c>
      <c r="AJ10" s="178" t="n"/>
      <c r="AK10" s="61" t="n">
        <v>3.1</v>
      </c>
      <c r="AL10" s="61" t="n">
        <v>3.5</v>
      </c>
      <c r="AM10" s="61" t="n">
        <v>3.6</v>
      </c>
      <c r="AN10" s="61" t="n">
        <v>3.1</v>
      </c>
      <c r="AO10" s="61" t="n">
        <v>4.7</v>
      </c>
      <c r="AP10" s="61" t="n">
        <v>4.1</v>
      </c>
      <c r="AQ10" s="61" t="n">
        <v>4.6</v>
      </c>
      <c r="AR10" s="61" t="n">
        <v>3.1</v>
      </c>
      <c r="AS10" s="61" t="n">
        <v>3.3</v>
      </c>
      <c r="AT10" s="61" t="n">
        <v>3.8</v>
      </c>
      <c r="AU10" s="61" t="n">
        <v>3.9</v>
      </c>
      <c r="AV10" s="61" t="n">
        <v>3.8</v>
      </c>
      <c r="AW10" s="5">
        <f>IF(MAESTRO!F10="","",IFERROR(TRUNC(AVERAGE(AK10:AV10),1),""))</f>
        <v/>
      </c>
      <c r="AX10" s="22" t="n">
        <v>3.4</v>
      </c>
      <c r="AY10" s="22" t="n">
        <v>3.2</v>
      </c>
      <c r="AZ10" s="22" t="n">
        <v>3.1</v>
      </c>
      <c r="BA10" s="22" t="n">
        <v>5</v>
      </c>
      <c r="BB10" s="22" t="n">
        <v>3.3</v>
      </c>
      <c r="BC10" s="22" t="n">
        <v>4.4</v>
      </c>
      <c r="BD10" s="22" t="n">
        <v>3.7</v>
      </c>
      <c r="BE10" s="22" t="n">
        <v>3.4</v>
      </c>
      <c r="BF10" s="22" t="n">
        <v>3.5</v>
      </c>
      <c r="BG10" s="52" t="n">
        <v>4.6</v>
      </c>
      <c r="BH10" s="5">
        <f>IF(MAESTRO!F10="","",IFERROR(TRUNC(AVERAGE(AX10:BG10),1),""))</f>
        <v/>
      </c>
      <c r="BI10" s="22" t="n">
        <v>3.1</v>
      </c>
      <c r="BJ10" s="22" t="n">
        <v>3.7</v>
      </c>
      <c r="BK10" s="22">
        <f>IF(MAESTRO!F10="","",IFERROR(AVERAGE(BI10,BJ10),""))</f>
        <v/>
      </c>
      <c r="BL10" s="5">
        <f>IF(MAESTRO!F10="","",IFERROR(TRUNC(AVERAGE(AW10,BH10,BK10),1),""))</f>
        <v/>
      </c>
      <c r="BM10" s="177" t="n"/>
      <c r="BN10" s="177" t="n">
        <v>6</v>
      </c>
      <c r="BO10" s="177" t="n">
        <v>6</v>
      </c>
      <c r="BP10" s="177">
        <f>IF(MAESTRO!F10="","",MAESTRO!F10)</f>
        <v/>
      </c>
      <c r="BQ10" s="178" t="n"/>
      <c r="BR10" s="5" t="n">
        <v>4.7</v>
      </c>
      <c r="BS10" s="5" t="n">
        <v>4.2</v>
      </c>
      <c r="BT10" s="5" t="n">
        <v>4.4</v>
      </c>
      <c r="BU10" s="5" t="n">
        <v>4.5</v>
      </c>
      <c r="BV10" s="5" t="n">
        <v>4.5</v>
      </c>
      <c r="BW10" s="5" t="n">
        <v>4</v>
      </c>
      <c r="BX10" s="5" t="n">
        <v>4</v>
      </c>
      <c r="BY10" s="5" t="n">
        <v>3.2</v>
      </c>
      <c r="BZ10" s="5" t="n">
        <v>5</v>
      </c>
      <c r="CA10" s="5" t="n">
        <v>3.8</v>
      </c>
      <c r="CB10" s="5" t="n">
        <v>4.4</v>
      </c>
      <c r="CC10" s="5" t="n">
        <v>4.6</v>
      </c>
      <c r="CD10" s="5" t="n">
        <v>4.5</v>
      </c>
      <c r="CE10" s="5">
        <f>IF(MAESTRO!F10="","",IFERROR(TRUNC(AVERAGE(BR10:CD10),1),""))</f>
        <v/>
      </c>
      <c r="CF10" s="5" t="n">
        <v>4.9</v>
      </c>
      <c r="CG10" s="5" t="n">
        <v>4.9</v>
      </c>
      <c r="CH10" s="5" t="n">
        <v>4.9</v>
      </c>
      <c r="CI10" s="5" t="n">
        <v>4</v>
      </c>
      <c r="CJ10" s="5" t="n">
        <v>3.4</v>
      </c>
      <c r="CK10" s="5" t="n">
        <v>4.8</v>
      </c>
      <c r="CL10" s="5" t="n">
        <v>3.3</v>
      </c>
      <c r="CM10" s="5" t="n">
        <v>4</v>
      </c>
      <c r="CN10" s="5" t="n">
        <v>3.4</v>
      </c>
      <c r="CO10" s="5" t="n">
        <v>3.3</v>
      </c>
      <c r="CP10" s="5">
        <f>IF(MAESTRO!F10="","",IFERROR(TRUNC(AVERAGE(CF10:CO10),1),""))</f>
        <v/>
      </c>
      <c r="CQ10" s="5" t="n">
        <v>3</v>
      </c>
      <c r="CR10" s="5" t="n">
        <v>3.4</v>
      </c>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v>4.9</v>
      </c>
      <c r="D11" s="5" t="n">
        <v>4</v>
      </c>
      <c r="E11" s="5" t="n">
        <v>4.8</v>
      </c>
      <c r="F11" s="5" t="n">
        <v>3.4</v>
      </c>
      <c r="G11" s="5" t="n">
        <v>4.1</v>
      </c>
      <c r="H11" s="5" t="n">
        <v>4.6</v>
      </c>
      <c r="I11" s="5" t="n">
        <v>4.3</v>
      </c>
      <c r="J11" s="5" t="n">
        <v>4.3</v>
      </c>
      <c r="K11" s="5" t="n">
        <v>3.6</v>
      </c>
      <c r="L11" s="5" t="n">
        <v>4.5</v>
      </c>
      <c r="M11" s="5" t="n">
        <v>3.6</v>
      </c>
      <c r="N11" s="5" t="n">
        <v>3.6</v>
      </c>
      <c r="O11" s="5" t="n">
        <v>4.3</v>
      </c>
      <c r="P11" s="5">
        <f>IF(MAESTRO!F11="","",IFERROR(TRUNC(AVERAGE(C11:O11),1),""))</f>
        <v/>
      </c>
      <c r="Q11" s="40" t="n">
        <v>7</v>
      </c>
      <c r="R11" s="22" t="n">
        <v>3.8</v>
      </c>
      <c r="S11" s="22" t="n">
        <v>4</v>
      </c>
      <c r="T11" s="22" t="n">
        <v>4.6</v>
      </c>
      <c r="U11" s="22" t="n">
        <v>5</v>
      </c>
      <c r="V11" s="22" t="n">
        <v>4.7</v>
      </c>
      <c r="W11" s="22" t="n">
        <v>4.7</v>
      </c>
      <c r="X11" s="22" t="n">
        <v>4.6</v>
      </c>
      <c r="Y11" s="22" t="n">
        <v>4.6</v>
      </c>
      <c r="Z11" s="22" t="n">
        <v>4.9</v>
      </c>
      <c r="AA11" s="45">
        <f>IF(MAESTRO!F11="","",IFERROR(TRUNC(AVERAGE(R11:Z11),1),""))</f>
        <v/>
      </c>
      <c r="AB11" s="177" t="n">
        <v>4.5</v>
      </c>
      <c r="AC11" s="42" t="n">
        <v>3.2</v>
      </c>
      <c r="AD11" s="5">
        <f>IF(MAESTRO!F11="","",IFERROR(AVERAGE(AB11:AC11),""))</f>
        <v/>
      </c>
      <c r="AE11" s="44">
        <f>IF(MAESTRO!F11="","",IFERROR(TRUNC(AVERAGE(P11,AA11,AD11),1),""))</f>
        <v/>
      </c>
      <c r="AF11" s="177" t="n"/>
      <c r="AG11" s="177" t="n">
        <v>7</v>
      </c>
      <c r="AH11" s="177" t="n">
        <v>7</v>
      </c>
      <c r="AI11" s="177">
        <f>IF(MAESTRO!F11="","",MAESTRO!F11)</f>
        <v/>
      </c>
      <c r="AJ11" s="178" t="n"/>
      <c r="AK11" s="61" t="n">
        <v>3.9</v>
      </c>
      <c r="AL11" s="61" t="n">
        <v>3.1</v>
      </c>
      <c r="AM11" s="61" t="n">
        <v>4.8</v>
      </c>
      <c r="AN11" s="61" t="n">
        <v>4.7</v>
      </c>
      <c r="AO11" s="61" t="n">
        <v>3</v>
      </c>
      <c r="AP11" s="61" t="n">
        <v>4.6</v>
      </c>
      <c r="AQ11" s="61" t="n">
        <v>3.6</v>
      </c>
      <c r="AR11" s="61" t="n">
        <v>4.8</v>
      </c>
      <c r="AS11" s="61" t="n">
        <v>3.2</v>
      </c>
      <c r="AT11" s="61" t="n">
        <v>4.1</v>
      </c>
      <c r="AU11" s="61" t="n">
        <v>4.9</v>
      </c>
      <c r="AV11" s="61" t="n">
        <v>5</v>
      </c>
      <c r="AW11" s="5">
        <f>IF(MAESTRO!F11="","",IFERROR(TRUNC(AVERAGE(AK11:AV11),1),""))</f>
        <v/>
      </c>
      <c r="AX11" s="22" t="n">
        <v>4.3</v>
      </c>
      <c r="AY11" s="22" t="n">
        <v>3.2</v>
      </c>
      <c r="AZ11" s="22" t="n">
        <v>3.8</v>
      </c>
      <c r="BA11" s="22" t="n">
        <v>3.2</v>
      </c>
      <c r="BB11" s="22" t="n">
        <v>3.1</v>
      </c>
      <c r="BC11" s="22" t="n">
        <v>4.7</v>
      </c>
      <c r="BD11" s="22" t="n">
        <v>4.1</v>
      </c>
      <c r="BE11" s="22" t="n">
        <v>4.4</v>
      </c>
      <c r="BF11" s="22" t="n">
        <v>4.7</v>
      </c>
      <c r="BG11" s="52" t="n">
        <v>4.2</v>
      </c>
      <c r="BH11" s="5">
        <f>IF(MAESTRO!F11="","",IFERROR(TRUNC(AVERAGE(AX11:BG11),1),""))</f>
        <v/>
      </c>
      <c r="BI11" s="22" t="n">
        <v>3.8</v>
      </c>
      <c r="BJ11" s="22" t="n">
        <v>4.3</v>
      </c>
      <c r="BK11" s="22">
        <f>IF(MAESTRO!F11="","",IFERROR(AVERAGE(BI11,BJ11),""))</f>
        <v/>
      </c>
      <c r="BL11" s="5">
        <f>IF(MAESTRO!F11="","",IFERROR(TRUNC(AVERAGE(AW11,BH11,BK11),1),""))</f>
        <v/>
      </c>
      <c r="BM11" s="177" t="n"/>
      <c r="BN11" s="177" t="n">
        <v>7</v>
      </c>
      <c r="BO11" s="177" t="n">
        <v>7</v>
      </c>
      <c r="BP11" s="177">
        <f>IF(MAESTRO!F11="","",MAESTRO!F11)</f>
        <v/>
      </c>
      <c r="BQ11" s="178" t="n"/>
      <c r="BR11" s="5" t="n">
        <v>4.7</v>
      </c>
      <c r="BS11" s="5" t="n">
        <v>4.4</v>
      </c>
      <c r="BT11" s="5" t="n">
        <v>3.5</v>
      </c>
      <c r="BU11" s="5" t="n">
        <v>4.3</v>
      </c>
      <c r="BV11" s="5" t="n">
        <v>4.6</v>
      </c>
      <c r="BW11" s="5" t="n">
        <v>3.2</v>
      </c>
      <c r="BX11" s="5" t="n">
        <v>3.4</v>
      </c>
      <c r="BY11" s="5" t="n">
        <v>4.5</v>
      </c>
      <c r="BZ11" s="5" t="n">
        <v>3.2</v>
      </c>
      <c r="CA11" s="5" t="n">
        <v>3.9</v>
      </c>
      <c r="CB11" s="5" t="n">
        <v>3.5</v>
      </c>
      <c r="CC11" s="5" t="n">
        <v>4.3</v>
      </c>
      <c r="CD11" s="5" t="n">
        <v>3.3</v>
      </c>
      <c r="CE11" s="5">
        <f>IF(MAESTRO!F11="","",IFERROR(TRUNC(AVERAGE(BR11:CD11),1),""))</f>
        <v/>
      </c>
      <c r="CF11" s="5" t="n">
        <v>5</v>
      </c>
      <c r="CG11" s="5" t="n">
        <v>4.3</v>
      </c>
      <c r="CH11" s="5" t="n">
        <v>3.3</v>
      </c>
      <c r="CI11" s="5" t="n">
        <v>4.8</v>
      </c>
      <c r="CJ11" s="5" t="n">
        <v>4.8</v>
      </c>
      <c r="CK11" s="5" t="n">
        <v>3.3</v>
      </c>
      <c r="CL11" s="5" t="n">
        <v>4.4</v>
      </c>
      <c r="CM11" s="5" t="n">
        <v>3.6</v>
      </c>
      <c r="CN11" s="5" t="n">
        <v>4.6</v>
      </c>
      <c r="CO11" s="5" t="n">
        <v>3.7</v>
      </c>
      <c r="CP11" s="5">
        <f>IF(MAESTRO!F11="","",IFERROR(TRUNC(AVERAGE(CF11:CO11),1),""))</f>
        <v/>
      </c>
      <c r="CQ11" s="5" t="n">
        <v>3.6</v>
      </c>
      <c r="CR11" s="5" t="n">
        <v>3.2</v>
      </c>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v>4</v>
      </c>
      <c r="D12" s="5" t="n">
        <v>3.1</v>
      </c>
      <c r="E12" s="5" t="n">
        <v>3.4</v>
      </c>
      <c r="F12" s="5" t="n">
        <v>4.7</v>
      </c>
      <c r="G12" s="5" t="n">
        <v>4.3</v>
      </c>
      <c r="H12" s="5" t="n">
        <v>4.2</v>
      </c>
      <c r="I12" s="5" t="n">
        <v>4.1</v>
      </c>
      <c r="J12" s="5" t="n">
        <v>4.9</v>
      </c>
      <c r="K12" s="5" t="n">
        <v>3.7</v>
      </c>
      <c r="L12" s="5" t="n">
        <v>4</v>
      </c>
      <c r="M12" s="5" t="n">
        <v>3.2</v>
      </c>
      <c r="N12" s="5" t="n">
        <v>4.4</v>
      </c>
      <c r="O12" s="5" t="n">
        <v>3.1</v>
      </c>
      <c r="P12" s="5">
        <f>IF(MAESTRO!F12="","",IFERROR(TRUNC(AVERAGE(C12:O12),1),""))</f>
        <v/>
      </c>
      <c r="Q12" s="40" t="n">
        <v>8</v>
      </c>
      <c r="R12" s="22" t="n">
        <v>4.9</v>
      </c>
      <c r="S12" s="22" t="n">
        <v>3.6</v>
      </c>
      <c r="T12" s="22" t="n">
        <v>3.2</v>
      </c>
      <c r="U12" s="22" t="n">
        <v>3.7</v>
      </c>
      <c r="V12" s="22" t="n">
        <v>3.8</v>
      </c>
      <c r="W12" s="22" t="n">
        <v>3.7</v>
      </c>
      <c r="X12" s="22" t="n">
        <v>3.1</v>
      </c>
      <c r="Y12" s="22" t="n">
        <v>4.6</v>
      </c>
      <c r="Z12" s="22" t="n">
        <v>4.7</v>
      </c>
      <c r="AA12" s="45">
        <f>IF(MAESTRO!F12="","",IFERROR(TRUNC(AVERAGE(R12:Z12),1),""))</f>
        <v/>
      </c>
      <c r="AB12" s="177" t="n">
        <v>3.1</v>
      </c>
      <c r="AC12" s="42" t="n">
        <v>4.7</v>
      </c>
      <c r="AD12" s="5">
        <f>IF(MAESTRO!F12="","",IFERROR(AVERAGE(AB12:AC12),""))</f>
        <v/>
      </c>
      <c r="AE12" s="44">
        <f>IF(MAESTRO!F12="","",IFERROR(TRUNC(AVERAGE(P12,AA12,AD12),1),""))</f>
        <v/>
      </c>
      <c r="AF12" s="177" t="n"/>
      <c r="AG12" s="177" t="n">
        <v>8</v>
      </c>
      <c r="AH12" s="177" t="n">
        <v>8</v>
      </c>
      <c r="AI12" s="177">
        <f>IF(MAESTRO!F12="","",MAESTRO!F12)</f>
        <v/>
      </c>
      <c r="AJ12" s="178" t="n"/>
      <c r="AK12" s="61" t="n">
        <v>3.7</v>
      </c>
      <c r="AL12" s="61" t="n">
        <v>4.8</v>
      </c>
      <c r="AM12" s="61" t="n">
        <v>4.4</v>
      </c>
      <c r="AN12" s="61" t="n">
        <v>3.7</v>
      </c>
      <c r="AO12" s="61" t="n">
        <v>3.2</v>
      </c>
      <c r="AP12" s="61" t="n">
        <v>3.7</v>
      </c>
      <c r="AQ12" s="61" t="n">
        <v>4</v>
      </c>
      <c r="AR12" s="61" t="n">
        <v>4.1</v>
      </c>
      <c r="AS12" s="61" t="n">
        <v>5</v>
      </c>
      <c r="AT12" s="61" t="n">
        <v>3.5</v>
      </c>
      <c r="AU12" s="61" t="n">
        <v>3.1</v>
      </c>
      <c r="AV12" s="61" t="n">
        <v>4</v>
      </c>
      <c r="AW12" s="5">
        <f>IF(MAESTRO!F12="","",IFERROR(TRUNC(AVERAGE(AK12:AV12),1),""))</f>
        <v/>
      </c>
      <c r="AX12" s="22" t="n">
        <v>3.3</v>
      </c>
      <c r="AY12" s="22" t="n">
        <v>4.3</v>
      </c>
      <c r="AZ12" s="22" t="n">
        <v>3.1</v>
      </c>
      <c r="BA12" s="22" t="n">
        <v>5</v>
      </c>
      <c r="BB12" s="22" t="n">
        <v>4.9</v>
      </c>
      <c r="BC12" s="22" t="n">
        <v>4.5</v>
      </c>
      <c r="BD12" s="22" t="n">
        <v>3.3</v>
      </c>
      <c r="BE12" s="22" t="n">
        <v>3.7</v>
      </c>
      <c r="BF12" s="22" t="n">
        <v>3.7</v>
      </c>
      <c r="BG12" s="52" t="n">
        <v>4.9</v>
      </c>
      <c r="BH12" s="5">
        <f>IF(MAESTRO!F12="","",IFERROR(TRUNC(AVERAGE(AX12:BG12),1),""))</f>
        <v/>
      </c>
      <c r="BI12" s="22" t="n">
        <v>4.7</v>
      </c>
      <c r="BJ12" s="22" t="n">
        <v>4.9</v>
      </c>
      <c r="BK12" s="22">
        <f>IF(MAESTRO!F12="","",IFERROR(AVERAGE(BI12,BJ12),""))</f>
        <v/>
      </c>
      <c r="BL12" s="5">
        <f>IF(MAESTRO!F12="","",IFERROR(TRUNC(AVERAGE(AW12,BH12,BK12),1),""))</f>
        <v/>
      </c>
      <c r="BM12" s="177" t="n"/>
      <c r="BN12" s="177" t="n">
        <v>8</v>
      </c>
      <c r="BO12" s="177" t="n">
        <v>8</v>
      </c>
      <c r="BP12" s="177">
        <f>IF(MAESTRO!F12="","",MAESTRO!F12)</f>
        <v/>
      </c>
      <c r="BQ12" s="178" t="n"/>
      <c r="BR12" s="5" t="n">
        <v>4.3</v>
      </c>
      <c r="BS12" s="5" t="n">
        <v>4.9</v>
      </c>
      <c r="BT12" s="5" t="n">
        <v>4</v>
      </c>
      <c r="BU12" s="5" t="n">
        <v>3.9</v>
      </c>
      <c r="BV12" s="5" t="n">
        <v>4.7</v>
      </c>
      <c r="BW12" s="5" t="n">
        <v>4.6</v>
      </c>
      <c r="BX12" s="5" t="n">
        <v>3.5</v>
      </c>
      <c r="BY12" s="5" t="n">
        <v>4.2</v>
      </c>
      <c r="BZ12" s="5" t="n">
        <v>5</v>
      </c>
      <c r="CA12" s="5" t="n">
        <v>3.2</v>
      </c>
      <c r="CB12" s="5" t="n">
        <v>3.7</v>
      </c>
      <c r="CC12" s="5" t="n">
        <v>4.5</v>
      </c>
      <c r="CD12" s="5" t="n">
        <v>3.3</v>
      </c>
      <c r="CE12" s="5">
        <f>IF(MAESTRO!F12="","",IFERROR(TRUNC(AVERAGE(BR12:CD12),1),""))</f>
        <v/>
      </c>
      <c r="CF12" s="5" t="n">
        <v>4.2</v>
      </c>
      <c r="CG12" s="5" t="n">
        <v>4.9</v>
      </c>
      <c r="CH12" s="5" t="n">
        <v>3.2</v>
      </c>
      <c r="CI12" s="5" t="n">
        <v>3.4</v>
      </c>
      <c r="CJ12" s="5" t="n">
        <v>4.2</v>
      </c>
      <c r="CK12" s="5" t="n">
        <v>3.6</v>
      </c>
      <c r="CL12" s="5" t="n">
        <v>4.2</v>
      </c>
      <c r="CM12" s="5" t="n">
        <v>4.6</v>
      </c>
      <c r="CN12" s="5" t="n">
        <v>3.3</v>
      </c>
      <c r="CO12" s="5" t="n">
        <v>4.7</v>
      </c>
      <c r="CP12" s="5">
        <f>IF(MAESTRO!F12="","",IFERROR(TRUNC(AVERAGE(CF12:CO12),1),""))</f>
        <v/>
      </c>
      <c r="CQ12" s="5" t="n">
        <v>4.9</v>
      </c>
      <c r="CR12" s="5" t="n">
        <v>4.9</v>
      </c>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v>3</v>
      </c>
      <c r="D13" s="5" t="n">
        <v>4.8</v>
      </c>
      <c r="E13" s="5" t="n">
        <v>4</v>
      </c>
      <c r="F13" s="5" t="n">
        <v>5</v>
      </c>
      <c r="G13" s="5" t="n">
        <v>3.8</v>
      </c>
      <c r="H13" s="5" t="n">
        <v>4.6</v>
      </c>
      <c r="I13" s="5" t="n">
        <v>4</v>
      </c>
      <c r="J13" s="5" t="n">
        <v>4.1</v>
      </c>
      <c r="K13" s="5" t="n">
        <v>4.3</v>
      </c>
      <c r="L13" s="5" t="n">
        <v>4.9</v>
      </c>
      <c r="M13" s="5" t="n">
        <v>4.7</v>
      </c>
      <c r="N13" s="5" t="n">
        <v>5</v>
      </c>
      <c r="O13" s="5" t="n">
        <v>3.5</v>
      </c>
      <c r="P13" s="5">
        <f>IF(MAESTRO!F13="","",IFERROR(TRUNC(AVERAGE(C13:O13),1),""))</f>
        <v/>
      </c>
      <c r="Q13" s="40" t="n">
        <v>9</v>
      </c>
      <c r="R13" s="22" t="n">
        <v>4.6</v>
      </c>
      <c r="S13" s="5" t="n">
        <v>3.7</v>
      </c>
      <c r="T13" s="5" t="n">
        <v>4</v>
      </c>
      <c r="U13" s="5" t="n">
        <v>4.4</v>
      </c>
      <c r="V13" s="5" t="n">
        <v>3.5</v>
      </c>
      <c r="W13" s="5" t="n">
        <v>3.1</v>
      </c>
      <c r="X13" s="5" t="n">
        <v>3.3</v>
      </c>
      <c r="Y13" s="5" t="n">
        <v>3.7</v>
      </c>
      <c r="Z13" s="5" t="n">
        <v>3.3</v>
      </c>
      <c r="AA13" s="45">
        <f>IF(MAESTRO!F13="","",IFERROR(TRUNC(AVERAGE(R13:Z13),1),""))</f>
        <v/>
      </c>
      <c r="AB13" s="5" t="n">
        <v>3.3</v>
      </c>
      <c r="AC13" s="5" t="n">
        <v>4.4</v>
      </c>
      <c r="AD13" s="5">
        <f>IF(MAESTRO!F13="","",IFERROR(AVERAGE(AB13:AC13),""))</f>
        <v/>
      </c>
      <c r="AE13" s="44">
        <f>IF(MAESTRO!F13="","",IFERROR(TRUNC(AVERAGE(P13,AA13,AD13),1),""))</f>
        <v/>
      </c>
      <c r="AF13" s="177" t="n"/>
      <c r="AG13" s="177" t="n">
        <v>9</v>
      </c>
      <c r="AH13" s="177" t="n">
        <v>9</v>
      </c>
      <c r="AI13" s="177">
        <f>IF(MAESTRO!F13="","",MAESTRO!F13)</f>
        <v/>
      </c>
      <c r="AJ13" s="178" t="n"/>
      <c r="AK13" s="42" t="n">
        <v>4.7</v>
      </c>
      <c r="AL13" s="42" t="n">
        <v>3.6</v>
      </c>
      <c r="AM13" s="42" t="n">
        <v>3.5</v>
      </c>
      <c r="AN13" s="42" t="n">
        <v>4</v>
      </c>
      <c r="AO13" s="42" t="n">
        <v>4.6</v>
      </c>
      <c r="AP13" s="42" t="n">
        <v>4.5</v>
      </c>
      <c r="AQ13" s="42" t="n">
        <v>3.6</v>
      </c>
      <c r="AR13" s="61" t="n">
        <v>4.6</v>
      </c>
      <c r="AS13" s="61" t="n">
        <v>4.2</v>
      </c>
      <c r="AT13" s="61" t="n">
        <v>3.9</v>
      </c>
      <c r="AU13" s="61" t="n">
        <v>4.9</v>
      </c>
      <c r="AV13" s="61" t="n">
        <v>4</v>
      </c>
      <c r="AW13" s="5">
        <f>IF(MAESTRO!F13="","",IFERROR(TRUNC(AVERAGE(AK13:AV13),1),""))</f>
        <v/>
      </c>
      <c r="AX13" s="63" t="n">
        <v>3.1</v>
      </c>
      <c r="AY13" s="22" t="n">
        <v>3.4</v>
      </c>
      <c r="AZ13" s="63" t="n">
        <v>3.7</v>
      </c>
      <c r="BA13" s="63" t="n">
        <v>3.8</v>
      </c>
      <c r="BB13" s="22" t="n">
        <v>3</v>
      </c>
      <c r="BC13" s="63" t="n">
        <v>3.6</v>
      </c>
      <c r="BD13" s="63" t="n">
        <v>4.6</v>
      </c>
      <c r="BE13" s="63" t="n">
        <v>4.8</v>
      </c>
      <c r="BF13" s="63" t="n">
        <v>3.7</v>
      </c>
      <c r="BG13" s="52" t="n">
        <v>4.3</v>
      </c>
      <c r="BH13" s="5">
        <f>IF(MAESTRO!F13="","",IFERROR(TRUNC(AVERAGE(AX13:BG13),1),""))</f>
        <v/>
      </c>
      <c r="BI13" s="22" t="n">
        <v>3.2</v>
      </c>
      <c r="BJ13" s="22" t="n">
        <v>4.4</v>
      </c>
      <c r="BK13" s="22">
        <f>IF(MAESTRO!F13="","",IFERROR(AVERAGE(BI13,BJ13),""))</f>
        <v/>
      </c>
      <c r="BL13" s="5">
        <f>IF(MAESTRO!F13="","",IFERROR(TRUNC(AVERAGE(AW13,BH13,BK13),1),""))</f>
        <v/>
      </c>
      <c r="BM13" s="177" t="n"/>
      <c r="BN13" s="177" t="n">
        <v>9</v>
      </c>
      <c r="BO13" s="177" t="n">
        <v>9</v>
      </c>
      <c r="BP13" s="177">
        <f>IF(MAESTRO!F13="","",MAESTRO!F13)</f>
        <v/>
      </c>
      <c r="BQ13" s="178" t="n"/>
      <c r="BR13" s="5" t="n">
        <v>3.6</v>
      </c>
      <c r="BS13" s="5" t="n">
        <v>4.3</v>
      </c>
      <c r="BT13" s="5" t="n">
        <v>3.6</v>
      </c>
      <c r="BU13" s="5" t="n">
        <v>4</v>
      </c>
      <c r="BV13" s="5" t="n">
        <v>4.6</v>
      </c>
      <c r="BW13" s="5" t="n">
        <v>3.2</v>
      </c>
      <c r="BX13" s="5" t="n">
        <v>3.8</v>
      </c>
      <c r="BY13" s="5" t="n">
        <v>4.7</v>
      </c>
      <c r="BZ13" s="5" t="n">
        <v>4.4</v>
      </c>
      <c r="CA13" s="5" t="n">
        <v>4.6</v>
      </c>
      <c r="CB13" s="5" t="n">
        <v>3.8</v>
      </c>
      <c r="CC13" s="5" t="n">
        <v>4.5</v>
      </c>
      <c r="CD13" s="5" t="n">
        <v>4.5</v>
      </c>
      <c r="CE13" s="5">
        <f>IF(MAESTRO!F13="","",IFERROR(TRUNC(AVERAGE(BR13:CD13),1),""))</f>
        <v/>
      </c>
      <c r="CF13" s="5" t="n">
        <v>4.4</v>
      </c>
      <c r="CG13" s="5" t="n">
        <v>3.1</v>
      </c>
      <c r="CH13" s="5" t="n">
        <v>3.6</v>
      </c>
      <c r="CI13" s="5" t="n">
        <v>3.8</v>
      </c>
      <c r="CJ13" s="5" t="n">
        <v>4.3</v>
      </c>
      <c r="CK13" s="5" t="n">
        <v>4</v>
      </c>
      <c r="CL13" s="5" t="n">
        <v>4</v>
      </c>
      <c r="CM13" s="5" t="n">
        <v>4.9</v>
      </c>
      <c r="CN13" s="5" t="n">
        <v>3.9</v>
      </c>
      <c r="CO13" s="5" t="n">
        <v>4.2</v>
      </c>
      <c r="CP13" s="5">
        <f>IF(MAESTRO!F13="","",IFERROR(TRUNC(AVERAGE(CF13:CO13),1),""))</f>
        <v/>
      </c>
      <c r="CQ13" s="5" t="n">
        <v>4.3</v>
      </c>
      <c r="CR13" s="5" t="n">
        <v>4</v>
      </c>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v>4.3</v>
      </c>
      <c r="D14" s="5" t="n">
        <v>3.7</v>
      </c>
      <c r="E14" s="5" t="n">
        <v>4.3</v>
      </c>
      <c r="F14" s="5" t="n">
        <v>3.5</v>
      </c>
      <c r="G14" s="5" t="n">
        <v>3.4</v>
      </c>
      <c r="H14" s="5" t="n">
        <v>4.3</v>
      </c>
      <c r="I14" s="5" t="n">
        <v>4.6</v>
      </c>
      <c r="J14" s="5" t="n">
        <v>4.9</v>
      </c>
      <c r="K14" s="5" t="n">
        <v>3.6</v>
      </c>
      <c r="L14" s="5" t="n">
        <v>4</v>
      </c>
      <c r="M14" s="5" t="n">
        <v>3.8</v>
      </c>
      <c r="N14" s="5" t="n">
        <v>4</v>
      </c>
      <c r="O14" s="5" t="n">
        <v>3.9</v>
      </c>
      <c r="P14" s="5">
        <f>IF(MAESTRO!F14="","",IFERROR(TRUNC(AVERAGE(C14:O14),1),""))</f>
        <v/>
      </c>
      <c r="Q14" s="40" t="n">
        <v>10</v>
      </c>
      <c r="R14" s="22" t="n">
        <v>4.2</v>
      </c>
      <c r="S14" s="22" t="n">
        <v>3.3</v>
      </c>
      <c r="T14" s="22" t="n">
        <v>3.8</v>
      </c>
      <c r="U14" s="22" t="n">
        <v>4.4</v>
      </c>
      <c r="V14" s="22" t="n">
        <v>4.3</v>
      </c>
      <c r="W14" s="22" t="n">
        <v>4.5</v>
      </c>
      <c r="X14" s="22" t="n">
        <v>3.4</v>
      </c>
      <c r="Y14" s="22" t="n">
        <v>3.6</v>
      </c>
      <c r="Z14" s="22" t="n">
        <v>3.6</v>
      </c>
      <c r="AA14" s="45">
        <f>IF(MAESTRO!F14="","",IFERROR(TRUNC(AVERAGE(R14:Z14),1),""))</f>
        <v/>
      </c>
      <c r="AB14" s="177" t="n">
        <v>4.8</v>
      </c>
      <c r="AC14" s="42" t="n">
        <v>3.7</v>
      </c>
      <c r="AD14" s="5">
        <f>IF(MAESTRO!F14="","",IFERROR(AVERAGE(AB14:AC14),""))</f>
        <v/>
      </c>
      <c r="AE14" s="44">
        <f>IF(MAESTRO!F14="","",IFERROR(TRUNC(AVERAGE(P14,AA14,AD14),1),""))</f>
        <v/>
      </c>
      <c r="AF14" s="177" t="n"/>
      <c r="AG14" s="177" t="n">
        <v>10</v>
      </c>
      <c r="AH14" s="177" t="n">
        <v>10</v>
      </c>
      <c r="AI14" s="177">
        <f>IF(MAESTRO!F14="","",MAESTRO!F14)</f>
        <v/>
      </c>
      <c r="AJ14" s="178" t="n"/>
      <c r="AK14" s="61" t="n">
        <v>4.6</v>
      </c>
      <c r="AL14" s="61" t="n">
        <v>4</v>
      </c>
      <c r="AM14" s="61" t="n">
        <v>4.3</v>
      </c>
      <c r="AN14" s="61" t="n">
        <v>4.3</v>
      </c>
      <c r="AO14" s="61" t="n">
        <v>4.4</v>
      </c>
      <c r="AP14" s="61" t="n">
        <v>3.4</v>
      </c>
      <c r="AQ14" s="61" t="n">
        <v>4</v>
      </c>
      <c r="AR14" s="61" t="n">
        <v>3.3</v>
      </c>
      <c r="AS14" s="61" t="n">
        <v>3</v>
      </c>
      <c r="AT14" s="61" t="n">
        <v>3.9</v>
      </c>
      <c r="AU14" s="61" t="n">
        <v>4.7</v>
      </c>
      <c r="AV14" s="61" t="n">
        <v>4.9</v>
      </c>
      <c r="AW14" s="5">
        <f>IF(MAESTRO!F14="","",IFERROR(TRUNC(AVERAGE(AK14:AV14),1),""))</f>
        <v/>
      </c>
      <c r="AX14" s="22" t="n">
        <v>4.7</v>
      </c>
      <c r="AY14" s="22" t="n">
        <v>3</v>
      </c>
      <c r="AZ14" s="22" t="n">
        <v>3</v>
      </c>
      <c r="BA14" s="22" t="n">
        <v>3.5</v>
      </c>
      <c r="BB14" s="22" t="n">
        <v>4.1</v>
      </c>
      <c r="BC14" s="22" t="n">
        <v>4.4</v>
      </c>
      <c r="BD14" s="22" t="n">
        <v>3.5</v>
      </c>
      <c r="BE14" s="22" t="n">
        <v>3</v>
      </c>
      <c r="BF14" s="22" t="n">
        <v>4.8</v>
      </c>
      <c r="BG14" s="52" t="n">
        <v>3.7</v>
      </c>
      <c r="BH14" s="5">
        <f>IF(MAESTRO!F14="","",IFERROR(TRUNC(AVERAGE(AX14:BG14),1),""))</f>
        <v/>
      </c>
      <c r="BI14" s="22" t="n">
        <v>3.6</v>
      </c>
      <c r="BJ14" s="22" t="n">
        <v>4</v>
      </c>
      <c r="BK14" s="22">
        <f>IF(MAESTRO!F14="","",IFERROR(AVERAGE(BI14,BJ14),""))</f>
        <v/>
      </c>
      <c r="BL14" s="5">
        <f>IF(MAESTRO!F14="","",IFERROR(TRUNC(AVERAGE(AW14,BH14,BK14),1),""))</f>
        <v/>
      </c>
      <c r="BM14" s="177" t="n"/>
      <c r="BN14" s="177" t="n">
        <v>10</v>
      </c>
      <c r="BO14" s="177" t="n">
        <v>10</v>
      </c>
      <c r="BP14" s="177">
        <f>IF(MAESTRO!F14="","",MAESTRO!F14)</f>
        <v/>
      </c>
      <c r="BQ14" s="178" t="n"/>
      <c r="BR14" s="5" t="n">
        <v>4.9</v>
      </c>
      <c r="BS14" s="5" t="n">
        <v>3.7</v>
      </c>
      <c r="BT14" s="5" t="n">
        <v>3.1</v>
      </c>
      <c r="BU14" s="5" t="n">
        <v>3.6</v>
      </c>
      <c r="BV14" s="5" t="n">
        <v>4.7</v>
      </c>
      <c r="BW14" s="5" t="n">
        <v>4.7</v>
      </c>
      <c r="BX14" s="5" t="n">
        <v>4.6</v>
      </c>
      <c r="BY14" s="5" t="n">
        <v>4</v>
      </c>
      <c r="BZ14" s="5" t="n">
        <v>3.4</v>
      </c>
      <c r="CA14" s="5" t="n">
        <v>3.3</v>
      </c>
      <c r="CB14" s="5" t="n">
        <v>4</v>
      </c>
      <c r="CC14" s="5" t="n">
        <v>3.7</v>
      </c>
      <c r="CD14" s="5" t="n">
        <v>3.1</v>
      </c>
      <c r="CE14" s="5">
        <f>IF(MAESTRO!F14="","",IFERROR(TRUNC(AVERAGE(BR14:CD14),1),""))</f>
        <v/>
      </c>
      <c r="CF14" s="5" t="n">
        <v>3.7</v>
      </c>
      <c r="CG14" s="5" t="n">
        <v>4.3</v>
      </c>
      <c r="CH14" s="5" t="n">
        <v>3.8</v>
      </c>
      <c r="CI14" s="5" t="n">
        <v>4.9</v>
      </c>
      <c r="CJ14" s="5" t="n">
        <v>3.8</v>
      </c>
      <c r="CK14" s="5" t="n">
        <v>4.4</v>
      </c>
      <c r="CL14" s="5" t="n">
        <v>4.3</v>
      </c>
      <c r="CM14" s="5" t="n">
        <v>4.1</v>
      </c>
      <c r="CN14" s="5" t="n">
        <v>3.8</v>
      </c>
      <c r="CO14" s="5" t="n">
        <v>4.9</v>
      </c>
      <c r="CP14" s="5">
        <f>IF(MAESTRO!F14="","",IFERROR(TRUNC(AVERAGE(CF14:CO14),1),""))</f>
        <v/>
      </c>
      <c r="CQ14" s="5" t="n">
        <v>4.2</v>
      </c>
      <c r="CR14" s="5" t="n">
        <v>3.9</v>
      </c>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v>4.9</v>
      </c>
      <c r="D15" s="5" t="n">
        <v>3.6</v>
      </c>
      <c r="E15" s="5" t="n">
        <v>4.1</v>
      </c>
      <c r="F15" s="5" t="n">
        <v>4.7</v>
      </c>
      <c r="G15" s="5" t="n">
        <v>3.4</v>
      </c>
      <c r="H15" s="5" t="n">
        <v>4.4</v>
      </c>
      <c r="I15" s="5" t="n">
        <v>3.2</v>
      </c>
      <c r="J15" s="5" t="n">
        <v>4.2</v>
      </c>
      <c r="K15" s="5" t="n">
        <v>3.4</v>
      </c>
      <c r="L15" s="5" t="n">
        <v>3</v>
      </c>
      <c r="M15" s="5" t="n">
        <v>4.4</v>
      </c>
      <c r="N15" s="5" t="n">
        <v>4.9</v>
      </c>
      <c r="O15" s="5" t="n">
        <v>4</v>
      </c>
      <c r="P15" s="5">
        <f>IF(MAESTRO!F15="","",IFERROR(TRUNC(AVERAGE(C15:O15),1),""))</f>
        <v/>
      </c>
      <c r="Q15" s="40" t="n">
        <v>11</v>
      </c>
      <c r="R15" s="22" t="n">
        <v>3.8</v>
      </c>
      <c r="S15" s="22" t="n">
        <v>3.6</v>
      </c>
      <c r="T15" s="22" t="n">
        <v>3.9</v>
      </c>
      <c r="U15" s="22" t="n">
        <v>3.5</v>
      </c>
      <c r="V15" s="22" t="n">
        <v>4.3</v>
      </c>
      <c r="W15" s="22" t="n">
        <v>4.8</v>
      </c>
      <c r="X15" s="22" t="n">
        <v>3.6</v>
      </c>
      <c r="Y15" s="22" t="n">
        <v>4.9</v>
      </c>
      <c r="Z15" s="22" t="n">
        <v>3.4</v>
      </c>
      <c r="AA15" s="45">
        <f>IF(MAESTRO!F15="","",IFERROR(TRUNC(AVERAGE(R15:Z15),1),""))</f>
        <v/>
      </c>
      <c r="AB15" s="177" t="n">
        <v>3.5</v>
      </c>
      <c r="AC15" s="42" t="n">
        <v>4.8</v>
      </c>
      <c r="AD15" s="5">
        <f>IF(MAESTRO!F15="","",IFERROR(AVERAGE(AB15:AC15),""))</f>
        <v/>
      </c>
      <c r="AE15" s="44">
        <f>IF(MAESTRO!F15="","",IFERROR(TRUNC(AVERAGE(P15,AA15,AD15),1),""))</f>
        <v/>
      </c>
      <c r="AF15" s="177" t="n"/>
      <c r="AG15" s="177" t="n">
        <v>11</v>
      </c>
      <c r="AH15" s="177" t="n">
        <v>11</v>
      </c>
      <c r="AI15" s="177">
        <f>IF(MAESTRO!F15="","",MAESTRO!F15)</f>
        <v/>
      </c>
      <c r="AJ15" s="178" t="n"/>
      <c r="AK15" s="61" t="n">
        <v>3.7</v>
      </c>
      <c r="AL15" s="61" t="n">
        <v>4.1</v>
      </c>
      <c r="AM15" s="61" t="n">
        <v>3.5</v>
      </c>
      <c r="AN15" s="61" t="n">
        <v>3.2</v>
      </c>
      <c r="AO15" s="61" t="n">
        <v>4.3</v>
      </c>
      <c r="AP15" s="61" t="n">
        <v>3.3</v>
      </c>
      <c r="AQ15" s="61" t="n">
        <v>3.7</v>
      </c>
      <c r="AR15" s="61" t="n">
        <v>4.9</v>
      </c>
      <c r="AS15" s="61" t="n">
        <v>3.5</v>
      </c>
      <c r="AT15" s="61" t="n">
        <v>4.2</v>
      </c>
      <c r="AU15" s="61" t="n">
        <v>3.1</v>
      </c>
      <c r="AV15" s="61" t="n">
        <v>3.4</v>
      </c>
      <c r="AW15" s="5">
        <f>IF(MAESTRO!F15="","",IFERROR(TRUNC(AVERAGE(AK15:AV15),1),""))</f>
        <v/>
      </c>
      <c r="AX15" s="22" t="n">
        <v>4.2</v>
      </c>
      <c r="AY15" s="22" t="n">
        <v>3.4</v>
      </c>
      <c r="AZ15" s="22" t="n">
        <v>4.3</v>
      </c>
      <c r="BA15" s="22" t="n">
        <v>4.6</v>
      </c>
      <c r="BB15" s="22" t="n">
        <v>4.5</v>
      </c>
      <c r="BC15" s="22" t="n">
        <v>3.1</v>
      </c>
      <c r="BD15" s="22" t="n">
        <v>4.1</v>
      </c>
      <c r="BE15" s="22" t="n">
        <v>4</v>
      </c>
      <c r="BF15" s="22" t="n">
        <v>3.2</v>
      </c>
      <c r="BG15" s="52" t="n">
        <v>4.5</v>
      </c>
      <c r="BH15" s="5">
        <f>IF(MAESTRO!F15="","",IFERROR(TRUNC(AVERAGE(AX15:BG15),1),""))</f>
        <v/>
      </c>
      <c r="BI15" s="22" t="n">
        <v>4.3</v>
      </c>
      <c r="BJ15" s="22" t="n">
        <v>4.3</v>
      </c>
      <c r="BK15" s="22">
        <f>IF(MAESTRO!F15="","",IFERROR(AVERAGE(BI15,BJ15),""))</f>
        <v/>
      </c>
      <c r="BL15" s="5">
        <f>IF(MAESTRO!F15="","",IFERROR(TRUNC(AVERAGE(AW15,BH15,BK15),1),""))</f>
        <v/>
      </c>
      <c r="BM15" s="177" t="n"/>
      <c r="BN15" s="177" t="n">
        <v>11</v>
      </c>
      <c r="BO15" s="177" t="n">
        <v>11</v>
      </c>
      <c r="BP15" s="177">
        <f>IF(MAESTRO!F15="","",MAESTRO!F15)</f>
        <v/>
      </c>
      <c r="BQ15" s="178" t="n"/>
      <c r="BR15" s="5" t="n">
        <v>3.5</v>
      </c>
      <c r="BS15" s="5" t="n">
        <v>4.8</v>
      </c>
      <c r="BT15" s="5" t="n">
        <v>3.4</v>
      </c>
      <c r="BU15" s="5" t="n">
        <v>3.8</v>
      </c>
      <c r="BV15" s="5" t="n">
        <v>4.6</v>
      </c>
      <c r="BW15" s="5" t="n">
        <v>3.1</v>
      </c>
      <c r="BX15" s="5" t="n">
        <v>4.7</v>
      </c>
      <c r="BY15" s="5" t="n">
        <v>3.1</v>
      </c>
      <c r="BZ15" s="5" t="n">
        <v>3.3</v>
      </c>
      <c r="CA15" s="5" t="n">
        <v>3.1</v>
      </c>
      <c r="CB15" s="5" t="n">
        <v>4.6</v>
      </c>
      <c r="CC15" s="5" t="n">
        <v>4</v>
      </c>
      <c r="CD15" s="5" t="n">
        <v>4.8</v>
      </c>
      <c r="CE15" s="5">
        <f>IF(MAESTRO!F15="","",IFERROR(TRUNC(AVERAGE(BR15:CD15),1),""))</f>
        <v/>
      </c>
      <c r="CF15" s="5" t="n">
        <v>3.4</v>
      </c>
      <c r="CG15" s="5" t="n">
        <v>3.7</v>
      </c>
      <c r="CH15" s="5" t="n">
        <v>4.7</v>
      </c>
      <c r="CI15" s="5" t="n">
        <v>4.1</v>
      </c>
      <c r="CJ15" s="5" t="n">
        <v>4.2</v>
      </c>
      <c r="CK15" s="5" t="n">
        <v>4.1</v>
      </c>
      <c r="CL15" s="5" t="n">
        <v>4</v>
      </c>
      <c r="CM15" s="5" t="n">
        <v>3.3</v>
      </c>
      <c r="CN15" s="5" t="n">
        <v>4.6</v>
      </c>
      <c r="CO15" s="5" t="n">
        <v>4.1</v>
      </c>
      <c r="CP15" s="5">
        <f>IF(MAESTRO!F15="","",IFERROR(TRUNC(AVERAGE(CF15:CO15),1),""))</f>
        <v/>
      </c>
      <c r="CQ15" s="5" t="n">
        <v>3.8</v>
      </c>
      <c r="CR15" s="5" t="n">
        <v>4.3</v>
      </c>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v>4.9</v>
      </c>
      <c r="D16" s="5" t="n">
        <v>4.9</v>
      </c>
      <c r="E16" s="5" t="n">
        <v>3.8</v>
      </c>
      <c r="F16" s="5" t="n">
        <v>4</v>
      </c>
      <c r="G16" s="5" t="n">
        <v>4.1</v>
      </c>
      <c r="H16" s="5" t="n">
        <v>4</v>
      </c>
      <c r="I16" s="5" t="n">
        <v>4.4</v>
      </c>
      <c r="J16" s="5" t="n">
        <v>3.5</v>
      </c>
      <c r="K16" s="5" t="n">
        <v>4.4</v>
      </c>
      <c r="L16" s="5" t="n">
        <v>3.6</v>
      </c>
      <c r="M16" s="5" t="n">
        <v>4.7</v>
      </c>
      <c r="N16" s="5" t="n">
        <v>3.9</v>
      </c>
      <c r="O16" s="5" t="n">
        <v>4.2</v>
      </c>
      <c r="P16" s="5">
        <f>IF(MAESTRO!F16="","",IFERROR(TRUNC(AVERAGE(C16:O16),1),""))</f>
        <v/>
      </c>
      <c r="Q16" s="40" t="n">
        <v>12</v>
      </c>
      <c r="R16" s="22" t="n">
        <v>4.7</v>
      </c>
      <c r="S16" s="22" t="n">
        <v>4.7</v>
      </c>
      <c r="T16" s="22" t="n">
        <v>4.1</v>
      </c>
      <c r="U16" s="22" t="n">
        <v>4.3</v>
      </c>
      <c r="V16" s="22" t="n">
        <v>4.9</v>
      </c>
      <c r="W16" s="22" t="n">
        <v>4.1</v>
      </c>
      <c r="X16" s="22" t="n">
        <v>4.4</v>
      </c>
      <c r="Y16" s="22" t="n">
        <v>4.5</v>
      </c>
      <c r="Z16" s="22" t="n">
        <v>3.9</v>
      </c>
      <c r="AA16" s="45">
        <f>IF(MAESTRO!F16="","",IFERROR(TRUNC(AVERAGE(R16:Z16),1),""))</f>
        <v/>
      </c>
      <c r="AB16" s="177" t="n">
        <v>3</v>
      </c>
      <c r="AC16" s="42" t="n">
        <v>3.9</v>
      </c>
      <c r="AD16" s="5">
        <f>IF(MAESTRO!F16="","",IFERROR(AVERAGE(AB16:AC16),""))</f>
        <v/>
      </c>
      <c r="AE16" s="44">
        <f>IF(MAESTRO!F16="","",IFERROR(TRUNC(AVERAGE(P16,AA16,AD16),1),""))</f>
        <v/>
      </c>
      <c r="AF16" s="177" t="n"/>
      <c r="AG16" s="177" t="n">
        <v>12</v>
      </c>
      <c r="AH16" s="177" t="n">
        <v>12</v>
      </c>
      <c r="AI16" s="177">
        <f>IF(MAESTRO!F16="","",MAESTRO!F16)</f>
        <v/>
      </c>
      <c r="AJ16" s="178" t="n"/>
      <c r="AK16" s="61" t="n">
        <v>3.6</v>
      </c>
      <c r="AL16" s="61" t="n">
        <v>3.3</v>
      </c>
      <c r="AM16" s="61" t="n">
        <v>4.4</v>
      </c>
      <c r="AN16" s="61" t="n">
        <v>3.3</v>
      </c>
      <c r="AO16" s="61" t="n">
        <v>3.9</v>
      </c>
      <c r="AP16" s="61" t="n">
        <v>5</v>
      </c>
      <c r="AQ16" s="61" t="n">
        <v>3.6</v>
      </c>
      <c r="AR16" s="61" t="n">
        <v>4.7</v>
      </c>
      <c r="AS16" s="61" t="n">
        <v>3.3</v>
      </c>
      <c r="AT16" s="61" t="n">
        <v>4.4</v>
      </c>
      <c r="AU16" s="61" t="n">
        <v>3.3</v>
      </c>
      <c r="AV16" s="61" t="n">
        <v>4.4</v>
      </c>
      <c r="AW16" s="5">
        <f>IF(MAESTRO!F16="","",IFERROR(TRUNC(AVERAGE(AK16:AV16),1),""))</f>
        <v/>
      </c>
      <c r="AX16" s="22" t="n">
        <v>3.4</v>
      </c>
      <c r="AY16" s="22" t="n">
        <v>4.7</v>
      </c>
      <c r="AZ16" s="22" t="n">
        <v>3.7</v>
      </c>
      <c r="BA16" s="22" t="n">
        <v>3.7</v>
      </c>
      <c r="BB16" s="22" t="n">
        <v>3.3</v>
      </c>
      <c r="BC16" s="22" t="n">
        <v>4.4</v>
      </c>
      <c r="BD16" s="22" t="n">
        <v>3.1</v>
      </c>
      <c r="BE16" s="22" t="n">
        <v>3</v>
      </c>
      <c r="BF16" s="22" t="n">
        <v>3.7</v>
      </c>
      <c r="BG16" s="52" t="n">
        <v>3.9</v>
      </c>
      <c r="BH16" s="5">
        <f>IF(MAESTRO!F16="","",IFERROR(TRUNC(AVERAGE(AX16:BG16),1),""))</f>
        <v/>
      </c>
      <c r="BI16" s="22" t="n">
        <v>4.8</v>
      </c>
      <c r="BJ16" s="22" t="n">
        <v>3.1</v>
      </c>
      <c r="BK16" s="22">
        <f>IF(MAESTRO!F16="","",IFERROR(AVERAGE(BI16,BJ16),""))</f>
        <v/>
      </c>
      <c r="BL16" s="5">
        <f>IF(MAESTRO!F16="","",IFERROR(TRUNC(AVERAGE(AW16,BH16,BK16),1),""))</f>
        <v/>
      </c>
      <c r="BM16" s="177" t="n"/>
      <c r="BN16" s="177" t="n">
        <v>12</v>
      </c>
      <c r="BO16" s="177" t="n">
        <v>12</v>
      </c>
      <c r="BP16" s="177">
        <f>IF(MAESTRO!F16="","",MAESTRO!F16)</f>
        <v/>
      </c>
      <c r="BQ16" s="178" t="n"/>
      <c r="BR16" s="5" t="n">
        <v>4.7</v>
      </c>
      <c r="BS16" s="5" t="n">
        <v>4.8</v>
      </c>
      <c r="BT16" s="5" t="n">
        <v>4.3</v>
      </c>
      <c r="BU16" s="5" t="n">
        <v>4</v>
      </c>
      <c r="BV16" s="5" t="n">
        <v>4.6</v>
      </c>
      <c r="BW16" s="5" t="n">
        <v>4.1</v>
      </c>
      <c r="BX16" s="5" t="n">
        <v>3.8</v>
      </c>
      <c r="BY16" s="5" t="n">
        <v>4.1</v>
      </c>
      <c r="BZ16" s="5" t="n">
        <v>3.1</v>
      </c>
      <c r="CA16" s="5" t="n">
        <v>4.5</v>
      </c>
      <c r="CB16" s="5" t="n">
        <v>3.6</v>
      </c>
      <c r="CC16" s="5" t="n">
        <v>3.3</v>
      </c>
      <c r="CD16" s="5" t="n">
        <v>3.3</v>
      </c>
      <c r="CE16" s="5">
        <f>IF(MAESTRO!F16="","",IFERROR(TRUNC(AVERAGE(BR16:CD16),1),""))</f>
        <v/>
      </c>
      <c r="CF16" s="5" t="n">
        <v>3.4</v>
      </c>
      <c r="CG16" s="5" t="n">
        <v>4.1</v>
      </c>
      <c r="CH16" s="5" t="n">
        <v>3.2</v>
      </c>
      <c r="CI16" s="5" t="n">
        <v>4</v>
      </c>
      <c r="CJ16" s="5" t="n">
        <v>3.1</v>
      </c>
      <c r="CK16" s="5" t="n">
        <v>4.6</v>
      </c>
      <c r="CL16" s="5" t="n">
        <v>3.8</v>
      </c>
      <c r="CM16" s="5" t="n">
        <v>4.4</v>
      </c>
      <c r="CN16" s="5" t="n">
        <v>3.1</v>
      </c>
      <c r="CO16" s="5" t="n">
        <v>3.5</v>
      </c>
      <c r="CP16" s="5">
        <f>IF(MAESTRO!F16="","",IFERROR(TRUNC(AVERAGE(CF16:CO16),1),""))</f>
        <v/>
      </c>
      <c r="CQ16" s="5" t="n">
        <v>4.1</v>
      </c>
      <c r="CR16" s="5" t="n">
        <v>3.7</v>
      </c>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v>3.2</v>
      </c>
      <c r="D17" s="5" t="n">
        <v>3.1</v>
      </c>
      <c r="E17" s="5" t="n">
        <v>3.7</v>
      </c>
      <c r="F17" s="5" t="n">
        <v>3.7</v>
      </c>
      <c r="G17" s="5" t="n">
        <v>3.4</v>
      </c>
      <c r="H17" s="5" t="n">
        <v>4.8</v>
      </c>
      <c r="I17" s="5" t="n">
        <v>3</v>
      </c>
      <c r="J17" s="5" t="n">
        <v>3.7</v>
      </c>
      <c r="K17" s="5" t="n">
        <v>3.9</v>
      </c>
      <c r="L17" s="5" t="n">
        <v>3.1</v>
      </c>
      <c r="M17" s="5" t="n">
        <v>4.6</v>
      </c>
      <c r="N17" s="5" t="n">
        <v>3.4</v>
      </c>
      <c r="O17" s="5" t="n">
        <v>3.8</v>
      </c>
      <c r="P17" s="5">
        <f>IF(MAESTRO!F17="","",IFERROR(TRUNC(AVERAGE(C17:O17),1),""))</f>
        <v/>
      </c>
      <c r="Q17" s="40" t="n">
        <v>13</v>
      </c>
      <c r="R17" s="22" t="n">
        <v>4.2</v>
      </c>
      <c r="S17" s="22" t="n">
        <v>4.5</v>
      </c>
      <c r="T17" s="22" t="n">
        <v>3.6</v>
      </c>
      <c r="U17" s="22" t="n">
        <v>4.6</v>
      </c>
      <c r="V17" s="22" t="n">
        <v>4.8</v>
      </c>
      <c r="W17" s="22" t="n">
        <v>3.2</v>
      </c>
      <c r="X17" s="22" t="n">
        <v>3.7</v>
      </c>
      <c r="Y17" s="22" t="n">
        <v>4.4</v>
      </c>
      <c r="Z17" s="22" t="n">
        <v>4.6</v>
      </c>
      <c r="AA17" s="45">
        <f>IF(MAESTRO!F17="","",IFERROR(TRUNC(AVERAGE(R17:Z17),1),""))</f>
        <v/>
      </c>
      <c r="AB17" s="177" t="n">
        <v>4.8</v>
      </c>
      <c r="AC17" s="42" t="n">
        <v>3.1</v>
      </c>
      <c r="AD17" s="5">
        <f>IF(MAESTRO!F17="","",IFERROR(AVERAGE(AB17:AC17),""))</f>
        <v/>
      </c>
      <c r="AE17" s="44">
        <f>IF(MAESTRO!F17="","",IFERROR(TRUNC(AVERAGE(P17,AA17,AD17),1),""))</f>
        <v/>
      </c>
      <c r="AF17" s="177" t="n"/>
      <c r="AG17" s="177" t="n">
        <v>13</v>
      </c>
      <c r="AH17" s="177" t="n">
        <v>13</v>
      </c>
      <c r="AI17" s="177">
        <f>IF(MAESTRO!F17="","",MAESTRO!F17)</f>
        <v/>
      </c>
      <c r="AJ17" s="178" t="n"/>
      <c r="AK17" s="61" t="n">
        <v>4.3</v>
      </c>
      <c r="AL17" s="61" t="n">
        <v>4.1</v>
      </c>
      <c r="AM17" s="61" t="n">
        <v>4.3</v>
      </c>
      <c r="AN17" s="61" t="n">
        <v>3.9</v>
      </c>
      <c r="AO17" s="61" t="n">
        <v>4.8</v>
      </c>
      <c r="AP17" s="61" t="n">
        <v>4.3</v>
      </c>
      <c r="AQ17" s="61" t="n">
        <v>3.1</v>
      </c>
      <c r="AR17" s="61" t="n">
        <v>4</v>
      </c>
      <c r="AS17" s="61" t="n">
        <v>3.4</v>
      </c>
      <c r="AT17" s="61" t="n">
        <v>4.1</v>
      </c>
      <c r="AU17" s="61" t="n">
        <v>4.1</v>
      </c>
      <c r="AV17" s="61" t="n">
        <v>3.8</v>
      </c>
      <c r="AW17" s="5">
        <f>IF(MAESTRO!F17="","",IFERROR(TRUNC(AVERAGE(AK17:AV17),1),""))</f>
        <v/>
      </c>
      <c r="AX17" s="22" t="n">
        <v>3.1</v>
      </c>
      <c r="AY17" s="22" t="n">
        <v>4.2</v>
      </c>
      <c r="AZ17" s="22" t="n">
        <v>4.9</v>
      </c>
      <c r="BA17" s="22" t="n">
        <v>4.8</v>
      </c>
      <c r="BB17" s="22" t="n">
        <v>3.4</v>
      </c>
      <c r="BC17" s="22" t="n">
        <v>4.3</v>
      </c>
      <c r="BD17" s="22" t="n">
        <v>4.2</v>
      </c>
      <c r="BE17" s="22" t="n">
        <v>4.1</v>
      </c>
      <c r="BF17" s="22" t="n">
        <v>4.8</v>
      </c>
      <c r="BG17" s="52" t="n">
        <v>3.3</v>
      </c>
      <c r="BH17" s="5">
        <f>IF(MAESTRO!F17="","",IFERROR(TRUNC(AVERAGE(AX17:BG17),1),""))</f>
        <v/>
      </c>
      <c r="BI17" s="22" t="n">
        <v>3.1</v>
      </c>
      <c r="BJ17" s="22" t="n">
        <v>4.1</v>
      </c>
      <c r="BK17" s="22">
        <f>IF(MAESTRO!F17="","",IFERROR(AVERAGE(BI17,BJ17),""))</f>
        <v/>
      </c>
      <c r="BL17" s="5">
        <f>IF(MAESTRO!F17="","",IFERROR(TRUNC(AVERAGE(AW17,BH17,BK17),1),""))</f>
        <v/>
      </c>
      <c r="BM17" s="177" t="n"/>
      <c r="BN17" s="177" t="n">
        <v>13</v>
      </c>
      <c r="BO17" s="177" t="n">
        <v>13</v>
      </c>
      <c r="BP17" s="177">
        <f>IF(MAESTRO!F17="","",MAESTRO!F17)</f>
        <v/>
      </c>
      <c r="BQ17" s="178" t="n"/>
      <c r="BR17" s="5" t="n">
        <v>3.1</v>
      </c>
      <c r="BS17" s="5" t="n">
        <v>4.4</v>
      </c>
      <c r="BT17" s="5" t="n">
        <v>4</v>
      </c>
      <c r="BU17" s="5" t="n">
        <v>4</v>
      </c>
      <c r="BV17" s="5" t="n">
        <v>3.3</v>
      </c>
      <c r="BW17" s="5" t="n">
        <v>3.3</v>
      </c>
      <c r="BX17" s="5" t="n">
        <v>4.8</v>
      </c>
      <c r="BY17" s="5" t="n">
        <v>3.6</v>
      </c>
      <c r="BZ17" s="5" t="n">
        <v>4.5</v>
      </c>
      <c r="CA17" s="5" t="n">
        <v>4.6</v>
      </c>
      <c r="CB17" s="5" t="n">
        <v>3.6</v>
      </c>
      <c r="CC17" s="5" t="n">
        <v>4.7</v>
      </c>
      <c r="CD17" s="5" t="n">
        <v>4.8</v>
      </c>
      <c r="CE17" s="5">
        <f>IF(MAESTRO!F17="","",IFERROR(TRUNC(AVERAGE(BR17:CD17),1),""))</f>
        <v/>
      </c>
      <c r="CF17" s="5" t="n">
        <v>3.9</v>
      </c>
      <c r="CG17" s="5" t="n">
        <v>3.5</v>
      </c>
      <c r="CH17" s="5" t="n">
        <v>3.5</v>
      </c>
      <c r="CI17" s="5" t="n">
        <v>3.1</v>
      </c>
      <c r="CJ17" s="5" t="n">
        <v>4.3</v>
      </c>
      <c r="CK17" s="5" t="n">
        <v>3.1</v>
      </c>
      <c r="CL17" s="5" t="n">
        <v>4.1</v>
      </c>
      <c r="CM17" s="5" t="n">
        <v>4.4</v>
      </c>
      <c r="CN17" s="5" t="n">
        <v>4.6</v>
      </c>
      <c r="CO17" s="5" t="n">
        <v>3.1</v>
      </c>
      <c r="CP17" s="5">
        <f>IF(MAESTRO!F17="","",IFERROR(TRUNC(AVERAGE(CF17:CO17),1),""))</f>
        <v/>
      </c>
      <c r="CQ17" s="5" t="n">
        <v>4.6</v>
      </c>
      <c r="CR17" s="5" t="n">
        <v>3.6</v>
      </c>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v>3.1</v>
      </c>
      <c r="D18" s="5" t="n">
        <v>3.7</v>
      </c>
      <c r="E18" s="5" t="n">
        <v>4</v>
      </c>
      <c r="F18" s="5" t="n">
        <v>3.5</v>
      </c>
      <c r="G18" s="5" t="n">
        <v>4.6</v>
      </c>
      <c r="H18" s="5" t="n">
        <v>3.8</v>
      </c>
      <c r="I18" s="5" t="n">
        <v>4.5</v>
      </c>
      <c r="J18" s="5" t="n">
        <v>4.1</v>
      </c>
      <c r="K18" s="5" t="n">
        <v>3.6</v>
      </c>
      <c r="L18" s="5" t="n">
        <v>3.8</v>
      </c>
      <c r="M18" s="5" t="n">
        <v>3.3</v>
      </c>
      <c r="N18" s="5" t="n">
        <v>3.6</v>
      </c>
      <c r="O18" s="5" t="n">
        <v>4.5</v>
      </c>
      <c r="P18" s="5">
        <f>IF(MAESTRO!F18="","",IFERROR(TRUNC(AVERAGE(C18:O18),1),""))</f>
        <v/>
      </c>
      <c r="Q18" s="40" t="n">
        <v>14</v>
      </c>
      <c r="R18" s="22" t="n">
        <v>4.6</v>
      </c>
      <c r="S18" s="22" t="n">
        <v>4.2</v>
      </c>
      <c r="T18" s="22" t="n">
        <v>3.6</v>
      </c>
      <c r="U18" s="22" t="n">
        <v>4.7</v>
      </c>
      <c r="V18" s="22" t="n">
        <v>4.3</v>
      </c>
      <c r="W18" s="22" t="n">
        <v>3.7</v>
      </c>
      <c r="X18" s="22" t="n">
        <v>4</v>
      </c>
      <c r="Y18" s="22" t="n">
        <v>4.8</v>
      </c>
      <c r="Z18" s="22" t="n">
        <v>4.4</v>
      </c>
      <c r="AA18" s="45">
        <f>IF(MAESTRO!F18="","",IFERROR(TRUNC(AVERAGE(R18:Z18),1),""))</f>
        <v/>
      </c>
      <c r="AB18" s="177" t="n">
        <v>4.6</v>
      </c>
      <c r="AC18" s="42" t="n">
        <v>4.9</v>
      </c>
      <c r="AD18" s="5">
        <f>IF(MAESTRO!F18="","",IFERROR(AVERAGE(AB18:AC18),""))</f>
        <v/>
      </c>
      <c r="AE18" s="44">
        <f>IF(MAESTRO!F18="","",IFERROR(TRUNC(AVERAGE(P18,AA18,AD18),1),""))</f>
        <v/>
      </c>
      <c r="AF18" s="177" t="n"/>
      <c r="AG18" s="177" t="n">
        <v>14</v>
      </c>
      <c r="AH18" s="177" t="n">
        <v>14</v>
      </c>
      <c r="AI18" s="177">
        <f>IF(MAESTRO!F18="","",MAESTRO!F18)</f>
        <v/>
      </c>
      <c r="AJ18" s="178" t="n"/>
      <c r="AK18" s="61" t="n">
        <v>3.2</v>
      </c>
      <c r="AL18" s="61" t="n">
        <v>4.9</v>
      </c>
      <c r="AM18" s="61" t="n">
        <v>5</v>
      </c>
      <c r="AN18" s="61" t="n">
        <v>4.5</v>
      </c>
      <c r="AO18" s="61" t="n">
        <v>3.8</v>
      </c>
      <c r="AP18" s="61" t="n">
        <v>3.8</v>
      </c>
      <c r="AQ18" s="61" t="n">
        <v>3.7</v>
      </c>
      <c r="AR18" s="61" t="n">
        <v>3.7</v>
      </c>
      <c r="AS18" s="61" t="n">
        <v>3.5</v>
      </c>
      <c r="AT18" s="61" t="n">
        <v>4.2</v>
      </c>
      <c r="AU18" s="61" t="n">
        <v>3.2</v>
      </c>
      <c r="AV18" s="61" t="n">
        <v>4.9</v>
      </c>
      <c r="AW18" s="5">
        <f>IF(MAESTRO!F18="","",IFERROR(TRUNC(AVERAGE(AK18:AV18),1),""))</f>
        <v/>
      </c>
      <c r="AX18" s="22" t="n">
        <v>4.5</v>
      </c>
      <c r="AY18" s="22" t="n">
        <v>4</v>
      </c>
      <c r="AZ18" s="22" t="n">
        <v>4.4</v>
      </c>
      <c r="BA18" s="22" t="n">
        <v>4.4</v>
      </c>
      <c r="BB18" s="22" t="n">
        <v>4.5</v>
      </c>
      <c r="BC18" s="22" t="n">
        <v>3.9</v>
      </c>
      <c r="BD18" s="22" t="n">
        <v>3.6</v>
      </c>
      <c r="BE18" s="22" t="n">
        <v>4</v>
      </c>
      <c r="BF18" s="22" t="n">
        <v>3.5</v>
      </c>
      <c r="BG18" s="52" t="n">
        <v>3.4</v>
      </c>
      <c r="BH18" s="5">
        <f>IF(MAESTRO!F18="","",IFERROR(TRUNC(AVERAGE(AX18:BG18),1),""))</f>
        <v/>
      </c>
      <c r="BI18" s="22" t="n">
        <v>3.3</v>
      </c>
      <c r="BJ18" s="22" t="n">
        <v>4.1</v>
      </c>
      <c r="BK18" s="22">
        <f>IF(MAESTRO!F18="","",IFERROR(AVERAGE(BI18,BJ18),""))</f>
        <v/>
      </c>
      <c r="BL18" s="5">
        <f>IF(MAESTRO!F18="","",IFERROR(TRUNC(AVERAGE(AW18,BH18,BK18),1),""))</f>
        <v/>
      </c>
      <c r="BM18" s="177" t="n"/>
      <c r="BN18" s="177" t="n">
        <v>14</v>
      </c>
      <c r="BO18" s="177" t="n">
        <v>14</v>
      </c>
      <c r="BP18" s="177">
        <f>IF(MAESTRO!F18="","",MAESTRO!F18)</f>
        <v/>
      </c>
      <c r="BQ18" s="178" t="n"/>
      <c r="BR18" s="5" t="n">
        <v>3.5</v>
      </c>
      <c r="BS18" s="5" t="n">
        <v>4.7</v>
      </c>
      <c r="BT18" s="5" t="n">
        <v>4.8</v>
      </c>
      <c r="BU18" s="5" t="n">
        <v>4.7</v>
      </c>
      <c r="BV18" s="5" t="n">
        <v>3.9</v>
      </c>
      <c r="BW18" s="5" t="n">
        <v>3.4</v>
      </c>
      <c r="BX18" s="5" t="n">
        <v>4.8</v>
      </c>
      <c r="BY18" s="5" t="n">
        <v>4.9</v>
      </c>
      <c r="BZ18" s="5" t="n">
        <v>4.4</v>
      </c>
      <c r="CA18" s="5" t="n">
        <v>3.9</v>
      </c>
      <c r="CB18" s="5" t="n">
        <v>4.7</v>
      </c>
      <c r="CC18" s="5" t="n">
        <v>4.1</v>
      </c>
      <c r="CD18" s="5" t="n">
        <v>3.7</v>
      </c>
      <c r="CE18" s="5">
        <f>IF(MAESTRO!F18="","",IFERROR(TRUNC(AVERAGE(BR18:CD18),1),""))</f>
        <v/>
      </c>
      <c r="CF18" s="5" t="n">
        <v>4.9</v>
      </c>
      <c r="CG18" s="5" t="n">
        <v>4.1</v>
      </c>
      <c r="CH18" s="5" t="n">
        <v>3.4</v>
      </c>
      <c r="CI18" s="5" t="n">
        <v>4.1</v>
      </c>
      <c r="CJ18" s="5" t="n">
        <v>4.3</v>
      </c>
      <c r="CK18" s="5" t="n">
        <v>3.8</v>
      </c>
      <c r="CL18" s="5" t="n">
        <v>3.8</v>
      </c>
      <c r="CM18" s="5" t="n">
        <v>3.4</v>
      </c>
      <c r="CN18" s="5" t="n">
        <v>3.8</v>
      </c>
      <c r="CO18" s="5" t="n">
        <v>3.3</v>
      </c>
      <c r="CP18" s="5">
        <f>IF(MAESTRO!F18="","",IFERROR(TRUNC(AVERAGE(CF18:CO18),1),""))</f>
        <v/>
      </c>
      <c r="CQ18" s="5" t="n">
        <v>4.7</v>
      </c>
      <c r="CR18" s="5" t="n">
        <v>3.5</v>
      </c>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v>4.6</v>
      </c>
      <c r="D19" s="5" t="n">
        <v>4.3</v>
      </c>
      <c r="E19" s="5" t="n">
        <v>4.1</v>
      </c>
      <c r="F19" s="5" t="n">
        <v>4.4</v>
      </c>
      <c r="G19" s="5" t="n">
        <v>3.2</v>
      </c>
      <c r="H19" s="5" t="n">
        <v>3.4</v>
      </c>
      <c r="I19" s="5" t="n">
        <v>4.7</v>
      </c>
      <c r="J19" s="5" t="n">
        <v>5</v>
      </c>
      <c r="K19" s="5" t="n">
        <v>4.2</v>
      </c>
      <c r="L19" s="5" t="n">
        <v>3.1</v>
      </c>
      <c r="M19" s="5" t="n">
        <v>4.8</v>
      </c>
      <c r="N19" s="5" t="n">
        <v>3.1</v>
      </c>
      <c r="O19" s="5" t="n">
        <v>4.8</v>
      </c>
      <c r="P19" s="5">
        <f>IF(MAESTRO!F19="","",IFERROR(TRUNC(AVERAGE(C19:O19),1),""))</f>
        <v/>
      </c>
      <c r="Q19" s="40" t="n">
        <v>15</v>
      </c>
      <c r="R19" s="22" t="n">
        <v>4.6</v>
      </c>
      <c r="S19" s="22" t="n">
        <v>4.8</v>
      </c>
      <c r="T19" s="22" t="n">
        <v>4.2</v>
      </c>
      <c r="U19" s="22" t="n">
        <v>3.3</v>
      </c>
      <c r="V19" s="22" t="n">
        <v>3.3</v>
      </c>
      <c r="W19" s="22" t="n">
        <v>4.9</v>
      </c>
      <c r="X19" s="22" t="n">
        <v>4.9</v>
      </c>
      <c r="Y19" s="22" t="n">
        <v>4.1</v>
      </c>
      <c r="Z19" s="22" t="n">
        <v>4.2</v>
      </c>
      <c r="AA19" s="45">
        <f>IF(MAESTRO!F19="","",IFERROR(TRUNC(AVERAGE(R19:Z19),1),""))</f>
        <v/>
      </c>
      <c r="AB19" s="177" t="n">
        <v>4.7</v>
      </c>
      <c r="AC19" s="42" t="n">
        <v>3.8</v>
      </c>
      <c r="AD19" s="5">
        <f>IF(MAESTRO!F19="","",IFERROR(AVERAGE(AB19:AC19),""))</f>
        <v/>
      </c>
      <c r="AE19" s="44">
        <f>IF(MAESTRO!F19="","",IFERROR(TRUNC(AVERAGE(P19,AA19,AD19),1),""))</f>
        <v/>
      </c>
      <c r="AF19" s="177" t="n"/>
      <c r="AG19" s="177" t="n">
        <v>15</v>
      </c>
      <c r="AH19" s="177" t="n">
        <v>15</v>
      </c>
      <c r="AI19" s="177">
        <f>IF(MAESTRO!F19="","",MAESTRO!F19)</f>
        <v/>
      </c>
      <c r="AJ19" s="178" t="n"/>
      <c r="AK19" s="61" t="n">
        <v>4.9</v>
      </c>
      <c r="AL19" s="61" t="n">
        <v>3.6</v>
      </c>
      <c r="AM19" s="61" t="n">
        <v>4</v>
      </c>
      <c r="AN19" s="61" t="n">
        <v>4.5</v>
      </c>
      <c r="AO19" s="61" t="n">
        <v>4.4</v>
      </c>
      <c r="AP19" s="61" t="n">
        <v>3.7</v>
      </c>
      <c r="AQ19" s="61" t="n">
        <v>4.3</v>
      </c>
      <c r="AR19" s="61" t="n">
        <v>4.3</v>
      </c>
      <c r="AS19" s="61" t="n">
        <v>3.9</v>
      </c>
      <c r="AT19" s="61" t="n">
        <v>3.9</v>
      </c>
      <c r="AU19" s="61" t="n">
        <v>4.8</v>
      </c>
      <c r="AV19" s="61" t="n">
        <v>4.8</v>
      </c>
      <c r="AW19" s="5">
        <f>IF(MAESTRO!F19="","",IFERROR(TRUNC(AVERAGE(AK19:AV19),1),""))</f>
        <v/>
      </c>
      <c r="AX19" s="22" t="n">
        <v>4.7</v>
      </c>
      <c r="AY19" s="22" t="n">
        <v>4.1</v>
      </c>
      <c r="AZ19" s="22" t="n">
        <v>4.3</v>
      </c>
      <c r="BA19" s="22" t="n">
        <v>4.1</v>
      </c>
      <c r="BB19" s="22" t="n">
        <v>4.8</v>
      </c>
      <c r="BC19" s="22" t="n">
        <v>3.9</v>
      </c>
      <c r="BD19" s="22" t="n">
        <v>3.4</v>
      </c>
      <c r="BE19" s="22" t="n">
        <v>5</v>
      </c>
      <c r="BF19" s="22" t="n">
        <v>4</v>
      </c>
      <c r="BG19" s="52" t="n">
        <v>3.5</v>
      </c>
      <c r="BH19" s="5">
        <f>IF(MAESTRO!F19="","",IFERROR(TRUNC(AVERAGE(AX19:BG19),1),""))</f>
        <v/>
      </c>
      <c r="BI19" s="22" t="n">
        <v>3.6</v>
      </c>
      <c r="BJ19" s="22" t="n">
        <v>4.5</v>
      </c>
      <c r="BK19" s="22">
        <f>IF(MAESTRO!F19="","",IFERROR(AVERAGE(BI19,BJ19),""))</f>
        <v/>
      </c>
      <c r="BL19" s="5">
        <f>IF(MAESTRO!F19="","",IFERROR(TRUNC(AVERAGE(AW19,BH19,BK19),1),""))</f>
        <v/>
      </c>
      <c r="BM19" s="177" t="n"/>
      <c r="BN19" s="177" t="n">
        <v>15</v>
      </c>
      <c r="BO19" s="177" t="n">
        <v>15</v>
      </c>
      <c r="BP19" s="177">
        <f>IF(MAESTRO!F19="","",MAESTRO!F19)</f>
        <v/>
      </c>
      <c r="BQ19" s="178" t="n"/>
      <c r="BR19" s="5" t="n">
        <v>3.4</v>
      </c>
      <c r="BS19" s="5" t="n">
        <v>3.3</v>
      </c>
      <c r="BT19" s="5" t="n">
        <v>4.6</v>
      </c>
      <c r="BU19" s="5" t="n">
        <v>4</v>
      </c>
      <c r="BV19" s="5" t="n">
        <v>3.9</v>
      </c>
      <c r="BW19" s="5" t="n">
        <v>4.2</v>
      </c>
      <c r="BX19" s="5" t="n">
        <v>3.7</v>
      </c>
      <c r="BY19" s="5" t="n">
        <v>3.8</v>
      </c>
      <c r="BZ19" s="5" t="n">
        <v>3.8</v>
      </c>
      <c r="CA19" s="5" t="n">
        <v>3.5</v>
      </c>
      <c r="CB19" s="5" t="n">
        <v>3.1</v>
      </c>
      <c r="CC19" s="5" t="n">
        <v>3.7</v>
      </c>
      <c r="CD19" s="5" t="n">
        <v>4.4</v>
      </c>
      <c r="CE19" s="5">
        <f>IF(MAESTRO!F19="","",IFERROR(TRUNC(AVERAGE(BR19:CD19),1),""))</f>
        <v/>
      </c>
      <c r="CF19" s="5" t="n">
        <v>3.3</v>
      </c>
      <c r="CG19" s="5" t="n">
        <v>3.9</v>
      </c>
      <c r="CH19" s="5" t="n">
        <v>4.2</v>
      </c>
      <c r="CI19" s="5" t="n">
        <v>4.8</v>
      </c>
      <c r="CJ19" s="5" t="n">
        <v>3.1</v>
      </c>
      <c r="CK19" s="5" t="n">
        <v>3.5</v>
      </c>
      <c r="CL19" s="5" t="n">
        <v>4.6</v>
      </c>
      <c r="CM19" s="5" t="n">
        <v>4.5</v>
      </c>
      <c r="CN19" s="5" t="n">
        <v>4.9</v>
      </c>
      <c r="CO19" s="5" t="n">
        <v>4.7</v>
      </c>
      <c r="CP19" s="5">
        <f>IF(MAESTRO!F19="","",IFERROR(TRUNC(AVERAGE(CF19:CO19),1),""))</f>
        <v/>
      </c>
      <c r="CQ19" s="5" t="n">
        <v>4.4</v>
      </c>
      <c r="CR19" s="5" t="n">
        <v>4.7</v>
      </c>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v>3.5</v>
      </c>
      <c r="D20" s="5" t="n">
        <v>4.6</v>
      </c>
      <c r="E20" s="5" t="n">
        <v>4.2</v>
      </c>
      <c r="F20" s="5" t="n">
        <v>3.7</v>
      </c>
      <c r="G20" s="5" t="n">
        <v>4.4</v>
      </c>
      <c r="H20" s="5" t="n">
        <v>4</v>
      </c>
      <c r="I20" s="5" t="n">
        <v>4</v>
      </c>
      <c r="J20" s="5" t="n">
        <v>4.7</v>
      </c>
      <c r="K20" s="5" t="n">
        <v>4.2</v>
      </c>
      <c r="L20" s="5" t="n">
        <v>4.1</v>
      </c>
      <c r="M20" s="5" t="n">
        <v>3.5</v>
      </c>
      <c r="N20" s="5" t="n">
        <v>3.4</v>
      </c>
      <c r="O20" s="5" t="n">
        <v>4.6</v>
      </c>
      <c r="P20" s="5">
        <f>IF(MAESTRO!F20="","",IFERROR(TRUNC(AVERAGE(C20:O20),1),""))</f>
        <v/>
      </c>
      <c r="Q20" s="40" t="n">
        <v>16</v>
      </c>
      <c r="R20" s="22" t="n">
        <v>4.3</v>
      </c>
      <c r="S20" s="22" t="n">
        <v>4.1</v>
      </c>
      <c r="T20" s="22" t="n">
        <v>4.8</v>
      </c>
      <c r="U20" s="22" t="n">
        <v>4.2</v>
      </c>
      <c r="V20" s="22" t="n">
        <v>4</v>
      </c>
      <c r="W20" s="22" t="n">
        <v>4.8</v>
      </c>
      <c r="X20" s="22" t="n">
        <v>3.4</v>
      </c>
      <c r="Y20" s="22" t="n">
        <v>4.9</v>
      </c>
      <c r="Z20" s="22" t="n">
        <v>3.8</v>
      </c>
      <c r="AA20" s="45">
        <f>IF(MAESTRO!F20="","",IFERROR(TRUNC(AVERAGE(R20:Z20),1),""))</f>
        <v/>
      </c>
      <c r="AB20" s="177" t="n">
        <v>4.4</v>
      </c>
      <c r="AC20" s="42" t="n">
        <v>4.3</v>
      </c>
      <c r="AD20" s="5">
        <f>IF(MAESTRO!F20="","",IFERROR(AVERAGE(AB20:AC20),""))</f>
        <v/>
      </c>
      <c r="AE20" s="44">
        <f>IF(MAESTRO!F20="","",IFERROR(TRUNC(AVERAGE(P20,AA20,AD20),1),""))</f>
        <v/>
      </c>
      <c r="AF20" s="177" t="n"/>
      <c r="AG20" s="177" t="n">
        <v>16</v>
      </c>
      <c r="AH20" s="177" t="n">
        <v>16</v>
      </c>
      <c r="AI20" s="177">
        <f>IF(MAESTRO!F20="","",MAESTRO!F20)</f>
        <v/>
      </c>
      <c r="AJ20" s="178" t="n"/>
      <c r="AK20" s="61" t="n">
        <v>4.3</v>
      </c>
      <c r="AL20" s="61" t="n">
        <v>3.6</v>
      </c>
      <c r="AM20" s="61" t="n">
        <v>3.2</v>
      </c>
      <c r="AN20" s="61" t="n">
        <v>4.8</v>
      </c>
      <c r="AO20" s="61" t="n">
        <v>4.9</v>
      </c>
      <c r="AP20" s="61" t="n">
        <v>4.2</v>
      </c>
      <c r="AQ20" s="61" t="n">
        <v>3.5</v>
      </c>
      <c r="AR20" s="61" t="n">
        <v>4.5</v>
      </c>
      <c r="AS20" s="61" t="n">
        <v>3.8</v>
      </c>
      <c r="AT20" s="61" t="n">
        <v>3.6</v>
      </c>
      <c r="AU20" s="61" t="n">
        <v>4.6</v>
      </c>
      <c r="AV20" s="61" t="n">
        <v>4.7</v>
      </c>
      <c r="AW20" s="5">
        <f>IF(MAESTRO!F20="","",IFERROR(TRUNC(AVERAGE(AK20:AV20),1),""))</f>
        <v/>
      </c>
      <c r="AX20" s="22" t="n">
        <v>4.6</v>
      </c>
      <c r="AY20" s="22" t="n">
        <v>4.7</v>
      </c>
      <c r="AZ20" s="22" t="n">
        <v>3.8</v>
      </c>
      <c r="BA20" s="22" t="n">
        <v>3.3</v>
      </c>
      <c r="BB20" s="22" t="n">
        <v>4.1</v>
      </c>
      <c r="BC20" s="22" t="n">
        <v>4.4</v>
      </c>
      <c r="BD20" s="22" t="n">
        <v>3.4</v>
      </c>
      <c r="BE20" s="22" t="n">
        <v>4.2</v>
      </c>
      <c r="BF20" s="22" t="n">
        <v>3.9</v>
      </c>
      <c r="BG20" s="52" t="n">
        <v>4.9</v>
      </c>
      <c r="BH20" s="5">
        <f>IF(MAESTRO!F20="","",IFERROR(TRUNC(AVERAGE(AX20:BG20),1),""))</f>
        <v/>
      </c>
      <c r="BI20" s="22" t="n">
        <v>4.9</v>
      </c>
      <c r="BJ20" s="22" t="n">
        <v>3.2</v>
      </c>
      <c r="BK20" s="22">
        <f>IF(MAESTRO!F20="","",IFERROR(AVERAGE(BI20,BJ20),""))</f>
        <v/>
      </c>
      <c r="BL20" s="5">
        <f>IF(MAESTRO!F20="","",IFERROR(TRUNC(AVERAGE(AW20,BH20,BK20),1),""))</f>
        <v/>
      </c>
      <c r="BM20" s="177" t="n"/>
      <c r="BN20" s="177" t="n">
        <v>16</v>
      </c>
      <c r="BO20" s="177" t="n">
        <v>16</v>
      </c>
      <c r="BP20" s="177">
        <f>IF(MAESTRO!F20="","",MAESTRO!F20)</f>
        <v/>
      </c>
      <c r="BQ20" s="178" t="n"/>
      <c r="BR20" s="5" t="n">
        <v>4.9</v>
      </c>
      <c r="BS20" s="5" t="n">
        <v>3.6</v>
      </c>
      <c r="BT20" s="5" t="n">
        <v>3.1</v>
      </c>
      <c r="BU20" s="5" t="n">
        <v>4.4</v>
      </c>
      <c r="BV20" s="5" t="n">
        <v>3.6</v>
      </c>
      <c r="BW20" s="5" t="n">
        <v>4</v>
      </c>
      <c r="BX20" s="5" t="n">
        <v>3.4</v>
      </c>
      <c r="BY20" s="5" t="n">
        <v>3.5</v>
      </c>
      <c r="BZ20" s="5" t="n">
        <v>4.3</v>
      </c>
      <c r="CA20" s="5" t="n">
        <v>4.6</v>
      </c>
      <c r="CB20" s="5" t="n">
        <v>4.7</v>
      </c>
      <c r="CC20" s="5" t="n">
        <v>4.9</v>
      </c>
      <c r="CD20" s="5" t="n">
        <v>3.5</v>
      </c>
      <c r="CE20" s="5">
        <f>IF(MAESTRO!F20="","",IFERROR(TRUNC(AVERAGE(BR20:CD20),1),""))</f>
        <v/>
      </c>
      <c r="CF20" s="5" t="n">
        <v>4.4</v>
      </c>
      <c r="CG20" s="5" t="n">
        <v>3.7</v>
      </c>
      <c r="CH20" s="5" t="n">
        <v>4.5</v>
      </c>
      <c r="CI20" s="5" t="n">
        <v>3.5</v>
      </c>
      <c r="CJ20" s="5" t="n">
        <v>3</v>
      </c>
      <c r="CK20" s="5" t="n">
        <v>4.1</v>
      </c>
      <c r="CL20" s="5" t="n">
        <v>3.6</v>
      </c>
      <c r="CM20" s="5" t="n">
        <v>4.5</v>
      </c>
      <c r="CN20" s="5" t="n">
        <v>3.7</v>
      </c>
      <c r="CO20" s="5" t="n">
        <v>3.2</v>
      </c>
      <c r="CP20" s="5">
        <f>IF(MAESTRO!F20="","",IFERROR(TRUNC(AVERAGE(CF20:CO20),1),""))</f>
        <v/>
      </c>
      <c r="CQ20" s="5" t="n">
        <v>4.9</v>
      </c>
      <c r="CR20" s="5" t="n">
        <v>5</v>
      </c>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v>4.6</v>
      </c>
      <c r="D21" s="5" t="n">
        <v>4.1</v>
      </c>
      <c r="E21" s="5" t="n">
        <v>4.9</v>
      </c>
      <c r="F21" s="5" t="n">
        <v>4</v>
      </c>
      <c r="G21" s="5" t="n">
        <v>4.2</v>
      </c>
      <c r="H21" s="5" t="n">
        <v>4.2</v>
      </c>
      <c r="I21" s="5" t="n">
        <v>3.4</v>
      </c>
      <c r="J21" s="5" t="n">
        <v>4.2</v>
      </c>
      <c r="K21" s="5" t="n">
        <v>4.3</v>
      </c>
      <c r="L21" s="5" t="n">
        <v>3.5</v>
      </c>
      <c r="M21" s="5" t="n">
        <v>4.6</v>
      </c>
      <c r="N21" s="5" t="n">
        <v>4.1</v>
      </c>
      <c r="O21" s="5" t="n">
        <v>4.8</v>
      </c>
      <c r="P21" s="5">
        <f>IF(MAESTRO!F21="","",IFERROR(TRUNC(AVERAGE(C21:O21),1),""))</f>
        <v/>
      </c>
      <c r="Q21" s="40" t="n">
        <v>17</v>
      </c>
      <c r="R21" s="22" t="n">
        <v>4.1</v>
      </c>
      <c r="S21" s="22" t="n">
        <v>3.5</v>
      </c>
      <c r="T21" s="22" t="n">
        <v>3.6</v>
      </c>
      <c r="U21" s="22" t="n">
        <v>4.7</v>
      </c>
      <c r="V21" s="22" t="n">
        <v>3.5</v>
      </c>
      <c r="W21" s="22" t="n">
        <v>3.9</v>
      </c>
      <c r="X21" s="22" t="n">
        <v>3.4</v>
      </c>
      <c r="Y21" s="22" t="n">
        <v>3.4</v>
      </c>
      <c r="Z21" s="22" t="n">
        <v>3.9</v>
      </c>
      <c r="AA21" s="45">
        <f>IF(MAESTRO!F21="","",IFERROR(TRUNC(AVERAGE(R21:Z21),1),""))</f>
        <v/>
      </c>
      <c r="AB21" s="177" t="n">
        <v>4.1</v>
      </c>
      <c r="AC21" s="42" t="n">
        <v>4.6</v>
      </c>
      <c r="AD21" s="5">
        <f>IF(MAESTRO!F21="","",IFERROR(AVERAGE(AB21:AC21),""))</f>
        <v/>
      </c>
      <c r="AE21" s="44">
        <f>IF(MAESTRO!F21="","",IFERROR(TRUNC(AVERAGE(P21,AA21,AD21),1),""))</f>
        <v/>
      </c>
      <c r="AF21" s="177" t="n"/>
      <c r="AG21" s="177" t="n">
        <v>17</v>
      </c>
      <c r="AH21" s="177" t="n">
        <v>17</v>
      </c>
      <c r="AI21" s="177">
        <f>IF(MAESTRO!F21="","",MAESTRO!F21)</f>
        <v/>
      </c>
      <c r="AJ21" s="178" t="n"/>
      <c r="AK21" s="61" t="n">
        <v>3.5</v>
      </c>
      <c r="AL21" s="61" t="n">
        <v>4.7</v>
      </c>
      <c r="AM21" s="61" t="n">
        <v>3.7</v>
      </c>
      <c r="AN21" s="61" t="n">
        <v>4.3</v>
      </c>
      <c r="AO21" s="61" t="n">
        <v>4.2</v>
      </c>
      <c r="AP21" s="61" t="n">
        <v>4.7</v>
      </c>
      <c r="AQ21" s="61" t="n">
        <v>4.9</v>
      </c>
      <c r="AR21" s="61" t="n">
        <v>4.2</v>
      </c>
      <c r="AS21" s="61" t="n">
        <v>4.5</v>
      </c>
      <c r="AT21" s="61" t="n">
        <v>3.7</v>
      </c>
      <c r="AU21" s="61" t="n">
        <v>3.3</v>
      </c>
      <c r="AV21" s="61" t="n">
        <v>4.2</v>
      </c>
      <c r="AW21" s="5">
        <f>IF(MAESTRO!F21="","",IFERROR(TRUNC(AVERAGE(AK21:AV21),1),""))</f>
        <v/>
      </c>
      <c r="AX21" s="22" t="n">
        <v>3.1</v>
      </c>
      <c r="AY21" s="22" t="n">
        <v>4.5</v>
      </c>
      <c r="AZ21" s="22" t="n">
        <v>4.7</v>
      </c>
      <c r="BA21" s="22" t="n">
        <v>3.1</v>
      </c>
      <c r="BB21" s="22" t="n">
        <v>4.8</v>
      </c>
      <c r="BC21" s="22" t="n">
        <v>4.2</v>
      </c>
      <c r="BD21" s="22" t="n">
        <v>3.6</v>
      </c>
      <c r="BE21" s="22" t="n">
        <v>3.7</v>
      </c>
      <c r="BF21" s="22" t="n">
        <v>4.3</v>
      </c>
      <c r="BG21" s="52" t="n">
        <v>3.3</v>
      </c>
      <c r="BH21" s="5">
        <f>IF(MAESTRO!F21="","",IFERROR(TRUNC(AVERAGE(AX21:BG21),1),""))</f>
        <v/>
      </c>
      <c r="BI21" s="22" t="n">
        <v>3.2</v>
      </c>
      <c r="BJ21" s="22" t="n">
        <v>4.2</v>
      </c>
      <c r="BK21" s="22">
        <f>IF(MAESTRO!F21="","",IFERROR(AVERAGE(BI21,BJ21),""))</f>
        <v/>
      </c>
      <c r="BL21" s="5">
        <f>IF(MAESTRO!F21="","",IFERROR(TRUNC(AVERAGE(AW21,BH21,BK21),1),""))</f>
        <v/>
      </c>
      <c r="BM21" s="177" t="n"/>
      <c r="BN21" s="177" t="n">
        <v>17</v>
      </c>
      <c r="BO21" s="177" t="n">
        <v>17</v>
      </c>
      <c r="BP21" s="177">
        <f>IF(MAESTRO!F21="","",MAESTRO!F21)</f>
        <v/>
      </c>
      <c r="BQ21" s="178" t="n"/>
      <c r="BR21" s="5" t="n">
        <v>4.8</v>
      </c>
      <c r="BS21" s="5" t="n">
        <v>4.6</v>
      </c>
      <c r="BT21" s="5" t="n">
        <v>4.7</v>
      </c>
      <c r="BU21" s="5" t="n">
        <v>4.3</v>
      </c>
      <c r="BV21" s="5" t="n">
        <v>3</v>
      </c>
      <c r="BW21" s="5" t="n">
        <v>3.9</v>
      </c>
      <c r="BX21" s="5" t="n">
        <v>3.3</v>
      </c>
      <c r="BY21" s="5" t="n">
        <v>4.8</v>
      </c>
      <c r="BZ21" s="5" t="n">
        <v>4.5</v>
      </c>
      <c r="CA21" s="5" t="n">
        <v>4.5</v>
      </c>
      <c r="CB21" s="5" t="n">
        <v>3.7</v>
      </c>
      <c r="CC21" s="5" t="n">
        <v>4.2</v>
      </c>
      <c r="CD21" s="5" t="n">
        <v>4.1</v>
      </c>
      <c r="CE21" s="5">
        <f>IF(MAESTRO!F21="","",IFERROR(TRUNC(AVERAGE(BR21:CD21),1),""))</f>
        <v/>
      </c>
      <c r="CF21" s="5" t="n">
        <v>3.1</v>
      </c>
      <c r="CG21" s="5" t="n">
        <v>3.1</v>
      </c>
      <c r="CH21" s="5" t="n">
        <v>4.7</v>
      </c>
      <c r="CI21" s="5" t="n">
        <v>4.2</v>
      </c>
      <c r="CJ21" s="5" t="n">
        <v>4.9</v>
      </c>
      <c r="CK21" s="5" t="n">
        <v>3.8</v>
      </c>
      <c r="CL21" s="5" t="n">
        <v>3.7</v>
      </c>
      <c r="CM21" s="5" t="n">
        <v>3.7</v>
      </c>
      <c r="CN21" s="5" t="n">
        <v>4.9</v>
      </c>
      <c r="CO21" s="5" t="n">
        <v>3.8</v>
      </c>
      <c r="CP21" s="5">
        <f>IF(MAESTRO!F21="","",IFERROR(TRUNC(AVERAGE(CF21:CO21),1),""))</f>
        <v/>
      </c>
      <c r="CQ21" s="5" t="n">
        <v>4.3</v>
      </c>
      <c r="CR21" s="5" t="n">
        <v>4.5</v>
      </c>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v>4.4</v>
      </c>
      <c r="D22" s="5" t="n">
        <v>3.3</v>
      </c>
      <c r="E22" s="5" t="n">
        <v>3</v>
      </c>
      <c r="F22" s="5" t="n">
        <v>3</v>
      </c>
      <c r="G22" s="5" t="n">
        <v>3.2</v>
      </c>
      <c r="H22" s="5" t="n">
        <v>3.1</v>
      </c>
      <c r="I22" s="5" t="n">
        <v>4.4</v>
      </c>
      <c r="J22" s="5" t="n">
        <v>4.6</v>
      </c>
      <c r="K22" s="5" t="n">
        <v>3.4</v>
      </c>
      <c r="L22" s="5" t="n">
        <v>3.8</v>
      </c>
      <c r="M22" s="5" t="n">
        <v>4.7</v>
      </c>
      <c r="N22" s="5" t="n">
        <v>4.4</v>
      </c>
      <c r="O22" s="5" t="n">
        <v>3.6</v>
      </c>
      <c r="P22" s="5">
        <f>IF(MAESTRO!F22="","",IFERROR(TRUNC(AVERAGE(C22:O22),1),""))</f>
        <v/>
      </c>
      <c r="Q22" s="40" t="n">
        <v>18</v>
      </c>
      <c r="R22" s="22" t="n">
        <v>4.8</v>
      </c>
      <c r="S22" s="22" t="n">
        <v>4.8</v>
      </c>
      <c r="T22" s="22" t="n">
        <v>4.9</v>
      </c>
      <c r="U22" s="22" t="n">
        <v>3.9</v>
      </c>
      <c r="V22" s="22" t="n">
        <v>4.1</v>
      </c>
      <c r="W22" s="22" t="n">
        <v>5</v>
      </c>
      <c r="X22" s="22" t="n">
        <v>3.8</v>
      </c>
      <c r="Y22" s="22" t="n">
        <v>4.9</v>
      </c>
      <c r="Z22" s="22" t="n">
        <v>3.8</v>
      </c>
      <c r="AA22" s="45">
        <f>IF(MAESTRO!F22="","",IFERROR(TRUNC(AVERAGE(R22:Z22),1),""))</f>
        <v/>
      </c>
      <c r="AB22" s="177" t="n">
        <v>4</v>
      </c>
      <c r="AC22" s="42" t="n">
        <v>3.3</v>
      </c>
      <c r="AD22" s="5">
        <f>IF(MAESTRO!F22="","",IFERROR(AVERAGE(AB22:AC22),""))</f>
        <v/>
      </c>
      <c r="AE22" s="44">
        <f>IF(MAESTRO!F22="","",IFERROR(TRUNC(AVERAGE(P22,AA22,AD22),1),""))</f>
        <v/>
      </c>
      <c r="AF22" s="177" t="n"/>
      <c r="AG22" s="177" t="n">
        <v>18</v>
      </c>
      <c r="AH22" s="177" t="n">
        <v>18</v>
      </c>
      <c r="AI22" s="177">
        <f>IF(MAESTRO!F22="","",MAESTRO!F22)</f>
        <v/>
      </c>
      <c r="AJ22" s="178" t="n"/>
      <c r="AK22" s="61" t="n">
        <v>3.9</v>
      </c>
      <c r="AL22" s="62" t="n">
        <v>3.9</v>
      </c>
      <c r="AM22" s="61" t="n">
        <v>4.3</v>
      </c>
      <c r="AN22" s="61" t="n">
        <v>4.5</v>
      </c>
      <c r="AO22" s="61" t="n">
        <v>4.6</v>
      </c>
      <c r="AP22" s="61" t="n">
        <v>4.6</v>
      </c>
      <c r="AQ22" s="61" t="n">
        <v>3.6</v>
      </c>
      <c r="AR22" s="61" t="n">
        <v>3.9</v>
      </c>
      <c r="AS22" s="61" t="n">
        <v>3.1</v>
      </c>
      <c r="AT22" s="61" t="n">
        <v>4.6</v>
      </c>
      <c r="AU22" s="61" t="n">
        <v>4.6</v>
      </c>
      <c r="AV22" s="61" t="n">
        <v>3.5</v>
      </c>
      <c r="AW22" s="5">
        <f>IF(MAESTRO!F22="","",IFERROR(TRUNC(AVERAGE(AK22:AV22),1),""))</f>
        <v/>
      </c>
      <c r="AX22" s="22" t="n">
        <v>4.4</v>
      </c>
      <c r="AY22" s="22" t="n">
        <v>4.5</v>
      </c>
      <c r="AZ22" s="22" t="n">
        <v>3.9</v>
      </c>
      <c r="BA22" s="22" t="n">
        <v>3.8</v>
      </c>
      <c r="BB22" s="22" t="n">
        <v>4.1</v>
      </c>
      <c r="BC22" s="22" t="n">
        <v>4.6</v>
      </c>
      <c r="BD22" s="22" t="n">
        <v>3.4</v>
      </c>
      <c r="BE22" s="22" t="n">
        <v>3.9</v>
      </c>
      <c r="BF22" s="22" t="n">
        <v>5</v>
      </c>
      <c r="BG22" s="52" t="n">
        <v>3.9</v>
      </c>
      <c r="BH22" s="5">
        <f>IF(MAESTRO!F22="","",IFERROR(TRUNC(AVERAGE(AX22:BG22),1),""))</f>
        <v/>
      </c>
      <c r="BI22" s="22" t="n">
        <v>3.7</v>
      </c>
      <c r="BJ22" s="22" t="n">
        <v>5</v>
      </c>
      <c r="BK22" s="22">
        <f>IF(MAESTRO!F22="","",IFERROR(AVERAGE(BI22,BJ22),""))</f>
        <v/>
      </c>
      <c r="BL22" s="5">
        <f>IF(MAESTRO!F22="","",IFERROR(TRUNC(AVERAGE(AW22,BH22,BK22),1),""))</f>
        <v/>
      </c>
      <c r="BM22" s="177" t="n"/>
      <c r="BN22" s="177" t="n">
        <v>18</v>
      </c>
      <c r="BO22" s="177" t="n">
        <v>18</v>
      </c>
      <c r="BP22" s="177">
        <f>IF(MAESTRO!F22="","",MAESTRO!F22)</f>
        <v/>
      </c>
      <c r="BQ22" s="178" t="n"/>
      <c r="BR22" s="5" t="n">
        <v>4.8</v>
      </c>
      <c r="BS22" s="5" t="n">
        <v>4.2</v>
      </c>
      <c r="BT22" s="5" t="n">
        <v>3.1</v>
      </c>
      <c r="BU22" s="5" t="n">
        <v>4.5</v>
      </c>
      <c r="BV22" s="5" t="n">
        <v>4.3</v>
      </c>
      <c r="BW22" s="5" t="n">
        <v>3.4</v>
      </c>
      <c r="BX22" s="5" t="n">
        <v>4.7</v>
      </c>
      <c r="BY22" s="5" t="n">
        <v>3.9</v>
      </c>
      <c r="BZ22" s="5" t="n">
        <v>3.8</v>
      </c>
      <c r="CA22" s="5" t="n">
        <v>4.1</v>
      </c>
      <c r="CB22" s="5" t="n">
        <v>3</v>
      </c>
      <c r="CC22" s="5" t="n">
        <v>3.1</v>
      </c>
      <c r="CD22" s="5" t="n">
        <v>4.2</v>
      </c>
      <c r="CE22" s="5">
        <f>IF(MAESTRO!F22="","",IFERROR(TRUNC(AVERAGE(BR22:CD22),1),""))</f>
        <v/>
      </c>
      <c r="CF22" s="5" t="n">
        <v>4.8</v>
      </c>
      <c r="CG22" s="5" t="n">
        <v>4.9</v>
      </c>
      <c r="CH22" s="5" t="n">
        <v>4.3</v>
      </c>
      <c r="CI22" s="5" t="n">
        <v>4.2</v>
      </c>
      <c r="CJ22" s="5" t="n">
        <v>4</v>
      </c>
      <c r="CK22" s="5" t="n">
        <v>4.8</v>
      </c>
      <c r="CL22" s="5" t="n">
        <v>4</v>
      </c>
      <c r="CM22" s="5" t="n">
        <v>4.7</v>
      </c>
      <c r="CN22" s="5" t="n">
        <v>4.8</v>
      </c>
      <c r="CO22" s="5" t="n">
        <v>4.2</v>
      </c>
      <c r="CP22" s="5">
        <f>IF(MAESTRO!F22="","",IFERROR(TRUNC(AVERAGE(CF22:CO22),1),""))</f>
        <v/>
      </c>
      <c r="CQ22" s="5" t="n">
        <v>4.4</v>
      </c>
      <c r="CR22" s="5" t="n">
        <v>4.1</v>
      </c>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v>4.7</v>
      </c>
      <c r="D23" s="5" t="n">
        <v>3.7</v>
      </c>
      <c r="E23" s="5" t="n">
        <v>3.1</v>
      </c>
      <c r="F23" s="5" t="n">
        <v>3.5</v>
      </c>
      <c r="G23" s="5" t="n">
        <v>3.3</v>
      </c>
      <c r="H23" s="5" t="n">
        <v>4.3</v>
      </c>
      <c r="I23" s="5" t="n">
        <v>3.7</v>
      </c>
      <c r="J23" s="5" t="n">
        <v>3.1</v>
      </c>
      <c r="K23" s="5" t="n">
        <v>4.6</v>
      </c>
      <c r="L23" s="5" t="n">
        <v>5</v>
      </c>
      <c r="M23" s="5" t="n">
        <v>3.4</v>
      </c>
      <c r="N23" s="5" t="n">
        <v>4.2</v>
      </c>
      <c r="O23" s="5" t="n">
        <v>4.4</v>
      </c>
      <c r="P23" s="5">
        <f>IF(MAESTRO!F23="","",IFERROR(TRUNC(AVERAGE(C23:O23),1),""))</f>
        <v/>
      </c>
      <c r="Q23" s="40" t="n">
        <v>19</v>
      </c>
      <c r="R23" s="22" t="n">
        <v>3.8</v>
      </c>
      <c r="S23" s="22" t="n">
        <v>3.7</v>
      </c>
      <c r="T23" s="22" t="n">
        <v>3.2</v>
      </c>
      <c r="U23" s="22" t="n">
        <v>4.7</v>
      </c>
      <c r="V23" s="22" t="n">
        <v>3.1</v>
      </c>
      <c r="W23" s="22" t="n">
        <v>3.9</v>
      </c>
      <c r="X23" s="22" t="n">
        <v>4.9</v>
      </c>
      <c r="Y23" s="22" t="n">
        <v>3.8</v>
      </c>
      <c r="Z23" s="22" t="n">
        <v>4.7</v>
      </c>
      <c r="AA23" s="45">
        <f>IF(MAESTRO!F23="","",IFERROR(TRUNC(AVERAGE(R23:Z23),1),""))</f>
        <v/>
      </c>
      <c r="AB23" s="177" t="n">
        <v>3.1</v>
      </c>
      <c r="AC23" s="42" t="n">
        <v>3.8</v>
      </c>
      <c r="AD23" s="5">
        <f>IF(MAESTRO!F23="","",IFERROR(AVERAGE(AB23:AC23),""))</f>
        <v/>
      </c>
      <c r="AE23" s="44">
        <f>IF(MAESTRO!F23="","",IFERROR(TRUNC(AVERAGE(P23,AA23,AD23),1),""))</f>
        <v/>
      </c>
      <c r="AF23" s="177" t="n"/>
      <c r="AG23" s="177" t="n">
        <v>19</v>
      </c>
      <c r="AH23" s="177" t="n">
        <v>19</v>
      </c>
      <c r="AI23" s="177">
        <f>IF(MAESTRO!F23="","",MAESTRO!F23)</f>
        <v/>
      </c>
      <c r="AJ23" s="178" t="n"/>
      <c r="AK23" s="62" t="n">
        <v>4.7</v>
      </c>
      <c r="AL23" s="61" t="n">
        <v>3.9</v>
      </c>
      <c r="AM23" s="61" t="n">
        <v>3.6</v>
      </c>
      <c r="AN23" s="61" t="n">
        <v>3.5</v>
      </c>
      <c r="AO23" s="61" t="n">
        <v>3.7</v>
      </c>
      <c r="AP23" s="61" t="n">
        <v>3.8</v>
      </c>
      <c r="AQ23" s="61" t="n">
        <v>3.3</v>
      </c>
      <c r="AR23" s="61" t="n">
        <v>3.6</v>
      </c>
      <c r="AS23" s="61" t="n">
        <v>3.6</v>
      </c>
      <c r="AT23" s="61" t="n">
        <v>4.7</v>
      </c>
      <c r="AU23" s="61" t="n">
        <v>4.6</v>
      </c>
      <c r="AV23" s="61" t="n">
        <v>3.9</v>
      </c>
      <c r="AW23" s="5">
        <f>IF(MAESTRO!F23="","",IFERROR(TRUNC(AVERAGE(AK23:AV23),1),""))</f>
        <v/>
      </c>
      <c r="AX23" s="22" t="n">
        <v>3.9</v>
      </c>
      <c r="AY23" s="22" t="n">
        <v>3.5</v>
      </c>
      <c r="AZ23" s="22" t="n">
        <v>4.3</v>
      </c>
      <c r="BA23" s="22" t="n">
        <v>3.2</v>
      </c>
      <c r="BB23" s="22" t="n">
        <v>4.3</v>
      </c>
      <c r="BC23" s="22" t="n">
        <v>3.8</v>
      </c>
      <c r="BD23" s="22" t="n">
        <v>3.6</v>
      </c>
      <c r="BE23" s="22" t="n">
        <v>3.7</v>
      </c>
      <c r="BF23" s="22" t="n">
        <v>3.2</v>
      </c>
      <c r="BG23" s="52" t="n">
        <v>4.3</v>
      </c>
      <c r="BH23" s="5">
        <f>IF(MAESTRO!F23="","",IFERROR(TRUNC(AVERAGE(AX23:BG23),1),""))</f>
        <v/>
      </c>
      <c r="BI23" s="22" t="n">
        <v>3.9</v>
      </c>
      <c r="BJ23" s="22" t="n">
        <v>3.9</v>
      </c>
      <c r="BK23" s="22">
        <f>IF(MAESTRO!F23="","",IFERROR(AVERAGE(BI23,BJ23),""))</f>
        <v/>
      </c>
      <c r="BL23" s="5">
        <f>IF(MAESTRO!F23="","",IFERROR(TRUNC(AVERAGE(AW23,BH23,BK23),1),""))</f>
        <v/>
      </c>
      <c r="BM23" s="177" t="n"/>
      <c r="BN23" s="177" t="n">
        <v>19</v>
      </c>
      <c r="BO23" s="177" t="n">
        <v>19</v>
      </c>
      <c r="BP23" s="177">
        <f>IF(MAESTRO!F23="","",MAESTRO!F23)</f>
        <v/>
      </c>
      <c r="BQ23" s="178" t="n"/>
      <c r="BR23" s="5" t="n">
        <v>3.2</v>
      </c>
      <c r="BS23" s="5" t="n">
        <v>4</v>
      </c>
      <c r="BT23" s="5" t="n">
        <v>4.9</v>
      </c>
      <c r="BU23" s="5" t="n">
        <v>4.6</v>
      </c>
      <c r="BV23" s="5" t="n">
        <v>3.8</v>
      </c>
      <c r="BW23" s="5" t="n">
        <v>3.3</v>
      </c>
      <c r="BX23" s="5" t="n">
        <v>4.7</v>
      </c>
      <c r="BY23" s="5" t="n">
        <v>4.7</v>
      </c>
      <c r="BZ23" s="5" t="n">
        <v>3.5</v>
      </c>
      <c r="CA23" s="5" t="n">
        <v>4.1</v>
      </c>
      <c r="CB23" s="5" t="n">
        <v>4.9</v>
      </c>
      <c r="CC23" s="5" t="n">
        <v>3.4</v>
      </c>
      <c r="CD23" s="5" t="n">
        <v>4.2</v>
      </c>
      <c r="CE23" s="5">
        <f>IF(MAESTRO!F23="","",IFERROR(TRUNC(AVERAGE(BR23:CD23),1),""))</f>
        <v/>
      </c>
      <c r="CF23" s="5" t="n">
        <v>4.1</v>
      </c>
      <c r="CG23" s="5" t="n">
        <v>4.1</v>
      </c>
      <c r="CH23" s="5" t="n">
        <v>4.7</v>
      </c>
      <c r="CI23" s="5" t="n">
        <v>4.8</v>
      </c>
      <c r="CJ23" s="5" t="n">
        <v>3.3</v>
      </c>
      <c r="CK23" s="5" t="n">
        <v>3.3</v>
      </c>
      <c r="CL23" s="5" t="n">
        <v>4.3</v>
      </c>
      <c r="CM23" s="5" t="n">
        <v>4.8</v>
      </c>
      <c r="CN23" s="5" t="n">
        <v>4.9</v>
      </c>
      <c r="CO23" s="5" t="n">
        <v>3.5</v>
      </c>
      <c r="CP23" s="5">
        <f>IF(MAESTRO!F23="","",IFERROR(TRUNC(AVERAGE(CF23:CO23),1),""))</f>
        <v/>
      </c>
      <c r="CQ23" s="5" t="n">
        <v>4.4</v>
      </c>
      <c r="CR23" s="5" t="n">
        <v>4.7</v>
      </c>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v>3.8</v>
      </c>
      <c r="D24" s="5" t="n">
        <v>3.4</v>
      </c>
      <c r="E24" s="5" t="n">
        <v>3.9</v>
      </c>
      <c r="F24" s="5" t="n">
        <v>4.9</v>
      </c>
      <c r="G24" s="5" t="n">
        <v>3.4</v>
      </c>
      <c r="H24" s="5" t="n">
        <v>4.3</v>
      </c>
      <c r="I24" s="5" t="n">
        <v>3.7</v>
      </c>
      <c r="J24" s="5" t="n">
        <v>4</v>
      </c>
      <c r="K24" s="5" t="n">
        <v>4.7</v>
      </c>
      <c r="L24" s="5" t="n">
        <v>4.4</v>
      </c>
      <c r="M24" s="5" t="n">
        <v>3.4</v>
      </c>
      <c r="N24" s="5" t="n">
        <v>3.7</v>
      </c>
      <c r="O24" s="5" t="n">
        <v>4.2</v>
      </c>
      <c r="P24" s="5">
        <f>IF(MAESTRO!F24="","",IFERROR(TRUNC(AVERAGE(C24:O24),1),""))</f>
        <v/>
      </c>
      <c r="Q24" s="40" t="n">
        <v>20</v>
      </c>
      <c r="R24" s="22" t="n">
        <v>3.3</v>
      </c>
      <c r="S24" s="22" t="n">
        <v>4.5</v>
      </c>
      <c r="T24" s="22" t="n">
        <v>3.2</v>
      </c>
      <c r="U24" s="22" t="n">
        <v>4.1</v>
      </c>
      <c r="V24" s="22" t="n">
        <v>3.5</v>
      </c>
      <c r="W24" s="22" t="n">
        <v>4.3</v>
      </c>
      <c r="X24" s="22" t="n">
        <v>3.4</v>
      </c>
      <c r="Y24" s="22" t="n">
        <v>3.8</v>
      </c>
      <c r="Z24" s="22" t="n">
        <v>3.3</v>
      </c>
      <c r="AA24" s="45">
        <f>IF(MAESTRO!F24="","",IFERROR(TRUNC(AVERAGE(R24:Z24),1),""))</f>
        <v/>
      </c>
      <c r="AB24" s="177" t="n">
        <v>4.9</v>
      </c>
      <c r="AC24" s="42" t="n">
        <v>3.4</v>
      </c>
      <c r="AD24" s="5">
        <f>IF(MAESTRO!F24="","",IFERROR(AVERAGE(AB24:AC24),""))</f>
        <v/>
      </c>
      <c r="AE24" s="44">
        <f>IF(MAESTRO!F24="","",IFERROR(TRUNC(AVERAGE(P24,AA24,AD24),1),""))</f>
        <v/>
      </c>
      <c r="AF24" s="177" t="n"/>
      <c r="AG24" s="177" t="n">
        <v>20</v>
      </c>
      <c r="AH24" s="177" t="n">
        <v>20</v>
      </c>
      <c r="AI24" s="177">
        <f>IF(MAESTRO!F24="","",MAESTRO!F24)</f>
        <v/>
      </c>
      <c r="AJ24" s="178" t="n"/>
      <c r="AK24" s="61" t="n">
        <v>4.6</v>
      </c>
      <c r="AL24" s="61" t="n">
        <v>3.8</v>
      </c>
      <c r="AM24" s="61" t="n">
        <v>3.4</v>
      </c>
      <c r="AN24" s="61" t="n">
        <v>4.4</v>
      </c>
      <c r="AO24" s="61" t="n">
        <v>3.7</v>
      </c>
      <c r="AP24" s="61" t="n">
        <v>4.7</v>
      </c>
      <c r="AQ24" s="61" t="n">
        <v>4.1</v>
      </c>
      <c r="AR24" s="61" t="n">
        <v>4.6</v>
      </c>
      <c r="AS24" s="61" t="n">
        <v>3.7</v>
      </c>
      <c r="AT24" s="61" t="n">
        <v>3.3</v>
      </c>
      <c r="AU24" s="61" t="n">
        <v>3.7</v>
      </c>
      <c r="AV24" s="61" t="n">
        <v>3.8</v>
      </c>
      <c r="AW24" s="5">
        <f>IF(MAESTRO!F24="","",IFERROR(TRUNC(AVERAGE(AK24:AV24),1),""))</f>
        <v/>
      </c>
      <c r="AX24" s="22" t="n">
        <v>5</v>
      </c>
      <c r="AY24" s="22" t="n">
        <v>4.7</v>
      </c>
      <c r="AZ24" s="22" t="n">
        <v>4.2</v>
      </c>
      <c r="BA24" s="22" t="n">
        <v>4.3</v>
      </c>
      <c r="BB24" s="22" t="n">
        <v>3.4</v>
      </c>
      <c r="BC24" s="22" t="n">
        <v>4.9</v>
      </c>
      <c r="BD24" s="22" t="n">
        <v>4.4</v>
      </c>
      <c r="BE24" s="22" t="n">
        <v>4.9</v>
      </c>
      <c r="BF24" s="22" t="n">
        <v>3.8</v>
      </c>
      <c r="BG24" s="52" t="n">
        <v>4.1</v>
      </c>
      <c r="BH24" s="5">
        <f>IF(MAESTRO!F24="","",IFERROR(TRUNC(AVERAGE(AX24:BG24),1),""))</f>
        <v/>
      </c>
      <c r="BI24" s="22" t="n">
        <v>4.4</v>
      </c>
      <c r="BJ24" s="22" t="n">
        <v>4.5</v>
      </c>
      <c r="BK24" s="22">
        <f>IF(MAESTRO!F24="","",IFERROR(AVERAGE(BI24,BJ24),""))</f>
        <v/>
      </c>
      <c r="BL24" s="5">
        <f>IF(MAESTRO!F24="","",IFERROR(TRUNC(AVERAGE(AW24,BH24,BK24),1),""))</f>
        <v/>
      </c>
      <c r="BM24" s="177" t="n"/>
      <c r="BN24" s="177" t="n">
        <v>20</v>
      </c>
      <c r="BO24" s="177" t="n">
        <v>20</v>
      </c>
      <c r="BP24" s="177">
        <f>IF(MAESTRO!F24="","",MAESTRO!F24)</f>
        <v/>
      </c>
      <c r="BQ24" s="178" t="n"/>
      <c r="BR24" s="5" t="n">
        <v>3.3</v>
      </c>
      <c r="BS24" s="5" t="n">
        <v>3.7</v>
      </c>
      <c r="BT24" s="5" t="n">
        <v>3.4</v>
      </c>
      <c r="BU24" s="5" t="n">
        <v>4.7</v>
      </c>
      <c r="BV24" s="5" t="n">
        <v>4.2</v>
      </c>
      <c r="BW24" s="5" t="n">
        <v>4.4</v>
      </c>
      <c r="BX24" s="5" t="n">
        <v>3.8</v>
      </c>
      <c r="BY24" s="5" t="n">
        <v>3.4</v>
      </c>
      <c r="BZ24" s="5" t="n">
        <v>4.2</v>
      </c>
      <c r="CA24" s="5" t="n">
        <v>4.1</v>
      </c>
      <c r="CB24" s="5" t="n">
        <v>3.4</v>
      </c>
      <c r="CC24" s="5" t="n">
        <v>3.6</v>
      </c>
      <c r="CD24" s="5" t="n">
        <v>3.9</v>
      </c>
      <c r="CE24" s="5">
        <f>IF(MAESTRO!F24="","",IFERROR(TRUNC(AVERAGE(BR24:CD24),1),""))</f>
        <v/>
      </c>
      <c r="CF24" s="5" t="n">
        <v>4.8</v>
      </c>
      <c r="CG24" s="5" t="n">
        <v>4.5</v>
      </c>
      <c r="CH24" s="5" t="n">
        <v>4.6</v>
      </c>
      <c r="CI24" s="5" t="n">
        <v>4.4</v>
      </c>
      <c r="CJ24" s="5" t="n">
        <v>4.2</v>
      </c>
      <c r="CK24" s="5" t="n">
        <v>3.3</v>
      </c>
      <c r="CL24" s="5" t="n">
        <v>5</v>
      </c>
      <c r="CM24" s="5" t="n">
        <v>4</v>
      </c>
      <c r="CN24" s="5" t="n">
        <v>3.1</v>
      </c>
      <c r="CO24" s="5" t="n">
        <v>4.5</v>
      </c>
      <c r="CP24" s="5">
        <f>IF(MAESTRO!F24="","",IFERROR(TRUNC(AVERAGE(CF24:CO24),1),""))</f>
        <v/>
      </c>
      <c r="CQ24" s="5" t="n">
        <v>4.9</v>
      </c>
      <c r="CR24" s="5" t="n">
        <v>3.7</v>
      </c>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v>3.8</v>
      </c>
      <c r="D25" s="5" t="n">
        <v>3.5</v>
      </c>
      <c r="E25" s="5" t="n">
        <v>3.6</v>
      </c>
      <c r="F25" s="5" t="n">
        <v>4.7</v>
      </c>
      <c r="G25" s="5" t="n">
        <v>4</v>
      </c>
      <c r="H25" s="5" t="n">
        <v>4.4</v>
      </c>
      <c r="I25" s="5" t="n">
        <v>4.9</v>
      </c>
      <c r="J25" s="5" t="n">
        <v>3.1</v>
      </c>
      <c r="K25" s="5" t="n">
        <v>3.2</v>
      </c>
      <c r="L25" s="5" t="n">
        <v>3.3</v>
      </c>
      <c r="M25" s="5" t="n">
        <v>3.1</v>
      </c>
      <c r="N25" s="5" t="n">
        <v>4.4</v>
      </c>
      <c r="O25" s="5" t="n">
        <v>4.8</v>
      </c>
      <c r="P25" s="5">
        <f>IF(MAESTRO!F25="","",IFERROR(TRUNC(AVERAGE(C25:O25),1),""))</f>
        <v/>
      </c>
      <c r="Q25" s="40" t="n">
        <v>21</v>
      </c>
      <c r="R25" s="22" t="n">
        <v>3.9</v>
      </c>
      <c r="S25" s="22" t="n">
        <v>3.8</v>
      </c>
      <c r="T25" s="22" t="n">
        <v>4.4</v>
      </c>
      <c r="U25" s="22" t="n">
        <v>3.4</v>
      </c>
      <c r="V25" s="22" t="n">
        <v>4.2</v>
      </c>
      <c r="W25" s="22" t="n">
        <v>3.7</v>
      </c>
      <c r="X25" s="22" t="n">
        <v>3.1</v>
      </c>
      <c r="Y25" s="22" t="n">
        <v>4.7</v>
      </c>
      <c r="Z25" s="22" t="n">
        <v>3.4</v>
      </c>
      <c r="AA25" s="45">
        <f>IF(MAESTRO!F25="","",IFERROR(TRUNC(AVERAGE(R25:Z25),1),""))</f>
        <v/>
      </c>
      <c r="AB25" s="177" t="n">
        <v>4.6</v>
      </c>
      <c r="AC25" s="42" t="n">
        <v>4.6</v>
      </c>
      <c r="AD25" s="5">
        <f>IF(MAESTRO!F25="","",IFERROR(AVERAGE(AB25:AC25),""))</f>
        <v/>
      </c>
      <c r="AE25" s="44">
        <f>IF(MAESTRO!F25="","",IFERROR(TRUNC(AVERAGE(P25,AA25,AD25),1),""))</f>
        <v/>
      </c>
      <c r="AF25" s="177" t="n"/>
      <c r="AG25" s="177" t="n">
        <v>21</v>
      </c>
      <c r="AH25" s="177" t="n">
        <v>21</v>
      </c>
      <c r="AI25" s="177">
        <f>IF(MAESTRO!F25="","",MAESTRO!F25)</f>
        <v/>
      </c>
      <c r="AJ25" s="178" t="n"/>
      <c r="AK25" s="61" t="n">
        <v>4.6</v>
      </c>
      <c r="AL25" s="61" t="n">
        <v>4.8</v>
      </c>
      <c r="AM25" s="61" t="n">
        <v>3.8</v>
      </c>
      <c r="AN25" s="61" t="n">
        <v>3.4</v>
      </c>
      <c r="AO25" s="61" t="n">
        <v>4.9</v>
      </c>
      <c r="AP25" s="61" t="n">
        <v>3.7</v>
      </c>
      <c r="AQ25" s="61" t="n">
        <v>3.9</v>
      </c>
      <c r="AR25" s="61" t="n">
        <v>3.3</v>
      </c>
      <c r="AS25" s="61" t="n">
        <v>3.2</v>
      </c>
      <c r="AT25" s="61" t="n">
        <v>4.7</v>
      </c>
      <c r="AU25" s="61" t="n">
        <v>4.6</v>
      </c>
      <c r="AV25" s="61" t="n">
        <v>3.4</v>
      </c>
      <c r="AW25" s="5">
        <f>IF(MAESTRO!F25="","",IFERROR(TRUNC(AVERAGE(AK25:AV25),1),""))</f>
        <v/>
      </c>
      <c r="AX25" s="22" t="n">
        <v>3.9</v>
      </c>
      <c r="AY25" s="92" t="n">
        <v>4.8</v>
      </c>
      <c r="AZ25" s="22" t="n">
        <v>3.2</v>
      </c>
      <c r="BA25" s="22" t="n">
        <v>3.7</v>
      </c>
      <c r="BB25" s="22" t="n">
        <v>4.9</v>
      </c>
      <c r="BC25" s="22" t="n">
        <v>4.3</v>
      </c>
      <c r="BD25" s="22" t="n">
        <v>4.6</v>
      </c>
      <c r="BE25" s="22" t="n">
        <v>4.9</v>
      </c>
      <c r="BF25" s="22" t="n">
        <v>4.2</v>
      </c>
      <c r="BG25" s="52" t="n">
        <v>3.2</v>
      </c>
      <c r="BH25" s="5">
        <f>IF(MAESTRO!F25="","",IFERROR(TRUNC(AVERAGE(AX25:BG25),1),""))</f>
        <v/>
      </c>
      <c r="BI25" s="22" t="n">
        <v>5</v>
      </c>
      <c r="BJ25" s="22" t="n">
        <v>4.3</v>
      </c>
      <c r="BK25" s="22">
        <f>IF(MAESTRO!F25="","",IFERROR(AVERAGE(BI25,BJ25),""))</f>
        <v/>
      </c>
      <c r="BL25" s="5">
        <f>IF(MAESTRO!F25="","",IFERROR(TRUNC(AVERAGE(AW25,BH25,BK25),1),""))</f>
        <v/>
      </c>
      <c r="BM25" s="177" t="n"/>
      <c r="BN25" s="177" t="n">
        <v>21</v>
      </c>
      <c r="BO25" s="177" t="n">
        <v>21</v>
      </c>
      <c r="BP25" s="177">
        <f>IF(MAESTRO!F25="","",MAESTRO!F25)</f>
        <v/>
      </c>
      <c r="BQ25" s="178" t="n"/>
      <c r="BR25" s="89" t="n">
        <v>3.2</v>
      </c>
      <c r="BS25" s="89" t="n">
        <v>4.2</v>
      </c>
      <c r="BT25" s="89" t="n">
        <v>4.4</v>
      </c>
      <c r="BU25" s="5" t="n">
        <v>4.6</v>
      </c>
      <c r="BV25" s="5" t="n">
        <v>3</v>
      </c>
      <c r="BW25" s="5" t="n">
        <v>4</v>
      </c>
      <c r="BX25" s="5" t="n">
        <v>3.4</v>
      </c>
      <c r="BY25" s="5" t="n">
        <v>4</v>
      </c>
      <c r="BZ25" s="5" t="n">
        <v>3</v>
      </c>
      <c r="CA25" s="5" t="n">
        <v>3.2</v>
      </c>
      <c r="CB25" s="5" t="n">
        <v>4.6</v>
      </c>
      <c r="CC25" s="5" t="n">
        <v>3.2</v>
      </c>
      <c r="CD25" s="5" t="n">
        <v>4.2</v>
      </c>
      <c r="CE25" s="5">
        <f>IF(MAESTRO!F25="","",IFERROR(TRUNC(AVERAGE(BR25:CD25),1),""))</f>
        <v/>
      </c>
      <c r="CF25" s="5" t="n">
        <v>4.9</v>
      </c>
      <c r="CG25" s="5" t="n">
        <v>4.8</v>
      </c>
      <c r="CH25" s="5" t="n">
        <v>3.5</v>
      </c>
      <c r="CI25" s="5" t="n">
        <v>4.2</v>
      </c>
      <c r="CJ25" s="5" t="n">
        <v>3.6</v>
      </c>
      <c r="CK25" s="5" t="n">
        <v>3.3</v>
      </c>
      <c r="CL25" s="5" t="n">
        <v>3.1</v>
      </c>
      <c r="CM25" s="5" t="n">
        <v>4.1</v>
      </c>
      <c r="CN25" s="5" t="n">
        <v>4.4</v>
      </c>
      <c r="CO25" s="5" t="n">
        <v>4.9</v>
      </c>
      <c r="CP25" s="5">
        <f>IF(MAESTRO!F25="","",IFERROR(TRUNC(AVERAGE(CF25:CO25),1),""))</f>
        <v/>
      </c>
      <c r="CQ25" s="5" t="n">
        <v>3.8</v>
      </c>
      <c r="CR25" s="5" t="n">
        <v>3.5</v>
      </c>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v>4.7</v>
      </c>
      <c r="D26" s="5" t="n">
        <v>3.9</v>
      </c>
      <c r="E26" s="5" t="n">
        <v>4.4</v>
      </c>
      <c r="F26" s="5" t="n">
        <v>4.5</v>
      </c>
      <c r="G26" s="5" t="n">
        <v>4.3</v>
      </c>
      <c r="H26" s="5" t="n">
        <v>3.5</v>
      </c>
      <c r="I26" s="5" t="n">
        <v>3.9</v>
      </c>
      <c r="J26" s="5" t="n">
        <v>4.7</v>
      </c>
      <c r="K26" s="5" t="n">
        <v>3.2</v>
      </c>
      <c r="L26" s="5" t="n">
        <v>4.7</v>
      </c>
      <c r="M26" s="5" t="n">
        <v>3.9</v>
      </c>
      <c r="N26" s="5" t="n">
        <v>4.9</v>
      </c>
      <c r="O26" s="5" t="n">
        <v>3.2</v>
      </c>
      <c r="P26" s="5">
        <f>IF(MAESTRO!F26="","",IFERROR(TRUNC(AVERAGE(C26:O26),1),""))</f>
        <v/>
      </c>
      <c r="Q26" s="40" t="n">
        <v>22</v>
      </c>
      <c r="R26" s="22" t="n">
        <v>4.8</v>
      </c>
      <c r="S26" s="22" t="n">
        <v>4</v>
      </c>
      <c r="T26" s="22" t="n">
        <v>5</v>
      </c>
      <c r="U26" s="22" t="n">
        <v>4.5</v>
      </c>
      <c r="V26" s="22" t="n">
        <v>3.2</v>
      </c>
      <c r="W26" s="22" t="n">
        <v>3.8</v>
      </c>
      <c r="X26" s="22" t="n">
        <v>3</v>
      </c>
      <c r="Y26" s="22" t="n">
        <v>3.1</v>
      </c>
      <c r="Z26" s="22" t="n">
        <v>3.7</v>
      </c>
      <c r="AA26" s="45">
        <f>IF(MAESTRO!F26="","",IFERROR(TRUNC(AVERAGE(R26:Z26),1),""))</f>
        <v/>
      </c>
      <c r="AB26" s="177" t="n">
        <v>5</v>
      </c>
      <c r="AC26" s="42" t="n">
        <v>4.9</v>
      </c>
      <c r="AD26" s="5">
        <f>IF(MAESTRO!F26="","",IFERROR(AVERAGE(AB26:AC26),""))</f>
        <v/>
      </c>
      <c r="AE26" s="44">
        <f>IF(MAESTRO!F26="","",IFERROR(TRUNC(AVERAGE(P26,AA26,AD26),1),""))</f>
        <v/>
      </c>
      <c r="AF26" s="177" t="n"/>
      <c r="AG26" s="177" t="n">
        <v>22</v>
      </c>
      <c r="AH26" s="177" t="n">
        <v>22</v>
      </c>
      <c r="AI26" s="177">
        <f>IF(MAESTRO!F26="","",MAESTRO!F26)</f>
        <v/>
      </c>
      <c r="AJ26" s="178" t="n"/>
      <c r="AK26" s="61" t="n">
        <v>4.5</v>
      </c>
      <c r="AL26" s="61" t="n">
        <v>4.6</v>
      </c>
      <c r="AM26" s="61" t="n">
        <v>3.8</v>
      </c>
      <c r="AN26" s="61" t="n">
        <v>4</v>
      </c>
      <c r="AO26" s="61" t="n">
        <v>4.1</v>
      </c>
      <c r="AP26" s="61" t="n">
        <v>3.5</v>
      </c>
      <c r="AQ26" s="61" t="n">
        <v>3.9</v>
      </c>
      <c r="AR26" s="61" t="n">
        <v>4.7</v>
      </c>
      <c r="AS26" s="61" t="n">
        <v>4.6</v>
      </c>
      <c r="AT26" s="61" t="n">
        <v>4.9</v>
      </c>
      <c r="AU26" s="61" t="n">
        <v>3.3</v>
      </c>
      <c r="AV26" s="61" t="n">
        <v>4.6</v>
      </c>
      <c r="AW26" s="5">
        <f>IF(MAESTRO!F26="","",IFERROR(TRUNC(AVERAGE(AK26:AV26),1),""))</f>
        <v/>
      </c>
      <c r="AX26" s="22" t="n">
        <v>4.8</v>
      </c>
      <c r="AY26" s="92" t="n">
        <v>4</v>
      </c>
      <c r="AZ26" s="22" t="n">
        <v>4</v>
      </c>
      <c r="BA26" s="22" t="n">
        <v>4.5</v>
      </c>
      <c r="BB26" s="22" t="n">
        <v>4.5</v>
      </c>
      <c r="BC26" s="22" t="n">
        <v>4.7</v>
      </c>
      <c r="BD26" s="22" t="n">
        <v>4.7</v>
      </c>
      <c r="BE26" s="22" t="n">
        <v>3.6</v>
      </c>
      <c r="BF26" s="22" t="n">
        <v>4.9</v>
      </c>
      <c r="BG26" s="52" t="n">
        <v>3.4</v>
      </c>
      <c r="BH26" s="5">
        <f>IF(MAESTRO!F26="","",IFERROR(TRUNC(AVERAGE(AX26:BG26),1),""))</f>
        <v/>
      </c>
      <c r="BI26" s="22" t="n">
        <v>3.4</v>
      </c>
      <c r="BJ26" s="22" t="n">
        <v>4.7</v>
      </c>
      <c r="BK26" s="22">
        <f>IF(MAESTRO!F26="","",IFERROR(AVERAGE(BI26,BJ26),""))</f>
        <v/>
      </c>
      <c r="BL26" s="5">
        <f>IF(MAESTRO!F26="","",IFERROR(TRUNC(AVERAGE(AW26,BH26,BK26),1),""))</f>
        <v/>
      </c>
      <c r="BM26" s="177" t="n"/>
      <c r="BN26" s="177" t="n">
        <v>22</v>
      </c>
      <c r="BO26" s="177" t="n">
        <v>22</v>
      </c>
      <c r="BP26" s="177">
        <f>IF(MAESTRO!F26="","",MAESTRO!F26)</f>
        <v/>
      </c>
      <c r="BQ26" s="178" t="n"/>
      <c r="BR26" s="89" t="n">
        <v>4.9</v>
      </c>
      <c r="BS26" s="89" t="n">
        <v>3.3</v>
      </c>
      <c r="BT26" s="89" t="n">
        <v>3.4</v>
      </c>
      <c r="BU26" s="5" t="n">
        <v>3</v>
      </c>
      <c r="BV26" s="5" t="n">
        <v>4.6</v>
      </c>
      <c r="BW26" s="5" t="n">
        <v>3.8</v>
      </c>
      <c r="BX26" s="5" t="n">
        <v>3.5</v>
      </c>
      <c r="BY26" s="5" t="n">
        <v>3.6</v>
      </c>
      <c r="BZ26" s="5" t="n">
        <v>4.4</v>
      </c>
      <c r="CA26" s="5" t="n">
        <v>4.4</v>
      </c>
      <c r="CB26" s="5" t="n">
        <v>3.5</v>
      </c>
      <c r="CC26" s="5" t="n">
        <v>4.9</v>
      </c>
      <c r="CD26" s="5" t="n">
        <v>3.6</v>
      </c>
      <c r="CE26" s="5">
        <f>IF(MAESTRO!F26="","",IFERROR(TRUNC(AVERAGE(BR26:CD26),1),""))</f>
        <v/>
      </c>
      <c r="CF26" s="5" t="n">
        <v>3</v>
      </c>
      <c r="CG26" s="5" t="n">
        <v>3.6</v>
      </c>
      <c r="CH26" s="5" t="n">
        <v>4.7</v>
      </c>
      <c r="CI26" s="5" t="n">
        <v>3.9</v>
      </c>
      <c r="CJ26" s="5" t="n">
        <v>3.7</v>
      </c>
      <c r="CK26" s="5" t="n">
        <v>4.7</v>
      </c>
      <c r="CL26" s="5" t="n">
        <v>4.5</v>
      </c>
      <c r="CM26" s="5" t="n">
        <v>4.8</v>
      </c>
      <c r="CN26" s="5" t="n">
        <v>3.7</v>
      </c>
      <c r="CO26" s="5" t="n">
        <v>4.2</v>
      </c>
      <c r="CP26" s="5">
        <f>IF(MAESTRO!F26="","",IFERROR(TRUNC(AVERAGE(CF26:CO26),1),""))</f>
        <v/>
      </c>
      <c r="CQ26" s="5" t="n">
        <v>3.4</v>
      </c>
      <c r="CR26" s="5" t="n">
        <v>3.1</v>
      </c>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v>3.7</v>
      </c>
      <c r="D27" s="5" t="n">
        <v>3.9</v>
      </c>
      <c r="E27" s="5" t="n">
        <v>3.7</v>
      </c>
      <c r="F27" s="5" t="n">
        <v>4.6</v>
      </c>
      <c r="G27" s="5" t="n">
        <v>3.6</v>
      </c>
      <c r="H27" s="5" t="n">
        <v>4.1</v>
      </c>
      <c r="I27" s="5" t="n">
        <v>4.6</v>
      </c>
      <c r="J27" s="5" t="n">
        <v>4.2</v>
      </c>
      <c r="K27" s="5" t="n">
        <v>4.5</v>
      </c>
      <c r="L27" s="5" t="n">
        <v>5</v>
      </c>
      <c r="M27" s="5" t="n">
        <v>4.5</v>
      </c>
      <c r="N27" s="5" t="n">
        <v>3.7</v>
      </c>
      <c r="O27" s="5" t="n">
        <v>3.1</v>
      </c>
      <c r="P27" s="5">
        <f>IF(MAESTRO!F27="","",IFERROR(TRUNC(AVERAGE(C27:O27),1),""))</f>
        <v/>
      </c>
      <c r="Q27" s="40" t="n">
        <v>23</v>
      </c>
      <c r="R27" s="22" t="n">
        <v>3.9</v>
      </c>
      <c r="S27" s="22" t="n">
        <v>4</v>
      </c>
      <c r="T27" s="22" t="n">
        <v>5</v>
      </c>
      <c r="U27" s="22" t="n">
        <v>3.6</v>
      </c>
      <c r="V27" s="22" t="n">
        <v>4.7</v>
      </c>
      <c r="W27" s="22" t="n">
        <v>3.6</v>
      </c>
      <c r="X27" s="22" t="n">
        <v>3.1</v>
      </c>
      <c r="Y27" s="22" t="n">
        <v>3.7</v>
      </c>
      <c r="Z27" s="22" t="n">
        <v>3.3</v>
      </c>
      <c r="AA27" s="45">
        <f>IF(MAESTRO!F27="","",IFERROR(TRUNC(AVERAGE(R27:Z27),1),""))</f>
        <v/>
      </c>
      <c r="AB27" s="177" t="n">
        <v>3.8</v>
      </c>
      <c r="AC27" s="42" t="n">
        <v>3.6</v>
      </c>
      <c r="AD27" s="5">
        <f>IF(MAESTRO!F27="","",IFERROR(AVERAGE(AB27:AC27),""))</f>
        <v/>
      </c>
      <c r="AE27" s="44">
        <f>IF(MAESTRO!F27="","",IFERROR(TRUNC(AVERAGE(P27,AA27,AD27),1),""))</f>
        <v/>
      </c>
      <c r="AF27" s="177" t="n"/>
      <c r="AG27" s="177" t="n">
        <v>23</v>
      </c>
      <c r="AH27" s="177" t="n">
        <v>23</v>
      </c>
      <c r="AI27" s="177">
        <f>IF(MAESTRO!F27="","",MAESTRO!F27)</f>
        <v/>
      </c>
      <c r="AJ27" s="178" t="n"/>
      <c r="AK27" s="61" t="n">
        <v>3.2</v>
      </c>
      <c r="AL27" s="61" t="n">
        <v>3.4</v>
      </c>
      <c r="AM27" s="61" t="n">
        <v>3</v>
      </c>
      <c r="AN27" s="61" t="n">
        <v>4.4</v>
      </c>
      <c r="AO27" s="61" t="n">
        <v>4</v>
      </c>
      <c r="AP27" s="61" t="n">
        <v>4.9</v>
      </c>
      <c r="AQ27" s="61" t="n">
        <v>3.4</v>
      </c>
      <c r="AR27" s="61" t="n">
        <v>4.2</v>
      </c>
      <c r="AS27" s="61" t="n">
        <v>4.9</v>
      </c>
      <c r="AT27" s="61" t="n">
        <v>4.8</v>
      </c>
      <c r="AU27" s="61" t="n">
        <v>4.5</v>
      </c>
      <c r="AV27" s="61" t="n">
        <v>3.6</v>
      </c>
      <c r="AW27" s="5">
        <f>IF(MAESTRO!F27="","",IFERROR(TRUNC(AVERAGE(AK27:AV27),1),""))</f>
        <v/>
      </c>
      <c r="AX27" s="22" t="n">
        <v>3.1</v>
      </c>
      <c r="AY27" s="92" t="n">
        <v>3.4</v>
      </c>
      <c r="AZ27" s="22" t="n">
        <v>3.8</v>
      </c>
      <c r="BA27" s="22" t="n">
        <v>3.8</v>
      </c>
      <c r="BB27" s="22" t="n">
        <v>3.8</v>
      </c>
      <c r="BC27" s="22" t="n">
        <v>4</v>
      </c>
      <c r="BD27" s="22" t="n">
        <v>3.6</v>
      </c>
      <c r="BE27" s="22" t="n">
        <v>3.8</v>
      </c>
      <c r="BF27" s="22" t="n">
        <v>4.1</v>
      </c>
      <c r="BG27" s="52" t="n">
        <v>4.1</v>
      </c>
      <c r="BH27" s="5">
        <f>IF(MAESTRO!F27="","",IFERROR(TRUNC(AVERAGE(AX27:BG27),1),""))</f>
        <v/>
      </c>
      <c r="BI27" s="22" t="n">
        <v>4.1</v>
      </c>
      <c r="BJ27" s="22" t="n">
        <v>4.1</v>
      </c>
      <c r="BK27" s="22">
        <f>IF(MAESTRO!F27="","",IFERROR(AVERAGE(BI27,BJ27),""))</f>
        <v/>
      </c>
      <c r="BL27" s="5">
        <f>IF(MAESTRO!F27="","",IFERROR(TRUNC(AVERAGE(AW27,BH27,BK27),1),""))</f>
        <v/>
      </c>
      <c r="BM27" s="177" t="n"/>
      <c r="BN27" s="177" t="n">
        <v>23</v>
      </c>
      <c r="BO27" s="177" t="n">
        <v>23</v>
      </c>
      <c r="BP27" s="177">
        <f>IF(MAESTRO!F27="","",MAESTRO!F27)</f>
        <v/>
      </c>
      <c r="BQ27" s="178" t="n"/>
      <c r="BR27" s="89" t="n">
        <v>4</v>
      </c>
      <c r="BS27" s="89" t="n">
        <v>4.6</v>
      </c>
      <c r="BT27" s="89" t="n">
        <v>3.6</v>
      </c>
      <c r="BU27" s="5" t="n">
        <v>3.2</v>
      </c>
      <c r="BV27" s="5" t="n">
        <v>4.8</v>
      </c>
      <c r="BW27" s="5" t="n">
        <v>4.1</v>
      </c>
      <c r="BX27" s="5" t="n">
        <v>3.5</v>
      </c>
      <c r="BY27" s="5" t="n">
        <v>3.2</v>
      </c>
      <c r="BZ27" s="5" t="n">
        <v>4.3</v>
      </c>
      <c r="CA27" s="5" t="n">
        <v>3.4</v>
      </c>
      <c r="CB27" s="5" t="n">
        <v>3.3</v>
      </c>
      <c r="CC27" s="5" t="n">
        <v>4.9</v>
      </c>
      <c r="CD27" s="5" t="n">
        <v>4.2</v>
      </c>
      <c r="CE27" s="5">
        <f>IF(MAESTRO!F27="","",IFERROR(TRUNC(AVERAGE(BR27:CD27),1),""))</f>
        <v/>
      </c>
      <c r="CF27" s="5" t="n">
        <v>3.3</v>
      </c>
      <c r="CG27" s="5" t="n">
        <v>4</v>
      </c>
      <c r="CH27" s="5" t="n">
        <v>3.2</v>
      </c>
      <c r="CI27" s="5" t="n">
        <v>4.4</v>
      </c>
      <c r="CJ27" s="5" t="n">
        <v>4.8</v>
      </c>
      <c r="CK27" s="5" t="n">
        <v>3.2</v>
      </c>
      <c r="CL27" s="5" t="n">
        <v>3.2</v>
      </c>
      <c r="CM27" s="5" t="n">
        <v>4.8</v>
      </c>
      <c r="CN27" s="5" t="n">
        <v>4.8</v>
      </c>
      <c r="CO27" s="5" t="n">
        <v>4.6</v>
      </c>
      <c r="CP27" s="5">
        <f>IF(MAESTRO!F27="","",IFERROR(TRUNC(AVERAGE(CF27:CO27),1),""))</f>
        <v/>
      </c>
      <c r="CQ27" s="5" t="n">
        <v>3.1</v>
      </c>
      <c r="CR27" s="5" t="n">
        <v>4.9</v>
      </c>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v>3.7</v>
      </c>
      <c r="D28" s="5" t="n">
        <v>4.1</v>
      </c>
      <c r="E28" s="5" t="n">
        <v>4.4</v>
      </c>
      <c r="F28" s="5" t="n">
        <v>3.2</v>
      </c>
      <c r="G28" s="5" t="n">
        <v>4.9</v>
      </c>
      <c r="H28" s="5" t="n">
        <v>4.4</v>
      </c>
      <c r="I28" s="5" t="n">
        <v>4.2</v>
      </c>
      <c r="J28" s="5" t="n">
        <v>3.6</v>
      </c>
      <c r="K28" s="5" t="n">
        <v>4.8</v>
      </c>
      <c r="L28" s="5" t="n">
        <v>3.2</v>
      </c>
      <c r="M28" s="5" t="n">
        <v>3.8</v>
      </c>
      <c r="N28" s="5" t="n">
        <v>4.9</v>
      </c>
      <c r="O28" s="5" t="n">
        <v>3.2</v>
      </c>
      <c r="P28" s="5">
        <f>IF(MAESTRO!F28="","",IFERROR(TRUNC(AVERAGE(C28:O28),1),""))</f>
        <v/>
      </c>
      <c r="Q28" s="40" t="n">
        <v>24</v>
      </c>
      <c r="R28" s="22" t="n">
        <v>4.7</v>
      </c>
      <c r="S28" s="22" t="n">
        <v>3.9</v>
      </c>
      <c r="T28" s="22" t="n">
        <v>3.8</v>
      </c>
      <c r="U28" s="22" t="n">
        <v>3</v>
      </c>
      <c r="V28" s="22" t="n">
        <v>4.9</v>
      </c>
      <c r="W28" s="22" t="n">
        <v>4.9</v>
      </c>
      <c r="X28" s="22" t="n">
        <v>4.1</v>
      </c>
      <c r="Y28" s="22" t="n">
        <v>4.2</v>
      </c>
      <c r="Z28" s="22" t="n">
        <v>4.1</v>
      </c>
      <c r="AA28" s="45">
        <f>IF(MAESTRO!F28="","",IFERROR(TRUNC(AVERAGE(R28:Z28),1),""))</f>
        <v/>
      </c>
      <c r="AB28" s="177" t="n">
        <v>3.5</v>
      </c>
      <c r="AC28" s="42" t="n">
        <v>3.1</v>
      </c>
      <c r="AD28" s="5">
        <f>IF(MAESTRO!F28="","",IFERROR(AVERAGE(AB28:AC28),""))</f>
        <v/>
      </c>
      <c r="AE28" s="44">
        <f>IF(MAESTRO!F28="","",IFERROR(TRUNC(AVERAGE(P28,AA28,AD28),1),""))</f>
        <v/>
      </c>
      <c r="AF28" s="177" t="n"/>
      <c r="AG28" s="177" t="n">
        <v>24</v>
      </c>
      <c r="AH28" s="177" t="n">
        <v>24</v>
      </c>
      <c r="AI28" s="177">
        <f>IF(MAESTRO!F28="","",MAESTRO!F28)</f>
        <v/>
      </c>
      <c r="AJ28" s="178" t="n"/>
      <c r="AK28" s="61" t="n">
        <v>4</v>
      </c>
      <c r="AL28" s="61" t="n">
        <v>4.5</v>
      </c>
      <c r="AM28" s="61" t="n">
        <v>3.2</v>
      </c>
      <c r="AN28" s="61" t="n">
        <v>4.8</v>
      </c>
      <c r="AO28" s="61" t="n">
        <v>4.5</v>
      </c>
      <c r="AP28" s="61" t="n">
        <v>4.8</v>
      </c>
      <c r="AQ28" s="61" t="n">
        <v>4.4</v>
      </c>
      <c r="AR28" s="61" t="n">
        <v>3.1</v>
      </c>
      <c r="AS28" s="61" t="n">
        <v>4.7</v>
      </c>
      <c r="AT28" s="61" t="n">
        <v>4.3</v>
      </c>
      <c r="AU28" s="61" t="n">
        <v>3.5</v>
      </c>
      <c r="AV28" s="61" t="n">
        <v>4.7</v>
      </c>
      <c r="AW28" s="5">
        <f>IF(MAESTRO!F28="","",IFERROR(TRUNC(AVERAGE(AK28:AV28),1),""))</f>
        <v/>
      </c>
      <c r="AX28" s="22" t="n">
        <v>3.9</v>
      </c>
      <c r="AY28" s="92" t="n">
        <v>3.1</v>
      </c>
      <c r="AZ28" s="22" t="n">
        <v>4.6</v>
      </c>
      <c r="BA28" s="22" t="n">
        <v>4.9</v>
      </c>
      <c r="BB28" s="22" t="n">
        <v>3.4</v>
      </c>
      <c r="BC28" s="22" t="n">
        <v>3.1</v>
      </c>
      <c r="BD28" s="22" t="n">
        <v>4.7</v>
      </c>
      <c r="BE28" s="22" t="n">
        <v>5</v>
      </c>
      <c r="BF28" s="22" t="n">
        <v>3.9</v>
      </c>
      <c r="BG28" s="52" t="n">
        <v>3.6</v>
      </c>
      <c r="BH28" s="5">
        <f>IF(MAESTRO!F28="","",IFERROR(TRUNC(AVERAGE(AX28:BG28),1),""))</f>
        <v/>
      </c>
      <c r="BI28" s="22" t="n">
        <v>4.3</v>
      </c>
      <c r="BJ28" s="22" t="n">
        <v>3.8</v>
      </c>
      <c r="BK28" s="22">
        <f>IF(MAESTRO!F28="","",IFERROR(AVERAGE(BI28,BJ28),""))</f>
        <v/>
      </c>
      <c r="BL28" s="5">
        <f>IF(MAESTRO!F28="","",IFERROR(TRUNC(AVERAGE(AW28,BH28,BK28),1),""))</f>
        <v/>
      </c>
      <c r="BM28" s="177" t="n"/>
      <c r="BN28" s="177" t="n">
        <v>24</v>
      </c>
      <c r="BO28" s="177" t="n">
        <v>24</v>
      </c>
      <c r="BP28" s="177">
        <f>IF(MAESTRO!F28="","",MAESTRO!F28)</f>
        <v/>
      </c>
      <c r="BQ28" s="178" t="n"/>
      <c r="BR28" s="89" t="n">
        <v>3.7</v>
      </c>
      <c r="BS28" s="89" t="n">
        <v>3.9</v>
      </c>
      <c r="BT28" s="89" t="n">
        <v>3</v>
      </c>
      <c r="BU28" s="5" t="n">
        <v>4</v>
      </c>
      <c r="BV28" s="5" t="n">
        <v>4.8</v>
      </c>
      <c r="BW28" s="5" t="n">
        <v>4</v>
      </c>
      <c r="BX28" s="5" t="n">
        <v>3.6</v>
      </c>
      <c r="BY28" s="5" t="n">
        <v>3.9</v>
      </c>
      <c r="BZ28" s="5" t="n">
        <v>3.7</v>
      </c>
      <c r="CA28" s="5" t="n">
        <v>4.3</v>
      </c>
      <c r="CB28" s="5" t="n">
        <v>4.3</v>
      </c>
      <c r="CC28" s="5" t="n">
        <v>3.6</v>
      </c>
      <c r="CD28" s="5" t="n">
        <v>4.3</v>
      </c>
      <c r="CE28" s="5">
        <f>IF(MAESTRO!F28="","",IFERROR(TRUNC(AVERAGE(BR28:CD28),1),""))</f>
        <v/>
      </c>
      <c r="CF28" s="5" t="n">
        <v>3.8</v>
      </c>
      <c r="CG28" s="5" t="n">
        <v>4.9</v>
      </c>
      <c r="CH28" s="5" t="n">
        <v>3.4</v>
      </c>
      <c r="CI28" s="89" t="n">
        <v>4.1</v>
      </c>
      <c r="CJ28" s="5" t="n">
        <v>4</v>
      </c>
      <c r="CK28" s="5" t="n">
        <v>4.9</v>
      </c>
      <c r="CL28" s="5" t="n">
        <v>4.5</v>
      </c>
      <c r="CM28" s="5" t="n">
        <v>3.1</v>
      </c>
      <c r="CN28" s="5" t="n">
        <v>3.5</v>
      </c>
      <c r="CO28" s="5" t="n">
        <v>4.8</v>
      </c>
      <c r="CP28" s="5">
        <f>IF(MAESTRO!F28="","",IFERROR(TRUNC(AVERAGE(CF28:CO28),1),""))</f>
        <v/>
      </c>
      <c r="CQ28" s="5" t="n">
        <v>4.4</v>
      </c>
      <c r="CR28" s="5" t="n">
        <v>4.3</v>
      </c>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v>4.7</v>
      </c>
      <c r="D29" s="5" t="n">
        <v>4.6</v>
      </c>
      <c r="E29" s="5" t="n">
        <v>3.1</v>
      </c>
      <c r="F29" s="5" t="n">
        <v>4</v>
      </c>
      <c r="G29" s="5" t="n">
        <v>3.1</v>
      </c>
      <c r="H29" s="5" t="n">
        <v>3.3</v>
      </c>
      <c r="I29" s="5" t="n">
        <v>3.2</v>
      </c>
      <c r="J29" s="5" t="n">
        <v>4.1</v>
      </c>
      <c r="K29" s="5" t="n">
        <v>4.5</v>
      </c>
      <c r="L29" s="5" t="n">
        <v>3.2</v>
      </c>
      <c r="M29" s="5" t="n">
        <v>3.3</v>
      </c>
      <c r="N29" s="5" t="n">
        <v>4</v>
      </c>
      <c r="O29" s="5" t="n">
        <v>4.8</v>
      </c>
      <c r="P29" s="5">
        <f>IF(MAESTRO!F29="","",IFERROR(TRUNC(AVERAGE(C29:O29),1),""))</f>
        <v/>
      </c>
      <c r="Q29" s="40" t="n">
        <v>25</v>
      </c>
      <c r="R29" s="22" t="n">
        <v>4.8</v>
      </c>
      <c r="S29" s="22" t="n">
        <v>4.8</v>
      </c>
      <c r="T29" s="22" t="n">
        <v>4.5</v>
      </c>
      <c r="U29" s="22" t="n">
        <v>3.9</v>
      </c>
      <c r="V29" s="22" t="n">
        <v>3.7</v>
      </c>
      <c r="W29" s="22" t="n">
        <v>4.5</v>
      </c>
      <c r="X29" s="22" t="n">
        <v>4.9</v>
      </c>
      <c r="Y29" s="22" t="n">
        <v>3.9</v>
      </c>
      <c r="Z29" s="22" t="n">
        <v>4.5</v>
      </c>
      <c r="AA29" s="45">
        <f>IF(MAESTRO!F29="","",IFERROR(TRUNC(AVERAGE(R29:Z29),1),""))</f>
        <v/>
      </c>
      <c r="AB29" s="177" t="n">
        <v>4.9</v>
      </c>
      <c r="AC29" s="42" t="n">
        <v>4.3</v>
      </c>
      <c r="AD29" s="5">
        <f>IF(MAESTRO!F29="","",IFERROR(AVERAGE(AB29:AC29),""))</f>
        <v/>
      </c>
      <c r="AE29" s="44">
        <f>IF(MAESTRO!F29="","",IFERROR(TRUNC(AVERAGE(P29,AA29,AD29),1),""))</f>
        <v/>
      </c>
      <c r="AF29" s="177" t="n"/>
      <c r="AG29" s="177" t="n">
        <v>25</v>
      </c>
      <c r="AH29" s="177" t="n">
        <v>25</v>
      </c>
      <c r="AI29" s="177">
        <f>IF(MAESTRO!F29="","",MAESTRO!F29)</f>
        <v/>
      </c>
      <c r="AJ29" s="178" t="n"/>
      <c r="AK29" s="91" t="n">
        <v>3</v>
      </c>
      <c r="AL29" s="91" t="n">
        <v>4.9</v>
      </c>
      <c r="AM29" s="91" t="n">
        <v>3.3</v>
      </c>
      <c r="AN29" s="91" t="n">
        <v>3.8</v>
      </c>
      <c r="AO29" s="91" t="n">
        <v>3.3</v>
      </c>
      <c r="AP29" s="91" t="n">
        <v>4.6</v>
      </c>
      <c r="AQ29" s="61" t="n">
        <v>4.6</v>
      </c>
      <c r="AR29" s="61" t="n">
        <v>3.9</v>
      </c>
      <c r="AS29" s="61" t="n">
        <v>3.1</v>
      </c>
      <c r="AT29" s="61" t="n">
        <v>4.5</v>
      </c>
      <c r="AU29" s="61" t="n">
        <v>4.5</v>
      </c>
      <c r="AV29" s="61" t="n">
        <v>4.7</v>
      </c>
      <c r="AW29" s="5">
        <f>IF(MAESTRO!F29="","",IFERROR(TRUNC(AVERAGE(AK29:AV29),1),""))</f>
        <v/>
      </c>
      <c r="AX29" s="63" t="n">
        <v>3.9</v>
      </c>
      <c r="AY29" s="92" t="n">
        <v>4.8</v>
      </c>
      <c r="AZ29" s="92" t="n">
        <v>3.9</v>
      </c>
      <c r="BA29" s="92" t="n">
        <v>3.6</v>
      </c>
      <c r="BB29" s="92" t="n">
        <v>3</v>
      </c>
      <c r="BC29" s="63" t="n">
        <v>3.8</v>
      </c>
      <c r="BD29" s="63" t="n">
        <v>4.7</v>
      </c>
      <c r="BE29" s="63" t="n">
        <v>3.6</v>
      </c>
      <c r="BF29" s="63" t="n">
        <v>3.9</v>
      </c>
      <c r="BG29" s="52" t="n">
        <v>3.2</v>
      </c>
      <c r="BH29" s="5">
        <f>IF(MAESTRO!F29="","",IFERROR(TRUNC(AVERAGE(AX29:BG29),1),""))</f>
        <v/>
      </c>
      <c r="BI29" s="22" t="n">
        <v>4.7</v>
      </c>
      <c r="BJ29" s="22" t="n">
        <v>3.2</v>
      </c>
      <c r="BK29" s="22">
        <f>IF(MAESTRO!F29="","",IFERROR(AVERAGE(BI29,BJ29),""))</f>
        <v/>
      </c>
      <c r="BL29" s="5">
        <f>IF(MAESTRO!F29="","",IFERROR(TRUNC(AVERAGE(AW29,BH29,BK29),1),""))</f>
        <v/>
      </c>
      <c r="BM29" s="177" t="n"/>
      <c r="BN29" s="177" t="n">
        <v>25</v>
      </c>
      <c r="BO29" s="177" t="n">
        <v>25</v>
      </c>
      <c r="BP29" s="177">
        <f>IF(MAESTRO!F29="","",MAESTRO!F29)</f>
        <v/>
      </c>
      <c r="BQ29" s="178" t="n"/>
      <c r="BR29" s="89" t="n">
        <v>4.3</v>
      </c>
      <c r="BS29" s="89" t="n">
        <v>4.6</v>
      </c>
      <c r="BT29" s="89" t="n">
        <v>4.8</v>
      </c>
      <c r="BU29" s="5" t="n">
        <v>4.6</v>
      </c>
      <c r="BV29" s="5" t="n">
        <v>3</v>
      </c>
      <c r="BW29" s="5" t="n">
        <v>3.3</v>
      </c>
      <c r="BX29" s="5" t="n">
        <v>4.9</v>
      </c>
      <c r="BY29" s="5" t="n">
        <v>3.9</v>
      </c>
      <c r="BZ29" s="5" t="n">
        <v>4.1</v>
      </c>
      <c r="CA29" s="5" t="n">
        <v>3.4</v>
      </c>
      <c r="CB29" s="5" t="n">
        <v>3.3</v>
      </c>
      <c r="CC29" s="5" t="n">
        <v>4.2</v>
      </c>
      <c r="CD29" s="5" t="n">
        <v>3.3</v>
      </c>
      <c r="CE29" s="5">
        <f>IF(MAESTRO!F29="","",IFERROR(TRUNC(AVERAGE(BR29:CD29),1),""))</f>
        <v/>
      </c>
      <c r="CF29" s="5" t="n">
        <v>5</v>
      </c>
      <c r="CG29" s="5" t="n">
        <v>3.8</v>
      </c>
      <c r="CH29" s="5" t="n">
        <v>4.8</v>
      </c>
      <c r="CI29" s="89" t="n">
        <v>4.5</v>
      </c>
      <c r="CJ29" s="5" t="n">
        <v>3.1</v>
      </c>
      <c r="CK29" s="5" t="n">
        <v>3.7</v>
      </c>
      <c r="CL29" s="5" t="n">
        <v>4.2</v>
      </c>
      <c r="CM29" s="5" t="n">
        <v>4.8</v>
      </c>
      <c r="CN29" s="5" t="n">
        <v>4.5</v>
      </c>
      <c r="CO29" s="5" t="n">
        <v>3.2</v>
      </c>
      <c r="CP29" s="5">
        <f>IF(MAESTRO!F29="","",IFERROR(TRUNC(AVERAGE(CF29:CO29),1),""))</f>
        <v/>
      </c>
      <c r="CQ29" s="5" t="n">
        <v>3.1</v>
      </c>
      <c r="CR29" s="5" t="n">
        <v>3.1</v>
      </c>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v>4.3</v>
      </c>
      <c r="D30" s="5" t="n">
        <v>4.4</v>
      </c>
      <c r="E30" s="5" t="n"/>
      <c r="F30" s="5" t="n"/>
      <c r="G30" s="5" t="n"/>
      <c r="H30" s="5" t="n"/>
      <c r="I30" s="5" t="n"/>
      <c r="J30" s="5" t="n"/>
      <c r="K30" s="5" t="n"/>
      <c r="L30" s="5" t="n"/>
      <c r="M30" s="5" t="n"/>
      <c r="N30" s="5" t="n"/>
      <c r="O30" s="5" t="n"/>
      <c r="P30" s="5">
        <f>IF(MAESTRO!F30="","",IFERROR(TRUNC(AVERAGE(C30:O30),1),""))</f>
        <v/>
      </c>
      <c r="Q30" s="40" t="n">
        <v>26</v>
      </c>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v>26</v>
      </c>
      <c r="AH30" s="177" t="n">
        <v>26</v>
      </c>
      <c r="AI30" s="177">
        <f>IF(MAESTRO!F30="","",MAESTRO!F30)</f>
        <v/>
      </c>
      <c r="AJ30" s="178" t="n"/>
      <c r="AK30" s="91" t="n"/>
      <c r="AL30" s="91" t="n"/>
      <c r="AM30" s="91" t="n"/>
      <c r="AN30" s="91" t="n"/>
      <c r="AO30" s="91" t="n"/>
      <c r="AP30" s="9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v>26</v>
      </c>
      <c r="BO30" s="177" t="n">
        <v>26</v>
      </c>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v>4.5</v>
      </c>
      <c r="D31" s="5" t="n"/>
      <c r="E31" s="5" t="n"/>
      <c r="F31" s="5" t="n"/>
      <c r="G31" s="5" t="n"/>
      <c r="H31" s="5" t="n"/>
      <c r="I31" s="5" t="n"/>
      <c r="J31" s="5" t="n"/>
      <c r="K31" s="5" t="n"/>
      <c r="L31" s="5" t="n"/>
      <c r="M31" s="5" t="n"/>
      <c r="N31" s="5" t="n"/>
      <c r="O31" s="5" t="n"/>
      <c r="P31" s="5">
        <f>IF(MAESTRO!F31="","",IFERROR(TRUNC(AVERAGE(C31:O31),1),""))</f>
        <v/>
      </c>
      <c r="Q31" s="40" t="n">
        <v>27</v>
      </c>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v>27</v>
      </c>
      <c r="AH31" s="177" t="n">
        <v>27</v>
      </c>
      <c r="AI31" s="177">
        <f>IF(MAESTRO!F31="","",MAESTRO!F31)</f>
        <v/>
      </c>
      <c r="AJ31" s="178" t="n"/>
      <c r="AK31" s="91" t="n"/>
      <c r="AL31" s="91" t="n"/>
      <c r="AM31" s="91" t="n"/>
      <c r="AN31" s="91" t="n"/>
      <c r="AO31" s="91" t="n"/>
      <c r="AP31" s="91" t="n"/>
      <c r="AQ31" s="61" t="n"/>
      <c r="AR31" s="61" t="n"/>
      <c r="AS31" s="61" t="n"/>
      <c r="AT31" s="61" t="n"/>
      <c r="AU31" s="61" t="n"/>
      <c r="AV31" s="61" t="n"/>
      <c r="AW31" s="5">
        <f>IF(MAESTRO!F31="","",IFERROR(TRUNC(AVERAGE(AK31:AV31),1),""))</f>
        <v/>
      </c>
      <c r="AX31" s="9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v>27</v>
      </c>
      <c r="BO31" s="177" t="n">
        <v>27</v>
      </c>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v>4</v>
      </c>
      <c r="D32" s="5" t="n"/>
      <c r="E32" s="5" t="n"/>
      <c r="F32" s="5" t="n"/>
      <c r="G32" s="5" t="n"/>
      <c r="H32" s="5" t="n"/>
      <c r="I32" s="5" t="n"/>
      <c r="J32" s="5" t="n"/>
      <c r="K32" s="5" t="n"/>
      <c r="L32" s="5" t="n"/>
      <c r="M32" s="5" t="n"/>
      <c r="N32" s="5" t="n"/>
      <c r="O32" s="5" t="n"/>
      <c r="P32" s="5">
        <f>IF(MAESTRO!F32="","",IFERROR(TRUNC(AVERAGE(C32:O32),1),""))</f>
        <v/>
      </c>
      <c r="Q32" s="40" t="n">
        <v>28</v>
      </c>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v>28</v>
      </c>
      <c r="AH32" s="177" t="n">
        <v>28</v>
      </c>
      <c r="AI32" s="177">
        <f>IF(MAESTRO!F32="","",MAESTRO!F32)</f>
        <v/>
      </c>
      <c r="AJ32" s="178" t="n"/>
      <c r="AK32" s="91" t="n"/>
      <c r="AL32" s="91" t="n"/>
      <c r="AM32" s="91" t="n"/>
      <c r="AN32" s="91" t="n"/>
      <c r="AO32" s="91" t="n"/>
      <c r="AP32" s="9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v>28</v>
      </c>
      <c r="BO32" s="177" t="n">
        <v>28</v>
      </c>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174" t="n">
        <v>4</v>
      </c>
      <c r="D33" s="5" t="n">
        <v>4.7</v>
      </c>
      <c r="E33" s="5" t="n"/>
      <c r="F33" s="5" t="n"/>
      <c r="G33" s="5" t="n"/>
      <c r="H33" s="5" t="n"/>
      <c r="I33" s="5" t="n"/>
      <c r="J33" s="5" t="n"/>
      <c r="K33" s="5" t="n"/>
      <c r="L33" s="5" t="n"/>
      <c r="M33" s="5" t="n"/>
      <c r="N33" s="5" t="n"/>
      <c r="O33" s="5" t="n"/>
      <c r="P33" s="5">
        <f>IF(MAESTRO!F33="","",IFERROR(TRUNC(AVERAGE(C33:O33),1),""))</f>
        <v/>
      </c>
      <c r="Q33" s="40" t="n">
        <v>29</v>
      </c>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v>29</v>
      </c>
      <c r="AH33" s="177" t="n">
        <v>29</v>
      </c>
      <c r="AI33" s="177">
        <f>IF(MAESTRO!F33="","",MAESTRO!F33)</f>
        <v/>
      </c>
      <c r="AJ33" s="178" t="n"/>
      <c r="AK33" s="91" t="n"/>
      <c r="AL33" s="91" t="n"/>
      <c r="AM33" s="91" t="n"/>
      <c r="AN33" s="91" t="n"/>
      <c r="AO33" s="91" t="n"/>
      <c r="AP33" s="9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v>29</v>
      </c>
      <c r="BO33" s="177" t="n">
        <v>29</v>
      </c>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174" t="n">
        <v>4.6</v>
      </c>
      <c r="D34" s="5" t="n">
        <v>5</v>
      </c>
      <c r="E34" s="5" t="n"/>
      <c r="F34" s="5" t="n"/>
      <c r="G34" s="5" t="n"/>
      <c r="H34" s="5" t="n"/>
      <c r="I34" s="5" t="n"/>
      <c r="J34" s="5" t="n"/>
      <c r="K34" s="5" t="n"/>
      <c r="L34" s="5" t="n"/>
      <c r="M34" s="5" t="n"/>
      <c r="N34" s="5" t="n"/>
      <c r="O34" s="5" t="n"/>
      <c r="P34" s="5">
        <f>IF(MAESTRO!F34="","",IFERROR(TRUNC(AVERAGE(C34:O34),1),""))</f>
        <v/>
      </c>
      <c r="Q34" s="40" t="n">
        <v>30</v>
      </c>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v>30</v>
      </c>
      <c r="AH34" s="177" t="n">
        <v>30</v>
      </c>
      <c r="AI34" s="177">
        <f>IF(MAESTRO!F34="","",MAESTRO!F34)</f>
        <v/>
      </c>
      <c r="AJ34" s="178" t="n"/>
      <c r="AK34" s="91" t="n"/>
      <c r="AL34" s="91" t="n"/>
      <c r="AM34" s="91" t="n"/>
      <c r="AN34" s="91" t="n"/>
      <c r="AO34" s="91" t="n"/>
      <c r="AP34" s="9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v>30</v>
      </c>
      <c r="BO34" s="177" t="n">
        <v>30</v>
      </c>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174" t="n">
        <v>4.7</v>
      </c>
      <c r="D35" s="5" t="n">
        <v>4.7</v>
      </c>
      <c r="E35" s="5" t="n"/>
      <c r="F35" s="5" t="n"/>
      <c r="G35" s="5" t="n"/>
      <c r="H35" s="5" t="n"/>
      <c r="I35" s="5" t="n"/>
      <c r="J35" s="5" t="n"/>
      <c r="K35" s="5" t="n"/>
      <c r="L35" s="5" t="n"/>
      <c r="M35" s="5" t="n"/>
      <c r="N35" s="5" t="n"/>
      <c r="O35" s="5" t="n"/>
      <c r="P35" s="5">
        <f>IF(MAESTRO!F35="","",IFERROR(TRUNC(AVERAGE(C35:O35),1),""))</f>
        <v/>
      </c>
      <c r="Q35" s="40" t="n">
        <v>31</v>
      </c>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v>31</v>
      </c>
      <c r="AH35" s="177" t="n">
        <v>31</v>
      </c>
      <c r="AI35" s="177">
        <f>IF(MAESTRO!F35="","",MAESTRO!F35)</f>
        <v/>
      </c>
      <c r="AJ35" s="178" t="n"/>
      <c r="AK35" s="91" t="n"/>
      <c r="AL35" s="91" t="n"/>
      <c r="AM35" s="91" t="n"/>
      <c r="AN35" s="91" t="n"/>
      <c r="AO35" s="91" t="n"/>
      <c r="AP35" s="9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v>31</v>
      </c>
      <c r="BO35" s="177" t="n">
        <v>31</v>
      </c>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174" t="n">
        <v>4.9</v>
      </c>
      <c r="D36" s="5" t="n"/>
      <c r="E36" s="5" t="n"/>
      <c r="F36" s="5" t="n"/>
      <c r="G36" s="5" t="n"/>
      <c r="H36" s="5" t="n"/>
      <c r="I36" s="5" t="n"/>
      <c r="J36" s="5" t="n"/>
      <c r="K36" s="5" t="n"/>
      <c r="L36" s="5" t="n"/>
      <c r="M36" s="5" t="n"/>
      <c r="N36" s="5" t="n"/>
      <c r="O36" s="5" t="n"/>
      <c r="P36" s="5">
        <f>IF(MAESTRO!F36="","",IFERROR(TRUNC(AVERAGE(C36:O36),1),""))</f>
        <v/>
      </c>
      <c r="Q36" s="40" t="n">
        <v>32</v>
      </c>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v>32</v>
      </c>
      <c r="AH36" s="177" t="n">
        <v>32</v>
      </c>
      <c r="AI36" s="177">
        <f>IF(MAESTRO!F36="","",MAESTRO!F36)</f>
        <v/>
      </c>
      <c r="AJ36" s="178" t="n"/>
      <c r="AK36" s="91" t="n"/>
      <c r="AL36" s="91" t="n"/>
      <c r="AM36" s="91" t="n"/>
      <c r="AN36" s="91" t="n"/>
      <c r="AO36" s="91" t="n"/>
      <c r="AP36" s="9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v>32</v>
      </c>
      <c r="BO36" s="177" t="n">
        <v>32</v>
      </c>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174" t="n">
        <v>4</v>
      </c>
      <c r="D37" s="5" t="n"/>
      <c r="E37" s="5" t="n"/>
      <c r="F37" s="5" t="n"/>
      <c r="G37" s="5" t="n"/>
      <c r="H37" s="5" t="n"/>
      <c r="I37" s="5" t="n"/>
      <c r="J37" s="5" t="n"/>
      <c r="K37" s="5" t="n"/>
      <c r="L37" s="5" t="n"/>
      <c r="M37" s="5" t="n"/>
      <c r="N37" s="5" t="n"/>
      <c r="O37" s="5" t="n"/>
      <c r="P37" s="5">
        <f>IF(MAESTRO!F37="","",IFERROR(TRUNC(AVERAGE(C37:O37),1),""))</f>
        <v/>
      </c>
      <c r="Q37" s="40" t="n">
        <v>33</v>
      </c>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v>33</v>
      </c>
      <c r="AH37" s="177" t="n">
        <v>33</v>
      </c>
      <c r="AI37" s="177">
        <f>IF(MAESTRO!F37="","",MAESTRO!F37)</f>
        <v/>
      </c>
      <c r="AJ37" s="178" t="n"/>
      <c r="AK37" s="91" t="n"/>
      <c r="AL37" s="91" t="n"/>
      <c r="AM37" s="91" t="n"/>
      <c r="AN37" s="91" t="n"/>
      <c r="AO37" s="91" t="n"/>
      <c r="AP37" s="9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v>33</v>
      </c>
      <c r="BO37" s="177" t="n">
        <v>33</v>
      </c>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174" t="n">
        <v>4.7</v>
      </c>
      <c r="D38" s="5" t="n"/>
      <c r="E38" s="5" t="n"/>
      <c r="F38" s="5" t="n"/>
      <c r="G38" s="5" t="n"/>
      <c r="H38" s="5" t="n"/>
      <c r="I38" s="5" t="n"/>
      <c r="J38" s="5" t="n"/>
      <c r="K38" s="5" t="n"/>
      <c r="L38" s="5" t="n"/>
      <c r="M38" s="5" t="n"/>
      <c r="N38" s="5" t="n"/>
      <c r="O38" s="5" t="n"/>
      <c r="P38" s="5">
        <f>IF(MAESTRO!F38="","",IFERROR(TRUNC(AVERAGE(C38:O38),1),""))</f>
        <v/>
      </c>
      <c r="Q38" s="40" t="n">
        <v>34</v>
      </c>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v>34</v>
      </c>
      <c r="AH38" s="177" t="n">
        <v>34</v>
      </c>
      <c r="AI38" s="177">
        <f>IF(MAESTRO!F38="","",MAESTRO!F38)</f>
        <v/>
      </c>
      <c r="AJ38" s="178" t="n"/>
      <c r="AK38" s="91" t="n"/>
      <c r="AL38" s="91" t="n"/>
      <c r="AM38" s="91" t="n"/>
      <c r="AN38" s="91" t="n"/>
      <c r="AO38" s="91" t="n"/>
      <c r="AP38" s="9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v>34</v>
      </c>
      <c r="BO38" s="177" t="n">
        <v>34</v>
      </c>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174" t="n">
        <v>4.7</v>
      </c>
      <c r="D39" s="5" t="n"/>
      <c r="E39" s="5" t="n"/>
      <c r="F39" s="5" t="n"/>
      <c r="G39" s="5" t="n"/>
      <c r="H39" s="5" t="n"/>
      <c r="I39" s="5" t="n"/>
      <c r="J39" s="5" t="n"/>
      <c r="K39" s="5" t="n"/>
      <c r="L39" s="5" t="n"/>
      <c r="M39" s="5" t="n"/>
      <c r="N39" s="5" t="n"/>
      <c r="O39" s="5" t="n"/>
      <c r="P39" s="5">
        <f>IF(MAESTRO!F39="","",IFERROR(TRUNC(AVERAGE(C39:O39),1),""))</f>
        <v/>
      </c>
      <c r="Q39" s="40" t="n">
        <v>35</v>
      </c>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v>35</v>
      </c>
      <c r="AH39" s="177" t="n">
        <v>35</v>
      </c>
      <c r="AI39" s="177">
        <f>IF(MAESTRO!F39="","",MAESTRO!F39)</f>
        <v/>
      </c>
      <c r="AJ39" s="178" t="n"/>
      <c r="AK39" s="91" t="n"/>
      <c r="AL39" s="91" t="n"/>
      <c r="AM39" s="91" t="n"/>
      <c r="AN39" s="91" t="n"/>
      <c r="AO39" s="91" t="n"/>
      <c r="AP39" s="9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v>35</v>
      </c>
      <c r="BO39" s="177" t="n">
        <v>35</v>
      </c>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174" t="n"/>
      <c r="D40" s="5" t="n"/>
      <c r="E40" s="5" t="n"/>
      <c r="F40" s="5" t="n"/>
      <c r="G40" s="5" t="n"/>
      <c r="H40" s="5" t="n"/>
      <c r="I40" s="5" t="n"/>
      <c r="J40" s="5" t="n"/>
      <c r="K40" s="5" t="n"/>
      <c r="L40" s="5" t="n"/>
      <c r="M40" s="5" t="n"/>
      <c r="N40" s="5" t="n"/>
      <c r="O40" s="5" t="n"/>
      <c r="P40" s="5">
        <f>IF(MAESTRO!F40="","",IFERROR(TRUNC(AVERAGE(C40:O40),1),""))</f>
        <v/>
      </c>
      <c r="Q40" s="40" t="n">
        <v>36</v>
      </c>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v>36</v>
      </c>
      <c r="AH40" s="177" t="n">
        <v>36</v>
      </c>
      <c r="AI40" s="177">
        <f>IF(MAESTRO!F40="","",MAESTRO!F40)</f>
        <v/>
      </c>
      <c r="AJ40" s="178" t="n"/>
      <c r="AK40" s="91" t="n"/>
      <c r="AL40" s="91" t="n"/>
      <c r="AM40" s="91" t="n"/>
      <c r="AN40" s="91" t="n"/>
      <c r="AO40" s="91" t="n"/>
      <c r="AP40" s="9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v>36</v>
      </c>
      <c r="BO40" s="177" t="n">
        <v>36</v>
      </c>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90" t="n"/>
      <c r="E41" s="90" t="n"/>
      <c r="F41" s="90" t="n"/>
      <c r="G41" s="5" t="n"/>
      <c r="H41" s="5" t="n"/>
      <c r="I41" s="5" t="n"/>
      <c r="J41" s="5" t="n"/>
      <c r="K41" s="5" t="n"/>
      <c r="L41" s="5" t="n"/>
      <c r="M41" s="5" t="n"/>
      <c r="N41" s="5" t="n"/>
      <c r="O41" s="5" t="n"/>
      <c r="P41" s="5">
        <f>IF(MAESTRO!F41="","",IFERROR(TRUNC(AVERAGE(C41:O41),1),""))</f>
        <v/>
      </c>
      <c r="Q41" s="40" t="n">
        <v>37</v>
      </c>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v>37</v>
      </c>
      <c r="AH41" s="177" t="n">
        <v>37</v>
      </c>
      <c r="AI41" s="177">
        <f>IF(MAESTRO!F41="","",MAESTRO!F41)</f>
        <v/>
      </c>
      <c r="AJ41" s="178" t="n"/>
      <c r="AK41" s="91" t="n"/>
      <c r="AL41" s="91" t="n"/>
      <c r="AM41" s="91" t="n"/>
      <c r="AN41" s="91" t="n"/>
      <c r="AO41" s="91" t="n"/>
      <c r="AP41" s="9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v>37</v>
      </c>
      <c r="BO41" s="177" t="n">
        <v>37</v>
      </c>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inlineStr">
        <is>
          <t xml:space="preserve">Vocabulario y Cuadro </t>
        </is>
      </c>
      <c r="D42" s="288" t="inlineStr">
        <is>
          <t xml:space="preserve">Principios de la Contabilidad </t>
        </is>
      </c>
      <c r="E42" s="288" t="inlineStr">
        <is>
          <t>Tarea 5</t>
        </is>
      </c>
      <c r="F42" s="288" t="inlineStr">
        <is>
          <t>Tarea 6</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1" t="inlineStr">
        <is>
          <t>Tarea 18</t>
        </is>
      </c>
      <c r="S42" s="281" t="inlineStr">
        <is>
          <t>Tarea 19</t>
        </is>
      </c>
      <c r="T42" s="286"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45" t="n"/>
      <c r="AB42" s="309" t="inlineStr">
        <is>
          <t>Tarea 28</t>
        </is>
      </c>
      <c r="AC42" s="286" t="inlineStr">
        <is>
          <t>Tarea 29</t>
        </is>
      </c>
      <c r="AD42" s="5" t="n"/>
      <c r="AE42" s="44" t="n"/>
      <c r="AF42" s="177" t="n"/>
      <c r="AG42" s="177" t="n">
        <v>38</v>
      </c>
      <c r="AH42" s="177" t="n">
        <v>38</v>
      </c>
      <c r="AI42" s="177">
        <f>IF(MAESTRO!F42="","",MAESTRO!F42)</f>
        <v/>
      </c>
      <c r="AJ42" s="178" t="n"/>
      <c r="AK42" s="284" t="inlineStr">
        <is>
          <t>Tarea 37</t>
        </is>
      </c>
      <c r="AL42" s="284" t="inlineStr">
        <is>
          <t>Tarea 38</t>
        </is>
      </c>
      <c r="AM42" s="284" t="inlineStr">
        <is>
          <t>Tarea 39</t>
        </is>
      </c>
      <c r="AN42" s="284" t="inlineStr">
        <is>
          <t>Tarea 40</t>
        </is>
      </c>
      <c r="AO42" s="284" t="inlineStr">
        <is>
          <t>Tarea 41</t>
        </is>
      </c>
      <c r="AP42" s="284" t="inlineStr">
        <is>
          <t>Tarea 42</t>
        </is>
      </c>
      <c r="AQ42" s="290"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IF(MAESTRO!F42="","",MAESTRO!F42)</f>
        <v/>
      </c>
      <c r="BQ42" s="178" t="n"/>
      <c r="BR42" s="288" t="inlineStr">
        <is>
          <t>Tarea 70</t>
        </is>
      </c>
      <c r="BS42" s="281" t="inlineStr">
        <is>
          <t>Tarea 71</t>
        </is>
      </c>
      <c r="BT42" s="281" t="inlineStr">
        <is>
          <t>Tarea 72</t>
        </is>
      </c>
      <c r="BU42" s="287" t="inlineStr">
        <is>
          <t>Tarea 73</t>
        </is>
      </c>
      <c r="BV42" s="287"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5" t="n"/>
      <c r="CF42" s="281" t="inlineStr">
        <is>
          <t>Tarea 84</t>
        </is>
      </c>
      <c r="CG42" s="281" t="inlineStr">
        <is>
          <t>Tarea 85</t>
        </is>
      </c>
      <c r="CH42" s="281" t="inlineStr">
        <is>
          <t>Tarea 86</t>
        </is>
      </c>
      <c r="CI42" s="281" t="inlineStr">
        <is>
          <t>Tarea 87</t>
        </is>
      </c>
      <c r="CJ42" s="287" t="inlineStr">
        <is>
          <t>Tarea 88</t>
        </is>
      </c>
      <c r="CK42" s="287" t="inlineStr">
        <is>
          <t>Tarea 89</t>
        </is>
      </c>
      <c r="CL42" s="287" t="inlineStr">
        <is>
          <t>Tarea 90</t>
        </is>
      </c>
      <c r="CM42" s="287" t="inlineStr">
        <is>
          <t>Tarea 91</t>
        </is>
      </c>
      <c r="CN42" s="287" t="inlineStr">
        <is>
          <t>Tarea 92</t>
        </is>
      </c>
      <c r="CO42" s="287" t="inlineStr">
        <is>
          <t>Tarea 93</t>
        </is>
      </c>
      <c r="CP42" s="5" t="n"/>
      <c r="CQ42" s="287" t="inlineStr">
        <is>
          <t>Tarea 95</t>
        </is>
      </c>
      <c r="CR42" s="287"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n">
        <v>9</v>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(Comercio 9°)'!AE21,""))</f>
        <v/>
      </c>
      <c r="G32" s="67">
        <f>IF(MAESTRO!F21="","",IFERROR('PROM (Comercio 9°)'!BL21,""))</f>
        <v/>
      </c>
      <c r="H32" s="49">
        <f>IF(MAESTRO!F21="","",IFERROR('PROM (Comercio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(Comercio 9°)'!AE22,""))</f>
        <v/>
      </c>
      <c r="G33" s="67">
        <f>IF(MAESTRO!F22="","",IFERROR('PROM (Comercio 9°)'!BL22,""))</f>
        <v/>
      </c>
      <c r="H33" s="49">
        <f>IF(MAESTRO!F22="","",IFERROR('PROM (Comercio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(Comercio 9°)'!AE23,""))</f>
        <v/>
      </c>
      <c r="G34" s="67">
        <f>IF(MAESTRO!F23="","",IFERROR('PROM (Comercio 9°)'!BL23,""))</f>
        <v/>
      </c>
      <c r="H34" s="49">
        <f>IF(MAESTRO!F23="","",IFERROR('PROM (Comercio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(Comercio 9°)'!AE24,""))</f>
        <v/>
      </c>
      <c r="G35" s="67">
        <f>IF(MAESTRO!F24="","",IFERROR('PROM (Comercio 9°)'!BL24,""))</f>
        <v/>
      </c>
      <c r="H35" s="49">
        <f>IF(MAESTRO!F24="","",IFERROR('PROM (Comercio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(Comercio 9°)'!AE25,""))</f>
        <v/>
      </c>
      <c r="G36" s="67">
        <f>IF(MAESTRO!F25="","",IFERROR('PROM (Comercio 9°)'!BL25,""))</f>
        <v/>
      </c>
      <c r="H36" s="49">
        <f>IF(MAESTRO!F25="","",IFERROR('PROM (Comercio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(Comercio 9°)'!AE26,""))</f>
        <v/>
      </c>
      <c r="G37" s="67">
        <f>IF(MAESTRO!F26="","",IFERROR('PROM (Comercio 9°)'!BL26,""))</f>
        <v/>
      </c>
      <c r="H37" s="49">
        <f>IF(MAESTRO!F26="","",IFERROR('PROM (Comercio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(Comercio 9°)'!AE27,""))</f>
        <v/>
      </c>
      <c r="G38" s="67">
        <f>IF(MAESTRO!F27="","",IFERROR('PROM (Comercio 9°)'!BL27,""))</f>
        <v/>
      </c>
      <c r="H38" s="49">
        <f>IF(MAESTRO!F27="","",IFERROR('PROM (Comercio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(Comercio 9°)'!AE28,""))</f>
        <v/>
      </c>
      <c r="G39" s="67">
        <f>IF(MAESTRO!F28="","",IFERROR('PROM (Comercio 9°)'!BL28,""))</f>
        <v/>
      </c>
      <c r="H39" s="49">
        <f>IF(MAESTRO!F28="","",IFERROR('PROM (Comercio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(Comercio 9°)'!AE29,""))</f>
        <v/>
      </c>
      <c r="G40" s="67">
        <f>IF(MAESTRO!F29="","",IFERROR('PROM (Comercio 9°)'!BL29,""))</f>
        <v/>
      </c>
      <c r="H40" s="49">
        <f>IF(MAESTRO!F29="","",IFERROR('PROM (Comercio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(Comercio 9°)'!AE30,""))</f>
        <v/>
      </c>
      <c r="G41" s="67">
        <f>IF(MAESTRO!F30="","",IFERROR('PROM (Comercio 9°)'!BL30,""))</f>
        <v/>
      </c>
      <c r="H41" s="49">
        <f>IF(MAESTRO!F30="","",IFERROR('PROM (Comercio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(Comercio 9°)'!AE31,""))</f>
        <v/>
      </c>
      <c r="G42" s="67">
        <f>IF(MAESTRO!F31="","",IFERROR('PROM (Comercio 9°)'!BL31,""))</f>
        <v/>
      </c>
      <c r="H42" s="49">
        <f>IF(MAESTRO!F31="","",IFERROR('PROM (Comercio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(Comercio 9°)'!AE32,""))</f>
        <v/>
      </c>
      <c r="G43" s="67">
        <f>IF(MAESTRO!F32="","",IFERROR('PROM (Comercio 9°)'!BL32,""))</f>
        <v/>
      </c>
      <c r="H43" s="49">
        <f>IF(MAESTRO!F32="","",IFERROR('PROM (Comercio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(Comercio 9°)'!AE33,""))</f>
        <v/>
      </c>
      <c r="G44" s="67">
        <f>IF(MAESTRO!F33="","",IFERROR('PROM (Comercio 9°)'!BL33,""))</f>
        <v/>
      </c>
      <c r="H44" s="49">
        <f>IF(MAESTRO!F33="","",IFERROR('PROM (Comercio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(Comercio 9°)'!AE34,""))</f>
        <v/>
      </c>
      <c r="G45" s="67">
        <f>IF(MAESTRO!F34="","",IFERROR('PROM (Comercio 9°)'!BL34,""))</f>
        <v/>
      </c>
      <c r="H45" s="49">
        <f>IF(MAESTRO!F34="","",IFERROR('PROM (Comercio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(Comercio 9°)'!AE35,""))</f>
        <v/>
      </c>
      <c r="G46" s="67">
        <f>IF(MAESTRO!F35="","",IFERROR('PROM (Comercio 9°)'!BL35,""))</f>
        <v/>
      </c>
      <c r="H46" s="49">
        <f>IF(MAESTRO!F35="","",IFERROR('PROM (Comercio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(Comercio 9°)'!AE36,""))</f>
        <v/>
      </c>
      <c r="G47" s="67">
        <f>IF(MAESTRO!F36="","",IFERROR('PROM (Comercio 9°)'!BL36,""))</f>
        <v/>
      </c>
      <c r="H47" s="49">
        <f>IF(MAESTRO!F36="","",IFERROR('PROM (Comercio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(Comercio 9°)'!AE37,""))</f>
        <v/>
      </c>
      <c r="G48" s="67">
        <f>IF(MAESTRO!F37="","",IFERROR('PROM (Comercio 9°)'!BL37,""))</f>
        <v/>
      </c>
      <c r="H48" s="49">
        <f>IF(MAESTRO!F37="","",IFERROR('PROM (Comercio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(Comercio 9°)'!AE38,""))</f>
        <v/>
      </c>
      <c r="G49" s="67">
        <f>IF(MAESTRO!F38="","",IFERROR('PROM (Comercio 9°)'!BL38,""))</f>
        <v/>
      </c>
      <c r="H49" s="49">
        <f>IF(MAESTRO!F38="","",IFERROR('PROM (Comercio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(Comercio 9°)'!AE39,""))</f>
        <v/>
      </c>
      <c r="G50" s="67">
        <f>IF(MAESTRO!F39="","",IFERROR('PROM (Comercio 9°)'!BL39,""))</f>
        <v/>
      </c>
      <c r="H50" s="49">
        <f>IF(MAESTRO!F39="","",IFERROR('PROM (Comercio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(Comercio 9°)'!AE40,""))</f>
        <v/>
      </c>
      <c r="G51" s="67">
        <f>IF(MAESTRO!F40="","",IFERROR('PROM (Comercio 9°)'!BL40,""))</f>
        <v/>
      </c>
      <c r="H51" s="49">
        <f>IF(MAESTRO!F40="","",IFERROR('PROM (Comercio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(Comercio 9°)'!AE41,""))</f>
        <v/>
      </c>
      <c r="G52" s="67">
        <f>IF(MAESTRO!F41="","",IFERROR('PROM (Comercio 9°)'!BL41,""))</f>
        <v/>
      </c>
      <c r="H52" s="49">
        <f>IF(MAESTRO!F41="","",IFERROR('PROM (Comercio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topLeftCell="A7" zoomScale="80" zoomScaleNormal="100" zoomScalePageLayoutView="80" workbookViewId="0">
      <selection activeCell="G35" sqref="G35"/>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46112</v>
      </c>
      <c r="D4" s="23" t="n">
        <v>46135</v>
      </c>
      <c r="E4" s="23" t="n">
        <v>46136</v>
      </c>
      <c r="F4" s="23" t="n">
        <v>46142</v>
      </c>
      <c r="G4" s="23" t="n">
        <v>46150</v>
      </c>
      <c r="H4" s="23" t="n"/>
      <c r="I4" s="23" t="n"/>
      <c r="J4" s="23" t="n"/>
      <c r="K4" s="23" t="n"/>
      <c r="L4" s="23" t="n"/>
      <c r="M4" s="23" t="n"/>
      <c r="N4" s="23" t="n"/>
      <c r="O4" s="23" t="n"/>
      <c r="P4" s="181" t="n"/>
      <c r="Q4" s="57" t="n"/>
      <c r="R4" s="23" t="n">
        <v>46112</v>
      </c>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5"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v>3.2</v>
      </c>
      <c r="D5" s="5" t="n">
        <v>3.3</v>
      </c>
      <c r="E5" s="5" t="n">
        <v>4.2</v>
      </c>
      <c r="F5" s="5" t="n">
        <v>4.2</v>
      </c>
      <c r="G5" s="5" t="n">
        <v>4.3</v>
      </c>
      <c r="H5" s="5" t="n">
        <v>3.1</v>
      </c>
      <c r="I5" s="5" t="n">
        <v>4.9</v>
      </c>
      <c r="J5" s="5" t="n">
        <v>3.9</v>
      </c>
      <c r="K5" s="5" t="n">
        <v>3.4</v>
      </c>
      <c r="L5" s="5" t="n">
        <v>4.7</v>
      </c>
      <c r="M5" s="5" t="n">
        <v>3.2</v>
      </c>
      <c r="N5" s="5" t="n">
        <v>3.1</v>
      </c>
      <c r="O5" s="5" t="n">
        <v>4.6</v>
      </c>
      <c r="P5" s="5">
        <f>IF(MAESTRO!F5="","",IFERROR(TRUNC(AVERAGE(C5:O5),1),""))</f>
        <v/>
      </c>
      <c r="Q5" s="40" t="n">
        <v>1</v>
      </c>
      <c r="R5" s="22" t="n">
        <v>3.7</v>
      </c>
      <c r="S5" s="22" t="n">
        <v>3.9</v>
      </c>
      <c r="T5" s="22" t="n">
        <v>4.6</v>
      </c>
      <c r="U5" s="22" t="n">
        <v>4.8</v>
      </c>
      <c r="V5" s="22" t="n">
        <v>4</v>
      </c>
      <c r="W5" s="22" t="n">
        <v>3.2</v>
      </c>
      <c r="X5" s="22" t="n">
        <v>4.4</v>
      </c>
      <c r="Y5" s="22" t="n">
        <v>3.5</v>
      </c>
      <c r="Z5" s="22" t="n">
        <v>3</v>
      </c>
      <c r="AA5" s="45">
        <f>IF(MAESTRO!F5="","",IFERROR(TRUNC(AVERAGE(R5:Z5),1),""))</f>
        <v/>
      </c>
      <c r="AB5" s="5" t="n">
        <v>4.6</v>
      </c>
      <c r="AC5" s="42" t="n">
        <v>3.4</v>
      </c>
      <c r="AD5" s="5">
        <f>IF(MAESTRO!F5="","",IFERROR(AVERAGE(AB5:AC5),""))</f>
        <v/>
      </c>
      <c r="AE5" s="44">
        <f>IF(MAESTRO!F5="","",IFERROR(TRUNC(AVERAGE(P5,AA5,AD5),1),""))</f>
        <v/>
      </c>
      <c r="AF5" s="177" t="n"/>
      <c r="AG5" s="177" t="n">
        <v>1</v>
      </c>
      <c r="AH5" s="177" t="n">
        <v>1</v>
      </c>
      <c r="AI5" s="177">
        <f>IF(MAESTRO!F5="","",MAESTRO!F5)</f>
        <v/>
      </c>
      <c r="AJ5" s="178" t="n"/>
      <c r="AK5" s="61" t="n">
        <v>3.3</v>
      </c>
      <c r="AL5" s="61" t="n">
        <v>3.4</v>
      </c>
      <c r="AM5" s="61" t="n">
        <v>3.2</v>
      </c>
      <c r="AN5" s="61" t="n">
        <v>3.7</v>
      </c>
      <c r="AO5" s="61" t="n">
        <v>4.8</v>
      </c>
      <c r="AP5" s="61" t="n">
        <v>3.2</v>
      </c>
      <c r="AQ5" s="61" t="n">
        <v>4.7</v>
      </c>
      <c r="AR5" s="61" t="n">
        <v>3.9</v>
      </c>
      <c r="AS5" s="61" t="n">
        <v>3.9</v>
      </c>
      <c r="AT5" s="61" t="n">
        <v>3.8</v>
      </c>
      <c r="AU5" s="61" t="n">
        <v>3.9</v>
      </c>
      <c r="AV5" s="61" t="n">
        <v>3.7</v>
      </c>
      <c r="AW5" s="5">
        <f>IF(MAESTRO!F5="","",IFERROR(TRUNC(AVERAGE(AK5:AV5),1),""))</f>
        <v/>
      </c>
      <c r="AX5" s="22" t="n">
        <v>3.6</v>
      </c>
      <c r="AY5" s="22" t="n">
        <v>4.6</v>
      </c>
      <c r="AZ5" s="22" t="n">
        <v>3.1</v>
      </c>
      <c r="BA5" s="22" t="n">
        <v>3.6</v>
      </c>
      <c r="BB5" s="22" t="n">
        <v>3.8</v>
      </c>
      <c r="BC5" s="22" t="n">
        <v>5</v>
      </c>
      <c r="BD5" s="22" t="n">
        <v>4.6</v>
      </c>
      <c r="BE5" s="22" t="n">
        <v>3.9</v>
      </c>
      <c r="BF5" s="22" t="n">
        <v>3.2</v>
      </c>
      <c r="BG5" s="52" t="n">
        <v>4.4</v>
      </c>
      <c r="BH5" s="5">
        <f>IF(MAESTRO!F5="","",IFERROR(TRUNC(AVERAGE(AX5:BG5),1),""))</f>
        <v/>
      </c>
      <c r="BI5" s="22" t="n">
        <v>3.8</v>
      </c>
      <c r="BJ5" s="22" t="n">
        <v>4.9</v>
      </c>
      <c r="BK5" s="22">
        <f>IF(MAESTRO!F5="","",IFERROR(AVERAGE(BI5:BJ5),""))</f>
        <v/>
      </c>
      <c r="BL5" s="5">
        <f>IF(MAESTRO!F5="","",IFERROR(TRUNC(AVERAGE(AW5,BH5),1),""))</f>
        <v/>
      </c>
      <c r="BM5" s="177" t="n"/>
      <c r="BN5" s="177" t="n">
        <v>1</v>
      </c>
      <c r="BO5" s="177" t="n">
        <v>1</v>
      </c>
      <c r="BP5" s="177">
        <f>IF(MAESTRO!F5="","",MAESTRO!F5)</f>
        <v/>
      </c>
      <c r="BQ5" s="178" t="n"/>
      <c r="BR5" s="5" t="n">
        <v>3</v>
      </c>
      <c r="BS5" s="5" t="n">
        <v>3.9</v>
      </c>
      <c r="BT5" s="5" t="n">
        <v>4.4</v>
      </c>
      <c r="BU5" s="5" t="n">
        <v>3</v>
      </c>
      <c r="BV5" s="5" t="n">
        <v>3.5</v>
      </c>
      <c r="BW5" s="5" t="n">
        <v>5</v>
      </c>
      <c r="BX5" s="5" t="n">
        <v>4</v>
      </c>
      <c r="BY5" s="5" t="n">
        <v>3.4</v>
      </c>
      <c r="BZ5" s="5" t="n">
        <v>4.1</v>
      </c>
      <c r="CA5" s="5" t="n">
        <v>3.8</v>
      </c>
      <c r="CB5" s="5" t="n">
        <v>4.3</v>
      </c>
      <c r="CC5" s="5" t="n">
        <v>3.2</v>
      </c>
      <c r="CD5" s="5" t="n">
        <v>3.8</v>
      </c>
      <c r="CE5" s="5">
        <f>IF(MAESTRO!F5="","",IFERROR(TRUNC(AVERAGE(BR5:CD5),1),""))</f>
        <v/>
      </c>
      <c r="CF5" s="5" t="n">
        <v>3.3</v>
      </c>
      <c r="CG5" s="5" t="n">
        <v>5</v>
      </c>
      <c r="CH5" s="5" t="n">
        <v>3.8</v>
      </c>
      <c r="CI5" s="5" t="n">
        <v>4.4</v>
      </c>
      <c r="CJ5" s="5" t="n">
        <v>4.6</v>
      </c>
      <c r="CK5" s="5" t="n">
        <v>3.5</v>
      </c>
      <c r="CL5" s="5" t="n">
        <v>4.5</v>
      </c>
      <c r="CM5" s="5" t="n">
        <v>4.6</v>
      </c>
      <c r="CN5" s="5" t="n">
        <v>3.1</v>
      </c>
      <c r="CO5" s="5" t="n">
        <v>4.5</v>
      </c>
      <c r="CP5" s="5">
        <f>IF(MAESTRO!F5="","",IFERROR(TRUNC(AVERAGE(CF5:CO5),1),""))</f>
        <v/>
      </c>
      <c r="CQ5" s="5" t="n">
        <v>4</v>
      </c>
      <c r="CR5" s="5" t="n">
        <v>4.4</v>
      </c>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v>4.3</v>
      </c>
      <c r="D6" s="5" t="n">
        <v>3.8</v>
      </c>
      <c r="E6" s="5" t="n">
        <v>3.8</v>
      </c>
      <c r="F6" s="5" t="n">
        <v>3.6</v>
      </c>
      <c r="G6" s="5" t="n">
        <v>3.9</v>
      </c>
      <c r="H6" s="5" t="n">
        <v>4.6</v>
      </c>
      <c r="I6" s="5" t="n">
        <v>4.2</v>
      </c>
      <c r="J6" s="5" t="n">
        <v>4.2</v>
      </c>
      <c r="K6" s="5" t="n">
        <v>3.1</v>
      </c>
      <c r="L6" s="5" t="n">
        <v>4.2</v>
      </c>
      <c r="M6" s="5" t="n">
        <v>4.4</v>
      </c>
      <c r="N6" s="5" t="n">
        <v>3.6</v>
      </c>
      <c r="O6" s="5" t="n">
        <v>4.5</v>
      </c>
      <c r="P6" s="5">
        <f>IF(MAESTRO!F6="","",IFERROR(TRUNC(AVERAGE(C6:O6),1),""))</f>
        <v/>
      </c>
      <c r="Q6" s="40" t="n">
        <v>2</v>
      </c>
      <c r="R6" s="22" t="n">
        <v>3.4</v>
      </c>
      <c r="S6" s="22" t="n">
        <v>4.4</v>
      </c>
      <c r="T6" s="22" t="n">
        <v>3.8</v>
      </c>
      <c r="U6" s="22" t="n">
        <v>3.5</v>
      </c>
      <c r="V6" s="22" t="n">
        <v>3.4</v>
      </c>
      <c r="W6" s="22" t="n">
        <v>3.3</v>
      </c>
      <c r="X6" s="22" t="n">
        <v>3.6</v>
      </c>
      <c r="Y6" s="22" t="n">
        <v>4.8</v>
      </c>
      <c r="Z6" s="22" t="n">
        <v>3.3</v>
      </c>
      <c r="AA6" s="45">
        <f>IF(MAESTRO!F6="","",IFERROR(TRUNC(AVERAGE(R6:Z6),1),""))</f>
        <v/>
      </c>
      <c r="AB6" s="5" t="n">
        <v>4.5</v>
      </c>
      <c r="AC6" s="42" t="n">
        <v>4.7</v>
      </c>
      <c r="AD6" s="5">
        <f>IF(MAESTRO!F6="","",IFERROR(AVERAGE(AB6:AC6),""))</f>
        <v/>
      </c>
      <c r="AE6" s="44">
        <f>IF(MAESTRO!F6="","",IFERROR(TRUNC(AVERAGE(P6,AA6,AD6),1),""))</f>
        <v/>
      </c>
      <c r="AF6" s="177" t="n"/>
      <c r="AG6" s="177" t="n">
        <v>2</v>
      </c>
      <c r="AH6" s="177" t="n">
        <v>2</v>
      </c>
      <c r="AI6" s="177">
        <f>IF(MAESTRO!F6="","",MAESTRO!F6)</f>
        <v/>
      </c>
      <c r="AJ6" s="178" t="n"/>
      <c r="AK6" s="61" t="n">
        <v>4.3</v>
      </c>
      <c r="AL6" s="61" t="n">
        <v>3.4</v>
      </c>
      <c r="AM6" s="61" t="n">
        <v>4.1</v>
      </c>
      <c r="AN6" s="61" t="n">
        <v>5</v>
      </c>
      <c r="AO6" s="61" t="n">
        <v>4</v>
      </c>
      <c r="AP6" s="61" t="n">
        <v>4</v>
      </c>
      <c r="AQ6" s="61" t="n">
        <v>3.9</v>
      </c>
      <c r="AR6" s="61" t="n">
        <v>4.9</v>
      </c>
      <c r="AS6" s="61" t="n">
        <v>3.7</v>
      </c>
      <c r="AT6" s="61" t="n">
        <v>4.3</v>
      </c>
      <c r="AU6" s="61" t="n">
        <v>4.5</v>
      </c>
      <c r="AV6" s="61" t="n">
        <v>3.9</v>
      </c>
      <c r="AW6" s="5">
        <f>IF(MAESTRO!F6="","",IFERROR(TRUNC(AVERAGE(AK6:AV6),1),""))</f>
        <v/>
      </c>
      <c r="AX6" s="22" t="n">
        <v>3.7</v>
      </c>
      <c r="AY6" s="22" t="n">
        <v>4.3</v>
      </c>
      <c r="AZ6" s="22" t="n">
        <v>4.9</v>
      </c>
      <c r="BA6" s="22" t="n">
        <v>3</v>
      </c>
      <c r="BB6" s="22" t="n">
        <v>3.3</v>
      </c>
      <c r="BC6" s="22" t="n">
        <v>4</v>
      </c>
      <c r="BD6" s="22" t="n">
        <v>4.7</v>
      </c>
      <c r="BE6" s="22" t="n">
        <v>3.1</v>
      </c>
      <c r="BF6" s="22" t="n">
        <v>3.1</v>
      </c>
      <c r="BG6" s="52" t="n">
        <v>3.5</v>
      </c>
      <c r="BH6" s="5">
        <f>IF(MAESTRO!F6="","",IFERROR(TRUNC(AVERAGE(AX6:BG6),1),""))</f>
        <v/>
      </c>
      <c r="BI6" s="22" t="n">
        <v>4.8</v>
      </c>
      <c r="BJ6" s="22" t="n">
        <v>4.3</v>
      </c>
      <c r="BK6" s="22">
        <f>IF(MAESTRO!F6="","",IFERROR(AVERAGE(BI6:BJ6),""))</f>
        <v/>
      </c>
      <c r="BL6" s="5">
        <f>IF(MAESTRO!F6="","",IFERROR(TRUNC(AVERAGE(AW6,BH6),1),""))</f>
        <v/>
      </c>
      <c r="BM6" s="177" t="n"/>
      <c r="BN6" s="177" t="n">
        <v>2</v>
      </c>
      <c r="BO6" s="177" t="n">
        <v>2</v>
      </c>
      <c r="BP6" s="177">
        <f>IF(MAESTRO!F6="","",MAESTRO!F6)</f>
        <v/>
      </c>
      <c r="BQ6" s="178" t="n"/>
      <c r="BR6" s="5" t="n">
        <v>3.4</v>
      </c>
      <c r="BS6" s="5" t="n">
        <v>4.6</v>
      </c>
      <c r="BT6" s="5" t="n">
        <v>4.5</v>
      </c>
      <c r="BU6" s="5" t="n">
        <v>4</v>
      </c>
      <c r="BV6" s="5" t="n">
        <v>4.7</v>
      </c>
      <c r="BW6" s="5" t="n">
        <v>3.2</v>
      </c>
      <c r="BX6" s="5" t="n">
        <v>4.6</v>
      </c>
      <c r="BY6" s="5" t="n">
        <v>4.5</v>
      </c>
      <c r="BZ6" s="5" t="n">
        <v>4.1</v>
      </c>
      <c r="CA6" s="5" t="n">
        <v>4.5</v>
      </c>
      <c r="CB6" s="5" t="n">
        <v>4.3</v>
      </c>
      <c r="CC6" s="5" t="n">
        <v>3.6</v>
      </c>
      <c r="CD6" s="5" t="n">
        <v>4.3</v>
      </c>
      <c r="CE6" s="5">
        <f>IF(MAESTRO!F6="","",IFERROR(TRUNC(AVERAGE(BR6:CD6),1),""))</f>
        <v/>
      </c>
      <c r="CF6" s="5" t="n">
        <v>4.3</v>
      </c>
      <c r="CG6" s="5" t="n">
        <v>4.9</v>
      </c>
      <c r="CH6" s="5" t="n">
        <v>4.4</v>
      </c>
      <c r="CI6" s="5" t="n">
        <v>3.5</v>
      </c>
      <c r="CJ6" s="5" t="n">
        <v>4.4</v>
      </c>
      <c r="CK6" s="5" t="n">
        <v>3.3</v>
      </c>
      <c r="CL6" s="5" t="n">
        <v>4.2</v>
      </c>
      <c r="CM6" s="5" t="n">
        <v>3.7</v>
      </c>
      <c r="CN6" s="5" t="n">
        <v>3.7</v>
      </c>
      <c r="CO6" s="5" t="n">
        <v>4.8</v>
      </c>
      <c r="CP6" s="5">
        <f>IF(MAESTRO!F6="","",IFERROR(TRUNC(AVERAGE(CF6:CO6),1),""))</f>
        <v/>
      </c>
      <c r="CQ6" s="5" t="n">
        <v>4.7</v>
      </c>
      <c r="CR6" s="5" t="n">
        <v>3.8</v>
      </c>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v>4.6</v>
      </c>
      <c r="D7" s="5" t="n">
        <v>4.7</v>
      </c>
      <c r="E7" s="5" t="n">
        <v>3.7</v>
      </c>
      <c r="F7" s="5" t="n">
        <v>3.8</v>
      </c>
      <c r="G7" s="5" t="n">
        <v>4.8</v>
      </c>
      <c r="H7" s="5" t="n">
        <v>3.6</v>
      </c>
      <c r="I7" s="5" t="n">
        <v>4.5</v>
      </c>
      <c r="J7" s="5" t="n">
        <v>5</v>
      </c>
      <c r="K7" s="5" t="n">
        <v>4.2</v>
      </c>
      <c r="L7" s="5" t="n">
        <v>4.4</v>
      </c>
      <c r="M7" s="5" t="n">
        <v>3.1</v>
      </c>
      <c r="N7" s="5" t="n">
        <v>3.1</v>
      </c>
      <c r="O7" s="5" t="n">
        <v>4.6</v>
      </c>
      <c r="P7" s="5">
        <f>IF(MAESTRO!F7="","",IFERROR(TRUNC(AVERAGE(C7:O7),1),""))</f>
        <v/>
      </c>
      <c r="Q7" s="40" t="n">
        <v>3</v>
      </c>
      <c r="R7" s="22" t="n">
        <v>3.7</v>
      </c>
      <c r="S7" s="22" t="n">
        <v>3.7</v>
      </c>
      <c r="T7" s="22" t="n">
        <v>4.1</v>
      </c>
      <c r="U7" s="22" t="n">
        <v>3.2</v>
      </c>
      <c r="V7" s="22" t="n">
        <v>4.1</v>
      </c>
      <c r="W7" s="22" t="n">
        <v>3.6</v>
      </c>
      <c r="X7" s="22" t="n">
        <v>3.7</v>
      </c>
      <c r="Y7" s="22" t="n">
        <v>3.6</v>
      </c>
      <c r="Z7" s="22" t="n">
        <v>3.6</v>
      </c>
      <c r="AA7" s="45">
        <f>IF(MAESTRO!F7="","",IFERROR(TRUNC(AVERAGE(R7:Z7),1),""))</f>
        <v/>
      </c>
      <c r="AB7" s="177" t="n">
        <v>4.9</v>
      </c>
      <c r="AC7" s="42" t="n">
        <v>3.5</v>
      </c>
      <c r="AD7" s="5">
        <f>IF(MAESTRO!F7="","",IFERROR(AVERAGE(AB7:AC7),""))</f>
        <v/>
      </c>
      <c r="AE7" s="44">
        <f>IF(MAESTRO!F7="","",IFERROR(TRUNC(AVERAGE(P7,AA7,AD7),1),""))</f>
        <v/>
      </c>
      <c r="AF7" s="177" t="n"/>
      <c r="AG7" s="177" t="n">
        <v>3</v>
      </c>
      <c r="AH7" s="177" t="n">
        <v>3</v>
      </c>
      <c r="AI7" s="177">
        <f>IF(MAESTRO!F7="","",MAESTRO!F7)</f>
        <v/>
      </c>
      <c r="AJ7" s="178" t="n"/>
      <c r="AK7" s="61" t="n">
        <v>4.6</v>
      </c>
      <c r="AL7" s="61" t="n">
        <v>4.6</v>
      </c>
      <c r="AM7" s="61" t="n">
        <v>4.7</v>
      </c>
      <c r="AN7" s="61" t="n">
        <v>4.4</v>
      </c>
      <c r="AO7" s="61" t="n">
        <v>3.6</v>
      </c>
      <c r="AP7" s="61" t="n">
        <v>3</v>
      </c>
      <c r="AQ7" s="61" t="n">
        <v>3.2</v>
      </c>
      <c r="AR7" s="61" t="n">
        <v>3.8</v>
      </c>
      <c r="AS7" s="61" t="n">
        <v>3.6</v>
      </c>
      <c r="AT7" s="61" t="n">
        <v>4.7</v>
      </c>
      <c r="AU7" s="61" t="n">
        <v>3.6</v>
      </c>
      <c r="AV7" s="61" t="n">
        <v>4.8</v>
      </c>
      <c r="AW7" s="5">
        <f>IF(MAESTRO!F7="","",IFERROR(TRUNC(AVERAGE(AK7:AV7),1),""))</f>
        <v/>
      </c>
      <c r="AX7" s="22" t="n">
        <v>3.2</v>
      </c>
      <c r="AY7" s="22" t="n">
        <v>3.8</v>
      </c>
      <c r="AZ7" s="22" t="n">
        <v>4.2</v>
      </c>
      <c r="BA7" s="22" t="n">
        <v>3.7</v>
      </c>
      <c r="BB7" s="22" t="n">
        <v>4.9</v>
      </c>
      <c r="BC7" s="22" t="n">
        <v>4.1</v>
      </c>
      <c r="BD7" s="22" t="n">
        <v>4</v>
      </c>
      <c r="BE7" s="22" t="n">
        <v>3.6</v>
      </c>
      <c r="BF7" s="22" t="n">
        <v>5</v>
      </c>
      <c r="BG7" s="52" t="n">
        <v>3.2</v>
      </c>
      <c r="BH7" s="5">
        <f>IF(MAESTRO!F7="","",IFERROR(TRUNC(AVERAGE(AX7:BG7),1),""))</f>
        <v/>
      </c>
      <c r="BI7" s="22" t="n">
        <v>3.2</v>
      </c>
      <c r="BJ7" s="22" t="n">
        <v>4</v>
      </c>
      <c r="BK7" s="22">
        <f>IF(MAESTRO!F7="","",IFERROR(AVERAGE(BI7:BJ7),""))</f>
        <v/>
      </c>
      <c r="BL7" s="5">
        <f>IF(MAESTRO!F7="","",IFERROR(TRUNC(AVERAGE(AW7,BH7),1),""))</f>
        <v/>
      </c>
      <c r="BM7" s="177" t="n"/>
      <c r="BN7" s="177" t="n">
        <v>3</v>
      </c>
      <c r="BO7" s="177" t="n">
        <v>3</v>
      </c>
      <c r="BP7" s="177">
        <f>IF(MAESTRO!F7="","",MAESTRO!F7)</f>
        <v/>
      </c>
      <c r="BQ7" s="178" t="n"/>
      <c r="BR7" s="5" t="n">
        <v>3.2</v>
      </c>
      <c r="BS7" s="5" t="n">
        <v>3.8</v>
      </c>
      <c r="BT7" s="5" t="n">
        <v>3.7</v>
      </c>
      <c r="BU7" s="5" t="n">
        <v>4.1</v>
      </c>
      <c r="BV7" s="5" t="n">
        <v>3.9</v>
      </c>
      <c r="BW7" s="5" t="n">
        <v>3.8</v>
      </c>
      <c r="BX7" s="5" t="n">
        <v>3.5</v>
      </c>
      <c r="BY7" s="5" t="n">
        <v>3.8</v>
      </c>
      <c r="BZ7" s="5" t="n">
        <v>3.9</v>
      </c>
      <c r="CA7" s="5" t="n">
        <v>5</v>
      </c>
      <c r="CB7" s="5" t="n">
        <v>3</v>
      </c>
      <c r="CC7" s="5" t="n">
        <v>3.1</v>
      </c>
      <c r="CD7" s="5" t="n">
        <v>3.3</v>
      </c>
      <c r="CE7" s="5">
        <f>IF(MAESTRO!F7="","",IFERROR(TRUNC(AVERAGE(BR7:CD7),1),""))</f>
        <v/>
      </c>
      <c r="CF7" s="5" t="n">
        <v>3.2</v>
      </c>
      <c r="CG7" s="5" t="n">
        <v>3.1</v>
      </c>
      <c r="CH7" s="5" t="n">
        <v>3.3</v>
      </c>
      <c r="CI7" s="5" t="n">
        <v>3.7</v>
      </c>
      <c r="CJ7" s="5" t="n">
        <v>3.2</v>
      </c>
      <c r="CK7" s="5" t="n">
        <v>3.4</v>
      </c>
      <c r="CL7" s="5" t="n">
        <v>4.4</v>
      </c>
      <c r="CM7" s="5" t="n">
        <v>3.1</v>
      </c>
      <c r="CN7" s="5" t="n">
        <v>3.9</v>
      </c>
      <c r="CO7" s="5" t="n">
        <v>3.9</v>
      </c>
      <c r="CP7" s="5">
        <f>IF(MAESTRO!F7="","",IFERROR(TRUNC(AVERAGE(CF7:CO7),1),""))</f>
        <v/>
      </c>
      <c r="CQ7" s="5" t="n">
        <v>4.1</v>
      </c>
      <c r="CR7" s="5" t="n">
        <v>3.9</v>
      </c>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v>3.5</v>
      </c>
      <c r="D8" s="5" t="n">
        <v>3.4</v>
      </c>
      <c r="E8" s="5" t="n">
        <v>4</v>
      </c>
      <c r="F8" s="5" t="n">
        <v>3.3</v>
      </c>
      <c r="G8" s="5" t="n">
        <v>3.4</v>
      </c>
      <c r="H8" s="5" t="n">
        <v>3</v>
      </c>
      <c r="I8" s="5" t="n">
        <v>4.4</v>
      </c>
      <c r="J8" s="5" t="n">
        <v>4.1</v>
      </c>
      <c r="K8" s="5" t="n">
        <v>4.9</v>
      </c>
      <c r="L8" s="5" t="n">
        <v>3.8</v>
      </c>
      <c r="M8" s="5" t="n">
        <v>4.6</v>
      </c>
      <c r="N8" s="5" t="n">
        <v>3.2</v>
      </c>
      <c r="O8" s="5" t="n">
        <v>3.1</v>
      </c>
      <c r="P8" s="5">
        <f>IF(MAESTRO!F8="","",IFERROR(TRUNC(AVERAGE(C8:O8),1),""))</f>
        <v/>
      </c>
      <c r="Q8" s="40" t="n">
        <v>4</v>
      </c>
      <c r="R8" s="22" t="n">
        <v>4.8</v>
      </c>
      <c r="S8" s="22" t="n">
        <v>3.7</v>
      </c>
      <c r="T8" s="22" t="n">
        <v>3.5</v>
      </c>
      <c r="U8" s="22" t="n">
        <v>3.9</v>
      </c>
      <c r="V8" s="22" t="n">
        <v>3.5</v>
      </c>
      <c r="W8" s="22" t="n">
        <v>4</v>
      </c>
      <c r="X8" s="22" t="n">
        <v>4.3</v>
      </c>
      <c r="Y8" s="22" t="n">
        <v>3.6</v>
      </c>
      <c r="Z8" s="22" t="n">
        <v>4</v>
      </c>
      <c r="AA8" s="45">
        <f>IF(MAESTRO!F8="","",IFERROR(TRUNC(AVERAGE(R8:Z8),1),""))</f>
        <v/>
      </c>
      <c r="AB8" s="177" t="n">
        <v>5</v>
      </c>
      <c r="AC8" s="42" t="n">
        <v>4.7</v>
      </c>
      <c r="AD8" s="5">
        <f>IF(MAESTRO!F8="","",IFERROR(AVERAGE(AB8:AC8),""))</f>
        <v/>
      </c>
      <c r="AE8" s="44">
        <f>IF(MAESTRO!F8="","",IFERROR(TRUNC(AVERAGE(P8,AA8,AD8),1),""))</f>
        <v/>
      </c>
      <c r="AF8" s="177" t="n"/>
      <c r="AG8" s="177" t="n">
        <v>4</v>
      </c>
      <c r="AH8" s="177" t="n">
        <v>4</v>
      </c>
      <c r="AI8" s="177">
        <f>IF(MAESTRO!F8="","",MAESTRO!F8)</f>
        <v/>
      </c>
      <c r="AJ8" s="178" t="n"/>
      <c r="AK8" s="61" t="n">
        <v>4.2</v>
      </c>
      <c r="AL8" s="61" t="n">
        <v>3.4</v>
      </c>
      <c r="AM8" s="61" t="n">
        <v>4.5</v>
      </c>
      <c r="AN8" s="61" t="n">
        <v>3.4</v>
      </c>
      <c r="AO8" s="61" t="n">
        <v>4.6</v>
      </c>
      <c r="AP8" s="61" t="n">
        <v>3.7</v>
      </c>
      <c r="AQ8" s="61" t="n">
        <v>3.6</v>
      </c>
      <c r="AR8" s="61" t="n">
        <v>3.8</v>
      </c>
      <c r="AS8" s="61" t="n">
        <v>3.3</v>
      </c>
      <c r="AT8" s="61" t="n">
        <v>4.4</v>
      </c>
      <c r="AU8" s="61" t="n">
        <v>4.9</v>
      </c>
      <c r="AV8" s="61" t="n">
        <v>3.4</v>
      </c>
      <c r="AW8" s="5">
        <f>IF(MAESTRO!F8="","",IFERROR(TRUNC(AVERAGE(AK8:AV8),1),""))</f>
        <v/>
      </c>
      <c r="AX8" s="22" t="n">
        <v>3.4</v>
      </c>
      <c r="AY8" s="22" t="n">
        <v>3.6</v>
      </c>
      <c r="AZ8" s="22" t="n">
        <v>3.1</v>
      </c>
      <c r="BA8" s="22" t="n">
        <v>4.7</v>
      </c>
      <c r="BB8" s="22" t="n">
        <v>4.7</v>
      </c>
      <c r="BC8" s="22" t="n">
        <v>4.8</v>
      </c>
      <c r="BD8" s="22" t="n">
        <v>3.4</v>
      </c>
      <c r="BE8" s="22" t="n">
        <v>4.7</v>
      </c>
      <c r="BF8" s="22" t="n">
        <v>3.5</v>
      </c>
      <c r="BG8" s="52" t="n">
        <v>4.9</v>
      </c>
      <c r="BH8" s="5">
        <f>IF(MAESTRO!F8="","",IFERROR(TRUNC(AVERAGE(AX8:BG8),1),""))</f>
        <v/>
      </c>
      <c r="BI8" s="22" t="n">
        <v>4.9</v>
      </c>
      <c r="BJ8" s="22" t="n">
        <v>3</v>
      </c>
      <c r="BK8" s="22">
        <f>IF(MAESTRO!F8="","",IFERROR(AVERAGE(BI8:BJ8),""))</f>
        <v/>
      </c>
      <c r="BL8" s="5">
        <f>IF(MAESTRO!F8="","",IFERROR(TRUNC(AVERAGE(AW8,BH8),1),""))</f>
        <v/>
      </c>
      <c r="BM8" s="177" t="n"/>
      <c r="BN8" s="177" t="n">
        <v>4</v>
      </c>
      <c r="BO8" s="177" t="n">
        <v>4</v>
      </c>
      <c r="BP8" s="177">
        <f>IF(MAESTRO!F8="","",MAESTRO!F8)</f>
        <v/>
      </c>
      <c r="BQ8" s="178" t="n"/>
      <c r="BR8" s="5" t="n">
        <v>3</v>
      </c>
      <c r="BS8" s="5" t="n">
        <v>4</v>
      </c>
      <c r="BT8" s="5" t="n">
        <v>3.3</v>
      </c>
      <c r="BU8" s="5" t="n">
        <v>3.8</v>
      </c>
      <c r="BV8" s="5" t="n">
        <v>4.4</v>
      </c>
      <c r="BW8" s="5" t="n">
        <v>5</v>
      </c>
      <c r="BX8" s="5" t="n">
        <v>3.7</v>
      </c>
      <c r="BY8" s="5" t="n">
        <v>3.6</v>
      </c>
      <c r="BZ8" s="5" t="n">
        <v>4.5</v>
      </c>
      <c r="CA8" s="5" t="n">
        <v>4.2</v>
      </c>
      <c r="CB8" s="5" t="n">
        <v>4.3</v>
      </c>
      <c r="CC8" s="5" t="n">
        <v>4.4</v>
      </c>
      <c r="CD8" s="5" t="n">
        <v>3.5</v>
      </c>
      <c r="CE8" s="5">
        <f>IF(MAESTRO!F8="","",IFERROR(TRUNC(AVERAGE(BR8:CD8),1),""))</f>
        <v/>
      </c>
      <c r="CF8" s="5" t="n">
        <v>3.3</v>
      </c>
      <c r="CG8" s="5" t="n">
        <v>4.2</v>
      </c>
      <c r="CH8" s="5" t="n">
        <v>3.4</v>
      </c>
      <c r="CI8" s="5" t="n">
        <v>4.2</v>
      </c>
      <c r="CJ8" s="5" t="n">
        <v>3.4</v>
      </c>
      <c r="CK8" s="5" t="n">
        <v>3.8</v>
      </c>
      <c r="CL8" s="5" t="n">
        <v>3.3</v>
      </c>
      <c r="CM8" s="5" t="n">
        <v>4.9</v>
      </c>
      <c r="CN8" s="5" t="n">
        <v>3.5</v>
      </c>
      <c r="CO8" s="5" t="n">
        <v>3.2</v>
      </c>
      <c r="CP8" s="5">
        <f>IF(MAESTRO!F8="","",IFERROR(TRUNC(AVERAGE(CF8:CO8),1),""))</f>
        <v/>
      </c>
      <c r="CQ8" s="5" t="n">
        <v>3.7</v>
      </c>
      <c r="CR8" s="5" t="n">
        <v>3.7</v>
      </c>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v>3.1</v>
      </c>
      <c r="D9" s="5" t="n">
        <v>3.5</v>
      </c>
      <c r="E9" s="5" t="n">
        <v>4.3</v>
      </c>
      <c r="F9" s="5" t="n">
        <v>4.8</v>
      </c>
      <c r="G9" s="5" t="n">
        <v>3.3</v>
      </c>
      <c r="H9" s="5" t="n">
        <v>4.7</v>
      </c>
      <c r="I9" s="5" t="n">
        <v>3.2</v>
      </c>
      <c r="J9" s="5" t="n">
        <v>4.2</v>
      </c>
      <c r="K9" s="5" t="n">
        <v>4.2</v>
      </c>
      <c r="L9" s="5" t="n">
        <v>4.7</v>
      </c>
      <c r="M9" s="5" t="n">
        <v>3.1</v>
      </c>
      <c r="N9" s="5" t="n">
        <v>3.6</v>
      </c>
      <c r="O9" s="5" t="n">
        <v>3.2</v>
      </c>
      <c r="P9" s="5">
        <f>IF(MAESTRO!F9="","",IFERROR(TRUNC(AVERAGE(C9:O9),1),""))</f>
        <v/>
      </c>
      <c r="Q9" s="40" t="n">
        <v>5</v>
      </c>
      <c r="R9" s="22" t="n">
        <v>3.6</v>
      </c>
      <c r="S9" s="22" t="n">
        <v>4.1</v>
      </c>
      <c r="T9" s="22" t="n">
        <v>4.3</v>
      </c>
      <c r="U9" s="22" t="n">
        <v>3.9</v>
      </c>
      <c r="V9" s="22" t="n">
        <v>4.7</v>
      </c>
      <c r="W9" s="22" t="n">
        <v>4.7</v>
      </c>
      <c r="X9" s="22" t="n">
        <v>3.6</v>
      </c>
      <c r="Y9" s="22" t="n">
        <v>3.3</v>
      </c>
      <c r="Z9" s="22" t="n">
        <v>3.2</v>
      </c>
      <c r="AA9" s="45">
        <f>IF(MAESTRO!F9="","",IFERROR(TRUNC(AVERAGE(R9:Z9),1),""))</f>
        <v/>
      </c>
      <c r="AB9" s="177" t="n">
        <v>3</v>
      </c>
      <c r="AC9" s="42" t="n">
        <v>4.3</v>
      </c>
      <c r="AD9" s="5">
        <f>IF(MAESTRO!F9="","",IFERROR(AVERAGE(AB9:AC9),""))</f>
        <v/>
      </c>
      <c r="AE9" s="44">
        <f>IF(MAESTRO!F9="","",IFERROR(TRUNC(AVERAGE(P9,AA9,AD9),1),""))</f>
        <v/>
      </c>
      <c r="AF9" s="177" t="n"/>
      <c r="AG9" s="177" t="n">
        <v>5</v>
      </c>
      <c r="AH9" s="177" t="n">
        <v>5</v>
      </c>
      <c r="AI9" s="177">
        <f>IF(MAESTRO!F9="","",MAESTRO!F9)</f>
        <v/>
      </c>
      <c r="AJ9" s="178" t="n"/>
      <c r="AK9" s="61" t="n">
        <v>3.5</v>
      </c>
      <c r="AL9" s="61" t="n">
        <v>3.7</v>
      </c>
      <c r="AM9" s="61" t="n">
        <v>4.8</v>
      </c>
      <c r="AN9" s="61" t="n">
        <v>4.3</v>
      </c>
      <c r="AO9" s="61" t="n">
        <v>3.8</v>
      </c>
      <c r="AP9" s="61" t="n">
        <v>3.5</v>
      </c>
      <c r="AQ9" s="61" t="n">
        <v>4.1</v>
      </c>
      <c r="AR9" s="61" t="n">
        <v>4.2</v>
      </c>
      <c r="AS9" s="61" t="n">
        <v>4.6</v>
      </c>
      <c r="AT9" s="61" t="n">
        <v>3.7</v>
      </c>
      <c r="AU9" s="61" t="n">
        <v>3.5</v>
      </c>
      <c r="AV9" s="61" t="n">
        <v>3.7</v>
      </c>
      <c r="AW9" s="5">
        <f>IF(MAESTRO!F9="","",IFERROR(TRUNC(AVERAGE(AK9:AV9),1),""))</f>
        <v/>
      </c>
      <c r="AX9" s="22" t="n">
        <v>4.5</v>
      </c>
      <c r="AY9" s="22" t="n">
        <v>3.5</v>
      </c>
      <c r="AZ9" s="22" t="n">
        <v>3.5</v>
      </c>
      <c r="BA9" s="22" t="n">
        <v>3.7</v>
      </c>
      <c r="BB9" s="22" t="n">
        <v>3.1</v>
      </c>
      <c r="BC9" s="22" t="n">
        <v>4.6</v>
      </c>
      <c r="BD9" s="22" t="n">
        <v>3.3</v>
      </c>
      <c r="BE9" s="22" t="n">
        <v>3.2</v>
      </c>
      <c r="BF9" s="22" t="n">
        <v>4.8</v>
      </c>
      <c r="BG9" s="52" t="n">
        <v>3.2</v>
      </c>
      <c r="BH9" s="5">
        <f>IF(MAESTRO!F9="","",IFERROR(TRUNC(AVERAGE(AX9:BG9),1),""))</f>
        <v/>
      </c>
      <c r="BI9" s="22" t="n">
        <v>4.8</v>
      </c>
      <c r="BJ9" s="22" t="n">
        <v>4.5</v>
      </c>
      <c r="BK9" s="22">
        <f>IF(MAESTRO!F9="","",IFERROR(AVERAGE(BI9:BJ9),""))</f>
        <v/>
      </c>
      <c r="BL9" s="5">
        <f>IF(MAESTRO!F9="","",IFERROR(TRUNC(AVERAGE(AW9,BH9),1),""))</f>
        <v/>
      </c>
      <c r="BM9" s="177" t="n"/>
      <c r="BN9" s="177" t="n">
        <v>5</v>
      </c>
      <c r="BO9" s="177" t="n">
        <v>5</v>
      </c>
      <c r="BP9" s="177">
        <f>IF(MAESTRO!F9="","",MAESTRO!F9)</f>
        <v/>
      </c>
      <c r="BQ9" s="178" t="n"/>
      <c r="BR9" s="5" t="n">
        <v>4.4</v>
      </c>
      <c r="BS9" s="5" t="n">
        <v>3.6</v>
      </c>
      <c r="BT9" s="5" t="n">
        <v>4.3</v>
      </c>
      <c r="BU9" s="5" t="n">
        <v>4.6</v>
      </c>
      <c r="BV9" s="5" t="n">
        <v>3.3</v>
      </c>
      <c r="BW9" s="5" t="n">
        <v>4.1</v>
      </c>
      <c r="BX9" s="5" t="n">
        <v>3.5</v>
      </c>
      <c r="BY9" s="5" t="n">
        <v>3.7</v>
      </c>
      <c r="BZ9" s="5" t="n">
        <v>4.1</v>
      </c>
      <c r="CA9" s="5" t="n">
        <v>3.1</v>
      </c>
      <c r="CB9" s="5" t="n">
        <v>5</v>
      </c>
      <c r="CC9" s="5" t="n">
        <v>4.6</v>
      </c>
      <c r="CD9" s="5" t="n">
        <v>4.3</v>
      </c>
      <c r="CE9" s="5">
        <f>IF(MAESTRO!F9="","",IFERROR(TRUNC(AVERAGE(BR9:CD9),1),""))</f>
        <v/>
      </c>
      <c r="CF9" s="5" t="n">
        <v>4.7</v>
      </c>
      <c r="CG9" s="5" t="n">
        <v>3.2</v>
      </c>
      <c r="CH9" s="5" t="n">
        <v>3.9</v>
      </c>
      <c r="CI9" s="5" t="n">
        <v>4.4</v>
      </c>
      <c r="CJ9" s="5" t="n">
        <v>4.8</v>
      </c>
      <c r="CK9" s="5" t="n">
        <v>3.7</v>
      </c>
      <c r="CL9" s="5" t="n">
        <v>3.5</v>
      </c>
      <c r="CM9" s="5" t="n">
        <v>4.8</v>
      </c>
      <c r="CN9" s="5" t="n">
        <v>3.7</v>
      </c>
      <c r="CO9" s="5" t="n">
        <v>3.7</v>
      </c>
      <c r="CP9" s="5">
        <f>IF(MAESTRO!F9="","",IFERROR(TRUNC(AVERAGE(CF9:CO9),1),""))</f>
        <v/>
      </c>
      <c r="CQ9" s="5" t="n">
        <v>3.4</v>
      </c>
      <c r="CR9" s="5" t="n">
        <v>5</v>
      </c>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v>3.9</v>
      </c>
      <c r="D10" s="5" t="n">
        <v>4.1</v>
      </c>
      <c r="E10" s="5" t="n">
        <v>4.2</v>
      </c>
      <c r="F10" s="5" t="n">
        <v>4.8</v>
      </c>
      <c r="G10" s="5" t="n">
        <v>3.1</v>
      </c>
      <c r="H10" s="5" t="n">
        <v>4.7</v>
      </c>
      <c r="I10" s="5" t="n">
        <v>4.5</v>
      </c>
      <c r="J10" s="5" t="n">
        <v>4.8</v>
      </c>
      <c r="K10" s="5" t="n">
        <v>4.6</v>
      </c>
      <c r="L10" s="5" t="n">
        <v>4.5</v>
      </c>
      <c r="M10" s="5" t="n">
        <v>3.7</v>
      </c>
      <c r="N10" s="5" t="n">
        <v>4.3</v>
      </c>
      <c r="O10" s="5" t="n">
        <v>3.1</v>
      </c>
      <c r="P10" s="5">
        <f>IF(MAESTRO!F10="","",IFERROR(TRUNC(AVERAGE(C10:O10),1),""))</f>
        <v/>
      </c>
      <c r="Q10" s="40" t="n">
        <v>6</v>
      </c>
      <c r="R10" s="22" t="n">
        <v>4</v>
      </c>
      <c r="S10" s="22" t="n">
        <v>3.6</v>
      </c>
      <c r="T10" s="22" t="n">
        <v>5</v>
      </c>
      <c r="U10" s="22" t="n">
        <v>3.9</v>
      </c>
      <c r="V10" s="22" t="n">
        <v>4.8</v>
      </c>
      <c r="W10" s="22" t="n">
        <v>4.6</v>
      </c>
      <c r="X10" s="22" t="n">
        <v>3.3</v>
      </c>
      <c r="Y10" s="22" t="n">
        <v>4.1</v>
      </c>
      <c r="Z10" s="22" t="n">
        <v>4.3</v>
      </c>
      <c r="AA10" s="45">
        <f>IF(MAESTRO!F10="","",IFERROR(TRUNC(AVERAGE(R10:Z10),1),""))</f>
        <v/>
      </c>
      <c r="AB10" s="177" t="n">
        <v>4.5</v>
      </c>
      <c r="AC10" s="42" t="n">
        <v>4</v>
      </c>
      <c r="AD10" s="5">
        <f>IF(MAESTRO!F10="","",IFERROR(AVERAGE(AB10:AC10),""))</f>
        <v/>
      </c>
      <c r="AE10" s="44">
        <f>IF(MAESTRO!F10="","",IFERROR(TRUNC(AVERAGE(P10,AA10,AD10),1),""))</f>
        <v/>
      </c>
      <c r="AF10" s="177" t="n"/>
      <c r="AG10" s="177" t="n">
        <v>6</v>
      </c>
      <c r="AH10" s="177" t="n">
        <v>6</v>
      </c>
      <c r="AI10" s="177">
        <f>IF(MAESTRO!F10="","",MAESTRO!F10)</f>
        <v/>
      </c>
      <c r="AJ10" s="178" t="n"/>
      <c r="AK10" s="61" t="n">
        <v>3.2</v>
      </c>
      <c r="AL10" s="61" t="n">
        <v>3.9</v>
      </c>
      <c r="AM10" s="61" t="n">
        <v>3.8</v>
      </c>
      <c r="AN10" s="61" t="n">
        <v>3.3</v>
      </c>
      <c r="AO10" s="61" t="n">
        <v>4.9</v>
      </c>
      <c r="AP10" s="61" t="n">
        <v>3.9</v>
      </c>
      <c r="AQ10" s="61" t="n">
        <v>4.6</v>
      </c>
      <c r="AR10" s="61" t="n">
        <v>3.8</v>
      </c>
      <c r="AS10" s="61" t="n">
        <v>4.5</v>
      </c>
      <c r="AT10" s="61" t="n">
        <v>4.4</v>
      </c>
      <c r="AU10" s="61" t="n">
        <v>4.9</v>
      </c>
      <c r="AV10" s="61" t="n">
        <v>4.7</v>
      </c>
      <c r="AW10" s="5">
        <f>IF(MAESTRO!F10="","",IFERROR(TRUNC(AVERAGE(AK10:AV10),1),""))</f>
        <v/>
      </c>
      <c r="AX10" s="22" t="n">
        <v>3.8</v>
      </c>
      <c r="AY10" s="22" t="n">
        <v>3.1</v>
      </c>
      <c r="AZ10" s="22" t="n">
        <v>3.3</v>
      </c>
      <c r="BA10" s="22" t="n">
        <v>4.9</v>
      </c>
      <c r="BB10" s="22" t="n">
        <v>3.1</v>
      </c>
      <c r="BC10" s="22" t="n">
        <v>3.2</v>
      </c>
      <c r="BD10" s="22" t="n">
        <v>3.4</v>
      </c>
      <c r="BE10" s="22" t="n">
        <v>4.7</v>
      </c>
      <c r="BF10" s="22" t="n">
        <v>3.7</v>
      </c>
      <c r="BG10" s="52" t="n">
        <v>4.4</v>
      </c>
      <c r="BH10" s="5">
        <f>IF(MAESTRO!F10="","",IFERROR(TRUNC(AVERAGE(AX10:BG10),1),""))</f>
        <v/>
      </c>
      <c r="BI10" s="22" t="n">
        <v>3.8</v>
      </c>
      <c r="BJ10" s="22" t="n">
        <v>4</v>
      </c>
      <c r="BK10" s="22">
        <f>IF(MAESTRO!F10="","",IFERROR(AVERAGE(BI10:BJ10),""))</f>
        <v/>
      </c>
      <c r="BL10" s="5">
        <f>IF(MAESTRO!F10="","",IFERROR(TRUNC(AVERAGE(AW10,BH10),1),""))</f>
        <v/>
      </c>
      <c r="BM10" s="177" t="n"/>
      <c r="BN10" s="177" t="n">
        <v>6</v>
      </c>
      <c r="BO10" s="177" t="n">
        <v>6</v>
      </c>
      <c r="BP10" s="177">
        <f>IF(MAESTRO!F10="","",MAESTRO!F10)</f>
        <v/>
      </c>
      <c r="BQ10" s="178" t="n"/>
      <c r="BR10" s="5" t="n">
        <v>4.4</v>
      </c>
      <c r="BS10" s="5" t="n">
        <v>3.8</v>
      </c>
      <c r="BT10" s="5" t="n">
        <v>4</v>
      </c>
      <c r="BU10" s="5" t="n">
        <v>3.6</v>
      </c>
      <c r="BV10" s="5" t="n">
        <v>5</v>
      </c>
      <c r="BW10" s="5" t="n">
        <v>4.4</v>
      </c>
      <c r="BX10" s="5" t="n">
        <v>3.2</v>
      </c>
      <c r="BY10" s="5" t="n">
        <v>3.3</v>
      </c>
      <c r="BZ10" s="5" t="n">
        <v>5</v>
      </c>
      <c r="CA10" s="5" t="n">
        <v>3.4</v>
      </c>
      <c r="CB10" s="5" t="n">
        <v>3.9</v>
      </c>
      <c r="CC10" s="5" t="n">
        <v>4.8</v>
      </c>
      <c r="CD10" s="5" t="n">
        <v>3.1</v>
      </c>
      <c r="CE10" s="5">
        <f>IF(MAESTRO!F10="","",IFERROR(TRUNC(AVERAGE(BR10:CD10),1),""))</f>
        <v/>
      </c>
      <c r="CF10" s="5" t="n">
        <v>3.8</v>
      </c>
      <c r="CG10" s="5" t="n">
        <v>3.2</v>
      </c>
      <c r="CH10" s="5" t="n">
        <v>4.3</v>
      </c>
      <c r="CI10" s="5" t="n">
        <v>3.8</v>
      </c>
      <c r="CJ10" s="5" t="n">
        <v>3.4</v>
      </c>
      <c r="CK10" s="5" t="n">
        <v>4.8</v>
      </c>
      <c r="CL10" s="5" t="n">
        <v>3.5</v>
      </c>
      <c r="CM10" s="5" t="n">
        <v>3.5</v>
      </c>
      <c r="CN10" s="5" t="n">
        <v>3</v>
      </c>
      <c r="CO10" s="5" t="n">
        <v>3.8</v>
      </c>
      <c r="CP10" s="5">
        <f>IF(MAESTRO!F10="","",IFERROR(TRUNC(AVERAGE(CF10:CO10),1),""))</f>
        <v/>
      </c>
      <c r="CQ10" s="5" t="n">
        <v>4.3</v>
      </c>
      <c r="CR10" s="5" t="n">
        <v>4.5</v>
      </c>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v>3.9</v>
      </c>
      <c r="D11" s="5" t="n">
        <v>4.3</v>
      </c>
      <c r="E11" s="5" t="n">
        <v>4</v>
      </c>
      <c r="F11" s="5" t="n">
        <v>3</v>
      </c>
      <c r="G11" s="5" t="n">
        <v>3.3</v>
      </c>
      <c r="H11" s="5" t="n">
        <v>3.8</v>
      </c>
      <c r="I11" s="5" t="n">
        <v>3</v>
      </c>
      <c r="J11" s="5" t="n">
        <v>4.5</v>
      </c>
      <c r="K11" s="5" t="n">
        <v>5</v>
      </c>
      <c r="L11" s="5" t="n">
        <v>4.6</v>
      </c>
      <c r="M11" s="5" t="n">
        <v>4.3</v>
      </c>
      <c r="N11" s="5" t="n">
        <v>4.7</v>
      </c>
      <c r="O11" s="5" t="n">
        <v>4.6</v>
      </c>
      <c r="P11" s="5">
        <f>IF(MAESTRO!F11="","",IFERROR(TRUNC(AVERAGE(C11:O11),1),""))</f>
        <v/>
      </c>
      <c r="Q11" s="40" t="n">
        <v>7</v>
      </c>
      <c r="R11" s="22" t="n">
        <v>3.8</v>
      </c>
      <c r="S11" s="22" t="n">
        <v>5</v>
      </c>
      <c r="T11" s="22" t="n">
        <v>5</v>
      </c>
      <c r="U11" s="22" t="n">
        <v>4</v>
      </c>
      <c r="V11" s="22" t="n">
        <v>4.2</v>
      </c>
      <c r="W11" s="22" t="n">
        <v>3.4</v>
      </c>
      <c r="X11" s="22" t="n">
        <v>4.5</v>
      </c>
      <c r="Y11" s="22" t="n">
        <v>3.5</v>
      </c>
      <c r="Z11" s="22" t="n">
        <v>4.4</v>
      </c>
      <c r="AA11" s="45">
        <f>IF(MAESTRO!F11="","",IFERROR(TRUNC(AVERAGE(R11:Z11),1),""))</f>
        <v/>
      </c>
      <c r="AB11" s="177" t="n">
        <v>3.7</v>
      </c>
      <c r="AC11" s="42" t="n">
        <v>4.5</v>
      </c>
      <c r="AD11" s="5">
        <f>IF(MAESTRO!F11="","",IFERROR(AVERAGE(AB11:AC11),""))</f>
        <v/>
      </c>
      <c r="AE11" s="44">
        <f>IF(MAESTRO!F11="","",IFERROR(TRUNC(AVERAGE(P11,AA11,AD11),1),""))</f>
        <v/>
      </c>
      <c r="AF11" s="177" t="n"/>
      <c r="AG11" s="177" t="n">
        <v>7</v>
      </c>
      <c r="AH11" s="177" t="n">
        <v>7</v>
      </c>
      <c r="AI11" s="177">
        <f>IF(MAESTRO!F11="","",MAESTRO!F11)</f>
        <v/>
      </c>
      <c r="AJ11" s="178" t="n"/>
      <c r="AK11" s="61" t="n">
        <v>4.4</v>
      </c>
      <c r="AL11" s="61" t="n">
        <v>4.6</v>
      </c>
      <c r="AM11" s="61" t="n">
        <v>4.6</v>
      </c>
      <c r="AN11" s="61" t="n">
        <v>3.7</v>
      </c>
      <c r="AO11" s="61" t="n">
        <v>3.7</v>
      </c>
      <c r="AP11" s="61" t="n">
        <v>3.3</v>
      </c>
      <c r="AQ11" s="61" t="n">
        <v>4.1</v>
      </c>
      <c r="AR11" s="61" t="n">
        <v>3.8</v>
      </c>
      <c r="AS11" s="61" t="n">
        <v>4.3</v>
      </c>
      <c r="AT11" s="61" t="n">
        <v>4.2</v>
      </c>
      <c r="AU11" s="61" t="n">
        <v>3.4</v>
      </c>
      <c r="AV11" s="61" t="n">
        <v>4.3</v>
      </c>
      <c r="AW11" s="5">
        <f>IF(MAESTRO!F11="","",IFERROR(TRUNC(AVERAGE(AK11:AV11),1),""))</f>
        <v/>
      </c>
      <c r="AX11" s="22" t="n">
        <v>3.6</v>
      </c>
      <c r="AY11" s="22" t="n">
        <v>4.4</v>
      </c>
      <c r="AZ11" s="22" t="n">
        <v>4.1</v>
      </c>
      <c r="BA11" s="22" t="n">
        <v>3</v>
      </c>
      <c r="BB11" s="22" t="n">
        <v>4.8</v>
      </c>
      <c r="BC11" s="22" t="n">
        <v>4.8</v>
      </c>
      <c r="BD11" s="22" t="n">
        <v>3.2</v>
      </c>
      <c r="BE11" s="22" t="n">
        <v>4</v>
      </c>
      <c r="BF11" s="22" t="n">
        <v>3.9</v>
      </c>
      <c r="BG11" s="52" t="n">
        <v>3.7</v>
      </c>
      <c r="BH11" s="5">
        <f>IF(MAESTRO!F11="","",IFERROR(TRUNC(AVERAGE(AX11:BG11),1),""))</f>
        <v/>
      </c>
      <c r="BI11" s="22" t="n">
        <v>3.9</v>
      </c>
      <c r="BJ11" s="22" t="n">
        <v>3.8</v>
      </c>
      <c r="BK11" s="22">
        <f>IF(MAESTRO!F11="","",IFERROR(AVERAGE(BI11:BJ11),""))</f>
        <v/>
      </c>
      <c r="BL11" s="5">
        <f>IF(MAESTRO!F11="","",IFERROR(TRUNC(AVERAGE(AW11,BH11),1),""))</f>
        <v/>
      </c>
      <c r="BM11" s="177" t="n"/>
      <c r="BN11" s="177" t="n">
        <v>7</v>
      </c>
      <c r="BO11" s="177" t="n">
        <v>7</v>
      </c>
      <c r="BP11" s="177">
        <f>IF(MAESTRO!F11="","",MAESTRO!F11)</f>
        <v/>
      </c>
      <c r="BQ11" s="178" t="n"/>
      <c r="BR11" s="5" t="n">
        <v>4.2</v>
      </c>
      <c r="BS11" s="5" t="n">
        <v>4.3</v>
      </c>
      <c r="BT11" s="5" t="n">
        <v>3.8</v>
      </c>
      <c r="BU11" s="5" t="n">
        <v>4.9</v>
      </c>
      <c r="BV11" s="5" t="n">
        <v>3</v>
      </c>
      <c r="BW11" s="5" t="n">
        <v>4.6</v>
      </c>
      <c r="BX11" s="5" t="n">
        <v>4.8</v>
      </c>
      <c r="BY11" s="5" t="n">
        <v>4.7</v>
      </c>
      <c r="BZ11" s="5" t="n">
        <v>3</v>
      </c>
      <c r="CA11" s="5" t="n">
        <v>4.5</v>
      </c>
      <c r="CB11" s="5" t="n">
        <v>3.9</v>
      </c>
      <c r="CC11" s="5" t="n">
        <v>4.1</v>
      </c>
      <c r="CD11" s="5" t="n">
        <v>4.7</v>
      </c>
      <c r="CE11" s="5">
        <f>IF(MAESTRO!F11="","",IFERROR(TRUNC(AVERAGE(BR11:CD11),1),""))</f>
        <v/>
      </c>
      <c r="CF11" s="5" t="n">
        <v>4.1</v>
      </c>
      <c r="CG11" s="5" t="n">
        <v>4.9</v>
      </c>
      <c r="CH11" s="5" t="n">
        <v>4.2</v>
      </c>
      <c r="CI11" s="5" t="n">
        <v>4.6</v>
      </c>
      <c r="CJ11" s="5" t="n">
        <v>4.9</v>
      </c>
      <c r="CK11" s="5" t="n">
        <v>3.1</v>
      </c>
      <c r="CL11" s="5" t="n">
        <v>4.4</v>
      </c>
      <c r="CM11" s="5" t="n">
        <v>4.1</v>
      </c>
      <c r="CN11" s="5" t="n">
        <v>4.1</v>
      </c>
      <c r="CO11" s="5" t="n">
        <v>3.6</v>
      </c>
      <c r="CP11" s="5">
        <f>IF(MAESTRO!F11="","",IFERROR(TRUNC(AVERAGE(CF11:CO11),1),""))</f>
        <v/>
      </c>
      <c r="CQ11" s="5" t="n">
        <v>3.6</v>
      </c>
      <c r="CR11" s="5" t="n">
        <v>4.8</v>
      </c>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v>4.5</v>
      </c>
      <c r="D12" s="5" t="n">
        <v>4.9</v>
      </c>
      <c r="E12" s="5" t="n">
        <v>4.9</v>
      </c>
      <c r="F12" s="5" t="n">
        <v>4.5</v>
      </c>
      <c r="G12" s="5" t="n">
        <v>4.1</v>
      </c>
      <c r="H12" s="5" t="n">
        <v>3.5</v>
      </c>
      <c r="I12" s="5" t="n">
        <v>3.2</v>
      </c>
      <c r="J12" s="5" t="n">
        <v>3.2</v>
      </c>
      <c r="K12" s="5" t="n">
        <v>3.9</v>
      </c>
      <c r="L12" s="5" t="n">
        <v>4.2</v>
      </c>
      <c r="M12" s="5" t="n">
        <v>4.8</v>
      </c>
      <c r="N12" s="5" t="n">
        <v>4.1</v>
      </c>
      <c r="O12" s="5" t="n">
        <v>4.1</v>
      </c>
      <c r="P12" s="5">
        <f>IF(MAESTRO!F12="","",IFERROR(TRUNC(AVERAGE(C12:O12),1),""))</f>
        <v/>
      </c>
      <c r="Q12" s="40" t="n">
        <v>8</v>
      </c>
      <c r="R12" s="22" t="n">
        <v>4.6</v>
      </c>
      <c r="S12" s="22" t="n">
        <v>3.5</v>
      </c>
      <c r="T12" s="22" t="n">
        <v>4.8</v>
      </c>
      <c r="U12" s="22" t="n">
        <v>3.4</v>
      </c>
      <c r="V12" s="22" t="n">
        <v>4.5</v>
      </c>
      <c r="W12" s="22" t="n">
        <v>3.4</v>
      </c>
      <c r="X12" s="22" t="n">
        <v>3.1</v>
      </c>
      <c r="Y12" s="22" t="n">
        <v>4.3</v>
      </c>
      <c r="Z12" s="22" t="n">
        <v>3.2</v>
      </c>
      <c r="AA12" s="45">
        <f>IF(MAESTRO!F12="","",IFERROR(TRUNC(AVERAGE(R12:Z12),1),""))</f>
        <v/>
      </c>
      <c r="AB12" s="177" t="n">
        <v>4.7</v>
      </c>
      <c r="AC12" s="42" t="n">
        <v>3.5</v>
      </c>
      <c r="AD12" s="5">
        <f>IF(MAESTRO!F12="","",IFERROR(AVERAGE(AB12:AC12),""))</f>
        <v/>
      </c>
      <c r="AE12" s="44">
        <f>IF(MAESTRO!F12="","",IFERROR(TRUNC(AVERAGE(P12,AA12,AD12),1),""))</f>
        <v/>
      </c>
      <c r="AF12" s="177" t="n"/>
      <c r="AG12" s="177" t="n">
        <v>8</v>
      </c>
      <c r="AH12" s="177" t="n">
        <v>8</v>
      </c>
      <c r="AI12" s="177">
        <f>IF(MAESTRO!F12="","",MAESTRO!F12)</f>
        <v/>
      </c>
      <c r="AJ12" s="178" t="n"/>
      <c r="AK12" s="61" t="n">
        <v>4.7</v>
      </c>
      <c r="AL12" s="61" t="n">
        <v>4.9</v>
      </c>
      <c r="AM12" s="61" t="n">
        <v>4.3</v>
      </c>
      <c r="AN12" s="61" t="n">
        <v>3.1</v>
      </c>
      <c r="AO12" s="61" t="n">
        <v>4.9</v>
      </c>
      <c r="AP12" s="61" t="n">
        <v>3.2</v>
      </c>
      <c r="AQ12" s="61" t="n">
        <v>3.1</v>
      </c>
      <c r="AR12" s="61" t="n">
        <v>3.5</v>
      </c>
      <c r="AS12" s="61" t="n">
        <v>4.9</v>
      </c>
      <c r="AT12" s="61" t="n">
        <v>4.2</v>
      </c>
      <c r="AU12" s="61" t="n">
        <v>4.6</v>
      </c>
      <c r="AV12" s="61" t="n">
        <v>4</v>
      </c>
      <c r="AW12" s="5">
        <f>IF(MAESTRO!F12="","",IFERROR(TRUNC(AVERAGE(AK12:AV12),1),""))</f>
        <v/>
      </c>
      <c r="AX12" s="22" t="n">
        <v>3.4</v>
      </c>
      <c r="AY12" s="22" t="n">
        <v>4.3</v>
      </c>
      <c r="AZ12" s="22" t="n">
        <v>3.1</v>
      </c>
      <c r="BA12" s="22" t="n">
        <v>4.6</v>
      </c>
      <c r="BB12" s="22" t="n">
        <v>3.5</v>
      </c>
      <c r="BC12" s="22" t="n">
        <v>3.1</v>
      </c>
      <c r="BD12" s="22" t="n">
        <v>4.6</v>
      </c>
      <c r="BE12" s="22" t="n">
        <v>3.4</v>
      </c>
      <c r="BF12" s="22" t="n">
        <v>3.9</v>
      </c>
      <c r="BG12" s="52" t="n">
        <v>4.2</v>
      </c>
      <c r="BH12" s="5">
        <f>IF(MAESTRO!F12="","",IFERROR(TRUNC(AVERAGE(AX12:BG12),1),""))</f>
        <v/>
      </c>
      <c r="BI12" s="22" t="n">
        <v>4.2</v>
      </c>
      <c r="BJ12" s="22" t="n">
        <v>4.9</v>
      </c>
      <c r="BK12" s="22">
        <f>IF(MAESTRO!F12="","",IFERROR(AVERAGE(BI12:BJ12),""))</f>
        <v/>
      </c>
      <c r="BL12" s="5">
        <f>IF(MAESTRO!F12="","",IFERROR(TRUNC(AVERAGE(AW12,BH12),1),""))</f>
        <v/>
      </c>
      <c r="BM12" s="177" t="n"/>
      <c r="BN12" s="177" t="n">
        <v>8</v>
      </c>
      <c r="BO12" s="177" t="n">
        <v>8</v>
      </c>
      <c r="BP12" s="177">
        <f>IF(MAESTRO!F12="","",MAESTRO!F12)</f>
        <v/>
      </c>
      <c r="BQ12" s="178" t="n"/>
      <c r="BR12" s="5" t="n">
        <v>3.2</v>
      </c>
      <c r="BS12" s="5" t="n">
        <v>3.5</v>
      </c>
      <c r="BT12" s="5" t="n">
        <v>3.4</v>
      </c>
      <c r="BU12" s="5" t="n">
        <v>4.5</v>
      </c>
      <c r="BV12" s="5" t="n">
        <v>3.4</v>
      </c>
      <c r="BW12" s="5" t="n">
        <v>4.3</v>
      </c>
      <c r="BX12" s="5" t="n">
        <v>4.3</v>
      </c>
      <c r="BY12" s="5" t="n">
        <v>4.6</v>
      </c>
      <c r="BZ12" s="5" t="n">
        <v>4.1</v>
      </c>
      <c r="CA12" s="5" t="n">
        <v>4.8</v>
      </c>
      <c r="CB12" s="5" t="n">
        <v>4.1</v>
      </c>
      <c r="CC12" s="5" t="n">
        <v>3.1</v>
      </c>
      <c r="CD12" s="5" t="n">
        <v>3</v>
      </c>
      <c r="CE12" s="5">
        <f>IF(MAESTRO!F12="","",IFERROR(TRUNC(AVERAGE(BR12:CD12),1),""))</f>
        <v/>
      </c>
      <c r="CF12" s="5" t="n">
        <v>4.9</v>
      </c>
      <c r="CG12" s="5" t="n">
        <v>3.4</v>
      </c>
      <c r="CH12" s="5" t="n">
        <v>3.4</v>
      </c>
      <c r="CI12" s="5" t="n">
        <v>4.2</v>
      </c>
      <c r="CJ12" s="5" t="n">
        <v>4.1</v>
      </c>
      <c r="CK12" s="5" t="n">
        <v>4.9</v>
      </c>
      <c r="CL12" s="5" t="n">
        <v>3</v>
      </c>
      <c r="CM12" s="5" t="n">
        <v>3.8</v>
      </c>
      <c r="CN12" s="5" t="n">
        <v>3.1</v>
      </c>
      <c r="CO12" s="5" t="n">
        <v>5</v>
      </c>
      <c r="CP12" s="5">
        <f>IF(MAESTRO!F12="","",IFERROR(TRUNC(AVERAGE(CF12:CO12),1),""))</f>
        <v/>
      </c>
      <c r="CQ12" s="5" t="n">
        <v>3.7</v>
      </c>
      <c r="CR12" s="5" t="n">
        <v>3.6</v>
      </c>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v>4.9</v>
      </c>
      <c r="D13" s="5" t="n">
        <v>3.3</v>
      </c>
      <c r="E13" s="5" t="n">
        <v>3.9</v>
      </c>
      <c r="F13" s="5" t="n">
        <v>3.8</v>
      </c>
      <c r="G13" s="5" t="n">
        <v>3.3</v>
      </c>
      <c r="H13" s="5" t="n">
        <v>3.3</v>
      </c>
      <c r="I13" s="5" t="n">
        <v>4.9</v>
      </c>
      <c r="J13" s="5" t="n">
        <v>3.9</v>
      </c>
      <c r="K13" s="5" t="n">
        <v>3.8</v>
      </c>
      <c r="L13" s="5" t="n">
        <v>3.8</v>
      </c>
      <c r="M13" s="5" t="n">
        <v>4.5</v>
      </c>
      <c r="N13" s="5" t="n">
        <v>3.8</v>
      </c>
      <c r="O13" s="5" t="n">
        <v>3.4</v>
      </c>
      <c r="P13" s="5">
        <f>IF(MAESTRO!F13="","",IFERROR(TRUNC(AVERAGE(C13:O13),1),""))</f>
        <v/>
      </c>
      <c r="Q13" s="40" t="n">
        <v>9</v>
      </c>
      <c r="R13" s="22" t="n">
        <v>3.9</v>
      </c>
      <c r="S13" s="5" t="n">
        <v>3.6</v>
      </c>
      <c r="T13" s="5" t="n">
        <v>4.2</v>
      </c>
      <c r="U13" s="5" t="n">
        <v>3.3</v>
      </c>
      <c r="V13" s="5" t="n">
        <v>3.1</v>
      </c>
      <c r="W13" s="5" t="n">
        <v>3.5</v>
      </c>
      <c r="X13" s="5" t="n">
        <v>4.5</v>
      </c>
      <c r="Y13" s="5" t="n">
        <v>4.4</v>
      </c>
      <c r="Z13" s="5" t="n">
        <v>3.7</v>
      </c>
      <c r="AA13" s="45">
        <f>IF(MAESTRO!F13="","",IFERROR(TRUNC(AVERAGE(R13:Z13),1),""))</f>
        <v/>
      </c>
      <c r="AB13" s="5" t="n">
        <v>4.6</v>
      </c>
      <c r="AC13" s="5" t="n">
        <v>4.2</v>
      </c>
      <c r="AD13" s="5">
        <f>IF(MAESTRO!F13="","",IFERROR(AVERAGE(AB13:AC13),""))</f>
        <v/>
      </c>
      <c r="AE13" s="44">
        <f>IF(MAESTRO!F13="","",IFERROR(TRUNC(AVERAGE(P13,AA13,AD13),1),""))</f>
        <v/>
      </c>
      <c r="AF13" s="177" t="n"/>
      <c r="AG13" s="177" t="n">
        <v>9</v>
      </c>
      <c r="AH13" s="177" t="n">
        <v>9</v>
      </c>
      <c r="AI13" s="177">
        <f>IF(MAESTRO!F13="","",MAESTRO!F13)</f>
        <v/>
      </c>
      <c r="AJ13" s="178" t="n"/>
      <c r="AK13" s="42" t="n">
        <v>4.1</v>
      </c>
      <c r="AL13" s="42" t="n">
        <v>3.9</v>
      </c>
      <c r="AM13" s="42" t="n">
        <v>3.7</v>
      </c>
      <c r="AN13" s="42" t="n">
        <v>3.5</v>
      </c>
      <c r="AO13" s="42" t="n">
        <v>3.6</v>
      </c>
      <c r="AP13" s="42" t="n">
        <v>4.9</v>
      </c>
      <c r="AQ13" s="42" t="n">
        <v>3.7</v>
      </c>
      <c r="AR13" s="61" t="n">
        <v>3.8</v>
      </c>
      <c r="AS13" s="61" t="n">
        <v>4.7</v>
      </c>
      <c r="AT13" s="61" t="n">
        <v>3.5</v>
      </c>
      <c r="AU13" s="61" t="n">
        <v>3.3</v>
      </c>
      <c r="AV13" s="61" t="n">
        <v>3.7</v>
      </c>
      <c r="AW13" s="5">
        <f>IF(MAESTRO!F13="","",IFERROR(TRUNC(AVERAGE(AK13:AV13),1),""))</f>
        <v/>
      </c>
      <c r="AX13" s="63" t="n">
        <v>3.9</v>
      </c>
      <c r="AY13" s="22" t="n">
        <v>4.1</v>
      </c>
      <c r="AZ13" s="63" t="n">
        <v>4</v>
      </c>
      <c r="BA13" s="63" t="n">
        <v>4</v>
      </c>
      <c r="BB13" s="22" t="n">
        <v>4.4</v>
      </c>
      <c r="BC13" s="63" t="n">
        <v>3.5</v>
      </c>
      <c r="BD13" s="63" t="n">
        <v>4.5</v>
      </c>
      <c r="BE13" s="63" t="n">
        <v>4.9</v>
      </c>
      <c r="BF13" s="63" t="n">
        <v>3.5</v>
      </c>
      <c r="BG13" s="52" t="n">
        <v>4.1</v>
      </c>
      <c r="BH13" s="5">
        <f>IF(MAESTRO!F13="","",IFERROR(TRUNC(AVERAGE(AX13:BG13),1),""))</f>
        <v/>
      </c>
      <c r="BI13" s="22" t="n">
        <v>4.1</v>
      </c>
      <c r="BJ13" s="22" t="n">
        <v>4.1</v>
      </c>
      <c r="BK13" s="22">
        <f>IF(MAESTRO!F13="","",IFERROR(AVERAGE(BI13:BJ13),""))</f>
        <v/>
      </c>
      <c r="BL13" s="5">
        <f>IF(MAESTRO!F13="","",IFERROR(TRUNC(AVERAGE(AW13,BH13),1),""))</f>
        <v/>
      </c>
      <c r="BM13" s="177" t="n"/>
      <c r="BN13" s="177" t="n">
        <v>9</v>
      </c>
      <c r="BO13" s="177" t="n">
        <v>9</v>
      </c>
      <c r="BP13" s="177">
        <f>IF(MAESTRO!F13="","",MAESTRO!F13)</f>
        <v/>
      </c>
      <c r="BQ13" s="178" t="n"/>
      <c r="BR13" s="5" t="n">
        <v>4.5</v>
      </c>
      <c r="BS13" s="5" t="n">
        <v>3.4</v>
      </c>
      <c r="BT13" s="5" t="n">
        <v>3.9</v>
      </c>
      <c r="BU13" s="5" t="n">
        <v>4.5</v>
      </c>
      <c r="BV13" s="5" t="n">
        <v>4.5</v>
      </c>
      <c r="BW13" s="5" t="n">
        <v>4.1</v>
      </c>
      <c r="BX13" s="5" t="n">
        <v>3.3</v>
      </c>
      <c r="BY13" s="5" t="n">
        <v>3</v>
      </c>
      <c r="BZ13" s="5" t="n">
        <v>3.7</v>
      </c>
      <c r="CA13" s="5" t="n">
        <v>4.2</v>
      </c>
      <c r="CB13" s="5" t="n">
        <v>3.8</v>
      </c>
      <c r="CC13" s="5" t="n">
        <v>4.1</v>
      </c>
      <c r="CD13" s="5" t="n">
        <v>3.4</v>
      </c>
      <c r="CE13" s="5">
        <f>IF(MAESTRO!F13="","",IFERROR(TRUNC(AVERAGE(BR13:CD13),1),""))</f>
        <v/>
      </c>
      <c r="CF13" s="5" t="n">
        <v>3.6</v>
      </c>
      <c r="CG13" s="5" t="n">
        <v>3.3</v>
      </c>
      <c r="CH13" s="5" t="n">
        <v>3.4</v>
      </c>
      <c r="CI13" s="5" t="n">
        <v>4.3</v>
      </c>
      <c r="CJ13" s="5" t="n">
        <v>4.1</v>
      </c>
      <c r="CK13" s="5" t="n">
        <v>3.3</v>
      </c>
      <c r="CL13" s="5" t="n">
        <v>4.3</v>
      </c>
      <c r="CM13" s="5" t="n">
        <v>4.3</v>
      </c>
      <c r="CN13" s="5" t="n">
        <v>4.3</v>
      </c>
      <c r="CO13" s="5" t="n">
        <v>4.8</v>
      </c>
      <c r="CP13" s="5">
        <f>IF(MAESTRO!F13="","",IFERROR(TRUNC(AVERAGE(CF13:CO13),1),""))</f>
        <v/>
      </c>
      <c r="CQ13" s="5" t="n">
        <v>3.9</v>
      </c>
      <c r="CR13" s="5" t="n">
        <v>4.5</v>
      </c>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v>3.6</v>
      </c>
      <c r="D14" s="5" t="n">
        <v>5</v>
      </c>
      <c r="E14" s="5" t="n">
        <v>4.2</v>
      </c>
      <c r="F14" s="5" t="n">
        <v>3.9</v>
      </c>
      <c r="G14" s="5" t="n">
        <v>3</v>
      </c>
      <c r="H14" s="5" t="n">
        <v>3.5</v>
      </c>
      <c r="I14" s="5" t="n">
        <v>4.5</v>
      </c>
      <c r="J14" s="5" t="n">
        <v>3.9</v>
      </c>
      <c r="K14" s="5" t="n">
        <v>3.2</v>
      </c>
      <c r="L14" s="5" t="n">
        <v>3.5</v>
      </c>
      <c r="M14" s="5" t="n">
        <v>4.2</v>
      </c>
      <c r="N14" s="5" t="n">
        <v>3</v>
      </c>
      <c r="O14" s="5" t="n">
        <v>4.3</v>
      </c>
      <c r="P14" s="5">
        <f>IF(MAESTRO!F14="","",IFERROR(TRUNC(AVERAGE(C14:O14),1),""))</f>
        <v/>
      </c>
      <c r="Q14" s="40" t="n">
        <v>10</v>
      </c>
      <c r="R14" s="22" t="n">
        <v>4.6</v>
      </c>
      <c r="S14" s="22" t="n">
        <v>3.4</v>
      </c>
      <c r="T14" s="22" t="n">
        <v>3.9</v>
      </c>
      <c r="U14" s="22" t="n">
        <v>4.9</v>
      </c>
      <c r="V14" s="22" t="n">
        <v>3.9</v>
      </c>
      <c r="W14" s="22" t="n">
        <v>3.5</v>
      </c>
      <c r="X14" s="22" t="n">
        <v>4.7</v>
      </c>
      <c r="Y14" s="22" t="n">
        <v>3</v>
      </c>
      <c r="Z14" s="22" t="n">
        <v>4</v>
      </c>
      <c r="AA14" s="45">
        <f>IF(MAESTRO!F14="","",IFERROR(TRUNC(AVERAGE(R14:Z14),1),""))</f>
        <v/>
      </c>
      <c r="AB14" s="177" t="n">
        <v>3.3</v>
      </c>
      <c r="AC14" s="42" t="n">
        <v>4.3</v>
      </c>
      <c r="AD14" s="5">
        <f>IF(MAESTRO!F14="","",IFERROR(AVERAGE(AB14:AC14),""))</f>
        <v/>
      </c>
      <c r="AE14" s="44">
        <f>IF(MAESTRO!F14="","",IFERROR(TRUNC(AVERAGE(P14,AA14,AD14),1),""))</f>
        <v/>
      </c>
      <c r="AF14" s="177" t="n"/>
      <c r="AG14" s="177" t="n">
        <v>10</v>
      </c>
      <c r="AH14" s="177" t="n">
        <v>10</v>
      </c>
      <c r="AI14" s="177">
        <f>IF(MAESTRO!F14="","",MAESTRO!F14)</f>
        <v/>
      </c>
      <c r="AJ14" s="178" t="n"/>
      <c r="AK14" s="61" t="n">
        <v>4</v>
      </c>
      <c r="AL14" s="61" t="n">
        <v>4.6</v>
      </c>
      <c r="AM14" s="61" t="n">
        <v>3.9</v>
      </c>
      <c r="AN14" s="61" t="n">
        <v>4.4</v>
      </c>
      <c r="AO14" s="61" t="n">
        <v>3.7</v>
      </c>
      <c r="AP14" s="61" t="n">
        <v>3.1</v>
      </c>
      <c r="AQ14" s="61" t="n">
        <v>3.9</v>
      </c>
      <c r="AR14" s="61" t="n">
        <v>4.1</v>
      </c>
      <c r="AS14" s="61" t="n">
        <v>3.2</v>
      </c>
      <c r="AT14" s="61" t="n">
        <v>4.7</v>
      </c>
      <c r="AU14" s="61" t="n">
        <v>3.4</v>
      </c>
      <c r="AV14" s="61" t="n">
        <v>4.9</v>
      </c>
      <c r="AW14" s="5">
        <f>IF(MAESTRO!F14="","",IFERROR(TRUNC(AVERAGE(AK14:AV14),1),""))</f>
        <v/>
      </c>
      <c r="AX14" s="22" t="n">
        <v>4.9</v>
      </c>
      <c r="AY14" s="22" t="n">
        <v>3.8</v>
      </c>
      <c r="AZ14" s="22" t="n">
        <v>4.7</v>
      </c>
      <c r="BA14" s="22" t="n">
        <v>4</v>
      </c>
      <c r="BB14" s="22" t="n">
        <v>3.8</v>
      </c>
      <c r="BC14" s="22" t="n">
        <v>4.4</v>
      </c>
      <c r="BD14" s="22" t="n">
        <v>4.9</v>
      </c>
      <c r="BE14" s="22" t="n">
        <v>4.6</v>
      </c>
      <c r="BF14" s="22" t="n">
        <v>3</v>
      </c>
      <c r="BG14" s="52" t="n">
        <v>3.3</v>
      </c>
      <c r="BH14" s="5">
        <f>IF(MAESTRO!F14="","",IFERROR(TRUNC(AVERAGE(AX14:BG14),1),""))</f>
        <v/>
      </c>
      <c r="BI14" s="22" t="n">
        <v>4.1</v>
      </c>
      <c r="BJ14" s="22" t="n">
        <v>3.3</v>
      </c>
      <c r="BK14" s="22">
        <f>IF(MAESTRO!F14="","",IFERROR(AVERAGE(BI14:BJ14),""))</f>
        <v/>
      </c>
      <c r="BL14" s="5">
        <f>IF(MAESTRO!F14="","",IFERROR(TRUNC(AVERAGE(AW14,BH14),1),""))</f>
        <v/>
      </c>
      <c r="BM14" s="177" t="n"/>
      <c r="BN14" s="177" t="n">
        <v>10</v>
      </c>
      <c r="BO14" s="177" t="n">
        <v>10</v>
      </c>
      <c r="BP14" s="177">
        <f>IF(MAESTRO!F14="","",MAESTRO!F14)</f>
        <v/>
      </c>
      <c r="BQ14" s="178" t="n"/>
      <c r="BR14" s="5" t="n">
        <v>3.4</v>
      </c>
      <c r="BS14" s="5" t="n">
        <v>3.5</v>
      </c>
      <c r="BT14" s="5" t="n">
        <v>4.1</v>
      </c>
      <c r="BU14" s="5" t="n">
        <v>3.4</v>
      </c>
      <c r="BV14" s="5" t="n">
        <v>3.1</v>
      </c>
      <c r="BW14" s="5" t="n">
        <v>3.5</v>
      </c>
      <c r="BX14" s="5" t="n">
        <v>4.3</v>
      </c>
      <c r="BY14" s="5" t="n">
        <v>4.3</v>
      </c>
      <c r="BZ14" s="5" t="n">
        <v>3</v>
      </c>
      <c r="CA14" s="5" t="n">
        <v>4.3</v>
      </c>
      <c r="CB14" s="5" t="n">
        <v>3.9</v>
      </c>
      <c r="CC14" s="5" t="n">
        <v>3.5</v>
      </c>
      <c r="CD14" s="5" t="n">
        <v>3.7</v>
      </c>
      <c r="CE14" s="5">
        <f>IF(MAESTRO!F14="","",IFERROR(TRUNC(AVERAGE(BR14:CD14),1),""))</f>
        <v/>
      </c>
      <c r="CF14" s="5" t="n">
        <v>4.5</v>
      </c>
      <c r="CG14" s="5" t="n">
        <v>4.8</v>
      </c>
      <c r="CH14" s="5" t="n">
        <v>3.2</v>
      </c>
      <c r="CI14" s="5" t="n">
        <v>4.8</v>
      </c>
      <c r="CJ14" s="5" t="n">
        <v>3.4</v>
      </c>
      <c r="CK14" s="5" t="n">
        <v>4.5</v>
      </c>
      <c r="CL14" s="5" t="n">
        <v>4</v>
      </c>
      <c r="CM14" s="5" t="n">
        <v>5</v>
      </c>
      <c r="CN14" s="5" t="n">
        <v>4</v>
      </c>
      <c r="CO14" s="5" t="n">
        <v>3.4</v>
      </c>
      <c r="CP14" s="5">
        <f>IF(MAESTRO!F14="","",IFERROR(TRUNC(AVERAGE(CF14:CO14),1),""))</f>
        <v/>
      </c>
      <c r="CQ14" s="5" t="n">
        <v>3.8</v>
      </c>
      <c r="CR14" s="5" t="n">
        <v>4.9</v>
      </c>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v>3.9</v>
      </c>
      <c r="D15" s="5" t="n">
        <v>4.3</v>
      </c>
      <c r="E15" s="5" t="n">
        <v>4.5</v>
      </c>
      <c r="F15" s="5" t="n">
        <v>3.4</v>
      </c>
      <c r="G15" s="5" t="n">
        <v>4.1</v>
      </c>
      <c r="H15" s="5" t="n">
        <v>4.6</v>
      </c>
      <c r="I15" s="5" t="n">
        <v>3.3</v>
      </c>
      <c r="J15" s="5" t="n">
        <v>4.1</v>
      </c>
      <c r="K15" s="5" t="n">
        <v>3.1</v>
      </c>
      <c r="L15" s="5" t="n">
        <v>3.8</v>
      </c>
      <c r="M15" s="5" t="n">
        <v>3.3</v>
      </c>
      <c r="N15" s="5" t="n">
        <v>3.8</v>
      </c>
      <c r="O15" s="5" t="n">
        <v>4.3</v>
      </c>
      <c r="P15" s="5">
        <f>IF(MAESTRO!F15="","",IFERROR(TRUNC(AVERAGE(C15:O15),1),""))</f>
        <v/>
      </c>
      <c r="Q15" s="40" t="n">
        <v>11</v>
      </c>
      <c r="R15" s="22" t="n">
        <v>3.8</v>
      </c>
      <c r="S15" s="22" t="n">
        <v>3.8</v>
      </c>
      <c r="T15" s="22" t="n">
        <v>3.4</v>
      </c>
      <c r="U15" s="22" t="n">
        <v>4</v>
      </c>
      <c r="V15" s="22" t="n">
        <v>3.9</v>
      </c>
      <c r="W15" s="22" t="n">
        <v>4.4</v>
      </c>
      <c r="X15" s="22" t="n">
        <v>3.6</v>
      </c>
      <c r="Y15" s="22" t="n">
        <v>4.1</v>
      </c>
      <c r="Z15" s="22" t="n">
        <v>4.2</v>
      </c>
      <c r="AA15" s="45">
        <f>IF(MAESTRO!F15="","",IFERROR(TRUNC(AVERAGE(R15:Z15),1),""))</f>
        <v/>
      </c>
      <c r="AB15" s="177" t="n">
        <v>3.1</v>
      </c>
      <c r="AC15" s="42" t="n">
        <v>3.8</v>
      </c>
      <c r="AD15" s="5">
        <f>IF(MAESTRO!F15="","",IFERROR(AVERAGE(AB15:AC15),""))</f>
        <v/>
      </c>
      <c r="AE15" s="44">
        <f>IF(MAESTRO!F15="","",IFERROR(TRUNC(AVERAGE(P15,AA15,AD15),1),""))</f>
        <v/>
      </c>
      <c r="AF15" s="177" t="n"/>
      <c r="AG15" s="177" t="n">
        <v>11</v>
      </c>
      <c r="AH15" s="177" t="n">
        <v>11</v>
      </c>
      <c r="AI15" s="177">
        <f>IF(MAESTRO!F15="","",MAESTRO!F15)</f>
        <v/>
      </c>
      <c r="AJ15" s="178" t="n"/>
      <c r="AK15" s="61" t="n">
        <v>4.4</v>
      </c>
      <c r="AL15" s="61" t="n">
        <v>3.3</v>
      </c>
      <c r="AM15" s="61" t="n">
        <v>4.9</v>
      </c>
      <c r="AN15" s="61" t="n">
        <v>3.5</v>
      </c>
      <c r="AO15" s="61" t="n">
        <v>4.9</v>
      </c>
      <c r="AP15" s="61" t="n">
        <v>3.2</v>
      </c>
      <c r="AQ15" s="61" t="n">
        <v>4.6</v>
      </c>
      <c r="AR15" s="61" t="n">
        <v>4.1</v>
      </c>
      <c r="AS15" s="61" t="n">
        <v>4.6</v>
      </c>
      <c r="AT15" s="61" t="n">
        <v>3.6</v>
      </c>
      <c r="AU15" s="61" t="n">
        <v>4.9</v>
      </c>
      <c r="AV15" s="61" t="n">
        <v>4.9</v>
      </c>
      <c r="AW15" s="5">
        <f>IF(MAESTRO!F15="","",IFERROR(TRUNC(AVERAGE(AK15:AV15),1),""))</f>
        <v/>
      </c>
      <c r="AX15" s="22" t="n">
        <v>4.8</v>
      </c>
      <c r="AY15" s="22" t="n">
        <v>4.4</v>
      </c>
      <c r="AZ15" s="22" t="n">
        <v>4.2</v>
      </c>
      <c r="BA15" s="22" t="n">
        <v>3.6</v>
      </c>
      <c r="BB15" s="22" t="n">
        <v>3.2</v>
      </c>
      <c r="BC15" s="22" t="n">
        <v>3.9</v>
      </c>
      <c r="BD15" s="22" t="n">
        <v>4.2</v>
      </c>
      <c r="BE15" s="22" t="n">
        <v>4.8</v>
      </c>
      <c r="BF15" s="22" t="n">
        <v>3.3</v>
      </c>
      <c r="BG15" s="52" t="n">
        <v>4.3</v>
      </c>
      <c r="BH15" s="5">
        <f>IF(MAESTRO!F15="","",IFERROR(TRUNC(AVERAGE(AX15:BG15),1),""))</f>
        <v/>
      </c>
      <c r="BI15" s="22" t="n">
        <v>4.6</v>
      </c>
      <c r="BJ15" s="22" t="n">
        <v>5</v>
      </c>
      <c r="BK15" s="22">
        <f>IF(MAESTRO!F15="","",IFERROR(AVERAGE(BI15:BJ15),""))</f>
        <v/>
      </c>
      <c r="BL15" s="5">
        <f>IF(MAESTRO!F15="","",IFERROR(TRUNC(AVERAGE(AW15,BH15),1),""))</f>
        <v/>
      </c>
      <c r="BM15" s="177" t="n"/>
      <c r="BN15" s="177" t="n">
        <v>11</v>
      </c>
      <c r="BO15" s="177" t="n">
        <v>11</v>
      </c>
      <c r="BP15" s="177">
        <f>IF(MAESTRO!F15="","",MAESTRO!F15)</f>
        <v/>
      </c>
      <c r="BQ15" s="178" t="n"/>
      <c r="BR15" s="5" t="n">
        <v>4.5</v>
      </c>
      <c r="BS15" s="5" t="n">
        <v>4.2</v>
      </c>
      <c r="BT15" s="5" t="n">
        <v>3.6</v>
      </c>
      <c r="BU15" s="5" t="n">
        <v>4</v>
      </c>
      <c r="BV15" s="5" t="n">
        <v>4.9</v>
      </c>
      <c r="BW15" s="5" t="n">
        <v>4.2</v>
      </c>
      <c r="BX15" s="5" t="n">
        <v>4.3</v>
      </c>
      <c r="BY15" s="5" t="n">
        <v>5</v>
      </c>
      <c r="BZ15" s="5" t="n">
        <v>4</v>
      </c>
      <c r="CA15" s="5" t="n">
        <v>4.9</v>
      </c>
      <c r="CB15" s="5" t="n">
        <v>3.5</v>
      </c>
      <c r="CC15" s="5" t="n">
        <v>4.1</v>
      </c>
      <c r="CD15" s="5" t="n">
        <v>3.8</v>
      </c>
      <c r="CE15" s="5">
        <f>IF(MAESTRO!F15="","",IFERROR(TRUNC(AVERAGE(BR15:CD15),1),""))</f>
        <v/>
      </c>
      <c r="CF15" s="5" t="n">
        <v>3.4</v>
      </c>
      <c r="CG15" s="5" t="n">
        <v>4.4</v>
      </c>
      <c r="CH15" s="5" t="n">
        <v>4.2</v>
      </c>
      <c r="CI15" s="5" t="n">
        <v>3.6</v>
      </c>
      <c r="CJ15" s="5" t="n">
        <v>3.4</v>
      </c>
      <c r="CK15" s="5" t="n">
        <v>4.7</v>
      </c>
      <c r="CL15" s="5" t="n">
        <v>4.1</v>
      </c>
      <c r="CM15" s="5" t="n">
        <v>3.2</v>
      </c>
      <c r="CN15" s="5" t="n">
        <v>3.6</v>
      </c>
      <c r="CO15" s="5" t="n">
        <v>3.6</v>
      </c>
      <c r="CP15" s="5">
        <f>IF(MAESTRO!F15="","",IFERROR(TRUNC(AVERAGE(CF15:CO15),1),""))</f>
        <v/>
      </c>
      <c r="CQ15" s="5" t="n">
        <v>4.9</v>
      </c>
      <c r="CR15" s="5" t="n">
        <v>4</v>
      </c>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v>4.6</v>
      </c>
      <c r="D16" s="5" t="n">
        <v>4.9</v>
      </c>
      <c r="E16" s="5" t="n">
        <v>4.1</v>
      </c>
      <c r="F16" s="5" t="n">
        <v>3.4</v>
      </c>
      <c r="G16" s="5" t="n">
        <v>4.4</v>
      </c>
      <c r="H16" s="5" t="n">
        <v>4.2</v>
      </c>
      <c r="I16" s="5" t="n">
        <v>3.1</v>
      </c>
      <c r="J16" s="5" t="n">
        <v>3.8</v>
      </c>
      <c r="K16" s="5" t="n">
        <v>3.8</v>
      </c>
      <c r="L16" s="5" t="n">
        <v>4.5</v>
      </c>
      <c r="M16" s="5" t="n">
        <v>4.5</v>
      </c>
      <c r="N16" s="5" t="n">
        <v>3.6</v>
      </c>
      <c r="O16" s="5" t="n">
        <v>3.9</v>
      </c>
      <c r="P16" s="5">
        <f>IF(MAESTRO!F16="","",IFERROR(TRUNC(AVERAGE(C16:O16),1),""))</f>
        <v/>
      </c>
      <c r="Q16" s="40" t="n">
        <v>12</v>
      </c>
      <c r="R16" s="22" t="n">
        <v>3.8</v>
      </c>
      <c r="S16" s="22" t="n">
        <v>3.1</v>
      </c>
      <c r="T16" s="22" t="n">
        <v>3.4</v>
      </c>
      <c r="U16" s="22" t="n">
        <v>4.6</v>
      </c>
      <c r="V16" s="22" t="n">
        <v>4.1</v>
      </c>
      <c r="W16" s="22" t="n">
        <v>4.6</v>
      </c>
      <c r="X16" s="22" t="n">
        <v>4.1</v>
      </c>
      <c r="Y16" s="22" t="n">
        <v>3.5</v>
      </c>
      <c r="Z16" s="22" t="n">
        <v>4.7</v>
      </c>
      <c r="AA16" s="45">
        <f>IF(MAESTRO!F16="","",IFERROR(TRUNC(AVERAGE(R16:Z16),1),""))</f>
        <v/>
      </c>
      <c r="AB16" s="177" t="n">
        <v>4.2</v>
      </c>
      <c r="AC16" s="42" t="n">
        <v>4.6</v>
      </c>
      <c r="AD16" s="5">
        <f>IF(MAESTRO!F16="","",IFERROR(AVERAGE(AB16:AC16),""))</f>
        <v/>
      </c>
      <c r="AE16" s="44">
        <f>IF(MAESTRO!F16="","",IFERROR(TRUNC(AVERAGE(P16,AA16,AD16),1),""))</f>
        <v/>
      </c>
      <c r="AF16" s="177" t="n"/>
      <c r="AG16" s="177" t="n">
        <v>12</v>
      </c>
      <c r="AH16" s="177" t="n">
        <v>12</v>
      </c>
      <c r="AI16" s="177">
        <f>IF(MAESTRO!F16="","",MAESTRO!F16)</f>
        <v/>
      </c>
      <c r="AJ16" s="178" t="n"/>
      <c r="AK16" s="61" t="n">
        <v>4.9</v>
      </c>
      <c r="AL16" s="61" t="n">
        <v>4.3</v>
      </c>
      <c r="AM16" s="61" t="n">
        <v>3.9</v>
      </c>
      <c r="AN16" s="61" t="n">
        <v>4</v>
      </c>
      <c r="AO16" s="61" t="n">
        <v>4.2</v>
      </c>
      <c r="AP16" s="61" t="n">
        <v>3.9</v>
      </c>
      <c r="AQ16" s="61" t="n">
        <v>4.9</v>
      </c>
      <c r="AR16" s="61" t="n">
        <v>4.3</v>
      </c>
      <c r="AS16" s="61" t="n">
        <v>4.3</v>
      </c>
      <c r="AT16" s="61" t="n">
        <v>4.2</v>
      </c>
      <c r="AU16" s="61" t="n">
        <v>3.4</v>
      </c>
      <c r="AV16" s="61" t="n">
        <v>4.5</v>
      </c>
      <c r="AW16" s="5">
        <f>IF(MAESTRO!F16="","",IFERROR(TRUNC(AVERAGE(AK16:AV16),1),""))</f>
        <v/>
      </c>
      <c r="AX16" s="22" t="n">
        <v>4.4</v>
      </c>
      <c r="AY16" s="22" t="n">
        <v>4</v>
      </c>
      <c r="AZ16" s="22" t="n">
        <v>3.1</v>
      </c>
      <c r="BA16" s="22" t="n">
        <v>4.1</v>
      </c>
      <c r="BB16" s="22" t="n">
        <v>3.4</v>
      </c>
      <c r="BC16" s="22" t="n">
        <v>3.1</v>
      </c>
      <c r="BD16" s="22" t="n">
        <v>3.1</v>
      </c>
      <c r="BE16" s="22" t="n">
        <v>4.5</v>
      </c>
      <c r="BF16" s="22" t="n">
        <v>3.2</v>
      </c>
      <c r="BG16" s="52" t="n">
        <v>4.4</v>
      </c>
      <c r="BH16" s="5">
        <f>IF(MAESTRO!F16="","",IFERROR(TRUNC(AVERAGE(AX16:BG16),1),""))</f>
        <v/>
      </c>
      <c r="BI16" s="22" t="n">
        <v>4.5</v>
      </c>
      <c r="BJ16" s="22" t="n">
        <v>4.2</v>
      </c>
      <c r="BK16" s="22">
        <f>IF(MAESTRO!F16="","",IFERROR(AVERAGE(BI16:BJ16),""))</f>
        <v/>
      </c>
      <c r="BL16" s="5">
        <f>IF(MAESTRO!F16="","",IFERROR(TRUNC(AVERAGE(AW16,BH16),1),""))</f>
        <v/>
      </c>
      <c r="BM16" s="177" t="n"/>
      <c r="BN16" s="177" t="n">
        <v>12</v>
      </c>
      <c r="BO16" s="177" t="n">
        <v>12</v>
      </c>
      <c r="BP16" s="177">
        <f>IF(MAESTRO!F16="","",MAESTRO!F16)</f>
        <v/>
      </c>
      <c r="BQ16" s="178" t="n"/>
      <c r="BR16" s="5" t="n">
        <v>4.4</v>
      </c>
      <c r="BS16" s="5" t="n">
        <v>4.8</v>
      </c>
      <c r="BT16" s="5" t="n">
        <v>4.3</v>
      </c>
      <c r="BU16" s="5" t="n">
        <v>4.3</v>
      </c>
      <c r="BV16" s="5" t="n">
        <v>3.2</v>
      </c>
      <c r="BW16" s="5" t="n">
        <v>4</v>
      </c>
      <c r="BX16" s="5" t="n">
        <v>4.7</v>
      </c>
      <c r="BY16" s="5" t="n">
        <v>3.8</v>
      </c>
      <c r="BZ16" s="5" t="n">
        <v>4.1</v>
      </c>
      <c r="CA16" s="5" t="n">
        <v>4.6</v>
      </c>
      <c r="CB16" s="5" t="n">
        <v>4</v>
      </c>
      <c r="CC16" s="5" t="n">
        <v>4.3</v>
      </c>
      <c r="CD16" s="5" t="n">
        <v>5</v>
      </c>
      <c r="CE16" s="5">
        <f>IF(MAESTRO!F16="","",IFERROR(TRUNC(AVERAGE(BR16:CD16),1),""))</f>
        <v/>
      </c>
      <c r="CF16" s="5" t="n">
        <v>3.9</v>
      </c>
      <c r="CG16" s="5" t="n">
        <v>3.3</v>
      </c>
      <c r="CH16" s="5" t="n">
        <v>4.7</v>
      </c>
      <c r="CI16" s="5" t="n">
        <v>4.5</v>
      </c>
      <c r="CJ16" s="5" t="n">
        <v>3.3</v>
      </c>
      <c r="CK16" s="5" t="n">
        <v>4.3</v>
      </c>
      <c r="CL16" s="5" t="n">
        <v>4.8</v>
      </c>
      <c r="CM16" s="5" t="n">
        <v>3.7</v>
      </c>
      <c r="CN16" s="5" t="n">
        <v>3.9</v>
      </c>
      <c r="CO16" s="5" t="n">
        <v>3.5</v>
      </c>
      <c r="CP16" s="5">
        <f>IF(MAESTRO!F16="","",IFERROR(TRUNC(AVERAGE(CF16:CO16),1),""))</f>
        <v/>
      </c>
      <c r="CQ16" s="5" t="n">
        <v>3.5</v>
      </c>
      <c r="CR16" s="5" t="n">
        <v>4.7</v>
      </c>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v>4.1</v>
      </c>
      <c r="D17" s="5" t="n">
        <v>4.3</v>
      </c>
      <c r="E17" s="5" t="n">
        <v>3.5</v>
      </c>
      <c r="F17" s="5" t="n">
        <v>3.4</v>
      </c>
      <c r="G17" s="5" t="n">
        <v>4.1</v>
      </c>
      <c r="H17" s="5" t="n">
        <v>3.7</v>
      </c>
      <c r="I17" s="5" t="n">
        <v>4.1</v>
      </c>
      <c r="J17" s="5" t="n">
        <v>3</v>
      </c>
      <c r="K17" s="5" t="n">
        <v>3.7</v>
      </c>
      <c r="L17" s="5" t="n">
        <v>4.8</v>
      </c>
      <c r="M17" s="5" t="n">
        <v>3.6</v>
      </c>
      <c r="N17" s="5" t="n">
        <v>3.2</v>
      </c>
      <c r="O17" s="5" t="n">
        <v>4.1</v>
      </c>
      <c r="P17" s="5">
        <f>IF(MAESTRO!F17="","",IFERROR(TRUNC(AVERAGE(C17:O17),1),""))</f>
        <v/>
      </c>
      <c r="Q17" s="40" t="n">
        <v>13</v>
      </c>
      <c r="R17" s="22" t="n">
        <v>5</v>
      </c>
      <c r="S17" s="22" t="n">
        <v>3.9</v>
      </c>
      <c r="T17" s="22" t="n">
        <v>3.3</v>
      </c>
      <c r="U17" s="22" t="n">
        <v>4.4</v>
      </c>
      <c r="V17" s="22" t="n">
        <v>4.2</v>
      </c>
      <c r="W17" s="22" t="n">
        <v>3.8</v>
      </c>
      <c r="X17" s="22" t="n">
        <v>3.8</v>
      </c>
      <c r="Y17" s="22" t="n">
        <v>4.7</v>
      </c>
      <c r="Z17" s="22" t="n">
        <v>3.6</v>
      </c>
      <c r="AA17" s="45">
        <f>IF(MAESTRO!F17="","",IFERROR(TRUNC(AVERAGE(R17:Z17),1),""))</f>
        <v/>
      </c>
      <c r="AB17" s="177" t="n">
        <v>4.6</v>
      </c>
      <c r="AC17" s="42" t="n">
        <v>4.8</v>
      </c>
      <c r="AD17" s="5">
        <f>IF(MAESTRO!F17="","",IFERROR(AVERAGE(AB17:AC17),""))</f>
        <v/>
      </c>
      <c r="AE17" s="44">
        <f>IF(MAESTRO!F17="","",IFERROR(TRUNC(AVERAGE(P17,AA17,AD17),1),""))</f>
        <v/>
      </c>
      <c r="AF17" s="177" t="n"/>
      <c r="AG17" s="177" t="n">
        <v>13</v>
      </c>
      <c r="AH17" s="177" t="n">
        <v>13</v>
      </c>
      <c r="AI17" s="177">
        <f>IF(MAESTRO!F17="","",MAESTRO!F17)</f>
        <v/>
      </c>
      <c r="AJ17" s="178" t="n"/>
      <c r="AK17" s="61" t="n">
        <v>4.3</v>
      </c>
      <c r="AL17" s="61" t="n">
        <v>3.3</v>
      </c>
      <c r="AM17" s="61" t="n">
        <v>4.3</v>
      </c>
      <c r="AN17" s="61" t="n">
        <v>4.4</v>
      </c>
      <c r="AO17" s="61" t="n">
        <v>3.5</v>
      </c>
      <c r="AP17" s="61" t="n">
        <v>3.4</v>
      </c>
      <c r="AQ17" s="61" t="n">
        <v>3.9</v>
      </c>
      <c r="AR17" s="61" t="n">
        <v>3.3</v>
      </c>
      <c r="AS17" s="61" t="n">
        <v>4.2</v>
      </c>
      <c r="AT17" s="61" t="n">
        <v>3.9</v>
      </c>
      <c r="AU17" s="61" t="n">
        <v>3.8</v>
      </c>
      <c r="AV17" s="61" t="n">
        <v>3.8</v>
      </c>
      <c r="AW17" s="5">
        <f>IF(MAESTRO!F17="","",IFERROR(TRUNC(AVERAGE(AK17:AV17),1),""))</f>
        <v/>
      </c>
      <c r="AX17" s="22" t="n">
        <v>3.9</v>
      </c>
      <c r="AY17" s="22" t="n">
        <v>3.4</v>
      </c>
      <c r="AZ17" s="22" t="n">
        <v>3.1</v>
      </c>
      <c r="BA17" s="22" t="n">
        <v>4.6</v>
      </c>
      <c r="BB17" s="22" t="n">
        <v>4.3</v>
      </c>
      <c r="BC17" s="22" t="n">
        <v>4.1</v>
      </c>
      <c r="BD17" s="22" t="n">
        <v>5</v>
      </c>
      <c r="BE17" s="22" t="n">
        <v>4.8</v>
      </c>
      <c r="BF17" s="22" t="n">
        <v>4.1</v>
      </c>
      <c r="BG17" s="52" t="n">
        <v>3.4</v>
      </c>
      <c r="BH17" s="5">
        <f>IF(MAESTRO!F17="","",IFERROR(TRUNC(AVERAGE(AX17:BG17),1),""))</f>
        <v/>
      </c>
      <c r="BI17" s="22" t="n">
        <v>4</v>
      </c>
      <c r="BJ17" s="22" t="n">
        <v>3.6</v>
      </c>
      <c r="BK17" s="22">
        <f>IF(MAESTRO!F17="","",IFERROR(AVERAGE(BI17:BJ17),""))</f>
        <v/>
      </c>
      <c r="BL17" s="5">
        <f>IF(MAESTRO!F17="","",IFERROR(TRUNC(AVERAGE(AW17,BH17),1),""))</f>
        <v/>
      </c>
      <c r="BM17" s="177" t="n"/>
      <c r="BN17" s="177" t="n">
        <v>13</v>
      </c>
      <c r="BO17" s="177" t="n">
        <v>13</v>
      </c>
      <c r="BP17" s="177">
        <f>IF(MAESTRO!F17="","",MAESTRO!F17)</f>
        <v/>
      </c>
      <c r="BQ17" s="178" t="n"/>
      <c r="BR17" s="5" t="n">
        <v>4.4</v>
      </c>
      <c r="BS17" s="5" t="n">
        <v>3.8</v>
      </c>
      <c r="BT17" s="5" t="n">
        <v>4.7</v>
      </c>
      <c r="BU17" s="5" t="n">
        <v>4.9</v>
      </c>
      <c r="BV17" s="5" t="n">
        <v>3.1</v>
      </c>
      <c r="BW17" s="5" t="n">
        <v>3</v>
      </c>
      <c r="BX17" s="5" t="n">
        <v>4.3</v>
      </c>
      <c r="BY17" s="5" t="n">
        <v>4.4</v>
      </c>
      <c r="BZ17" s="5" t="n">
        <v>4.8</v>
      </c>
      <c r="CA17" s="5" t="n">
        <v>3.5</v>
      </c>
      <c r="CB17" s="5" t="n">
        <v>4.1</v>
      </c>
      <c r="CC17" s="5" t="n">
        <v>4.7</v>
      </c>
      <c r="CD17" s="5" t="n">
        <v>4.2</v>
      </c>
      <c r="CE17" s="5">
        <f>IF(MAESTRO!F17="","",IFERROR(TRUNC(AVERAGE(BR17:CD17),1),""))</f>
        <v/>
      </c>
      <c r="CF17" s="5" t="n">
        <v>3.5</v>
      </c>
      <c r="CG17" s="5" t="n">
        <v>3.2</v>
      </c>
      <c r="CH17" s="5" t="n">
        <v>3.6</v>
      </c>
      <c r="CI17" s="5" t="n">
        <v>3.2</v>
      </c>
      <c r="CJ17" s="5" t="n">
        <v>4.8</v>
      </c>
      <c r="CK17" s="5" t="n">
        <v>4.6</v>
      </c>
      <c r="CL17" s="5" t="n">
        <v>4.4</v>
      </c>
      <c r="CM17" s="5" t="n">
        <v>4.3</v>
      </c>
      <c r="CN17" s="5" t="n">
        <v>3.8</v>
      </c>
      <c r="CO17" s="5" t="n">
        <v>3.9</v>
      </c>
      <c r="CP17" s="5">
        <f>IF(MAESTRO!F17="","",IFERROR(TRUNC(AVERAGE(CF17:CO17),1),""))</f>
        <v/>
      </c>
      <c r="CQ17" s="5" t="n">
        <v>4.5</v>
      </c>
      <c r="CR17" s="5" t="n">
        <v>4.5</v>
      </c>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v>3.9</v>
      </c>
      <c r="D18" s="5" t="n">
        <v>4.3</v>
      </c>
      <c r="E18" s="5" t="n">
        <v>3.9</v>
      </c>
      <c r="F18" s="5" t="n">
        <v>4.1</v>
      </c>
      <c r="G18" s="5" t="n">
        <v>4.9</v>
      </c>
      <c r="H18" s="5" t="n">
        <v>4.8</v>
      </c>
      <c r="I18" s="5" t="n">
        <v>4.4</v>
      </c>
      <c r="J18" s="5" t="n">
        <v>4.1</v>
      </c>
      <c r="K18" s="5" t="n">
        <v>4.4</v>
      </c>
      <c r="L18" s="5" t="n">
        <v>3.5</v>
      </c>
      <c r="M18" s="5" t="n">
        <v>3.5</v>
      </c>
      <c r="N18" s="5" t="n">
        <v>3.3</v>
      </c>
      <c r="O18" s="5" t="n">
        <v>4.7</v>
      </c>
      <c r="P18" s="5">
        <f>IF(MAESTRO!F18="","",IFERROR(TRUNC(AVERAGE(C18:O18),1),""))</f>
        <v/>
      </c>
      <c r="Q18" s="40" t="n">
        <v>14</v>
      </c>
      <c r="R18" s="22" t="n">
        <v>3.9</v>
      </c>
      <c r="S18" s="22" t="n">
        <v>3.8</v>
      </c>
      <c r="T18" s="22" t="n">
        <v>3.8</v>
      </c>
      <c r="U18" s="22" t="n">
        <v>4.8</v>
      </c>
      <c r="V18" s="22" t="n">
        <v>3.2</v>
      </c>
      <c r="W18" s="22" t="n">
        <v>3.6</v>
      </c>
      <c r="X18" s="22" t="n">
        <v>3.9</v>
      </c>
      <c r="Y18" s="22" t="n">
        <v>4.2</v>
      </c>
      <c r="Z18" s="22" t="n">
        <v>3.2</v>
      </c>
      <c r="AA18" s="45">
        <f>IF(MAESTRO!F18="","",IFERROR(TRUNC(AVERAGE(R18:Z18),1),""))</f>
        <v/>
      </c>
      <c r="AB18" s="177" t="n">
        <v>4.1</v>
      </c>
      <c r="AC18" s="42" t="n">
        <v>4.5</v>
      </c>
      <c r="AD18" s="5">
        <f>IF(MAESTRO!F18="","",IFERROR(AVERAGE(AB18:AC18),""))</f>
        <v/>
      </c>
      <c r="AE18" s="44">
        <f>IF(MAESTRO!F18="","",IFERROR(TRUNC(AVERAGE(P18,AA18,AD18),1),""))</f>
        <v/>
      </c>
      <c r="AF18" s="177" t="n"/>
      <c r="AG18" s="177" t="n">
        <v>14</v>
      </c>
      <c r="AH18" s="177" t="n">
        <v>14</v>
      </c>
      <c r="AI18" s="177">
        <f>IF(MAESTRO!F18="","",MAESTRO!F18)</f>
        <v/>
      </c>
      <c r="AJ18" s="178" t="n"/>
      <c r="AK18" s="61" t="n">
        <v>4.2</v>
      </c>
      <c r="AL18" s="61" t="n">
        <v>3.9</v>
      </c>
      <c r="AM18" s="61" t="n">
        <v>3.4</v>
      </c>
      <c r="AN18" s="61" t="n">
        <v>4.8</v>
      </c>
      <c r="AO18" s="61" t="n">
        <v>3.5</v>
      </c>
      <c r="AP18" s="61" t="n">
        <v>3</v>
      </c>
      <c r="AQ18" s="61" t="n">
        <v>5</v>
      </c>
      <c r="AR18" s="61" t="n">
        <v>4.8</v>
      </c>
      <c r="AS18" s="61" t="n">
        <v>4</v>
      </c>
      <c r="AT18" s="61" t="n">
        <v>3.3</v>
      </c>
      <c r="AU18" s="61" t="n">
        <v>4.6</v>
      </c>
      <c r="AV18" s="61" t="n">
        <v>4.8</v>
      </c>
      <c r="AW18" s="5">
        <f>IF(MAESTRO!F18="","",IFERROR(TRUNC(AVERAGE(AK18:AV18),1),""))</f>
        <v/>
      </c>
      <c r="AX18" s="22" t="n">
        <v>5</v>
      </c>
      <c r="AY18" s="22" t="n">
        <v>3.3</v>
      </c>
      <c r="AZ18" s="22" t="n">
        <v>4.7</v>
      </c>
      <c r="BA18" s="22" t="n">
        <v>4.6</v>
      </c>
      <c r="BB18" s="22" t="n">
        <v>4.5</v>
      </c>
      <c r="BC18" s="22" t="n">
        <v>4.7</v>
      </c>
      <c r="BD18" s="22" t="n">
        <v>3.7</v>
      </c>
      <c r="BE18" s="22" t="n">
        <v>3.2</v>
      </c>
      <c r="BF18" s="22" t="n">
        <v>4.1</v>
      </c>
      <c r="BG18" s="52" t="n">
        <v>3.5</v>
      </c>
      <c r="BH18" s="5">
        <f>IF(MAESTRO!F18="","",IFERROR(TRUNC(AVERAGE(AX18:BG18),1),""))</f>
        <v/>
      </c>
      <c r="BI18" s="22" t="n">
        <v>4</v>
      </c>
      <c r="BJ18" s="22" t="n">
        <v>3.5</v>
      </c>
      <c r="BK18" s="22">
        <f>IF(MAESTRO!F18="","",IFERROR(AVERAGE(BI18:BJ18),""))</f>
        <v/>
      </c>
      <c r="BL18" s="5">
        <f>IF(MAESTRO!F18="","",IFERROR(TRUNC(AVERAGE(AW18,BH18),1),""))</f>
        <v/>
      </c>
      <c r="BM18" s="177" t="n"/>
      <c r="BN18" s="177" t="n">
        <v>14</v>
      </c>
      <c r="BO18" s="177" t="n">
        <v>14</v>
      </c>
      <c r="BP18" s="177">
        <f>IF(MAESTRO!F18="","",MAESTRO!F18)</f>
        <v/>
      </c>
      <c r="BQ18" s="178" t="n"/>
      <c r="BR18" s="5" t="n">
        <v>3.4</v>
      </c>
      <c r="BS18" s="5" t="n">
        <v>4.4</v>
      </c>
      <c r="BT18" s="5" t="n">
        <v>4.9</v>
      </c>
      <c r="BU18" s="5" t="n">
        <v>4.6</v>
      </c>
      <c r="BV18" s="5" t="n">
        <v>3.7</v>
      </c>
      <c r="BW18" s="5" t="n">
        <v>4.8</v>
      </c>
      <c r="BX18" s="5" t="n">
        <v>4.3</v>
      </c>
      <c r="BY18" s="5" t="n">
        <v>4.9</v>
      </c>
      <c r="BZ18" s="5" t="n">
        <v>3.7</v>
      </c>
      <c r="CA18" s="5" t="n">
        <v>4.7</v>
      </c>
      <c r="CB18" s="5" t="n">
        <v>3.4</v>
      </c>
      <c r="CC18" s="5" t="n">
        <v>3.7</v>
      </c>
      <c r="CD18" s="5" t="n">
        <v>4.9</v>
      </c>
      <c r="CE18" s="5">
        <f>IF(MAESTRO!F18="","",IFERROR(TRUNC(AVERAGE(BR18:CD18),1),""))</f>
        <v/>
      </c>
      <c r="CF18" s="5" t="n">
        <v>3.7</v>
      </c>
      <c r="CG18" s="5" t="n">
        <v>3.6</v>
      </c>
      <c r="CH18" s="5" t="n">
        <v>4.8</v>
      </c>
      <c r="CI18" s="5" t="n">
        <v>3.4</v>
      </c>
      <c r="CJ18" s="5" t="n">
        <v>3.4</v>
      </c>
      <c r="CK18" s="5" t="n">
        <v>3.9</v>
      </c>
      <c r="CL18" s="5" t="n">
        <v>4</v>
      </c>
      <c r="CM18" s="5" t="n">
        <v>4.9</v>
      </c>
      <c r="CN18" s="5" t="n">
        <v>3.1</v>
      </c>
      <c r="CO18" s="5" t="n">
        <v>3.5</v>
      </c>
      <c r="CP18" s="5">
        <f>IF(MAESTRO!F18="","",IFERROR(TRUNC(AVERAGE(CF18:CO18),1),""))</f>
        <v/>
      </c>
      <c r="CQ18" s="5" t="n">
        <v>3.6</v>
      </c>
      <c r="CR18" s="5" t="n">
        <v>3.1</v>
      </c>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v>4</v>
      </c>
      <c r="D19" s="5" t="n">
        <v>3</v>
      </c>
      <c r="E19" s="5" t="n">
        <v>4.8</v>
      </c>
      <c r="F19" s="5" t="n">
        <v>4.7</v>
      </c>
      <c r="G19" s="5" t="n">
        <v>3.9</v>
      </c>
      <c r="H19" s="5" t="n">
        <v>3</v>
      </c>
      <c r="I19" s="5" t="n">
        <v>4.8</v>
      </c>
      <c r="J19" s="5" t="n">
        <v>3.6</v>
      </c>
      <c r="K19" s="5" t="n">
        <v>3.1</v>
      </c>
      <c r="L19" s="5" t="n">
        <v>4.6</v>
      </c>
      <c r="M19" s="5" t="n">
        <v>4.9</v>
      </c>
      <c r="N19" s="5" t="n">
        <v>4</v>
      </c>
      <c r="O19" s="5" t="n">
        <v>3.6</v>
      </c>
      <c r="P19" s="5">
        <f>IF(MAESTRO!F19="","",IFERROR(TRUNC(AVERAGE(C19:O19),1),""))</f>
        <v/>
      </c>
      <c r="Q19" s="40" t="n">
        <v>15</v>
      </c>
      <c r="R19" s="22" t="n">
        <v>4.1</v>
      </c>
      <c r="S19" s="22" t="n">
        <v>4.8</v>
      </c>
      <c r="T19" s="22" t="n">
        <v>4.1</v>
      </c>
      <c r="U19" s="22" t="n">
        <v>4.6</v>
      </c>
      <c r="V19" s="22" t="n">
        <v>4.3</v>
      </c>
      <c r="W19" s="22" t="n">
        <v>3.1</v>
      </c>
      <c r="X19" s="22" t="n">
        <v>4.4</v>
      </c>
      <c r="Y19" s="22" t="n">
        <v>3.2</v>
      </c>
      <c r="Z19" s="22" t="n">
        <v>3.7</v>
      </c>
      <c r="AA19" s="45">
        <f>IF(MAESTRO!F19="","",IFERROR(TRUNC(AVERAGE(R19:Z19),1),""))</f>
        <v/>
      </c>
      <c r="AB19" s="177" t="n">
        <v>4.1</v>
      </c>
      <c r="AC19" s="42" t="n">
        <v>3.8</v>
      </c>
      <c r="AD19" s="5">
        <f>IF(MAESTRO!F19="","",IFERROR(AVERAGE(AB19:AC19),""))</f>
        <v/>
      </c>
      <c r="AE19" s="44">
        <f>IF(MAESTRO!F19="","",IFERROR(TRUNC(AVERAGE(P19,AA19,AD19),1),""))</f>
        <v/>
      </c>
      <c r="AF19" s="177" t="n"/>
      <c r="AG19" s="177" t="n">
        <v>15</v>
      </c>
      <c r="AH19" s="177" t="n">
        <v>15</v>
      </c>
      <c r="AI19" s="177">
        <f>IF(MAESTRO!F19="","",MAESTRO!F19)</f>
        <v/>
      </c>
      <c r="AJ19" s="178" t="n"/>
      <c r="AK19" s="61" t="n">
        <v>3.9</v>
      </c>
      <c r="AL19" s="61" t="n">
        <v>3.8</v>
      </c>
      <c r="AM19" s="61" t="n">
        <v>4.7</v>
      </c>
      <c r="AN19" s="61" t="n">
        <v>4.2</v>
      </c>
      <c r="AO19" s="61" t="n">
        <v>4.1</v>
      </c>
      <c r="AP19" s="61" t="n">
        <v>3.5</v>
      </c>
      <c r="AQ19" s="61" t="n">
        <v>3.8</v>
      </c>
      <c r="AR19" s="61" t="n">
        <v>3.7</v>
      </c>
      <c r="AS19" s="61" t="n">
        <v>4.1</v>
      </c>
      <c r="AT19" s="61" t="n">
        <v>4.2</v>
      </c>
      <c r="AU19" s="61" t="n">
        <v>3.9</v>
      </c>
      <c r="AV19" s="61" t="n">
        <v>3.8</v>
      </c>
      <c r="AW19" s="5">
        <f>IF(MAESTRO!F19="","",IFERROR(TRUNC(AVERAGE(AK19:AV19),1),""))</f>
        <v/>
      </c>
      <c r="AX19" s="22" t="n">
        <v>4.9</v>
      </c>
      <c r="AY19" s="22" t="n">
        <v>4.3</v>
      </c>
      <c r="AZ19" s="22" t="n">
        <v>3.6</v>
      </c>
      <c r="BA19" s="22" t="n">
        <v>4.1</v>
      </c>
      <c r="BB19" s="22" t="n">
        <v>4.9</v>
      </c>
      <c r="BC19" s="22" t="n">
        <v>4.4</v>
      </c>
      <c r="BD19" s="22" t="n">
        <v>3.2</v>
      </c>
      <c r="BE19" s="22" t="n">
        <v>4</v>
      </c>
      <c r="BF19" s="22" t="n">
        <v>3.2</v>
      </c>
      <c r="BG19" s="52" t="n">
        <v>3.9</v>
      </c>
      <c r="BH19" s="5">
        <f>IF(MAESTRO!F19="","",IFERROR(TRUNC(AVERAGE(AX19:BG19),1),""))</f>
        <v/>
      </c>
      <c r="BI19" s="22" t="n">
        <v>5</v>
      </c>
      <c r="BJ19" s="22" t="n">
        <v>3.7</v>
      </c>
      <c r="BK19" s="22">
        <f>IF(MAESTRO!F19="","",IFERROR(AVERAGE(BI19:BJ19),""))</f>
        <v/>
      </c>
      <c r="BL19" s="5">
        <f>IF(MAESTRO!F19="","",IFERROR(TRUNC(AVERAGE(AW19,BH19),1),""))</f>
        <v/>
      </c>
      <c r="BM19" s="177" t="n"/>
      <c r="BN19" s="177" t="n">
        <v>15</v>
      </c>
      <c r="BO19" s="177" t="n">
        <v>15</v>
      </c>
      <c r="BP19" s="177">
        <f>IF(MAESTRO!F19="","",MAESTRO!F19)</f>
        <v/>
      </c>
      <c r="BQ19" s="178" t="n"/>
      <c r="BR19" s="5" t="n">
        <v>3.4</v>
      </c>
      <c r="BS19" s="5" t="n">
        <v>4.7</v>
      </c>
      <c r="BT19" s="5" t="n">
        <v>4.5</v>
      </c>
      <c r="BU19" s="5" t="n">
        <v>3.7</v>
      </c>
      <c r="BV19" s="5" t="n">
        <v>4.2</v>
      </c>
      <c r="BW19" s="5" t="n">
        <v>4.8</v>
      </c>
      <c r="BX19" s="5" t="n">
        <v>3.3</v>
      </c>
      <c r="BY19" s="5" t="n">
        <v>3.8</v>
      </c>
      <c r="BZ19" s="5" t="n">
        <v>3.6</v>
      </c>
      <c r="CA19" s="5" t="n">
        <v>4.5</v>
      </c>
      <c r="CB19" s="5" t="n">
        <v>3.2</v>
      </c>
      <c r="CC19" s="5" t="n">
        <v>4.1</v>
      </c>
      <c r="CD19" s="5" t="n">
        <v>3.6</v>
      </c>
      <c r="CE19" s="5">
        <f>IF(MAESTRO!F19="","",IFERROR(TRUNC(AVERAGE(BR19:CD19),1),""))</f>
        <v/>
      </c>
      <c r="CF19" s="5" t="n">
        <v>4</v>
      </c>
      <c r="CG19" s="5" t="n">
        <v>4.9</v>
      </c>
      <c r="CH19" s="5" t="n">
        <v>3</v>
      </c>
      <c r="CI19" s="5" t="n">
        <v>3.6</v>
      </c>
      <c r="CJ19" s="5" t="n">
        <v>4.1</v>
      </c>
      <c r="CK19" s="5" t="n">
        <v>4</v>
      </c>
      <c r="CL19" s="5" t="n">
        <v>3.6</v>
      </c>
      <c r="CM19" s="5" t="n">
        <v>3.9</v>
      </c>
      <c r="CN19" s="5" t="n">
        <v>3.5</v>
      </c>
      <c r="CO19" s="5" t="n">
        <v>4.1</v>
      </c>
      <c r="CP19" s="5">
        <f>IF(MAESTRO!F19="","",IFERROR(TRUNC(AVERAGE(CF19:CO19),1),""))</f>
        <v/>
      </c>
      <c r="CQ19" s="5" t="n">
        <v>4</v>
      </c>
      <c r="CR19" s="5" t="n">
        <v>4.3</v>
      </c>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v>4.4</v>
      </c>
      <c r="D20" s="5" t="n">
        <v>3.5</v>
      </c>
      <c r="E20" s="5" t="n">
        <v>4.1</v>
      </c>
      <c r="F20" s="5" t="n">
        <v>4.4</v>
      </c>
      <c r="G20" s="5" t="n">
        <v>3.1</v>
      </c>
      <c r="H20" s="5" t="n">
        <v>4.8</v>
      </c>
      <c r="I20" s="5" t="n">
        <v>4</v>
      </c>
      <c r="J20" s="5" t="n">
        <v>4.7</v>
      </c>
      <c r="K20" s="5" t="n">
        <v>4.5</v>
      </c>
      <c r="L20" s="5" t="n">
        <v>3.5</v>
      </c>
      <c r="M20" s="5" t="n">
        <v>3.4</v>
      </c>
      <c r="N20" s="5" t="n">
        <v>4</v>
      </c>
      <c r="O20" s="5" t="n">
        <v>4.1</v>
      </c>
      <c r="P20" s="5">
        <f>IF(MAESTRO!F20="","",IFERROR(TRUNC(AVERAGE(C20:O20),1),""))</f>
        <v/>
      </c>
      <c r="Q20" s="40" t="n">
        <v>16</v>
      </c>
      <c r="R20" s="22" t="n">
        <v>3.9</v>
      </c>
      <c r="S20" s="22" t="n">
        <v>4.5</v>
      </c>
      <c r="T20" s="22" t="n">
        <v>3.7</v>
      </c>
      <c r="U20" s="22" t="n">
        <v>3</v>
      </c>
      <c r="V20" s="22" t="n">
        <v>3.8</v>
      </c>
      <c r="W20" s="22" t="n">
        <v>4.1</v>
      </c>
      <c r="X20" s="22" t="n">
        <v>4.8</v>
      </c>
      <c r="Y20" s="22" t="n">
        <v>4</v>
      </c>
      <c r="Z20" s="22" t="n">
        <v>3.3</v>
      </c>
      <c r="AA20" s="45">
        <f>IF(MAESTRO!F20="","",IFERROR(TRUNC(AVERAGE(R20:Z20),1),""))</f>
        <v/>
      </c>
      <c r="AB20" s="177" t="n">
        <v>3.1</v>
      </c>
      <c r="AC20" s="42" t="n">
        <v>3</v>
      </c>
      <c r="AD20" s="5">
        <f>IF(MAESTRO!F20="","",IFERROR(AVERAGE(AB20:AC20),""))</f>
        <v/>
      </c>
      <c r="AE20" s="44">
        <f>IF(MAESTRO!F20="","",IFERROR(TRUNC(AVERAGE(P20,AA20,AD20),1),""))</f>
        <v/>
      </c>
      <c r="AF20" s="177" t="n"/>
      <c r="AG20" s="177" t="n">
        <v>16</v>
      </c>
      <c r="AH20" s="177" t="n">
        <v>16</v>
      </c>
      <c r="AI20" s="177">
        <f>IF(MAESTRO!F20="","",MAESTRO!F20)</f>
        <v/>
      </c>
      <c r="AJ20" s="178" t="n"/>
      <c r="AK20" s="61" t="n">
        <v>4.6</v>
      </c>
      <c r="AL20" s="61" t="n">
        <v>3.5</v>
      </c>
      <c r="AM20" s="61" t="n">
        <v>3.5</v>
      </c>
      <c r="AN20" s="61" t="n">
        <v>4.5</v>
      </c>
      <c r="AO20" s="61" t="n">
        <v>3.6</v>
      </c>
      <c r="AP20" s="61" t="n">
        <v>4.5</v>
      </c>
      <c r="AQ20" s="61" t="n">
        <v>4.8</v>
      </c>
      <c r="AR20" s="61" t="n">
        <v>4.2</v>
      </c>
      <c r="AS20" s="61" t="n">
        <v>3.3</v>
      </c>
      <c r="AT20" s="61" t="n">
        <v>3.8</v>
      </c>
      <c r="AU20" s="61" t="n">
        <v>4.3</v>
      </c>
      <c r="AV20" s="61" t="n">
        <v>4.6</v>
      </c>
      <c r="AW20" s="5">
        <f>IF(MAESTRO!F20="","",IFERROR(TRUNC(AVERAGE(AK20:AV20),1),""))</f>
        <v/>
      </c>
      <c r="AX20" s="22" t="n">
        <v>4.7</v>
      </c>
      <c r="AY20" s="22" t="n">
        <v>3.3</v>
      </c>
      <c r="AZ20" s="22" t="n">
        <v>3.7</v>
      </c>
      <c r="BA20" s="22" t="n">
        <v>4.2</v>
      </c>
      <c r="BB20" s="22" t="n">
        <v>4.5</v>
      </c>
      <c r="BC20" s="22" t="n">
        <v>4.8</v>
      </c>
      <c r="BD20" s="22" t="n">
        <v>3.2</v>
      </c>
      <c r="BE20" s="22" t="n">
        <v>4.1</v>
      </c>
      <c r="BF20" s="22" t="n">
        <v>3.7</v>
      </c>
      <c r="BG20" s="52" t="n">
        <v>4.2</v>
      </c>
      <c r="BH20" s="5">
        <f>IF(MAESTRO!F20="","",IFERROR(TRUNC(AVERAGE(AX20:BG20),1),""))</f>
        <v/>
      </c>
      <c r="BI20" s="22" t="n">
        <v>4.6</v>
      </c>
      <c r="BJ20" s="22" t="n">
        <v>4.9</v>
      </c>
      <c r="BK20" s="22">
        <f>IF(MAESTRO!F20="","",IFERROR(AVERAGE(BI20:BJ20),""))</f>
        <v/>
      </c>
      <c r="BL20" s="5">
        <f>IF(MAESTRO!F20="","",IFERROR(TRUNC(AVERAGE(AW20,BH20),1),""))</f>
        <v/>
      </c>
      <c r="BM20" s="177" t="n"/>
      <c r="BN20" s="177" t="n">
        <v>16</v>
      </c>
      <c r="BO20" s="177" t="n">
        <v>16</v>
      </c>
      <c r="BP20" s="177">
        <f>IF(MAESTRO!F20="","",MAESTRO!F20)</f>
        <v/>
      </c>
      <c r="BQ20" s="178" t="n"/>
      <c r="BR20" s="5" t="n">
        <v>4.7</v>
      </c>
      <c r="BS20" s="5" t="n">
        <v>4.8</v>
      </c>
      <c r="BT20" s="5" t="n">
        <v>3.8</v>
      </c>
      <c r="BU20" s="5" t="n">
        <v>4.7</v>
      </c>
      <c r="BV20" s="5" t="n">
        <v>4.3</v>
      </c>
      <c r="BW20" s="5" t="n">
        <v>4.1</v>
      </c>
      <c r="BX20" s="5" t="n">
        <v>4.7</v>
      </c>
      <c r="BY20" s="5" t="n">
        <v>4</v>
      </c>
      <c r="BZ20" s="5" t="n">
        <v>4.4</v>
      </c>
      <c r="CA20" s="5" t="n">
        <v>4.4</v>
      </c>
      <c r="CB20" s="5" t="n">
        <v>3.9</v>
      </c>
      <c r="CC20" s="5" t="n">
        <v>4.4</v>
      </c>
      <c r="CD20" s="5" t="n">
        <v>4</v>
      </c>
      <c r="CE20" s="5">
        <f>IF(MAESTRO!F20="","",IFERROR(TRUNC(AVERAGE(BR20:CD20),1),""))</f>
        <v/>
      </c>
      <c r="CF20" s="5" t="n">
        <v>3.7</v>
      </c>
      <c r="CG20" s="5" t="n">
        <v>4.9</v>
      </c>
      <c r="CH20" s="5" t="n">
        <v>4</v>
      </c>
      <c r="CI20" s="5" t="n">
        <v>4.3</v>
      </c>
      <c r="CJ20" s="5" t="n">
        <v>4.3</v>
      </c>
      <c r="CK20" s="5" t="n">
        <v>4.7</v>
      </c>
      <c r="CL20" s="5" t="n">
        <v>4</v>
      </c>
      <c r="CM20" s="5" t="n">
        <v>4.7</v>
      </c>
      <c r="CN20" s="5" t="n">
        <v>3.4</v>
      </c>
      <c r="CO20" s="5" t="n">
        <v>4.4</v>
      </c>
      <c r="CP20" s="5">
        <f>IF(MAESTRO!F20="","",IFERROR(TRUNC(AVERAGE(CF20:CO20),1),""))</f>
        <v/>
      </c>
      <c r="CQ20" s="5" t="n">
        <v>4.3</v>
      </c>
      <c r="CR20" s="5" t="n">
        <v>3.7</v>
      </c>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86">
        <f>IF(MAESTRO!F21="","",MAESTRO!F21)</f>
        <v/>
      </c>
      <c r="C21" s="5" t="n">
        <v>3.2</v>
      </c>
      <c r="D21" s="5" t="n">
        <v>4.6</v>
      </c>
      <c r="E21" s="5" t="n">
        <v>3.4</v>
      </c>
      <c r="F21" s="5" t="n">
        <v>4.6</v>
      </c>
      <c r="G21" s="5" t="n">
        <v>4.4</v>
      </c>
      <c r="H21" s="5" t="n">
        <v>3.4</v>
      </c>
      <c r="I21" s="5" t="n">
        <v>4.9</v>
      </c>
      <c r="J21" s="5" t="n">
        <v>3.1</v>
      </c>
      <c r="K21" s="5" t="n">
        <v>4.3</v>
      </c>
      <c r="L21" s="5" t="n">
        <v>3.2</v>
      </c>
      <c r="M21" s="5" t="n">
        <v>4.1</v>
      </c>
      <c r="N21" s="5" t="n">
        <v>3.6</v>
      </c>
      <c r="O21" s="5" t="n">
        <v>4.9</v>
      </c>
      <c r="P21" s="5">
        <f>IF(MAESTRO!F21="","",IFERROR(TRUNC(AVERAGE(C21:O21),1),""))</f>
        <v/>
      </c>
      <c r="Q21" s="40" t="n">
        <v>17</v>
      </c>
      <c r="R21" s="22" t="n">
        <v>4.3</v>
      </c>
      <c r="S21" s="22" t="n">
        <v>3.8</v>
      </c>
      <c r="T21" s="22" t="n">
        <v>4.7</v>
      </c>
      <c r="U21" s="22" t="n">
        <v>4.2</v>
      </c>
      <c r="V21" s="22" t="n">
        <v>4.7</v>
      </c>
      <c r="W21" s="22" t="n">
        <v>4.7</v>
      </c>
      <c r="X21" s="22" t="n">
        <v>3.2</v>
      </c>
      <c r="Y21" s="22" t="n">
        <v>3.8</v>
      </c>
      <c r="Z21" s="22" t="n">
        <v>4.6</v>
      </c>
      <c r="AA21" s="45">
        <f>IF(MAESTRO!F21="","",IFERROR(TRUNC(AVERAGE(R21:Z21),1),""))</f>
        <v/>
      </c>
      <c r="AB21" s="177" t="n">
        <v>4.3</v>
      </c>
      <c r="AC21" s="42" t="n">
        <v>3.9</v>
      </c>
      <c r="AD21" s="5">
        <f>IF(MAESTRO!F21="","",IFERROR(AVERAGE(AB21:AC21),""))</f>
        <v/>
      </c>
      <c r="AE21" s="44">
        <f>IF(MAESTRO!F21="","",IFERROR(TRUNC(AVERAGE(P21,AA21,AD21),1),""))</f>
        <v/>
      </c>
      <c r="AF21" s="177" t="n"/>
      <c r="AG21" s="177" t="n">
        <v>17</v>
      </c>
      <c r="AH21" s="177" t="n">
        <v>17</v>
      </c>
      <c r="AI21" s="177">
        <f>IF(MAESTRO!F21="","",MAESTRO!F21)</f>
        <v/>
      </c>
      <c r="AJ21" s="178" t="n"/>
      <c r="AK21" s="61" t="n">
        <v>3.9</v>
      </c>
      <c r="AL21" s="61" t="n">
        <v>3</v>
      </c>
      <c r="AM21" s="61" t="n">
        <v>4.5</v>
      </c>
      <c r="AN21" s="61" t="n">
        <v>5</v>
      </c>
      <c r="AO21" s="61" t="n">
        <v>3.8</v>
      </c>
      <c r="AP21" s="61" t="n">
        <v>3.6</v>
      </c>
      <c r="AQ21" s="61" t="n">
        <v>4</v>
      </c>
      <c r="AR21" s="61" t="n">
        <v>3.4</v>
      </c>
      <c r="AS21" s="61" t="n">
        <v>4.6</v>
      </c>
      <c r="AT21" s="61" t="n">
        <v>4.4</v>
      </c>
      <c r="AU21" s="61" t="n">
        <v>3.7</v>
      </c>
      <c r="AV21" s="61" t="n">
        <v>3.7</v>
      </c>
      <c r="AW21" s="5">
        <f>IF(MAESTRO!F21="","",IFERROR(TRUNC(AVERAGE(AK21:AV21),1),""))</f>
        <v/>
      </c>
      <c r="AX21" s="22" t="n">
        <v>4.3</v>
      </c>
      <c r="AY21" s="22" t="n">
        <v>3.2</v>
      </c>
      <c r="AZ21" s="22" t="n">
        <v>4.2</v>
      </c>
      <c r="BA21" s="22" t="n">
        <v>4.8</v>
      </c>
      <c r="BB21" s="22" t="n">
        <v>4.6</v>
      </c>
      <c r="BC21" s="22" t="n">
        <v>3.1</v>
      </c>
      <c r="BD21" s="22" t="n">
        <v>5</v>
      </c>
      <c r="BE21" s="22" t="n">
        <v>3.3</v>
      </c>
      <c r="BF21" s="22" t="n">
        <v>4</v>
      </c>
      <c r="BG21" s="52" t="n">
        <v>3.1</v>
      </c>
      <c r="BH21" s="5">
        <f>IF(MAESTRO!F21="","",IFERROR(TRUNC(AVERAGE(AX21:BG21),1),""))</f>
        <v/>
      </c>
      <c r="BI21" s="22" t="n">
        <v>3.2</v>
      </c>
      <c r="BJ21" s="22" t="n">
        <v>4.6</v>
      </c>
      <c r="BK21" s="22">
        <f>IF(MAESTRO!F21="","",IFERROR(AVERAGE(BI21:BJ21),""))</f>
        <v/>
      </c>
      <c r="BL21" s="5">
        <f>IF(MAESTRO!F21="","",IFERROR(TRUNC(AVERAGE(AW21,BH21),1),""))</f>
        <v/>
      </c>
      <c r="BM21" s="177" t="n"/>
      <c r="BN21" s="177" t="n">
        <v>17</v>
      </c>
      <c r="BO21" s="177" t="n">
        <v>17</v>
      </c>
      <c r="BP21" s="177">
        <f>IF(MAESTRO!F21="","",MAESTRO!F21)</f>
        <v/>
      </c>
      <c r="BQ21" s="178" t="n"/>
      <c r="BR21" s="5" t="n">
        <v>3.9</v>
      </c>
      <c r="BS21" s="5" t="n">
        <v>3</v>
      </c>
      <c r="BT21" s="5" t="n">
        <v>4.8</v>
      </c>
      <c r="BU21" s="5" t="n">
        <v>4.8</v>
      </c>
      <c r="BV21" s="5" t="n">
        <v>3.4</v>
      </c>
      <c r="BW21" s="5" t="n">
        <v>3.2</v>
      </c>
      <c r="BX21" s="5" t="n">
        <v>4.7</v>
      </c>
      <c r="BY21" s="5" t="n">
        <v>4.7</v>
      </c>
      <c r="BZ21" s="5" t="n">
        <v>3.2</v>
      </c>
      <c r="CA21" s="5" t="n">
        <v>4.2</v>
      </c>
      <c r="CB21" s="5" t="n">
        <v>3.5</v>
      </c>
      <c r="CC21" s="5" t="n">
        <v>3.7</v>
      </c>
      <c r="CD21" s="5" t="n">
        <v>4.2</v>
      </c>
      <c r="CE21" s="5">
        <f>IF(MAESTRO!F21="","",IFERROR(TRUNC(AVERAGE(BR21:CD21),1),""))</f>
        <v/>
      </c>
      <c r="CF21" s="5" t="n">
        <v>4</v>
      </c>
      <c r="CG21" s="5" t="n">
        <v>4.8</v>
      </c>
      <c r="CH21" s="5" t="n">
        <v>3.6</v>
      </c>
      <c r="CI21" s="5" t="n">
        <v>3.7</v>
      </c>
      <c r="CJ21" s="5" t="n">
        <v>4.7</v>
      </c>
      <c r="CK21" s="5" t="n">
        <v>4.6</v>
      </c>
      <c r="CL21" s="5" t="n">
        <v>4.6</v>
      </c>
      <c r="CM21" s="5" t="n">
        <v>3.9</v>
      </c>
      <c r="CN21" s="5" t="n">
        <v>3.9</v>
      </c>
      <c r="CO21" s="5" t="n">
        <v>4.3</v>
      </c>
      <c r="CP21" s="5">
        <f>IF(MAESTRO!F21="","",IFERROR(TRUNC(AVERAGE(CF21:CO21),1),""))</f>
        <v/>
      </c>
      <c r="CQ21" s="5" t="n">
        <v>4.3</v>
      </c>
      <c r="CR21" s="5" t="n">
        <v>3.9</v>
      </c>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86">
        <f>IF(MAESTRO!F22="","",MAESTRO!F22)</f>
        <v/>
      </c>
      <c r="C22" s="5" t="n">
        <v>4.7</v>
      </c>
      <c r="D22" s="5" t="n">
        <v>5</v>
      </c>
      <c r="E22" s="5" t="n">
        <v>4.2</v>
      </c>
      <c r="F22" s="5" t="n">
        <v>4.6</v>
      </c>
      <c r="G22" s="5" t="n">
        <v>3.1</v>
      </c>
      <c r="H22" s="5" t="n">
        <v>4.3</v>
      </c>
      <c r="I22" s="5" t="n">
        <v>4.3</v>
      </c>
      <c r="J22" s="5" t="n">
        <v>3.2</v>
      </c>
      <c r="K22" s="5" t="n">
        <v>3</v>
      </c>
      <c r="L22" s="5" t="n">
        <v>3.5</v>
      </c>
      <c r="M22" s="5" t="n">
        <v>4.6</v>
      </c>
      <c r="N22" s="5" t="n">
        <v>3.2</v>
      </c>
      <c r="O22" s="5" t="n">
        <v>5</v>
      </c>
      <c r="P22" s="5">
        <f>IF(MAESTRO!F22="","",IFERROR(TRUNC(AVERAGE(C22:O22),1),""))</f>
        <v/>
      </c>
      <c r="Q22" s="40" t="n">
        <v>18</v>
      </c>
      <c r="R22" s="22" t="n">
        <v>4.9</v>
      </c>
      <c r="S22" s="22" t="n">
        <v>3.3</v>
      </c>
      <c r="T22" s="22" t="n">
        <v>3.1</v>
      </c>
      <c r="U22" s="22" t="n">
        <v>4.1</v>
      </c>
      <c r="V22" s="22" t="n">
        <v>4.6</v>
      </c>
      <c r="W22" s="22" t="n">
        <v>4.3</v>
      </c>
      <c r="X22" s="22" t="n">
        <v>4.3</v>
      </c>
      <c r="Y22" s="22" t="n">
        <v>4.1</v>
      </c>
      <c r="Z22" s="22" t="n">
        <v>3.2</v>
      </c>
      <c r="AA22" s="45">
        <f>IF(MAESTRO!F22="","",IFERROR(TRUNC(AVERAGE(R22:Z22),1),""))</f>
        <v/>
      </c>
      <c r="AB22" s="177" t="n">
        <v>4.1</v>
      </c>
      <c r="AC22" s="42" t="n">
        <v>4.2</v>
      </c>
      <c r="AD22" s="5">
        <f>IF(MAESTRO!F22="","",IFERROR(AVERAGE(AB22:AC22),""))</f>
        <v/>
      </c>
      <c r="AE22" s="44">
        <f>IF(MAESTRO!F22="","",IFERROR(TRUNC(AVERAGE(P22,AA22,AD22),1),""))</f>
        <v/>
      </c>
      <c r="AF22" s="177" t="n"/>
      <c r="AG22" s="177" t="n">
        <v>18</v>
      </c>
      <c r="AH22" s="177" t="n">
        <v>18</v>
      </c>
      <c r="AI22" s="177">
        <f>IF(MAESTRO!F22="","",MAESTRO!F22)</f>
        <v/>
      </c>
      <c r="AJ22" s="178" t="n"/>
      <c r="AK22" s="61" t="n">
        <v>3.2</v>
      </c>
      <c r="AL22" s="62" t="n">
        <v>4.5</v>
      </c>
      <c r="AM22" s="61" t="n">
        <v>4.8</v>
      </c>
      <c r="AN22" s="61" t="n">
        <v>3.5</v>
      </c>
      <c r="AO22" s="61" t="n">
        <v>4.2</v>
      </c>
      <c r="AP22" s="61" t="n">
        <v>3.7</v>
      </c>
      <c r="AQ22" s="61" t="n">
        <v>3.1</v>
      </c>
      <c r="AR22" s="61" t="n">
        <v>5</v>
      </c>
      <c r="AS22" s="61" t="n">
        <v>5</v>
      </c>
      <c r="AT22" s="61" t="n">
        <v>3.5</v>
      </c>
      <c r="AU22" s="61" t="n">
        <v>4</v>
      </c>
      <c r="AV22" s="61" t="n">
        <v>4.9</v>
      </c>
      <c r="AW22" s="5">
        <f>IF(MAESTRO!F22="","",IFERROR(TRUNC(AVERAGE(AK22:AV22),1),""))</f>
        <v/>
      </c>
      <c r="AX22" s="22" t="n">
        <v>4.3</v>
      </c>
      <c r="AY22" s="22" t="n">
        <v>3.9</v>
      </c>
      <c r="AZ22" s="22" t="n">
        <v>4.2</v>
      </c>
      <c r="BA22" s="22" t="n">
        <v>4.8</v>
      </c>
      <c r="BB22" s="22" t="n">
        <v>4.7</v>
      </c>
      <c r="BC22" s="22" t="n">
        <v>3.9</v>
      </c>
      <c r="BD22" s="22" t="n">
        <v>3.7</v>
      </c>
      <c r="BE22" s="22" t="n">
        <v>4</v>
      </c>
      <c r="BF22" s="22" t="n">
        <v>4.9</v>
      </c>
      <c r="BG22" s="52" t="n">
        <v>4.8</v>
      </c>
      <c r="BH22" s="5">
        <f>IF(MAESTRO!F22="","",IFERROR(TRUNC(AVERAGE(AX22:BG22),1),""))</f>
        <v/>
      </c>
      <c r="BI22" s="22" t="n">
        <v>3.1</v>
      </c>
      <c r="BJ22" s="22" t="n">
        <v>3.4</v>
      </c>
      <c r="BK22" s="22">
        <f>IF(MAESTRO!F22="","",IFERROR(AVERAGE(BI22:BJ22),""))</f>
        <v/>
      </c>
      <c r="BL22" s="5">
        <f>IF(MAESTRO!F22="","",IFERROR(TRUNC(AVERAGE(AW22,BH22),1),""))</f>
        <v/>
      </c>
      <c r="BM22" s="177" t="n"/>
      <c r="BN22" s="177" t="n">
        <v>18</v>
      </c>
      <c r="BO22" s="177" t="n">
        <v>18</v>
      </c>
      <c r="BP22" s="177">
        <f>IF(MAESTRO!F22="","",MAESTRO!F22)</f>
        <v/>
      </c>
      <c r="BQ22" s="178" t="n"/>
      <c r="BR22" s="5" t="n">
        <v>3.5</v>
      </c>
      <c r="BS22" s="5" t="n">
        <v>4.7</v>
      </c>
      <c r="BT22" s="5" t="n">
        <v>3.9</v>
      </c>
      <c r="BU22" s="5" t="n">
        <v>4.7</v>
      </c>
      <c r="BV22" s="5" t="n">
        <v>3.8</v>
      </c>
      <c r="BW22" s="5" t="n">
        <v>4.7</v>
      </c>
      <c r="BX22" s="5" t="n">
        <v>3.6</v>
      </c>
      <c r="BY22" s="5" t="n">
        <v>3.9</v>
      </c>
      <c r="BZ22" s="5" t="n">
        <v>4.8</v>
      </c>
      <c r="CA22" s="5" t="n">
        <v>3.7</v>
      </c>
      <c r="CB22" s="5" t="n">
        <v>3.9</v>
      </c>
      <c r="CC22" s="5" t="n">
        <v>4.6</v>
      </c>
      <c r="CD22" s="5" t="n">
        <v>4.4</v>
      </c>
      <c r="CE22" s="5">
        <f>IF(MAESTRO!F22="","",IFERROR(TRUNC(AVERAGE(BR22:CD22),1),""))</f>
        <v/>
      </c>
      <c r="CF22" s="5" t="n">
        <v>4.3</v>
      </c>
      <c r="CG22" s="5" t="n">
        <v>3.9</v>
      </c>
      <c r="CH22" s="5" t="n">
        <v>3.6</v>
      </c>
      <c r="CI22" s="5" t="n">
        <v>3.6</v>
      </c>
      <c r="CJ22" s="5" t="n">
        <v>4.3</v>
      </c>
      <c r="CK22" s="5" t="n">
        <v>4.6</v>
      </c>
      <c r="CL22" s="5" t="n">
        <v>4.4</v>
      </c>
      <c r="CM22" s="5" t="n">
        <v>4.2</v>
      </c>
      <c r="CN22" s="5" t="n">
        <v>3.9</v>
      </c>
      <c r="CO22" s="5" t="n">
        <v>5</v>
      </c>
      <c r="CP22" s="5">
        <f>IF(MAESTRO!F22="","",IFERROR(TRUNC(AVERAGE(CF22:CO22),1),""))</f>
        <v/>
      </c>
      <c r="CQ22" s="5" t="n">
        <v>3.2</v>
      </c>
      <c r="CR22" s="5" t="n">
        <v>4.6</v>
      </c>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86">
        <f>IF(MAESTRO!F23="","",MAESTRO!F23)</f>
        <v/>
      </c>
      <c r="C23" s="5" t="n">
        <v>3.3</v>
      </c>
      <c r="D23" s="5" t="n">
        <v>4.8</v>
      </c>
      <c r="E23" s="5" t="n">
        <v>3.9</v>
      </c>
      <c r="F23" s="5" t="n">
        <v>4.9</v>
      </c>
      <c r="G23" s="5" t="n">
        <v>3.4</v>
      </c>
      <c r="H23" s="5" t="n">
        <v>3.8</v>
      </c>
      <c r="I23" s="5" t="n">
        <v>3.7</v>
      </c>
      <c r="J23" s="5" t="n">
        <v>3.5</v>
      </c>
      <c r="K23" s="5" t="n">
        <v>3.2</v>
      </c>
      <c r="L23" s="5" t="n">
        <v>4.7</v>
      </c>
      <c r="M23" s="5" t="n">
        <v>3.2</v>
      </c>
      <c r="N23" s="5" t="n">
        <v>3.1</v>
      </c>
      <c r="O23" s="5" t="n">
        <v>4</v>
      </c>
      <c r="P23" s="5">
        <f>IF(MAESTRO!F23="","",IFERROR(TRUNC(AVERAGE(C23:O23),1),""))</f>
        <v/>
      </c>
      <c r="Q23" s="40" t="n">
        <v>19</v>
      </c>
      <c r="R23" s="22" t="n">
        <v>3.3</v>
      </c>
      <c r="S23" s="22" t="n">
        <v>3.8</v>
      </c>
      <c r="T23" s="22" t="n">
        <v>4.6</v>
      </c>
      <c r="U23" s="22" t="n">
        <v>4.3</v>
      </c>
      <c r="V23" s="22" t="n">
        <v>5</v>
      </c>
      <c r="W23" s="22" t="n">
        <v>4</v>
      </c>
      <c r="X23" s="22" t="n">
        <v>4.2</v>
      </c>
      <c r="Y23" s="22" t="n">
        <v>4.4</v>
      </c>
      <c r="Z23" s="22" t="n">
        <v>4.6</v>
      </c>
      <c r="AA23" s="45">
        <f>IF(MAESTRO!F23="","",IFERROR(TRUNC(AVERAGE(R23:Z23),1),""))</f>
        <v/>
      </c>
      <c r="AB23" s="177" t="n">
        <v>4</v>
      </c>
      <c r="AC23" s="42" t="n">
        <v>4.8</v>
      </c>
      <c r="AD23" s="5">
        <f>IF(MAESTRO!F23="","",IFERROR(AVERAGE(AB23:AC23),""))</f>
        <v/>
      </c>
      <c r="AE23" s="44">
        <f>IF(MAESTRO!F23="","",IFERROR(TRUNC(AVERAGE(P23,AA23,AD23),1),""))</f>
        <v/>
      </c>
      <c r="AF23" s="177" t="n"/>
      <c r="AG23" s="177" t="n">
        <v>19</v>
      </c>
      <c r="AH23" s="177" t="n">
        <v>19</v>
      </c>
      <c r="AI23" s="177">
        <f>IF(MAESTRO!F23="","",MAESTRO!F23)</f>
        <v/>
      </c>
      <c r="AJ23" s="178" t="n"/>
      <c r="AK23" s="62" t="n">
        <v>3.5</v>
      </c>
      <c r="AL23" s="61" t="n">
        <v>3.2</v>
      </c>
      <c r="AM23" s="61" t="n">
        <v>4.9</v>
      </c>
      <c r="AN23" s="61" t="n">
        <v>3.8</v>
      </c>
      <c r="AO23" s="61" t="n">
        <v>4.3</v>
      </c>
      <c r="AP23" s="61" t="n">
        <v>3.1</v>
      </c>
      <c r="AQ23" s="61" t="n">
        <v>4.2</v>
      </c>
      <c r="AR23" s="61" t="n">
        <v>3</v>
      </c>
      <c r="AS23" s="61" t="n">
        <v>3.4</v>
      </c>
      <c r="AT23" s="61" t="n">
        <v>4.7</v>
      </c>
      <c r="AU23" s="61" t="n">
        <v>4.5</v>
      </c>
      <c r="AV23" s="61" t="n">
        <v>3.7</v>
      </c>
      <c r="AW23" s="5">
        <f>IF(MAESTRO!F23="","",IFERROR(TRUNC(AVERAGE(AK23:AV23),1),""))</f>
        <v/>
      </c>
      <c r="AX23" s="22" t="n">
        <v>3.3</v>
      </c>
      <c r="AY23" s="22" t="n">
        <v>4.8</v>
      </c>
      <c r="AZ23" s="22" t="n">
        <v>3.6</v>
      </c>
      <c r="BA23" s="22" t="n">
        <v>3.7</v>
      </c>
      <c r="BB23" s="22" t="n">
        <v>3.3</v>
      </c>
      <c r="BC23" s="22" t="n">
        <v>4.7</v>
      </c>
      <c r="BD23" s="22" t="n">
        <v>4.5</v>
      </c>
      <c r="BE23" s="22" t="n">
        <v>3.7</v>
      </c>
      <c r="BF23" s="22" t="n">
        <v>4.3</v>
      </c>
      <c r="BG23" s="52" t="n">
        <v>3.3</v>
      </c>
      <c r="BH23" s="5">
        <f>IF(MAESTRO!F23="","",IFERROR(TRUNC(AVERAGE(AX23:BG23),1),""))</f>
        <v/>
      </c>
      <c r="BI23" s="22" t="n">
        <v>3.3</v>
      </c>
      <c r="BJ23" s="22" t="n">
        <v>3.9</v>
      </c>
      <c r="BK23" s="22">
        <f>IF(MAESTRO!F23="","",IFERROR(AVERAGE(BI23:BJ23),""))</f>
        <v/>
      </c>
      <c r="BL23" s="5">
        <f>IF(MAESTRO!F23="","",IFERROR(TRUNC(AVERAGE(AW23,BH23),1),""))</f>
        <v/>
      </c>
      <c r="BM23" s="177" t="n"/>
      <c r="BN23" s="177" t="n">
        <v>19</v>
      </c>
      <c r="BO23" s="177" t="n">
        <v>19</v>
      </c>
      <c r="BP23" s="177">
        <f>IF(MAESTRO!F23="","",MAESTRO!F23)</f>
        <v/>
      </c>
      <c r="BQ23" s="178" t="n"/>
      <c r="BR23" s="5" t="n">
        <v>4.8</v>
      </c>
      <c r="BS23" s="5" t="n">
        <v>4.7</v>
      </c>
      <c r="BT23" s="5" t="n">
        <v>4.1</v>
      </c>
      <c r="BU23" s="5" t="n">
        <v>3.2</v>
      </c>
      <c r="BV23" s="5" t="n">
        <v>4.4</v>
      </c>
      <c r="BW23" s="5" t="n">
        <v>4.2</v>
      </c>
      <c r="BX23" s="5" t="n">
        <v>4.7</v>
      </c>
      <c r="BY23" s="5" t="n">
        <v>4.2</v>
      </c>
      <c r="BZ23" s="5" t="n">
        <v>4.8</v>
      </c>
      <c r="CA23" s="5" t="n">
        <v>3.2</v>
      </c>
      <c r="CB23" s="5" t="n">
        <v>5</v>
      </c>
      <c r="CC23" s="5" t="n">
        <v>3.4</v>
      </c>
      <c r="CD23" s="5" t="n">
        <v>3.6</v>
      </c>
      <c r="CE23" s="5">
        <f>IF(MAESTRO!F23="","",IFERROR(TRUNC(AVERAGE(BR23:CD23),1),""))</f>
        <v/>
      </c>
      <c r="CF23" s="5" t="n">
        <v>4.6</v>
      </c>
      <c r="CG23" s="5" t="n">
        <v>4.8</v>
      </c>
      <c r="CH23" s="5" t="n">
        <v>3.2</v>
      </c>
      <c r="CI23" s="5" t="n">
        <v>4.8</v>
      </c>
      <c r="CJ23" s="5" t="n">
        <v>3.8</v>
      </c>
      <c r="CK23" s="5" t="n">
        <v>3.1</v>
      </c>
      <c r="CL23" s="5" t="n">
        <v>3.7</v>
      </c>
      <c r="CM23" s="5" t="n">
        <v>5</v>
      </c>
      <c r="CN23" s="5" t="n">
        <v>5</v>
      </c>
      <c r="CO23" s="5" t="n">
        <v>4.4</v>
      </c>
      <c r="CP23" s="5">
        <f>IF(MAESTRO!F23="","",IFERROR(TRUNC(AVERAGE(CF23:CO23),1),""))</f>
        <v/>
      </c>
      <c r="CQ23" s="5" t="n">
        <v>4.8</v>
      </c>
      <c r="CR23" s="5" t="n">
        <v>4.5</v>
      </c>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86">
        <f>IF(MAESTRO!F24="","",MAESTRO!F24)</f>
        <v/>
      </c>
      <c r="C24" s="5" t="n">
        <v>3.2</v>
      </c>
      <c r="D24" s="5" t="n">
        <v>5</v>
      </c>
      <c r="E24" s="5" t="n">
        <v>4.8</v>
      </c>
      <c r="F24" s="5" t="n">
        <v>4.5</v>
      </c>
      <c r="G24" s="5" t="n">
        <v>3.3</v>
      </c>
      <c r="H24" s="5" t="n">
        <v>4.1</v>
      </c>
      <c r="I24" s="5" t="n">
        <v>4.8</v>
      </c>
      <c r="J24" s="5" t="n">
        <v>3.5</v>
      </c>
      <c r="K24" s="5" t="n">
        <v>3.9</v>
      </c>
      <c r="L24" s="5" t="n">
        <v>3.1</v>
      </c>
      <c r="M24" s="5" t="n">
        <v>3.1</v>
      </c>
      <c r="N24" s="5" t="n">
        <v>3</v>
      </c>
      <c r="O24" s="5" t="n">
        <v>3.8</v>
      </c>
      <c r="P24" s="5">
        <f>IF(MAESTRO!F24="","",IFERROR(TRUNC(AVERAGE(C24:O24),1),""))</f>
        <v/>
      </c>
      <c r="Q24" s="40" t="n">
        <v>20</v>
      </c>
      <c r="R24" s="22" t="n">
        <v>3.3</v>
      </c>
      <c r="S24" s="22" t="n">
        <v>3.7</v>
      </c>
      <c r="T24" s="22" t="n">
        <v>4.8</v>
      </c>
      <c r="U24" s="22" t="n">
        <v>4.4</v>
      </c>
      <c r="V24" s="22" t="n">
        <v>4.7</v>
      </c>
      <c r="W24" s="22" t="n">
        <v>4.2</v>
      </c>
      <c r="X24" s="22" t="n">
        <v>3.5</v>
      </c>
      <c r="Y24" s="22" t="n">
        <v>3.5</v>
      </c>
      <c r="Z24" s="22" t="n">
        <v>3.6</v>
      </c>
      <c r="AA24" s="45">
        <f>IF(MAESTRO!F24="","",IFERROR(TRUNC(AVERAGE(R24:Z24),1),""))</f>
        <v/>
      </c>
      <c r="AB24" s="177" t="n">
        <v>3.4</v>
      </c>
      <c r="AC24" s="42" t="n">
        <v>4.6</v>
      </c>
      <c r="AD24" s="5">
        <f>IF(MAESTRO!F24="","",IFERROR(AVERAGE(AB24:AC24),""))</f>
        <v/>
      </c>
      <c r="AE24" s="44">
        <f>IF(MAESTRO!F24="","",IFERROR(TRUNC(AVERAGE(P24,AA24,AD24),1),""))</f>
        <v/>
      </c>
      <c r="AF24" s="177" t="n"/>
      <c r="AG24" s="177" t="n">
        <v>20</v>
      </c>
      <c r="AH24" s="177" t="n">
        <v>20</v>
      </c>
      <c r="AI24" s="177">
        <f>IF(MAESTRO!F24="","",MAESTRO!F24)</f>
        <v/>
      </c>
      <c r="AJ24" s="178" t="n"/>
      <c r="AK24" s="61" t="n">
        <v>3</v>
      </c>
      <c r="AL24" s="61" t="n">
        <v>3.2</v>
      </c>
      <c r="AM24" s="61" t="n">
        <v>3</v>
      </c>
      <c r="AN24" s="61" t="n">
        <v>3.5</v>
      </c>
      <c r="AO24" s="61" t="n">
        <v>3.5</v>
      </c>
      <c r="AP24" s="61" t="n">
        <v>5</v>
      </c>
      <c r="AQ24" s="61" t="n">
        <v>4</v>
      </c>
      <c r="AR24" s="61" t="n">
        <v>3.7</v>
      </c>
      <c r="AS24" s="61" t="n">
        <v>3.8</v>
      </c>
      <c r="AT24" s="61" t="n">
        <v>4.4</v>
      </c>
      <c r="AU24" s="61" t="n">
        <v>3.5</v>
      </c>
      <c r="AV24" s="61" t="n">
        <v>3.3</v>
      </c>
      <c r="AW24" s="5">
        <f>IF(MAESTRO!F24="","",IFERROR(TRUNC(AVERAGE(AK24:AV24),1),""))</f>
        <v/>
      </c>
      <c r="AX24" s="22" t="n">
        <v>4.9</v>
      </c>
      <c r="AY24" s="22" t="n">
        <v>3.8</v>
      </c>
      <c r="AZ24" s="22" t="n">
        <v>4.3</v>
      </c>
      <c r="BA24" s="22" t="n">
        <v>4.5</v>
      </c>
      <c r="BB24" s="22" t="n">
        <v>3</v>
      </c>
      <c r="BC24" s="22" t="n">
        <v>4.1</v>
      </c>
      <c r="BD24" s="22" t="n">
        <v>3.4</v>
      </c>
      <c r="BE24" s="22" t="n">
        <v>3.5</v>
      </c>
      <c r="BF24" s="22" t="n">
        <v>4.6</v>
      </c>
      <c r="BG24" s="52" t="n">
        <v>3.7</v>
      </c>
      <c r="BH24" s="5">
        <f>IF(MAESTRO!F24="","",IFERROR(TRUNC(AVERAGE(AX24:BG24),1),""))</f>
        <v/>
      </c>
      <c r="BI24" s="22" t="n">
        <v>3.9</v>
      </c>
      <c r="BJ24" s="22" t="n">
        <v>3</v>
      </c>
      <c r="BK24" s="22">
        <f>IF(MAESTRO!F24="","",IFERROR(AVERAGE(BI24:BJ24),""))</f>
        <v/>
      </c>
      <c r="BL24" s="5">
        <f>IF(MAESTRO!F24="","",IFERROR(TRUNC(AVERAGE(AW24,BH24),1),""))</f>
        <v/>
      </c>
      <c r="BM24" s="177" t="n"/>
      <c r="BN24" s="177" t="n">
        <v>20</v>
      </c>
      <c r="BO24" s="177" t="n">
        <v>20</v>
      </c>
      <c r="BP24" s="177">
        <f>IF(MAESTRO!F24="","",MAESTRO!F24)</f>
        <v/>
      </c>
      <c r="BQ24" s="178" t="n"/>
      <c r="BR24" s="5" t="n">
        <v>4.1</v>
      </c>
      <c r="BS24" s="5" t="n">
        <v>3.3</v>
      </c>
      <c r="BT24" s="5" t="n">
        <v>3.6</v>
      </c>
      <c r="BU24" s="5" t="n">
        <v>3.4</v>
      </c>
      <c r="BV24" s="5" t="n">
        <v>3.8</v>
      </c>
      <c r="BW24" s="5" t="n">
        <v>3.3</v>
      </c>
      <c r="BX24" s="5" t="n">
        <v>4</v>
      </c>
      <c r="BY24" s="5" t="n">
        <v>4.6</v>
      </c>
      <c r="BZ24" s="5" t="n">
        <v>4.8</v>
      </c>
      <c r="CA24" s="5" t="n">
        <v>4.5</v>
      </c>
      <c r="CB24" s="5" t="n">
        <v>4.4</v>
      </c>
      <c r="CC24" s="5" t="n">
        <v>4.6</v>
      </c>
      <c r="CD24" s="5" t="n">
        <v>4.7</v>
      </c>
      <c r="CE24" s="5">
        <f>IF(MAESTRO!F24="","",IFERROR(TRUNC(AVERAGE(BR24:CD24),1),""))</f>
        <v/>
      </c>
      <c r="CF24" s="5" t="n">
        <v>4.3</v>
      </c>
      <c r="CG24" s="5" t="n">
        <v>4.3</v>
      </c>
      <c r="CH24" s="5" t="n">
        <v>3.8</v>
      </c>
      <c r="CI24" s="5" t="n">
        <v>4.5</v>
      </c>
      <c r="CJ24" s="5" t="n">
        <v>4</v>
      </c>
      <c r="CK24" s="5" t="n">
        <v>4</v>
      </c>
      <c r="CL24" s="5" t="n">
        <v>4.5</v>
      </c>
      <c r="CM24" s="5" t="n">
        <v>3.8</v>
      </c>
      <c r="CN24" s="5" t="n">
        <v>5</v>
      </c>
      <c r="CO24" s="5" t="n">
        <v>4.4</v>
      </c>
      <c r="CP24" s="5">
        <f>IF(MAESTRO!F24="","",IFERROR(TRUNC(AVERAGE(CF24:CO24),1),""))</f>
        <v/>
      </c>
      <c r="CQ24" s="5" t="n">
        <v>4</v>
      </c>
      <c r="CR24" s="5" t="n">
        <v>3.6</v>
      </c>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86">
        <f>IF(MAESTRO!F25="","",MAESTRO!F25)</f>
        <v/>
      </c>
      <c r="C25" s="5" t="n">
        <v>4.6</v>
      </c>
      <c r="D25" s="5" t="n">
        <v>4.3</v>
      </c>
      <c r="E25" s="5" t="n">
        <v>5</v>
      </c>
      <c r="F25" s="5" t="n">
        <v>4.6</v>
      </c>
      <c r="G25" s="5" t="n">
        <v>4.8</v>
      </c>
      <c r="H25" s="5" t="n">
        <v>4.7</v>
      </c>
      <c r="I25" s="5" t="n">
        <v>4.3</v>
      </c>
      <c r="J25" s="5" t="n">
        <v>3.5</v>
      </c>
      <c r="K25" s="5" t="n">
        <v>3.8</v>
      </c>
      <c r="L25" s="5" t="n">
        <v>4.6</v>
      </c>
      <c r="M25" s="5" t="n">
        <v>4.3</v>
      </c>
      <c r="N25" s="5" t="n">
        <v>4.6</v>
      </c>
      <c r="O25" s="5" t="n">
        <v>4.4</v>
      </c>
      <c r="P25" s="5">
        <f>IF(MAESTRO!F25="","",IFERROR(TRUNC(AVERAGE(C25:O25),1),""))</f>
        <v/>
      </c>
      <c r="Q25" s="40" t="n">
        <v>21</v>
      </c>
      <c r="R25" s="22" t="n">
        <v>3.8</v>
      </c>
      <c r="S25" s="22" t="n">
        <v>4.3</v>
      </c>
      <c r="T25" s="22" t="n">
        <v>4.7</v>
      </c>
      <c r="U25" s="22" t="n">
        <v>3.2</v>
      </c>
      <c r="V25" s="22" t="n">
        <v>3.5</v>
      </c>
      <c r="W25" s="22" t="n">
        <v>4</v>
      </c>
      <c r="X25" s="22" t="n">
        <v>4.8</v>
      </c>
      <c r="Y25" s="22" t="n">
        <v>4.3</v>
      </c>
      <c r="Z25" s="22" t="n">
        <v>4.7</v>
      </c>
      <c r="AA25" s="45">
        <f>IF(MAESTRO!F25="","",IFERROR(TRUNC(AVERAGE(R25:Z25),1),""))</f>
        <v/>
      </c>
      <c r="AB25" s="177" t="n">
        <v>4.1</v>
      </c>
      <c r="AC25" s="42" t="n">
        <v>4.7</v>
      </c>
      <c r="AD25" s="5">
        <f>IF(MAESTRO!F25="","",IFERROR(AVERAGE(AB25:AC25),""))</f>
        <v/>
      </c>
      <c r="AE25" s="44">
        <f>IF(MAESTRO!F25="","",IFERROR(TRUNC(AVERAGE(P25,AA25,AD25),1),""))</f>
        <v/>
      </c>
      <c r="AF25" s="177" t="n"/>
      <c r="AG25" s="177" t="n">
        <v>21</v>
      </c>
      <c r="AH25" s="177" t="n">
        <v>21</v>
      </c>
      <c r="AI25" s="177">
        <f>IF(MAESTRO!F25="","",MAESTRO!F25)</f>
        <v/>
      </c>
      <c r="AJ25" s="178" t="n"/>
      <c r="AK25" s="61" t="n">
        <v>4.2</v>
      </c>
      <c r="AL25" s="61" t="n">
        <v>4.5</v>
      </c>
      <c r="AM25" s="61" t="n">
        <v>3.2</v>
      </c>
      <c r="AN25" s="61" t="n">
        <v>3.7</v>
      </c>
      <c r="AO25" s="61" t="n">
        <v>4.4</v>
      </c>
      <c r="AP25" s="61" t="n">
        <v>4.1</v>
      </c>
      <c r="AQ25" s="61" t="n">
        <v>4.7</v>
      </c>
      <c r="AR25" s="61" t="n">
        <v>3.3</v>
      </c>
      <c r="AS25" s="61" t="n">
        <v>3.4</v>
      </c>
      <c r="AT25" s="61" t="n">
        <v>4.2</v>
      </c>
      <c r="AU25" s="61" t="n">
        <v>4.4</v>
      </c>
      <c r="AV25" s="61" t="n">
        <v>3.9</v>
      </c>
      <c r="AW25" s="5">
        <f>IF(MAESTRO!F25="","",IFERROR(TRUNC(AVERAGE(AK25:AV25),1),""))</f>
        <v/>
      </c>
      <c r="AX25" s="22" t="n">
        <v>3.8</v>
      </c>
      <c r="AY25" s="92" t="n">
        <v>4.8</v>
      </c>
      <c r="AZ25" s="22" t="n">
        <v>3.2</v>
      </c>
      <c r="BA25" s="22" t="n">
        <v>4.2</v>
      </c>
      <c r="BB25" s="22" t="n">
        <v>4.5</v>
      </c>
      <c r="BC25" s="22" t="n">
        <v>4.2</v>
      </c>
      <c r="BD25" s="22" t="n">
        <v>3.8</v>
      </c>
      <c r="BE25" s="22" t="n">
        <v>4</v>
      </c>
      <c r="BF25" s="22" t="n">
        <v>3.2</v>
      </c>
      <c r="BG25" s="52" t="n">
        <v>4.4</v>
      </c>
      <c r="BH25" s="5">
        <f>IF(MAESTRO!F25="","",IFERROR(TRUNC(AVERAGE(AX25:BG25),1),""))</f>
        <v/>
      </c>
      <c r="BI25" s="22" t="n">
        <v>3.2</v>
      </c>
      <c r="BJ25" s="22" t="n">
        <v>3.7</v>
      </c>
      <c r="BK25" s="22">
        <f>IF(MAESTRO!F25="","",IFERROR(AVERAGE(BI25:BJ25),""))</f>
        <v/>
      </c>
      <c r="BL25" s="5">
        <f>IF(MAESTRO!F25="","",IFERROR(TRUNC(AVERAGE(AW25,BH25),1),""))</f>
        <v/>
      </c>
      <c r="BM25" s="177" t="n"/>
      <c r="BN25" s="177" t="n">
        <v>21</v>
      </c>
      <c r="BO25" s="177" t="n">
        <v>21</v>
      </c>
      <c r="BP25" s="177">
        <f>IF(MAESTRO!F25="","",MAESTRO!F25)</f>
        <v/>
      </c>
      <c r="BQ25" s="178" t="n"/>
      <c r="BR25" s="5" t="n">
        <v>3.1</v>
      </c>
      <c r="BS25" s="5" t="n">
        <v>3.4</v>
      </c>
      <c r="BT25" s="5" t="n">
        <v>4.2</v>
      </c>
      <c r="BU25" s="5" t="n">
        <v>4.8</v>
      </c>
      <c r="BV25" s="5" t="n">
        <v>3.6</v>
      </c>
      <c r="BW25" s="5" t="n">
        <v>4.1</v>
      </c>
      <c r="BX25" s="5" t="n">
        <v>3.7</v>
      </c>
      <c r="BY25" s="5" t="n">
        <v>4.1</v>
      </c>
      <c r="BZ25" s="5" t="n">
        <v>3.5</v>
      </c>
      <c r="CA25" s="5" t="n">
        <v>3.4</v>
      </c>
      <c r="CB25" s="5" t="n">
        <v>3.1</v>
      </c>
      <c r="CC25" s="5" t="n">
        <v>4</v>
      </c>
      <c r="CD25" s="5" t="n">
        <v>3.9</v>
      </c>
      <c r="CE25" s="5">
        <f>IF(MAESTRO!F25="","",IFERROR(TRUNC(AVERAGE(BR25:CD25),1),""))</f>
        <v/>
      </c>
      <c r="CF25" s="5" t="n">
        <v>4.2</v>
      </c>
      <c r="CG25" s="5" t="n">
        <v>3.3</v>
      </c>
      <c r="CH25" s="5" t="n">
        <v>3.6</v>
      </c>
      <c r="CI25" s="5" t="n">
        <v>4.8</v>
      </c>
      <c r="CJ25" s="5" t="n">
        <v>4.1</v>
      </c>
      <c r="CK25" s="5" t="n">
        <v>4.9</v>
      </c>
      <c r="CL25" s="5" t="n">
        <v>3.7</v>
      </c>
      <c r="CM25" s="5" t="n">
        <v>4.6</v>
      </c>
      <c r="CN25" s="5" t="n">
        <v>4.6</v>
      </c>
      <c r="CO25" s="5" t="n">
        <v>4.4</v>
      </c>
      <c r="CP25" s="5">
        <f>IF(MAESTRO!F25="","",IFERROR(TRUNC(AVERAGE(CF25:CO25),1),""))</f>
        <v/>
      </c>
      <c r="CQ25" s="5" t="n">
        <v>3.4</v>
      </c>
      <c r="CR25" s="5" t="n">
        <v>3.5</v>
      </c>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86">
        <f>IF(MAESTRO!F26="","",MAESTRO!F26)</f>
        <v/>
      </c>
      <c r="C26" s="5" t="n">
        <v>3.8</v>
      </c>
      <c r="D26" s="5" t="n">
        <v>3.3</v>
      </c>
      <c r="E26" s="5" t="n">
        <v>4</v>
      </c>
      <c r="F26" s="5" t="n">
        <v>3.6</v>
      </c>
      <c r="G26" s="5" t="n">
        <v>4.9</v>
      </c>
      <c r="H26" s="5" t="n">
        <v>4.2</v>
      </c>
      <c r="I26" s="5" t="n">
        <v>5</v>
      </c>
      <c r="J26" s="5" t="n">
        <v>4.8</v>
      </c>
      <c r="K26" s="5" t="n">
        <v>3.5</v>
      </c>
      <c r="L26" s="5" t="n">
        <v>3.9</v>
      </c>
      <c r="M26" s="5" t="n">
        <v>3.8</v>
      </c>
      <c r="N26" s="5" t="n">
        <v>4.1</v>
      </c>
      <c r="O26" s="5" t="n">
        <v>4.6</v>
      </c>
      <c r="P26" s="5">
        <f>IF(MAESTRO!F26="","",IFERROR(TRUNC(AVERAGE(C26:O26),1),""))</f>
        <v/>
      </c>
      <c r="Q26" s="40" t="n">
        <v>22</v>
      </c>
      <c r="R26" s="22" t="n">
        <v>3.2</v>
      </c>
      <c r="S26" s="22" t="n">
        <v>4.7</v>
      </c>
      <c r="T26" s="22" t="n">
        <v>4.2</v>
      </c>
      <c r="U26" s="22" t="n">
        <v>4.3</v>
      </c>
      <c r="V26" s="22" t="n">
        <v>3.2</v>
      </c>
      <c r="W26" s="22" t="n">
        <v>3.6</v>
      </c>
      <c r="X26" s="22" t="n">
        <v>3.7</v>
      </c>
      <c r="Y26" s="22" t="n">
        <v>3.8</v>
      </c>
      <c r="Z26" s="22" t="n">
        <v>3.8</v>
      </c>
      <c r="AA26" s="45">
        <f>IF(MAESTRO!F26="","",IFERROR(TRUNC(AVERAGE(R26:Z26),1),""))</f>
        <v/>
      </c>
      <c r="AB26" s="177" t="n">
        <v>4.5</v>
      </c>
      <c r="AC26" s="42" t="n">
        <v>3.8</v>
      </c>
      <c r="AD26" s="5">
        <f>IF(MAESTRO!F26="","",IFERROR(AVERAGE(AB26:AC26),""))</f>
        <v/>
      </c>
      <c r="AE26" s="44">
        <f>IF(MAESTRO!F26="","",IFERROR(TRUNC(AVERAGE(P26,AA26,AD26),1),""))</f>
        <v/>
      </c>
      <c r="AF26" s="177" t="n"/>
      <c r="AG26" s="177" t="n">
        <v>22</v>
      </c>
      <c r="AH26" s="177" t="n">
        <v>22</v>
      </c>
      <c r="AI26" s="177">
        <f>IF(MAESTRO!F26="","",MAESTRO!F26)</f>
        <v/>
      </c>
      <c r="AJ26" s="178" t="n"/>
      <c r="AK26" s="61" t="n">
        <v>4.3</v>
      </c>
      <c r="AL26" s="61" t="n">
        <v>4.3</v>
      </c>
      <c r="AM26" s="61" t="n">
        <v>4.5</v>
      </c>
      <c r="AN26" s="61" t="n">
        <v>4.6</v>
      </c>
      <c r="AO26" s="61" t="n">
        <v>3.6</v>
      </c>
      <c r="AP26" s="61" t="n">
        <v>4.7</v>
      </c>
      <c r="AQ26" s="61" t="n">
        <v>3.5</v>
      </c>
      <c r="AR26" s="61" t="n">
        <v>4.3</v>
      </c>
      <c r="AS26" s="61" t="n">
        <v>3.3</v>
      </c>
      <c r="AT26" s="61" t="n">
        <v>5</v>
      </c>
      <c r="AU26" s="61" t="n">
        <v>3.7</v>
      </c>
      <c r="AV26" s="61" t="n">
        <v>4.1</v>
      </c>
      <c r="AW26" s="5">
        <f>IF(MAESTRO!F26="","",IFERROR(TRUNC(AVERAGE(AK26:AV26),1),""))</f>
        <v/>
      </c>
      <c r="AX26" s="22" t="n">
        <v>3.1</v>
      </c>
      <c r="AY26" s="92" t="n">
        <v>3.2</v>
      </c>
      <c r="AZ26" s="22" t="n">
        <v>3.7</v>
      </c>
      <c r="BA26" s="22" t="n">
        <v>4.7</v>
      </c>
      <c r="BB26" s="22" t="n">
        <v>3.5</v>
      </c>
      <c r="BC26" s="22" t="n">
        <v>4.1</v>
      </c>
      <c r="BD26" s="22" t="n">
        <v>3.7</v>
      </c>
      <c r="BE26" s="22" t="n">
        <v>4.8</v>
      </c>
      <c r="BF26" s="22" t="n">
        <v>4</v>
      </c>
      <c r="BG26" s="52" t="n">
        <v>3.9</v>
      </c>
      <c r="BH26" s="5">
        <f>IF(MAESTRO!F26="","",IFERROR(TRUNC(AVERAGE(AX26:BG26),1),""))</f>
        <v/>
      </c>
      <c r="BI26" s="22" t="n">
        <v>4.4</v>
      </c>
      <c r="BJ26" s="22" t="n">
        <v>4.9</v>
      </c>
      <c r="BK26" s="22">
        <f>IF(MAESTRO!F26="","",IFERROR(AVERAGE(BI26:BJ26),""))</f>
        <v/>
      </c>
      <c r="BL26" s="5">
        <f>IF(MAESTRO!F26="","",IFERROR(TRUNC(AVERAGE(AW26,BH26),1),""))</f>
        <v/>
      </c>
      <c r="BM26" s="177" t="n"/>
      <c r="BN26" s="177" t="n">
        <v>22</v>
      </c>
      <c r="BO26" s="177" t="n">
        <v>22</v>
      </c>
      <c r="BP26" s="177">
        <f>IF(MAESTRO!F26="","",MAESTRO!F26)</f>
        <v/>
      </c>
      <c r="BQ26" s="178" t="n"/>
      <c r="BR26" s="5" t="n">
        <v>3.9</v>
      </c>
      <c r="BS26" s="5" t="n">
        <v>3.1</v>
      </c>
      <c r="BT26" s="5" t="n">
        <v>4.4</v>
      </c>
      <c r="BU26" s="5" t="n">
        <v>4.6</v>
      </c>
      <c r="BV26" s="5" t="n">
        <v>3.7</v>
      </c>
      <c r="BW26" s="5" t="n">
        <v>3.4</v>
      </c>
      <c r="BX26" s="5" t="n">
        <v>4.3</v>
      </c>
      <c r="BY26" s="5" t="n">
        <v>4.7</v>
      </c>
      <c r="BZ26" s="5" t="n">
        <v>4.5</v>
      </c>
      <c r="CA26" s="5" t="n">
        <v>4</v>
      </c>
      <c r="CB26" s="5" t="n">
        <v>3.2</v>
      </c>
      <c r="CC26" s="5" t="n">
        <v>3.4</v>
      </c>
      <c r="CD26" s="5" t="n">
        <v>4.8</v>
      </c>
      <c r="CE26" s="5">
        <f>IF(MAESTRO!F26="","",IFERROR(TRUNC(AVERAGE(BR26:CD26),1),""))</f>
        <v/>
      </c>
      <c r="CF26" s="5" t="n">
        <v>3.2</v>
      </c>
      <c r="CG26" s="5" t="n">
        <v>4.4</v>
      </c>
      <c r="CH26" s="5" t="n">
        <v>4.3</v>
      </c>
      <c r="CI26" s="5" t="n">
        <v>3.3</v>
      </c>
      <c r="CJ26" s="5" t="n">
        <v>4.8</v>
      </c>
      <c r="CK26" s="5" t="n">
        <v>5</v>
      </c>
      <c r="CL26" s="5" t="n">
        <v>3.1</v>
      </c>
      <c r="CM26" s="5" t="n">
        <v>3.2</v>
      </c>
      <c r="CN26" s="5" t="n">
        <v>3.9</v>
      </c>
      <c r="CO26" s="5" t="n">
        <v>3.2</v>
      </c>
      <c r="CP26" s="5">
        <f>IF(MAESTRO!F26="","",IFERROR(TRUNC(AVERAGE(CF26:CO26),1),""))</f>
        <v/>
      </c>
      <c r="CQ26" s="5" t="n">
        <v>4.9</v>
      </c>
      <c r="CR26" s="5" t="n">
        <v>3.5</v>
      </c>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86">
        <f>IF(MAESTRO!F27="","",MAESTRO!F27)</f>
        <v/>
      </c>
      <c r="C27" s="5" t="n">
        <v>4.7</v>
      </c>
      <c r="D27" s="5" t="n">
        <v>3.7</v>
      </c>
      <c r="E27" s="5" t="n">
        <v>3.9</v>
      </c>
      <c r="F27" s="5" t="n">
        <v>3</v>
      </c>
      <c r="G27" s="5" t="n">
        <v>3.7</v>
      </c>
      <c r="H27" s="5" t="n">
        <v>3.6</v>
      </c>
      <c r="I27" s="5" t="n">
        <v>3.6</v>
      </c>
      <c r="J27" s="5" t="n">
        <v>3.6</v>
      </c>
      <c r="K27" s="5" t="n">
        <v>4.6</v>
      </c>
      <c r="L27" s="5" t="n">
        <v>3.6</v>
      </c>
      <c r="M27" s="5" t="n">
        <v>4.8</v>
      </c>
      <c r="N27" s="5" t="n">
        <v>3.8</v>
      </c>
      <c r="O27" s="5" t="n">
        <v>3.1</v>
      </c>
      <c r="P27" s="5">
        <f>IF(MAESTRO!F27="","",IFERROR(TRUNC(AVERAGE(C27:O27),1),""))</f>
        <v/>
      </c>
      <c r="Q27" s="40" t="n">
        <v>23</v>
      </c>
      <c r="R27" s="22" t="n">
        <v>3.2</v>
      </c>
      <c r="S27" s="22" t="n">
        <v>4.7</v>
      </c>
      <c r="T27" s="22" t="n">
        <v>4</v>
      </c>
      <c r="U27" s="22" t="n">
        <v>3.8</v>
      </c>
      <c r="V27" s="22" t="n">
        <v>3.9</v>
      </c>
      <c r="W27" s="22" t="n">
        <v>4.5</v>
      </c>
      <c r="X27" s="22" t="n">
        <v>3.7</v>
      </c>
      <c r="Y27" s="22" t="n">
        <v>4</v>
      </c>
      <c r="Z27" s="22" t="n">
        <v>4.7</v>
      </c>
      <c r="AA27" s="45">
        <f>IF(MAESTRO!F27="","",IFERROR(TRUNC(AVERAGE(R27:Z27),1),""))</f>
        <v/>
      </c>
      <c r="AB27" s="177" t="n">
        <v>3</v>
      </c>
      <c r="AC27" s="42" t="n">
        <v>4.5</v>
      </c>
      <c r="AD27" s="5">
        <f>IF(MAESTRO!F27="","",IFERROR(AVERAGE(AB27:AC27),""))</f>
        <v/>
      </c>
      <c r="AE27" s="44">
        <f>IF(MAESTRO!F27="","",IFERROR(TRUNC(AVERAGE(P27,AA27,AD27),1),""))</f>
        <v/>
      </c>
      <c r="AF27" s="177" t="n"/>
      <c r="AG27" s="177" t="n">
        <v>23</v>
      </c>
      <c r="AH27" s="177" t="n">
        <v>23</v>
      </c>
      <c r="AI27" s="177">
        <f>IF(MAESTRO!F27="","",MAESTRO!F27)</f>
        <v/>
      </c>
      <c r="AJ27" s="178" t="n"/>
      <c r="AK27" s="61" t="n">
        <v>5</v>
      </c>
      <c r="AL27" s="61" t="n">
        <v>3.9</v>
      </c>
      <c r="AM27" s="61" t="n">
        <v>4.1</v>
      </c>
      <c r="AN27" s="61" t="n">
        <v>4.1</v>
      </c>
      <c r="AO27" s="61" t="n">
        <v>3.3</v>
      </c>
      <c r="AP27" s="61" t="n">
        <v>4.9</v>
      </c>
      <c r="AQ27" s="61" t="n">
        <v>3.7</v>
      </c>
      <c r="AR27" s="61" t="n">
        <v>3.9</v>
      </c>
      <c r="AS27" s="61" t="n">
        <v>3.1</v>
      </c>
      <c r="AT27" s="61" t="n">
        <v>3.5</v>
      </c>
      <c r="AU27" s="61" t="n">
        <v>4</v>
      </c>
      <c r="AV27" s="61" t="n">
        <v>4.7</v>
      </c>
      <c r="AW27" s="5">
        <f>IF(MAESTRO!F27="","",IFERROR(TRUNC(AVERAGE(AK27:AV27),1),""))</f>
        <v/>
      </c>
      <c r="AX27" s="22" t="n">
        <v>4.1</v>
      </c>
      <c r="AY27" s="92" t="n">
        <v>3.8</v>
      </c>
      <c r="AZ27" s="22" t="n">
        <v>3.7</v>
      </c>
      <c r="BA27" s="22" t="n">
        <v>3.5</v>
      </c>
      <c r="BB27" s="22" t="n">
        <v>3.2</v>
      </c>
      <c r="BC27" s="22" t="n">
        <v>4</v>
      </c>
      <c r="BD27" s="22" t="n">
        <v>4.5</v>
      </c>
      <c r="BE27" s="22" t="n">
        <v>3.1</v>
      </c>
      <c r="BF27" s="22" t="n">
        <v>3.8</v>
      </c>
      <c r="BG27" s="52" t="n">
        <v>4.5</v>
      </c>
      <c r="BH27" s="5">
        <f>IF(MAESTRO!F27="","",IFERROR(TRUNC(AVERAGE(AX27:BG27),1),""))</f>
        <v/>
      </c>
      <c r="BI27" s="22" t="n">
        <v>3.2</v>
      </c>
      <c r="BJ27" s="22" t="n">
        <v>4.2</v>
      </c>
      <c r="BK27" s="22">
        <f>IF(MAESTRO!F27="","",IFERROR(AVERAGE(BI27:BJ27),""))</f>
        <v/>
      </c>
      <c r="BL27" s="5">
        <f>IF(MAESTRO!F27="","",IFERROR(TRUNC(AVERAGE(AW27,BH27),1),""))</f>
        <v/>
      </c>
      <c r="BM27" s="177" t="n"/>
      <c r="BN27" s="177" t="n">
        <v>23</v>
      </c>
      <c r="BO27" s="177" t="n">
        <v>23</v>
      </c>
      <c r="BP27" s="177">
        <f>IF(MAESTRO!F27="","",MAESTRO!F27)</f>
        <v/>
      </c>
      <c r="BQ27" s="178" t="n"/>
      <c r="BR27" s="5" t="n">
        <v>5</v>
      </c>
      <c r="BS27" s="5" t="n">
        <v>4.3</v>
      </c>
      <c r="BT27" s="5" t="n">
        <v>3.2</v>
      </c>
      <c r="BU27" s="5" t="n">
        <v>4.3</v>
      </c>
      <c r="BV27" s="5" t="n">
        <v>3.4</v>
      </c>
      <c r="BW27" s="5" t="n">
        <v>4.6</v>
      </c>
      <c r="BX27" s="5" t="n">
        <v>3.5</v>
      </c>
      <c r="BY27" s="5" t="n">
        <v>4.3</v>
      </c>
      <c r="BZ27" s="5" t="n">
        <v>4.5</v>
      </c>
      <c r="CA27" s="5" t="n">
        <v>4.4</v>
      </c>
      <c r="CB27" s="5" t="n">
        <v>3.9</v>
      </c>
      <c r="CC27" s="5" t="n">
        <v>4.2</v>
      </c>
      <c r="CD27" s="5" t="n">
        <v>4.5</v>
      </c>
      <c r="CE27" s="5">
        <f>IF(MAESTRO!F27="","",IFERROR(TRUNC(AVERAGE(BR27:CD27),1),""))</f>
        <v/>
      </c>
      <c r="CF27" s="5" t="n">
        <v>3.3</v>
      </c>
      <c r="CG27" s="5" t="n">
        <v>4.3</v>
      </c>
      <c r="CH27" s="5" t="n">
        <v>4.5</v>
      </c>
      <c r="CI27" s="5" t="n">
        <v>3.6</v>
      </c>
      <c r="CJ27" s="5" t="n">
        <v>4.8</v>
      </c>
      <c r="CK27" s="5" t="n">
        <v>3.8</v>
      </c>
      <c r="CL27" s="5" t="n">
        <v>3.6</v>
      </c>
      <c r="CM27" s="5" t="n">
        <v>4.2</v>
      </c>
      <c r="CN27" s="5" t="n">
        <v>4.7</v>
      </c>
      <c r="CO27" s="5" t="n">
        <v>4.3</v>
      </c>
      <c r="CP27" s="5">
        <f>IF(MAESTRO!F27="","",IFERROR(TRUNC(AVERAGE(CF27:CO27),1),""))</f>
        <v/>
      </c>
      <c r="CQ27" s="5" t="n">
        <v>3.3</v>
      </c>
      <c r="CR27" s="5" t="n">
        <v>3.1</v>
      </c>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86">
        <f>IF(MAESTRO!F28="","",MAESTRO!F28)</f>
        <v/>
      </c>
      <c r="C28" s="5" t="n">
        <v>3.1</v>
      </c>
      <c r="D28" s="5" t="n">
        <v>4.3</v>
      </c>
      <c r="E28" s="5" t="n">
        <v>3.1</v>
      </c>
      <c r="F28" s="5" t="n">
        <v>3.3</v>
      </c>
      <c r="G28" s="5" t="n">
        <v>4.5</v>
      </c>
      <c r="H28" s="5" t="n">
        <v>4.7</v>
      </c>
      <c r="I28" s="5" t="n">
        <v>4.9</v>
      </c>
      <c r="J28" s="5" t="n">
        <v>3.8</v>
      </c>
      <c r="K28" s="5" t="n">
        <v>3.4</v>
      </c>
      <c r="L28" s="5" t="n">
        <v>3.9</v>
      </c>
      <c r="M28" s="5" t="n">
        <v>4</v>
      </c>
      <c r="N28" s="5" t="n">
        <v>4.7</v>
      </c>
      <c r="O28" s="5" t="n">
        <v>3.9</v>
      </c>
      <c r="P28" s="5">
        <f>IF(MAESTRO!F28="","",IFERROR(TRUNC(AVERAGE(C28:O28),1),""))</f>
        <v/>
      </c>
      <c r="Q28" s="40" t="n">
        <v>24</v>
      </c>
      <c r="R28" s="22" t="n">
        <v>3.8</v>
      </c>
      <c r="S28" s="22" t="n">
        <v>3.6</v>
      </c>
      <c r="T28" s="22" t="n">
        <v>4.8</v>
      </c>
      <c r="U28" s="22" t="n">
        <v>4.4</v>
      </c>
      <c r="V28" s="22" t="n">
        <v>3</v>
      </c>
      <c r="W28" s="22" t="n">
        <v>3.5</v>
      </c>
      <c r="X28" s="22" t="n">
        <v>4.8</v>
      </c>
      <c r="Y28" s="22" t="n">
        <v>4.9</v>
      </c>
      <c r="Z28" s="22" t="n">
        <v>3.7</v>
      </c>
      <c r="AA28" s="45">
        <f>IF(MAESTRO!F28="","",IFERROR(TRUNC(AVERAGE(R28:Z28),1),""))</f>
        <v/>
      </c>
      <c r="AB28" s="177" t="n">
        <v>3.4</v>
      </c>
      <c r="AC28" s="42" t="n">
        <v>3.7</v>
      </c>
      <c r="AD28" s="5">
        <f>IF(MAESTRO!F28="","",IFERROR(AVERAGE(AB28:AC28),""))</f>
        <v/>
      </c>
      <c r="AE28" s="44">
        <f>IF(MAESTRO!F28="","",IFERROR(TRUNC(AVERAGE(P28,AA28,AD28),1),""))</f>
        <v/>
      </c>
      <c r="AF28" s="177" t="n"/>
      <c r="AG28" s="177" t="n">
        <v>24</v>
      </c>
      <c r="AH28" s="177" t="n">
        <v>24</v>
      </c>
      <c r="AI28" s="177">
        <f>IF(MAESTRO!F28="","",MAESTRO!F28)</f>
        <v/>
      </c>
      <c r="AJ28" s="178" t="n"/>
      <c r="AK28" s="61" t="n">
        <v>3.9</v>
      </c>
      <c r="AL28" s="61" t="n">
        <v>4.3</v>
      </c>
      <c r="AM28" s="61" t="n">
        <v>3.3</v>
      </c>
      <c r="AN28" s="61" t="n">
        <v>4.5</v>
      </c>
      <c r="AO28" s="61" t="n">
        <v>3.5</v>
      </c>
      <c r="AP28" s="61" t="n">
        <v>4.8</v>
      </c>
      <c r="AQ28" s="61" t="n">
        <v>3.4</v>
      </c>
      <c r="AR28" s="61" t="n">
        <v>4.7</v>
      </c>
      <c r="AS28" s="61" t="n">
        <v>3.5</v>
      </c>
      <c r="AT28" s="61" t="n">
        <v>4.7</v>
      </c>
      <c r="AU28" s="61" t="n">
        <v>3.9</v>
      </c>
      <c r="AV28" s="61" t="n">
        <v>3.1</v>
      </c>
      <c r="AW28" s="5">
        <f>IF(MAESTRO!F28="","",IFERROR(TRUNC(AVERAGE(AK28:AV28),1),""))</f>
        <v/>
      </c>
      <c r="AX28" s="22" t="n">
        <v>4.9</v>
      </c>
      <c r="AY28" s="92" t="n">
        <v>3.9</v>
      </c>
      <c r="AZ28" s="22" t="n">
        <v>3.6</v>
      </c>
      <c r="BA28" s="22" t="n">
        <v>3.6</v>
      </c>
      <c r="BB28" s="22" t="n">
        <v>4</v>
      </c>
      <c r="BC28" s="22" t="n">
        <v>3.7</v>
      </c>
      <c r="BD28" s="22" t="n">
        <v>3.1</v>
      </c>
      <c r="BE28" s="22" t="n">
        <v>4.1</v>
      </c>
      <c r="BF28" s="22" t="n">
        <v>3.6</v>
      </c>
      <c r="BG28" s="52" t="n">
        <v>4.9</v>
      </c>
      <c r="BH28" s="5">
        <f>IF(MAESTRO!F28="","",IFERROR(TRUNC(AVERAGE(AX28:BG28),1),""))</f>
        <v/>
      </c>
      <c r="BI28" s="22" t="n">
        <v>4.9</v>
      </c>
      <c r="BJ28" s="22" t="n">
        <v>3.5</v>
      </c>
      <c r="BK28" s="22">
        <f>IF(MAESTRO!F28="","",IFERROR(AVERAGE(BI28:BJ28),""))</f>
        <v/>
      </c>
      <c r="BL28" s="5">
        <f>IF(MAESTRO!F28="","",IFERROR(TRUNC(AVERAGE(AW28,BH28),1),""))</f>
        <v/>
      </c>
      <c r="BM28" s="177" t="n"/>
      <c r="BN28" s="177" t="n">
        <v>24</v>
      </c>
      <c r="BO28" s="177" t="n">
        <v>24</v>
      </c>
      <c r="BP28" s="177">
        <f>IF(MAESTRO!F28="","",MAESTRO!F28)</f>
        <v/>
      </c>
      <c r="BQ28" s="178" t="n"/>
      <c r="BR28" s="5" t="n">
        <v>4.1</v>
      </c>
      <c r="BS28" s="5" t="n">
        <v>3.4</v>
      </c>
      <c r="BT28" s="5" t="n">
        <v>4</v>
      </c>
      <c r="BU28" s="5" t="n">
        <v>4.5</v>
      </c>
      <c r="BV28" s="5" t="n">
        <v>4.7</v>
      </c>
      <c r="BW28" s="5" t="n">
        <v>4.5</v>
      </c>
      <c r="BX28" s="5" t="n">
        <v>3.1</v>
      </c>
      <c r="BY28" s="5" t="n">
        <v>3.6</v>
      </c>
      <c r="BZ28" s="5" t="n">
        <v>3.1</v>
      </c>
      <c r="CA28" s="5" t="n">
        <v>5</v>
      </c>
      <c r="CB28" s="5" t="n">
        <v>4.2</v>
      </c>
      <c r="CC28" s="5" t="n">
        <v>3.6</v>
      </c>
      <c r="CD28" s="5" t="n">
        <v>3.7</v>
      </c>
      <c r="CE28" s="5">
        <f>IF(MAESTRO!F28="","",IFERROR(TRUNC(AVERAGE(BR28:CD28),1),""))</f>
        <v/>
      </c>
      <c r="CF28" s="5" t="n">
        <v>4.5</v>
      </c>
      <c r="CG28" s="5" t="n">
        <v>4.2</v>
      </c>
      <c r="CH28" s="5" t="n">
        <v>3</v>
      </c>
      <c r="CI28" s="89" t="n">
        <v>4.9</v>
      </c>
      <c r="CJ28" s="5" t="n">
        <v>4.2</v>
      </c>
      <c r="CK28" s="5" t="n">
        <v>3.8</v>
      </c>
      <c r="CL28" s="5" t="n">
        <v>4</v>
      </c>
      <c r="CM28" s="5" t="n">
        <v>4</v>
      </c>
      <c r="CN28" s="5" t="n">
        <v>3.4</v>
      </c>
      <c r="CO28" s="5" t="n">
        <v>4.9</v>
      </c>
      <c r="CP28" s="5">
        <f>IF(MAESTRO!F28="","",IFERROR(TRUNC(AVERAGE(CF28:CO28),1),""))</f>
        <v/>
      </c>
      <c r="CQ28" s="5" t="n">
        <v>4.9</v>
      </c>
      <c r="CR28" s="5" t="n">
        <v>4</v>
      </c>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86">
        <f>IF(MAESTRO!F29="","",MAESTRO!F29)</f>
        <v/>
      </c>
      <c r="C29" s="5" t="n">
        <v>4.7</v>
      </c>
      <c r="D29" s="5" t="n">
        <v>4.2</v>
      </c>
      <c r="E29" s="5" t="n">
        <v>4.4</v>
      </c>
      <c r="F29" s="5" t="n">
        <v>4.5</v>
      </c>
      <c r="G29" s="5" t="n">
        <v>4</v>
      </c>
      <c r="H29" s="5" t="n">
        <v>4.4</v>
      </c>
      <c r="I29" s="5" t="n">
        <v>3</v>
      </c>
      <c r="J29" s="5" t="n">
        <v>4.2</v>
      </c>
      <c r="K29" s="5" t="n">
        <v>4.6</v>
      </c>
      <c r="L29" s="5" t="n">
        <v>3.7</v>
      </c>
      <c r="M29" s="5" t="n">
        <v>4.8</v>
      </c>
      <c r="N29" s="5" t="n">
        <v>4.4</v>
      </c>
      <c r="O29" s="5" t="n">
        <v>3.3</v>
      </c>
      <c r="P29" s="5">
        <f>IF(MAESTRO!F29="","",IFERROR(TRUNC(AVERAGE(C29:O29),1),""))</f>
        <v/>
      </c>
      <c r="Q29" s="40" t="n">
        <v>25</v>
      </c>
      <c r="R29" s="22" t="n">
        <v>3.6</v>
      </c>
      <c r="S29" s="22" t="n">
        <v>4.1</v>
      </c>
      <c r="T29" s="22" t="n">
        <v>4.5</v>
      </c>
      <c r="U29" s="22" t="n">
        <v>3.9</v>
      </c>
      <c r="V29" s="22" t="n">
        <v>3.4</v>
      </c>
      <c r="W29" s="22" t="n">
        <v>3.5</v>
      </c>
      <c r="X29" s="22" t="n">
        <v>3.1</v>
      </c>
      <c r="Y29" s="22" t="n">
        <v>4.8</v>
      </c>
      <c r="Z29" s="22" t="n">
        <v>4.7</v>
      </c>
      <c r="AA29" s="45">
        <f>IF(MAESTRO!F29="","",IFERROR(TRUNC(AVERAGE(R29:Z29),1),""))</f>
        <v/>
      </c>
      <c r="AB29" s="177" t="n">
        <v>3.5</v>
      </c>
      <c r="AC29" s="42" t="n">
        <v>3.7</v>
      </c>
      <c r="AD29" s="5">
        <f>IF(MAESTRO!F29="","",IFERROR(AVERAGE(AB29:AC29),""))</f>
        <v/>
      </c>
      <c r="AE29" s="44">
        <f>IF(MAESTRO!F29="","",IFERROR(TRUNC(AVERAGE(P29,AA29,AD29),1),""))</f>
        <v/>
      </c>
      <c r="AF29" s="177" t="n"/>
      <c r="AG29" s="177" t="n">
        <v>25</v>
      </c>
      <c r="AH29" s="177" t="n">
        <v>25</v>
      </c>
      <c r="AI29" s="177">
        <f>IF(MAESTRO!F29="","",MAESTRO!F29)</f>
        <v/>
      </c>
      <c r="AJ29" s="178" t="n"/>
      <c r="AK29" s="61" t="n">
        <v>3.2</v>
      </c>
      <c r="AL29" s="61" t="n">
        <v>4.1</v>
      </c>
      <c r="AM29" s="61" t="n">
        <v>4.3</v>
      </c>
      <c r="AN29" s="91" t="n">
        <v>3.8</v>
      </c>
      <c r="AO29" s="61" t="n">
        <v>4.7</v>
      </c>
      <c r="AP29" s="61" t="n">
        <v>3.4</v>
      </c>
      <c r="AQ29" s="61" t="n">
        <v>4.8</v>
      </c>
      <c r="AR29" s="61" t="n">
        <v>3.7</v>
      </c>
      <c r="AS29" s="61" t="n">
        <v>3.3</v>
      </c>
      <c r="AT29" s="61" t="n">
        <v>3.9</v>
      </c>
      <c r="AU29" s="61" t="n">
        <v>3.6</v>
      </c>
      <c r="AV29" s="61" t="n">
        <v>3.3</v>
      </c>
      <c r="AW29" s="5">
        <f>IF(MAESTRO!F29="","",IFERROR(TRUNC(AVERAGE(AK29:AV29),1),""))</f>
        <v/>
      </c>
      <c r="AX29" s="63" t="n">
        <v>3.4</v>
      </c>
      <c r="AY29" s="92" t="n">
        <v>4.6</v>
      </c>
      <c r="AZ29" s="92" t="n">
        <v>5</v>
      </c>
      <c r="BA29" s="92" t="n">
        <v>4.4</v>
      </c>
      <c r="BB29" s="92" t="n">
        <v>3.7</v>
      </c>
      <c r="BC29" s="63" t="n">
        <v>4.5</v>
      </c>
      <c r="BD29" s="63" t="n">
        <v>4.4</v>
      </c>
      <c r="BE29" s="63" t="n">
        <v>4.5</v>
      </c>
      <c r="BF29" s="63" t="n">
        <v>4.2</v>
      </c>
      <c r="BG29" s="52" t="n">
        <v>3.4</v>
      </c>
      <c r="BH29" s="5">
        <f>IF(MAESTRO!F29="","",IFERROR(TRUNC(AVERAGE(AX29:BG29),1),""))</f>
        <v/>
      </c>
      <c r="BI29" s="22" t="n">
        <v>4.8</v>
      </c>
      <c r="BJ29" s="22" t="n">
        <v>4</v>
      </c>
      <c r="BK29" s="22">
        <f>IF(MAESTRO!F29="","",IFERROR(AVERAGE(BI29:BJ29),""))</f>
        <v/>
      </c>
      <c r="BL29" s="5">
        <f>IF(MAESTRO!F29="","",IFERROR(TRUNC(AVERAGE(AW29,BH29),1),""))</f>
        <v/>
      </c>
      <c r="BM29" s="177" t="n"/>
      <c r="BN29" s="177" t="n">
        <v>25</v>
      </c>
      <c r="BO29" s="177" t="n">
        <v>25</v>
      </c>
      <c r="BP29" s="177">
        <f>IF(MAESTRO!F29="","",MAESTRO!F29)</f>
        <v/>
      </c>
      <c r="BQ29" s="178" t="n"/>
      <c r="BR29" s="5" t="n">
        <v>3.4</v>
      </c>
      <c r="BS29" s="5" t="n">
        <v>3.8</v>
      </c>
      <c r="BT29" s="5" t="n">
        <v>4.7</v>
      </c>
      <c r="BU29" s="5" t="n">
        <v>4.8</v>
      </c>
      <c r="BV29" s="5" t="n">
        <v>4.5</v>
      </c>
      <c r="BW29" s="5" t="n">
        <v>3.8</v>
      </c>
      <c r="BX29" s="5" t="n">
        <v>3</v>
      </c>
      <c r="BY29" s="5" t="n">
        <v>4.6</v>
      </c>
      <c r="BZ29" s="5" t="n">
        <v>4.6</v>
      </c>
      <c r="CA29" s="5" t="n">
        <v>4.6</v>
      </c>
      <c r="CB29" s="5" t="n">
        <v>3.8</v>
      </c>
      <c r="CC29" s="5" t="n">
        <v>4.2</v>
      </c>
      <c r="CD29" s="5" t="n">
        <v>3.1</v>
      </c>
      <c r="CE29" s="5">
        <f>IF(MAESTRO!F29="","",IFERROR(TRUNC(AVERAGE(BR29:CD29),1),""))</f>
        <v/>
      </c>
      <c r="CF29" s="5" t="n">
        <v>4.4</v>
      </c>
      <c r="CG29" s="5" t="n">
        <v>3.3</v>
      </c>
      <c r="CH29" s="5" t="n">
        <v>4.5</v>
      </c>
      <c r="CI29" s="89" t="n">
        <v>3.6</v>
      </c>
      <c r="CJ29" s="5" t="n">
        <v>3.1</v>
      </c>
      <c r="CK29" s="5" t="n">
        <v>4.4</v>
      </c>
      <c r="CL29" s="5" t="n">
        <v>4.3</v>
      </c>
      <c r="CM29" s="5" t="n">
        <v>3.4</v>
      </c>
      <c r="CN29" s="5" t="n">
        <v>3.5</v>
      </c>
      <c r="CO29" s="5" t="n">
        <v>4.2</v>
      </c>
      <c r="CP29" s="5">
        <f>IF(MAESTRO!F29="","",IFERROR(TRUNC(AVERAGE(CF29:CO29),1),""))</f>
        <v/>
      </c>
      <c r="CQ29" s="5" t="n">
        <v>4.4</v>
      </c>
      <c r="CR29" s="5" t="n">
        <v>4.7</v>
      </c>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86">
        <f>IF(MAESTRO!F30="","",MAESTRO!F30)</f>
        <v/>
      </c>
      <c r="C30" s="5" t="n">
        <v>4.5</v>
      </c>
      <c r="D30" s="5" t="n">
        <v>5</v>
      </c>
      <c r="E30" s="5" t="n">
        <v>4.8</v>
      </c>
      <c r="F30" s="5" t="n">
        <v>5</v>
      </c>
      <c r="G30" s="5" t="n">
        <v>5</v>
      </c>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v>26</v>
      </c>
      <c r="AH30" s="177" t="n">
        <v>26</v>
      </c>
      <c r="AI30" s="177">
        <f>IF(MAESTRO!F30="","",MAESTRO!F30)</f>
        <v/>
      </c>
      <c r="AJ30" s="178" t="n"/>
      <c r="AK30" s="61" t="n"/>
      <c r="AL30" s="61" t="n"/>
      <c r="AM30" s="91" t="n"/>
      <c r="AN30" s="9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IF(MAESTRO!F30="","",IFERROR(TRUNC(AVERAGE(AW30,BH30),1),""))</f>
        <v/>
      </c>
      <c r="BM30" s="177" t="n"/>
      <c r="BN30" s="177" t="n">
        <v>26</v>
      </c>
      <c r="BO30" s="177" t="n">
        <v>26</v>
      </c>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86">
        <f>IF(MAESTRO!F31="","",MAESTRO!F31)</f>
        <v/>
      </c>
      <c r="C31" s="5" t="n">
        <v>4.5</v>
      </c>
      <c r="D31" s="5" t="n">
        <v>4.5</v>
      </c>
      <c r="E31" s="5" t="n">
        <v>3</v>
      </c>
      <c r="F31" s="5" t="n">
        <v>5</v>
      </c>
      <c r="G31" s="5" t="n"/>
      <c r="H31" s="5" t="n"/>
      <c r="I31" s="5" t="n"/>
      <c r="J31" s="5" t="n"/>
      <c r="K31" s="5" t="n"/>
      <c r="L31" s="5" t="n"/>
      <c r="M31" s="5" t="n"/>
      <c r="N31" s="5" t="n"/>
      <c r="O31" s="5" t="n"/>
      <c r="P31" s="5">
        <f>IF(MAESTRO!F31="","",IFERROR(TRUNC(AVERAGE(C31:O31),1),""))</f>
        <v/>
      </c>
      <c r="Q31" s="40" t="n">
        <v>27</v>
      </c>
      <c r="R31" s="22" t="n">
        <v>5</v>
      </c>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v>27</v>
      </c>
      <c r="AH31" s="177" t="n">
        <v>27</v>
      </c>
      <c r="AI31" s="177">
        <f>IF(MAESTRO!F31="","",MAESTRO!F31)</f>
        <v/>
      </c>
      <c r="AJ31" s="178" t="n"/>
      <c r="AK31" s="61" t="n"/>
      <c r="AL31" s="61" t="n"/>
      <c r="AM31" s="91" t="n"/>
      <c r="AN31" s="9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IF(MAESTRO!F31="","",IFERROR(TRUNC(AVERAGE(AW31,BH31),1),""))</f>
        <v/>
      </c>
      <c r="BM31" s="177" t="n"/>
      <c r="BN31" s="177" t="n">
        <v>27</v>
      </c>
      <c r="BO31" s="177" t="n">
        <v>27</v>
      </c>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86">
        <f>IF(MAESTRO!F32="","",MAESTRO!F32)</f>
        <v/>
      </c>
      <c r="C32" s="5" t="n">
        <v>4.5</v>
      </c>
      <c r="D32" s="5" t="n">
        <v>4.8</v>
      </c>
      <c r="E32" s="5" t="n">
        <v>4.5</v>
      </c>
      <c r="F32" s="5" t="n">
        <v>5</v>
      </c>
      <c r="G32" s="5" t="n"/>
      <c r="H32" s="5" t="n"/>
      <c r="I32" s="5" t="n"/>
      <c r="J32" s="5" t="n"/>
      <c r="K32" s="5" t="n"/>
      <c r="L32" s="5" t="n"/>
      <c r="M32" s="5" t="n"/>
      <c r="N32" s="5" t="n"/>
      <c r="O32" s="5" t="n"/>
      <c r="P32" s="5">
        <f>IF(MAESTRO!F32="","",IFERROR(TRUNC(AVERAGE(C32:O32),1),""))</f>
        <v/>
      </c>
      <c r="Q32" s="40" t="n">
        <v>28</v>
      </c>
      <c r="R32" s="22" t="n">
        <v>5</v>
      </c>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v>28</v>
      </c>
      <c r="AH32" s="177" t="n">
        <v>28</v>
      </c>
      <c r="AI32" s="177">
        <f>IF(MAESTRO!F32="","",MAESTRO!F32)</f>
        <v/>
      </c>
      <c r="AJ32" s="178" t="n"/>
      <c r="AK32" s="91" t="n"/>
      <c r="AL32" s="91" t="n"/>
      <c r="AM32" s="91" t="n"/>
      <c r="AN32" s="9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IF(MAESTRO!F32="","",IFERROR(TRUNC(AVERAGE(AW32,BH32),1),""))</f>
        <v/>
      </c>
      <c r="BM32" s="177" t="n"/>
      <c r="BN32" s="177" t="n">
        <v>28</v>
      </c>
      <c r="BO32" s="177" t="n">
        <v>28</v>
      </c>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86">
        <f>IF(MAESTRO!F33="","",MAESTRO!F33)</f>
        <v/>
      </c>
      <c r="C33" s="5" t="n">
        <v>5</v>
      </c>
      <c r="D33" s="5" t="n"/>
      <c r="E33" s="5" t="n">
        <v>4.2</v>
      </c>
      <c r="F33" s="5" t="n">
        <v>5</v>
      </c>
      <c r="G33" s="5" t="n"/>
      <c r="H33" s="5" t="n"/>
      <c r="I33" s="5" t="n"/>
      <c r="J33" s="5" t="n"/>
      <c r="K33" s="5" t="n"/>
      <c r="L33" s="5" t="n"/>
      <c r="M33" s="5" t="n"/>
      <c r="N33" s="5" t="n"/>
      <c r="O33" s="5" t="n"/>
      <c r="P33" s="5">
        <f>IF(MAESTRO!F33="","",IFERROR(TRUNC(AVERAGE(C33:O33),1),""))</f>
        <v/>
      </c>
      <c r="Q33" s="40" t="n">
        <v>29</v>
      </c>
      <c r="R33" s="22" t="n">
        <v>5</v>
      </c>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v>29</v>
      </c>
      <c r="AH33" s="177" t="n">
        <v>29</v>
      </c>
      <c r="AI33" s="177">
        <f>IF(MAESTRO!F33="","",MAESTRO!F33)</f>
        <v/>
      </c>
      <c r="AJ33" s="178" t="n"/>
      <c r="AK33" s="91" t="n"/>
      <c r="AL33" s="91" t="n"/>
      <c r="AM33" s="91" t="n"/>
      <c r="AN33" s="9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IF(MAESTRO!F33="","",IFERROR(TRUNC(AVERAGE(AW33,BH33),1),""))</f>
        <v/>
      </c>
      <c r="BM33" s="177" t="n"/>
      <c r="BN33" s="177" t="n">
        <v>29</v>
      </c>
      <c r="BO33" s="177" t="n">
        <v>29</v>
      </c>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86">
        <f>IF(MAESTRO!F34="","",MAESTRO!F34)</f>
        <v/>
      </c>
      <c r="C34" s="5" t="n">
        <v>5</v>
      </c>
      <c r="D34" s="5" t="n">
        <v>5</v>
      </c>
      <c r="E34" s="5" t="n">
        <v>5</v>
      </c>
      <c r="F34" s="5" t="n">
        <v>5</v>
      </c>
      <c r="G34" s="5" t="n">
        <v>5</v>
      </c>
      <c r="H34" s="5" t="n"/>
      <c r="I34" s="5" t="n"/>
      <c r="J34" s="5" t="n"/>
      <c r="K34" s="5" t="n"/>
      <c r="L34" s="5" t="n"/>
      <c r="M34" s="5" t="n"/>
      <c r="N34" s="5" t="n"/>
      <c r="O34" s="5" t="n"/>
      <c r="P34" s="5">
        <f>IF(MAESTRO!F34="","",IFERROR(TRUNC(AVERAGE(C34:O34),1),""))</f>
        <v/>
      </c>
      <c r="Q34" s="40" t="n">
        <v>30</v>
      </c>
      <c r="R34" s="22" t="n">
        <v>5</v>
      </c>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v>30</v>
      </c>
      <c r="AH34" s="177" t="n">
        <v>30</v>
      </c>
      <c r="AI34" s="177">
        <f>IF(MAESTRO!F34="","",MAESTRO!F34)</f>
        <v/>
      </c>
      <c r="AJ34" s="178" t="n"/>
      <c r="AK34" s="91" t="n"/>
      <c r="AL34" s="91" t="n"/>
      <c r="AM34" s="91" t="n"/>
      <c r="AN34" s="9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IF(MAESTRO!F34="","",IFERROR(TRUNC(AVERAGE(AW34,BH34),1),""))</f>
        <v/>
      </c>
      <c r="BM34" s="177" t="n"/>
      <c r="BN34" s="177" t="n">
        <v>30</v>
      </c>
      <c r="BO34" s="177" t="n">
        <v>30</v>
      </c>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86">
        <f>IF(MAESTRO!F35="","",MAESTRO!F35)</f>
        <v/>
      </c>
      <c r="C35" s="5" t="n">
        <v>4.5</v>
      </c>
      <c r="D35" s="5" t="n">
        <v>4</v>
      </c>
      <c r="E35" s="5" t="n">
        <v>4.1</v>
      </c>
      <c r="F35" s="5" t="n">
        <v>5</v>
      </c>
      <c r="G35" s="5" t="n"/>
      <c r="H35" s="5" t="n"/>
      <c r="I35" s="5" t="n"/>
      <c r="J35" s="5" t="n"/>
      <c r="K35" s="5" t="n"/>
      <c r="L35" s="5" t="n"/>
      <c r="M35" s="5" t="n"/>
      <c r="N35" s="5" t="n"/>
      <c r="O35" s="5" t="n"/>
      <c r="P35" s="5">
        <f>IF(MAESTRO!F35="","",IFERROR(TRUNC(AVERAGE(C35:O35),1),""))</f>
        <v/>
      </c>
      <c r="Q35" s="40" t="n">
        <v>31</v>
      </c>
      <c r="R35" s="22" t="n">
        <v>5</v>
      </c>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v>31</v>
      </c>
      <c r="AH35" s="177" t="n">
        <v>31</v>
      </c>
      <c r="AI35" s="177">
        <f>IF(MAESTRO!F35="","",MAESTRO!F35)</f>
        <v/>
      </c>
      <c r="AJ35" s="178" t="n"/>
      <c r="AK35" s="91" t="n"/>
      <c r="AL35" s="91" t="n"/>
      <c r="AM35" s="91" t="n"/>
      <c r="AN35" s="9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IF(MAESTRO!F35="","",IFERROR(TRUNC(AVERAGE(AW35,BH35),1),""))</f>
        <v/>
      </c>
      <c r="BM35" s="177" t="n"/>
      <c r="BN35" s="177" t="n">
        <v>31</v>
      </c>
      <c r="BO35" s="177" t="n">
        <v>31</v>
      </c>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86">
        <f>IF(MAESTRO!F36="","",MAESTRO!F36)</f>
        <v/>
      </c>
      <c r="C36" s="5" t="n">
        <v>4.5</v>
      </c>
      <c r="D36" s="5" t="n"/>
      <c r="E36" s="5" t="n">
        <v>4.4</v>
      </c>
      <c r="F36" s="5" t="n">
        <v>5</v>
      </c>
      <c r="G36" s="5" t="n">
        <v>5</v>
      </c>
      <c r="H36" s="5" t="n"/>
      <c r="I36" s="5" t="n"/>
      <c r="J36" s="5" t="n"/>
      <c r="K36" s="5" t="n"/>
      <c r="L36" s="5" t="n"/>
      <c r="M36" s="5" t="n"/>
      <c r="N36" s="5" t="n"/>
      <c r="O36" s="5" t="n"/>
      <c r="P36" s="5">
        <f>IF(MAESTRO!F36="","",IFERROR(TRUNC(AVERAGE(C36:O36),1),""))</f>
        <v/>
      </c>
      <c r="Q36" s="40" t="n">
        <v>32</v>
      </c>
      <c r="R36" s="22" t="n">
        <v>5</v>
      </c>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v>32</v>
      </c>
      <c r="AH36" s="177" t="n">
        <v>32</v>
      </c>
      <c r="AI36" s="177">
        <f>IF(MAESTRO!F36="","",MAESTRO!F36)</f>
        <v/>
      </c>
      <c r="AJ36" s="178" t="n"/>
      <c r="AK36" s="91" t="n"/>
      <c r="AL36" s="91" t="n"/>
      <c r="AM36" s="91" t="n"/>
      <c r="AN36" s="9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IF(MAESTRO!F36="","",IFERROR(TRUNC(AVERAGE(AW36,BH36),1),""))</f>
        <v/>
      </c>
      <c r="BM36" s="177" t="n"/>
      <c r="BN36" s="177" t="n">
        <v>32</v>
      </c>
      <c r="BO36" s="177" t="n">
        <v>32</v>
      </c>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86">
        <f>IF(MAESTRO!F37="","",MAESTRO!F37)</f>
        <v/>
      </c>
      <c r="C37" s="5" t="n">
        <v>4.5</v>
      </c>
      <c r="D37" s="5" t="n">
        <v>4.5</v>
      </c>
      <c r="E37" s="5" t="n">
        <v>3</v>
      </c>
      <c r="F37" s="5" t="n">
        <v>5</v>
      </c>
      <c r="G37" s="5" t="n"/>
      <c r="H37" s="5" t="n"/>
      <c r="I37" s="5" t="n"/>
      <c r="J37" s="5" t="n"/>
      <c r="K37" s="5" t="n"/>
      <c r="L37" s="5" t="n"/>
      <c r="M37" s="5" t="n"/>
      <c r="N37" s="5" t="n"/>
      <c r="O37" s="5" t="n"/>
      <c r="P37" s="5">
        <f>IF(MAESTRO!F37="","",IFERROR(TRUNC(AVERAGE(C37:O37),1),""))</f>
        <v/>
      </c>
      <c r="Q37" s="40" t="n">
        <v>33</v>
      </c>
      <c r="R37" s="22" t="n">
        <v>5</v>
      </c>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v>33</v>
      </c>
      <c r="AH37" s="177" t="n">
        <v>33</v>
      </c>
      <c r="AI37" s="177">
        <f>IF(MAESTRO!F37="","",MAESTRO!F37)</f>
        <v/>
      </c>
      <c r="AJ37" s="178" t="n"/>
      <c r="AK37" s="91" t="n"/>
      <c r="AL37" s="91" t="n"/>
      <c r="AM37" s="91" t="n"/>
      <c r="AN37" s="9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IF(MAESTRO!F37="","",IFERROR(TRUNC(AVERAGE(AW37,BH37),1),""))</f>
        <v/>
      </c>
      <c r="BM37" s="177" t="n"/>
      <c r="BN37" s="177" t="n">
        <v>33</v>
      </c>
      <c r="BO37" s="177" t="n">
        <v>33</v>
      </c>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86">
        <f>IF(MAESTRO!F38="","",MAESTRO!F38)</f>
        <v/>
      </c>
      <c r="C38" s="5" t="n">
        <v>4.5</v>
      </c>
      <c r="D38" s="5" t="n">
        <v>4.5</v>
      </c>
      <c r="E38" s="5" t="n">
        <v>4.4</v>
      </c>
      <c r="F38" s="5" t="n">
        <v>5</v>
      </c>
      <c r="G38" s="5" t="n">
        <v>4.8</v>
      </c>
      <c r="H38" s="5" t="n"/>
      <c r="I38" s="5" t="n"/>
      <c r="J38" s="5" t="n"/>
      <c r="K38" s="5" t="n"/>
      <c r="L38" s="5" t="n"/>
      <c r="M38" s="5" t="n"/>
      <c r="N38" s="5" t="n"/>
      <c r="O38" s="5" t="n"/>
      <c r="P38" s="5">
        <f>IF(MAESTRO!F38="","",IFERROR(TRUNC(AVERAGE(C38:O38),1),""))</f>
        <v/>
      </c>
      <c r="Q38" s="40" t="n">
        <v>34</v>
      </c>
      <c r="R38" s="22" t="n">
        <v>5</v>
      </c>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v>34</v>
      </c>
      <c r="AH38" s="177" t="n">
        <v>34</v>
      </c>
      <c r="AI38" s="177">
        <f>IF(MAESTRO!F38="","",MAESTRO!F38)</f>
        <v/>
      </c>
      <c r="AJ38" s="178" t="n"/>
      <c r="AK38" s="91" t="n"/>
      <c r="AL38" s="91" t="n"/>
      <c r="AM38" s="91" t="n"/>
      <c r="AN38" s="9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IF(MAESTRO!F38="","",IFERROR(TRUNC(AVERAGE(AW38,BH38),1),""))</f>
        <v/>
      </c>
      <c r="BM38" s="177" t="n"/>
      <c r="BN38" s="177" t="n">
        <v>34</v>
      </c>
      <c r="BO38" s="177" t="n">
        <v>34</v>
      </c>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86">
        <f>IF(MAESTRO!F39="","",MAESTRO!F39)</f>
        <v/>
      </c>
      <c r="C39" s="5" t="n">
        <v>5</v>
      </c>
      <c r="D39" s="5" t="n">
        <v>5</v>
      </c>
      <c r="E39" s="5" t="n">
        <v>3.2</v>
      </c>
      <c r="F39" s="5" t="n">
        <v>5</v>
      </c>
      <c r="G39" s="5" t="n">
        <v>4.8</v>
      </c>
      <c r="H39" s="5" t="n"/>
      <c r="I39" s="5" t="n"/>
      <c r="J39" s="5" t="n"/>
      <c r="K39" s="5" t="n"/>
      <c r="L39" s="5" t="n"/>
      <c r="M39" s="5" t="n"/>
      <c r="N39" s="5" t="n"/>
      <c r="O39" s="5" t="n"/>
      <c r="P39" s="5">
        <f>IF(MAESTRO!F39="","",IFERROR(TRUNC(AVERAGE(C39:O39),1),""))</f>
        <v/>
      </c>
      <c r="Q39" s="40" t="n">
        <v>35</v>
      </c>
      <c r="R39" s="22" t="n">
        <v>5</v>
      </c>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v>35</v>
      </c>
      <c r="AH39" s="177" t="n">
        <v>35</v>
      </c>
      <c r="AI39" s="177">
        <f>IF(MAESTRO!F39="","",MAESTRO!F39)</f>
        <v/>
      </c>
      <c r="AJ39" s="178" t="n"/>
      <c r="AK39" s="91" t="n"/>
      <c r="AL39" s="91" t="n"/>
      <c r="AM39" s="91" t="n"/>
      <c r="AN39" s="9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IF(MAESTRO!F39="","",IFERROR(TRUNC(AVERAGE(AW39,BH39),1),""))</f>
        <v/>
      </c>
      <c r="BM39" s="177" t="n"/>
      <c r="BN39" s="177" t="n">
        <v>35</v>
      </c>
      <c r="BO39" s="177" t="n">
        <v>35</v>
      </c>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86">
        <f>IF(MAESTRO!F40="","",MAESTRO!F40)</f>
        <v/>
      </c>
      <c r="C40" s="5" t="n">
        <v>4.5</v>
      </c>
      <c r="D40" s="5" t="n">
        <v>4.8</v>
      </c>
      <c r="E40" s="5" t="n">
        <v>4</v>
      </c>
      <c r="F40" s="5" t="n">
        <v>5</v>
      </c>
      <c r="G40" s="5" t="n"/>
      <c r="H40" s="5" t="n"/>
      <c r="I40" s="5" t="n"/>
      <c r="J40" s="5" t="n"/>
      <c r="K40" s="5" t="n"/>
      <c r="L40" s="5" t="n"/>
      <c r="M40" s="5" t="n"/>
      <c r="N40" s="5" t="n"/>
      <c r="O40" s="5" t="n"/>
      <c r="P40" s="5">
        <f>IF(MAESTRO!F40="","",IFERROR(TRUNC(AVERAGE(C40:O40),1),""))</f>
        <v/>
      </c>
      <c r="Q40" s="40" t="n">
        <v>36</v>
      </c>
      <c r="R40" s="22" t="n">
        <v>5</v>
      </c>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v>36</v>
      </c>
      <c r="AH40" s="177" t="n">
        <v>36</v>
      </c>
      <c r="AI40" s="177">
        <f>IF(MAESTRO!F40="","",MAESTRO!F40)</f>
        <v/>
      </c>
      <c r="AJ40" s="178" t="n"/>
      <c r="AK40" s="91" t="n"/>
      <c r="AL40" s="91" t="n"/>
      <c r="AM40" s="91" t="n"/>
      <c r="AN40" s="9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IF(MAESTRO!F40="","",IFERROR(TRUNC(AVERAGE(AW40,BH40),1),""))</f>
        <v/>
      </c>
      <c r="BM40" s="177" t="n"/>
      <c r="BN40" s="177" t="n">
        <v>36</v>
      </c>
      <c r="BO40" s="177" t="n">
        <v>36</v>
      </c>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86">
        <f>IF(MAESTRO!F41="","",MAESTRO!F41)</f>
        <v/>
      </c>
      <c r="C41" s="89" t="n"/>
      <c r="D41" s="89" t="n"/>
      <c r="E41" s="89" t="n"/>
      <c r="F41" s="89" t="n"/>
      <c r="G41" s="5" t="n"/>
      <c r="H41" s="5" t="n"/>
      <c r="I41" s="5" t="n"/>
      <c r="J41" s="5" t="n"/>
      <c r="K41" s="5" t="n"/>
      <c r="L41" s="5" t="n"/>
      <c r="M41" s="5" t="n"/>
      <c r="N41" s="5" t="n"/>
      <c r="O41" s="5" t="n"/>
      <c r="P41" s="5">
        <f>IF(MAESTRO!F41="","",IFERROR(TRUNC(AVERAGE(C41:O41),1),""))</f>
        <v/>
      </c>
      <c r="Q41" s="40" t="n">
        <v>37</v>
      </c>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v>37</v>
      </c>
      <c r="AH41" s="177" t="n">
        <v>37</v>
      </c>
      <c r="AI41" s="177">
        <f>IF(MAESTRO!F41="","",MAESTRO!F41)</f>
        <v/>
      </c>
      <c r="AJ41" s="178" t="n"/>
      <c r="AK41" s="91" t="n"/>
      <c r="AL41" s="91" t="n"/>
      <c r="AM41" s="91" t="n"/>
      <c r="AN41" s="9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IF(MAESTRO!F41="","",IFERROR(TRUNC(AVERAGE(AW41,BH41),1),""))</f>
        <v/>
      </c>
      <c r="BM41" s="177" t="n"/>
      <c r="BN41" s="177" t="n">
        <v>37</v>
      </c>
      <c r="BO41" s="177" t="n">
        <v>37</v>
      </c>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inlineStr">
        <is>
          <t xml:space="preserve">Drama - Crixificción </t>
        </is>
      </c>
      <c r="D42" s="288" t="inlineStr">
        <is>
          <t>C. Comparativo -Barroco&amp;Rococo</t>
        </is>
      </c>
      <c r="E42" s="288" t="inlineStr">
        <is>
          <t>Perspectiva y Sombra</t>
        </is>
      </c>
      <c r="F42" s="288" t="inlineStr">
        <is>
          <t>Carteles - Elecciones</t>
        </is>
      </c>
      <c r="G42" s="288" t="inlineStr">
        <is>
          <t xml:space="preserve">Dibujo -Barroco o Rococo y Bodegon </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8" t="inlineStr">
        <is>
          <t>Participacion Drama</t>
        </is>
      </c>
      <c r="S42" s="281" t="inlineStr">
        <is>
          <t>Tarea 19</t>
        </is>
      </c>
      <c r="T42" s="286"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45" t="n"/>
      <c r="AB42" s="309" t="inlineStr">
        <is>
          <t>Tarea 28</t>
        </is>
      </c>
      <c r="AC42" s="286" t="inlineStr">
        <is>
          <t>Tarea 29</t>
        </is>
      </c>
      <c r="AD42" s="5" t="n"/>
      <c r="AE42" s="44" t="n"/>
      <c r="AF42" s="177" t="n"/>
      <c r="AG42" s="177" t="n">
        <v>38</v>
      </c>
      <c r="AH42" s="177" t="n">
        <v>38</v>
      </c>
      <c r="AI42" s="177">
        <f>IF(MAESTRO!F42="","",MAESTRO!F42)</f>
        <v/>
      </c>
      <c r="AJ42" s="178" t="n"/>
      <c r="AK42" s="284" t="inlineStr">
        <is>
          <t>Tarea 37</t>
        </is>
      </c>
      <c r="AL42" s="284" t="inlineStr">
        <is>
          <t>Tarea 38</t>
        </is>
      </c>
      <c r="AM42" s="284" t="inlineStr">
        <is>
          <t>Tarea 39</t>
        </is>
      </c>
      <c r="AN42" s="284" t="inlineStr">
        <is>
          <t>Tarea 40</t>
        </is>
      </c>
      <c r="AO42" s="290" t="inlineStr">
        <is>
          <t>Tarea 41</t>
        </is>
      </c>
      <c r="AP42" s="290" t="inlineStr">
        <is>
          <t>Tarea 42</t>
        </is>
      </c>
      <c r="AQ42" s="290"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IF(MAESTRO!F42="","",MAESTRO!F42)</f>
        <v/>
      </c>
      <c r="BQ42" s="178" t="n"/>
      <c r="BR42" s="281" t="inlineStr">
        <is>
          <t>Tarea 70</t>
        </is>
      </c>
      <c r="BS42" s="281" t="inlineStr">
        <is>
          <t>Tarea 71</t>
        </is>
      </c>
      <c r="BT42" s="281" t="inlineStr">
        <is>
          <t>Tarea 72</t>
        </is>
      </c>
      <c r="BU42" s="287" t="inlineStr">
        <is>
          <t>Tarea 73</t>
        </is>
      </c>
      <c r="BV42" s="287"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5" t="n"/>
      <c r="CF42" s="281" t="inlineStr">
        <is>
          <t>Tarea 84</t>
        </is>
      </c>
      <c r="CG42" s="281" t="inlineStr">
        <is>
          <t>Tarea 85</t>
        </is>
      </c>
      <c r="CH42" s="281" t="inlineStr">
        <is>
          <t>Tarea 86</t>
        </is>
      </c>
      <c r="CI42" s="281" t="inlineStr">
        <is>
          <t>Tarea 87</t>
        </is>
      </c>
      <c r="CJ42" s="287" t="inlineStr">
        <is>
          <t>Tarea 88</t>
        </is>
      </c>
      <c r="CK42" s="287" t="inlineStr">
        <is>
          <t>Tarea 89</t>
        </is>
      </c>
      <c r="CL42" s="287" t="inlineStr">
        <is>
          <t>Tarea 90</t>
        </is>
      </c>
      <c r="CM42" s="287" t="inlineStr">
        <is>
          <t>Tarea 91</t>
        </is>
      </c>
      <c r="CN42" s="287" t="inlineStr">
        <is>
          <t>Tarea 92</t>
        </is>
      </c>
      <c r="CO42" s="287" t="inlineStr">
        <is>
          <t>Tarea 93</t>
        </is>
      </c>
      <c r="CP42" s="5" t="n"/>
      <c r="CQ42" s="287" t="inlineStr">
        <is>
          <t>Tarea 95</t>
        </is>
      </c>
      <c r="CR42" s="287"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ARTISTICAS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zoomScale="80" zoomScaleNormal="100" zoomScalePageLayoutView="80" workbookViewId="0">
      <selection activeCell="C37" sqref="C37"/>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v>46099</v>
      </c>
      <c r="D4" s="23" t="n">
        <v>46154</v>
      </c>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v>3.1</v>
      </c>
      <c r="D5" s="5" t="n">
        <v>3.9</v>
      </c>
      <c r="E5" s="5" t="n">
        <v>3.2</v>
      </c>
      <c r="F5" s="5" t="n">
        <v>3.3</v>
      </c>
      <c r="G5" s="5" t="n">
        <v>4.6</v>
      </c>
      <c r="H5" s="5" t="n">
        <v>4.9</v>
      </c>
      <c r="I5" s="5" t="n">
        <v>4.8</v>
      </c>
      <c r="J5" s="5" t="n">
        <v>4.1</v>
      </c>
      <c r="K5" s="5" t="n">
        <v>3.6</v>
      </c>
      <c r="L5" s="5" t="n">
        <v>4.3</v>
      </c>
      <c r="M5" s="5" t="n">
        <v>4.3</v>
      </c>
      <c r="N5" s="5" t="n">
        <v>3.2</v>
      </c>
      <c r="O5" s="5" t="n">
        <v>4.7</v>
      </c>
      <c r="P5" s="5">
        <f>IF(MAESTRO!F5="","",IFERROR(TRUNC(AVERAGE(C5:O5),1),""))</f>
        <v/>
      </c>
      <c r="Q5" s="40" t="n">
        <v>1</v>
      </c>
      <c r="R5" s="22" t="n">
        <v>3.5</v>
      </c>
      <c r="S5" s="22" t="n">
        <v>3.4</v>
      </c>
      <c r="T5" s="22" t="n">
        <v>4.4</v>
      </c>
      <c r="U5" s="22" t="n">
        <v>3.4</v>
      </c>
      <c r="V5" s="22" t="n">
        <v>4.3</v>
      </c>
      <c r="W5" s="22" t="n">
        <v>3.5</v>
      </c>
      <c r="X5" s="22" t="n">
        <v>4.3</v>
      </c>
      <c r="Y5" s="22" t="n">
        <v>4.5</v>
      </c>
      <c r="Z5" s="22" t="n">
        <v>4.5</v>
      </c>
      <c r="AA5" s="45">
        <f>IF(MAESTRO!F5="","",IFERROR(TRUNC(AVERAGE(R5:Z5),1),""))</f>
        <v/>
      </c>
      <c r="AB5" s="5" t="n">
        <v>4.1</v>
      </c>
      <c r="AC5" s="42" t="n">
        <v>4.5</v>
      </c>
      <c r="AD5" s="5">
        <f>IF(MAESTRO!F5="","",IFERROR(AVERAGE(AB5:AC5),""))</f>
        <v/>
      </c>
      <c r="AE5" s="44">
        <f>IF(MAESTRO!F5="","",IFERROR(TRUNC(AVERAGE(P5,AA5,AD5),1),""))</f>
        <v/>
      </c>
      <c r="AF5" s="177" t="n"/>
      <c r="AG5" s="177" t="n">
        <v>1</v>
      </c>
      <c r="AH5" s="177" t="n">
        <v>1</v>
      </c>
      <c r="AI5" s="177">
        <f>IF(MAESTRO!F5="","",MAESTRO!F5)</f>
        <v/>
      </c>
      <c r="AJ5" s="178" t="n"/>
      <c r="AK5" s="61" t="n">
        <v>4.9</v>
      </c>
      <c r="AL5" s="61" t="n">
        <v>4.7</v>
      </c>
      <c r="AM5" s="61" t="n">
        <v>3.6</v>
      </c>
      <c r="AN5" s="61" t="n">
        <v>4.7</v>
      </c>
      <c r="AO5" s="61" t="n">
        <v>3.5</v>
      </c>
      <c r="AP5" s="61" t="n">
        <v>3.6</v>
      </c>
      <c r="AQ5" s="61" t="n">
        <v>4.7</v>
      </c>
      <c r="AR5" s="61" t="n">
        <v>3.7</v>
      </c>
      <c r="AS5" s="61" t="n">
        <v>3</v>
      </c>
      <c r="AT5" s="61" t="n">
        <v>3.1</v>
      </c>
      <c r="AU5" s="61" t="n">
        <v>3.2</v>
      </c>
      <c r="AV5" s="61" t="n">
        <v>3.5</v>
      </c>
      <c r="AW5" s="5">
        <f>IF(MAESTRO!F5="","",IFERROR(TRUNC(AVERAGE(AK5:AV5),1),""))</f>
        <v/>
      </c>
      <c r="AX5" s="22" t="n">
        <v>3.1</v>
      </c>
      <c r="AY5" s="22" t="n">
        <v>4</v>
      </c>
      <c r="AZ5" s="22" t="n">
        <v>4.3</v>
      </c>
      <c r="BA5" s="22" t="n">
        <v>3.8</v>
      </c>
      <c r="BB5" s="22" t="n">
        <v>4.6</v>
      </c>
      <c r="BC5" s="22" t="n">
        <v>4.2</v>
      </c>
      <c r="BD5" s="22" t="n">
        <v>3</v>
      </c>
      <c r="BE5" s="22" t="n">
        <v>3</v>
      </c>
      <c r="BF5" s="22" t="n">
        <v>3.7</v>
      </c>
      <c r="BG5" s="52" t="n">
        <v>3.3</v>
      </c>
      <c r="BH5" s="5">
        <f>IF(MAESTRO!F5="","",IFERROR(TRUNC(AVERAGE(AX5:BG5),1),""))</f>
        <v/>
      </c>
      <c r="BI5" s="22" t="n">
        <v>3.7</v>
      </c>
      <c r="BJ5" s="22" t="n">
        <v>4.5</v>
      </c>
      <c r="BK5" s="22">
        <f>IF(MAESTRO!F5="","",IFERROR(AVERAGE(BI5,BJ5),""))</f>
        <v/>
      </c>
      <c r="BL5" s="5">
        <f>IF(MAESTRO!F5="","",IFERROR(TRUNC(AVERAGE(AW5,BH5,BK5),1),""))</f>
        <v/>
      </c>
      <c r="BM5" s="177" t="n"/>
      <c r="BN5" s="177" t="n">
        <v>1</v>
      </c>
      <c r="BO5" s="177" t="n">
        <v>1</v>
      </c>
      <c r="BP5" s="177">
        <f>IF(MAESTRO!F5="","",MAESTRO!F5)</f>
        <v/>
      </c>
      <c r="BQ5" s="178" t="n"/>
      <c r="BR5" s="5" t="n">
        <v>4.1</v>
      </c>
      <c r="BS5" s="5" t="n">
        <v>4.9</v>
      </c>
      <c r="BT5" s="5" t="n">
        <v>4.2</v>
      </c>
      <c r="BU5" s="5" t="n">
        <v>3.5</v>
      </c>
      <c r="BV5" s="5" t="n">
        <v>3.1</v>
      </c>
      <c r="BW5" s="5" t="n">
        <v>3.5</v>
      </c>
      <c r="BX5" s="5" t="n">
        <v>4.2</v>
      </c>
      <c r="BY5" s="5" t="n">
        <v>3.4</v>
      </c>
      <c r="BZ5" s="5" t="n">
        <v>3.9</v>
      </c>
      <c r="CA5" s="5" t="n">
        <v>4.6</v>
      </c>
      <c r="CB5" s="5" t="n">
        <v>4.4</v>
      </c>
      <c r="CC5" s="5" t="n">
        <v>4.7</v>
      </c>
      <c r="CD5" s="5" t="n">
        <v>4.4</v>
      </c>
      <c r="CE5" s="5">
        <f>IF(MAESTRO!F5="","",IFERROR(TRUNC(AVERAGE(BR5:CD5),1),""))</f>
        <v/>
      </c>
      <c r="CF5" s="5" t="n">
        <v>3.9</v>
      </c>
      <c r="CG5" s="5" t="n">
        <v>3.5</v>
      </c>
      <c r="CH5" s="5" t="n">
        <v>3.1</v>
      </c>
      <c r="CI5" s="5" t="n">
        <v>4.6</v>
      </c>
      <c r="CJ5" s="5" t="n">
        <v>3.2</v>
      </c>
      <c r="CK5" s="5" t="n">
        <v>4</v>
      </c>
      <c r="CL5" s="5" t="n">
        <v>3.9</v>
      </c>
      <c r="CM5" s="5" t="n">
        <v>4.5</v>
      </c>
      <c r="CN5" s="5" t="n">
        <v>4.2</v>
      </c>
      <c r="CO5" s="5" t="n">
        <v>4</v>
      </c>
      <c r="CP5" s="5">
        <f>IF(MAESTRO!F5="","",IFERROR(TRUNC(AVERAGE(CF5:CO5),1),""))</f>
        <v/>
      </c>
      <c r="CQ5" s="5" t="n">
        <v>3.2</v>
      </c>
      <c r="CR5" s="5" t="n">
        <v>3</v>
      </c>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v>3.3</v>
      </c>
      <c r="D6" s="5" t="n">
        <v>4.5</v>
      </c>
      <c r="E6" s="5" t="n">
        <v>3.1</v>
      </c>
      <c r="F6" s="5" t="n">
        <v>4.2</v>
      </c>
      <c r="G6" s="5" t="n">
        <v>4.9</v>
      </c>
      <c r="H6" s="5" t="n">
        <v>4.2</v>
      </c>
      <c r="I6" s="5" t="n">
        <v>3.7</v>
      </c>
      <c r="J6" s="5" t="n">
        <v>3.4</v>
      </c>
      <c r="K6" s="5" t="n">
        <v>3.3</v>
      </c>
      <c r="L6" s="5" t="n">
        <v>3.3</v>
      </c>
      <c r="M6" s="5" t="n">
        <v>3.2</v>
      </c>
      <c r="N6" s="5" t="n">
        <v>4.9</v>
      </c>
      <c r="O6" s="5" t="n">
        <v>4.9</v>
      </c>
      <c r="P6" s="5">
        <f>IF(MAESTRO!F6="","",IFERROR(TRUNC(AVERAGE(C6:O6),1),""))</f>
        <v/>
      </c>
      <c r="Q6" s="40" t="n">
        <v>2</v>
      </c>
      <c r="R6" s="22" t="n">
        <v>3.1</v>
      </c>
      <c r="S6" s="22" t="n">
        <v>3.1</v>
      </c>
      <c r="T6" s="22" t="n">
        <v>3.7</v>
      </c>
      <c r="U6" s="22" t="n">
        <v>3.4</v>
      </c>
      <c r="V6" s="22" t="n">
        <v>4.1</v>
      </c>
      <c r="W6" s="22" t="n">
        <v>4.6</v>
      </c>
      <c r="X6" s="22" t="n">
        <v>4.6</v>
      </c>
      <c r="Y6" s="22" t="n">
        <v>4.6</v>
      </c>
      <c r="Z6" s="22" t="n">
        <v>3.9</v>
      </c>
      <c r="AA6" s="45">
        <f>IF(MAESTRO!F6="","",IFERROR(TRUNC(AVERAGE(R6:Z6),1),""))</f>
        <v/>
      </c>
      <c r="AB6" s="5" t="n">
        <v>4</v>
      </c>
      <c r="AC6" s="42" t="n">
        <v>4.7</v>
      </c>
      <c r="AD6" s="5">
        <f>IF(MAESTRO!F6="","",IFERROR(AVERAGE(AB6:AC6),""))</f>
        <v/>
      </c>
      <c r="AE6" s="44">
        <f>IF(MAESTRO!F6="","",IFERROR(TRUNC(AVERAGE(P6,AA6,AD6),1),""))</f>
        <v/>
      </c>
      <c r="AF6" s="177" t="n"/>
      <c r="AG6" s="177" t="n">
        <v>2</v>
      </c>
      <c r="AH6" s="177" t="n">
        <v>2</v>
      </c>
      <c r="AI6" s="177">
        <f>IF(MAESTRO!F6="","",MAESTRO!F6)</f>
        <v/>
      </c>
      <c r="AJ6" s="178" t="n"/>
      <c r="AK6" s="61" t="n">
        <v>4.2</v>
      </c>
      <c r="AL6" s="61" t="n">
        <v>3.4</v>
      </c>
      <c r="AM6" s="61" t="n">
        <v>4.5</v>
      </c>
      <c r="AN6" s="61" t="n">
        <v>3.9</v>
      </c>
      <c r="AO6" s="61" t="n">
        <v>3.6</v>
      </c>
      <c r="AP6" s="61" t="n">
        <v>4.7</v>
      </c>
      <c r="AQ6" s="61" t="n">
        <v>4.3</v>
      </c>
      <c r="AR6" s="61" t="n">
        <v>4.2</v>
      </c>
      <c r="AS6" s="61" t="n">
        <v>3.2</v>
      </c>
      <c r="AT6" s="61" t="n">
        <v>3.1</v>
      </c>
      <c r="AU6" s="61" t="n">
        <v>3.3</v>
      </c>
      <c r="AV6" s="61" t="n">
        <v>3.4</v>
      </c>
      <c r="AW6" s="5">
        <f>IF(MAESTRO!F6="","",IFERROR(TRUNC(AVERAGE(AK6:AV6),1),""))</f>
        <v/>
      </c>
      <c r="AX6" s="22" t="n">
        <v>3.2</v>
      </c>
      <c r="AY6" s="22" t="n">
        <v>4.3</v>
      </c>
      <c r="AZ6" s="22" t="n">
        <v>3.9</v>
      </c>
      <c r="BA6" s="22" t="n">
        <v>4.4</v>
      </c>
      <c r="BB6" s="22" t="n">
        <v>3.5</v>
      </c>
      <c r="BC6" s="22" t="n">
        <v>4.2</v>
      </c>
      <c r="BD6" s="22" t="n">
        <v>4.9</v>
      </c>
      <c r="BE6" s="22" t="n">
        <v>5</v>
      </c>
      <c r="BF6" s="22" t="n">
        <v>3.1</v>
      </c>
      <c r="BG6" s="52" t="n">
        <v>4.5</v>
      </c>
      <c r="BH6" s="5">
        <f>IF(MAESTRO!F6="","",IFERROR(TRUNC(AVERAGE(AX6:BG6),1),""))</f>
        <v/>
      </c>
      <c r="BI6" s="22" t="n">
        <v>3.3</v>
      </c>
      <c r="BJ6" s="22" t="n">
        <v>3.6</v>
      </c>
      <c r="BK6" s="22">
        <f>IF(MAESTRO!F6="","",IFERROR(AVERAGE(BI6,BJ6),""))</f>
        <v/>
      </c>
      <c r="BL6" s="5">
        <f>IF(MAESTRO!F6="","",IFERROR(TRUNC(AVERAGE(AW6,BH6,BK6),1),""))</f>
        <v/>
      </c>
      <c r="BM6" s="177" t="n"/>
      <c r="BN6" s="177" t="n">
        <v>2</v>
      </c>
      <c r="BO6" s="177" t="n">
        <v>2</v>
      </c>
      <c r="BP6" s="177">
        <f>IF(MAESTRO!F6="","",MAESTRO!F6)</f>
        <v/>
      </c>
      <c r="BQ6" s="178" t="n"/>
      <c r="BR6" s="5" t="n">
        <v>3</v>
      </c>
      <c r="BS6" s="5" t="n">
        <v>4.4</v>
      </c>
      <c r="BT6" s="5" t="n">
        <v>3.4</v>
      </c>
      <c r="BU6" s="5" t="n">
        <v>3.8</v>
      </c>
      <c r="BV6" s="5" t="n">
        <v>3.5</v>
      </c>
      <c r="BW6" s="5" t="n">
        <v>4.2</v>
      </c>
      <c r="BX6" s="5" t="n">
        <v>3.7</v>
      </c>
      <c r="BY6" s="5" t="n">
        <v>3.8</v>
      </c>
      <c r="BZ6" s="5" t="n">
        <v>4.7</v>
      </c>
      <c r="CA6" s="5" t="n">
        <v>4.7</v>
      </c>
      <c r="CB6" s="5" t="n">
        <v>3.5</v>
      </c>
      <c r="CC6" s="5" t="n">
        <v>3.2</v>
      </c>
      <c r="CD6" s="5" t="n">
        <v>4.4</v>
      </c>
      <c r="CE6" s="5">
        <f>IF(MAESTRO!F6="","",IFERROR(TRUNC(AVERAGE(BR6:CD6),1),""))</f>
        <v/>
      </c>
      <c r="CF6" s="5" t="n">
        <v>3.1</v>
      </c>
      <c r="CG6" s="5" t="n">
        <v>4.7</v>
      </c>
      <c r="CH6" s="5" t="n">
        <v>4.8</v>
      </c>
      <c r="CI6" s="5" t="n">
        <v>3.5</v>
      </c>
      <c r="CJ6" s="5" t="n">
        <v>3.1</v>
      </c>
      <c r="CK6" s="5" t="n">
        <v>3.6</v>
      </c>
      <c r="CL6" s="5" t="n">
        <v>4.1</v>
      </c>
      <c r="CM6" s="5" t="n">
        <v>3.8</v>
      </c>
      <c r="CN6" s="5" t="n">
        <v>3.6</v>
      </c>
      <c r="CO6" s="5" t="n">
        <v>4.8</v>
      </c>
      <c r="CP6" s="5">
        <f>IF(MAESTRO!F6="","",IFERROR(TRUNC(AVERAGE(CF6:CO6),1),""))</f>
        <v/>
      </c>
      <c r="CQ6" s="5" t="n">
        <v>3.7</v>
      </c>
      <c r="CR6" s="5" t="n">
        <v>3.4</v>
      </c>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v>3.7</v>
      </c>
      <c r="D7" s="5" t="n">
        <v>3.9</v>
      </c>
      <c r="E7" s="5" t="n">
        <v>3.3</v>
      </c>
      <c r="F7" s="5" t="n">
        <v>4.9</v>
      </c>
      <c r="G7" s="5" t="n">
        <v>4.6</v>
      </c>
      <c r="H7" s="5" t="n">
        <v>3.8</v>
      </c>
      <c r="I7" s="5" t="n">
        <v>3.5</v>
      </c>
      <c r="J7" s="5" t="n">
        <v>3</v>
      </c>
      <c r="K7" s="5" t="n">
        <v>4.9</v>
      </c>
      <c r="L7" s="5" t="n">
        <v>4.3</v>
      </c>
      <c r="M7" s="5" t="n">
        <v>4.8</v>
      </c>
      <c r="N7" s="5" t="n">
        <v>3.7</v>
      </c>
      <c r="O7" s="5" t="n">
        <v>3.7</v>
      </c>
      <c r="P7" s="5">
        <f>IF(MAESTRO!F7="","",IFERROR(TRUNC(AVERAGE(C7:O7),1),""))</f>
        <v/>
      </c>
      <c r="Q7" s="40" t="n">
        <v>3</v>
      </c>
      <c r="R7" s="22" t="n">
        <v>4.1</v>
      </c>
      <c r="S7" s="22" t="n">
        <v>3.8</v>
      </c>
      <c r="T7" s="22" t="n">
        <v>3.8</v>
      </c>
      <c r="U7" s="22" t="n">
        <v>3.5</v>
      </c>
      <c r="V7" s="22" t="n">
        <v>4.1</v>
      </c>
      <c r="W7" s="22" t="n">
        <v>4.5</v>
      </c>
      <c r="X7" s="22" t="n">
        <v>4.4</v>
      </c>
      <c r="Y7" s="22" t="n">
        <v>3.2</v>
      </c>
      <c r="Z7" s="22" t="n">
        <v>3.6</v>
      </c>
      <c r="AA7" s="45">
        <f>IF(MAESTRO!F7="","",IFERROR(TRUNC(AVERAGE(R7:Z7),1),""))</f>
        <v/>
      </c>
      <c r="AB7" s="177" t="n">
        <v>4.3</v>
      </c>
      <c r="AC7" s="42" t="n">
        <v>3.5</v>
      </c>
      <c r="AD7" s="5">
        <f>IF(MAESTRO!F7="","",IFERROR(AVERAGE(AB7:AC7),""))</f>
        <v/>
      </c>
      <c r="AE7" s="44">
        <f>IF(MAESTRO!F7="","",IFERROR(TRUNC(AVERAGE(P7,AA7,AD7),1),""))</f>
        <v/>
      </c>
      <c r="AF7" s="177" t="n"/>
      <c r="AG7" s="177" t="n">
        <v>3</v>
      </c>
      <c r="AH7" s="177" t="n">
        <v>3</v>
      </c>
      <c r="AI7" s="177">
        <f>IF(MAESTRO!F7="","",MAESTRO!F7)</f>
        <v/>
      </c>
      <c r="AJ7" s="178" t="n"/>
      <c r="AK7" s="61" t="n">
        <v>3.2</v>
      </c>
      <c r="AL7" s="61" t="n">
        <v>3.4</v>
      </c>
      <c r="AM7" s="61" t="n">
        <v>3.7</v>
      </c>
      <c r="AN7" s="61" t="n">
        <v>4.2</v>
      </c>
      <c r="AO7" s="61" t="n">
        <v>3.6</v>
      </c>
      <c r="AP7" s="61" t="n">
        <v>5</v>
      </c>
      <c r="AQ7" s="61" t="n">
        <v>3.6</v>
      </c>
      <c r="AR7" s="61" t="n">
        <v>3.5</v>
      </c>
      <c r="AS7" s="61" t="n">
        <v>3.5</v>
      </c>
      <c r="AT7" s="61" t="n">
        <v>3.7</v>
      </c>
      <c r="AU7" s="61" t="n">
        <v>3.6</v>
      </c>
      <c r="AV7" s="61" t="n">
        <v>4.8</v>
      </c>
      <c r="AW7" s="5">
        <f>IF(MAESTRO!F7="","",IFERROR(TRUNC(AVERAGE(AK7:AV7),1),""))</f>
        <v/>
      </c>
      <c r="AX7" s="22" t="n">
        <v>3.1</v>
      </c>
      <c r="AY7" s="22" t="n">
        <v>3.5</v>
      </c>
      <c r="AZ7" s="22" t="n">
        <v>3.3</v>
      </c>
      <c r="BA7" s="22" t="n">
        <v>3.3</v>
      </c>
      <c r="BB7" s="22" t="n">
        <v>4.6</v>
      </c>
      <c r="BC7" s="22" t="n">
        <v>5</v>
      </c>
      <c r="BD7" s="22" t="n">
        <v>4.9</v>
      </c>
      <c r="BE7" s="22" t="n">
        <v>4.8</v>
      </c>
      <c r="BF7" s="22" t="n">
        <v>4.2</v>
      </c>
      <c r="BG7" s="52" t="n">
        <v>3.6</v>
      </c>
      <c r="BH7" s="5">
        <f>IF(MAESTRO!F7="","",IFERROR(TRUNC(AVERAGE(AX7:BG7),1),""))</f>
        <v/>
      </c>
      <c r="BI7" s="22" t="n">
        <v>3.5</v>
      </c>
      <c r="BJ7" s="22" t="n">
        <v>4.6</v>
      </c>
      <c r="BK7" s="22">
        <f>IF(MAESTRO!F7="","",IFERROR(AVERAGE(BI7,BJ7),""))</f>
        <v/>
      </c>
      <c r="BL7" s="5">
        <f>IF(MAESTRO!F7="","",IFERROR(TRUNC(AVERAGE(AW7,BH7,BK7),1),""))</f>
        <v/>
      </c>
      <c r="BM7" s="177" t="n"/>
      <c r="BN7" s="177" t="n">
        <v>3</v>
      </c>
      <c r="BO7" s="177" t="n">
        <v>3</v>
      </c>
      <c r="BP7" s="177">
        <f>IF(MAESTRO!F7="","",MAESTRO!F7)</f>
        <v/>
      </c>
      <c r="BQ7" s="178" t="n"/>
      <c r="BR7" s="5" t="n">
        <v>4.2</v>
      </c>
      <c r="BS7" s="5" t="n">
        <v>3</v>
      </c>
      <c r="BT7" s="5" t="n">
        <v>3.1</v>
      </c>
      <c r="BU7" s="5" t="n">
        <v>3.4</v>
      </c>
      <c r="BV7" s="5" t="n">
        <v>4.3</v>
      </c>
      <c r="BW7" s="5" t="n">
        <v>4.4</v>
      </c>
      <c r="BX7" s="5" t="n">
        <v>3.1</v>
      </c>
      <c r="BY7" s="5" t="n">
        <v>4.1</v>
      </c>
      <c r="BZ7" s="5" t="n">
        <v>3.6</v>
      </c>
      <c r="CA7" s="5" t="n">
        <v>4.1</v>
      </c>
      <c r="CB7" s="5" t="n">
        <v>3.8</v>
      </c>
      <c r="CC7" s="5" t="n">
        <v>4.8</v>
      </c>
      <c r="CD7" s="5" t="n">
        <v>3.9</v>
      </c>
      <c r="CE7" s="5">
        <f>IF(MAESTRO!F7="","",IFERROR(TRUNC(AVERAGE(BR7:CD7),1),""))</f>
        <v/>
      </c>
      <c r="CF7" s="5" t="n">
        <v>3.1</v>
      </c>
      <c r="CG7" s="5" t="n">
        <v>3.4</v>
      </c>
      <c r="CH7" s="5" t="n">
        <v>4.5</v>
      </c>
      <c r="CI7" s="5" t="n">
        <v>3.8</v>
      </c>
      <c r="CJ7" s="5" t="n">
        <v>3.6</v>
      </c>
      <c r="CK7" s="5" t="n">
        <v>3.5</v>
      </c>
      <c r="CL7" s="5" t="n">
        <v>4.2</v>
      </c>
      <c r="CM7" s="5" t="n">
        <v>4.6</v>
      </c>
      <c r="CN7" s="5" t="n">
        <v>4.6</v>
      </c>
      <c r="CO7" s="5" t="n">
        <v>3.9</v>
      </c>
      <c r="CP7" s="5">
        <f>IF(MAESTRO!F7="","",IFERROR(TRUNC(AVERAGE(CF7:CO7),1),""))</f>
        <v/>
      </c>
      <c r="CQ7" s="5" t="n">
        <v>4.7</v>
      </c>
      <c r="CR7" s="5" t="n">
        <v>3.5</v>
      </c>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v>3.3</v>
      </c>
      <c r="D8" s="5" t="n">
        <v>4.2</v>
      </c>
      <c r="E8" s="5" t="n">
        <v>4.5</v>
      </c>
      <c r="F8" s="5" t="n">
        <v>4.4</v>
      </c>
      <c r="G8" s="5" t="n">
        <v>4.4</v>
      </c>
      <c r="H8" s="5" t="n">
        <v>3.5</v>
      </c>
      <c r="I8" s="5" t="n">
        <v>3.7</v>
      </c>
      <c r="J8" s="5" t="n">
        <v>4.8</v>
      </c>
      <c r="K8" s="5" t="n">
        <v>3.9</v>
      </c>
      <c r="L8" s="5" t="n">
        <v>4.2</v>
      </c>
      <c r="M8" s="5" t="n">
        <v>4.5</v>
      </c>
      <c r="N8" s="5" t="n">
        <v>3.9</v>
      </c>
      <c r="O8" s="5" t="n">
        <v>4.1</v>
      </c>
      <c r="P8" s="5">
        <f>IF(MAESTRO!F8="","",IFERROR(TRUNC(AVERAGE(C8:O8),1),""))</f>
        <v/>
      </c>
      <c r="Q8" s="40" t="n">
        <v>4</v>
      </c>
      <c r="R8" s="22" t="n">
        <v>4.8</v>
      </c>
      <c r="S8" s="22" t="n">
        <v>4.6</v>
      </c>
      <c r="T8" s="22" t="n">
        <v>4.9</v>
      </c>
      <c r="U8" s="22" t="n">
        <v>3.2</v>
      </c>
      <c r="V8" s="22" t="n">
        <v>3.6</v>
      </c>
      <c r="W8" s="22" t="n">
        <v>4.3</v>
      </c>
      <c r="X8" s="22" t="n">
        <v>4.4</v>
      </c>
      <c r="Y8" s="22" t="n">
        <v>3.2</v>
      </c>
      <c r="Z8" s="22" t="n">
        <v>4.3</v>
      </c>
      <c r="AA8" s="45">
        <f>IF(MAESTRO!F8="","",IFERROR(TRUNC(AVERAGE(R8:Z8),1),""))</f>
        <v/>
      </c>
      <c r="AB8" s="177" t="n">
        <v>3.6</v>
      </c>
      <c r="AC8" s="42" t="n">
        <v>4.4</v>
      </c>
      <c r="AD8" s="5">
        <f>IF(MAESTRO!F8="","",IFERROR(AVERAGE(AB8:AC8),""))</f>
        <v/>
      </c>
      <c r="AE8" s="44">
        <f>IF(MAESTRO!F8="","",IFERROR(TRUNC(AVERAGE(P8,AA8,AD8),1),""))</f>
        <v/>
      </c>
      <c r="AF8" s="177" t="n"/>
      <c r="AG8" s="177" t="n">
        <v>4</v>
      </c>
      <c r="AH8" s="177" t="n">
        <v>4</v>
      </c>
      <c r="AI8" s="177">
        <f>IF(MAESTRO!F8="","",MAESTRO!F8)</f>
        <v/>
      </c>
      <c r="AJ8" s="178" t="n"/>
      <c r="AK8" s="61" t="n">
        <v>4.7</v>
      </c>
      <c r="AL8" s="61" t="n">
        <v>4.2</v>
      </c>
      <c r="AM8" s="61" t="n">
        <v>3.3</v>
      </c>
      <c r="AN8" s="61" t="n">
        <v>3.3</v>
      </c>
      <c r="AO8" s="61" t="n">
        <v>3.1</v>
      </c>
      <c r="AP8" s="61" t="n">
        <v>4.8</v>
      </c>
      <c r="AQ8" s="61" t="n">
        <v>4.7</v>
      </c>
      <c r="AR8" s="61" t="n">
        <v>4.1</v>
      </c>
      <c r="AS8" s="61" t="n">
        <v>4.7</v>
      </c>
      <c r="AT8" s="61" t="n">
        <v>3.1</v>
      </c>
      <c r="AU8" s="61" t="n">
        <v>3.3</v>
      </c>
      <c r="AV8" s="61" t="n">
        <v>4.2</v>
      </c>
      <c r="AW8" s="5">
        <f>IF(MAESTRO!F8="","",IFERROR(TRUNC(AVERAGE(AK8:AV8),1),""))</f>
        <v/>
      </c>
      <c r="AX8" s="22" t="n">
        <v>3.3</v>
      </c>
      <c r="AY8" s="22" t="n">
        <v>3.3</v>
      </c>
      <c r="AZ8" s="22" t="n">
        <v>3.3</v>
      </c>
      <c r="BA8" s="22" t="n">
        <v>4.2</v>
      </c>
      <c r="BB8" s="22" t="n">
        <v>3</v>
      </c>
      <c r="BC8" s="22" t="n">
        <v>3</v>
      </c>
      <c r="BD8" s="22" t="n">
        <v>4.8</v>
      </c>
      <c r="BE8" s="22" t="n">
        <v>4.8</v>
      </c>
      <c r="BF8" s="22" t="n">
        <v>4.3</v>
      </c>
      <c r="BG8" s="52" t="n">
        <v>3.7</v>
      </c>
      <c r="BH8" s="5">
        <f>IF(MAESTRO!F8="","",IFERROR(TRUNC(AVERAGE(AX8:BG8),1),""))</f>
        <v/>
      </c>
      <c r="BI8" s="22" t="n">
        <v>4.3</v>
      </c>
      <c r="BJ8" s="22" t="n">
        <v>4.5</v>
      </c>
      <c r="BK8" s="22">
        <f>IF(MAESTRO!F8="","",IFERROR(AVERAGE(BI8,BJ8),""))</f>
        <v/>
      </c>
      <c r="BL8" s="5">
        <f>IF(MAESTRO!F8="","",IFERROR(TRUNC(AVERAGE(AW8,BH8,BK8),1),""))</f>
        <v/>
      </c>
      <c r="BM8" s="177" t="n"/>
      <c r="BN8" s="177" t="n">
        <v>4</v>
      </c>
      <c r="BO8" s="177" t="n">
        <v>4</v>
      </c>
      <c r="BP8" s="177">
        <f>IF(MAESTRO!F8="","",MAESTRO!F8)</f>
        <v/>
      </c>
      <c r="BQ8" s="178" t="n"/>
      <c r="BR8" s="5" t="n">
        <v>4.4</v>
      </c>
      <c r="BS8" s="5" t="n">
        <v>4.3</v>
      </c>
      <c r="BT8" s="5" t="n">
        <v>3.2</v>
      </c>
      <c r="BU8" s="5" t="n">
        <v>4.2</v>
      </c>
      <c r="BV8" s="5" t="n">
        <v>3.3</v>
      </c>
      <c r="BW8" s="5" t="n">
        <v>4.8</v>
      </c>
      <c r="BX8" s="5" t="n">
        <v>3.4</v>
      </c>
      <c r="BY8" s="5" t="n">
        <v>4.7</v>
      </c>
      <c r="BZ8" s="5" t="n">
        <v>4.5</v>
      </c>
      <c r="CA8" s="5" t="n">
        <v>4.4</v>
      </c>
      <c r="CB8" s="5" t="n">
        <v>4.2</v>
      </c>
      <c r="CC8" s="5" t="n">
        <v>3.1</v>
      </c>
      <c r="CD8" s="5" t="n">
        <v>4.1</v>
      </c>
      <c r="CE8" s="5">
        <f>IF(MAESTRO!F8="","",IFERROR(TRUNC(AVERAGE(BR8:CD8),1),""))</f>
        <v/>
      </c>
      <c r="CF8" s="5" t="n">
        <v>3.6</v>
      </c>
      <c r="CG8" s="5" t="n">
        <v>3.1</v>
      </c>
      <c r="CH8" s="5" t="n">
        <v>3.9</v>
      </c>
      <c r="CI8" s="5" t="n">
        <v>3.6</v>
      </c>
      <c r="CJ8" s="5" t="n">
        <v>3.2</v>
      </c>
      <c r="CK8" s="5" t="n">
        <v>4.2</v>
      </c>
      <c r="CL8" s="5" t="n">
        <v>3.4</v>
      </c>
      <c r="CM8" s="5" t="n">
        <v>3.4</v>
      </c>
      <c r="CN8" s="5" t="n">
        <v>4.1</v>
      </c>
      <c r="CO8" s="5" t="n">
        <v>4</v>
      </c>
      <c r="CP8" s="5">
        <f>IF(MAESTRO!F8="","",IFERROR(TRUNC(AVERAGE(CF8:CO8),1),""))</f>
        <v/>
      </c>
      <c r="CQ8" s="5" t="n">
        <v>5</v>
      </c>
      <c r="CR8" s="5" t="n">
        <v>3.4</v>
      </c>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v>4.4</v>
      </c>
      <c r="D9" s="5" t="n">
        <v>3.4</v>
      </c>
      <c r="E9" s="5" t="n">
        <v>3.9</v>
      </c>
      <c r="F9" s="5" t="n">
        <v>4.5</v>
      </c>
      <c r="G9" s="5" t="n">
        <v>3.3</v>
      </c>
      <c r="H9" s="5" t="n">
        <v>3.3</v>
      </c>
      <c r="I9" s="5" t="n">
        <v>3.9</v>
      </c>
      <c r="J9" s="5" t="n">
        <v>4.1</v>
      </c>
      <c r="K9" s="5" t="n">
        <v>3.7</v>
      </c>
      <c r="L9" s="5" t="n">
        <v>4.2</v>
      </c>
      <c r="M9" s="5" t="n">
        <v>4.4</v>
      </c>
      <c r="N9" s="5" t="n">
        <v>3</v>
      </c>
      <c r="O9" s="5" t="n">
        <v>3.5</v>
      </c>
      <c r="P9" s="5">
        <f>IF(MAESTRO!F9="","",IFERROR(TRUNC(AVERAGE(C9:O9),1),""))</f>
        <v/>
      </c>
      <c r="Q9" s="40" t="n">
        <v>5</v>
      </c>
      <c r="R9" s="22" t="n">
        <v>3</v>
      </c>
      <c r="S9" s="22" t="n">
        <v>4.6</v>
      </c>
      <c r="T9" s="22" t="n">
        <v>4.5</v>
      </c>
      <c r="U9" s="22" t="n">
        <v>3.7</v>
      </c>
      <c r="V9" s="22" t="n">
        <v>4</v>
      </c>
      <c r="W9" s="22" t="n">
        <v>3.3</v>
      </c>
      <c r="X9" s="22" t="n">
        <v>3.6</v>
      </c>
      <c r="Y9" s="22" t="n">
        <v>4.4</v>
      </c>
      <c r="Z9" s="22" t="n">
        <v>3.4</v>
      </c>
      <c r="AA9" s="45">
        <f>IF(MAESTRO!F9="","",IFERROR(TRUNC(AVERAGE(R9:Z9),1),""))</f>
        <v/>
      </c>
      <c r="AB9" s="177" t="n">
        <v>3.4</v>
      </c>
      <c r="AC9" s="42" t="n">
        <v>4.8</v>
      </c>
      <c r="AD9" s="5">
        <f>IF(MAESTRO!F9="","",IFERROR(AVERAGE(AB9:AC9),""))</f>
        <v/>
      </c>
      <c r="AE9" s="44">
        <f>IF(MAESTRO!F9="","",IFERROR(TRUNC(AVERAGE(P9,AA9,AD9),1),""))</f>
        <v/>
      </c>
      <c r="AF9" s="177" t="n"/>
      <c r="AG9" s="177" t="n">
        <v>5</v>
      </c>
      <c r="AH9" s="177" t="n">
        <v>5</v>
      </c>
      <c r="AI9" s="177">
        <f>IF(MAESTRO!F9="","",MAESTRO!F9)</f>
        <v/>
      </c>
      <c r="AJ9" s="178" t="n"/>
      <c r="AK9" s="61" t="n">
        <v>3.3</v>
      </c>
      <c r="AL9" s="61" t="n">
        <v>3.3</v>
      </c>
      <c r="AM9" s="61" t="n">
        <v>4.9</v>
      </c>
      <c r="AN9" s="61" t="n">
        <v>3.2</v>
      </c>
      <c r="AO9" s="61" t="n">
        <v>3.1</v>
      </c>
      <c r="AP9" s="61" t="n">
        <v>3.3</v>
      </c>
      <c r="AQ9" s="61" t="n">
        <v>4.8</v>
      </c>
      <c r="AR9" s="61" t="n">
        <v>3.2</v>
      </c>
      <c r="AS9" s="61" t="n">
        <v>3.5</v>
      </c>
      <c r="AT9" s="61" t="n">
        <v>4.7</v>
      </c>
      <c r="AU9" s="61" t="n">
        <v>3.4</v>
      </c>
      <c r="AV9" s="61" t="n">
        <v>4.1</v>
      </c>
      <c r="AW9" s="5">
        <f>IF(MAESTRO!F9="","",IFERROR(TRUNC(AVERAGE(AK9:AV9),1),""))</f>
        <v/>
      </c>
      <c r="AX9" s="22" t="n">
        <v>4.4</v>
      </c>
      <c r="AY9" s="22" t="n">
        <v>3.6</v>
      </c>
      <c r="AZ9" s="22" t="n">
        <v>4.9</v>
      </c>
      <c r="BA9" s="22" t="n">
        <v>3.3</v>
      </c>
      <c r="BB9" s="22" t="n">
        <v>4.2</v>
      </c>
      <c r="BC9" s="22" t="n">
        <v>3.3</v>
      </c>
      <c r="BD9" s="22" t="n">
        <v>4.1</v>
      </c>
      <c r="BE9" s="22" t="n">
        <v>3.2</v>
      </c>
      <c r="BF9" s="22" t="n">
        <v>4.7</v>
      </c>
      <c r="BG9" s="52" t="n">
        <v>4.2</v>
      </c>
      <c r="BH9" s="5">
        <f>IF(MAESTRO!F9="","",IFERROR(TRUNC(AVERAGE(AX9:BG9),1),""))</f>
        <v/>
      </c>
      <c r="BI9" s="22" t="n">
        <v>3.5</v>
      </c>
      <c r="BJ9" s="22" t="n">
        <v>4.7</v>
      </c>
      <c r="BK9" s="22">
        <f>IF(MAESTRO!F9="","",IFERROR(AVERAGE(BI9,BJ9),""))</f>
        <v/>
      </c>
      <c r="BL9" s="5">
        <f>IF(MAESTRO!F9="","",IFERROR(TRUNC(AVERAGE(AW9,BH9,BK9),1),""))</f>
        <v/>
      </c>
      <c r="BM9" s="177" t="n"/>
      <c r="BN9" s="177" t="n">
        <v>5</v>
      </c>
      <c r="BO9" s="177" t="n">
        <v>5</v>
      </c>
      <c r="BP9" s="177">
        <f>IF(MAESTRO!F9="","",MAESTRO!F9)</f>
        <v/>
      </c>
      <c r="BQ9" s="178" t="n"/>
      <c r="BR9" s="5" t="n">
        <v>4.6</v>
      </c>
      <c r="BS9" s="5" t="n">
        <v>3.9</v>
      </c>
      <c r="BT9" s="5" t="n">
        <v>4.5</v>
      </c>
      <c r="BU9" s="5" t="n">
        <v>5</v>
      </c>
      <c r="BV9" s="5" t="n">
        <v>4</v>
      </c>
      <c r="BW9" s="5" t="n">
        <v>3.2</v>
      </c>
      <c r="BX9" s="5" t="n">
        <v>3.8</v>
      </c>
      <c r="BY9" s="5" t="n">
        <v>3.1</v>
      </c>
      <c r="BZ9" s="5" t="n">
        <v>3.3</v>
      </c>
      <c r="CA9" s="5" t="n">
        <v>3.6</v>
      </c>
      <c r="CB9" s="5" t="n">
        <v>3.5</v>
      </c>
      <c r="CC9" s="5" t="n">
        <v>3.2</v>
      </c>
      <c r="CD9" s="5" t="n">
        <v>3.4</v>
      </c>
      <c r="CE9" s="5">
        <f>IF(MAESTRO!F9="","",IFERROR(TRUNC(AVERAGE(BR9:CD9),1),""))</f>
        <v/>
      </c>
      <c r="CF9" s="5" t="n">
        <v>4.9</v>
      </c>
      <c r="CG9" s="5" t="n">
        <v>4</v>
      </c>
      <c r="CH9" s="5" t="n">
        <v>4.1</v>
      </c>
      <c r="CI9" s="5" t="n">
        <v>4.4</v>
      </c>
      <c r="CJ9" s="5" t="n">
        <v>4.5</v>
      </c>
      <c r="CK9" s="5" t="n">
        <v>4.9</v>
      </c>
      <c r="CL9" s="5" t="n">
        <v>3.9</v>
      </c>
      <c r="CM9" s="5" t="n">
        <v>4.6</v>
      </c>
      <c r="CN9" s="5" t="n">
        <v>4.6</v>
      </c>
      <c r="CO9" s="5" t="n">
        <v>3.9</v>
      </c>
      <c r="CP9" s="5">
        <f>IF(MAESTRO!F9="","",IFERROR(TRUNC(AVERAGE(CF9:CO9),1),""))</f>
        <v/>
      </c>
      <c r="CQ9" s="5" t="n">
        <v>3.5</v>
      </c>
      <c r="CR9" s="5" t="n">
        <v>3.7</v>
      </c>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v>4.5</v>
      </c>
      <c r="D10" s="5" t="n">
        <v>4.9</v>
      </c>
      <c r="E10" s="5" t="n">
        <v>4.1</v>
      </c>
      <c r="F10" s="5" t="n">
        <v>4.6</v>
      </c>
      <c r="G10" s="5" t="n">
        <v>4.2</v>
      </c>
      <c r="H10" s="5" t="n">
        <v>4</v>
      </c>
      <c r="I10" s="5" t="n">
        <v>4.6</v>
      </c>
      <c r="J10" s="5" t="n">
        <v>4</v>
      </c>
      <c r="K10" s="5" t="n">
        <v>4.8</v>
      </c>
      <c r="L10" s="5" t="n">
        <v>4.2</v>
      </c>
      <c r="M10" s="5" t="n">
        <v>3.4</v>
      </c>
      <c r="N10" s="5" t="n">
        <v>3.3</v>
      </c>
      <c r="O10" s="5" t="n">
        <v>4.6</v>
      </c>
      <c r="P10" s="5">
        <f>IF(MAESTRO!F10="","",IFERROR(TRUNC(AVERAGE(C10:O10),1),""))</f>
        <v/>
      </c>
      <c r="Q10" s="40" t="n">
        <v>6</v>
      </c>
      <c r="R10" s="22" t="n">
        <v>4.7</v>
      </c>
      <c r="S10" s="22" t="n">
        <v>5</v>
      </c>
      <c r="T10" s="22" t="n">
        <v>5</v>
      </c>
      <c r="U10" s="22" t="n">
        <v>3.2</v>
      </c>
      <c r="V10" s="22" t="n">
        <v>3.8</v>
      </c>
      <c r="W10" s="22" t="n">
        <v>3.5</v>
      </c>
      <c r="X10" s="22" t="n">
        <v>3.2</v>
      </c>
      <c r="Y10" s="22" t="n">
        <v>4.2</v>
      </c>
      <c r="Z10" s="22" t="n">
        <v>4.1</v>
      </c>
      <c r="AA10" s="45">
        <f>IF(MAESTRO!F10="","",IFERROR(TRUNC(AVERAGE(R10:Z10),1),""))</f>
        <v/>
      </c>
      <c r="AB10" s="177" t="n">
        <v>4.7</v>
      </c>
      <c r="AC10" s="42" t="n">
        <v>4.6</v>
      </c>
      <c r="AD10" s="5">
        <f>IF(MAESTRO!F10="","",IFERROR(AVERAGE(AB10:AC10),""))</f>
        <v/>
      </c>
      <c r="AE10" s="44">
        <f>IF(MAESTRO!F10="","",IFERROR(TRUNC(AVERAGE(P10,AA10,AD10),1),""))</f>
        <v/>
      </c>
      <c r="AF10" s="177" t="n"/>
      <c r="AG10" s="177" t="n">
        <v>6</v>
      </c>
      <c r="AH10" s="177" t="n">
        <v>6</v>
      </c>
      <c r="AI10" s="177">
        <f>IF(MAESTRO!F10="","",MAESTRO!F10)</f>
        <v/>
      </c>
      <c r="AJ10" s="178" t="n"/>
      <c r="AK10" s="61" t="n">
        <v>3.3</v>
      </c>
      <c r="AL10" s="61" t="n">
        <v>3.5</v>
      </c>
      <c r="AM10" s="61" t="n">
        <v>3.9</v>
      </c>
      <c r="AN10" s="61" t="n">
        <v>4.5</v>
      </c>
      <c r="AO10" s="61" t="n">
        <v>3.4</v>
      </c>
      <c r="AP10" s="61" t="n">
        <v>4</v>
      </c>
      <c r="AQ10" s="61" t="n">
        <v>4.7</v>
      </c>
      <c r="AR10" s="61" t="n">
        <v>3.1</v>
      </c>
      <c r="AS10" s="61" t="n">
        <v>4.3</v>
      </c>
      <c r="AT10" s="61" t="n">
        <v>4.9</v>
      </c>
      <c r="AU10" s="61" t="n">
        <v>4.9</v>
      </c>
      <c r="AV10" s="61" t="n">
        <v>3.2</v>
      </c>
      <c r="AW10" s="5">
        <f>IF(MAESTRO!F10="","",IFERROR(TRUNC(AVERAGE(AK10:AV10),1),""))</f>
        <v/>
      </c>
      <c r="AX10" s="22" t="n">
        <v>3.6</v>
      </c>
      <c r="AY10" s="22" t="n">
        <v>5</v>
      </c>
      <c r="AZ10" s="22" t="n">
        <v>3.5</v>
      </c>
      <c r="BA10" s="22" t="n">
        <v>4</v>
      </c>
      <c r="BB10" s="22" t="n">
        <v>4.9</v>
      </c>
      <c r="BC10" s="22" t="n">
        <v>3</v>
      </c>
      <c r="BD10" s="22" t="n">
        <v>4.6</v>
      </c>
      <c r="BE10" s="22" t="n">
        <v>3.5</v>
      </c>
      <c r="BF10" s="22" t="n">
        <v>3.9</v>
      </c>
      <c r="BG10" s="52" t="n">
        <v>4</v>
      </c>
      <c r="BH10" s="5">
        <f>IF(MAESTRO!F10="","",IFERROR(TRUNC(AVERAGE(AX10:BG10),1),""))</f>
        <v/>
      </c>
      <c r="BI10" s="22" t="n">
        <v>4.5</v>
      </c>
      <c r="BJ10" s="22" t="n">
        <v>4.2</v>
      </c>
      <c r="BK10" s="22">
        <f>IF(MAESTRO!F10="","",IFERROR(AVERAGE(BI10,BJ10),""))</f>
        <v/>
      </c>
      <c r="BL10" s="5">
        <f>IF(MAESTRO!F10="","",IFERROR(TRUNC(AVERAGE(AW10,BH10,BK10),1),""))</f>
        <v/>
      </c>
      <c r="BM10" s="177" t="n"/>
      <c r="BN10" s="177" t="n">
        <v>6</v>
      </c>
      <c r="BO10" s="177" t="n">
        <v>6</v>
      </c>
      <c r="BP10" s="177">
        <f>IF(MAESTRO!F10="","",MAESTRO!F10)</f>
        <v/>
      </c>
      <c r="BQ10" s="178" t="n"/>
      <c r="BR10" s="5" t="n">
        <v>3.5</v>
      </c>
      <c r="BS10" s="5" t="n">
        <v>3.4</v>
      </c>
      <c r="BT10" s="5" t="n">
        <v>3.5</v>
      </c>
      <c r="BU10" s="5" t="n">
        <v>4.2</v>
      </c>
      <c r="BV10" s="5" t="n">
        <v>3.8</v>
      </c>
      <c r="BW10" s="5" t="n">
        <v>5</v>
      </c>
      <c r="BX10" s="5" t="n">
        <v>3.9</v>
      </c>
      <c r="BY10" s="5" t="n">
        <v>4.1</v>
      </c>
      <c r="BZ10" s="5" t="n">
        <v>3.8</v>
      </c>
      <c r="CA10" s="5" t="n">
        <v>4.9</v>
      </c>
      <c r="CB10" s="5" t="n">
        <v>4.4</v>
      </c>
      <c r="CC10" s="5" t="n">
        <v>3.1</v>
      </c>
      <c r="CD10" s="5" t="n">
        <v>3.6</v>
      </c>
      <c r="CE10" s="5">
        <f>IF(MAESTRO!F10="","",IFERROR(TRUNC(AVERAGE(BR10:CD10),1),""))</f>
        <v/>
      </c>
      <c r="CF10" s="5" t="n">
        <v>4.2</v>
      </c>
      <c r="CG10" s="5" t="n">
        <v>3.1</v>
      </c>
      <c r="CH10" s="5" t="n">
        <v>3.9</v>
      </c>
      <c r="CI10" s="5" t="n">
        <v>3.4</v>
      </c>
      <c r="CJ10" s="5" t="n">
        <v>3.3</v>
      </c>
      <c r="CK10" s="5" t="n">
        <v>4.9</v>
      </c>
      <c r="CL10" s="5" t="n">
        <v>3.7</v>
      </c>
      <c r="CM10" s="5" t="n">
        <v>4.4</v>
      </c>
      <c r="CN10" s="5" t="n">
        <v>4.7</v>
      </c>
      <c r="CO10" s="5" t="n">
        <v>4.4</v>
      </c>
      <c r="CP10" s="5">
        <f>IF(MAESTRO!F10="","",IFERROR(TRUNC(AVERAGE(CF10:CO10),1),""))</f>
        <v/>
      </c>
      <c r="CQ10" s="5" t="n">
        <v>4</v>
      </c>
      <c r="CR10" s="5" t="n">
        <v>4.7</v>
      </c>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v>3</v>
      </c>
      <c r="D11" s="5" t="n">
        <v>4.4</v>
      </c>
      <c r="E11" s="5" t="n">
        <v>3.9</v>
      </c>
      <c r="F11" s="5" t="n">
        <v>4.3</v>
      </c>
      <c r="G11" s="5" t="n">
        <v>4.8</v>
      </c>
      <c r="H11" s="5" t="n">
        <v>4</v>
      </c>
      <c r="I11" s="5" t="n">
        <v>4.6</v>
      </c>
      <c r="J11" s="5" t="n">
        <v>3.5</v>
      </c>
      <c r="K11" s="5" t="n">
        <v>3.7</v>
      </c>
      <c r="L11" s="5" t="n">
        <v>4.4</v>
      </c>
      <c r="M11" s="5" t="n">
        <v>4.9</v>
      </c>
      <c r="N11" s="5" t="n">
        <v>3.2</v>
      </c>
      <c r="O11" s="5" t="n">
        <v>4.5</v>
      </c>
      <c r="P11" s="5">
        <f>IF(MAESTRO!F11="","",IFERROR(TRUNC(AVERAGE(C11:O11),1),""))</f>
        <v/>
      </c>
      <c r="Q11" s="40" t="n">
        <v>7</v>
      </c>
      <c r="R11" s="22" t="n">
        <v>3.6</v>
      </c>
      <c r="S11" s="22" t="n">
        <v>3</v>
      </c>
      <c r="T11" s="22" t="n">
        <v>3.1</v>
      </c>
      <c r="U11" s="22" t="n">
        <v>3.4</v>
      </c>
      <c r="V11" s="22" t="n">
        <v>3.1</v>
      </c>
      <c r="W11" s="22" t="n">
        <v>4.3</v>
      </c>
      <c r="X11" s="22" t="n">
        <v>4.4</v>
      </c>
      <c r="Y11" s="22" t="n">
        <v>4.7</v>
      </c>
      <c r="Z11" s="22" t="n">
        <v>4.5</v>
      </c>
      <c r="AA11" s="45">
        <f>IF(MAESTRO!F11="","",IFERROR(TRUNC(AVERAGE(R11:Z11),1),""))</f>
        <v/>
      </c>
      <c r="AB11" s="177" t="n">
        <v>4.6</v>
      </c>
      <c r="AC11" s="42" t="n">
        <v>4.3</v>
      </c>
      <c r="AD11" s="5">
        <f>IF(MAESTRO!F11="","",IFERROR(AVERAGE(AB11:AC11),""))</f>
        <v/>
      </c>
      <c r="AE11" s="44">
        <f>IF(MAESTRO!F11="","",IFERROR(TRUNC(AVERAGE(P11,AA11,AD11),1),""))</f>
        <v/>
      </c>
      <c r="AF11" s="177" t="n"/>
      <c r="AG11" s="177" t="n">
        <v>7</v>
      </c>
      <c r="AH11" s="177" t="n">
        <v>7</v>
      </c>
      <c r="AI11" s="177">
        <f>IF(MAESTRO!F11="","",MAESTRO!F11)</f>
        <v/>
      </c>
      <c r="AJ11" s="178" t="n"/>
      <c r="AK11" s="61" t="n">
        <v>4.8</v>
      </c>
      <c r="AL11" s="61" t="n">
        <v>3.3</v>
      </c>
      <c r="AM11" s="61" t="n">
        <v>3.8</v>
      </c>
      <c r="AN11" s="61" t="n">
        <v>4.2</v>
      </c>
      <c r="AO11" s="61" t="n">
        <v>3.9</v>
      </c>
      <c r="AP11" s="61" t="n">
        <v>3.6</v>
      </c>
      <c r="AQ11" s="61" t="n">
        <v>3.4</v>
      </c>
      <c r="AR11" s="61" t="n">
        <v>4.5</v>
      </c>
      <c r="AS11" s="61" t="n">
        <v>4.3</v>
      </c>
      <c r="AT11" s="61" t="n">
        <v>4.9</v>
      </c>
      <c r="AU11" s="61" t="n">
        <v>3.4</v>
      </c>
      <c r="AV11" s="61" t="n">
        <v>4.9</v>
      </c>
      <c r="AW11" s="5">
        <f>IF(MAESTRO!F11="","",IFERROR(TRUNC(AVERAGE(AK11:AV11),1),""))</f>
        <v/>
      </c>
      <c r="AX11" s="22" t="n">
        <v>3.2</v>
      </c>
      <c r="AY11" s="22" t="n">
        <v>4.8</v>
      </c>
      <c r="AZ11" s="22" t="n">
        <v>3.9</v>
      </c>
      <c r="BA11" s="22" t="n">
        <v>3.4</v>
      </c>
      <c r="BB11" s="22" t="n">
        <v>4.5</v>
      </c>
      <c r="BC11" s="22" t="n">
        <v>4.6</v>
      </c>
      <c r="BD11" s="22" t="n">
        <v>3.4</v>
      </c>
      <c r="BE11" s="22" t="n">
        <v>3.3</v>
      </c>
      <c r="BF11" s="22" t="n">
        <v>4.9</v>
      </c>
      <c r="BG11" s="52" t="n">
        <v>4</v>
      </c>
      <c r="BH11" s="5">
        <f>IF(MAESTRO!F11="","",IFERROR(TRUNC(AVERAGE(AX11:BG11),1),""))</f>
        <v/>
      </c>
      <c r="BI11" s="22" t="n">
        <v>3.3</v>
      </c>
      <c r="BJ11" s="22" t="n">
        <v>4</v>
      </c>
      <c r="BK11" s="22">
        <f>IF(MAESTRO!F11="","",IFERROR(AVERAGE(BI11,BJ11),""))</f>
        <v/>
      </c>
      <c r="BL11" s="5">
        <f>IF(MAESTRO!F11="","",IFERROR(TRUNC(AVERAGE(AW11,BH11,BK11),1),""))</f>
        <v/>
      </c>
      <c r="BM11" s="177" t="n"/>
      <c r="BN11" s="177" t="n">
        <v>7</v>
      </c>
      <c r="BO11" s="177" t="n">
        <v>7</v>
      </c>
      <c r="BP11" s="177">
        <f>IF(MAESTRO!F11="","",MAESTRO!F11)</f>
        <v/>
      </c>
      <c r="BQ11" s="178" t="n"/>
      <c r="BR11" s="5" t="n">
        <v>3.9</v>
      </c>
      <c r="BS11" s="5" t="n">
        <v>3.1</v>
      </c>
      <c r="BT11" s="5" t="n">
        <v>4.6</v>
      </c>
      <c r="BU11" s="5" t="n">
        <v>3.5</v>
      </c>
      <c r="BV11" s="5" t="n">
        <v>4.7</v>
      </c>
      <c r="BW11" s="5" t="n">
        <v>4.9</v>
      </c>
      <c r="BX11" s="5" t="n">
        <v>4.6</v>
      </c>
      <c r="BY11" s="5" t="n">
        <v>3.1</v>
      </c>
      <c r="BZ11" s="5" t="n">
        <v>3</v>
      </c>
      <c r="CA11" s="5" t="n">
        <v>4.2</v>
      </c>
      <c r="CB11" s="5" t="n">
        <v>4.2</v>
      </c>
      <c r="CC11" s="5" t="n">
        <v>3.4</v>
      </c>
      <c r="CD11" s="5" t="n">
        <v>4.3</v>
      </c>
      <c r="CE11" s="5">
        <f>IF(MAESTRO!F11="","",IFERROR(TRUNC(AVERAGE(BR11:CD11),1),""))</f>
        <v/>
      </c>
      <c r="CF11" s="5" t="n">
        <v>4</v>
      </c>
      <c r="CG11" s="5" t="n">
        <v>3.3</v>
      </c>
      <c r="CH11" s="5" t="n">
        <v>4.2</v>
      </c>
      <c r="CI11" s="5" t="n">
        <v>3.3</v>
      </c>
      <c r="CJ11" s="5" t="n">
        <v>3.8</v>
      </c>
      <c r="CK11" s="5" t="n">
        <v>3.9</v>
      </c>
      <c r="CL11" s="5" t="n">
        <v>4.4</v>
      </c>
      <c r="CM11" s="5" t="n">
        <v>4.7</v>
      </c>
      <c r="CN11" s="5" t="n">
        <v>3.4</v>
      </c>
      <c r="CO11" s="5" t="n">
        <v>4.9</v>
      </c>
      <c r="CP11" s="5">
        <f>IF(MAESTRO!F11="","",IFERROR(TRUNC(AVERAGE(CF11:CO11),1),""))</f>
        <v/>
      </c>
      <c r="CQ11" s="5" t="n">
        <v>3.8</v>
      </c>
      <c r="CR11" s="5" t="n">
        <v>4.7</v>
      </c>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v>3.2</v>
      </c>
      <c r="D12" s="5" t="n">
        <v>3.2</v>
      </c>
      <c r="E12" s="5" t="n">
        <v>3.5</v>
      </c>
      <c r="F12" s="5" t="n">
        <v>4</v>
      </c>
      <c r="G12" s="5" t="n">
        <v>4.3</v>
      </c>
      <c r="H12" s="5" t="n">
        <v>4.8</v>
      </c>
      <c r="I12" s="5" t="n">
        <v>4.2</v>
      </c>
      <c r="J12" s="5" t="n">
        <v>3.5</v>
      </c>
      <c r="K12" s="5" t="n">
        <v>4.7</v>
      </c>
      <c r="L12" s="5" t="n">
        <v>3.1</v>
      </c>
      <c r="M12" s="5" t="n">
        <v>3</v>
      </c>
      <c r="N12" s="5" t="n">
        <v>4</v>
      </c>
      <c r="O12" s="5" t="n">
        <v>3.6</v>
      </c>
      <c r="P12" s="5">
        <f>IF(MAESTRO!F12="","",IFERROR(TRUNC(AVERAGE(C12:O12),1),""))</f>
        <v/>
      </c>
      <c r="Q12" s="40" t="n">
        <v>8</v>
      </c>
      <c r="R12" s="22" t="n">
        <v>3.8</v>
      </c>
      <c r="S12" s="22" t="n">
        <v>3.5</v>
      </c>
      <c r="T12" s="22" t="n">
        <v>3.2</v>
      </c>
      <c r="U12" s="22" t="n">
        <v>5</v>
      </c>
      <c r="V12" s="22" t="n">
        <v>3.5</v>
      </c>
      <c r="W12" s="22" t="n">
        <v>3.6</v>
      </c>
      <c r="X12" s="22" t="n">
        <v>4.6</v>
      </c>
      <c r="Y12" s="22" t="n">
        <v>4.2</v>
      </c>
      <c r="Z12" s="22" t="n">
        <v>4.7</v>
      </c>
      <c r="AA12" s="45">
        <f>IF(MAESTRO!F12="","",IFERROR(TRUNC(AVERAGE(R12:Z12),1),""))</f>
        <v/>
      </c>
      <c r="AB12" s="177" t="n">
        <v>4.2</v>
      </c>
      <c r="AC12" s="42" t="n">
        <v>3.6</v>
      </c>
      <c r="AD12" s="5">
        <f>IF(MAESTRO!F12="","",IFERROR(AVERAGE(AB12:AC12),""))</f>
        <v/>
      </c>
      <c r="AE12" s="44">
        <f>IF(MAESTRO!F12="","",IFERROR(TRUNC(AVERAGE(P12,AA12,AD12),1),""))</f>
        <v/>
      </c>
      <c r="AF12" s="177" t="n"/>
      <c r="AG12" s="177" t="n">
        <v>8</v>
      </c>
      <c r="AH12" s="177" t="n">
        <v>8</v>
      </c>
      <c r="AI12" s="177">
        <f>IF(MAESTRO!F12="","",MAESTRO!F12)</f>
        <v/>
      </c>
      <c r="AJ12" s="178" t="n"/>
      <c r="AK12" s="61" t="n">
        <v>4.9</v>
      </c>
      <c r="AL12" s="61" t="n">
        <v>3.3</v>
      </c>
      <c r="AM12" s="61" t="n">
        <v>3</v>
      </c>
      <c r="AN12" s="61" t="n">
        <v>3.5</v>
      </c>
      <c r="AO12" s="61" t="n">
        <v>3.2</v>
      </c>
      <c r="AP12" s="61" t="n">
        <v>4.4</v>
      </c>
      <c r="AQ12" s="61" t="n">
        <v>4</v>
      </c>
      <c r="AR12" s="61" t="n">
        <v>4.4</v>
      </c>
      <c r="AS12" s="61" t="n">
        <v>4.2</v>
      </c>
      <c r="AT12" s="61" t="n">
        <v>3.7</v>
      </c>
      <c r="AU12" s="61" t="n">
        <v>4.8</v>
      </c>
      <c r="AV12" s="61" t="n">
        <v>4</v>
      </c>
      <c r="AW12" s="5">
        <f>IF(MAESTRO!F12="","",IFERROR(TRUNC(AVERAGE(AK12:AV12),1),""))</f>
        <v/>
      </c>
      <c r="AX12" s="22" t="n">
        <v>3.7</v>
      </c>
      <c r="AY12" s="22" t="n">
        <v>3.6</v>
      </c>
      <c r="AZ12" s="22" t="n">
        <v>3.6</v>
      </c>
      <c r="BA12" s="22" t="n">
        <v>4.8</v>
      </c>
      <c r="BB12" s="22" t="n">
        <v>3</v>
      </c>
      <c r="BC12" s="22" t="n">
        <v>3.6</v>
      </c>
      <c r="BD12" s="22" t="n">
        <v>4.7</v>
      </c>
      <c r="BE12" s="22" t="n">
        <v>4.2</v>
      </c>
      <c r="BF12" s="22" t="n">
        <v>3.5</v>
      </c>
      <c r="BG12" s="52" t="n">
        <v>3.4</v>
      </c>
      <c r="BH12" s="5">
        <f>IF(MAESTRO!F12="","",IFERROR(TRUNC(AVERAGE(AX12:BG12),1),""))</f>
        <v/>
      </c>
      <c r="BI12" s="22" t="n">
        <v>4.9</v>
      </c>
      <c r="BJ12" s="22" t="n">
        <v>4.1</v>
      </c>
      <c r="BK12" s="22">
        <f>IF(MAESTRO!F12="","",IFERROR(AVERAGE(BI12,BJ12),""))</f>
        <v/>
      </c>
      <c r="BL12" s="5">
        <f>IF(MAESTRO!F12="","",IFERROR(TRUNC(AVERAGE(AW12,BH12,BK12),1),""))</f>
        <v/>
      </c>
      <c r="BM12" s="177" t="n"/>
      <c r="BN12" s="177" t="n">
        <v>8</v>
      </c>
      <c r="BO12" s="177" t="n">
        <v>8</v>
      </c>
      <c r="BP12" s="177">
        <f>IF(MAESTRO!F12="","",MAESTRO!F12)</f>
        <v/>
      </c>
      <c r="BQ12" s="178" t="n"/>
      <c r="BR12" s="5" t="n">
        <v>3.8</v>
      </c>
      <c r="BS12" s="5" t="n">
        <v>3.1</v>
      </c>
      <c r="BT12" s="5" t="n">
        <v>3.2</v>
      </c>
      <c r="BU12" s="5" t="n">
        <v>4.6</v>
      </c>
      <c r="BV12" s="5" t="n">
        <v>4.6</v>
      </c>
      <c r="BW12" s="5" t="n">
        <v>4.1</v>
      </c>
      <c r="BX12" s="5" t="n">
        <v>3.9</v>
      </c>
      <c r="BY12" s="5" t="n">
        <v>3.4</v>
      </c>
      <c r="BZ12" s="5" t="n">
        <v>4.9</v>
      </c>
      <c r="CA12" s="5" t="n">
        <v>4</v>
      </c>
      <c r="CB12" s="5" t="n">
        <v>3.9</v>
      </c>
      <c r="CC12" s="5" t="n">
        <v>4.4</v>
      </c>
      <c r="CD12" s="5" t="n">
        <v>3.7</v>
      </c>
      <c r="CE12" s="5">
        <f>IF(MAESTRO!F12="","",IFERROR(TRUNC(AVERAGE(BR12:CD12),1),""))</f>
        <v/>
      </c>
      <c r="CF12" s="5" t="n">
        <v>4.8</v>
      </c>
      <c r="CG12" s="5" t="n">
        <v>3.1</v>
      </c>
      <c r="CH12" s="5" t="n">
        <v>4.3</v>
      </c>
      <c r="CI12" s="5" t="n">
        <v>3.8</v>
      </c>
      <c r="CJ12" s="5" t="n">
        <v>4</v>
      </c>
      <c r="CK12" s="5" t="n">
        <v>3.1</v>
      </c>
      <c r="CL12" s="5" t="n">
        <v>3.3</v>
      </c>
      <c r="CM12" s="5" t="n">
        <v>4.3</v>
      </c>
      <c r="CN12" s="5" t="n">
        <v>4.1</v>
      </c>
      <c r="CO12" s="5" t="n">
        <v>4.1</v>
      </c>
      <c r="CP12" s="5">
        <f>IF(MAESTRO!F12="","",IFERROR(TRUNC(AVERAGE(CF12:CO12),1),""))</f>
        <v/>
      </c>
      <c r="CQ12" s="5" t="n">
        <v>5</v>
      </c>
      <c r="CR12" s="5" t="n">
        <v>3.5</v>
      </c>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v>3.3</v>
      </c>
      <c r="D13" s="5" t="n">
        <v>4.5</v>
      </c>
      <c r="E13" s="5" t="n">
        <v>4.2</v>
      </c>
      <c r="F13" s="5" t="n">
        <v>3.5</v>
      </c>
      <c r="G13" s="5" t="n">
        <v>4.4</v>
      </c>
      <c r="H13" s="5" t="n">
        <v>3.9</v>
      </c>
      <c r="I13" s="5" t="n">
        <v>3.9</v>
      </c>
      <c r="J13" s="5" t="n">
        <v>3.3</v>
      </c>
      <c r="K13" s="5" t="n">
        <v>3.2</v>
      </c>
      <c r="L13" s="5" t="n">
        <v>4.9</v>
      </c>
      <c r="M13" s="5" t="n">
        <v>3.5</v>
      </c>
      <c r="N13" s="5" t="n">
        <v>3.1</v>
      </c>
      <c r="O13" s="5" t="n">
        <v>4.4</v>
      </c>
      <c r="P13" s="5">
        <f>IF(MAESTRO!F13="","",IFERROR(TRUNC(AVERAGE(C13:O13),1),""))</f>
        <v/>
      </c>
      <c r="Q13" s="40" t="n">
        <v>9</v>
      </c>
      <c r="R13" s="22" t="n">
        <v>4.5</v>
      </c>
      <c r="S13" s="5" t="n">
        <v>3.9</v>
      </c>
      <c r="T13" s="5" t="n">
        <v>3.7</v>
      </c>
      <c r="U13" s="5" t="n">
        <v>4.8</v>
      </c>
      <c r="V13" s="5" t="n">
        <v>3.8</v>
      </c>
      <c r="W13" s="5" t="n">
        <v>3.9</v>
      </c>
      <c r="X13" s="5" t="n">
        <v>3.7</v>
      </c>
      <c r="Y13" s="5" t="n">
        <v>4.3</v>
      </c>
      <c r="Z13" s="5" t="n">
        <v>3.5</v>
      </c>
      <c r="AA13" s="45">
        <f>IF(MAESTRO!F13="","",IFERROR(TRUNC(AVERAGE(R13:Z13),1),""))</f>
        <v/>
      </c>
      <c r="AB13" s="5" t="n">
        <v>3.3</v>
      </c>
      <c r="AC13" s="5" t="n">
        <v>4.3</v>
      </c>
      <c r="AD13" s="5">
        <f>IF(MAESTRO!F13="","",IFERROR(AVERAGE(AB13:AC13),""))</f>
        <v/>
      </c>
      <c r="AE13" s="44">
        <f>IF(MAESTRO!F13="","",IFERROR(TRUNC(AVERAGE(P13,AA13,AD13),1),""))</f>
        <v/>
      </c>
      <c r="AF13" s="177" t="n"/>
      <c r="AG13" s="177" t="n">
        <v>9</v>
      </c>
      <c r="AH13" s="177" t="n">
        <v>9</v>
      </c>
      <c r="AI13" s="177">
        <f>IF(MAESTRO!F13="","",MAESTRO!F13)</f>
        <v/>
      </c>
      <c r="AJ13" s="178" t="n"/>
      <c r="AK13" s="42" t="n">
        <v>4.3</v>
      </c>
      <c r="AL13" s="42" t="n">
        <v>4.6</v>
      </c>
      <c r="AM13" s="42" t="n">
        <v>3.2</v>
      </c>
      <c r="AN13" s="42" t="n">
        <v>3.9</v>
      </c>
      <c r="AO13" s="42" t="n">
        <v>3.8</v>
      </c>
      <c r="AP13" s="42" t="n">
        <v>4.9</v>
      </c>
      <c r="AQ13" s="42" t="n">
        <v>3</v>
      </c>
      <c r="AR13" s="61" t="n">
        <v>4.3</v>
      </c>
      <c r="AS13" s="61" t="n">
        <v>3.7</v>
      </c>
      <c r="AT13" s="61" t="n">
        <v>3.9</v>
      </c>
      <c r="AU13" s="61" t="n">
        <v>4.3</v>
      </c>
      <c r="AV13" s="61" t="n">
        <v>3.2</v>
      </c>
      <c r="AW13" s="5">
        <f>IF(MAESTRO!F13="","",IFERROR(TRUNC(AVERAGE(AK13:AV13),1),""))</f>
        <v/>
      </c>
      <c r="AX13" s="63" t="n">
        <v>4.3</v>
      </c>
      <c r="AY13" s="22" t="n">
        <v>5</v>
      </c>
      <c r="AZ13" s="63" t="n">
        <v>3.9</v>
      </c>
      <c r="BA13" s="63" t="n">
        <v>4.2</v>
      </c>
      <c r="BB13" s="22" t="n">
        <v>4</v>
      </c>
      <c r="BC13" s="63" t="n">
        <v>3.1</v>
      </c>
      <c r="BD13" s="63" t="n">
        <v>3.3</v>
      </c>
      <c r="BE13" s="63" t="n">
        <v>3.8</v>
      </c>
      <c r="BF13" s="63" t="n">
        <v>4.1</v>
      </c>
      <c r="BG13" s="52" t="n">
        <v>3.8</v>
      </c>
      <c r="BH13" s="5">
        <f>IF(MAESTRO!F13="","",IFERROR(TRUNC(AVERAGE(AX13:BG13),1),""))</f>
        <v/>
      </c>
      <c r="BI13" s="22" t="n">
        <v>4.3</v>
      </c>
      <c r="BJ13" s="22" t="n">
        <v>4.3</v>
      </c>
      <c r="BK13" s="22">
        <f>IF(MAESTRO!F13="","",IFERROR(AVERAGE(BI13,BJ13),""))</f>
        <v/>
      </c>
      <c r="BL13" s="5">
        <f>IF(MAESTRO!F13="","",IFERROR(TRUNC(AVERAGE(AW13,BH13,BK13),1),""))</f>
        <v/>
      </c>
      <c r="BM13" s="177" t="n"/>
      <c r="BN13" s="177" t="n">
        <v>9</v>
      </c>
      <c r="BO13" s="177" t="n">
        <v>9</v>
      </c>
      <c r="BP13" s="177">
        <f>IF(MAESTRO!F13="","",MAESTRO!F13)</f>
        <v/>
      </c>
      <c r="BQ13" s="178" t="n"/>
      <c r="BR13" s="5" t="n">
        <v>4.2</v>
      </c>
      <c r="BS13" s="5" t="n">
        <v>3.7</v>
      </c>
      <c r="BT13" s="5" t="n">
        <v>3.5</v>
      </c>
      <c r="BU13" s="5" t="n">
        <v>4.4</v>
      </c>
      <c r="BV13" s="5" t="n">
        <v>4.7</v>
      </c>
      <c r="BW13" s="5" t="n">
        <v>4.8</v>
      </c>
      <c r="BX13" s="5" t="n">
        <v>5</v>
      </c>
      <c r="BY13" s="5" t="n">
        <v>4.3</v>
      </c>
      <c r="BZ13" s="5" t="n">
        <v>3.7</v>
      </c>
      <c r="CA13" s="5" t="n">
        <v>4.1</v>
      </c>
      <c r="CB13" s="5" t="n">
        <v>4.3</v>
      </c>
      <c r="CC13" s="5" t="n">
        <v>4.6</v>
      </c>
      <c r="CD13" s="5" t="n">
        <v>3.8</v>
      </c>
      <c r="CE13" s="5">
        <f>IF(MAESTRO!F13="","",IFERROR(TRUNC(AVERAGE(BR13:CD13),1),""))</f>
        <v/>
      </c>
      <c r="CF13" s="5" t="n">
        <v>3.6</v>
      </c>
      <c r="CG13" s="5" t="n">
        <v>3.7</v>
      </c>
      <c r="CH13" s="5" t="n">
        <v>3.9</v>
      </c>
      <c r="CI13" s="5" t="n">
        <v>4.1</v>
      </c>
      <c r="CJ13" s="5" t="n">
        <v>3.2</v>
      </c>
      <c r="CK13" s="5" t="n">
        <v>3.8</v>
      </c>
      <c r="CL13" s="5" t="n">
        <v>4.7</v>
      </c>
      <c r="CM13" s="5" t="n">
        <v>4.8</v>
      </c>
      <c r="CN13" s="5" t="n">
        <v>3.1</v>
      </c>
      <c r="CO13" s="5" t="n">
        <v>4.7</v>
      </c>
      <c r="CP13" s="5">
        <f>IF(MAESTRO!F13="","",IFERROR(TRUNC(AVERAGE(CF13:CO13),1),""))</f>
        <v/>
      </c>
      <c r="CQ13" s="5" t="n">
        <v>3.9</v>
      </c>
      <c r="CR13" s="5" t="n">
        <v>4.1</v>
      </c>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v>4.7</v>
      </c>
      <c r="D14" s="5" t="n">
        <v>4.5</v>
      </c>
      <c r="E14" s="5" t="n">
        <v>4</v>
      </c>
      <c r="F14" s="5" t="n">
        <v>3.8</v>
      </c>
      <c r="G14" s="5" t="n">
        <v>3.7</v>
      </c>
      <c r="H14" s="5" t="n">
        <v>3.9</v>
      </c>
      <c r="I14" s="5" t="n">
        <v>3.2</v>
      </c>
      <c r="J14" s="5" t="n">
        <v>3.5</v>
      </c>
      <c r="K14" s="5" t="n">
        <v>4.7</v>
      </c>
      <c r="L14" s="5" t="n">
        <v>5</v>
      </c>
      <c r="M14" s="5" t="n">
        <v>4.9</v>
      </c>
      <c r="N14" s="5" t="n">
        <v>4.6</v>
      </c>
      <c r="O14" s="5" t="n">
        <v>3.9</v>
      </c>
      <c r="P14" s="5">
        <f>IF(MAESTRO!F14="","",IFERROR(TRUNC(AVERAGE(C14:O14),1),""))</f>
        <v/>
      </c>
      <c r="Q14" s="40" t="n">
        <v>10</v>
      </c>
      <c r="R14" s="22" t="n">
        <v>3.1</v>
      </c>
      <c r="S14" s="22" t="n">
        <v>4.6</v>
      </c>
      <c r="T14" s="22" t="n">
        <v>4</v>
      </c>
      <c r="U14" s="22" t="n">
        <v>4.6</v>
      </c>
      <c r="V14" s="22" t="n">
        <v>3.3</v>
      </c>
      <c r="W14" s="22" t="n">
        <v>4.7</v>
      </c>
      <c r="X14" s="22" t="n">
        <v>3.7</v>
      </c>
      <c r="Y14" s="22" t="n">
        <v>4.3</v>
      </c>
      <c r="Z14" s="22" t="n">
        <v>4.7</v>
      </c>
      <c r="AA14" s="45">
        <f>IF(MAESTRO!F14="","",IFERROR(TRUNC(AVERAGE(R14:Z14),1),""))</f>
        <v/>
      </c>
      <c r="AB14" s="177" t="n">
        <v>4.1</v>
      </c>
      <c r="AC14" s="42" t="n">
        <v>3.6</v>
      </c>
      <c r="AD14" s="5">
        <f>IF(MAESTRO!F14="","",IFERROR(AVERAGE(AB14:AC14),""))</f>
        <v/>
      </c>
      <c r="AE14" s="44">
        <f>IF(MAESTRO!F14="","",IFERROR(TRUNC(AVERAGE(P14,AA14,AD14),1),""))</f>
        <v/>
      </c>
      <c r="AF14" s="177" t="n"/>
      <c r="AG14" s="177" t="n">
        <v>10</v>
      </c>
      <c r="AH14" s="177" t="n">
        <v>10</v>
      </c>
      <c r="AI14" s="177">
        <f>IF(MAESTRO!F14="","",MAESTRO!F14)</f>
        <v/>
      </c>
      <c r="AJ14" s="178" t="n"/>
      <c r="AK14" s="42" t="n">
        <v>3.5</v>
      </c>
      <c r="AL14" s="42" t="n">
        <v>3.4</v>
      </c>
      <c r="AM14" s="61" t="n">
        <v>4.5</v>
      </c>
      <c r="AN14" s="61" t="n">
        <v>4</v>
      </c>
      <c r="AO14" s="61" t="n">
        <v>3</v>
      </c>
      <c r="AP14" s="61" t="n">
        <v>4.3</v>
      </c>
      <c r="AQ14" s="61" t="n">
        <v>3.7</v>
      </c>
      <c r="AR14" s="61" t="n">
        <v>4.7</v>
      </c>
      <c r="AS14" s="61" t="n">
        <v>4.2</v>
      </c>
      <c r="AT14" s="61" t="n">
        <v>4</v>
      </c>
      <c r="AU14" s="61" t="n">
        <v>4</v>
      </c>
      <c r="AV14" s="61" t="n">
        <v>3.3</v>
      </c>
      <c r="AW14" s="5">
        <f>IF(MAESTRO!F14="","",IFERROR(TRUNC(AVERAGE(AK14:AV14),1),""))</f>
        <v/>
      </c>
      <c r="AX14" s="22" t="n">
        <v>4.3</v>
      </c>
      <c r="AY14" s="22" t="n">
        <v>3.5</v>
      </c>
      <c r="AZ14" s="22" t="n">
        <v>4.8</v>
      </c>
      <c r="BA14" s="22" t="n">
        <v>4.7</v>
      </c>
      <c r="BB14" s="22" t="n">
        <v>3.8</v>
      </c>
      <c r="BC14" s="22" t="n">
        <v>3.5</v>
      </c>
      <c r="BD14" s="22" t="n">
        <v>4.4</v>
      </c>
      <c r="BE14" s="22" t="n">
        <v>4.7</v>
      </c>
      <c r="BF14" s="22" t="n">
        <v>3.2</v>
      </c>
      <c r="BG14" s="52" t="n">
        <v>3.7</v>
      </c>
      <c r="BH14" s="5">
        <f>IF(MAESTRO!F14="","",IFERROR(TRUNC(AVERAGE(AX14:BG14),1),""))</f>
        <v/>
      </c>
      <c r="BI14" s="22" t="n">
        <v>4.7</v>
      </c>
      <c r="BJ14" s="22" t="n">
        <v>3.7</v>
      </c>
      <c r="BK14" s="22">
        <f>IF(MAESTRO!F14="","",IFERROR(AVERAGE(BI14,BJ14),""))</f>
        <v/>
      </c>
      <c r="BL14" s="5">
        <f>IF(MAESTRO!F14="","",IFERROR(TRUNC(AVERAGE(AW14,BH14,BK14),1),""))</f>
        <v/>
      </c>
      <c r="BM14" s="177" t="n"/>
      <c r="BN14" s="177" t="n">
        <v>10</v>
      </c>
      <c r="BO14" s="177" t="n">
        <v>10</v>
      </c>
      <c r="BP14" s="177">
        <f>IF(MAESTRO!F14="","",MAESTRO!F14)</f>
        <v/>
      </c>
      <c r="BQ14" s="178" t="n"/>
      <c r="BR14" s="5" t="n">
        <v>4.4</v>
      </c>
      <c r="BS14" s="5" t="n">
        <v>4.6</v>
      </c>
      <c r="BT14" s="5" t="n">
        <v>4.7</v>
      </c>
      <c r="BU14" s="5" t="n">
        <v>3.8</v>
      </c>
      <c r="BV14" s="5" t="n">
        <v>3.6</v>
      </c>
      <c r="BW14" s="5" t="n">
        <v>3.2</v>
      </c>
      <c r="BX14" s="5" t="n">
        <v>4.3</v>
      </c>
      <c r="BY14" s="5" t="n">
        <v>4.1</v>
      </c>
      <c r="BZ14" s="5" t="n">
        <v>4.8</v>
      </c>
      <c r="CA14" s="5" t="n">
        <v>3.2</v>
      </c>
      <c r="CB14" s="5" t="n">
        <v>4</v>
      </c>
      <c r="CC14" s="5" t="n">
        <v>4.2</v>
      </c>
      <c r="CD14" s="5" t="n">
        <v>5</v>
      </c>
      <c r="CE14" s="5">
        <f>IF(MAESTRO!F14="","",IFERROR(TRUNC(AVERAGE(BR14:CD14),1),""))</f>
        <v/>
      </c>
      <c r="CF14" s="5" t="n">
        <v>4</v>
      </c>
      <c r="CG14" s="5" t="n">
        <v>3.2</v>
      </c>
      <c r="CH14" s="5" t="n">
        <v>3.2</v>
      </c>
      <c r="CI14" s="5" t="n">
        <v>3.5</v>
      </c>
      <c r="CJ14" s="5" t="n">
        <v>3.1</v>
      </c>
      <c r="CK14" s="5" t="n">
        <v>3.4</v>
      </c>
      <c r="CL14" s="5" t="n">
        <v>4.1</v>
      </c>
      <c r="CM14" s="5" t="n">
        <v>4.9</v>
      </c>
      <c r="CN14" s="5" t="n">
        <v>3.5</v>
      </c>
      <c r="CO14" s="5" t="n">
        <v>3.2</v>
      </c>
      <c r="CP14" s="5">
        <f>IF(MAESTRO!F14="","",IFERROR(TRUNC(AVERAGE(CF14:CO14),1),""))</f>
        <v/>
      </c>
      <c r="CQ14" s="5" t="n">
        <v>3.7</v>
      </c>
      <c r="CR14" s="5" t="n">
        <v>3.6</v>
      </c>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v>4.3</v>
      </c>
      <c r="D15" s="5" t="n">
        <v>3.3</v>
      </c>
      <c r="E15" s="5" t="n">
        <v>3.2</v>
      </c>
      <c r="F15" s="5" t="n">
        <v>3.9</v>
      </c>
      <c r="G15" s="5" t="n">
        <v>3.4</v>
      </c>
      <c r="H15" s="5" t="n">
        <v>3.1</v>
      </c>
      <c r="I15" s="5" t="n">
        <v>4.4</v>
      </c>
      <c r="J15" s="5" t="n">
        <v>4.6</v>
      </c>
      <c r="K15" s="5" t="n">
        <v>4.1</v>
      </c>
      <c r="L15" s="5" t="n">
        <v>4.8</v>
      </c>
      <c r="M15" s="5" t="n">
        <v>3.7</v>
      </c>
      <c r="N15" s="5" t="n">
        <v>3.4</v>
      </c>
      <c r="O15" s="5" t="n">
        <v>4.6</v>
      </c>
      <c r="P15" s="5">
        <f>IF(MAESTRO!F15="","",IFERROR(TRUNC(AVERAGE(C15:O15),1),""))</f>
        <v/>
      </c>
      <c r="Q15" s="40" t="n">
        <v>11</v>
      </c>
      <c r="R15" s="22" t="n">
        <v>3.5</v>
      </c>
      <c r="S15" s="22" t="n">
        <v>4.9</v>
      </c>
      <c r="T15" s="22" t="n">
        <v>3.5</v>
      </c>
      <c r="U15" s="22" t="n">
        <v>3.5</v>
      </c>
      <c r="V15" s="22" t="n">
        <v>3.4</v>
      </c>
      <c r="W15" s="22" t="n">
        <v>4.6</v>
      </c>
      <c r="X15" s="22" t="n">
        <v>3.1</v>
      </c>
      <c r="Y15" s="22" t="n">
        <v>4.1</v>
      </c>
      <c r="Z15" s="22" t="n">
        <v>3.6</v>
      </c>
      <c r="AA15" s="45">
        <f>IF(MAESTRO!F15="","",IFERROR(TRUNC(AVERAGE(R15:Z15),1),""))</f>
        <v/>
      </c>
      <c r="AB15" s="177" t="n">
        <v>4</v>
      </c>
      <c r="AC15" s="42" t="n">
        <v>4.6</v>
      </c>
      <c r="AD15" s="5">
        <f>IF(MAESTRO!F15="","",IFERROR(AVERAGE(AB15:AC15),""))</f>
        <v/>
      </c>
      <c r="AE15" s="44">
        <f>IF(MAESTRO!F15="","",IFERROR(TRUNC(AVERAGE(P15,AA15,AD15),1),""))</f>
        <v/>
      </c>
      <c r="AF15" s="177" t="n"/>
      <c r="AG15" s="177" t="n">
        <v>11</v>
      </c>
      <c r="AH15" s="177" t="n">
        <v>11</v>
      </c>
      <c r="AI15" s="177">
        <f>IF(MAESTRO!F15="","",MAESTRO!F15)</f>
        <v/>
      </c>
      <c r="AJ15" s="178" t="n"/>
      <c r="AK15" s="42" t="n">
        <v>4.6</v>
      </c>
      <c r="AL15" s="42" t="n">
        <v>3.7</v>
      </c>
      <c r="AM15" s="61" t="n">
        <v>4.3</v>
      </c>
      <c r="AN15" s="61" t="n">
        <v>4.3</v>
      </c>
      <c r="AO15" s="61" t="n">
        <v>3.7</v>
      </c>
      <c r="AP15" s="61" t="n">
        <v>4</v>
      </c>
      <c r="AQ15" s="61" t="n">
        <v>3.1</v>
      </c>
      <c r="AR15" s="61" t="n">
        <v>4.3</v>
      </c>
      <c r="AS15" s="61" t="n">
        <v>4.3</v>
      </c>
      <c r="AT15" s="61" t="n">
        <v>4.6</v>
      </c>
      <c r="AU15" s="61" t="n">
        <v>3.6</v>
      </c>
      <c r="AV15" s="61" t="n">
        <v>3</v>
      </c>
      <c r="AW15" s="5">
        <f>IF(MAESTRO!F15="","",IFERROR(TRUNC(AVERAGE(AK15:AV15),1),""))</f>
        <v/>
      </c>
      <c r="AX15" s="22" t="n">
        <v>3.5</v>
      </c>
      <c r="AY15" s="22" t="n">
        <v>3.5</v>
      </c>
      <c r="AZ15" s="22" t="n">
        <v>4</v>
      </c>
      <c r="BA15" s="22" t="n">
        <v>3.7</v>
      </c>
      <c r="BB15" s="22" t="n">
        <v>3.7</v>
      </c>
      <c r="BC15" s="22" t="n">
        <v>4.7</v>
      </c>
      <c r="BD15" s="22" t="n">
        <v>3</v>
      </c>
      <c r="BE15" s="22" t="n">
        <v>4.1</v>
      </c>
      <c r="BF15" s="22" t="n">
        <v>4</v>
      </c>
      <c r="BG15" s="52" t="n">
        <v>4.2</v>
      </c>
      <c r="BH15" s="5">
        <f>IF(MAESTRO!F15="","",IFERROR(TRUNC(AVERAGE(AX15:BG15),1),""))</f>
        <v/>
      </c>
      <c r="BI15" s="22" t="n">
        <v>3.8</v>
      </c>
      <c r="BJ15" s="22" t="n">
        <v>3.3</v>
      </c>
      <c r="BK15" s="22">
        <f>IF(MAESTRO!F15="","",IFERROR(AVERAGE(BI15,BJ15),""))</f>
        <v/>
      </c>
      <c r="BL15" s="5">
        <f>IF(MAESTRO!F15="","",IFERROR(TRUNC(AVERAGE(AW15,BH15,BK15),1),""))</f>
        <v/>
      </c>
      <c r="BM15" s="177" t="n"/>
      <c r="BN15" s="177" t="n">
        <v>11</v>
      </c>
      <c r="BO15" s="177" t="n">
        <v>11</v>
      </c>
      <c r="BP15" s="177">
        <f>IF(MAESTRO!F15="","",MAESTRO!F15)</f>
        <v/>
      </c>
      <c r="BQ15" s="178" t="n"/>
      <c r="BR15" s="5" t="n">
        <v>3</v>
      </c>
      <c r="BS15" s="5" t="n">
        <v>4.7</v>
      </c>
      <c r="BT15" s="5" t="n">
        <v>3.1</v>
      </c>
      <c r="BU15" s="5" t="n">
        <v>4.5</v>
      </c>
      <c r="BV15" s="5" t="n">
        <v>3.3</v>
      </c>
      <c r="BW15" s="5" t="n">
        <v>4.9</v>
      </c>
      <c r="BX15" s="5" t="n">
        <v>4.5</v>
      </c>
      <c r="BY15" s="5" t="n">
        <v>3.1</v>
      </c>
      <c r="BZ15" s="5" t="n">
        <v>3.2</v>
      </c>
      <c r="CA15" s="5" t="n">
        <v>3.9</v>
      </c>
      <c r="CB15" s="5" t="n">
        <v>4.3</v>
      </c>
      <c r="CC15" s="5" t="n">
        <v>4</v>
      </c>
      <c r="CD15" s="5" t="n">
        <v>3.9</v>
      </c>
      <c r="CE15" s="5">
        <f>IF(MAESTRO!F15="","",IFERROR(TRUNC(AVERAGE(BR15:CD15),1),""))</f>
        <v/>
      </c>
      <c r="CF15" s="5" t="n">
        <v>4.7</v>
      </c>
      <c r="CG15" s="5" t="n">
        <v>3.1</v>
      </c>
      <c r="CH15" s="5" t="n">
        <v>3.4</v>
      </c>
      <c r="CI15" s="5" t="n">
        <v>3</v>
      </c>
      <c r="CJ15" s="5" t="n">
        <v>3.4</v>
      </c>
      <c r="CK15" s="5" t="n">
        <v>3.8</v>
      </c>
      <c r="CL15" s="5" t="n">
        <v>3.1</v>
      </c>
      <c r="CM15" s="5" t="n">
        <v>4.4</v>
      </c>
      <c r="CN15" s="5" t="n">
        <v>3.8</v>
      </c>
      <c r="CO15" s="5" t="n">
        <v>3.3</v>
      </c>
      <c r="CP15" s="5">
        <f>IF(MAESTRO!F15="","",IFERROR(TRUNC(AVERAGE(CF15:CO15),1),""))</f>
        <v/>
      </c>
      <c r="CQ15" s="5" t="n">
        <v>3.7</v>
      </c>
      <c r="CR15" s="5" t="n">
        <v>3.9</v>
      </c>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v>4.9</v>
      </c>
      <c r="D16" s="5" t="n">
        <v>4</v>
      </c>
      <c r="E16" s="5" t="n">
        <v>3.1</v>
      </c>
      <c r="F16" s="5" t="n">
        <v>3.7</v>
      </c>
      <c r="G16" s="5" t="n">
        <v>3.8</v>
      </c>
      <c r="H16" s="5" t="n">
        <v>3.7</v>
      </c>
      <c r="I16" s="5" t="n">
        <v>3.4</v>
      </c>
      <c r="J16" s="5" t="n">
        <v>3.4</v>
      </c>
      <c r="K16" s="5" t="n">
        <v>3.7</v>
      </c>
      <c r="L16" s="5" t="n">
        <v>3.7</v>
      </c>
      <c r="M16" s="5" t="n">
        <v>3.3</v>
      </c>
      <c r="N16" s="5" t="n">
        <v>3.2</v>
      </c>
      <c r="O16" s="5" t="n">
        <v>4.9</v>
      </c>
      <c r="P16" s="5">
        <f>IF(MAESTRO!F16="","",IFERROR(TRUNC(AVERAGE(C16:O16),1),""))</f>
        <v/>
      </c>
      <c r="Q16" s="40" t="n">
        <v>12</v>
      </c>
      <c r="R16" s="22" t="n">
        <v>4.9</v>
      </c>
      <c r="S16" s="22" t="n">
        <v>4.2</v>
      </c>
      <c r="T16" s="22" t="n">
        <v>4</v>
      </c>
      <c r="U16" s="22" t="n">
        <v>4.9</v>
      </c>
      <c r="V16" s="22" t="n">
        <v>4.3</v>
      </c>
      <c r="W16" s="22" t="n">
        <v>5</v>
      </c>
      <c r="X16" s="22" t="n">
        <v>3.7</v>
      </c>
      <c r="Y16" s="22" t="n">
        <v>3.5</v>
      </c>
      <c r="Z16" s="22" t="n">
        <v>3.6</v>
      </c>
      <c r="AA16" s="45">
        <f>IF(MAESTRO!F16="","",IFERROR(TRUNC(AVERAGE(R16:Z16),1),""))</f>
        <v/>
      </c>
      <c r="AB16" s="177" t="n">
        <v>4.1</v>
      </c>
      <c r="AC16" s="42" t="n">
        <v>4.5</v>
      </c>
      <c r="AD16" s="5">
        <f>IF(MAESTRO!F16="","",IFERROR(AVERAGE(AB16:AC16),""))</f>
        <v/>
      </c>
      <c r="AE16" s="44">
        <f>IF(MAESTRO!F16="","",IFERROR(TRUNC(AVERAGE(P16,AA16,AD16),1),""))</f>
        <v/>
      </c>
      <c r="AF16" s="177" t="n"/>
      <c r="AG16" s="177" t="n">
        <v>12</v>
      </c>
      <c r="AH16" s="177" t="n">
        <v>12</v>
      </c>
      <c r="AI16" s="177">
        <f>IF(MAESTRO!F16="","",MAESTRO!F16)</f>
        <v/>
      </c>
      <c r="AJ16" s="178" t="n"/>
      <c r="AK16" s="42" t="n">
        <v>4.5</v>
      </c>
      <c r="AL16" s="42" t="n">
        <v>3.7</v>
      </c>
      <c r="AM16" s="61" t="n">
        <v>3</v>
      </c>
      <c r="AN16" s="61" t="n">
        <v>3.1</v>
      </c>
      <c r="AO16" s="61" t="n">
        <v>3.2</v>
      </c>
      <c r="AP16" s="61" t="n">
        <v>3.5</v>
      </c>
      <c r="AQ16" s="61" t="n">
        <v>4.9</v>
      </c>
      <c r="AR16" s="61" t="n">
        <v>3.7</v>
      </c>
      <c r="AS16" s="61" t="n">
        <v>3.4</v>
      </c>
      <c r="AT16" s="61" t="n">
        <v>3.8</v>
      </c>
      <c r="AU16" s="61" t="n">
        <v>3.6</v>
      </c>
      <c r="AV16" s="61" t="n">
        <v>3.9</v>
      </c>
      <c r="AW16" s="5">
        <f>IF(MAESTRO!F16="","",IFERROR(TRUNC(AVERAGE(AK16:AV16),1),""))</f>
        <v/>
      </c>
      <c r="AX16" s="22" t="n">
        <v>3.6</v>
      </c>
      <c r="AY16" s="22" t="n">
        <v>4.2</v>
      </c>
      <c r="AZ16" s="22" t="n">
        <v>4.5</v>
      </c>
      <c r="BA16" s="22" t="n">
        <v>3.1</v>
      </c>
      <c r="BB16" s="22" t="n">
        <v>4.2</v>
      </c>
      <c r="BC16" s="22" t="n">
        <v>4.4</v>
      </c>
      <c r="BD16" s="22" t="n">
        <v>4</v>
      </c>
      <c r="BE16" s="22" t="n">
        <v>3.6</v>
      </c>
      <c r="BF16" s="22" t="n">
        <v>3.3</v>
      </c>
      <c r="BG16" s="52" t="n">
        <v>3.6</v>
      </c>
      <c r="BH16" s="5">
        <f>IF(MAESTRO!F16="","",IFERROR(TRUNC(AVERAGE(AX16:BG16),1),""))</f>
        <v/>
      </c>
      <c r="BI16" s="22" t="n">
        <v>3.1</v>
      </c>
      <c r="BJ16" s="22" t="n">
        <v>3.9</v>
      </c>
      <c r="BK16" s="22">
        <f>IF(MAESTRO!F16="","",IFERROR(AVERAGE(BI16,BJ16),""))</f>
        <v/>
      </c>
      <c r="BL16" s="5">
        <f>IF(MAESTRO!F16="","",IFERROR(TRUNC(AVERAGE(AW16,BH16,BK16),1),""))</f>
        <v/>
      </c>
      <c r="BM16" s="177" t="n"/>
      <c r="BN16" s="177" t="n">
        <v>12</v>
      </c>
      <c r="BO16" s="177" t="n">
        <v>12</v>
      </c>
      <c r="BP16" s="177">
        <f>IF(MAESTRO!F16="","",MAESTRO!F16)</f>
        <v/>
      </c>
      <c r="BQ16" s="178" t="n"/>
      <c r="BR16" s="5" t="n">
        <v>4</v>
      </c>
      <c r="BS16" s="5" t="n">
        <v>3.5</v>
      </c>
      <c r="BT16" s="5" t="n">
        <v>4.7</v>
      </c>
      <c r="BU16" s="5" t="n">
        <v>3.6</v>
      </c>
      <c r="BV16" s="5" t="n">
        <v>4.2</v>
      </c>
      <c r="BW16" s="5" t="n">
        <v>3.1</v>
      </c>
      <c r="BX16" s="5" t="n">
        <v>4.5</v>
      </c>
      <c r="BY16" s="5" t="n">
        <v>4</v>
      </c>
      <c r="BZ16" s="5" t="n">
        <v>4.8</v>
      </c>
      <c r="CA16" s="5" t="n">
        <v>3.1</v>
      </c>
      <c r="CB16" s="5" t="n">
        <v>3</v>
      </c>
      <c r="CC16" s="5" t="n">
        <v>3</v>
      </c>
      <c r="CD16" s="5" t="n">
        <v>4.6</v>
      </c>
      <c r="CE16" s="5">
        <f>IF(MAESTRO!F16="","",IFERROR(TRUNC(AVERAGE(BR16:CD16),1),""))</f>
        <v/>
      </c>
      <c r="CF16" s="5" t="n">
        <v>4.5</v>
      </c>
      <c r="CG16" s="5" t="n">
        <v>3.9</v>
      </c>
      <c r="CH16" s="5" t="n">
        <v>3.4</v>
      </c>
      <c r="CI16" s="5" t="n">
        <v>4.1</v>
      </c>
      <c r="CJ16" s="5" t="n">
        <v>3.6</v>
      </c>
      <c r="CK16" s="5" t="n">
        <v>3.4</v>
      </c>
      <c r="CL16" s="5" t="n">
        <v>3.3</v>
      </c>
      <c r="CM16" s="5" t="n">
        <v>4.1</v>
      </c>
      <c r="CN16" s="5" t="n">
        <v>4.9</v>
      </c>
      <c r="CO16" s="5" t="n">
        <v>3.5</v>
      </c>
      <c r="CP16" s="5">
        <f>IF(MAESTRO!F16="","",IFERROR(TRUNC(AVERAGE(CF16:CO16),1),""))</f>
        <v/>
      </c>
      <c r="CQ16" s="5" t="n">
        <v>4.9</v>
      </c>
      <c r="CR16" s="5" t="n">
        <v>4.4</v>
      </c>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v>3</v>
      </c>
      <c r="D17" s="5" t="n">
        <v>3.4</v>
      </c>
      <c r="E17" s="5" t="n">
        <v>3.9</v>
      </c>
      <c r="F17" s="5" t="n">
        <v>4.1</v>
      </c>
      <c r="G17" s="5" t="n">
        <v>4.1</v>
      </c>
      <c r="H17" s="5" t="n">
        <v>4.1</v>
      </c>
      <c r="I17" s="5" t="n">
        <v>3.3</v>
      </c>
      <c r="J17" s="5" t="n">
        <v>4.2</v>
      </c>
      <c r="K17" s="5" t="n">
        <v>3.7</v>
      </c>
      <c r="L17" s="5" t="n">
        <v>3.8</v>
      </c>
      <c r="M17" s="5" t="n">
        <v>4.6</v>
      </c>
      <c r="N17" s="5" t="n">
        <v>3.6</v>
      </c>
      <c r="O17" s="5" t="n">
        <v>3.9</v>
      </c>
      <c r="P17" s="5">
        <f>IF(MAESTRO!F17="","",IFERROR(TRUNC(AVERAGE(C17:O17),1),""))</f>
        <v/>
      </c>
      <c r="Q17" s="40" t="n">
        <v>13</v>
      </c>
      <c r="R17" s="22" t="n">
        <v>4.8</v>
      </c>
      <c r="S17" s="22" t="n">
        <v>4.5</v>
      </c>
      <c r="T17" s="22" t="n">
        <v>3.1</v>
      </c>
      <c r="U17" s="22" t="n">
        <v>3.2</v>
      </c>
      <c r="V17" s="22" t="n">
        <v>3.2</v>
      </c>
      <c r="W17" s="22" t="n">
        <v>4.9</v>
      </c>
      <c r="X17" s="22" t="n">
        <v>4.6</v>
      </c>
      <c r="Y17" s="22" t="n">
        <v>4</v>
      </c>
      <c r="Z17" s="22" t="n">
        <v>4</v>
      </c>
      <c r="AA17" s="45">
        <f>IF(MAESTRO!F17="","",IFERROR(TRUNC(AVERAGE(R17:Z17),1),""))</f>
        <v/>
      </c>
      <c r="AB17" s="177" t="n">
        <v>4.3</v>
      </c>
      <c r="AC17" s="42" t="n">
        <v>3.7</v>
      </c>
      <c r="AD17" s="5">
        <f>IF(MAESTRO!F17="","",IFERROR(AVERAGE(AB17:AC17),""))</f>
        <v/>
      </c>
      <c r="AE17" s="44">
        <f>IF(MAESTRO!F17="","",IFERROR(TRUNC(AVERAGE(P17,AA17,AD17),1),""))</f>
        <v/>
      </c>
      <c r="AF17" s="177" t="n"/>
      <c r="AG17" s="177" t="n">
        <v>13</v>
      </c>
      <c r="AH17" s="177" t="n">
        <v>13</v>
      </c>
      <c r="AI17" s="177">
        <f>IF(MAESTRO!F17="","",MAESTRO!F17)</f>
        <v/>
      </c>
      <c r="AJ17" s="178" t="n"/>
      <c r="AK17" s="42" t="n">
        <v>3.9</v>
      </c>
      <c r="AL17" s="42" t="n">
        <v>3.3</v>
      </c>
      <c r="AM17" s="61" t="n">
        <v>4.7</v>
      </c>
      <c r="AN17" s="61" t="n">
        <v>3.4</v>
      </c>
      <c r="AO17" s="61" t="n">
        <v>3.2</v>
      </c>
      <c r="AP17" s="61" t="n">
        <v>3</v>
      </c>
      <c r="AQ17" s="61" t="n">
        <v>3.3</v>
      </c>
      <c r="AR17" s="61" t="n">
        <v>4.2</v>
      </c>
      <c r="AS17" s="61" t="n">
        <v>4</v>
      </c>
      <c r="AT17" s="61" t="n">
        <v>3.7</v>
      </c>
      <c r="AU17" s="61" t="n">
        <v>3.4</v>
      </c>
      <c r="AV17" s="61" t="n">
        <v>3.8</v>
      </c>
      <c r="AW17" s="5">
        <f>IF(MAESTRO!F17="","",IFERROR(TRUNC(AVERAGE(AK17:AV17),1),""))</f>
        <v/>
      </c>
      <c r="AX17" s="22" t="n">
        <v>3.5</v>
      </c>
      <c r="AY17" s="22" t="n">
        <v>3.7</v>
      </c>
      <c r="AZ17" s="22" t="n">
        <v>3.5</v>
      </c>
      <c r="BA17" s="22" t="n">
        <v>4.9</v>
      </c>
      <c r="BB17" s="22" t="n">
        <v>4.2</v>
      </c>
      <c r="BC17" s="22" t="n">
        <v>4.4</v>
      </c>
      <c r="BD17" s="22" t="n">
        <v>3.1</v>
      </c>
      <c r="BE17" s="22" t="n">
        <v>4.7</v>
      </c>
      <c r="BF17" s="22" t="n">
        <v>3.6</v>
      </c>
      <c r="BG17" s="52" t="n">
        <v>4</v>
      </c>
      <c r="BH17" s="5">
        <f>IF(MAESTRO!F17="","",IFERROR(TRUNC(AVERAGE(AX17:BG17),1),""))</f>
        <v/>
      </c>
      <c r="BI17" s="22" t="n">
        <v>4.1</v>
      </c>
      <c r="BJ17" s="22" t="n">
        <v>4</v>
      </c>
      <c r="BK17" s="22">
        <f>IF(MAESTRO!F17="","",IFERROR(AVERAGE(BI17,BJ17),""))</f>
        <v/>
      </c>
      <c r="BL17" s="5">
        <f>IF(MAESTRO!F17="","",IFERROR(TRUNC(AVERAGE(AW17,BH17,BK17),1),""))</f>
        <v/>
      </c>
      <c r="BM17" s="177" t="n"/>
      <c r="BN17" s="177" t="n">
        <v>13</v>
      </c>
      <c r="BO17" s="177" t="n">
        <v>13</v>
      </c>
      <c r="BP17" s="177">
        <f>IF(MAESTRO!F17="","",MAESTRO!F17)</f>
        <v/>
      </c>
      <c r="BQ17" s="178" t="n"/>
      <c r="BR17" s="5" t="n">
        <v>4.6</v>
      </c>
      <c r="BS17" s="5" t="n">
        <v>4.6</v>
      </c>
      <c r="BT17" s="5" t="n">
        <v>4.7</v>
      </c>
      <c r="BU17" s="5" t="n">
        <v>3.5</v>
      </c>
      <c r="BV17" s="5" t="n">
        <v>5</v>
      </c>
      <c r="BW17" s="5" t="n">
        <v>3.8</v>
      </c>
      <c r="BX17" s="5" t="n">
        <v>3.7</v>
      </c>
      <c r="BY17" s="5" t="n">
        <v>4.8</v>
      </c>
      <c r="BZ17" s="5" t="n">
        <v>4.4</v>
      </c>
      <c r="CA17" s="5" t="n">
        <v>3.4</v>
      </c>
      <c r="CB17" s="5" t="n">
        <v>3.6</v>
      </c>
      <c r="CC17" s="5" t="n">
        <v>4.6</v>
      </c>
      <c r="CD17" s="5" t="n">
        <v>3.6</v>
      </c>
      <c r="CE17" s="5">
        <f>IF(MAESTRO!F17="","",IFERROR(TRUNC(AVERAGE(BR17:CD17),1),""))</f>
        <v/>
      </c>
      <c r="CF17" s="5" t="n">
        <v>4.6</v>
      </c>
      <c r="CG17" s="5" t="n">
        <v>3.5</v>
      </c>
      <c r="CH17" s="5" t="n">
        <v>4.9</v>
      </c>
      <c r="CI17" s="5" t="n">
        <v>3.7</v>
      </c>
      <c r="CJ17" s="5" t="n">
        <v>3.5</v>
      </c>
      <c r="CK17" s="5" t="n">
        <v>3.2</v>
      </c>
      <c r="CL17" s="5" t="n">
        <v>3.6</v>
      </c>
      <c r="CM17" s="5" t="n">
        <v>3.5</v>
      </c>
      <c r="CN17" s="5" t="n">
        <v>3.7</v>
      </c>
      <c r="CO17" s="5" t="n">
        <v>3.9</v>
      </c>
      <c r="CP17" s="5">
        <f>IF(MAESTRO!F17="","",IFERROR(TRUNC(AVERAGE(CF17:CO17),1),""))</f>
        <v/>
      </c>
      <c r="CQ17" s="5" t="n">
        <v>4.6</v>
      </c>
      <c r="CR17" s="5" t="n">
        <v>3.4</v>
      </c>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v>4.6</v>
      </c>
      <c r="D18" s="5" t="n">
        <v>4.8</v>
      </c>
      <c r="E18" s="5" t="n">
        <v>3.1</v>
      </c>
      <c r="F18" s="5" t="n">
        <v>4.7</v>
      </c>
      <c r="G18" s="5" t="n">
        <v>4.3</v>
      </c>
      <c r="H18" s="5" t="n">
        <v>3.4</v>
      </c>
      <c r="I18" s="5" t="n">
        <v>4.3</v>
      </c>
      <c r="J18" s="5" t="n">
        <v>3.3</v>
      </c>
      <c r="K18" s="5" t="n">
        <v>4.7</v>
      </c>
      <c r="L18" s="5" t="n">
        <v>3.8</v>
      </c>
      <c r="M18" s="5" t="n">
        <v>4.1</v>
      </c>
      <c r="N18" s="5" t="n">
        <v>4.1</v>
      </c>
      <c r="O18" s="5" t="n">
        <v>3.1</v>
      </c>
      <c r="P18" s="5">
        <f>IF(MAESTRO!F18="","",IFERROR(TRUNC(AVERAGE(C18:O18),1),""))</f>
        <v/>
      </c>
      <c r="Q18" s="40" t="n">
        <v>14</v>
      </c>
      <c r="R18" s="22" t="n">
        <v>4.3</v>
      </c>
      <c r="S18" s="22" t="n">
        <v>4.4</v>
      </c>
      <c r="T18" s="22" t="n">
        <v>4.4</v>
      </c>
      <c r="U18" s="22" t="n">
        <v>3.5</v>
      </c>
      <c r="V18" s="22" t="n">
        <v>3.2</v>
      </c>
      <c r="W18" s="22" t="n">
        <v>4.5</v>
      </c>
      <c r="X18" s="22" t="n">
        <v>4.9</v>
      </c>
      <c r="Y18" s="22" t="n">
        <v>4.9</v>
      </c>
      <c r="Z18" s="22" t="n">
        <v>4.4</v>
      </c>
      <c r="AA18" s="45">
        <f>IF(MAESTRO!F18="","",IFERROR(TRUNC(AVERAGE(R18:Z18),1),""))</f>
        <v/>
      </c>
      <c r="AB18" s="177" t="n">
        <v>4.6</v>
      </c>
      <c r="AC18" s="42" t="n">
        <v>4.5</v>
      </c>
      <c r="AD18" s="5">
        <f>IF(MAESTRO!F18="","",IFERROR(AVERAGE(AB18:AC18),""))</f>
        <v/>
      </c>
      <c r="AE18" s="44">
        <f>IF(MAESTRO!F18="","",IFERROR(TRUNC(AVERAGE(P18,AA18,AD18),1),""))</f>
        <v/>
      </c>
      <c r="AF18" s="177" t="n"/>
      <c r="AG18" s="177" t="n">
        <v>14</v>
      </c>
      <c r="AH18" s="177" t="n">
        <v>14</v>
      </c>
      <c r="AI18" s="177">
        <f>IF(MAESTRO!F18="","",MAESTRO!F18)</f>
        <v/>
      </c>
      <c r="AJ18" s="178" t="n"/>
      <c r="AK18" s="42" t="n">
        <v>3.6</v>
      </c>
      <c r="AL18" s="42" t="n">
        <v>3.2</v>
      </c>
      <c r="AM18" s="61" t="n">
        <v>4.9</v>
      </c>
      <c r="AN18" s="61" t="n">
        <v>4.6</v>
      </c>
      <c r="AO18" s="61" t="n">
        <v>3.8</v>
      </c>
      <c r="AP18" s="61" t="n">
        <v>4.1</v>
      </c>
      <c r="AQ18" s="61" t="n">
        <v>4.3</v>
      </c>
      <c r="AR18" s="61" t="n">
        <v>4.8</v>
      </c>
      <c r="AS18" s="61" t="n">
        <v>4.5</v>
      </c>
      <c r="AT18" s="61" t="n">
        <v>3.3</v>
      </c>
      <c r="AU18" s="61" t="n">
        <v>4.1</v>
      </c>
      <c r="AV18" s="61" t="n">
        <v>3.2</v>
      </c>
      <c r="AW18" s="5">
        <f>IF(MAESTRO!F18="","",IFERROR(TRUNC(AVERAGE(AK18:AV18),1),""))</f>
        <v/>
      </c>
      <c r="AX18" s="22" t="n">
        <v>4.7</v>
      </c>
      <c r="AY18" s="22" t="n">
        <v>4.8</v>
      </c>
      <c r="AZ18" s="22" t="n">
        <v>3.1</v>
      </c>
      <c r="BA18" s="22" t="n">
        <v>3.4</v>
      </c>
      <c r="BB18" s="22" t="n">
        <v>4.7</v>
      </c>
      <c r="BC18" s="22" t="n">
        <v>4.4</v>
      </c>
      <c r="BD18" s="22" t="n">
        <v>4</v>
      </c>
      <c r="BE18" s="22" t="n">
        <v>4.5</v>
      </c>
      <c r="BF18" s="22" t="n">
        <v>3.7</v>
      </c>
      <c r="BG18" s="52" t="n">
        <v>3.1</v>
      </c>
      <c r="BH18" s="5">
        <f>IF(MAESTRO!F18="","",IFERROR(TRUNC(AVERAGE(AX18:BG18),1),""))</f>
        <v/>
      </c>
      <c r="BI18" s="22" t="n">
        <v>3.1</v>
      </c>
      <c r="BJ18" s="22" t="n">
        <v>4.6</v>
      </c>
      <c r="BK18" s="22">
        <f>IF(MAESTRO!F18="","",IFERROR(AVERAGE(BI18,BJ18),""))</f>
        <v/>
      </c>
      <c r="BL18" s="5">
        <f>IF(MAESTRO!F18="","",IFERROR(TRUNC(AVERAGE(AW18,BH18,BK18),1),""))</f>
        <v/>
      </c>
      <c r="BM18" s="177" t="n"/>
      <c r="BN18" s="177" t="n">
        <v>14</v>
      </c>
      <c r="BO18" s="177" t="n">
        <v>14</v>
      </c>
      <c r="BP18" s="177">
        <f>IF(MAESTRO!F18="","",MAESTRO!F18)</f>
        <v/>
      </c>
      <c r="BQ18" s="178" t="n"/>
      <c r="BR18" s="5" t="n">
        <v>3.1</v>
      </c>
      <c r="BS18" s="5" t="n">
        <v>4.9</v>
      </c>
      <c r="BT18" s="5" t="n">
        <v>4.5</v>
      </c>
      <c r="BU18" s="5" t="n">
        <v>4.1</v>
      </c>
      <c r="BV18" s="5" t="n">
        <v>3.8</v>
      </c>
      <c r="BW18" s="5" t="n">
        <v>4.2</v>
      </c>
      <c r="BX18" s="5" t="n">
        <v>4</v>
      </c>
      <c r="BY18" s="5" t="n">
        <v>4.3</v>
      </c>
      <c r="BZ18" s="5" t="n">
        <v>4.7</v>
      </c>
      <c r="CA18" s="5" t="n">
        <v>3.3</v>
      </c>
      <c r="CB18" s="5" t="n">
        <v>3.4</v>
      </c>
      <c r="CC18" s="5" t="n">
        <v>3.5</v>
      </c>
      <c r="CD18" s="5" t="n">
        <v>4.8</v>
      </c>
      <c r="CE18" s="5">
        <f>IF(MAESTRO!F18="","",IFERROR(TRUNC(AVERAGE(BR18:CD18),1),""))</f>
        <v/>
      </c>
      <c r="CF18" s="5" t="n">
        <v>4.8</v>
      </c>
      <c r="CG18" s="5" t="n">
        <v>4.3</v>
      </c>
      <c r="CH18" s="5" t="n">
        <v>4.9</v>
      </c>
      <c r="CI18" s="5" t="n">
        <v>3</v>
      </c>
      <c r="CJ18" s="5" t="n">
        <v>4.9</v>
      </c>
      <c r="CK18" s="5" t="n">
        <v>3.2</v>
      </c>
      <c r="CL18" s="5" t="n">
        <v>3.7</v>
      </c>
      <c r="CM18" s="5" t="n">
        <v>3.3</v>
      </c>
      <c r="CN18" s="5" t="n">
        <v>3.2</v>
      </c>
      <c r="CO18" s="5" t="n">
        <v>3.1</v>
      </c>
      <c r="CP18" s="5">
        <f>IF(MAESTRO!F18="","",IFERROR(TRUNC(AVERAGE(CF18:CO18),1),""))</f>
        <v/>
      </c>
      <c r="CQ18" s="5" t="n">
        <v>3.5</v>
      </c>
      <c r="CR18" s="5" t="n">
        <v>4.8</v>
      </c>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v>3.5</v>
      </c>
      <c r="D19" s="5" t="n">
        <v>3.9</v>
      </c>
      <c r="E19" s="5" t="n">
        <v>3.7</v>
      </c>
      <c r="F19" s="5" t="n">
        <v>3.9</v>
      </c>
      <c r="G19" s="5" t="n">
        <v>3.9</v>
      </c>
      <c r="H19" s="5" t="n">
        <v>3.2</v>
      </c>
      <c r="I19" s="5" t="n">
        <v>4.4</v>
      </c>
      <c r="J19" s="5" t="n">
        <v>3.8</v>
      </c>
      <c r="K19" s="5" t="n">
        <v>4.8</v>
      </c>
      <c r="L19" s="5" t="n">
        <v>4.6</v>
      </c>
      <c r="M19" s="5" t="n">
        <v>4.9</v>
      </c>
      <c r="N19" s="5" t="n">
        <v>3.1</v>
      </c>
      <c r="O19" s="5" t="n">
        <v>4.7</v>
      </c>
      <c r="P19" s="5">
        <f>IF(MAESTRO!F19="","",IFERROR(TRUNC(AVERAGE(C19:O19),1),""))</f>
        <v/>
      </c>
      <c r="Q19" s="40" t="n">
        <v>15</v>
      </c>
      <c r="R19" s="22" t="n">
        <v>4.6</v>
      </c>
      <c r="S19" s="22" t="n">
        <v>4.2</v>
      </c>
      <c r="T19" s="22" t="n">
        <v>3.2</v>
      </c>
      <c r="U19" s="22" t="n">
        <v>4.6</v>
      </c>
      <c r="V19" s="22" t="n">
        <v>3.9</v>
      </c>
      <c r="W19" s="22" t="n">
        <v>3.6</v>
      </c>
      <c r="X19" s="22" t="n">
        <v>3.9</v>
      </c>
      <c r="Y19" s="22" t="n">
        <v>4.5</v>
      </c>
      <c r="Z19" s="22" t="n">
        <v>4.8</v>
      </c>
      <c r="AA19" s="45">
        <f>IF(MAESTRO!F19="","",IFERROR(TRUNC(AVERAGE(R19:Z19),1),""))</f>
        <v/>
      </c>
      <c r="AB19" s="177" t="n">
        <v>3.8</v>
      </c>
      <c r="AC19" s="42" t="n">
        <v>3.3</v>
      </c>
      <c r="AD19" s="5">
        <f>IF(MAESTRO!F19="","",IFERROR(AVERAGE(AB19:AC19),""))</f>
        <v/>
      </c>
      <c r="AE19" s="44">
        <f>IF(MAESTRO!F19="","",IFERROR(TRUNC(AVERAGE(P19,AA19,AD19),1),""))</f>
        <v/>
      </c>
      <c r="AF19" s="177" t="n"/>
      <c r="AG19" s="177" t="n">
        <v>15</v>
      </c>
      <c r="AH19" s="177" t="n">
        <v>15</v>
      </c>
      <c r="AI19" s="177">
        <f>IF(MAESTRO!F19="","",MAESTRO!F19)</f>
        <v/>
      </c>
      <c r="AJ19" s="178" t="n"/>
      <c r="AK19" s="42" t="n">
        <v>3.6</v>
      </c>
      <c r="AL19" s="42" t="n">
        <v>4.1</v>
      </c>
      <c r="AM19" s="61" t="n">
        <v>4.3</v>
      </c>
      <c r="AN19" s="61" t="n">
        <v>3.7</v>
      </c>
      <c r="AO19" s="61" t="n">
        <v>3.1</v>
      </c>
      <c r="AP19" s="61" t="n">
        <v>4.8</v>
      </c>
      <c r="AQ19" s="61" t="n">
        <v>5</v>
      </c>
      <c r="AR19" s="61" t="n">
        <v>4.3</v>
      </c>
      <c r="AS19" s="61" t="n">
        <v>3.7</v>
      </c>
      <c r="AT19" s="61" t="n">
        <v>3.2</v>
      </c>
      <c r="AU19" s="61" t="n">
        <v>4</v>
      </c>
      <c r="AV19" s="61" t="n">
        <v>4.5</v>
      </c>
      <c r="AW19" s="5">
        <f>IF(MAESTRO!F19="","",IFERROR(TRUNC(AVERAGE(AK19:AV19),1),""))</f>
        <v/>
      </c>
      <c r="AX19" s="22" t="n">
        <v>3.8</v>
      </c>
      <c r="AY19" s="22" t="n">
        <v>4</v>
      </c>
      <c r="AZ19" s="22" t="n">
        <v>4.7</v>
      </c>
      <c r="BA19" s="22" t="n">
        <v>3.6</v>
      </c>
      <c r="BB19" s="22" t="n">
        <v>3</v>
      </c>
      <c r="BC19" s="22" t="n">
        <v>4.8</v>
      </c>
      <c r="BD19" s="22" t="n">
        <v>4.6</v>
      </c>
      <c r="BE19" s="22" t="n">
        <v>4.8</v>
      </c>
      <c r="BF19" s="22" t="n">
        <v>3.2</v>
      </c>
      <c r="BG19" s="52" t="n">
        <v>3.8</v>
      </c>
      <c r="BH19" s="5">
        <f>IF(MAESTRO!F19="","",IFERROR(TRUNC(AVERAGE(AX19:BG19),1),""))</f>
        <v/>
      </c>
      <c r="BI19" s="22" t="n">
        <v>4.4</v>
      </c>
      <c r="BJ19" s="22" t="n">
        <v>4.6</v>
      </c>
      <c r="BK19" s="22">
        <f>IF(MAESTRO!F19="","",IFERROR(AVERAGE(BI19,BJ19),""))</f>
        <v/>
      </c>
      <c r="BL19" s="5">
        <f>IF(MAESTRO!F19="","",IFERROR(TRUNC(AVERAGE(AW19,BH19,BK19),1),""))</f>
        <v/>
      </c>
      <c r="BM19" s="177" t="n"/>
      <c r="BN19" s="177" t="n">
        <v>15</v>
      </c>
      <c r="BO19" s="177" t="n">
        <v>15</v>
      </c>
      <c r="BP19" s="177">
        <f>IF(MAESTRO!F19="","",MAESTRO!F19)</f>
        <v/>
      </c>
      <c r="BQ19" s="178" t="n"/>
      <c r="BR19" s="5" t="n">
        <v>4.8</v>
      </c>
      <c r="BS19" s="5" t="n">
        <v>4.3</v>
      </c>
      <c r="BT19" s="5" t="n">
        <v>3.7</v>
      </c>
      <c r="BU19" s="5" t="n">
        <v>4.2</v>
      </c>
      <c r="BV19" s="5" t="n">
        <v>4.8</v>
      </c>
      <c r="BW19" s="5" t="n">
        <v>4.9</v>
      </c>
      <c r="BX19" s="5" t="n">
        <v>4.8</v>
      </c>
      <c r="BY19" s="5" t="n">
        <v>3.2</v>
      </c>
      <c r="BZ19" s="5" t="n">
        <v>4.8</v>
      </c>
      <c r="CA19" s="5" t="n">
        <v>3.2</v>
      </c>
      <c r="CB19" s="5" t="n">
        <v>3.2</v>
      </c>
      <c r="CC19" s="5" t="n">
        <v>3.5</v>
      </c>
      <c r="CD19" s="5" t="n">
        <v>3.9</v>
      </c>
      <c r="CE19" s="5">
        <f>IF(MAESTRO!F19="","",IFERROR(TRUNC(AVERAGE(BR19:CD19),1),""))</f>
        <v/>
      </c>
      <c r="CF19" s="5" t="n">
        <v>4.2</v>
      </c>
      <c r="CG19" s="5" t="n">
        <v>4.1</v>
      </c>
      <c r="CH19" s="5" t="n">
        <v>3.1</v>
      </c>
      <c r="CI19" s="5" t="n">
        <v>4.3</v>
      </c>
      <c r="CJ19" s="5" t="n">
        <v>3.4</v>
      </c>
      <c r="CK19" s="5" t="n">
        <v>4.6</v>
      </c>
      <c r="CL19" s="5" t="n">
        <v>3.9</v>
      </c>
      <c r="CM19" s="5" t="n">
        <v>3.7</v>
      </c>
      <c r="CN19" s="5" t="n">
        <v>3.7</v>
      </c>
      <c r="CO19" s="5" t="n">
        <v>3.5</v>
      </c>
      <c r="CP19" s="5">
        <f>IF(MAESTRO!F19="","",IFERROR(TRUNC(AVERAGE(CF19:CO19),1),""))</f>
        <v/>
      </c>
      <c r="CQ19" s="5" t="n">
        <v>3.2</v>
      </c>
      <c r="CR19" s="5" t="n">
        <v>3.1</v>
      </c>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v>4.1</v>
      </c>
      <c r="D20" s="5" t="n">
        <v>3.7</v>
      </c>
      <c r="E20" s="5" t="n">
        <v>3.4</v>
      </c>
      <c r="F20" s="5" t="n">
        <v>4.3</v>
      </c>
      <c r="G20" s="5" t="n">
        <v>3.3</v>
      </c>
      <c r="H20" s="5" t="n">
        <v>3.4</v>
      </c>
      <c r="I20" s="5" t="n">
        <v>3.1</v>
      </c>
      <c r="J20" s="5" t="n">
        <v>3.4</v>
      </c>
      <c r="K20" s="5" t="n">
        <v>4.4</v>
      </c>
      <c r="L20" s="5" t="n">
        <v>4.8</v>
      </c>
      <c r="M20" s="5" t="n">
        <v>4.6</v>
      </c>
      <c r="N20" s="5" t="n">
        <v>3.5</v>
      </c>
      <c r="O20" s="5" t="n">
        <v>4.7</v>
      </c>
      <c r="P20" s="5">
        <f>IF(MAESTRO!F20="","",IFERROR(TRUNC(AVERAGE(C20:O20),1),""))</f>
        <v/>
      </c>
      <c r="Q20" s="40" t="n">
        <v>16</v>
      </c>
      <c r="R20" s="22" t="n">
        <v>4.8</v>
      </c>
      <c r="S20" s="22" t="n">
        <v>3.6</v>
      </c>
      <c r="T20" s="22" t="n">
        <v>3.9</v>
      </c>
      <c r="U20" s="22" t="n">
        <v>4.4</v>
      </c>
      <c r="V20" s="22" t="n">
        <v>3.1</v>
      </c>
      <c r="W20" s="22" t="n">
        <v>4.2</v>
      </c>
      <c r="X20" s="22" t="n">
        <v>3.3</v>
      </c>
      <c r="Y20" s="22" t="n">
        <v>3</v>
      </c>
      <c r="Z20" s="22" t="n">
        <v>3.5</v>
      </c>
      <c r="AA20" s="45">
        <f>IF(MAESTRO!F20="","",IFERROR(TRUNC(AVERAGE(R20:Z20),1),""))</f>
        <v/>
      </c>
      <c r="AB20" s="177" t="n">
        <v>3.5</v>
      </c>
      <c r="AC20" s="42" t="n">
        <v>4.6</v>
      </c>
      <c r="AD20" s="5">
        <f>IF(MAESTRO!F20="","",IFERROR(AVERAGE(AB20:AC20),""))</f>
        <v/>
      </c>
      <c r="AE20" s="44">
        <f>IF(MAESTRO!F20="","",IFERROR(TRUNC(AVERAGE(P20,AA20,AD20),1),""))</f>
        <v/>
      </c>
      <c r="AF20" s="177" t="n"/>
      <c r="AG20" s="177" t="n">
        <v>16</v>
      </c>
      <c r="AH20" s="177" t="n">
        <v>16</v>
      </c>
      <c r="AI20" s="177">
        <f>IF(MAESTRO!F20="","",MAESTRO!F20)</f>
        <v/>
      </c>
      <c r="AJ20" s="178" t="n"/>
      <c r="AK20" s="42" t="n">
        <v>3.4</v>
      </c>
      <c r="AL20" s="42" t="n">
        <v>3.4</v>
      </c>
      <c r="AM20" s="61" t="n">
        <v>4</v>
      </c>
      <c r="AN20" s="61" t="n">
        <v>3.5</v>
      </c>
      <c r="AO20" s="61" t="n">
        <v>4.8</v>
      </c>
      <c r="AP20" s="61" t="n">
        <v>3</v>
      </c>
      <c r="AQ20" s="61" t="n">
        <v>4.7</v>
      </c>
      <c r="AR20" s="61" t="n">
        <v>4.8</v>
      </c>
      <c r="AS20" s="61" t="n">
        <v>4.9</v>
      </c>
      <c r="AT20" s="61" t="n">
        <v>3.5</v>
      </c>
      <c r="AU20" s="61" t="n">
        <v>4.8</v>
      </c>
      <c r="AV20" s="61" t="n">
        <v>4.9</v>
      </c>
      <c r="AW20" s="5">
        <f>IF(MAESTRO!F20="","",IFERROR(TRUNC(AVERAGE(AK20:AV20),1),""))</f>
        <v/>
      </c>
      <c r="AX20" s="22" t="n">
        <v>4</v>
      </c>
      <c r="AY20" s="22" t="n">
        <v>4.1</v>
      </c>
      <c r="AZ20" s="22" t="n">
        <v>4.8</v>
      </c>
      <c r="BA20" s="22" t="n">
        <v>4.1</v>
      </c>
      <c r="BB20" s="22" t="n">
        <v>4.8</v>
      </c>
      <c r="BC20" s="22" t="n">
        <v>4</v>
      </c>
      <c r="BD20" s="22" t="n">
        <v>4.3</v>
      </c>
      <c r="BE20" s="22" t="n">
        <v>3.1</v>
      </c>
      <c r="BF20" s="22" t="n">
        <v>3.5</v>
      </c>
      <c r="BG20" s="52" t="n">
        <v>3.1</v>
      </c>
      <c r="BH20" s="5">
        <f>IF(MAESTRO!F20="","",IFERROR(TRUNC(AVERAGE(AX20:BG20),1),""))</f>
        <v/>
      </c>
      <c r="BI20" s="22" t="n">
        <v>4.9</v>
      </c>
      <c r="BJ20" s="22" t="n">
        <v>3.7</v>
      </c>
      <c r="BK20" s="22">
        <f>IF(MAESTRO!F20="","",IFERROR(AVERAGE(BI20,BJ20),""))</f>
        <v/>
      </c>
      <c r="BL20" s="5">
        <f>IF(MAESTRO!F20="","",IFERROR(TRUNC(AVERAGE(AW20,BH20,BK20),1),""))</f>
        <v/>
      </c>
      <c r="BM20" s="177" t="n"/>
      <c r="BN20" s="177" t="n">
        <v>16</v>
      </c>
      <c r="BO20" s="177" t="n">
        <v>16</v>
      </c>
      <c r="BP20" s="177">
        <f>IF(MAESTRO!F20="","",MAESTRO!F20)</f>
        <v/>
      </c>
      <c r="BQ20" s="178" t="n"/>
      <c r="BR20" s="5" t="n">
        <v>3.5</v>
      </c>
      <c r="BS20" s="5" t="n">
        <v>5</v>
      </c>
      <c r="BT20" s="5" t="n">
        <v>4.6</v>
      </c>
      <c r="BU20" s="5" t="n">
        <v>3.7</v>
      </c>
      <c r="BV20" s="5" t="n">
        <v>4</v>
      </c>
      <c r="BW20" s="5" t="n">
        <v>4.6</v>
      </c>
      <c r="BX20" s="5" t="n">
        <v>4.7</v>
      </c>
      <c r="BY20" s="5" t="n">
        <v>3</v>
      </c>
      <c r="BZ20" s="5" t="n">
        <v>3.3</v>
      </c>
      <c r="CA20" s="5" t="n">
        <v>4.3</v>
      </c>
      <c r="CB20" s="5" t="n">
        <v>3.1</v>
      </c>
      <c r="CC20" s="5" t="n">
        <v>3.1</v>
      </c>
      <c r="CD20" s="5" t="n">
        <v>4.5</v>
      </c>
      <c r="CE20" s="5">
        <f>IF(MAESTRO!F20="","",IFERROR(TRUNC(AVERAGE(BR20:CD20),1),""))</f>
        <v/>
      </c>
      <c r="CF20" s="5" t="n">
        <v>3.2</v>
      </c>
      <c r="CG20" s="5" t="n">
        <v>4.4</v>
      </c>
      <c r="CH20" s="5" t="n">
        <v>4.7</v>
      </c>
      <c r="CI20" s="5" t="n">
        <v>4.6</v>
      </c>
      <c r="CJ20" s="5" t="n">
        <v>5</v>
      </c>
      <c r="CK20" s="5" t="n">
        <v>3.5</v>
      </c>
      <c r="CL20" s="5" t="n">
        <v>3.7</v>
      </c>
      <c r="CM20" s="5" t="n">
        <v>3.6</v>
      </c>
      <c r="CN20" s="5" t="n">
        <v>3.6</v>
      </c>
      <c r="CO20" s="5" t="n">
        <v>3.9</v>
      </c>
      <c r="CP20" s="5">
        <f>IF(MAESTRO!F20="","",IFERROR(TRUNC(AVERAGE(CF20:CO20),1),""))</f>
        <v/>
      </c>
      <c r="CQ20" s="5" t="n">
        <v>4</v>
      </c>
      <c r="CR20" s="5" t="n">
        <v>4.6</v>
      </c>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v>4.3</v>
      </c>
      <c r="D21" s="5" t="n">
        <v>3.3</v>
      </c>
      <c r="E21" s="5" t="n">
        <v>3.7</v>
      </c>
      <c r="F21" s="5" t="n">
        <v>4.7</v>
      </c>
      <c r="G21" s="5" t="n">
        <v>4.1</v>
      </c>
      <c r="H21" s="5" t="n">
        <v>4.9</v>
      </c>
      <c r="I21" s="5" t="n">
        <v>4.8</v>
      </c>
      <c r="J21" s="5" t="n">
        <v>4.5</v>
      </c>
      <c r="K21" s="5" t="n">
        <v>3.3</v>
      </c>
      <c r="L21" s="5" t="n">
        <v>4.7</v>
      </c>
      <c r="M21" s="5" t="n">
        <v>4.5</v>
      </c>
      <c r="N21" s="5" t="n">
        <v>3.2</v>
      </c>
      <c r="O21" s="5" t="n">
        <v>4.5</v>
      </c>
      <c r="P21" s="5">
        <f>IF(MAESTRO!F21="","",IFERROR(TRUNC(AVERAGE(C21:O21),1),""))</f>
        <v/>
      </c>
      <c r="Q21" s="40" t="n">
        <v>17</v>
      </c>
      <c r="R21" s="22" t="n">
        <v>3.3</v>
      </c>
      <c r="S21" s="22" t="n">
        <v>5</v>
      </c>
      <c r="T21" s="22" t="n">
        <v>3.7</v>
      </c>
      <c r="U21" s="22" t="n">
        <v>3.7</v>
      </c>
      <c r="V21" s="22" t="n">
        <v>3.1</v>
      </c>
      <c r="W21" s="22" t="n">
        <v>3.1</v>
      </c>
      <c r="X21" s="22" t="n">
        <v>4.1</v>
      </c>
      <c r="Y21" s="22" t="n">
        <v>3.6</v>
      </c>
      <c r="Z21" s="22" t="n">
        <v>5</v>
      </c>
      <c r="AA21" s="45">
        <f>IF(MAESTRO!F21="","",IFERROR(TRUNC(AVERAGE(R21:Z21),1),""))</f>
        <v/>
      </c>
      <c r="AB21" s="177" t="n">
        <v>4.2</v>
      </c>
      <c r="AC21" s="42" t="n">
        <v>3.5</v>
      </c>
      <c r="AD21" s="5">
        <f>IF(MAESTRO!F21="","",IFERROR(AVERAGE(AB21:AC21),""))</f>
        <v/>
      </c>
      <c r="AE21" s="44">
        <f>IF(MAESTRO!F21="","",IFERROR(TRUNC(AVERAGE(P21,AA21,AD21),1),""))</f>
        <v/>
      </c>
      <c r="AF21" s="177" t="n"/>
      <c r="AG21" s="177" t="n">
        <v>17</v>
      </c>
      <c r="AH21" s="177" t="n">
        <v>17</v>
      </c>
      <c r="AI21" s="177">
        <f>IF(MAESTRO!F21="","",MAESTRO!F21)</f>
        <v/>
      </c>
      <c r="AJ21" s="178" t="n"/>
      <c r="AK21" s="42" t="n">
        <v>4.1</v>
      </c>
      <c r="AL21" s="42" t="n">
        <v>4.8</v>
      </c>
      <c r="AM21" s="61" t="n">
        <v>3.2</v>
      </c>
      <c r="AN21" s="61" t="n">
        <v>3.1</v>
      </c>
      <c r="AO21" s="61" t="n">
        <v>3.1</v>
      </c>
      <c r="AP21" s="61" t="n">
        <v>4.3</v>
      </c>
      <c r="AQ21" s="61" t="n">
        <v>4.1</v>
      </c>
      <c r="AR21" s="61" t="n">
        <v>3.4</v>
      </c>
      <c r="AS21" s="61" t="n">
        <v>4.1</v>
      </c>
      <c r="AT21" s="61" t="n">
        <v>3.5</v>
      </c>
      <c r="AU21" s="61" t="n">
        <v>4.7</v>
      </c>
      <c r="AV21" s="61" t="n">
        <v>3.5</v>
      </c>
      <c r="AW21" s="5">
        <f>IF(MAESTRO!F21="","",IFERROR(TRUNC(AVERAGE(AK21:AV21),1),""))</f>
        <v/>
      </c>
      <c r="AX21" s="22" t="n">
        <v>4.4</v>
      </c>
      <c r="AY21" s="22" t="n">
        <v>3.5</v>
      </c>
      <c r="AZ21" s="22" t="n">
        <v>4.2</v>
      </c>
      <c r="BA21" s="22" t="n">
        <v>3.5</v>
      </c>
      <c r="BB21" s="22" t="n">
        <v>5</v>
      </c>
      <c r="BC21" s="22" t="n">
        <v>3.6</v>
      </c>
      <c r="BD21" s="22" t="n">
        <v>3.1</v>
      </c>
      <c r="BE21" s="22" t="n">
        <v>3.6</v>
      </c>
      <c r="BF21" s="22" t="n">
        <v>3.2</v>
      </c>
      <c r="BG21" s="52" t="n">
        <v>4.2</v>
      </c>
      <c r="BH21" s="5">
        <f>IF(MAESTRO!F21="","",IFERROR(TRUNC(AVERAGE(AX21:BG21),1),""))</f>
        <v/>
      </c>
      <c r="BI21" s="22" t="n">
        <v>3.4</v>
      </c>
      <c r="BJ21" s="22" t="n">
        <v>4.6</v>
      </c>
      <c r="BK21" s="22">
        <f>IF(MAESTRO!F21="","",IFERROR(AVERAGE(BI21,BJ21),""))</f>
        <v/>
      </c>
      <c r="BL21" s="5">
        <f>IF(MAESTRO!F21="","",IFERROR(TRUNC(AVERAGE(AW21,BH21,BK21),1),""))</f>
        <v/>
      </c>
      <c r="BM21" s="177" t="n"/>
      <c r="BN21" s="177" t="n">
        <v>17</v>
      </c>
      <c r="BO21" s="177" t="n">
        <v>17</v>
      </c>
      <c r="BP21" s="177">
        <f>IF(MAESTRO!F21="","",MAESTRO!F21)</f>
        <v/>
      </c>
      <c r="BQ21" s="178" t="n"/>
      <c r="BR21" s="5" t="n">
        <v>4.8</v>
      </c>
      <c r="BS21" s="5" t="n">
        <v>3.4</v>
      </c>
      <c r="BT21" s="5" t="n">
        <v>3.6</v>
      </c>
      <c r="BU21" s="5" t="n">
        <v>5</v>
      </c>
      <c r="BV21" s="5" t="n">
        <v>3</v>
      </c>
      <c r="BW21" s="5" t="n">
        <v>3.8</v>
      </c>
      <c r="BX21" s="5" t="n">
        <v>3.1</v>
      </c>
      <c r="BY21" s="5" t="n">
        <v>4.7</v>
      </c>
      <c r="BZ21" s="5" t="n">
        <v>3.2</v>
      </c>
      <c r="CA21" s="5" t="n">
        <v>4.6</v>
      </c>
      <c r="CB21" s="5" t="n">
        <v>4</v>
      </c>
      <c r="CC21" s="5" t="n">
        <v>4.1</v>
      </c>
      <c r="CD21" s="5" t="n">
        <v>3.9</v>
      </c>
      <c r="CE21" s="5">
        <f>IF(MAESTRO!F21="","",IFERROR(TRUNC(AVERAGE(BR21:CD21),1),""))</f>
        <v/>
      </c>
      <c r="CF21" s="5" t="n">
        <v>4</v>
      </c>
      <c r="CG21" s="5" t="n">
        <v>4.7</v>
      </c>
      <c r="CH21" s="5" t="n">
        <v>4.6</v>
      </c>
      <c r="CI21" s="5" t="n">
        <v>4.5</v>
      </c>
      <c r="CJ21" s="5" t="n">
        <v>3.5</v>
      </c>
      <c r="CK21" s="5" t="n">
        <v>3.9</v>
      </c>
      <c r="CL21" s="5" t="n">
        <v>4.8</v>
      </c>
      <c r="CM21" s="5" t="n">
        <v>4.3</v>
      </c>
      <c r="CN21" s="5" t="n">
        <v>3.5</v>
      </c>
      <c r="CO21" s="5" t="n">
        <v>4.1</v>
      </c>
      <c r="CP21" s="5">
        <f>IF(MAESTRO!F21="","",IFERROR(TRUNC(AVERAGE(CF21:CO21),1),""))</f>
        <v/>
      </c>
      <c r="CQ21" s="5" t="n">
        <v>4.3</v>
      </c>
      <c r="CR21" s="5" t="n">
        <v>4.5</v>
      </c>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v>3.1</v>
      </c>
      <c r="D22" s="5" t="n">
        <v>4.6</v>
      </c>
      <c r="E22" s="5" t="n">
        <v>3.1</v>
      </c>
      <c r="F22" s="5" t="n">
        <v>3.7</v>
      </c>
      <c r="G22" s="5" t="n">
        <v>3.5</v>
      </c>
      <c r="H22" s="5" t="n">
        <v>3.6</v>
      </c>
      <c r="I22" s="5" t="n">
        <v>4.1</v>
      </c>
      <c r="J22" s="5" t="n">
        <v>4.2</v>
      </c>
      <c r="K22" s="5" t="n">
        <v>3.6</v>
      </c>
      <c r="L22" s="5" t="n">
        <v>3.2</v>
      </c>
      <c r="M22" s="5" t="n">
        <v>4.3</v>
      </c>
      <c r="N22" s="5" t="n">
        <v>4</v>
      </c>
      <c r="O22" s="5" t="n">
        <v>4.8</v>
      </c>
      <c r="P22" s="5">
        <f>IF(MAESTRO!F22="","",IFERROR(TRUNC(AVERAGE(C22:O22),1),""))</f>
        <v/>
      </c>
      <c r="Q22" s="40" t="n">
        <v>18</v>
      </c>
      <c r="R22" s="22" t="n">
        <v>3.7</v>
      </c>
      <c r="S22" s="22" t="n">
        <v>4.7</v>
      </c>
      <c r="T22" s="22" t="n">
        <v>4.4</v>
      </c>
      <c r="U22" s="22" t="n">
        <v>4.2</v>
      </c>
      <c r="V22" s="22" t="n">
        <v>4.9</v>
      </c>
      <c r="W22" s="22" t="n">
        <v>4</v>
      </c>
      <c r="X22" s="22" t="n">
        <v>4.4</v>
      </c>
      <c r="Y22" s="22" t="n">
        <v>3.6</v>
      </c>
      <c r="Z22" s="22" t="n">
        <v>4.5</v>
      </c>
      <c r="AA22" s="45">
        <f>IF(MAESTRO!F22="","",IFERROR(TRUNC(AVERAGE(R22:Z22),1),""))</f>
        <v/>
      </c>
      <c r="AB22" s="177" t="n">
        <v>3</v>
      </c>
      <c r="AC22" s="42" t="n">
        <v>4.8</v>
      </c>
      <c r="AD22" s="5">
        <f>IF(MAESTRO!F22="","",IFERROR(AVERAGE(AB22:AC22),""))</f>
        <v/>
      </c>
      <c r="AE22" s="44">
        <f>IF(MAESTRO!F22="","",IFERROR(TRUNC(AVERAGE(P22,AA22,AD22),1),""))</f>
        <v/>
      </c>
      <c r="AF22" s="177" t="n"/>
      <c r="AG22" s="177" t="n">
        <v>18</v>
      </c>
      <c r="AH22" s="177" t="n">
        <v>18</v>
      </c>
      <c r="AI22" s="177">
        <f>IF(MAESTRO!F22="","",MAESTRO!F22)</f>
        <v/>
      </c>
      <c r="AJ22" s="178" t="n"/>
      <c r="AK22" s="61" t="n">
        <v>3.4</v>
      </c>
      <c r="AL22" s="62" t="n">
        <v>4.4</v>
      </c>
      <c r="AM22" s="61" t="n">
        <v>3.8</v>
      </c>
      <c r="AN22" s="61" t="n">
        <v>3.3</v>
      </c>
      <c r="AO22" s="61" t="n">
        <v>3.8</v>
      </c>
      <c r="AP22" s="61" t="n">
        <v>4.2</v>
      </c>
      <c r="AQ22" s="61" t="n">
        <v>3.1</v>
      </c>
      <c r="AR22" s="61" t="n">
        <v>3.5</v>
      </c>
      <c r="AS22" s="61" t="n">
        <v>3.5</v>
      </c>
      <c r="AT22" s="61" t="n">
        <v>5</v>
      </c>
      <c r="AU22" s="61" t="n">
        <v>3.5</v>
      </c>
      <c r="AV22" s="61" t="n">
        <v>3.6</v>
      </c>
      <c r="AW22" s="5">
        <f>IF(MAESTRO!F22="","",IFERROR(TRUNC(AVERAGE(AK22:AV22),1),""))</f>
        <v/>
      </c>
      <c r="AX22" s="22" t="n">
        <v>4.4</v>
      </c>
      <c r="AY22" s="22" t="n">
        <v>3.2</v>
      </c>
      <c r="AZ22" s="22" t="n">
        <v>3.2</v>
      </c>
      <c r="BA22" s="22" t="n">
        <v>3.6</v>
      </c>
      <c r="BB22" s="22" t="n">
        <v>4.3</v>
      </c>
      <c r="BC22" s="22" t="n">
        <v>4.2</v>
      </c>
      <c r="BD22" s="22" t="n">
        <v>4.7</v>
      </c>
      <c r="BE22" s="22" t="n">
        <v>4.8</v>
      </c>
      <c r="BF22" s="22" t="n">
        <v>5</v>
      </c>
      <c r="BG22" s="52" t="n">
        <v>4.4</v>
      </c>
      <c r="BH22" s="5">
        <f>IF(MAESTRO!F22="","",IFERROR(TRUNC(AVERAGE(AX22:BG22),1),""))</f>
        <v/>
      </c>
      <c r="BI22" s="22" t="n">
        <v>3.9</v>
      </c>
      <c r="BJ22" s="22" t="n">
        <v>4.3</v>
      </c>
      <c r="BK22" s="22">
        <f>IF(MAESTRO!F22="","",IFERROR(AVERAGE(BI22,BJ22),""))</f>
        <v/>
      </c>
      <c r="BL22" s="5">
        <f>IF(MAESTRO!F22="","",IFERROR(TRUNC(AVERAGE(AW22,BH22,BK22),1),""))</f>
        <v/>
      </c>
      <c r="BM22" s="177" t="n"/>
      <c r="BN22" s="177" t="n">
        <v>18</v>
      </c>
      <c r="BO22" s="177" t="n">
        <v>18</v>
      </c>
      <c r="BP22" s="177">
        <f>IF(MAESTRO!F22="","",MAESTRO!F22)</f>
        <v/>
      </c>
      <c r="BQ22" s="178" t="n"/>
      <c r="BR22" s="5" t="n">
        <v>4.6</v>
      </c>
      <c r="BS22" s="5" t="n">
        <v>3.5</v>
      </c>
      <c r="BT22" s="5" t="n">
        <v>3.8</v>
      </c>
      <c r="BU22" s="5" t="n">
        <v>4.7</v>
      </c>
      <c r="BV22" s="5" t="n">
        <v>3.8</v>
      </c>
      <c r="BW22" s="5" t="n">
        <v>3.1</v>
      </c>
      <c r="BX22" s="5" t="n">
        <v>4.6</v>
      </c>
      <c r="BY22" s="5" t="n">
        <v>3.1</v>
      </c>
      <c r="BZ22" s="5" t="n">
        <v>4.6</v>
      </c>
      <c r="CA22" s="5" t="n">
        <v>4.1</v>
      </c>
      <c r="CB22" s="5" t="n">
        <v>4</v>
      </c>
      <c r="CC22" s="5" t="n">
        <v>4.7</v>
      </c>
      <c r="CD22" s="5" t="n">
        <v>4.4</v>
      </c>
      <c r="CE22" s="5">
        <f>IF(MAESTRO!F22="","",IFERROR(TRUNC(AVERAGE(BR22:CD22),1),""))</f>
        <v/>
      </c>
      <c r="CF22" s="5" t="n">
        <v>4.3</v>
      </c>
      <c r="CG22" s="5" t="n">
        <v>4.6</v>
      </c>
      <c r="CH22" s="5" t="n">
        <v>4.4</v>
      </c>
      <c r="CI22" s="5" t="n">
        <v>3.1</v>
      </c>
      <c r="CJ22" s="5" t="n">
        <v>3.5</v>
      </c>
      <c r="CK22" s="5" t="n">
        <v>4.2</v>
      </c>
      <c r="CL22" s="5" t="n">
        <v>3.6</v>
      </c>
      <c r="CM22" s="5" t="n">
        <v>3.3</v>
      </c>
      <c r="CN22" s="5" t="n">
        <v>3.9</v>
      </c>
      <c r="CO22" s="5" t="n">
        <v>3.5</v>
      </c>
      <c r="CP22" s="5">
        <f>IF(MAESTRO!F22="","",IFERROR(TRUNC(AVERAGE(CF22:CO22),1),""))</f>
        <v/>
      </c>
      <c r="CQ22" s="5" t="n">
        <v>4.8</v>
      </c>
      <c r="CR22" s="5" t="n">
        <v>3.1</v>
      </c>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v>3.7</v>
      </c>
      <c r="D23" s="5" t="n">
        <v>4.5</v>
      </c>
      <c r="E23" s="5" t="n">
        <v>4.9</v>
      </c>
      <c r="F23" s="5" t="n">
        <v>3.5</v>
      </c>
      <c r="G23" s="5" t="n">
        <v>3.8</v>
      </c>
      <c r="H23" s="5" t="n">
        <v>5</v>
      </c>
      <c r="I23" s="5" t="n">
        <v>3.9</v>
      </c>
      <c r="J23" s="5" t="n">
        <v>4.5</v>
      </c>
      <c r="K23" s="5" t="n">
        <v>4.3</v>
      </c>
      <c r="L23" s="5" t="n">
        <v>3</v>
      </c>
      <c r="M23" s="5" t="n">
        <v>3.7</v>
      </c>
      <c r="N23" s="5" t="n">
        <v>3.7</v>
      </c>
      <c r="O23" s="5" t="n">
        <v>4.5</v>
      </c>
      <c r="P23" s="5">
        <f>IF(MAESTRO!F23="","",IFERROR(TRUNC(AVERAGE(C23:O23),1),""))</f>
        <v/>
      </c>
      <c r="Q23" s="40" t="n">
        <v>19</v>
      </c>
      <c r="R23" s="22" t="n">
        <v>5</v>
      </c>
      <c r="S23" s="22" t="n">
        <v>4.1</v>
      </c>
      <c r="T23" s="22" t="n">
        <v>4.4</v>
      </c>
      <c r="U23" s="22" t="n">
        <v>3</v>
      </c>
      <c r="V23" s="22" t="n">
        <v>3.2</v>
      </c>
      <c r="W23" s="22" t="n">
        <v>4.4</v>
      </c>
      <c r="X23" s="22" t="n">
        <v>4.7</v>
      </c>
      <c r="Y23" s="22" t="n">
        <v>4.7</v>
      </c>
      <c r="Z23" s="22" t="n">
        <v>4.5</v>
      </c>
      <c r="AA23" s="45">
        <f>IF(MAESTRO!F23="","",IFERROR(TRUNC(AVERAGE(R23:Z23),1),""))</f>
        <v/>
      </c>
      <c r="AB23" s="177" t="n">
        <v>4.5</v>
      </c>
      <c r="AC23" s="42" t="n">
        <v>4.3</v>
      </c>
      <c r="AD23" s="5">
        <f>IF(MAESTRO!F23="","",IFERROR(AVERAGE(AB23:AC23),""))</f>
        <v/>
      </c>
      <c r="AE23" s="44">
        <f>IF(MAESTRO!F23="","",IFERROR(TRUNC(AVERAGE(P23,AA23,AD23),1),""))</f>
        <v/>
      </c>
      <c r="AF23" s="177" t="n"/>
      <c r="AG23" s="177" t="n">
        <v>19</v>
      </c>
      <c r="AH23" s="177" t="n">
        <v>19</v>
      </c>
      <c r="AI23" s="177">
        <f>IF(MAESTRO!F23="","",MAESTRO!F23)</f>
        <v/>
      </c>
      <c r="AJ23" s="178" t="n"/>
      <c r="AK23" s="62" t="n">
        <v>3.1</v>
      </c>
      <c r="AL23" s="61" t="n">
        <v>3.2</v>
      </c>
      <c r="AM23" s="61" t="n">
        <v>4.6</v>
      </c>
      <c r="AN23" s="61" t="n">
        <v>3.5</v>
      </c>
      <c r="AO23" s="61" t="n">
        <v>3.3</v>
      </c>
      <c r="AP23" s="61" t="n">
        <v>4</v>
      </c>
      <c r="AQ23" s="61" t="n">
        <v>4.2</v>
      </c>
      <c r="AR23" s="61" t="n">
        <v>4.4</v>
      </c>
      <c r="AS23" s="61" t="n">
        <v>4.4</v>
      </c>
      <c r="AT23" s="61" t="n">
        <v>4</v>
      </c>
      <c r="AU23" s="61" t="n">
        <v>3.8</v>
      </c>
      <c r="AV23" s="61" t="n">
        <v>3.5</v>
      </c>
      <c r="AW23" s="5">
        <f>IF(MAESTRO!F23="","",IFERROR(TRUNC(AVERAGE(AK23:AV23),1),""))</f>
        <v/>
      </c>
      <c r="AX23" s="22" t="n">
        <v>4.7</v>
      </c>
      <c r="AY23" s="22" t="n">
        <v>3.3</v>
      </c>
      <c r="AZ23" s="22" t="n">
        <v>4.3</v>
      </c>
      <c r="BA23" s="22" t="n">
        <v>4</v>
      </c>
      <c r="BB23" s="22" t="n">
        <v>3.1</v>
      </c>
      <c r="BC23" s="22" t="n">
        <v>3.2</v>
      </c>
      <c r="BD23" s="22" t="n">
        <v>4.5</v>
      </c>
      <c r="BE23" s="22" t="n">
        <v>4.9</v>
      </c>
      <c r="BF23" s="22" t="n">
        <v>4.3</v>
      </c>
      <c r="BG23" s="52" t="n">
        <v>4.1</v>
      </c>
      <c r="BH23" s="5">
        <f>IF(MAESTRO!F23="","",IFERROR(TRUNC(AVERAGE(AX23:BG23),1),""))</f>
        <v/>
      </c>
      <c r="BI23" s="22" t="n">
        <v>3.4</v>
      </c>
      <c r="BJ23" s="22" t="n">
        <v>5</v>
      </c>
      <c r="BK23" s="22">
        <f>IF(MAESTRO!F23="","",IFERROR(AVERAGE(BI23,BJ23),""))</f>
        <v/>
      </c>
      <c r="BL23" s="5">
        <f>IF(MAESTRO!F23="","",IFERROR(TRUNC(AVERAGE(AW23,BH23,BK23),1),""))</f>
        <v/>
      </c>
      <c r="BM23" s="177" t="n"/>
      <c r="BN23" s="177" t="n">
        <v>19</v>
      </c>
      <c r="BO23" s="177" t="n">
        <v>19</v>
      </c>
      <c r="BP23" s="177">
        <f>IF(MAESTRO!F23="","",MAESTRO!F23)</f>
        <v/>
      </c>
      <c r="BQ23" s="178" t="n"/>
      <c r="BR23" s="5" t="n">
        <v>3.1</v>
      </c>
      <c r="BS23" s="5" t="n">
        <v>3.6</v>
      </c>
      <c r="BT23" s="5" t="n">
        <v>4.8</v>
      </c>
      <c r="BU23" s="5" t="n">
        <v>3.3</v>
      </c>
      <c r="BV23" s="5" t="n">
        <v>3</v>
      </c>
      <c r="BW23" s="5" t="n">
        <v>3.2</v>
      </c>
      <c r="BX23" s="5" t="n">
        <v>4.9</v>
      </c>
      <c r="BY23" s="5" t="n">
        <v>4.7</v>
      </c>
      <c r="BZ23" s="5" t="n">
        <v>3.1</v>
      </c>
      <c r="CA23" s="5" t="n">
        <v>4.3</v>
      </c>
      <c r="CB23" s="5" t="n">
        <v>3.4</v>
      </c>
      <c r="CC23" s="5" t="n">
        <v>4.2</v>
      </c>
      <c r="CD23" s="5" t="n">
        <v>3.1</v>
      </c>
      <c r="CE23" s="5">
        <f>IF(MAESTRO!F23="","",IFERROR(TRUNC(AVERAGE(BR23:CD23),1),""))</f>
        <v/>
      </c>
      <c r="CF23" s="5" t="n">
        <v>4.1</v>
      </c>
      <c r="CG23" s="5" t="n">
        <v>4.1</v>
      </c>
      <c r="CH23" s="5" t="n">
        <v>4.7</v>
      </c>
      <c r="CI23" s="5" t="n">
        <v>4.6</v>
      </c>
      <c r="CJ23" s="5" t="n">
        <v>4.7</v>
      </c>
      <c r="CK23" s="5" t="n">
        <v>4.3</v>
      </c>
      <c r="CL23" s="5" t="n">
        <v>3.3</v>
      </c>
      <c r="CM23" s="5" t="n">
        <v>4.7</v>
      </c>
      <c r="CN23" s="5" t="n">
        <v>4</v>
      </c>
      <c r="CO23" s="5" t="n">
        <v>4.8</v>
      </c>
      <c r="CP23" s="5">
        <f>IF(MAESTRO!F23="","",IFERROR(TRUNC(AVERAGE(CF23:CO23),1),""))</f>
        <v/>
      </c>
      <c r="CQ23" s="5" t="n">
        <v>3.9</v>
      </c>
      <c r="CR23" s="5" t="n">
        <v>4.5</v>
      </c>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v>3.9</v>
      </c>
      <c r="D24" s="5" t="n">
        <v>3.5</v>
      </c>
      <c r="E24" s="5" t="n">
        <v>3.8</v>
      </c>
      <c r="F24" s="5" t="n">
        <v>4</v>
      </c>
      <c r="G24" s="5" t="n">
        <v>4.2</v>
      </c>
      <c r="H24" s="5" t="n">
        <v>4</v>
      </c>
      <c r="I24" s="5" t="n">
        <v>4.4</v>
      </c>
      <c r="J24" s="5" t="n">
        <v>4.1</v>
      </c>
      <c r="K24" s="5" t="n">
        <v>3.3</v>
      </c>
      <c r="L24" s="5" t="n">
        <v>3</v>
      </c>
      <c r="M24" s="5" t="n">
        <v>4.4</v>
      </c>
      <c r="N24" s="5" t="n">
        <v>4.3</v>
      </c>
      <c r="O24" s="5" t="n">
        <v>3.8</v>
      </c>
      <c r="P24" s="5">
        <f>IF(MAESTRO!F24="","",IFERROR(TRUNC(AVERAGE(C24:O24),1),""))</f>
        <v/>
      </c>
      <c r="Q24" s="40" t="n">
        <v>20</v>
      </c>
      <c r="R24" s="22" t="n">
        <v>3.7</v>
      </c>
      <c r="S24" s="22" t="n">
        <v>3.3</v>
      </c>
      <c r="T24" s="22" t="n">
        <v>3.1</v>
      </c>
      <c r="U24" s="22" t="n">
        <v>3.8</v>
      </c>
      <c r="V24" s="22" t="n">
        <v>3.2</v>
      </c>
      <c r="W24" s="22" t="n">
        <v>3.1</v>
      </c>
      <c r="X24" s="22" t="n">
        <v>3.8</v>
      </c>
      <c r="Y24" s="22" t="n">
        <v>4.5</v>
      </c>
      <c r="Z24" s="22" t="n">
        <v>4.1</v>
      </c>
      <c r="AA24" s="45">
        <f>IF(MAESTRO!F24="","",IFERROR(TRUNC(AVERAGE(R24:Z24),1),""))</f>
        <v/>
      </c>
      <c r="AB24" s="177" t="n">
        <v>3.6</v>
      </c>
      <c r="AC24" s="42" t="n">
        <v>3.8</v>
      </c>
      <c r="AD24" s="5">
        <f>IF(MAESTRO!F24="","",IFERROR(AVERAGE(AB24:AC24),""))</f>
        <v/>
      </c>
      <c r="AE24" s="44">
        <f>IF(MAESTRO!F24="","",IFERROR(TRUNC(AVERAGE(P24,AA24,AD24),1),""))</f>
        <v/>
      </c>
      <c r="AF24" s="177" t="n"/>
      <c r="AG24" s="177" t="n">
        <v>20</v>
      </c>
      <c r="AH24" s="177" t="n">
        <v>20</v>
      </c>
      <c r="AI24" s="177">
        <f>IF(MAESTRO!F24="","",MAESTRO!F24)</f>
        <v/>
      </c>
      <c r="AJ24" s="178" t="n"/>
      <c r="AK24" s="61" t="n">
        <v>3.2</v>
      </c>
      <c r="AL24" s="61" t="n">
        <v>3.8</v>
      </c>
      <c r="AM24" s="61" t="n">
        <v>3.2</v>
      </c>
      <c r="AN24" s="61" t="n">
        <v>3.3</v>
      </c>
      <c r="AO24" s="61" t="n">
        <v>3.4</v>
      </c>
      <c r="AP24" s="61" t="n">
        <v>4.5</v>
      </c>
      <c r="AQ24" s="61" t="n">
        <v>4.2</v>
      </c>
      <c r="AR24" s="61" t="n">
        <v>3.3</v>
      </c>
      <c r="AS24" s="61" t="n">
        <v>4.7</v>
      </c>
      <c r="AT24" s="61" t="n">
        <v>3.6</v>
      </c>
      <c r="AU24" s="61" t="n">
        <v>3.9</v>
      </c>
      <c r="AV24" s="61" t="n">
        <v>3.2</v>
      </c>
      <c r="AW24" s="5">
        <f>IF(MAESTRO!F24="","",IFERROR(TRUNC(AVERAGE(AK24:AV24),1),""))</f>
        <v/>
      </c>
      <c r="AX24" s="22" t="n">
        <v>4.6</v>
      </c>
      <c r="AY24" s="22" t="n">
        <v>4.3</v>
      </c>
      <c r="AZ24" s="22" t="n">
        <v>3.4</v>
      </c>
      <c r="BA24" s="22" t="n">
        <v>3.2</v>
      </c>
      <c r="BB24" s="22" t="n">
        <v>4.9</v>
      </c>
      <c r="BC24" s="22" t="n">
        <v>4.2</v>
      </c>
      <c r="BD24" s="22" t="n">
        <v>4.2</v>
      </c>
      <c r="BE24" s="22" t="n">
        <v>3.1</v>
      </c>
      <c r="BF24" s="22" t="n">
        <v>4.1</v>
      </c>
      <c r="BG24" s="52" t="n">
        <v>3.5</v>
      </c>
      <c r="BH24" s="5">
        <f>IF(MAESTRO!F24="","",IFERROR(TRUNC(AVERAGE(AX24:BG24),1),""))</f>
        <v/>
      </c>
      <c r="BI24" s="22" t="n">
        <v>4.8</v>
      </c>
      <c r="BJ24" s="22" t="n">
        <v>3.1</v>
      </c>
      <c r="BK24" s="22">
        <f>IF(MAESTRO!F24="","",IFERROR(AVERAGE(BI24,BJ24),""))</f>
        <v/>
      </c>
      <c r="BL24" s="5">
        <f>IF(MAESTRO!F24="","",IFERROR(TRUNC(AVERAGE(AW24,BH24,BK24),1),""))</f>
        <v/>
      </c>
      <c r="BM24" s="177" t="n"/>
      <c r="BN24" s="177" t="n">
        <v>20</v>
      </c>
      <c r="BO24" s="177" t="n">
        <v>20</v>
      </c>
      <c r="BP24" s="177">
        <f>IF(MAESTRO!F24="","",MAESTRO!F24)</f>
        <v/>
      </c>
      <c r="BQ24" s="178" t="n"/>
      <c r="BR24" s="5" t="n">
        <v>4.3</v>
      </c>
      <c r="BS24" s="5" t="n">
        <v>3.7</v>
      </c>
      <c r="BT24" s="5" t="n">
        <v>3.2</v>
      </c>
      <c r="BU24" s="5" t="n">
        <v>4.1</v>
      </c>
      <c r="BV24" s="5" t="n">
        <v>3.1</v>
      </c>
      <c r="BW24" s="5" t="n">
        <v>3.2</v>
      </c>
      <c r="BX24" s="5" t="n">
        <v>4.5</v>
      </c>
      <c r="BY24" s="5" t="n">
        <v>4.4</v>
      </c>
      <c r="BZ24" s="5" t="n">
        <v>4.8</v>
      </c>
      <c r="CA24" s="5" t="n">
        <v>3.7</v>
      </c>
      <c r="CB24" s="5" t="n">
        <v>3.5</v>
      </c>
      <c r="CC24" s="5" t="n">
        <v>4.5</v>
      </c>
      <c r="CD24" s="5" t="n">
        <v>4.8</v>
      </c>
      <c r="CE24" s="5">
        <f>IF(MAESTRO!F24="","",IFERROR(TRUNC(AVERAGE(BR24:CD24),1),""))</f>
        <v/>
      </c>
      <c r="CF24" s="5" t="n">
        <v>4</v>
      </c>
      <c r="CG24" s="5" t="n">
        <v>4.5</v>
      </c>
      <c r="CH24" s="5" t="n">
        <v>3.6</v>
      </c>
      <c r="CI24" s="5" t="n">
        <v>4</v>
      </c>
      <c r="CJ24" s="5" t="n">
        <v>4</v>
      </c>
      <c r="CK24" s="5" t="n">
        <v>4.3</v>
      </c>
      <c r="CL24" s="5" t="n">
        <v>3.2</v>
      </c>
      <c r="CM24" s="5" t="n">
        <v>3.1</v>
      </c>
      <c r="CN24" s="5" t="n">
        <v>3.3</v>
      </c>
      <c r="CO24" s="5" t="n">
        <v>3.8</v>
      </c>
      <c r="CP24" s="5">
        <f>IF(MAESTRO!F24="","",IFERROR(TRUNC(AVERAGE(CF24:CO24),1),""))</f>
        <v/>
      </c>
      <c r="CQ24" s="5" t="n">
        <v>3.3</v>
      </c>
      <c r="CR24" s="5" t="n">
        <v>3.5</v>
      </c>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v>3.2</v>
      </c>
      <c r="D25" s="5" t="n">
        <v>3.7</v>
      </c>
      <c r="E25" s="5" t="n">
        <v>3.6</v>
      </c>
      <c r="F25" s="5" t="n">
        <v>4.5</v>
      </c>
      <c r="G25" s="5" t="n">
        <v>4.7</v>
      </c>
      <c r="H25" s="5" t="n">
        <v>3.9</v>
      </c>
      <c r="I25" s="5" t="n">
        <v>3.3</v>
      </c>
      <c r="J25" s="5" t="n">
        <v>4.5</v>
      </c>
      <c r="K25" s="5" t="n">
        <v>3.9</v>
      </c>
      <c r="L25" s="5" t="n">
        <v>3.2</v>
      </c>
      <c r="M25" s="5" t="n">
        <v>3.7</v>
      </c>
      <c r="N25" s="5" t="n">
        <v>3.9</v>
      </c>
      <c r="O25" s="5" t="n">
        <v>3.4</v>
      </c>
      <c r="P25" s="5">
        <f>IF(MAESTRO!F25="","",IFERROR(TRUNC(AVERAGE(C25:O25),1),""))</f>
        <v/>
      </c>
      <c r="Q25" s="40" t="n">
        <v>21</v>
      </c>
      <c r="R25" s="22" t="n">
        <v>3.6</v>
      </c>
      <c r="S25" s="22" t="n">
        <v>3.1</v>
      </c>
      <c r="T25" s="22" t="n">
        <v>3.9</v>
      </c>
      <c r="U25" s="22" t="n">
        <v>3.2</v>
      </c>
      <c r="V25" s="22" t="n">
        <v>4.5</v>
      </c>
      <c r="W25" s="22" t="n">
        <v>4.7</v>
      </c>
      <c r="X25" s="22" t="n">
        <v>4.8</v>
      </c>
      <c r="Y25" s="22" t="n">
        <v>4.4</v>
      </c>
      <c r="Z25" s="22" t="n">
        <v>4.8</v>
      </c>
      <c r="AA25" s="45">
        <f>IF(MAESTRO!F25="","",IFERROR(TRUNC(AVERAGE(R25:Z25),1),""))</f>
        <v/>
      </c>
      <c r="AB25" s="177" t="n">
        <v>5</v>
      </c>
      <c r="AC25" s="42" t="n">
        <v>3.8</v>
      </c>
      <c r="AD25" s="5">
        <f>IF(MAESTRO!F25="","",IFERROR(AVERAGE(AB25:AC25),""))</f>
        <v/>
      </c>
      <c r="AE25" s="44">
        <f>IF(MAESTRO!F25="","",IFERROR(TRUNC(AVERAGE(P25,AA25,AD25),1),""))</f>
        <v/>
      </c>
      <c r="AF25" s="177" t="n"/>
      <c r="AG25" s="177" t="n">
        <v>21</v>
      </c>
      <c r="AH25" s="177" t="n">
        <v>21</v>
      </c>
      <c r="AI25" s="177">
        <f>IF(MAESTRO!F25="","",MAESTRO!F25)</f>
        <v/>
      </c>
      <c r="AJ25" s="178" t="n"/>
      <c r="AK25" s="61" t="n">
        <v>3.7</v>
      </c>
      <c r="AL25" s="61" t="n">
        <v>3.8</v>
      </c>
      <c r="AM25" s="61" t="n">
        <v>3.2</v>
      </c>
      <c r="AN25" s="61" t="n">
        <v>4.1</v>
      </c>
      <c r="AO25" s="61" t="n">
        <v>4</v>
      </c>
      <c r="AP25" s="61" t="n">
        <v>4.7</v>
      </c>
      <c r="AQ25" s="61" t="n">
        <v>3.7</v>
      </c>
      <c r="AR25" s="61" t="n">
        <v>4.8</v>
      </c>
      <c r="AS25" s="61" t="n">
        <v>4.2</v>
      </c>
      <c r="AT25" s="61" t="n">
        <v>3.5</v>
      </c>
      <c r="AU25" s="61" t="n">
        <v>5</v>
      </c>
      <c r="AV25" s="61" t="n">
        <v>4.6</v>
      </c>
      <c r="AW25" s="5">
        <f>IF(MAESTRO!F25="","",IFERROR(TRUNC(AVERAGE(AK25:AV25),1),""))</f>
        <v/>
      </c>
      <c r="AX25" s="22" t="n">
        <v>4.5</v>
      </c>
      <c r="AY25" s="92" t="n">
        <v>4</v>
      </c>
      <c r="AZ25" s="22" t="n">
        <v>3.1</v>
      </c>
      <c r="BA25" s="22" t="n">
        <v>3.3</v>
      </c>
      <c r="BB25" s="22" t="n">
        <v>3.9</v>
      </c>
      <c r="BC25" s="22" t="n">
        <v>3.4</v>
      </c>
      <c r="BD25" s="22" t="n">
        <v>3.8</v>
      </c>
      <c r="BE25" s="22" t="n">
        <v>3.2</v>
      </c>
      <c r="BF25" s="22" t="n">
        <v>3.3</v>
      </c>
      <c r="BG25" s="52" t="n">
        <v>4.8</v>
      </c>
      <c r="BH25" s="5">
        <f>IF(MAESTRO!F25="","",IFERROR(TRUNC(AVERAGE(AX25:BG25),1),""))</f>
        <v/>
      </c>
      <c r="BI25" s="22" t="n">
        <v>4.5</v>
      </c>
      <c r="BJ25" s="22" t="n">
        <v>3.4</v>
      </c>
      <c r="BK25" s="22">
        <f>IF(MAESTRO!F25="","",IFERROR(AVERAGE(BI25,BJ25),""))</f>
        <v/>
      </c>
      <c r="BL25" s="5">
        <f>IF(MAESTRO!F25="","",IFERROR(TRUNC(AVERAGE(AW25,BH25,BK25),1),""))</f>
        <v/>
      </c>
      <c r="BM25" s="177" t="n"/>
      <c r="BN25" s="177" t="n">
        <v>21</v>
      </c>
      <c r="BO25" s="177" t="n">
        <v>21</v>
      </c>
      <c r="BP25" s="177">
        <f>IF(MAESTRO!F25="","",MAESTRO!F25)</f>
        <v/>
      </c>
      <c r="BQ25" s="178" t="n"/>
      <c r="BR25" s="5" t="n">
        <v>3.6</v>
      </c>
      <c r="BS25" s="5" t="n">
        <v>4.8</v>
      </c>
      <c r="BT25" s="5" t="n">
        <v>4.6</v>
      </c>
      <c r="BU25" s="5" t="n">
        <v>4.8</v>
      </c>
      <c r="BV25" s="5" t="n">
        <v>4.9</v>
      </c>
      <c r="BW25" s="5" t="n">
        <v>3.8</v>
      </c>
      <c r="BX25" s="5" t="n">
        <v>3</v>
      </c>
      <c r="BY25" s="5" t="n">
        <v>4</v>
      </c>
      <c r="BZ25" s="5" t="n">
        <v>4.7</v>
      </c>
      <c r="CA25" s="5" t="n">
        <v>3.2</v>
      </c>
      <c r="CB25" s="5" t="n">
        <v>4.8</v>
      </c>
      <c r="CC25" s="5" t="n">
        <v>3.5</v>
      </c>
      <c r="CD25" s="5" t="n">
        <v>4.5</v>
      </c>
      <c r="CE25" s="5">
        <f>IF(MAESTRO!F25="","",IFERROR(TRUNC(AVERAGE(BR25:CD25),1),""))</f>
        <v/>
      </c>
      <c r="CF25" s="5" t="n">
        <v>3.5</v>
      </c>
      <c r="CG25" s="5" t="n">
        <v>3.1</v>
      </c>
      <c r="CH25" s="5" t="n">
        <v>3</v>
      </c>
      <c r="CI25" s="5" t="n">
        <v>4.7</v>
      </c>
      <c r="CJ25" s="5" t="n">
        <v>3.3</v>
      </c>
      <c r="CK25" s="5" t="n">
        <v>3.6</v>
      </c>
      <c r="CL25" s="5" t="n">
        <v>3.3</v>
      </c>
      <c r="CM25" s="5" t="n">
        <v>3.5</v>
      </c>
      <c r="CN25" s="5" t="n">
        <v>3.8</v>
      </c>
      <c r="CO25" s="5" t="n">
        <v>3.6</v>
      </c>
      <c r="CP25" s="5">
        <f>IF(MAESTRO!F25="","",IFERROR(TRUNC(AVERAGE(CF25:CO25),1),""))</f>
        <v/>
      </c>
      <c r="CQ25" s="5" t="n">
        <v>3.6</v>
      </c>
      <c r="CR25" s="5" t="n">
        <v>4.3</v>
      </c>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v>3.6</v>
      </c>
      <c r="D26" s="5" t="n">
        <v>3.5</v>
      </c>
      <c r="E26" s="5" t="n">
        <v>4.9</v>
      </c>
      <c r="F26" s="5" t="n">
        <v>3.5</v>
      </c>
      <c r="G26" s="5" t="n">
        <v>4.7</v>
      </c>
      <c r="H26" s="5" t="n">
        <v>4.4</v>
      </c>
      <c r="I26" s="5" t="n">
        <v>4.6</v>
      </c>
      <c r="J26" s="5" t="n">
        <v>3.2</v>
      </c>
      <c r="K26" s="5" t="n">
        <v>3.5</v>
      </c>
      <c r="L26" s="5" t="n">
        <v>4.9</v>
      </c>
      <c r="M26" s="5" t="n">
        <v>4.1</v>
      </c>
      <c r="N26" s="5" t="n">
        <v>4.4</v>
      </c>
      <c r="O26" s="5" t="n">
        <v>4.2</v>
      </c>
      <c r="P26" s="5">
        <f>IF(MAESTRO!F26="","",IFERROR(TRUNC(AVERAGE(C26:O26),1),""))</f>
        <v/>
      </c>
      <c r="Q26" s="40" t="n">
        <v>22</v>
      </c>
      <c r="R26" s="22" t="n">
        <v>3.1</v>
      </c>
      <c r="S26" s="22" t="n">
        <v>4.2</v>
      </c>
      <c r="T26" s="22" t="n">
        <v>3.5</v>
      </c>
      <c r="U26" s="22" t="n">
        <v>4.3</v>
      </c>
      <c r="V26" s="22" t="n">
        <v>4.6</v>
      </c>
      <c r="W26" s="22" t="n">
        <v>3.1</v>
      </c>
      <c r="X26" s="22" t="n">
        <v>4.5</v>
      </c>
      <c r="Y26" s="22" t="n">
        <v>4.8</v>
      </c>
      <c r="Z26" s="22" t="n">
        <v>3.3</v>
      </c>
      <c r="AA26" s="45">
        <f>IF(MAESTRO!F26="","",IFERROR(TRUNC(AVERAGE(R26:Z26),1),""))</f>
        <v/>
      </c>
      <c r="AB26" s="177" t="n">
        <v>3</v>
      </c>
      <c r="AC26" s="42" t="n">
        <v>4.8</v>
      </c>
      <c r="AD26" s="5">
        <f>IF(MAESTRO!F26="","",IFERROR(AVERAGE(AB26:AC26),""))</f>
        <v/>
      </c>
      <c r="AE26" s="44">
        <f>IF(MAESTRO!F26="","",IFERROR(TRUNC(AVERAGE(P26,AA26,AD26),1),""))</f>
        <v/>
      </c>
      <c r="AF26" s="177" t="n"/>
      <c r="AG26" s="177" t="n">
        <v>22</v>
      </c>
      <c r="AH26" s="177" t="n">
        <v>22</v>
      </c>
      <c r="AI26" s="177">
        <f>IF(MAESTRO!F26="","",MAESTRO!F26)</f>
        <v/>
      </c>
      <c r="AJ26" s="178" t="n"/>
      <c r="AK26" s="61" t="n">
        <v>4</v>
      </c>
      <c r="AL26" s="61" t="n">
        <v>4.4</v>
      </c>
      <c r="AM26" s="61" t="n">
        <v>3.1</v>
      </c>
      <c r="AN26" s="61" t="n">
        <v>3.7</v>
      </c>
      <c r="AO26" s="61" t="n">
        <v>3.5</v>
      </c>
      <c r="AP26" s="61" t="n">
        <v>4</v>
      </c>
      <c r="AQ26" s="61" t="n">
        <v>4.5</v>
      </c>
      <c r="AR26" s="61" t="n">
        <v>4.8</v>
      </c>
      <c r="AS26" s="61" t="n">
        <v>4.4</v>
      </c>
      <c r="AT26" s="61" t="n">
        <v>4.5</v>
      </c>
      <c r="AU26" s="61" t="n">
        <v>5</v>
      </c>
      <c r="AV26" s="61" t="n">
        <v>3.1</v>
      </c>
      <c r="AW26" s="5">
        <f>IF(MAESTRO!F26="","",IFERROR(TRUNC(AVERAGE(AK26:AV26),1),""))</f>
        <v/>
      </c>
      <c r="AX26" s="22" t="n">
        <v>4.5</v>
      </c>
      <c r="AY26" s="92" t="n">
        <v>3.7</v>
      </c>
      <c r="AZ26" s="22" t="n">
        <v>4.9</v>
      </c>
      <c r="BA26" s="22" t="n">
        <v>3.5</v>
      </c>
      <c r="BB26" s="22" t="n">
        <v>3.2</v>
      </c>
      <c r="BC26" s="22" t="n">
        <v>3.1</v>
      </c>
      <c r="BD26" s="22" t="n">
        <v>4.1</v>
      </c>
      <c r="BE26" s="22" t="n">
        <v>3.6</v>
      </c>
      <c r="BF26" s="22" t="n">
        <v>4.1</v>
      </c>
      <c r="BG26" s="52" t="n">
        <v>3.3</v>
      </c>
      <c r="BH26" s="5">
        <f>IF(MAESTRO!F26="","",IFERROR(TRUNC(AVERAGE(AX26:BG26),1),""))</f>
        <v/>
      </c>
      <c r="BI26" s="22" t="n">
        <v>4.6</v>
      </c>
      <c r="BJ26" s="22" t="n">
        <v>4.5</v>
      </c>
      <c r="BK26" s="22">
        <f>IF(MAESTRO!F26="","",IFERROR(AVERAGE(BI26,BJ26),""))</f>
        <v/>
      </c>
      <c r="BL26" s="5">
        <f>IF(MAESTRO!F26="","",IFERROR(TRUNC(AVERAGE(AW26,BH26,BK26),1),""))</f>
        <v/>
      </c>
      <c r="BM26" s="177" t="n"/>
      <c r="BN26" s="177" t="n">
        <v>22</v>
      </c>
      <c r="BO26" s="177" t="n">
        <v>22</v>
      </c>
      <c r="BP26" s="177">
        <f>IF(MAESTRO!F26="","",MAESTRO!F26)</f>
        <v/>
      </c>
      <c r="BQ26" s="178" t="n"/>
      <c r="BR26" s="5" t="n">
        <v>3.7</v>
      </c>
      <c r="BS26" s="5" t="n">
        <v>4.8</v>
      </c>
      <c r="BT26" s="5" t="n">
        <v>4.7</v>
      </c>
      <c r="BU26" s="5" t="n">
        <v>4.3</v>
      </c>
      <c r="BV26" s="5" t="n">
        <v>3</v>
      </c>
      <c r="BW26" s="5" t="n">
        <v>3.9</v>
      </c>
      <c r="BX26" s="5" t="n">
        <v>4.9</v>
      </c>
      <c r="BY26" s="5" t="n">
        <v>4.3</v>
      </c>
      <c r="BZ26" s="5" t="n">
        <v>4.7</v>
      </c>
      <c r="CA26" s="5" t="n">
        <v>3.9</v>
      </c>
      <c r="CB26" s="5" t="n">
        <v>4.9</v>
      </c>
      <c r="CC26" s="5" t="n">
        <v>3.9</v>
      </c>
      <c r="CD26" s="5" t="n">
        <v>4.9</v>
      </c>
      <c r="CE26" s="5">
        <f>IF(MAESTRO!F26="","",IFERROR(TRUNC(AVERAGE(BR26:CD26),1),""))</f>
        <v/>
      </c>
      <c r="CF26" s="5" t="n">
        <v>4.9</v>
      </c>
      <c r="CG26" s="5" t="n">
        <v>4.4</v>
      </c>
      <c r="CH26" s="5" t="n">
        <v>4.8</v>
      </c>
      <c r="CI26" s="5" t="n">
        <v>4.9</v>
      </c>
      <c r="CJ26" s="5" t="n">
        <v>4.5</v>
      </c>
      <c r="CK26" s="5" t="n">
        <v>4.2</v>
      </c>
      <c r="CL26" s="5" t="n">
        <v>4.7</v>
      </c>
      <c r="CM26" s="5" t="n">
        <v>3</v>
      </c>
      <c r="CN26" s="5" t="n">
        <v>3.5</v>
      </c>
      <c r="CO26" s="5" t="n">
        <v>4.8</v>
      </c>
      <c r="CP26" s="5">
        <f>IF(MAESTRO!F26="","",IFERROR(TRUNC(AVERAGE(CF26:CO26),1),""))</f>
        <v/>
      </c>
      <c r="CQ26" s="5" t="n">
        <v>3.8</v>
      </c>
      <c r="CR26" s="5" t="n">
        <v>4</v>
      </c>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v>4.2</v>
      </c>
      <c r="D27" s="5" t="n">
        <v>3.6</v>
      </c>
      <c r="E27" s="5" t="n">
        <v>3.5</v>
      </c>
      <c r="F27" s="5" t="n">
        <v>4.3</v>
      </c>
      <c r="G27" s="5" t="n">
        <v>4.7</v>
      </c>
      <c r="H27" s="5" t="n">
        <v>3.7</v>
      </c>
      <c r="I27" s="5" t="n">
        <v>4.5</v>
      </c>
      <c r="J27" s="5" t="n">
        <v>4.9</v>
      </c>
      <c r="K27" s="5" t="n">
        <v>4</v>
      </c>
      <c r="L27" s="5" t="n">
        <v>3.2</v>
      </c>
      <c r="M27" s="5" t="n">
        <v>4.2</v>
      </c>
      <c r="N27" s="5" t="n">
        <v>3.1</v>
      </c>
      <c r="O27" s="5" t="n">
        <v>4.7</v>
      </c>
      <c r="P27" s="5">
        <f>IF(MAESTRO!F27="","",IFERROR(TRUNC(AVERAGE(C27:O27),1),""))</f>
        <v/>
      </c>
      <c r="Q27" s="40" t="n">
        <v>23</v>
      </c>
      <c r="R27" s="22" t="n">
        <v>3.9</v>
      </c>
      <c r="S27" s="22" t="n">
        <v>3.5</v>
      </c>
      <c r="T27" s="22" t="n">
        <v>4.9</v>
      </c>
      <c r="U27" s="22" t="n">
        <v>5</v>
      </c>
      <c r="V27" s="22" t="n">
        <v>3.7</v>
      </c>
      <c r="W27" s="22" t="n">
        <v>4.7</v>
      </c>
      <c r="X27" s="22" t="n">
        <v>3.4</v>
      </c>
      <c r="Y27" s="22" t="n">
        <v>4.1</v>
      </c>
      <c r="Z27" s="22" t="n">
        <v>4.4</v>
      </c>
      <c r="AA27" s="45">
        <f>IF(MAESTRO!F27="","",IFERROR(TRUNC(AVERAGE(R27:Z27),1),""))</f>
        <v/>
      </c>
      <c r="AB27" s="177" t="n">
        <v>4.5</v>
      </c>
      <c r="AC27" s="42" t="n">
        <v>4.1</v>
      </c>
      <c r="AD27" s="5">
        <f>IF(MAESTRO!F27="","",IFERROR(AVERAGE(AB27:AC27),""))</f>
        <v/>
      </c>
      <c r="AE27" s="44">
        <f>IF(MAESTRO!F27="","",IFERROR(TRUNC(AVERAGE(P27,AA27,AD27),1),""))</f>
        <v/>
      </c>
      <c r="AF27" s="177" t="n"/>
      <c r="AG27" s="177" t="n">
        <v>23</v>
      </c>
      <c r="AH27" s="177" t="n">
        <v>23</v>
      </c>
      <c r="AI27" s="177">
        <f>IF(MAESTRO!F27="","",MAESTRO!F27)</f>
        <v/>
      </c>
      <c r="AJ27" s="178" t="n"/>
      <c r="AK27" s="61" t="n">
        <v>4.6</v>
      </c>
      <c r="AL27" s="61" t="n">
        <v>4.3</v>
      </c>
      <c r="AM27" s="61" t="n">
        <v>3.3</v>
      </c>
      <c r="AN27" s="61" t="n">
        <v>3.4</v>
      </c>
      <c r="AO27" s="61" t="n">
        <v>3.9</v>
      </c>
      <c r="AP27" s="61" t="n">
        <v>4.2</v>
      </c>
      <c r="AQ27" s="61" t="n">
        <v>3.5</v>
      </c>
      <c r="AR27" s="61" t="n">
        <v>4.2</v>
      </c>
      <c r="AS27" s="61" t="n">
        <v>3.4</v>
      </c>
      <c r="AT27" s="61" t="n">
        <v>4.2</v>
      </c>
      <c r="AU27" s="61" t="n">
        <v>4.6</v>
      </c>
      <c r="AV27" s="61" t="n">
        <v>4.2</v>
      </c>
      <c r="AW27" s="5">
        <f>IF(MAESTRO!F27="","",IFERROR(TRUNC(AVERAGE(AK27:AV27),1),""))</f>
        <v/>
      </c>
      <c r="AX27" s="22" t="n">
        <v>3.6</v>
      </c>
      <c r="AY27" s="92" t="n">
        <v>3</v>
      </c>
      <c r="AZ27" s="22" t="n">
        <v>3.6</v>
      </c>
      <c r="BA27" s="22" t="n">
        <v>4.9</v>
      </c>
      <c r="BB27" s="22" t="n">
        <v>3.5</v>
      </c>
      <c r="BC27" s="22" t="n">
        <v>4.8</v>
      </c>
      <c r="BD27" s="22" t="n">
        <v>3.5</v>
      </c>
      <c r="BE27" s="22" t="n">
        <v>4.2</v>
      </c>
      <c r="BF27" s="22" t="n">
        <v>4.2</v>
      </c>
      <c r="BG27" s="52" t="n">
        <v>4.8</v>
      </c>
      <c r="BH27" s="5">
        <f>IF(MAESTRO!F27="","",IFERROR(TRUNC(AVERAGE(AX27:BG27),1),""))</f>
        <v/>
      </c>
      <c r="BI27" s="22" t="n">
        <v>3.2</v>
      </c>
      <c r="BJ27" s="22" t="n">
        <v>3.2</v>
      </c>
      <c r="BK27" s="22">
        <f>IF(MAESTRO!F27="","",IFERROR(AVERAGE(BI27,BJ27),""))</f>
        <v/>
      </c>
      <c r="BL27" s="5">
        <f>IF(MAESTRO!F27="","",IFERROR(TRUNC(AVERAGE(AW27,BH27,BK27),1),""))</f>
        <v/>
      </c>
      <c r="BM27" s="177" t="n"/>
      <c r="BN27" s="177" t="n">
        <v>23</v>
      </c>
      <c r="BO27" s="177" t="n">
        <v>23</v>
      </c>
      <c r="BP27" s="177">
        <f>IF(MAESTRO!F27="","",MAESTRO!F27)</f>
        <v/>
      </c>
      <c r="BQ27" s="178" t="n"/>
      <c r="BR27" s="5" t="n">
        <v>4.4</v>
      </c>
      <c r="BS27" s="5" t="n">
        <v>3.7</v>
      </c>
      <c r="BT27" s="5" t="n">
        <v>3</v>
      </c>
      <c r="BU27" s="5" t="n">
        <v>4.5</v>
      </c>
      <c r="BV27" s="5" t="n">
        <v>3.4</v>
      </c>
      <c r="BW27" s="5" t="n">
        <v>3.6</v>
      </c>
      <c r="BX27" s="5" t="n">
        <v>3.9</v>
      </c>
      <c r="BY27" s="5" t="n">
        <v>3.3</v>
      </c>
      <c r="BZ27" s="5" t="n">
        <v>3.2</v>
      </c>
      <c r="CA27" s="5" t="n">
        <v>4.3</v>
      </c>
      <c r="CB27" s="5" t="n">
        <v>4.9</v>
      </c>
      <c r="CC27" s="5" t="n">
        <v>4.8</v>
      </c>
      <c r="CD27" s="5" t="n">
        <v>4.5</v>
      </c>
      <c r="CE27" s="5">
        <f>IF(MAESTRO!F27="","",IFERROR(TRUNC(AVERAGE(BR27:CD27),1),""))</f>
        <v/>
      </c>
      <c r="CF27" s="5" t="n">
        <v>4.1</v>
      </c>
      <c r="CG27" s="5" t="n">
        <v>3.7</v>
      </c>
      <c r="CH27" s="5" t="n">
        <v>4.8</v>
      </c>
      <c r="CI27" s="5" t="n">
        <v>4.4</v>
      </c>
      <c r="CJ27" s="5" t="n">
        <v>4.4</v>
      </c>
      <c r="CK27" s="5" t="n">
        <v>4.7</v>
      </c>
      <c r="CL27" s="5" t="n">
        <v>3.8</v>
      </c>
      <c r="CM27" s="5" t="n">
        <v>3.7</v>
      </c>
      <c r="CN27" s="5" t="n">
        <v>3.8</v>
      </c>
      <c r="CO27" s="5" t="n">
        <v>4.8</v>
      </c>
      <c r="CP27" s="5">
        <f>IF(MAESTRO!F27="","",IFERROR(TRUNC(AVERAGE(CF27:CO27),1),""))</f>
        <v/>
      </c>
      <c r="CQ27" s="5" t="n">
        <v>3.1</v>
      </c>
      <c r="CR27" s="5" t="n">
        <v>4.5</v>
      </c>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v>4</v>
      </c>
      <c r="D28" s="5" t="n">
        <v>4.5</v>
      </c>
      <c r="E28" s="5" t="n">
        <v>3.8</v>
      </c>
      <c r="F28" s="5" t="n">
        <v>4.3</v>
      </c>
      <c r="G28" s="5" t="n">
        <v>3.1</v>
      </c>
      <c r="H28" s="5" t="n">
        <v>3</v>
      </c>
      <c r="I28" s="5" t="n">
        <v>5</v>
      </c>
      <c r="J28" s="5" t="n">
        <v>4</v>
      </c>
      <c r="K28" s="5" t="n">
        <v>3.6</v>
      </c>
      <c r="L28" s="5" t="n">
        <v>4.7</v>
      </c>
      <c r="M28" s="5" t="n">
        <v>3.4</v>
      </c>
      <c r="N28" s="5" t="n">
        <v>3.6</v>
      </c>
      <c r="O28" s="5" t="n">
        <v>3.2</v>
      </c>
      <c r="P28" s="5">
        <f>IF(MAESTRO!F28="","",IFERROR(TRUNC(AVERAGE(C28:O28),1),""))</f>
        <v/>
      </c>
      <c r="Q28" s="40" t="n">
        <v>24</v>
      </c>
      <c r="R28" s="22" t="n">
        <v>4.8</v>
      </c>
      <c r="S28" s="22" t="n">
        <v>3.1</v>
      </c>
      <c r="T28" s="22" t="n">
        <v>3.7</v>
      </c>
      <c r="U28" s="22" t="n">
        <v>4.9</v>
      </c>
      <c r="V28" s="22" t="n">
        <v>4.8</v>
      </c>
      <c r="W28" s="22" t="n">
        <v>3.3</v>
      </c>
      <c r="X28" s="22" t="n">
        <v>3.1</v>
      </c>
      <c r="Y28" s="22" t="n">
        <v>3.1</v>
      </c>
      <c r="Z28" s="22" t="n">
        <v>4</v>
      </c>
      <c r="AA28" s="45">
        <f>IF(MAESTRO!F28="","",IFERROR(TRUNC(AVERAGE(R28:Z28),1),""))</f>
        <v/>
      </c>
      <c r="AB28" s="177" t="n">
        <v>3.6</v>
      </c>
      <c r="AC28" s="42" t="n">
        <v>3.9</v>
      </c>
      <c r="AD28" s="5">
        <f>IF(MAESTRO!F28="","",IFERROR(AVERAGE(AB28:AC28),""))</f>
        <v/>
      </c>
      <c r="AE28" s="44">
        <f>IF(MAESTRO!F28="","",IFERROR(TRUNC(AVERAGE(P28,AA28,AD28),1),""))</f>
        <v/>
      </c>
      <c r="AF28" s="177" t="n"/>
      <c r="AG28" s="177" t="n">
        <v>24</v>
      </c>
      <c r="AH28" s="177" t="n">
        <v>24</v>
      </c>
      <c r="AI28" s="177">
        <f>IF(MAESTRO!F28="","",MAESTRO!F28)</f>
        <v/>
      </c>
      <c r="AJ28" s="178" t="n"/>
      <c r="AK28" s="61" t="n">
        <v>3.5</v>
      </c>
      <c r="AL28" s="61" t="n">
        <v>3.8</v>
      </c>
      <c r="AM28" s="61" t="n">
        <v>4.2</v>
      </c>
      <c r="AN28" s="61" t="n">
        <v>4.4</v>
      </c>
      <c r="AO28" s="61" t="n">
        <v>3.9</v>
      </c>
      <c r="AP28" s="61" t="n">
        <v>3.6</v>
      </c>
      <c r="AQ28" s="61" t="n">
        <v>4.7</v>
      </c>
      <c r="AR28" s="61" t="n">
        <v>4.8</v>
      </c>
      <c r="AS28" s="61" t="n">
        <v>4.1</v>
      </c>
      <c r="AT28" s="61" t="n">
        <v>4.9</v>
      </c>
      <c r="AU28" s="61" t="n">
        <v>4.2</v>
      </c>
      <c r="AV28" s="61" t="n">
        <v>3.9</v>
      </c>
      <c r="AW28" s="5">
        <f>IF(MAESTRO!F28="","",IFERROR(TRUNC(AVERAGE(AK28:AV28),1),""))</f>
        <v/>
      </c>
      <c r="AX28" s="22" t="n">
        <v>4.2</v>
      </c>
      <c r="AY28" s="92" t="n">
        <v>4.2</v>
      </c>
      <c r="AZ28" s="22" t="n">
        <v>4.6</v>
      </c>
      <c r="BA28" s="22" t="n">
        <v>3.3</v>
      </c>
      <c r="BB28" s="22" t="n">
        <v>4.1</v>
      </c>
      <c r="BC28" s="22" t="n">
        <v>3.3</v>
      </c>
      <c r="BD28" s="22" t="n">
        <v>3.3</v>
      </c>
      <c r="BE28" s="22" t="n">
        <v>4.1</v>
      </c>
      <c r="BF28" s="22" t="n">
        <v>4.6</v>
      </c>
      <c r="BG28" s="52" t="n">
        <v>4.9</v>
      </c>
      <c r="BH28" s="5">
        <f>IF(MAESTRO!F28="","",IFERROR(TRUNC(AVERAGE(AX28:BG28),1),""))</f>
        <v/>
      </c>
      <c r="BI28" s="22" t="n">
        <v>3.8</v>
      </c>
      <c r="BJ28" s="22" t="n">
        <v>3.7</v>
      </c>
      <c r="BK28" s="22">
        <f>IF(MAESTRO!F28="","",IFERROR(AVERAGE(BI28,BJ28),""))</f>
        <v/>
      </c>
      <c r="BL28" s="5">
        <f>IF(MAESTRO!F28="","",IFERROR(TRUNC(AVERAGE(AW28,BH28,BK28),1),""))</f>
        <v/>
      </c>
      <c r="BM28" s="177" t="n"/>
      <c r="BN28" s="177" t="n">
        <v>24</v>
      </c>
      <c r="BO28" s="177" t="n">
        <v>24</v>
      </c>
      <c r="BP28" s="177">
        <f>IF(MAESTRO!F28="","",MAESTRO!F28)</f>
        <v/>
      </c>
      <c r="BQ28" s="178" t="n"/>
      <c r="BR28" s="5" t="n">
        <v>4</v>
      </c>
      <c r="BS28" s="5" t="n">
        <v>3.5</v>
      </c>
      <c r="BT28" s="5" t="n">
        <v>4.8</v>
      </c>
      <c r="BU28" s="5" t="n">
        <v>4.5</v>
      </c>
      <c r="BV28" s="5" t="n">
        <v>3.7</v>
      </c>
      <c r="BW28" s="5" t="n">
        <v>4.2</v>
      </c>
      <c r="BX28" s="5" t="n">
        <v>4</v>
      </c>
      <c r="BY28" s="5" t="n">
        <v>4</v>
      </c>
      <c r="BZ28" s="5" t="n">
        <v>3</v>
      </c>
      <c r="CA28" s="5" t="n">
        <v>3</v>
      </c>
      <c r="CB28" s="5" t="n">
        <v>4.6</v>
      </c>
      <c r="CC28" s="5" t="n">
        <v>4</v>
      </c>
      <c r="CD28" s="5" t="n">
        <v>3.5</v>
      </c>
      <c r="CE28" s="5">
        <f>IF(MAESTRO!F28="","",IFERROR(TRUNC(AVERAGE(BR28:CD28),1),""))</f>
        <v/>
      </c>
      <c r="CF28" s="5" t="n">
        <v>4.7</v>
      </c>
      <c r="CG28" s="5" t="n">
        <v>3.7</v>
      </c>
      <c r="CH28" s="5" t="n">
        <v>4.9</v>
      </c>
      <c r="CI28" s="89" t="n">
        <v>4</v>
      </c>
      <c r="CJ28" s="5" t="n">
        <v>4.4</v>
      </c>
      <c r="CK28" s="5" t="n">
        <v>3.3</v>
      </c>
      <c r="CL28" s="5" t="n">
        <v>4.9</v>
      </c>
      <c r="CM28" s="5" t="n">
        <v>3.3</v>
      </c>
      <c r="CN28" s="5" t="n">
        <v>3.3</v>
      </c>
      <c r="CO28" s="5" t="n">
        <v>5</v>
      </c>
      <c r="CP28" s="5">
        <f>IF(MAESTRO!F28="","",IFERROR(TRUNC(AVERAGE(CF28:CO28),1),""))</f>
        <v/>
      </c>
      <c r="CQ28" s="5" t="n">
        <v>4.1</v>
      </c>
      <c r="CR28" s="5" t="n">
        <v>4.8</v>
      </c>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v>4.9</v>
      </c>
      <c r="D29" s="5" t="n">
        <v>4.7</v>
      </c>
      <c r="E29" s="5" t="n">
        <v>3.5</v>
      </c>
      <c r="F29" s="5" t="n">
        <v>3.1</v>
      </c>
      <c r="G29" s="5" t="n">
        <v>3.4</v>
      </c>
      <c r="H29" s="5" t="n">
        <v>4</v>
      </c>
      <c r="I29" s="5" t="n">
        <v>3.7</v>
      </c>
      <c r="J29" s="5" t="n">
        <v>4</v>
      </c>
      <c r="K29" s="5" t="n">
        <v>3.9</v>
      </c>
      <c r="L29" s="5" t="n">
        <v>4.6</v>
      </c>
      <c r="M29" s="5" t="n">
        <v>4.6</v>
      </c>
      <c r="N29" s="5" t="n">
        <v>3.2</v>
      </c>
      <c r="O29" s="5" t="n">
        <v>3.2</v>
      </c>
      <c r="P29" s="5">
        <f>IF(MAESTRO!F29="","",IFERROR(TRUNC(AVERAGE(C29:O29),1),""))</f>
        <v/>
      </c>
      <c r="Q29" s="40" t="n">
        <v>25</v>
      </c>
      <c r="R29" s="22" t="n">
        <v>3.1</v>
      </c>
      <c r="S29" s="22" t="n">
        <v>4.7</v>
      </c>
      <c r="T29" s="22" t="n">
        <v>4.6</v>
      </c>
      <c r="U29" s="22" t="n">
        <v>3.3</v>
      </c>
      <c r="V29" s="22" t="n">
        <v>3.5</v>
      </c>
      <c r="W29" s="22" t="n">
        <v>4.8</v>
      </c>
      <c r="X29" s="22" t="n">
        <v>4.5</v>
      </c>
      <c r="Y29" s="22" t="n">
        <v>4.5</v>
      </c>
      <c r="Z29" s="22" t="n">
        <v>3.7</v>
      </c>
      <c r="AA29" s="45">
        <f>IF(MAESTRO!F29="","",IFERROR(TRUNC(AVERAGE(R29:Z29),1),""))</f>
        <v/>
      </c>
      <c r="AB29" s="177" t="n">
        <v>3.4</v>
      </c>
      <c r="AC29" s="42" t="n">
        <v>3.3</v>
      </c>
      <c r="AD29" s="5">
        <f>IF(MAESTRO!F29="","",IFERROR(AVERAGE(AB29:AC29),""))</f>
        <v/>
      </c>
      <c r="AE29" s="44">
        <f>IF(MAESTRO!F29="","",IFERROR(TRUNC(AVERAGE(P29,AA29,AD29),1),""))</f>
        <v/>
      </c>
      <c r="AF29" s="177" t="n"/>
      <c r="AG29" s="177" t="n">
        <v>25</v>
      </c>
      <c r="AH29" s="177" t="n">
        <v>25</v>
      </c>
      <c r="AI29" s="177">
        <f>IF(MAESTRO!F29="","",MAESTRO!F29)</f>
        <v/>
      </c>
      <c r="AJ29" s="178" t="n"/>
      <c r="AK29" s="61" t="n">
        <v>4.1</v>
      </c>
      <c r="AL29" s="61" t="n">
        <v>3.2</v>
      </c>
      <c r="AM29" s="61" t="n">
        <v>4.6</v>
      </c>
      <c r="AN29" s="61" t="n">
        <v>3.7</v>
      </c>
      <c r="AO29" s="61" t="n">
        <v>3.5</v>
      </c>
      <c r="AP29" s="61" t="n">
        <v>3.9</v>
      </c>
      <c r="AQ29" s="61" t="n">
        <v>4</v>
      </c>
      <c r="AR29" s="61" t="n">
        <v>3.7</v>
      </c>
      <c r="AS29" s="61" t="n">
        <v>4.6</v>
      </c>
      <c r="AT29" s="61" t="n">
        <v>3.4</v>
      </c>
      <c r="AU29" s="61" t="n">
        <v>3.1</v>
      </c>
      <c r="AV29" s="61" t="n">
        <v>3.8</v>
      </c>
      <c r="AW29" s="5">
        <f>IF(MAESTRO!F29="","",IFERROR(TRUNC(AVERAGE(AK29:AV29),1),""))</f>
        <v/>
      </c>
      <c r="AX29" s="63" t="n">
        <v>4</v>
      </c>
      <c r="AY29" s="92" t="n">
        <v>4.6</v>
      </c>
      <c r="AZ29" s="92" t="n">
        <v>4.4</v>
      </c>
      <c r="BA29" s="92" t="n">
        <v>4</v>
      </c>
      <c r="BB29" s="92" t="n">
        <v>4.7</v>
      </c>
      <c r="BC29" s="63" t="n">
        <v>3.4</v>
      </c>
      <c r="BD29" s="63" t="n">
        <v>3.3</v>
      </c>
      <c r="BE29" s="63" t="n">
        <v>3.3</v>
      </c>
      <c r="BF29" s="63" t="n">
        <v>4.8</v>
      </c>
      <c r="BG29" s="52" t="n">
        <v>4.6</v>
      </c>
      <c r="BH29" s="5">
        <f>IF(MAESTRO!F29="","",IFERROR(TRUNC(AVERAGE(AX29:BG29),1),""))</f>
        <v/>
      </c>
      <c r="BI29" s="22" t="n">
        <v>3.9</v>
      </c>
      <c r="BJ29" s="22" t="n">
        <v>4.7</v>
      </c>
      <c r="BK29" s="22">
        <f>IF(MAESTRO!F29="","",IFERROR(AVERAGE(BI29,BJ29),""))</f>
        <v/>
      </c>
      <c r="BL29" s="5">
        <f>IF(MAESTRO!F29="","",IFERROR(TRUNC(AVERAGE(AW29,BH29,BK29),1),""))</f>
        <v/>
      </c>
      <c r="BM29" s="177" t="n"/>
      <c r="BN29" s="177" t="n">
        <v>25</v>
      </c>
      <c r="BO29" s="177" t="n">
        <v>25</v>
      </c>
      <c r="BP29" s="177">
        <f>IF(MAESTRO!F29="","",MAESTRO!F29)</f>
        <v/>
      </c>
      <c r="BQ29" s="178" t="n"/>
      <c r="BR29" s="85" t="n">
        <v>3.4</v>
      </c>
      <c r="BS29" s="85" t="n">
        <v>4.8</v>
      </c>
      <c r="BT29" s="5" t="n">
        <v>3.7</v>
      </c>
      <c r="BU29" s="5" t="n">
        <v>3.3</v>
      </c>
      <c r="BV29" s="5" t="n">
        <v>3.6</v>
      </c>
      <c r="BW29" s="5" t="n">
        <v>4.4</v>
      </c>
      <c r="BX29" s="5" t="n">
        <v>4.8</v>
      </c>
      <c r="BY29" s="5" t="n">
        <v>4.3</v>
      </c>
      <c r="BZ29" s="5" t="n">
        <v>3.3</v>
      </c>
      <c r="CA29" s="5" t="n">
        <v>4.3</v>
      </c>
      <c r="CB29" s="5" t="n">
        <v>3.5</v>
      </c>
      <c r="CC29" s="5" t="n">
        <v>3.3</v>
      </c>
      <c r="CD29" s="5" t="n">
        <v>5</v>
      </c>
      <c r="CE29" s="5">
        <f>IF(MAESTRO!F29="","",IFERROR(TRUNC(AVERAGE(BR29:CD29),1),""))</f>
        <v/>
      </c>
      <c r="CF29" s="5" t="n">
        <v>4.9</v>
      </c>
      <c r="CG29" s="5" t="n">
        <v>4</v>
      </c>
      <c r="CH29" s="5" t="n">
        <v>4.3</v>
      </c>
      <c r="CI29" s="89" t="n">
        <v>3.7</v>
      </c>
      <c r="CJ29" s="5" t="n">
        <v>3.9</v>
      </c>
      <c r="CK29" s="5" t="n">
        <v>4.6</v>
      </c>
      <c r="CL29" s="5" t="n">
        <v>4.5</v>
      </c>
      <c r="CM29" s="5" t="n">
        <v>3.3</v>
      </c>
      <c r="CN29" s="5" t="n">
        <v>3.7</v>
      </c>
      <c r="CO29" s="5" t="n">
        <v>3.1</v>
      </c>
      <c r="CP29" s="5">
        <f>IF(MAESTRO!F29="","",IFERROR(TRUNC(AVERAGE(CF29:CO29),1),""))</f>
        <v/>
      </c>
      <c r="CQ29" s="5" t="n">
        <v>4.3</v>
      </c>
      <c r="CR29" s="5" t="n">
        <v>4.3</v>
      </c>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v>26</v>
      </c>
      <c r="AH30" s="177" t="n">
        <v>26</v>
      </c>
      <c r="AI30" s="177">
        <f>IF(MAESTRO!F30="","",MAESTRO!F30)</f>
        <v/>
      </c>
      <c r="AJ30" s="178" t="n"/>
      <c r="AK30" s="61" t="n"/>
      <c r="AL30" s="61" t="n"/>
      <c r="AM30" s="61" t="n"/>
      <c r="AN30" s="6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v>26</v>
      </c>
      <c r="BO30" s="177" t="n">
        <v>26</v>
      </c>
      <c r="BP30" s="177">
        <f>IF(MAESTRO!F30="","",MAESTRO!F30)</f>
        <v/>
      </c>
      <c r="BQ30" s="178" t="n"/>
      <c r="BR30" s="85" t="n"/>
      <c r="BS30" s="85" t="n"/>
      <c r="BT30" s="5"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v>4</v>
      </c>
      <c r="D31" s="5" t="n"/>
      <c r="E31" s="5" t="n"/>
      <c r="F31" s="5" t="n"/>
      <c r="G31" s="5" t="n"/>
      <c r="H31" s="5" t="n"/>
      <c r="I31" s="5" t="n"/>
      <c r="J31" s="5" t="n"/>
      <c r="K31" s="5" t="n"/>
      <c r="L31" s="5" t="n"/>
      <c r="M31" s="5" t="n"/>
      <c r="N31" s="5" t="n"/>
      <c r="O31" s="5" t="n"/>
      <c r="P31" s="5">
        <f>IF(MAESTRO!F31="","",IFERROR(TRUNC(AVERAGE(C31:O31),1),""))</f>
        <v/>
      </c>
      <c r="Q31" s="40" t="n">
        <v>27</v>
      </c>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v>27</v>
      </c>
      <c r="AH31" s="177" t="n">
        <v>27</v>
      </c>
      <c r="AI31" s="177">
        <f>IF(MAESTRO!F31="","",MAESTRO!F31)</f>
        <v/>
      </c>
      <c r="AJ31" s="178" t="n"/>
      <c r="AK31" s="94" t="n"/>
      <c r="AL31" s="94" t="n"/>
      <c r="AM31" s="61" t="n"/>
      <c r="AN31" s="6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v>27</v>
      </c>
      <c r="BO31" s="177" t="n">
        <v>27</v>
      </c>
      <c r="BP31" s="177">
        <f>IF(MAESTRO!F31="","",MAESTRO!F31)</f>
        <v/>
      </c>
      <c r="BQ31" s="178" t="n"/>
      <c r="BR31" s="85" t="n"/>
      <c r="BS31" s="85" t="n"/>
      <c r="BT31" s="5"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v>4.5</v>
      </c>
      <c r="D32" s="5" t="n"/>
      <c r="E32" s="5" t="n"/>
      <c r="F32" s="5" t="n"/>
      <c r="G32" s="5" t="n"/>
      <c r="H32" s="5" t="n"/>
      <c r="I32" s="5" t="n"/>
      <c r="J32" s="5" t="n"/>
      <c r="K32" s="5" t="n"/>
      <c r="L32" s="5" t="n"/>
      <c r="M32" s="5" t="n"/>
      <c r="N32" s="5" t="n"/>
      <c r="O32" s="5" t="n"/>
      <c r="P32" s="5">
        <f>IF(MAESTRO!F32="","",IFERROR(TRUNC(AVERAGE(C32:O32),1),""))</f>
        <v/>
      </c>
      <c r="Q32" s="40" t="n">
        <v>28</v>
      </c>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v>28</v>
      </c>
      <c r="AH32" s="177" t="n">
        <v>28</v>
      </c>
      <c r="AI32" s="177">
        <f>IF(MAESTRO!F32="","",MAESTRO!F32)</f>
        <v/>
      </c>
      <c r="AJ32" s="178" t="n"/>
      <c r="AK32" s="94" t="n"/>
      <c r="AL32" s="94" t="n"/>
      <c r="AM32" s="61" t="n"/>
      <c r="AN32" s="6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v>28</v>
      </c>
      <c r="BO32" s="177" t="n">
        <v>28</v>
      </c>
      <c r="BP32" s="177">
        <f>IF(MAESTRO!F32="","",MAESTRO!F32)</f>
        <v/>
      </c>
      <c r="BQ32" s="178" t="n"/>
      <c r="BR32" s="85" t="n"/>
      <c r="BS32" s="85" t="n"/>
      <c r="BT32" s="5"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v>29</v>
      </c>
      <c r="AH33" s="177" t="n">
        <v>29</v>
      </c>
      <c r="AI33" s="177">
        <f>IF(MAESTRO!F33="","",MAESTRO!F33)</f>
        <v/>
      </c>
      <c r="AJ33" s="178" t="n"/>
      <c r="AK33" s="94" t="n"/>
      <c r="AL33" s="94" t="n"/>
      <c r="AM33" s="61" t="n"/>
      <c r="AN33" s="6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v>29</v>
      </c>
      <c r="BO33" s="177" t="n">
        <v>29</v>
      </c>
      <c r="BP33" s="177">
        <f>IF(MAESTRO!F33="","",MAESTRO!F33)</f>
        <v/>
      </c>
      <c r="BQ33" s="178" t="n"/>
      <c r="BR33" s="85" t="n"/>
      <c r="BS33" s="85" t="n"/>
      <c r="BT33" s="5"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v>4.5</v>
      </c>
      <c r="D34" s="5" t="n">
        <v>5</v>
      </c>
      <c r="E34" s="5" t="n"/>
      <c r="F34" s="5" t="n"/>
      <c r="G34" s="5" t="n"/>
      <c r="H34" s="5" t="n"/>
      <c r="I34" s="5" t="n"/>
      <c r="J34" s="5" t="n"/>
      <c r="K34" s="5" t="n"/>
      <c r="L34" s="5" t="n"/>
      <c r="M34" s="5" t="n"/>
      <c r="N34" s="5" t="n"/>
      <c r="O34" s="5" t="n"/>
      <c r="P34" s="5">
        <f>IF(MAESTRO!F34="","",IFERROR(TRUNC(AVERAGE(C34:O34),1),""))</f>
        <v/>
      </c>
      <c r="Q34" s="40" t="n">
        <v>30</v>
      </c>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v>30</v>
      </c>
      <c r="AH34" s="177" t="n">
        <v>30</v>
      </c>
      <c r="AI34" s="177">
        <f>IF(MAESTRO!F34="","",MAESTRO!F34)</f>
        <v/>
      </c>
      <c r="AJ34" s="178" t="n"/>
      <c r="AK34" s="94" t="n"/>
      <c r="AL34" s="94" t="n"/>
      <c r="AM34" s="61" t="n"/>
      <c r="AN34" s="6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v>30</v>
      </c>
      <c r="BO34" s="177" t="n">
        <v>30</v>
      </c>
      <c r="BP34" s="177">
        <f>IF(MAESTRO!F34="","",MAESTRO!F34)</f>
        <v/>
      </c>
      <c r="BQ34" s="178" t="n"/>
      <c r="BR34" s="85" t="n"/>
      <c r="BS34" s="85" t="n"/>
      <c r="BT34" s="5"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v>4.8</v>
      </c>
      <c r="D35" s="5" t="n"/>
      <c r="E35" s="5" t="n"/>
      <c r="F35" s="5" t="n"/>
      <c r="G35" s="5" t="n"/>
      <c r="H35" s="5" t="n"/>
      <c r="I35" s="5" t="n"/>
      <c r="J35" s="5" t="n"/>
      <c r="K35" s="5" t="n"/>
      <c r="L35" s="5" t="n"/>
      <c r="M35" s="5" t="n"/>
      <c r="N35" s="5" t="n"/>
      <c r="O35" s="5" t="n"/>
      <c r="P35" s="5">
        <f>IF(MAESTRO!F35="","",IFERROR(TRUNC(AVERAGE(C35:O35),1),""))</f>
        <v/>
      </c>
      <c r="Q35" s="40" t="n">
        <v>31</v>
      </c>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v>31</v>
      </c>
      <c r="AH35" s="177" t="n">
        <v>31</v>
      </c>
      <c r="AI35" s="177">
        <f>IF(MAESTRO!F35="","",MAESTRO!F35)</f>
        <v/>
      </c>
      <c r="AJ35" s="178" t="n"/>
      <c r="AK35" s="94" t="n"/>
      <c r="AL35" s="94" t="n"/>
      <c r="AM35" s="61" t="n"/>
      <c r="AN35" s="6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v>31</v>
      </c>
      <c r="BO35" s="177" t="n">
        <v>31</v>
      </c>
      <c r="BP35" s="177">
        <f>IF(MAESTRO!F35="","",MAESTRO!F35)</f>
        <v/>
      </c>
      <c r="BQ35" s="178" t="n"/>
      <c r="BR35" s="85" t="n"/>
      <c r="BS35" s="85" t="n"/>
      <c r="BT35" s="5"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v>32</v>
      </c>
      <c r="AH36" s="177" t="n">
        <v>32</v>
      </c>
      <c r="AI36" s="177">
        <f>IF(MAESTRO!F36="","",MAESTRO!F36)</f>
        <v/>
      </c>
      <c r="AJ36" s="178" t="n"/>
      <c r="AK36" s="94" t="n"/>
      <c r="AL36" s="94" t="n"/>
      <c r="AM36" s="61" t="n"/>
      <c r="AN36" s="6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v>32</v>
      </c>
      <c r="BO36" s="177" t="n">
        <v>32</v>
      </c>
      <c r="BP36" s="177">
        <f>IF(MAESTRO!F36="","",MAESTRO!F36)</f>
        <v/>
      </c>
      <c r="BQ36" s="178" t="n"/>
      <c r="BR36" s="85" t="n"/>
      <c r="BS36" s="85" t="n"/>
      <c r="BT36" s="5"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v>33</v>
      </c>
      <c r="AH37" s="177" t="n">
        <v>33</v>
      </c>
      <c r="AI37" s="177">
        <f>IF(MAESTRO!F37="","",MAESTRO!F37)</f>
        <v/>
      </c>
      <c r="AJ37" s="178" t="n"/>
      <c r="AK37" s="94" t="n"/>
      <c r="AL37" s="94" t="n"/>
      <c r="AM37" s="61" t="n"/>
      <c r="AN37" s="6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v>33</v>
      </c>
      <c r="BO37" s="177" t="n">
        <v>33</v>
      </c>
      <c r="BP37" s="177">
        <f>IF(MAESTRO!F37="","",MAESTRO!F37)</f>
        <v/>
      </c>
      <c r="BQ37" s="178" t="n"/>
      <c r="BR37" s="85" t="n"/>
      <c r="BS37" s="85" t="n"/>
      <c r="BT37" s="5"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v>4.5</v>
      </c>
      <c r="D38" s="5" t="n">
        <v>5</v>
      </c>
      <c r="E38" s="5" t="n"/>
      <c r="F38" s="5" t="n"/>
      <c r="G38" s="5" t="n"/>
      <c r="H38" s="5" t="n"/>
      <c r="I38" s="5" t="n"/>
      <c r="J38" s="5" t="n"/>
      <c r="K38" s="5" t="n"/>
      <c r="L38" s="5" t="n"/>
      <c r="M38" s="5" t="n"/>
      <c r="N38" s="5" t="n"/>
      <c r="O38" s="5" t="n"/>
      <c r="P38" s="5">
        <f>IF(MAESTRO!F38="","",IFERROR(TRUNC(AVERAGE(C38:O38),1),""))</f>
        <v/>
      </c>
      <c r="Q38" s="40" t="n">
        <v>34</v>
      </c>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v>34</v>
      </c>
      <c r="AH38" s="177" t="n">
        <v>34</v>
      </c>
      <c r="AI38" s="177">
        <f>IF(MAESTRO!F38="","",MAESTRO!F38)</f>
        <v/>
      </c>
      <c r="AJ38" s="178" t="n"/>
      <c r="AK38" s="94" t="n"/>
      <c r="AL38" s="94" t="n"/>
      <c r="AM38" s="61" t="n"/>
      <c r="AN38" s="6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v>34</v>
      </c>
      <c r="BO38" s="177" t="n">
        <v>34</v>
      </c>
      <c r="BP38" s="177">
        <f>IF(MAESTRO!F38="","",MAESTRO!F38)</f>
        <v/>
      </c>
      <c r="BQ38" s="178" t="n"/>
      <c r="BR38" s="85" t="n"/>
      <c r="BS38" s="85" t="n"/>
      <c r="BT38" s="5"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v>4.8</v>
      </c>
      <c r="D39" s="5" t="n"/>
      <c r="E39" s="5" t="n"/>
      <c r="F39" s="5" t="n"/>
      <c r="G39" s="5" t="n"/>
      <c r="H39" s="5" t="n"/>
      <c r="I39" s="5" t="n"/>
      <c r="J39" s="5" t="n"/>
      <c r="K39" s="5" t="n"/>
      <c r="L39" s="5" t="n"/>
      <c r="M39" s="5" t="n"/>
      <c r="N39" s="5" t="n"/>
      <c r="O39" s="5" t="n"/>
      <c r="P39" s="5">
        <f>IF(MAESTRO!F39="","",IFERROR(TRUNC(AVERAGE(C39:O39),1),""))</f>
        <v/>
      </c>
      <c r="Q39" s="40" t="n">
        <v>35</v>
      </c>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v>35</v>
      </c>
      <c r="AH39" s="177" t="n">
        <v>35</v>
      </c>
      <c r="AI39" s="177">
        <f>IF(MAESTRO!F39="","",MAESTRO!F39)</f>
        <v/>
      </c>
      <c r="AJ39" s="178" t="n"/>
      <c r="AK39" s="94" t="n"/>
      <c r="AL39" s="94" t="n"/>
      <c r="AM39" s="61" t="n"/>
      <c r="AN39" s="6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v>35</v>
      </c>
      <c r="BO39" s="177" t="n">
        <v>35</v>
      </c>
      <c r="BP39" s="177">
        <f>IF(MAESTRO!F39="","",MAESTRO!F39)</f>
        <v/>
      </c>
      <c r="BQ39" s="178" t="n"/>
      <c r="BR39" s="85" t="n"/>
      <c r="BS39" s="85" t="n"/>
      <c r="BT39" s="5"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40" t="n">
        <v>36</v>
      </c>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v>36</v>
      </c>
      <c r="AH40" s="177" t="n">
        <v>36</v>
      </c>
      <c r="AI40" s="177">
        <f>IF(MAESTRO!F40="","",MAESTRO!F40)</f>
        <v/>
      </c>
      <c r="AJ40" s="178" t="n"/>
      <c r="AK40" s="94" t="n"/>
      <c r="AL40" s="94" t="n"/>
      <c r="AM40" s="61" t="n"/>
      <c r="AN40" s="6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v>36</v>
      </c>
      <c r="BO40" s="177" t="n">
        <v>36</v>
      </c>
      <c r="BP40" s="177">
        <f>IF(MAESTRO!F40="","",MAESTRO!F40)</f>
        <v/>
      </c>
      <c r="BQ40" s="178" t="n"/>
      <c r="BR40" s="85" t="n"/>
      <c r="BS40" s="85" t="n"/>
      <c r="BT40" s="5"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89" t="n"/>
      <c r="E41" s="89" t="n"/>
      <c r="F41" s="5" t="n"/>
      <c r="G41" s="5" t="n"/>
      <c r="H41" s="5" t="n"/>
      <c r="I41" s="5" t="n"/>
      <c r="J41" s="5" t="n"/>
      <c r="K41" s="5" t="n"/>
      <c r="L41" s="5" t="n"/>
      <c r="M41" s="5" t="n"/>
      <c r="N41" s="5" t="n"/>
      <c r="O41" s="5" t="n"/>
      <c r="P41" s="5">
        <f>IF(MAESTRO!F41="","",IFERROR(TRUNC(AVERAGE(C41:O41),1),""))</f>
        <v/>
      </c>
      <c r="Q41" s="40" t="n">
        <v>37</v>
      </c>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v>37</v>
      </c>
      <c r="AH41" s="177" t="n">
        <v>37</v>
      </c>
      <c r="AI41" s="177">
        <f>IF(MAESTRO!F41="","",MAESTRO!F41)</f>
        <v/>
      </c>
      <c r="AJ41" s="178" t="n"/>
      <c r="AK41" s="94" t="n"/>
      <c r="AL41" s="94" t="n"/>
      <c r="AM41" s="61" t="n"/>
      <c r="AN41" s="6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v>37</v>
      </c>
      <c r="BO41" s="177" t="n">
        <v>37</v>
      </c>
      <c r="BP41" s="177">
        <f>IF(MAESTRO!F41="","",MAESTRO!F41)</f>
        <v/>
      </c>
      <c r="BQ41" s="178" t="n"/>
      <c r="BR41" s="85" t="n"/>
      <c r="BS41" s="85" t="n"/>
      <c r="BT41" s="5"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inlineStr">
        <is>
          <t>Investigación -Alelopatia</t>
        </is>
      </c>
      <c r="D42" s="288" t="inlineStr">
        <is>
          <t>Ejemplos de Plantas Alelopaticas</t>
        </is>
      </c>
      <c r="E42" s="288" t="inlineStr">
        <is>
          <t>Tarea 5</t>
        </is>
      </c>
      <c r="F42" s="288" t="inlineStr">
        <is>
          <t>Tarea 6</t>
        </is>
      </c>
      <c r="G42" s="288" t="inlineStr">
        <is>
          <t>Tarea 7</t>
        </is>
      </c>
      <c r="H42" s="288" t="inlineStr">
        <is>
          <t>Tarea 8</t>
        </is>
      </c>
      <c r="I42" s="288" t="inlineStr">
        <is>
          <t>Tarea 9</t>
        </is>
      </c>
      <c r="J42" s="288" t="inlineStr">
        <is>
          <t>Tarea 10</t>
        </is>
      </c>
      <c r="K42" s="288" t="inlineStr">
        <is>
          <t>Tarea 11</t>
        </is>
      </c>
      <c r="L42" s="288" t="inlineStr">
        <is>
          <t>Tarea 12</t>
        </is>
      </c>
      <c r="M42" s="288" t="inlineStr">
        <is>
          <t>Tarea 13</t>
        </is>
      </c>
      <c r="N42" s="288" t="inlineStr">
        <is>
          <t>Tarea 14</t>
        </is>
      </c>
      <c r="O42" s="288" t="inlineStr">
        <is>
          <t>Tarea 15</t>
        </is>
      </c>
      <c r="P42" s="5" t="n"/>
      <c r="Q42" s="40" t="n">
        <v>38</v>
      </c>
      <c r="R42" s="281" t="inlineStr">
        <is>
          <t>Tarea 18</t>
        </is>
      </c>
      <c r="S42" s="281" t="inlineStr">
        <is>
          <t>Tarea 19</t>
        </is>
      </c>
      <c r="T42" s="286" t="inlineStr">
        <is>
          <t>Tarea 20</t>
        </is>
      </c>
      <c r="U42" s="286" t="inlineStr">
        <is>
          <t>Tarea 21</t>
        </is>
      </c>
      <c r="V42" s="286" t="inlineStr">
        <is>
          <t>Tarea 22</t>
        </is>
      </c>
      <c r="W42" s="286" t="inlineStr">
        <is>
          <t>Tarea 23</t>
        </is>
      </c>
      <c r="X42" s="286" t="inlineStr">
        <is>
          <t>Tarea 24</t>
        </is>
      </c>
      <c r="Y42" s="286" t="inlineStr">
        <is>
          <t>Tarea 25</t>
        </is>
      </c>
      <c r="Z42" s="286" t="inlineStr">
        <is>
          <t>Tarea 26</t>
        </is>
      </c>
      <c r="AA42" s="45" t="n"/>
      <c r="AB42" s="309" t="inlineStr">
        <is>
          <t>Tarea 28</t>
        </is>
      </c>
      <c r="AC42" s="286" t="inlineStr">
        <is>
          <t>Tarea 29</t>
        </is>
      </c>
      <c r="AD42" s="5" t="n"/>
      <c r="AE42" s="44" t="n"/>
      <c r="AF42" s="177" t="n"/>
      <c r="AG42" s="177" t="n">
        <v>38</v>
      </c>
      <c r="AH42" s="177" t="n">
        <v>38</v>
      </c>
      <c r="AI42" s="177">
        <f>IF(MAESTRO!F42="","",MAESTRO!F42)</f>
        <v/>
      </c>
      <c r="AJ42" s="178" t="n"/>
      <c r="AK42" s="314" t="inlineStr">
        <is>
          <t>Tarea 37</t>
        </is>
      </c>
      <c r="AL42" s="314" t="inlineStr">
        <is>
          <t>Tarea 38</t>
        </is>
      </c>
      <c r="AM42" s="290" t="inlineStr">
        <is>
          <t>Tarea 39</t>
        </is>
      </c>
      <c r="AN42" s="290" t="inlineStr">
        <is>
          <t>Tarea 40</t>
        </is>
      </c>
      <c r="AO42" s="290" t="inlineStr">
        <is>
          <t>Tarea 41</t>
        </is>
      </c>
      <c r="AP42" s="290" t="inlineStr">
        <is>
          <t>Tarea 42</t>
        </is>
      </c>
      <c r="AQ42" s="290" t="inlineStr">
        <is>
          <t>Tarea 43</t>
        </is>
      </c>
      <c r="AR42" s="290" t="inlineStr">
        <is>
          <t>Tarea 44</t>
        </is>
      </c>
      <c r="AS42" s="290" t="inlineStr">
        <is>
          <t>Tarea 45</t>
        </is>
      </c>
      <c r="AT42" s="290" t="inlineStr">
        <is>
          <t>Tarea 46</t>
        </is>
      </c>
      <c r="AU42" s="290" t="inlineStr">
        <is>
          <t>Tarea 47</t>
        </is>
      </c>
      <c r="AV42" s="290" t="inlineStr">
        <is>
          <t>Tarea 48</t>
        </is>
      </c>
      <c r="AW42" s="5" t="n"/>
      <c r="AX42" s="285" t="inlineStr">
        <is>
          <t>Tarea 50</t>
        </is>
      </c>
      <c r="AY42" s="285" t="inlineStr">
        <is>
          <t>Tarea 51</t>
        </is>
      </c>
      <c r="AZ42" s="285" t="inlineStr">
        <is>
          <t>Tarea 52</t>
        </is>
      </c>
      <c r="BA42" s="285" t="inlineStr">
        <is>
          <t>Tarea 53</t>
        </is>
      </c>
      <c r="BB42" s="285" t="inlineStr">
        <is>
          <t>Tarea 54</t>
        </is>
      </c>
      <c r="BC42" s="286" t="inlineStr">
        <is>
          <t>Tarea 55</t>
        </is>
      </c>
      <c r="BD42" s="286" t="inlineStr">
        <is>
          <t>Tarea 56</t>
        </is>
      </c>
      <c r="BE42" s="286" t="inlineStr">
        <is>
          <t>Tarea 57</t>
        </is>
      </c>
      <c r="BF42" s="286" t="inlineStr">
        <is>
          <t>Tarea 58</t>
        </is>
      </c>
      <c r="BG42" s="291" t="inlineStr">
        <is>
          <t>Tarea 59</t>
        </is>
      </c>
      <c r="BH42" s="5" t="n"/>
      <c r="BI42" s="286" t="inlineStr">
        <is>
          <t>Tarea 61</t>
        </is>
      </c>
      <c r="BJ42" s="286" t="inlineStr">
        <is>
          <t>Tarea 62</t>
        </is>
      </c>
      <c r="BK42" s="22" t="n"/>
      <c r="BL42" s="5" t="n"/>
      <c r="BM42" s="177" t="n"/>
      <c r="BN42" s="177" t="n">
        <v>38</v>
      </c>
      <c r="BO42" s="177" t="n">
        <v>38</v>
      </c>
      <c r="BP42" s="177">
        <f>IF(MAESTRO!F42="","",MAESTRO!F42)</f>
        <v/>
      </c>
      <c r="BQ42" s="178" t="n"/>
      <c r="BR42" s="287" t="inlineStr">
        <is>
          <t>Tarea 70</t>
        </is>
      </c>
      <c r="BS42" s="287" t="inlineStr">
        <is>
          <t>Tarea 71</t>
        </is>
      </c>
      <c r="BT42" s="287" t="inlineStr">
        <is>
          <t>Tarea 72</t>
        </is>
      </c>
      <c r="BU42" s="287" t="inlineStr">
        <is>
          <t>Tarea 73</t>
        </is>
      </c>
      <c r="BV42" s="287" t="inlineStr">
        <is>
          <t>Tarea 74</t>
        </is>
      </c>
      <c r="BW42" s="287" t="inlineStr">
        <is>
          <t>Tarea 75</t>
        </is>
      </c>
      <c r="BX42" s="287" t="inlineStr">
        <is>
          <t>Tarea 76</t>
        </is>
      </c>
      <c r="BY42" s="287" t="inlineStr">
        <is>
          <t>Tarea 77</t>
        </is>
      </c>
      <c r="BZ42" s="287" t="inlineStr">
        <is>
          <t>Tarea 78</t>
        </is>
      </c>
      <c r="CA42" s="287" t="inlineStr">
        <is>
          <t>Tarea 79</t>
        </is>
      </c>
      <c r="CB42" s="287" t="inlineStr">
        <is>
          <t>Tarea 80</t>
        </is>
      </c>
      <c r="CC42" s="287" t="inlineStr">
        <is>
          <t>Tarea 81</t>
        </is>
      </c>
      <c r="CD42" s="287" t="inlineStr">
        <is>
          <t>Tarea 82</t>
        </is>
      </c>
      <c r="CE42" s="5" t="n"/>
      <c r="CF42" s="281" t="inlineStr">
        <is>
          <t>Tarea 84</t>
        </is>
      </c>
      <c r="CG42" s="281" t="inlineStr">
        <is>
          <t>Tarea 85</t>
        </is>
      </c>
      <c r="CH42" s="281" t="inlineStr">
        <is>
          <t>Tarea 86</t>
        </is>
      </c>
      <c r="CI42" s="281" t="inlineStr">
        <is>
          <t>Tarea 87</t>
        </is>
      </c>
      <c r="CJ42" s="287" t="inlineStr">
        <is>
          <t>Tarea 88</t>
        </is>
      </c>
      <c r="CK42" s="287" t="inlineStr">
        <is>
          <t>Tarea 89</t>
        </is>
      </c>
      <c r="CL42" s="287" t="inlineStr">
        <is>
          <t>Tarea 90</t>
        </is>
      </c>
      <c r="CM42" s="287" t="inlineStr">
        <is>
          <t>Tarea 91</t>
        </is>
      </c>
      <c r="CN42" s="287" t="inlineStr">
        <is>
          <t>Tarea 92</t>
        </is>
      </c>
      <c r="CO42" s="287" t="inlineStr">
        <is>
          <t>Tarea 93</t>
        </is>
      </c>
      <c r="CP42" s="5" t="n"/>
      <c r="CQ42" s="287" t="inlineStr">
        <is>
          <t>Tarea 95</t>
        </is>
      </c>
      <c r="CR42" s="287" t="inlineStr">
        <is>
          <t>Tarea 96</t>
        </is>
      </c>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v>39</v>
      </c>
      <c r="R43" s="282" t="n"/>
      <c r="S43" s="282" t="n"/>
      <c r="T43" s="282" t="n"/>
      <c r="U43" s="282" t="n"/>
      <c r="V43" s="282" t="n"/>
      <c r="W43" s="282" t="n"/>
      <c r="X43" s="282" t="n"/>
      <c r="Y43" s="282" t="n"/>
      <c r="Z43" s="282" t="n"/>
      <c r="AA43" s="45" t="n"/>
      <c r="AB43" s="282" t="n"/>
      <c r="AC43" s="282" t="n"/>
      <c r="AD43" s="5" t="n"/>
      <c r="AE43" s="44" t="n"/>
      <c r="AF43" s="177" t="n"/>
      <c r="AG43" s="177" t="n">
        <v>39</v>
      </c>
      <c r="AH43" s="177" t="n">
        <v>39</v>
      </c>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v>39</v>
      </c>
      <c r="BO43" s="177" t="n">
        <v>39</v>
      </c>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v>40</v>
      </c>
      <c r="R44" s="282" t="n"/>
      <c r="S44" s="282" t="n"/>
      <c r="T44" s="282" t="n"/>
      <c r="U44" s="282" t="n"/>
      <c r="V44" s="282" t="n"/>
      <c r="W44" s="282" t="n"/>
      <c r="X44" s="282" t="n"/>
      <c r="Y44" s="282" t="n"/>
      <c r="Z44" s="282" t="n"/>
      <c r="AA44" s="22" t="n"/>
      <c r="AB44" s="282" t="n"/>
      <c r="AC44" s="282" t="n"/>
      <c r="AD44" s="22" t="n"/>
      <c r="AE44" s="22" t="n"/>
      <c r="AF44" s="177" t="n"/>
      <c r="AG44" s="177" t="n">
        <v>40</v>
      </c>
      <c r="AH44" s="177" t="n">
        <v>40</v>
      </c>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v>40</v>
      </c>
      <c r="BO44" s="177" t="n">
        <v>40</v>
      </c>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v>41</v>
      </c>
      <c r="R45" s="282" t="n"/>
      <c r="S45" s="282" t="n"/>
      <c r="T45" s="282" t="n"/>
      <c r="U45" s="282" t="n"/>
      <c r="V45" s="282" t="n"/>
      <c r="W45" s="282" t="n"/>
      <c r="X45" s="282" t="n"/>
      <c r="Y45" s="282" t="n"/>
      <c r="Z45" s="282" t="n"/>
      <c r="AA45" s="22" t="n"/>
      <c r="AB45" s="282" t="n"/>
      <c r="AC45" s="282" t="n"/>
      <c r="AD45" s="22" t="n"/>
      <c r="AE45" s="22" t="n"/>
      <c r="AF45" s="177" t="n"/>
      <c r="AG45" s="177" t="n">
        <v>41</v>
      </c>
      <c r="AH45" s="177" t="n">
        <v>41</v>
      </c>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v>41</v>
      </c>
      <c r="BO45" s="177" t="n">
        <v>41</v>
      </c>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v>42</v>
      </c>
      <c r="R46" s="282" t="n"/>
      <c r="S46" s="282" t="n"/>
      <c r="T46" s="282" t="n"/>
      <c r="U46" s="282" t="n"/>
      <c r="V46" s="282" t="n"/>
      <c r="W46" s="282" t="n"/>
      <c r="X46" s="282" t="n"/>
      <c r="Y46" s="282" t="n"/>
      <c r="Z46" s="282" t="n"/>
      <c r="AA46" s="22" t="n"/>
      <c r="AB46" s="282" t="n"/>
      <c r="AC46" s="282" t="n"/>
      <c r="AD46" s="22" t="n"/>
      <c r="AE46" s="22" t="n"/>
      <c r="AF46" s="177" t="n"/>
      <c r="AG46" s="177" t="n">
        <v>42</v>
      </c>
      <c r="AH46" s="177" t="n">
        <v>42</v>
      </c>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v>42</v>
      </c>
      <c r="BO46" s="177" t="n">
        <v>42</v>
      </c>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v>43</v>
      </c>
      <c r="R47" s="282" t="n"/>
      <c r="S47" s="282" t="n"/>
      <c r="T47" s="282" t="n"/>
      <c r="U47" s="282" t="n"/>
      <c r="V47" s="282" t="n"/>
      <c r="W47" s="282" t="n"/>
      <c r="X47" s="282" t="n"/>
      <c r="Y47" s="282" t="n"/>
      <c r="Z47" s="282" t="n"/>
      <c r="AA47" s="22" t="n"/>
      <c r="AB47" s="282" t="n"/>
      <c r="AC47" s="282" t="n"/>
      <c r="AD47" s="22" t="n"/>
      <c r="AE47" s="22" t="n"/>
      <c r="AF47" s="177" t="n"/>
      <c r="AG47" s="177" t="n">
        <v>43</v>
      </c>
      <c r="AH47" s="177" t="n">
        <v>43</v>
      </c>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v>43</v>
      </c>
      <c r="BO47" s="177" t="n">
        <v>43</v>
      </c>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v>44</v>
      </c>
      <c r="R48" s="283" t="n"/>
      <c r="S48" s="283" t="n"/>
      <c r="T48" s="283" t="n"/>
      <c r="U48" s="283" t="n"/>
      <c r="V48" s="283" t="n"/>
      <c r="W48" s="283" t="n"/>
      <c r="X48" s="283" t="n"/>
      <c r="Y48" s="283" t="n"/>
      <c r="Z48" s="283" t="n"/>
      <c r="AA48" s="22" t="n"/>
      <c r="AB48" s="283" t="n"/>
      <c r="AC48" s="283" t="n"/>
      <c r="AD48" s="22" t="n"/>
      <c r="AE48" s="22" t="n"/>
      <c r="AF48" s="177" t="n"/>
      <c r="AG48" s="177" t="n">
        <v>44</v>
      </c>
      <c r="AH48" s="177" t="n">
        <v>44</v>
      </c>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v>44</v>
      </c>
      <c r="BO48" s="177" t="n">
        <v>44</v>
      </c>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EB3:EB4"/>
    <mergeCell ref="BE42:BE48"/>
    <mergeCell ref="CX33:CY33"/>
    <mergeCell ref="DN3:DW3"/>
    <mergeCell ref="BP22:BQ22"/>
    <mergeCell ref="CX17:CY17"/>
    <mergeCell ref="BP12:BQ12"/>
    <mergeCell ref="EC3:ED4"/>
    <mergeCell ref="AI14:AJ14"/>
    <mergeCell ref="AL42:AL48"/>
    <mergeCell ref="D42:D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BX42:BX48"/>
    <mergeCell ref="BP31:BQ31"/>
    <mergeCell ref="CX5:CY5"/>
    <mergeCell ref="BP40:BQ40"/>
    <mergeCell ref="BP24:BQ24"/>
    <mergeCell ref="BI3:BJ4"/>
    <mergeCell ref="CQ3:CR4"/>
    <mergeCell ref="AT42:AT48"/>
    <mergeCell ref="AV42:AV48"/>
    <mergeCell ref="CD42:CD48"/>
    <mergeCell ref="AI5:AJ5"/>
    <mergeCell ref="AK3:AV3"/>
    <mergeCell ref="AI39:AJ39"/>
    <mergeCell ref="CX30:CY30"/>
    <mergeCell ref="DM3:DM4"/>
    <mergeCell ref="CE3:CE4"/>
    <mergeCell ref="AI48:AJ48"/>
    <mergeCell ref="CX45:CY45"/>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W42:W48"/>
    <mergeCell ref="BP33:BQ33"/>
    <mergeCell ref="BW42:BW48"/>
    <mergeCell ref="CX39:CY39"/>
    <mergeCell ref="BP8:BQ8"/>
    <mergeCell ref="CX48:CY48"/>
    <mergeCell ref="BP17:BQ17"/>
    <mergeCell ref="P3:P4"/>
    <mergeCell ref="BM3:BN4"/>
    <mergeCell ref="BP35:BQ35"/>
    <mergeCell ref="AI32:AJ32"/>
    <mergeCell ref="AS42:AS48"/>
    <mergeCell ref="AI46:AJ46"/>
    <mergeCell ref="C42:C48"/>
    <mergeCell ref="BP10:BQ10"/>
    <mergeCell ref="AU42:AU48"/>
    <mergeCell ref="E42:E48"/>
    <mergeCell ref="AM42:AM48"/>
    <mergeCell ref="AD3:AD4"/>
    <mergeCell ref="BL3:BL4"/>
    <mergeCell ref="BP19:BQ19"/>
    <mergeCell ref="AK42:AK48"/>
    <mergeCell ref="BG42:BG48"/>
    <mergeCell ref="AI47:AJ47"/>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BJ42:BJ48"/>
    <mergeCell ref="AI20:AJ20"/>
    <mergeCell ref="CX13:CY13"/>
    <mergeCell ref="AA3:AA4"/>
    <mergeCell ref="CX28:CY28"/>
    <mergeCell ref="AI22:AJ22"/>
    <mergeCell ref="CX6:CY6"/>
    <mergeCell ref="BP48:BQ48"/>
    <mergeCell ref="CX37:CY37"/>
    <mergeCell ref="AI37:AJ37"/>
    <mergeCell ref="BR3:CD3"/>
    <mergeCell ref="AI31:AJ31"/>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2026-05-29T04:04:10Z</dcterms:modified>
  <cp:lastModifiedBy>elmer tugri</cp:lastModifiedBy>
  <cp:lastPrinted>2026-03-27T00:08:29Z</cp:lastPrinted>
</cp:coreProperties>
</file>