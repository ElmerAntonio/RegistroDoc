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RegistroDoc\"/>
    </mc:Choice>
  </mc:AlternateContent>
  <xr:revisionPtr revIDLastSave="0" documentId="13_ncr:1_{FACB53CD-FA25-4FB9-8877-10360E47E1D4}" xr6:coauthVersionLast="47" xr6:coauthVersionMax="47" xr10:uidLastSave="{00000000-0000-0000-0000-000000000000}"/>
  <bookViews>
    <workbookView xWindow="-108" yWindow="-108" windowWidth="23256" windowHeight="12456" tabRatio="803" activeTab="1" xr2:uid="{00000000-000D-0000-FFFF-FFFF00000000}"/>
  </bookViews>
  <sheets>
    <sheet name="MAESTRO" sheetId="3" r:id="rId1"/>
    <sheet name="DASHBOARD" sheetId="6" r:id="rId2"/>
    <sheet name="RESUMEN_7°" sheetId="7" r:id="rId3"/>
    <sheet name="RESUMEN_8°" sheetId="8" r:id="rId4"/>
    <sheet name="RESUMEN_9°" sheetId="9" r:id="rId5"/>
    <sheet name="REPORTE_DIRECCIÓN" sheetId="10" r:id="rId6"/>
    <sheet name="REPORTE_APROBADOS" sheetId="11" r:id="rId7"/>
    <sheet name="REPORTE_DOCENTE" sheetId="12" r:id="rId8"/>
    <sheet name="Asistencia (7°)" sheetId="13" r:id="rId9"/>
    <sheet name="Asistencia (8°)" sheetId="14" r:id="rId10"/>
    <sheet name="Asistencia (9°)" sheetId="15" r:id="rId11"/>
    <sheet name="PROM (Ingles 7°)" sheetId="16" r:id="rId12"/>
    <sheet name="Planilla (Ingles 7°) " sheetId="17" r:id="rId13"/>
    <sheet name="PROM (Hogar y Desarrollo 7°)" sheetId="18" r:id="rId14"/>
    <sheet name="Planilla (Hogar y Desarrollo 7)" sheetId="19" r:id="rId15"/>
    <sheet name="PROM (Agropecuaria 7°)" sheetId="20" r:id="rId16"/>
    <sheet name="Planilla (Agropecuaria 7°)" sheetId="21" r:id="rId17"/>
    <sheet name="PROM (Ingles 8°)" sheetId="22" r:id="rId18"/>
    <sheet name="Planilla (Ingles 8°)" sheetId="23" r:id="rId19"/>
    <sheet name="PROM (Comercio 8°)" sheetId="24" r:id="rId20"/>
    <sheet name="Planilla (Comercio 8°)" sheetId="25" r:id="rId21"/>
    <sheet name="PROM (Agropecuaria 8°)" sheetId="26" r:id="rId22"/>
    <sheet name="Planilla (Agropecuaria 8°) " sheetId="27" r:id="rId23"/>
    <sheet name="PROM (Ingles 9°)" sheetId="28" r:id="rId24"/>
    <sheet name="Planilla (Ingles 9°) " sheetId="29" r:id="rId25"/>
    <sheet name="PROM (Comercio 9°)" sheetId="30" r:id="rId26"/>
    <sheet name="Planilla (Comercio 9°)" sheetId="31" r:id="rId27"/>
    <sheet name="PROM (Artistica 9°)" sheetId="32" r:id="rId28"/>
    <sheet name="Planilla (Artistica 9°)" sheetId="33" r:id="rId29"/>
    <sheet name="PROM (Agropecuaria 9°)" sheetId="34" r:id="rId30"/>
    <sheet name="Planilla (Agropecuaria 9°)" sheetId="35" r:id="rId31"/>
    <sheet name="Caratula" sheetId="36" r:id="rId32"/>
    <sheet name="Portada" sheetId="37" r:id="rId33"/>
    <sheet name="Horarios" sheetId="38" r:id="rId34"/>
    <sheet name="Guía del Registro" sheetId="39" r:id="rId35"/>
    <sheet name="Observaciones" sheetId="40"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35" l="1"/>
  <c r="C54" i="35"/>
  <c r="C53" i="35"/>
  <c r="C52" i="35"/>
  <c r="F51" i="35"/>
  <c r="I51" i="35" s="1"/>
  <c r="C51" i="35"/>
  <c r="C50" i="35"/>
  <c r="H49" i="35"/>
  <c r="C49" i="35"/>
  <c r="C48" i="35"/>
  <c r="C47" i="35"/>
  <c r="C46" i="35"/>
  <c r="G45" i="35"/>
  <c r="C45" i="35"/>
  <c r="C44" i="35"/>
  <c r="F43" i="35"/>
  <c r="I43" i="35" s="1"/>
  <c r="C43" i="35"/>
  <c r="C42" i="35"/>
  <c r="H41" i="35"/>
  <c r="C41" i="35"/>
  <c r="C40" i="35"/>
  <c r="C39" i="35"/>
  <c r="C38" i="35"/>
  <c r="G37" i="35"/>
  <c r="C37" i="35"/>
  <c r="C36" i="35"/>
  <c r="F35" i="35"/>
  <c r="I35" i="35" s="1"/>
  <c r="C35" i="35"/>
  <c r="C34" i="35"/>
  <c r="H33" i="35"/>
  <c r="C33" i="35"/>
  <c r="C32" i="35"/>
  <c r="C31" i="35"/>
  <c r="C30" i="35"/>
  <c r="C29" i="35"/>
  <c r="C28" i="35"/>
  <c r="C27" i="35"/>
  <c r="C26" i="35"/>
  <c r="H25" i="35"/>
  <c r="C25" i="35"/>
  <c r="C24" i="35"/>
  <c r="C23" i="35"/>
  <c r="C22" i="35"/>
  <c r="C21" i="35"/>
  <c r="C20" i="35"/>
  <c r="F19" i="35"/>
  <c r="I19" i="35" s="1"/>
  <c r="C19" i="35"/>
  <c r="C18" i="35"/>
  <c r="H17" i="35"/>
  <c r="C17" i="35"/>
  <c r="C16" i="35"/>
  <c r="CT49" i="34"/>
  <c r="CQ49" i="34"/>
  <c r="CF49" i="34"/>
  <c r="CU49" i="34" s="1"/>
  <c r="B44" i="34"/>
  <c r="B43" i="34"/>
  <c r="B42" i="34"/>
  <c r="CU41" i="34"/>
  <c r="H52" i="35" s="1"/>
  <c r="CT41" i="34"/>
  <c r="CQ41" i="34"/>
  <c r="CF41" i="34"/>
  <c r="BM41" i="34"/>
  <c r="G52" i="35" s="1"/>
  <c r="BL41" i="34"/>
  <c r="BI41" i="34"/>
  <c r="AX41" i="34"/>
  <c r="AD41" i="34"/>
  <c r="AA41" i="34"/>
  <c r="P41" i="34"/>
  <c r="AE41" i="34" s="1"/>
  <c r="F52" i="35" s="1"/>
  <c r="I52" i="35" s="1"/>
  <c r="B41" i="34"/>
  <c r="AI41" i="34" s="1"/>
  <c r="BQ41" i="34" s="1"/>
  <c r="CT40" i="34"/>
  <c r="CQ40" i="34"/>
  <c r="CF40" i="34"/>
  <c r="CU40" i="34" s="1"/>
  <c r="H51" i="35" s="1"/>
  <c r="BL40" i="34"/>
  <c r="BI40" i="34"/>
  <c r="AX40" i="34"/>
  <c r="BM40" i="34" s="1"/>
  <c r="G51" i="35" s="1"/>
  <c r="AI40" i="34"/>
  <c r="BQ40" i="34" s="1"/>
  <c r="AD40" i="34"/>
  <c r="AA40" i="34"/>
  <c r="P40" i="34"/>
  <c r="AE40" i="34" s="1"/>
  <c r="B40" i="34"/>
  <c r="CU39" i="34"/>
  <c r="H50" i="35" s="1"/>
  <c r="CT39" i="34"/>
  <c r="CQ39" i="34"/>
  <c r="CF39" i="34"/>
  <c r="BQ39" i="34"/>
  <c r="BL39" i="34"/>
  <c r="BI39" i="34"/>
  <c r="AX39" i="34"/>
  <c r="BM39" i="34" s="1"/>
  <c r="G50" i="35" s="1"/>
  <c r="AI39" i="34"/>
  <c r="AE39" i="34"/>
  <c r="F50" i="35" s="1"/>
  <c r="I50" i="35" s="1"/>
  <c r="AD39" i="34"/>
  <c r="AA39" i="34"/>
  <c r="P39" i="34"/>
  <c r="B39" i="34"/>
  <c r="CT38" i="34"/>
  <c r="CQ38" i="34"/>
  <c r="CF38" i="34"/>
  <c r="CU38" i="34" s="1"/>
  <c r="BL38" i="34"/>
  <c r="BI38" i="34"/>
  <c r="AX38" i="34"/>
  <c r="BM38" i="34" s="1"/>
  <c r="G49" i="35" s="1"/>
  <c r="AI38" i="34"/>
  <c r="BQ38" i="34" s="1"/>
  <c r="AD38" i="34"/>
  <c r="AA38" i="34"/>
  <c r="P38" i="34"/>
  <c r="AE38" i="34" s="1"/>
  <c r="F49" i="35" s="1"/>
  <c r="I49" i="35" s="1"/>
  <c r="B38" i="34"/>
  <c r="CT37" i="34"/>
  <c r="CQ37" i="34"/>
  <c r="CF37" i="34"/>
  <c r="CU37" i="34" s="1"/>
  <c r="H48" i="35" s="1"/>
  <c r="BQ37" i="34"/>
  <c r="BL37" i="34"/>
  <c r="BI37" i="34"/>
  <c r="AX37" i="34"/>
  <c r="BM37" i="34" s="1"/>
  <c r="G48" i="35" s="1"/>
  <c r="AI37" i="34"/>
  <c r="AE37" i="34"/>
  <c r="F48" i="35" s="1"/>
  <c r="I48" i="35" s="1"/>
  <c r="AD37" i="34"/>
  <c r="AA37" i="34"/>
  <c r="P37" i="34"/>
  <c r="B37" i="34"/>
  <c r="CT36" i="34"/>
  <c r="CQ36" i="34"/>
  <c r="CF36" i="34"/>
  <c r="CU36" i="34" s="1"/>
  <c r="H47" i="35" s="1"/>
  <c r="BQ36" i="34"/>
  <c r="BM36" i="34"/>
  <c r="G47" i="35" s="1"/>
  <c r="BL36" i="34"/>
  <c r="BI36" i="34"/>
  <c r="AX36" i="34"/>
  <c r="AI36" i="34"/>
  <c r="AD36" i="34"/>
  <c r="AA36" i="34"/>
  <c r="P36" i="34"/>
  <c r="AE36" i="34" s="1"/>
  <c r="F47" i="35" s="1"/>
  <c r="I47" i="35" s="1"/>
  <c r="B36" i="34"/>
  <c r="CT35" i="34"/>
  <c r="CQ35" i="34"/>
  <c r="CF35" i="34"/>
  <c r="CU35" i="34" s="1"/>
  <c r="H46" i="35" s="1"/>
  <c r="BL35" i="34"/>
  <c r="BI35" i="34"/>
  <c r="AX35" i="34"/>
  <c r="BM35" i="34" s="1"/>
  <c r="G46" i="35" s="1"/>
  <c r="AD35" i="34"/>
  <c r="AA35" i="34"/>
  <c r="P35" i="34"/>
  <c r="AE35" i="34" s="1"/>
  <c r="F46" i="35" s="1"/>
  <c r="I46" i="35" s="1"/>
  <c r="B35" i="34"/>
  <c r="AI35" i="34" s="1"/>
  <c r="BQ35" i="34" s="1"/>
  <c r="CT34" i="34"/>
  <c r="CQ34" i="34"/>
  <c r="CF34" i="34"/>
  <c r="CU34" i="34" s="1"/>
  <c r="H45" i="35" s="1"/>
  <c r="BQ34" i="34"/>
  <c r="BM34" i="34"/>
  <c r="BL34" i="34"/>
  <c r="BI34" i="34"/>
  <c r="AX34" i="34"/>
  <c r="AI34" i="34"/>
  <c r="AD34" i="34"/>
  <c r="AA34" i="34"/>
  <c r="P34" i="34"/>
  <c r="AE34" i="34" s="1"/>
  <c r="F45" i="35" s="1"/>
  <c r="I45" i="35" s="1"/>
  <c r="B34" i="34"/>
  <c r="CU33" i="34"/>
  <c r="H44" i="35" s="1"/>
  <c r="CT33" i="34"/>
  <c r="CQ33" i="34"/>
  <c r="CF33" i="34"/>
  <c r="BL33" i="34"/>
  <c r="BI33" i="34"/>
  <c r="AX33" i="34"/>
  <c r="BM33" i="34" s="1"/>
  <c r="G44" i="35" s="1"/>
  <c r="AD33" i="34"/>
  <c r="AA33" i="34"/>
  <c r="P33" i="34"/>
  <c r="AE33" i="34" s="1"/>
  <c r="F44" i="35" s="1"/>
  <c r="I44" i="35" s="1"/>
  <c r="B33" i="34"/>
  <c r="AI33" i="34" s="1"/>
  <c r="BQ33" i="34" s="1"/>
  <c r="CT32" i="34"/>
  <c r="CQ32" i="34"/>
  <c r="CF32" i="34"/>
  <c r="CU32" i="34" s="1"/>
  <c r="H43" i="35" s="1"/>
  <c r="BL32" i="34"/>
  <c r="BI32" i="34"/>
  <c r="AX32" i="34"/>
  <c r="BM32" i="34" s="1"/>
  <c r="G43" i="35" s="1"/>
  <c r="AD32" i="34"/>
  <c r="AA32" i="34"/>
  <c r="P32" i="34"/>
  <c r="AE32" i="34" s="1"/>
  <c r="B32" i="34"/>
  <c r="AI32" i="34" s="1"/>
  <c r="BQ32" i="34" s="1"/>
  <c r="CU31" i="34"/>
  <c r="H42" i="35" s="1"/>
  <c r="CT31" i="34"/>
  <c r="CQ31" i="34"/>
  <c r="CF31" i="34"/>
  <c r="BQ31" i="34"/>
  <c r="BL31" i="34"/>
  <c r="BI31" i="34"/>
  <c r="AX31" i="34"/>
  <c r="BM31" i="34" s="1"/>
  <c r="G42" i="35" s="1"/>
  <c r="AI31" i="34"/>
  <c r="AE31" i="34"/>
  <c r="F42" i="35" s="1"/>
  <c r="I42" i="35" s="1"/>
  <c r="AD31" i="34"/>
  <c r="AA31" i="34"/>
  <c r="P31" i="34"/>
  <c r="B31" i="34"/>
  <c r="CT30" i="34"/>
  <c r="CQ30" i="34"/>
  <c r="CF30" i="34"/>
  <c r="CU30" i="34" s="1"/>
  <c r="BL30" i="34"/>
  <c r="BI30" i="34"/>
  <c r="AX30" i="34"/>
  <c r="BM30" i="34" s="1"/>
  <c r="G41" i="35" s="1"/>
  <c r="AI30" i="34"/>
  <c r="BQ30" i="34" s="1"/>
  <c r="AD30" i="34"/>
  <c r="AA30" i="34"/>
  <c r="P30" i="34"/>
  <c r="AE30" i="34" s="1"/>
  <c r="F41" i="35" s="1"/>
  <c r="I41" i="35" s="1"/>
  <c r="B30" i="34"/>
  <c r="CT29" i="34"/>
  <c r="CQ29" i="34"/>
  <c r="CF29" i="34"/>
  <c r="CU29" i="34" s="1"/>
  <c r="H40" i="35" s="1"/>
  <c r="BL29" i="34"/>
  <c r="BI29" i="34"/>
  <c r="AX29" i="34"/>
  <c r="BM29" i="34" s="1"/>
  <c r="G40" i="35" s="1"/>
  <c r="AI29" i="34"/>
  <c r="BQ29" i="34" s="1"/>
  <c r="AE29" i="34"/>
  <c r="F40" i="35" s="1"/>
  <c r="I40" i="35" s="1"/>
  <c r="AD29" i="34"/>
  <c r="AA29" i="34"/>
  <c r="P29" i="34"/>
  <c r="B29" i="34"/>
  <c r="CT28" i="34"/>
  <c r="CQ28" i="34"/>
  <c r="CF28" i="34"/>
  <c r="CU28" i="34" s="1"/>
  <c r="H39" i="35" s="1"/>
  <c r="BQ28" i="34"/>
  <c r="BM28" i="34"/>
  <c r="G39" i="35" s="1"/>
  <c r="BL28" i="34"/>
  <c r="BI28" i="34"/>
  <c r="AX28" i="34"/>
  <c r="AI28" i="34"/>
  <c r="AE28" i="34"/>
  <c r="F39" i="35" s="1"/>
  <c r="I39" i="35" s="1"/>
  <c r="AD28" i="34"/>
  <c r="AA28" i="34"/>
  <c r="P28" i="34"/>
  <c r="B28" i="34"/>
  <c r="CT27" i="34"/>
  <c r="CQ27" i="34"/>
  <c r="CF27" i="34"/>
  <c r="CU27" i="34" s="1"/>
  <c r="H38" i="35" s="1"/>
  <c r="BL27" i="34"/>
  <c r="BI27" i="34"/>
  <c r="AX27" i="34"/>
  <c r="BM27" i="34" s="1"/>
  <c r="G38" i="35" s="1"/>
  <c r="AD27" i="34"/>
  <c r="AA27" i="34"/>
  <c r="P27" i="34"/>
  <c r="AE27" i="34" s="1"/>
  <c r="F38" i="35" s="1"/>
  <c r="I38" i="35" s="1"/>
  <c r="B27" i="34"/>
  <c r="AI27" i="34" s="1"/>
  <c r="BQ27" i="34" s="1"/>
  <c r="CT26" i="34"/>
  <c r="CQ26" i="34"/>
  <c r="CF26" i="34"/>
  <c r="CU26" i="34" s="1"/>
  <c r="H37" i="35" s="1"/>
  <c r="BQ26" i="34"/>
  <c r="BM26" i="34"/>
  <c r="BL26" i="34"/>
  <c r="BI26" i="34"/>
  <c r="AX26" i="34"/>
  <c r="AI26" i="34"/>
  <c r="AD26" i="34"/>
  <c r="AA26" i="34"/>
  <c r="P26" i="34"/>
  <c r="AE26" i="34" s="1"/>
  <c r="F37" i="35" s="1"/>
  <c r="I37" i="35" s="1"/>
  <c r="B26" i="34"/>
  <c r="CU25" i="34"/>
  <c r="H36" i="35" s="1"/>
  <c r="CT25" i="34"/>
  <c r="CQ25" i="34"/>
  <c r="CF25" i="34"/>
  <c r="BM25" i="34"/>
  <c r="G36" i="35" s="1"/>
  <c r="BL25" i="34"/>
  <c r="BI25" i="34"/>
  <c r="AX25" i="34"/>
  <c r="AD25" i="34"/>
  <c r="AA25" i="34"/>
  <c r="P25" i="34"/>
  <c r="AE25" i="34" s="1"/>
  <c r="F36" i="35" s="1"/>
  <c r="I36" i="35" s="1"/>
  <c r="B25" i="34"/>
  <c r="AI25" i="34" s="1"/>
  <c r="BQ25" i="34" s="1"/>
  <c r="CT24" i="34"/>
  <c r="CQ24" i="34"/>
  <c r="CF24" i="34"/>
  <c r="CU24" i="34" s="1"/>
  <c r="H35" i="35" s="1"/>
  <c r="BL24" i="34"/>
  <c r="BI24" i="34"/>
  <c r="AX24" i="34"/>
  <c r="BM24" i="34" s="1"/>
  <c r="G35" i="35" s="1"/>
  <c r="AD24" i="34"/>
  <c r="AA24" i="34"/>
  <c r="P24" i="34"/>
  <c r="AE24" i="34" s="1"/>
  <c r="B24" i="34"/>
  <c r="AI24" i="34" s="1"/>
  <c r="BQ24" i="34" s="1"/>
  <c r="CU23" i="34"/>
  <c r="H34" i="35" s="1"/>
  <c r="CT23" i="34"/>
  <c r="CQ23" i="34"/>
  <c r="CF23" i="34"/>
  <c r="BQ23" i="34"/>
  <c r="BL23" i="34"/>
  <c r="BI23" i="34"/>
  <c r="AX23" i="34"/>
  <c r="BM23" i="34" s="1"/>
  <c r="G34" i="35" s="1"/>
  <c r="AI23" i="34"/>
  <c r="AE23" i="34"/>
  <c r="F34" i="35" s="1"/>
  <c r="I34" i="35" s="1"/>
  <c r="AD23" i="34"/>
  <c r="AA23" i="34"/>
  <c r="P23" i="34"/>
  <c r="B23" i="34"/>
  <c r="CU22" i="34"/>
  <c r="CT22" i="34"/>
  <c r="CQ22" i="34"/>
  <c r="CF22" i="34"/>
  <c r="BL22" i="34"/>
  <c r="BI22" i="34"/>
  <c r="AX22" i="34"/>
  <c r="BM22" i="34" s="1"/>
  <c r="G33" i="35" s="1"/>
  <c r="AI22" i="34"/>
  <c r="BQ22" i="34" s="1"/>
  <c r="AD22" i="34"/>
  <c r="AA22" i="34"/>
  <c r="P22" i="34"/>
  <c r="AE22" i="34" s="1"/>
  <c r="F33" i="35" s="1"/>
  <c r="I33" i="35" s="1"/>
  <c r="B22" i="34"/>
  <c r="CT21" i="34"/>
  <c r="CQ21" i="34"/>
  <c r="CF21" i="34"/>
  <c r="CU21" i="34" s="1"/>
  <c r="H32" i="35" s="1"/>
  <c r="BL21" i="34"/>
  <c r="BI21" i="34"/>
  <c r="AX21" i="34"/>
  <c r="BM21" i="34" s="1"/>
  <c r="G32" i="35" s="1"/>
  <c r="AE21" i="34"/>
  <c r="F32" i="35" s="1"/>
  <c r="I32" i="35" s="1"/>
  <c r="AD21" i="34"/>
  <c r="AA21" i="34"/>
  <c r="P21" i="34"/>
  <c r="B21" i="34"/>
  <c r="AI21" i="34" s="1"/>
  <c r="BQ21" i="34" s="1"/>
  <c r="CT20" i="34"/>
  <c r="CQ20" i="34"/>
  <c r="CF20" i="34"/>
  <c r="CU20" i="34" s="1"/>
  <c r="H31" i="35" s="1"/>
  <c r="BQ20" i="34"/>
  <c r="BM20" i="34"/>
  <c r="G31" i="35" s="1"/>
  <c r="BL20" i="34"/>
  <c r="BI20" i="34"/>
  <c r="AX20" i="34"/>
  <c r="AI20" i="34"/>
  <c r="AE20" i="34"/>
  <c r="F31" i="35" s="1"/>
  <c r="I31" i="35" s="1"/>
  <c r="AD20" i="34"/>
  <c r="AA20" i="34"/>
  <c r="P20" i="34"/>
  <c r="B20" i="34"/>
  <c r="CT19" i="34"/>
  <c r="CQ19" i="34"/>
  <c r="CF19" i="34"/>
  <c r="CU19" i="34" s="1"/>
  <c r="H30" i="35" s="1"/>
  <c r="BL19" i="34"/>
  <c r="BI19" i="34"/>
  <c r="AX19" i="34"/>
  <c r="BM19" i="34" s="1"/>
  <c r="G30" i="35" s="1"/>
  <c r="AD19" i="34"/>
  <c r="AA19" i="34"/>
  <c r="P19" i="34"/>
  <c r="AE19" i="34" s="1"/>
  <c r="F30" i="35" s="1"/>
  <c r="I30" i="35" s="1"/>
  <c r="B19" i="34"/>
  <c r="AI19" i="34" s="1"/>
  <c r="BQ19" i="34" s="1"/>
  <c r="CT18" i="34"/>
  <c r="CQ18" i="34"/>
  <c r="CF18" i="34"/>
  <c r="CU18" i="34" s="1"/>
  <c r="H29" i="35" s="1"/>
  <c r="BM18" i="34"/>
  <c r="G29" i="35" s="1"/>
  <c r="BL18" i="34"/>
  <c r="BI18" i="34"/>
  <c r="AX18" i="34"/>
  <c r="AD18" i="34"/>
  <c r="AA18" i="34"/>
  <c r="P18" i="34"/>
  <c r="AE18" i="34" s="1"/>
  <c r="F29" i="35" s="1"/>
  <c r="I29" i="35" s="1"/>
  <c r="B18" i="34"/>
  <c r="AI18" i="34" s="1"/>
  <c r="BQ18" i="34" s="1"/>
  <c r="CU17" i="34"/>
  <c r="H28" i="35" s="1"/>
  <c r="CT17" i="34"/>
  <c r="CQ17" i="34"/>
  <c r="CF17" i="34"/>
  <c r="BL17" i="34"/>
  <c r="BI17" i="34"/>
  <c r="AX17" i="34"/>
  <c r="BM17" i="34" s="1"/>
  <c r="G28" i="35" s="1"/>
  <c r="AD17" i="34"/>
  <c r="AA17" i="34"/>
  <c r="P17" i="34"/>
  <c r="AE17" i="34" s="1"/>
  <c r="F28" i="35" s="1"/>
  <c r="I28" i="35" s="1"/>
  <c r="B17" i="34"/>
  <c r="AI17" i="34" s="1"/>
  <c r="BQ17" i="34" s="1"/>
  <c r="CU16" i="34"/>
  <c r="H27" i="35" s="1"/>
  <c r="CT16" i="34"/>
  <c r="CQ16" i="34"/>
  <c r="CF16" i="34"/>
  <c r="BL16" i="34"/>
  <c r="BI16" i="34"/>
  <c r="AX16" i="34"/>
  <c r="BM16" i="34" s="1"/>
  <c r="G27" i="35" s="1"/>
  <c r="AI16" i="34"/>
  <c r="BQ16" i="34" s="1"/>
  <c r="AD16" i="34"/>
  <c r="AA16" i="34"/>
  <c r="P16" i="34"/>
  <c r="AE16" i="34" s="1"/>
  <c r="F27" i="35" s="1"/>
  <c r="I27" i="35" s="1"/>
  <c r="B16" i="34"/>
  <c r="CU15" i="34"/>
  <c r="H26" i="35" s="1"/>
  <c r="CT15" i="34"/>
  <c r="CQ15" i="34"/>
  <c r="CF15" i="34"/>
  <c r="BL15" i="34"/>
  <c r="BI15" i="34"/>
  <c r="AX15" i="34"/>
  <c r="BM15" i="34" s="1"/>
  <c r="G26" i="35" s="1"/>
  <c r="AI15" i="34"/>
  <c r="BQ15" i="34" s="1"/>
  <c r="AE15" i="34"/>
  <c r="F26" i="35" s="1"/>
  <c r="I26" i="35" s="1"/>
  <c r="AD15" i="34"/>
  <c r="AA15" i="34"/>
  <c r="P15" i="34"/>
  <c r="B15" i="34"/>
  <c r="CU14" i="34"/>
  <c r="CT14" i="34"/>
  <c r="CQ14" i="34"/>
  <c r="CF14" i="34"/>
  <c r="BL14" i="34"/>
  <c r="BI14" i="34"/>
  <c r="AX14" i="34"/>
  <c r="BM14" i="34" s="1"/>
  <c r="G25" i="35" s="1"/>
  <c r="AI14" i="34"/>
  <c r="BQ14" i="34" s="1"/>
  <c r="AD14" i="34"/>
  <c r="AA14" i="34"/>
  <c r="P14" i="34"/>
  <c r="AE14" i="34" s="1"/>
  <c r="F25" i="35" s="1"/>
  <c r="I25" i="35" s="1"/>
  <c r="B14" i="34"/>
  <c r="CT13" i="34"/>
  <c r="CQ13" i="34"/>
  <c r="CF13" i="34"/>
  <c r="CU13" i="34" s="1"/>
  <c r="H24" i="35" s="1"/>
  <c r="BL13" i="34"/>
  <c r="BI13" i="34"/>
  <c r="AX13" i="34"/>
  <c r="BM13" i="34" s="1"/>
  <c r="G24" i="35" s="1"/>
  <c r="AE13" i="34"/>
  <c r="F24" i="35" s="1"/>
  <c r="I24" i="35" s="1"/>
  <c r="AD13" i="34"/>
  <c r="AA13" i="34"/>
  <c r="P13" i="34"/>
  <c r="B13" i="34"/>
  <c r="AI13" i="34" s="1"/>
  <c r="BQ13" i="34" s="1"/>
  <c r="CT12" i="34"/>
  <c r="CQ12" i="34"/>
  <c r="CF12" i="34"/>
  <c r="CU12" i="34" s="1"/>
  <c r="H23" i="35" s="1"/>
  <c r="BQ12" i="34"/>
  <c r="BM12" i="34"/>
  <c r="G23" i="35" s="1"/>
  <c r="BL12" i="34"/>
  <c r="BI12" i="34"/>
  <c r="AX12" i="34"/>
  <c r="AI12" i="34"/>
  <c r="AD12" i="34"/>
  <c r="AA12" i="34"/>
  <c r="P12" i="34"/>
  <c r="AE12" i="34" s="1"/>
  <c r="F23" i="35" s="1"/>
  <c r="I23" i="35" s="1"/>
  <c r="B12" i="34"/>
  <c r="CT11" i="34"/>
  <c r="CQ11" i="34"/>
  <c r="CF11" i="34"/>
  <c r="CU11" i="34" s="1"/>
  <c r="H22" i="35" s="1"/>
  <c r="BM11" i="34"/>
  <c r="G22" i="35" s="1"/>
  <c r="BL11" i="34"/>
  <c r="BI11" i="34"/>
  <c r="AX11" i="34"/>
  <c r="AD11" i="34"/>
  <c r="AA11" i="34"/>
  <c r="P11" i="34"/>
  <c r="AE11" i="34" s="1"/>
  <c r="F22" i="35" s="1"/>
  <c r="I22" i="35" s="1"/>
  <c r="B11" i="34"/>
  <c r="AI11" i="34" s="1"/>
  <c r="BQ11" i="34" s="1"/>
  <c r="CT10" i="34"/>
  <c r="CQ10" i="34"/>
  <c r="CF10" i="34"/>
  <c r="CU10" i="34" s="1"/>
  <c r="H21" i="35" s="1"/>
  <c r="BM10" i="34"/>
  <c r="G21" i="35" s="1"/>
  <c r="BL10" i="34"/>
  <c r="BI10" i="34"/>
  <c r="AX10" i="34"/>
  <c r="AD10" i="34"/>
  <c r="AA10" i="34"/>
  <c r="P10" i="34"/>
  <c r="AE10" i="34" s="1"/>
  <c r="F21" i="35" s="1"/>
  <c r="I21" i="35" s="1"/>
  <c r="B10" i="34"/>
  <c r="AI10" i="34" s="1"/>
  <c r="BQ10" i="34" s="1"/>
  <c r="CU9" i="34"/>
  <c r="H20" i="35" s="1"/>
  <c r="CT9" i="34"/>
  <c r="CQ9" i="34"/>
  <c r="CF9" i="34"/>
  <c r="BL9" i="34"/>
  <c r="BI9" i="34"/>
  <c r="AX9" i="34"/>
  <c r="BM9" i="34" s="1"/>
  <c r="G20" i="35" s="1"/>
  <c r="AD9" i="34"/>
  <c r="AA9" i="34"/>
  <c r="P9" i="34"/>
  <c r="AE9" i="34" s="1"/>
  <c r="F20" i="35" s="1"/>
  <c r="I20" i="35" s="1"/>
  <c r="B9" i="34"/>
  <c r="AI9" i="34" s="1"/>
  <c r="BQ9" i="34" s="1"/>
  <c r="CU8" i="34"/>
  <c r="H19" i="35" s="1"/>
  <c r="CT8" i="34"/>
  <c r="CQ8" i="34"/>
  <c r="CF8" i="34"/>
  <c r="BL8" i="34"/>
  <c r="BI8" i="34"/>
  <c r="AX8" i="34"/>
  <c r="BM8" i="34" s="1"/>
  <c r="G19" i="35" s="1"/>
  <c r="AI8" i="34"/>
  <c r="BQ8" i="34" s="1"/>
  <c r="AD8" i="34"/>
  <c r="AA8" i="34"/>
  <c r="P8" i="34"/>
  <c r="AE8" i="34" s="1"/>
  <c r="B8" i="34"/>
  <c r="CU7" i="34"/>
  <c r="H18" i="35" s="1"/>
  <c r="CT7" i="34"/>
  <c r="CQ7" i="34"/>
  <c r="CF7" i="34"/>
  <c r="BQ7" i="34"/>
  <c r="BL7" i="34"/>
  <c r="BI7" i="34"/>
  <c r="AX7" i="34"/>
  <c r="BM7" i="34" s="1"/>
  <c r="G18" i="35" s="1"/>
  <c r="AI7" i="34"/>
  <c r="AE7" i="34"/>
  <c r="F18" i="35" s="1"/>
  <c r="I18" i="35" s="1"/>
  <c r="AD7" i="34"/>
  <c r="AA7" i="34"/>
  <c r="P7" i="34"/>
  <c r="B7" i="34"/>
  <c r="CU6" i="34"/>
  <c r="CT6" i="34"/>
  <c r="CQ6" i="34"/>
  <c r="CF6" i="34"/>
  <c r="BM6" i="34"/>
  <c r="G17" i="35" s="1"/>
  <c r="BL6" i="34"/>
  <c r="BI6" i="34"/>
  <c r="AX6" i="34"/>
  <c r="AI6" i="34"/>
  <c r="BQ6" i="34" s="1"/>
  <c r="AD6" i="34"/>
  <c r="AA6" i="34"/>
  <c r="P6" i="34"/>
  <c r="AE6" i="34" s="1"/>
  <c r="F17" i="35" s="1"/>
  <c r="I17" i="35" s="1"/>
  <c r="B6" i="34"/>
  <c r="CT5" i="34"/>
  <c r="CQ5" i="34"/>
  <c r="CF5" i="34"/>
  <c r="CU5" i="34" s="1"/>
  <c r="H16" i="35" s="1"/>
  <c r="BL5" i="34"/>
  <c r="BI5" i="34"/>
  <c r="AX5" i="34"/>
  <c r="BM5" i="34" s="1"/>
  <c r="G16" i="35" s="1"/>
  <c r="AI5" i="34"/>
  <c r="BQ5" i="34" s="1"/>
  <c r="AE5" i="34"/>
  <c r="F16" i="35" s="1"/>
  <c r="I16" i="35" s="1"/>
  <c r="AD5" i="34"/>
  <c r="AA5" i="34"/>
  <c r="P5" i="34"/>
  <c r="B5" i="34"/>
  <c r="C55" i="33"/>
  <c r="C54" i="33"/>
  <c r="C53" i="33"/>
  <c r="H52" i="33"/>
  <c r="C52" i="33"/>
  <c r="C51" i="33"/>
  <c r="C50" i="33"/>
  <c r="H49" i="33"/>
  <c r="C49" i="33"/>
  <c r="C48" i="33"/>
  <c r="C47" i="33"/>
  <c r="C46" i="33"/>
  <c r="C45" i="33"/>
  <c r="C44" i="33"/>
  <c r="C43" i="33"/>
  <c r="C42" i="33"/>
  <c r="C41" i="33"/>
  <c r="C40" i="33"/>
  <c r="C39" i="33"/>
  <c r="C38" i="33"/>
  <c r="C37" i="33"/>
  <c r="C36" i="33"/>
  <c r="C35" i="33"/>
  <c r="C34" i="33"/>
  <c r="H33" i="33"/>
  <c r="C33" i="33"/>
  <c r="C32" i="33"/>
  <c r="C31" i="33"/>
  <c r="C30" i="33"/>
  <c r="C29" i="33"/>
  <c r="C28" i="33"/>
  <c r="C27" i="33"/>
  <c r="C26" i="33"/>
  <c r="C25" i="33"/>
  <c r="C24" i="33"/>
  <c r="C23" i="33"/>
  <c r="C22" i="33"/>
  <c r="C21" i="33"/>
  <c r="C20" i="33"/>
  <c r="C19" i="33"/>
  <c r="C18" i="33"/>
  <c r="C17" i="33"/>
  <c r="C16" i="33"/>
  <c r="CT49" i="32"/>
  <c r="CQ49" i="32"/>
  <c r="CF49" i="32"/>
  <c r="CU49" i="32" s="1"/>
  <c r="B44" i="32"/>
  <c r="B43" i="32"/>
  <c r="B42" i="32"/>
  <c r="CU41" i="32"/>
  <c r="CT41" i="32"/>
  <c r="CQ41" i="32"/>
  <c r="CF41" i="32"/>
  <c r="BL41" i="32"/>
  <c r="BI41" i="32"/>
  <c r="AX41" i="32"/>
  <c r="BM41" i="32" s="1"/>
  <c r="G52" i="33" s="1"/>
  <c r="AE41" i="32"/>
  <c r="F52" i="33" s="1"/>
  <c r="I52" i="33" s="1"/>
  <c r="AD41" i="32"/>
  <c r="AA41" i="32"/>
  <c r="P41" i="32"/>
  <c r="B41" i="32"/>
  <c r="AI41" i="32" s="1"/>
  <c r="BQ41" i="32" s="1"/>
  <c r="CT40" i="32"/>
  <c r="CQ40" i="32"/>
  <c r="CF40" i="32"/>
  <c r="CU40" i="32" s="1"/>
  <c r="H51" i="33" s="1"/>
  <c r="BL40" i="32"/>
  <c r="BI40" i="32"/>
  <c r="AX40" i="32"/>
  <c r="BM40" i="32" s="1"/>
  <c r="G51" i="33" s="1"/>
  <c r="AI40" i="32"/>
  <c r="BQ40" i="32" s="1"/>
  <c r="AD40" i="32"/>
  <c r="AA40" i="32"/>
  <c r="P40" i="32"/>
  <c r="AE40" i="32" s="1"/>
  <c r="F51" i="33" s="1"/>
  <c r="I51" i="33" s="1"/>
  <c r="B40" i="32"/>
  <c r="CU39" i="32"/>
  <c r="H50" i="33" s="1"/>
  <c r="CT39" i="32"/>
  <c r="CQ39" i="32"/>
  <c r="CF39" i="32"/>
  <c r="BQ39" i="32"/>
  <c r="BL39" i="32"/>
  <c r="BI39" i="32"/>
  <c r="AX39" i="32"/>
  <c r="BM39" i="32" s="1"/>
  <c r="G50" i="33" s="1"/>
  <c r="AI39" i="32"/>
  <c r="AE39" i="32"/>
  <c r="F50" i="33" s="1"/>
  <c r="I50" i="33" s="1"/>
  <c r="AD39" i="32"/>
  <c r="AA39" i="32"/>
  <c r="P39" i="32"/>
  <c r="B39" i="32"/>
  <c r="CT38" i="32"/>
  <c r="CQ38" i="32"/>
  <c r="CF38" i="32"/>
  <c r="CU38" i="32" s="1"/>
  <c r="BM38" i="32"/>
  <c r="G49" i="33" s="1"/>
  <c r="BL38" i="32"/>
  <c r="BI38" i="32"/>
  <c r="AX38" i="32"/>
  <c r="AI38" i="32"/>
  <c r="BQ38" i="32" s="1"/>
  <c r="AD38" i="32"/>
  <c r="AA38" i="32"/>
  <c r="P38" i="32"/>
  <c r="AE38" i="32" s="1"/>
  <c r="F49" i="33" s="1"/>
  <c r="I49" i="33" s="1"/>
  <c r="B38" i="32"/>
  <c r="CT37" i="32"/>
  <c r="CQ37" i="32"/>
  <c r="CF37" i="32"/>
  <c r="CU37" i="32" s="1"/>
  <c r="H48" i="33" s="1"/>
  <c r="BL37" i="32"/>
  <c r="BI37" i="32"/>
  <c r="AX37" i="32"/>
  <c r="BM37" i="32" s="1"/>
  <c r="G48" i="33" s="1"/>
  <c r="AE37" i="32"/>
  <c r="F48" i="33" s="1"/>
  <c r="I48" i="33" s="1"/>
  <c r="AD37" i="32"/>
  <c r="AA37" i="32"/>
  <c r="P37" i="32"/>
  <c r="B37" i="32"/>
  <c r="AI37" i="32" s="1"/>
  <c r="BQ37" i="32" s="1"/>
  <c r="CT36" i="32"/>
  <c r="CQ36" i="32"/>
  <c r="CF36" i="32"/>
  <c r="CU36" i="32" s="1"/>
  <c r="H47" i="33" s="1"/>
  <c r="BQ36" i="32"/>
  <c r="BM36" i="32"/>
  <c r="G47" i="33" s="1"/>
  <c r="BL36" i="32"/>
  <c r="BI36" i="32"/>
  <c r="AX36" i="32"/>
  <c r="AI36" i="32"/>
  <c r="AD36" i="32"/>
  <c r="AA36" i="32"/>
  <c r="P36" i="32"/>
  <c r="AE36" i="32" s="1"/>
  <c r="F47" i="33" s="1"/>
  <c r="I47" i="33" s="1"/>
  <c r="B36" i="32"/>
  <c r="CT35" i="32"/>
  <c r="CQ35" i="32"/>
  <c r="CF35" i="32"/>
  <c r="CU35" i="32" s="1"/>
  <c r="H46" i="33" s="1"/>
  <c r="BM35" i="32"/>
  <c r="G46" i="33" s="1"/>
  <c r="BL35" i="32"/>
  <c r="BI35" i="32"/>
  <c r="AX35" i="32"/>
  <c r="AD35" i="32"/>
  <c r="AA35" i="32"/>
  <c r="P35" i="32"/>
  <c r="AE35" i="32" s="1"/>
  <c r="F46" i="33" s="1"/>
  <c r="I46" i="33" s="1"/>
  <c r="B35" i="32"/>
  <c r="AI35" i="32" s="1"/>
  <c r="BQ35" i="32" s="1"/>
  <c r="CT34" i="32"/>
  <c r="CQ34" i="32"/>
  <c r="CF34" i="32"/>
  <c r="CU34" i="32" s="1"/>
  <c r="H45" i="33" s="1"/>
  <c r="BM34" i="32"/>
  <c r="G45" i="33" s="1"/>
  <c r="BL34" i="32"/>
  <c r="BI34" i="32"/>
  <c r="AX34" i="32"/>
  <c r="AI34" i="32"/>
  <c r="BQ34" i="32" s="1"/>
  <c r="AD34" i="32"/>
  <c r="AA34" i="32"/>
  <c r="P34" i="32"/>
  <c r="AE34" i="32" s="1"/>
  <c r="F45" i="33" s="1"/>
  <c r="I45" i="33" s="1"/>
  <c r="B34" i="32"/>
  <c r="CU33" i="32"/>
  <c r="H44" i="33" s="1"/>
  <c r="CT33" i="32"/>
  <c r="CQ33" i="32"/>
  <c r="CF33" i="32"/>
  <c r="BL33" i="32"/>
  <c r="BI33" i="32"/>
  <c r="AX33" i="32"/>
  <c r="BM33" i="32" s="1"/>
  <c r="G44" i="33" s="1"/>
  <c r="AE33" i="32"/>
  <c r="F44" i="33" s="1"/>
  <c r="I44" i="33" s="1"/>
  <c r="AD33" i="32"/>
  <c r="AA33" i="32"/>
  <c r="P33" i="32"/>
  <c r="B33" i="32"/>
  <c r="AI33" i="32" s="1"/>
  <c r="BQ33" i="32" s="1"/>
  <c r="CU32" i="32"/>
  <c r="H43" i="33" s="1"/>
  <c r="CT32" i="32"/>
  <c r="CQ32" i="32"/>
  <c r="CF32" i="32"/>
  <c r="BM32" i="32"/>
  <c r="G43" i="33" s="1"/>
  <c r="BL32" i="32"/>
  <c r="BI32" i="32"/>
  <c r="AX32" i="32"/>
  <c r="AD32" i="32"/>
  <c r="AA32" i="32"/>
  <c r="P32" i="32"/>
  <c r="AE32" i="32" s="1"/>
  <c r="F43" i="33" s="1"/>
  <c r="I43" i="33" s="1"/>
  <c r="B32" i="32"/>
  <c r="AI32" i="32" s="1"/>
  <c r="BQ32" i="32" s="1"/>
  <c r="CU31" i="32"/>
  <c r="H42" i="33" s="1"/>
  <c r="CT31" i="32"/>
  <c r="CQ31" i="32"/>
  <c r="CF31" i="32"/>
  <c r="BL31" i="32"/>
  <c r="BI31" i="32"/>
  <c r="AX31" i="32"/>
  <c r="BM31" i="32" s="1"/>
  <c r="G42" i="33" s="1"/>
  <c r="AI31" i="32"/>
  <c r="BQ31" i="32" s="1"/>
  <c r="AE31" i="32"/>
  <c r="F42" i="33" s="1"/>
  <c r="I42" i="33" s="1"/>
  <c r="AD31" i="32"/>
  <c r="AA31" i="32"/>
  <c r="P31" i="32"/>
  <c r="B31" i="32"/>
  <c r="CU30" i="32"/>
  <c r="H41" i="33" s="1"/>
  <c r="CT30" i="32"/>
  <c r="CQ30" i="32"/>
  <c r="CF30" i="32"/>
  <c r="BL30" i="32"/>
  <c r="BI30" i="32"/>
  <c r="AX30" i="32"/>
  <c r="BM30" i="32" s="1"/>
  <c r="G41" i="33" s="1"/>
  <c r="AI30" i="32"/>
  <c r="BQ30" i="32" s="1"/>
  <c r="AE30" i="32"/>
  <c r="F41" i="33" s="1"/>
  <c r="I41" i="33" s="1"/>
  <c r="AD30" i="32"/>
  <c r="AA30" i="32"/>
  <c r="P30" i="32"/>
  <c r="B30" i="32"/>
  <c r="CT29" i="32"/>
  <c r="CQ29" i="32"/>
  <c r="CF29" i="32"/>
  <c r="CU29" i="32" s="1"/>
  <c r="H40" i="33" s="1"/>
  <c r="BQ29" i="32"/>
  <c r="BL29" i="32"/>
  <c r="BI29" i="32"/>
  <c r="AX29" i="32"/>
  <c r="BM29" i="32" s="1"/>
  <c r="G40" i="33" s="1"/>
  <c r="AI29" i="32"/>
  <c r="AE29" i="32"/>
  <c r="F40" i="33" s="1"/>
  <c r="I40" i="33" s="1"/>
  <c r="AD29" i="32"/>
  <c r="AA29" i="32"/>
  <c r="P29" i="32"/>
  <c r="B29" i="32"/>
  <c r="CT28" i="32"/>
  <c r="CQ28" i="32"/>
  <c r="CF28" i="32"/>
  <c r="CU28" i="32" s="1"/>
  <c r="H39" i="33" s="1"/>
  <c r="BQ28" i="32"/>
  <c r="BM28" i="32"/>
  <c r="G39" i="33" s="1"/>
  <c r="BL28" i="32"/>
  <c r="BI28" i="32"/>
  <c r="AX28" i="32"/>
  <c r="AI28" i="32"/>
  <c r="AD28" i="32"/>
  <c r="AA28" i="32"/>
  <c r="P28" i="32"/>
  <c r="AE28" i="32" s="1"/>
  <c r="F39" i="33" s="1"/>
  <c r="I39" i="33" s="1"/>
  <c r="B28" i="32"/>
  <c r="CU27" i="32"/>
  <c r="H38" i="33" s="1"/>
  <c r="CT27" i="32"/>
  <c r="CQ27" i="32"/>
  <c r="CF27" i="32"/>
  <c r="BL27" i="32"/>
  <c r="BI27" i="32"/>
  <c r="AX27" i="32"/>
  <c r="BM27" i="32" s="1"/>
  <c r="G38" i="33" s="1"/>
  <c r="AD27" i="32"/>
  <c r="AA27" i="32"/>
  <c r="P27" i="32"/>
  <c r="AE27" i="32" s="1"/>
  <c r="F38" i="33" s="1"/>
  <c r="I38" i="33" s="1"/>
  <c r="B27" i="32"/>
  <c r="AI27" i="32" s="1"/>
  <c r="BQ27" i="32" s="1"/>
  <c r="CT26" i="32"/>
  <c r="CQ26" i="32"/>
  <c r="CF26" i="32"/>
  <c r="CU26" i="32" s="1"/>
  <c r="H37" i="33" s="1"/>
  <c r="BM26" i="32"/>
  <c r="G37" i="33" s="1"/>
  <c r="BL26" i="32"/>
  <c r="BI26" i="32"/>
  <c r="AX26" i="32"/>
  <c r="AE26" i="32"/>
  <c r="F37" i="33" s="1"/>
  <c r="I37" i="33" s="1"/>
  <c r="AD26" i="32"/>
  <c r="AA26" i="32"/>
  <c r="P26" i="32"/>
  <c r="B26" i="32"/>
  <c r="AI26" i="32" s="1"/>
  <c r="BQ26" i="32" s="1"/>
  <c r="CT25" i="32"/>
  <c r="CQ25" i="32"/>
  <c r="CF25" i="32"/>
  <c r="CU25" i="32" s="1"/>
  <c r="H36" i="33" s="1"/>
  <c r="BQ25" i="32"/>
  <c r="BL25" i="32"/>
  <c r="BI25" i="32"/>
  <c r="AX25" i="32"/>
  <c r="BM25" i="32" s="1"/>
  <c r="G36" i="33" s="1"/>
  <c r="AD25" i="32"/>
  <c r="AA25" i="32"/>
  <c r="P25" i="32"/>
  <c r="AE25" i="32" s="1"/>
  <c r="F36" i="33" s="1"/>
  <c r="I36" i="33" s="1"/>
  <c r="B25" i="32"/>
  <c r="AI25" i="32" s="1"/>
  <c r="CT24" i="32"/>
  <c r="CQ24" i="32"/>
  <c r="CF24" i="32"/>
  <c r="CU24" i="32" s="1"/>
  <c r="H35" i="33" s="1"/>
  <c r="BM24" i="32"/>
  <c r="G35" i="33" s="1"/>
  <c r="BL24" i="32"/>
  <c r="BI24" i="32"/>
  <c r="AX24" i="32"/>
  <c r="AD24" i="32"/>
  <c r="AA24" i="32"/>
  <c r="P24" i="32"/>
  <c r="AE24" i="32" s="1"/>
  <c r="F35" i="33" s="1"/>
  <c r="I35" i="33" s="1"/>
  <c r="B24" i="32"/>
  <c r="AI24" i="32" s="1"/>
  <c r="BQ24" i="32" s="1"/>
  <c r="CU23" i="32"/>
  <c r="H34" i="33" s="1"/>
  <c r="CT23" i="32"/>
  <c r="CQ23" i="32"/>
  <c r="CF23" i="32"/>
  <c r="BL23" i="32"/>
  <c r="BI23" i="32"/>
  <c r="AX23" i="32"/>
  <c r="BM23" i="32" s="1"/>
  <c r="G34" i="33" s="1"/>
  <c r="AD23" i="32"/>
  <c r="AA23" i="32"/>
  <c r="P23" i="32"/>
  <c r="AE23" i="32" s="1"/>
  <c r="F34" i="33" s="1"/>
  <c r="I34" i="33" s="1"/>
  <c r="B23" i="32"/>
  <c r="AI23" i="32" s="1"/>
  <c r="BQ23" i="32" s="1"/>
  <c r="CU22" i="32"/>
  <c r="CT22" i="32"/>
  <c r="CQ22" i="32"/>
  <c r="CF22" i="32"/>
  <c r="BL22" i="32"/>
  <c r="BI22" i="32"/>
  <c r="AX22" i="32"/>
  <c r="BM22" i="32" s="1"/>
  <c r="G33" i="33" s="1"/>
  <c r="AI22" i="32"/>
  <c r="BQ22" i="32" s="1"/>
  <c r="AE22" i="32"/>
  <c r="F33" i="33" s="1"/>
  <c r="I33" i="33" s="1"/>
  <c r="AD22" i="32"/>
  <c r="AA22" i="32"/>
  <c r="P22" i="32"/>
  <c r="B22" i="32"/>
  <c r="CT21" i="32"/>
  <c r="CQ21" i="32"/>
  <c r="CF21" i="32"/>
  <c r="CU21" i="32" s="1"/>
  <c r="H32" i="33" s="1"/>
  <c r="BL21" i="32"/>
  <c r="BI21" i="32"/>
  <c r="AX21" i="32"/>
  <c r="BM21" i="32" s="1"/>
  <c r="G32" i="33" s="1"/>
  <c r="AI21" i="32"/>
  <c r="BQ21" i="32" s="1"/>
  <c r="AE21" i="32"/>
  <c r="F32" i="33" s="1"/>
  <c r="I32" i="33" s="1"/>
  <c r="AD21" i="32"/>
  <c r="AA21" i="32"/>
  <c r="P21" i="32"/>
  <c r="B21" i="32"/>
  <c r="CT20" i="32"/>
  <c r="CQ20" i="32"/>
  <c r="CF20" i="32"/>
  <c r="CU20" i="32" s="1"/>
  <c r="H31" i="33" s="1"/>
  <c r="BQ20" i="32"/>
  <c r="BM20" i="32"/>
  <c r="G31" i="33" s="1"/>
  <c r="BL20" i="32"/>
  <c r="BI20" i="32"/>
  <c r="AX20" i="32"/>
  <c r="AI20" i="32"/>
  <c r="AD20" i="32"/>
  <c r="AA20" i="32"/>
  <c r="P20" i="32"/>
  <c r="AE20" i="32" s="1"/>
  <c r="F31" i="33" s="1"/>
  <c r="I31" i="33" s="1"/>
  <c r="B20" i="32"/>
  <c r="CT19" i="32"/>
  <c r="CQ19" i="32"/>
  <c r="CF19" i="32"/>
  <c r="CU19" i="32" s="1"/>
  <c r="H30" i="33" s="1"/>
  <c r="BM19" i="32"/>
  <c r="G30" i="33" s="1"/>
  <c r="BL19" i="32"/>
  <c r="BI19" i="32"/>
  <c r="AX19" i="32"/>
  <c r="AD19" i="32"/>
  <c r="AA19" i="32"/>
  <c r="P19" i="32"/>
  <c r="AE19" i="32" s="1"/>
  <c r="F30" i="33" s="1"/>
  <c r="I30" i="33" s="1"/>
  <c r="B19" i="32"/>
  <c r="AI19" i="32" s="1"/>
  <c r="BQ19" i="32" s="1"/>
  <c r="CT18" i="32"/>
  <c r="CQ18" i="32"/>
  <c r="CF18" i="32"/>
  <c r="CU18" i="32" s="1"/>
  <c r="H29" i="33" s="1"/>
  <c r="BM18" i="32"/>
  <c r="G29" i="33" s="1"/>
  <c r="BL18" i="32"/>
  <c r="BI18" i="32"/>
  <c r="AX18" i="32"/>
  <c r="AD18" i="32"/>
  <c r="AA18" i="32"/>
  <c r="P18" i="32"/>
  <c r="AE18" i="32" s="1"/>
  <c r="F29" i="33" s="1"/>
  <c r="I29" i="33" s="1"/>
  <c r="B18" i="32"/>
  <c r="AI18" i="32" s="1"/>
  <c r="BQ18" i="32" s="1"/>
  <c r="CU17" i="32"/>
  <c r="H28" i="33" s="1"/>
  <c r="CT17" i="32"/>
  <c r="CQ17" i="32"/>
  <c r="CF17" i="32"/>
  <c r="BL17" i="32"/>
  <c r="BI17" i="32"/>
  <c r="AX17" i="32"/>
  <c r="BM17" i="32" s="1"/>
  <c r="G28" i="33" s="1"/>
  <c r="AD17" i="32"/>
  <c r="AA17" i="32"/>
  <c r="P17" i="32"/>
  <c r="AE17" i="32" s="1"/>
  <c r="F28" i="33" s="1"/>
  <c r="I28" i="33" s="1"/>
  <c r="B17" i="32"/>
  <c r="AI17" i="32" s="1"/>
  <c r="BQ17" i="32" s="1"/>
  <c r="CU16" i="32"/>
  <c r="H27" i="33" s="1"/>
  <c r="CT16" i="32"/>
  <c r="CQ16" i="32"/>
  <c r="CF16" i="32"/>
  <c r="BL16" i="32"/>
  <c r="BI16" i="32"/>
  <c r="AX16" i="32"/>
  <c r="BM16" i="32" s="1"/>
  <c r="G27" i="33" s="1"/>
  <c r="AI16" i="32"/>
  <c r="BQ16" i="32" s="1"/>
  <c r="AD16" i="32"/>
  <c r="AA16" i="32"/>
  <c r="P16" i="32"/>
  <c r="AE16" i="32" s="1"/>
  <c r="F27" i="33" s="1"/>
  <c r="I27" i="33" s="1"/>
  <c r="B16" i="32"/>
  <c r="CU15" i="32"/>
  <c r="H26" i="33" s="1"/>
  <c r="CT15" i="32"/>
  <c r="CQ15" i="32"/>
  <c r="CF15" i="32"/>
  <c r="BL15" i="32"/>
  <c r="BI15" i="32"/>
  <c r="AX15" i="32"/>
  <c r="BM15" i="32" s="1"/>
  <c r="G26" i="33" s="1"/>
  <c r="AI15" i="32"/>
  <c r="BQ15" i="32" s="1"/>
  <c r="AE15" i="32"/>
  <c r="F26" i="33" s="1"/>
  <c r="I26" i="33" s="1"/>
  <c r="AD15" i="32"/>
  <c r="AA15" i="32"/>
  <c r="P15" i="32"/>
  <c r="B15" i="32"/>
  <c r="CT14" i="32"/>
  <c r="CQ14" i="32"/>
  <c r="CF14" i="32"/>
  <c r="CU14" i="32" s="1"/>
  <c r="H25" i="33" s="1"/>
  <c r="BL14" i="32"/>
  <c r="BI14" i="32"/>
  <c r="AX14" i="32"/>
  <c r="BM14" i="32" s="1"/>
  <c r="G25" i="33" s="1"/>
  <c r="AI14" i="32"/>
  <c r="BQ14" i="32" s="1"/>
  <c r="AE14" i="32"/>
  <c r="F25" i="33" s="1"/>
  <c r="I25" i="33" s="1"/>
  <c r="AD14" i="32"/>
  <c r="AA14" i="32"/>
  <c r="P14" i="32"/>
  <c r="B14" i="32"/>
  <c r="CT13" i="32"/>
  <c r="CQ13" i="32"/>
  <c r="CF13" i="32"/>
  <c r="CU13" i="32" s="1"/>
  <c r="H24" i="33" s="1"/>
  <c r="BQ13" i="32"/>
  <c r="BL13" i="32"/>
  <c r="BI13" i="32"/>
  <c r="AX13" i="32"/>
  <c r="BM13" i="32" s="1"/>
  <c r="G24" i="33" s="1"/>
  <c r="AI13" i="32"/>
  <c r="AE13" i="32"/>
  <c r="F24" i="33" s="1"/>
  <c r="I24" i="33" s="1"/>
  <c r="AD13" i="32"/>
  <c r="AA13" i="32"/>
  <c r="P13" i="32"/>
  <c r="B13" i="32"/>
  <c r="CT12" i="32"/>
  <c r="CQ12" i="32"/>
  <c r="CF12" i="32"/>
  <c r="CU12" i="32" s="1"/>
  <c r="H23" i="33" s="1"/>
  <c r="BQ12" i="32"/>
  <c r="BM12" i="32"/>
  <c r="G23" i="33" s="1"/>
  <c r="BL12" i="32"/>
  <c r="BI12" i="32"/>
  <c r="AX12" i="32"/>
  <c r="AI12" i="32"/>
  <c r="AD12" i="32"/>
  <c r="AA12" i="32"/>
  <c r="P12" i="32"/>
  <c r="AE12" i="32" s="1"/>
  <c r="F23" i="33" s="1"/>
  <c r="I23" i="33" s="1"/>
  <c r="B12" i="32"/>
  <c r="CT11" i="32"/>
  <c r="CQ11" i="32"/>
  <c r="CF11" i="32"/>
  <c r="CU11" i="32" s="1"/>
  <c r="H22" i="33" s="1"/>
  <c r="BM11" i="32"/>
  <c r="G22" i="33" s="1"/>
  <c r="BL11" i="32"/>
  <c r="BI11" i="32"/>
  <c r="AX11" i="32"/>
  <c r="AD11" i="32"/>
  <c r="AA11" i="32"/>
  <c r="P11" i="32"/>
  <c r="AE11" i="32" s="1"/>
  <c r="F22" i="33" s="1"/>
  <c r="I22" i="33" s="1"/>
  <c r="B11" i="32"/>
  <c r="AI11" i="32" s="1"/>
  <c r="BQ11" i="32" s="1"/>
  <c r="CT10" i="32"/>
  <c r="CQ10" i="32"/>
  <c r="CF10" i="32"/>
  <c r="CU10" i="32" s="1"/>
  <c r="H21" i="33" s="1"/>
  <c r="BM10" i="32"/>
  <c r="G21" i="33" s="1"/>
  <c r="BL10" i="32"/>
  <c r="BI10" i="32"/>
  <c r="AX10" i="32"/>
  <c r="AD10" i="32"/>
  <c r="AA10" i="32"/>
  <c r="P10" i="32"/>
  <c r="AE10" i="32" s="1"/>
  <c r="F21" i="33" s="1"/>
  <c r="I21" i="33" s="1"/>
  <c r="B10" i="32"/>
  <c r="AI10" i="32" s="1"/>
  <c r="BQ10" i="32" s="1"/>
  <c r="CU9" i="32"/>
  <c r="H20" i="33" s="1"/>
  <c r="CT9" i="32"/>
  <c r="CQ9" i="32"/>
  <c r="CF9" i="32"/>
  <c r="BL9" i="32"/>
  <c r="BI9" i="32"/>
  <c r="AX9" i="32"/>
  <c r="BM9" i="32" s="1"/>
  <c r="G20" i="33" s="1"/>
  <c r="AD9" i="32"/>
  <c r="AA9" i="32"/>
  <c r="P9" i="32"/>
  <c r="AE9" i="32" s="1"/>
  <c r="F20" i="33" s="1"/>
  <c r="I20" i="33" s="1"/>
  <c r="B9" i="32"/>
  <c r="AI9" i="32" s="1"/>
  <c r="BQ9" i="32" s="1"/>
  <c r="CU8" i="32"/>
  <c r="H19" i="33" s="1"/>
  <c r="CT8" i="32"/>
  <c r="CQ8" i="32"/>
  <c r="CF8" i="32"/>
  <c r="BL8" i="32"/>
  <c r="BI8" i="32"/>
  <c r="AX8" i="32"/>
  <c r="BM8" i="32" s="1"/>
  <c r="G19" i="33" s="1"/>
  <c r="AI8" i="32"/>
  <c r="BQ8" i="32" s="1"/>
  <c r="AD8" i="32"/>
  <c r="AA8" i="32"/>
  <c r="P8" i="32"/>
  <c r="AE8" i="32" s="1"/>
  <c r="F19" i="33" s="1"/>
  <c r="I19" i="33" s="1"/>
  <c r="B8" i="32"/>
  <c r="CU7" i="32"/>
  <c r="H18" i="33" s="1"/>
  <c r="CT7" i="32"/>
  <c r="CQ7" i="32"/>
  <c r="CF7" i="32"/>
  <c r="BL7" i="32"/>
  <c r="BI7" i="32"/>
  <c r="AX7" i="32"/>
  <c r="BM7" i="32" s="1"/>
  <c r="G18" i="33" s="1"/>
  <c r="AI7" i="32"/>
  <c r="BQ7" i="32" s="1"/>
  <c r="AE7" i="32"/>
  <c r="F18" i="33" s="1"/>
  <c r="I18" i="33" s="1"/>
  <c r="AD7" i="32"/>
  <c r="AA7" i="32"/>
  <c r="P7" i="32"/>
  <c r="B7" i="32"/>
  <c r="CT6" i="32"/>
  <c r="CQ6" i="32"/>
  <c r="CF6" i="32"/>
  <c r="CU6" i="32" s="1"/>
  <c r="H17" i="33" s="1"/>
  <c r="BL6" i="32"/>
  <c r="BI6" i="32"/>
  <c r="AX6" i="32"/>
  <c r="BM6" i="32" s="1"/>
  <c r="G17" i="33" s="1"/>
  <c r="AI6" i="32"/>
  <c r="BQ6" i="32" s="1"/>
  <c r="AE6" i="32"/>
  <c r="F17" i="33" s="1"/>
  <c r="I17" i="33" s="1"/>
  <c r="AD6" i="32"/>
  <c r="AA6" i="32"/>
  <c r="P6" i="32"/>
  <c r="B6" i="32"/>
  <c r="CT5" i="32"/>
  <c r="CQ5" i="32"/>
  <c r="CF5" i="32"/>
  <c r="CU5" i="32" s="1"/>
  <c r="H16" i="33" s="1"/>
  <c r="BQ5" i="32"/>
  <c r="BL5" i="32"/>
  <c r="BI5" i="32"/>
  <c r="AX5" i="32"/>
  <c r="BM5" i="32" s="1"/>
  <c r="G16" i="33" s="1"/>
  <c r="AI5" i="32"/>
  <c r="AE5" i="32"/>
  <c r="F16" i="33" s="1"/>
  <c r="I16" i="33" s="1"/>
  <c r="AD5" i="32"/>
  <c r="AA5" i="32"/>
  <c r="P5" i="32"/>
  <c r="B5" i="32"/>
  <c r="C55" i="31"/>
  <c r="C54" i="31"/>
  <c r="C53" i="31"/>
  <c r="C52" i="31"/>
  <c r="C51" i="31"/>
  <c r="H50" i="31"/>
  <c r="C50" i="31"/>
  <c r="C49" i="31"/>
  <c r="I48" i="31"/>
  <c r="C48" i="31"/>
  <c r="G47" i="31"/>
  <c r="C47" i="31"/>
  <c r="C46" i="31"/>
  <c r="H45" i="31"/>
  <c r="C45" i="31"/>
  <c r="C44" i="31"/>
  <c r="C43" i="31"/>
  <c r="H42" i="31"/>
  <c r="C42" i="31"/>
  <c r="C41" i="31"/>
  <c r="I40" i="31"/>
  <c r="C40" i="31"/>
  <c r="C39" i="31"/>
  <c r="C38" i="31"/>
  <c r="I37" i="31"/>
  <c r="C37" i="31"/>
  <c r="C36" i="31"/>
  <c r="C35" i="31"/>
  <c r="H34" i="31"/>
  <c r="C34" i="31"/>
  <c r="C33" i="31"/>
  <c r="C32" i="31"/>
  <c r="C31" i="31"/>
  <c r="C30" i="31"/>
  <c r="C29" i="31"/>
  <c r="C28" i="31"/>
  <c r="C27" i="31"/>
  <c r="C26" i="31"/>
  <c r="C25" i="31"/>
  <c r="C24" i="31"/>
  <c r="C23" i="31"/>
  <c r="C22" i="31"/>
  <c r="C21" i="31"/>
  <c r="C20" i="31"/>
  <c r="C19" i="31"/>
  <c r="H18" i="31"/>
  <c r="C18" i="31"/>
  <c r="C17" i="31"/>
  <c r="C16" i="31"/>
  <c r="CT49" i="30"/>
  <c r="CQ49" i="30"/>
  <c r="CU49" i="30" s="1"/>
  <c r="B44" i="30"/>
  <c r="B43" i="30"/>
  <c r="B42" i="30"/>
  <c r="CT41" i="30"/>
  <c r="CQ41" i="30"/>
  <c r="CF41" i="30"/>
  <c r="CU41" i="30" s="1"/>
  <c r="H52" i="31" s="1"/>
  <c r="BQ41" i="30"/>
  <c r="BM41" i="30"/>
  <c r="G52" i="31" s="1"/>
  <c r="BL41" i="30"/>
  <c r="BI41" i="30"/>
  <c r="AX41" i="30"/>
  <c r="AI41" i="30"/>
  <c r="AD41" i="30"/>
  <c r="AA41" i="30"/>
  <c r="P41" i="30"/>
  <c r="AE41" i="30" s="1"/>
  <c r="F52" i="31" s="1"/>
  <c r="I52" i="31" s="1"/>
  <c r="B41" i="30"/>
  <c r="CT40" i="30"/>
  <c r="CQ40" i="30"/>
  <c r="CF40" i="30"/>
  <c r="CU40" i="30" s="1"/>
  <c r="H51" i="31" s="1"/>
  <c r="BM40" i="30"/>
  <c r="G51" i="31" s="1"/>
  <c r="BL40" i="30"/>
  <c r="BI40" i="30"/>
  <c r="AX40" i="30"/>
  <c r="AD40" i="30"/>
  <c r="AA40" i="30"/>
  <c r="P40" i="30"/>
  <c r="AE40" i="30" s="1"/>
  <c r="F51" i="31" s="1"/>
  <c r="I51" i="31" s="1"/>
  <c r="B40" i="30"/>
  <c r="AI40" i="30" s="1"/>
  <c r="BQ40" i="30" s="1"/>
  <c r="CT39" i="30"/>
  <c r="CQ39" i="30"/>
  <c r="CF39" i="30"/>
  <c r="CU39" i="30" s="1"/>
  <c r="BM39" i="30"/>
  <c r="G50" i="31" s="1"/>
  <c r="BL39" i="30"/>
  <c r="BI39" i="30"/>
  <c r="AX39" i="30"/>
  <c r="AD39" i="30"/>
  <c r="AA39" i="30"/>
  <c r="P39" i="30"/>
  <c r="AE39" i="30" s="1"/>
  <c r="F50" i="31" s="1"/>
  <c r="I50" i="31" s="1"/>
  <c r="B39" i="30"/>
  <c r="AI39" i="30" s="1"/>
  <c r="BQ39" i="30" s="1"/>
  <c r="CU38" i="30"/>
  <c r="H49" i="31" s="1"/>
  <c r="CT38" i="30"/>
  <c r="CQ38" i="30"/>
  <c r="CF38" i="30"/>
  <c r="BM38" i="30"/>
  <c r="G49" i="31" s="1"/>
  <c r="BL38" i="30"/>
  <c r="BI38" i="30"/>
  <c r="AX38" i="30"/>
  <c r="AD38" i="30"/>
  <c r="AA38" i="30"/>
  <c r="P38" i="30"/>
  <c r="AE38" i="30" s="1"/>
  <c r="F49" i="31" s="1"/>
  <c r="I49" i="31" s="1"/>
  <c r="B38" i="30"/>
  <c r="AI38" i="30" s="1"/>
  <c r="BQ38" i="30" s="1"/>
  <c r="CU37" i="30"/>
  <c r="H48" i="31" s="1"/>
  <c r="CT37" i="30"/>
  <c r="CQ37" i="30"/>
  <c r="CF37" i="30"/>
  <c r="BL37" i="30"/>
  <c r="BI37" i="30"/>
  <c r="AX37" i="30"/>
  <c r="BM37" i="30" s="1"/>
  <c r="G48" i="31" s="1"/>
  <c r="AI37" i="30"/>
  <c r="BQ37" i="30" s="1"/>
  <c r="AD37" i="30"/>
  <c r="AA37" i="30"/>
  <c r="P37" i="30"/>
  <c r="AE37" i="30" s="1"/>
  <c r="F48" i="31" s="1"/>
  <c r="B37" i="30"/>
  <c r="CU36" i="30"/>
  <c r="H47" i="31" s="1"/>
  <c r="CT36" i="30"/>
  <c r="CQ36" i="30"/>
  <c r="CF36" i="30"/>
  <c r="BL36" i="30"/>
  <c r="BI36" i="30"/>
  <c r="AX36" i="30"/>
  <c r="BM36" i="30" s="1"/>
  <c r="AI36" i="30"/>
  <c r="BQ36" i="30" s="1"/>
  <c r="AE36" i="30"/>
  <c r="F47" i="31" s="1"/>
  <c r="I47" i="31" s="1"/>
  <c r="AD36" i="30"/>
  <c r="AA36" i="30"/>
  <c r="P36" i="30"/>
  <c r="B36" i="30"/>
  <c r="CT35" i="30"/>
  <c r="CQ35" i="30"/>
  <c r="CF35" i="30"/>
  <c r="CU35" i="30" s="1"/>
  <c r="H46" i="31" s="1"/>
  <c r="BL35" i="30"/>
  <c r="BI35" i="30"/>
  <c r="AX35" i="30"/>
  <c r="BM35" i="30" s="1"/>
  <c r="G46" i="31" s="1"/>
  <c r="AI35" i="30"/>
  <c r="BQ35" i="30" s="1"/>
  <c r="AD35" i="30"/>
  <c r="AA35" i="30"/>
  <c r="P35" i="30"/>
  <c r="AE35" i="30" s="1"/>
  <c r="F46" i="31" s="1"/>
  <c r="I46" i="31" s="1"/>
  <c r="B35" i="30"/>
  <c r="CT34" i="30"/>
  <c r="CQ34" i="30"/>
  <c r="CF34" i="30"/>
  <c r="CU34" i="30" s="1"/>
  <c r="BL34" i="30"/>
  <c r="BI34" i="30"/>
  <c r="AX34" i="30"/>
  <c r="BM34" i="30" s="1"/>
  <c r="G45" i="31" s="1"/>
  <c r="AI34" i="30"/>
  <c r="BQ34" i="30" s="1"/>
  <c r="AE34" i="30"/>
  <c r="F45" i="31" s="1"/>
  <c r="I45" i="31" s="1"/>
  <c r="AD34" i="30"/>
  <c r="AA34" i="30"/>
  <c r="P34" i="30"/>
  <c r="B34" i="30"/>
  <c r="CT33" i="30"/>
  <c r="CQ33" i="30"/>
  <c r="CF33" i="30"/>
  <c r="CU33" i="30" s="1"/>
  <c r="H44" i="31" s="1"/>
  <c r="BQ33" i="30"/>
  <c r="BM33" i="30"/>
  <c r="G44" i="31" s="1"/>
  <c r="BL33" i="30"/>
  <c r="BI33" i="30"/>
  <c r="AX33" i="30"/>
  <c r="AI33" i="30"/>
  <c r="AD33" i="30"/>
  <c r="AA33" i="30"/>
  <c r="P33" i="30"/>
  <c r="AE33" i="30" s="1"/>
  <c r="F44" i="31" s="1"/>
  <c r="I44" i="31" s="1"/>
  <c r="B33" i="30"/>
  <c r="CT32" i="30"/>
  <c r="CQ32" i="30"/>
  <c r="CF32" i="30"/>
  <c r="CU32" i="30" s="1"/>
  <c r="H43" i="31" s="1"/>
  <c r="BM32" i="30"/>
  <c r="G43" i="31" s="1"/>
  <c r="BL32" i="30"/>
  <c r="BI32" i="30"/>
  <c r="AX32" i="30"/>
  <c r="AD32" i="30"/>
  <c r="AA32" i="30"/>
  <c r="P32" i="30"/>
  <c r="AE32" i="30" s="1"/>
  <c r="F43" i="31" s="1"/>
  <c r="I43" i="31" s="1"/>
  <c r="B32" i="30"/>
  <c r="AI32" i="30" s="1"/>
  <c r="BQ32" i="30" s="1"/>
  <c r="CT31" i="30"/>
  <c r="CQ31" i="30"/>
  <c r="CF31" i="30"/>
  <c r="CU31" i="30" s="1"/>
  <c r="BM31" i="30"/>
  <c r="G42" i="31" s="1"/>
  <c r="BL31" i="30"/>
  <c r="BI31" i="30"/>
  <c r="AX31" i="30"/>
  <c r="AD31" i="30"/>
  <c r="AA31" i="30"/>
  <c r="P31" i="30"/>
  <c r="AE31" i="30" s="1"/>
  <c r="F42" i="31" s="1"/>
  <c r="I42" i="31" s="1"/>
  <c r="B31" i="30"/>
  <c r="AI31" i="30" s="1"/>
  <c r="BQ31" i="30" s="1"/>
  <c r="CU30" i="30"/>
  <c r="H41" i="31" s="1"/>
  <c r="CT30" i="30"/>
  <c r="CQ30" i="30"/>
  <c r="CF30" i="30"/>
  <c r="BL30" i="30"/>
  <c r="BI30" i="30"/>
  <c r="AX30" i="30"/>
  <c r="BM30" i="30" s="1"/>
  <c r="G41" i="31" s="1"/>
  <c r="AE30" i="30"/>
  <c r="F41" i="31" s="1"/>
  <c r="I41" i="31" s="1"/>
  <c r="AD30" i="30"/>
  <c r="AA30" i="30"/>
  <c r="P30" i="30"/>
  <c r="B30" i="30"/>
  <c r="AI30" i="30" s="1"/>
  <c r="BQ30" i="30" s="1"/>
  <c r="CT29" i="30"/>
  <c r="CQ29" i="30"/>
  <c r="CF29" i="30"/>
  <c r="CU29" i="30" s="1"/>
  <c r="H40" i="31" s="1"/>
  <c r="BL29" i="30"/>
  <c r="BI29" i="30"/>
  <c r="AX29" i="30"/>
  <c r="BM29" i="30" s="1"/>
  <c r="G40" i="31" s="1"/>
  <c r="AI29" i="30"/>
  <c r="BQ29" i="30" s="1"/>
  <c r="AD29" i="30"/>
  <c r="AA29" i="30"/>
  <c r="P29" i="30"/>
  <c r="AE29" i="30" s="1"/>
  <c r="F40" i="31" s="1"/>
  <c r="B29" i="30"/>
  <c r="CU28" i="30"/>
  <c r="H39" i="31" s="1"/>
  <c r="CT28" i="30"/>
  <c r="CQ28" i="30"/>
  <c r="CF28" i="30"/>
  <c r="BQ28" i="30"/>
  <c r="BM28" i="30"/>
  <c r="G39" i="31" s="1"/>
  <c r="BL28" i="30"/>
  <c r="BI28" i="30"/>
  <c r="AX28" i="30"/>
  <c r="AI28" i="30"/>
  <c r="AD28" i="30"/>
  <c r="AA28" i="30"/>
  <c r="P28" i="30"/>
  <c r="AE28" i="30" s="1"/>
  <c r="F39" i="31" s="1"/>
  <c r="I39" i="31" s="1"/>
  <c r="B28" i="30"/>
  <c r="CT27" i="30"/>
  <c r="CQ27" i="30"/>
  <c r="CF27" i="30"/>
  <c r="CU27" i="30" s="1"/>
  <c r="H38" i="31" s="1"/>
  <c r="BM27" i="30"/>
  <c r="G38" i="31" s="1"/>
  <c r="BL27" i="30"/>
  <c r="BI27" i="30"/>
  <c r="AX27" i="30"/>
  <c r="AD27" i="30"/>
  <c r="AA27" i="30"/>
  <c r="P27" i="30"/>
  <c r="AE27" i="30" s="1"/>
  <c r="F38" i="31" s="1"/>
  <c r="I38" i="31" s="1"/>
  <c r="B27" i="30"/>
  <c r="AI27" i="30" s="1"/>
  <c r="BQ27" i="30" s="1"/>
  <c r="CU26" i="30"/>
  <c r="H37" i="31" s="1"/>
  <c r="CT26" i="30"/>
  <c r="CQ26" i="30"/>
  <c r="CF26" i="30"/>
  <c r="BL26" i="30"/>
  <c r="BI26" i="30"/>
  <c r="AX26" i="30"/>
  <c r="BM26" i="30" s="1"/>
  <c r="G37" i="31" s="1"/>
  <c r="AI26" i="30"/>
  <c r="BQ26" i="30" s="1"/>
  <c r="AE26" i="30"/>
  <c r="F37" i="31" s="1"/>
  <c r="AD26" i="30"/>
  <c r="AA26" i="30"/>
  <c r="P26" i="30"/>
  <c r="B26" i="30"/>
  <c r="CU25" i="30"/>
  <c r="H36" i="31" s="1"/>
  <c r="CT25" i="30"/>
  <c r="CQ25" i="30"/>
  <c r="CF25" i="30"/>
  <c r="BL25" i="30"/>
  <c r="BI25" i="30"/>
  <c r="AX25" i="30"/>
  <c r="BM25" i="30" s="1"/>
  <c r="G36" i="31" s="1"/>
  <c r="AI25" i="30"/>
  <c r="BQ25" i="30" s="1"/>
  <c r="AE25" i="30"/>
  <c r="F36" i="31" s="1"/>
  <c r="I36" i="31" s="1"/>
  <c r="AD25" i="30"/>
  <c r="AA25" i="30"/>
  <c r="P25" i="30"/>
  <c r="B25" i="30"/>
  <c r="CT24" i="30"/>
  <c r="CQ24" i="30"/>
  <c r="CF24" i="30"/>
  <c r="CU24" i="30" s="1"/>
  <c r="H35" i="31" s="1"/>
  <c r="BL24" i="30"/>
  <c r="BI24" i="30"/>
  <c r="AX24" i="30"/>
  <c r="BM24" i="30" s="1"/>
  <c r="G35" i="31" s="1"/>
  <c r="AI24" i="30"/>
  <c r="BQ24" i="30" s="1"/>
  <c r="AE24" i="30"/>
  <c r="F35" i="31" s="1"/>
  <c r="I35" i="31" s="1"/>
  <c r="AD24" i="30"/>
  <c r="AA24" i="30"/>
  <c r="P24" i="30"/>
  <c r="B24" i="30"/>
  <c r="CT23" i="30"/>
  <c r="CQ23" i="30"/>
  <c r="CF23" i="30"/>
  <c r="CU23" i="30" s="1"/>
  <c r="BQ23" i="30"/>
  <c r="BM23" i="30"/>
  <c r="G34" i="31" s="1"/>
  <c r="BL23" i="30"/>
  <c r="BI23" i="30"/>
  <c r="AX23" i="30"/>
  <c r="AI23" i="30"/>
  <c r="AD23" i="30"/>
  <c r="AA23" i="30"/>
  <c r="P23" i="30"/>
  <c r="AE23" i="30" s="1"/>
  <c r="F34" i="31" s="1"/>
  <c r="I34" i="31" s="1"/>
  <c r="B23" i="30"/>
  <c r="CT22" i="30"/>
  <c r="CQ22" i="30"/>
  <c r="CF22" i="30"/>
  <c r="CU22" i="30" s="1"/>
  <c r="H33" i="31" s="1"/>
  <c r="BM22" i="30"/>
  <c r="G33" i="31" s="1"/>
  <c r="BL22" i="30"/>
  <c r="BI22" i="30"/>
  <c r="AX22" i="30"/>
  <c r="AD22" i="30"/>
  <c r="AA22" i="30"/>
  <c r="P22" i="30"/>
  <c r="AE22" i="30" s="1"/>
  <c r="F33" i="31" s="1"/>
  <c r="I33" i="31" s="1"/>
  <c r="B22" i="30"/>
  <c r="AI22" i="30" s="1"/>
  <c r="BQ22" i="30" s="1"/>
  <c r="CT21" i="30"/>
  <c r="CQ21" i="30"/>
  <c r="CF21" i="30"/>
  <c r="CU21" i="30" s="1"/>
  <c r="H32" i="31" s="1"/>
  <c r="BM21" i="30"/>
  <c r="G32" i="31" s="1"/>
  <c r="BL21" i="30"/>
  <c r="BI21" i="30"/>
  <c r="AX21" i="30"/>
  <c r="AD21" i="30"/>
  <c r="AA21" i="30"/>
  <c r="P21" i="30"/>
  <c r="AE21" i="30" s="1"/>
  <c r="F32" i="31" s="1"/>
  <c r="I32" i="31" s="1"/>
  <c r="B21" i="30"/>
  <c r="AI21" i="30" s="1"/>
  <c r="BQ21" i="30" s="1"/>
  <c r="CU20" i="30"/>
  <c r="H31" i="31" s="1"/>
  <c r="CT20" i="30"/>
  <c r="CQ20" i="30"/>
  <c r="CF20" i="30"/>
  <c r="BL20" i="30"/>
  <c r="BI20" i="30"/>
  <c r="AX20" i="30"/>
  <c r="BM20" i="30" s="1"/>
  <c r="G31" i="31" s="1"/>
  <c r="AD20" i="30"/>
  <c r="AA20" i="30"/>
  <c r="P20" i="30"/>
  <c r="AE20" i="30" s="1"/>
  <c r="F31" i="31" s="1"/>
  <c r="I31" i="31" s="1"/>
  <c r="B20" i="30"/>
  <c r="AI20" i="30" s="1"/>
  <c r="BQ20" i="30" s="1"/>
  <c r="CU19" i="30"/>
  <c r="H30" i="31" s="1"/>
  <c r="CT19" i="30"/>
  <c r="CQ19" i="30"/>
  <c r="CF19" i="30"/>
  <c r="BL19" i="30"/>
  <c r="BI19" i="30"/>
  <c r="AX19" i="30"/>
  <c r="BM19" i="30" s="1"/>
  <c r="G30" i="31" s="1"/>
  <c r="AI19" i="30"/>
  <c r="BQ19" i="30" s="1"/>
  <c r="AD19" i="30"/>
  <c r="AA19" i="30"/>
  <c r="P19" i="30"/>
  <c r="AE19" i="30" s="1"/>
  <c r="F30" i="31" s="1"/>
  <c r="I30" i="31" s="1"/>
  <c r="B19" i="30"/>
  <c r="CU18" i="30"/>
  <c r="H29" i="31" s="1"/>
  <c r="CT18" i="30"/>
  <c r="CQ18" i="30"/>
  <c r="CF18" i="30"/>
  <c r="BL18" i="30"/>
  <c r="BI18" i="30"/>
  <c r="AX18" i="30"/>
  <c r="BM18" i="30" s="1"/>
  <c r="G29" i="31" s="1"/>
  <c r="AI18" i="30"/>
  <c r="BQ18" i="30" s="1"/>
  <c r="AE18" i="30"/>
  <c r="F29" i="31" s="1"/>
  <c r="I29" i="31" s="1"/>
  <c r="AD18" i="30"/>
  <c r="AA18" i="30"/>
  <c r="P18" i="30"/>
  <c r="B18" i="30"/>
  <c r="CT17" i="30"/>
  <c r="CQ17" i="30"/>
  <c r="CF17" i="30"/>
  <c r="CU17" i="30" s="1"/>
  <c r="H28" i="31" s="1"/>
  <c r="BL17" i="30"/>
  <c r="BI17" i="30"/>
  <c r="AX17" i="30"/>
  <c r="BM17" i="30" s="1"/>
  <c r="G28" i="31" s="1"/>
  <c r="AI17" i="30"/>
  <c r="BQ17" i="30" s="1"/>
  <c r="AE17" i="30"/>
  <c r="F28" i="31" s="1"/>
  <c r="I28" i="31" s="1"/>
  <c r="AD17" i="30"/>
  <c r="AA17" i="30"/>
  <c r="P17" i="30"/>
  <c r="B17" i="30"/>
  <c r="CT16" i="30"/>
  <c r="CQ16" i="30"/>
  <c r="CF16" i="30"/>
  <c r="CU16" i="30" s="1"/>
  <c r="H27" i="31" s="1"/>
  <c r="BQ16" i="30"/>
  <c r="BL16" i="30"/>
  <c r="BI16" i="30"/>
  <c r="AX16" i="30"/>
  <c r="BM16" i="30" s="1"/>
  <c r="G27" i="31" s="1"/>
  <c r="AI16" i="30"/>
  <c r="AE16" i="30"/>
  <c r="F27" i="31" s="1"/>
  <c r="I27" i="31" s="1"/>
  <c r="AD16" i="30"/>
  <c r="AA16" i="30"/>
  <c r="P16" i="30"/>
  <c r="B16" i="30"/>
  <c r="CT15" i="30"/>
  <c r="CQ15" i="30"/>
  <c r="CF15" i="30"/>
  <c r="CU15" i="30" s="1"/>
  <c r="H26" i="31" s="1"/>
  <c r="BQ15" i="30"/>
  <c r="BM15" i="30"/>
  <c r="G26" i="31" s="1"/>
  <c r="BL15" i="30"/>
  <c r="BI15" i="30"/>
  <c r="AX15" i="30"/>
  <c r="AI15" i="30"/>
  <c r="AD15" i="30"/>
  <c r="AA15" i="30"/>
  <c r="P15" i="30"/>
  <c r="AE15" i="30" s="1"/>
  <c r="F26" i="31" s="1"/>
  <c r="I26" i="31" s="1"/>
  <c r="B15" i="30"/>
  <c r="CT14" i="30"/>
  <c r="CQ14" i="30"/>
  <c r="CF14" i="30"/>
  <c r="CU14" i="30" s="1"/>
  <c r="H25" i="31" s="1"/>
  <c r="BM14" i="30"/>
  <c r="G25" i="31" s="1"/>
  <c r="BL14" i="30"/>
  <c r="BI14" i="30"/>
  <c r="AX14" i="30"/>
  <c r="AD14" i="30"/>
  <c r="AA14" i="30"/>
  <c r="P14" i="30"/>
  <c r="AE14" i="30" s="1"/>
  <c r="F25" i="31" s="1"/>
  <c r="I25" i="31" s="1"/>
  <c r="B14" i="30"/>
  <c r="AI14" i="30" s="1"/>
  <c r="BQ14" i="30" s="1"/>
  <c r="CT13" i="30"/>
  <c r="CQ13" i="30"/>
  <c r="CF13" i="30"/>
  <c r="CU13" i="30" s="1"/>
  <c r="H24" i="31" s="1"/>
  <c r="BM13" i="30"/>
  <c r="G24" i="31" s="1"/>
  <c r="BL13" i="30"/>
  <c r="BI13" i="30"/>
  <c r="AX13" i="30"/>
  <c r="AD13" i="30"/>
  <c r="AA13" i="30"/>
  <c r="P13" i="30"/>
  <c r="AE13" i="30" s="1"/>
  <c r="F24" i="31" s="1"/>
  <c r="I24" i="31" s="1"/>
  <c r="B13" i="30"/>
  <c r="AI13" i="30" s="1"/>
  <c r="BQ13" i="30" s="1"/>
  <c r="CU12" i="30"/>
  <c r="H23" i="31" s="1"/>
  <c r="CT12" i="30"/>
  <c r="CQ12" i="30"/>
  <c r="CF12" i="30"/>
  <c r="BQ12" i="30"/>
  <c r="BL12" i="30"/>
  <c r="BI12" i="30"/>
  <c r="AX12" i="30"/>
  <c r="BM12" i="30" s="1"/>
  <c r="G23" i="31" s="1"/>
  <c r="AD12" i="30"/>
  <c r="AA12" i="30"/>
  <c r="P12" i="30"/>
  <c r="AE12" i="30" s="1"/>
  <c r="F23" i="31" s="1"/>
  <c r="I23" i="31" s="1"/>
  <c r="B12" i="30"/>
  <c r="AI12" i="30" s="1"/>
  <c r="CU11" i="30"/>
  <c r="H22" i="31" s="1"/>
  <c r="CT11" i="30"/>
  <c r="CQ11" i="30"/>
  <c r="CF11" i="30"/>
  <c r="BL11" i="30"/>
  <c r="BI11" i="30"/>
  <c r="AX11" i="30"/>
  <c r="BM11" i="30" s="1"/>
  <c r="G22" i="31" s="1"/>
  <c r="AI11" i="30"/>
  <c r="BQ11" i="30" s="1"/>
  <c r="AD11" i="30"/>
  <c r="AA11" i="30"/>
  <c r="P11" i="30"/>
  <c r="AE11" i="30" s="1"/>
  <c r="F22" i="31" s="1"/>
  <c r="I22" i="31" s="1"/>
  <c r="B11" i="30"/>
  <c r="CU10" i="30"/>
  <c r="H21" i="31" s="1"/>
  <c r="CT10" i="30"/>
  <c r="CQ10" i="30"/>
  <c r="CF10" i="30"/>
  <c r="BL10" i="30"/>
  <c r="BI10" i="30"/>
  <c r="AX10" i="30"/>
  <c r="BM10" i="30" s="1"/>
  <c r="G21" i="31" s="1"/>
  <c r="AE10" i="30"/>
  <c r="F21" i="31" s="1"/>
  <c r="I21" i="31" s="1"/>
  <c r="AD10" i="30"/>
  <c r="AA10" i="30"/>
  <c r="P10" i="30"/>
  <c r="B10" i="30"/>
  <c r="AI10" i="30" s="1"/>
  <c r="BQ10" i="30" s="1"/>
  <c r="CU9" i="30"/>
  <c r="H20" i="31" s="1"/>
  <c r="CT9" i="30"/>
  <c r="CQ9" i="30"/>
  <c r="CF9" i="30"/>
  <c r="BL9" i="30"/>
  <c r="BI9" i="30"/>
  <c r="AX9" i="30"/>
  <c r="BM9" i="30" s="1"/>
  <c r="G20" i="31" s="1"/>
  <c r="AI9" i="30"/>
  <c r="BQ9" i="30" s="1"/>
  <c r="AE9" i="30"/>
  <c r="F20" i="31" s="1"/>
  <c r="I20" i="31" s="1"/>
  <c r="AD9" i="30"/>
  <c r="AA9" i="30"/>
  <c r="P9" i="30"/>
  <c r="B9" i="30"/>
  <c r="CT8" i="30"/>
  <c r="CQ8" i="30"/>
  <c r="CF8" i="30"/>
  <c r="CU8" i="30" s="1"/>
  <c r="H19" i="31" s="1"/>
  <c r="BQ8" i="30"/>
  <c r="BL8" i="30"/>
  <c r="BI8" i="30"/>
  <c r="AX8" i="30"/>
  <c r="BM8" i="30" s="1"/>
  <c r="G19" i="31" s="1"/>
  <c r="AI8" i="30"/>
  <c r="AE8" i="30"/>
  <c r="F19" i="31" s="1"/>
  <c r="I19" i="31" s="1"/>
  <c r="AD8" i="30"/>
  <c r="AA8" i="30"/>
  <c r="P8" i="30"/>
  <c r="B8" i="30"/>
  <c r="CT7" i="30"/>
  <c r="CQ7" i="30"/>
  <c r="CF7" i="30"/>
  <c r="CU7" i="30" s="1"/>
  <c r="BQ7" i="30"/>
  <c r="BM7" i="30"/>
  <c r="G18" i="31" s="1"/>
  <c r="BL7" i="30"/>
  <c r="BI7" i="30"/>
  <c r="AX7" i="30"/>
  <c r="AI7" i="30"/>
  <c r="AD7" i="30"/>
  <c r="AA7" i="30"/>
  <c r="P7" i="30"/>
  <c r="AE7" i="30" s="1"/>
  <c r="F18" i="31" s="1"/>
  <c r="I18" i="31" s="1"/>
  <c r="B7" i="30"/>
  <c r="CT6" i="30"/>
  <c r="CQ6" i="30"/>
  <c r="CF6" i="30"/>
  <c r="CU6" i="30" s="1"/>
  <c r="H17" i="31" s="1"/>
  <c r="BM6" i="30"/>
  <c r="G17" i="31" s="1"/>
  <c r="BL6" i="30"/>
  <c r="BI6" i="30"/>
  <c r="AX6" i="30"/>
  <c r="AE6" i="30"/>
  <c r="F17" i="31" s="1"/>
  <c r="I17" i="31" s="1"/>
  <c r="AD6" i="30"/>
  <c r="AA6" i="30"/>
  <c r="P6" i="30"/>
  <c r="B6" i="30"/>
  <c r="AI6" i="30" s="1"/>
  <c r="BQ6" i="30" s="1"/>
  <c r="CT5" i="30"/>
  <c r="CQ5" i="30"/>
  <c r="CF5" i="30"/>
  <c r="CU5" i="30" s="1"/>
  <c r="H16" i="31" s="1"/>
  <c r="BM5" i="30"/>
  <c r="G16" i="31" s="1"/>
  <c r="BL5" i="30"/>
  <c r="BI5" i="30"/>
  <c r="AX5" i="30"/>
  <c r="AD5" i="30"/>
  <c r="AA5" i="30"/>
  <c r="P5" i="30"/>
  <c r="AE5" i="30" s="1"/>
  <c r="F16" i="31" s="1"/>
  <c r="I16" i="31" s="1"/>
  <c r="B5" i="30"/>
  <c r="AI5" i="30" s="1"/>
  <c r="BQ5" i="30" s="1"/>
  <c r="C55" i="29"/>
  <c r="C54" i="29"/>
  <c r="C53" i="29"/>
  <c r="C52" i="29"/>
  <c r="C51" i="29"/>
  <c r="F50" i="29"/>
  <c r="I50" i="29" s="1"/>
  <c r="C50" i="29"/>
  <c r="C49" i="29"/>
  <c r="G48" i="29"/>
  <c r="F48" i="29"/>
  <c r="I48" i="29" s="1"/>
  <c r="C48" i="29"/>
  <c r="F47" i="29"/>
  <c r="I47" i="29" s="1"/>
  <c r="C47" i="29"/>
  <c r="C46" i="29"/>
  <c r="I45" i="29"/>
  <c r="C45" i="29"/>
  <c r="C44" i="29"/>
  <c r="C43" i="29"/>
  <c r="C42" i="29"/>
  <c r="C41" i="29"/>
  <c r="C40" i="29"/>
  <c r="C39" i="29"/>
  <c r="C38" i="29"/>
  <c r="C37" i="29"/>
  <c r="C36" i="29"/>
  <c r="C35" i="29"/>
  <c r="C34" i="29"/>
  <c r="C33" i="29"/>
  <c r="C32" i="29"/>
  <c r="F31" i="29"/>
  <c r="I31" i="29" s="1"/>
  <c r="C31" i="29"/>
  <c r="I30" i="29"/>
  <c r="H30" i="29"/>
  <c r="C30" i="29"/>
  <c r="C29" i="29"/>
  <c r="C28" i="29"/>
  <c r="C27" i="29"/>
  <c r="C26" i="29"/>
  <c r="C25" i="29"/>
  <c r="C24" i="29"/>
  <c r="C23" i="29"/>
  <c r="C22" i="29"/>
  <c r="C21" i="29"/>
  <c r="C20" i="29"/>
  <c r="C19" i="29"/>
  <c r="H18" i="29"/>
  <c r="C18" i="29"/>
  <c r="C17" i="29"/>
  <c r="C16" i="29"/>
  <c r="B44" i="28"/>
  <c r="B43" i="28"/>
  <c r="CF42" i="28"/>
  <c r="B42" i="28"/>
  <c r="CT41" i="28"/>
  <c r="CQ41" i="28"/>
  <c r="CF41" i="28"/>
  <c r="CU41" i="28" s="1"/>
  <c r="H52" i="29" s="1"/>
  <c r="BM41" i="28"/>
  <c r="G52" i="29" s="1"/>
  <c r="BL41" i="28"/>
  <c r="BI41" i="28"/>
  <c r="AX41" i="28"/>
  <c r="AD41" i="28"/>
  <c r="AA41" i="28"/>
  <c r="P41" i="28"/>
  <c r="AE41" i="28" s="1"/>
  <c r="F52" i="29" s="1"/>
  <c r="I52" i="29" s="1"/>
  <c r="B41" i="28"/>
  <c r="CU40" i="28"/>
  <c r="H51" i="29" s="1"/>
  <c r="CT40" i="28"/>
  <c r="CQ40" i="28"/>
  <c r="CF40" i="28"/>
  <c r="BQ40" i="28"/>
  <c r="BL40" i="28"/>
  <c r="BI40" i="28"/>
  <c r="AX40" i="28"/>
  <c r="BM40" i="28" s="1"/>
  <c r="G51" i="29" s="1"/>
  <c r="AD40" i="28"/>
  <c r="AA40" i="28"/>
  <c r="P40" i="28"/>
  <c r="AE40" i="28" s="1"/>
  <c r="F51" i="29" s="1"/>
  <c r="I51" i="29" s="1"/>
  <c r="B40" i="28"/>
  <c r="AI40" i="28" s="1"/>
  <c r="CU39" i="28"/>
  <c r="H50" i="29" s="1"/>
  <c r="CT39" i="28"/>
  <c r="CQ39" i="28"/>
  <c r="CF39" i="28"/>
  <c r="BL39" i="28"/>
  <c r="BI39" i="28"/>
  <c r="AX39" i="28"/>
  <c r="BM39" i="28" s="1"/>
  <c r="G50" i="29" s="1"/>
  <c r="AI39" i="28"/>
  <c r="AD39" i="28"/>
  <c r="AA39" i="28"/>
  <c r="P39" i="28"/>
  <c r="AE39" i="28" s="1"/>
  <c r="B39" i="28"/>
  <c r="BQ39" i="28" s="1"/>
  <c r="CU38" i="28"/>
  <c r="H49" i="29" s="1"/>
  <c r="CT38" i="28"/>
  <c r="CQ38" i="28"/>
  <c r="CF38" i="28"/>
  <c r="BL38" i="28"/>
  <c r="BI38" i="28"/>
  <c r="AX38" i="28"/>
  <c r="BM38" i="28" s="1"/>
  <c r="G49" i="29" s="1"/>
  <c r="AI38" i="28"/>
  <c r="AE38" i="28"/>
  <c r="F49" i="29" s="1"/>
  <c r="I49" i="29" s="1"/>
  <c r="AD38" i="28"/>
  <c r="AA38" i="28"/>
  <c r="P38" i="28"/>
  <c r="B38" i="28"/>
  <c r="BQ38" i="28" s="1"/>
  <c r="CT37" i="28"/>
  <c r="CQ37" i="28"/>
  <c r="CF37" i="28"/>
  <c r="CU37" i="28" s="1"/>
  <c r="H48" i="29" s="1"/>
  <c r="BL37" i="28"/>
  <c r="BI37" i="28"/>
  <c r="AX37" i="28"/>
  <c r="BM37" i="28" s="1"/>
  <c r="AI37" i="28"/>
  <c r="AE37" i="28"/>
  <c r="AD37" i="28"/>
  <c r="AA37" i="28"/>
  <c r="P37" i="28"/>
  <c r="B37" i="28"/>
  <c r="BQ37" i="28" s="1"/>
  <c r="CT36" i="28"/>
  <c r="CQ36" i="28"/>
  <c r="CF36" i="28"/>
  <c r="CU36" i="28" s="1"/>
  <c r="H47" i="29" s="1"/>
  <c r="BQ36" i="28"/>
  <c r="BL36" i="28"/>
  <c r="BI36" i="28"/>
  <c r="AX36" i="28"/>
  <c r="BM36" i="28" s="1"/>
  <c r="G47" i="29" s="1"/>
  <c r="AI36" i="28"/>
  <c r="AE36" i="28"/>
  <c r="AD36" i="28"/>
  <c r="AA36" i="28"/>
  <c r="P36" i="28"/>
  <c r="B36" i="28"/>
  <c r="CT35" i="28"/>
  <c r="CQ35" i="28"/>
  <c r="CF35" i="28"/>
  <c r="CU35" i="28" s="1"/>
  <c r="H46" i="29" s="1"/>
  <c r="BQ35" i="28"/>
  <c r="BM35" i="28"/>
  <c r="G46" i="29" s="1"/>
  <c r="BL35" i="28"/>
  <c r="BI35" i="28"/>
  <c r="AX35" i="28"/>
  <c r="AI35" i="28"/>
  <c r="AD35" i="28"/>
  <c r="AA35" i="28"/>
  <c r="P35" i="28"/>
  <c r="AE35" i="28" s="1"/>
  <c r="F46" i="29" s="1"/>
  <c r="I46" i="29" s="1"/>
  <c r="B35" i="28"/>
  <c r="CT34" i="28"/>
  <c r="CQ34" i="28"/>
  <c r="CF34" i="28"/>
  <c r="CU34" i="28" s="1"/>
  <c r="H45" i="29" s="1"/>
  <c r="BM34" i="28"/>
  <c r="G45" i="29" s="1"/>
  <c r="BL34" i="28"/>
  <c r="BI34" i="28"/>
  <c r="AX34" i="28"/>
  <c r="AD34" i="28"/>
  <c r="AA34" i="28"/>
  <c r="P34" i="28"/>
  <c r="AE34" i="28" s="1"/>
  <c r="F45" i="29" s="1"/>
  <c r="B34" i="28"/>
  <c r="CT33" i="28"/>
  <c r="CQ33" i="28"/>
  <c r="CF33" i="28"/>
  <c r="CU33" i="28" s="1"/>
  <c r="H44" i="29" s="1"/>
  <c r="BM33" i="28"/>
  <c r="G44" i="29" s="1"/>
  <c r="BL33" i="28"/>
  <c r="BI33" i="28"/>
  <c r="AX33" i="28"/>
  <c r="AD33" i="28"/>
  <c r="AA33" i="28"/>
  <c r="P33" i="28"/>
  <c r="AE33" i="28" s="1"/>
  <c r="F44" i="29" s="1"/>
  <c r="I44" i="29" s="1"/>
  <c r="B33" i="28"/>
  <c r="CU32" i="28"/>
  <c r="H43" i="29" s="1"/>
  <c r="CT32" i="28"/>
  <c r="CQ32" i="28"/>
  <c r="CF32" i="28"/>
  <c r="BQ32" i="28"/>
  <c r="BL32" i="28"/>
  <c r="BI32" i="28"/>
  <c r="AX32" i="28"/>
  <c r="BM32" i="28" s="1"/>
  <c r="G43" i="29" s="1"/>
  <c r="AD32" i="28"/>
  <c r="AA32" i="28"/>
  <c r="P32" i="28"/>
  <c r="AE32" i="28" s="1"/>
  <c r="F43" i="29" s="1"/>
  <c r="I43" i="29" s="1"/>
  <c r="B32" i="28"/>
  <c r="AI32" i="28" s="1"/>
  <c r="CU31" i="28"/>
  <c r="H42" i="29" s="1"/>
  <c r="CT31" i="28"/>
  <c r="CQ31" i="28"/>
  <c r="CF31" i="28"/>
  <c r="BL31" i="28"/>
  <c r="BI31" i="28"/>
  <c r="AX31" i="28"/>
  <c r="BM31" i="28" s="1"/>
  <c r="G42" i="29" s="1"/>
  <c r="AI31" i="28"/>
  <c r="AD31" i="28"/>
  <c r="AA31" i="28"/>
  <c r="P31" i="28"/>
  <c r="AE31" i="28" s="1"/>
  <c r="F42" i="29" s="1"/>
  <c r="I42" i="29" s="1"/>
  <c r="B31" i="28"/>
  <c r="BQ31" i="28" s="1"/>
  <c r="CU30" i="28"/>
  <c r="H41" i="29" s="1"/>
  <c r="CT30" i="28"/>
  <c r="CQ30" i="28"/>
  <c r="CF30" i="28"/>
  <c r="BL30" i="28"/>
  <c r="BI30" i="28"/>
  <c r="AX30" i="28"/>
  <c r="BM30" i="28" s="1"/>
  <c r="G41" i="29" s="1"/>
  <c r="AI30" i="28"/>
  <c r="AE30" i="28"/>
  <c r="F41" i="29" s="1"/>
  <c r="I41" i="29" s="1"/>
  <c r="AD30" i="28"/>
  <c r="AA30" i="28"/>
  <c r="P30" i="28"/>
  <c r="B30" i="28"/>
  <c r="BQ30" i="28" s="1"/>
  <c r="CT29" i="28"/>
  <c r="CQ29" i="28"/>
  <c r="CF29" i="28"/>
  <c r="CU29" i="28" s="1"/>
  <c r="H40" i="29" s="1"/>
  <c r="BQ29" i="28"/>
  <c r="BL29" i="28"/>
  <c r="BI29" i="28"/>
  <c r="AX29" i="28"/>
  <c r="BM29" i="28" s="1"/>
  <c r="G40" i="29" s="1"/>
  <c r="AI29" i="28"/>
  <c r="AE29" i="28"/>
  <c r="F40" i="29" s="1"/>
  <c r="I40" i="29" s="1"/>
  <c r="AD29" i="28"/>
  <c r="AA29" i="28"/>
  <c r="P29" i="28"/>
  <c r="B29" i="28"/>
  <c r="CT28" i="28"/>
  <c r="CQ28" i="28"/>
  <c r="CF28" i="28"/>
  <c r="CU28" i="28" s="1"/>
  <c r="H39" i="29" s="1"/>
  <c r="BQ28" i="28"/>
  <c r="BL28" i="28"/>
  <c r="BI28" i="28"/>
  <c r="AX28" i="28"/>
  <c r="BM28" i="28" s="1"/>
  <c r="G39" i="29" s="1"/>
  <c r="AI28" i="28"/>
  <c r="AE28" i="28"/>
  <c r="F39" i="29" s="1"/>
  <c r="I39" i="29" s="1"/>
  <c r="AD28" i="28"/>
  <c r="AA28" i="28"/>
  <c r="P28" i="28"/>
  <c r="B28" i="28"/>
  <c r="CT27" i="28"/>
  <c r="CQ27" i="28"/>
  <c r="CF27" i="28"/>
  <c r="CU27" i="28" s="1"/>
  <c r="H38" i="29" s="1"/>
  <c r="BQ27" i="28"/>
  <c r="BM27" i="28"/>
  <c r="G38" i="29" s="1"/>
  <c r="BL27" i="28"/>
  <c r="BI27" i="28"/>
  <c r="AX27" i="28"/>
  <c r="AI27" i="28"/>
  <c r="AD27" i="28"/>
  <c r="AA27" i="28"/>
  <c r="P27" i="28"/>
  <c r="AE27" i="28" s="1"/>
  <c r="F38" i="29" s="1"/>
  <c r="I38" i="29" s="1"/>
  <c r="B27" i="28"/>
  <c r="CT26" i="28"/>
  <c r="CQ26" i="28"/>
  <c r="CF26" i="28"/>
  <c r="CU26" i="28" s="1"/>
  <c r="H37" i="29" s="1"/>
  <c r="BM26" i="28"/>
  <c r="G37" i="29" s="1"/>
  <c r="BL26" i="28"/>
  <c r="BI26" i="28"/>
  <c r="AX26" i="28"/>
  <c r="AD26" i="28"/>
  <c r="AA26" i="28"/>
  <c r="P26" i="28"/>
  <c r="AE26" i="28" s="1"/>
  <c r="F37" i="29" s="1"/>
  <c r="I37" i="29" s="1"/>
  <c r="B26" i="28"/>
  <c r="CT25" i="28"/>
  <c r="CQ25" i="28"/>
  <c r="CF25" i="28"/>
  <c r="CU25" i="28" s="1"/>
  <c r="H36" i="29" s="1"/>
  <c r="BM25" i="28"/>
  <c r="G36" i="29" s="1"/>
  <c r="BL25" i="28"/>
  <c r="BI25" i="28"/>
  <c r="AX25" i="28"/>
  <c r="AD25" i="28"/>
  <c r="AA25" i="28"/>
  <c r="P25" i="28"/>
  <c r="AE25" i="28" s="1"/>
  <c r="F36" i="29" s="1"/>
  <c r="I36" i="29" s="1"/>
  <c r="B25" i="28"/>
  <c r="CU24" i="28"/>
  <c r="H35" i="29" s="1"/>
  <c r="CT24" i="28"/>
  <c r="CQ24" i="28"/>
  <c r="CF24" i="28"/>
  <c r="BL24" i="28"/>
  <c r="BI24" i="28"/>
  <c r="AX24" i="28"/>
  <c r="BM24" i="28" s="1"/>
  <c r="G35" i="29" s="1"/>
  <c r="AD24" i="28"/>
  <c r="AA24" i="28"/>
  <c r="P24" i="28"/>
  <c r="AE24" i="28" s="1"/>
  <c r="F35" i="29" s="1"/>
  <c r="I35" i="29" s="1"/>
  <c r="B24" i="28"/>
  <c r="AI24" i="28" s="1"/>
  <c r="CU23" i="28"/>
  <c r="H34" i="29" s="1"/>
  <c r="CT23" i="28"/>
  <c r="CQ23" i="28"/>
  <c r="CF23" i="28"/>
  <c r="BL23" i="28"/>
  <c r="BI23" i="28"/>
  <c r="AX23" i="28"/>
  <c r="BM23" i="28" s="1"/>
  <c r="G34" i="29" s="1"/>
  <c r="AI23" i="28"/>
  <c r="AD23" i="28"/>
  <c r="AA23" i="28"/>
  <c r="P23" i="28"/>
  <c r="AE23" i="28" s="1"/>
  <c r="F34" i="29" s="1"/>
  <c r="I34" i="29" s="1"/>
  <c r="B23" i="28"/>
  <c r="BQ23" i="28" s="1"/>
  <c r="CU22" i="28"/>
  <c r="H33" i="29" s="1"/>
  <c r="CT22" i="28"/>
  <c r="CQ22" i="28"/>
  <c r="CF22" i="28"/>
  <c r="BL22" i="28"/>
  <c r="BI22" i="28"/>
  <c r="AX22" i="28"/>
  <c r="BM22" i="28" s="1"/>
  <c r="G33" i="29" s="1"/>
  <c r="AI22" i="28"/>
  <c r="AE22" i="28"/>
  <c r="F33" i="29" s="1"/>
  <c r="I33" i="29" s="1"/>
  <c r="AD22" i="28"/>
  <c r="AA22" i="28"/>
  <c r="P22" i="28"/>
  <c r="B22" i="28"/>
  <c r="BQ22" i="28" s="1"/>
  <c r="CT21" i="28"/>
  <c r="CQ21" i="28"/>
  <c r="CF21" i="28"/>
  <c r="CU21" i="28" s="1"/>
  <c r="H32" i="29" s="1"/>
  <c r="BL21" i="28"/>
  <c r="BI21" i="28"/>
  <c r="AX21" i="28"/>
  <c r="BM21" i="28" s="1"/>
  <c r="G32" i="29" s="1"/>
  <c r="AI21" i="28"/>
  <c r="AE21" i="28"/>
  <c r="F32" i="29" s="1"/>
  <c r="I32" i="29" s="1"/>
  <c r="AD21" i="28"/>
  <c r="AA21" i="28"/>
  <c r="P21" i="28"/>
  <c r="B21" i="28"/>
  <c r="BQ21" i="28" s="1"/>
  <c r="CT20" i="28"/>
  <c r="CQ20" i="28"/>
  <c r="CF20" i="28"/>
  <c r="CU20" i="28" s="1"/>
  <c r="H31" i="29" s="1"/>
  <c r="BQ20" i="28"/>
  <c r="BL20" i="28"/>
  <c r="BI20" i="28"/>
  <c r="AX20" i="28"/>
  <c r="BM20" i="28" s="1"/>
  <c r="G31" i="29" s="1"/>
  <c r="AI20" i="28"/>
  <c r="AE20" i="28"/>
  <c r="AD20" i="28"/>
  <c r="AA20" i="28"/>
  <c r="P20" i="28"/>
  <c r="B20" i="28"/>
  <c r="CT19" i="28"/>
  <c r="CQ19" i="28"/>
  <c r="CF19" i="28"/>
  <c r="CU19" i="28" s="1"/>
  <c r="BQ19" i="28"/>
  <c r="BM19" i="28"/>
  <c r="G30" i="29" s="1"/>
  <c r="BL19" i="28"/>
  <c r="BI19" i="28"/>
  <c r="AX19" i="28"/>
  <c r="AI19" i="28"/>
  <c r="AD19" i="28"/>
  <c r="AA19" i="28"/>
  <c r="P19" i="28"/>
  <c r="AE19" i="28" s="1"/>
  <c r="F30" i="29" s="1"/>
  <c r="B19" i="28"/>
  <c r="CT18" i="28"/>
  <c r="CQ18" i="28"/>
  <c r="CF18" i="28"/>
  <c r="CU18" i="28" s="1"/>
  <c r="H29" i="29" s="1"/>
  <c r="BM18" i="28"/>
  <c r="G29" i="29" s="1"/>
  <c r="BL18" i="28"/>
  <c r="BI18" i="28"/>
  <c r="AX18" i="28"/>
  <c r="AD18" i="28"/>
  <c r="AA18" i="28"/>
  <c r="P18" i="28"/>
  <c r="AE18" i="28" s="1"/>
  <c r="F29" i="29" s="1"/>
  <c r="I29" i="29" s="1"/>
  <c r="B18" i="28"/>
  <c r="CT17" i="28"/>
  <c r="CQ17" i="28"/>
  <c r="CF17" i="28"/>
  <c r="CU17" i="28" s="1"/>
  <c r="H28" i="29" s="1"/>
  <c r="BM17" i="28"/>
  <c r="G28" i="29" s="1"/>
  <c r="BL17" i="28"/>
  <c r="BI17" i="28"/>
  <c r="AX17" i="28"/>
  <c r="AD17" i="28"/>
  <c r="AA17" i="28"/>
  <c r="P17" i="28"/>
  <c r="AE17" i="28" s="1"/>
  <c r="F28" i="29" s="1"/>
  <c r="I28" i="29" s="1"/>
  <c r="B17" i="28"/>
  <c r="CU16" i="28"/>
  <c r="H27" i="29" s="1"/>
  <c r="CT16" i="28"/>
  <c r="CQ16" i="28"/>
  <c r="CF16" i="28"/>
  <c r="BL16" i="28"/>
  <c r="BI16" i="28"/>
  <c r="AX16" i="28"/>
  <c r="BM16" i="28" s="1"/>
  <c r="G27" i="29" s="1"/>
  <c r="AD16" i="28"/>
  <c r="AA16" i="28"/>
  <c r="P16" i="28"/>
  <c r="AE16" i="28" s="1"/>
  <c r="F27" i="29" s="1"/>
  <c r="I27" i="29" s="1"/>
  <c r="B16" i="28"/>
  <c r="AI16" i="28" s="1"/>
  <c r="CU15" i="28"/>
  <c r="H26" i="29" s="1"/>
  <c r="CT15" i="28"/>
  <c r="CQ15" i="28"/>
  <c r="CF15" i="28"/>
  <c r="BL15" i="28"/>
  <c r="BI15" i="28"/>
  <c r="AX15" i="28"/>
  <c r="BM15" i="28" s="1"/>
  <c r="G26" i="29" s="1"/>
  <c r="AI15" i="28"/>
  <c r="AD15" i="28"/>
  <c r="AA15" i="28"/>
  <c r="P15" i="28"/>
  <c r="AE15" i="28" s="1"/>
  <c r="F26" i="29" s="1"/>
  <c r="I26" i="29" s="1"/>
  <c r="B15" i="28"/>
  <c r="BQ15" i="28" s="1"/>
  <c r="CU14" i="28"/>
  <c r="H25" i="29" s="1"/>
  <c r="CT14" i="28"/>
  <c r="CQ14" i="28"/>
  <c r="CF14" i="28"/>
  <c r="BL14" i="28"/>
  <c r="BI14" i="28"/>
  <c r="AX14" i="28"/>
  <c r="BM14" i="28" s="1"/>
  <c r="G25" i="29" s="1"/>
  <c r="AI14" i="28"/>
  <c r="AE14" i="28"/>
  <c r="F25" i="29" s="1"/>
  <c r="I25" i="29" s="1"/>
  <c r="AD14" i="28"/>
  <c r="AA14" i="28"/>
  <c r="P14" i="28"/>
  <c r="B14" i="28"/>
  <c r="BQ14" i="28" s="1"/>
  <c r="CT13" i="28"/>
  <c r="CQ13" i="28"/>
  <c r="CF13" i="28"/>
  <c r="CU13" i="28" s="1"/>
  <c r="H24" i="29" s="1"/>
  <c r="BL13" i="28"/>
  <c r="BI13" i="28"/>
  <c r="AX13" i="28"/>
  <c r="BM13" i="28" s="1"/>
  <c r="G24" i="29" s="1"/>
  <c r="AI13" i="28"/>
  <c r="AE13" i="28"/>
  <c r="F24" i="29" s="1"/>
  <c r="I24" i="29" s="1"/>
  <c r="AD13" i="28"/>
  <c r="AA13" i="28"/>
  <c r="P13" i="28"/>
  <c r="B13" i="28"/>
  <c r="BQ13" i="28" s="1"/>
  <c r="CT12" i="28"/>
  <c r="CQ12" i="28"/>
  <c r="CF12" i="28"/>
  <c r="CU12" i="28" s="1"/>
  <c r="H23" i="29" s="1"/>
  <c r="BQ12" i="28"/>
  <c r="BL12" i="28"/>
  <c r="BI12" i="28"/>
  <c r="AX12" i="28"/>
  <c r="BM12" i="28" s="1"/>
  <c r="G23" i="29" s="1"/>
  <c r="AI12" i="28"/>
  <c r="AE12" i="28"/>
  <c r="F23" i="29" s="1"/>
  <c r="I23" i="29" s="1"/>
  <c r="AD12" i="28"/>
  <c r="AA12" i="28"/>
  <c r="P12" i="28"/>
  <c r="B12" i="28"/>
  <c r="CT11" i="28"/>
  <c r="CQ11" i="28"/>
  <c r="CF11" i="28"/>
  <c r="CU11" i="28" s="1"/>
  <c r="H22" i="29" s="1"/>
  <c r="BQ11" i="28"/>
  <c r="BM11" i="28"/>
  <c r="G22" i="29" s="1"/>
  <c r="BL11" i="28"/>
  <c r="BI11" i="28"/>
  <c r="AX11" i="28"/>
  <c r="AI11" i="28"/>
  <c r="AD11" i="28"/>
  <c r="AA11" i="28"/>
  <c r="P11" i="28"/>
  <c r="AE11" i="28" s="1"/>
  <c r="F22" i="29" s="1"/>
  <c r="I22" i="29" s="1"/>
  <c r="B11" i="28"/>
  <c r="CT10" i="28"/>
  <c r="CQ10" i="28"/>
  <c r="CF10" i="28"/>
  <c r="CU10" i="28" s="1"/>
  <c r="H21" i="29" s="1"/>
  <c r="BM10" i="28"/>
  <c r="G21" i="29" s="1"/>
  <c r="BL10" i="28"/>
  <c r="BI10" i="28"/>
  <c r="AX10" i="28"/>
  <c r="AD10" i="28"/>
  <c r="AA10" i="28"/>
  <c r="P10" i="28"/>
  <c r="AE10" i="28" s="1"/>
  <c r="F21" i="29" s="1"/>
  <c r="I21" i="29" s="1"/>
  <c r="B10" i="28"/>
  <c r="CT9" i="28"/>
  <c r="CQ9" i="28"/>
  <c r="CF9" i="28"/>
  <c r="CU9" i="28" s="1"/>
  <c r="H20" i="29" s="1"/>
  <c r="BM9" i="28"/>
  <c r="G20" i="29" s="1"/>
  <c r="BL9" i="28"/>
  <c r="BI9" i="28"/>
  <c r="AX9" i="28"/>
  <c r="AD9" i="28"/>
  <c r="AA9" i="28"/>
  <c r="P9" i="28"/>
  <c r="AE9" i="28" s="1"/>
  <c r="F20" i="29" s="1"/>
  <c r="I20" i="29" s="1"/>
  <c r="B9" i="28"/>
  <c r="CU8" i="28"/>
  <c r="H19" i="29" s="1"/>
  <c r="CT8" i="28"/>
  <c r="CQ8" i="28"/>
  <c r="CF8" i="28"/>
  <c r="BL8" i="28"/>
  <c r="BI8" i="28"/>
  <c r="AX8" i="28"/>
  <c r="BM8" i="28" s="1"/>
  <c r="G19" i="29" s="1"/>
  <c r="AD8" i="28"/>
  <c r="AA8" i="28"/>
  <c r="P8" i="28"/>
  <c r="AE8" i="28" s="1"/>
  <c r="F19" i="29" s="1"/>
  <c r="I19" i="29" s="1"/>
  <c r="B8" i="28"/>
  <c r="AI8" i="28" s="1"/>
  <c r="CU7" i="28"/>
  <c r="CT7" i="28"/>
  <c r="CQ7" i="28"/>
  <c r="CF7" i="28"/>
  <c r="BL7" i="28"/>
  <c r="BI7" i="28"/>
  <c r="AX7" i="28"/>
  <c r="BM7" i="28" s="1"/>
  <c r="G18" i="29" s="1"/>
  <c r="AI7" i="28"/>
  <c r="AD7" i="28"/>
  <c r="AA7" i="28"/>
  <c r="P7" i="28"/>
  <c r="AE7" i="28" s="1"/>
  <c r="F18" i="29" s="1"/>
  <c r="I18" i="29" s="1"/>
  <c r="B7" i="28"/>
  <c r="BQ7" i="28" s="1"/>
  <c r="CU6" i="28"/>
  <c r="H17" i="29" s="1"/>
  <c r="CT6" i="28"/>
  <c r="CQ6" i="28"/>
  <c r="CF6" i="28"/>
  <c r="BL6" i="28"/>
  <c r="BI6" i="28"/>
  <c r="AX6" i="28"/>
  <c r="BM6" i="28" s="1"/>
  <c r="G17" i="29" s="1"/>
  <c r="AI6" i="28"/>
  <c r="AE6" i="28"/>
  <c r="F17" i="29" s="1"/>
  <c r="I17" i="29" s="1"/>
  <c r="AD6" i="28"/>
  <c r="AA6" i="28"/>
  <c r="P6" i="28"/>
  <c r="B6" i="28"/>
  <c r="BQ6" i="28" s="1"/>
  <c r="CT5" i="28"/>
  <c r="CQ5" i="28"/>
  <c r="CF5" i="28"/>
  <c r="CU5" i="28" s="1"/>
  <c r="H16" i="29" s="1"/>
  <c r="BQ5" i="28"/>
  <c r="BL5" i="28"/>
  <c r="BI5" i="28"/>
  <c r="AX5" i="28"/>
  <c r="BM5" i="28" s="1"/>
  <c r="G16" i="29" s="1"/>
  <c r="AI5" i="28"/>
  <c r="AE5" i="28"/>
  <c r="F16" i="29" s="1"/>
  <c r="I16" i="29" s="1"/>
  <c r="AD5" i="28"/>
  <c r="AA5" i="28"/>
  <c r="P5" i="28"/>
  <c r="B5" i="28"/>
  <c r="C55" i="27"/>
  <c r="C54" i="27"/>
  <c r="C53" i="27"/>
  <c r="C52" i="27"/>
  <c r="C51" i="27"/>
  <c r="C50" i="27"/>
  <c r="F49" i="27"/>
  <c r="I49" i="27" s="1"/>
  <c r="C49" i="27"/>
  <c r="C48" i="27"/>
  <c r="G47" i="27"/>
  <c r="C47" i="27"/>
  <c r="C46" i="27"/>
  <c r="C45" i="27"/>
  <c r="C44" i="27"/>
  <c r="C43" i="27"/>
  <c r="C42" i="27"/>
  <c r="C41" i="27"/>
  <c r="C40" i="27"/>
  <c r="I39" i="27"/>
  <c r="C39" i="27"/>
  <c r="C38" i="27"/>
  <c r="I37" i="27"/>
  <c r="C37" i="27"/>
  <c r="G36" i="27"/>
  <c r="F36" i="27"/>
  <c r="I36" i="27" s="1"/>
  <c r="C36" i="27"/>
  <c r="C35" i="27"/>
  <c r="I34" i="27"/>
  <c r="C34" i="27"/>
  <c r="C33" i="27"/>
  <c r="C32" i="27"/>
  <c r="C31" i="27"/>
  <c r="C30" i="27"/>
  <c r="C29" i="27"/>
  <c r="F28" i="27"/>
  <c r="I28" i="27" s="1"/>
  <c r="C28" i="27"/>
  <c r="C27" i="27"/>
  <c r="C26" i="27"/>
  <c r="G25" i="27"/>
  <c r="F25" i="27"/>
  <c r="I25" i="27" s="1"/>
  <c r="C25" i="27"/>
  <c r="C24" i="27"/>
  <c r="F23" i="27"/>
  <c r="I23" i="27" s="1"/>
  <c r="C23" i="27"/>
  <c r="C22" i="27"/>
  <c r="I21" i="27"/>
  <c r="C21" i="27"/>
  <c r="C20" i="27"/>
  <c r="C19" i="27"/>
  <c r="G18" i="27"/>
  <c r="C18" i="27"/>
  <c r="C17" i="27"/>
  <c r="F16" i="27"/>
  <c r="I16" i="27" s="1"/>
  <c r="C16" i="27"/>
  <c r="CT49" i="26"/>
  <c r="CQ49" i="26"/>
  <c r="CF49" i="26"/>
  <c r="CU49" i="26" s="1"/>
  <c r="B44" i="26"/>
  <c r="B43" i="26"/>
  <c r="B42" i="26"/>
  <c r="CU41" i="26"/>
  <c r="H52" i="27" s="1"/>
  <c r="CT41" i="26"/>
  <c r="CQ41" i="26"/>
  <c r="CF41" i="26"/>
  <c r="BQ41" i="26"/>
  <c r="BL41" i="26"/>
  <c r="BI41" i="26"/>
  <c r="AX41" i="26"/>
  <c r="BM41" i="26" s="1"/>
  <c r="G52" i="27" s="1"/>
  <c r="AI41" i="26"/>
  <c r="AE41" i="26"/>
  <c r="F52" i="27" s="1"/>
  <c r="I52" i="27" s="1"/>
  <c r="AD41" i="26"/>
  <c r="AA41" i="26"/>
  <c r="P41" i="26"/>
  <c r="B41" i="26"/>
  <c r="CU40" i="26"/>
  <c r="H51" i="27" s="1"/>
  <c r="CT40" i="26"/>
  <c r="CQ40" i="26"/>
  <c r="CF40" i="26"/>
  <c r="BL40" i="26"/>
  <c r="BI40" i="26"/>
  <c r="AX40" i="26"/>
  <c r="BM40" i="26" s="1"/>
  <c r="G51" i="27" s="1"/>
  <c r="AI40" i="26"/>
  <c r="BQ40" i="26" s="1"/>
  <c r="AD40" i="26"/>
  <c r="AA40" i="26"/>
  <c r="P40" i="26"/>
  <c r="AE40" i="26" s="1"/>
  <c r="F51" i="27" s="1"/>
  <c r="I51" i="27" s="1"/>
  <c r="B40" i="26"/>
  <c r="CT39" i="26"/>
  <c r="CQ39" i="26"/>
  <c r="CF39" i="26"/>
  <c r="CU39" i="26" s="1"/>
  <c r="H50" i="27" s="1"/>
  <c r="BM39" i="26"/>
  <c r="G50" i="27" s="1"/>
  <c r="BL39" i="26"/>
  <c r="BI39" i="26"/>
  <c r="AX39" i="26"/>
  <c r="AE39" i="26"/>
  <c r="F50" i="27" s="1"/>
  <c r="I50" i="27" s="1"/>
  <c r="AD39" i="26"/>
  <c r="AA39" i="26"/>
  <c r="P39" i="26"/>
  <c r="B39" i="26"/>
  <c r="AI39" i="26" s="1"/>
  <c r="BQ39" i="26" s="1"/>
  <c r="CT38" i="26"/>
  <c r="CQ38" i="26"/>
  <c r="CF38" i="26"/>
  <c r="CU38" i="26" s="1"/>
  <c r="H49" i="27" s="1"/>
  <c r="BM38" i="26"/>
  <c r="G49" i="27" s="1"/>
  <c r="BL38" i="26"/>
  <c r="BI38" i="26"/>
  <c r="AX38" i="26"/>
  <c r="AE38" i="26"/>
  <c r="AD38" i="26"/>
  <c r="AA38" i="26"/>
  <c r="P38" i="26"/>
  <c r="B38" i="26"/>
  <c r="AI38" i="26" s="1"/>
  <c r="BQ38" i="26" s="1"/>
  <c r="CU37" i="26"/>
  <c r="H48" i="27" s="1"/>
  <c r="CT37" i="26"/>
  <c r="CQ37" i="26"/>
  <c r="CF37" i="26"/>
  <c r="BQ37" i="26"/>
  <c r="BL37" i="26"/>
  <c r="BI37" i="26"/>
  <c r="AX37" i="26"/>
  <c r="BM37" i="26" s="1"/>
  <c r="G48" i="27" s="1"/>
  <c r="AD37" i="26"/>
  <c r="AA37" i="26"/>
  <c r="P37" i="26"/>
  <c r="AE37" i="26" s="1"/>
  <c r="F48" i="27" s="1"/>
  <c r="I48" i="27" s="1"/>
  <c r="B37" i="26"/>
  <c r="AI37" i="26" s="1"/>
  <c r="CU36" i="26"/>
  <c r="H47" i="27" s="1"/>
  <c r="CT36" i="26"/>
  <c r="CQ36" i="26"/>
  <c r="CF36" i="26"/>
  <c r="BQ36" i="26"/>
  <c r="BM36" i="26"/>
  <c r="BL36" i="26"/>
  <c r="BI36" i="26"/>
  <c r="AX36" i="26"/>
  <c r="AI36" i="26"/>
  <c r="AD36" i="26"/>
  <c r="AA36" i="26"/>
  <c r="P36" i="26"/>
  <c r="AE36" i="26" s="1"/>
  <c r="F47" i="27" s="1"/>
  <c r="I47" i="27" s="1"/>
  <c r="B36" i="26"/>
  <c r="CU35" i="26"/>
  <c r="H46" i="27" s="1"/>
  <c r="CT35" i="26"/>
  <c r="CQ35" i="26"/>
  <c r="CF35" i="26"/>
  <c r="BM35" i="26"/>
  <c r="G46" i="27" s="1"/>
  <c r="BL35" i="26"/>
  <c r="BI35" i="26"/>
  <c r="AX35" i="26"/>
  <c r="AE35" i="26"/>
  <c r="F46" i="27" s="1"/>
  <c r="I46" i="27" s="1"/>
  <c r="AD35" i="26"/>
  <c r="AA35" i="26"/>
  <c r="P35" i="26"/>
  <c r="B35" i="26"/>
  <c r="AI35" i="26" s="1"/>
  <c r="BQ35" i="26" s="1"/>
  <c r="CT34" i="26"/>
  <c r="CQ34" i="26"/>
  <c r="CF34" i="26"/>
  <c r="CU34" i="26" s="1"/>
  <c r="H45" i="27" s="1"/>
  <c r="BL34" i="26"/>
  <c r="BI34" i="26"/>
  <c r="AX34" i="26"/>
  <c r="BM34" i="26" s="1"/>
  <c r="G45" i="27" s="1"/>
  <c r="AE34" i="26"/>
  <c r="F45" i="27" s="1"/>
  <c r="I45" i="27" s="1"/>
  <c r="AD34" i="26"/>
  <c r="AA34" i="26"/>
  <c r="P34" i="26"/>
  <c r="B34" i="26"/>
  <c r="AI34" i="26" s="1"/>
  <c r="BQ34" i="26" s="1"/>
  <c r="CU33" i="26"/>
  <c r="H44" i="27" s="1"/>
  <c r="CT33" i="26"/>
  <c r="CQ33" i="26"/>
  <c r="CF33" i="26"/>
  <c r="BQ33" i="26"/>
  <c r="BL33" i="26"/>
  <c r="BI33" i="26"/>
  <c r="AX33" i="26"/>
  <c r="BM33" i="26" s="1"/>
  <c r="G44" i="27" s="1"/>
  <c r="AI33" i="26"/>
  <c r="AE33" i="26"/>
  <c r="F44" i="27" s="1"/>
  <c r="I44" i="27" s="1"/>
  <c r="AD33" i="26"/>
  <c r="AA33" i="26"/>
  <c r="P33" i="26"/>
  <c r="B33" i="26"/>
  <c r="CU32" i="26"/>
  <c r="H43" i="27" s="1"/>
  <c r="CT32" i="26"/>
  <c r="CQ32" i="26"/>
  <c r="CF32" i="26"/>
  <c r="BL32" i="26"/>
  <c r="BI32" i="26"/>
  <c r="AX32" i="26"/>
  <c r="BM32" i="26" s="1"/>
  <c r="G43" i="27" s="1"/>
  <c r="AI32" i="26"/>
  <c r="BQ32" i="26" s="1"/>
  <c r="AD32" i="26"/>
  <c r="AA32" i="26"/>
  <c r="P32" i="26"/>
  <c r="AE32" i="26" s="1"/>
  <c r="F43" i="27" s="1"/>
  <c r="I43" i="27" s="1"/>
  <c r="B32" i="26"/>
  <c r="CT31" i="26"/>
  <c r="CQ31" i="26"/>
  <c r="CF31" i="26"/>
  <c r="CU31" i="26" s="1"/>
  <c r="H42" i="27" s="1"/>
  <c r="BM31" i="26"/>
  <c r="G42" i="27" s="1"/>
  <c r="BL31" i="26"/>
  <c r="BI31" i="26"/>
  <c r="AX31" i="26"/>
  <c r="AI31" i="26"/>
  <c r="BQ31" i="26" s="1"/>
  <c r="AE31" i="26"/>
  <c r="F42" i="27" s="1"/>
  <c r="I42" i="27" s="1"/>
  <c r="AD31" i="26"/>
  <c r="AA31" i="26"/>
  <c r="P31" i="26"/>
  <c r="B31" i="26"/>
  <c r="CT30" i="26"/>
  <c r="CQ30" i="26"/>
  <c r="CF30" i="26"/>
  <c r="CU30" i="26" s="1"/>
  <c r="H41" i="27" s="1"/>
  <c r="BM30" i="26"/>
  <c r="G41" i="27" s="1"/>
  <c r="BL30" i="26"/>
  <c r="BI30" i="26"/>
  <c r="AX30" i="26"/>
  <c r="AE30" i="26"/>
  <c r="F41" i="27" s="1"/>
  <c r="I41" i="27" s="1"/>
  <c r="AD30" i="26"/>
  <c r="AA30" i="26"/>
  <c r="P30" i="26"/>
  <c r="B30" i="26"/>
  <c r="AI30" i="26" s="1"/>
  <c r="BQ30" i="26" s="1"/>
  <c r="CT29" i="26"/>
  <c r="CQ29" i="26"/>
  <c r="CF29" i="26"/>
  <c r="CU29" i="26" s="1"/>
  <c r="H40" i="27" s="1"/>
  <c r="BL29" i="26"/>
  <c r="BI29" i="26"/>
  <c r="AX29" i="26"/>
  <c r="BM29" i="26" s="1"/>
  <c r="G40" i="27" s="1"/>
  <c r="AD29" i="26"/>
  <c r="AA29" i="26"/>
  <c r="P29" i="26"/>
  <c r="AE29" i="26" s="1"/>
  <c r="F40" i="27" s="1"/>
  <c r="I40" i="27" s="1"/>
  <c r="B29" i="26"/>
  <c r="AI29" i="26" s="1"/>
  <c r="BQ29" i="26" s="1"/>
  <c r="CU28" i="26"/>
  <c r="H39" i="27" s="1"/>
  <c r="CT28" i="26"/>
  <c r="CQ28" i="26"/>
  <c r="CF28" i="26"/>
  <c r="BM28" i="26"/>
  <c r="G39" i="27" s="1"/>
  <c r="BL28" i="26"/>
  <c r="BI28" i="26"/>
  <c r="AX28" i="26"/>
  <c r="AI28" i="26"/>
  <c r="BQ28" i="26" s="1"/>
  <c r="AD28" i="26"/>
  <c r="AA28" i="26"/>
  <c r="P28" i="26"/>
  <c r="AE28" i="26" s="1"/>
  <c r="F39" i="27" s="1"/>
  <c r="B28" i="26"/>
  <c r="CU27" i="26"/>
  <c r="H38" i="27" s="1"/>
  <c r="CT27" i="26"/>
  <c r="CQ27" i="26"/>
  <c r="CF27" i="26"/>
  <c r="BM27" i="26"/>
  <c r="G38" i="27" s="1"/>
  <c r="BL27" i="26"/>
  <c r="BI27" i="26"/>
  <c r="AX27" i="26"/>
  <c r="AE27" i="26"/>
  <c r="F38" i="27" s="1"/>
  <c r="I38" i="27" s="1"/>
  <c r="AD27" i="26"/>
  <c r="AA27" i="26"/>
  <c r="P27" i="26"/>
  <c r="B27" i="26"/>
  <c r="AI27" i="26" s="1"/>
  <c r="BQ27" i="26" s="1"/>
  <c r="CT26" i="26"/>
  <c r="CQ26" i="26"/>
  <c r="CF26" i="26"/>
  <c r="CU26" i="26" s="1"/>
  <c r="H37" i="27" s="1"/>
  <c r="BL26" i="26"/>
  <c r="BI26" i="26"/>
  <c r="AX26" i="26"/>
  <c r="BM26" i="26" s="1"/>
  <c r="G37" i="27" s="1"/>
  <c r="AE26" i="26"/>
  <c r="F37" i="27" s="1"/>
  <c r="AD26" i="26"/>
  <c r="AA26" i="26"/>
  <c r="P26" i="26"/>
  <c r="B26" i="26"/>
  <c r="AI26" i="26" s="1"/>
  <c r="BQ26" i="26" s="1"/>
  <c r="CU25" i="26"/>
  <c r="H36" i="27" s="1"/>
  <c r="CT25" i="26"/>
  <c r="CQ25" i="26"/>
  <c r="CF25" i="26"/>
  <c r="BQ25" i="26"/>
  <c r="BL25" i="26"/>
  <c r="BI25" i="26"/>
  <c r="AX25" i="26"/>
  <c r="BM25" i="26" s="1"/>
  <c r="AI25" i="26"/>
  <c r="AE25" i="26"/>
  <c r="AD25" i="26"/>
  <c r="AA25" i="26"/>
  <c r="P25" i="26"/>
  <c r="B25" i="26"/>
  <c r="CU24" i="26"/>
  <c r="H35" i="27" s="1"/>
  <c r="CT24" i="26"/>
  <c r="CQ24" i="26"/>
  <c r="CF24" i="26"/>
  <c r="BL24" i="26"/>
  <c r="BI24" i="26"/>
  <c r="AX24" i="26"/>
  <c r="BM24" i="26" s="1"/>
  <c r="G35" i="27" s="1"/>
  <c r="AI24" i="26"/>
  <c r="BQ24" i="26" s="1"/>
  <c r="AD24" i="26"/>
  <c r="AA24" i="26"/>
  <c r="P24" i="26"/>
  <c r="AE24" i="26" s="1"/>
  <c r="F35" i="27" s="1"/>
  <c r="I35" i="27" s="1"/>
  <c r="B24" i="26"/>
  <c r="CT23" i="26"/>
  <c r="CQ23" i="26"/>
  <c r="CF23" i="26"/>
  <c r="CU23" i="26" s="1"/>
  <c r="H34" i="27" s="1"/>
  <c r="BM23" i="26"/>
  <c r="G34" i="27" s="1"/>
  <c r="BL23" i="26"/>
  <c r="BI23" i="26"/>
  <c r="AX23" i="26"/>
  <c r="AE23" i="26"/>
  <c r="F34" i="27" s="1"/>
  <c r="AD23" i="26"/>
  <c r="AA23" i="26"/>
  <c r="P23" i="26"/>
  <c r="B23" i="26"/>
  <c r="AI23" i="26" s="1"/>
  <c r="BQ23" i="26" s="1"/>
  <c r="CT22" i="26"/>
  <c r="CQ22" i="26"/>
  <c r="CF22" i="26"/>
  <c r="CU22" i="26" s="1"/>
  <c r="H33" i="27" s="1"/>
  <c r="BM22" i="26"/>
  <c r="G33" i="27" s="1"/>
  <c r="BL22" i="26"/>
  <c r="BI22" i="26"/>
  <c r="AX22" i="26"/>
  <c r="AE22" i="26"/>
  <c r="F33" i="27" s="1"/>
  <c r="I33" i="27" s="1"/>
  <c r="AD22" i="26"/>
  <c r="AA22" i="26"/>
  <c r="P22" i="26"/>
  <c r="B22" i="26"/>
  <c r="AI22" i="26" s="1"/>
  <c r="BQ22" i="26" s="1"/>
  <c r="CT21" i="26"/>
  <c r="CQ21" i="26"/>
  <c r="CF21" i="26"/>
  <c r="CU21" i="26" s="1"/>
  <c r="H32" i="27" s="1"/>
  <c r="BL21" i="26"/>
  <c r="BI21" i="26"/>
  <c r="AX21" i="26"/>
  <c r="BM21" i="26" s="1"/>
  <c r="G32" i="27" s="1"/>
  <c r="AD21" i="26"/>
  <c r="AA21" i="26"/>
  <c r="P21" i="26"/>
  <c r="AE21" i="26" s="1"/>
  <c r="F32" i="27" s="1"/>
  <c r="I32" i="27" s="1"/>
  <c r="B21" i="26"/>
  <c r="AI21" i="26" s="1"/>
  <c r="BQ21" i="26" s="1"/>
  <c r="CU20" i="26"/>
  <c r="H31" i="27" s="1"/>
  <c r="CT20" i="26"/>
  <c r="CQ20" i="26"/>
  <c r="CF20" i="26"/>
  <c r="BQ20" i="26"/>
  <c r="BM20" i="26"/>
  <c r="G31" i="27" s="1"/>
  <c r="BL20" i="26"/>
  <c r="BI20" i="26"/>
  <c r="AX20" i="26"/>
  <c r="AI20" i="26"/>
  <c r="AD20" i="26"/>
  <c r="AA20" i="26"/>
  <c r="P20" i="26"/>
  <c r="AE20" i="26" s="1"/>
  <c r="F31" i="27" s="1"/>
  <c r="I31" i="27" s="1"/>
  <c r="B20" i="26"/>
  <c r="CU19" i="26"/>
  <c r="H30" i="27" s="1"/>
  <c r="CT19" i="26"/>
  <c r="CQ19" i="26"/>
  <c r="CF19" i="26"/>
  <c r="BM19" i="26"/>
  <c r="G30" i="27" s="1"/>
  <c r="BL19" i="26"/>
  <c r="BI19" i="26"/>
  <c r="AX19" i="26"/>
  <c r="AD19" i="26"/>
  <c r="AA19" i="26"/>
  <c r="P19" i="26"/>
  <c r="AE19" i="26" s="1"/>
  <c r="F30" i="27" s="1"/>
  <c r="I30" i="27" s="1"/>
  <c r="B19" i="26"/>
  <c r="AI19" i="26" s="1"/>
  <c r="BQ19" i="26" s="1"/>
  <c r="CT18" i="26"/>
  <c r="CQ18" i="26"/>
  <c r="CF18" i="26"/>
  <c r="CU18" i="26" s="1"/>
  <c r="H29" i="27" s="1"/>
  <c r="BL18" i="26"/>
  <c r="BI18" i="26"/>
  <c r="AX18" i="26"/>
  <c r="BM18" i="26" s="1"/>
  <c r="G29" i="27" s="1"/>
  <c r="AE18" i="26"/>
  <c r="F29" i="27" s="1"/>
  <c r="I29" i="27" s="1"/>
  <c r="AD18" i="26"/>
  <c r="AA18" i="26"/>
  <c r="P18" i="26"/>
  <c r="B18" i="26"/>
  <c r="AI18" i="26" s="1"/>
  <c r="BQ18" i="26" s="1"/>
  <c r="CU17" i="26"/>
  <c r="H28" i="27" s="1"/>
  <c r="CT17" i="26"/>
  <c r="CQ17" i="26"/>
  <c r="CF17" i="26"/>
  <c r="BQ17" i="26"/>
  <c r="BL17" i="26"/>
  <c r="BI17" i="26"/>
  <c r="AX17" i="26"/>
  <c r="BM17" i="26" s="1"/>
  <c r="G28" i="27" s="1"/>
  <c r="AI17" i="26"/>
  <c r="AE17" i="26"/>
  <c r="AD17" i="26"/>
  <c r="AA17" i="26"/>
  <c r="P17" i="26"/>
  <c r="B17" i="26"/>
  <c r="CU16" i="26"/>
  <c r="H27" i="27" s="1"/>
  <c r="CT16" i="26"/>
  <c r="CQ16" i="26"/>
  <c r="CF16" i="26"/>
  <c r="BM16" i="26"/>
  <c r="G27" i="27" s="1"/>
  <c r="BL16" i="26"/>
  <c r="BI16" i="26"/>
  <c r="AX16" i="26"/>
  <c r="AI16" i="26"/>
  <c r="BQ16" i="26" s="1"/>
  <c r="AD16" i="26"/>
  <c r="AA16" i="26"/>
  <c r="P16" i="26"/>
  <c r="AE16" i="26" s="1"/>
  <c r="F27" i="27" s="1"/>
  <c r="I27" i="27" s="1"/>
  <c r="B16" i="26"/>
  <c r="CT15" i="26"/>
  <c r="CQ15" i="26"/>
  <c r="CF15" i="26"/>
  <c r="CU15" i="26" s="1"/>
  <c r="H26" i="27" s="1"/>
  <c r="BM15" i="26"/>
  <c r="G26" i="27" s="1"/>
  <c r="BL15" i="26"/>
  <c r="BI15" i="26"/>
  <c r="AX15" i="26"/>
  <c r="AI15" i="26"/>
  <c r="BQ15" i="26" s="1"/>
  <c r="AE15" i="26"/>
  <c r="F26" i="27" s="1"/>
  <c r="I26" i="27" s="1"/>
  <c r="AD15" i="26"/>
  <c r="AA15" i="26"/>
  <c r="P15" i="26"/>
  <c r="B15" i="26"/>
  <c r="CT14" i="26"/>
  <c r="CQ14" i="26"/>
  <c r="CF14" i="26"/>
  <c r="CU14" i="26" s="1"/>
  <c r="H25" i="27" s="1"/>
  <c r="BM14" i="26"/>
  <c r="BL14" i="26"/>
  <c r="BI14" i="26"/>
  <c r="AX14" i="26"/>
  <c r="AE14" i="26"/>
  <c r="AD14" i="26"/>
  <c r="AA14" i="26"/>
  <c r="P14" i="26"/>
  <c r="B14" i="26"/>
  <c r="AI14" i="26" s="1"/>
  <c r="BQ14" i="26" s="1"/>
  <c r="CT13" i="26"/>
  <c r="CQ13" i="26"/>
  <c r="CF13" i="26"/>
  <c r="CU13" i="26" s="1"/>
  <c r="H24" i="27" s="1"/>
  <c r="BL13" i="26"/>
  <c r="BI13" i="26"/>
  <c r="AX13" i="26"/>
  <c r="BM13" i="26" s="1"/>
  <c r="G24" i="27" s="1"/>
  <c r="AD13" i="26"/>
  <c r="AA13" i="26"/>
  <c r="P13" i="26"/>
  <c r="AE13" i="26" s="1"/>
  <c r="F24" i="27" s="1"/>
  <c r="I24" i="27" s="1"/>
  <c r="B13" i="26"/>
  <c r="AI13" i="26" s="1"/>
  <c r="BQ13" i="26" s="1"/>
  <c r="CU12" i="26"/>
  <c r="H23" i="27" s="1"/>
  <c r="CT12" i="26"/>
  <c r="CQ12" i="26"/>
  <c r="CF12" i="26"/>
  <c r="BM12" i="26"/>
  <c r="G23" i="27" s="1"/>
  <c r="BL12" i="26"/>
  <c r="BI12" i="26"/>
  <c r="AX12" i="26"/>
  <c r="AI12" i="26"/>
  <c r="BQ12" i="26" s="1"/>
  <c r="AD12" i="26"/>
  <c r="AA12" i="26"/>
  <c r="P12" i="26"/>
  <c r="AE12" i="26" s="1"/>
  <c r="B12" i="26"/>
  <c r="CU11" i="26"/>
  <c r="H22" i="27" s="1"/>
  <c r="CT11" i="26"/>
  <c r="CQ11" i="26"/>
  <c r="CF11" i="26"/>
  <c r="BM11" i="26"/>
  <c r="G22" i="27" s="1"/>
  <c r="BL11" i="26"/>
  <c r="BI11" i="26"/>
  <c r="AX11" i="26"/>
  <c r="AI11" i="26"/>
  <c r="BQ11" i="26" s="1"/>
  <c r="AD11" i="26"/>
  <c r="AA11" i="26"/>
  <c r="P11" i="26"/>
  <c r="AE11" i="26" s="1"/>
  <c r="F22" i="27" s="1"/>
  <c r="I22" i="27" s="1"/>
  <c r="B11" i="26"/>
  <c r="CT10" i="26"/>
  <c r="CQ10" i="26"/>
  <c r="CF10" i="26"/>
  <c r="CU10" i="26" s="1"/>
  <c r="H21" i="27" s="1"/>
  <c r="BL10" i="26"/>
  <c r="BI10" i="26"/>
  <c r="AX10" i="26"/>
  <c r="BM10" i="26" s="1"/>
  <c r="G21" i="27" s="1"/>
  <c r="AE10" i="26"/>
  <c r="F21" i="27" s="1"/>
  <c r="AD10" i="26"/>
  <c r="AA10" i="26"/>
  <c r="P10" i="26"/>
  <c r="B10" i="26"/>
  <c r="AI10" i="26" s="1"/>
  <c r="BQ10" i="26" s="1"/>
  <c r="CT9" i="26"/>
  <c r="CQ9" i="26"/>
  <c r="CF9" i="26"/>
  <c r="CU9" i="26" s="1"/>
  <c r="H20" i="27" s="1"/>
  <c r="BQ9" i="26"/>
  <c r="BL9" i="26"/>
  <c r="BI9" i="26"/>
  <c r="AX9" i="26"/>
  <c r="BM9" i="26" s="1"/>
  <c r="G20" i="27" s="1"/>
  <c r="AI9" i="26"/>
  <c r="AE9" i="26"/>
  <c r="F20" i="27" s="1"/>
  <c r="I20" i="27" s="1"/>
  <c r="AD9" i="26"/>
  <c r="AA9" i="26"/>
  <c r="P9" i="26"/>
  <c r="B9" i="26"/>
  <c r="CU8" i="26"/>
  <c r="H19" i="27" s="1"/>
  <c r="CT8" i="26"/>
  <c r="CQ8" i="26"/>
  <c r="CF8" i="26"/>
  <c r="BQ8" i="26"/>
  <c r="BM8" i="26"/>
  <c r="G19" i="27" s="1"/>
  <c r="BL8" i="26"/>
  <c r="BI8" i="26"/>
  <c r="AX8" i="26"/>
  <c r="AI8" i="26"/>
  <c r="AD8" i="26"/>
  <c r="AA8" i="26"/>
  <c r="P8" i="26"/>
  <c r="AE8" i="26" s="1"/>
  <c r="F19" i="27" s="1"/>
  <c r="I19" i="27" s="1"/>
  <c r="B8" i="26"/>
  <c r="CT7" i="26"/>
  <c r="CQ7" i="26"/>
  <c r="CF7" i="26"/>
  <c r="CU7" i="26" s="1"/>
  <c r="H18" i="27" s="1"/>
  <c r="BM7" i="26"/>
  <c r="BL7" i="26"/>
  <c r="BI7" i="26"/>
  <c r="AX7" i="26"/>
  <c r="AI7" i="26"/>
  <c r="BQ7" i="26" s="1"/>
  <c r="AD7" i="26"/>
  <c r="AA7" i="26"/>
  <c r="P7" i="26"/>
  <c r="AE7" i="26" s="1"/>
  <c r="F18" i="27" s="1"/>
  <c r="I18" i="27" s="1"/>
  <c r="B7" i="26"/>
  <c r="CT6" i="26"/>
  <c r="CQ6" i="26"/>
  <c r="CF6" i="26"/>
  <c r="CU6" i="26" s="1"/>
  <c r="H17" i="27" s="1"/>
  <c r="BM6" i="26"/>
  <c r="G17" i="27" s="1"/>
  <c r="BL6" i="26"/>
  <c r="BI6" i="26"/>
  <c r="AX6" i="26"/>
  <c r="AE6" i="26"/>
  <c r="F17" i="27" s="1"/>
  <c r="I17" i="27" s="1"/>
  <c r="AD6" i="26"/>
  <c r="AA6" i="26"/>
  <c r="P6" i="26"/>
  <c r="B6" i="26"/>
  <c r="AI6" i="26" s="1"/>
  <c r="BQ6" i="26" s="1"/>
  <c r="CT5" i="26"/>
  <c r="CQ5" i="26"/>
  <c r="CF5" i="26"/>
  <c r="CU5" i="26" s="1"/>
  <c r="H16" i="27" s="1"/>
  <c r="BL5" i="26"/>
  <c r="BI5" i="26"/>
  <c r="AX5" i="26"/>
  <c r="BM5" i="26" s="1"/>
  <c r="G16" i="27" s="1"/>
  <c r="AE5" i="26"/>
  <c r="AD5" i="26"/>
  <c r="AA5" i="26"/>
  <c r="P5" i="26"/>
  <c r="B5" i="26"/>
  <c r="AI5" i="26" s="1"/>
  <c r="BQ5" i="26" s="1"/>
  <c r="C55" i="25"/>
  <c r="C54" i="25"/>
  <c r="C53" i="25"/>
  <c r="C52" i="25"/>
  <c r="C51" i="25"/>
  <c r="C50" i="25"/>
  <c r="C49" i="25"/>
  <c r="C48" i="25"/>
  <c r="C47" i="25"/>
  <c r="C46" i="25"/>
  <c r="F45" i="25"/>
  <c r="I45" i="25" s="1"/>
  <c r="C45" i="25"/>
  <c r="F44" i="25"/>
  <c r="I44" i="25" s="1"/>
  <c r="C44" i="25"/>
  <c r="C43" i="25"/>
  <c r="G42" i="25"/>
  <c r="C42" i="25"/>
  <c r="C41" i="25"/>
  <c r="C40" i="25"/>
  <c r="C39" i="25"/>
  <c r="C38" i="25"/>
  <c r="G37" i="25"/>
  <c r="F37" i="25"/>
  <c r="I37" i="25" s="1"/>
  <c r="C37" i="25"/>
  <c r="C36" i="25"/>
  <c r="I35" i="25"/>
  <c r="C35" i="25"/>
  <c r="C34" i="25"/>
  <c r="C33" i="25"/>
  <c r="G32" i="25"/>
  <c r="C32" i="25"/>
  <c r="C31" i="25"/>
  <c r="C30" i="25"/>
  <c r="C29" i="25"/>
  <c r="C28" i="25"/>
  <c r="I27" i="25"/>
  <c r="H27" i="25"/>
  <c r="C27" i="25"/>
  <c r="C26" i="25"/>
  <c r="C25" i="25"/>
  <c r="C24" i="25"/>
  <c r="C23" i="25"/>
  <c r="C22" i="25"/>
  <c r="G21" i="25"/>
  <c r="F21" i="25"/>
  <c r="I21" i="25" s="1"/>
  <c r="C21" i="25"/>
  <c r="C20" i="25"/>
  <c r="I19" i="25"/>
  <c r="H19" i="25"/>
  <c r="C19" i="25"/>
  <c r="C18" i="25"/>
  <c r="C17" i="25"/>
  <c r="C16" i="25"/>
  <c r="CT49" i="24"/>
  <c r="CQ49" i="24"/>
  <c r="CU49" i="24" s="1"/>
  <c r="B44" i="24"/>
  <c r="B43" i="24"/>
  <c r="B42" i="24"/>
  <c r="CT41" i="24"/>
  <c r="CQ41" i="24"/>
  <c r="CF41" i="24"/>
  <c r="CU41" i="24" s="1"/>
  <c r="H52" i="25" s="1"/>
  <c r="BL41" i="24"/>
  <c r="BI41" i="24"/>
  <c r="AX41" i="24"/>
  <c r="BM41" i="24" s="1"/>
  <c r="G52" i="25" s="1"/>
  <c r="AE41" i="24"/>
  <c r="F52" i="25" s="1"/>
  <c r="I52" i="25" s="1"/>
  <c r="AD41" i="24"/>
  <c r="AA41" i="24"/>
  <c r="P41" i="24"/>
  <c r="B41" i="24"/>
  <c r="AI41" i="24" s="1"/>
  <c r="BQ41" i="24" s="1"/>
  <c r="CU40" i="24"/>
  <c r="H51" i="25" s="1"/>
  <c r="CT40" i="24"/>
  <c r="CQ40" i="24"/>
  <c r="CF40" i="24"/>
  <c r="BQ40" i="24"/>
  <c r="BL40" i="24"/>
  <c r="BI40" i="24"/>
  <c r="AX40" i="24"/>
  <c r="BM40" i="24" s="1"/>
  <c r="G51" i="25" s="1"/>
  <c r="AI40" i="24"/>
  <c r="AD40" i="24"/>
  <c r="AA40" i="24"/>
  <c r="P40" i="24"/>
  <c r="AE40" i="24" s="1"/>
  <c r="F51" i="25" s="1"/>
  <c r="I51" i="25" s="1"/>
  <c r="B40" i="24"/>
  <c r="CU39" i="24"/>
  <c r="H50" i="25" s="1"/>
  <c r="CT39" i="24"/>
  <c r="CQ39" i="24"/>
  <c r="CF39" i="24"/>
  <c r="BL39" i="24"/>
  <c r="BI39" i="24"/>
  <c r="AX39" i="24"/>
  <c r="BM39" i="24" s="1"/>
  <c r="G50" i="25" s="1"/>
  <c r="AI39" i="24"/>
  <c r="BQ39" i="24" s="1"/>
  <c r="AD39" i="24"/>
  <c r="AA39" i="24"/>
  <c r="P39" i="24"/>
  <c r="AE39" i="24" s="1"/>
  <c r="F50" i="25" s="1"/>
  <c r="I50" i="25" s="1"/>
  <c r="B39" i="24"/>
  <c r="CT38" i="24"/>
  <c r="CQ38" i="24"/>
  <c r="CF38" i="24"/>
  <c r="CU38" i="24" s="1"/>
  <c r="H49" i="25" s="1"/>
  <c r="BM38" i="24"/>
  <c r="G49" i="25" s="1"/>
  <c r="BL38" i="24"/>
  <c r="BI38" i="24"/>
  <c r="AX38" i="24"/>
  <c r="AI38" i="24"/>
  <c r="BQ38" i="24" s="1"/>
  <c r="AE38" i="24"/>
  <c r="F49" i="25" s="1"/>
  <c r="I49" i="25" s="1"/>
  <c r="AD38" i="24"/>
  <c r="AA38" i="24"/>
  <c r="P38" i="24"/>
  <c r="B38" i="24"/>
  <c r="CT37" i="24"/>
  <c r="CQ37" i="24"/>
  <c r="CF37" i="24"/>
  <c r="CU37" i="24" s="1"/>
  <c r="H48" i="25" s="1"/>
  <c r="BL37" i="24"/>
  <c r="BI37" i="24"/>
  <c r="AX37" i="24"/>
  <c r="BM37" i="24" s="1"/>
  <c r="G48" i="25" s="1"/>
  <c r="AE37" i="24"/>
  <c r="F48" i="25" s="1"/>
  <c r="I48" i="25" s="1"/>
  <c r="AD37" i="24"/>
  <c r="AA37" i="24"/>
  <c r="P37" i="24"/>
  <c r="B37" i="24"/>
  <c r="AI37" i="24" s="1"/>
  <c r="BQ37" i="24" s="1"/>
  <c r="CT36" i="24"/>
  <c r="CQ36" i="24"/>
  <c r="CF36" i="24"/>
  <c r="CU36" i="24" s="1"/>
  <c r="H47" i="25" s="1"/>
  <c r="BQ36" i="24"/>
  <c r="BL36" i="24"/>
  <c r="BI36" i="24"/>
  <c r="AX36" i="24"/>
  <c r="BM36" i="24" s="1"/>
  <c r="G47" i="25" s="1"/>
  <c r="AI36" i="24"/>
  <c r="AD36" i="24"/>
  <c r="AA36" i="24"/>
  <c r="P36" i="24"/>
  <c r="AE36" i="24" s="1"/>
  <c r="F47" i="25" s="1"/>
  <c r="I47" i="25" s="1"/>
  <c r="B36" i="24"/>
  <c r="CU35" i="24"/>
  <c r="H46" i="25" s="1"/>
  <c r="CT35" i="24"/>
  <c r="CQ35" i="24"/>
  <c r="CF35" i="24"/>
  <c r="BQ35" i="24"/>
  <c r="BM35" i="24"/>
  <c r="G46" i="25" s="1"/>
  <c r="BL35" i="24"/>
  <c r="BI35" i="24"/>
  <c r="AX35" i="24"/>
  <c r="AI35" i="24"/>
  <c r="AD35" i="24"/>
  <c r="AA35" i="24"/>
  <c r="P35" i="24"/>
  <c r="AE35" i="24" s="1"/>
  <c r="F46" i="25" s="1"/>
  <c r="I46" i="25" s="1"/>
  <c r="B35" i="24"/>
  <c r="CT34" i="24"/>
  <c r="CQ34" i="24"/>
  <c r="CF34" i="24"/>
  <c r="CU34" i="24" s="1"/>
  <c r="H45" i="25" s="1"/>
  <c r="BM34" i="24"/>
  <c r="G45" i="25" s="1"/>
  <c r="BL34" i="24"/>
  <c r="BI34" i="24"/>
  <c r="AX34" i="24"/>
  <c r="AD34" i="24"/>
  <c r="AA34" i="24"/>
  <c r="P34" i="24"/>
  <c r="AE34" i="24" s="1"/>
  <c r="B34" i="24"/>
  <c r="AI34" i="24" s="1"/>
  <c r="BQ34" i="24" s="1"/>
  <c r="CT33" i="24"/>
  <c r="CQ33" i="24"/>
  <c r="CF33" i="24"/>
  <c r="CU33" i="24" s="1"/>
  <c r="H44" i="25" s="1"/>
  <c r="BL33" i="24"/>
  <c r="BI33" i="24"/>
  <c r="AX33" i="24"/>
  <c r="BM33" i="24" s="1"/>
  <c r="G44" i="25" s="1"/>
  <c r="AE33" i="24"/>
  <c r="AD33" i="24"/>
  <c r="AA33" i="24"/>
  <c r="P33" i="24"/>
  <c r="B33" i="24"/>
  <c r="AI33" i="24" s="1"/>
  <c r="BQ33" i="24" s="1"/>
  <c r="CU32" i="24"/>
  <c r="H43" i="25" s="1"/>
  <c r="CT32" i="24"/>
  <c r="CQ32" i="24"/>
  <c r="CF32" i="24"/>
  <c r="BQ32" i="24"/>
  <c r="BL32" i="24"/>
  <c r="BI32" i="24"/>
  <c r="AX32" i="24"/>
  <c r="BM32" i="24" s="1"/>
  <c r="G43" i="25" s="1"/>
  <c r="AI32" i="24"/>
  <c r="AD32" i="24"/>
  <c r="AA32" i="24"/>
  <c r="P32" i="24"/>
  <c r="AE32" i="24" s="1"/>
  <c r="F43" i="25" s="1"/>
  <c r="I43" i="25" s="1"/>
  <c r="B32" i="24"/>
  <c r="CU31" i="24"/>
  <c r="H42" i="25" s="1"/>
  <c r="CT31" i="24"/>
  <c r="CQ31" i="24"/>
  <c r="CF31" i="24"/>
  <c r="BL31" i="24"/>
  <c r="BI31" i="24"/>
  <c r="AX31" i="24"/>
  <c r="BM31" i="24" s="1"/>
  <c r="AI31" i="24"/>
  <c r="BQ31" i="24" s="1"/>
  <c r="AD31" i="24"/>
  <c r="AA31" i="24"/>
  <c r="P31" i="24"/>
  <c r="AE31" i="24" s="1"/>
  <c r="F42" i="25" s="1"/>
  <c r="I42" i="25" s="1"/>
  <c r="B31" i="24"/>
  <c r="CT30" i="24"/>
  <c r="CQ30" i="24"/>
  <c r="CF30" i="24"/>
  <c r="CU30" i="24" s="1"/>
  <c r="H41" i="25" s="1"/>
  <c r="BM30" i="24"/>
  <c r="G41" i="25" s="1"/>
  <c r="BL30" i="24"/>
  <c r="BI30" i="24"/>
  <c r="AX30" i="24"/>
  <c r="AI30" i="24"/>
  <c r="BQ30" i="24" s="1"/>
  <c r="AE30" i="24"/>
  <c r="F41" i="25" s="1"/>
  <c r="I41" i="25" s="1"/>
  <c r="AD30" i="24"/>
  <c r="AA30" i="24"/>
  <c r="P30" i="24"/>
  <c r="B30" i="24"/>
  <c r="CT29" i="24"/>
  <c r="CQ29" i="24"/>
  <c r="CF29" i="24"/>
  <c r="CU29" i="24" s="1"/>
  <c r="H40" i="25" s="1"/>
  <c r="BL29" i="24"/>
  <c r="BI29" i="24"/>
  <c r="AX29" i="24"/>
  <c r="BM29" i="24" s="1"/>
  <c r="G40" i="25" s="1"/>
  <c r="AE29" i="24"/>
  <c r="F40" i="25" s="1"/>
  <c r="I40" i="25" s="1"/>
  <c r="AD29" i="24"/>
  <c r="AA29" i="24"/>
  <c r="P29" i="24"/>
  <c r="B29" i="24"/>
  <c r="AI29" i="24" s="1"/>
  <c r="BQ29" i="24" s="1"/>
  <c r="CT28" i="24"/>
  <c r="CQ28" i="24"/>
  <c r="CF28" i="24"/>
  <c r="CU28" i="24" s="1"/>
  <c r="H39" i="25" s="1"/>
  <c r="BQ28" i="24"/>
  <c r="BL28" i="24"/>
  <c r="BI28" i="24"/>
  <c r="AX28" i="24"/>
  <c r="BM28" i="24" s="1"/>
  <c r="G39" i="25" s="1"/>
  <c r="AI28" i="24"/>
  <c r="AD28" i="24"/>
  <c r="AA28" i="24"/>
  <c r="P28" i="24"/>
  <c r="AE28" i="24" s="1"/>
  <c r="F39" i="25" s="1"/>
  <c r="I39" i="25" s="1"/>
  <c r="B28" i="24"/>
  <c r="CU27" i="24"/>
  <c r="H38" i="25" s="1"/>
  <c r="CT27" i="24"/>
  <c r="CQ27" i="24"/>
  <c r="CF27" i="24"/>
  <c r="BQ27" i="24"/>
  <c r="BM27" i="24"/>
  <c r="G38" i="25" s="1"/>
  <c r="BL27" i="24"/>
  <c r="BI27" i="24"/>
  <c r="AX27" i="24"/>
  <c r="AI27" i="24"/>
  <c r="AD27" i="24"/>
  <c r="AA27" i="24"/>
  <c r="P27" i="24"/>
  <c r="AE27" i="24" s="1"/>
  <c r="F38" i="25" s="1"/>
  <c r="I38" i="25" s="1"/>
  <c r="B27" i="24"/>
  <c r="CT26" i="24"/>
  <c r="CQ26" i="24"/>
  <c r="CF26" i="24"/>
  <c r="CU26" i="24" s="1"/>
  <c r="H37" i="25" s="1"/>
  <c r="BM26" i="24"/>
  <c r="BL26" i="24"/>
  <c r="BI26" i="24"/>
  <c r="AX26" i="24"/>
  <c r="AD26" i="24"/>
  <c r="AA26" i="24"/>
  <c r="P26" i="24"/>
  <c r="AE26" i="24" s="1"/>
  <c r="B26" i="24"/>
  <c r="AI26" i="24" s="1"/>
  <c r="BQ26" i="24" s="1"/>
  <c r="CT25" i="24"/>
  <c r="CQ25" i="24"/>
  <c r="CF25" i="24"/>
  <c r="CU25" i="24" s="1"/>
  <c r="H36" i="25" s="1"/>
  <c r="BL25" i="24"/>
  <c r="BI25" i="24"/>
  <c r="AX25" i="24"/>
  <c r="BM25" i="24" s="1"/>
  <c r="G36" i="25" s="1"/>
  <c r="AE25" i="24"/>
  <c r="F36" i="25" s="1"/>
  <c r="I36" i="25" s="1"/>
  <c r="AD25" i="24"/>
  <c r="AA25" i="24"/>
  <c r="P25" i="24"/>
  <c r="B25" i="24"/>
  <c r="AI25" i="24" s="1"/>
  <c r="BQ25" i="24" s="1"/>
  <c r="CU24" i="24"/>
  <c r="H35" i="25" s="1"/>
  <c r="CT24" i="24"/>
  <c r="CQ24" i="24"/>
  <c r="CF24" i="24"/>
  <c r="BQ24" i="24"/>
  <c r="BL24" i="24"/>
  <c r="BI24" i="24"/>
  <c r="AX24" i="24"/>
  <c r="BM24" i="24" s="1"/>
  <c r="G35" i="25" s="1"/>
  <c r="AI24" i="24"/>
  <c r="AD24" i="24"/>
  <c r="AA24" i="24"/>
  <c r="P24" i="24"/>
  <c r="AE24" i="24" s="1"/>
  <c r="F35" i="25" s="1"/>
  <c r="B24" i="24"/>
  <c r="CU23" i="24"/>
  <c r="H34" i="25" s="1"/>
  <c r="CT23" i="24"/>
  <c r="CQ23" i="24"/>
  <c r="CF23" i="24"/>
  <c r="BL23" i="24"/>
  <c r="BI23" i="24"/>
  <c r="AX23" i="24"/>
  <c r="BM23" i="24" s="1"/>
  <c r="G34" i="25" s="1"/>
  <c r="AI23" i="24"/>
  <c r="BQ23" i="24" s="1"/>
  <c r="AD23" i="24"/>
  <c r="AA23" i="24"/>
  <c r="P23" i="24"/>
  <c r="AE23" i="24" s="1"/>
  <c r="F34" i="25" s="1"/>
  <c r="I34" i="25" s="1"/>
  <c r="B23" i="24"/>
  <c r="CT22" i="24"/>
  <c r="CQ22" i="24"/>
  <c r="CF22" i="24"/>
  <c r="CU22" i="24" s="1"/>
  <c r="H33" i="25" s="1"/>
  <c r="BM22" i="24"/>
  <c r="G33" i="25" s="1"/>
  <c r="BL22" i="24"/>
  <c r="BI22" i="24"/>
  <c r="AX22" i="24"/>
  <c r="AI22" i="24"/>
  <c r="BQ22" i="24" s="1"/>
  <c r="AE22" i="24"/>
  <c r="F33" i="25" s="1"/>
  <c r="I33" i="25" s="1"/>
  <c r="AD22" i="24"/>
  <c r="AA22" i="24"/>
  <c r="P22" i="24"/>
  <c r="B22" i="24"/>
  <c r="CT21" i="24"/>
  <c r="CQ21" i="24"/>
  <c r="CF21" i="24"/>
  <c r="CU21" i="24" s="1"/>
  <c r="H32" i="25" s="1"/>
  <c r="BL21" i="24"/>
  <c r="BI21" i="24"/>
  <c r="AX21" i="24"/>
  <c r="BM21" i="24" s="1"/>
  <c r="AE21" i="24"/>
  <c r="F32" i="25" s="1"/>
  <c r="I32" i="25" s="1"/>
  <c r="AD21" i="24"/>
  <c r="AA21" i="24"/>
  <c r="P21" i="24"/>
  <c r="B21" i="24"/>
  <c r="AI21" i="24" s="1"/>
  <c r="BQ21" i="24" s="1"/>
  <c r="CT20" i="24"/>
  <c r="CQ20" i="24"/>
  <c r="CF20" i="24"/>
  <c r="CU20" i="24" s="1"/>
  <c r="H31" i="25" s="1"/>
  <c r="BQ20" i="24"/>
  <c r="BL20" i="24"/>
  <c r="BI20" i="24"/>
  <c r="AX20" i="24"/>
  <c r="BM20" i="24" s="1"/>
  <c r="G31" i="25" s="1"/>
  <c r="AI20" i="24"/>
  <c r="AD20" i="24"/>
  <c r="AA20" i="24"/>
  <c r="P20" i="24"/>
  <c r="AE20" i="24" s="1"/>
  <c r="F31" i="25" s="1"/>
  <c r="I31" i="25" s="1"/>
  <c r="B20" i="24"/>
  <c r="CU19" i="24"/>
  <c r="H30" i="25" s="1"/>
  <c r="CT19" i="24"/>
  <c r="CQ19" i="24"/>
  <c r="CF19" i="24"/>
  <c r="BQ19" i="24"/>
  <c r="BM19" i="24"/>
  <c r="G30" i="25" s="1"/>
  <c r="BL19" i="24"/>
  <c r="BI19" i="24"/>
  <c r="AX19" i="24"/>
  <c r="AI19" i="24"/>
  <c r="AD19" i="24"/>
  <c r="AA19" i="24"/>
  <c r="P19" i="24"/>
  <c r="AE19" i="24" s="1"/>
  <c r="F30" i="25" s="1"/>
  <c r="I30" i="25" s="1"/>
  <c r="B19" i="24"/>
  <c r="CT18" i="24"/>
  <c r="CQ18" i="24"/>
  <c r="CF18" i="24"/>
  <c r="CU18" i="24" s="1"/>
  <c r="H29" i="25" s="1"/>
  <c r="BM18" i="24"/>
  <c r="G29" i="25" s="1"/>
  <c r="BL18" i="24"/>
  <c r="BI18" i="24"/>
  <c r="AX18" i="24"/>
  <c r="AD18" i="24"/>
  <c r="AA18" i="24"/>
  <c r="P18" i="24"/>
  <c r="AE18" i="24" s="1"/>
  <c r="F29" i="25" s="1"/>
  <c r="I29" i="25" s="1"/>
  <c r="B18" i="24"/>
  <c r="AI18" i="24" s="1"/>
  <c r="BQ18" i="24" s="1"/>
  <c r="CT17" i="24"/>
  <c r="CQ17" i="24"/>
  <c r="CF17" i="24"/>
  <c r="CU17" i="24" s="1"/>
  <c r="H28" i="25" s="1"/>
  <c r="BL17" i="24"/>
  <c r="BI17" i="24"/>
  <c r="AX17" i="24"/>
  <c r="BM17" i="24" s="1"/>
  <c r="G28" i="25" s="1"/>
  <c r="AE17" i="24"/>
  <c r="F28" i="25" s="1"/>
  <c r="I28" i="25" s="1"/>
  <c r="AD17" i="24"/>
  <c r="AA17" i="24"/>
  <c r="P17" i="24"/>
  <c r="B17" i="24"/>
  <c r="AI17" i="24" s="1"/>
  <c r="BQ17" i="24" s="1"/>
  <c r="CU16" i="24"/>
  <c r="CT16" i="24"/>
  <c r="CQ16" i="24"/>
  <c r="CF16" i="24"/>
  <c r="BQ16" i="24"/>
  <c r="BL16" i="24"/>
  <c r="BI16" i="24"/>
  <c r="AX16" i="24"/>
  <c r="BM16" i="24" s="1"/>
  <c r="G27" i="25" s="1"/>
  <c r="AI16" i="24"/>
  <c r="AD16" i="24"/>
  <c r="AA16" i="24"/>
  <c r="P16" i="24"/>
  <c r="AE16" i="24" s="1"/>
  <c r="F27" i="25" s="1"/>
  <c r="B16" i="24"/>
  <c r="CU15" i="24"/>
  <c r="H26" i="25" s="1"/>
  <c r="CT15" i="24"/>
  <c r="CQ15" i="24"/>
  <c r="CF15" i="24"/>
  <c r="BL15" i="24"/>
  <c r="BI15" i="24"/>
  <c r="AX15" i="24"/>
  <c r="BM15" i="24" s="1"/>
  <c r="G26" i="25" s="1"/>
  <c r="AI15" i="24"/>
  <c r="BQ15" i="24" s="1"/>
  <c r="AD15" i="24"/>
  <c r="AA15" i="24"/>
  <c r="P15" i="24"/>
  <c r="AE15" i="24" s="1"/>
  <c r="F26" i="25" s="1"/>
  <c r="I26" i="25" s="1"/>
  <c r="B15" i="24"/>
  <c r="CT14" i="24"/>
  <c r="CQ14" i="24"/>
  <c r="CF14" i="24"/>
  <c r="CU14" i="24" s="1"/>
  <c r="H25" i="25" s="1"/>
  <c r="BM14" i="24"/>
  <c r="G25" i="25" s="1"/>
  <c r="BL14" i="24"/>
  <c r="BI14" i="24"/>
  <c r="AX14" i="24"/>
  <c r="AI14" i="24"/>
  <c r="BQ14" i="24" s="1"/>
  <c r="AE14" i="24"/>
  <c r="F25" i="25" s="1"/>
  <c r="I25" i="25" s="1"/>
  <c r="AD14" i="24"/>
  <c r="AA14" i="24"/>
  <c r="P14" i="24"/>
  <c r="B14" i="24"/>
  <c r="CT13" i="24"/>
  <c r="CQ13" i="24"/>
  <c r="CF13" i="24"/>
  <c r="CU13" i="24" s="1"/>
  <c r="H24" i="25" s="1"/>
  <c r="BL13" i="24"/>
  <c r="BI13" i="24"/>
  <c r="AX13" i="24"/>
  <c r="BM13" i="24" s="1"/>
  <c r="G24" i="25" s="1"/>
  <c r="AE13" i="24"/>
  <c r="F24" i="25" s="1"/>
  <c r="I24" i="25" s="1"/>
  <c r="AD13" i="24"/>
  <c r="AA13" i="24"/>
  <c r="P13" i="24"/>
  <c r="B13" i="24"/>
  <c r="AI13" i="24" s="1"/>
  <c r="BQ13" i="24" s="1"/>
  <c r="CT12" i="24"/>
  <c r="CQ12" i="24"/>
  <c r="CF12" i="24"/>
  <c r="CU12" i="24" s="1"/>
  <c r="H23" i="25" s="1"/>
  <c r="BQ12" i="24"/>
  <c r="BL12" i="24"/>
  <c r="BI12" i="24"/>
  <c r="AX12" i="24"/>
  <c r="BM12" i="24" s="1"/>
  <c r="G23" i="25" s="1"/>
  <c r="AI12" i="24"/>
  <c r="AD12" i="24"/>
  <c r="AA12" i="24"/>
  <c r="P12" i="24"/>
  <c r="AE12" i="24" s="1"/>
  <c r="F23" i="25" s="1"/>
  <c r="I23" i="25" s="1"/>
  <c r="B12" i="24"/>
  <c r="CU11" i="24"/>
  <c r="H22" i="25" s="1"/>
  <c r="CT11" i="24"/>
  <c r="CQ11" i="24"/>
  <c r="CF11" i="24"/>
  <c r="BQ11" i="24"/>
  <c r="BM11" i="24"/>
  <c r="G22" i="25" s="1"/>
  <c r="BL11" i="24"/>
  <c r="BI11" i="24"/>
  <c r="AX11" i="24"/>
  <c r="AI11" i="24"/>
  <c r="AD11" i="24"/>
  <c r="AA11" i="24"/>
  <c r="P11" i="24"/>
  <c r="AE11" i="24" s="1"/>
  <c r="F22" i="25" s="1"/>
  <c r="I22" i="25" s="1"/>
  <c r="B11" i="24"/>
  <c r="CT10" i="24"/>
  <c r="CQ10" i="24"/>
  <c r="CF10" i="24"/>
  <c r="CU10" i="24" s="1"/>
  <c r="H21" i="25" s="1"/>
  <c r="BM10" i="24"/>
  <c r="BL10" i="24"/>
  <c r="BI10" i="24"/>
  <c r="AX10" i="24"/>
  <c r="AD10" i="24"/>
  <c r="AA10" i="24"/>
  <c r="P10" i="24"/>
  <c r="AE10" i="24" s="1"/>
  <c r="B10" i="24"/>
  <c r="AI10" i="24" s="1"/>
  <c r="BQ10" i="24" s="1"/>
  <c r="CT9" i="24"/>
  <c r="CQ9" i="24"/>
  <c r="CF9" i="24"/>
  <c r="CU9" i="24" s="1"/>
  <c r="H20" i="25" s="1"/>
  <c r="BL9" i="24"/>
  <c r="BI9" i="24"/>
  <c r="AX9" i="24"/>
  <c r="BM9" i="24" s="1"/>
  <c r="G20" i="25" s="1"/>
  <c r="AE9" i="24"/>
  <c r="F20" i="25" s="1"/>
  <c r="I20" i="25" s="1"/>
  <c r="AD9" i="24"/>
  <c r="AA9" i="24"/>
  <c r="P9" i="24"/>
  <c r="B9" i="24"/>
  <c r="AI9" i="24" s="1"/>
  <c r="BQ9" i="24" s="1"/>
  <c r="CU8" i="24"/>
  <c r="CT8" i="24"/>
  <c r="CQ8" i="24"/>
  <c r="CF8" i="24"/>
  <c r="BQ8" i="24"/>
  <c r="BL8" i="24"/>
  <c r="BI8" i="24"/>
  <c r="AX8" i="24"/>
  <c r="BM8" i="24" s="1"/>
  <c r="G19" i="25" s="1"/>
  <c r="AI8" i="24"/>
  <c r="AD8" i="24"/>
  <c r="AA8" i="24"/>
  <c r="P8" i="24"/>
  <c r="AE8" i="24" s="1"/>
  <c r="F19" i="25" s="1"/>
  <c r="B8" i="24"/>
  <c r="CU7" i="24"/>
  <c r="H18" i="25" s="1"/>
  <c r="CT7" i="24"/>
  <c r="CQ7" i="24"/>
  <c r="CF7" i="24"/>
  <c r="BL7" i="24"/>
  <c r="BI7" i="24"/>
  <c r="AX7" i="24"/>
  <c r="BM7" i="24" s="1"/>
  <c r="G18" i="25" s="1"/>
  <c r="AI7" i="24"/>
  <c r="BQ7" i="24" s="1"/>
  <c r="AD7" i="24"/>
  <c r="AA7" i="24"/>
  <c r="P7" i="24"/>
  <c r="AE7" i="24" s="1"/>
  <c r="F18" i="25" s="1"/>
  <c r="I18" i="25" s="1"/>
  <c r="B7" i="24"/>
  <c r="CT6" i="24"/>
  <c r="CQ6" i="24"/>
  <c r="CF6" i="24"/>
  <c r="CU6" i="24" s="1"/>
  <c r="H17" i="25" s="1"/>
  <c r="BL6" i="24"/>
  <c r="BI6" i="24"/>
  <c r="AX6" i="24"/>
  <c r="BM6" i="24" s="1"/>
  <c r="G17" i="25" s="1"/>
  <c r="AI6" i="24"/>
  <c r="BQ6" i="24" s="1"/>
  <c r="AE6" i="24"/>
  <c r="F17" i="25" s="1"/>
  <c r="I17" i="25" s="1"/>
  <c r="AD6" i="24"/>
  <c r="AA6" i="24"/>
  <c r="P6" i="24"/>
  <c r="B6" i="24"/>
  <c r="CT5" i="24"/>
  <c r="CQ5" i="24"/>
  <c r="CF5" i="24"/>
  <c r="CU5" i="24" s="1"/>
  <c r="H16" i="25" s="1"/>
  <c r="BL5" i="24"/>
  <c r="BI5" i="24"/>
  <c r="AX5" i="24"/>
  <c r="BM5" i="24" s="1"/>
  <c r="G16" i="25" s="1"/>
  <c r="AE5" i="24"/>
  <c r="F16" i="25" s="1"/>
  <c r="I16" i="25" s="1"/>
  <c r="AD5" i="24"/>
  <c r="AA5" i="24"/>
  <c r="P5" i="24"/>
  <c r="B5" i="24"/>
  <c r="AI5" i="24" s="1"/>
  <c r="BQ5" i="24" s="1"/>
  <c r="C55" i="23"/>
  <c r="C54" i="23"/>
  <c r="C53" i="23"/>
  <c r="C52" i="23"/>
  <c r="C51" i="23"/>
  <c r="C50" i="23"/>
  <c r="F49" i="23"/>
  <c r="I49" i="23" s="1"/>
  <c r="C49" i="23"/>
  <c r="C48" i="23"/>
  <c r="G47" i="23"/>
  <c r="C47" i="23"/>
  <c r="C46" i="23"/>
  <c r="I45" i="23"/>
  <c r="C45" i="23"/>
  <c r="C44" i="23"/>
  <c r="C43" i="23"/>
  <c r="C42" i="23"/>
  <c r="F41" i="23"/>
  <c r="I41" i="23" s="1"/>
  <c r="C41" i="23"/>
  <c r="C40" i="23"/>
  <c r="G39" i="23"/>
  <c r="C39" i="23"/>
  <c r="C38" i="23"/>
  <c r="C37" i="23"/>
  <c r="C36" i="23"/>
  <c r="C35" i="23"/>
  <c r="C34" i="23"/>
  <c r="C33" i="23"/>
  <c r="C32" i="23"/>
  <c r="G31" i="23"/>
  <c r="C31" i="23"/>
  <c r="C30" i="23"/>
  <c r="C29" i="23"/>
  <c r="C28" i="23"/>
  <c r="C27" i="23"/>
  <c r="C26" i="23"/>
  <c r="F25" i="23"/>
  <c r="I25" i="23" s="1"/>
  <c r="C25" i="23"/>
  <c r="C24" i="23"/>
  <c r="G23" i="23"/>
  <c r="C23" i="23"/>
  <c r="C22" i="23"/>
  <c r="C21" i="23"/>
  <c r="C20" i="23"/>
  <c r="C19" i="23"/>
  <c r="C18" i="23"/>
  <c r="C17" i="23"/>
  <c r="C16" i="23"/>
  <c r="CT49" i="22"/>
  <c r="CQ49" i="22"/>
  <c r="CF49" i="22"/>
  <c r="CU49" i="22" s="1"/>
  <c r="B44" i="22"/>
  <c r="B43" i="22"/>
  <c r="B42" i="22"/>
  <c r="CT41" i="22"/>
  <c r="CQ41" i="22"/>
  <c r="CF41" i="22"/>
  <c r="CU41" i="22" s="1"/>
  <c r="H52" i="23" s="1"/>
  <c r="BL41" i="22"/>
  <c r="BI41" i="22"/>
  <c r="AX41" i="22"/>
  <c r="BM41" i="22" s="1"/>
  <c r="G52" i="23" s="1"/>
  <c r="AI41" i="22"/>
  <c r="BQ41" i="22" s="1"/>
  <c r="AE41" i="22"/>
  <c r="F52" i="23" s="1"/>
  <c r="I52" i="23" s="1"/>
  <c r="AD41" i="22"/>
  <c r="AA41" i="22"/>
  <c r="P41" i="22"/>
  <c r="B41" i="22"/>
  <c r="CT40" i="22"/>
  <c r="CQ40" i="22"/>
  <c r="CF40" i="22"/>
  <c r="CU40" i="22" s="1"/>
  <c r="H51" i="23" s="1"/>
  <c r="BL40" i="22"/>
  <c r="BI40" i="22"/>
  <c r="AX40" i="22"/>
  <c r="BM40" i="22" s="1"/>
  <c r="G51" i="23" s="1"/>
  <c r="AE40" i="22"/>
  <c r="F51" i="23" s="1"/>
  <c r="I51" i="23" s="1"/>
  <c r="AD40" i="22"/>
  <c r="AA40" i="22"/>
  <c r="P40" i="22"/>
  <c r="B40" i="22"/>
  <c r="AI40" i="22" s="1"/>
  <c r="BQ40" i="22" s="1"/>
  <c r="CT39" i="22"/>
  <c r="CQ39" i="22"/>
  <c r="CF39" i="22"/>
  <c r="CU39" i="22" s="1"/>
  <c r="H50" i="23" s="1"/>
  <c r="BQ39" i="22"/>
  <c r="BL39" i="22"/>
  <c r="BI39" i="22"/>
  <c r="AX39" i="22"/>
  <c r="BM39" i="22" s="1"/>
  <c r="G50" i="23" s="1"/>
  <c r="AI39" i="22"/>
  <c r="AD39" i="22"/>
  <c r="AA39" i="22"/>
  <c r="P39" i="22"/>
  <c r="AE39" i="22" s="1"/>
  <c r="F50" i="23" s="1"/>
  <c r="I50" i="23" s="1"/>
  <c r="B39" i="22"/>
  <c r="CT38" i="22"/>
  <c r="CQ38" i="22"/>
  <c r="CF38" i="22"/>
  <c r="CU38" i="22" s="1"/>
  <c r="H49" i="23" s="1"/>
  <c r="BM38" i="22"/>
  <c r="G49" i="23" s="1"/>
  <c r="BL38" i="22"/>
  <c r="BI38" i="22"/>
  <c r="AX38" i="22"/>
  <c r="AD38" i="22"/>
  <c r="AA38" i="22"/>
  <c r="P38" i="22"/>
  <c r="AE38" i="22" s="1"/>
  <c r="B38" i="22"/>
  <c r="AI38" i="22" s="1"/>
  <c r="BQ38" i="22" s="1"/>
  <c r="CT37" i="22"/>
  <c r="CQ37" i="22"/>
  <c r="CF37" i="22"/>
  <c r="CU37" i="22" s="1"/>
  <c r="H48" i="23" s="1"/>
  <c r="BM37" i="22"/>
  <c r="G48" i="23" s="1"/>
  <c r="BL37" i="22"/>
  <c r="BI37" i="22"/>
  <c r="AX37" i="22"/>
  <c r="AD37" i="22"/>
  <c r="AA37" i="22"/>
  <c r="P37" i="22"/>
  <c r="AE37" i="22" s="1"/>
  <c r="F48" i="23" s="1"/>
  <c r="I48" i="23" s="1"/>
  <c r="B37" i="22"/>
  <c r="AI37" i="22" s="1"/>
  <c r="BQ37" i="22" s="1"/>
  <c r="CT36" i="22"/>
  <c r="CQ36" i="22"/>
  <c r="CF36" i="22"/>
  <c r="CU36" i="22" s="1"/>
  <c r="H47" i="23" s="1"/>
  <c r="BL36" i="22"/>
  <c r="BI36" i="22"/>
  <c r="AX36" i="22"/>
  <c r="BM36" i="22" s="1"/>
  <c r="AD36" i="22"/>
  <c r="AA36" i="22"/>
  <c r="P36" i="22"/>
  <c r="AE36" i="22" s="1"/>
  <c r="F47" i="23" s="1"/>
  <c r="I47" i="23" s="1"/>
  <c r="B36" i="22"/>
  <c r="AI36" i="22" s="1"/>
  <c r="BQ36" i="22" s="1"/>
  <c r="CU35" i="22"/>
  <c r="H46" i="23" s="1"/>
  <c r="CT35" i="22"/>
  <c r="CQ35" i="22"/>
  <c r="CF35" i="22"/>
  <c r="BL35" i="22"/>
  <c r="BI35" i="22"/>
  <c r="AX35" i="22"/>
  <c r="BM35" i="22" s="1"/>
  <c r="G46" i="23" s="1"/>
  <c r="AD35" i="22"/>
  <c r="AA35" i="22"/>
  <c r="P35" i="22"/>
  <c r="AE35" i="22" s="1"/>
  <c r="F46" i="23" s="1"/>
  <c r="I46" i="23" s="1"/>
  <c r="B35" i="22"/>
  <c r="AI35" i="22" s="1"/>
  <c r="BQ35" i="22" s="1"/>
  <c r="CU34" i="22"/>
  <c r="H45" i="23" s="1"/>
  <c r="CT34" i="22"/>
  <c r="CQ34" i="22"/>
  <c r="CF34" i="22"/>
  <c r="BL34" i="22"/>
  <c r="BI34" i="22"/>
  <c r="AX34" i="22"/>
  <c r="BM34" i="22" s="1"/>
  <c r="G45" i="23" s="1"/>
  <c r="AI34" i="22"/>
  <c r="BQ34" i="22" s="1"/>
  <c r="AD34" i="22"/>
  <c r="AA34" i="22"/>
  <c r="P34" i="22"/>
  <c r="AE34" i="22" s="1"/>
  <c r="F45" i="23" s="1"/>
  <c r="B34" i="22"/>
  <c r="CT33" i="22"/>
  <c r="CQ33" i="22"/>
  <c r="CF33" i="22"/>
  <c r="CU33" i="22" s="1"/>
  <c r="H44" i="23" s="1"/>
  <c r="BL33" i="22"/>
  <c r="BI33" i="22"/>
  <c r="AX33" i="22"/>
  <c r="BM33" i="22" s="1"/>
  <c r="G44" i="23" s="1"/>
  <c r="AI33" i="22"/>
  <c r="BQ33" i="22" s="1"/>
  <c r="AE33" i="22"/>
  <c r="F44" i="23" s="1"/>
  <c r="I44" i="23" s="1"/>
  <c r="AD33" i="22"/>
  <c r="AA33" i="22"/>
  <c r="P33" i="22"/>
  <c r="B33" i="22"/>
  <c r="CT32" i="22"/>
  <c r="CQ32" i="22"/>
  <c r="CF32" i="22"/>
  <c r="CU32" i="22" s="1"/>
  <c r="H43" i="23" s="1"/>
  <c r="BL32" i="22"/>
  <c r="BI32" i="22"/>
  <c r="AX32" i="22"/>
  <c r="BM32" i="22" s="1"/>
  <c r="G43" i="23" s="1"/>
  <c r="AE32" i="22"/>
  <c r="F43" i="23" s="1"/>
  <c r="I43" i="23" s="1"/>
  <c r="AD32" i="22"/>
  <c r="AA32" i="22"/>
  <c r="P32" i="22"/>
  <c r="B32" i="22"/>
  <c r="AI32" i="22" s="1"/>
  <c r="BQ32" i="22" s="1"/>
  <c r="CT31" i="22"/>
  <c r="CQ31" i="22"/>
  <c r="CF31" i="22"/>
  <c r="CU31" i="22" s="1"/>
  <c r="H42" i="23" s="1"/>
  <c r="BQ31" i="22"/>
  <c r="BL31" i="22"/>
  <c r="BI31" i="22"/>
  <c r="AX31" i="22"/>
  <c r="BM31" i="22" s="1"/>
  <c r="G42" i="23" s="1"/>
  <c r="AI31" i="22"/>
  <c r="AD31" i="22"/>
  <c r="AA31" i="22"/>
  <c r="P31" i="22"/>
  <c r="AE31" i="22" s="1"/>
  <c r="F42" i="23" s="1"/>
  <c r="I42" i="23" s="1"/>
  <c r="B31" i="22"/>
  <c r="CT30" i="22"/>
  <c r="CQ30" i="22"/>
  <c r="CF30" i="22"/>
  <c r="CU30" i="22" s="1"/>
  <c r="H41" i="23" s="1"/>
  <c r="BQ30" i="22"/>
  <c r="BM30" i="22"/>
  <c r="G41" i="23" s="1"/>
  <c r="BL30" i="22"/>
  <c r="BI30" i="22"/>
  <c r="AX30" i="22"/>
  <c r="AI30" i="22"/>
  <c r="AD30" i="22"/>
  <c r="AA30" i="22"/>
  <c r="P30" i="22"/>
  <c r="AE30" i="22" s="1"/>
  <c r="B30" i="22"/>
  <c r="CT29" i="22"/>
  <c r="CQ29" i="22"/>
  <c r="CF29" i="22"/>
  <c r="CU29" i="22" s="1"/>
  <c r="H40" i="23" s="1"/>
  <c r="BM29" i="22"/>
  <c r="G40" i="23" s="1"/>
  <c r="BL29" i="22"/>
  <c r="BI29" i="22"/>
  <c r="AX29" i="22"/>
  <c r="AD29" i="22"/>
  <c r="AA29" i="22"/>
  <c r="P29" i="22"/>
  <c r="AE29" i="22" s="1"/>
  <c r="F40" i="23" s="1"/>
  <c r="I40" i="23" s="1"/>
  <c r="B29" i="22"/>
  <c r="AI29" i="22" s="1"/>
  <c r="BQ29" i="22" s="1"/>
  <c r="CT28" i="22"/>
  <c r="CQ28" i="22"/>
  <c r="CF28" i="22"/>
  <c r="CU28" i="22" s="1"/>
  <c r="H39" i="23" s="1"/>
  <c r="BL28" i="22"/>
  <c r="BI28" i="22"/>
  <c r="AX28" i="22"/>
  <c r="BM28" i="22" s="1"/>
  <c r="AD28" i="22"/>
  <c r="AA28" i="22"/>
  <c r="P28" i="22"/>
  <c r="AE28" i="22" s="1"/>
  <c r="F39" i="23" s="1"/>
  <c r="I39" i="23" s="1"/>
  <c r="B28" i="22"/>
  <c r="AI28" i="22" s="1"/>
  <c r="BQ28" i="22" s="1"/>
  <c r="CU27" i="22"/>
  <c r="H38" i="23" s="1"/>
  <c r="CT27" i="22"/>
  <c r="CQ27" i="22"/>
  <c r="CF27" i="22"/>
  <c r="BL27" i="22"/>
  <c r="BI27" i="22"/>
  <c r="AX27" i="22"/>
  <c r="BM27" i="22" s="1"/>
  <c r="G38" i="23" s="1"/>
  <c r="AD27" i="22"/>
  <c r="AA27" i="22"/>
  <c r="P27" i="22"/>
  <c r="AE27" i="22" s="1"/>
  <c r="F38" i="23" s="1"/>
  <c r="I38" i="23" s="1"/>
  <c r="B27" i="22"/>
  <c r="AI27" i="22" s="1"/>
  <c r="BQ27" i="22" s="1"/>
  <c r="CU26" i="22"/>
  <c r="H37" i="23" s="1"/>
  <c r="CT26" i="22"/>
  <c r="CQ26" i="22"/>
  <c r="CF26" i="22"/>
  <c r="BL26" i="22"/>
  <c r="BI26" i="22"/>
  <c r="AX26" i="22"/>
  <c r="BM26" i="22" s="1"/>
  <c r="G37" i="23" s="1"/>
  <c r="AI26" i="22"/>
  <c r="BQ26" i="22" s="1"/>
  <c r="AD26" i="22"/>
  <c r="AA26" i="22"/>
  <c r="P26" i="22"/>
  <c r="AE26" i="22" s="1"/>
  <c r="F37" i="23" s="1"/>
  <c r="I37" i="23" s="1"/>
  <c r="B26" i="22"/>
  <c r="CT25" i="22"/>
  <c r="CQ25" i="22"/>
  <c r="CF25" i="22"/>
  <c r="CU25" i="22" s="1"/>
  <c r="H36" i="23" s="1"/>
  <c r="BL25" i="22"/>
  <c r="BI25" i="22"/>
  <c r="AX25" i="22"/>
  <c r="BM25" i="22" s="1"/>
  <c r="G36" i="23" s="1"/>
  <c r="AI25" i="22"/>
  <c r="BQ25" i="22" s="1"/>
  <c r="AE25" i="22"/>
  <c r="F36" i="23" s="1"/>
  <c r="I36" i="23" s="1"/>
  <c r="AD25" i="22"/>
  <c r="AA25" i="22"/>
  <c r="P25" i="22"/>
  <c r="B25" i="22"/>
  <c r="CT24" i="22"/>
  <c r="CQ24" i="22"/>
  <c r="CF24" i="22"/>
  <c r="CU24" i="22" s="1"/>
  <c r="H35" i="23" s="1"/>
  <c r="BL24" i="22"/>
  <c r="BI24" i="22"/>
  <c r="AX24" i="22"/>
  <c r="BM24" i="22" s="1"/>
  <c r="G35" i="23" s="1"/>
  <c r="AE24" i="22"/>
  <c r="F35" i="23" s="1"/>
  <c r="I35" i="23" s="1"/>
  <c r="AD24" i="22"/>
  <c r="AA24" i="22"/>
  <c r="P24" i="22"/>
  <c r="B24" i="22"/>
  <c r="AI24" i="22" s="1"/>
  <c r="BQ24" i="22" s="1"/>
  <c r="CT23" i="22"/>
  <c r="CQ23" i="22"/>
  <c r="CF23" i="22"/>
  <c r="CU23" i="22" s="1"/>
  <c r="H34" i="23" s="1"/>
  <c r="BQ23" i="22"/>
  <c r="BL23" i="22"/>
  <c r="BI23" i="22"/>
  <c r="AX23" i="22"/>
  <c r="BM23" i="22" s="1"/>
  <c r="G34" i="23" s="1"/>
  <c r="AI23" i="22"/>
  <c r="AD23" i="22"/>
  <c r="AA23" i="22"/>
  <c r="P23" i="22"/>
  <c r="AE23" i="22" s="1"/>
  <c r="F34" i="23" s="1"/>
  <c r="I34" i="23" s="1"/>
  <c r="B23" i="22"/>
  <c r="CT22" i="22"/>
  <c r="CQ22" i="22"/>
  <c r="CF22" i="22"/>
  <c r="CU22" i="22" s="1"/>
  <c r="H33" i="23" s="1"/>
  <c r="BQ22" i="22"/>
  <c r="BM22" i="22"/>
  <c r="G33" i="23" s="1"/>
  <c r="BL22" i="22"/>
  <c r="BI22" i="22"/>
  <c r="AX22" i="22"/>
  <c r="AI22" i="22"/>
  <c r="AD22" i="22"/>
  <c r="AA22" i="22"/>
  <c r="P22" i="22"/>
  <c r="AE22" i="22" s="1"/>
  <c r="F33" i="23" s="1"/>
  <c r="I33" i="23" s="1"/>
  <c r="B22" i="22"/>
  <c r="CT21" i="22"/>
  <c r="CQ21" i="22"/>
  <c r="CF21" i="22"/>
  <c r="CU21" i="22" s="1"/>
  <c r="H32" i="23" s="1"/>
  <c r="BM21" i="22"/>
  <c r="G32" i="23" s="1"/>
  <c r="BL21" i="22"/>
  <c r="BI21" i="22"/>
  <c r="AX21" i="22"/>
  <c r="AD21" i="22"/>
  <c r="AA21" i="22"/>
  <c r="P21" i="22"/>
  <c r="AE21" i="22" s="1"/>
  <c r="F32" i="23" s="1"/>
  <c r="I32" i="23" s="1"/>
  <c r="B21" i="22"/>
  <c r="AI21" i="22" s="1"/>
  <c r="BQ21" i="22" s="1"/>
  <c r="CT20" i="22"/>
  <c r="CQ20" i="22"/>
  <c r="CF20" i="22"/>
  <c r="CU20" i="22" s="1"/>
  <c r="H31" i="23" s="1"/>
  <c r="BL20" i="22"/>
  <c r="BI20" i="22"/>
  <c r="AX20" i="22"/>
  <c r="BM20" i="22" s="1"/>
  <c r="AD20" i="22"/>
  <c r="AA20" i="22"/>
  <c r="P20" i="22"/>
  <c r="AE20" i="22" s="1"/>
  <c r="F31" i="23" s="1"/>
  <c r="I31" i="23" s="1"/>
  <c r="B20" i="22"/>
  <c r="AI20" i="22" s="1"/>
  <c r="BQ20" i="22" s="1"/>
  <c r="CU19" i="22"/>
  <c r="H30" i="23" s="1"/>
  <c r="CT19" i="22"/>
  <c r="CQ19" i="22"/>
  <c r="CF19" i="22"/>
  <c r="BL19" i="22"/>
  <c r="BI19" i="22"/>
  <c r="AX19" i="22"/>
  <c r="BM19" i="22" s="1"/>
  <c r="G30" i="23" s="1"/>
  <c r="AD19" i="22"/>
  <c r="AA19" i="22"/>
  <c r="P19" i="22"/>
  <c r="AE19" i="22" s="1"/>
  <c r="F30" i="23" s="1"/>
  <c r="I30" i="23" s="1"/>
  <c r="B19" i="22"/>
  <c r="AI19" i="22" s="1"/>
  <c r="BQ19" i="22" s="1"/>
  <c r="CU18" i="22"/>
  <c r="H29" i="23" s="1"/>
  <c r="CT18" i="22"/>
  <c r="CQ18" i="22"/>
  <c r="CF18" i="22"/>
  <c r="BL18" i="22"/>
  <c r="BI18" i="22"/>
  <c r="AX18" i="22"/>
  <c r="BM18" i="22" s="1"/>
  <c r="G29" i="23" s="1"/>
  <c r="AI18" i="22"/>
  <c r="BQ18" i="22" s="1"/>
  <c r="AD18" i="22"/>
  <c r="AA18" i="22"/>
  <c r="P18" i="22"/>
  <c r="AE18" i="22" s="1"/>
  <c r="F29" i="23" s="1"/>
  <c r="I29" i="23" s="1"/>
  <c r="B18" i="22"/>
  <c r="CT17" i="22"/>
  <c r="CQ17" i="22"/>
  <c r="CF17" i="22"/>
  <c r="CU17" i="22" s="1"/>
  <c r="H28" i="23" s="1"/>
  <c r="BL17" i="22"/>
  <c r="BI17" i="22"/>
  <c r="AX17" i="22"/>
  <c r="BM17" i="22" s="1"/>
  <c r="G28" i="23" s="1"/>
  <c r="AI17" i="22"/>
  <c r="BQ17" i="22" s="1"/>
  <c r="AE17" i="22"/>
  <c r="F28" i="23" s="1"/>
  <c r="I28" i="23" s="1"/>
  <c r="AD17" i="22"/>
  <c r="AA17" i="22"/>
  <c r="P17" i="22"/>
  <c r="B17" i="22"/>
  <c r="CT16" i="22"/>
  <c r="CQ16" i="22"/>
  <c r="CF16" i="22"/>
  <c r="CU16" i="22" s="1"/>
  <c r="H27" i="23" s="1"/>
  <c r="BL16" i="22"/>
  <c r="BI16" i="22"/>
  <c r="AX16" i="22"/>
  <c r="BM16" i="22" s="1"/>
  <c r="G27" i="23" s="1"/>
  <c r="AE16" i="22"/>
  <c r="F27" i="23" s="1"/>
  <c r="I27" i="23" s="1"/>
  <c r="AD16" i="22"/>
  <c r="AA16" i="22"/>
  <c r="P16" i="22"/>
  <c r="B16" i="22"/>
  <c r="AI16" i="22" s="1"/>
  <c r="BQ16" i="22" s="1"/>
  <c r="CT15" i="22"/>
  <c r="CQ15" i="22"/>
  <c r="CF15" i="22"/>
  <c r="CU15" i="22" s="1"/>
  <c r="H26" i="23" s="1"/>
  <c r="BQ15" i="22"/>
  <c r="BL15" i="22"/>
  <c r="BI15" i="22"/>
  <c r="AX15" i="22"/>
  <c r="BM15" i="22" s="1"/>
  <c r="G26" i="23" s="1"/>
  <c r="AI15" i="22"/>
  <c r="AD15" i="22"/>
  <c r="AA15" i="22"/>
  <c r="P15" i="22"/>
  <c r="AE15" i="22" s="1"/>
  <c r="F26" i="23" s="1"/>
  <c r="I26" i="23" s="1"/>
  <c r="B15" i="22"/>
  <c r="CT14" i="22"/>
  <c r="CQ14" i="22"/>
  <c r="CF14" i="22"/>
  <c r="CU14" i="22" s="1"/>
  <c r="H25" i="23" s="1"/>
  <c r="BQ14" i="22"/>
  <c r="BM14" i="22"/>
  <c r="G25" i="23" s="1"/>
  <c r="BL14" i="22"/>
  <c r="BI14" i="22"/>
  <c r="AX14" i="22"/>
  <c r="AI14" i="22"/>
  <c r="AD14" i="22"/>
  <c r="AA14" i="22"/>
  <c r="P14" i="22"/>
  <c r="AE14" i="22" s="1"/>
  <c r="B14" i="22"/>
  <c r="CT13" i="22"/>
  <c r="CQ13" i="22"/>
  <c r="CF13" i="22"/>
  <c r="CU13" i="22" s="1"/>
  <c r="H24" i="23" s="1"/>
  <c r="BM13" i="22"/>
  <c r="G24" i="23" s="1"/>
  <c r="BL13" i="22"/>
  <c r="BI13" i="22"/>
  <c r="AX13" i="22"/>
  <c r="AD13" i="22"/>
  <c r="AA13" i="22"/>
  <c r="P13" i="22"/>
  <c r="AE13" i="22" s="1"/>
  <c r="F24" i="23" s="1"/>
  <c r="I24" i="23" s="1"/>
  <c r="B13" i="22"/>
  <c r="AI13" i="22" s="1"/>
  <c r="BQ13" i="22" s="1"/>
  <c r="CT12" i="22"/>
  <c r="CQ12" i="22"/>
  <c r="CF12" i="22"/>
  <c r="CU12" i="22" s="1"/>
  <c r="H23" i="23" s="1"/>
  <c r="BL12" i="22"/>
  <c r="BI12" i="22"/>
  <c r="AX12" i="22"/>
  <c r="BM12" i="22" s="1"/>
  <c r="AE12" i="22"/>
  <c r="F23" i="23" s="1"/>
  <c r="I23" i="23" s="1"/>
  <c r="AD12" i="22"/>
  <c r="AA12" i="22"/>
  <c r="P12" i="22"/>
  <c r="B12" i="22"/>
  <c r="AI12" i="22" s="1"/>
  <c r="BQ12" i="22" s="1"/>
  <c r="CU11" i="22"/>
  <c r="H22" i="23" s="1"/>
  <c r="CT11" i="22"/>
  <c r="CQ11" i="22"/>
  <c r="CF11" i="22"/>
  <c r="BL11" i="22"/>
  <c r="BI11" i="22"/>
  <c r="AX11" i="22"/>
  <c r="BM11" i="22" s="1"/>
  <c r="G22" i="23" s="1"/>
  <c r="AI11" i="22"/>
  <c r="BQ11" i="22" s="1"/>
  <c r="AD11" i="22"/>
  <c r="AA11" i="22"/>
  <c r="P11" i="22"/>
  <c r="AE11" i="22" s="1"/>
  <c r="F22" i="23" s="1"/>
  <c r="I22" i="23" s="1"/>
  <c r="B11" i="22"/>
  <c r="CU10" i="22"/>
  <c r="H21" i="23" s="1"/>
  <c r="CT10" i="22"/>
  <c r="CQ10" i="22"/>
  <c r="CF10" i="22"/>
  <c r="BL10" i="22"/>
  <c r="BI10" i="22"/>
  <c r="AX10" i="22"/>
  <c r="BM10" i="22" s="1"/>
  <c r="G21" i="23" s="1"/>
  <c r="AI10" i="22"/>
  <c r="BQ10" i="22" s="1"/>
  <c r="AD10" i="22"/>
  <c r="AA10" i="22"/>
  <c r="P10" i="22"/>
  <c r="AE10" i="22" s="1"/>
  <c r="F21" i="23" s="1"/>
  <c r="I21" i="23" s="1"/>
  <c r="B10" i="22"/>
  <c r="CT9" i="22"/>
  <c r="CQ9" i="22"/>
  <c r="CF9" i="22"/>
  <c r="CU9" i="22" s="1"/>
  <c r="H20" i="23" s="1"/>
  <c r="BL9" i="22"/>
  <c r="BI9" i="22"/>
  <c r="AX9" i="22"/>
  <c r="BM9" i="22" s="1"/>
  <c r="G20" i="23" s="1"/>
  <c r="AI9" i="22"/>
  <c r="BQ9" i="22" s="1"/>
  <c r="AE9" i="22"/>
  <c r="F20" i="23" s="1"/>
  <c r="I20" i="23" s="1"/>
  <c r="AD9" i="22"/>
  <c r="AA9" i="22"/>
  <c r="P9" i="22"/>
  <c r="B9" i="22"/>
  <c r="CU8" i="22"/>
  <c r="H19" i="23" s="1"/>
  <c r="CT8" i="22"/>
  <c r="CQ8" i="22"/>
  <c r="CF8" i="22"/>
  <c r="BL8" i="22"/>
  <c r="BI8" i="22"/>
  <c r="AX8" i="22"/>
  <c r="BM8" i="22" s="1"/>
  <c r="G19" i="23" s="1"/>
  <c r="AD8" i="22"/>
  <c r="AA8" i="22"/>
  <c r="P8" i="22"/>
  <c r="AE8" i="22" s="1"/>
  <c r="F19" i="23" s="1"/>
  <c r="I19" i="23" s="1"/>
  <c r="B8" i="22"/>
  <c r="AI8" i="22" s="1"/>
  <c r="BQ8" i="22" s="1"/>
  <c r="CT7" i="22"/>
  <c r="CQ7" i="22"/>
  <c r="CF7" i="22"/>
  <c r="CU7" i="22" s="1"/>
  <c r="H18" i="23" s="1"/>
  <c r="BM7" i="22"/>
  <c r="G18" i="23" s="1"/>
  <c r="BL7" i="22"/>
  <c r="BI7" i="22"/>
  <c r="AX7" i="22"/>
  <c r="AD7" i="22"/>
  <c r="AA7" i="22"/>
  <c r="P7" i="22"/>
  <c r="AE7" i="22" s="1"/>
  <c r="F18" i="23" s="1"/>
  <c r="I18" i="23" s="1"/>
  <c r="B7" i="22"/>
  <c r="AI7" i="22" s="1"/>
  <c r="BQ7" i="22" s="1"/>
  <c r="CT6" i="22"/>
  <c r="CQ6" i="22"/>
  <c r="CF6" i="22"/>
  <c r="CU6" i="22" s="1"/>
  <c r="H17" i="23" s="1"/>
  <c r="BM6" i="22"/>
  <c r="G17" i="23" s="1"/>
  <c r="BL6" i="22"/>
  <c r="BI6" i="22"/>
  <c r="AX6" i="22"/>
  <c r="AD6" i="22"/>
  <c r="AA6" i="22"/>
  <c r="P6" i="22"/>
  <c r="AE6" i="22" s="1"/>
  <c r="F17" i="23" s="1"/>
  <c r="I17" i="23" s="1"/>
  <c r="B6" i="22"/>
  <c r="AI6" i="22" s="1"/>
  <c r="BQ6" i="22" s="1"/>
  <c r="CU5" i="22"/>
  <c r="H16" i="23" s="1"/>
  <c r="CT5" i="22"/>
  <c r="CQ5" i="22"/>
  <c r="CF5" i="22"/>
  <c r="BL5" i="22"/>
  <c r="BI5" i="22"/>
  <c r="AX5" i="22"/>
  <c r="BM5" i="22" s="1"/>
  <c r="G16" i="23" s="1"/>
  <c r="AD5" i="22"/>
  <c r="AA5" i="22"/>
  <c r="P5" i="22"/>
  <c r="AE5" i="22" s="1"/>
  <c r="F16" i="23" s="1"/>
  <c r="I16" i="23" s="1"/>
  <c r="B5" i="22"/>
  <c r="AI5" i="22" s="1"/>
  <c r="BQ5" i="22" s="1"/>
  <c r="C55" i="21"/>
  <c r="C54" i="21"/>
  <c r="C53" i="21"/>
  <c r="C52" i="21"/>
  <c r="G51" i="21"/>
  <c r="C51" i="21"/>
  <c r="C50" i="21"/>
  <c r="I49" i="21"/>
  <c r="C49" i="21"/>
  <c r="C48" i="21"/>
  <c r="C47" i="21"/>
  <c r="H46" i="21"/>
  <c r="C46" i="21"/>
  <c r="F45" i="21"/>
  <c r="I45" i="21" s="1"/>
  <c r="C45" i="21"/>
  <c r="C44" i="21"/>
  <c r="C43" i="21"/>
  <c r="C42" i="21"/>
  <c r="C41" i="21"/>
  <c r="F40" i="21"/>
  <c r="I40" i="21" s="1"/>
  <c r="C40" i="21"/>
  <c r="C39" i="21"/>
  <c r="H38" i="21"/>
  <c r="C38" i="21"/>
  <c r="F37" i="21"/>
  <c r="I37" i="21" s="1"/>
  <c r="C37" i="21"/>
  <c r="C36" i="21"/>
  <c r="H35" i="21"/>
  <c r="G35" i="21"/>
  <c r="C35" i="21"/>
  <c r="C34" i="21"/>
  <c r="C33" i="21"/>
  <c r="F32" i="21"/>
  <c r="I32" i="21" s="1"/>
  <c r="C32" i="21"/>
  <c r="C31" i="21"/>
  <c r="C30" i="21"/>
  <c r="F29" i="21"/>
  <c r="I29" i="21" s="1"/>
  <c r="C29" i="21"/>
  <c r="C28" i="21"/>
  <c r="G27" i="21"/>
  <c r="C27" i="21"/>
  <c r="C26" i="21"/>
  <c r="C25" i="21"/>
  <c r="C24" i="21"/>
  <c r="C23" i="21"/>
  <c r="C22" i="21"/>
  <c r="F21" i="21"/>
  <c r="I21" i="21" s="1"/>
  <c r="C21" i="21"/>
  <c r="C20" i="21"/>
  <c r="C19" i="21"/>
  <c r="C18" i="21"/>
  <c r="C17" i="21"/>
  <c r="C16" i="21"/>
  <c r="CF49" i="20"/>
  <c r="B44" i="20"/>
  <c r="B43" i="20"/>
  <c r="B42" i="20"/>
  <c r="CT41" i="20"/>
  <c r="CQ41" i="20"/>
  <c r="CF41" i="20"/>
  <c r="CU41" i="20" s="1"/>
  <c r="H52" i="21" s="1"/>
  <c r="BL41" i="20"/>
  <c r="BI41" i="20"/>
  <c r="AX41" i="20"/>
  <c r="BM41" i="20" s="1"/>
  <c r="G52" i="21" s="1"/>
  <c r="AI41" i="20"/>
  <c r="BQ41" i="20" s="1"/>
  <c r="AE41" i="20"/>
  <c r="F52" i="21" s="1"/>
  <c r="I52" i="21" s="1"/>
  <c r="AD41" i="20"/>
  <c r="AA41" i="20"/>
  <c r="P41" i="20"/>
  <c r="B41" i="20"/>
  <c r="CT40" i="20"/>
  <c r="CQ40" i="20"/>
  <c r="CF40" i="20"/>
  <c r="CU40" i="20" s="1"/>
  <c r="H51" i="21" s="1"/>
  <c r="BQ40" i="20"/>
  <c r="BL40" i="20"/>
  <c r="BI40" i="20"/>
  <c r="AX40" i="20"/>
  <c r="BM40" i="20" s="1"/>
  <c r="AI40" i="20"/>
  <c r="AE40" i="20"/>
  <c r="F51" i="21" s="1"/>
  <c r="I51" i="21" s="1"/>
  <c r="AD40" i="20"/>
  <c r="AA40" i="20"/>
  <c r="P40" i="20"/>
  <c r="B40" i="20"/>
  <c r="CT39" i="20"/>
  <c r="CQ39" i="20"/>
  <c r="CF39" i="20"/>
  <c r="CU39" i="20" s="1"/>
  <c r="H50" i="21" s="1"/>
  <c r="BQ39" i="20"/>
  <c r="BM39" i="20"/>
  <c r="G50" i="21" s="1"/>
  <c r="BL39" i="20"/>
  <c r="BI39" i="20"/>
  <c r="AX39" i="20"/>
  <c r="AI39" i="20"/>
  <c r="AD39" i="20"/>
  <c r="AA39" i="20"/>
  <c r="P39" i="20"/>
  <c r="AE39" i="20" s="1"/>
  <c r="F50" i="21" s="1"/>
  <c r="I50" i="21" s="1"/>
  <c r="B39" i="20"/>
  <c r="CT38" i="20"/>
  <c r="CQ38" i="20"/>
  <c r="CF38" i="20"/>
  <c r="CU38" i="20" s="1"/>
  <c r="H49" i="21" s="1"/>
  <c r="BM38" i="20"/>
  <c r="G49" i="21" s="1"/>
  <c r="BL38" i="20"/>
  <c r="BI38" i="20"/>
  <c r="AX38" i="20"/>
  <c r="AD38" i="20"/>
  <c r="AA38" i="20"/>
  <c r="P38" i="20"/>
  <c r="AE38" i="20" s="1"/>
  <c r="F49" i="21" s="1"/>
  <c r="B38" i="20"/>
  <c r="AI38" i="20" s="1"/>
  <c r="BQ38" i="20" s="1"/>
  <c r="CT37" i="20"/>
  <c r="CQ37" i="20"/>
  <c r="CF37" i="20"/>
  <c r="CU37" i="20" s="1"/>
  <c r="H48" i="21" s="1"/>
  <c r="BM37" i="20"/>
  <c r="G48" i="21" s="1"/>
  <c r="BL37" i="20"/>
  <c r="BI37" i="20"/>
  <c r="AX37" i="20"/>
  <c r="AD37" i="20"/>
  <c r="AA37" i="20"/>
  <c r="P37" i="20"/>
  <c r="AE37" i="20" s="1"/>
  <c r="F48" i="21" s="1"/>
  <c r="I48" i="21" s="1"/>
  <c r="B37" i="20"/>
  <c r="AI37" i="20" s="1"/>
  <c r="BQ37" i="20" s="1"/>
  <c r="CU36" i="20"/>
  <c r="H47" i="21" s="1"/>
  <c r="CT36" i="20"/>
  <c r="CQ36" i="20"/>
  <c r="CF36" i="20"/>
  <c r="BL36" i="20"/>
  <c r="BI36" i="20"/>
  <c r="AX36" i="20"/>
  <c r="BM36" i="20" s="1"/>
  <c r="G47" i="21" s="1"/>
  <c r="AD36" i="20"/>
  <c r="AA36" i="20"/>
  <c r="P36" i="20"/>
  <c r="AE36" i="20" s="1"/>
  <c r="F47" i="21" s="1"/>
  <c r="I47" i="21" s="1"/>
  <c r="B36" i="20"/>
  <c r="AI36" i="20" s="1"/>
  <c r="BQ36" i="20" s="1"/>
  <c r="CU35" i="20"/>
  <c r="CT35" i="20"/>
  <c r="CQ35" i="20"/>
  <c r="CF35" i="20"/>
  <c r="BL35" i="20"/>
  <c r="BI35" i="20"/>
  <c r="AX35" i="20"/>
  <c r="BM35" i="20" s="1"/>
  <c r="G46" i="21" s="1"/>
  <c r="AI35" i="20"/>
  <c r="BQ35" i="20" s="1"/>
  <c r="AD35" i="20"/>
  <c r="AA35" i="20"/>
  <c r="P35" i="20"/>
  <c r="AE35" i="20" s="1"/>
  <c r="F46" i="21" s="1"/>
  <c r="I46" i="21" s="1"/>
  <c r="B35" i="20"/>
  <c r="CU34" i="20"/>
  <c r="H45" i="21" s="1"/>
  <c r="CT34" i="20"/>
  <c r="CQ34" i="20"/>
  <c r="CF34" i="20"/>
  <c r="BL34" i="20"/>
  <c r="BI34" i="20"/>
  <c r="AX34" i="20"/>
  <c r="BM34" i="20" s="1"/>
  <c r="G45" i="21" s="1"/>
  <c r="AI34" i="20"/>
  <c r="BQ34" i="20" s="1"/>
  <c r="AE34" i="20"/>
  <c r="AD34" i="20"/>
  <c r="AA34" i="20"/>
  <c r="P34" i="20"/>
  <c r="B34" i="20"/>
  <c r="CT33" i="20"/>
  <c r="CQ33" i="20"/>
  <c r="CF33" i="20"/>
  <c r="CU33" i="20" s="1"/>
  <c r="H44" i="21" s="1"/>
  <c r="BL33" i="20"/>
  <c r="BI33" i="20"/>
  <c r="AX33" i="20"/>
  <c r="BM33" i="20" s="1"/>
  <c r="G44" i="21" s="1"/>
  <c r="AI33" i="20"/>
  <c r="BQ33" i="20" s="1"/>
  <c r="AE33" i="20"/>
  <c r="F44" i="21" s="1"/>
  <c r="I44" i="21" s="1"/>
  <c r="AD33" i="20"/>
  <c r="AA33" i="20"/>
  <c r="P33" i="20"/>
  <c r="B33" i="20"/>
  <c r="CT32" i="20"/>
  <c r="CQ32" i="20"/>
  <c r="CF32" i="20"/>
  <c r="CU32" i="20" s="1"/>
  <c r="H43" i="21" s="1"/>
  <c r="BQ32" i="20"/>
  <c r="BL32" i="20"/>
  <c r="BI32" i="20"/>
  <c r="AX32" i="20"/>
  <c r="BM32" i="20" s="1"/>
  <c r="G43" i="21" s="1"/>
  <c r="AI32" i="20"/>
  <c r="AE32" i="20"/>
  <c r="F43" i="21" s="1"/>
  <c r="I43" i="21" s="1"/>
  <c r="AD32" i="20"/>
  <c r="AA32" i="20"/>
  <c r="P32" i="20"/>
  <c r="B32" i="20"/>
  <c r="CT31" i="20"/>
  <c r="CQ31" i="20"/>
  <c r="CF31" i="20"/>
  <c r="CU31" i="20" s="1"/>
  <c r="H42" i="21" s="1"/>
  <c r="BQ31" i="20"/>
  <c r="BM31" i="20"/>
  <c r="G42" i="21" s="1"/>
  <c r="BL31" i="20"/>
  <c r="BI31" i="20"/>
  <c r="AX31" i="20"/>
  <c r="AI31" i="20"/>
  <c r="AD31" i="20"/>
  <c r="AA31" i="20"/>
  <c r="P31" i="20"/>
  <c r="AE31" i="20" s="1"/>
  <c r="F42" i="21" s="1"/>
  <c r="I42" i="21" s="1"/>
  <c r="B31" i="20"/>
  <c r="CT30" i="20"/>
  <c r="CQ30" i="20"/>
  <c r="CF30" i="20"/>
  <c r="CU30" i="20" s="1"/>
  <c r="H41" i="21" s="1"/>
  <c r="BM30" i="20"/>
  <c r="G41" i="21" s="1"/>
  <c r="BL30" i="20"/>
  <c r="BI30" i="20"/>
  <c r="AX30" i="20"/>
  <c r="AD30" i="20"/>
  <c r="AA30" i="20"/>
  <c r="P30" i="20"/>
  <c r="AE30" i="20" s="1"/>
  <c r="F41" i="21" s="1"/>
  <c r="I41" i="21" s="1"/>
  <c r="B30" i="20"/>
  <c r="AI30" i="20" s="1"/>
  <c r="BQ30" i="20" s="1"/>
  <c r="CT29" i="20"/>
  <c r="CQ29" i="20"/>
  <c r="CF29" i="20"/>
  <c r="CU29" i="20" s="1"/>
  <c r="H40" i="21" s="1"/>
  <c r="BM29" i="20"/>
  <c r="G40" i="21" s="1"/>
  <c r="BL29" i="20"/>
  <c r="BI29" i="20"/>
  <c r="AX29" i="20"/>
  <c r="AD29" i="20"/>
  <c r="AA29" i="20"/>
  <c r="P29" i="20"/>
  <c r="AE29" i="20" s="1"/>
  <c r="B29" i="20"/>
  <c r="AI29" i="20" s="1"/>
  <c r="BQ29" i="20" s="1"/>
  <c r="CU28" i="20"/>
  <c r="H39" i="21" s="1"/>
  <c r="CT28" i="20"/>
  <c r="CQ28" i="20"/>
  <c r="CF28" i="20"/>
  <c r="BL28" i="20"/>
  <c r="BI28" i="20"/>
  <c r="AX28" i="20"/>
  <c r="BM28" i="20" s="1"/>
  <c r="G39" i="21" s="1"/>
  <c r="AD28" i="20"/>
  <c r="AA28" i="20"/>
  <c r="P28" i="20"/>
  <c r="AE28" i="20" s="1"/>
  <c r="F39" i="21" s="1"/>
  <c r="I39" i="21" s="1"/>
  <c r="B28" i="20"/>
  <c r="AI28" i="20" s="1"/>
  <c r="BQ28" i="20" s="1"/>
  <c r="CU27" i="20"/>
  <c r="CT27" i="20"/>
  <c r="CQ27" i="20"/>
  <c r="CF27" i="20"/>
  <c r="BL27" i="20"/>
  <c r="BI27" i="20"/>
  <c r="AX27" i="20"/>
  <c r="BM27" i="20" s="1"/>
  <c r="G38" i="21" s="1"/>
  <c r="AI27" i="20"/>
  <c r="BQ27" i="20" s="1"/>
  <c r="AD27" i="20"/>
  <c r="AA27" i="20"/>
  <c r="P27" i="20"/>
  <c r="AE27" i="20" s="1"/>
  <c r="F38" i="21" s="1"/>
  <c r="I38" i="21" s="1"/>
  <c r="B27" i="20"/>
  <c r="CU26" i="20"/>
  <c r="H37" i="21" s="1"/>
  <c r="CT26" i="20"/>
  <c r="CQ26" i="20"/>
  <c r="CF26" i="20"/>
  <c r="BL26" i="20"/>
  <c r="BI26" i="20"/>
  <c r="AX26" i="20"/>
  <c r="BM26" i="20" s="1"/>
  <c r="G37" i="21" s="1"/>
  <c r="AI26" i="20"/>
  <c r="BQ26" i="20" s="1"/>
  <c r="AE26" i="20"/>
  <c r="AD26" i="20"/>
  <c r="AA26" i="20"/>
  <c r="P26" i="20"/>
  <c r="B26" i="20"/>
  <c r="CT25" i="20"/>
  <c r="CQ25" i="20"/>
  <c r="CF25" i="20"/>
  <c r="CU25" i="20" s="1"/>
  <c r="H36" i="21" s="1"/>
  <c r="BL25" i="20"/>
  <c r="BI25" i="20"/>
  <c r="AX25" i="20"/>
  <c r="BM25" i="20" s="1"/>
  <c r="G36" i="21" s="1"/>
  <c r="AI25" i="20"/>
  <c r="BQ25" i="20" s="1"/>
  <c r="AE25" i="20"/>
  <c r="F36" i="21" s="1"/>
  <c r="I36" i="21" s="1"/>
  <c r="AD25" i="20"/>
  <c r="AA25" i="20"/>
  <c r="P25" i="20"/>
  <c r="B25" i="20"/>
  <c r="CT24" i="20"/>
  <c r="CQ24" i="20"/>
  <c r="CF24" i="20"/>
  <c r="CU24" i="20" s="1"/>
  <c r="BQ24" i="20"/>
  <c r="BL24" i="20"/>
  <c r="BI24" i="20"/>
  <c r="AX24" i="20"/>
  <c r="BM24" i="20" s="1"/>
  <c r="AI24" i="20"/>
  <c r="AE24" i="20"/>
  <c r="F35" i="21" s="1"/>
  <c r="I35" i="21" s="1"/>
  <c r="AD24" i="20"/>
  <c r="AA24" i="20"/>
  <c r="P24" i="20"/>
  <c r="B24" i="20"/>
  <c r="CT23" i="20"/>
  <c r="CQ23" i="20"/>
  <c r="CF23" i="20"/>
  <c r="CU23" i="20" s="1"/>
  <c r="H34" i="21" s="1"/>
  <c r="BQ23" i="20"/>
  <c r="BM23" i="20"/>
  <c r="G34" i="21" s="1"/>
  <c r="BL23" i="20"/>
  <c r="BI23" i="20"/>
  <c r="AX23" i="20"/>
  <c r="AI23" i="20"/>
  <c r="AD23" i="20"/>
  <c r="AA23" i="20"/>
  <c r="P23" i="20"/>
  <c r="AE23" i="20" s="1"/>
  <c r="F34" i="21" s="1"/>
  <c r="I34" i="21" s="1"/>
  <c r="B23" i="20"/>
  <c r="CT22" i="20"/>
  <c r="CQ22" i="20"/>
  <c r="CF22" i="20"/>
  <c r="CU22" i="20" s="1"/>
  <c r="H33" i="21" s="1"/>
  <c r="BM22" i="20"/>
  <c r="G33" i="21" s="1"/>
  <c r="BL22" i="20"/>
  <c r="BI22" i="20"/>
  <c r="AX22" i="20"/>
  <c r="AD22" i="20"/>
  <c r="AA22" i="20"/>
  <c r="P22" i="20"/>
  <c r="AE22" i="20" s="1"/>
  <c r="F33" i="21" s="1"/>
  <c r="I33" i="21" s="1"/>
  <c r="B22" i="20"/>
  <c r="AI22" i="20" s="1"/>
  <c r="BQ22" i="20" s="1"/>
  <c r="CT21" i="20"/>
  <c r="CQ21" i="20"/>
  <c r="CF21" i="20"/>
  <c r="CU21" i="20" s="1"/>
  <c r="H32" i="21" s="1"/>
  <c r="BM21" i="20"/>
  <c r="G32" i="21" s="1"/>
  <c r="BL21" i="20"/>
  <c r="BI21" i="20"/>
  <c r="AX21" i="20"/>
  <c r="AD21" i="20"/>
  <c r="AA21" i="20"/>
  <c r="P21" i="20"/>
  <c r="AE21" i="20" s="1"/>
  <c r="B21" i="20"/>
  <c r="AI21" i="20" s="1"/>
  <c r="BQ21" i="20" s="1"/>
  <c r="CU20" i="20"/>
  <c r="H31" i="21" s="1"/>
  <c r="CT20" i="20"/>
  <c r="CQ20" i="20"/>
  <c r="CF20" i="20"/>
  <c r="BL20" i="20"/>
  <c r="BI20" i="20"/>
  <c r="AX20" i="20"/>
  <c r="BM20" i="20" s="1"/>
  <c r="G31" i="21" s="1"/>
  <c r="AD20" i="20"/>
  <c r="AA20" i="20"/>
  <c r="P20" i="20"/>
  <c r="AE20" i="20" s="1"/>
  <c r="F31" i="21" s="1"/>
  <c r="I31" i="21" s="1"/>
  <c r="B20" i="20"/>
  <c r="AI20" i="20" s="1"/>
  <c r="BQ20" i="20" s="1"/>
  <c r="CU19" i="20"/>
  <c r="H30" i="21" s="1"/>
  <c r="CT19" i="20"/>
  <c r="CQ19" i="20"/>
  <c r="CF19" i="20"/>
  <c r="BL19" i="20"/>
  <c r="BI19" i="20"/>
  <c r="AX19" i="20"/>
  <c r="BM19" i="20" s="1"/>
  <c r="G30" i="21" s="1"/>
  <c r="AI19" i="20"/>
  <c r="BQ19" i="20" s="1"/>
  <c r="AD19" i="20"/>
  <c r="AA19" i="20"/>
  <c r="P19" i="20"/>
  <c r="AE19" i="20" s="1"/>
  <c r="F30" i="21" s="1"/>
  <c r="I30" i="21" s="1"/>
  <c r="B19" i="20"/>
  <c r="CU18" i="20"/>
  <c r="H29" i="21" s="1"/>
  <c r="CT18" i="20"/>
  <c r="CQ18" i="20"/>
  <c r="CF18" i="20"/>
  <c r="BL18" i="20"/>
  <c r="BI18" i="20"/>
  <c r="AX18" i="20"/>
  <c r="BM18" i="20" s="1"/>
  <c r="G29" i="21" s="1"/>
  <c r="AI18" i="20"/>
  <c r="BQ18" i="20" s="1"/>
  <c r="AE18" i="20"/>
  <c r="AD18" i="20"/>
  <c r="AA18" i="20"/>
  <c r="P18" i="20"/>
  <c r="B18" i="20"/>
  <c r="CT17" i="20"/>
  <c r="CQ17" i="20"/>
  <c r="CF17" i="20"/>
  <c r="CU17" i="20" s="1"/>
  <c r="H28" i="21" s="1"/>
  <c r="BL17" i="20"/>
  <c r="BI17" i="20"/>
  <c r="AX17" i="20"/>
  <c r="BM17" i="20" s="1"/>
  <c r="G28" i="21" s="1"/>
  <c r="AI17" i="20"/>
  <c r="BQ17" i="20" s="1"/>
  <c r="AE17" i="20"/>
  <c r="F28" i="21" s="1"/>
  <c r="I28" i="21" s="1"/>
  <c r="AD17" i="20"/>
  <c r="AA17" i="20"/>
  <c r="P17" i="20"/>
  <c r="B17" i="20"/>
  <c r="CT16" i="20"/>
  <c r="CQ16" i="20"/>
  <c r="CF16" i="20"/>
  <c r="CU16" i="20" s="1"/>
  <c r="H27" i="21" s="1"/>
  <c r="BQ16" i="20"/>
  <c r="BL16" i="20"/>
  <c r="BI16" i="20"/>
  <c r="AX16" i="20"/>
  <c r="BM16" i="20" s="1"/>
  <c r="AI16" i="20"/>
  <c r="AE16" i="20"/>
  <c r="F27" i="21" s="1"/>
  <c r="I27" i="21" s="1"/>
  <c r="AD16" i="20"/>
  <c r="AA16" i="20"/>
  <c r="P16" i="20"/>
  <c r="B16" i="20"/>
  <c r="CT15" i="20"/>
  <c r="CQ15" i="20"/>
  <c r="CF15" i="20"/>
  <c r="CU15" i="20" s="1"/>
  <c r="H26" i="21" s="1"/>
  <c r="BQ15" i="20"/>
  <c r="BM15" i="20"/>
  <c r="G26" i="21" s="1"/>
  <c r="BL15" i="20"/>
  <c r="BI15" i="20"/>
  <c r="AX15" i="20"/>
  <c r="AI15" i="20"/>
  <c r="AD15" i="20"/>
  <c r="AA15" i="20"/>
  <c r="P15" i="20"/>
  <c r="AE15" i="20" s="1"/>
  <c r="F26" i="21" s="1"/>
  <c r="I26" i="21" s="1"/>
  <c r="B15" i="20"/>
  <c r="CT14" i="20"/>
  <c r="CQ14" i="20"/>
  <c r="CF14" i="20"/>
  <c r="CU14" i="20" s="1"/>
  <c r="H25" i="21" s="1"/>
  <c r="BM14" i="20"/>
  <c r="G25" i="21" s="1"/>
  <c r="BL14" i="20"/>
  <c r="BI14" i="20"/>
  <c r="AX14" i="20"/>
  <c r="AD14" i="20"/>
  <c r="AA14" i="20"/>
  <c r="P14" i="20"/>
  <c r="AE14" i="20" s="1"/>
  <c r="F25" i="21" s="1"/>
  <c r="I25" i="21" s="1"/>
  <c r="B14" i="20"/>
  <c r="AI14" i="20" s="1"/>
  <c r="BQ14" i="20" s="1"/>
  <c r="CT13" i="20"/>
  <c r="CQ13" i="20"/>
  <c r="CF13" i="20"/>
  <c r="CU13" i="20" s="1"/>
  <c r="H24" i="21" s="1"/>
  <c r="BM13" i="20"/>
  <c r="G24" i="21" s="1"/>
  <c r="BL13" i="20"/>
  <c r="BI13" i="20"/>
  <c r="AX13" i="20"/>
  <c r="AD13" i="20"/>
  <c r="AA13" i="20"/>
  <c r="P13" i="20"/>
  <c r="AE13" i="20" s="1"/>
  <c r="F24" i="21" s="1"/>
  <c r="I24" i="21" s="1"/>
  <c r="B13" i="20"/>
  <c r="AI13" i="20" s="1"/>
  <c r="BQ13" i="20" s="1"/>
  <c r="CU12" i="20"/>
  <c r="H23" i="21" s="1"/>
  <c r="CT12" i="20"/>
  <c r="CQ12" i="20"/>
  <c r="CF12" i="20"/>
  <c r="BL12" i="20"/>
  <c r="BI12" i="20"/>
  <c r="AX12" i="20"/>
  <c r="BM12" i="20" s="1"/>
  <c r="G23" i="21" s="1"/>
  <c r="AD12" i="20"/>
  <c r="AA12" i="20"/>
  <c r="P12" i="20"/>
  <c r="AE12" i="20" s="1"/>
  <c r="F23" i="21" s="1"/>
  <c r="I23" i="21" s="1"/>
  <c r="B12" i="20"/>
  <c r="AI12" i="20" s="1"/>
  <c r="BQ12" i="20" s="1"/>
  <c r="CU11" i="20"/>
  <c r="H22" i="21" s="1"/>
  <c r="CT11" i="20"/>
  <c r="CQ11" i="20"/>
  <c r="CF11" i="20"/>
  <c r="BL11" i="20"/>
  <c r="BI11" i="20"/>
  <c r="AX11" i="20"/>
  <c r="BM11" i="20" s="1"/>
  <c r="G22" i="21" s="1"/>
  <c r="AI11" i="20"/>
  <c r="BQ11" i="20" s="1"/>
  <c r="AD11" i="20"/>
  <c r="AA11" i="20"/>
  <c r="P11" i="20"/>
  <c r="AE11" i="20" s="1"/>
  <c r="F22" i="21" s="1"/>
  <c r="I22" i="21" s="1"/>
  <c r="B11" i="20"/>
  <c r="CU10" i="20"/>
  <c r="H21" i="21" s="1"/>
  <c r="CT10" i="20"/>
  <c r="CQ10" i="20"/>
  <c r="CF10" i="20"/>
  <c r="BL10" i="20"/>
  <c r="BI10" i="20"/>
  <c r="AX10" i="20"/>
  <c r="BM10" i="20" s="1"/>
  <c r="G21" i="21" s="1"/>
  <c r="AI10" i="20"/>
  <c r="BQ10" i="20" s="1"/>
  <c r="AE10" i="20"/>
  <c r="AD10" i="20"/>
  <c r="AA10" i="20"/>
  <c r="P10" i="20"/>
  <c r="B10" i="20"/>
  <c r="CT9" i="20"/>
  <c r="CQ9" i="20"/>
  <c r="CF9" i="20"/>
  <c r="CU9" i="20" s="1"/>
  <c r="H20" i="21" s="1"/>
  <c r="BL9" i="20"/>
  <c r="BI9" i="20"/>
  <c r="AX9" i="20"/>
  <c r="BM9" i="20" s="1"/>
  <c r="G20" i="21" s="1"/>
  <c r="AI9" i="20"/>
  <c r="BQ9" i="20" s="1"/>
  <c r="AE9" i="20"/>
  <c r="F20" i="21" s="1"/>
  <c r="I20" i="21" s="1"/>
  <c r="AD9" i="20"/>
  <c r="AA9" i="20"/>
  <c r="P9" i="20"/>
  <c r="B9" i="20"/>
  <c r="CT8" i="20"/>
  <c r="CQ8" i="20"/>
  <c r="CF8" i="20"/>
  <c r="CU8" i="20" s="1"/>
  <c r="H19" i="21" s="1"/>
  <c r="BQ8" i="20"/>
  <c r="BL8" i="20"/>
  <c r="BI8" i="20"/>
  <c r="AX8" i="20"/>
  <c r="BM8" i="20" s="1"/>
  <c r="G19" i="21" s="1"/>
  <c r="AI8" i="20"/>
  <c r="AE8" i="20"/>
  <c r="F19" i="21" s="1"/>
  <c r="I19" i="21" s="1"/>
  <c r="AD8" i="20"/>
  <c r="AA8" i="20"/>
  <c r="P8" i="20"/>
  <c r="B8" i="20"/>
  <c r="CT7" i="20"/>
  <c r="CQ7" i="20"/>
  <c r="CF7" i="20"/>
  <c r="CU7" i="20" s="1"/>
  <c r="H18" i="21" s="1"/>
  <c r="BQ7" i="20"/>
  <c r="BM7" i="20"/>
  <c r="G18" i="21" s="1"/>
  <c r="BL7" i="20"/>
  <c r="BI7" i="20"/>
  <c r="AX7" i="20"/>
  <c r="AI7" i="20"/>
  <c r="AD7" i="20"/>
  <c r="AA7" i="20"/>
  <c r="P7" i="20"/>
  <c r="AE7" i="20" s="1"/>
  <c r="F18" i="21" s="1"/>
  <c r="I18" i="21" s="1"/>
  <c r="B7" i="20"/>
  <c r="CT6" i="20"/>
  <c r="CQ6" i="20"/>
  <c r="CF6" i="20"/>
  <c r="CU6" i="20" s="1"/>
  <c r="H17" i="21" s="1"/>
  <c r="BM6" i="20"/>
  <c r="G17" i="21" s="1"/>
  <c r="BL6" i="20"/>
  <c r="BI6" i="20"/>
  <c r="AX6" i="20"/>
  <c r="AD6" i="20"/>
  <c r="AA6" i="20"/>
  <c r="P6" i="20"/>
  <c r="AE6" i="20" s="1"/>
  <c r="F17" i="21" s="1"/>
  <c r="I17" i="21" s="1"/>
  <c r="B6" i="20"/>
  <c r="AI6" i="20" s="1"/>
  <c r="BQ6" i="20" s="1"/>
  <c r="CT5" i="20"/>
  <c r="CQ5" i="20"/>
  <c r="CF5" i="20"/>
  <c r="CU5" i="20" s="1"/>
  <c r="H16" i="21" s="1"/>
  <c r="BM5" i="20"/>
  <c r="G16" i="21" s="1"/>
  <c r="BL5" i="20"/>
  <c r="BI5" i="20"/>
  <c r="AX5" i="20"/>
  <c r="AD5" i="20"/>
  <c r="AA5" i="20"/>
  <c r="P5" i="20"/>
  <c r="AE5" i="20" s="1"/>
  <c r="F16" i="21" s="1"/>
  <c r="I16" i="21" s="1"/>
  <c r="B5" i="20"/>
  <c r="AI5" i="20" s="1"/>
  <c r="BQ5" i="20" s="1"/>
  <c r="C55" i="19"/>
  <c r="C54" i="19"/>
  <c r="C53" i="19"/>
  <c r="C52" i="19"/>
  <c r="I51" i="19"/>
  <c r="C51" i="19"/>
  <c r="N50" i="19"/>
  <c r="C50" i="19"/>
  <c r="C49" i="19"/>
  <c r="C48" i="19"/>
  <c r="C47" i="19"/>
  <c r="C46" i="19"/>
  <c r="C45" i="19"/>
  <c r="C44" i="19"/>
  <c r="C43" i="19"/>
  <c r="N42" i="19"/>
  <c r="C42" i="19"/>
  <c r="C41" i="19"/>
  <c r="C40" i="19"/>
  <c r="C39" i="19"/>
  <c r="C38" i="19"/>
  <c r="C37" i="19"/>
  <c r="C36" i="19"/>
  <c r="C35" i="19"/>
  <c r="N34" i="19"/>
  <c r="C34" i="19"/>
  <c r="C33" i="19"/>
  <c r="C32" i="19"/>
  <c r="C31" i="19"/>
  <c r="C30" i="19"/>
  <c r="C29" i="19"/>
  <c r="C28" i="19"/>
  <c r="C27" i="19"/>
  <c r="N26" i="19"/>
  <c r="C26" i="19"/>
  <c r="C25" i="19"/>
  <c r="C24" i="19"/>
  <c r="C23" i="19"/>
  <c r="C22" i="19"/>
  <c r="C21" i="19"/>
  <c r="C20" i="19"/>
  <c r="C19" i="19"/>
  <c r="N18" i="19"/>
  <c r="C18" i="19"/>
  <c r="C17" i="19"/>
  <c r="C16" i="19"/>
  <c r="CT49" i="18"/>
  <c r="CQ49" i="18"/>
  <c r="CF49" i="18"/>
  <c r="CU49" i="18" s="1"/>
  <c r="B44" i="18"/>
  <c r="B43" i="18"/>
  <c r="B42" i="18"/>
  <c r="CU41" i="18"/>
  <c r="CQ41" i="18"/>
  <c r="CF41" i="18"/>
  <c r="BL41" i="18"/>
  <c r="BI41" i="18"/>
  <c r="AX41" i="18"/>
  <c r="BM41" i="18" s="1"/>
  <c r="G52" i="19" s="1"/>
  <c r="AD41" i="18"/>
  <c r="AA41" i="18"/>
  <c r="P41" i="18"/>
  <c r="AE41" i="18" s="1"/>
  <c r="F52" i="19" s="1"/>
  <c r="I52" i="19" s="1"/>
  <c r="B41" i="18"/>
  <c r="AI41" i="18" s="1"/>
  <c r="BQ41" i="18" s="1"/>
  <c r="CU40" i="18"/>
  <c r="CQ40" i="18"/>
  <c r="CF40" i="18"/>
  <c r="BL40" i="18"/>
  <c r="BI40" i="18"/>
  <c r="AX40" i="18"/>
  <c r="BM40" i="18" s="1"/>
  <c r="G51" i="19" s="1"/>
  <c r="AI40" i="18"/>
  <c r="BQ40" i="18" s="1"/>
  <c r="AE40" i="18"/>
  <c r="F51" i="19" s="1"/>
  <c r="AD40" i="18"/>
  <c r="AA40" i="18"/>
  <c r="P40" i="18"/>
  <c r="B40" i="18"/>
  <c r="CU39" i="18"/>
  <c r="CQ39" i="18"/>
  <c r="CF39" i="18"/>
  <c r="BM39" i="18"/>
  <c r="G50" i="19" s="1"/>
  <c r="BL39" i="18"/>
  <c r="BI39" i="18"/>
  <c r="AX39" i="18"/>
  <c r="AI39" i="18"/>
  <c r="BQ39" i="18" s="1"/>
  <c r="AE39" i="18"/>
  <c r="F50" i="19" s="1"/>
  <c r="I50" i="19" s="1"/>
  <c r="AD39" i="18"/>
  <c r="AA39" i="18"/>
  <c r="P39" i="18"/>
  <c r="B39" i="18"/>
  <c r="CQ38" i="18"/>
  <c r="CF38" i="18"/>
  <c r="CU38" i="18" s="1"/>
  <c r="BQ38" i="18"/>
  <c r="BL38" i="18"/>
  <c r="BI38" i="18"/>
  <c r="AX38" i="18"/>
  <c r="BM38" i="18" s="1"/>
  <c r="G49" i="19" s="1"/>
  <c r="AI38" i="18"/>
  <c r="AE38" i="18"/>
  <c r="F49" i="19" s="1"/>
  <c r="I49" i="19" s="1"/>
  <c r="AD38" i="18"/>
  <c r="AA38" i="18"/>
  <c r="P38" i="18"/>
  <c r="B38" i="18"/>
  <c r="CU37" i="18"/>
  <c r="CQ37" i="18"/>
  <c r="CF37" i="18"/>
  <c r="BM37" i="18"/>
  <c r="G48" i="19" s="1"/>
  <c r="BL37" i="18"/>
  <c r="BI37" i="18"/>
  <c r="AX37" i="18"/>
  <c r="AD37" i="18"/>
  <c r="AA37" i="18"/>
  <c r="P37" i="18"/>
  <c r="AE37" i="18" s="1"/>
  <c r="F48" i="19" s="1"/>
  <c r="I48" i="19" s="1"/>
  <c r="B37" i="18"/>
  <c r="AI37" i="18" s="1"/>
  <c r="BQ37" i="18" s="1"/>
  <c r="CQ36" i="18"/>
  <c r="CF36" i="18"/>
  <c r="CU36" i="18" s="1"/>
  <c r="BL36" i="18"/>
  <c r="BI36" i="18"/>
  <c r="AX36" i="18"/>
  <c r="BM36" i="18" s="1"/>
  <c r="G47" i="19" s="1"/>
  <c r="AD36" i="18"/>
  <c r="AA36" i="18"/>
  <c r="P36" i="18"/>
  <c r="AE36" i="18" s="1"/>
  <c r="F47" i="19" s="1"/>
  <c r="I47" i="19" s="1"/>
  <c r="B36" i="18"/>
  <c r="AI36" i="18" s="1"/>
  <c r="BQ36" i="18" s="1"/>
  <c r="CU35" i="18"/>
  <c r="CQ35" i="18"/>
  <c r="CF35" i="18"/>
  <c r="BM35" i="18"/>
  <c r="G46" i="19" s="1"/>
  <c r="BL35" i="18"/>
  <c r="BI35" i="18"/>
  <c r="AX35" i="18"/>
  <c r="AI35" i="18"/>
  <c r="BQ35" i="18" s="1"/>
  <c r="AE35" i="18"/>
  <c r="F46" i="19" s="1"/>
  <c r="I46" i="19" s="1"/>
  <c r="AD35" i="18"/>
  <c r="AA35" i="18"/>
  <c r="P35" i="18"/>
  <c r="B35" i="18"/>
  <c r="CQ34" i="18"/>
  <c r="CF34" i="18"/>
  <c r="CU34" i="18" s="1"/>
  <c r="BQ34" i="18"/>
  <c r="BL34" i="18"/>
  <c r="BI34" i="18"/>
  <c r="AX34" i="18"/>
  <c r="BM34" i="18" s="1"/>
  <c r="G45" i="19" s="1"/>
  <c r="AI34" i="18"/>
  <c r="AE34" i="18"/>
  <c r="F45" i="19" s="1"/>
  <c r="I45" i="19" s="1"/>
  <c r="AD34" i="18"/>
  <c r="AA34" i="18"/>
  <c r="P34" i="18"/>
  <c r="B34" i="18"/>
  <c r="CU33" i="18"/>
  <c r="CQ33" i="18"/>
  <c r="CF33" i="18"/>
  <c r="BM33" i="18"/>
  <c r="G44" i="19" s="1"/>
  <c r="BL33" i="18"/>
  <c r="BI33" i="18"/>
  <c r="AX33" i="18"/>
  <c r="AD33" i="18"/>
  <c r="AA33" i="18"/>
  <c r="P33" i="18"/>
  <c r="AE33" i="18" s="1"/>
  <c r="F44" i="19" s="1"/>
  <c r="I44" i="19" s="1"/>
  <c r="B33" i="18"/>
  <c r="AI33" i="18" s="1"/>
  <c r="BQ33" i="18" s="1"/>
  <c r="CQ32" i="18"/>
  <c r="CF32" i="18"/>
  <c r="CU32" i="18" s="1"/>
  <c r="BL32" i="18"/>
  <c r="BI32" i="18"/>
  <c r="AX32" i="18"/>
  <c r="BM32" i="18" s="1"/>
  <c r="G43" i="19" s="1"/>
  <c r="AD32" i="18"/>
  <c r="AA32" i="18"/>
  <c r="P32" i="18"/>
  <c r="AE32" i="18" s="1"/>
  <c r="F43" i="19" s="1"/>
  <c r="I43" i="19" s="1"/>
  <c r="B32" i="18"/>
  <c r="AI32" i="18" s="1"/>
  <c r="BQ32" i="18" s="1"/>
  <c r="CU31" i="18"/>
  <c r="CQ31" i="18"/>
  <c r="CF31" i="18"/>
  <c r="BM31" i="18"/>
  <c r="G42" i="19" s="1"/>
  <c r="BL31" i="18"/>
  <c r="BI31" i="18"/>
  <c r="AX31" i="18"/>
  <c r="AI31" i="18"/>
  <c r="BQ31" i="18" s="1"/>
  <c r="AE31" i="18"/>
  <c r="F42" i="19" s="1"/>
  <c r="I42" i="19" s="1"/>
  <c r="AD31" i="18"/>
  <c r="AA31" i="18"/>
  <c r="P31" i="18"/>
  <c r="B31" i="18"/>
  <c r="CQ30" i="18"/>
  <c r="CF30" i="18"/>
  <c r="CU30" i="18" s="1"/>
  <c r="BQ30" i="18"/>
  <c r="BL30" i="18"/>
  <c r="BI30" i="18"/>
  <c r="AX30" i="18"/>
  <c r="BM30" i="18" s="1"/>
  <c r="G41" i="19" s="1"/>
  <c r="AI30" i="18"/>
  <c r="AE30" i="18"/>
  <c r="F41" i="19" s="1"/>
  <c r="I41" i="19" s="1"/>
  <c r="AD30" i="18"/>
  <c r="AA30" i="18"/>
  <c r="P30" i="18"/>
  <c r="B30" i="18"/>
  <c r="CU29" i="18"/>
  <c r="CQ29" i="18"/>
  <c r="CF29" i="18"/>
  <c r="BM29" i="18"/>
  <c r="G40" i="19" s="1"/>
  <c r="BL29" i="18"/>
  <c r="BI29" i="18"/>
  <c r="AX29" i="18"/>
  <c r="AD29" i="18"/>
  <c r="AA29" i="18"/>
  <c r="P29" i="18"/>
  <c r="AE29" i="18" s="1"/>
  <c r="F40" i="19" s="1"/>
  <c r="I40" i="19" s="1"/>
  <c r="B29" i="18"/>
  <c r="AI29" i="18" s="1"/>
  <c r="BQ29" i="18" s="1"/>
  <c r="CQ28" i="18"/>
  <c r="CF28" i="18"/>
  <c r="CU28" i="18" s="1"/>
  <c r="BL28" i="18"/>
  <c r="BI28" i="18"/>
  <c r="AX28" i="18"/>
  <c r="BM28" i="18" s="1"/>
  <c r="G39" i="19" s="1"/>
  <c r="AD28" i="18"/>
  <c r="AA28" i="18"/>
  <c r="P28" i="18"/>
  <c r="AE28" i="18" s="1"/>
  <c r="F39" i="19" s="1"/>
  <c r="I39" i="19" s="1"/>
  <c r="B28" i="18"/>
  <c r="AI28" i="18" s="1"/>
  <c r="BQ28" i="18" s="1"/>
  <c r="CU27" i="18"/>
  <c r="CQ27" i="18"/>
  <c r="CF27" i="18"/>
  <c r="BM27" i="18"/>
  <c r="G38" i="19" s="1"/>
  <c r="BL27" i="18"/>
  <c r="BI27" i="18"/>
  <c r="AX27" i="18"/>
  <c r="AI27" i="18"/>
  <c r="BQ27" i="18" s="1"/>
  <c r="AE27" i="18"/>
  <c r="F38" i="19" s="1"/>
  <c r="I38" i="19" s="1"/>
  <c r="AD27" i="18"/>
  <c r="AA27" i="18"/>
  <c r="P27" i="18"/>
  <c r="B27" i="18"/>
  <c r="CQ26" i="18"/>
  <c r="CF26" i="18"/>
  <c r="CU26" i="18" s="1"/>
  <c r="BQ26" i="18"/>
  <c r="BL26" i="18"/>
  <c r="BI26" i="18"/>
  <c r="AX26" i="18"/>
  <c r="BM26" i="18" s="1"/>
  <c r="G37" i="19" s="1"/>
  <c r="AI26" i="18"/>
  <c r="AE26" i="18"/>
  <c r="F37" i="19" s="1"/>
  <c r="I37" i="19" s="1"/>
  <c r="AD26" i="18"/>
  <c r="AA26" i="18"/>
  <c r="P26" i="18"/>
  <c r="B26" i="18"/>
  <c r="CU25" i="18"/>
  <c r="CQ25" i="18"/>
  <c r="CF25" i="18"/>
  <c r="BM25" i="18"/>
  <c r="G36" i="19" s="1"/>
  <c r="BL25" i="18"/>
  <c r="BI25" i="18"/>
  <c r="AX25" i="18"/>
  <c r="AD25" i="18"/>
  <c r="AA25" i="18"/>
  <c r="P25" i="18"/>
  <c r="AE25" i="18" s="1"/>
  <c r="F36" i="19" s="1"/>
  <c r="I36" i="19" s="1"/>
  <c r="B25" i="18"/>
  <c r="AI25" i="18" s="1"/>
  <c r="BQ25" i="18" s="1"/>
  <c r="CQ24" i="18"/>
  <c r="CF24" i="18"/>
  <c r="CU24" i="18" s="1"/>
  <c r="BL24" i="18"/>
  <c r="BI24" i="18"/>
  <c r="AX24" i="18"/>
  <c r="BM24" i="18" s="1"/>
  <c r="G35" i="19" s="1"/>
  <c r="AD24" i="18"/>
  <c r="AA24" i="18"/>
  <c r="P24" i="18"/>
  <c r="AE24" i="18" s="1"/>
  <c r="F35" i="19" s="1"/>
  <c r="I35" i="19" s="1"/>
  <c r="B24" i="18"/>
  <c r="AI24" i="18" s="1"/>
  <c r="BQ24" i="18" s="1"/>
  <c r="CU23" i="18"/>
  <c r="CQ23" i="18"/>
  <c r="CF23" i="18"/>
  <c r="BM23" i="18"/>
  <c r="G34" i="19" s="1"/>
  <c r="BL23" i="18"/>
  <c r="BI23" i="18"/>
  <c r="AX23" i="18"/>
  <c r="AI23" i="18"/>
  <c r="BQ23" i="18" s="1"/>
  <c r="AE23" i="18"/>
  <c r="F34" i="19" s="1"/>
  <c r="I34" i="19" s="1"/>
  <c r="AD23" i="18"/>
  <c r="AA23" i="18"/>
  <c r="P23" i="18"/>
  <c r="B23" i="18"/>
  <c r="CQ22" i="18"/>
  <c r="CF22" i="18"/>
  <c r="CU22" i="18" s="1"/>
  <c r="BQ22" i="18"/>
  <c r="BL22" i="18"/>
  <c r="BI22" i="18"/>
  <c r="AX22" i="18"/>
  <c r="BM22" i="18" s="1"/>
  <c r="G33" i="19" s="1"/>
  <c r="AI22" i="18"/>
  <c r="AE22" i="18"/>
  <c r="F33" i="19" s="1"/>
  <c r="I33" i="19" s="1"/>
  <c r="AD22" i="18"/>
  <c r="AA22" i="18"/>
  <c r="P22" i="18"/>
  <c r="B22" i="18"/>
  <c r="CU21" i="18"/>
  <c r="CQ21" i="18"/>
  <c r="CF21" i="18"/>
  <c r="BM21" i="18"/>
  <c r="G32" i="19" s="1"/>
  <c r="BL21" i="18"/>
  <c r="BI21" i="18"/>
  <c r="AX21" i="18"/>
  <c r="AD21" i="18"/>
  <c r="AA21" i="18"/>
  <c r="P21" i="18"/>
  <c r="AE21" i="18" s="1"/>
  <c r="F32" i="19" s="1"/>
  <c r="I32" i="19" s="1"/>
  <c r="B21" i="18"/>
  <c r="AI21" i="18" s="1"/>
  <c r="BQ21" i="18" s="1"/>
  <c r="CQ20" i="18"/>
  <c r="CF20" i="18"/>
  <c r="CU20" i="18" s="1"/>
  <c r="BL20" i="18"/>
  <c r="BI20" i="18"/>
  <c r="AX20" i="18"/>
  <c r="BM20" i="18" s="1"/>
  <c r="G31" i="19" s="1"/>
  <c r="AD20" i="18"/>
  <c r="AA20" i="18"/>
  <c r="P20" i="18"/>
  <c r="AE20" i="18" s="1"/>
  <c r="F31" i="19" s="1"/>
  <c r="I31" i="19" s="1"/>
  <c r="B20" i="18"/>
  <c r="AI20" i="18" s="1"/>
  <c r="BQ20" i="18" s="1"/>
  <c r="CU19" i="18"/>
  <c r="CQ19" i="18"/>
  <c r="CF19" i="18"/>
  <c r="BM19" i="18"/>
  <c r="G30" i="19" s="1"/>
  <c r="BL19" i="18"/>
  <c r="BI19" i="18"/>
  <c r="AX19" i="18"/>
  <c r="AI19" i="18"/>
  <c r="BQ19" i="18" s="1"/>
  <c r="AE19" i="18"/>
  <c r="F30" i="19" s="1"/>
  <c r="I30" i="19" s="1"/>
  <c r="AD19" i="18"/>
  <c r="AA19" i="18"/>
  <c r="P19" i="18"/>
  <c r="B19" i="18"/>
  <c r="CQ18" i="18"/>
  <c r="CF18" i="18"/>
  <c r="CU18" i="18" s="1"/>
  <c r="BQ18" i="18"/>
  <c r="BL18" i="18"/>
  <c r="BI18" i="18"/>
  <c r="AX18" i="18"/>
  <c r="BM18" i="18" s="1"/>
  <c r="G29" i="19" s="1"/>
  <c r="AI18" i="18"/>
  <c r="AE18" i="18"/>
  <c r="F29" i="19" s="1"/>
  <c r="I29" i="19" s="1"/>
  <c r="AD18" i="18"/>
  <c r="AA18" i="18"/>
  <c r="P18" i="18"/>
  <c r="B18" i="18"/>
  <c r="CU17" i="18"/>
  <c r="CQ17" i="18"/>
  <c r="CF17" i="18"/>
  <c r="BM17" i="18"/>
  <c r="G28" i="19" s="1"/>
  <c r="BL17" i="18"/>
  <c r="BI17" i="18"/>
  <c r="AX17" i="18"/>
  <c r="AD17" i="18"/>
  <c r="AA17" i="18"/>
  <c r="P17" i="18"/>
  <c r="AE17" i="18" s="1"/>
  <c r="F28" i="19" s="1"/>
  <c r="I28" i="19" s="1"/>
  <c r="B17" i="18"/>
  <c r="AI17" i="18" s="1"/>
  <c r="BQ17" i="18" s="1"/>
  <c r="CQ16" i="18"/>
  <c r="CF16" i="18"/>
  <c r="CU16" i="18" s="1"/>
  <c r="BL16" i="18"/>
  <c r="BI16" i="18"/>
  <c r="AX16" i="18"/>
  <c r="BM16" i="18" s="1"/>
  <c r="G27" i="19" s="1"/>
  <c r="AD16" i="18"/>
  <c r="AA16" i="18"/>
  <c r="P16" i="18"/>
  <c r="AE16" i="18" s="1"/>
  <c r="F27" i="19" s="1"/>
  <c r="I27" i="19" s="1"/>
  <c r="B16" i="18"/>
  <c r="AI16" i="18" s="1"/>
  <c r="BQ16" i="18" s="1"/>
  <c r="CU15" i="18"/>
  <c r="CQ15" i="18"/>
  <c r="CF15" i="18"/>
  <c r="BM15" i="18"/>
  <c r="G26" i="19" s="1"/>
  <c r="BL15" i="18"/>
  <c r="BI15" i="18"/>
  <c r="AX15" i="18"/>
  <c r="AI15" i="18"/>
  <c r="BQ15" i="18" s="1"/>
  <c r="AE15" i="18"/>
  <c r="F26" i="19" s="1"/>
  <c r="I26" i="19" s="1"/>
  <c r="AD15" i="18"/>
  <c r="AA15" i="18"/>
  <c r="P15" i="18"/>
  <c r="B15" i="18"/>
  <c r="CQ14" i="18"/>
  <c r="CF14" i="18"/>
  <c r="CU14" i="18" s="1"/>
  <c r="BQ14" i="18"/>
  <c r="BL14" i="18"/>
  <c r="BI14" i="18"/>
  <c r="AX14" i="18"/>
  <c r="BM14" i="18" s="1"/>
  <c r="G25" i="19" s="1"/>
  <c r="AI14" i="18"/>
  <c r="AE14" i="18"/>
  <c r="F25" i="19" s="1"/>
  <c r="I25" i="19" s="1"/>
  <c r="AD14" i="18"/>
  <c r="AA14" i="18"/>
  <c r="P14" i="18"/>
  <c r="B14" i="18"/>
  <c r="CU13" i="18"/>
  <c r="CQ13" i="18"/>
  <c r="CF13" i="18"/>
  <c r="BM13" i="18"/>
  <c r="G24" i="19" s="1"/>
  <c r="BL13" i="18"/>
  <c r="BI13" i="18"/>
  <c r="AX13" i="18"/>
  <c r="AD13" i="18"/>
  <c r="AA13" i="18"/>
  <c r="P13" i="18"/>
  <c r="AE13" i="18" s="1"/>
  <c r="F24" i="19" s="1"/>
  <c r="I24" i="19" s="1"/>
  <c r="B13" i="18"/>
  <c r="AI13" i="18" s="1"/>
  <c r="BQ13" i="18" s="1"/>
  <c r="CQ12" i="18"/>
  <c r="CF12" i="18"/>
  <c r="CU12" i="18" s="1"/>
  <c r="BL12" i="18"/>
  <c r="BI12" i="18"/>
  <c r="AX12" i="18"/>
  <c r="BM12" i="18" s="1"/>
  <c r="G23" i="19" s="1"/>
  <c r="AD12" i="18"/>
  <c r="AA12" i="18"/>
  <c r="P12" i="18"/>
  <c r="AE12" i="18" s="1"/>
  <c r="F23" i="19" s="1"/>
  <c r="I23" i="19" s="1"/>
  <c r="B12" i="18"/>
  <c r="AI12" i="18" s="1"/>
  <c r="BQ12" i="18" s="1"/>
  <c r="CU11" i="18"/>
  <c r="CQ11" i="18"/>
  <c r="CF11" i="18"/>
  <c r="BM11" i="18"/>
  <c r="G22" i="19" s="1"/>
  <c r="BL11" i="18"/>
  <c r="BI11" i="18"/>
  <c r="AX11" i="18"/>
  <c r="AI11" i="18"/>
  <c r="BQ11" i="18" s="1"/>
  <c r="AE11" i="18"/>
  <c r="F22" i="19" s="1"/>
  <c r="I22" i="19" s="1"/>
  <c r="AD11" i="18"/>
  <c r="AA11" i="18"/>
  <c r="P11" i="18"/>
  <c r="B11" i="18"/>
  <c r="CQ10" i="18"/>
  <c r="CF10" i="18"/>
  <c r="CU10" i="18" s="1"/>
  <c r="BQ10" i="18"/>
  <c r="BL10" i="18"/>
  <c r="BI10" i="18"/>
  <c r="AX10" i="18"/>
  <c r="BM10" i="18" s="1"/>
  <c r="G21" i="19" s="1"/>
  <c r="AI10" i="18"/>
  <c r="AE10" i="18"/>
  <c r="F21" i="19" s="1"/>
  <c r="I21" i="19" s="1"/>
  <c r="AD10" i="18"/>
  <c r="AA10" i="18"/>
  <c r="P10" i="18"/>
  <c r="B10" i="18"/>
  <c r="CU9" i="18"/>
  <c r="CQ9" i="18"/>
  <c r="CF9" i="18"/>
  <c r="BM9" i="18"/>
  <c r="G20" i="19" s="1"/>
  <c r="BL9" i="18"/>
  <c r="BI9" i="18"/>
  <c r="AX9" i="18"/>
  <c r="AD9" i="18"/>
  <c r="AA9" i="18"/>
  <c r="P9" i="18"/>
  <c r="AE9" i="18" s="1"/>
  <c r="F20" i="19" s="1"/>
  <c r="I20" i="19" s="1"/>
  <c r="B9" i="18"/>
  <c r="AI9" i="18" s="1"/>
  <c r="BQ9" i="18" s="1"/>
  <c r="CQ8" i="18"/>
  <c r="CF8" i="18"/>
  <c r="CU8" i="18" s="1"/>
  <c r="BL8" i="18"/>
  <c r="BI8" i="18"/>
  <c r="AX8" i="18"/>
  <c r="BM8" i="18" s="1"/>
  <c r="G19" i="19" s="1"/>
  <c r="AD8" i="18"/>
  <c r="AA8" i="18"/>
  <c r="P8" i="18"/>
  <c r="AE8" i="18" s="1"/>
  <c r="F19" i="19" s="1"/>
  <c r="I19" i="19" s="1"/>
  <c r="B8" i="18"/>
  <c r="AI8" i="18" s="1"/>
  <c r="BQ8" i="18" s="1"/>
  <c r="CU7" i="18"/>
  <c r="CQ7" i="18"/>
  <c r="CF7" i="18"/>
  <c r="BM7" i="18"/>
  <c r="G18" i="19" s="1"/>
  <c r="BL7" i="18"/>
  <c r="BI7" i="18"/>
  <c r="AX7" i="18"/>
  <c r="AI7" i="18"/>
  <c r="BQ7" i="18" s="1"/>
  <c r="AE7" i="18"/>
  <c r="F18" i="19" s="1"/>
  <c r="I18" i="19" s="1"/>
  <c r="AD7" i="18"/>
  <c r="AA7" i="18"/>
  <c r="P7" i="18"/>
  <c r="B7" i="18"/>
  <c r="CQ6" i="18"/>
  <c r="CF6" i="18"/>
  <c r="CU6" i="18" s="1"/>
  <c r="BQ6" i="18"/>
  <c r="BL6" i="18"/>
  <c r="BI6" i="18"/>
  <c r="AX6" i="18"/>
  <c r="BM6" i="18" s="1"/>
  <c r="G17" i="19" s="1"/>
  <c r="AI6" i="18"/>
  <c r="AE6" i="18"/>
  <c r="F17" i="19" s="1"/>
  <c r="I17" i="19" s="1"/>
  <c r="AD6" i="18"/>
  <c r="AA6" i="18"/>
  <c r="P6" i="18"/>
  <c r="B6" i="18"/>
  <c r="CU5" i="18"/>
  <c r="CQ5" i="18"/>
  <c r="CF5" i="18"/>
  <c r="BM5" i="18"/>
  <c r="G16" i="19" s="1"/>
  <c r="BL5" i="18"/>
  <c r="BI5" i="18"/>
  <c r="AX5" i="18"/>
  <c r="AD5" i="18"/>
  <c r="AA5" i="18"/>
  <c r="P5" i="18"/>
  <c r="AE5" i="18" s="1"/>
  <c r="F16" i="19" s="1"/>
  <c r="I16" i="19" s="1"/>
  <c r="B5" i="18"/>
  <c r="AI5" i="18" s="1"/>
  <c r="BQ5" i="18" s="1"/>
  <c r="C55" i="17"/>
  <c r="C54" i="17"/>
  <c r="C53" i="17"/>
  <c r="G52" i="17"/>
  <c r="C52" i="17"/>
  <c r="C51" i="17"/>
  <c r="N50" i="17"/>
  <c r="F50" i="17"/>
  <c r="I50" i="17" s="1"/>
  <c r="C50" i="17"/>
  <c r="C49" i="17"/>
  <c r="C48" i="17"/>
  <c r="C47" i="17"/>
  <c r="C46" i="17"/>
  <c r="C45" i="17"/>
  <c r="G44" i="17"/>
  <c r="C44" i="17"/>
  <c r="C43" i="17"/>
  <c r="N42" i="17"/>
  <c r="F42" i="17"/>
  <c r="I42" i="17" s="1"/>
  <c r="C42" i="17"/>
  <c r="C41" i="17"/>
  <c r="C40" i="17"/>
  <c r="C39" i="17"/>
  <c r="C38" i="17"/>
  <c r="C37" i="17"/>
  <c r="G36" i="17"/>
  <c r="C36" i="17"/>
  <c r="C35" i="17"/>
  <c r="N34" i="17"/>
  <c r="F34" i="17"/>
  <c r="I34" i="17" s="1"/>
  <c r="C34" i="17"/>
  <c r="C33" i="17"/>
  <c r="C32" i="17"/>
  <c r="C31" i="17"/>
  <c r="C30" i="17"/>
  <c r="C29" i="17"/>
  <c r="G28" i="17"/>
  <c r="C28" i="17"/>
  <c r="C27" i="17"/>
  <c r="N26" i="17"/>
  <c r="F26" i="17"/>
  <c r="I26" i="17" s="1"/>
  <c r="C26" i="17"/>
  <c r="C25" i="17"/>
  <c r="C24" i="17"/>
  <c r="C23" i="17"/>
  <c r="C22" i="17"/>
  <c r="C21" i="17"/>
  <c r="G20" i="17"/>
  <c r="C20" i="17"/>
  <c r="C19" i="17"/>
  <c r="N18" i="17"/>
  <c r="F18" i="17"/>
  <c r="I18" i="17" s="1"/>
  <c r="C18" i="17"/>
  <c r="J17" i="17"/>
  <c r="C17" i="17"/>
  <c r="C16" i="17"/>
  <c r="B44" i="16"/>
  <c r="B43" i="16"/>
  <c r="B42" i="16"/>
  <c r="CU41" i="16"/>
  <c r="H52" i="19" s="1"/>
  <c r="CT41" i="16"/>
  <c r="CQ41" i="16"/>
  <c r="CF41" i="16"/>
  <c r="BM41" i="16"/>
  <c r="BL41" i="16"/>
  <c r="BI41" i="16"/>
  <c r="AX41" i="16"/>
  <c r="AI41" i="16"/>
  <c r="BQ41" i="16" s="1"/>
  <c r="AE41" i="16"/>
  <c r="F52" i="17" s="1"/>
  <c r="I52" i="17" s="1"/>
  <c r="AD41" i="16"/>
  <c r="AA41" i="16"/>
  <c r="P41" i="16"/>
  <c r="B41" i="16"/>
  <c r="CT40" i="16"/>
  <c r="CQ40" i="16"/>
  <c r="CF40" i="16"/>
  <c r="CU40" i="16" s="1"/>
  <c r="BL40" i="16"/>
  <c r="BI40" i="16"/>
  <c r="AX40" i="16"/>
  <c r="BM40" i="16" s="1"/>
  <c r="G51" i="17" s="1"/>
  <c r="AE40" i="16"/>
  <c r="F51" i="17" s="1"/>
  <c r="I51" i="17" s="1"/>
  <c r="AD40" i="16"/>
  <c r="AA40" i="16"/>
  <c r="P40" i="16"/>
  <c r="B40" i="16"/>
  <c r="AI40" i="16" s="1"/>
  <c r="BQ40" i="16" s="1"/>
  <c r="CT39" i="16"/>
  <c r="CQ39" i="16"/>
  <c r="CF39" i="16"/>
  <c r="CU39" i="16" s="1"/>
  <c r="BQ39" i="16"/>
  <c r="BL39" i="16"/>
  <c r="BI39" i="16"/>
  <c r="AX39" i="16"/>
  <c r="BM39" i="16" s="1"/>
  <c r="G50" i="17" s="1"/>
  <c r="AI39" i="16"/>
  <c r="AE39" i="16"/>
  <c r="AD39" i="16"/>
  <c r="AA39" i="16"/>
  <c r="P39" i="16"/>
  <c r="B39" i="16"/>
  <c r="CU38" i="16"/>
  <c r="H49" i="19" s="1"/>
  <c r="CT38" i="16"/>
  <c r="CQ38" i="16"/>
  <c r="CF38" i="16"/>
  <c r="BQ38" i="16"/>
  <c r="BM38" i="16"/>
  <c r="G49" i="17" s="1"/>
  <c r="BL38" i="16"/>
  <c r="BI38" i="16"/>
  <c r="AX38" i="16"/>
  <c r="AI38" i="16"/>
  <c r="AD38" i="16"/>
  <c r="AA38" i="16"/>
  <c r="P38" i="16"/>
  <c r="AE38" i="16" s="1"/>
  <c r="F49" i="17" s="1"/>
  <c r="I49" i="17" s="1"/>
  <c r="B38" i="16"/>
  <c r="CT37" i="16"/>
  <c r="CQ37" i="16"/>
  <c r="CF37" i="16"/>
  <c r="CU37" i="16" s="1"/>
  <c r="BM37" i="16"/>
  <c r="G48" i="17" s="1"/>
  <c r="BL37" i="16"/>
  <c r="BI37" i="16"/>
  <c r="AX37" i="16"/>
  <c r="AD37" i="16"/>
  <c r="AA37" i="16"/>
  <c r="P37" i="16"/>
  <c r="AE37" i="16" s="1"/>
  <c r="F48" i="17" s="1"/>
  <c r="I48" i="17" s="1"/>
  <c r="B37" i="16"/>
  <c r="AI37" i="16" s="1"/>
  <c r="BQ37" i="16" s="1"/>
  <c r="CT36" i="16"/>
  <c r="CQ36" i="16"/>
  <c r="CF36" i="16"/>
  <c r="CU36" i="16" s="1"/>
  <c r="BM36" i="16"/>
  <c r="G47" i="17" s="1"/>
  <c r="BL36" i="16"/>
  <c r="BI36" i="16"/>
  <c r="AX36" i="16"/>
  <c r="AE36" i="16"/>
  <c r="F47" i="17" s="1"/>
  <c r="I47" i="17" s="1"/>
  <c r="AD36" i="16"/>
  <c r="AA36" i="16"/>
  <c r="P36" i="16"/>
  <c r="B36" i="16"/>
  <c r="AI36" i="16" s="1"/>
  <c r="BQ36" i="16" s="1"/>
  <c r="CU35" i="16"/>
  <c r="CT35" i="16"/>
  <c r="CQ35" i="16"/>
  <c r="CF35" i="16"/>
  <c r="BL35" i="16"/>
  <c r="BI35" i="16"/>
  <c r="AX35" i="16"/>
  <c r="BM35" i="16" s="1"/>
  <c r="G46" i="17" s="1"/>
  <c r="AD35" i="16"/>
  <c r="AA35" i="16"/>
  <c r="P35" i="16"/>
  <c r="AE35" i="16" s="1"/>
  <c r="F46" i="17" s="1"/>
  <c r="I46" i="17" s="1"/>
  <c r="B35" i="16"/>
  <c r="AI35" i="16" s="1"/>
  <c r="BQ35" i="16" s="1"/>
  <c r="CU34" i="16"/>
  <c r="H45" i="19" s="1"/>
  <c r="CT34" i="16"/>
  <c r="CQ34" i="16"/>
  <c r="CF34" i="16"/>
  <c r="BL34" i="16"/>
  <c r="BI34" i="16"/>
  <c r="AX34" i="16"/>
  <c r="BM34" i="16" s="1"/>
  <c r="G45" i="17" s="1"/>
  <c r="AI34" i="16"/>
  <c r="BQ34" i="16" s="1"/>
  <c r="AD34" i="16"/>
  <c r="AA34" i="16"/>
  <c r="P34" i="16"/>
  <c r="AE34" i="16" s="1"/>
  <c r="F45" i="17" s="1"/>
  <c r="I45" i="17" s="1"/>
  <c r="B34" i="16"/>
  <c r="CU33" i="16"/>
  <c r="H44" i="19" s="1"/>
  <c r="CT33" i="16"/>
  <c r="CQ33" i="16"/>
  <c r="CF33" i="16"/>
  <c r="BM33" i="16"/>
  <c r="BL33" i="16"/>
  <c r="BI33" i="16"/>
  <c r="AX33" i="16"/>
  <c r="AI33" i="16"/>
  <c r="BQ33" i="16" s="1"/>
  <c r="AE33" i="16"/>
  <c r="F44" i="17" s="1"/>
  <c r="I44" i="17" s="1"/>
  <c r="AD33" i="16"/>
  <c r="AA33" i="16"/>
  <c r="P33" i="16"/>
  <c r="B33" i="16"/>
  <c r="CT32" i="16"/>
  <c r="CQ32" i="16"/>
  <c r="CF32" i="16"/>
  <c r="CU32" i="16" s="1"/>
  <c r="BL32" i="16"/>
  <c r="BI32" i="16"/>
  <c r="AX32" i="16"/>
  <c r="BM32" i="16" s="1"/>
  <c r="G43" i="17" s="1"/>
  <c r="AE32" i="16"/>
  <c r="F43" i="17" s="1"/>
  <c r="I43" i="17" s="1"/>
  <c r="AD32" i="16"/>
  <c r="AA32" i="16"/>
  <c r="P32" i="16"/>
  <c r="B32" i="16"/>
  <c r="AI32" i="16" s="1"/>
  <c r="BQ32" i="16" s="1"/>
  <c r="CT31" i="16"/>
  <c r="CQ31" i="16"/>
  <c r="CF31" i="16"/>
  <c r="CU31" i="16" s="1"/>
  <c r="BQ31" i="16"/>
  <c r="BL31" i="16"/>
  <c r="BI31" i="16"/>
  <c r="AX31" i="16"/>
  <c r="BM31" i="16" s="1"/>
  <c r="G42" i="17" s="1"/>
  <c r="AI31" i="16"/>
  <c r="AE31" i="16"/>
  <c r="AD31" i="16"/>
  <c r="AA31" i="16"/>
  <c r="P31" i="16"/>
  <c r="B31" i="16"/>
  <c r="CU30" i="16"/>
  <c r="H41" i="19" s="1"/>
  <c r="CT30" i="16"/>
  <c r="CQ30" i="16"/>
  <c r="CF30" i="16"/>
  <c r="BQ30" i="16"/>
  <c r="BM30" i="16"/>
  <c r="G41" i="17" s="1"/>
  <c r="BL30" i="16"/>
  <c r="BI30" i="16"/>
  <c r="AX30" i="16"/>
  <c r="AI30" i="16"/>
  <c r="AD30" i="16"/>
  <c r="AA30" i="16"/>
  <c r="P30" i="16"/>
  <c r="AE30" i="16" s="1"/>
  <c r="F41" i="17" s="1"/>
  <c r="I41" i="17" s="1"/>
  <c r="B30" i="16"/>
  <c r="CT29" i="16"/>
  <c r="CQ29" i="16"/>
  <c r="CF29" i="16"/>
  <c r="CU29" i="16" s="1"/>
  <c r="BM29" i="16"/>
  <c r="G40" i="17" s="1"/>
  <c r="BL29" i="16"/>
  <c r="BI29" i="16"/>
  <c r="AX29" i="16"/>
  <c r="AD29" i="16"/>
  <c r="AA29" i="16"/>
  <c r="P29" i="16"/>
  <c r="AE29" i="16" s="1"/>
  <c r="F40" i="17" s="1"/>
  <c r="I40" i="17" s="1"/>
  <c r="B29" i="16"/>
  <c r="AI29" i="16" s="1"/>
  <c r="BQ29" i="16" s="1"/>
  <c r="CT28" i="16"/>
  <c r="CQ28" i="16"/>
  <c r="CF28" i="16"/>
  <c r="CU28" i="16" s="1"/>
  <c r="BM28" i="16"/>
  <c r="G39" i="17" s="1"/>
  <c r="BL28" i="16"/>
  <c r="BI28" i="16"/>
  <c r="AX28" i="16"/>
  <c r="AE28" i="16"/>
  <c r="F39" i="17" s="1"/>
  <c r="I39" i="17" s="1"/>
  <c r="AD28" i="16"/>
  <c r="AA28" i="16"/>
  <c r="P28" i="16"/>
  <c r="B28" i="16"/>
  <c r="AI28" i="16" s="1"/>
  <c r="BQ28" i="16" s="1"/>
  <c r="CU27" i="16"/>
  <c r="CT27" i="16"/>
  <c r="CQ27" i="16"/>
  <c r="CF27" i="16"/>
  <c r="BL27" i="16"/>
  <c r="BI27" i="16"/>
  <c r="AX27" i="16"/>
  <c r="BM27" i="16" s="1"/>
  <c r="G38" i="17" s="1"/>
  <c r="AD27" i="16"/>
  <c r="AA27" i="16"/>
  <c r="P27" i="16"/>
  <c r="AE27" i="16" s="1"/>
  <c r="F38" i="17" s="1"/>
  <c r="I38" i="17" s="1"/>
  <c r="B27" i="16"/>
  <c r="AI27" i="16" s="1"/>
  <c r="BQ27" i="16" s="1"/>
  <c r="CU26" i="16"/>
  <c r="CT26" i="16"/>
  <c r="CQ26" i="16"/>
  <c r="CF26" i="16"/>
  <c r="BL26" i="16"/>
  <c r="BI26" i="16"/>
  <c r="AX26" i="16"/>
  <c r="BM26" i="16" s="1"/>
  <c r="G37" i="17" s="1"/>
  <c r="AI26" i="16"/>
  <c r="BQ26" i="16" s="1"/>
  <c r="AD26" i="16"/>
  <c r="AA26" i="16"/>
  <c r="P26" i="16"/>
  <c r="AE26" i="16" s="1"/>
  <c r="F37" i="17" s="1"/>
  <c r="I37" i="17" s="1"/>
  <c r="B26" i="16"/>
  <c r="CU25" i="16"/>
  <c r="H36" i="19" s="1"/>
  <c r="CT25" i="16"/>
  <c r="CQ25" i="16"/>
  <c r="CF25" i="16"/>
  <c r="BM25" i="16"/>
  <c r="BL25" i="16"/>
  <c r="BI25" i="16"/>
  <c r="AX25" i="16"/>
  <c r="AI25" i="16"/>
  <c r="BQ25" i="16" s="1"/>
  <c r="AE25" i="16"/>
  <c r="F36" i="17" s="1"/>
  <c r="I36" i="17" s="1"/>
  <c r="AD25" i="16"/>
  <c r="AA25" i="16"/>
  <c r="P25" i="16"/>
  <c r="B25" i="16"/>
  <c r="CT24" i="16"/>
  <c r="CQ24" i="16"/>
  <c r="CF24" i="16"/>
  <c r="CU24" i="16" s="1"/>
  <c r="BL24" i="16"/>
  <c r="BI24" i="16"/>
  <c r="AX24" i="16"/>
  <c r="BM24" i="16" s="1"/>
  <c r="G35" i="17" s="1"/>
  <c r="AE24" i="16"/>
  <c r="F35" i="17" s="1"/>
  <c r="I35" i="17" s="1"/>
  <c r="AD24" i="16"/>
  <c r="AA24" i="16"/>
  <c r="P24" i="16"/>
  <c r="B24" i="16"/>
  <c r="AI24" i="16" s="1"/>
  <c r="BQ24" i="16" s="1"/>
  <c r="CT23" i="16"/>
  <c r="CQ23" i="16"/>
  <c r="CF23" i="16"/>
  <c r="CU23" i="16" s="1"/>
  <c r="BQ23" i="16"/>
  <c r="BL23" i="16"/>
  <c r="BI23" i="16"/>
  <c r="AX23" i="16"/>
  <c r="BM23" i="16" s="1"/>
  <c r="G34" i="17" s="1"/>
  <c r="AI23" i="16"/>
  <c r="AE23" i="16"/>
  <c r="AD23" i="16"/>
  <c r="AA23" i="16"/>
  <c r="P23" i="16"/>
  <c r="B23" i="16"/>
  <c r="CU22" i="16"/>
  <c r="H33" i="19" s="1"/>
  <c r="CT22" i="16"/>
  <c r="CQ22" i="16"/>
  <c r="CF22" i="16"/>
  <c r="BQ22" i="16"/>
  <c r="BM22" i="16"/>
  <c r="G33" i="17" s="1"/>
  <c r="BL22" i="16"/>
  <c r="BI22" i="16"/>
  <c r="AX22" i="16"/>
  <c r="AI22" i="16"/>
  <c r="AD22" i="16"/>
  <c r="AA22" i="16"/>
  <c r="P22" i="16"/>
  <c r="AE22" i="16" s="1"/>
  <c r="F33" i="17" s="1"/>
  <c r="I33" i="17" s="1"/>
  <c r="B22" i="16"/>
  <c r="CT21" i="16"/>
  <c r="CQ21" i="16"/>
  <c r="CF21" i="16"/>
  <c r="CU21" i="16" s="1"/>
  <c r="BM21" i="16"/>
  <c r="G32" i="17" s="1"/>
  <c r="BL21" i="16"/>
  <c r="BI21" i="16"/>
  <c r="AX21" i="16"/>
  <c r="AD21" i="16"/>
  <c r="AA21" i="16"/>
  <c r="P21" i="16"/>
  <c r="AE21" i="16" s="1"/>
  <c r="F32" i="17" s="1"/>
  <c r="I32" i="17" s="1"/>
  <c r="B21" i="16"/>
  <c r="AI21" i="16" s="1"/>
  <c r="BQ21" i="16" s="1"/>
  <c r="CT20" i="16"/>
  <c r="CQ20" i="16"/>
  <c r="CF20" i="16"/>
  <c r="CU20" i="16" s="1"/>
  <c r="BM20" i="16"/>
  <c r="G31" i="17" s="1"/>
  <c r="BL20" i="16"/>
  <c r="BI20" i="16"/>
  <c r="AX20" i="16"/>
  <c r="AE20" i="16"/>
  <c r="F31" i="17" s="1"/>
  <c r="I31" i="17" s="1"/>
  <c r="AD20" i="16"/>
  <c r="AA20" i="16"/>
  <c r="P20" i="16"/>
  <c r="B20" i="16"/>
  <c r="AI20" i="16" s="1"/>
  <c r="BQ20" i="16" s="1"/>
  <c r="CU19" i="16"/>
  <c r="CT19" i="16"/>
  <c r="CQ19" i="16"/>
  <c r="CF19" i="16"/>
  <c r="BL19" i="16"/>
  <c r="BI19" i="16"/>
  <c r="AX19" i="16"/>
  <c r="BM19" i="16" s="1"/>
  <c r="G30" i="17" s="1"/>
  <c r="AD19" i="16"/>
  <c r="AA19" i="16"/>
  <c r="P19" i="16"/>
  <c r="AE19" i="16" s="1"/>
  <c r="F30" i="17" s="1"/>
  <c r="I30" i="17" s="1"/>
  <c r="B19" i="16"/>
  <c r="AI19" i="16" s="1"/>
  <c r="BQ19" i="16" s="1"/>
  <c r="CU18" i="16"/>
  <c r="CT18" i="16"/>
  <c r="CQ18" i="16"/>
  <c r="CF18" i="16"/>
  <c r="BL18" i="16"/>
  <c r="BI18" i="16"/>
  <c r="AX18" i="16"/>
  <c r="BM18" i="16" s="1"/>
  <c r="G29" i="17" s="1"/>
  <c r="AI18" i="16"/>
  <c r="BQ18" i="16" s="1"/>
  <c r="AD18" i="16"/>
  <c r="AA18" i="16"/>
  <c r="P18" i="16"/>
  <c r="AE18" i="16" s="1"/>
  <c r="F29" i="17" s="1"/>
  <c r="I29" i="17" s="1"/>
  <c r="B18" i="16"/>
  <c r="CU17" i="16"/>
  <c r="H28" i="19" s="1"/>
  <c r="CT17" i="16"/>
  <c r="CQ17" i="16"/>
  <c r="CF17" i="16"/>
  <c r="BM17" i="16"/>
  <c r="BL17" i="16"/>
  <c r="BI17" i="16"/>
  <c r="AX17" i="16"/>
  <c r="AI17" i="16"/>
  <c r="BQ17" i="16" s="1"/>
  <c r="AE17" i="16"/>
  <c r="F28" i="17" s="1"/>
  <c r="I28" i="17" s="1"/>
  <c r="AD17" i="16"/>
  <c r="AA17" i="16"/>
  <c r="P17" i="16"/>
  <c r="B17" i="16"/>
  <c r="CT16" i="16"/>
  <c r="CQ16" i="16"/>
  <c r="CF16" i="16"/>
  <c r="CU16" i="16" s="1"/>
  <c r="BL16" i="16"/>
  <c r="BI16" i="16"/>
  <c r="AX16" i="16"/>
  <c r="BM16" i="16" s="1"/>
  <c r="G27" i="17" s="1"/>
  <c r="AE16" i="16"/>
  <c r="F27" i="17" s="1"/>
  <c r="I27" i="17" s="1"/>
  <c r="AD16" i="16"/>
  <c r="AA16" i="16"/>
  <c r="P16" i="16"/>
  <c r="B16" i="16"/>
  <c r="AI16" i="16" s="1"/>
  <c r="BQ16" i="16" s="1"/>
  <c r="CT15" i="16"/>
  <c r="CQ15" i="16"/>
  <c r="CF15" i="16"/>
  <c r="CU15" i="16" s="1"/>
  <c r="BQ15" i="16"/>
  <c r="BL15" i="16"/>
  <c r="BI15" i="16"/>
  <c r="AX15" i="16"/>
  <c r="BM15" i="16" s="1"/>
  <c r="G26" i="17" s="1"/>
  <c r="AI15" i="16"/>
  <c r="AE15" i="16"/>
  <c r="AD15" i="16"/>
  <c r="AA15" i="16"/>
  <c r="P15" i="16"/>
  <c r="B15" i="16"/>
  <c r="CU14" i="16"/>
  <c r="H25" i="19" s="1"/>
  <c r="CT14" i="16"/>
  <c r="CQ14" i="16"/>
  <c r="CF14" i="16"/>
  <c r="BQ14" i="16"/>
  <c r="BM14" i="16"/>
  <c r="G25" i="17" s="1"/>
  <c r="BL14" i="16"/>
  <c r="BI14" i="16"/>
  <c r="AX14" i="16"/>
  <c r="AI14" i="16"/>
  <c r="AD14" i="16"/>
  <c r="AA14" i="16"/>
  <c r="P14" i="16"/>
  <c r="AE14" i="16" s="1"/>
  <c r="F25" i="17" s="1"/>
  <c r="I25" i="17" s="1"/>
  <c r="B14" i="16"/>
  <c r="CT13" i="16"/>
  <c r="CQ13" i="16"/>
  <c r="CF13" i="16"/>
  <c r="CU13" i="16" s="1"/>
  <c r="BM13" i="16"/>
  <c r="G24" i="17" s="1"/>
  <c r="BL13" i="16"/>
  <c r="BI13" i="16"/>
  <c r="AX13" i="16"/>
  <c r="AD13" i="16"/>
  <c r="AA13" i="16"/>
  <c r="P13" i="16"/>
  <c r="AE13" i="16" s="1"/>
  <c r="F24" i="17" s="1"/>
  <c r="I24" i="17" s="1"/>
  <c r="B13" i="16"/>
  <c r="AI13" i="16" s="1"/>
  <c r="BQ13" i="16" s="1"/>
  <c r="CT12" i="16"/>
  <c r="CQ12" i="16"/>
  <c r="CF12" i="16"/>
  <c r="CU12" i="16" s="1"/>
  <c r="BM12" i="16"/>
  <c r="G23" i="17" s="1"/>
  <c r="BL12" i="16"/>
  <c r="BI12" i="16"/>
  <c r="AX12" i="16"/>
  <c r="AE12" i="16"/>
  <c r="F23" i="17" s="1"/>
  <c r="I23" i="17" s="1"/>
  <c r="AD12" i="16"/>
  <c r="AA12" i="16"/>
  <c r="P12" i="16"/>
  <c r="B12" i="16"/>
  <c r="AI12" i="16" s="1"/>
  <c r="BQ12" i="16" s="1"/>
  <c r="CU11" i="16"/>
  <c r="CT11" i="16"/>
  <c r="CQ11" i="16"/>
  <c r="CF11" i="16"/>
  <c r="BL11" i="16"/>
  <c r="BI11" i="16"/>
  <c r="AX11" i="16"/>
  <c r="BM11" i="16" s="1"/>
  <c r="G22" i="17" s="1"/>
  <c r="AD11" i="16"/>
  <c r="AA11" i="16"/>
  <c r="P11" i="16"/>
  <c r="AE11" i="16" s="1"/>
  <c r="F22" i="17" s="1"/>
  <c r="I22" i="17" s="1"/>
  <c r="B11" i="16"/>
  <c r="AI11" i="16" s="1"/>
  <c r="BQ11" i="16" s="1"/>
  <c r="CU10" i="16"/>
  <c r="CT10" i="16"/>
  <c r="CQ10" i="16"/>
  <c r="CF10" i="16"/>
  <c r="BL10" i="16"/>
  <c r="BI10" i="16"/>
  <c r="AX10" i="16"/>
  <c r="BM10" i="16" s="1"/>
  <c r="G21" i="17" s="1"/>
  <c r="AI10" i="16"/>
  <c r="BQ10" i="16" s="1"/>
  <c r="AD10" i="16"/>
  <c r="AA10" i="16"/>
  <c r="P10" i="16"/>
  <c r="AE10" i="16" s="1"/>
  <c r="F21" i="17" s="1"/>
  <c r="I21" i="17" s="1"/>
  <c r="B10" i="16"/>
  <c r="CU9" i="16"/>
  <c r="H20" i="19" s="1"/>
  <c r="CT9" i="16"/>
  <c r="CQ9" i="16"/>
  <c r="CF9" i="16"/>
  <c r="BM9" i="16"/>
  <c r="BL9" i="16"/>
  <c r="BI9" i="16"/>
  <c r="AX9" i="16"/>
  <c r="AI9" i="16"/>
  <c r="BQ9" i="16" s="1"/>
  <c r="AE9" i="16"/>
  <c r="F20" i="17" s="1"/>
  <c r="I20" i="17" s="1"/>
  <c r="AD9" i="16"/>
  <c r="AA9" i="16"/>
  <c r="P9" i="16"/>
  <c r="B9" i="16"/>
  <c r="CT8" i="16"/>
  <c r="CQ8" i="16"/>
  <c r="CF8" i="16"/>
  <c r="CU8" i="16" s="1"/>
  <c r="BL8" i="16"/>
  <c r="BI8" i="16"/>
  <c r="AX8" i="16"/>
  <c r="BM8" i="16" s="1"/>
  <c r="G19" i="17" s="1"/>
  <c r="AE8" i="16"/>
  <c r="F19" i="17" s="1"/>
  <c r="I19" i="17" s="1"/>
  <c r="AD8" i="16"/>
  <c r="AA8" i="16"/>
  <c r="P8" i="16"/>
  <c r="B8" i="16"/>
  <c r="AI8" i="16" s="1"/>
  <c r="BQ8" i="16" s="1"/>
  <c r="CU7" i="16"/>
  <c r="CT7" i="16"/>
  <c r="CQ7" i="16"/>
  <c r="CF7" i="16"/>
  <c r="BQ7" i="16"/>
  <c r="BL7" i="16"/>
  <c r="BI7" i="16"/>
  <c r="AX7" i="16"/>
  <c r="BM7" i="16" s="1"/>
  <c r="G18" i="17" s="1"/>
  <c r="AI7" i="16"/>
  <c r="AE7" i="16"/>
  <c r="AD7" i="16"/>
  <c r="AA7" i="16"/>
  <c r="P7" i="16"/>
  <c r="B7" i="16"/>
  <c r="CU6" i="16"/>
  <c r="H17" i="19" s="1"/>
  <c r="CT6" i="16"/>
  <c r="CQ6" i="16"/>
  <c r="CF6" i="16"/>
  <c r="BM6" i="16"/>
  <c r="G17" i="17" s="1"/>
  <c r="BL6" i="16"/>
  <c r="BI6" i="16"/>
  <c r="AX6" i="16"/>
  <c r="AI6" i="16"/>
  <c r="BQ6" i="16" s="1"/>
  <c r="AD6" i="16"/>
  <c r="AA6" i="16"/>
  <c r="P6" i="16"/>
  <c r="AE6" i="16" s="1"/>
  <c r="F17" i="17" s="1"/>
  <c r="I17" i="17" s="1"/>
  <c r="B6" i="16"/>
  <c r="CT5" i="16"/>
  <c r="CQ5" i="16"/>
  <c r="CF5" i="16"/>
  <c r="CU5" i="16" s="1"/>
  <c r="BM5" i="16"/>
  <c r="G16" i="17" s="1"/>
  <c r="BL5" i="16"/>
  <c r="BI5" i="16"/>
  <c r="AX5" i="16"/>
  <c r="AD5" i="16"/>
  <c r="AA5" i="16"/>
  <c r="P5" i="16"/>
  <c r="AE5" i="16" s="1"/>
  <c r="F16" i="17" s="1"/>
  <c r="I16" i="17" s="1"/>
  <c r="B5" i="16"/>
  <c r="AI5" i="16" s="1"/>
  <c r="BQ5" i="16" s="1"/>
  <c r="BJ128" i="15"/>
  <c r="BI128" i="15"/>
  <c r="BI127" i="15"/>
  <c r="BI126" i="15"/>
  <c r="BJ125" i="15"/>
  <c r="BI125" i="15"/>
  <c r="B125" i="15"/>
  <c r="BJ124" i="15"/>
  <c r="BI124" i="15"/>
  <c r="BJ123" i="15"/>
  <c r="BI123" i="15"/>
  <c r="BI122" i="15"/>
  <c r="BJ121" i="15"/>
  <c r="BI121" i="15"/>
  <c r="BJ120" i="15"/>
  <c r="BI120" i="15"/>
  <c r="BI119" i="15"/>
  <c r="BI118" i="15"/>
  <c r="BJ117" i="15"/>
  <c r="BI117" i="15"/>
  <c r="BI116" i="15"/>
  <c r="BI115" i="15"/>
  <c r="BI114" i="15"/>
  <c r="BJ113" i="15"/>
  <c r="BI113" i="15"/>
  <c r="B113" i="15"/>
  <c r="BI112" i="15"/>
  <c r="BJ111" i="15"/>
  <c r="BI111" i="15"/>
  <c r="BI110" i="15"/>
  <c r="BJ109" i="15"/>
  <c r="BI109" i="15"/>
  <c r="B109" i="15"/>
  <c r="BJ108" i="15"/>
  <c r="BI108" i="15"/>
  <c r="BJ107" i="15"/>
  <c r="BI107" i="15"/>
  <c r="BI106" i="15"/>
  <c r="BJ105" i="15"/>
  <c r="BI105" i="15"/>
  <c r="BJ104" i="15"/>
  <c r="BI104" i="15"/>
  <c r="BI103" i="15"/>
  <c r="BI102" i="15"/>
  <c r="BJ101" i="15"/>
  <c r="BI101" i="15"/>
  <c r="BI100" i="15"/>
  <c r="BI99" i="15"/>
  <c r="BI98" i="15"/>
  <c r="BJ97" i="15"/>
  <c r="BI97" i="15"/>
  <c r="B97" i="15"/>
  <c r="BI96" i="15"/>
  <c r="BJ95" i="15"/>
  <c r="BI95" i="15"/>
  <c r="BI94" i="15"/>
  <c r="BJ93" i="15"/>
  <c r="BI93" i="15"/>
  <c r="B93" i="15"/>
  <c r="BJ92" i="15"/>
  <c r="BI92" i="15"/>
  <c r="BI91" i="15"/>
  <c r="BI87" i="15"/>
  <c r="BJ87" i="15" s="1"/>
  <c r="BI86" i="15"/>
  <c r="BJ86" i="15" s="1"/>
  <c r="BI85" i="15"/>
  <c r="BJ85" i="15" s="1"/>
  <c r="BI84" i="15"/>
  <c r="BJ84" i="15" s="1"/>
  <c r="BI83" i="15"/>
  <c r="BJ83" i="15" s="1"/>
  <c r="BI82" i="15"/>
  <c r="BJ82" i="15" s="1"/>
  <c r="BI81" i="15"/>
  <c r="BJ81" i="15" s="1"/>
  <c r="BI80" i="15"/>
  <c r="BJ80" i="15" s="1"/>
  <c r="B80" i="15"/>
  <c r="BJ79" i="15"/>
  <c r="BI79" i="15"/>
  <c r="B79" i="15"/>
  <c r="B124" i="15" s="1"/>
  <c r="BI78" i="15"/>
  <c r="BJ78" i="15" s="1"/>
  <c r="BJ77" i="15"/>
  <c r="BI77" i="15"/>
  <c r="BI76" i="15"/>
  <c r="BJ76" i="15" s="1"/>
  <c r="B76" i="15"/>
  <c r="B121" i="15" s="1"/>
  <c r="BJ75" i="15"/>
  <c r="BI75" i="15"/>
  <c r="B75" i="15"/>
  <c r="B120" i="15" s="1"/>
  <c r="BJ74" i="15"/>
  <c r="BI74" i="15"/>
  <c r="BI73" i="15"/>
  <c r="BJ73" i="15" s="1"/>
  <c r="BI72" i="15"/>
  <c r="BJ72" i="15" s="1"/>
  <c r="B72" i="15"/>
  <c r="B117" i="15" s="1"/>
  <c r="BJ71" i="15"/>
  <c r="BI71" i="15"/>
  <c r="BI70" i="15"/>
  <c r="BJ70" i="15" s="1"/>
  <c r="BI69" i="15"/>
  <c r="BJ69" i="15" s="1"/>
  <c r="BI68" i="15"/>
  <c r="BJ68" i="15" s="1"/>
  <c r="B68" i="15"/>
  <c r="BJ67" i="15"/>
  <c r="BI67" i="15"/>
  <c r="BI66" i="15"/>
  <c r="BJ66" i="15" s="1"/>
  <c r="BI65" i="15"/>
  <c r="BJ65" i="15" s="1"/>
  <c r="BI64" i="15"/>
  <c r="BJ64" i="15" s="1"/>
  <c r="B64" i="15"/>
  <c r="BJ63" i="15"/>
  <c r="BI63" i="15"/>
  <c r="B63" i="15"/>
  <c r="B108" i="15" s="1"/>
  <c r="BI62" i="15"/>
  <c r="BJ62" i="15" s="1"/>
  <c r="BJ61" i="15"/>
  <c r="BI61" i="15"/>
  <c r="BI60" i="15"/>
  <c r="BJ60" i="15" s="1"/>
  <c r="B60" i="15"/>
  <c r="B105" i="15" s="1"/>
  <c r="BJ59" i="15"/>
  <c r="BI59" i="15"/>
  <c r="B59" i="15"/>
  <c r="B104" i="15" s="1"/>
  <c r="BJ58" i="15"/>
  <c r="BI58" i="15"/>
  <c r="BI57" i="15"/>
  <c r="BJ57" i="15" s="1"/>
  <c r="BI56" i="15"/>
  <c r="BJ56" i="15" s="1"/>
  <c r="B56" i="15"/>
  <c r="B101" i="15" s="1"/>
  <c r="BJ55" i="15"/>
  <c r="BI55" i="15"/>
  <c r="BI54" i="15"/>
  <c r="BJ54" i="15" s="1"/>
  <c r="BI53" i="15"/>
  <c r="BJ53" i="15" s="1"/>
  <c r="B53" i="15"/>
  <c r="B98" i="15" s="1"/>
  <c r="BI52" i="15"/>
  <c r="BJ52" i="15" s="1"/>
  <c r="B52" i="15"/>
  <c r="BJ51" i="15"/>
  <c r="BI51" i="15"/>
  <c r="B51" i="15"/>
  <c r="B96" i="15" s="1"/>
  <c r="BI50" i="15"/>
  <c r="BJ50" i="15" s="1"/>
  <c r="BI49" i="15"/>
  <c r="BJ49" i="15" s="1"/>
  <c r="BI48" i="15"/>
  <c r="BJ48" i="15" s="1"/>
  <c r="M18" i="17" s="1"/>
  <c r="B48" i="15"/>
  <c r="BJ47" i="15"/>
  <c r="BI47" i="15"/>
  <c r="BI46" i="15"/>
  <c r="BJ46" i="15" s="1"/>
  <c r="BJ43" i="15"/>
  <c r="BI43" i="15"/>
  <c r="BJ42" i="15"/>
  <c r="BI42" i="15"/>
  <c r="B42" i="15"/>
  <c r="BJ41" i="15"/>
  <c r="BI41" i="15"/>
  <c r="B41" i="15"/>
  <c r="BJ40" i="15"/>
  <c r="BI40" i="15"/>
  <c r="B40" i="15"/>
  <c r="BI39" i="15"/>
  <c r="B39" i="15"/>
  <c r="B82" i="15" s="1"/>
  <c r="B127" i="15" s="1"/>
  <c r="BJ38" i="15"/>
  <c r="BI38" i="15"/>
  <c r="B38" i="15"/>
  <c r="B81" i="15" s="1"/>
  <c r="B126" i="15" s="1"/>
  <c r="BJ37" i="15"/>
  <c r="BI37" i="15"/>
  <c r="B37" i="15"/>
  <c r="BJ36" i="15"/>
  <c r="BI36" i="15"/>
  <c r="B36" i="15"/>
  <c r="BI35" i="15"/>
  <c r="B35" i="15"/>
  <c r="B78" i="15" s="1"/>
  <c r="B123" i="15" s="1"/>
  <c r="BJ34" i="15"/>
  <c r="BI34" i="15"/>
  <c r="B34" i="15"/>
  <c r="B77" i="15" s="1"/>
  <c r="B122" i="15" s="1"/>
  <c r="BJ33" i="15"/>
  <c r="BI33" i="15"/>
  <c r="B33" i="15"/>
  <c r="BI32" i="15"/>
  <c r="B32" i="15"/>
  <c r="BI31" i="15"/>
  <c r="B31" i="15"/>
  <c r="B74" i="15" s="1"/>
  <c r="B119" i="15" s="1"/>
  <c r="BJ30" i="15"/>
  <c r="BI30" i="15"/>
  <c r="B30" i="15"/>
  <c r="B73" i="15" s="1"/>
  <c r="B118" i="15" s="1"/>
  <c r="BI29" i="15"/>
  <c r="B29" i="15"/>
  <c r="BJ28" i="15"/>
  <c r="BI28" i="15"/>
  <c r="B28" i="15"/>
  <c r="B71" i="15" s="1"/>
  <c r="B116" i="15" s="1"/>
  <c r="BI27" i="15"/>
  <c r="B27" i="15"/>
  <c r="B70" i="15" s="1"/>
  <c r="B115" i="15" s="1"/>
  <c r="BJ26" i="15"/>
  <c r="BI26" i="15"/>
  <c r="J39" i="33" s="1"/>
  <c r="B26" i="15"/>
  <c r="B69" i="15" s="1"/>
  <c r="B114" i="15" s="1"/>
  <c r="BJ25" i="15"/>
  <c r="BI25" i="15"/>
  <c r="B25" i="15"/>
  <c r="BI24" i="15"/>
  <c r="B24" i="15"/>
  <c r="B67" i="15" s="1"/>
  <c r="B112" i="15" s="1"/>
  <c r="BI23" i="15"/>
  <c r="B23" i="15"/>
  <c r="B66" i="15" s="1"/>
  <c r="B111" i="15" s="1"/>
  <c r="BJ22" i="15"/>
  <c r="BI22" i="15"/>
  <c r="B22" i="15"/>
  <c r="B65" i="15" s="1"/>
  <c r="B110" i="15" s="1"/>
  <c r="BI21" i="15"/>
  <c r="B21" i="15"/>
  <c r="BJ20" i="15"/>
  <c r="BI20" i="15"/>
  <c r="B20" i="15"/>
  <c r="BI19" i="15"/>
  <c r="B19" i="15"/>
  <c r="B62" i="15" s="1"/>
  <c r="B107" i="15" s="1"/>
  <c r="BJ18" i="15"/>
  <c r="BI18" i="15"/>
  <c r="B18" i="15"/>
  <c r="B61" i="15" s="1"/>
  <c r="B106" i="15" s="1"/>
  <c r="BJ17" i="15"/>
  <c r="BI17" i="15"/>
  <c r="B17" i="15"/>
  <c r="BI16" i="15"/>
  <c r="B16" i="15"/>
  <c r="BI15" i="15"/>
  <c r="B15" i="15"/>
  <c r="B58" i="15" s="1"/>
  <c r="B103" i="15" s="1"/>
  <c r="BJ14" i="15"/>
  <c r="BI14" i="15"/>
  <c r="B14" i="15"/>
  <c r="B57" i="15" s="1"/>
  <c r="B102" i="15" s="1"/>
  <c r="BI13" i="15"/>
  <c r="B13" i="15"/>
  <c r="BJ12" i="15"/>
  <c r="BI12" i="15"/>
  <c r="B12" i="15"/>
  <c r="B55" i="15" s="1"/>
  <c r="B100" i="15" s="1"/>
  <c r="BI11" i="15"/>
  <c r="B11" i="15"/>
  <c r="B54" i="15" s="1"/>
  <c r="B99" i="15" s="1"/>
  <c r="BJ10" i="15"/>
  <c r="BI10" i="15"/>
  <c r="B10" i="15"/>
  <c r="BJ9" i="15"/>
  <c r="BI9" i="15"/>
  <c r="B9" i="15"/>
  <c r="BJ8" i="15"/>
  <c r="BI8" i="15"/>
  <c r="B8" i="15"/>
  <c r="BI7" i="15"/>
  <c r="B7" i="15"/>
  <c r="B50" i="15" s="1"/>
  <c r="B95" i="15" s="1"/>
  <c r="BJ6" i="15"/>
  <c r="BI6" i="15"/>
  <c r="B6" i="15"/>
  <c r="B49" i="15" s="1"/>
  <c r="B94" i="15" s="1"/>
  <c r="BJ5" i="15"/>
  <c r="BI5" i="15"/>
  <c r="B5" i="15"/>
  <c r="BJ4" i="15"/>
  <c r="BI4" i="15"/>
  <c r="B4" i="15"/>
  <c r="B47" i="15" s="1"/>
  <c r="B92" i="15" s="1"/>
  <c r="BI3" i="15"/>
  <c r="B3" i="15"/>
  <c r="B46" i="15" s="1"/>
  <c r="BJ128" i="14"/>
  <c r="BI128" i="14"/>
  <c r="BI127" i="14"/>
  <c r="BJ127" i="14" s="1"/>
  <c r="BI126" i="14"/>
  <c r="BJ126" i="14" s="1"/>
  <c r="BJ125" i="14"/>
  <c r="BI125" i="14"/>
  <c r="BI124" i="14"/>
  <c r="BJ124" i="14" s="1"/>
  <c r="BI123" i="14"/>
  <c r="BJ123" i="14" s="1"/>
  <c r="BI122" i="14"/>
  <c r="BJ122" i="14" s="1"/>
  <c r="BJ121" i="14"/>
  <c r="BI121" i="14"/>
  <c r="BI120" i="14"/>
  <c r="BJ120" i="14" s="1"/>
  <c r="BI119" i="14"/>
  <c r="BJ119" i="14" s="1"/>
  <c r="BI118" i="14"/>
  <c r="BJ118" i="14" s="1"/>
  <c r="BJ117" i="14"/>
  <c r="BI117" i="14"/>
  <c r="BI116" i="14"/>
  <c r="BJ116" i="14" s="1"/>
  <c r="BI115" i="14"/>
  <c r="BJ115" i="14" s="1"/>
  <c r="BI114" i="14"/>
  <c r="BJ114" i="14" s="1"/>
  <c r="BJ113" i="14"/>
  <c r="BI113" i="14"/>
  <c r="BI112" i="14"/>
  <c r="BJ112" i="14" s="1"/>
  <c r="BI111" i="14"/>
  <c r="BJ111" i="14" s="1"/>
  <c r="BI110" i="14"/>
  <c r="BJ110" i="14" s="1"/>
  <c r="BJ109" i="14"/>
  <c r="BI109" i="14"/>
  <c r="BI108" i="14"/>
  <c r="BJ108" i="14" s="1"/>
  <c r="BI107" i="14"/>
  <c r="BJ107" i="14" s="1"/>
  <c r="BJ106" i="14"/>
  <c r="BI106" i="14"/>
  <c r="BJ105" i="14"/>
  <c r="BI105" i="14"/>
  <c r="BJ104" i="14"/>
  <c r="BI104" i="14"/>
  <c r="BI103" i="14"/>
  <c r="BJ103" i="14" s="1"/>
  <c r="BJ102" i="14"/>
  <c r="BI102" i="14"/>
  <c r="BI101" i="14"/>
  <c r="BJ101" i="14" s="1"/>
  <c r="BJ100" i="14"/>
  <c r="BI100" i="14"/>
  <c r="BI99" i="14"/>
  <c r="BJ99" i="14" s="1"/>
  <c r="BJ98" i="14"/>
  <c r="BI98" i="14"/>
  <c r="BI97" i="14"/>
  <c r="BJ97" i="14" s="1"/>
  <c r="BJ96" i="14"/>
  <c r="BI96" i="14"/>
  <c r="BI95" i="14"/>
  <c r="BJ95" i="14" s="1"/>
  <c r="BJ94" i="14"/>
  <c r="BI94" i="14"/>
  <c r="BI93" i="14"/>
  <c r="BJ93" i="14" s="1"/>
  <c r="BJ92" i="14"/>
  <c r="BI92" i="14"/>
  <c r="BI91" i="14"/>
  <c r="BJ91" i="14" s="1"/>
  <c r="BJ87" i="14"/>
  <c r="BI87" i="14"/>
  <c r="BJ86" i="14"/>
  <c r="BI86" i="14"/>
  <c r="BJ85" i="14"/>
  <c r="BI85" i="14"/>
  <c r="BJ84" i="14"/>
  <c r="BI84" i="14"/>
  <c r="BJ83" i="14"/>
  <c r="BI83" i="14"/>
  <c r="BJ82" i="14"/>
  <c r="BI82" i="14"/>
  <c r="BI81" i="14"/>
  <c r="BJ81" i="14" s="1"/>
  <c r="BJ80" i="14"/>
  <c r="BI80" i="14"/>
  <c r="BI79" i="14"/>
  <c r="BJ79" i="14" s="1"/>
  <c r="BJ78" i="14"/>
  <c r="BI78" i="14"/>
  <c r="B78" i="14"/>
  <c r="B123" i="14" s="1"/>
  <c r="BJ77" i="14"/>
  <c r="BI77" i="14"/>
  <c r="BJ76" i="14"/>
  <c r="BI76" i="14"/>
  <c r="BI75" i="14"/>
  <c r="BJ75" i="14" s="1"/>
  <c r="BJ74" i="14"/>
  <c r="BI74" i="14"/>
  <c r="BI73" i="14"/>
  <c r="BJ73" i="14" s="1"/>
  <c r="BJ72" i="14"/>
  <c r="BI72" i="14"/>
  <c r="BI71" i="14"/>
  <c r="BJ71" i="14" s="1"/>
  <c r="BJ70" i="14"/>
  <c r="BI70" i="14"/>
  <c r="B70" i="14"/>
  <c r="B115" i="14" s="1"/>
  <c r="BJ69" i="14"/>
  <c r="BI69" i="14"/>
  <c r="BJ68" i="14"/>
  <c r="BI68" i="14"/>
  <c r="BI67" i="14"/>
  <c r="BJ67" i="14" s="1"/>
  <c r="BJ66" i="14"/>
  <c r="BI66" i="14"/>
  <c r="BI65" i="14"/>
  <c r="BJ65" i="14" s="1"/>
  <c r="BJ64" i="14"/>
  <c r="BI64" i="14"/>
  <c r="BI63" i="14"/>
  <c r="BJ63" i="14" s="1"/>
  <c r="BJ62" i="14"/>
  <c r="BI62" i="14"/>
  <c r="B62" i="14"/>
  <c r="B107" i="14" s="1"/>
  <c r="BJ61" i="14"/>
  <c r="BI61" i="14"/>
  <c r="BJ60" i="14"/>
  <c r="BI60" i="14"/>
  <c r="BI59" i="14"/>
  <c r="BJ59" i="14" s="1"/>
  <c r="BJ58" i="14"/>
  <c r="BI58" i="14"/>
  <c r="BI57" i="14"/>
  <c r="BJ57" i="14" s="1"/>
  <c r="BJ56" i="14"/>
  <c r="BI56" i="14"/>
  <c r="BI55" i="14"/>
  <c r="BJ55" i="14" s="1"/>
  <c r="BJ54" i="14"/>
  <c r="BI54" i="14"/>
  <c r="B54" i="14"/>
  <c r="B99" i="14" s="1"/>
  <c r="BJ53" i="14"/>
  <c r="BI53" i="14"/>
  <c r="BJ52" i="14"/>
  <c r="BI52" i="14"/>
  <c r="B52" i="14"/>
  <c r="B97" i="14" s="1"/>
  <c r="BI51" i="14"/>
  <c r="BJ51" i="14" s="1"/>
  <c r="BJ50" i="14"/>
  <c r="BI50" i="14"/>
  <c r="BI49" i="14"/>
  <c r="BJ49" i="14" s="1"/>
  <c r="BJ48" i="14"/>
  <c r="BI48" i="14"/>
  <c r="BI47" i="14"/>
  <c r="BJ47" i="14" s="1"/>
  <c r="BJ46" i="14"/>
  <c r="BI46" i="14"/>
  <c r="B46" i="14"/>
  <c r="B91" i="14" s="1"/>
  <c r="BJ43" i="14"/>
  <c r="BI43" i="14"/>
  <c r="BI42" i="14"/>
  <c r="B42" i="14"/>
  <c r="BJ41" i="14"/>
  <c r="BI41" i="14"/>
  <c r="B41" i="14"/>
  <c r="BJ40" i="14"/>
  <c r="BI40" i="14"/>
  <c r="B40" i="14"/>
  <c r="BJ39" i="14"/>
  <c r="BI39" i="14"/>
  <c r="B39" i="14"/>
  <c r="B82" i="14" s="1"/>
  <c r="B127" i="14" s="1"/>
  <c r="BI38" i="14"/>
  <c r="C9" i="12" s="1"/>
  <c r="B38" i="14"/>
  <c r="B81" i="14" s="1"/>
  <c r="B126" i="14" s="1"/>
  <c r="BJ37" i="14"/>
  <c r="BI37" i="14"/>
  <c r="B37" i="14"/>
  <c r="B80" i="14" s="1"/>
  <c r="B125" i="14" s="1"/>
  <c r="BI36" i="14"/>
  <c r="B36" i="14"/>
  <c r="B79" i="14" s="1"/>
  <c r="B124" i="14" s="1"/>
  <c r="BJ35" i="14"/>
  <c r="BI35" i="14"/>
  <c r="B35" i="14"/>
  <c r="BI34" i="14"/>
  <c r="B34" i="14"/>
  <c r="B77" i="14" s="1"/>
  <c r="B122" i="14" s="1"/>
  <c r="BJ33" i="14"/>
  <c r="BI33" i="14"/>
  <c r="B33" i="14"/>
  <c r="B76" i="14" s="1"/>
  <c r="B121" i="14" s="1"/>
  <c r="BJ32" i="14"/>
  <c r="BI32" i="14"/>
  <c r="B32" i="14"/>
  <c r="B75" i="14" s="1"/>
  <c r="B120" i="14" s="1"/>
  <c r="BJ31" i="14"/>
  <c r="BI31" i="14"/>
  <c r="B31" i="14"/>
  <c r="B74" i="14" s="1"/>
  <c r="B119" i="14" s="1"/>
  <c r="BI30" i="14"/>
  <c r="B30" i="14"/>
  <c r="B73" i="14" s="1"/>
  <c r="B118" i="14" s="1"/>
  <c r="BJ29" i="14"/>
  <c r="BI29" i="14"/>
  <c r="B29" i="14"/>
  <c r="B72" i="14" s="1"/>
  <c r="B117" i="14" s="1"/>
  <c r="BI28" i="14"/>
  <c r="B28" i="14"/>
  <c r="B71" i="14" s="1"/>
  <c r="B116" i="14" s="1"/>
  <c r="BJ27" i="14"/>
  <c r="BI27" i="14"/>
  <c r="B27" i="14"/>
  <c r="BI26" i="14"/>
  <c r="B26" i="14"/>
  <c r="B69" i="14" s="1"/>
  <c r="B114" i="14" s="1"/>
  <c r="BJ25" i="14"/>
  <c r="BI25" i="14"/>
  <c r="B25" i="14"/>
  <c r="B68" i="14" s="1"/>
  <c r="B113" i="14" s="1"/>
  <c r="BJ24" i="14"/>
  <c r="BI24" i="14"/>
  <c r="B24" i="14"/>
  <c r="B67" i="14" s="1"/>
  <c r="B112" i="14" s="1"/>
  <c r="BJ23" i="14"/>
  <c r="BI23" i="14"/>
  <c r="B23" i="14"/>
  <c r="B66" i="14" s="1"/>
  <c r="B111" i="14" s="1"/>
  <c r="BI22" i="14"/>
  <c r="B22" i="14"/>
  <c r="B65" i="14" s="1"/>
  <c r="B110" i="14" s="1"/>
  <c r="BJ21" i="14"/>
  <c r="BI21" i="14"/>
  <c r="B21" i="14"/>
  <c r="B64" i="14" s="1"/>
  <c r="B109" i="14" s="1"/>
  <c r="BI20" i="14"/>
  <c r="B20" i="14"/>
  <c r="B63" i="14" s="1"/>
  <c r="B108" i="14" s="1"/>
  <c r="BJ19" i="14"/>
  <c r="BI19" i="14"/>
  <c r="B19" i="14"/>
  <c r="BI18" i="14"/>
  <c r="B18" i="14"/>
  <c r="B61" i="14" s="1"/>
  <c r="B106" i="14" s="1"/>
  <c r="BJ17" i="14"/>
  <c r="BI17" i="14"/>
  <c r="B17" i="14"/>
  <c r="B60" i="14" s="1"/>
  <c r="B105" i="14" s="1"/>
  <c r="BJ16" i="14"/>
  <c r="BI16" i="14"/>
  <c r="B16" i="14"/>
  <c r="B59" i="14" s="1"/>
  <c r="B104" i="14" s="1"/>
  <c r="BJ15" i="14"/>
  <c r="BI15" i="14"/>
  <c r="B15" i="14"/>
  <c r="B58" i="14" s="1"/>
  <c r="B103" i="14" s="1"/>
  <c r="BI14" i="14"/>
  <c r="B14" i="14"/>
  <c r="B57" i="14" s="1"/>
  <c r="B102" i="14" s="1"/>
  <c r="BJ13" i="14"/>
  <c r="BI13" i="14"/>
  <c r="B13" i="14"/>
  <c r="B56" i="14" s="1"/>
  <c r="B101" i="14" s="1"/>
  <c r="BI12" i="14"/>
  <c r="B12" i="14"/>
  <c r="B55" i="14" s="1"/>
  <c r="B100" i="14" s="1"/>
  <c r="BJ11" i="14"/>
  <c r="BI11" i="14"/>
  <c r="B11" i="14"/>
  <c r="BI10" i="14"/>
  <c r="B10" i="14"/>
  <c r="B53" i="14" s="1"/>
  <c r="B98" i="14" s="1"/>
  <c r="BJ9" i="14"/>
  <c r="BI9" i="14"/>
  <c r="B9" i="14"/>
  <c r="BJ8" i="14"/>
  <c r="BI8" i="14"/>
  <c r="B8" i="14"/>
  <c r="B51" i="14" s="1"/>
  <c r="B96" i="14" s="1"/>
  <c r="BJ7" i="14"/>
  <c r="BI7" i="14"/>
  <c r="B7" i="14"/>
  <c r="B50" i="14" s="1"/>
  <c r="B95" i="14" s="1"/>
  <c r="BI6" i="14"/>
  <c r="B6" i="14"/>
  <c r="B49" i="14" s="1"/>
  <c r="B94" i="14" s="1"/>
  <c r="BJ5" i="14"/>
  <c r="BI5" i="14"/>
  <c r="B5" i="14"/>
  <c r="B48" i="14" s="1"/>
  <c r="B93" i="14" s="1"/>
  <c r="BI4" i="14"/>
  <c r="B4" i="14"/>
  <c r="B47" i="14" s="1"/>
  <c r="B92" i="14" s="1"/>
  <c r="BJ3" i="14"/>
  <c r="BI3" i="14"/>
  <c r="B3" i="14"/>
  <c r="BI128" i="13"/>
  <c r="BJ128" i="13" s="1"/>
  <c r="BI127" i="13"/>
  <c r="BJ127" i="13" s="1"/>
  <c r="BJ126" i="13"/>
  <c r="BI126" i="13"/>
  <c r="BI125" i="13"/>
  <c r="BJ125" i="13" s="1"/>
  <c r="BJ124" i="13"/>
  <c r="BI124" i="13"/>
  <c r="BJ123" i="13"/>
  <c r="BI123" i="13"/>
  <c r="BJ122" i="13"/>
  <c r="BI122" i="13"/>
  <c r="BI121" i="13"/>
  <c r="BJ121" i="13" s="1"/>
  <c r="BJ120" i="13"/>
  <c r="BI120" i="13"/>
  <c r="BI119" i="13"/>
  <c r="BJ119" i="13" s="1"/>
  <c r="BJ118" i="13"/>
  <c r="BI118" i="13"/>
  <c r="BI117" i="13"/>
  <c r="BJ117" i="13" s="1"/>
  <c r="BJ116" i="13"/>
  <c r="BI116" i="13"/>
  <c r="BJ115" i="13"/>
  <c r="BI115" i="13"/>
  <c r="BJ114" i="13"/>
  <c r="BI114" i="13"/>
  <c r="BI113" i="13"/>
  <c r="BJ113" i="13" s="1"/>
  <c r="BJ112" i="13"/>
  <c r="BI112" i="13"/>
  <c r="BI111" i="13"/>
  <c r="BJ111" i="13" s="1"/>
  <c r="BJ110" i="13"/>
  <c r="BI110" i="13"/>
  <c r="BI109" i="13"/>
  <c r="BJ109" i="13" s="1"/>
  <c r="BJ108" i="13"/>
  <c r="BI108" i="13"/>
  <c r="B108" i="13"/>
  <c r="BJ107" i="13"/>
  <c r="BI107" i="13"/>
  <c r="BJ106" i="13"/>
  <c r="BI106" i="13"/>
  <c r="B106" i="13"/>
  <c r="BI105" i="13"/>
  <c r="BJ105" i="13" s="1"/>
  <c r="BJ104" i="13"/>
  <c r="BI104" i="13"/>
  <c r="BI103" i="13"/>
  <c r="BJ103" i="13" s="1"/>
  <c r="BJ102" i="13"/>
  <c r="BI102" i="13"/>
  <c r="BI101" i="13"/>
  <c r="BJ101" i="13" s="1"/>
  <c r="BJ100" i="13"/>
  <c r="BI100" i="13"/>
  <c r="B100" i="13"/>
  <c r="BJ99" i="13"/>
  <c r="BI99" i="13"/>
  <c r="BJ98" i="13"/>
  <c r="BI98" i="13"/>
  <c r="BI97" i="13"/>
  <c r="BJ97" i="13" s="1"/>
  <c r="BJ96" i="13"/>
  <c r="BI96" i="13"/>
  <c r="BI95" i="13"/>
  <c r="BJ95" i="13" s="1"/>
  <c r="BJ94" i="13"/>
  <c r="BI94" i="13"/>
  <c r="BI93" i="13"/>
  <c r="BJ93" i="13" s="1"/>
  <c r="BJ92" i="13"/>
  <c r="BI92" i="13"/>
  <c r="B92" i="13"/>
  <c r="BJ91" i="13"/>
  <c r="BI91" i="13"/>
  <c r="BJ87" i="13"/>
  <c r="BI87" i="13"/>
  <c r="BJ86" i="13"/>
  <c r="BI86" i="13"/>
  <c r="BJ85" i="13"/>
  <c r="BI85" i="13"/>
  <c r="BJ84" i="13"/>
  <c r="BI84" i="13"/>
  <c r="BJ83" i="13"/>
  <c r="BI83" i="13"/>
  <c r="BJ82" i="13"/>
  <c r="BI82" i="13"/>
  <c r="B82" i="13"/>
  <c r="B127" i="13" s="1"/>
  <c r="BJ81" i="13"/>
  <c r="BI81" i="13"/>
  <c r="BJ80" i="13"/>
  <c r="BI80" i="13"/>
  <c r="BI79" i="13"/>
  <c r="BJ79" i="13" s="1"/>
  <c r="BJ78" i="13"/>
  <c r="BI78" i="13"/>
  <c r="BI77" i="13"/>
  <c r="BJ77" i="13" s="1"/>
  <c r="BJ76" i="13"/>
  <c r="BI76" i="13"/>
  <c r="BI75" i="13"/>
  <c r="BJ75" i="13" s="1"/>
  <c r="BJ74" i="13"/>
  <c r="BI74" i="13"/>
  <c r="B74" i="13"/>
  <c r="B119" i="13" s="1"/>
  <c r="BJ73" i="13"/>
  <c r="BI73" i="13"/>
  <c r="BJ72" i="13"/>
  <c r="BI72" i="13"/>
  <c r="BI71" i="13"/>
  <c r="BJ71" i="13" s="1"/>
  <c r="BJ70" i="13"/>
  <c r="BI70" i="13"/>
  <c r="BI69" i="13"/>
  <c r="BJ69" i="13" s="1"/>
  <c r="BJ68" i="13"/>
  <c r="BI68" i="13"/>
  <c r="BI67" i="13"/>
  <c r="BJ67" i="13" s="1"/>
  <c r="BJ66" i="13"/>
  <c r="BI66" i="13"/>
  <c r="B66" i="13"/>
  <c r="B111" i="13" s="1"/>
  <c r="BJ65" i="13"/>
  <c r="BI65" i="13"/>
  <c r="BJ64" i="13"/>
  <c r="BI64" i="13"/>
  <c r="BI63" i="13"/>
  <c r="BJ63" i="13" s="1"/>
  <c r="B63" i="13"/>
  <c r="BJ62" i="13"/>
  <c r="BI62" i="13"/>
  <c r="BI61" i="13"/>
  <c r="BJ61" i="13" s="1"/>
  <c r="BJ60" i="13"/>
  <c r="BI60" i="13"/>
  <c r="BI59" i="13"/>
  <c r="BJ59" i="13" s="1"/>
  <c r="BJ58" i="13"/>
  <c r="BI58" i="13"/>
  <c r="B58" i="13"/>
  <c r="B103" i="13" s="1"/>
  <c r="BJ57" i="13"/>
  <c r="BI57" i="13"/>
  <c r="BJ56" i="13"/>
  <c r="BI56" i="13"/>
  <c r="BI55" i="13"/>
  <c r="BJ55" i="13" s="1"/>
  <c r="B55" i="13"/>
  <c r="BJ54" i="13"/>
  <c r="BI54" i="13"/>
  <c r="BI53" i="13"/>
  <c r="BJ53" i="13" s="1"/>
  <c r="BJ52" i="13"/>
  <c r="BI52" i="13"/>
  <c r="BI51" i="13"/>
  <c r="BJ51" i="13" s="1"/>
  <c r="BJ50" i="13"/>
  <c r="BI50" i="13"/>
  <c r="B50" i="13"/>
  <c r="B95" i="13" s="1"/>
  <c r="BJ49" i="13"/>
  <c r="BI49" i="13"/>
  <c r="BJ48" i="13"/>
  <c r="BI48" i="13"/>
  <c r="BI47" i="13"/>
  <c r="BJ47" i="13" s="1"/>
  <c r="B47" i="13"/>
  <c r="BJ46" i="13"/>
  <c r="BI46" i="13"/>
  <c r="BI43" i="13"/>
  <c r="BJ43" i="13" s="1"/>
  <c r="BI42" i="13"/>
  <c r="B42" i="13"/>
  <c r="BJ41" i="13"/>
  <c r="BI41" i="13"/>
  <c r="B41" i="13"/>
  <c r="BI40" i="13"/>
  <c r="B40" i="13"/>
  <c r="BJ39" i="13"/>
  <c r="BI39" i="13"/>
  <c r="B39" i="13"/>
  <c r="BI38" i="13"/>
  <c r="B38" i="13"/>
  <c r="B81" i="13" s="1"/>
  <c r="B126" i="13" s="1"/>
  <c r="BJ37" i="13"/>
  <c r="BI37" i="13"/>
  <c r="B37" i="13"/>
  <c r="B80" i="13" s="1"/>
  <c r="B125" i="13" s="1"/>
  <c r="BJ36" i="13"/>
  <c r="BI36" i="13"/>
  <c r="B36" i="13"/>
  <c r="B79" i="13" s="1"/>
  <c r="B124" i="13" s="1"/>
  <c r="BJ35" i="13"/>
  <c r="BI35" i="13"/>
  <c r="B35" i="13"/>
  <c r="B78" i="13" s="1"/>
  <c r="B123" i="13" s="1"/>
  <c r="BI34" i="13"/>
  <c r="B34" i="13"/>
  <c r="B77" i="13" s="1"/>
  <c r="B122" i="13" s="1"/>
  <c r="BJ33" i="13"/>
  <c r="BI33" i="13"/>
  <c r="B33" i="13"/>
  <c r="B76" i="13" s="1"/>
  <c r="B121" i="13" s="1"/>
  <c r="BI32" i="13"/>
  <c r="B32" i="13"/>
  <c r="B75" i="13" s="1"/>
  <c r="B120" i="13" s="1"/>
  <c r="BJ31" i="13"/>
  <c r="BI31" i="13"/>
  <c r="B31" i="13"/>
  <c r="BI30" i="13"/>
  <c r="B30" i="13"/>
  <c r="B73" i="13" s="1"/>
  <c r="B118" i="13" s="1"/>
  <c r="BJ29" i="13"/>
  <c r="BI29" i="13"/>
  <c r="B29" i="13"/>
  <c r="B72" i="13" s="1"/>
  <c r="B117" i="13" s="1"/>
  <c r="BJ28" i="13"/>
  <c r="BI28" i="13"/>
  <c r="B28" i="13"/>
  <c r="B71" i="13" s="1"/>
  <c r="B116" i="13" s="1"/>
  <c r="BJ27" i="13"/>
  <c r="BI27" i="13"/>
  <c r="B27" i="13"/>
  <c r="B70" i="13" s="1"/>
  <c r="B115" i="13" s="1"/>
  <c r="BI26" i="13"/>
  <c r="B26" i="13"/>
  <c r="B69" i="13" s="1"/>
  <c r="B114" i="13" s="1"/>
  <c r="BJ25" i="13"/>
  <c r="BI25" i="13"/>
  <c r="B25" i="13"/>
  <c r="B68" i="13" s="1"/>
  <c r="B113" i="13" s="1"/>
  <c r="BI24" i="13"/>
  <c r="B24" i="13"/>
  <c r="B67" i="13" s="1"/>
  <c r="B112" i="13" s="1"/>
  <c r="BJ23" i="13"/>
  <c r="BI23" i="13"/>
  <c r="B23" i="13"/>
  <c r="BI22" i="13"/>
  <c r="B22" i="13"/>
  <c r="B65" i="13" s="1"/>
  <c r="B110" i="13" s="1"/>
  <c r="BJ21" i="13"/>
  <c r="BI21" i="13"/>
  <c r="B21" i="13"/>
  <c r="B64" i="13" s="1"/>
  <c r="B109" i="13" s="1"/>
  <c r="BJ20" i="13"/>
  <c r="BI20" i="13"/>
  <c r="B20" i="13"/>
  <c r="BJ19" i="13"/>
  <c r="BI19" i="13"/>
  <c r="B19" i="13"/>
  <c r="B62" i="13" s="1"/>
  <c r="B107" i="13" s="1"/>
  <c r="BI18" i="13"/>
  <c r="B18" i="13"/>
  <c r="B61" i="13" s="1"/>
  <c r="BJ17" i="13"/>
  <c r="BI17" i="13"/>
  <c r="B17" i="13"/>
  <c r="B60" i="13" s="1"/>
  <c r="B105" i="13" s="1"/>
  <c r="BI16" i="13"/>
  <c r="B16" i="13"/>
  <c r="B59" i="13" s="1"/>
  <c r="B104" i="13" s="1"/>
  <c r="BJ15" i="13"/>
  <c r="BI15" i="13"/>
  <c r="B15" i="13"/>
  <c r="BI14" i="13"/>
  <c r="B14" i="13"/>
  <c r="B57" i="13" s="1"/>
  <c r="B102" i="13" s="1"/>
  <c r="BJ13" i="13"/>
  <c r="BI13" i="13"/>
  <c r="B13" i="13"/>
  <c r="B56" i="13" s="1"/>
  <c r="B101" i="13" s="1"/>
  <c r="BJ12" i="13"/>
  <c r="BI12" i="13"/>
  <c r="B12" i="13"/>
  <c r="BJ11" i="13"/>
  <c r="BI11" i="13"/>
  <c r="B11" i="13"/>
  <c r="B54" i="13" s="1"/>
  <c r="B99" i="13" s="1"/>
  <c r="BI10" i="13"/>
  <c r="B10" i="13"/>
  <c r="B53" i="13" s="1"/>
  <c r="B98" i="13" s="1"/>
  <c r="BJ9" i="13"/>
  <c r="BI9" i="13"/>
  <c r="B9" i="13"/>
  <c r="B52" i="13" s="1"/>
  <c r="B97" i="13" s="1"/>
  <c r="BI8" i="13"/>
  <c r="B8" i="13"/>
  <c r="B51" i="13" s="1"/>
  <c r="B96" i="13" s="1"/>
  <c r="BJ7" i="13"/>
  <c r="BI7" i="13"/>
  <c r="B7" i="13"/>
  <c r="BI6" i="13"/>
  <c r="B6" i="13"/>
  <c r="B49" i="13" s="1"/>
  <c r="B94" i="13" s="1"/>
  <c r="BJ5" i="13"/>
  <c r="BI5" i="13"/>
  <c r="B5" i="13"/>
  <c r="B48" i="13" s="1"/>
  <c r="B93" i="13" s="1"/>
  <c r="BJ4" i="13"/>
  <c r="BI4" i="13"/>
  <c r="B4" i="13"/>
  <c r="BJ3" i="13"/>
  <c r="BI3" i="13"/>
  <c r="B3" i="13"/>
  <c r="B46" i="13" s="1"/>
  <c r="B91" i="13" s="1"/>
  <c r="B7" i="12"/>
  <c r="D6" i="12"/>
  <c r="C6" i="12"/>
  <c r="B6" i="12"/>
  <c r="E6" i="12" s="1"/>
  <c r="B130" i="11"/>
  <c r="C127" i="11"/>
  <c r="E119" i="11"/>
  <c r="D117" i="11"/>
  <c r="B111" i="11"/>
  <c r="A109" i="11"/>
  <c r="D102" i="11"/>
  <c r="C100" i="11"/>
  <c r="A94" i="11"/>
  <c r="E89" i="11"/>
  <c r="B88" i="11"/>
  <c r="D87" i="11"/>
  <c r="A86" i="11"/>
  <c r="C85" i="11"/>
  <c r="E83" i="11"/>
  <c r="C83" i="11"/>
  <c r="E81" i="11"/>
  <c r="B81" i="11"/>
  <c r="D79" i="11"/>
  <c r="A79" i="11"/>
  <c r="D77" i="11"/>
  <c r="B77" i="11"/>
  <c r="E75" i="11"/>
  <c r="C75" i="11"/>
  <c r="A74" i="11"/>
  <c r="D73" i="11"/>
  <c r="B72" i="11"/>
  <c r="D71" i="11"/>
  <c r="C70" i="11"/>
  <c r="E69" i="11"/>
  <c r="D68" i="11"/>
  <c r="B68" i="11"/>
  <c r="A67" i="11"/>
  <c r="D66" i="11"/>
  <c r="C65" i="11"/>
  <c r="A65" i="11"/>
  <c r="E63" i="11"/>
  <c r="C63" i="11"/>
  <c r="B62" i="11"/>
  <c r="E61" i="11"/>
  <c r="D60" i="11"/>
  <c r="B60" i="11"/>
  <c r="A59" i="11"/>
  <c r="D58" i="11"/>
  <c r="C57" i="11"/>
  <c r="A57" i="11"/>
  <c r="E55" i="11"/>
  <c r="C55" i="11"/>
  <c r="B54" i="11"/>
  <c r="E53" i="11"/>
  <c r="D52" i="11"/>
  <c r="B52" i="11"/>
  <c r="A51" i="11"/>
  <c r="D50" i="11"/>
  <c r="D45" i="11"/>
  <c r="B45" i="11"/>
  <c r="A44" i="11"/>
  <c r="D43" i="11"/>
  <c r="C42" i="11"/>
  <c r="A42" i="11"/>
  <c r="E40" i="11"/>
  <c r="C40" i="11"/>
  <c r="B39" i="11"/>
  <c r="E38" i="11"/>
  <c r="D37" i="11"/>
  <c r="B37" i="11"/>
  <c r="A36" i="11"/>
  <c r="D35" i="11"/>
  <c r="C34" i="11"/>
  <c r="A34" i="11"/>
  <c r="E32" i="11"/>
  <c r="C32" i="11"/>
  <c r="B31" i="11"/>
  <c r="E30" i="11"/>
  <c r="D29" i="11"/>
  <c r="B29" i="11"/>
  <c r="A28" i="11"/>
  <c r="D27" i="11"/>
  <c r="C26" i="11"/>
  <c r="A26" i="11"/>
  <c r="E24" i="11"/>
  <c r="C24" i="11"/>
  <c r="B23" i="11"/>
  <c r="E22" i="11"/>
  <c r="D21" i="11"/>
  <c r="B21" i="11"/>
  <c r="A20" i="11"/>
  <c r="D19" i="11"/>
  <c r="C18" i="11"/>
  <c r="A18" i="11"/>
  <c r="E16" i="11"/>
  <c r="C16" i="11"/>
  <c r="B15" i="11"/>
  <c r="E14" i="11"/>
  <c r="D13" i="11"/>
  <c r="B13" i="11"/>
  <c r="A12" i="11"/>
  <c r="D11" i="11"/>
  <c r="C10" i="11"/>
  <c r="E8" i="11"/>
  <c r="C8" i="11"/>
  <c r="E140" i="10"/>
  <c r="D140" i="10"/>
  <c r="C140" i="10"/>
  <c r="B140" i="10"/>
  <c r="A140" i="10"/>
  <c r="A97" i="10"/>
  <c r="E85" i="10"/>
  <c r="C79" i="10"/>
  <c r="E77" i="10"/>
  <c r="A73" i="10"/>
  <c r="A65" i="10"/>
  <c r="D58" i="10"/>
  <c r="B52" i="10"/>
  <c r="D34" i="10"/>
  <c r="B28" i="10"/>
  <c r="D26" i="10"/>
  <c r="D17" i="10"/>
  <c r="B17" i="10"/>
  <c r="D16" i="10"/>
  <c r="B16" i="10"/>
  <c r="B15" i="10"/>
  <c r="B11" i="10"/>
  <c r="B10" i="10"/>
  <c r="B9" i="10"/>
  <c r="B8" i="10"/>
  <c r="O46" i="8"/>
  <c r="M46" i="8"/>
  <c r="G46" i="8"/>
  <c r="E46" i="8"/>
  <c r="S44" i="8"/>
  <c r="R44" i="8"/>
  <c r="Q44" i="8"/>
  <c r="P44" i="8"/>
  <c r="O44" i="8"/>
  <c r="N44" i="8"/>
  <c r="M44" i="8"/>
  <c r="L44" i="8"/>
  <c r="K44" i="8"/>
  <c r="J44" i="8"/>
  <c r="I44" i="8"/>
  <c r="H44" i="8"/>
  <c r="G44" i="8"/>
  <c r="F44" i="8"/>
  <c r="E44" i="8"/>
  <c r="D44" i="8"/>
  <c r="C44" i="8"/>
  <c r="B44" i="8"/>
  <c r="S43" i="8"/>
  <c r="E88" i="11" s="1"/>
  <c r="R43" i="8"/>
  <c r="Q43" i="8"/>
  <c r="P43" i="8"/>
  <c r="O43" i="8"/>
  <c r="N43" i="8"/>
  <c r="M43" i="8"/>
  <c r="L43" i="8"/>
  <c r="K43" i="8"/>
  <c r="J43" i="8"/>
  <c r="I43" i="8"/>
  <c r="H43" i="8"/>
  <c r="G43" i="8"/>
  <c r="F43" i="8"/>
  <c r="E43" i="8"/>
  <c r="D43" i="8"/>
  <c r="C43" i="8"/>
  <c r="B43" i="8"/>
  <c r="G96" i="6" s="1"/>
  <c r="S42" i="8"/>
  <c r="R42" i="8"/>
  <c r="Q42" i="8"/>
  <c r="P42" i="8"/>
  <c r="O42" i="8"/>
  <c r="N42" i="8"/>
  <c r="M42" i="8"/>
  <c r="L42" i="8"/>
  <c r="K42" i="8"/>
  <c r="J42" i="8"/>
  <c r="I42" i="8"/>
  <c r="H42" i="8"/>
  <c r="G42" i="8"/>
  <c r="F42" i="8"/>
  <c r="E42" i="8"/>
  <c r="D42" i="8"/>
  <c r="C42" i="8"/>
  <c r="B42" i="8"/>
  <c r="S41" i="8"/>
  <c r="B86" i="11" s="1"/>
  <c r="R41" i="8"/>
  <c r="Q41" i="8"/>
  <c r="P41" i="8"/>
  <c r="O41" i="8"/>
  <c r="N41" i="8"/>
  <c r="M41" i="8"/>
  <c r="L41" i="8"/>
  <c r="K41" i="8"/>
  <c r="J41" i="8"/>
  <c r="I41" i="8"/>
  <c r="H41" i="8"/>
  <c r="G41" i="8"/>
  <c r="F41" i="8"/>
  <c r="G94" i="6" s="1"/>
  <c r="E41" i="8"/>
  <c r="D41" i="8"/>
  <c r="C41" i="8"/>
  <c r="B41" i="8"/>
  <c r="S40" i="8"/>
  <c r="E85" i="11" s="1"/>
  <c r="R40" i="8"/>
  <c r="Q40" i="8"/>
  <c r="P40" i="8"/>
  <c r="O40" i="8"/>
  <c r="N40" i="8"/>
  <c r="M40" i="8"/>
  <c r="L40" i="8"/>
  <c r="K40" i="8"/>
  <c r="J40" i="8"/>
  <c r="I40" i="8"/>
  <c r="H40" i="8"/>
  <c r="G40" i="8"/>
  <c r="F40" i="8"/>
  <c r="E40" i="8"/>
  <c r="D40" i="8"/>
  <c r="C40" i="8"/>
  <c r="B40" i="8"/>
  <c r="S39" i="8"/>
  <c r="R39" i="8"/>
  <c r="Q39" i="8"/>
  <c r="P39" i="8"/>
  <c r="O39" i="8"/>
  <c r="N39" i="8"/>
  <c r="M39" i="8"/>
  <c r="L39" i="8"/>
  <c r="K39" i="8"/>
  <c r="J39" i="8"/>
  <c r="I39" i="8"/>
  <c r="H39" i="8"/>
  <c r="G39" i="8"/>
  <c r="F39" i="8"/>
  <c r="E39" i="8"/>
  <c r="D39" i="8"/>
  <c r="C39" i="8"/>
  <c r="B39" i="8"/>
  <c r="G92" i="6" s="1"/>
  <c r="S38" i="8"/>
  <c r="A83" i="11" s="1"/>
  <c r="R38" i="8"/>
  <c r="Q38" i="8"/>
  <c r="P38" i="8"/>
  <c r="O38" i="8"/>
  <c r="N38" i="8"/>
  <c r="M38" i="8"/>
  <c r="L38" i="8"/>
  <c r="K38" i="8"/>
  <c r="J38" i="8"/>
  <c r="I38" i="8"/>
  <c r="H38" i="8"/>
  <c r="G38" i="8"/>
  <c r="F38" i="8"/>
  <c r="E38" i="8"/>
  <c r="D38" i="8"/>
  <c r="C38" i="8"/>
  <c r="B38" i="8"/>
  <c r="S37" i="8"/>
  <c r="D82" i="11" s="1"/>
  <c r="R37" i="8"/>
  <c r="Q37" i="8"/>
  <c r="P37" i="8"/>
  <c r="O37" i="8"/>
  <c r="N37" i="8"/>
  <c r="M37" i="8"/>
  <c r="L37" i="8"/>
  <c r="K37" i="8"/>
  <c r="J37" i="8"/>
  <c r="I37" i="8"/>
  <c r="H37" i="8"/>
  <c r="G37" i="8"/>
  <c r="F37" i="8"/>
  <c r="G90" i="6" s="1"/>
  <c r="E37" i="8"/>
  <c r="D37" i="8"/>
  <c r="C37" i="8"/>
  <c r="B37" i="8"/>
  <c r="S36" i="8"/>
  <c r="D81" i="11" s="1"/>
  <c r="R36" i="8"/>
  <c r="Q36" i="8"/>
  <c r="P36" i="8"/>
  <c r="O36" i="8"/>
  <c r="N36" i="8"/>
  <c r="M36" i="8"/>
  <c r="L36" i="8"/>
  <c r="K36" i="8"/>
  <c r="J36" i="8"/>
  <c r="I36" i="8"/>
  <c r="H36" i="8"/>
  <c r="G36" i="8"/>
  <c r="F36" i="8"/>
  <c r="E36" i="8"/>
  <c r="D36" i="8"/>
  <c r="C36" i="8"/>
  <c r="B36" i="8"/>
  <c r="S35" i="8"/>
  <c r="E80" i="11" s="1"/>
  <c r="R35" i="8"/>
  <c r="Q35" i="8"/>
  <c r="P35" i="8"/>
  <c r="O35" i="8"/>
  <c r="N35" i="8"/>
  <c r="M35" i="8"/>
  <c r="L35" i="8"/>
  <c r="K35" i="8"/>
  <c r="J35" i="8"/>
  <c r="I35" i="8"/>
  <c r="H35" i="8"/>
  <c r="G35" i="8"/>
  <c r="F35" i="8"/>
  <c r="E35" i="8"/>
  <c r="D35" i="8"/>
  <c r="C35" i="8"/>
  <c r="B35" i="8"/>
  <c r="G88" i="6" s="1"/>
  <c r="S34" i="8"/>
  <c r="R34" i="8"/>
  <c r="Q34" i="8"/>
  <c r="P34" i="8"/>
  <c r="O34" i="8"/>
  <c r="N34" i="8"/>
  <c r="M34" i="8"/>
  <c r="L34" i="8"/>
  <c r="K34" i="8"/>
  <c r="J34" i="8"/>
  <c r="I34" i="8"/>
  <c r="H34" i="8"/>
  <c r="G34" i="8"/>
  <c r="F34" i="8"/>
  <c r="E34" i="8"/>
  <c r="D34" i="8"/>
  <c r="C34" i="8"/>
  <c r="B34" i="8"/>
  <c r="S33" i="8"/>
  <c r="B78" i="11" s="1"/>
  <c r="R33" i="8"/>
  <c r="Q33" i="8"/>
  <c r="P33" i="8"/>
  <c r="O33" i="8"/>
  <c r="N33" i="8"/>
  <c r="M33" i="8"/>
  <c r="L33" i="8"/>
  <c r="K33" i="8"/>
  <c r="J33" i="8"/>
  <c r="I33" i="8"/>
  <c r="H33" i="8"/>
  <c r="G33" i="8"/>
  <c r="F33" i="8"/>
  <c r="G86" i="6" s="1"/>
  <c r="E33" i="8"/>
  <c r="D33" i="8"/>
  <c r="C33" i="8"/>
  <c r="B33" i="8"/>
  <c r="S32" i="8"/>
  <c r="A77" i="11" s="1"/>
  <c r="R32" i="8"/>
  <c r="Q32" i="8"/>
  <c r="P32" i="8"/>
  <c r="O32" i="8"/>
  <c r="N32" i="8"/>
  <c r="M32" i="8"/>
  <c r="L32" i="8"/>
  <c r="K32" i="8"/>
  <c r="J32" i="8"/>
  <c r="I32" i="8"/>
  <c r="H32" i="8"/>
  <c r="G32" i="8"/>
  <c r="F32" i="8"/>
  <c r="E32" i="8"/>
  <c r="D32" i="8"/>
  <c r="C32" i="8"/>
  <c r="B32" i="8"/>
  <c r="S31" i="8"/>
  <c r="D76" i="11" s="1"/>
  <c r="R31" i="8"/>
  <c r="Q31" i="8"/>
  <c r="P31" i="8"/>
  <c r="O31" i="8"/>
  <c r="N31" i="8"/>
  <c r="M31" i="8"/>
  <c r="L31" i="8"/>
  <c r="K31" i="8"/>
  <c r="J31" i="8"/>
  <c r="I31" i="8"/>
  <c r="H31" i="8"/>
  <c r="G31" i="8"/>
  <c r="F31" i="8"/>
  <c r="E31" i="8"/>
  <c r="D31" i="8"/>
  <c r="C31" i="8"/>
  <c r="B31" i="8"/>
  <c r="G84" i="6" s="1"/>
  <c r="S30" i="8"/>
  <c r="A75" i="11" s="1"/>
  <c r="R30" i="8"/>
  <c r="Q30" i="8"/>
  <c r="P30" i="8"/>
  <c r="O30" i="8"/>
  <c r="N30" i="8"/>
  <c r="M30" i="8"/>
  <c r="L30" i="8"/>
  <c r="K30" i="8"/>
  <c r="J30" i="8"/>
  <c r="I30" i="8"/>
  <c r="H30" i="8"/>
  <c r="G30" i="8"/>
  <c r="F30" i="8"/>
  <c r="E30" i="8"/>
  <c r="D30" i="8"/>
  <c r="C30" i="8"/>
  <c r="B30" i="8"/>
  <c r="S29" i="8"/>
  <c r="E74" i="11" s="1"/>
  <c r="R29" i="8"/>
  <c r="Q29" i="8"/>
  <c r="P29" i="8"/>
  <c r="O29" i="8"/>
  <c r="N29" i="8"/>
  <c r="M29" i="8"/>
  <c r="L29" i="8"/>
  <c r="K29" i="8"/>
  <c r="J29" i="8"/>
  <c r="I29" i="8"/>
  <c r="H29" i="8"/>
  <c r="G29" i="8"/>
  <c r="F29" i="8"/>
  <c r="G82" i="6" s="1"/>
  <c r="E29" i="8"/>
  <c r="D29" i="8"/>
  <c r="C29" i="8"/>
  <c r="B29" i="8"/>
  <c r="S28" i="8"/>
  <c r="C73" i="11" s="1"/>
  <c r="R28" i="8"/>
  <c r="Q28" i="8"/>
  <c r="P28" i="8"/>
  <c r="O28" i="8"/>
  <c r="N28" i="8"/>
  <c r="M28" i="8"/>
  <c r="L28" i="8"/>
  <c r="K28" i="8"/>
  <c r="J28" i="8"/>
  <c r="I28" i="8"/>
  <c r="H28" i="8"/>
  <c r="G28" i="8"/>
  <c r="F28" i="8"/>
  <c r="E28" i="8"/>
  <c r="D28" i="8"/>
  <c r="C28" i="8"/>
  <c r="B28" i="8"/>
  <c r="S27" i="8"/>
  <c r="E72" i="11" s="1"/>
  <c r="R27" i="8"/>
  <c r="Q27" i="8"/>
  <c r="P27" i="8"/>
  <c r="O27" i="8"/>
  <c r="N27" i="8"/>
  <c r="M27" i="8"/>
  <c r="L27" i="8"/>
  <c r="K27" i="8"/>
  <c r="J27" i="8"/>
  <c r="I27" i="8"/>
  <c r="H27" i="8"/>
  <c r="G27" i="8"/>
  <c r="F27" i="8"/>
  <c r="E27" i="8"/>
  <c r="D27" i="8"/>
  <c r="C27" i="8"/>
  <c r="B27" i="8"/>
  <c r="G80" i="6" s="1"/>
  <c r="S26" i="8"/>
  <c r="E71" i="11" s="1"/>
  <c r="R26" i="8"/>
  <c r="Q26" i="8"/>
  <c r="P26" i="8"/>
  <c r="O26" i="8"/>
  <c r="N26" i="8"/>
  <c r="M26" i="8"/>
  <c r="L26" i="8"/>
  <c r="K26" i="8"/>
  <c r="J26" i="8"/>
  <c r="I26" i="8"/>
  <c r="H26" i="8"/>
  <c r="G26" i="8"/>
  <c r="F26" i="8"/>
  <c r="E26" i="8"/>
  <c r="D26" i="8"/>
  <c r="C26" i="8"/>
  <c r="B26" i="8"/>
  <c r="S25" i="8"/>
  <c r="B70" i="11" s="1"/>
  <c r="R25" i="8"/>
  <c r="Q25" i="8"/>
  <c r="P25" i="8"/>
  <c r="O25" i="8"/>
  <c r="N25" i="8"/>
  <c r="M25" i="8"/>
  <c r="L25" i="8"/>
  <c r="K25" i="8"/>
  <c r="J25" i="8"/>
  <c r="I25" i="8"/>
  <c r="H25" i="8"/>
  <c r="G25" i="8"/>
  <c r="F25" i="8"/>
  <c r="G78" i="6" s="1"/>
  <c r="E25" i="8"/>
  <c r="D25" i="8"/>
  <c r="C25" i="8"/>
  <c r="B25" i="8"/>
  <c r="S24" i="8"/>
  <c r="D69" i="11" s="1"/>
  <c r="R24" i="8"/>
  <c r="Q24" i="8"/>
  <c r="P24" i="8"/>
  <c r="O24" i="8"/>
  <c r="N24" i="8"/>
  <c r="M24" i="8"/>
  <c r="L24" i="8"/>
  <c r="K24" i="8"/>
  <c r="J24" i="8"/>
  <c r="I24" i="8"/>
  <c r="H24" i="8"/>
  <c r="G24" i="8"/>
  <c r="F24" i="8"/>
  <c r="E24" i="8"/>
  <c r="D24" i="8"/>
  <c r="C24" i="8"/>
  <c r="B24" i="8"/>
  <c r="S23" i="8"/>
  <c r="A68" i="11" s="1"/>
  <c r="R23" i="8"/>
  <c r="Q23" i="8"/>
  <c r="P23" i="8"/>
  <c r="O23" i="8"/>
  <c r="N23" i="8"/>
  <c r="M23" i="8"/>
  <c r="L23" i="8"/>
  <c r="K23" i="8"/>
  <c r="J23" i="8"/>
  <c r="I23" i="8"/>
  <c r="H23" i="8"/>
  <c r="G23" i="8"/>
  <c r="F23" i="8"/>
  <c r="E23" i="8"/>
  <c r="D23" i="8"/>
  <c r="C23" i="8"/>
  <c r="B23" i="8"/>
  <c r="G76" i="6" s="1"/>
  <c r="S22" i="8"/>
  <c r="E67" i="11" s="1"/>
  <c r="R22" i="8"/>
  <c r="Q22" i="8"/>
  <c r="P22" i="8"/>
  <c r="O22" i="8"/>
  <c r="N22" i="8"/>
  <c r="M22" i="8"/>
  <c r="L22" i="8"/>
  <c r="K22" i="8"/>
  <c r="J22" i="8"/>
  <c r="I22" i="8"/>
  <c r="H22" i="8"/>
  <c r="G22" i="8"/>
  <c r="F22" i="8"/>
  <c r="E22" i="8"/>
  <c r="D22" i="8"/>
  <c r="C22" i="8"/>
  <c r="B22" i="8"/>
  <c r="S21" i="8"/>
  <c r="C66" i="11" s="1"/>
  <c r="R21" i="8"/>
  <c r="Q21" i="8"/>
  <c r="P21" i="8"/>
  <c r="O21" i="8"/>
  <c r="N21" i="8"/>
  <c r="M21" i="8"/>
  <c r="L21" i="8"/>
  <c r="K21" i="8"/>
  <c r="J21" i="8"/>
  <c r="I21" i="8"/>
  <c r="H21" i="8"/>
  <c r="G21" i="8"/>
  <c r="F21" i="8"/>
  <c r="G74" i="6" s="1"/>
  <c r="E21" i="8"/>
  <c r="D21" i="8"/>
  <c r="C21" i="8"/>
  <c r="B21" i="8"/>
  <c r="S20" i="8"/>
  <c r="E65" i="11" s="1"/>
  <c r="R20" i="8"/>
  <c r="Q20" i="8"/>
  <c r="P20" i="8"/>
  <c r="O20" i="8"/>
  <c r="N20" i="8"/>
  <c r="M20" i="8"/>
  <c r="L20" i="8"/>
  <c r="K20" i="8"/>
  <c r="J20" i="8"/>
  <c r="I20" i="8"/>
  <c r="H20" i="8"/>
  <c r="G20" i="8"/>
  <c r="F20" i="8"/>
  <c r="E20" i="8"/>
  <c r="D20" i="8"/>
  <c r="C20" i="8"/>
  <c r="B20" i="8"/>
  <c r="S19" i="8"/>
  <c r="E64" i="11" s="1"/>
  <c r="R19" i="8"/>
  <c r="Q19" i="8"/>
  <c r="P19" i="8"/>
  <c r="O19" i="8"/>
  <c r="N19" i="8"/>
  <c r="M19" i="8"/>
  <c r="L19" i="8"/>
  <c r="K19" i="8"/>
  <c r="J19" i="8"/>
  <c r="I19" i="8"/>
  <c r="H19" i="8"/>
  <c r="G19" i="8"/>
  <c r="F19" i="8"/>
  <c r="E19" i="8"/>
  <c r="D19" i="8"/>
  <c r="C19" i="8"/>
  <c r="B19" i="8"/>
  <c r="G72" i="6" s="1"/>
  <c r="S18" i="8"/>
  <c r="B63" i="11" s="1"/>
  <c r="R18" i="8"/>
  <c r="Q18" i="8"/>
  <c r="P18" i="8"/>
  <c r="O18" i="8"/>
  <c r="N18" i="8"/>
  <c r="M18" i="8"/>
  <c r="L18" i="8"/>
  <c r="K18" i="8"/>
  <c r="J18" i="8"/>
  <c r="I18" i="8"/>
  <c r="H18" i="8"/>
  <c r="G18" i="8"/>
  <c r="F18" i="8"/>
  <c r="E18" i="8"/>
  <c r="D18" i="8"/>
  <c r="C18" i="8"/>
  <c r="B18" i="8"/>
  <c r="C71" i="6" s="1"/>
  <c r="S17" i="8"/>
  <c r="E62" i="11" s="1"/>
  <c r="R17" i="8"/>
  <c r="Q17" i="8"/>
  <c r="P17" i="8"/>
  <c r="O17" i="8"/>
  <c r="N17" i="8"/>
  <c r="M17" i="8"/>
  <c r="L17" i="8"/>
  <c r="K17" i="8"/>
  <c r="J17" i="8"/>
  <c r="I17" i="8"/>
  <c r="H17" i="8"/>
  <c r="G17" i="8"/>
  <c r="F17" i="8"/>
  <c r="G70" i="6" s="1"/>
  <c r="E17" i="8"/>
  <c r="D17" i="8"/>
  <c r="C17" i="8"/>
  <c r="B17" i="8"/>
  <c r="S16" i="8"/>
  <c r="D61" i="11" s="1"/>
  <c r="R16" i="8"/>
  <c r="Q16" i="8"/>
  <c r="P16" i="8"/>
  <c r="O16" i="8"/>
  <c r="N16" i="8"/>
  <c r="M16" i="8"/>
  <c r="L16" i="8"/>
  <c r="K16" i="8"/>
  <c r="J16" i="8"/>
  <c r="I16" i="8"/>
  <c r="H16" i="8"/>
  <c r="G16" i="8"/>
  <c r="F16" i="8"/>
  <c r="G69" i="6" s="1"/>
  <c r="E16" i="8"/>
  <c r="D16" i="8"/>
  <c r="C16" i="8"/>
  <c r="B16" i="8"/>
  <c r="S15" i="8"/>
  <c r="A60" i="11" s="1"/>
  <c r="R15" i="8"/>
  <c r="Q15" i="8"/>
  <c r="P15" i="8"/>
  <c r="O15" i="8"/>
  <c r="N15" i="8"/>
  <c r="M15" i="8"/>
  <c r="L15" i="8"/>
  <c r="K15" i="8"/>
  <c r="J15" i="8"/>
  <c r="I15" i="8"/>
  <c r="H15" i="8"/>
  <c r="G15" i="8"/>
  <c r="F15" i="8"/>
  <c r="E15" i="8"/>
  <c r="D15" i="8"/>
  <c r="C15" i="8"/>
  <c r="B15" i="8"/>
  <c r="G68" i="6" s="1"/>
  <c r="S14" i="8"/>
  <c r="E59" i="11" s="1"/>
  <c r="R14" i="8"/>
  <c r="Q14" i="8"/>
  <c r="P14" i="8"/>
  <c r="O14" i="8"/>
  <c r="N14" i="8"/>
  <c r="M14" i="8"/>
  <c r="L14" i="8"/>
  <c r="K14" i="8"/>
  <c r="J14" i="8"/>
  <c r="I14" i="8"/>
  <c r="H14" i="8"/>
  <c r="G14" i="8"/>
  <c r="F14" i="8"/>
  <c r="E14" i="8"/>
  <c r="D14" i="8"/>
  <c r="C14" i="8"/>
  <c r="B14" i="8"/>
  <c r="C67" i="6" s="1"/>
  <c r="S13" i="8"/>
  <c r="C58" i="11" s="1"/>
  <c r="R13" i="8"/>
  <c r="Q13" i="8"/>
  <c r="P13" i="8"/>
  <c r="O13" i="8"/>
  <c r="N13" i="8"/>
  <c r="M13" i="8"/>
  <c r="L13" i="8"/>
  <c r="K13" i="8"/>
  <c r="J13" i="8"/>
  <c r="I13" i="8"/>
  <c r="H13" i="8"/>
  <c r="G13" i="8"/>
  <c r="F13" i="8"/>
  <c r="G66" i="6" s="1"/>
  <c r="E13" i="8"/>
  <c r="D13" i="8"/>
  <c r="C13" i="8"/>
  <c r="B13" i="8"/>
  <c r="S12" i="8"/>
  <c r="E57" i="11" s="1"/>
  <c r="R12" i="8"/>
  <c r="Q12" i="8"/>
  <c r="P12" i="8"/>
  <c r="O12" i="8"/>
  <c r="N12" i="8"/>
  <c r="M12" i="8"/>
  <c r="L12" i="8"/>
  <c r="K12" i="8"/>
  <c r="J12" i="8"/>
  <c r="I12" i="8"/>
  <c r="H12" i="8"/>
  <c r="G12" i="8"/>
  <c r="F12" i="8"/>
  <c r="G65" i="6" s="1"/>
  <c r="E12" i="8"/>
  <c r="D12" i="8"/>
  <c r="C12" i="8"/>
  <c r="B12" i="8"/>
  <c r="S11" i="8"/>
  <c r="E56" i="11" s="1"/>
  <c r="R11" i="8"/>
  <c r="Q11" i="8"/>
  <c r="P11" i="8"/>
  <c r="O11" i="8"/>
  <c r="N11" i="8"/>
  <c r="M11" i="8"/>
  <c r="L11" i="8"/>
  <c r="K11" i="8"/>
  <c r="J11" i="8"/>
  <c r="I11" i="8"/>
  <c r="H11" i="8"/>
  <c r="G11" i="8"/>
  <c r="F11" i="8"/>
  <c r="E11" i="8"/>
  <c r="D11" i="8"/>
  <c r="C11" i="8"/>
  <c r="B11" i="8"/>
  <c r="G64" i="6" s="1"/>
  <c r="S10" i="8"/>
  <c r="B55" i="11" s="1"/>
  <c r="R10" i="8"/>
  <c r="Q10" i="8"/>
  <c r="P10" i="8"/>
  <c r="O10" i="8"/>
  <c r="N10" i="8"/>
  <c r="M10" i="8"/>
  <c r="L10" i="8"/>
  <c r="K10" i="8"/>
  <c r="J10" i="8"/>
  <c r="I10" i="8"/>
  <c r="H10" i="8"/>
  <c r="G10" i="8"/>
  <c r="F10" i="8"/>
  <c r="E10" i="8"/>
  <c r="D10" i="8"/>
  <c r="C10" i="8"/>
  <c r="B10" i="8"/>
  <c r="C63" i="6" s="1"/>
  <c r="S9" i="8"/>
  <c r="E54" i="11" s="1"/>
  <c r="R9" i="8"/>
  <c r="Q9" i="8"/>
  <c r="P9" i="8"/>
  <c r="O9" i="8"/>
  <c r="N9" i="8"/>
  <c r="M9" i="8"/>
  <c r="L9" i="8"/>
  <c r="K9" i="8"/>
  <c r="J9" i="8"/>
  <c r="I9" i="8"/>
  <c r="H9" i="8"/>
  <c r="G9" i="8"/>
  <c r="F9" i="8"/>
  <c r="G62" i="6" s="1"/>
  <c r="E9" i="8"/>
  <c r="D9" i="8"/>
  <c r="C9" i="8"/>
  <c r="B9" i="8"/>
  <c r="S8" i="8"/>
  <c r="D53" i="11" s="1"/>
  <c r="R8" i="8"/>
  <c r="Q8" i="8"/>
  <c r="P8" i="8"/>
  <c r="O8" i="8"/>
  <c r="N8" i="8"/>
  <c r="M8" i="8"/>
  <c r="L8" i="8"/>
  <c r="K8" i="8"/>
  <c r="J8" i="8"/>
  <c r="I8" i="8"/>
  <c r="H8" i="8"/>
  <c r="G8" i="8"/>
  <c r="F8" i="8"/>
  <c r="G61" i="6" s="1"/>
  <c r="E8" i="8"/>
  <c r="D8" i="8"/>
  <c r="C8" i="8"/>
  <c r="B8" i="8"/>
  <c r="S7" i="8"/>
  <c r="A52" i="11" s="1"/>
  <c r="R7" i="8"/>
  <c r="Q7" i="8"/>
  <c r="P7" i="8"/>
  <c r="O7" i="8"/>
  <c r="N7" i="8"/>
  <c r="M7" i="8"/>
  <c r="L7" i="8"/>
  <c r="K7" i="8"/>
  <c r="J7" i="8"/>
  <c r="I7" i="8"/>
  <c r="H7" i="8"/>
  <c r="G7" i="8"/>
  <c r="F7" i="8"/>
  <c r="E7" i="8"/>
  <c r="D7" i="8"/>
  <c r="C7" i="8"/>
  <c r="B7" i="8"/>
  <c r="G60" i="6" s="1"/>
  <c r="S6" i="8"/>
  <c r="E51" i="11" s="1"/>
  <c r="R6" i="8"/>
  <c r="Q6" i="8"/>
  <c r="P6" i="8"/>
  <c r="O6" i="8"/>
  <c r="N6" i="8"/>
  <c r="M6" i="8"/>
  <c r="L6" i="8"/>
  <c r="K6" i="8"/>
  <c r="J6" i="8"/>
  <c r="I6" i="8"/>
  <c r="H6" i="8"/>
  <c r="G6" i="8"/>
  <c r="F6" i="8"/>
  <c r="E6" i="8"/>
  <c r="D6" i="8"/>
  <c r="C6" i="8"/>
  <c r="B6" i="8"/>
  <c r="C59" i="6" s="1"/>
  <c r="S5" i="8"/>
  <c r="C8" i="12" s="1"/>
  <c r="R5" i="8"/>
  <c r="Q5" i="8"/>
  <c r="Q46" i="8" s="1"/>
  <c r="P5" i="8"/>
  <c r="O5" i="8"/>
  <c r="N5" i="8"/>
  <c r="N46" i="8" s="1"/>
  <c r="M5" i="8"/>
  <c r="L5" i="8"/>
  <c r="K5" i="8"/>
  <c r="K46" i="8" s="1"/>
  <c r="J5" i="8"/>
  <c r="I5" i="8"/>
  <c r="I46" i="8" s="1"/>
  <c r="H5" i="8"/>
  <c r="G5" i="8"/>
  <c r="F5" i="8"/>
  <c r="E5" i="8"/>
  <c r="D5" i="8"/>
  <c r="C5" i="8"/>
  <c r="C46" i="8" s="1"/>
  <c r="B5" i="8"/>
  <c r="M46" i="7"/>
  <c r="E46" i="7"/>
  <c r="S44" i="7"/>
  <c r="A45" i="11" s="1"/>
  <c r="R44" i="7"/>
  <c r="Q44" i="7"/>
  <c r="P44" i="7"/>
  <c r="O44" i="7"/>
  <c r="N44" i="7"/>
  <c r="M44" i="7"/>
  <c r="L44" i="7"/>
  <c r="K44" i="7"/>
  <c r="J44" i="7"/>
  <c r="I44" i="7"/>
  <c r="H44" i="7"/>
  <c r="G44" i="7"/>
  <c r="F44" i="7"/>
  <c r="G57" i="6" s="1"/>
  <c r="E44" i="7"/>
  <c r="D44" i="7"/>
  <c r="C44" i="7"/>
  <c r="B44" i="7"/>
  <c r="S43" i="7"/>
  <c r="E44" i="11" s="1"/>
  <c r="R43" i="7"/>
  <c r="Q43" i="7"/>
  <c r="P43" i="7"/>
  <c r="O43" i="7"/>
  <c r="N43" i="7"/>
  <c r="M43" i="7"/>
  <c r="L43" i="7"/>
  <c r="K43" i="7"/>
  <c r="J43" i="7"/>
  <c r="I43" i="7"/>
  <c r="H43" i="7"/>
  <c r="G43" i="7"/>
  <c r="F43" i="7"/>
  <c r="E43" i="7"/>
  <c r="D43" i="7"/>
  <c r="C43" i="7"/>
  <c r="B43" i="7"/>
  <c r="S42" i="7"/>
  <c r="C43" i="11" s="1"/>
  <c r="R42" i="7"/>
  <c r="Q42" i="7"/>
  <c r="P42" i="7"/>
  <c r="O42" i="7"/>
  <c r="N42" i="7"/>
  <c r="M42" i="7"/>
  <c r="L42" i="7"/>
  <c r="K42" i="7"/>
  <c r="J42" i="7"/>
  <c r="I42" i="7"/>
  <c r="H42" i="7"/>
  <c r="G42" i="7"/>
  <c r="F42" i="7"/>
  <c r="E42" i="7"/>
  <c r="D42" i="7"/>
  <c r="C42" i="7"/>
  <c r="B42" i="7"/>
  <c r="C55" i="6" s="1"/>
  <c r="S41" i="7"/>
  <c r="E42" i="11" s="1"/>
  <c r="R41" i="7"/>
  <c r="Q41" i="7"/>
  <c r="P41" i="7"/>
  <c r="O41" i="7"/>
  <c r="N41" i="7"/>
  <c r="M41" i="7"/>
  <c r="L41" i="7"/>
  <c r="K41" i="7"/>
  <c r="J41" i="7"/>
  <c r="I41" i="7"/>
  <c r="H41" i="7"/>
  <c r="G41" i="7"/>
  <c r="F41" i="7"/>
  <c r="E41" i="7"/>
  <c r="D41" i="7"/>
  <c r="C41" i="7"/>
  <c r="B41" i="7"/>
  <c r="S40" i="7"/>
  <c r="E41" i="11" s="1"/>
  <c r="R40" i="7"/>
  <c r="Q40" i="7"/>
  <c r="P40" i="7"/>
  <c r="O40" i="7"/>
  <c r="N40" i="7"/>
  <c r="M40" i="7"/>
  <c r="L40" i="7"/>
  <c r="K40" i="7"/>
  <c r="J40" i="7"/>
  <c r="I40" i="7"/>
  <c r="H40" i="7"/>
  <c r="G40" i="7"/>
  <c r="F40" i="7"/>
  <c r="G53" i="6" s="1"/>
  <c r="E40" i="7"/>
  <c r="D40" i="7"/>
  <c r="C40" i="7"/>
  <c r="B40" i="7"/>
  <c r="S39" i="7"/>
  <c r="B40" i="11" s="1"/>
  <c r="R39" i="7"/>
  <c r="Q39" i="7"/>
  <c r="P39" i="7"/>
  <c r="O39" i="7"/>
  <c r="N39" i="7"/>
  <c r="M39" i="7"/>
  <c r="L39" i="7"/>
  <c r="K39" i="7"/>
  <c r="J39" i="7"/>
  <c r="I39" i="7"/>
  <c r="H39" i="7"/>
  <c r="G39" i="7"/>
  <c r="F39" i="7"/>
  <c r="E39" i="7"/>
  <c r="D39" i="7"/>
  <c r="C39" i="7"/>
  <c r="B39" i="7"/>
  <c r="S38" i="7"/>
  <c r="E39" i="11" s="1"/>
  <c r="R38" i="7"/>
  <c r="Q38" i="7"/>
  <c r="P38" i="7"/>
  <c r="O38" i="7"/>
  <c r="N38" i="7"/>
  <c r="M38" i="7"/>
  <c r="L38" i="7"/>
  <c r="K38" i="7"/>
  <c r="J38" i="7"/>
  <c r="I38" i="7"/>
  <c r="H38" i="7"/>
  <c r="G38" i="7"/>
  <c r="F38" i="7"/>
  <c r="E38" i="7"/>
  <c r="D38" i="7"/>
  <c r="C38" i="7"/>
  <c r="B38" i="7"/>
  <c r="C51" i="6" s="1"/>
  <c r="S37" i="7"/>
  <c r="D38" i="11" s="1"/>
  <c r="R37" i="7"/>
  <c r="Q37" i="7"/>
  <c r="P37" i="7"/>
  <c r="O37" i="7"/>
  <c r="N37" i="7"/>
  <c r="M37" i="7"/>
  <c r="L37" i="7"/>
  <c r="K37" i="7"/>
  <c r="J37" i="7"/>
  <c r="I37" i="7"/>
  <c r="H37" i="7"/>
  <c r="G37" i="7"/>
  <c r="F37" i="7"/>
  <c r="E37" i="7"/>
  <c r="D37" i="7"/>
  <c r="C37" i="7"/>
  <c r="B37" i="7"/>
  <c r="S36" i="7"/>
  <c r="A37" i="11" s="1"/>
  <c r="R36" i="7"/>
  <c r="Q36" i="7"/>
  <c r="P36" i="7"/>
  <c r="O36" i="7"/>
  <c r="N36" i="7"/>
  <c r="M36" i="7"/>
  <c r="L36" i="7"/>
  <c r="K36" i="7"/>
  <c r="J36" i="7"/>
  <c r="I36" i="7"/>
  <c r="H36" i="7"/>
  <c r="G36" i="7"/>
  <c r="F36" i="7"/>
  <c r="G49" i="6" s="1"/>
  <c r="E36" i="7"/>
  <c r="D36" i="7"/>
  <c r="C36" i="7"/>
  <c r="B36" i="7"/>
  <c r="S35" i="7"/>
  <c r="E36" i="11" s="1"/>
  <c r="R35" i="7"/>
  <c r="Q35" i="7"/>
  <c r="P35" i="7"/>
  <c r="O35" i="7"/>
  <c r="N35" i="7"/>
  <c r="M35" i="7"/>
  <c r="L35" i="7"/>
  <c r="K35" i="7"/>
  <c r="J35" i="7"/>
  <c r="I35" i="7"/>
  <c r="H35" i="7"/>
  <c r="G35" i="7"/>
  <c r="F35" i="7"/>
  <c r="E35" i="7"/>
  <c r="D35" i="7"/>
  <c r="C35" i="7"/>
  <c r="B35" i="7"/>
  <c r="S34" i="7"/>
  <c r="C35" i="11" s="1"/>
  <c r="R34" i="7"/>
  <c r="Q34" i="7"/>
  <c r="P34" i="7"/>
  <c r="O34" i="7"/>
  <c r="N34" i="7"/>
  <c r="M34" i="7"/>
  <c r="L34" i="7"/>
  <c r="K34" i="7"/>
  <c r="J34" i="7"/>
  <c r="I34" i="7"/>
  <c r="H34" i="7"/>
  <c r="G34" i="7"/>
  <c r="F34" i="7"/>
  <c r="E34" i="7"/>
  <c r="D34" i="7"/>
  <c r="C34" i="7"/>
  <c r="B34" i="7"/>
  <c r="C47" i="6" s="1"/>
  <c r="S33" i="7"/>
  <c r="E34" i="11" s="1"/>
  <c r="R33" i="7"/>
  <c r="Q33" i="7"/>
  <c r="P33" i="7"/>
  <c r="O33" i="7"/>
  <c r="N33" i="7"/>
  <c r="M33" i="7"/>
  <c r="L33" i="7"/>
  <c r="K33" i="7"/>
  <c r="J33" i="7"/>
  <c r="I33" i="7"/>
  <c r="H33" i="7"/>
  <c r="G33" i="7"/>
  <c r="F33" i="7"/>
  <c r="E33" i="7"/>
  <c r="D33" i="7"/>
  <c r="C33" i="7"/>
  <c r="B33" i="7"/>
  <c r="S32" i="7"/>
  <c r="E33" i="11" s="1"/>
  <c r="R32" i="7"/>
  <c r="Q32" i="7"/>
  <c r="P32" i="7"/>
  <c r="O32" i="7"/>
  <c r="N32" i="7"/>
  <c r="M32" i="7"/>
  <c r="L32" i="7"/>
  <c r="K32" i="7"/>
  <c r="J32" i="7"/>
  <c r="I32" i="7"/>
  <c r="H32" i="7"/>
  <c r="G32" i="7"/>
  <c r="F32" i="7"/>
  <c r="G45" i="6" s="1"/>
  <c r="E32" i="7"/>
  <c r="D32" i="7"/>
  <c r="C32" i="7"/>
  <c r="B32" i="7"/>
  <c r="S31" i="7"/>
  <c r="B32" i="11" s="1"/>
  <c r="R31" i="7"/>
  <c r="Q31" i="7"/>
  <c r="P31" i="7"/>
  <c r="O31" i="7"/>
  <c r="N31" i="7"/>
  <c r="M31" i="7"/>
  <c r="L31" i="7"/>
  <c r="K31" i="7"/>
  <c r="J31" i="7"/>
  <c r="I31" i="7"/>
  <c r="H31" i="7"/>
  <c r="G31" i="7"/>
  <c r="F31" i="7"/>
  <c r="E31" i="7"/>
  <c r="D31" i="7"/>
  <c r="C31" i="7"/>
  <c r="B31" i="7"/>
  <c r="S30" i="7"/>
  <c r="E31" i="11" s="1"/>
  <c r="R30" i="7"/>
  <c r="Q30" i="7"/>
  <c r="P30" i="7"/>
  <c r="O30" i="7"/>
  <c r="N30" i="7"/>
  <c r="M30" i="7"/>
  <c r="L30" i="7"/>
  <c r="K30" i="7"/>
  <c r="J30" i="7"/>
  <c r="I30" i="7"/>
  <c r="H30" i="7"/>
  <c r="G30" i="7"/>
  <c r="F30" i="7"/>
  <c r="E30" i="7"/>
  <c r="D30" i="7"/>
  <c r="C30" i="7"/>
  <c r="B30" i="7"/>
  <c r="C43" i="6" s="1"/>
  <c r="S29" i="7"/>
  <c r="D30" i="11" s="1"/>
  <c r="R29" i="7"/>
  <c r="Q29" i="7"/>
  <c r="P29" i="7"/>
  <c r="O29" i="7"/>
  <c r="N29" i="7"/>
  <c r="M29" i="7"/>
  <c r="L29" i="7"/>
  <c r="K29" i="7"/>
  <c r="J29" i="7"/>
  <c r="I29" i="7"/>
  <c r="H29" i="7"/>
  <c r="G29" i="7"/>
  <c r="F29" i="7"/>
  <c r="E29" i="7"/>
  <c r="D29" i="7"/>
  <c r="C29" i="7"/>
  <c r="B29" i="7"/>
  <c r="S28" i="7"/>
  <c r="A29" i="11" s="1"/>
  <c r="R28" i="7"/>
  <c r="Q28" i="7"/>
  <c r="P28" i="7"/>
  <c r="O28" i="7"/>
  <c r="N28" i="7"/>
  <c r="M28" i="7"/>
  <c r="L28" i="7"/>
  <c r="K28" i="7"/>
  <c r="J28" i="7"/>
  <c r="I28" i="7"/>
  <c r="H28" i="7"/>
  <c r="G28" i="7"/>
  <c r="F28" i="7"/>
  <c r="G41" i="6" s="1"/>
  <c r="E28" i="7"/>
  <c r="D28" i="7"/>
  <c r="C28" i="7"/>
  <c r="B28" i="7"/>
  <c r="S27" i="7"/>
  <c r="E28" i="11" s="1"/>
  <c r="R27" i="7"/>
  <c r="Q27" i="7"/>
  <c r="P27" i="7"/>
  <c r="O27" i="7"/>
  <c r="N27" i="7"/>
  <c r="M27" i="7"/>
  <c r="L27" i="7"/>
  <c r="K27" i="7"/>
  <c r="J27" i="7"/>
  <c r="I27" i="7"/>
  <c r="H27" i="7"/>
  <c r="G27" i="7"/>
  <c r="F27" i="7"/>
  <c r="E27" i="7"/>
  <c r="D27" i="7"/>
  <c r="C27" i="7"/>
  <c r="B27" i="7"/>
  <c r="S26" i="7"/>
  <c r="C27" i="11" s="1"/>
  <c r="R26" i="7"/>
  <c r="Q26" i="7"/>
  <c r="P26" i="7"/>
  <c r="O26" i="7"/>
  <c r="N26" i="7"/>
  <c r="M26" i="7"/>
  <c r="L26" i="7"/>
  <c r="K26" i="7"/>
  <c r="J26" i="7"/>
  <c r="I26" i="7"/>
  <c r="H26" i="7"/>
  <c r="G26" i="7"/>
  <c r="F26" i="7"/>
  <c r="E26" i="7"/>
  <c r="D26" i="7"/>
  <c r="C26" i="7"/>
  <c r="B26" i="7"/>
  <c r="C39" i="6" s="1"/>
  <c r="S25" i="7"/>
  <c r="E26" i="11" s="1"/>
  <c r="R25" i="7"/>
  <c r="Q25" i="7"/>
  <c r="P25" i="7"/>
  <c r="O25" i="7"/>
  <c r="N25" i="7"/>
  <c r="M25" i="7"/>
  <c r="L25" i="7"/>
  <c r="K25" i="7"/>
  <c r="J25" i="7"/>
  <c r="I25" i="7"/>
  <c r="H25" i="7"/>
  <c r="G25" i="7"/>
  <c r="F25" i="7"/>
  <c r="E25" i="7"/>
  <c r="D25" i="7"/>
  <c r="C25" i="7"/>
  <c r="B25" i="7"/>
  <c r="S24" i="7"/>
  <c r="E25" i="11" s="1"/>
  <c r="R24" i="7"/>
  <c r="Q24" i="7"/>
  <c r="P24" i="7"/>
  <c r="O24" i="7"/>
  <c r="N24" i="7"/>
  <c r="M24" i="7"/>
  <c r="L24" i="7"/>
  <c r="K24" i="7"/>
  <c r="J24" i="7"/>
  <c r="I24" i="7"/>
  <c r="H24" i="7"/>
  <c r="G24" i="7"/>
  <c r="F24" i="7"/>
  <c r="G37" i="6" s="1"/>
  <c r="E24" i="7"/>
  <c r="D24" i="7"/>
  <c r="C24" i="7"/>
  <c r="B24" i="7"/>
  <c r="S23" i="7"/>
  <c r="B24" i="11" s="1"/>
  <c r="R23" i="7"/>
  <c r="Q23" i="7"/>
  <c r="P23" i="7"/>
  <c r="O23" i="7"/>
  <c r="N23" i="7"/>
  <c r="M23" i="7"/>
  <c r="L23" i="7"/>
  <c r="K23" i="7"/>
  <c r="J23" i="7"/>
  <c r="I23" i="7"/>
  <c r="H23" i="7"/>
  <c r="G23" i="7"/>
  <c r="F23" i="7"/>
  <c r="E23" i="7"/>
  <c r="D23" i="7"/>
  <c r="C23" i="7"/>
  <c r="B23" i="7"/>
  <c r="S22" i="7"/>
  <c r="E23" i="11" s="1"/>
  <c r="R22" i="7"/>
  <c r="Q22" i="7"/>
  <c r="P22" i="7"/>
  <c r="O22" i="7"/>
  <c r="N22" i="7"/>
  <c r="M22" i="7"/>
  <c r="L22" i="7"/>
  <c r="K22" i="7"/>
  <c r="J22" i="7"/>
  <c r="I22" i="7"/>
  <c r="H22" i="7"/>
  <c r="G22" i="7"/>
  <c r="F22" i="7"/>
  <c r="E22" i="7"/>
  <c r="D22" i="7"/>
  <c r="C22" i="7"/>
  <c r="B22" i="7"/>
  <c r="C35" i="6" s="1"/>
  <c r="S21" i="7"/>
  <c r="D22" i="11" s="1"/>
  <c r="R21" i="7"/>
  <c r="Q21" i="7"/>
  <c r="P21" i="7"/>
  <c r="O21" i="7"/>
  <c r="N21" i="7"/>
  <c r="M21" i="7"/>
  <c r="L21" i="7"/>
  <c r="K21" i="7"/>
  <c r="J21" i="7"/>
  <c r="I21" i="7"/>
  <c r="H21" i="7"/>
  <c r="G21" i="7"/>
  <c r="F21" i="7"/>
  <c r="E21" i="7"/>
  <c r="D21" i="7"/>
  <c r="C21" i="7"/>
  <c r="B21" i="7"/>
  <c r="S20" i="7"/>
  <c r="A21" i="11" s="1"/>
  <c r="R20" i="7"/>
  <c r="Q20" i="7"/>
  <c r="P20" i="7"/>
  <c r="O20" i="7"/>
  <c r="N20" i="7"/>
  <c r="M20" i="7"/>
  <c r="L20" i="7"/>
  <c r="K20" i="7"/>
  <c r="J20" i="7"/>
  <c r="I20" i="7"/>
  <c r="H20" i="7"/>
  <c r="G20" i="7"/>
  <c r="F20" i="7"/>
  <c r="G33" i="6" s="1"/>
  <c r="E20" i="7"/>
  <c r="D20" i="7"/>
  <c r="C20" i="7"/>
  <c r="B20" i="7"/>
  <c r="S19" i="7"/>
  <c r="E20" i="11" s="1"/>
  <c r="R19" i="7"/>
  <c r="Q19" i="7"/>
  <c r="P19" i="7"/>
  <c r="O19" i="7"/>
  <c r="N19" i="7"/>
  <c r="M19" i="7"/>
  <c r="L19" i="7"/>
  <c r="K19" i="7"/>
  <c r="J19" i="7"/>
  <c r="I19" i="7"/>
  <c r="H19" i="7"/>
  <c r="G19" i="7"/>
  <c r="F19" i="7"/>
  <c r="E19" i="7"/>
  <c r="D19" i="7"/>
  <c r="C19" i="7"/>
  <c r="B19" i="7"/>
  <c r="S18" i="7"/>
  <c r="C19" i="11" s="1"/>
  <c r="R18" i="7"/>
  <c r="Q18" i="7"/>
  <c r="P18" i="7"/>
  <c r="O18" i="7"/>
  <c r="N18" i="7"/>
  <c r="M18" i="7"/>
  <c r="L18" i="7"/>
  <c r="K18" i="7"/>
  <c r="J18" i="7"/>
  <c r="I18" i="7"/>
  <c r="H18" i="7"/>
  <c r="G18" i="7"/>
  <c r="F18" i="7"/>
  <c r="E18" i="7"/>
  <c r="D18" i="7"/>
  <c r="C18" i="7"/>
  <c r="B18" i="7"/>
  <c r="C31" i="6" s="1"/>
  <c r="S17" i="7"/>
  <c r="E18" i="11" s="1"/>
  <c r="R17" i="7"/>
  <c r="Q17" i="7"/>
  <c r="P17" i="7"/>
  <c r="O17" i="7"/>
  <c r="N17" i="7"/>
  <c r="M17" i="7"/>
  <c r="L17" i="7"/>
  <c r="K17" i="7"/>
  <c r="J17" i="7"/>
  <c r="I17" i="7"/>
  <c r="H17" i="7"/>
  <c r="G17" i="7"/>
  <c r="F17" i="7"/>
  <c r="E17" i="7"/>
  <c r="D17" i="7"/>
  <c r="C17" i="7"/>
  <c r="B17" i="7"/>
  <c r="S16" i="7"/>
  <c r="E17" i="11" s="1"/>
  <c r="R16" i="7"/>
  <c r="Q16" i="7"/>
  <c r="P16" i="7"/>
  <c r="O16" i="7"/>
  <c r="N16" i="7"/>
  <c r="M16" i="7"/>
  <c r="L16" i="7"/>
  <c r="K16" i="7"/>
  <c r="J16" i="7"/>
  <c r="I16" i="7"/>
  <c r="H16" i="7"/>
  <c r="G16" i="7"/>
  <c r="F16" i="7"/>
  <c r="G29" i="6" s="1"/>
  <c r="E16" i="7"/>
  <c r="D16" i="7"/>
  <c r="C16" i="7"/>
  <c r="B16" i="7"/>
  <c r="S15" i="7"/>
  <c r="B16" i="11" s="1"/>
  <c r="R15" i="7"/>
  <c r="Q15" i="7"/>
  <c r="P15" i="7"/>
  <c r="O15" i="7"/>
  <c r="N15" i="7"/>
  <c r="M15" i="7"/>
  <c r="L15" i="7"/>
  <c r="K15" i="7"/>
  <c r="J15" i="7"/>
  <c r="I15" i="7"/>
  <c r="H15" i="7"/>
  <c r="G15" i="7"/>
  <c r="F15" i="7"/>
  <c r="E15" i="7"/>
  <c r="D15" i="7"/>
  <c r="C15" i="7"/>
  <c r="B15" i="7"/>
  <c r="S14" i="7"/>
  <c r="E15" i="11" s="1"/>
  <c r="R14" i="7"/>
  <c r="Q14" i="7"/>
  <c r="P14" i="7"/>
  <c r="O14" i="7"/>
  <c r="N14" i="7"/>
  <c r="M14" i="7"/>
  <c r="L14" i="7"/>
  <c r="K14" i="7"/>
  <c r="J14" i="7"/>
  <c r="I14" i="7"/>
  <c r="H14" i="7"/>
  <c r="G14" i="7"/>
  <c r="F14" i="7"/>
  <c r="E14" i="7"/>
  <c r="D14" i="7"/>
  <c r="C14" i="7"/>
  <c r="B14" i="7"/>
  <c r="C27" i="6" s="1"/>
  <c r="S13" i="7"/>
  <c r="D14" i="11" s="1"/>
  <c r="R13" i="7"/>
  <c r="Q13" i="7"/>
  <c r="P13" i="7"/>
  <c r="O13" i="7"/>
  <c r="N13" i="7"/>
  <c r="M13" i="7"/>
  <c r="L13" i="7"/>
  <c r="K13" i="7"/>
  <c r="J13" i="7"/>
  <c r="I13" i="7"/>
  <c r="H13" i="7"/>
  <c r="G13" i="7"/>
  <c r="F13" i="7"/>
  <c r="E13" i="7"/>
  <c r="D13" i="7"/>
  <c r="C13" i="7"/>
  <c r="B13" i="7"/>
  <c r="S12" i="7"/>
  <c r="A13" i="11" s="1"/>
  <c r="R12" i="7"/>
  <c r="Q12" i="7"/>
  <c r="P12" i="7"/>
  <c r="O12" i="7"/>
  <c r="N12" i="7"/>
  <c r="M12" i="7"/>
  <c r="L12" i="7"/>
  <c r="K12" i="7"/>
  <c r="J12" i="7"/>
  <c r="I12" i="7"/>
  <c r="H12" i="7"/>
  <c r="G12" i="7"/>
  <c r="F12" i="7"/>
  <c r="G25" i="6" s="1"/>
  <c r="E12" i="7"/>
  <c r="D12" i="7"/>
  <c r="C12" i="7"/>
  <c r="B12" i="7"/>
  <c r="S11" i="7"/>
  <c r="E12" i="11" s="1"/>
  <c r="R11" i="7"/>
  <c r="Q11" i="7"/>
  <c r="P11" i="7"/>
  <c r="O11" i="7"/>
  <c r="N11" i="7"/>
  <c r="M11" i="7"/>
  <c r="L11" i="7"/>
  <c r="K11" i="7"/>
  <c r="J11" i="7"/>
  <c r="I11" i="7"/>
  <c r="H11" i="7"/>
  <c r="G11" i="7"/>
  <c r="F11" i="7"/>
  <c r="E11" i="7"/>
  <c r="D11" i="7"/>
  <c r="C11" i="7"/>
  <c r="B11" i="7"/>
  <c r="S10" i="7"/>
  <c r="C11" i="11" s="1"/>
  <c r="R10" i="7"/>
  <c r="Q10" i="7"/>
  <c r="P10" i="7"/>
  <c r="O10" i="7"/>
  <c r="N10" i="7"/>
  <c r="M10" i="7"/>
  <c r="L10" i="7"/>
  <c r="K10" i="7"/>
  <c r="J10" i="7"/>
  <c r="I10" i="7"/>
  <c r="H10" i="7"/>
  <c r="G10" i="7"/>
  <c r="F10" i="7"/>
  <c r="E10" i="7"/>
  <c r="D10" i="7"/>
  <c r="C10" i="7"/>
  <c r="B10" i="7"/>
  <c r="C23" i="6" s="1"/>
  <c r="S9" i="7"/>
  <c r="R9" i="7"/>
  <c r="Q9" i="7"/>
  <c r="P9" i="7"/>
  <c r="O9" i="7"/>
  <c r="N9" i="7"/>
  <c r="M9" i="7"/>
  <c r="L9" i="7"/>
  <c r="K9" i="7"/>
  <c r="J9" i="7"/>
  <c r="I9" i="7"/>
  <c r="H9" i="7"/>
  <c r="G9" i="7"/>
  <c r="F9" i="7"/>
  <c r="E9" i="7"/>
  <c r="D9" i="7"/>
  <c r="C9" i="7"/>
  <c r="B9" i="7"/>
  <c r="S8" i="7"/>
  <c r="R8" i="7"/>
  <c r="Q8" i="7"/>
  <c r="P8" i="7"/>
  <c r="O8" i="7"/>
  <c r="N8" i="7"/>
  <c r="M8" i="7"/>
  <c r="L8" i="7"/>
  <c r="K8" i="7"/>
  <c r="J8" i="7"/>
  <c r="I8" i="7"/>
  <c r="H8" i="7"/>
  <c r="G8" i="7"/>
  <c r="F8" i="7"/>
  <c r="B10" i="12" s="1"/>
  <c r="E8" i="7"/>
  <c r="D8" i="7"/>
  <c r="C8" i="7"/>
  <c r="B8" i="7"/>
  <c r="S7" i="7"/>
  <c r="B8" i="11" s="1"/>
  <c r="R7" i="7"/>
  <c r="Q7" i="7"/>
  <c r="P7" i="7"/>
  <c r="O7" i="7"/>
  <c r="N7" i="7"/>
  <c r="M7" i="7"/>
  <c r="L7" i="7"/>
  <c r="K7" i="7"/>
  <c r="J7" i="7"/>
  <c r="I7" i="7"/>
  <c r="H7" i="7"/>
  <c r="G7" i="7"/>
  <c r="G46" i="7" s="1"/>
  <c r="F7" i="7"/>
  <c r="E7" i="7"/>
  <c r="D7" i="7"/>
  <c r="C7" i="7"/>
  <c r="B7" i="7"/>
  <c r="S6" i="7"/>
  <c r="R6" i="7"/>
  <c r="Q6" i="7"/>
  <c r="P6" i="7"/>
  <c r="O6" i="7"/>
  <c r="O46" i="7" s="1"/>
  <c r="N6" i="7"/>
  <c r="M6" i="7"/>
  <c r="L6" i="7"/>
  <c r="K6" i="7"/>
  <c r="J6" i="7"/>
  <c r="I6" i="7"/>
  <c r="H6" i="7"/>
  <c r="G6" i="7"/>
  <c r="F6" i="7"/>
  <c r="E6" i="7"/>
  <c r="D6" i="7"/>
  <c r="C6" i="7"/>
  <c r="B6" i="7"/>
  <c r="C19" i="6" s="1"/>
  <c r="S5" i="7"/>
  <c r="R5" i="7"/>
  <c r="G15" i="10" s="1"/>
  <c r="Q5" i="7"/>
  <c r="P5" i="7"/>
  <c r="O5" i="7"/>
  <c r="N5" i="7"/>
  <c r="M5" i="7"/>
  <c r="L5" i="7"/>
  <c r="L46" i="7" s="1"/>
  <c r="K5" i="7"/>
  <c r="K46" i="7" s="1"/>
  <c r="J5" i="7"/>
  <c r="J46" i="7" s="1"/>
  <c r="I5" i="7"/>
  <c r="H5" i="7"/>
  <c r="G5" i="7"/>
  <c r="F5" i="7"/>
  <c r="E5" i="7"/>
  <c r="D5" i="7"/>
  <c r="D46" i="7" s="1"/>
  <c r="C5" i="7"/>
  <c r="C46" i="7" s="1"/>
  <c r="B5" i="7"/>
  <c r="B137" i="6"/>
  <c r="D136" i="6"/>
  <c r="B136" i="6"/>
  <c r="B135" i="6"/>
  <c r="B134" i="6"/>
  <c r="B133" i="6"/>
  <c r="B132" i="6"/>
  <c r="C131" i="6"/>
  <c r="E131" i="6" s="1"/>
  <c r="B131" i="6"/>
  <c r="B130" i="6"/>
  <c r="B129" i="6"/>
  <c r="B128" i="6"/>
  <c r="B127" i="6"/>
  <c r="C126" i="6"/>
  <c r="E126" i="6" s="1"/>
  <c r="B126" i="6"/>
  <c r="B125" i="6"/>
  <c r="E124" i="6"/>
  <c r="B124" i="6"/>
  <c r="C123" i="6"/>
  <c r="F123" i="6" s="1"/>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G97" i="6"/>
  <c r="A99" i="10" s="1"/>
  <c r="F97" i="6"/>
  <c r="D97" i="6"/>
  <c r="C97" i="6"/>
  <c r="E97" i="6" s="1"/>
  <c r="B97" i="6"/>
  <c r="B96" i="6"/>
  <c r="G95" i="6"/>
  <c r="F95" i="6"/>
  <c r="E95" i="6"/>
  <c r="D95" i="6"/>
  <c r="C95" i="6"/>
  <c r="B95" i="6"/>
  <c r="F94" i="6"/>
  <c r="E94" i="6"/>
  <c r="D94" i="6"/>
  <c r="C94" i="6"/>
  <c r="B94" i="6"/>
  <c r="G93" i="6"/>
  <c r="D93" i="6"/>
  <c r="C93" i="6"/>
  <c r="F93" i="6" s="1"/>
  <c r="B93" i="6"/>
  <c r="B92" i="6"/>
  <c r="G91" i="6"/>
  <c r="F91" i="6"/>
  <c r="E91" i="6"/>
  <c r="D91" i="6"/>
  <c r="C91" i="6"/>
  <c r="B91" i="6"/>
  <c r="F90" i="6"/>
  <c r="E90" i="6"/>
  <c r="D90" i="6"/>
  <c r="C90" i="6"/>
  <c r="B90" i="6"/>
  <c r="G89" i="6"/>
  <c r="A91" i="10" s="1"/>
  <c r="D89" i="6"/>
  <c r="C89" i="6"/>
  <c r="F89" i="6" s="1"/>
  <c r="B89" i="6"/>
  <c r="B88" i="6"/>
  <c r="G87" i="6"/>
  <c r="F87" i="6"/>
  <c r="E87" i="6"/>
  <c r="D87" i="6"/>
  <c r="C87" i="6"/>
  <c r="B87" i="6"/>
  <c r="F86" i="6"/>
  <c r="E86" i="6"/>
  <c r="D86" i="6"/>
  <c r="C86" i="6"/>
  <c r="B86" i="6"/>
  <c r="G85" i="6"/>
  <c r="C87" i="10" s="1"/>
  <c r="D85" i="6"/>
  <c r="C85" i="6"/>
  <c r="F85" i="6" s="1"/>
  <c r="B85" i="6"/>
  <c r="B84" i="6"/>
  <c r="G83" i="6"/>
  <c r="F83" i="6"/>
  <c r="E83" i="6"/>
  <c r="D83" i="6"/>
  <c r="C83" i="6"/>
  <c r="B83" i="6"/>
  <c r="F82" i="6"/>
  <c r="E82" i="6"/>
  <c r="D82" i="6"/>
  <c r="C82" i="6"/>
  <c r="B82" i="6"/>
  <c r="G81" i="6"/>
  <c r="D81" i="6"/>
  <c r="C81" i="6"/>
  <c r="F81" i="6" s="1"/>
  <c r="B81" i="6"/>
  <c r="B80" i="6"/>
  <c r="G79" i="6"/>
  <c r="F79" i="6"/>
  <c r="E79" i="6"/>
  <c r="D79" i="6"/>
  <c r="C79" i="6"/>
  <c r="B79" i="6"/>
  <c r="F78" i="6"/>
  <c r="E78" i="6"/>
  <c r="D78" i="6"/>
  <c r="C78" i="6"/>
  <c r="B78" i="6"/>
  <c r="G77" i="6"/>
  <c r="E79" i="10" s="1"/>
  <c r="D77" i="6"/>
  <c r="C77" i="6"/>
  <c r="F77" i="6" s="1"/>
  <c r="B77" i="6"/>
  <c r="B76" i="6"/>
  <c r="G75" i="6"/>
  <c r="F75" i="6"/>
  <c r="E75" i="6"/>
  <c r="D75" i="6"/>
  <c r="C75" i="6"/>
  <c r="B75" i="6"/>
  <c r="F74" i="6"/>
  <c r="E74" i="6"/>
  <c r="D74" i="6"/>
  <c r="C74" i="6"/>
  <c r="B74" i="6"/>
  <c r="G73" i="6"/>
  <c r="D73" i="6"/>
  <c r="C73" i="6"/>
  <c r="F73" i="6" s="1"/>
  <c r="B73" i="6"/>
  <c r="B72" i="6"/>
  <c r="G71" i="6"/>
  <c r="B71" i="6"/>
  <c r="F70" i="6"/>
  <c r="E70" i="6"/>
  <c r="D70" i="6"/>
  <c r="C70" i="6"/>
  <c r="B70" i="6"/>
  <c r="D69" i="6"/>
  <c r="C69" i="6"/>
  <c r="F69" i="6" s="1"/>
  <c r="B69" i="6"/>
  <c r="B68" i="6"/>
  <c r="G67" i="6"/>
  <c r="B67" i="6"/>
  <c r="F66" i="6"/>
  <c r="E66" i="6"/>
  <c r="D66" i="6"/>
  <c r="C66" i="6"/>
  <c r="B66" i="6"/>
  <c r="D65" i="6"/>
  <c r="C65" i="6"/>
  <c r="F65" i="6" s="1"/>
  <c r="B65" i="6"/>
  <c r="B64" i="6"/>
  <c r="G63" i="6"/>
  <c r="B63" i="6"/>
  <c r="F62" i="6"/>
  <c r="E62" i="6"/>
  <c r="D62" i="6"/>
  <c r="C62" i="6"/>
  <c r="B62" i="6"/>
  <c r="D61" i="6"/>
  <c r="C61" i="6"/>
  <c r="F61" i="6" s="1"/>
  <c r="B61" i="6"/>
  <c r="B60" i="6"/>
  <c r="G59" i="6"/>
  <c r="B59" i="6"/>
  <c r="F58" i="6"/>
  <c r="E58" i="6"/>
  <c r="D58" i="6"/>
  <c r="C58" i="6"/>
  <c r="B58" i="6"/>
  <c r="D57" i="6"/>
  <c r="C57" i="6"/>
  <c r="F57" i="6" s="1"/>
  <c r="B57" i="6"/>
  <c r="G56" i="6"/>
  <c r="F56" i="6"/>
  <c r="D56" i="6"/>
  <c r="C56" i="6"/>
  <c r="E56" i="6" s="1"/>
  <c r="B56" i="6"/>
  <c r="B55" i="6"/>
  <c r="G54" i="6"/>
  <c r="F54" i="6"/>
  <c r="E54" i="6"/>
  <c r="D54" i="6"/>
  <c r="C54" i="6"/>
  <c r="B54" i="6"/>
  <c r="D53" i="6"/>
  <c r="C53" i="6"/>
  <c r="F53" i="6" s="1"/>
  <c r="B53" i="6"/>
  <c r="G52" i="6"/>
  <c r="B54" i="10" s="1"/>
  <c r="F52" i="6"/>
  <c r="D52" i="6"/>
  <c r="C52" i="6"/>
  <c r="E52" i="6" s="1"/>
  <c r="B52" i="6"/>
  <c r="B51" i="6"/>
  <c r="G50" i="6"/>
  <c r="D52" i="10" s="1"/>
  <c r="F50" i="6"/>
  <c r="E50" i="6"/>
  <c r="D50" i="6"/>
  <c r="C50" i="6"/>
  <c r="B50" i="6"/>
  <c r="D49" i="6"/>
  <c r="C49" i="6"/>
  <c r="F49" i="6" s="1"/>
  <c r="B49" i="6"/>
  <c r="G48" i="6"/>
  <c r="D50" i="10" s="1"/>
  <c r="F48" i="6"/>
  <c r="D48" i="6"/>
  <c r="C48" i="6"/>
  <c r="E48" i="6" s="1"/>
  <c r="B48" i="6"/>
  <c r="B47" i="6"/>
  <c r="G46" i="6"/>
  <c r="F46" i="6"/>
  <c r="E46" i="6"/>
  <c r="D46" i="6"/>
  <c r="C46" i="6"/>
  <c r="B46" i="6"/>
  <c r="D45" i="6"/>
  <c r="C45" i="6"/>
  <c r="F45" i="6" s="1"/>
  <c r="B45" i="6"/>
  <c r="G44" i="6"/>
  <c r="B46" i="10" s="1"/>
  <c r="F44" i="6"/>
  <c r="D44" i="6"/>
  <c r="C44" i="6"/>
  <c r="E44" i="6" s="1"/>
  <c r="B44" i="6"/>
  <c r="B43" i="6"/>
  <c r="G42" i="6"/>
  <c r="F42" i="6"/>
  <c r="E42" i="6"/>
  <c r="D42" i="6"/>
  <c r="C42" i="6"/>
  <c r="B42" i="6"/>
  <c r="D41" i="6"/>
  <c r="C41" i="6"/>
  <c r="F41" i="6" s="1"/>
  <c r="B41" i="6"/>
  <c r="G40" i="6"/>
  <c r="D42" i="10" s="1"/>
  <c r="F40" i="6"/>
  <c r="D40" i="6"/>
  <c r="C40" i="6"/>
  <c r="E40" i="6" s="1"/>
  <c r="B40" i="6"/>
  <c r="B39" i="6"/>
  <c r="G38" i="6"/>
  <c r="F38" i="6"/>
  <c r="E38" i="6"/>
  <c r="D38" i="6"/>
  <c r="C38" i="6"/>
  <c r="B38" i="6"/>
  <c r="D37" i="6"/>
  <c r="C37" i="6"/>
  <c r="F37" i="6" s="1"/>
  <c r="B37" i="6"/>
  <c r="G36" i="6"/>
  <c r="F36" i="6"/>
  <c r="D36" i="6"/>
  <c r="C36" i="6"/>
  <c r="E36" i="6" s="1"/>
  <c r="B36" i="6"/>
  <c r="B35" i="6"/>
  <c r="G34" i="6"/>
  <c r="F34" i="6"/>
  <c r="E34" i="6"/>
  <c r="D34" i="6"/>
  <c r="C34" i="6"/>
  <c r="B34" i="6"/>
  <c r="D33" i="6"/>
  <c r="C33" i="6"/>
  <c r="F33" i="6" s="1"/>
  <c r="B33" i="6"/>
  <c r="G32" i="6"/>
  <c r="F32" i="6"/>
  <c r="D32" i="6"/>
  <c r="C32" i="6"/>
  <c r="E32" i="6" s="1"/>
  <c r="B32" i="6"/>
  <c r="B31" i="6"/>
  <c r="G30" i="6"/>
  <c r="F30" i="6"/>
  <c r="E30" i="6"/>
  <c r="D30" i="6"/>
  <c r="C30" i="6"/>
  <c r="B30" i="6"/>
  <c r="D29" i="6"/>
  <c r="C29" i="6"/>
  <c r="F29" i="6" s="1"/>
  <c r="B29" i="6"/>
  <c r="G28" i="6"/>
  <c r="B30" i="10" s="1"/>
  <c r="F28" i="6"/>
  <c r="D28" i="6"/>
  <c r="C28" i="6"/>
  <c r="E28" i="6" s="1"/>
  <c r="B28" i="6"/>
  <c r="B27" i="6"/>
  <c r="G26" i="6"/>
  <c r="F26" i="6"/>
  <c r="E26" i="6"/>
  <c r="D26" i="6"/>
  <c r="C26" i="6"/>
  <c r="B26" i="6"/>
  <c r="D25" i="6"/>
  <c r="C25" i="6"/>
  <c r="F25" i="6" s="1"/>
  <c r="B25" i="6"/>
  <c r="G24" i="6"/>
  <c r="F24" i="6"/>
  <c r="D24" i="6"/>
  <c r="C24" i="6"/>
  <c r="E24" i="6" s="1"/>
  <c r="B24" i="6"/>
  <c r="B23" i="6"/>
  <c r="G22" i="6"/>
  <c r="F22" i="6"/>
  <c r="E22" i="6"/>
  <c r="D22" i="6"/>
  <c r="C22" i="6"/>
  <c r="B22" i="6"/>
  <c r="D21" i="6"/>
  <c r="C21" i="6"/>
  <c r="F21" i="6" s="1"/>
  <c r="B21" i="6"/>
  <c r="G20" i="6"/>
  <c r="B22" i="10" s="1"/>
  <c r="F20" i="6"/>
  <c r="D20" i="6"/>
  <c r="C20" i="6"/>
  <c r="E20" i="6" s="1"/>
  <c r="B20" i="6"/>
  <c r="B19" i="6"/>
  <c r="G18" i="6"/>
  <c r="F18" i="6"/>
  <c r="E18" i="6"/>
  <c r="D18" i="6"/>
  <c r="C18" i="6"/>
  <c r="B18" i="6"/>
  <c r="P8" i="6"/>
  <c r="D8" i="6"/>
  <c r="P7" i="6"/>
  <c r="J7" i="6"/>
  <c r="D7" i="6"/>
  <c r="P6" i="6"/>
  <c r="J6" i="6"/>
  <c r="D6" i="6"/>
  <c r="P5" i="6"/>
  <c r="J5" i="6"/>
  <c r="D5" i="6"/>
  <c r="U46" i="9"/>
  <c r="O46" i="9"/>
  <c r="M46" i="9"/>
  <c r="G46" i="9"/>
  <c r="E46" i="9"/>
  <c r="W44" i="9"/>
  <c r="V44" i="9"/>
  <c r="U44" i="9"/>
  <c r="T44" i="9"/>
  <c r="S44" i="9"/>
  <c r="R44" i="9"/>
  <c r="Q44" i="9"/>
  <c r="P44" i="9"/>
  <c r="O44" i="9"/>
  <c r="N44" i="9"/>
  <c r="M44" i="9"/>
  <c r="L44" i="9"/>
  <c r="K44" i="9"/>
  <c r="J44" i="9"/>
  <c r="I44" i="9"/>
  <c r="H44" i="9"/>
  <c r="G44" i="9"/>
  <c r="F44" i="9"/>
  <c r="E44" i="9"/>
  <c r="D44" i="9"/>
  <c r="C44" i="9"/>
  <c r="B44" i="9"/>
  <c r="G137" i="6" s="1"/>
  <c r="W43" i="9"/>
  <c r="D132" i="11" s="1"/>
  <c r="V43" i="9"/>
  <c r="U43" i="9"/>
  <c r="T43" i="9"/>
  <c r="S43" i="9"/>
  <c r="R43" i="9"/>
  <c r="Q43" i="9"/>
  <c r="P43" i="9"/>
  <c r="O43" i="9"/>
  <c r="N43" i="9"/>
  <c r="M43" i="9"/>
  <c r="L43" i="9"/>
  <c r="K43" i="9"/>
  <c r="J43" i="9"/>
  <c r="I43" i="9"/>
  <c r="H43" i="9"/>
  <c r="G43" i="9"/>
  <c r="F43" i="9"/>
  <c r="E43" i="9"/>
  <c r="D43" i="9"/>
  <c r="C43" i="9"/>
  <c r="B43" i="9"/>
  <c r="C136" i="6" s="1"/>
  <c r="F136" i="6" s="1"/>
  <c r="W42" i="9"/>
  <c r="V42" i="9"/>
  <c r="U42" i="9"/>
  <c r="T42" i="9"/>
  <c r="S42" i="9"/>
  <c r="R42" i="9"/>
  <c r="Q42" i="9"/>
  <c r="P42" i="9"/>
  <c r="O42" i="9"/>
  <c r="N42" i="9"/>
  <c r="M42" i="9"/>
  <c r="L42" i="9"/>
  <c r="K42" i="9"/>
  <c r="J42" i="9"/>
  <c r="I42" i="9"/>
  <c r="H42" i="9"/>
  <c r="G42" i="9"/>
  <c r="F42" i="9"/>
  <c r="E42" i="9"/>
  <c r="D42" i="9"/>
  <c r="C42" i="9"/>
  <c r="B42" i="9"/>
  <c r="G135" i="6" s="1"/>
  <c r="W41" i="9"/>
  <c r="V41" i="9"/>
  <c r="U41" i="9"/>
  <c r="T41" i="9"/>
  <c r="S41" i="9"/>
  <c r="R41" i="9"/>
  <c r="Q41" i="9"/>
  <c r="P41" i="9"/>
  <c r="O41" i="9"/>
  <c r="N41" i="9"/>
  <c r="M41" i="9"/>
  <c r="L41" i="9"/>
  <c r="K41" i="9"/>
  <c r="J41" i="9"/>
  <c r="I41" i="9"/>
  <c r="H41" i="9"/>
  <c r="G41" i="9"/>
  <c r="F41" i="9"/>
  <c r="E41" i="9"/>
  <c r="D41" i="9"/>
  <c r="C41" i="9"/>
  <c r="B41" i="9"/>
  <c r="W40" i="9"/>
  <c r="C129" i="11" s="1"/>
  <c r="V40" i="9"/>
  <c r="U40" i="9"/>
  <c r="T40" i="9"/>
  <c r="S40" i="9"/>
  <c r="R40" i="9"/>
  <c r="Q40" i="9"/>
  <c r="P40" i="9"/>
  <c r="O40" i="9"/>
  <c r="N40" i="9"/>
  <c r="M40" i="9"/>
  <c r="L40" i="9"/>
  <c r="K40" i="9"/>
  <c r="J40" i="9"/>
  <c r="I40" i="9"/>
  <c r="H40" i="9"/>
  <c r="G40" i="9"/>
  <c r="F40" i="9"/>
  <c r="E40" i="9"/>
  <c r="D40" i="9"/>
  <c r="C40" i="9"/>
  <c r="B40" i="9"/>
  <c r="G133" i="6" s="1"/>
  <c r="W39" i="9"/>
  <c r="V39" i="9"/>
  <c r="U39" i="9"/>
  <c r="T39" i="9"/>
  <c r="S39" i="9"/>
  <c r="R39" i="9"/>
  <c r="Q39" i="9"/>
  <c r="P39" i="9"/>
  <c r="O39" i="9"/>
  <c r="N39" i="9"/>
  <c r="M39" i="9"/>
  <c r="L39" i="9"/>
  <c r="K39" i="9"/>
  <c r="J39" i="9"/>
  <c r="I39" i="9"/>
  <c r="H39" i="9"/>
  <c r="G39" i="9"/>
  <c r="F39" i="9"/>
  <c r="E39" i="9"/>
  <c r="D39" i="9"/>
  <c r="C39" i="9"/>
  <c r="B39" i="9"/>
  <c r="C132" i="6" s="1"/>
  <c r="F132" i="6" s="1"/>
  <c r="W38" i="9"/>
  <c r="V38" i="9"/>
  <c r="U38" i="9"/>
  <c r="T38" i="9"/>
  <c r="S38" i="9"/>
  <c r="R38" i="9"/>
  <c r="Q38" i="9"/>
  <c r="P38" i="9"/>
  <c r="O38" i="9"/>
  <c r="N38" i="9"/>
  <c r="M38" i="9"/>
  <c r="L38" i="9"/>
  <c r="K38" i="9"/>
  <c r="J38" i="9"/>
  <c r="I38" i="9"/>
  <c r="H38" i="9"/>
  <c r="G38" i="9"/>
  <c r="F38" i="9"/>
  <c r="E38" i="9"/>
  <c r="D38" i="9"/>
  <c r="C38" i="9"/>
  <c r="B38" i="9"/>
  <c r="G131" i="6" s="1"/>
  <c r="W37" i="9"/>
  <c r="V37" i="9"/>
  <c r="U37" i="9"/>
  <c r="T37" i="9"/>
  <c r="S37" i="9"/>
  <c r="R37" i="9"/>
  <c r="Q37" i="9"/>
  <c r="P37" i="9"/>
  <c r="O37" i="9"/>
  <c r="N37" i="9"/>
  <c r="M37" i="9"/>
  <c r="L37" i="9"/>
  <c r="K37" i="9"/>
  <c r="J37" i="9"/>
  <c r="I37" i="9"/>
  <c r="H37" i="9"/>
  <c r="G37" i="9"/>
  <c r="F37" i="9"/>
  <c r="E37" i="9"/>
  <c r="D37" i="9"/>
  <c r="C37" i="9"/>
  <c r="B37" i="9"/>
  <c r="C130" i="6" s="1"/>
  <c r="W36" i="9"/>
  <c r="V36" i="9"/>
  <c r="U36" i="9"/>
  <c r="T36" i="9"/>
  <c r="S36" i="9"/>
  <c r="R36" i="9"/>
  <c r="Q36" i="9"/>
  <c r="P36" i="9"/>
  <c r="O36" i="9"/>
  <c r="N36" i="9"/>
  <c r="M36" i="9"/>
  <c r="L36" i="9"/>
  <c r="K36" i="9"/>
  <c r="J36" i="9"/>
  <c r="I36" i="9"/>
  <c r="H36" i="9"/>
  <c r="G36" i="9"/>
  <c r="F36" i="9"/>
  <c r="E36" i="9"/>
  <c r="D36" i="9"/>
  <c r="C36" i="9"/>
  <c r="B36" i="9"/>
  <c r="C129" i="6" s="1"/>
  <c r="W35" i="9"/>
  <c r="B124" i="11" s="1"/>
  <c r="V35" i="9"/>
  <c r="U35" i="9"/>
  <c r="T35" i="9"/>
  <c r="S35" i="9"/>
  <c r="R35" i="9"/>
  <c r="Q35" i="9"/>
  <c r="P35" i="9"/>
  <c r="O35" i="9"/>
  <c r="N35" i="9"/>
  <c r="M35" i="9"/>
  <c r="L35" i="9"/>
  <c r="K35" i="9"/>
  <c r="J35" i="9"/>
  <c r="I35" i="9"/>
  <c r="H35" i="9"/>
  <c r="G35" i="9"/>
  <c r="F35" i="9"/>
  <c r="E35" i="9"/>
  <c r="D35" i="9"/>
  <c r="C35" i="9"/>
  <c r="B35" i="9"/>
  <c r="C128" i="6" s="1"/>
  <c r="F128" i="6" s="1"/>
  <c r="W34" i="9"/>
  <c r="V34" i="9"/>
  <c r="U34" i="9"/>
  <c r="T34" i="9"/>
  <c r="S34" i="9"/>
  <c r="R34" i="9"/>
  <c r="Q34" i="9"/>
  <c r="P34" i="9"/>
  <c r="O34" i="9"/>
  <c r="N34" i="9"/>
  <c r="M34" i="9"/>
  <c r="L34" i="9"/>
  <c r="K34" i="9"/>
  <c r="J34" i="9"/>
  <c r="I34" i="9"/>
  <c r="H34" i="9"/>
  <c r="G34" i="9"/>
  <c r="F34" i="9"/>
  <c r="G127" i="6" s="1"/>
  <c r="E34" i="9"/>
  <c r="D34" i="9"/>
  <c r="C34" i="9"/>
  <c r="B34" i="9"/>
  <c r="C127" i="6" s="1"/>
  <c r="W33" i="9"/>
  <c r="V33" i="9"/>
  <c r="U33" i="9"/>
  <c r="T33" i="9"/>
  <c r="S33" i="9"/>
  <c r="R33" i="9"/>
  <c r="Q33" i="9"/>
  <c r="P33" i="9"/>
  <c r="O33" i="9"/>
  <c r="N33" i="9"/>
  <c r="M33" i="9"/>
  <c r="L33" i="9"/>
  <c r="K33" i="9"/>
  <c r="J33" i="9"/>
  <c r="I33" i="9"/>
  <c r="H33" i="9"/>
  <c r="G33" i="9"/>
  <c r="F33" i="9"/>
  <c r="E33" i="9"/>
  <c r="D33" i="9"/>
  <c r="C33" i="9"/>
  <c r="B33" i="9"/>
  <c r="W32" i="9"/>
  <c r="E121" i="11" s="1"/>
  <c r="V32" i="9"/>
  <c r="U32" i="9"/>
  <c r="T32" i="9"/>
  <c r="S32" i="9"/>
  <c r="R32" i="9"/>
  <c r="Q32" i="9"/>
  <c r="P32" i="9"/>
  <c r="O32" i="9"/>
  <c r="N32" i="9"/>
  <c r="M32" i="9"/>
  <c r="L32" i="9"/>
  <c r="K32" i="9"/>
  <c r="J32" i="9"/>
  <c r="I32" i="9"/>
  <c r="H32" i="9"/>
  <c r="G32" i="9"/>
  <c r="F32" i="9"/>
  <c r="E32" i="9"/>
  <c r="D32" i="9"/>
  <c r="C32" i="9"/>
  <c r="B32" i="9"/>
  <c r="G125" i="6" s="1"/>
  <c r="W31" i="9"/>
  <c r="V31" i="9"/>
  <c r="U31" i="9"/>
  <c r="T31" i="9"/>
  <c r="S31" i="9"/>
  <c r="R31" i="9"/>
  <c r="Q31" i="9"/>
  <c r="P31" i="9"/>
  <c r="O31" i="9"/>
  <c r="N31" i="9"/>
  <c r="M31" i="9"/>
  <c r="L31" i="9"/>
  <c r="K31" i="9"/>
  <c r="J31" i="9"/>
  <c r="I31" i="9"/>
  <c r="H31" i="9"/>
  <c r="G31" i="9"/>
  <c r="F31" i="9"/>
  <c r="E31" i="9"/>
  <c r="D31" i="9"/>
  <c r="C31" i="9"/>
  <c r="B31" i="9"/>
  <c r="C124" i="6" s="1"/>
  <c r="F124" i="6" s="1"/>
  <c r="W30" i="9"/>
  <c r="V30" i="9"/>
  <c r="U30" i="9"/>
  <c r="T30" i="9"/>
  <c r="S30" i="9"/>
  <c r="R30" i="9"/>
  <c r="Q30" i="9"/>
  <c r="P30" i="9"/>
  <c r="O30" i="9"/>
  <c r="N30" i="9"/>
  <c r="M30" i="9"/>
  <c r="L30" i="9"/>
  <c r="K30" i="9"/>
  <c r="J30" i="9"/>
  <c r="I30" i="9"/>
  <c r="H30" i="9"/>
  <c r="G30" i="9"/>
  <c r="F30" i="9"/>
  <c r="E30" i="9"/>
  <c r="D30" i="9"/>
  <c r="C30" i="9"/>
  <c r="B30" i="9"/>
  <c r="G123" i="6" s="1"/>
  <c r="W29" i="9"/>
  <c r="V29" i="9"/>
  <c r="U29" i="9"/>
  <c r="T29" i="9"/>
  <c r="S29" i="9"/>
  <c r="R29" i="9"/>
  <c r="Q29" i="9"/>
  <c r="P29" i="9"/>
  <c r="O29" i="9"/>
  <c r="N29" i="9"/>
  <c r="M29" i="9"/>
  <c r="L29" i="9"/>
  <c r="K29" i="9"/>
  <c r="J29" i="9"/>
  <c r="I29" i="9"/>
  <c r="H29" i="9"/>
  <c r="G29" i="9"/>
  <c r="F29" i="9"/>
  <c r="E29" i="9"/>
  <c r="D29" i="9"/>
  <c r="C29" i="9"/>
  <c r="B29" i="9"/>
  <c r="C122" i="6" s="1"/>
  <c r="W28" i="9"/>
  <c r="V28" i="9"/>
  <c r="U28" i="9"/>
  <c r="T28" i="9"/>
  <c r="S28" i="9"/>
  <c r="R28" i="9"/>
  <c r="Q28" i="9"/>
  <c r="P28" i="9"/>
  <c r="O28" i="9"/>
  <c r="N28" i="9"/>
  <c r="M28" i="9"/>
  <c r="L28" i="9"/>
  <c r="K28" i="9"/>
  <c r="J28" i="9"/>
  <c r="I28" i="9"/>
  <c r="H28" i="9"/>
  <c r="G28" i="9"/>
  <c r="F28" i="9"/>
  <c r="E28" i="9"/>
  <c r="D28" i="9"/>
  <c r="C28" i="9"/>
  <c r="B28" i="9"/>
  <c r="C121" i="6" s="1"/>
  <c r="W27" i="9"/>
  <c r="V27" i="9"/>
  <c r="U27" i="9"/>
  <c r="T27" i="9"/>
  <c r="S27" i="9"/>
  <c r="R27" i="9"/>
  <c r="Q27" i="9"/>
  <c r="P27" i="9"/>
  <c r="O27" i="9"/>
  <c r="N27" i="9"/>
  <c r="M27" i="9"/>
  <c r="L27" i="9"/>
  <c r="K27" i="9"/>
  <c r="J27" i="9"/>
  <c r="I27" i="9"/>
  <c r="H27" i="9"/>
  <c r="G27" i="9"/>
  <c r="F27" i="9"/>
  <c r="E27" i="9"/>
  <c r="D27" i="9"/>
  <c r="C27" i="9"/>
  <c r="B27" i="9"/>
  <c r="C120" i="6" s="1"/>
  <c r="W26" i="9"/>
  <c r="V26" i="9"/>
  <c r="U26" i="9"/>
  <c r="T26" i="9"/>
  <c r="S26" i="9"/>
  <c r="R26" i="9"/>
  <c r="Q26" i="9"/>
  <c r="P26" i="9"/>
  <c r="O26" i="9"/>
  <c r="N26" i="9"/>
  <c r="M26" i="9"/>
  <c r="L26" i="9"/>
  <c r="K26" i="9"/>
  <c r="J26" i="9"/>
  <c r="I26" i="9"/>
  <c r="H26" i="9"/>
  <c r="G26" i="9"/>
  <c r="F26" i="9"/>
  <c r="G119" i="6" s="1"/>
  <c r="E26" i="9"/>
  <c r="D26" i="9"/>
  <c r="C26" i="9"/>
  <c r="B26" i="9"/>
  <c r="C119" i="6" s="1"/>
  <c r="W25" i="9"/>
  <c r="V25" i="9"/>
  <c r="U25" i="9"/>
  <c r="T25" i="9"/>
  <c r="S25" i="9"/>
  <c r="R25" i="9"/>
  <c r="Q25" i="9"/>
  <c r="P25" i="9"/>
  <c r="O25" i="9"/>
  <c r="N25" i="9"/>
  <c r="M25" i="9"/>
  <c r="L25" i="9"/>
  <c r="K25" i="9"/>
  <c r="J25" i="9"/>
  <c r="I25" i="9"/>
  <c r="H25" i="9"/>
  <c r="G25" i="9"/>
  <c r="F25" i="9"/>
  <c r="E25" i="9"/>
  <c r="D25" i="9"/>
  <c r="C25" i="9"/>
  <c r="B25" i="9"/>
  <c r="C118" i="6" s="1"/>
  <c r="W24" i="9"/>
  <c r="B113" i="11" s="1"/>
  <c r="V24" i="9"/>
  <c r="U24" i="9"/>
  <c r="T24" i="9"/>
  <c r="S24" i="9"/>
  <c r="R24" i="9"/>
  <c r="Q24" i="9"/>
  <c r="P24" i="9"/>
  <c r="O24" i="9"/>
  <c r="N24" i="9"/>
  <c r="M24" i="9"/>
  <c r="L24" i="9"/>
  <c r="K24" i="9"/>
  <c r="J24" i="9"/>
  <c r="I24" i="9"/>
  <c r="H24" i="9"/>
  <c r="G24" i="9"/>
  <c r="F24" i="9"/>
  <c r="E24" i="9"/>
  <c r="D24" i="9"/>
  <c r="C24" i="9"/>
  <c r="B24" i="9"/>
  <c r="G117" i="6" s="1"/>
  <c r="W23" i="9"/>
  <c r="E112" i="11" s="1"/>
  <c r="V23" i="9"/>
  <c r="U23" i="9"/>
  <c r="T23" i="9"/>
  <c r="S23" i="9"/>
  <c r="R23" i="9"/>
  <c r="Q23" i="9"/>
  <c r="P23" i="9"/>
  <c r="O23" i="9"/>
  <c r="N23" i="9"/>
  <c r="M23" i="9"/>
  <c r="L23" i="9"/>
  <c r="K23" i="9"/>
  <c r="J23" i="9"/>
  <c r="I23" i="9"/>
  <c r="H23" i="9"/>
  <c r="G23" i="9"/>
  <c r="F23" i="9"/>
  <c r="E23" i="9"/>
  <c r="D23" i="9"/>
  <c r="C23" i="9"/>
  <c r="B23" i="9"/>
  <c r="G116" i="6" s="1"/>
  <c r="W22" i="9"/>
  <c r="V22" i="9"/>
  <c r="U22" i="9"/>
  <c r="T22" i="9"/>
  <c r="S22" i="9"/>
  <c r="R22" i="9"/>
  <c r="Q22" i="9"/>
  <c r="P22" i="9"/>
  <c r="O22" i="9"/>
  <c r="N22" i="9"/>
  <c r="M22" i="9"/>
  <c r="L22" i="9"/>
  <c r="K22" i="9"/>
  <c r="J22" i="9"/>
  <c r="I22" i="9"/>
  <c r="H22" i="9"/>
  <c r="G22" i="9"/>
  <c r="F22" i="9"/>
  <c r="E22" i="9"/>
  <c r="D22" i="9"/>
  <c r="C22" i="9"/>
  <c r="B22" i="9"/>
  <c r="C115" i="6" s="1"/>
  <c r="W21" i="9"/>
  <c r="D110" i="11" s="1"/>
  <c r="V21" i="9"/>
  <c r="U21" i="9"/>
  <c r="T21" i="9"/>
  <c r="S21" i="9"/>
  <c r="R21" i="9"/>
  <c r="Q21" i="9"/>
  <c r="P21" i="9"/>
  <c r="O21" i="9"/>
  <c r="N21" i="9"/>
  <c r="M21" i="9"/>
  <c r="L21" i="9"/>
  <c r="K21" i="9"/>
  <c r="J21" i="9"/>
  <c r="I21" i="9"/>
  <c r="H21" i="9"/>
  <c r="G21" i="9"/>
  <c r="F21" i="9"/>
  <c r="E21" i="9"/>
  <c r="D21" i="9"/>
  <c r="C21" i="9"/>
  <c r="B21" i="9"/>
  <c r="C114" i="6" s="1"/>
  <c r="W20" i="9"/>
  <c r="V20" i="9"/>
  <c r="U20" i="9"/>
  <c r="T20" i="9"/>
  <c r="S20" i="9"/>
  <c r="R20" i="9"/>
  <c r="Q20" i="9"/>
  <c r="P20" i="9"/>
  <c r="O20" i="9"/>
  <c r="N20" i="9"/>
  <c r="M20" i="9"/>
  <c r="L20" i="9"/>
  <c r="K20" i="9"/>
  <c r="J20" i="9"/>
  <c r="I20" i="9"/>
  <c r="H20" i="9"/>
  <c r="G20" i="9"/>
  <c r="F20" i="9"/>
  <c r="E20" i="9"/>
  <c r="D20" i="9"/>
  <c r="C20" i="9"/>
  <c r="B20" i="9"/>
  <c r="G113" i="6" s="1"/>
  <c r="W19" i="9"/>
  <c r="V19" i="9"/>
  <c r="U19" i="9"/>
  <c r="T19" i="9"/>
  <c r="S19" i="9"/>
  <c r="R19" i="9"/>
  <c r="Q19" i="9"/>
  <c r="P19" i="9"/>
  <c r="O19" i="9"/>
  <c r="N19" i="9"/>
  <c r="M19" i="9"/>
  <c r="L19" i="9"/>
  <c r="K19" i="9"/>
  <c r="J19" i="9"/>
  <c r="I19" i="9"/>
  <c r="H19" i="9"/>
  <c r="G19" i="9"/>
  <c r="F19" i="9"/>
  <c r="E19" i="9"/>
  <c r="D19" i="9"/>
  <c r="C19" i="9"/>
  <c r="B19" i="9"/>
  <c r="G112" i="6" s="1"/>
  <c r="W18" i="9"/>
  <c r="V18" i="9"/>
  <c r="U18" i="9"/>
  <c r="T18" i="9"/>
  <c r="S18" i="9"/>
  <c r="R18" i="9"/>
  <c r="Q18" i="9"/>
  <c r="P18" i="9"/>
  <c r="O18" i="9"/>
  <c r="N18" i="9"/>
  <c r="M18" i="9"/>
  <c r="L18" i="9"/>
  <c r="K18" i="9"/>
  <c r="J18" i="9"/>
  <c r="I18" i="9"/>
  <c r="H18" i="9"/>
  <c r="G18" i="9"/>
  <c r="F18" i="9"/>
  <c r="E18" i="9"/>
  <c r="D18" i="9"/>
  <c r="C18" i="9"/>
  <c r="B18" i="9"/>
  <c r="C111" i="6" s="1"/>
  <c r="W17" i="9"/>
  <c r="V17" i="9"/>
  <c r="U17" i="9"/>
  <c r="T17" i="9"/>
  <c r="S17" i="9"/>
  <c r="R17" i="9"/>
  <c r="Q17" i="9"/>
  <c r="P17" i="9"/>
  <c r="O17" i="9"/>
  <c r="N17" i="9"/>
  <c r="M17" i="9"/>
  <c r="L17" i="9"/>
  <c r="K17" i="9"/>
  <c r="J17" i="9"/>
  <c r="I17" i="9"/>
  <c r="H17" i="9"/>
  <c r="G17" i="9"/>
  <c r="F17" i="9"/>
  <c r="E17" i="9"/>
  <c r="D17" i="9"/>
  <c r="C17" i="9"/>
  <c r="B17" i="9"/>
  <c r="C110" i="6" s="1"/>
  <c r="W16" i="9"/>
  <c r="V16" i="9"/>
  <c r="U16" i="9"/>
  <c r="T16" i="9"/>
  <c r="S16" i="9"/>
  <c r="R16" i="9"/>
  <c r="Q16" i="9"/>
  <c r="P16" i="9"/>
  <c r="O16" i="9"/>
  <c r="N16" i="9"/>
  <c r="M16" i="9"/>
  <c r="L16" i="9"/>
  <c r="K16" i="9"/>
  <c r="J16" i="9"/>
  <c r="I16" i="9"/>
  <c r="H16" i="9"/>
  <c r="G16" i="9"/>
  <c r="F16" i="9"/>
  <c r="E16" i="9"/>
  <c r="D16" i="9"/>
  <c r="C16" i="9"/>
  <c r="B16" i="9"/>
  <c r="G109" i="6" s="1"/>
  <c r="W15" i="9"/>
  <c r="E104" i="11" s="1"/>
  <c r="V15" i="9"/>
  <c r="U15" i="9"/>
  <c r="T15" i="9"/>
  <c r="S15" i="9"/>
  <c r="R15" i="9"/>
  <c r="Q15" i="9"/>
  <c r="P15" i="9"/>
  <c r="O15" i="9"/>
  <c r="N15" i="9"/>
  <c r="M15" i="9"/>
  <c r="L15" i="9"/>
  <c r="K15" i="9"/>
  <c r="J15" i="9"/>
  <c r="I15" i="9"/>
  <c r="H15" i="9"/>
  <c r="G15" i="9"/>
  <c r="F15" i="9"/>
  <c r="E15" i="9"/>
  <c r="D15" i="9"/>
  <c r="C15" i="9"/>
  <c r="B15" i="9"/>
  <c r="G108" i="6" s="1"/>
  <c r="W14" i="9"/>
  <c r="V14" i="9"/>
  <c r="U14" i="9"/>
  <c r="T14" i="9"/>
  <c r="S14" i="9"/>
  <c r="R14" i="9"/>
  <c r="Q14" i="9"/>
  <c r="P14" i="9"/>
  <c r="O14" i="9"/>
  <c r="N14" i="9"/>
  <c r="M14" i="9"/>
  <c r="L14" i="9"/>
  <c r="K14" i="9"/>
  <c r="J14" i="9"/>
  <c r="I14" i="9"/>
  <c r="H14" i="9"/>
  <c r="G14" i="9"/>
  <c r="F14" i="9"/>
  <c r="E14" i="9"/>
  <c r="D14" i="9"/>
  <c r="C14" i="9"/>
  <c r="B14" i="9"/>
  <c r="C107" i="6" s="1"/>
  <c r="W13" i="9"/>
  <c r="A102" i="11" s="1"/>
  <c r="V13" i="9"/>
  <c r="U13" i="9"/>
  <c r="T13" i="9"/>
  <c r="S13" i="9"/>
  <c r="R13" i="9"/>
  <c r="Q13" i="9"/>
  <c r="P13" i="9"/>
  <c r="O13" i="9"/>
  <c r="N13" i="9"/>
  <c r="M13" i="9"/>
  <c r="L13" i="9"/>
  <c r="K13" i="9"/>
  <c r="J13" i="9"/>
  <c r="I13" i="9"/>
  <c r="H13" i="9"/>
  <c r="G13" i="9"/>
  <c r="F13" i="9"/>
  <c r="E13" i="9"/>
  <c r="D13" i="9"/>
  <c r="C13" i="9"/>
  <c r="B13" i="9"/>
  <c r="C106" i="6" s="1"/>
  <c r="W12" i="9"/>
  <c r="V12" i="9"/>
  <c r="U12" i="9"/>
  <c r="T12" i="9"/>
  <c r="S12" i="9"/>
  <c r="R12" i="9"/>
  <c r="Q12" i="9"/>
  <c r="P12" i="9"/>
  <c r="O12" i="9"/>
  <c r="N12" i="9"/>
  <c r="M12" i="9"/>
  <c r="L12" i="9"/>
  <c r="K12" i="9"/>
  <c r="J12" i="9"/>
  <c r="I12" i="9"/>
  <c r="H12" i="9"/>
  <c r="G12" i="9"/>
  <c r="F12" i="9"/>
  <c r="E12" i="9"/>
  <c r="D12" i="9"/>
  <c r="C12" i="9"/>
  <c r="B12" i="9"/>
  <c r="G105" i="6" s="1"/>
  <c r="W11" i="9"/>
  <c r="V11" i="9"/>
  <c r="U11" i="9"/>
  <c r="T11" i="9"/>
  <c r="S11" i="9"/>
  <c r="R11" i="9"/>
  <c r="Q11" i="9"/>
  <c r="P11" i="9"/>
  <c r="O11" i="9"/>
  <c r="N11" i="9"/>
  <c r="M11" i="9"/>
  <c r="L11" i="9"/>
  <c r="K11" i="9"/>
  <c r="J11" i="9"/>
  <c r="I11" i="9"/>
  <c r="H11" i="9"/>
  <c r="G11" i="9"/>
  <c r="F11" i="9"/>
  <c r="E11" i="9"/>
  <c r="D11" i="9"/>
  <c r="C11" i="9"/>
  <c r="B11" i="9"/>
  <c r="G104" i="6" s="1"/>
  <c r="W10" i="9"/>
  <c r="V10" i="9"/>
  <c r="U10" i="9"/>
  <c r="T10" i="9"/>
  <c r="S10" i="9"/>
  <c r="R10" i="9"/>
  <c r="Q10" i="9"/>
  <c r="P10" i="9"/>
  <c r="O10" i="9"/>
  <c r="N10" i="9"/>
  <c r="M10" i="9"/>
  <c r="L10" i="9"/>
  <c r="K10" i="9"/>
  <c r="J10" i="9"/>
  <c r="I10" i="9"/>
  <c r="H10" i="9"/>
  <c r="G10" i="9"/>
  <c r="F10" i="9"/>
  <c r="E10" i="9"/>
  <c r="D10" i="9"/>
  <c r="C10" i="9"/>
  <c r="B10" i="9"/>
  <c r="C103" i="6" s="1"/>
  <c r="W9" i="9"/>
  <c r="V9" i="9"/>
  <c r="U9" i="9"/>
  <c r="T9" i="9"/>
  <c r="S9" i="9"/>
  <c r="R9" i="9"/>
  <c r="Q9" i="9"/>
  <c r="P9" i="9"/>
  <c r="O9" i="9"/>
  <c r="N9" i="9"/>
  <c r="M9" i="9"/>
  <c r="L9" i="9"/>
  <c r="K9" i="9"/>
  <c r="J9" i="9"/>
  <c r="I9" i="9"/>
  <c r="H9" i="9"/>
  <c r="G9" i="9"/>
  <c r="F9" i="9"/>
  <c r="E9" i="9"/>
  <c r="D9" i="9"/>
  <c r="C9" i="9"/>
  <c r="B9" i="9"/>
  <c r="C102" i="6" s="1"/>
  <c r="W8" i="9"/>
  <c r="V8" i="9"/>
  <c r="U8" i="9"/>
  <c r="T8" i="9"/>
  <c r="S8" i="9"/>
  <c r="R8" i="9"/>
  <c r="Q8" i="9"/>
  <c r="P8" i="9"/>
  <c r="O8" i="9"/>
  <c r="N8" i="9"/>
  <c r="M8" i="9"/>
  <c r="L8" i="9"/>
  <c r="K8" i="9"/>
  <c r="J8" i="9"/>
  <c r="I8" i="9"/>
  <c r="H8" i="9"/>
  <c r="G8" i="9"/>
  <c r="F8" i="9"/>
  <c r="E8" i="9"/>
  <c r="D8" i="9"/>
  <c r="C8" i="9"/>
  <c r="B8" i="9"/>
  <c r="G101" i="6" s="1"/>
  <c r="W7" i="9"/>
  <c r="B96" i="11" s="1"/>
  <c r="V7" i="9"/>
  <c r="U7" i="9"/>
  <c r="T7" i="9"/>
  <c r="S7" i="9"/>
  <c r="R7" i="9"/>
  <c r="Q7" i="9"/>
  <c r="P7" i="9"/>
  <c r="O7" i="9"/>
  <c r="N7" i="9"/>
  <c r="M7" i="9"/>
  <c r="L7" i="9"/>
  <c r="K7" i="9"/>
  <c r="J7" i="9"/>
  <c r="I7" i="9"/>
  <c r="H7" i="9"/>
  <c r="G7" i="9"/>
  <c r="F7" i="9"/>
  <c r="E7" i="9"/>
  <c r="D7" i="9"/>
  <c r="C7" i="9"/>
  <c r="B7" i="9"/>
  <c r="G100" i="6" s="1"/>
  <c r="W6" i="9"/>
  <c r="V6" i="9"/>
  <c r="U6" i="9"/>
  <c r="T6" i="9"/>
  <c r="S6" i="9"/>
  <c r="R6" i="9"/>
  <c r="Q6" i="9"/>
  <c r="P6" i="9"/>
  <c r="O6" i="9"/>
  <c r="N6" i="9"/>
  <c r="M6" i="9"/>
  <c r="L6" i="9"/>
  <c r="K6" i="9"/>
  <c r="J6" i="9"/>
  <c r="I6" i="9"/>
  <c r="H6" i="9"/>
  <c r="G6" i="9"/>
  <c r="F6" i="9"/>
  <c r="E6" i="9"/>
  <c r="D6" i="9"/>
  <c r="C6" i="9"/>
  <c r="B6" i="9"/>
  <c r="C99" i="6" s="1"/>
  <c r="W5" i="9"/>
  <c r="V5" i="9"/>
  <c r="V46" i="9" s="1"/>
  <c r="U5" i="9"/>
  <c r="T5" i="9"/>
  <c r="T46" i="9" s="1"/>
  <c r="S5" i="9"/>
  <c r="S46" i="9" s="1"/>
  <c r="R5" i="9"/>
  <c r="R46" i="9" s="1"/>
  <c r="Q5" i="9"/>
  <c r="Q46" i="9" s="1"/>
  <c r="P5" i="9"/>
  <c r="P46" i="9" s="1"/>
  <c r="O5" i="9"/>
  <c r="N5" i="9"/>
  <c r="N46" i="9" s="1"/>
  <c r="M5" i="9"/>
  <c r="L5" i="9"/>
  <c r="L46" i="9" s="1"/>
  <c r="K5" i="9"/>
  <c r="K46" i="9" s="1"/>
  <c r="J5" i="9"/>
  <c r="J46" i="9" s="1"/>
  <c r="I5" i="9"/>
  <c r="I46" i="9" s="1"/>
  <c r="H5" i="9"/>
  <c r="H46" i="9" s="1"/>
  <c r="G5" i="9"/>
  <c r="F5" i="9"/>
  <c r="F17" i="10" s="1"/>
  <c r="E5" i="9"/>
  <c r="D5" i="9"/>
  <c r="D46" i="9" s="1"/>
  <c r="C5" i="9"/>
  <c r="C46" i="9" s="1"/>
  <c r="B5" i="9"/>
  <c r="C98" i="6" s="1"/>
  <c r="B63" i="10" l="1"/>
  <c r="A63" i="10"/>
  <c r="D63" i="10"/>
  <c r="E63" i="10"/>
  <c r="C63" i="10"/>
  <c r="E67" i="10"/>
  <c r="D67" i="10"/>
  <c r="C67" i="10"/>
  <c r="B67" i="10"/>
  <c r="A67" i="10"/>
  <c r="E67" i="6"/>
  <c r="D67" i="6"/>
  <c r="F67" i="6"/>
  <c r="E71" i="6"/>
  <c r="D71" i="6"/>
  <c r="F71" i="6"/>
  <c r="B103" i="10"/>
  <c r="A103" i="10"/>
  <c r="D103" i="10"/>
  <c r="E103" i="10"/>
  <c r="C103" i="10"/>
  <c r="B111" i="10"/>
  <c r="A111" i="10"/>
  <c r="D111" i="10"/>
  <c r="E111" i="10"/>
  <c r="C111" i="10"/>
  <c r="B127" i="10"/>
  <c r="A127" i="10"/>
  <c r="D127" i="10"/>
  <c r="E127" i="10"/>
  <c r="C127" i="10"/>
  <c r="B135" i="10"/>
  <c r="A135" i="10"/>
  <c r="D135" i="10"/>
  <c r="E135" i="10"/>
  <c r="C135" i="10"/>
  <c r="E62" i="10"/>
  <c r="D62" i="10"/>
  <c r="C62" i="10"/>
  <c r="A62" i="10"/>
  <c r="B62" i="10"/>
  <c r="A68" i="10"/>
  <c r="E68" i="10"/>
  <c r="C68" i="10"/>
  <c r="D68" i="10"/>
  <c r="B68" i="10"/>
  <c r="C74" i="10"/>
  <c r="B74" i="10"/>
  <c r="A74" i="10"/>
  <c r="E74" i="10"/>
  <c r="D74" i="10"/>
  <c r="E80" i="10"/>
  <c r="D80" i="10"/>
  <c r="C80" i="10"/>
  <c r="B80" i="10"/>
  <c r="A80" i="10"/>
  <c r="C82" i="10"/>
  <c r="B82" i="10"/>
  <c r="A82" i="10"/>
  <c r="E82" i="10"/>
  <c r="D82" i="10"/>
  <c r="E86" i="10"/>
  <c r="D86" i="10"/>
  <c r="C86" i="10"/>
  <c r="A86" i="10"/>
  <c r="B86" i="10"/>
  <c r="C90" i="10"/>
  <c r="B90" i="10"/>
  <c r="A90" i="10"/>
  <c r="E90" i="10"/>
  <c r="D90" i="10"/>
  <c r="A92" i="10"/>
  <c r="E92" i="10"/>
  <c r="C92" i="10"/>
  <c r="D92" i="10"/>
  <c r="B92" i="10"/>
  <c r="E94" i="10"/>
  <c r="D94" i="10"/>
  <c r="C94" i="10"/>
  <c r="A94" i="10"/>
  <c r="B94" i="10"/>
  <c r="E96" i="10"/>
  <c r="D96" i="10"/>
  <c r="C96" i="10"/>
  <c r="B96" i="10"/>
  <c r="A96" i="10"/>
  <c r="C98" i="10"/>
  <c r="B98" i="10"/>
  <c r="A98" i="10"/>
  <c r="E98" i="10"/>
  <c r="D98" i="10"/>
  <c r="E102" i="10"/>
  <c r="D102" i="10"/>
  <c r="C102" i="10"/>
  <c r="A102" i="10"/>
  <c r="B102" i="10"/>
  <c r="C106" i="10"/>
  <c r="B106" i="10"/>
  <c r="A106" i="10"/>
  <c r="E106" i="10"/>
  <c r="D106" i="10"/>
  <c r="E110" i="10"/>
  <c r="D110" i="10"/>
  <c r="C110" i="10"/>
  <c r="A110" i="10"/>
  <c r="B110" i="10"/>
  <c r="C114" i="10"/>
  <c r="B114" i="10"/>
  <c r="A114" i="10"/>
  <c r="E114" i="10"/>
  <c r="D114" i="10"/>
  <c r="E118" i="10"/>
  <c r="D118" i="10"/>
  <c r="C118" i="10"/>
  <c r="A118" i="10"/>
  <c r="B118" i="10"/>
  <c r="F120" i="6"/>
  <c r="E120" i="6"/>
  <c r="D120" i="6"/>
  <c r="E121" i="10"/>
  <c r="D121" i="10"/>
  <c r="B121" i="10"/>
  <c r="C121" i="10"/>
  <c r="A121" i="10"/>
  <c r="E107" i="6"/>
  <c r="D107" i="6"/>
  <c r="F107" i="6"/>
  <c r="E111" i="6"/>
  <c r="D111" i="6"/>
  <c r="F111" i="6"/>
  <c r="E115" i="6"/>
  <c r="D115" i="6"/>
  <c r="F115" i="6"/>
  <c r="D119" i="6"/>
  <c r="F119" i="6"/>
  <c r="E119" i="6"/>
  <c r="D125" i="10"/>
  <c r="C125" i="10"/>
  <c r="B125" i="10"/>
  <c r="A125" i="10"/>
  <c r="E125" i="10"/>
  <c r="D127" i="6"/>
  <c r="F127" i="6"/>
  <c r="E127" i="6"/>
  <c r="D133" i="10"/>
  <c r="C133" i="10"/>
  <c r="B133" i="10"/>
  <c r="A133" i="10"/>
  <c r="E133" i="10"/>
  <c r="E137" i="10"/>
  <c r="D137" i="10"/>
  <c r="B137" i="10"/>
  <c r="A137" i="10"/>
  <c r="C137" i="10"/>
  <c r="E107" i="10"/>
  <c r="D107" i="10"/>
  <c r="C107" i="10"/>
  <c r="B107" i="10"/>
  <c r="A107" i="10"/>
  <c r="B119" i="10"/>
  <c r="A119" i="10"/>
  <c r="D119" i="10"/>
  <c r="E119" i="10"/>
  <c r="C119" i="10"/>
  <c r="F121" i="6"/>
  <c r="D121" i="6"/>
  <c r="E121" i="6"/>
  <c r="E129" i="6"/>
  <c r="D129" i="6"/>
  <c r="F129" i="6"/>
  <c r="E64" i="10"/>
  <c r="D64" i="10"/>
  <c r="C64" i="10"/>
  <c r="B64" i="10"/>
  <c r="A64" i="10"/>
  <c r="E70" i="10"/>
  <c r="D70" i="10"/>
  <c r="C70" i="10"/>
  <c r="A70" i="10"/>
  <c r="B70" i="10"/>
  <c r="E78" i="10"/>
  <c r="D78" i="10"/>
  <c r="C78" i="10"/>
  <c r="A78" i="10"/>
  <c r="B78" i="10"/>
  <c r="E88" i="10"/>
  <c r="D88" i="10"/>
  <c r="C88" i="10"/>
  <c r="B88" i="10"/>
  <c r="A88" i="10"/>
  <c r="E103" i="6"/>
  <c r="D103" i="6"/>
  <c r="F103" i="6"/>
  <c r="E19" i="6"/>
  <c r="D19" i="6"/>
  <c r="F19" i="6"/>
  <c r="E23" i="6"/>
  <c r="D23" i="6"/>
  <c r="F23" i="6"/>
  <c r="E27" i="10"/>
  <c r="D27" i="10"/>
  <c r="C27" i="10"/>
  <c r="B27" i="10"/>
  <c r="A27" i="10"/>
  <c r="E27" i="6"/>
  <c r="D27" i="6"/>
  <c r="F27" i="6"/>
  <c r="B31" i="10"/>
  <c r="A31" i="10"/>
  <c r="D31" i="10"/>
  <c r="E31" i="10"/>
  <c r="C31" i="10"/>
  <c r="E31" i="6"/>
  <c r="D31" i="6"/>
  <c r="F31" i="6"/>
  <c r="E35" i="10"/>
  <c r="D35" i="10"/>
  <c r="C35" i="10"/>
  <c r="B35" i="10"/>
  <c r="A35" i="10"/>
  <c r="E35" i="6"/>
  <c r="D35" i="6"/>
  <c r="F35" i="6"/>
  <c r="B39" i="10"/>
  <c r="A39" i="10"/>
  <c r="D39" i="10"/>
  <c r="E39" i="10"/>
  <c r="C39" i="10"/>
  <c r="E39" i="6"/>
  <c r="D39" i="6"/>
  <c r="F39" i="6"/>
  <c r="E43" i="10"/>
  <c r="D43" i="10"/>
  <c r="C43" i="10"/>
  <c r="B43" i="10"/>
  <c r="A43" i="10"/>
  <c r="E43" i="6"/>
  <c r="D43" i="6"/>
  <c r="F43" i="6"/>
  <c r="B47" i="10"/>
  <c r="A47" i="10"/>
  <c r="D47" i="10"/>
  <c r="C47" i="10"/>
  <c r="E47" i="10"/>
  <c r="E47" i="6"/>
  <c r="D47" i="6"/>
  <c r="F47" i="6"/>
  <c r="E51" i="10"/>
  <c r="D51" i="10"/>
  <c r="C51" i="10"/>
  <c r="B51" i="10"/>
  <c r="A51" i="10"/>
  <c r="E51" i="6"/>
  <c r="D51" i="6"/>
  <c r="F51" i="6"/>
  <c r="B55" i="10"/>
  <c r="A55" i="10"/>
  <c r="D55" i="10"/>
  <c r="E55" i="10"/>
  <c r="C55" i="10"/>
  <c r="E55" i="6"/>
  <c r="D55" i="6"/>
  <c r="F55" i="6"/>
  <c r="E59" i="10"/>
  <c r="D59" i="10"/>
  <c r="C59" i="10"/>
  <c r="B59" i="10"/>
  <c r="A59" i="10"/>
  <c r="E59" i="6"/>
  <c r="D59" i="6"/>
  <c r="F59" i="6"/>
  <c r="E63" i="6"/>
  <c r="D63" i="6"/>
  <c r="F63" i="6"/>
  <c r="B71" i="10"/>
  <c r="A71" i="10"/>
  <c r="D71" i="10"/>
  <c r="E71" i="10"/>
  <c r="C71" i="10"/>
  <c r="E115" i="10"/>
  <c r="D115" i="10"/>
  <c r="C115" i="10"/>
  <c r="B115" i="10"/>
  <c r="A115" i="10"/>
  <c r="E129" i="10"/>
  <c r="D129" i="10"/>
  <c r="B129" i="10"/>
  <c r="C129" i="10"/>
  <c r="A129" i="10"/>
  <c r="E139" i="10"/>
  <c r="D139" i="10"/>
  <c r="C139" i="10"/>
  <c r="B139" i="10"/>
  <c r="A139" i="10"/>
  <c r="C66" i="10"/>
  <c r="B66" i="10"/>
  <c r="A66" i="10"/>
  <c r="E66" i="10"/>
  <c r="D66" i="10"/>
  <c r="E72" i="10"/>
  <c r="D72" i="10"/>
  <c r="C72" i="10"/>
  <c r="B72" i="10"/>
  <c r="A72" i="10"/>
  <c r="A76" i="10"/>
  <c r="E76" i="10"/>
  <c r="C76" i="10"/>
  <c r="D76" i="10"/>
  <c r="B76" i="10"/>
  <c r="A84" i="10"/>
  <c r="E84" i="10"/>
  <c r="C84" i="10"/>
  <c r="D84" i="10"/>
  <c r="B84" i="10"/>
  <c r="E99" i="6"/>
  <c r="D99" i="6"/>
  <c r="F99" i="6"/>
  <c r="F98" i="6"/>
  <c r="D98" i="6"/>
  <c r="E98" i="6"/>
  <c r="F102" i="6"/>
  <c r="D102" i="6"/>
  <c r="E102" i="6"/>
  <c r="F106" i="6"/>
  <c r="D106" i="6"/>
  <c r="E106" i="6"/>
  <c r="F110" i="6"/>
  <c r="D110" i="6"/>
  <c r="E110" i="6"/>
  <c r="F114" i="6"/>
  <c r="D114" i="6"/>
  <c r="E114" i="6"/>
  <c r="F118" i="6"/>
  <c r="D118" i="6"/>
  <c r="E118" i="6"/>
  <c r="E122" i="6"/>
  <c r="D122" i="6"/>
  <c r="F122" i="6"/>
  <c r="F130" i="6"/>
  <c r="E130" i="6"/>
  <c r="D130" i="6"/>
  <c r="M19" i="35"/>
  <c r="M19" i="33"/>
  <c r="M19" i="31"/>
  <c r="M19" i="27"/>
  <c r="M19" i="29"/>
  <c r="M19" i="25"/>
  <c r="M19" i="23"/>
  <c r="M19" i="21"/>
  <c r="M19" i="19"/>
  <c r="M19" i="17"/>
  <c r="M23" i="33"/>
  <c r="M23" i="35"/>
  <c r="M23" i="31"/>
  <c r="M23" i="27"/>
  <c r="M23" i="29"/>
  <c r="M23" i="23"/>
  <c r="M23" i="21"/>
  <c r="M23" i="25"/>
  <c r="M23" i="19"/>
  <c r="M23" i="17"/>
  <c r="M32" i="35"/>
  <c r="M32" i="33"/>
  <c r="M32" i="31"/>
  <c r="M32" i="29"/>
  <c r="M32" i="27"/>
  <c r="M32" i="25"/>
  <c r="M32" i="23"/>
  <c r="M32" i="21"/>
  <c r="M32" i="19"/>
  <c r="M32" i="17"/>
  <c r="N25" i="35"/>
  <c r="N25" i="33"/>
  <c r="N25" i="31"/>
  <c r="N25" i="29"/>
  <c r="N25" i="27"/>
  <c r="N25" i="25"/>
  <c r="N25" i="21"/>
  <c r="N25" i="19"/>
  <c r="N25" i="23"/>
  <c r="N25" i="17"/>
  <c r="BJ100" i="15"/>
  <c r="O30" i="35"/>
  <c r="O30" i="31"/>
  <c r="O30" i="33"/>
  <c r="O30" i="29"/>
  <c r="O30" i="27"/>
  <c r="O30" i="25"/>
  <c r="O30" i="23"/>
  <c r="O30" i="21"/>
  <c r="O30" i="19"/>
  <c r="O30" i="17"/>
  <c r="O34" i="35"/>
  <c r="O34" i="33"/>
  <c r="O34" i="29"/>
  <c r="O34" i="27"/>
  <c r="O34" i="31"/>
  <c r="O34" i="23"/>
  <c r="O34" i="25"/>
  <c r="O34" i="21"/>
  <c r="O34" i="19"/>
  <c r="O34" i="17"/>
  <c r="C95" i="11"/>
  <c r="B95" i="11"/>
  <c r="A95" i="11"/>
  <c r="E95" i="11"/>
  <c r="D99" i="11"/>
  <c r="B99" i="11"/>
  <c r="E99" i="11"/>
  <c r="C99" i="11"/>
  <c r="A99" i="11"/>
  <c r="E103" i="11"/>
  <c r="D103" i="11"/>
  <c r="C103" i="11"/>
  <c r="B103" i="11"/>
  <c r="A103" i="11"/>
  <c r="D107" i="11"/>
  <c r="B107" i="11"/>
  <c r="E107" i="11"/>
  <c r="C107" i="11"/>
  <c r="A107" i="11"/>
  <c r="E111" i="11"/>
  <c r="D111" i="11"/>
  <c r="C111" i="11"/>
  <c r="A111" i="11"/>
  <c r="D115" i="11"/>
  <c r="B115" i="11"/>
  <c r="E115" i="11"/>
  <c r="A115" i="11"/>
  <c r="D119" i="11"/>
  <c r="A119" i="11"/>
  <c r="C119" i="11"/>
  <c r="D123" i="11"/>
  <c r="B123" i="11"/>
  <c r="E123" i="11"/>
  <c r="C123" i="11"/>
  <c r="A123" i="11"/>
  <c r="D127" i="11"/>
  <c r="E127" i="11"/>
  <c r="B127" i="11"/>
  <c r="D131" i="11"/>
  <c r="B131" i="11"/>
  <c r="E131" i="11"/>
  <c r="C131" i="11"/>
  <c r="A131" i="11"/>
  <c r="F46" i="9"/>
  <c r="G19" i="6"/>
  <c r="G23" i="6"/>
  <c r="G27" i="6"/>
  <c r="G31" i="6"/>
  <c r="G35" i="6"/>
  <c r="G39" i="6"/>
  <c r="G43" i="6"/>
  <c r="G47" i="6"/>
  <c r="G51" i="6"/>
  <c r="G55" i="6"/>
  <c r="D61" i="10"/>
  <c r="C61" i="10"/>
  <c r="B61" i="10"/>
  <c r="A61" i="10"/>
  <c r="E65" i="10"/>
  <c r="D65" i="10"/>
  <c r="B65" i="10"/>
  <c r="D69" i="10"/>
  <c r="C69" i="10"/>
  <c r="B69" i="10"/>
  <c r="A69" i="10"/>
  <c r="E73" i="10"/>
  <c r="D73" i="10"/>
  <c r="B73" i="10"/>
  <c r="D77" i="10"/>
  <c r="C77" i="10"/>
  <c r="B77" i="10"/>
  <c r="A77" i="10"/>
  <c r="E81" i="10"/>
  <c r="D81" i="10"/>
  <c r="B81" i="10"/>
  <c r="D85" i="10"/>
  <c r="C85" i="10"/>
  <c r="B85" i="10"/>
  <c r="A85" i="10"/>
  <c r="E89" i="10"/>
  <c r="D89" i="10"/>
  <c r="B89" i="10"/>
  <c r="D93" i="10"/>
  <c r="C93" i="10"/>
  <c r="B93" i="10"/>
  <c r="A93" i="10"/>
  <c r="E97" i="10"/>
  <c r="D97" i="10"/>
  <c r="B97" i="10"/>
  <c r="G99" i="6"/>
  <c r="C101" i="6"/>
  <c r="G103" i="6"/>
  <c r="C105" i="6"/>
  <c r="G107" i="6"/>
  <c r="C109" i="6"/>
  <c r="G111" i="6"/>
  <c r="C113" i="6"/>
  <c r="G115" i="6"/>
  <c r="C117" i="6"/>
  <c r="G124" i="6"/>
  <c r="D126" i="6"/>
  <c r="G129" i="6"/>
  <c r="C133" i="6"/>
  <c r="E136" i="6"/>
  <c r="D6" i="11"/>
  <c r="C6" i="11"/>
  <c r="B8" i="12"/>
  <c r="B6" i="11"/>
  <c r="C46" i="11"/>
  <c r="A6" i="11"/>
  <c r="D15" i="10"/>
  <c r="C15" i="10"/>
  <c r="E15" i="10" s="1"/>
  <c r="E10" i="11"/>
  <c r="D10" i="11"/>
  <c r="B10" i="11"/>
  <c r="C65" i="10"/>
  <c r="C97" i="10"/>
  <c r="B119" i="11"/>
  <c r="B49" i="22"/>
  <c r="B91" i="15"/>
  <c r="J34" i="35"/>
  <c r="J34" i="33"/>
  <c r="J34" i="31"/>
  <c r="J34" i="29"/>
  <c r="BJ21" i="15"/>
  <c r="D9" i="12"/>
  <c r="C10" i="12"/>
  <c r="E10" i="12" s="1"/>
  <c r="F16" i="10"/>
  <c r="F46" i="8"/>
  <c r="J51" i="27"/>
  <c r="J51" i="25"/>
  <c r="J51" i="23"/>
  <c r="BJ38" i="14"/>
  <c r="N21" i="35"/>
  <c r="N21" i="33"/>
  <c r="N21" i="31"/>
  <c r="N21" i="29"/>
  <c r="N21" i="23"/>
  <c r="N21" i="27"/>
  <c r="N21" i="19"/>
  <c r="N21" i="21"/>
  <c r="N21" i="25"/>
  <c r="N21" i="17"/>
  <c r="BJ96" i="15"/>
  <c r="E94" i="11"/>
  <c r="C94" i="11"/>
  <c r="C134" i="11"/>
  <c r="C17" i="10"/>
  <c r="E17" i="10" s="1"/>
  <c r="D8" i="12"/>
  <c r="D7" i="12"/>
  <c r="D94" i="11"/>
  <c r="B94" i="11"/>
  <c r="A98" i="11"/>
  <c r="E98" i="11"/>
  <c r="D98" i="11"/>
  <c r="B98" i="11"/>
  <c r="E102" i="11"/>
  <c r="C102" i="11"/>
  <c r="B102" i="11"/>
  <c r="A106" i="11"/>
  <c r="B106" i="11"/>
  <c r="D106" i="11"/>
  <c r="E110" i="11"/>
  <c r="C110" i="11"/>
  <c r="B110" i="11"/>
  <c r="A110" i="11"/>
  <c r="A114" i="11"/>
  <c r="D114" i="11"/>
  <c r="C114" i="11"/>
  <c r="B114" i="11"/>
  <c r="E118" i="11"/>
  <c r="C118" i="11"/>
  <c r="D118" i="11"/>
  <c r="B118" i="11"/>
  <c r="A118" i="11"/>
  <c r="A122" i="11"/>
  <c r="E122" i="11"/>
  <c r="D122" i="11"/>
  <c r="B122" i="11"/>
  <c r="E126" i="11"/>
  <c r="C126" i="11"/>
  <c r="A126" i="11"/>
  <c r="D126" i="11"/>
  <c r="B126" i="11"/>
  <c r="A130" i="11"/>
  <c r="E130" i="11"/>
  <c r="D130" i="11"/>
  <c r="C130" i="11"/>
  <c r="E21" i="6"/>
  <c r="E24" i="10"/>
  <c r="D24" i="10"/>
  <c r="C24" i="10"/>
  <c r="B24" i="10"/>
  <c r="A24" i="10"/>
  <c r="E25" i="6"/>
  <c r="A28" i="10"/>
  <c r="E28" i="10"/>
  <c r="C28" i="10"/>
  <c r="E29" i="6"/>
  <c r="E32" i="10"/>
  <c r="D32" i="10"/>
  <c r="C32" i="10"/>
  <c r="B32" i="10"/>
  <c r="A32" i="10"/>
  <c r="E33" i="6"/>
  <c r="A36" i="10"/>
  <c r="E36" i="10"/>
  <c r="C36" i="10"/>
  <c r="E37" i="6"/>
  <c r="E40" i="10"/>
  <c r="D40" i="10"/>
  <c r="C40" i="10"/>
  <c r="B40" i="10"/>
  <c r="A40" i="10"/>
  <c r="E41" i="6"/>
  <c r="A44" i="10"/>
  <c r="E44" i="10"/>
  <c r="C44" i="10"/>
  <c r="E45" i="6"/>
  <c r="E48" i="10"/>
  <c r="D48" i="10"/>
  <c r="C48" i="10"/>
  <c r="B48" i="10"/>
  <c r="A48" i="10"/>
  <c r="E49" i="6"/>
  <c r="A52" i="10"/>
  <c r="E52" i="10"/>
  <c r="C52" i="10"/>
  <c r="E53" i="6"/>
  <c r="E56" i="10"/>
  <c r="D56" i="10"/>
  <c r="C56" i="10"/>
  <c r="B56" i="10"/>
  <c r="A56" i="10"/>
  <c r="E57" i="6"/>
  <c r="G58" i="6"/>
  <c r="C60" i="6"/>
  <c r="E61" i="6"/>
  <c r="C64" i="6"/>
  <c r="E65" i="6"/>
  <c r="C68" i="6"/>
  <c r="E69" i="6"/>
  <c r="C72" i="6"/>
  <c r="E73" i="6"/>
  <c r="C76" i="6"/>
  <c r="E77" i="6"/>
  <c r="C80" i="6"/>
  <c r="E81" i="6"/>
  <c r="C84" i="6"/>
  <c r="E85" i="6"/>
  <c r="C88" i="6"/>
  <c r="E89" i="6"/>
  <c r="C92" i="6"/>
  <c r="E93" i="6"/>
  <c r="C96" i="6"/>
  <c r="G98" i="6"/>
  <c r="C100" i="6"/>
  <c r="G102" i="6"/>
  <c r="C104" i="6"/>
  <c r="G106" i="6"/>
  <c r="C108" i="6"/>
  <c r="G110" i="6"/>
  <c r="C112" i="6"/>
  <c r="G114" i="6"/>
  <c r="C116" i="6"/>
  <c r="G118" i="6"/>
  <c r="G121" i="6"/>
  <c r="E123" i="6"/>
  <c r="C125" i="6"/>
  <c r="F126" i="6"/>
  <c r="E128" i="6"/>
  <c r="C135" i="6"/>
  <c r="E7" i="11"/>
  <c r="D7" i="11"/>
  <c r="C7" i="11"/>
  <c r="A7" i="11"/>
  <c r="D28" i="10"/>
  <c r="C73" i="10"/>
  <c r="E6" i="11"/>
  <c r="D95" i="11"/>
  <c r="B104" i="11"/>
  <c r="A132" i="11"/>
  <c r="L19" i="35"/>
  <c r="K19" i="35"/>
  <c r="L19" i="33"/>
  <c r="K19" i="33"/>
  <c r="L19" i="31"/>
  <c r="K19" i="31"/>
  <c r="L19" i="29"/>
  <c r="K19" i="29"/>
  <c r="K19" i="27"/>
  <c r="K19" i="25"/>
  <c r="K19" i="21"/>
  <c r="K19" i="19"/>
  <c r="K19" i="23"/>
  <c r="K19" i="17"/>
  <c r="L22" i="35"/>
  <c r="K22" i="35"/>
  <c r="L22" i="33"/>
  <c r="K22" i="33"/>
  <c r="K22" i="29"/>
  <c r="L22" i="31"/>
  <c r="K22" i="31"/>
  <c r="K22" i="23"/>
  <c r="L22" i="29"/>
  <c r="K22" i="27"/>
  <c r="K22" i="25"/>
  <c r="K22" i="21"/>
  <c r="K22" i="19"/>
  <c r="K22" i="17"/>
  <c r="L25" i="35"/>
  <c r="L25" i="33"/>
  <c r="K25" i="33"/>
  <c r="K25" i="35"/>
  <c r="K25" i="31"/>
  <c r="L25" i="31"/>
  <c r="K25" i="27"/>
  <c r="L25" i="29"/>
  <c r="K25" i="23"/>
  <c r="K25" i="29"/>
  <c r="K25" i="21"/>
  <c r="K25" i="19"/>
  <c r="K25" i="25"/>
  <c r="K25" i="17"/>
  <c r="M16" i="35"/>
  <c r="M16" i="33"/>
  <c r="M16" i="31"/>
  <c r="M16" i="29"/>
  <c r="M16" i="27"/>
  <c r="M16" i="25"/>
  <c r="M16" i="23"/>
  <c r="M16" i="21"/>
  <c r="M16" i="19"/>
  <c r="M16" i="17"/>
  <c r="M43" i="35"/>
  <c r="M43" i="33"/>
  <c r="M43" i="31"/>
  <c r="M43" i="29"/>
  <c r="M43" i="27"/>
  <c r="M43" i="25"/>
  <c r="M43" i="23"/>
  <c r="M43" i="21"/>
  <c r="M43" i="19"/>
  <c r="M43" i="17"/>
  <c r="O50" i="35"/>
  <c r="O50" i="33"/>
  <c r="O50" i="29"/>
  <c r="O50" i="27"/>
  <c r="O50" i="31"/>
  <c r="O50" i="23"/>
  <c r="O50" i="21"/>
  <c r="O50" i="19"/>
  <c r="O50" i="25"/>
  <c r="O50" i="17"/>
  <c r="J8" i="6"/>
  <c r="G128" i="6"/>
  <c r="C137" i="6"/>
  <c r="F15" i="10"/>
  <c r="F46" i="7"/>
  <c r="N46" i="7"/>
  <c r="J46" i="8"/>
  <c r="C11" i="12"/>
  <c r="B36" i="10"/>
  <c r="E61" i="10"/>
  <c r="A81" i="10"/>
  <c r="E93" i="10"/>
  <c r="B7" i="11"/>
  <c r="C122" i="11"/>
  <c r="J31" i="21"/>
  <c r="J31" i="19"/>
  <c r="J31" i="17"/>
  <c r="BJ18" i="13"/>
  <c r="B9" i="12"/>
  <c r="E9" i="12" s="1"/>
  <c r="J37" i="21"/>
  <c r="J37" i="19"/>
  <c r="J37" i="17"/>
  <c r="BJ24" i="13"/>
  <c r="L52" i="21"/>
  <c r="L52" i="19"/>
  <c r="L52" i="17"/>
  <c r="L24" i="27"/>
  <c r="L24" i="25"/>
  <c r="L24" i="23"/>
  <c r="L30" i="27"/>
  <c r="L30" i="25"/>
  <c r="L30" i="23"/>
  <c r="D11" i="12"/>
  <c r="G17" i="10"/>
  <c r="P46" i="8"/>
  <c r="N41" i="35"/>
  <c r="N41" i="33"/>
  <c r="N41" i="31"/>
  <c r="N41" i="29"/>
  <c r="N41" i="25"/>
  <c r="N41" i="27"/>
  <c r="N41" i="21"/>
  <c r="N41" i="19"/>
  <c r="N41" i="23"/>
  <c r="N41" i="17"/>
  <c r="BJ116" i="15"/>
  <c r="D97" i="11"/>
  <c r="C97" i="11"/>
  <c r="B97" i="11"/>
  <c r="A97" i="11"/>
  <c r="B101" i="11"/>
  <c r="E101" i="11"/>
  <c r="D101" i="11"/>
  <c r="C101" i="11"/>
  <c r="A101" i="11"/>
  <c r="D105" i="11"/>
  <c r="E105" i="11"/>
  <c r="C105" i="11"/>
  <c r="B105" i="11"/>
  <c r="A105" i="11"/>
  <c r="B109" i="11"/>
  <c r="E109" i="11"/>
  <c r="D109" i="11"/>
  <c r="C109" i="11"/>
  <c r="D113" i="11"/>
  <c r="E113" i="11"/>
  <c r="C113" i="11"/>
  <c r="A113" i="11"/>
  <c r="B117" i="11"/>
  <c r="E117" i="11"/>
  <c r="C117" i="11"/>
  <c r="D121" i="11"/>
  <c r="B121" i="11"/>
  <c r="C121" i="11"/>
  <c r="A121" i="11"/>
  <c r="B125" i="11"/>
  <c r="E125" i="11"/>
  <c r="D125" i="11"/>
  <c r="C125" i="11"/>
  <c r="D129" i="11"/>
  <c r="B129" i="11"/>
  <c r="A129" i="11"/>
  <c r="E129" i="11"/>
  <c r="B133" i="11"/>
  <c r="E133" i="11"/>
  <c r="D133" i="11"/>
  <c r="C133" i="11"/>
  <c r="A133" i="11"/>
  <c r="G21" i="6"/>
  <c r="E75" i="10"/>
  <c r="D75" i="10"/>
  <c r="C75" i="10"/>
  <c r="B75" i="10"/>
  <c r="B79" i="10"/>
  <c r="A79" i="10"/>
  <c r="D79" i="10"/>
  <c r="E83" i="10"/>
  <c r="D83" i="10"/>
  <c r="C83" i="10"/>
  <c r="B83" i="10"/>
  <c r="B87" i="10"/>
  <c r="A87" i="10"/>
  <c r="D87" i="10"/>
  <c r="E91" i="10"/>
  <c r="D91" i="10"/>
  <c r="C91" i="10"/>
  <c r="B91" i="10"/>
  <c r="B95" i="10"/>
  <c r="A95" i="10"/>
  <c r="D95" i="10"/>
  <c r="E99" i="10"/>
  <c r="D99" i="10"/>
  <c r="C99" i="10"/>
  <c r="B99" i="10"/>
  <c r="G120" i="6"/>
  <c r="D132" i="6"/>
  <c r="D36" i="10"/>
  <c r="A75" i="10"/>
  <c r="C81" i="10"/>
  <c r="E87" i="10"/>
  <c r="E97" i="11"/>
  <c r="C106" i="11"/>
  <c r="E114" i="11"/>
  <c r="D131" i="6"/>
  <c r="D10" i="12"/>
  <c r="G136" i="6"/>
  <c r="H46" i="8"/>
  <c r="M51" i="35"/>
  <c r="M51" i="33"/>
  <c r="M51" i="31"/>
  <c r="M51" i="29"/>
  <c r="M51" i="27"/>
  <c r="M51" i="25"/>
  <c r="M51" i="23"/>
  <c r="M51" i="21"/>
  <c r="M51" i="19"/>
  <c r="M51" i="17"/>
  <c r="G122" i="6"/>
  <c r="G126" i="6"/>
  <c r="G130" i="6"/>
  <c r="G134" i="6"/>
  <c r="E132" i="6"/>
  <c r="C134" i="6"/>
  <c r="H46" i="7"/>
  <c r="P46" i="7"/>
  <c r="D46" i="8"/>
  <c r="L46" i="8"/>
  <c r="B44" i="10"/>
  <c r="E69" i="10"/>
  <c r="A89" i="10"/>
  <c r="C95" i="10"/>
  <c r="C98" i="11"/>
  <c r="E106" i="11"/>
  <c r="C115" i="11"/>
  <c r="A125" i="11"/>
  <c r="J47" i="21"/>
  <c r="J47" i="19"/>
  <c r="J47" i="17"/>
  <c r="BJ34" i="13"/>
  <c r="J53" i="19"/>
  <c r="J53" i="21"/>
  <c r="J53" i="17"/>
  <c r="BJ40" i="13"/>
  <c r="D123" i="6"/>
  <c r="D128" i="6"/>
  <c r="F131" i="6"/>
  <c r="O46" i="35"/>
  <c r="O46" i="31"/>
  <c r="O46" i="33"/>
  <c r="O46" i="29"/>
  <c r="O46" i="27"/>
  <c r="O46" i="25"/>
  <c r="O46" i="23"/>
  <c r="O46" i="21"/>
  <c r="O46" i="19"/>
  <c r="O46" i="17"/>
  <c r="C96" i="11"/>
  <c r="A96" i="11"/>
  <c r="E96" i="11"/>
  <c r="D96" i="11"/>
  <c r="E100" i="11"/>
  <c r="D100" i="11"/>
  <c r="B100" i="11"/>
  <c r="C104" i="11"/>
  <c r="A104" i="11"/>
  <c r="D104" i="11"/>
  <c r="E108" i="11"/>
  <c r="B108" i="11"/>
  <c r="A108" i="11"/>
  <c r="D108" i="11"/>
  <c r="C112" i="11"/>
  <c r="A112" i="11"/>
  <c r="D112" i="11"/>
  <c r="B112" i="11"/>
  <c r="E116" i="11"/>
  <c r="D116" i="11"/>
  <c r="C116" i="11"/>
  <c r="B116" i="11"/>
  <c r="A116" i="11"/>
  <c r="C120" i="11"/>
  <c r="A120" i="11"/>
  <c r="E120" i="11"/>
  <c r="D120" i="11"/>
  <c r="B120" i="11"/>
  <c r="E124" i="11"/>
  <c r="C124" i="11"/>
  <c r="A124" i="11"/>
  <c r="D124" i="11"/>
  <c r="C128" i="11"/>
  <c r="A128" i="11"/>
  <c r="E128" i="11"/>
  <c r="D128" i="11"/>
  <c r="B128" i="11"/>
  <c r="E132" i="11"/>
  <c r="C132" i="11"/>
  <c r="B132" i="11"/>
  <c r="E22" i="10"/>
  <c r="D22" i="10"/>
  <c r="C22" i="10"/>
  <c r="A22" i="10"/>
  <c r="C26" i="10"/>
  <c r="B26" i="10"/>
  <c r="A26" i="10"/>
  <c r="E26" i="10"/>
  <c r="E30" i="10"/>
  <c r="D30" i="10"/>
  <c r="C30" i="10"/>
  <c r="A30" i="10"/>
  <c r="C34" i="10"/>
  <c r="B34" i="10"/>
  <c r="A34" i="10"/>
  <c r="E34" i="10"/>
  <c r="E38" i="10"/>
  <c r="D38" i="10"/>
  <c r="C38" i="10"/>
  <c r="A38" i="10"/>
  <c r="C42" i="10"/>
  <c r="B42" i="10"/>
  <c r="A42" i="10"/>
  <c r="E42" i="10"/>
  <c r="E46" i="10"/>
  <c r="D46" i="10"/>
  <c r="C46" i="10"/>
  <c r="A46" i="10"/>
  <c r="C50" i="10"/>
  <c r="B50" i="10"/>
  <c r="A50" i="10"/>
  <c r="E50" i="10"/>
  <c r="E54" i="10"/>
  <c r="D54" i="10"/>
  <c r="C54" i="10"/>
  <c r="A54" i="10"/>
  <c r="C58" i="10"/>
  <c r="B58" i="10"/>
  <c r="A58" i="10"/>
  <c r="E58" i="10"/>
  <c r="D124" i="6"/>
  <c r="G132" i="6"/>
  <c r="I46" i="7"/>
  <c r="Q46" i="7"/>
  <c r="E9" i="11"/>
  <c r="D9" i="11"/>
  <c r="C9" i="11"/>
  <c r="B9" i="11"/>
  <c r="A9" i="11"/>
  <c r="B38" i="10"/>
  <c r="D44" i="10"/>
  <c r="A83" i="10"/>
  <c r="C89" i="10"/>
  <c r="E95" i="10"/>
  <c r="A10" i="11"/>
  <c r="A100" i="11"/>
  <c r="C108" i="11"/>
  <c r="A117" i="11"/>
  <c r="A127" i="11"/>
  <c r="E79" i="11"/>
  <c r="C79" i="11"/>
  <c r="E87" i="11"/>
  <c r="C87" i="11"/>
  <c r="C16" i="10"/>
  <c r="E16" i="10" s="1"/>
  <c r="D8" i="11"/>
  <c r="E11" i="11"/>
  <c r="C13" i="11"/>
  <c r="A15" i="11"/>
  <c r="D16" i="11"/>
  <c r="B18" i="11"/>
  <c r="E19" i="11"/>
  <c r="C21" i="11"/>
  <c r="A23" i="11"/>
  <c r="D24" i="11"/>
  <c r="B26" i="11"/>
  <c r="E27" i="11"/>
  <c r="C29" i="11"/>
  <c r="A31" i="11"/>
  <c r="D32" i="11"/>
  <c r="B34" i="11"/>
  <c r="E35" i="11"/>
  <c r="C37" i="11"/>
  <c r="A39" i="11"/>
  <c r="D40" i="11"/>
  <c r="B42" i="11"/>
  <c r="E43" i="11"/>
  <c r="C45" i="11"/>
  <c r="E50" i="11"/>
  <c r="C52" i="11"/>
  <c r="A54" i="11"/>
  <c r="D55" i="11"/>
  <c r="B57" i="11"/>
  <c r="E58" i="11"/>
  <c r="C60" i="11"/>
  <c r="A62" i="11"/>
  <c r="D63" i="11"/>
  <c r="B65" i="11"/>
  <c r="E66" i="11"/>
  <c r="C68" i="11"/>
  <c r="A70" i="11"/>
  <c r="A72" i="11"/>
  <c r="E73" i="11"/>
  <c r="D75" i="11"/>
  <c r="C77" i="11"/>
  <c r="B79" i="11"/>
  <c r="D83" i="11"/>
  <c r="D85" i="11"/>
  <c r="A88" i="11"/>
  <c r="C90" i="11"/>
  <c r="L16" i="21"/>
  <c r="L16" i="19"/>
  <c r="L16" i="17"/>
  <c r="J19" i="21"/>
  <c r="J19" i="19"/>
  <c r="J19" i="17"/>
  <c r="BJ6" i="13"/>
  <c r="L28" i="21"/>
  <c r="L28" i="19"/>
  <c r="L28" i="17"/>
  <c r="L34" i="19"/>
  <c r="L34" i="17"/>
  <c r="L34" i="21"/>
  <c r="J27" i="27"/>
  <c r="J27" i="23"/>
  <c r="J27" i="25"/>
  <c r="BJ14" i="14"/>
  <c r="J33" i="27"/>
  <c r="J33" i="23"/>
  <c r="J33" i="25"/>
  <c r="BJ20" i="14"/>
  <c r="L48" i="27"/>
  <c r="L48" i="25"/>
  <c r="L48" i="23"/>
  <c r="L54" i="25"/>
  <c r="L54" i="27"/>
  <c r="L54" i="23"/>
  <c r="J28" i="35"/>
  <c r="J28" i="33"/>
  <c r="J28" i="31"/>
  <c r="J28" i="29"/>
  <c r="BJ15" i="15"/>
  <c r="M20" i="35"/>
  <c r="M20" i="33"/>
  <c r="M20" i="31"/>
  <c r="M20" i="29"/>
  <c r="M20" i="23"/>
  <c r="M20" i="27"/>
  <c r="M20" i="25"/>
  <c r="M20" i="21"/>
  <c r="M20" i="19"/>
  <c r="M20" i="17"/>
  <c r="M24" i="35"/>
  <c r="M24" i="31"/>
  <c r="M24" i="33"/>
  <c r="M24" i="29"/>
  <c r="M24" i="27"/>
  <c r="M24" i="25"/>
  <c r="M24" i="23"/>
  <c r="M24" i="21"/>
  <c r="M24" i="19"/>
  <c r="M24" i="17"/>
  <c r="M42" i="35"/>
  <c r="M42" i="33"/>
  <c r="M42" i="31"/>
  <c r="M42" i="27"/>
  <c r="M42" i="29"/>
  <c r="M42" i="23"/>
  <c r="M42" i="25"/>
  <c r="M42" i="21"/>
  <c r="M42" i="19"/>
  <c r="M42" i="17"/>
  <c r="N31" i="35"/>
  <c r="N31" i="33"/>
  <c r="N31" i="31"/>
  <c r="N31" i="27"/>
  <c r="N31" i="29"/>
  <c r="N31" i="23"/>
  <c r="N31" i="25"/>
  <c r="N31" i="21"/>
  <c r="N31" i="19"/>
  <c r="BJ106" i="15"/>
  <c r="N31" i="17"/>
  <c r="N40" i="35"/>
  <c r="N40" i="33"/>
  <c r="N40" i="31"/>
  <c r="N40" i="27"/>
  <c r="N40" i="29"/>
  <c r="N40" i="23"/>
  <c r="N40" i="25"/>
  <c r="N40" i="19"/>
  <c r="N40" i="21"/>
  <c r="N40" i="17"/>
  <c r="BJ115" i="15"/>
  <c r="D84" i="11"/>
  <c r="B84" i="11"/>
  <c r="B12" i="11"/>
  <c r="E13" i="11"/>
  <c r="C15" i="11"/>
  <c r="A17" i="11"/>
  <c r="D18" i="11"/>
  <c r="B20" i="11"/>
  <c r="E21" i="11"/>
  <c r="C23" i="11"/>
  <c r="A25" i="11"/>
  <c r="D26" i="11"/>
  <c r="B28" i="11"/>
  <c r="E29" i="11"/>
  <c r="C31" i="11"/>
  <c r="A33" i="11"/>
  <c r="D34" i="11"/>
  <c r="B36" i="11"/>
  <c r="E37" i="11"/>
  <c r="C39" i="11"/>
  <c r="A41" i="11"/>
  <c r="D42" i="11"/>
  <c r="B44" i="11"/>
  <c r="E45" i="11"/>
  <c r="B51" i="11"/>
  <c r="E52" i="11"/>
  <c r="C54" i="11"/>
  <c r="A56" i="11"/>
  <c r="D57" i="11"/>
  <c r="B59" i="11"/>
  <c r="E60" i="11"/>
  <c r="C62" i="11"/>
  <c r="A64" i="11"/>
  <c r="D65" i="11"/>
  <c r="B67" i="11"/>
  <c r="E68" i="11"/>
  <c r="D70" i="11"/>
  <c r="C72" i="11"/>
  <c r="B74" i="11"/>
  <c r="A76" i="11"/>
  <c r="E77" i="11"/>
  <c r="A80" i="11"/>
  <c r="A82" i="11"/>
  <c r="A84" i="11"/>
  <c r="C86" i="11"/>
  <c r="C88" i="11"/>
  <c r="C7" i="12"/>
  <c r="E7" i="12" s="1"/>
  <c r="J20" i="19"/>
  <c r="J20" i="17"/>
  <c r="J20" i="21"/>
  <c r="P20" i="21" s="1"/>
  <c r="J23" i="21"/>
  <c r="J23" i="19"/>
  <c r="J23" i="17"/>
  <c r="BJ10" i="13"/>
  <c r="J29" i="21"/>
  <c r="J29" i="19"/>
  <c r="J29" i="17"/>
  <c r="BJ16" i="13"/>
  <c r="L44" i="21"/>
  <c r="L44" i="19"/>
  <c r="L44" i="17"/>
  <c r="L50" i="19"/>
  <c r="L50" i="17"/>
  <c r="L50" i="21"/>
  <c r="J43" i="27"/>
  <c r="J43" i="23"/>
  <c r="J43" i="25"/>
  <c r="BJ30" i="14"/>
  <c r="J49" i="27"/>
  <c r="J49" i="25"/>
  <c r="J49" i="23"/>
  <c r="BJ36" i="14"/>
  <c r="J45" i="35"/>
  <c r="J45" i="33"/>
  <c r="J45" i="31"/>
  <c r="J45" i="29"/>
  <c r="BJ32" i="15"/>
  <c r="M25" i="35"/>
  <c r="M25" i="33"/>
  <c r="M25" i="31"/>
  <c r="M25" i="29"/>
  <c r="M25" i="27"/>
  <c r="M25" i="25"/>
  <c r="M25" i="21"/>
  <c r="M25" i="19"/>
  <c r="M25" i="23"/>
  <c r="M25" i="17"/>
  <c r="M29" i="35"/>
  <c r="M29" i="33"/>
  <c r="M29" i="31"/>
  <c r="M29" i="29"/>
  <c r="M29" i="27"/>
  <c r="M29" i="25"/>
  <c r="M29" i="23"/>
  <c r="M29" i="19"/>
  <c r="M29" i="17"/>
  <c r="M29" i="21"/>
  <c r="M38" i="35"/>
  <c r="M38" i="33"/>
  <c r="M38" i="31"/>
  <c r="M38" i="29"/>
  <c r="M38" i="27"/>
  <c r="M38" i="25"/>
  <c r="M38" i="23"/>
  <c r="M38" i="21"/>
  <c r="M38" i="19"/>
  <c r="M38" i="17"/>
  <c r="M52" i="35"/>
  <c r="M52" i="33"/>
  <c r="M52" i="29"/>
  <c r="M52" i="27"/>
  <c r="M52" i="23"/>
  <c r="M52" i="25"/>
  <c r="M52" i="21"/>
  <c r="M52" i="19"/>
  <c r="M52" i="17"/>
  <c r="M52" i="31"/>
  <c r="N27" i="35"/>
  <c r="N27" i="31"/>
  <c r="N27" i="33"/>
  <c r="N27" i="29"/>
  <c r="N27" i="25"/>
  <c r="N27" i="27"/>
  <c r="N27" i="23"/>
  <c r="N27" i="21"/>
  <c r="N27" i="19"/>
  <c r="N27" i="17"/>
  <c r="BJ102" i="15"/>
  <c r="N47" i="35"/>
  <c r="N47" i="33"/>
  <c r="N47" i="31"/>
  <c r="N47" i="27"/>
  <c r="N47" i="29"/>
  <c r="N47" i="23"/>
  <c r="N47" i="25"/>
  <c r="N47" i="21"/>
  <c r="N47" i="19"/>
  <c r="BJ122" i="15"/>
  <c r="N47" i="17"/>
  <c r="C12" i="11"/>
  <c r="A14" i="11"/>
  <c r="D15" i="11"/>
  <c r="B17" i="11"/>
  <c r="C20" i="11"/>
  <c r="A22" i="11"/>
  <c r="D23" i="11"/>
  <c r="B25" i="11"/>
  <c r="C28" i="11"/>
  <c r="A30" i="11"/>
  <c r="D31" i="11"/>
  <c r="B33" i="11"/>
  <c r="C36" i="11"/>
  <c r="A38" i="11"/>
  <c r="D39" i="11"/>
  <c r="B41" i="11"/>
  <c r="C44" i="11"/>
  <c r="C51" i="11"/>
  <c r="A53" i="11"/>
  <c r="D54" i="11"/>
  <c r="B56" i="11"/>
  <c r="C59" i="11"/>
  <c r="A61" i="11"/>
  <c r="D62" i="11"/>
  <c r="B64" i="11"/>
  <c r="C67" i="11"/>
  <c r="A69" i="11"/>
  <c r="E70" i="11"/>
  <c r="D72" i="11"/>
  <c r="C74" i="11"/>
  <c r="B76" i="11"/>
  <c r="A78" i="11"/>
  <c r="B80" i="11"/>
  <c r="B82" i="11"/>
  <c r="C84" i="11"/>
  <c r="D86" i="11"/>
  <c r="D88" i="11"/>
  <c r="B11" i="12"/>
  <c r="E11" i="12" s="1"/>
  <c r="L17" i="21"/>
  <c r="L17" i="19"/>
  <c r="L17" i="17"/>
  <c r="P17" i="17" s="1"/>
  <c r="L20" i="21"/>
  <c r="L20" i="19"/>
  <c r="L20" i="17"/>
  <c r="L26" i="19"/>
  <c r="L26" i="17"/>
  <c r="L26" i="21"/>
  <c r="J19" i="27"/>
  <c r="J19" i="23"/>
  <c r="J19" i="25"/>
  <c r="BJ6" i="14"/>
  <c r="J25" i="23"/>
  <c r="J25" i="27"/>
  <c r="J25" i="25"/>
  <c r="BJ12" i="14"/>
  <c r="L40" i="27"/>
  <c r="L40" i="25"/>
  <c r="L40" i="23"/>
  <c r="L46" i="27"/>
  <c r="L46" i="25"/>
  <c r="L46" i="23"/>
  <c r="P39" i="33"/>
  <c r="J42" i="35"/>
  <c r="J42" i="33"/>
  <c r="J42" i="31"/>
  <c r="J42" i="29"/>
  <c r="BJ29" i="15"/>
  <c r="L51" i="35"/>
  <c r="K51" i="35"/>
  <c r="L51" i="33"/>
  <c r="K51" i="33"/>
  <c r="L51" i="31"/>
  <c r="K51" i="31"/>
  <c r="L51" i="29"/>
  <c r="K51" i="29"/>
  <c r="K51" i="27"/>
  <c r="K51" i="21"/>
  <c r="K51" i="25"/>
  <c r="K51" i="19"/>
  <c r="K51" i="23"/>
  <c r="K51" i="17"/>
  <c r="L54" i="35"/>
  <c r="L54" i="33"/>
  <c r="L54" i="31"/>
  <c r="L54" i="29"/>
  <c r="M39" i="33"/>
  <c r="M39" i="35"/>
  <c r="M39" i="31"/>
  <c r="M39" i="27"/>
  <c r="M39" i="25"/>
  <c r="M39" i="23"/>
  <c r="M39" i="29"/>
  <c r="M39" i="21"/>
  <c r="M39" i="19"/>
  <c r="M39" i="17"/>
  <c r="M48" i="35"/>
  <c r="M48" i="33"/>
  <c r="M48" i="31"/>
  <c r="M48" i="29"/>
  <c r="M48" i="27"/>
  <c r="M48" i="25"/>
  <c r="M48" i="23"/>
  <c r="M48" i="21"/>
  <c r="M48" i="19"/>
  <c r="M48" i="17"/>
  <c r="N28" i="35"/>
  <c r="N28" i="33"/>
  <c r="N28" i="31"/>
  <c r="N28" i="29"/>
  <c r="N28" i="25"/>
  <c r="N28" i="23"/>
  <c r="N28" i="21"/>
  <c r="N28" i="19"/>
  <c r="N28" i="27"/>
  <c r="N28" i="17"/>
  <c r="BJ103" i="15"/>
  <c r="N37" i="35"/>
  <c r="N37" i="33"/>
  <c r="N37" i="31"/>
  <c r="N37" i="29"/>
  <c r="N37" i="27"/>
  <c r="N37" i="23"/>
  <c r="N37" i="25"/>
  <c r="N37" i="19"/>
  <c r="N37" i="21"/>
  <c r="N37" i="17"/>
  <c r="BJ112" i="15"/>
  <c r="R46" i="7"/>
  <c r="C81" i="11"/>
  <c r="A81" i="11"/>
  <c r="C89" i="11"/>
  <c r="A89" i="11"/>
  <c r="R46" i="8"/>
  <c r="G16" i="10"/>
  <c r="A11" i="11"/>
  <c r="D12" i="11"/>
  <c r="B14" i="11"/>
  <c r="C17" i="11"/>
  <c r="A19" i="11"/>
  <c r="D20" i="11"/>
  <c r="B22" i="11"/>
  <c r="C25" i="11"/>
  <c r="A27" i="11"/>
  <c r="D28" i="11"/>
  <c r="B30" i="11"/>
  <c r="C33" i="11"/>
  <c r="A35" i="11"/>
  <c r="D36" i="11"/>
  <c r="B38" i="11"/>
  <c r="C41" i="11"/>
  <c r="A43" i="11"/>
  <c r="D44" i="11"/>
  <c r="A50" i="11"/>
  <c r="D51" i="11"/>
  <c r="B53" i="11"/>
  <c r="C56" i="11"/>
  <c r="A58" i="11"/>
  <c r="D59" i="11"/>
  <c r="B61" i="11"/>
  <c r="C64" i="11"/>
  <c r="A66" i="11"/>
  <c r="D67" i="11"/>
  <c r="B69" i="11"/>
  <c r="A71" i="11"/>
  <c r="D74" i="11"/>
  <c r="C76" i="11"/>
  <c r="C78" i="11"/>
  <c r="C80" i="11"/>
  <c r="C82" i="11"/>
  <c r="E84" i="11"/>
  <c r="E86" i="11"/>
  <c r="J39" i="21"/>
  <c r="J39" i="19"/>
  <c r="J39" i="17"/>
  <c r="BJ26" i="13"/>
  <c r="J45" i="21"/>
  <c r="J45" i="19"/>
  <c r="J45" i="17"/>
  <c r="BJ32" i="13"/>
  <c r="L16" i="27"/>
  <c r="L16" i="25"/>
  <c r="L16" i="23"/>
  <c r="L22" i="27"/>
  <c r="L22" i="25"/>
  <c r="L22" i="23"/>
  <c r="J36" i="35"/>
  <c r="J36" i="33"/>
  <c r="J36" i="31"/>
  <c r="J36" i="29"/>
  <c r="BJ23" i="15"/>
  <c r="M26" i="35"/>
  <c r="M26" i="33"/>
  <c r="M26" i="31"/>
  <c r="M26" i="27"/>
  <c r="M26" i="29"/>
  <c r="M26" i="23"/>
  <c r="M26" i="25"/>
  <c r="M26" i="21"/>
  <c r="M26" i="19"/>
  <c r="M26" i="17"/>
  <c r="M40" i="35"/>
  <c r="M40" i="31"/>
  <c r="M40" i="33"/>
  <c r="M40" i="29"/>
  <c r="M40" i="27"/>
  <c r="M40" i="23"/>
  <c r="M40" i="25"/>
  <c r="M40" i="21"/>
  <c r="M40" i="19"/>
  <c r="M40" i="17"/>
  <c r="N43" i="35"/>
  <c r="N43" i="31"/>
  <c r="N43" i="33"/>
  <c r="N43" i="29"/>
  <c r="N43" i="27"/>
  <c r="N43" i="25"/>
  <c r="N43" i="23"/>
  <c r="N43" i="21"/>
  <c r="N43" i="19"/>
  <c r="N43" i="17"/>
  <c r="BJ118" i="15"/>
  <c r="H19" i="19"/>
  <c r="H19" i="17"/>
  <c r="H37" i="19"/>
  <c r="H37" i="17"/>
  <c r="H40" i="17"/>
  <c r="H40" i="19"/>
  <c r="H51" i="19"/>
  <c r="H51" i="17"/>
  <c r="A8" i="11"/>
  <c r="B11" i="11"/>
  <c r="C14" i="11"/>
  <c r="A16" i="11"/>
  <c r="D17" i="11"/>
  <c r="B19" i="11"/>
  <c r="C22" i="11"/>
  <c r="A24" i="11"/>
  <c r="D25" i="11"/>
  <c r="B27" i="11"/>
  <c r="C30" i="11"/>
  <c r="A32" i="11"/>
  <c r="D33" i="11"/>
  <c r="B35" i="11"/>
  <c r="C38" i="11"/>
  <c r="A40" i="11"/>
  <c r="D41" i="11"/>
  <c r="B43" i="11"/>
  <c r="B50" i="11"/>
  <c r="C53" i="11"/>
  <c r="A55" i="11"/>
  <c r="D56" i="11"/>
  <c r="B58" i="11"/>
  <c r="C61" i="11"/>
  <c r="A63" i="11"/>
  <c r="D64" i="11"/>
  <c r="B66" i="11"/>
  <c r="C69" i="11"/>
  <c r="B71" i="11"/>
  <c r="A73" i="11"/>
  <c r="E76" i="11"/>
  <c r="D78" i="11"/>
  <c r="D80" i="11"/>
  <c r="E82" i="11"/>
  <c r="A85" i="11"/>
  <c r="A87" i="11"/>
  <c r="B89" i="11"/>
  <c r="J21" i="21"/>
  <c r="J21" i="19"/>
  <c r="J21" i="17"/>
  <c r="BJ8" i="13"/>
  <c r="L24" i="21"/>
  <c r="L24" i="19"/>
  <c r="L24" i="17"/>
  <c r="J27" i="21"/>
  <c r="J27" i="19"/>
  <c r="J27" i="17"/>
  <c r="BJ14" i="13"/>
  <c r="L36" i="21"/>
  <c r="L36" i="19"/>
  <c r="L36" i="17"/>
  <c r="L42" i="19"/>
  <c r="L42" i="17"/>
  <c r="L42" i="21"/>
  <c r="J35" i="27"/>
  <c r="J35" i="23"/>
  <c r="J35" i="25"/>
  <c r="BJ22" i="14"/>
  <c r="J41" i="27"/>
  <c r="J41" i="23"/>
  <c r="J41" i="25"/>
  <c r="BJ28" i="14"/>
  <c r="L30" i="35"/>
  <c r="K30" i="35"/>
  <c r="L30" i="33"/>
  <c r="K30" i="33"/>
  <c r="K30" i="27"/>
  <c r="L30" i="29"/>
  <c r="K30" i="29"/>
  <c r="L30" i="31"/>
  <c r="K30" i="23"/>
  <c r="K30" i="25"/>
  <c r="K30" i="21"/>
  <c r="Q30" i="21" s="1"/>
  <c r="K30" i="19"/>
  <c r="K30" i="17"/>
  <c r="K30" i="31"/>
  <c r="L33" i="35"/>
  <c r="L33" i="33"/>
  <c r="K33" i="33"/>
  <c r="K33" i="35"/>
  <c r="K33" i="31"/>
  <c r="Q33" i="31" s="1"/>
  <c r="L33" i="31"/>
  <c r="K33" i="27"/>
  <c r="L33" i="29"/>
  <c r="K33" i="29"/>
  <c r="K33" i="23"/>
  <c r="K33" i="21"/>
  <c r="K33" i="19"/>
  <c r="K33" i="25"/>
  <c r="Q33" i="25" s="1"/>
  <c r="K33" i="17"/>
  <c r="M22" i="35"/>
  <c r="M22" i="33"/>
  <c r="M22" i="31"/>
  <c r="M22" i="29"/>
  <c r="M22" i="27"/>
  <c r="M22" i="25"/>
  <c r="M22" i="23"/>
  <c r="M22" i="21"/>
  <c r="M22" i="19"/>
  <c r="M22" i="17"/>
  <c r="M27" i="35"/>
  <c r="M27" i="33"/>
  <c r="M27" i="31"/>
  <c r="M27" i="29"/>
  <c r="M27" i="25"/>
  <c r="M27" i="27"/>
  <c r="M27" i="23"/>
  <c r="M27" i="21"/>
  <c r="M27" i="19"/>
  <c r="M27" i="17"/>
  <c r="M35" i="35"/>
  <c r="M35" i="33"/>
  <c r="M35" i="31"/>
  <c r="M35" i="29"/>
  <c r="M35" i="27"/>
  <c r="M35" i="25"/>
  <c r="M35" i="23"/>
  <c r="M35" i="21"/>
  <c r="M35" i="19"/>
  <c r="M35" i="17"/>
  <c r="O18" i="35"/>
  <c r="O18" i="33"/>
  <c r="O18" i="29"/>
  <c r="O18" i="31"/>
  <c r="O18" i="23"/>
  <c r="O18" i="27"/>
  <c r="O18" i="25"/>
  <c r="O18" i="21"/>
  <c r="O18" i="19"/>
  <c r="O18" i="17"/>
  <c r="N44" i="35"/>
  <c r="N44" i="33"/>
  <c r="N44" i="31"/>
  <c r="N44" i="29"/>
  <c r="N44" i="27"/>
  <c r="N44" i="25"/>
  <c r="N44" i="23"/>
  <c r="N44" i="21"/>
  <c r="N44" i="19"/>
  <c r="N44" i="17"/>
  <c r="BJ119" i="15"/>
  <c r="C50" i="11"/>
  <c r="C71" i="11"/>
  <c r="B73" i="11"/>
  <c r="B75" i="11"/>
  <c r="E78" i="11"/>
  <c r="B83" i="11"/>
  <c r="B85" i="11"/>
  <c r="B87" i="11"/>
  <c r="D89" i="11"/>
  <c r="L18" i="19"/>
  <c r="L18" i="17"/>
  <c r="L18" i="21"/>
  <c r="J55" i="21"/>
  <c r="J55" i="19"/>
  <c r="J55" i="17"/>
  <c r="BJ42" i="13"/>
  <c r="J17" i="27"/>
  <c r="J17" i="23"/>
  <c r="J17" i="25"/>
  <c r="BJ4" i="14"/>
  <c r="L32" i="27"/>
  <c r="L32" i="25"/>
  <c r="L32" i="23"/>
  <c r="L38" i="27"/>
  <c r="L38" i="25"/>
  <c r="L38" i="23"/>
  <c r="L27" i="35"/>
  <c r="K27" i="35"/>
  <c r="L27" i="33"/>
  <c r="K27" i="33"/>
  <c r="L27" i="31"/>
  <c r="K27" i="31"/>
  <c r="L27" i="29"/>
  <c r="K27" i="29"/>
  <c r="K27" i="27"/>
  <c r="K27" i="25"/>
  <c r="K27" i="21"/>
  <c r="K27" i="19"/>
  <c r="K27" i="23"/>
  <c r="K27" i="17"/>
  <c r="J37" i="35"/>
  <c r="J37" i="33"/>
  <c r="J37" i="31"/>
  <c r="J37" i="29"/>
  <c r="BJ24" i="15"/>
  <c r="M36" i="35"/>
  <c r="M36" i="33"/>
  <c r="M36" i="29"/>
  <c r="M36" i="27"/>
  <c r="M36" i="31"/>
  <c r="M36" i="23"/>
  <c r="M36" i="25"/>
  <c r="M36" i="21"/>
  <c r="M36" i="19"/>
  <c r="M36" i="17"/>
  <c r="M41" i="35"/>
  <c r="M41" i="33"/>
  <c r="M41" i="31"/>
  <c r="M41" i="29"/>
  <c r="M41" i="27"/>
  <c r="M41" i="25"/>
  <c r="M41" i="21"/>
  <c r="M41" i="19"/>
  <c r="M41" i="23"/>
  <c r="M41" i="17"/>
  <c r="M45" i="35"/>
  <c r="M45" i="33"/>
  <c r="M45" i="31"/>
  <c r="M45" i="27"/>
  <c r="M45" i="29"/>
  <c r="M45" i="25"/>
  <c r="M45" i="23"/>
  <c r="M45" i="19"/>
  <c r="M45" i="17"/>
  <c r="M45" i="21"/>
  <c r="N24" i="35"/>
  <c r="N24" i="33"/>
  <c r="N24" i="31"/>
  <c r="N24" i="29"/>
  <c r="N24" i="27"/>
  <c r="N24" i="25"/>
  <c r="N24" i="23"/>
  <c r="N24" i="19"/>
  <c r="N24" i="21"/>
  <c r="N24" i="17"/>
  <c r="BJ99" i="15"/>
  <c r="H27" i="19"/>
  <c r="H27" i="17"/>
  <c r="H48" i="17"/>
  <c r="H48" i="19"/>
  <c r="J18" i="21"/>
  <c r="J18" i="19"/>
  <c r="P18" i="19" s="1"/>
  <c r="J18" i="17"/>
  <c r="P18" i="17" s="1"/>
  <c r="J26" i="21"/>
  <c r="J26" i="19"/>
  <c r="P26" i="19" s="1"/>
  <c r="J26" i="17"/>
  <c r="J34" i="21"/>
  <c r="J34" i="19"/>
  <c r="P34" i="19" s="1"/>
  <c r="J34" i="17"/>
  <c r="P34" i="17" s="1"/>
  <c r="J42" i="21"/>
  <c r="P42" i="21" s="1"/>
  <c r="J42" i="19"/>
  <c r="J42" i="17"/>
  <c r="P42" i="17" s="1"/>
  <c r="J50" i="21"/>
  <c r="J50" i="19"/>
  <c r="P50" i="19" s="1"/>
  <c r="J50" i="17"/>
  <c r="P50" i="17" s="1"/>
  <c r="J22" i="27"/>
  <c r="J22" i="23"/>
  <c r="J22" i="25"/>
  <c r="P22" i="25" s="1"/>
  <c r="J30" i="27"/>
  <c r="J30" i="23"/>
  <c r="J30" i="25"/>
  <c r="J38" i="27"/>
  <c r="J38" i="23"/>
  <c r="J38" i="25"/>
  <c r="J46" i="27"/>
  <c r="J46" i="25"/>
  <c r="P46" i="25" s="1"/>
  <c r="J46" i="23"/>
  <c r="J54" i="27"/>
  <c r="J54" i="25"/>
  <c r="J54" i="23"/>
  <c r="J16" i="35"/>
  <c r="J16" i="33"/>
  <c r="J16" i="31"/>
  <c r="J16" i="29"/>
  <c r="BJ3" i="15"/>
  <c r="J22" i="35"/>
  <c r="J22" i="33"/>
  <c r="J22" i="31"/>
  <c r="J22" i="29"/>
  <c r="J25" i="35"/>
  <c r="P25" i="35" s="1"/>
  <c r="J25" i="33"/>
  <c r="P25" i="33" s="1"/>
  <c r="J25" i="31"/>
  <c r="P25" i="31" s="1"/>
  <c r="J25" i="29"/>
  <c r="P25" i="29" s="1"/>
  <c r="K39" i="35"/>
  <c r="L39" i="35"/>
  <c r="L39" i="33"/>
  <c r="K39" i="33"/>
  <c r="L39" i="31"/>
  <c r="K39" i="31"/>
  <c r="L39" i="29"/>
  <c r="K39" i="29"/>
  <c r="K39" i="27"/>
  <c r="K39" i="25"/>
  <c r="K39" i="23"/>
  <c r="K39" i="19"/>
  <c r="K39" i="17"/>
  <c r="K39" i="21"/>
  <c r="J48" i="35"/>
  <c r="J48" i="33"/>
  <c r="J48" i="29"/>
  <c r="J48" i="31"/>
  <c r="BJ35" i="15"/>
  <c r="J54" i="35"/>
  <c r="J54" i="33"/>
  <c r="J54" i="31"/>
  <c r="J54" i="29"/>
  <c r="H16" i="17"/>
  <c r="H16" i="19"/>
  <c r="H23" i="19"/>
  <c r="H23" i="17"/>
  <c r="H30" i="19"/>
  <c r="H30" i="17"/>
  <c r="H34" i="19"/>
  <c r="H34" i="17"/>
  <c r="J16" i="21"/>
  <c r="J16" i="19"/>
  <c r="J16" i="17"/>
  <c r="J24" i="21"/>
  <c r="J24" i="19"/>
  <c r="P24" i="19" s="1"/>
  <c r="J24" i="17"/>
  <c r="P24" i="17" s="1"/>
  <c r="J32" i="21"/>
  <c r="J32" i="19"/>
  <c r="P32" i="19" s="1"/>
  <c r="J32" i="17"/>
  <c r="J40" i="21"/>
  <c r="J40" i="19"/>
  <c r="J40" i="17"/>
  <c r="J48" i="21"/>
  <c r="J48" i="19"/>
  <c r="J48" i="17"/>
  <c r="J20" i="25"/>
  <c r="J20" i="27"/>
  <c r="J20" i="23"/>
  <c r="J28" i="25"/>
  <c r="J28" i="23"/>
  <c r="J28" i="27"/>
  <c r="P28" i="27" s="1"/>
  <c r="J36" i="27"/>
  <c r="J36" i="25"/>
  <c r="J36" i="23"/>
  <c r="P36" i="23" s="1"/>
  <c r="J44" i="27"/>
  <c r="J44" i="23"/>
  <c r="J44" i="25"/>
  <c r="P44" i="25" s="1"/>
  <c r="J52" i="27"/>
  <c r="J52" i="25"/>
  <c r="J52" i="23"/>
  <c r="J17" i="35"/>
  <c r="J17" i="31"/>
  <c r="P17" i="31" s="1"/>
  <c r="J17" i="33"/>
  <c r="J17" i="29"/>
  <c r="K31" i="35"/>
  <c r="L31" i="35"/>
  <c r="L31" i="33"/>
  <c r="K31" i="33"/>
  <c r="L31" i="31"/>
  <c r="K31" i="31"/>
  <c r="L31" i="29"/>
  <c r="K31" i="29"/>
  <c r="K31" i="27"/>
  <c r="K31" i="25"/>
  <c r="K31" i="23"/>
  <c r="K31" i="19"/>
  <c r="K31" i="17"/>
  <c r="K31" i="21"/>
  <c r="J40" i="35"/>
  <c r="J40" i="33"/>
  <c r="J40" i="31"/>
  <c r="J40" i="29"/>
  <c r="BJ27" i="15"/>
  <c r="J46" i="35"/>
  <c r="J46" i="33"/>
  <c r="J46" i="31"/>
  <c r="P46" i="31" s="1"/>
  <c r="J46" i="29"/>
  <c r="J49" i="35"/>
  <c r="J49" i="33"/>
  <c r="J49" i="31"/>
  <c r="J49" i="29"/>
  <c r="H31" i="19"/>
  <c r="H31" i="17"/>
  <c r="H38" i="19"/>
  <c r="H38" i="17"/>
  <c r="H42" i="19"/>
  <c r="H42" i="17"/>
  <c r="L32" i="21"/>
  <c r="L32" i="19"/>
  <c r="L32" i="17"/>
  <c r="J35" i="21"/>
  <c r="J35" i="19"/>
  <c r="J35" i="17"/>
  <c r="L40" i="21"/>
  <c r="L40" i="19"/>
  <c r="L40" i="17"/>
  <c r="J43" i="21"/>
  <c r="J43" i="19"/>
  <c r="J43" i="17"/>
  <c r="L48" i="21"/>
  <c r="L48" i="19"/>
  <c r="L48" i="17"/>
  <c r="J51" i="21"/>
  <c r="J51" i="19"/>
  <c r="J51" i="17"/>
  <c r="L20" i="27"/>
  <c r="L20" i="23"/>
  <c r="L20" i="25"/>
  <c r="J23" i="27"/>
  <c r="J23" i="25"/>
  <c r="J23" i="23"/>
  <c r="L28" i="27"/>
  <c r="L28" i="23"/>
  <c r="L28" i="25"/>
  <c r="J31" i="25"/>
  <c r="J31" i="27"/>
  <c r="J31" i="23"/>
  <c r="L36" i="27"/>
  <c r="L36" i="23"/>
  <c r="L36" i="25"/>
  <c r="J39" i="27"/>
  <c r="J39" i="25"/>
  <c r="J39" i="23"/>
  <c r="L44" i="27"/>
  <c r="L44" i="25"/>
  <c r="L44" i="23"/>
  <c r="J47" i="27"/>
  <c r="J47" i="25"/>
  <c r="J47" i="23"/>
  <c r="L52" i="27"/>
  <c r="L52" i="25"/>
  <c r="L52" i="23"/>
  <c r="J55" i="27"/>
  <c r="J55" i="23"/>
  <c r="J55" i="25"/>
  <c r="L17" i="35"/>
  <c r="L17" i="33"/>
  <c r="K17" i="33"/>
  <c r="K17" i="35"/>
  <c r="K17" i="31"/>
  <c r="L17" i="31"/>
  <c r="K17" i="29"/>
  <c r="L17" i="29"/>
  <c r="K17" i="27"/>
  <c r="K17" i="23"/>
  <c r="K17" i="21"/>
  <c r="K17" i="19"/>
  <c r="K17" i="17"/>
  <c r="Q17" i="17" s="1"/>
  <c r="K17" i="25"/>
  <c r="J20" i="35"/>
  <c r="J20" i="33"/>
  <c r="J20" i="31"/>
  <c r="J20" i="29"/>
  <c r="BJ7" i="15"/>
  <c r="J26" i="35"/>
  <c r="J26" i="33"/>
  <c r="J26" i="31"/>
  <c r="J26" i="29"/>
  <c r="J29" i="35"/>
  <c r="J29" i="33"/>
  <c r="J29" i="31"/>
  <c r="J29" i="29"/>
  <c r="L43" i="35"/>
  <c r="K43" i="35"/>
  <c r="L43" i="33"/>
  <c r="K43" i="33"/>
  <c r="L43" i="31"/>
  <c r="K43" i="31"/>
  <c r="L43" i="29"/>
  <c r="K43" i="29"/>
  <c r="K43" i="25"/>
  <c r="K43" i="27"/>
  <c r="K43" i="21"/>
  <c r="K43" i="19"/>
  <c r="K43" i="23"/>
  <c r="K43" i="17"/>
  <c r="L46" i="35"/>
  <c r="K46" i="35"/>
  <c r="Q46" i="35" s="1"/>
  <c r="L46" i="33"/>
  <c r="K46" i="33"/>
  <c r="Q46" i="33" s="1"/>
  <c r="K46" i="27"/>
  <c r="L46" i="31"/>
  <c r="L46" i="29"/>
  <c r="K46" i="31"/>
  <c r="K46" i="29"/>
  <c r="Q46" i="29" s="1"/>
  <c r="K46" i="23"/>
  <c r="Q46" i="23" s="1"/>
  <c r="K46" i="25"/>
  <c r="K46" i="21"/>
  <c r="Q46" i="21" s="1"/>
  <c r="K46" i="19"/>
  <c r="Q46" i="19" s="1"/>
  <c r="K46" i="17"/>
  <c r="L49" i="35"/>
  <c r="L49" i="33"/>
  <c r="K49" i="33"/>
  <c r="K49" i="35"/>
  <c r="K49" i="31"/>
  <c r="L49" i="31"/>
  <c r="K49" i="27"/>
  <c r="L49" i="29"/>
  <c r="K49" i="29"/>
  <c r="K49" i="25"/>
  <c r="K49" i="23"/>
  <c r="K49" i="21"/>
  <c r="K49" i="19"/>
  <c r="K49" i="17"/>
  <c r="Q49" i="17" s="1"/>
  <c r="J52" i="35"/>
  <c r="J52" i="33"/>
  <c r="J52" i="31"/>
  <c r="J52" i="29"/>
  <c r="BJ39" i="15"/>
  <c r="M17" i="35"/>
  <c r="M17" i="33"/>
  <c r="M17" i="31"/>
  <c r="M17" i="29"/>
  <c r="M17" i="27"/>
  <c r="M17" i="25"/>
  <c r="M17" i="21"/>
  <c r="M17" i="19"/>
  <c r="M17" i="23"/>
  <c r="M17" i="17"/>
  <c r="M30" i="35"/>
  <c r="M30" i="33"/>
  <c r="M30" i="31"/>
  <c r="M30" i="29"/>
  <c r="M30" i="25"/>
  <c r="M30" i="23"/>
  <c r="M30" i="21"/>
  <c r="M30" i="27"/>
  <c r="M30" i="19"/>
  <c r="M30" i="17"/>
  <c r="M33" i="35"/>
  <c r="M33" i="33"/>
  <c r="M33" i="31"/>
  <c r="M33" i="29"/>
  <c r="M33" i="27"/>
  <c r="M33" i="25"/>
  <c r="M33" i="21"/>
  <c r="M33" i="19"/>
  <c r="M33" i="23"/>
  <c r="M33" i="17"/>
  <c r="M46" i="35"/>
  <c r="M46" i="33"/>
  <c r="M46" i="31"/>
  <c r="M46" i="29"/>
  <c r="M46" i="27"/>
  <c r="M46" i="25"/>
  <c r="M46" i="23"/>
  <c r="M46" i="21"/>
  <c r="M46" i="19"/>
  <c r="M46" i="17"/>
  <c r="M49" i="35"/>
  <c r="M49" i="33"/>
  <c r="M49" i="31"/>
  <c r="M49" i="29"/>
  <c r="M49" i="27"/>
  <c r="M49" i="25"/>
  <c r="M49" i="21"/>
  <c r="M49" i="19"/>
  <c r="M49" i="23"/>
  <c r="M49" i="17"/>
  <c r="N16" i="35"/>
  <c r="N16" i="33"/>
  <c r="N16" i="31"/>
  <c r="N16" i="29"/>
  <c r="N16" i="27"/>
  <c r="N16" i="25"/>
  <c r="N16" i="23"/>
  <c r="N16" i="19"/>
  <c r="N16" i="21"/>
  <c r="N16" i="17"/>
  <c r="N19" i="35"/>
  <c r="N19" i="33"/>
  <c r="N19" i="31"/>
  <c r="N19" i="29"/>
  <c r="N19" i="25"/>
  <c r="N19" i="23"/>
  <c r="N19" i="21"/>
  <c r="N19" i="19"/>
  <c r="N19" i="27"/>
  <c r="N19" i="17"/>
  <c r="BJ94" i="15"/>
  <c r="O22" i="35"/>
  <c r="O22" i="33"/>
  <c r="O22" i="31"/>
  <c r="O22" i="29"/>
  <c r="O22" i="27"/>
  <c r="O22" i="25"/>
  <c r="O22" i="23"/>
  <c r="O22" i="21"/>
  <c r="O22" i="19"/>
  <c r="O22" i="17"/>
  <c r="N29" i="35"/>
  <c r="N29" i="33"/>
  <c r="N29" i="31"/>
  <c r="N29" i="27"/>
  <c r="N29" i="29"/>
  <c r="N29" i="23"/>
  <c r="N29" i="19"/>
  <c r="N29" i="25"/>
  <c r="N29" i="21"/>
  <c r="N29" i="17"/>
  <c r="N32" i="35"/>
  <c r="N32" i="33"/>
  <c r="N32" i="31"/>
  <c r="N32" i="29"/>
  <c r="N32" i="25"/>
  <c r="N32" i="23"/>
  <c r="N32" i="19"/>
  <c r="N32" i="21"/>
  <c r="N32" i="17"/>
  <c r="N32" i="27"/>
  <c r="N35" i="35"/>
  <c r="N35" i="33"/>
  <c r="N35" i="31"/>
  <c r="N35" i="29"/>
  <c r="N35" i="27"/>
  <c r="N35" i="25"/>
  <c r="N35" i="23"/>
  <c r="N35" i="21"/>
  <c r="N35" i="19"/>
  <c r="N35" i="17"/>
  <c r="BJ110" i="15"/>
  <c r="O38" i="35"/>
  <c r="O38" i="33"/>
  <c r="O38" i="31"/>
  <c r="O38" i="29"/>
  <c r="O38" i="27"/>
  <c r="O38" i="25"/>
  <c r="O38" i="23"/>
  <c r="O38" i="21"/>
  <c r="O38" i="19"/>
  <c r="O38" i="17"/>
  <c r="N45" i="35"/>
  <c r="N45" i="33"/>
  <c r="N45" i="31"/>
  <c r="N45" i="27"/>
  <c r="N45" i="29"/>
  <c r="N45" i="25"/>
  <c r="N45" i="23"/>
  <c r="N45" i="19"/>
  <c r="N45" i="21"/>
  <c r="N45" i="17"/>
  <c r="N48" i="35"/>
  <c r="N48" i="33"/>
  <c r="N48" i="31"/>
  <c r="N48" i="29"/>
  <c r="N48" i="27"/>
  <c r="N48" i="23"/>
  <c r="N48" i="19"/>
  <c r="N48" i="25"/>
  <c r="N48" i="21"/>
  <c r="N48" i="17"/>
  <c r="N51" i="33"/>
  <c r="N51" i="35"/>
  <c r="N51" i="31"/>
  <c r="N51" i="29"/>
  <c r="N51" i="27"/>
  <c r="N51" i="23"/>
  <c r="N51" i="21"/>
  <c r="N51" i="19"/>
  <c r="N51" i="25"/>
  <c r="N51" i="17"/>
  <c r="BJ126" i="15"/>
  <c r="H21" i="19"/>
  <c r="H21" i="17"/>
  <c r="H24" i="17"/>
  <c r="H24" i="19"/>
  <c r="H35" i="19"/>
  <c r="H35" i="17"/>
  <c r="J22" i="21"/>
  <c r="J22" i="19"/>
  <c r="P22" i="19" s="1"/>
  <c r="J22" i="17"/>
  <c r="J30" i="21"/>
  <c r="P30" i="21" s="1"/>
  <c r="J30" i="19"/>
  <c r="J30" i="17"/>
  <c r="BJ22" i="13"/>
  <c r="J38" i="21"/>
  <c r="J38" i="19"/>
  <c r="J38" i="17"/>
  <c r="BJ30" i="13"/>
  <c r="J46" i="21"/>
  <c r="P46" i="21" s="1"/>
  <c r="J46" i="19"/>
  <c r="J46" i="17"/>
  <c r="BJ38" i="13"/>
  <c r="J54" i="21"/>
  <c r="J54" i="19"/>
  <c r="J54" i="17"/>
  <c r="J18" i="27"/>
  <c r="J18" i="25"/>
  <c r="P18" i="25" s="1"/>
  <c r="J18" i="23"/>
  <c r="BJ10" i="14"/>
  <c r="J26" i="27"/>
  <c r="J26" i="25"/>
  <c r="J26" i="23"/>
  <c r="BJ18" i="14"/>
  <c r="J34" i="27"/>
  <c r="J34" i="25"/>
  <c r="P34" i="25" s="1"/>
  <c r="J34" i="23"/>
  <c r="BJ26" i="14"/>
  <c r="J42" i="27"/>
  <c r="J42" i="25"/>
  <c r="J42" i="23"/>
  <c r="BJ34" i="14"/>
  <c r="J50" i="27"/>
  <c r="J50" i="25"/>
  <c r="J50" i="23"/>
  <c r="BJ42" i="14"/>
  <c r="K23" i="35"/>
  <c r="L23" i="35"/>
  <c r="L23" i="33"/>
  <c r="K23" i="33"/>
  <c r="L23" i="31"/>
  <c r="K23" i="31"/>
  <c r="L23" i="29"/>
  <c r="K23" i="29"/>
  <c r="K23" i="27"/>
  <c r="K23" i="25"/>
  <c r="K23" i="23"/>
  <c r="K23" i="19"/>
  <c r="K23" i="17"/>
  <c r="K23" i="21"/>
  <c r="BJ13" i="15"/>
  <c r="BJ16" i="15"/>
  <c r="J32" i="35"/>
  <c r="J32" i="33"/>
  <c r="J32" i="31"/>
  <c r="J32" i="29"/>
  <c r="BJ19" i="15"/>
  <c r="J38" i="35"/>
  <c r="P38" i="35" s="1"/>
  <c r="J38" i="33"/>
  <c r="J38" i="31"/>
  <c r="J38" i="29"/>
  <c r="J41" i="35"/>
  <c r="J41" i="33"/>
  <c r="J41" i="31"/>
  <c r="P41" i="31" s="1"/>
  <c r="J41" i="29"/>
  <c r="L55" i="35"/>
  <c r="L55" i="33"/>
  <c r="L55" i="31"/>
  <c r="L55" i="29"/>
  <c r="BJ91" i="15"/>
  <c r="O29" i="35"/>
  <c r="O29" i="33"/>
  <c r="O29" i="31"/>
  <c r="O29" i="27"/>
  <c r="O29" i="29"/>
  <c r="O29" i="23"/>
  <c r="O29" i="25"/>
  <c r="O29" i="21"/>
  <c r="O29" i="19"/>
  <c r="O29" i="17"/>
  <c r="O32" i="35"/>
  <c r="O32" i="33"/>
  <c r="O32" i="31"/>
  <c r="O32" i="29"/>
  <c r="O32" i="27"/>
  <c r="O32" i="23"/>
  <c r="O32" i="25"/>
  <c r="O32" i="19"/>
  <c r="O32" i="21"/>
  <c r="O32" i="17"/>
  <c r="O45" i="35"/>
  <c r="O45" i="33"/>
  <c r="O45" i="31"/>
  <c r="O45" i="27"/>
  <c r="O45" i="29"/>
  <c r="O45" i="25"/>
  <c r="O45" i="23"/>
  <c r="O45" i="21"/>
  <c r="O45" i="19"/>
  <c r="O45" i="17"/>
  <c r="O48" i="35"/>
  <c r="O48" i="33"/>
  <c r="O48" i="31"/>
  <c r="O48" i="29"/>
  <c r="O48" i="27"/>
  <c r="O48" i="23"/>
  <c r="O48" i="25"/>
  <c r="O48" i="19"/>
  <c r="O48" i="21"/>
  <c r="O48" i="17"/>
  <c r="N52" i="35"/>
  <c r="N52" i="33"/>
  <c r="N52" i="29"/>
  <c r="N52" i="27"/>
  <c r="N52" i="25"/>
  <c r="N52" i="23"/>
  <c r="N52" i="21"/>
  <c r="N52" i="19"/>
  <c r="BJ127" i="15"/>
  <c r="N52" i="17"/>
  <c r="N52" i="31"/>
  <c r="H39" i="19"/>
  <c r="H39" i="17"/>
  <c r="H46" i="19"/>
  <c r="H46" i="17"/>
  <c r="H50" i="19"/>
  <c r="H50" i="17"/>
  <c r="J17" i="19"/>
  <c r="J17" i="21"/>
  <c r="L22" i="21"/>
  <c r="L22" i="19"/>
  <c r="L22" i="17"/>
  <c r="J25" i="19"/>
  <c r="J25" i="21"/>
  <c r="J25" i="17"/>
  <c r="L30" i="21"/>
  <c r="L30" i="19"/>
  <c r="L30" i="17"/>
  <c r="J33" i="19"/>
  <c r="J33" i="21"/>
  <c r="J33" i="17"/>
  <c r="L38" i="21"/>
  <c r="L38" i="19"/>
  <c r="L38" i="17"/>
  <c r="J41" i="19"/>
  <c r="J41" i="21"/>
  <c r="P41" i="21" s="1"/>
  <c r="J41" i="17"/>
  <c r="L46" i="21"/>
  <c r="L46" i="19"/>
  <c r="L46" i="17"/>
  <c r="J49" i="19"/>
  <c r="J49" i="21"/>
  <c r="J49" i="17"/>
  <c r="L54" i="21"/>
  <c r="L54" i="19"/>
  <c r="L54" i="17"/>
  <c r="L18" i="25"/>
  <c r="L18" i="23"/>
  <c r="L18" i="27"/>
  <c r="J21" i="27"/>
  <c r="P21" i="27" s="1"/>
  <c r="J21" i="25"/>
  <c r="J21" i="23"/>
  <c r="P21" i="23" s="1"/>
  <c r="L26" i="25"/>
  <c r="L26" i="23"/>
  <c r="L26" i="27"/>
  <c r="J29" i="27"/>
  <c r="J29" i="25"/>
  <c r="J29" i="23"/>
  <c r="P29" i="23" s="1"/>
  <c r="L34" i="25"/>
  <c r="L34" i="23"/>
  <c r="L34" i="27"/>
  <c r="J37" i="27"/>
  <c r="J37" i="25"/>
  <c r="P37" i="25" s="1"/>
  <c r="J37" i="23"/>
  <c r="L42" i="27"/>
  <c r="L42" i="23"/>
  <c r="L42" i="25"/>
  <c r="J45" i="27"/>
  <c r="P45" i="27" s="1"/>
  <c r="J45" i="25"/>
  <c r="J45" i="23"/>
  <c r="L50" i="27"/>
  <c r="L50" i="25"/>
  <c r="L50" i="23"/>
  <c r="J53" i="27"/>
  <c r="J53" i="25"/>
  <c r="J53" i="23"/>
  <c r="J18" i="35"/>
  <c r="J18" i="33"/>
  <c r="J18" i="31"/>
  <c r="J18" i="29"/>
  <c r="J21" i="35"/>
  <c r="J21" i="33"/>
  <c r="J21" i="31"/>
  <c r="J21" i="29"/>
  <c r="P21" i="29" s="1"/>
  <c r="L35" i="35"/>
  <c r="K35" i="35"/>
  <c r="L35" i="33"/>
  <c r="K35" i="33"/>
  <c r="L35" i="31"/>
  <c r="K35" i="31"/>
  <c r="L35" i="29"/>
  <c r="K35" i="29"/>
  <c r="K35" i="27"/>
  <c r="K35" i="25"/>
  <c r="K35" i="21"/>
  <c r="K35" i="19"/>
  <c r="K35" i="23"/>
  <c r="K35" i="17"/>
  <c r="L38" i="35"/>
  <c r="K38" i="35"/>
  <c r="Q38" i="35" s="1"/>
  <c r="L38" i="33"/>
  <c r="K38" i="33"/>
  <c r="Q38" i="33" s="1"/>
  <c r="K38" i="29"/>
  <c r="Q38" i="29" s="1"/>
  <c r="K38" i="27"/>
  <c r="Q38" i="27" s="1"/>
  <c r="L38" i="31"/>
  <c r="K38" i="31"/>
  <c r="L38" i="29"/>
  <c r="K38" i="23"/>
  <c r="Q38" i="23" s="1"/>
  <c r="K38" i="25"/>
  <c r="K38" i="21"/>
  <c r="Q38" i="21" s="1"/>
  <c r="K38" i="19"/>
  <c r="K38" i="17"/>
  <c r="Q38" i="17" s="1"/>
  <c r="L41" i="35"/>
  <c r="L41" i="33"/>
  <c r="K41" i="33"/>
  <c r="K41" i="35"/>
  <c r="K41" i="31"/>
  <c r="L41" i="31"/>
  <c r="K41" i="27"/>
  <c r="K41" i="29"/>
  <c r="K41" i="25"/>
  <c r="K41" i="23"/>
  <c r="L41" i="29"/>
  <c r="K41" i="21"/>
  <c r="K41" i="19"/>
  <c r="K41" i="17"/>
  <c r="J44" i="35"/>
  <c r="J44" i="33"/>
  <c r="J44" i="31"/>
  <c r="J44" i="29"/>
  <c r="BJ31" i="15"/>
  <c r="J50" i="35"/>
  <c r="P50" i="35" s="1"/>
  <c r="J50" i="33"/>
  <c r="J50" i="31"/>
  <c r="J50" i="29"/>
  <c r="J53" i="35"/>
  <c r="J53" i="33"/>
  <c r="J53" i="31"/>
  <c r="J53" i="29"/>
  <c r="M18" i="35"/>
  <c r="M18" i="31"/>
  <c r="M18" i="33"/>
  <c r="M18" i="29"/>
  <c r="M18" i="27"/>
  <c r="M18" i="23"/>
  <c r="M18" i="25"/>
  <c r="M18" i="21"/>
  <c r="M18" i="19"/>
  <c r="M21" i="35"/>
  <c r="M21" i="33"/>
  <c r="M21" i="31"/>
  <c r="M21" i="29"/>
  <c r="M21" i="25"/>
  <c r="M21" i="23"/>
  <c r="M21" i="19"/>
  <c r="M21" i="27"/>
  <c r="M21" i="17"/>
  <c r="M21" i="21"/>
  <c r="M34" i="35"/>
  <c r="M34" i="33"/>
  <c r="M34" i="31"/>
  <c r="M34" i="29"/>
  <c r="M34" i="27"/>
  <c r="M34" i="23"/>
  <c r="M34" i="25"/>
  <c r="M34" i="21"/>
  <c r="M34" i="19"/>
  <c r="M34" i="17"/>
  <c r="M37" i="35"/>
  <c r="M37" i="33"/>
  <c r="M37" i="31"/>
  <c r="M37" i="29"/>
  <c r="M37" i="27"/>
  <c r="M37" i="25"/>
  <c r="M37" i="23"/>
  <c r="M37" i="19"/>
  <c r="M37" i="17"/>
  <c r="M37" i="21"/>
  <c r="M50" i="35"/>
  <c r="M50" i="33"/>
  <c r="M50" i="31"/>
  <c r="M50" i="29"/>
  <c r="M50" i="27"/>
  <c r="M50" i="23"/>
  <c r="M50" i="21"/>
  <c r="M50" i="25"/>
  <c r="M50" i="19"/>
  <c r="M50" i="17"/>
  <c r="N17" i="35"/>
  <c r="N17" i="33"/>
  <c r="N17" i="31"/>
  <c r="N17" i="29"/>
  <c r="N17" i="27"/>
  <c r="N17" i="25"/>
  <c r="N17" i="21"/>
  <c r="N17" i="19"/>
  <c r="N17" i="23"/>
  <c r="N17" i="17"/>
  <c r="N20" i="35"/>
  <c r="N20" i="33"/>
  <c r="N20" i="31"/>
  <c r="N20" i="29"/>
  <c r="N20" i="27"/>
  <c r="N20" i="25"/>
  <c r="N20" i="23"/>
  <c r="N20" i="21"/>
  <c r="N20" i="19"/>
  <c r="N20" i="17"/>
  <c r="N23" i="35"/>
  <c r="N23" i="33"/>
  <c r="N23" i="31"/>
  <c r="N23" i="23"/>
  <c r="N23" i="27"/>
  <c r="N23" i="25"/>
  <c r="N23" i="29"/>
  <c r="N23" i="21"/>
  <c r="N23" i="19"/>
  <c r="BJ98" i="15"/>
  <c r="N23" i="17"/>
  <c r="O26" i="35"/>
  <c r="O26" i="33"/>
  <c r="O26" i="27"/>
  <c r="O26" i="29"/>
  <c r="O26" i="31"/>
  <c r="O26" i="23"/>
  <c r="O26" i="25"/>
  <c r="O26" i="21"/>
  <c r="O26" i="19"/>
  <c r="O26" i="17"/>
  <c r="N33" i="35"/>
  <c r="N33" i="33"/>
  <c r="N33" i="31"/>
  <c r="N33" i="29"/>
  <c r="N33" i="27"/>
  <c r="N33" i="25"/>
  <c r="N33" i="21"/>
  <c r="N33" i="19"/>
  <c r="N33" i="23"/>
  <c r="N33" i="17"/>
  <c r="N36" i="35"/>
  <c r="N36" i="33"/>
  <c r="N36" i="31"/>
  <c r="N36" i="29"/>
  <c r="N36" i="25"/>
  <c r="N36" i="23"/>
  <c r="N36" i="21"/>
  <c r="N36" i="19"/>
  <c r="N36" i="27"/>
  <c r="N36" i="17"/>
  <c r="N39" i="35"/>
  <c r="N39" i="33"/>
  <c r="N39" i="31"/>
  <c r="N39" i="27"/>
  <c r="N39" i="29"/>
  <c r="N39" i="23"/>
  <c r="N39" i="21"/>
  <c r="N39" i="19"/>
  <c r="BJ114" i="15"/>
  <c r="N39" i="17"/>
  <c r="N39" i="25"/>
  <c r="O42" i="35"/>
  <c r="O42" i="33"/>
  <c r="O42" i="27"/>
  <c r="O42" i="31"/>
  <c r="O42" i="29"/>
  <c r="O42" i="23"/>
  <c r="O42" i="25"/>
  <c r="O42" i="21"/>
  <c r="O42" i="19"/>
  <c r="O42" i="17"/>
  <c r="H29" i="19"/>
  <c r="H29" i="17"/>
  <c r="H32" i="17"/>
  <c r="H32" i="19"/>
  <c r="H43" i="19"/>
  <c r="H43" i="17"/>
  <c r="L25" i="21"/>
  <c r="L25" i="19"/>
  <c r="L25" i="17"/>
  <c r="J28" i="19"/>
  <c r="P28" i="19" s="1"/>
  <c r="J28" i="17"/>
  <c r="P28" i="17" s="1"/>
  <c r="J28" i="21"/>
  <c r="P28" i="21" s="1"/>
  <c r="L33" i="21"/>
  <c r="L33" i="19"/>
  <c r="L33" i="17"/>
  <c r="J36" i="19"/>
  <c r="J36" i="17"/>
  <c r="P36" i="17" s="1"/>
  <c r="J36" i="21"/>
  <c r="L41" i="21"/>
  <c r="L41" i="19"/>
  <c r="L41" i="17"/>
  <c r="J44" i="19"/>
  <c r="P44" i="19" s="1"/>
  <c r="J44" i="17"/>
  <c r="P44" i="17" s="1"/>
  <c r="J44" i="21"/>
  <c r="P44" i="21" s="1"/>
  <c r="L49" i="21"/>
  <c r="L49" i="19"/>
  <c r="L49" i="17"/>
  <c r="J52" i="19"/>
  <c r="P52" i="19" s="1"/>
  <c r="J52" i="17"/>
  <c r="J52" i="21"/>
  <c r="P52" i="21" s="1"/>
  <c r="J16" i="27"/>
  <c r="P16" i="27" s="1"/>
  <c r="J16" i="25"/>
  <c r="P16" i="25" s="1"/>
  <c r="J16" i="23"/>
  <c r="L21" i="27"/>
  <c r="L21" i="25"/>
  <c r="L21" i="23"/>
  <c r="J24" i="27"/>
  <c r="P24" i="27" s="1"/>
  <c r="J24" i="25"/>
  <c r="P24" i="25" s="1"/>
  <c r="J24" i="23"/>
  <c r="L29" i="25"/>
  <c r="L29" i="27"/>
  <c r="L29" i="23"/>
  <c r="J32" i="27"/>
  <c r="P32" i="27" s="1"/>
  <c r="J32" i="25"/>
  <c r="P32" i="25" s="1"/>
  <c r="J32" i="23"/>
  <c r="L37" i="27"/>
  <c r="L37" i="25"/>
  <c r="L37" i="23"/>
  <c r="J40" i="27"/>
  <c r="P40" i="27" s="1"/>
  <c r="J40" i="23"/>
  <c r="P40" i="23" s="1"/>
  <c r="J40" i="25"/>
  <c r="P40" i="25" s="1"/>
  <c r="L45" i="27"/>
  <c r="L45" i="25"/>
  <c r="L45" i="23"/>
  <c r="J48" i="27"/>
  <c r="J48" i="25"/>
  <c r="P48" i="25" s="1"/>
  <c r="J48" i="23"/>
  <c r="P48" i="23" s="1"/>
  <c r="L53" i="27"/>
  <c r="L53" i="25"/>
  <c r="L53" i="23"/>
  <c r="L18" i="35"/>
  <c r="K18" i="35"/>
  <c r="L18" i="33"/>
  <c r="L18" i="31"/>
  <c r="K18" i="31"/>
  <c r="Q18" i="31" s="1"/>
  <c r="K18" i="33"/>
  <c r="K18" i="29"/>
  <c r="L18" i="29"/>
  <c r="K18" i="25"/>
  <c r="K18" i="23"/>
  <c r="Q18" i="23" s="1"/>
  <c r="K18" i="21"/>
  <c r="Q18" i="21" s="1"/>
  <c r="K18" i="19"/>
  <c r="K18" i="27"/>
  <c r="Q18" i="27" s="1"/>
  <c r="K18" i="17"/>
  <c r="Q18" i="17" s="1"/>
  <c r="K21" i="35"/>
  <c r="K21" i="33"/>
  <c r="L21" i="35"/>
  <c r="L21" i="33"/>
  <c r="L21" i="31"/>
  <c r="K21" i="31"/>
  <c r="L21" i="29"/>
  <c r="K21" i="29"/>
  <c r="K21" i="27"/>
  <c r="K21" i="25"/>
  <c r="K21" i="23"/>
  <c r="K21" i="21"/>
  <c r="K21" i="19"/>
  <c r="K21" i="17"/>
  <c r="J24" i="35"/>
  <c r="J24" i="33"/>
  <c r="J24" i="31"/>
  <c r="J24" i="29"/>
  <c r="BJ11" i="15"/>
  <c r="J30" i="35"/>
  <c r="P30" i="35" s="1"/>
  <c r="J30" i="33"/>
  <c r="J30" i="31"/>
  <c r="J30" i="29"/>
  <c r="P30" i="29" s="1"/>
  <c r="J33" i="35"/>
  <c r="J33" i="33"/>
  <c r="J33" i="31"/>
  <c r="P33" i="31" s="1"/>
  <c r="J33" i="29"/>
  <c r="K47" i="35"/>
  <c r="L47" i="35"/>
  <c r="L47" i="33"/>
  <c r="K47" i="33"/>
  <c r="L47" i="31"/>
  <c r="K47" i="31"/>
  <c r="K47" i="27"/>
  <c r="L47" i="29"/>
  <c r="K47" i="29"/>
  <c r="K47" i="25"/>
  <c r="K47" i="23"/>
  <c r="K47" i="19"/>
  <c r="K47" i="17"/>
  <c r="K47" i="21"/>
  <c r="L50" i="35"/>
  <c r="K50" i="35"/>
  <c r="Q50" i="35" s="1"/>
  <c r="L50" i="33"/>
  <c r="L50" i="31"/>
  <c r="K50" i="33"/>
  <c r="K50" i="31"/>
  <c r="Q50" i="31" s="1"/>
  <c r="K50" i="29"/>
  <c r="L50" i="29"/>
  <c r="K50" i="27"/>
  <c r="Q50" i="27" s="1"/>
  <c r="K50" i="25"/>
  <c r="K50" i="23"/>
  <c r="Q50" i="23" s="1"/>
  <c r="K50" i="21"/>
  <c r="Q50" i="21" s="1"/>
  <c r="K50" i="19"/>
  <c r="Q50" i="19" s="1"/>
  <c r="K50" i="17"/>
  <c r="L53" i="33"/>
  <c r="L53" i="35"/>
  <c r="L53" i="31"/>
  <c r="L53" i="29"/>
  <c r="M28" i="35"/>
  <c r="M28" i="33"/>
  <c r="M28" i="27"/>
  <c r="M28" i="31"/>
  <c r="M28" i="29"/>
  <c r="M28" i="23"/>
  <c r="M28" i="25"/>
  <c r="M28" i="21"/>
  <c r="M28" i="19"/>
  <c r="M28" i="17"/>
  <c r="M31" i="33"/>
  <c r="M31" i="35"/>
  <c r="M31" i="31"/>
  <c r="M31" i="27"/>
  <c r="M31" i="29"/>
  <c r="M31" i="23"/>
  <c r="M31" i="21"/>
  <c r="M31" i="25"/>
  <c r="M31" i="19"/>
  <c r="M31" i="17"/>
  <c r="M44" i="35"/>
  <c r="M44" i="33"/>
  <c r="M44" i="27"/>
  <c r="M44" i="31"/>
  <c r="M44" i="29"/>
  <c r="M44" i="23"/>
  <c r="M44" i="25"/>
  <c r="M44" i="21"/>
  <c r="M44" i="19"/>
  <c r="M44" i="17"/>
  <c r="M47" i="33"/>
  <c r="M47" i="35"/>
  <c r="M47" i="31"/>
  <c r="M47" i="27"/>
  <c r="M47" i="29"/>
  <c r="M47" i="25"/>
  <c r="M47" i="23"/>
  <c r="M47" i="21"/>
  <c r="M47" i="19"/>
  <c r="M47" i="17"/>
  <c r="O17" i="35"/>
  <c r="O17" i="33"/>
  <c r="O17" i="31"/>
  <c r="O17" i="29"/>
  <c r="O17" i="27"/>
  <c r="O17" i="25"/>
  <c r="O17" i="23"/>
  <c r="O17" i="21"/>
  <c r="O17" i="19"/>
  <c r="O17" i="17"/>
  <c r="O20" i="35"/>
  <c r="O20" i="33"/>
  <c r="O20" i="31"/>
  <c r="O20" i="29"/>
  <c r="O20" i="27"/>
  <c r="O20" i="25"/>
  <c r="O20" i="21"/>
  <c r="O20" i="19"/>
  <c r="O20" i="23"/>
  <c r="O20" i="17"/>
  <c r="O33" i="35"/>
  <c r="O33" i="33"/>
  <c r="O33" i="31"/>
  <c r="O33" i="29"/>
  <c r="O33" i="27"/>
  <c r="O33" i="25"/>
  <c r="O33" i="23"/>
  <c r="O33" i="21"/>
  <c r="O33" i="19"/>
  <c r="O33" i="17"/>
  <c r="O36" i="35"/>
  <c r="O36" i="33"/>
  <c r="O36" i="31"/>
  <c r="O36" i="29"/>
  <c r="O36" i="27"/>
  <c r="O36" i="25"/>
  <c r="O36" i="21"/>
  <c r="O36" i="19"/>
  <c r="O36" i="23"/>
  <c r="O36" i="17"/>
  <c r="O49" i="35"/>
  <c r="O49" i="33"/>
  <c r="O49" i="31"/>
  <c r="O49" i="29"/>
  <c r="O49" i="27"/>
  <c r="O49" i="25"/>
  <c r="O49" i="23"/>
  <c r="O49" i="21"/>
  <c r="O49" i="19"/>
  <c r="O49" i="17"/>
  <c r="H18" i="19"/>
  <c r="H18" i="17"/>
  <c r="H22" i="19"/>
  <c r="H22" i="17"/>
  <c r="H26" i="19"/>
  <c r="H26" i="17"/>
  <c r="H47" i="19"/>
  <c r="H47" i="17"/>
  <c r="J23" i="35"/>
  <c r="P23" i="35" s="1"/>
  <c r="J23" i="31"/>
  <c r="P23" i="31" s="1"/>
  <c r="J23" i="29"/>
  <c r="J23" i="33"/>
  <c r="J31" i="35"/>
  <c r="P31" i="35" s="1"/>
  <c r="J31" i="33"/>
  <c r="P31" i="33" s="1"/>
  <c r="J31" i="31"/>
  <c r="P31" i="31" s="1"/>
  <c r="J31" i="29"/>
  <c r="P31" i="29" s="1"/>
  <c r="J39" i="35"/>
  <c r="J39" i="31"/>
  <c r="J39" i="29"/>
  <c r="J47" i="35"/>
  <c r="P47" i="35" s="1"/>
  <c r="J47" i="33"/>
  <c r="J47" i="31"/>
  <c r="P47" i="31" s="1"/>
  <c r="J47" i="29"/>
  <c r="P47" i="29" s="1"/>
  <c r="J55" i="35"/>
  <c r="J55" i="33"/>
  <c r="J55" i="31"/>
  <c r="J55" i="29"/>
  <c r="N22" i="35"/>
  <c r="N22" i="33"/>
  <c r="N22" i="31"/>
  <c r="N22" i="29"/>
  <c r="N22" i="27"/>
  <c r="N22" i="25"/>
  <c r="N22" i="23"/>
  <c r="N22" i="21"/>
  <c r="N22" i="19"/>
  <c r="N30" i="35"/>
  <c r="N30" i="33"/>
  <c r="N30" i="31"/>
  <c r="N30" i="29"/>
  <c r="N30" i="27"/>
  <c r="N30" i="25"/>
  <c r="N30" i="23"/>
  <c r="N30" i="21"/>
  <c r="N30" i="19"/>
  <c r="N38" i="35"/>
  <c r="N38" i="33"/>
  <c r="N38" i="31"/>
  <c r="N38" i="29"/>
  <c r="N38" i="27"/>
  <c r="N38" i="25"/>
  <c r="N38" i="23"/>
  <c r="N38" i="21"/>
  <c r="N38" i="19"/>
  <c r="N46" i="35"/>
  <c r="N46" i="33"/>
  <c r="N46" i="31"/>
  <c r="N46" i="29"/>
  <c r="N46" i="27"/>
  <c r="N46" i="25"/>
  <c r="N46" i="23"/>
  <c r="N46" i="21"/>
  <c r="N46" i="19"/>
  <c r="H45" i="17"/>
  <c r="N49" i="35"/>
  <c r="N49" i="33"/>
  <c r="N49" i="31"/>
  <c r="N49" i="29"/>
  <c r="N49" i="27"/>
  <c r="N49" i="25"/>
  <c r="N49" i="21"/>
  <c r="N49" i="19"/>
  <c r="N49" i="23"/>
  <c r="N49" i="17"/>
  <c r="H20" i="17"/>
  <c r="N22" i="17"/>
  <c r="H28" i="17"/>
  <c r="N30" i="17"/>
  <c r="H36" i="17"/>
  <c r="N38" i="17"/>
  <c r="H44" i="17"/>
  <c r="N46" i="17"/>
  <c r="H52" i="17"/>
  <c r="AI33" i="28"/>
  <c r="BQ33" i="28"/>
  <c r="J19" i="35"/>
  <c r="P19" i="35" s="1"/>
  <c r="J19" i="33"/>
  <c r="P19" i="33" s="1"/>
  <c r="J19" i="31"/>
  <c r="P19" i="31" s="1"/>
  <c r="J19" i="29"/>
  <c r="P19" i="29" s="1"/>
  <c r="J27" i="35"/>
  <c r="P27" i="35" s="1"/>
  <c r="J27" i="33"/>
  <c r="P27" i="33" s="1"/>
  <c r="J27" i="31"/>
  <c r="P27" i="31" s="1"/>
  <c r="J27" i="29"/>
  <c r="P27" i="29" s="1"/>
  <c r="J35" i="35"/>
  <c r="P35" i="35" s="1"/>
  <c r="J35" i="33"/>
  <c r="P35" i="33" s="1"/>
  <c r="J35" i="31"/>
  <c r="P35" i="31" s="1"/>
  <c r="J35" i="29"/>
  <c r="P35" i="29" s="1"/>
  <c r="J43" i="35"/>
  <c r="P43" i="35" s="1"/>
  <c r="J43" i="33"/>
  <c r="P43" i="33" s="1"/>
  <c r="J43" i="31"/>
  <c r="P43" i="31" s="1"/>
  <c r="J43" i="29"/>
  <c r="J51" i="35"/>
  <c r="P51" i="35" s="1"/>
  <c r="J51" i="33"/>
  <c r="P51" i="33" s="1"/>
  <c r="J51" i="31"/>
  <c r="P51" i="31" s="1"/>
  <c r="J51" i="29"/>
  <c r="P51" i="29" s="1"/>
  <c r="N18" i="35"/>
  <c r="N18" i="33"/>
  <c r="N18" i="31"/>
  <c r="N18" i="29"/>
  <c r="N18" i="27"/>
  <c r="N18" i="23"/>
  <c r="N18" i="25"/>
  <c r="N18" i="21"/>
  <c r="N26" i="35"/>
  <c r="N26" i="33"/>
  <c r="N26" i="31"/>
  <c r="N26" i="27"/>
  <c r="N26" i="29"/>
  <c r="N26" i="23"/>
  <c r="N26" i="25"/>
  <c r="N26" i="21"/>
  <c r="N34" i="35"/>
  <c r="N34" i="33"/>
  <c r="N34" i="31"/>
  <c r="N34" i="29"/>
  <c r="N34" i="27"/>
  <c r="N34" i="23"/>
  <c r="N34" i="25"/>
  <c r="N34" i="21"/>
  <c r="N42" i="35"/>
  <c r="N42" i="33"/>
  <c r="N42" i="31"/>
  <c r="N42" i="27"/>
  <c r="N42" i="29"/>
  <c r="N42" i="25"/>
  <c r="N42" i="23"/>
  <c r="N42" i="21"/>
  <c r="N50" i="33"/>
  <c r="N50" i="35"/>
  <c r="N50" i="31"/>
  <c r="N50" i="29"/>
  <c r="N50" i="27"/>
  <c r="N50" i="25"/>
  <c r="N50" i="23"/>
  <c r="N50" i="21"/>
  <c r="H17" i="17"/>
  <c r="H25" i="17"/>
  <c r="H33" i="17"/>
  <c r="H41" i="17"/>
  <c r="H49" i="17"/>
  <c r="AI34" i="28"/>
  <c r="BQ34" i="28"/>
  <c r="AI10" i="28"/>
  <c r="BQ10" i="28"/>
  <c r="AI18" i="28"/>
  <c r="BQ18" i="28"/>
  <c r="AI26" i="28"/>
  <c r="BQ26" i="28"/>
  <c r="AI41" i="28"/>
  <c r="BQ41" i="28"/>
  <c r="AI9" i="28"/>
  <c r="BQ9" i="28"/>
  <c r="AI17" i="28"/>
  <c r="BQ17" i="28"/>
  <c r="AI25" i="28"/>
  <c r="BQ25" i="28"/>
  <c r="BQ8" i="28"/>
  <c r="BQ16" i="28"/>
  <c r="BQ24" i="28"/>
  <c r="L53" i="21" l="1"/>
  <c r="L53" i="19"/>
  <c r="L53" i="17"/>
  <c r="P16" i="23"/>
  <c r="P50" i="29"/>
  <c r="Q38" i="19"/>
  <c r="P18" i="31"/>
  <c r="P33" i="17"/>
  <c r="P25" i="19"/>
  <c r="P38" i="29"/>
  <c r="P42" i="27"/>
  <c r="P26" i="27"/>
  <c r="L51" i="21"/>
  <c r="L51" i="19"/>
  <c r="L51" i="17"/>
  <c r="L35" i="21"/>
  <c r="L35" i="19"/>
  <c r="P35" i="19" s="1"/>
  <c r="L35" i="17"/>
  <c r="Q49" i="29"/>
  <c r="P51" i="21"/>
  <c r="P49" i="33"/>
  <c r="P28" i="25"/>
  <c r="P40" i="19"/>
  <c r="P16" i="17"/>
  <c r="P22" i="33"/>
  <c r="P30" i="25"/>
  <c r="P50" i="21"/>
  <c r="Q30" i="31"/>
  <c r="K45" i="35"/>
  <c r="Q45" i="35" s="1"/>
  <c r="K45" i="33"/>
  <c r="Q45" i="33" s="1"/>
  <c r="L45" i="35"/>
  <c r="L45" i="31"/>
  <c r="K45" i="31"/>
  <c r="Q45" i="31" s="1"/>
  <c r="L45" i="29"/>
  <c r="K45" i="29"/>
  <c r="Q45" i="29" s="1"/>
  <c r="K45" i="27"/>
  <c r="Q45" i="27" s="1"/>
  <c r="K45" i="25"/>
  <c r="Q45" i="25" s="1"/>
  <c r="K45" i="23"/>
  <c r="Q45" i="23" s="1"/>
  <c r="K45" i="21"/>
  <c r="Q45" i="21" s="1"/>
  <c r="K45" i="19"/>
  <c r="Q45" i="19" s="1"/>
  <c r="K45" i="17"/>
  <c r="Q45" i="17" s="1"/>
  <c r="L45" i="33"/>
  <c r="L27" i="27"/>
  <c r="L27" i="25"/>
  <c r="P27" i="25" s="1"/>
  <c r="L27" i="23"/>
  <c r="Q22" i="25"/>
  <c r="E123" i="10"/>
  <c r="D123" i="10"/>
  <c r="C123" i="10"/>
  <c r="B123" i="10"/>
  <c r="A123" i="10"/>
  <c r="F104" i="6"/>
  <c r="E104" i="6"/>
  <c r="D104" i="6"/>
  <c r="F88" i="6"/>
  <c r="E88" i="6"/>
  <c r="D88" i="6"/>
  <c r="F72" i="6"/>
  <c r="E72" i="6"/>
  <c r="D72" i="6"/>
  <c r="L51" i="27"/>
  <c r="L51" i="25"/>
  <c r="P51" i="25" s="1"/>
  <c r="L51" i="23"/>
  <c r="D117" i="10"/>
  <c r="C117" i="10"/>
  <c r="B117" i="10"/>
  <c r="A117" i="10"/>
  <c r="E117" i="10"/>
  <c r="D101" i="10"/>
  <c r="C101" i="10"/>
  <c r="B101" i="10"/>
  <c r="A101" i="10"/>
  <c r="E101" i="10"/>
  <c r="E41" i="10"/>
  <c r="D41" i="10"/>
  <c r="B41" i="10"/>
  <c r="C41" i="10"/>
  <c r="A41" i="10"/>
  <c r="O25" i="35"/>
  <c r="O25" i="33"/>
  <c r="O25" i="31"/>
  <c r="Q25" i="31" s="1"/>
  <c r="O25" i="29"/>
  <c r="O25" i="25"/>
  <c r="Q25" i="25" s="1"/>
  <c r="O25" i="27"/>
  <c r="O25" i="23"/>
  <c r="Q25" i="23" s="1"/>
  <c r="O25" i="21"/>
  <c r="O25" i="19"/>
  <c r="O25" i="17"/>
  <c r="P20" i="25"/>
  <c r="L21" i="21"/>
  <c r="L21" i="19"/>
  <c r="L21" i="17"/>
  <c r="K36" i="35"/>
  <c r="Q36" i="35" s="1"/>
  <c r="L36" i="35"/>
  <c r="L36" i="33"/>
  <c r="K36" i="33"/>
  <c r="Q36" i="33" s="1"/>
  <c r="L36" i="31"/>
  <c r="K36" i="31"/>
  <c r="Q36" i="31" s="1"/>
  <c r="L36" i="29"/>
  <c r="K36" i="29"/>
  <c r="Q36" i="29" s="1"/>
  <c r="K36" i="27"/>
  <c r="Q36" i="27" s="1"/>
  <c r="K36" i="23"/>
  <c r="Q36" i="23" s="1"/>
  <c r="K36" i="25"/>
  <c r="Q36" i="25" s="1"/>
  <c r="K36" i="21"/>
  <c r="Q36" i="21" s="1"/>
  <c r="K36" i="19"/>
  <c r="Q36" i="19" s="1"/>
  <c r="K36" i="17"/>
  <c r="Q36" i="17" s="1"/>
  <c r="P43" i="29"/>
  <c r="P39" i="31"/>
  <c r="Q50" i="17"/>
  <c r="Q47" i="33"/>
  <c r="Q50" i="33"/>
  <c r="P30" i="31"/>
  <c r="Q18" i="19"/>
  <c r="P36" i="19"/>
  <c r="P50" i="31"/>
  <c r="Q41" i="17"/>
  <c r="P18" i="33"/>
  <c r="P45" i="23"/>
  <c r="P37" i="27"/>
  <c r="P33" i="21"/>
  <c r="P38" i="31"/>
  <c r="K29" i="35"/>
  <c r="Q29" i="35" s="1"/>
  <c r="K29" i="33"/>
  <c r="Q29" i="33" s="1"/>
  <c r="L29" i="35"/>
  <c r="P29" i="35" s="1"/>
  <c r="L29" i="31"/>
  <c r="K29" i="31"/>
  <c r="Q29" i="31" s="1"/>
  <c r="L29" i="29"/>
  <c r="K29" i="29"/>
  <c r="Q29" i="29" s="1"/>
  <c r="L29" i="33"/>
  <c r="P29" i="33" s="1"/>
  <c r="K29" i="25"/>
  <c r="Q29" i="25" s="1"/>
  <c r="K29" i="27"/>
  <c r="Q29" i="27" s="1"/>
  <c r="K29" i="23"/>
  <c r="Q29" i="23" s="1"/>
  <c r="K29" i="21"/>
  <c r="Q29" i="21" s="1"/>
  <c r="K29" i="19"/>
  <c r="Q29" i="19" s="1"/>
  <c r="K29" i="17"/>
  <c r="Q29" i="17" s="1"/>
  <c r="L55" i="27"/>
  <c r="L55" i="23"/>
  <c r="L55" i="25"/>
  <c r="L39" i="27"/>
  <c r="L39" i="23"/>
  <c r="L39" i="25"/>
  <c r="L23" i="27"/>
  <c r="L23" i="23"/>
  <c r="P23" i="23" s="1"/>
  <c r="L23" i="25"/>
  <c r="P23" i="25" s="1"/>
  <c r="P46" i="17"/>
  <c r="P30" i="17"/>
  <c r="Q46" i="17"/>
  <c r="P20" i="35"/>
  <c r="Q17" i="29"/>
  <c r="P49" i="35"/>
  <c r="P17" i="29"/>
  <c r="P44" i="23"/>
  <c r="P20" i="23"/>
  <c r="P40" i="21"/>
  <c r="P16" i="19"/>
  <c r="P22" i="35"/>
  <c r="P30" i="23"/>
  <c r="P26" i="21"/>
  <c r="O24" i="35"/>
  <c r="O24" i="33"/>
  <c r="O24" i="31"/>
  <c r="O24" i="29"/>
  <c r="O24" i="27"/>
  <c r="O24" i="23"/>
  <c r="O24" i="25"/>
  <c r="O24" i="19"/>
  <c r="O24" i="21"/>
  <c r="O24" i="17"/>
  <c r="Q33" i="27"/>
  <c r="Q30" i="17"/>
  <c r="Q30" i="27"/>
  <c r="P41" i="27"/>
  <c r="P45" i="29"/>
  <c r="L43" i="27"/>
  <c r="L43" i="25"/>
  <c r="L43" i="23"/>
  <c r="P43" i="23" s="1"/>
  <c r="O31" i="35"/>
  <c r="Q31" i="35" s="1"/>
  <c r="O31" i="33"/>
  <c r="O31" i="31"/>
  <c r="Q31" i="31" s="1"/>
  <c r="O31" i="29"/>
  <c r="Q31" i="29" s="1"/>
  <c r="O31" i="27"/>
  <c r="Q31" i="27" s="1"/>
  <c r="O31" i="25"/>
  <c r="O31" i="21"/>
  <c r="Q31" i="21" s="1"/>
  <c r="O31" i="23"/>
  <c r="O31" i="19"/>
  <c r="O31" i="17"/>
  <c r="K28" i="35"/>
  <c r="L28" i="35"/>
  <c r="L28" i="33"/>
  <c r="K28" i="33"/>
  <c r="L28" i="31"/>
  <c r="P28" i="31" s="1"/>
  <c r="K28" i="31"/>
  <c r="K28" i="27"/>
  <c r="L28" i="29"/>
  <c r="K28" i="29"/>
  <c r="K28" i="23"/>
  <c r="K28" i="25"/>
  <c r="K28" i="21"/>
  <c r="K28" i="19"/>
  <c r="Q28" i="19" s="1"/>
  <c r="K28" i="17"/>
  <c r="O41" i="35"/>
  <c r="Q41" i="35" s="1"/>
  <c r="O41" i="33"/>
  <c r="O41" i="31"/>
  <c r="Q41" i="31" s="1"/>
  <c r="O41" i="29"/>
  <c r="O41" i="25"/>
  <c r="Q41" i="25" s="1"/>
  <c r="O41" i="27"/>
  <c r="Q41" i="27" s="1"/>
  <c r="O41" i="23"/>
  <c r="O41" i="21"/>
  <c r="O41" i="19"/>
  <c r="O41" i="17"/>
  <c r="L37" i="21"/>
  <c r="L37" i="19"/>
  <c r="L37" i="17"/>
  <c r="Q25" i="19"/>
  <c r="Q25" i="35"/>
  <c r="Q22" i="27"/>
  <c r="Q22" i="35"/>
  <c r="E120" i="10"/>
  <c r="D120" i="10"/>
  <c r="C120" i="10"/>
  <c r="B120" i="10"/>
  <c r="A120" i="10"/>
  <c r="E104" i="10"/>
  <c r="D104" i="10"/>
  <c r="C104" i="10"/>
  <c r="B104" i="10"/>
  <c r="A104" i="10"/>
  <c r="P51" i="23"/>
  <c r="D113" i="6"/>
  <c r="F113" i="6"/>
  <c r="E113" i="6"/>
  <c r="D37" i="10"/>
  <c r="C37" i="10"/>
  <c r="B37" i="10"/>
  <c r="A37" i="10"/>
  <c r="E37" i="10"/>
  <c r="L17" i="23"/>
  <c r="L17" i="27"/>
  <c r="L17" i="25"/>
  <c r="P39" i="17"/>
  <c r="P39" i="35"/>
  <c r="P30" i="33"/>
  <c r="P48" i="27"/>
  <c r="P24" i="23"/>
  <c r="P50" i="33"/>
  <c r="Q41" i="19"/>
  <c r="Q38" i="25"/>
  <c r="P18" i="35"/>
  <c r="P45" i="25"/>
  <c r="P41" i="17"/>
  <c r="P33" i="19"/>
  <c r="P38" i="33"/>
  <c r="L26" i="35"/>
  <c r="K26" i="35"/>
  <c r="Q26" i="35" s="1"/>
  <c r="L26" i="33"/>
  <c r="L26" i="31"/>
  <c r="P26" i="31" s="1"/>
  <c r="K26" i="31"/>
  <c r="Q26" i="31" s="1"/>
  <c r="K26" i="33"/>
  <c r="Q26" i="33" s="1"/>
  <c r="K26" i="29"/>
  <c r="Q26" i="29" s="1"/>
  <c r="K26" i="27"/>
  <c r="Q26" i="27" s="1"/>
  <c r="K26" i="25"/>
  <c r="Q26" i="25" s="1"/>
  <c r="L26" i="29"/>
  <c r="P26" i="29" s="1"/>
  <c r="K26" i="23"/>
  <c r="Q26" i="23" s="1"/>
  <c r="K26" i="21"/>
  <c r="Q26" i="21" s="1"/>
  <c r="K26" i="19"/>
  <c r="Q26" i="19" s="1"/>
  <c r="K26" i="17"/>
  <c r="Q26" i="17" s="1"/>
  <c r="P50" i="23"/>
  <c r="P34" i="23"/>
  <c r="P18" i="23"/>
  <c r="P46" i="19"/>
  <c r="P30" i="19"/>
  <c r="Q49" i="27"/>
  <c r="Q46" i="27"/>
  <c r="Q17" i="25"/>
  <c r="P23" i="27"/>
  <c r="P35" i="17"/>
  <c r="P46" i="29"/>
  <c r="P17" i="33"/>
  <c r="P44" i="27"/>
  <c r="P20" i="27"/>
  <c r="P32" i="17"/>
  <c r="P16" i="21"/>
  <c r="Q39" i="29"/>
  <c r="L16" i="35"/>
  <c r="K16" i="35"/>
  <c r="L16" i="33"/>
  <c r="K16" i="33"/>
  <c r="L16" i="31"/>
  <c r="K16" i="31"/>
  <c r="L16" i="29"/>
  <c r="K16" i="29"/>
  <c r="Q16" i="29" s="1"/>
  <c r="K16" i="27"/>
  <c r="K16" i="25"/>
  <c r="K16" i="23"/>
  <c r="K16" i="21"/>
  <c r="K16" i="19"/>
  <c r="K16" i="17"/>
  <c r="P46" i="23"/>
  <c r="P30" i="27"/>
  <c r="P42" i="19"/>
  <c r="K37" i="35"/>
  <c r="K37" i="33"/>
  <c r="L37" i="35"/>
  <c r="L37" i="33"/>
  <c r="L37" i="31"/>
  <c r="K37" i="31"/>
  <c r="L37" i="29"/>
  <c r="P37" i="29" s="1"/>
  <c r="K37" i="29"/>
  <c r="Q37" i="29" s="1"/>
  <c r="K37" i="27"/>
  <c r="Q37" i="27" s="1"/>
  <c r="K37" i="25"/>
  <c r="K37" i="23"/>
  <c r="K37" i="21"/>
  <c r="K37" i="19"/>
  <c r="K37" i="17"/>
  <c r="Q37" i="17" s="1"/>
  <c r="Q27" i="21"/>
  <c r="Q33" i="17"/>
  <c r="Q30" i="19"/>
  <c r="Q30" i="33"/>
  <c r="L35" i="27"/>
  <c r="L35" i="25"/>
  <c r="L35" i="23"/>
  <c r="L39" i="19"/>
  <c r="L39" i="21"/>
  <c r="P39" i="21" s="1"/>
  <c r="L39" i="17"/>
  <c r="O37" i="35"/>
  <c r="O37" i="33"/>
  <c r="O37" i="31"/>
  <c r="O37" i="27"/>
  <c r="O37" i="29"/>
  <c r="O37" i="23"/>
  <c r="O37" i="25"/>
  <c r="O37" i="21"/>
  <c r="O37" i="19"/>
  <c r="O37" i="17"/>
  <c r="L25" i="27"/>
  <c r="L25" i="23"/>
  <c r="P25" i="23" s="1"/>
  <c r="L25" i="25"/>
  <c r="P25" i="25" s="1"/>
  <c r="P45" i="31"/>
  <c r="P43" i="25"/>
  <c r="P28" i="29"/>
  <c r="P27" i="23"/>
  <c r="L19" i="21"/>
  <c r="L19" i="19"/>
  <c r="P19" i="19" s="1"/>
  <c r="L19" i="17"/>
  <c r="C138" i="10"/>
  <c r="B138" i="10"/>
  <c r="A138" i="10"/>
  <c r="E138" i="10"/>
  <c r="D138" i="10"/>
  <c r="P37" i="17"/>
  <c r="Q25" i="21"/>
  <c r="Q25" i="33"/>
  <c r="F116" i="6"/>
  <c r="E116" i="6"/>
  <c r="D116" i="6"/>
  <c r="F100" i="6"/>
  <c r="E100" i="6"/>
  <c r="D100" i="6"/>
  <c r="F84" i="6"/>
  <c r="E84" i="6"/>
  <c r="D84" i="6"/>
  <c r="F68" i="6"/>
  <c r="E68" i="6"/>
  <c r="D68" i="6"/>
  <c r="E113" i="10"/>
  <c r="D113" i="10"/>
  <c r="B113" i="10"/>
  <c r="C113" i="10"/>
  <c r="A113" i="10"/>
  <c r="E33" i="10"/>
  <c r="D33" i="10"/>
  <c r="B33" i="10"/>
  <c r="C33" i="10"/>
  <c r="A33" i="10"/>
  <c r="Q25" i="29"/>
  <c r="Q22" i="23"/>
  <c r="D135" i="6"/>
  <c r="F135" i="6"/>
  <c r="E135" i="6"/>
  <c r="A116" i="10"/>
  <c r="E116" i="10"/>
  <c r="C116" i="10"/>
  <c r="D116" i="10"/>
  <c r="B116" i="10"/>
  <c r="A100" i="10"/>
  <c r="E100" i="10"/>
  <c r="C100" i="10"/>
  <c r="D100" i="10"/>
  <c r="B100" i="10"/>
  <c r="P51" i="27"/>
  <c r="E133" i="6"/>
  <c r="D133" i="6"/>
  <c r="F133" i="6"/>
  <c r="F109" i="6"/>
  <c r="D109" i="6"/>
  <c r="E109" i="6"/>
  <c r="D29" i="10"/>
  <c r="C29" i="10"/>
  <c r="B29" i="10"/>
  <c r="A29" i="10"/>
  <c r="E29" i="10"/>
  <c r="Q18" i="35"/>
  <c r="Q41" i="21"/>
  <c r="Q43" i="35"/>
  <c r="P16" i="29"/>
  <c r="O47" i="35"/>
  <c r="Q47" i="35" s="1"/>
  <c r="O47" i="33"/>
  <c r="O47" i="31"/>
  <c r="O47" i="29"/>
  <c r="O47" i="27"/>
  <c r="Q47" i="27" s="1"/>
  <c r="O47" i="21"/>
  <c r="O47" i="23"/>
  <c r="Q47" i="23" s="1"/>
  <c r="O47" i="19"/>
  <c r="Q47" i="19" s="1"/>
  <c r="O47" i="25"/>
  <c r="Q47" i="25" s="1"/>
  <c r="O47" i="17"/>
  <c r="E136" i="10"/>
  <c r="D136" i="10"/>
  <c r="C136" i="10"/>
  <c r="B136" i="10"/>
  <c r="A136" i="10"/>
  <c r="P37" i="19"/>
  <c r="Q50" i="25"/>
  <c r="P33" i="29"/>
  <c r="L24" i="35"/>
  <c r="P24" i="35" s="1"/>
  <c r="K24" i="35"/>
  <c r="Q24" i="35" s="1"/>
  <c r="L24" i="33"/>
  <c r="K24" i="33"/>
  <c r="Q24" i="33" s="1"/>
  <c r="L24" i="31"/>
  <c r="K24" i="31"/>
  <c r="Q24" i="31" s="1"/>
  <c r="L24" i="29"/>
  <c r="P24" i="29" s="1"/>
  <c r="K24" i="29"/>
  <c r="Q24" i="29" s="1"/>
  <c r="K24" i="27"/>
  <c r="Q24" i="27" s="1"/>
  <c r="K24" i="25"/>
  <c r="Q24" i="25" s="1"/>
  <c r="K24" i="23"/>
  <c r="Q24" i="23" s="1"/>
  <c r="K24" i="21"/>
  <c r="Q24" i="21" s="1"/>
  <c r="K24" i="19"/>
  <c r="K24" i="17"/>
  <c r="Q24" i="17" s="1"/>
  <c r="Q18" i="25"/>
  <c r="P32" i="23"/>
  <c r="P52" i="17"/>
  <c r="K44" i="35"/>
  <c r="Q44" i="35" s="1"/>
  <c r="L44" i="35"/>
  <c r="P44" i="35" s="1"/>
  <c r="L44" i="33"/>
  <c r="K44" i="33"/>
  <c r="L44" i="31"/>
  <c r="K44" i="31"/>
  <c r="K44" i="27"/>
  <c r="L44" i="29"/>
  <c r="K44" i="29"/>
  <c r="Q44" i="29" s="1"/>
  <c r="K44" i="23"/>
  <c r="K44" i="25"/>
  <c r="K44" i="21"/>
  <c r="K44" i="19"/>
  <c r="K44" i="17"/>
  <c r="Q41" i="33"/>
  <c r="P21" i="31"/>
  <c r="P21" i="25"/>
  <c r="P49" i="17"/>
  <c r="P41" i="19"/>
  <c r="P17" i="21"/>
  <c r="P41" i="29"/>
  <c r="L32" i="35"/>
  <c r="P32" i="35" s="1"/>
  <c r="K32" i="35"/>
  <c r="Q32" i="35" s="1"/>
  <c r="L32" i="33"/>
  <c r="K32" i="33"/>
  <c r="Q32" i="33" s="1"/>
  <c r="L32" i="31"/>
  <c r="K32" i="31"/>
  <c r="Q32" i="31" s="1"/>
  <c r="L32" i="29"/>
  <c r="K32" i="29"/>
  <c r="Q32" i="29" s="1"/>
  <c r="K32" i="25"/>
  <c r="Q32" i="25" s="1"/>
  <c r="K32" i="23"/>
  <c r="Q32" i="23" s="1"/>
  <c r="K32" i="21"/>
  <c r="Q32" i="21" s="1"/>
  <c r="K32" i="19"/>
  <c r="Q32" i="19" s="1"/>
  <c r="K32" i="17"/>
  <c r="Q32" i="17" s="1"/>
  <c r="K32" i="27"/>
  <c r="Q32" i="27" s="1"/>
  <c r="P50" i="27"/>
  <c r="P34" i="27"/>
  <c r="P18" i="27"/>
  <c r="L43" i="21"/>
  <c r="L43" i="19"/>
  <c r="P43" i="19" s="1"/>
  <c r="L43" i="17"/>
  <c r="P43" i="17" s="1"/>
  <c r="P22" i="17"/>
  <c r="Q49" i="19"/>
  <c r="Q49" i="31"/>
  <c r="Q46" i="25"/>
  <c r="Q43" i="25"/>
  <c r="P26" i="35"/>
  <c r="Q17" i="19"/>
  <c r="Q17" i="35"/>
  <c r="P39" i="23"/>
  <c r="P35" i="21"/>
  <c r="P46" i="33"/>
  <c r="Q31" i="17"/>
  <c r="P17" i="35"/>
  <c r="P36" i="25"/>
  <c r="P48" i="17"/>
  <c r="P32" i="21"/>
  <c r="P16" i="31"/>
  <c r="P46" i="27"/>
  <c r="P22" i="23"/>
  <c r="P18" i="21"/>
  <c r="P37" i="31"/>
  <c r="P17" i="25"/>
  <c r="Q33" i="19"/>
  <c r="Q33" i="35"/>
  <c r="Q30" i="25"/>
  <c r="Q30" i="35"/>
  <c r="P35" i="23"/>
  <c r="L27" i="21"/>
  <c r="L27" i="19"/>
  <c r="L27" i="17"/>
  <c r="P21" i="17"/>
  <c r="O43" i="35"/>
  <c r="O43" i="33"/>
  <c r="Q43" i="33" s="1"/>
  <c r="O43" i="31"/>
  <c r="Q43" i="31" s="1"/>
  <c r="O43" i="27"/>
  <c r="Q43" i="27" s="1"/>
  <c r="O43" i="29"/>
  <c r="O43" i="25"/>
  <c r="O43" i="23"/>
  <c r="Q43" i="23" s="1"/>
  <c r="O43" i="19"/>
  <c r="Q43" i="19" s="1"/>
  <c r="O43" i="17"/>
  <c r="O43" i="21"/>
  <c r="Q43" i="21" s="1"/>
  <c r="P36" i="29"/>
  <c r="P39" i="19"/>
  <c r="P25" i="27"/>
  <c r="P45" i="35"/>
  <c r="P43" i="27"/>
  <c r="P20" i="17"/>
  <c r="P28" i="33"/>
  <c r="L33" i="27"/>
  <c r="L33" i="23"/>
  <c r="L33" i="25"/>
  <c r="E134" i="10"/>
  <c r="D134" i="10"/>
  <c r="C134" i="10"/>
  <c r="A134" i="10"/>
  <c r="B134" i="10"/>
  <c r="A132" i="10"/>
  <c r="E132" i="10"/>
  <c r="C132" i="10"/>
  <c r="D132" i="10"/>
  <c r="B132" i="10"/>
  <c r="P37" i="21"/>
  <c r="Q22" i="31"/>
  <c r="F112" i="6"/>
  <c r="E112" i="6"/>
  <c r="D112" i="6"/>
  <c r="F96" i="6"/>
  <c r="E96" i="6"/>
  <c r="D96" i="6"/>
  <c r="F80" i="6"/>
  <c r="E80" i="6"/>
  <c r="D80" i="6"/>
  <c r="F64" i="6"/>
  <c r="E64" i="6"/>
  <c r="D64" i="6"/>
  <c r="E131" i="10"/>
  <c r="D131" i="10"/>
  <c r="C131" i="10"/>
  <c r="B131" i="10"/>
  <c r="A131" i="10"/>
  <c r="D109" i="10"/>
  <c r="C109" i="10"/>
  <c r="B109" i="10"/>
  <c r="A109" i="10"/>
  <c r="E109" i="10"/>
  <c r="E57" i="10"/>
  <c r="D57" i="10"/>
  <c r="B57" i="10"/>
  <c r="C57" i="10"/>
  <c r="A57" i="10"/>
  <c r="E25" i="10"/>
  <c r="D25" i="10"/>
  <c r="B25" i="10"/>
  <c r="C25" i="10"/>
  <c r="A25" i="10"/>
  <c r="P27" i="27"/>
  <c r="P47" i="33"/>
  <c r="O39" i="35"/>
  <c r="Q39" i="35" s="1"/>
  <c r="O39" i="33"/>
  <c r="O39" i="31"/>
  <c r="Q39" i="31" s="1"/>
  <c r="O39" i="29"/>
  <c r="O39" i="27"/>
  <c r="Q39" i="27" s="1"/>
  <c r="O39" i="25"/>
  <c r="Q39" i="25" s="1"/>
  <c r="O39" i="21"/>
  <c r="Q39" i="21" s="1"/>
  <c r="O39" i="23"/>
  <c r="O39" i="19"/>
  <c r="O39" i="17"/>
  <c r="P44" i="29"/>
  <c r="Q35" i="31"/>
  <c r="P17" i="19"/>
  <c r="P32" i="29"/>
  <c r="L47" i="27"/>
  <c r="P47" i="27" s="1"/>
  <c r="L47" i="25"/>
  <c r="L47" i="23"/>
  <c r="P47" i="23" s="1"/>
  <c r="P38" i="17"/>
  <c r="O51" i="35"/>
  <c r="Q51" i="35" s="1"/>
  <c r="O51" i="33"/>
  <c r="Q51" i="33" s="1"/>
  <c r="O51" i="31"/>
  <c r="Q51" i="31" s="1"/>
  <c r="O51" i="29"/>
  <c r="O51" i="27"/>
  <c r="O51" i="23"/>
  <c r="Q51" i="23" s="1"/>
  <c r="O51" i="25"/>
  <c r="Q51" i="25" s="1"/>
  <c r="O51" i="19"/>
  <c r="Q51" i="19" s="1"/>
  <c r="O51" i="17"/>
  <c r="Q51" i="17" s="1"/>
  <c r="O51" i="21"/>
  <c r="Q51" i="21" s="1"/>
  <c r="Q49" i="21"/>
  <c r="Q49" i="35"/>
  <c r="Q43" i="29"/>
  <c r="P29" i="29"/>
  <c r="K20" i="35"/>
  <c r="Q20" i="35" s="1"/>
  <c r="L20" i="35"/>
  <c r="L20" i="33"/>
  <c r="P20" i="33" s="1"/>
  <c r="K20" i="33"/>
  <c r="Q20" i="33" s="1"/>
  <c r="L20" i="31"/>
  <c r="K20" i="31"/>
  <c r="Q20" i="31" s="1"/>
  <c r="L20" i="29"/>
  <c r="K20" i="27"/>
  <c r="Q20" i="27" s="1"/>
  <c r="K20" i="23"/>
  <c r="Q20" i="23" s="1"/>
  <c r="K20" i="29"/>
  <c r="Q20" i="29" s="1"/>
  <c r="K20" i="25"/>
  <c r="Q20" i="25" s="1"/>
  <c r="K20" i="21"/>
  <c r="Q20" i="21" s="1"/>
  <c r="K20" i="19"/>
  <c r="Q20" i="19" s="1"/>
  <c r="K20" i="17"/>
  <c r="Q20" i="17" s="1"/>
  <c r="Q17" i="21"/>
  <c r="Q17" i="33"/>
  <c r="P39" i="25"/>
  <c r="P46" i="35"/>
  <c r="Q31" i="19"/>
  <c r="Q31" i="33"/>
  <c r="P52" i="23"/>
  <c r="P36" i="27"/>
  <c r="P48" i="19"/>
  <c r="Q39" i="17"/>
  <c r="P16" i="33"/>
  <c r="P38" i="25"/>
  <c r="P22" i="27"/>
  <c r="P37" i="33"/>
  <c r="P17" i="23"/>
  <c r="Q33" i="21"/>
  <c r="Q33" i="33"/>
  <c r="Q30" i="23"/>
  <c r="P35" i="27"/>
  <c r="P27" i="17"/>
  <c r="P21" i="19"/>
  <c r="P36" i="31"/>
  <c r="O28" i="35"/>
  <c r="O28" i="33"/>
  <c r="O28" i="31"/>
  <c r="O28" i="29"/>
  <c r="O28" i="27"/>
  <c r="O28" i="25"/>
  <c r="O28" i="21"/>
  <c r="O28" i="19"/>
  <c r="O28" i="17"/>
  <c r="O28" i="23"/>
  <c r="Q51" i="27"/>
  <c r="O27" i="35"/>
  <c r="O27" i="33"/>
  <c r="Q27" i="33" s="1"/>
  <c r="O27" i="31"/>
  <c r="O27" i="29"/>
  <c r="Q27" i="29" s="1"/>
  <c r="O27" i="27"/>
  <c r="Q27" i="27" s="1"/>
  <c r="O27" i="25"/>
  <c r="Q27" i="25" s="1"/>
  <c r="O27" i="23"/>
  <c r="Q27" i="23" s="1"/>
  <c r="O27" i="19"/>
  <c r="Q27" i="19" s="1"/>
  <c r="O27" i="17"/>
  <c r="O27" i="21"/>
  <c r="L49" i="27"/>
  <c r="P49" i="27" s="1"/>
  <c r="L49" i="25"/>
  <c r="L49" i="23"/>
  <c r="P20" i="19"/>
  <c r="O40" i="35"/>
  <c r="O40" i="33"/>
  <c r="O40" i="31"/>
  <c r="O40" i="27"/>
  <c r="O40" i="29"/>
  <c r="O40" i="23"/>
  <c r="O40" i="25"/>
  <c r="O40" i="19"/>
  <c r="O40" i="21"/>
  <c r="O40" i="17"/>
  <c r="P28" i="35"/>
  <c r="P33" i="25"/>
  <c r="P19" i="21"/>
  <c r="E128" i="10"/>
  <c r="D128" i="10"/>
  <c r="C128" i="10"/>
  <c r="B128" i="10"/>
  <c r="A128" i="10"/>
  <c r="C122" i="10"/>
  <c r="B122" i="10"/>
  <c r="A122" i="10"/>
  <c r="E122" i="10"/>
  <c r="D122" i="10"/>
  <c r="E137" i="6"/>
  <c r="F137" i="6"/>
  <c r="D137" i="6"/>
  <c r="Q22" i="17"/>
  <c r="E112" i="10"/>
  <c r="D112" i="10"/>
  <c r="C112" i="10"/>
  <c r="B112" i="10"/>
  <c r="A112" i="10"/>
  <c r="O21" i="35"/>
  <c r="O21" i="33"/>
  <c r="O21" i="31"/>
  <c r="Q21" i="31" s="1"/>
  <c r="O21" i="27"/>
  <c r="O21" i="29"/>
  <c r="Q21" i="29" s="1"/>
  <c r="O21" i="23"/>
  <c r="Q21" i="23" s="1"/>
  <c r="O21" i="25"/>
  <c r="Q21" i="25" s="1"/>
  <c r="O21" i="21"/>
  <c r="Q21" i="21" s="1"/>
  <c r="O21" i="19"/>
  <c r="Q21" i="19" s="1"/>
  <c r="O21" i="17"/>
  <c r="Q21" i="17" s="1"/>
  <c r="L34" i="35"/>
  <c r="P34" i="35" s="1"/>
  <c r="K34" i="35"/>
  <c r="Q34" i="35" s="1"/>
  <c r="L34" i="33"/>
  <c r="P34" i="33" s="1"/>
  <c r="L34" i="31"/>
  <c r="K34" i="33"/>
  <c r="Q34" i="33" s="1"/>
  <c r="K34" i="31"/>
  <c r="Q34" i="31" s="1"/>
  <c r="K34" i="29"/>
  <c r="Q34" i="29" s="1"/>
  <c r="L34" i="29"/>
  <c r="K34" i="27"/>
  <c r="Q34" i="27" s="1"/>
  <c r="K34" i="25"/>
  <c r="Q34" i="25" s="1"/>
  <c r="K34" i="23"/>
  <c r="Q34" i="23" s="1"/>
  <c r="K34" i="21"/>
  <c r="Q34" i="21" s="1"/>
  <c r="K34" i="19"/>
  <c r="Q34" i="19" s="1"/>
  <c r="K34" i="17"/>
  <c r="Q34" i="17" s="1"/>
  <c r="F105" i="6"/>
  <c r="D105" i="6"/>
  <c r="E105" i="6"/>
  <c r="D53" i="10"/>
  <c r="C53" i="10"/>
  <c r="B53" i="10"/>
  <c r="A53" i="10"/>
  <c r="E53" i="10"/>
  <c r="D21" i="10"/>
  <c r="C21" i="10"/>
  <c r="B21" i="10"/>
  <c r="A21" i="10"/>
  <c r="E21" i="10"/>
  <c r="Q35" i="29"/>
  <c r="P50" i="25"/>
  <c r="Q17" i="31"/>
  <c r="Q27" i="35"/>
  <c r="P35" i="25"/>
  <c r="P45" i="33"/>
  <c r="P19" i="17"/>
  <c r="O23" i="35"/>
  <c r="Q23" i="35" s="1"/>
  <c r="O23" i="33"/>
  <c r="Q23" i="33" s="1"/>
  <c r="O23" i="31"/>
  <c r="Q23" i="31" s="1"/>
  <c r="O23" i="29"/>
  <c r="Q23" i="29" s="1"/>
  <c r="O23" i="27"/>
  <c r="Q23" i="27" s="1"/>
  <c r="O23" i="25"/>
  <c r="O23" i="21"/>
  <c r="O23" i="23"/>
  <c r="O23" i="19"/>
  <c r="Q23" i="19" s="1"/>
  <c r="O23" i="17"/>
  <c r="Q23" i="17" s="1"/>
  <c r="Q41" i="23"/>
  <c r="Q38" i="31"/>
  <c r="P21" i="33"/>
  <c r="P49" i="21"/>
  <c r="L31" i="27"/>
  <c r="P31" i="27" s="1"/>
  <c r="L31" i="23"/>
  <c r="P31" i="23" s="1"/>
  <c r="L31" i="25"/>
  <c r="P31" i="25" s="1"/>
  <c r="P23" i="33"/>
  <c r="Q47" i="21"/>
  <c r="Q47" i="31"/>
  <c r="P33" i="33"/>
  <c r="P24" i="31"/>
  <c r="Q21" i="27"/>
  <c r="Q21" i="35"/>
  <c r="Q18" i="29"/>
  <c r="P44" i="31"/>
  <c r="P21" i="35"/>
  <c r="P29" i="25"/>
  <c r="P49" i="19"/>
  <c r="P25" i="17"/>
  <c r="O52" i="35"/>
  <c r="O52" i="33"/>
  <c r="O52" i="31"/>
  <c r="O52" i="29"/>
  <c r="O52" i="25"/>
  <c r="O52" i="21"/>
  <c r="O52" i="19"/>
  <c r="O52" i="27"/>
  <c r="O52" i="23"/>
  <c r="O52" i="17"/>
  <c r="P41" i="33"/>
  <c r="P32" i="31"/>
  <c r="Q23" i="23"/>
  <c r="P42" i="23"/>
  <c r="P26" i="23"/>
  <c r="P38" i="19"/>
  <c r="P22" i="21"/>
  <c r="O35" i="35"/>
  <c r="Q35" i="35" s="1"/>
  <c r="O35" i="33"/>
  <c r="O35" i="31"/>
  <c r="O35" i="29"/>
  <c r="O35" i="27"/>
  <c r="Q35" i="27" s="1"/>
  <c r="O35" i="25"/>
  <c r="Q35" i="25" s="1"/>
  <c r="O35" i="23"/>
  <c r="Q35" i="23" s="1"/>
  <c r="O35" i="19"/>
  <c r="O35" i="17"/>
  <c r="Q35" i="17" s="1"/>
  <c r="O35" i="21"/>
  <c r="Q35" i="21" s="1"/>
  <c r="L52" i="33"/>
  <c r="P52" i="33" s="1"/>
  <c r="L52" i="35"/>
  <c r="P52" i="35" s="1"/>
  <c r="K52" i="35"/>
  <c r="K52" i="33"/>
  <c r="L52" i="31"/>
  <c r="P52" i="31" s="1"/>
  <c r="K52" i="31"/>
  <c r="Q52" i="31" s="1"/>
  <c r="L52" i="29"/>
  <c r="K52" i="29"/>
  <c r="Q52" i="29" s="1"/>
  <c r="K52" i="27"/>
  <c r="K52" i="23"/>
  <c r="K52" i="25"/>
  <c r="Q52" i="25" s="1"/>
  <c r="K52" i="21"/>
  <c r="Q52" i="21" s="1"/>
  <c r="K52" i="19"/>
  <c r="Q52" i="19" s="1"/>
  <c r="K52" i="17"/>
  <c r="Q52" i="17" s="1"/>
  <c r="Q49" i="23"/>
  <c r="Q49" i="33"/>
  <c r="P29" i="31"/>
  <c r="P20" i="29"/>
  <c r="Q17" i="23"/>
  <c r="P39" i="27"/>
  <c r="P51" i="17"/>
  <c r="P43" i="21"/>
  <c r="P49" i="29"/>
  <c r="L40" i="35"/>
  <c r="P40" i="35" s="1"/>
  <c r="K40" i="35"/>
  <c r="L40" i="33"/>
  <c r="P40" i="33" s="1"/>
  <c r="K40" i="33"/>
  <c r="Q40" i="33" s="1"/>
  <c r="L40" i="31"/>
  <c r="P40" i="31" s="1"/>
  <c r="K40" i="31"/>
  <c r="Q40" i="31" s="1"/>
  <c r="L40" i="29"/>
  <c r="K40" i="29"/>
  <c r="Q40" i="29" s="1"/>
  <c r="K40" i="27"/>
  <c r="Q40" i="27" s="1"/>
  <c r="K40" i="23"/>
  <c r="Q40" i="23" s="1"/>
  <c r="K40" i="21"/>
  <c r="Q40" i="21" s="1"/>
  <c r="K40" i="25"/>
  <c r="K40" i="19"/>
  <c r="Q40" i="19" s="1"/>
  <c r="K40" i="17"/>
  <c r="Q40" i="17" s="1"/>
  <c r="Q31" i="23"/>
  <c r="P52" i="25"/>
  <c r="P48" i="21"/>
  <c r="Q39" i="19"/>
  <c r="Q39" i="33"/>
  <c r="P22" i="29"/>
  <c r="P16" i="35"/>
  <c r="P38" i="23"/>
  <c r="P34" i="21"/>
  <c r="P37" i="35"/>
  <c r="P17" i="27"/>
  <c r="Q33" i="23"/>
  <c r="L41" i="27"/>
  <c r="L41" i="23"/>
  <c r="P41" i="23" s="1"/>
  <c r="L41" i="25"/>
  <c r="P41" i="25" s="1"/>
  <c r="P27" i="19"/>
  <c r="P21" i="21"/>
  <c r="P36" i="33"/>
  <c r="L45" i="21"/>
  <c r="P45" i="21" s="1"/>
  <c r="L45" i="19"/>
  <c r="P45" i="19" s="1"/>
  <c r="L45" i="17"/>
  <c r="P45" i="17" s="1"/>
  <c r="Q51" i="29"/>
  <c r="L42" i="35"/>
  <c r="P42" i="35" s="1"/>
  <c r="K42" i="35"/>
  <c r="Q42" i="35" s="1"/>
  <c r="L42" i="33"/>
  <c r="P42" i="33" s="1"/>
  <c r="L42" i="31"/>
  <c r="P42" i="31" s="1"/>
  <c r="K42" i="31"/>
  <c r="Q42" i="31" s="1"/>
  <c r="K42" i="29"/>
  <c r="Q42" i="29" s="1"/>
  <c r="K42" i="33"/>
  <c r="Q42" i="33" s="1"/>
  <c r="K42" i="27"/>
  <c r="Q42" i="27" s="1"/>
  <c r="L42" i="29"/>
  <c r="P42" i="29" s="1"/>
  <c r="K42" i="23"/>
  <c r="Q42" i="23" s="1"/>
  <c r="K42" i="25"/>
  <c r="Q42" i="25" s="1"/>
  <c r="K42" i="21"/>
  <c r="Q42" i="21" s="1"/>
  <c r="K42" i="19"/>
  <c r="Q42" i="19" s="1"/>
  <c r="K42" i="17"/>
  <c r="Q42" i="17" s="1"/>
  <c r="L19" i="27"/>
  <c r="P19" i="27" s="1"/>
  <c r="L19" i="25"/>
  <c r="L19" i="23"/>
  <c r="P19" i="23" s="1"/>
  <c r="P49" i="23"/>
  <c r="P29" i="21"/>
  <c r="P33" i="23"/>
  <c r="A124" i="10"/>
  <c r="E124" i="10"/>
  <c r="C124" i="10"/>
  <c r="D124" i="10"/>
  <c r="B124" i="10"/>
  <c r="L31" i="19"/>
  <c r="P31" i="19" s="1"/>
  <c r="L31" i="21"/>
  <c r="P31" i="21" s="1"/>
  <c r="L31" i="17"/>
  <c r="C130" i="10"/>
  <c r="B130" i="10"/>
  <c r="A130" i="10"/>
  <c r="E130" i="10"/>
  <c r="D130" i="10"/>
  <c r="Q25" i="27"/>
  <c r="Q22" i="19"/>
  <c r="Q22" i="29"/>
  <c r="E125" i="6"/>
  <c r="F125" i="6"/>
  <c r="D125" i="6"/>
  <c r="F108" i="6"/>
  <c r="E108" i="6"/>
  <c r="D108" i="6"/>
  <c r="F92" i="6"/>
  <c r="E92" i="6"/>
  <c r="D92" i="6"/>
  <c r="F76" i="6"/>
  <c r="E76" i="6"/>
  <c r="D76" i="6"/>
  <c r="F60" i="6"/>
  <c r="E60" i="6"/>
  <c r="D60" i="6"/>
  <c r="P34" i="29"/>
  <c r="E126" i="10"/>
  <c r="D126" i="10"/>
  <c r="C126" i="10"/>
  <c r="A126" i="10"/>
  <c r="B126" i="10"/>
  <c r="E105" i="10"/>
  <c r="D105" i="10"/>
  <c r="B105" i="10"/>
  <c r="C105" i="10"/>
  <c r="A105" i="10"/>
  <c r="E49" i="10"/>
  <c r="D49" i="10"/>
  <c r="B49" i="10"/>
  <c r="C49" i="10"/>
  <c r="A49" i="10"/>
  <c r="Q47" i="29"/>
  <c r="Q23" i="21"/>
  <c r="P26" i="33"/>
  <c r="L29" i="21"/>
  <c r="L29" i="19"/>
  <c r="P29" i="19" s="1"/>
  <c r="L29" i="17"/>
  <c r="P29" i="17" s="1"/>
  <c r="Q21" i="33"/>
  <c r="P39" i="29"/>
  <c r="P23" i="29"/>
  <c r="Q50" i="29"/>
  <c r="Q47" i="17"/>
  <c r="P33" i="35"/>
  <c r="P24" i="33"/>
  <c r="Q18" i="33"/>
  <c r="P36" i="21"/>
  <c r="P44" i="33"/>
  <c r="Q41" i="29"/>
  <c r="Q35" i="19"/>
  <c r="Q35" i="33"/>
  <c r="P18" i="29"/>
  <c r="P37" i="23"/>
  <c r="P29" i="27"/>
  <c r="P25" i="21"/>
  <c r="O16" i="35"/>
  <c r="O16" i="31"/>
  <c r="O16" i="33"/>
  <c r="O16" i="29"/>
  <c r="O16" i="27"/>
  <c r="O16" i="23"/>
  <c r="O16" i="25"/>
  <c r="O16" i="19"/>
  <c r="O16" i="21"/>
  <c r="O16" i="17"/>
  <c r="P41" i="35"/>
  <c r="P32" i="33"/>
  <c r="Q23" i="25"/>
  <c r="P42" i="25"/>
  <c r="P26" i="25"/>
  <c r="P38" i="21"/>
  <c r="O19" i="35"/>
  <c r="O19" i="33"/>
  <c r="Q19" i="33" s="1"/>
  <c r="O19" i="31"/>
  <c r="Q19" i="31" s="1"/>
  <c r="O19" i="29"/>
  <c r="Q19" i="29" s="1"/>
  <c r="O19" i="25"/>
  <c r="Q19" i="25" s="1"/>
  <c r="O19" i="23"/>
  <c r="Q19" i="23" s="1"/>
  <c r="O19" i="19"/>
  <c r="Q19" i="19" s="1"/>
  <c r="O19" i="27"/>
  <c r="Q19" i="27" s="1"/>
  <c r="O19" i="17"/>
  <c r="Q19" i="17" s="1"/>
  <c r="O19" i="21"/>
  <c r="Q19" i="21" s="1"/>
  <c r="P52" i="29"/>
  <c r="Q49" i="25"/>
  <c r="Q46" i="31"/>
  <c r="Q43" i="17"/>
  <c r="P20" i="31"/>
  <c r="Q17" i="27"/>
  <c r="P47" i="25"/>
  <c r="P51" i="19"/>
  <c r="P49" i="31"/>
  <c r="P40" i="29"/>
  <c r="Q31" i="25"/>
  <c r="P52" i="27"/>
  <c r="P28" i="23"/>
  <c r="P40" i="17"/>
  <c r="P24" i="21"/>
  <c r="L48" i="35"/>
  <c r="P48" i="35" s="1"/>
  <c r="K48" i="35"/>
  <c r="Q48" i="35" s="1"/>
  <c r="L48" i="33"/>
  <c r="P48" i="33" s="1"/>
  <c r="K48" i="33"/>
  <c r="Q48" i="33" s="1"/>
  <c r="L48" i="31"/>
  <c r="P48" i="31" s="1"/>
  <c r="K48" i="31"/>
  <c r="Q48" i="31" s="1"/>
  <c r="L48" i="29"/>
  <c r="P48" i="29" s="1"/>
  <c r="K48" i="29"/>
  <c r="Q48" i="29" s="1"/>
  <c r="K48" i="27"/>
  <c r="Q48" i="27" s="1"/>
  <c r="K48" i="25"/>
  <c r="Q48" i="25" s="1"/>
  <c r="K48" i="23"/>
  <c r="Q48" i="23" s="1"/>
  <c r="K48" i="21"/>
  <c r="Q48" i="21" s="1"/>
  <c r="K48" i="19"/>
  <c r="Q48" i="19" s="1"/>
  <c r="K48" i="17"/>
  <c r="Q48" i="17" s="1"/>
  <c r="Q39" i="23"/>
  <c r="P22" i="31"/>
  <c r="P38" i="27"/>
  <c r="P26" i="17"/>
  <c r="Q27" i="17"/>
  <c r="Q27" i="31"/>
  <c r="L55" i="19"/>
  <c r="L55" i="17"/>
  <c r="L55" i="21"/>
  <c r="O44" i="35"/>
  <c r="O44" i="33"/>
  <c r="O44" i="31"/>
  <c r="O44" i="29"/>
  <c r="O44" i="25"/>
  <c r="O44" i="27"/>
  <c r="O44" i="21"/>
  <c r="O44" i="19"/>
  <c r="O44" i="17"/>
  <c r="O44" i="23"/>
  <c r="Q33" i="29"/>
  <c r="Q30" i="29"/>
  <c r="P27" i="21"/>
  <c r="P36" i="35"/>
  <c r="P19" i="25"/>
  <c r="P49" i="25"/>
  <c r="L23" i="19"/>
  <c r="P23" i="19" s="1"/>
  <c r="L23" i="21"/>
  <c r="P23" i="21" s="1"/>
  <c r="L23" i="17"/>
  <c r="P23" i="17" s="1"/>
  <c r="P33" i="27"/>
  <c r="L47" i="19"/>
  <c r="P47" i="19" s="1"/>
  <c r="L47" i="21"/>
  <c r="P47" i="21" s="1"/>
  <c r="L47" i="17"/>
  <c r="P47" i="17" s="1"/>
  <c r="D134" i="6"/>
  <c r="F134" i="6"/>
  <c r="E134" i="6"/>
  <c r="B23" i="10"/>
  <c r="A23" i="10"/>
  <c r="D23" i="10"/>
  <c r="E23" i="10"/>
  <c r="C23" i="10"/>
  <c r="P31" i="17"/>
  <c r="Q25" i="17"/>
  <c r="Q22" i="21"/>
  <c r="Q22" i="33"/>
  <c r="Q19" i="35"/>
  <c r="A108" i="10"/>
  <c r="E108" i="10"/>
  <c r="C108" i="10"/>
  <c r="D108" i="10"/>
  <c r="B108" i="10"/>
  <c r="A60" i="10"/>
  <c r="E60" i="10"/>
  <c r="C60" i="10"/>
  <c r="B60" i="10"/>
  <c r="D60" i="10"/>
  <c r="P34" i="31"/>
  <c r="E8" i="12"/>
  <c r="F117" i="6"/>
  <c r="D117" i="6"/>
  <c r="E117" i="6"/>
  <c r="F101" i="6"/>
  <c r="D101" i="6"/>
  <c r="E101" i="6"/>
  <c r="D45" i="10"/>
  <c r="C45" i="10"/>
  <c r="B45" i="10"/>
  <c r="A45" i="10"/>
  <c r="E45" i="10"/>
  <c r="Q44" i="21" l="1"/>
  <c r="Q44" i="33"/>
  <c r="Q37" i="25"/>
  <c r="Q37" i="33"/>
  <c r="Q16" i="23"/>
  <c r="Q44" i="25"/>
  <c r="Q24" i="19"/>
  <c r="Q37" i="35"/>
  <c r="Q16" i="25"/>
  <c r="Q16" i="35"/>
  <c r="Q28" i="27"/>
  <c r="Q44" i="23"/>
  <c r="Q16" i="27"/>
  <c r="Q28" i="17"/>
  <c r="Q28" i="31"/>
  <c r="Q40" i="25"/>
  <c r="Q52" i="33"/>
  <c r="Q37" i="31"/>
  <c r="Q28" i="21"/>
  <c r="Q28" i="33"/>
  <c r="Q52" i="35"/>
  <c r="Q44" i="27"/>
  <c r="Q37" i="19"/>
  <c r="Q16" i="17"/>
  <c r="Q16" i="31"/>
  <c r="Q28" i="25"/>
  <c r="Q40" i="35"/>
  <c r="Q52" i="23"/>
  <c r="Q44" i="17"/>
  <c r="Q44" i="31"/>
  <c r="Q37" i="21"/>
  <c r="Q16" i="19"/>
  <c r="Q28" i="23"/>
  <c r="Q52" i="27"/>
  <c r="Q44" i="19"/>
  <c r="Q37" i="23"/>
  <c r="Q16" i="21"/>
  <c r="Q16" i="33"/>
  <c r="Q28" i="29"/>
  <c r="Q28" i="35"/>
</calcChain>
</file>

<file path=xl/sharedStrings.xml><?xml version="1.0" encoding="utf-8"?>
<sst xmlns="http://schemas.openxmlformats.org/spreadsheetml/2006/main" count="1192" uniqueCount="253">
  <si>
    <t>CUADRO DE NOTAS FINALES — 9° GRADO · ESCUELA CERRO CACICÓN 2026</t>
  </si>
  <si>
    <t>Nota: Las calificaciones se obtienen automáticamente de las hojas PROM de cada materia</t>
  </si>
  <si>
    <t>No.</t>
  </si>
  <si>
    <t>APELLIDO, NOMBRE</t>
  </si>
  <si>
    <t>INGLÉS</t>
  </si>
  <si>
    <t>AGROPECUARIA</t>
  </si>
  <si>
    <t>COMERCIO</t>
  </si>
  <si>
    <t>TECNOLOGÍA</t>
  </si>
  <si>
    <t>ED. ARTÍSTICA</t>
  </si>
  <si>
    <t>ESTADO</t>
  </si>
  <si>
    <t>T1</t>
  </si>
  <si>
    <t>T2</t>
  </si>
  <si>
    <t>T3</t>
  </si>
  <si>
    <t>FINAL</t>
  </si>
  <si>
    <t>PROMEDIO DEL GRUPO</t>
  </si>
  <si>
    <t>Año lectivo:</t>
  </si>
  <si>
    <t>Elmer Tugri</t>
  </si>
  <si>
    <t>GRADO</t>
  </si>
  <si>
    <t>OBSERVACIONES</t>
  </si>
  <si>
    <t>7°</t>
  </si>
  <si>
    <t>8°</t>
  </si>
  <si>
    <t>9°</t>
  </si>
  <si>
    <t>TRIMESTRES</t>
  </si>
  <si>
    <t>No</t>
  </si>
  <si>
    <t>HOJA MAESTRO — ESCUELA CERRO CACICÓN · AÑO LECTIVO 2026</t>
  </si>
  <si>
    <t>Ingresa aquí los nombres de cada grado. Se copiarán automáticamente a TODAS las hojas.</t>
  </si>
  <si>
    <t>7° GRADO</t>
  </si>
  <si>
    <t>8° GRADO</t>
  </si>
  <si>
    <t>9° GRADO</t>
  </si>
  <si>
    <t>⚠ IMPORTANTE: Solo edita esta hoja para nombres. Todas las demás hojas se actualizan automáticamente.</t>
  </si>
  <si>
    <t>AUSENCIAS</t>
  </si>
  <si>
    <t>PANEL DE CONTROL ACADÉMICO — ESCUELA CERRO CACICÓN 2026</t>
  </si>
  <si>
    <t>Actualización automática. Las alertas muestran estudiantes con nota menor a 60 o ausencias elevadas.</t>
  </si>
  <si>
    <t>📊 7° Grado</t>
  </si>
  <si>
    <t>📊 8° Grado</t>
  </si>
  <si>
    <t>📊 9° Grado</t>
  </si>
  <si>
    <t>Matriculados</t>
  </si>
  <si>
    <t>Aprobados</t>
  </si>
  <si>
    <t>Reprobados</t>
  </si>
  <si>
    <t>Ausencias &gt;5</t>
  </si>
  <si>
    <t>LEYENDA DE ALERTAS EN LOS CUADROS DE NOTAS</t>
  </si>
  <si>
    <t>🔴  Nota menor de 3.0 → REPROBADO</t>
  </si>
  <si>
    <t>🟡  Nota entre 3.0 y 3.4 → En riesgo</t>
  </si>
  <si>
    <t>🟢  Nota mayor o igual a 4.5 → Excelente</t>
  </si>
  <si>
    <t>ℹ  Celda vacía → Nota no ingresada aún</t>
  </si>
  <si>
    <t>⚠ ESTUDIANTES EN RIESGO (nota final Tecnología o Inglés &lt; 3.0)</t>
  </si>
  <si>
    <t>INGLÉS FINAL</t>
  </si>
  <si>
    <t>TECNOLOGÍA FINAL</t>
  </si>
  <si>
    <t>CUADRO DE NOTAS FINALES — 7° GRADO · ESCUELA CERRO CACICÓN 2026</t>
  </si>
  <si>
    <t>HOGAR Y DESARROLLO</t>
  </si>
  <si>
    <t>CUADRO DE NOTAS FINALES — 8° GRADO · ESCUELA CERRO CACICÓN 2026</t>
  </si>
  <si>
    <t>MINISTERIO DE EDUCACIÓN DE PANAMÁ</t>
  </si>
  <si>
    <t>ESCUELA CERRO CACICÓN — COMARCA NGÄBE BUGLÉ</t>
  </si>
  <si>
    <t>INFORME ACADÉMICO GENERAL — AÑO LECTIVO 2026</t>
  </si>
  <si>
    <t>Docente: Elmer Tugri  |  Premedia Multigrado Modalidad Flexible  |  Fecha: =TEXT(TODAY(),"DD/MM/YYYY")</t>
  </si>
  <si>
    <t>1. MATRÍCULA GENERAL</t>
  </si>
  <si>
    <t>TOTAL MATRICULADOS</t>
  </si>
  <si>
    <t>HOMBRES</t>
  </si>
  <si>
    <t>MUJERES</t>
  </si>
  <si>
    <t>TOTAL GENERAL</t>
  </si>
  <si>
    <t>2. RENDIMIENTO ACADÉMICO POR GRADO</t>
  </si>
  <si>
    <t>MATRICULADOS</t>
  </si>
  <si>
    <t>APROBADOS</t>
  </si>
  <si>
    <t>REPROBADOS</t>
  </si>
  <si>
    <t>% APROBACIÓN</t>
  </si>
  <si>
    <t>PROMEDIO INGLÉS</t>
  </si>
  <si>
    <t>PROMEDIO TECNOLOGÍA</t>
  </si>
  <si>
    <t>3. ESTUDIANTES CON DEFICIENCIAS (NOTA FINAL &lt;3.0)</t>
  </si>
  <si>
    <t>4. FIRMAS Y APROBACIÓN</t>
  </si>
  <si>
    <t>Docente:  Elmer Tugri</t>
  </si>
  <si>
    <t>Firma: _________________________________</t>
  </si>
  <si>
    <t xml:space="preserve">Director(a):  </t>
  </si>
  <si>
    <t xml:space="preserve">Fecha de entrega:  </t>
  </si>
  <si>
    <t>LISTA DE ESTUDIANTES APROBADOS — AÑO LECTIVO 2026</t>
  </si>
  <si>
    <t>Escuela Cerro Cacicón · Prof. Elmer Tugri · Premedia Multigrado</t>
  </si>
  <si>
    <t>ESTUDIANTES APROBADOS — 7° GRADO</t>
  </si>
  <si>
    <t>NOTA PROMEDIO</t>
  </si>
  <si>
    <t>Total aprobados 7°:</t>
  </si>
  <si>
    <t>ESTUDIANTES APROBADOS — 8° GRADO</t>
  </si>
  <si>
    <t>Total aprobados 8°:</t>
  </si>
  <si>
    <t>ESTUDIANTES APROBADOS — 9° GRADO</t>
  </si>
  <si>
    <t>Total aprobados 9°:</t>
  </si>
  <si>
    <t>MI REPORTE DOCENTE — CONTROL PERSONAL 2026</t>
  </si>
  <si>
    <t>Prof. Elmer Tugri · Escuela Cerro Cacicón · Actualización automática</t>
  </si>
  <si>
    <t>RESUMEN RÁPIDO</t>
  </si>
  <si>
    <t>TOTAL</t>
  </si>
  <si>
    <t>Con ausencias &gt;5</t>
  </si>
  <si>
    <t>Prom. Inglés</t>
  </si>
  <si>
    <t>Prom. Tecnología</t>
  </si>
  <si>
    <t>NOTAS Y SEGUIMIENTO PERSONAL (escribe aquí lo que necesites)</t>
  </si>
  <si>
    <t>NOMBRE                          ALUMNA-ALUMNO</t>
  </si>
  <si>
    <t>ASISTENCIA DEL__17__DE___Marzo______AL__13___DE_____Junio_____</t>
  </si>
  <si>
    <t>PRIMER TRIMESTRE</t>
  </si>
  <si>
    <t>TOTAL AUSENCIAS</t>
  </si>
  <si>
    <t>TOTAL TARDANZAS</t>
  </si>
  <si>
    <t>ASISTENCIA DEL__23__DE____JUNIO____AL__12___DE___SEPTIEMBRE__</t>
  </si>
  <si>
    <t>SEGUNDO TRIMESTRE</t>
  </si>
  <si>
    <t>.</t>
  </si>
  <si>
    <t>ASISTENCIA DEL___22__DE___SEPTIEMBRE__AL__19__DE___DICIEMBRE___</t>
  </si>
  <si>
    <t>TERCER TRIMESTRE</t>
  </si>
  <si>
    <t>CALIFICACIONES-PRIMER TRIMESTRE</t>
  </si>
  <si>
    <t>CALIFICACIONES-SEGUNDO TRIMESTRE</t>
  </si>
  <si>
    <t>CALIFICACIONES-TERCER TIMESTRE</t>
  </si>
  <si>
    <t>CALIFICACIONES-TERCER BIMESTRE</t>
  </si>
  <si>
    <t>NOTAS PARCIALES 1/3</t>
  </si>
  <si>
    <t>PROMEDIO</t>
  </si>
  <si>
    <t>NOTAS DE APRECIACIÓN</t>
  </si>
  <si>
    <t>PRUEBAS TRIMESTRALES 1/3</t>
  </si>
  <si>
    <t>CALIFICACIÓN           TRIMESTRAL</t>
  </si>
  <si>
    <t>PRUEBAS BIMESTRALES 1/3</t>
  </si>
  <si>
    <t>CALIFICACIÓN           BIMESTRAL</t>
  </si>
  <si>
    <t xml:space="preserve">MINISTERIO DE EDUCACION </t>
  </si>
  <si>
    <t>ESCUELA CERRO CACICON</t>
  </si>
  <si>
    <t>CACICON, COMARCA NGABE BUGLE</t>
  </si>
  <si>
    <t>INFORME DE CALIFICACIONES, AUSENCIAS Y TARDANZAS 2024</t>
  </si>
  <si>
    <t>AÑO LECTIVO:</t>
  </si>
  <si>
    <t xml:space="preserve">GRUPO: </t>
  </si>
  <si>
    <t>PROF. CONSEJERO (A):</t>
  </si>
  <si>
    <t>DIGNA</t>
  </si>
  <si>
    <t xml:space="preserve">ASIGNATURA: </t>
  </si>
  <si>
    <t>INGLES</t>
  </si>
  <si>
    <t>PROFESOR:</t>
  </si>
  <si>
    <t>ELMER TUGRI</t>
  </si>
  <si>
    <t>AUSENCIAS/TARDANZAS</t>
  </si>
  <si>
    <t xml:space="preserve">TOTAL FINAL </t>
  </si>
  <si>
    <t xml:space="preserve"> CEDULA</t>
  </si>
  <si>
    <t>I</t>
  </si>
  <si>
    <t>II</t>
  </si>
  <si>
    <t>III</t>
  </si>
  <si>
    <t>NOTA FINAL</t>
  </si>
  <si>
    <t>A</t>
  </si>
  <si>
    <t>T</t>
  </si>
  <si>
    <t>CALIFICACIONES-TERCER TRIMESTRE</t>
  </si>
  <si>
    <t xml:space="preserve">T. - HOGAR Y DESARROLLO </t>
  </si>
  <si>
    <t>8° A - 8° B</t>
  </si>
  <si>
    <t>SANTIAGO - ELMER</t>
  </si>
  <si>
    <t xml:space="preserve">ELMER TUGRI </t>
  </si>
  <si>
    <t>CINTYA</t>
  </si>
  <si>
    <t>ARTISTICAS</t>
  </si>
  <si>
    <t>Registro de Asistencia</t>
  </si>
  <si>
    <t>y Evaluación</t>
  </si>
  <si>
    <t>para Docentes de Centros</t>
  </si>
  <si>
    <t>Educativos Oficiales</t>
  </si>
  <si>
    <t xml:space="preserve">Prof.  Elmer Tugri </t>
  </si>
  <si>
    <t xml:space="preserve"> Insturctor Vocacional Pre-Media</t>
  </si>
  <si>
    <t xml:space="preserve">Grupo: </t>
  </si>
  <si>
    <t>REGISTRO DE ASISTENCIA Y EVALUACIÓN</t>
  </si>
  <si>
    <t xml:space="preserve">PARA PROFESORES DE LOS CENTROS </t>
  </si>
  <si>
    <t>EDUCATIVOS OFICIALES</t>
  </si>
  <si>
    <t>Grado:</t>
  </si>
  <si>
    <t>Área Curricular:</t>
  </si>
  <si>
    <t>PREMEDIA MULTIGRADO</t>
  </si>
  <si>
    <t>Nombre del Docente:</t>
  </si>
  <si>
    <t xml:space="preserve">Elmer Tugri </t>
  </si>
  <si>
    <t>N° de Cédula:</t>
  </si>
  <si>
    <t>4-785-823</t>
  </si>
  <si>
    <t>N° S. S.</t>
  </si>
  <si>
    <t>N° de Pos.:</t>
  </si>
  <si>
    <t>Condición de Nombramiento:</t>
  </si>
  <si>
    <t>Instructor Vocacional</t>
  </si>
  <si>
    <t>Jornada:</t>
  </si>
  <si>
    <t>Matutina</t>
  </si>
  <si>
    <t>Asignatura:</t>
  </si>
  <si>
    <t>Tecnología - Expresiones Artísticas - Ingles</t>
  </si>
  <si>
    <t>Nombre del Director(ar):</t>
  </si>
  <si>
    <t>Mardel Camarena</t>
  </si>
  <si>
    <t>Nombre del Subdirector(ar):</t>
  </si>
  <si>
    <t xml:space="preserve">Jairo Marciaga </t>
  </si>
  <si>
    <t>Nombre del Coordinador:</t>
  </si>
  <si>
    <t>Centro Educativo:</t>
  </si>
  <si>
    <t>Escuela Cerro Cacicon</t>
  </si>
  <si>
    <t>Teléfono:</t>
  </si>
  <si>
    <t>Correo Electrónico:</t>
  </si>
  <si>
    <t>elmer.tugri7@meduca.edu.pa</t>
  </si>
  <si>
    <t>Regional:</t>
  </si>
  <si>
    <t>Comarca Ngabe Bugle</t>
  </si>
  <si>
    <t>Distrito de:</t>
  </si>
  <si>
    <t>MÜNA</t>
  </si>
  <si>
    <t>Corregimiento de:</t>
  </si>
  <si>
    <t>MARACA</t>
  </si>
  <si>
    <t>Zona Escolar:</t>
  </si>
  <si>
    <t>Profesor:</t>
  </si>
  <si>
    <t>MATUTINA</t>
  </si>
  <si>
    <t>Tecnología (7° a 9°) - Expresiones Artísticas (9°) - Ingles (7° a 9°)</t>
  </si>
  <si>
    <t>Grados:</t>
  </si>
  <si>
    <t>PERIODO</t>
  </si>
  <si>
    <t>HORAS</t>
  </si>
  <si>
    <t>LUNES</t>
  </si>
  <si>
    <t>MARTES</t>
  </si>
  <si>
    <t>MIERCOLES</t>
  </si>
  <si>
    <t>JUEVES</t>
  </si>
  <si>
    <t>VIERNES</t>
  </si>
  <si>
    <t>8:00 -8:35</t>
  </si>
  <si>
    <t xml:space="preserve">ACTO CIVO </t>
  </si>
  <si>
    <t>TECNOLOGIA 9°</t>
  </si>
  <si>
    <t>8:35 - 9:10</t>
  </si>
  <si>
    <t>TECNOLOGIA 7°</t>
  </si>
  <si>
    <t>INGLES 9°</t>
  </si>
  <si>
    <t>INGLES 8°</t>
  </si>
  <si>
    <t>9:10 - 9:45</t>
  </si>
  <si>
    <t>INGLES 7°</t>
  </si>
  <si>
    <t>IV</t>
  </si>
  <si>
    <t>9:45 - 10:20</t>
  </si>
  <si>
    <t>TECNOLOGIA 8°</t>
  </si>
  <si>
    <t>Artística 9°</t>
  </si>
  <si>
    <t>RECESO ACADÉMICO</t>
  </si>
  <si>
    <t>V</t>
  </si>
  <si>
    <t>10:40 - 11:15</t>
  </si>
  <si>
    <t>VI</t>
  </si>
  <si>
    <t>11:15 - 11:50</t>
  </si>
  <si>
    <t>VII</t>
  </si>
  <si>
    <t>11:50 - 12:25</t>
  </si>
  <si>
    <t>PROYECTOS</t>
  </si>
  <si>
    <t>VIII</t>
  </si>
  <si>
    <t>12:25 - 1:00</t>
  </si>
  <si>
    <t>GUÍA PARA EL CORRECTO MANEJO DEL                     REGISTRO ESCOLAR</t>
  </si>
  <si>
    <t>.  Debe anotarse toda la información relacionada con el nombre y apellido.</t>
  </si>
  <si>
    <t>.  En caso de retiros, no se debe tachar el nombre, sino hacer la correspondiente anotación en el espacio previsto para ello al final de cada grupo.</t>
  </si>
  <si>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</si>
  <si>
    <t>.  En la sección para observaciones, debe aparecer el nombre de la profesora o del profesor consejero así como el grupo de consejería a que pertenece la estudiante o el estudiante.</t>
  </si>
  <si>
    <t>SIMBOLOGÍA RECOMENDADA</t>
  </si>
  <si>
    <t>El registro o control de la asistencia tiene una trascendental importancia con los diferentes aspectos que debe manejar el docente para dar respuesta a las solicitudes que se formulen en torno a sus estudiantes.   El profesor y la profesora deberán:</t>
  </si>
  <si>
    <t>Para asegurar el correcto reistro, tanto de la asistencia como las calificaciones, el docente debe guiarse por el nombre del estudiante como por el número de casilla que le corresponde.</t>
  </si>
  <si>
    <t>Al finalizar el año lectivo, todos los docentes deben devolver el Registro Escolar a la Dirección del Plantel.</t>
  </si>
  <si>
    <t>1. Registrar la asistencia diariamente, anotando la fecha correspondiente (día: número arábigo; mes: número arabigo). Utilizar la siguiente simbología:</t>
  </si>
  <si>
    <t>Esperamos que los señalamientos aquí presentados sean considerados por los docentes quienes oportunamente deberán presentar opiniones o nuevas ideas relacionadas con el manejo del Registro Escolar.</t>
  </si>
  <si>
    <t>a. Asistencia: un punto (.)</t>
  </si>
  <si>
    <t>b. Ausencia: una raya horizontal (-)</t>
  </si>
  <si>
    <t>c. Ausencia justificada (excusa): la letra mayúscula €</t>
  </si>
  <si>
    <t>d. Tardanza: La letra mayúscula (T)</t>
  </si>
  <si>
    <t>e. Fuga: la letra (F)</t>
  </si>
  <si>
    <t>PRESENTACIÓN</t>
  </si>
  <si>
    <t>f. Sin nota: las letras (S/N)</t>
  </si>
  <si>
    <t>g. Sin profesor: las letras (S/P)</t>
  </si>
  <si>
    <t>El Registro Escolar refleja la personalidad de la docente o del docente, por lo tanto, se debe tener especial cuidado con su aspecto físico.</t>
  </si>
  <si>
    <t>h. Alumno retirado: La letra (R) mayúscula.</t>
  </si>
  <si>
    <t>CONSIDERACIONES FINALES</t>
  </si>
  <si>
    <t>En cuanto a su presentación se tendrá en cuenta lo siguiente:</t>
  </si>
  <si>
    <t>El registro de notas o calificaciones es importante por su trascendencia en la determinación cuantitativa y cualitativa del aprovechamiento escolar. Por eso debemos:</t>
  </si>
  <si>
    <t>1. Debe estar forrado con sobriedad; si es posible, encuadernado o empastado.</t>
  </si>
  <si>
    <t>2. La información se anotará con tinta sin exagerar el uso de los colores.</t>
  </si>
  <si>
    <t>.    Utilizar la escala numérica de 1 a 5 (incluye decimales con números arábigos).</t>
  </si>
  <si>
    <t>3. Al escribir en él puede usar la letra de imprenta o cursiva legible.</t>
  </si>
  <si>
    <t>.    Recordar que el cero (0) no existe dentro de esta escala.</t>
  </si>
  <si>
    <t>4. Debe conservarse en forma nítida, sin manchas, sin borrones y sin tachaduras.</t>
  </si>
  <si>
    <t>.  No utilizar ganchos, equis ni otros símbolos.</t>
  </si>
  <si>
    <t>5. La libreta no debe contener información ajena a sus propósitos.</t>
  </si>
  <si>
    <t>.  Registrar las notas con tinta, sin borrones ni tachaduras. Evitar escribir un número sobre otro.</t>
  </si>
  <si>
    <t>.  Se debe registrar según la carga horaria, un mínimo de pruebas y actividades.</t>
  </si>
  <si>
    <t>CONFECCIÓN DEL LISTADO DE LAS ESTUDIANTES Y LOS ESTUDIANTES.</t>
  </si>
  <si>
    <t>.  Debemos recordar que el trabajo en la libreta debe ser exacto, completo, claro y legible.</t>
  </si>
  <si>
    <t>.  El listado debe hacerse por apellidos, en orden alfabético, sin distinción de género.</t>
  </si>
  <si>
    <t>Según el Resuelto No.1840 de 1 de noviembre de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</si>
</sst>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00000_-;\-* #,##0.00000_-;_-* &quot;-&quot;??_-;_-@_-"/>
    <numFmt numFmtId="166" formatCode="_-* #,##0.0000000000000_-;\-* #,##0.0000000000000_-;_-* &quot;-&quot;??_-;_-@_-"/>
    <numFmt numFmtId="167" formatCode="[$-180A]d&quot; de &quot;mmmm&quot; de &quot;yyyy;@"/>
    <numFmt numFmtId="168" formatCode="0.000"/>
  </numFmts>
  <fonts count="55">
    <font>
      <sz val="11"/>
      <color theme="1"/>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8"/>
      <color theme="1"/>
      <name val="Calibri"/>
      <family val="2"/>
      <scheme val="minor"/>
    </font>
    <font>
      <sz val="10"/>
      <color theme="1"/>
      <name val="Times New Roman"/>
      <family val="1"/>
    </font>
    <font>
      <b/>
      <sz val="10"/>
      <color theme="1"/>
      <name val="Arial"/>
      <family val="2"/>
    </font>
    <font>
      <sz val="10"/>
      <color theme="1"/>
      <name val="Calibri"/>
      <family val="2"/>
      <scheme val="minor"/>
    </font>
    <font>
      <b/>
      <sz val="10"/>
      <color theme="1"/>
      <name val="Times New Roman"/>
      <family val="1"/>
    </font>
    <font>
      <b/>
      <sz val="10"/>
      <color theme="1"/>
      <name val="Calibri"/>
      <family val="2"/>
      <scheme val="minor"/>
    </font>
    <font>
      <b/>
      <sz val="9"/>
      <color theme="1"/>
      <name val="Times New Roman"/>
      <family val="1"/>
    </font>
    <font>
      <sz val="9"/>
      <color theme="1"/>
      <name val="Calibri"/>
      <family val="2"/>
      <scheme val="minor"/>
    </font>
    <font>
      <sz val="11"/>
      <color theme="1"/>
      <name val="Calibri"/>
      <family val="2"/>
      <scheme val="minor"/>
    </font>
    <font>
      <b/>
      <sz val="11"/>
      <color theme="4" tint="-0.499984740745262"/>
      <name val="Calibri"/>
      <family val="2"/>
      <scheme val="minor"/>
    </font>
    <font>
      <sz val="26"/>
      <color theme="1"/>
      <name val="Britannic Bold"/>
      <family val="2"/>
    </font>
    <font>
      <sz val="14"/>
      <color theme="1"/>
      <name val="Droid"/>
      <family val="2"/>
    </font>
    <font>
      <sz val="14"/>
      <color theme="1"/>
      <name val="Calibri"/>
      <family val="2"/>
      <scheme val="minor"/>
    </font>
    <font>
      <u/>
      <sz val="11"/>
      <color theme="10"/>
      <name val="Calibri"/>
      <family val="2"/>
      <scheme val="minor"/>
    </font>
    <font>
      <i/>
      <sz val="10"/>
      <color theme="1"/>
      <name val="Calibri"/>
      <family val="2"/>
      <scheme val="minor"/>
    </font>
    <font>
      <b/>
      <i/>
      <sz val="14"/>
      <color theme="1"/>
      <name val="Calibri"/>
      <family val="2"/>
      <scheme val="minor"/>
    </font>
    <font>
      <sz val="10"/>
      <color theme="1"/>
      <name val="Arial"/>
      <family val="2"/>
    </font>
    <font>
      <u/>
      <sz val="11"/>
      <color theme="1"/>
      <name val="Calibri"/>
      <family val="2"/>
      <scheme val="minor"/>
    </font>
    <font>
      <b/>
      <sz val="14"/>
      <color rgb="FFFFFFFF"/>
      <name val="Arial"/>
    </font>
    <font>
      <i/>
      <sz val="10"/>
      <color rgb="FF1F3864"/>
      <name val="Arial"/>
    </font>
    <font>
      <b/>
      <sz val="11"/>
      <color rgb="FFFFFFFF"/>
      <name val="Arial"/>
    </font>
    <font>
      <b/>
      <sz val="9"/>
      <color rgb="FFFFFFFF"/>
      <name val="Arial"/>
    </font>
    <font>
      <sz val="9"/>
      <color rgb="FF595959"/>
      <name val="Arial"/>
    </font>
    <font>
      <sz val="10"/>
      <name val="Arial"/>
    </font>
    <font>
      <b/>
      <i/>
      <sz val="9"/>
      <color rgb="FFC55A11"/>
      <name val="Arial"/>
    </font>
    <font>
      <b/>
      <sz val="13"/>
      <color rgb="FFFFFFFF"/>
      <name val="Arial"/>
    </font>
    <font>
      <i/>
      <sz val="9"/>
      <color rgb="FF1F3864"/>
      <name val="Arial"/>
    </font>
    <font>
      <b/>
      <sz val="10"/>
      <color rgb="FFFFFFFF"/>
      <name val="Arial"/>
    </font>
    <font>
      <b/>
      <sz val="10"/>
      <name val="Arial"/>
    </font>
    <font>
      <b/>
      <sz val="10"/>
      <color rgb="FF375623"/>
      <name val="Arial"/>
    </font>
    <font>
      <b/>
      <sz val="10"/>
      <color rgb="FF1F3864"/>
      <name val="Arial"/>
    </font>
    <font>
      <i/>
      <sz val="9"/>
      <color rgb="FF7030A0"/>
      <name val="Arial"/>
    </font>
    <font>
      <i/>
      <sz val="9"/>
      <color rgb="FFC55A11"/>
      <name val="Arial"/>
    </font>
    <font>
      <i/>
      <sz val="9"/>
      <color rgb="FF375623"/>
      <name val="Arial"/>
    </font>
    <font>
      <b/>
      <sz val="12"/>
      <color rgb="FF1F3864"/>
      <name val="Arial"/>
    </font>
    <font>
      <b/>
      <sz val="12"/>
      <color rgb="FF375623"/>
      <name val="Arial"/>
    </font>
    <font>
      <b/>
      <sz val="12"/>
      <color rgb="FF9C0006"/>
      <name val="Arial"/>
    </font>
    <font>
      <b/>
      <sz val="12"/>
      <color rgb="FF7D6608"/>
      <name val="Arial"/>
    </font>
    <font>
      <b/>
      <sz val="10"/>
      <color rgb="FF9C0006"/>
      <name val="Arial"/>
    </font>
    <font>
      <b/>
      <sz val="10"/>
      <color rgb="FF7D6608"/>
      <name val="Arial"/>
    </font>
    <font>
      <sz val="9"/>
      <name val="Arial"/>
    </font>
    <font>
      <b/>
      <sz val="12"/>
      <color rgb="FFFFFFFF"/>
      <name val="Arial"/>
    </font>
    <font>
      <sz val="10"/>
      <color rgb="FF1F3864"/>
      <name val="Arial"/>
    </font>
    <font>
      <b/>
      <sz val="10"/>
      <color rgb="FF000000"/>
      <name val="Arial"/>
    </font>
    <font>
      <b/>
      <sz val="11"/>
      <color rgb="FF1F3864"/>
      <name val="Arial"/>
    </font>
    <font>
      <i/>
      <sz val="10"/>
      <color rgb="FF595959"/>
      <name val="Arial"/>
    </font>
    <font>
      <sz val="10"/>
      <color rgb="FF375623"/>
      <name val="Arial"/>
    </font>
    <font>
      <b/>
      <sz val="11"/>
      <color rgb="FF375623"/>
      <name val="Arial"/>
    </font>
    <font>
      <sz val="10"/>
      <color rgb="FFC55A11"/>
      <name val="Arial"/>
    </font>
    <font>
      <b/>
      <sz val="11"/>
      <color rgb="FFC55A11"/>
      <name val="Arial"/>
    </font>
  </fonts>
  <fills count="1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s>
  <borders count="2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s>
  <cellStyleXfs count="3">
    <xf numFmtId="0" fontId="0" fillId="0" borderId="0"/>
    <xf numFmtId="43" fontId="13" fillId="0" borderId="0"/>
    <xf numFmtId="0" fontId="18" fillId="0" borderId="0"/>
  </cellStyleXfs>
  <cellXfs count="290">
    <xf numFmtId="0" fontId="0" fillId="0" borderId="0" xfId="0"/>
    <xf numFmtId="0" fontId="0" fillId="0" borderId="1" xfId="0" applyBorder="1"/>
    <xf numFmtId="0" fontId="1" fillId="0" borderId="2" xfId="0" applyFont="1" applyBorder="1" applyAlignment="1">
      <alignment vertical="center" wrapText="1"/>
    </xf>
    <xf numFmtId="0" fontId="0" fillId="0" borderId="4" xfId="0" applyBorder="1"/>
    <xf numFmtId="0" fontId="0" fillId="0" borderId="2" xfId="0" applyBorder="1"/>
    <xf numFmtId="164" fontId="0" fillId="0" borderId="2" xfId="0" applyNumberFormat="1" applyBorder="1"/>
    <xf numFmtId="0" fontId="0" fillId="0" borderId="7" xfId="0" applyBorder="1"/>
    <xf numFmtId="0" fontId="0" fillId="0" borderId="6" xfId="0" applyBorder="1"/>
    <xf numFmtId="0" fontId="0" fillId="0" borderId="8" xfId="0" applyBorder="1"/>
    <xf numFmtId="0" fontId="1" fillId="0" borderId="2" xfId="0" applyFont="1" applyBorder="1" applyAlignment="1">
      <alignment horizontal="center" vertical="center" wrapText="1"/>
    </xf>
    <xf numFmtId="0" fontId="6" fillId="0" borderId="2" xfId="0" applyFont="1" applyBorder="1"/>
    <xf numFmtId="16" fontId="0" fillId="0" borderId="2" xfId="0" applyNumberFormat="1" applyBorder="1" applyAlignment="1">
      <alignment horizontal="center" vertical="center" textRotation="90"/>
    </xf>
    <xf numFmtId="0" fontId="7" fillId="0" borderId="10" xfId="0" applyFont="1" applyBorder="1" applyAlignment="1">
      <alignment horizontal="left"/>
    </xf>
    <xf numFmtId="0" fontId="8" fillId="0" borderId="0" xfId="0" applyFont="1"/>
    <xf numFmtId="0" fontId="9" fillId="0" borderId="0" xfId="0" applyFont="1" applyAlignment="1">
      <alignment vertical="center"/>
    </xf>
    <xf numFmtId="0" fontId="8" fillId="3" borderId="0" xfId="0" applyFont="1" applyFill="1"/>
    <xf numFmtId="0" fontId="9" fillId="0" borderId="6" xfId="0" applyFont="1" applyBorder="1" applyAlignment="1">
      <alignment horizontal="center"/>
    </xf>
    <xf numFmtId="0" fontId="7" fillId="0" borderId="11" xfId="0" applyFont="1" applyBorder="1" applyAlignment="1">
      <alignment horizontal="left"/>
    </xf>
    <xf numFmtId="0" fontId="6" fillId="0" borderId="11" xfId="0" applyFont="1" applyBorder="1" applyAlignment="1">
      <alignment horizontal="left"/>
    </xf>
    <xf numFmtId="0" fontId="0" fillId="0" borderId="2"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2" xfId="0" applyBorder="1" applyAlignment="1">
      <alignment horizontal="left"/>
    </xf>
    <xf numFmtId="0" fontId="0" fillId="0" borderId="0" xfId="1" applyNumberFormat="1" applyFont="1"/>
    <xf numFmtId="164" fontId="0" fillId="0" borderId="2" xfId="1" applyNumberFormat="1" applyFont="1" applyBorder="1"/>
    <xf numFmtId="16" fontId="0" fillId="0" borderId="2" xfId="1" applyNumberFormat="1" applyFont="1" applyBorder="1" applyAlignment="1">
      <alignment horizontal="center" textRotation="90" wrapText="1"/>
    </xf>
    <xf numFmtId="0" fontId="0" fillId="0" borderId="2" xfId="0" applyBorder="1" applyAlignment="1">
      <alignment vertical="center" textRotation="180"/>
    </xf>
    <xf numFmtId="0" fontId="0" fillId="0" borderId="2" xfId="0" applyBorder="1" applyAlignment="1">
      <alignment horizontal="center" vertical="center"/>
    </xf>
    <xf numFmtId="0" fontId="2" fillId="0" borderId="2" xfId="0" applyFont="1" applyBorder="1" applyAlignment="1">
      <alignment horizontal="center" vertical="center"/>
    </xf>
    <xf numFmtId="14" fontId="2" fillId="0" borderId="0" xfId="0" applyNumberFormat="1" applyFont="1" applyAlignment="1">
      <alignment horizontal="center" vertical="center" wrapText="1"/>
    </xf>
    <xf numFmtId="0" fontId="0" fillId="0" borderId="17" xfId="0" applyBorder="1"/>
    <xf numFmtId="0" fontId="2" fillId="0" borderId="0" xfId="0" applyFont="1"/>
    <xf numFmtId="0" fontId="0" fillId="0" borderId="0" xfId="0" applyAlignment="1">
      <alignment horizontal="center" vertical="center"/>
    </xf>
    <xf numFmtId="0" fontId="4" fillId="0" borderId="0" xfId="0" applyFont="1" applyAlignment="1">
      <alignment horizontal="left" wrapText="1"/>
    </xf>
    <xf numFmtId="0" fontId="8" fillId="0" borderId="0" xfId="0" applyFont="1" applyAlignment="1">
      <alignment horizontal="justify" vertical="top"/>
    </xf>
    <xf numFmtId="0" fontId="3" fillId="0" borderId="0" xfId="0" applyFont="1" applyAlignment="1">
      <alignment horizontal="justify"/>
    </xf>
    <xf numFmtId="0" fontId="3" fillId="0" borderId="0" xfId="0" applyFont="1" applyAlignment="1">
      <alignment horizontal="justify" vertical="top"/>
    </xf>
    <xf numFmtId="0" fontId="8" fillId="0" borderId="0" xfId="0" applyFont="1" applyAlignment="1">
      <alignment horizontal="justify"/>
    </xf>
    <xf numFmtId="0" fontId="4" fillId="0" borderId="0" xfId="0" applyFont="1" applyAlignment="1">
      <alignment horizontal="justify" vertical="top"/>
    </xf>
    <xf numFmtId="0" fontId="8" fillId="0" borderId="0" xfId="0" applyFont="1" applyAlignment="1">
      <alignment vertical="top"/>
    </xf>
    <xf numFmtId="0" fontId="19" fillId="0" borderId="0" xfId="0" applyFont="1" applyAlignment="1">
      <alignment horizontal="justify" vertical="top"/>
    </xf>
    <xf numFmtId="14" fontId="3" fillId="0" borderId="10" xfId="0" applyNumberFormat="1" applyFont="1" applyBorder="1" applyAlignment="1">
      <alignment horizontal="center" vertical="center" wrapText="1"/>
    </xf>
    <xf numFmtId="164" fontId="0" fillId="0" borderId="12" xfId="0" applyNumberFormat="1" applyBorder="1"/>
    <xf numFmtId="1" fontId="4" fillId="0" borderId="2" xfId="0" applyNumberFormat="1" applyFont="1" applyBorder="1" applyAlignment="1">
      <alignment horizontal="center" vertical="center"/>
    </xf>
    <xf numFmtId="164" fontId="0" fillId="0" borderId="0" xfId="1" applyNumberFormat="1" applyFont="1"/>
    <xf numFmtId="164" fontId="0" fillId="0" borderId="2" xfId="1" applyNumberFormat="1" applyFont="1" applyBorder="1" applyAlignment="1">
      <alignment horizontal="center"/>
    </xf>
    <xf numFmtId="164" fontId="0" fillId="0" borderId="0" xfId="1" applyNumberFormat="1" applyFont="1" applyAlignment="1">
      <alignment horizontal="center"/>
    </xf>
    <xf numFmtId="164" fontId="4" fillId="3" borderId="2" xfId="0" applyNumberFormat="1" applyFont="1" applyFill="1" applyBorder="1"/>
    <xf numFmtId="164" fontId="4" fillId="0" borderId="2" xfId="1" applyNumberFormat="1" applyFont="1" applyBorder="1"/>
    <xf numFmtId="164" fontId="8" fillId="0" borderId="0" xfId="0" applyNumberFormat="1" applyFont="1"/>
    <xf numFmtId="164" fontId="8" fillId="0" borderId="0" xfId="0" applyNumberFormat="1" applyFont="1" applyAlignment="1">
      <alignment horizontal="center"/>
    </xf>
    <xf numFmtId="164" fontId="0" fillId="0" borderId="0" xfId="0" applyNumberFormat="1"/>
    <xf numFmtId="164" fontId="10" fillId="0" borderId="2" xfId="0" applyNumberFormat="1" applyFont="1" applyBorder="1" applyAlignment="1">
      <alignment horizontal="center"/>
    </xf>
    <xf numFmtId="165" fontId="0" fillId="0" borderId="2" xfId="1" applyNumberFormat="1" applyFont="1" applyBorder="1" applyAlignment="1">
      <alignment horizontal="left"/>
    </xf>
    <xf numFmtId="165" fontId="0" fillId="0" borderId="0" xfId="1" applyNumberFormat="1" applyFont="1" applyAlignment="1">
      <alignment horizontal="left"/>
    </xf>
    <xf numFmtId="0" fontId="0" fillId="0" borderId="0" xfId="0" applyAlignment="1">
      <alignment horizontal="left"/>
    </xf>
    <xf numFmtId="166" fontId="0" fillId="0" borderId="2" xfId="1" applyNumberFormat="1" applyFont="1" applyBorder="1"/>
    <xf numFmtId="166" fontId="0" fillId="0" borderId="0" xfId="1" applyNumberFormat="1" applyFont="1"/>
    <xf numFmtId="0" fontId="8" fillId="0" borderId="0" xfId="0" applyFont="1" applyAlignment="1">
      <alignment horizontal="center"/>
    </xf>
    <xf numFmtId="0" fontId="0" fillId="0" borderId="10" xfId="0" applyBorder="1"/>
    <xf numFmtId="0" fontId="5" fillId="0" borderId="6" xfId="0" applyFont="1" applyBorder="1" applyAlignment="1">
      <alignment horizontal="center" vertical="center" textRotation="90"/>
    </xf>
    <xf numFmtId="0" fontId="5" fillId="0" borderId="12" xfId="0" applyFont="1" applyBorder="1" applyAlignment="1">
      <alignment horizontal="center" vertical="center" textRotation="90"/>
    </xf>
    <xf numFmtId="0" fontId="8" fillId="0" borderId="2" xfId="0" applyFont="1" applyBorder="1" applyAlignment="1">
      <alignment horizontal="center"/>
    </xf>
    <xf numFmtId="0" fontId="10" fillId="0" borderId="2" xfId="0" applyFont="1" applyBorder="1" applyAlignment="1">
      <alignment horizontal="center"/>
    </xf>
    <xf numFmtId="0" fontId="4" fillId="0" borderId="2" xfId="0" applyFont="1" applyBorder="1" applyAlignment="1">
      <alignment vertical="center" textRotation="255"/>
    </xf>
    <xf numFmtId="164" fontId="13" fillId="0" borderId="2" xfId="1" applyNumberFormat="1" applyBorder="1" applyAlignment="1">
      <alignment horizontal="right"/>
    </xf>
    <xf numFmtId="164" fontId="0" fillId="0" borderId="2" xfId="1" applyNumberFormat="1" applyFont="1" applyBorder="1" applyAlignment="1">
      <alignment horizontal="right"/>
    </xf>
    <xf numFmtId="164" fontId="0" fillId="0" borderId="2" xfId="0" applyNumberFormat="1" applyBorder="1" applyAlignment="1">
      <alignment horizontal="center"/>
    </xf>
    <xf numFmtId="164" fontId="13" fillId="0" borderId="2" xfId="0" applyNumberFormat="1" applyFont="1" applyBorder="1" applyAlignment="1">
      <alignment horizontal="right"/>
    </xf>
    <xf numFmtId="0" fontId="4" fillId="0" borderId="2" xfId="0" applyFont="1" applyBorder="1" applyAlignment="1">
      <alignment horizontal="center" vertical="center" textRotation="255"/>
    </xf>
    <xf numFmtId="167" fontId="0" fillId="0" borderId="2" xfId="0" applyNumberFormat="1" applyBorder="1" applyAlignment="1">
      <alignment horizontal="left" textRotation="90"/>
    </xf>
    <xf numFmtId="0" fontId="0" fillId="0" borderId="17" xfId="0" applyBorder="1" applyAlignment="1">
      <alignment horizontal="center"/>
    </xf>
    <xf numFmtId="2" fontId="10" fillId="0" borderId="2" xfId="0" applyNumberFormat="1" applyFont="1" applyBorder="1" applyAlignment="1">
      <alignment horizontal="center"/>
    </xf>
    <xf numFmtId="168" fontId="10" fillId="0" borderId="2" xfId="0" applyNumberFormat="1" applyFont="1" applyBorder="1" applyAlignment="1">
      <alignment horizontal="center"/>
    </xf>
    <xf numFmtId="0" fontId="2" fillId="0" borderId="0" xfId="0" applyFont="1" applyAlignment="1">
      <alignment horizontal="center" vertical="center"/>
    </xf>
    <xf numFmtId="0" fontId="21" fillId="0" borderId="10" xfId="0" applyFont="1" applyBorder="1" applyAlignment="1">
      <alignment horizontal="left"/>
    </xf>
    <xf numFmtId="0" fontId="2" fillId="0" borderId="2" xfId="0" applyFont="1" applyBorder="1" applyAlignment="1">
      <alignment vertical="center"/>
    </xf>
    <xf numFmtId="0" fontId="0" fillId="0" borderId="2" xfId="0" applyBorder="1" applyAlignment="1">
      <alignment vertical="center"/>
    </xf>
    <xf numFmtId="0" fontId="0" fillId="0" borderId="19" xfId="0" applyBorder="1" applyAlignment="1">
      <alignment vertical="center"/>
    </xf>
    <xf numFmtId="0" fontId="0" fillId="0" borderId="0" xfId="0" applyAlignment="1">
      <alignment vertical="center"/>
    </xf>
    <xf numFmtId="0" fontId="2" fillId="0" borderId="19" xfId="0" applyFont="1" applyBorder="1" applyAlignment="1">
      <alignment vertical="center"/>
    </xf>
    <xf numFmtId="0" fontId="2" fillId="0" borderId="0" xfId="0" applyFont="1" applyAlignment="1">
      <alignment vertical="center"/>
    </xf>
    <xf numFmtId="0" fontId="17" fillId="0" borderId="0" xfId="0" applyFont="1" applyAlignment="1">
      <alignment vertical="center"/>
    </xf>
    <xf numFmtId="0" fontId="0" fillId="0" borderId="6" xfId="0" applyBorder="1" applyAlignment="1">
      <alignment horizontal="center" vertical="center"/>
    </xf>
    <xf numFmtId="0" fontId="0" fillId="0" borderId="12" xfId="0" applyBorder="1" applyAlignment="1">
      <alignment horizontal="center" vertical="center"/>
    </xf>
    <xf numFmtId="0" fontId="1" fillId="0" borderId="0" xfId="0" applyFont="1" applyAlignment="1">
      <alignment vertical="center" wrapText="1"/>
    </xf>
    <xf numFmtId="14" fontId="3" fillId="0" borderId="0" xfId="0" applyNumberFormat="1" applyFont="1" applyAlignment="1">
      <alignment vertical="center" wrapText="1"/>
    </xf>
    <xf numFmtId="14" fontId="2" fillId="0" borderId="0" xfId="0" applyNumberFormat="1" applyFont="1" applyAlignment="1">
      <alignment vertical="center" wrapText="1"/>
    </xf>
    <xf numFmtId="0" fontId="22" fillId="0" borderId="17" xfId="0" applyFont="1" applyBorder="1"/>
    <xf numFmtId="0" fontId="12" fillId="0" borderId="2" xfId="0" applyFont="1" applyBorder="1" applyAlignment="1">
      <alignment horizontal="center" vertical="center" wrapText="1"/>
    </xf>
    <xf numFmtId="0" fontId="0" fillId="0" borderId="14" xfId="0" applyBorder="1"/>
    <xf numFmtId="164" fontId="0" fillId="0" borderId="12" xfId="0" applyNumberFormat="1" applyBorder="1" applyAlignment="1">
      <alignment textRotation="90"/>
    </xf>
    <xf numFmtId="164" fontId="0" fillId="0" borderId="12" xfId="0" applyNumberFormat="1" applyBorder="1" applyAlignment="1">
      <alignment textRotation="90" wrapText="1"/>
    </xf>
    <xf numFmtId="164" fontId="0" fillId="0" borderId="2" xfId="0" applyNumberFormat="1" applyBorder="1" applyAlignment="1">
      <alignment textRotation="90"/>
    </xf>
    <xf numFmtId="164" fontId="0" fillId="0" borderId="2" xfId="0" applyNumberFormat="1" applyBorder="1" applyAlignment="1">
      <alignment textRotation="90" wrapText="1"/>
    </xf>
    <xf numFmtId="164" fontId="4" fillId="0" borderId="6" xfId="0" applyNumberFormat="1" applyFont="1" applyBorder="1" applyAlignment="1">
      <alignment horizontal="center" textRotation="90"/>
    </xf>
    <xf numFmtId="164" fontId="4" fillId="0" borderId="5" xfId="0" applyNumberFormat="1" applyFont="1" applyBorder="1" applyAlignment="1">
      <alignment horizontal="center" textRotation="90"/>
    </xf>
    <xf numFmtId="0" fontId="6" fillId="3" borderId="2" xfId="0" applyFont="1" applyFill="1" applyBorder="1"/>
    <xf numFmtId="165" fontId="4" fillId="0" borderId="6" xfId="1" applyNumberFormat="1" applyFont="1" applyBorder="1" applyAlignment="1">
      <alignment horizontal="center" textRotation="90"/>
    </xf>
    <xf numFmtId="165" fontId="0" fillId="0" borderId="6" xfId="1" applyNumberFormat="1" applyFont="1" applyBorder="1" applyAlignment="1">
      <alignment horizontal="center" textRotation="90"/>
    </xf>
    <xf numFmtId="164" fontId="4" fillId="0" borderId="12" xfId="0" applyNumberFormat="1" applyFont="1" applyBorder="1" applyAlignment="1">
      <alignment textRotation="90"/>
    </xf>
    <xf numFmtId="0" fontId="0" fillId="0" borderId="2" xfId="0" applyBorder="1" applyAlignment="1">
      <alignment vertical="center" textRotation="90"/>
    </xf>
    <xf numFmtId="0" fontId="0" fillId="0" borderId="2" xfId="0" applyBorder="1" applyAlignment="1">
      <alignment vertical="center" textRotation="90" wrapText="1"/>
    </xf>
    <xf numFmtId="164" fontId="4" fillId="0" borderId="2" xfId="0" applyNumberFormat="1" applyFont="1" applyBorder="1" applyAlignment="1">
      <alignment textRotation="90"/>
    </xf>
    <xf numFmtId="164" fontId="4" fillId="0" borderId="2" xfId="0" applyNumberFormat="1" applyFont="1" applyBorder="1" applyAlignment="1">
      <alignment textRotation="90" wrapText="1"/>
    </xf>
    <xf numFmtId="165" fontId="4" fillId="0" borderId="2" xfId="1" applyNumberFormat="1" applyFont="1" applyBorder="1" applyAlignment="1">
      <alignment textRotation="90"/>
    </xf>
    <xf numFmtId="166" fontId="4" fillId="0" borderId="2" xfId="1" applyNumberFormat="1" applyFont="1" applyBorder="1" applyAlignment="1">
      <alignment textRotation="90"/>
    </xf>
    <xf numFmtId="165" fontId="4" fillId="0" borderId="2" xfId="1" applyNumberFormat="1" applyFont="1" applyBorder="1" applyAlignment="1">
      <alignment textRotation="90" wrapText="1"/>
    </xf>
    <xf numFmtId="165" fontId="0" fillId="0" borderId="2" xfId="1" applyNumberFormat="1" applyFont="1" applyBorder="1" applyAlignment="1">
      <alignment textRotation="90"/>
    </xf>
    <xf numFmtId="1" fontId="0" fillId="0" borderId="2" xfId="0" applyNumberFormat="1" applyBorder="1" applyAlignment="1">
      <alignment horizontal="center" vertical="center"/>
    </xf>
    <xf numFmtId="14" fontId="2" fillId="0" borderId="10" xfId="0" applyNumberFormat="1" applyFont="1" applyBorder="1" applyAlignment="1">
      <alignment horizontal="center" vertical="center" wrapText="1"/>
    </xf>
    <xf numFmtId="0" fontId="1" fillId="0" borderId="6" xfId="0" applyFont="1" applyBorder="1" applyAlignment="1">
      <alignment horizontal="center" vertical="center" textRotation="90"/>
    </xf>
    <xf numFmtId="0" fontId="1" fillId="0" borderId="12" xfId="0" applyFont="1" applyBorder="1" applyAlignment="1">
      <alignment horizontal="center" vertical="center" textRotation="90"/>
    </xf>
    <xf numFmtId="0" fontId="26" fillId="6" borderId="22" xfId="0" applyFont="1" applyFill="1" applyBorder="1" applyAlignment="1">
      <alignment horizontal="center" vertical="center"/>
    </xf>
    <xf numFmtId="0" fontId="26" fillId="7" borderId="22" xfId="0" applyFont="1" applyFill="1" applyBorder="1" applyAlignment="1">
      <alignment horizontal="center" vertical="center"/>
    </xf>
    <xf numFmtId="0" fontId="26" fillId="8" borderId="22" xfId="0" applyFont="1" applyFill="1" applyBorder="1" applyAlignment="1">
      <alignment horizontal="center" vertical="center"/>
    </xf>
    <xf numFmtId="0" fontId="27" fillId="9" borderId="22" xfId="0" applyFont="1" applyFill="1" applyBorder="1" applyAlignment="1">
      <alignment horizontal="center" vertical="center"/>
    </xf>
    <xf numFmtId="0" fontId="28" fillId="9" borderId="22" xfId="0" applyFont="1" applyFill="1" applyBorder="1" applyAlignment="1">
      <alignment horizontal="left" vertical="center"/>
    </xf>
    <xf numFmtId="0" fontId="27" fillId="10" borderId="22" xfId="0" applyFont="1" applyFill="1" applyBorder="1" applyAlignment="1">
      <alignment horizontal="center" vertical="center"/>
    </xf>
    <xf numFmtId="0" fontId="28" fillId="10" borderId="22" xfId="0" applyFont="1" applyFill="1" applyBorder="1" applyAlignment="1">
      <alignment horizontal="left" vertical="center"/>
    </xf>
    <xf numFmtId="0" fontId="26" fillId="4" borderId="22" xfId="0" applyFont="1" applyFill="1" applyBorder="1" applyAlignment="1">
      <alignment horizontal="center" vertical="center"/>
    </xf>
    <xf numFmtId="0" fontId="26" fillId="11" borderId="22" xfId="0" applyFont="1" applyFill="1" applyBorder="1" applyAlignment="1">
      <alignment horizontal="center" vertical="center"/>
    </xf>
    <xf numFmtId="0" fontId="28" fillId="10" borderId="22" xfId="0" applyFont="1" applyFill="1" applyBorder="1" applyAlignment="1">
      <alignment horizontal="center" vertical="center"/>
    </xf>
    <xf numFmtId="0" fontId="33" fillId="10" borderId="22" xfId="0" applyFont="1" applyFill="1" applyBorder="1" applyAlignment="1">
      <alignment horizontal="center" vertical="center"/>
    </xf>
    <xf numFmtId="0" fontId="34" fillId="12" borderId="22" xfId="0" applyFont="1" applyFill="1" applyBorder="1" applyAlignment="1">
      <alignment horizontal="center" vertical="center"/>
    </xf>
    <xf numFmtId="0" fontId="28" fillId="9" borderId="22" xfId="0" applyFont="1" applyFill="1" applyBorder="1" applyAlignment="1">
      <alignment horizontal="center" vertical="center"/>
    </xf>
    <xf numFmtId="0" fontId="33" fillId="9" borderId="22" xfId="0" applyFont="1" applyFill="1" applyBorder="1" applyAlignment="1">
      <alignment horizontal="center" vertical="center"/>
    </xf>
    <xf numFmtId="0" fontId="35" fillId="13" borderId="22" xfId="0" applyFont="1" applyFill="1" applyBorder="1" applyAlignment="1">
      <alignment horizontal="center" vertical="center"/>
    </xf>
    <xf numFmtId="0" fontId="0" fillId="13" borderId="22" xfId="0" applyFill="1" applyBorder="1"/>
    <xf numFmtId="0" fontId="0" fillId="12" borderId="22" xfId="0" applyFill="1" applyBorder="1"/>
    <xf numFmtId="0" fontId="26" fillId="6" borderId="22" xfId="0" applyFont="1" applyFill="1" applyBorder="1" applyAlignment="1">
      <alignment horizontal="center" vertical="center" wrapText="1"/>
    </xf>
    <xf numFmtId="0" fontId="45" fillId="5" borderId="22" xfId="0" applyFont="1" applyFill="1" applyBorder="1" applyAlignment="1">
      <alignment horizontal="center" vertical="center"/>
    </xf>
    <xf numFmtId="0" fontId="45" fillId="5" borderId="22" xfId="0" applyFont="1" applyFill="1" applyBorder="1" applyAlignment="1">
      <alignment horizontal="left" vertical="center"/>
    </xf>
    <xf numFmtId="0" fontId="45" fillId="9" borderId="22" xfId="0" applyFont="1" applyFill="1" applyBorder="1" applyAlignment="1">
      <alignment horizontal="center" vertical="center"/>
    </xf>
    <xf numFmtId="0" fontId="45" fillId="9" borderId="22" xfId="0" applyFont="1" applyFill="1" applyBorder="1" applyAlignment="1">
      <alignment horizontal="left" vertical="center"/>
    </xf>
    <xf numFmtId="0" fontId="45" fillId="14" borderId="22" xfId="0" applyFont="1" applyFill="1" applyBorder="1" applyAlignment="1">
      <alignment horizontal="center" vertical="center"/>
    </xf>
    <xf numFmtId="0" fontId="45" fillId="14" borderId="22" xfId="0" applyFont="1" applyFill="1" applyBorder="1" applyAlignment="1">
      <alignment horizontal="left" vertical="center"/>
    </xf>
    <xf numFmtId="0" fontId="45" fillId="15" borderId="22" xfId="0" applyFont="1" applyFill="1" applyBorder="1" applyAlignment="1">
      <alignment horizontal="center" vertical="center"/>
    </xf>
    <xf numFmtId="0" fontId="45" fillId="15" borderId="22" xfId="0" applyFont="1" applyFill="1" applyBorder="1" applyAlignment="1">
      <alignment horizontal="left" vertical="center"/>
    </xf>
    <xf numFmtId="0" fontId="48" fillId="9" borderId="22" xfId="0" applyFont="1" applyFill="1" applyBorder="1" applyAlignment="1">
      <alignment horizontal="center" vertical="center"/>
    </xf>
    <xf numFmtId="0" fontId="35" fillId="9" borderId="22" xfId="0" applyFont="1" applyFill="1" applyBorder="1" applyAlignment="1">
      <alignment horizontal="center" vertical="center"/>
    </xf>
    <xf numFmtId="0" fontId="0" fillId="9" borderId="22" xfId="0" applyFill="1" applyBorder="1"/>
    <xf numFmtId="0" fontId="48" fillId="10" borderId="22" xfId="0" applyFont="1" applyFill="1" applyBorder="1" applyAlignment="1">
      <alignment horizontal="center" vertical="center"/>
    </xf>
    <xf numFmtId="0" fontId="35" fillId="10" borderId="22" xfId="0" applyFont="1" applyFill="1" applyBorder="1" applyAlignment="1">
      <alignment horizontal="center" vertical="center"/>
    </xf>
    <xf numFmtId="0" fontId="0" fillId="10" borderId="22" xfId="0" applyFill="1" applyBorder="1"/>
    <xf numFmtId="0" fontId="49" fillId="13" borderId="22" xfId="0" applyFont="1" applyFill="1" applyBorder="1" applyAlignment="1">
      <alignment horizontal="center" vertical="center"/>
    </xf>
    <xf numFmtId="0" fontId="26" fillId="8" borderId="22" xfId="0" applyFont="1" applyFill="1" applyBorder="1" applyAlignment="1">
      <alignment horizontal="center" vertical="center" wrapText="1"/>
    </xf>
    <xf numFmtId="0" fontId="26" fillId="4" borderId="22" xfId="0" applyFont="1" applyFill="1" applyBorder="1" applyAlignment="1">
      <alignment horizontal="center" vertical="center" wrapText="1"/>
    </xf>
    <xf numFmtId="0" fontId="28" fillId="12" borderId="22" xfId="0" applyFont="1" applyFill="1" applyBorder="1" applyAlignment="1">
      <alignment horizontal="center" vertical="center"/>
    </xf>
    <xf numFmtId="0" fontId="28" fillId="12" borderId="22" xfId="0" applyFont="1" applyFill="1" applyBorder="1" applyAlignment="1">
      <alignment horizontal="left" vertical="center"/>
    </xf>
    <xf numFmtId="0" fontId="52" fillId="12" borderId="22" xfId="0" applyFont="1" applyFill="1" applyBorder="1" applyAlignment="1">
      <alignment horizontal="center" vertical="center"/>
    </xf>
    <xf numFmtId="0" fontId="26" fillId="7" borderId="22" xfId="0" applyFont="1" applyFill="1" applyBorder="1" applyAlignment="1">
      <alignment horizontal="center" vertical="center" wrapText="1"/>
    </xf>
    <xf numFmtId="0" fontId="33" fillId="5" borderId="22" xfId="0" applyFont="1" applyFill="1" applyBorder="1" applyAlignment="1">
      <alignment horizontal="left" vertical="center"/>
    </xf>
    <xf numFmtId="0" fontId="49" fillId="5" borderId="22" xfId="0" applyFont="1" applyFill="1" applyBorder="1" applyAlignment="1">
      <alignment horizontal="center" vertical="center"/>
    </xf>
    <xf numFmtId="0" fontId="54" fillId="5" borderId="22" xfId="0" applyFont="1" applyFill="1" applyBorder="1" applyAlignment="1">
      <alignment horizontal="center" vertical="center"/>
    </xf>
    <xf numFmtId="0" fontId="33" fillId="12" borderId="22" xfId="0" applyFont="1" applyFill="1" applyBorder="1" applyAlignment="1">
      <alignment horizontal="left" vertical="center"/>
    </xf>
    <xf numFmtId="0" fontId="49" fillId="12" borderId="22" xfId="0" applyFont="1" applyFill="1" applyBorder="1" applyAlignment="1">
      <alignment horizontal="center" vertical="center"/>
    </xf>
    <xf numFmtId="0" fontId="54" fillId="12" borderId="22" xfId="0" applyFont="1" applyFill="1" applyBorder="1" applyAlignment="1">
      <alignment horizontal="center" vertical="center"/>
    </xf>
    <xf numFmtId="0" fontId="33" fillId="16" borderId="22" xfId="0" applyFont="1" applyFill="1" applyBorder="1" applyAlignment="1">
      <alignment horizontal="left" vertical="center"/>
    </xf>
    <xf numFmtId="0" fontId="49" fillId="16" borderId="22" xfId="0" applyFont="1" applyFill="1" applyBorder="1" applyAlignment="1">
      <alignment horizontal="center" vertical="center"/>
    </xf>
    <xf numFmtId="0" fontId="54" fillId="16" borderId="22" xfId="0" applyFont="1" applyFill="1" applyBorder="1" applyAlignment="1">
      <alignment horizontal="center" vertical="center"/>
    </xf>
    <xf numFmtId="0" fontId="33" fillId="17" borderId="22" xfId="0" applyFont="1" applyFill="1" applyBorder="1" applyAlignment="1">
      <alignment horizontal="left" vertical="center"/>
    </xf>
    <xf numFmtId="0" fontId="49" fillId="17" borderId="22" xfId="0" applyFont="1" applyFill="1" applyBorder="1" applyAlignment="1">
      <alignment horizontal="center" vertical="center"/>
    </xf>
    <xf numFmtId="0" fontId="54" fillId="17" borderId="22" xfId="0" applyFont="1" applyFill="1" applyBorder="1" applyAlignment="1">
      <alignment horizontal="center" vertical="center"/>
    </xf>
    <xf numFmtId="0" fontId="32" fillId="8" borderId="22" xfId="0" applyFont="1" applyFill="1" applyBorder="1" applyAlignment="1">
      <alignment horizontal="center" vertical="center"/>
    </xf>
    <xf numFmtId="0" fontId="0" fillId="0" borderId="25" xfId="0" applyBorder="1"/>
    <xf numFmtId="0" fontId="0" fillId="0" borderId="23" xfId="0" applyBorder="1"/>
    <xf numFmtId="0" fontId="30" fillId="8" borderId="0" xfId="0" applyFont="1" applyFill="1" applyAlignment="1">
      <alignment horizontal="center" vertical="center"/>
    </xf>
    <xf numFmtId="0" fontId="0" fillId="0" borderId="0" xfId="0"/>
    <xf numFmtId="0" fontId="0" fillId="0" borderId="24" xfId="0" applyBorder="1"/>
    <xf numFmtId="0" fontId="32" fillId="11" borderId="22" xfId="0" applyFont="1" applyFill="1" applyBorder="1" applyAlignment="1">
      <alignment horizontal="center" vertical="center"/>
    </xf>
    <xf numFmtId="0" fontId="32" fillId="6" borderId="22" xfId="0" applyFont="1" applyFill="1" applyBorder="1" applyAlignment="1">
      <alignment horizontal="center" vertical="center"/>
    </xf>
    <xf numFmtId="0" fontId="32" fillId="8" borderId="22" xfId="0" applyFont="1" applyFill="1" applyBorder="1" applyAlignment="1">
      <alignment horizontal="center" vertical="center" wrapText="1"/>
    </xf>
    <xf numFmtId="0" fontId="37" fillId="15" borderId="0" xfId="0" applyFont="1" applyFill="1" applyAlignment="1">
      <alignment horizontal="center" vertical="center"/>
    </xf>
    <xf numFmtId="0" fontId="24" fillId="5" borderId="0" xfId="0" applyFont="1" applyFill="1" applyAlignment="1">
      <alignment horizontal="center" vertical="center"/>
    </xf>
    <xf numFmtId="0" fontId="23" fillId="4" borderId="0" xfId="0" applyFont="1" applyFill="1" applyAlignment="1">
      <alignment horizontal="center" vertical="center"/>
    </xf>
    <xf numFmtId="0" fontId="29" fillId="0" borderId="0" xfId="0" applyFont="1" applyAlignment="1">
      <alignment horizontal="center" vertical="center"/>
    </xf>
    <xf numFmtId="0" fontId="25" fillId="7" borderId="22" xfId="0" applyFont="1" applyFill="1" applyBorder="1" applyAlignment="1">
      <alignment horizontal="center" vertical="center"/>
    </xf>
    <xf numFmtId="0" fontId="25" fillId="6" borderId="22" xfId="0" applyFont="1" applyFill="1" applyBorder="1" applyAlignment="1">
      <alignment horizontal="center" vertical="center"/>
    </xf>
    <xf numFmtId="0" fontId="25" fillId="8" borderId="22" xfId="0" applyFont="1" applyFill="1" applyBorder="1" applyAlignment="1">
      <alignment horizontal="center" vertical="center"/>
    </xf>
    <xf numFmtId="0" fontId="30" fillId="7" borderId="0" xfId="0" applyFont="1" applyFill="1" applyAlignment="1">
      <alignment horizontal="center" vertical="center"/>
    </xf>
    <xf numFmtId="0" fontId="36" fillId="14" borderId="0" xfId="0" applyFont="1" applyFill="1" applyAlignment="1">
      <alignment horizontal="center" vertical="center"/>
    </xf>
    <xf numFmtId="0" fontId="38" fillId="12" borderId="0" xfId="0" applyFont="1" applyFill="1" applyAlignment="1">
      <alignment horizontal="center" vertical="center"/>
    </xf>
    <xf numFmtId="0" fontId="39" fillId="5" borderId="22" xfId="0" applyFont="1" applyFill="1" applyBorder="1" applyAlignment="1">
      <alignment horizontal="center" vertical="center"/>
    </xf>
    <xf numFmtId="0" fontId="27" fillId="14" borderId="22" xfId="0" applyFont="1" applyFill="1" applyBorder="1" applyAlignment="1">
      <alignment horizontal="left" vertical="center"/>
    </xf>
    <xf numFmtId="0" fontId="27" fillId="15" borderId="22" xfId="0" applyFont="1" applyFill="1" applyBorder="1" applyAlignment="1">
      <alignment horizontal="left" vertical="center"/>
    </xf>
    <xf numFmtId="0" fontId="44" fillId="17" borderId="22" xfId="0" applyFont="1" applyFill="1" applyBorder="1" applyAlignment="1">
      <alignment horizontal="left" vertical="center"/>
    </xf>
    <xf numFmtId="0" fontId="40" fillId="12" borderId="22" xfId="0" applyFont="1" applyFill="1" applyBorder="1" applyAlignment="1">
      <alignment horizontal="center" vertical="center"/>
    </xf>
    <xf numFmtId="0" fontId="27" fillId="5" borderId="22" xfId="0" applyFont="1" applyFill="1" applyBorder="1" applyAlignment="1">
      <alignment horizontal="left" vertical="center"/>
    </xf>
    <xf numFmtId="0" fontId="42" fillId="17" borderId="22" xfId="0" applyFont="1" applyFill="1" applyBorder="1" applyAlignment="1">
      <alignment horizontal="center" vertical="center"/>
    </xf>
    <xf numFmtId="0" fontId="35" fillId="5" borderId="22" xfId="0" applyFont="1" applyFill="1" applyBorder="1" applyAlignment="1">
      <alignment horizontal="left" vertical="center"/>
    </xf>
    <xf numFmtId="0" fontId="41" fillId="16" borderId="22" xfId="0" applyFont="1" applyFill="1" applyBorder="1" applyAlignment="1">
      <alignment horizontal="center" vertical="center"/>
    </xf>
    <xf numFmtId="0" fontId="34" fillId="12" borderId="22" xfId="0" applyFont="1" applyFill="1" applyBorder="1" applyAlignment="1">
      <alignment horizontal="left" vertical="center"/>
    </xf>
    <xf numFmtId="0" fontId="25" fillId="4" borderId="22" xfId="0" applyFont="1" applyFill="1" applyBorder="1" applyAlignment="1">
      <alignment horizontal="center" vertical="center"/>
    </xf>
    <xf numFmtId="0" fontId="43" fillId="16" borderId="22" xfId="0" applyFont="1" applyFill="1" applyBorder="1" applyAlignment="1">
      <alignment horizontal="left" vertical="center"/>
    </xf>
    <xf numFmtId="0" fontId="23" fillId="11" borderId="0" xfId="0" applyFont="1" applyFill="1" applyAlignment="1">
      <alignment horizontal="center" vertical="center"/>
    </xf>
    <xf numFmtId="0" fontId="32" fillId="4" borderId="22" xfId="0" applyFont="1" applyFill="1" applyBorder="1" applyAlignment="1">
      <alignment horizontal="center" vertical="center"/>
    </xf>
    <xf numFmtId="0" fontId="30" fillId="4" borderId="0" xfId="0" applyFont="1" applyFill="1" applyAlignment="1">
      <alignment horizontal="center" vertical="center"/>
    </xf>
    <xf numFmtId="0" fontId="31" fillId="5" borderId="0" xfId="0" applyFont="1" applyFill="1" applyAlignment="1">
      <alignment horizontal="center" vertical="center"/>
    </xf>
    <xf numFmtId="0" fontId="32" fillId="7" borderId="22" xfId="0" applyFont="1" applyFill="1" applyBorder="1" applyAlignment="1">
      <alignment horizontal="center" vertical="center"/>
    </xf>
    <xf numFmtId="0" fontId="35" fillId="0" borderId="0" xfId="0" applyFont="1" applyAlignment="1">
      <alignment horizontal="left" vertical="center"/>
    </xf>
    <xf numFmtId="0" fontId="25" fillId="4" borderId="22" xfId="0" applyFont="1" applyFill="1" applyBorder="1" applyAlignment="1">
      <alignment horizontal="center" vertical="center" wrapText="1"/>
    </xf>
    <xf numFmtId="0" fontId="46" fillId="4" borderId="22" xfId="0" applyFont="1" applyFill="1" applyBorder="1" applyAlignment="1">
      <alignment horizontal="center" vertical="center" wrapText="1"/>
    </xf>
    <xf numFmtId="0" fontId="50" fillId="0" borderId="0" xfId="0" applyFont="1"/>
    <xf numFmtId="0" fontId="47" fillId="5" borderId="22" xfId="0" applyFont="1" applyFill="1" applyBorder="1" applyAlignment="1">
      <alignment horizontal="center" vertical="center" wrapText="1"/>
    </xf>
    <xf numFmtId="0" fontId="25" fillId="8" borderId="22" xfId="0" applyFont="1" applyFill="1" applyBorder="1" applyAlignment="1">
      <alignment horizontal="center" vertical="center" wrapText="1"/>
    </xf>
    <xf numFmtId="0" fontId="25" fillId="6" borderId="22" xfId="0" applyFont="1" applyFill="1" applyBorder="1" applyAlignment="1">
      <alignment horizontal="center" vertical="center" wrapText="1"/>
    </xf>
    <xf numFmtId="0" fontId="51" fillId="12" borderId="22" xfId="0" applyFont="1" applyFill="1" applyBorder="1" applyAlignment="1">
      <alignment horizontal="center" vertical="center" wrapText="1"/>
    </xf>
    <xf numFmtId="0" fontId="34" fillId="12" borderId="22" xfId="0" applyFont="1" applyFill="1" applyBorder="1" applyAlignment="1">
      <alignment horizontal="right" vertical="center"/>
    </xf>
    <xf numFmtId="0" fontId="25" fillId="11" borderId="22" xfId="0" applyFont="1" applyFill="1" applyBorder="1" applyAlignment="1">
      <alignment horizontal="center" vertical="center" wrapText="1"/>
    </xf>
    <xf numFmtId="0" fontId="25" fillId="7" borderId="22" xfId="0" applyFont="1" applyFill="1" applyBorder="1" applyAlignment="1">
      <alignment horizontal="center" vertical="center" wrapText="1"/>
    </xf>
    <xf numFmtId="0" fontId="0" fillId="9" borderId="22" xfId="0" applyFill="1" applyBorder="1"/>
    <xf numFmtId="0" fontId="0" fillId="10" borderId="22" xfId="0" applyFill="1" applyBorder="1"/>
    <xf numFmtId="0" fontId="53" fillId="15" borderId="22" xfId="0" applyFont="1" applyFill="1" applyBorder="1" applyAlignment="1">
      <alignment horizontal="center" vertical="center" wrapText="1"/>
    </xf>
    <xf numFmtId="0" fontId="0" fillId="0" borderId="2" xfId="0" applyBorder="1" applyAlignment="1">
      <alignment horizontal="center"/>
    </xf>
    <xf numFmtId="0" fontId="0" fillId="0" borderId="13" xfId="0" applyBorder="1"/>
    <xf numFmtId="0" fontId="0" fillId="0" borderId="11" xfId="0" applyBorder="1"/>
    <xf numFmtId="0" fontId="4" fillId="0" borderId="2" xfId="0" applyFont="1" applyBorder="1" applyAlignment="1">
      <alignment horizontal="center"/>
    </xf>
    <xf numFmtId="0" fontId="0" fillId="0" borderId="2" xfId="0" applyBorder="1" applyAlignment="1">
      <alignment horizontal="center" vertical="center"/>
    </xf>
    <xf numFmtId="0" fontId="0" fillId="0" borderId="12" xfId="0" applyBorder="1"/>
    <xf numFmtId="0" fontId="0" fillId="0" borderId="0" xfId="0" applyAlignment="1">
      <alignment horizontal="center"/>
    </xf>
    <xf numFmtId="14" fontId="3" fillId="0" borderId="3"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0" fontId="0" fillId="0" borderId="15" xfId="0" applyBorder="1"/>
    <xf numFmtId="0" fontId="0" fillId="0" borderId="16" xfId="0" applyBorder="1"/>
    <xf numFmtId="0" fontId="0" fillId="0" borderId="18" xfId="0" applyBorder="1"/>
    <xf numFmtId="14" fontId="3" fillId="0" borderId="2"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0" fillId="0" borderId="21" xfId="0" applyBorder="1"/>
    <xf numFmtId="0" fontId="0" fillId="0" borderId="2" xfId="0" applyBorder="1"/>
    <xf numFmtId="0" fontId="4" fillId="0" borderId="0" xfId="0" applyFont="1" applyAlignment="1">
      <alignment horizontal="center" vertical="center"/>
    </xf>
    <xf numFmtId="0" fontId="5" fillId="0" borderId="0" xfId="0" applyFont="1" applyAlignment="1">
      <alignment horizontal="center" vertical="center" textRotation="90"/>
    </xf>
    <xf numFmtId="0" fontId="1" fillId="0" borderId="2" xfId="0" applyFont="1" applyBorder="1" applyAlignment="1">
      <alignment horizontal="center" vertical="center" wrapText="1"/>
    </xf>
    <xf numFmtId="0" fontId="5" fillId="0" borderId="2" xfId="0" applyFont="1" applyBorder="1" applyAlignment="1">
      <alignment horizontal="center" vertical="center" textRotation="90"/>
    </xf>
    <xf numFmtId="0" fontId="1" fillId="0" borderId="0" xfId="0" applyFont="1" applyAlignment="1">
      <alignment horizontal="center" vertical="center" wrapText="1"/>
    </xf>
    <xf numFmtId="164" fontId="5" fillId="0" borderId="2" xfId="0" applyNumberFormat="1" applyFont="1" applyBorder="1" applyAlignment="1">
      <alignment horizontal="center" vertical="center" textRotation="90"/>
    </xf>
    <xf numFmtId="166" fontId="0" fillId="0" borderId="0" xfId="1" applyNumberFormat="1" applyFont="1"/>
    <xf numFmtId="164" fontId="0" fillId="0" borderId="0" xfId="1" applyNumberFormat="1" applyFont="1"/>
    <xf numFmtId="164" fontId="4" fillId="0" borderId="2" xfId="0" applyNumberFormat="1" applyFont="1" applyBorder="1" applyAlignment="1">
      <alignment horizontal="center"/>
    </xf>
    <xf numFmtId="14" fontId="3" fillId="0" borderId="0" xfId="0" applyNumberFormat="1" applyFont="1" applyAlignment="1">
      <alignment horizontal="center" vertical="center" wrapText="1"/>
    </xf>
    <xf numFmtId="164" fontId="1" fillId="0" borderId="2" xfId="0" applyNumberFormat="1" applyFont="1" applyBorder="1" applyAlignment="1">
      <alignment horizontal="distributed" vertical="distributed" textRotation="90" shrinkToFit="1"/>
    </xf>
    <xf numFmtId="14" fontId="2" fillId="0" borderId="0" xfId="0" applyNumberFormat="1" applyFont="1" applyAlignment="1">
      <alignment horizontal="center" vertical="center" wrapText="1"/>
    </xf>
    <xf numFmtId="165" fontId="0" fillId="0" borderId="0" xfId="1" applyNumberFormat="1" applyFont="1" applyAlignment="1">
      <alignment horizontal="left"/>
    </xf>
    <xf numFmtId="0" fontId="0" fillId="0" borderId="0" xfId="0" applyAlignment="1">
      <alignment horizontal="left"/>
    </xf>
    <xf numFmtId="0" fontId="1" fillId="0" borderId="2" xfId="0" applyFont="1" applyBorder="1" applyAlignment="1">
      <alignment horizontal="distributed" vertical="distributed" textRotation="90" shrinkToFit="1"/>
    </xf>
    <xf numFmtId="0" fontId="4" fillId="0" borderId="2" xfId="0" applyFont="1" applyBorder="1" applyAlignment="1">
      <alignment horizontal="center" vertical="center"/>
    </xf>
    <xf numFmtId="0" fontId="4" fillId="0" borderId="0" xfId="0" applyFont="1" applyAlignment="1">
      <alignment horizontal="center"/>
    </xf>
    <xf numFmtId="164" fontId="0" fillId="0" borderId="0" xfId="0" applyNumberFormat="1"/>
    <xf numFmtId="0" fontId="2" fillId="0" borderId="2" xfId="0" applyFont="1" applyBorder="1" applyAlignment="1">
      <alignment horizontal="center" vertical="center"/>
    </xf>
    <xf numFmtId="166" fontId="4" fillId="0" borderId="2" xfId="1" applyNumberFormat="1" applyFont="1" applyBorder="1" applyAlignment="1">
      <alignment horizontal="center"/>
    </xf>
    <xf numFmtId="0" fontId="1" fillId="0" borderId="0" xfId="0" applyFont="1" applyAlignment="1">
      <alignment horizontal="distributed" vertical="distributed" textRotation="90" shrinkToFit="1"/>
    </xf>
    <xf numFmtId="0" fontId="2" fillId="0" borderId="0" xfId="0" applyFont="1" applyAlignment="1">
      <alignment horizontal="center" vertical="center"/>
    </xf>
    <xf numFmtId="164" fontId="1" fillId="0" borderId="2" xfId="0" applyNumberFormat="1" applyFont="1" applyBorder="1" applyAlignment="1">
      <alignment horizontal="center" vertical="center" wrapText="1"/>
    </xf>
    <xf numFmtId="164" fontId="0" fillId="0" borderId="0" xfId="1" applyNumberFormat="1" applyFont="1" applyAlignment="1">
      <alignment horizontal="center"/>
    </xf>
    <xf numFmtId="0" fontId="9" fillId="0" borderId="2" xfId="0" applyFont="1" applyBorder="1" applyAlignment="1">
      <alignment horizontal="center"/>
    </xf>
    <xf numFmtId="0" fontId="9" fillId="0" borderId="0" xfId="0" applyFont="1" applyAlignment="1">
      <alignment horizontal="center" vertical="center"/>
    </xf>
    <xf numFmtId="0" fontId="9" fillId="0" borderId="2" xfId="0" applyFont="1" applyBorder="1" applyAlignment="1">
      <alignment horizontal="center" wrapText="1"/>
    </xf>
    <xf numFmtId="0" fontId="9" fillId="0" borderId="2" xfId="0" applyFont="1" applyBorder="1" applyAlignment="1">
      <alignment horizontal="center" vertical="center"/>
    </xf>
    <xf numFmtId="0" fontId="9" fillId="2" borderId="2" xfId="0" applyFont="1" applyFill="1" applyBorder="1" applyAlignment="1">
      <alignment horizontal="left" vertical="center"/>
    </xf>
    <xf numFmtId="0" fontId="6" fillId="3" borderId="12" xfId="0" applyFont="1" applyFill="1" applyBorder="1" applyAlignment="1">
      <alignment horizontal="center" vertical="center"/>
    </xf>
    <xf numFmtId="0" fontId="10" fillId="0" borderId="2" xfId="0" applyFont="1" applyBorder="1" applyAlignment="1">
      <alignment horizontal="center"/>
    </xf>
    <xf numFmtId="0" fontId="6" fillId="3" borderId="2" xfId="0" applyFont="1" applyFill="1" applyBorder="1" applyAlignment="1">
      <alignment horizontal="center" vertical="center"/>
    </xf>
    <xf numFmtId="0" fontId="20" fillId="0" borderId="0" xfId="0" applyFont="1" applyAlignment="1">
      <alignment horizontal="center"/>
    </xf>
    <xf numFmtId="164" fontId="9" fillId="0" borderId="6" xfId="0" applyNumberFormat="1" applyFont="1" applyBorder="1" applyAlignment="1">
      <alignment horizontal="center" vertical="center" wrapText="1"/>
    </xf>
    <xf numFmtId="0" fontId="0" fillId="0" borderId="5" xfId="0" applyBorder="1"/>
    <xf numFmtId="0" fontId="8" fillId="0" borderId="2" xfId="0" applyFont="1" applyBorder="1" applyAlignment="1">
      <alignment horizontal="center"/>
    </xf>
    <xf numFmtId="0" fontId="9" fillId="2" borderId="2" xfId="0" applyFont="1" applyFill="1" applyBorder="1" applyAlignment="1">
      <alignment horizontal="center" vertical="center"/>
    </xf>
    <xf numFmtId="0" fontId="9" fillId="0" borderId="2" xfId="0" applyFont="1" applyBorder="1" applyAlignment="1">
      <alignment horizontal="center" vertical="center" wrapText="1"/>
    </xf>
    <xf numFmtId="0" fontId="9" fillId="2" borderId="6" xfId="0" applyFont="1" applyFill="1" applyBorder="1" applyAlignment="1">
      <alignment horizontal="left" vertical="center"/>
    </xf>
    <xf numFmtId="0" fontId="9" fillId="3" borderId="6" xfId="0" applyFont="1" applyFill="1" applyBorder="1" applyAlignment="1">
      <alignment horizontal="center" vertical="center"/>
    </xf>
    <xf numFmtId="0" fontId="11" fillId="0" borderId="2" xfId="0" applyFont="1" applyBorder="1" applyAlignment="1">
      <alignment horizontal="center" vertical="center" wrapText="1"/>
    </xf>
    <xf numFmtId="0" fontId="14" fillId="0" borderId="0" xfId="0" applyFont="1" applyAlignment="1">
      <alignment horizontal="center"/>
    </xf>
    <xf numFmtId="0" fontId="15" fillId="0" borderId="0" xfId="0" applyFont="1" applyAlignment="1">
      <alignment horizontal="right" vertical="center"/>
    </xf>
    <xf numFmtId="0" fontId="16" fillId="0" borderId="0" xfId="0" applyFont="1" applyAlignment="1">
      <alignment horizontal="right"/>
    </xf>
    <xf numFmtId="0" fontId="0" fillId="0" borderId="17" xfId="0" applyBorder="1" applyAlignment="1">
      <alignment horizontal="center"/>
    </xf>
    <xf numFmtId="0" fontId="0" fillId="0" borderId="17" xfId="0" applyBorder="1"/>
    <xf numFmtId="0" fontId="17" fillId="0" borderId="0" xfId="0" applyFont="1" applyAlignment="1">
      <alignment horizontal="center" vertical="center"/>
    </xf>
    <xf numFmtId="0" fontId="22" fillId="0" borderId="17" xfId="0" applyFont="1" applyBorder="1" applyAlignment="1">
      <alignment horizontal="center"/>
    </xf>
    <xf numFmtId="0" fontId="18" fillId="0" borderId="17" xfId="2" applyBorder="1" applyAlignment="1">
      <alignment horizontal="center"/>
    </xf>
    <xf numFmtId="0" fontId="8" fillId="0" borderId="2" xfId="0" applyFont="1" applyBorder="1" applyAlignment="1">
      <alignment horizontal="center" vertical="center" wrapText="1"/>
    </xf>
    <xf numFmtId="0" fontId="0" fillId="0" borderId="0" xfId="0" applyAlignment="1">
      <alignment horizontal="center" vertical="center"/>
    </xf>
    <xf numFmtId="0" fontId="17" fillId="0" borderId="2" xfId="0" applyFont="1" applyBorder="1" applyAlignment="1">
      <alignment horizontal="center" vertical="center"/>
    </xf>
    <xf numFmtId="0" fontId="0" fillId="0" borderId="6" xfId="0" applyBorder="1" applyAlignment="1">
      <alignment horizontal="center" vertical="center"/>
    </xf>
    <xf numFmtId="0" fontId="0" fillId="0" borderId="20" xfId="0" applyBorder="1"/>
    <xf numFmtId="0" fontId="2" fillId="0" borderId="0" xfId="0" applyFont="1"/>
    <xf numFmtId="0" fontId="8" fillId="0" borderId="0" xfId="0" applyFont="1" applyAlignment="1">
      <alignment horizontal="justify" vertical="top"/>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7" fillId="0" borderId="0" xfId="0" applyFont="1" applyAlignment="1">
      <alignment horizontal="center"/>
    </xf>
  </cellXfs>
  <cellStyles count="3">
    <cellStyle name="Hipervínculo" xfId="2" builtinId="8"/>
    <cellStyle name="Millares" xfId="1" builtinId="3"/>
    <cellStyle name="Normal" xfId="0" builtinId="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b/>
        <color rgb="FF9C0006"/>
      </font>
      <fill>
        <patternFill patternType="solid">
          <fgColor rgb="FFFFCCCC"/>
        </patternFill>
      </fill>
    </dxf>
    <dxf>
      <font>
        <b/>
        <color rgb="FF7D6608"/>
      </font>
      <fill>
        <patternFill patternType="solid">
          <fgColor rgb="FFFFF2CC"/>
        </patternFill>
      </fill>
    </dxf>
    <dxf>
      <font>
        <b/>
        <color rgb="FF9C0006"/>
      </font>
      <fill>
        <patternFill patternType="solid">
          <f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1135" cy="599822"/>
        </a:xfrm>
        <a:prstGeom prst="rect">
          <a:avLst/>
        </a:prstGeom>
        <a:solidFill>
          <a:srgbClr val="002060"/>
        </a:solid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1135" cy="599822"/>
        </a:xfrm>
        <a:prstGeom prst="rect">
          <a:avLst/>
        </a:prstGeom>
        <a:solidFill>
          <a:srgbClr val="002060"/>
        </a:solid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66675</xdr:colOff>
      <xdr:row>2</xdr:row>
      <xdr:rowOff>104775</xdr:rowOff>
    </xdr:from>
    <xdr:to>
      <xdr:col>30</xdr:col>
      <xdr:colOff>22160</xdr:colOff>
      <xdr:row>10</xdr:row>
      <xdr:rowOff>123825</xdr:rowOff>
    </xdr:to>
    <xdr:pic>
      <xdr:nvPicPr>
        <xdr:cNvPr id="3" name="Imagen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8625" y="485775"/>
          <a:ext cx="5022785" cy="1543050"/>
        </a:xfrm>
        <a:prstGeom prst="rect">
          <a:avLst/>
        </a:prstGeom>
        <a:solidFill>
          <a:srgbClr val="002060"/>
        </a:solid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38</xdr:col>
      <xdr:colOff>47626</xdr:colOff>
      <xdr:row>0</xdr:row>
      <xdr:rowOff>120015</xdr:rowOff>
    </xdr:from>
    <xdr:to>
      <xdr:col>55</xdr:col>
      <xdr:colOff>38100</xdr:colOff>
      <xdr:row>3</xdr:row>
      <xdr:rowOff>142093</xdr:rowOff>
    </xdr:to>
    <xdr:pic>
      <xdr:nvPicPr>
        <xdr:cNvPr id="4" name="Imagen 3">
          <a:extLst>
            <a:ext uri="{FF2B5EF4-FFF2-40B4-BE49-F238E27FC236}">
              <a16:creationId xmlns:a16="http://schemas.microsoft.com/office/drawing/2014/main" id="{00000000-0008-0000-2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8686" y="120015"/>
          <a:ext cx="1933574" cy="570718"/>
        </a:xfrm>
        <a:prstGeom prst="rect">
          <a:avLst/>
        </a:prstGeom>
        <a:solidFill>
          <a:srgbClr val="002060"/>
        </a:solid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17</xdr:col>
      <xdr:colOff>377635</xdr:colOff>
      <xdr:row>0</xdr:row>
      <xdr:rowOff>0</xdr:rowOff>
    </xdr:from>
    <xdr:to>
      <xdr:col>24</xdr:col>
      <xdr:colOff>106680</xdr:colOff>
      <xdr:row>3</xdr:row>
      <xdr:rowOff>21871</xdr:rowOff>
    </xdr:to>
    <xdr:pic>
      <xdr:nvPicPr>
        <xdr:cNvPr id="2" name="Imagen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89615" y="0"/>
          <a:ext cx="2175065" cy="646711"/>
        </a:xfrm>
        <a:prstGeom prst="rect">
          <a:avLst/>
        </a:prstGeom>
        <a:solidFill>
          <a:srgbClr val="002060"/>
        </a:solid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mailto:elmer.tugri7@meduca.edu.pa"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G46"/>
  <sheetViews>
    <sheetView workbookViewId="0">
      <selection sqref="A1:G1"/>
    </sheetView>
  </sheetViews>
  <sheetFormatPr baseColWidth="10" defaultColWidth="8.88671875" defaultRowHeight="14.4"/>
  <cols>
    <col min="1" max="1" width="5" customWidth="1"/>
    <col min="2" max="2" width="35" customWidth="1"/>
    <col min="3" max="3" width="5" customWidth="1"/>
    <col min="4" max="4" width="35" customWidth="1"/>
    <col min="5" max="5" width="5" customWidth="1"/>
    <col min="6" max="6" width="35" customWidth="1"/>
    <col min="7" max="7" width="3" customWidth="1"/>
  </cols>
  <sheetData>
    <row r="1" spans="1:7" ht="30" customHeight="1">
      <c r="A1" s="175" t="s">
        <v>24</v>
      </c>
      <c r="B1" s="168"/>
      <c r="C1" s="168"/>
      <c r="D1" s="168"/>
      <c r="E1" s="168"/>
      <c r="F1" s="168"/>
      <c r="G1" s="168"/>
    </row>
    <row r="2" spans="1:7" ht="18" customHeight="1">
      <c r="A2" s="174" t="s">
        <v>25</v>
      </c>
      <c r="B2" s="168"/>
      <c r="C2" s="168"/>
      <c r="D2" s="168"/>
      <c r="E2" s="168"/>
      <c r="F2" s="168"/>
      <c r="G2" s="168"/>
    </row>
    <row r="3" spans="1:7" ht="22.05" customHeight="1">
      <c r="A3" s="178" t="s">
        <v>26</v>
      </c>
      <c r="B3" s="166"/>
      <c r="C3" s="177" t="s">
        <v>27</v>
      </c>
      <c r="D3" s="166"/>
      <c r="E3" s="179" t="s">
        <v>28</v>
      </c>
      <c r="F3" s="166"/>
    </row>
    <row r="4" spans="1:7" ht="18" customHeight="1">
      <c r="A4" s="113" t="s">
        <v>2</v>
      </c>
      <c r="B4" s="113" t="s">
        <v>3</v>
      </c>
      <c r="C4" s="114" t="s">
        <v>2</v>
      </c>
      <c r="D4" s="114" t="s">
        <v>3</v>
      </c>
      <c r="E4" s="115" t="s">
        <v>2</v>
      </c>
      <c r="F4" s="115" t="s">
        <v>3</v>
      </c>
    </row>
    <row r="5" spans="1:7" ht="16.05" customHeight="1">
      <c r="A5" s="116">
        <v>1</v>
      </c>
      <c r="B5" s="117"/>
      <c r="C5" s="116">
        <v>1</v>
      </c>
      <c r="D5" s="117"/>
      <c r="E5" s="116">
        <v>1</v>
      </c>
      <c r="F5" s="117"/>
    </row>
    <row r="6" spans="1:7" ht="16.05" customHeight="1">
      <c r="A6" s="118">
        <v>2</v>
      </c>
      <c r="B6" s="119"/>
      <c r="C6" s="118">
        <v>2</v>
      </c>
      <c r="D6" s="119"/>
      <c r="E6" s="118">
        <v>2</v>
      </c>
      <c r="F6" s="119"/>
    </row>
    <row r="7" spans="1:7" ht="16.05" customHeight="1">
      <c r="A7" s="116">
        <v>3</v>
      </c>
      <c r="B7" s="117"/>
      <c r="C7" s="116">
        <v>3</v>
      </c>
      <c r="D7" s="117"/>
      <c r="E7" s="116">
        <v>3</v>
      </c>
      <c r="F7" s="117"/>
    </row>
    <row r="8" spans="1:7" ht="16.05" customHeight="1">
      <c r="A8" s="118">
        <v>4</v>
      </c>
      <c r="B8" s="119"/>
      <c r="C8" s="118">
        <v>4</v>
      </c>
      <c r="D8" s="119"/>
      <c r="E8" s="118">
        <v>4</v>
      </c>
      <c r="F8" s="119"/>
    </row>
    <row r="9" spans="1:7" ht="16.05" customHeight="1">
      <c r="A9" s="116">
        <v>5</v>
      </c>
      <c r="B9" s="117"/>
      <c r="C9" s="116">
        <v>5</v>
      </c>
      <c r="D9" s="117"/>
      <c r="E9" s="116">
        <v>5</v>
      </c>
      <c r="F9" s="117"/>
    </row>
    <row r="10" spans="1:7" ht="16.05" customHeight="1">
      <c r="A10" s="118">
        <v>6</v>
      </c>
      <c r="B10" s="119"/>
      <c r="C10" s="118">
        <v>6</v>
      </c>
      <c r="D10" s="119"/>
      <c r="E10" s="118">
        <v>6</v>
      </c>
      <c r="F10" s="119"/>
    </row>
    <row r="11" spans="1:7" ht="16.05" customHeight="1">
      <c r="A11" s="116">
        <v>7</v>
      </c>
      <c r="B11" s="117"/>
      <c r="C11" s="116">
        <v>7</v>
      </c>
      <c r="D11" s="117"/>
      <c r="E11" s="116">
        <v>7</v>
      </c>
      <c r="F11" s="117"/>
    </row>
    <row r="12" spans="1:7" ht="16.05" customHeight="1">
      <c r="A12" s="118">
        <v>8</v>
      </c>
      <c r="B12" s="119"/>
      <c r="C12" s="118">
        <v>8</v>
      </c>
      <c r="D12" s="119"/>
      <c r="E12" s="118">
        <v>8</v>
      </c>
      <c r="F12" s="119"/>
    </row>
    <row r="13" spans="1:7" ht="16.05" customHeight="1">
      <c r="A13" s="116">
        <v>9</v>
      </c>
      <c r="B13" s="117"/>
      <c r="C13" s="116">
        <v>9</v>
      </c>
      <c r="D13" s="117"/>
      <c r="E13" s="116">
        <v>9</v>
      </c>
      <c r="F13" s="117"/>
    </row>
    <row r="14" spans="1:7" ht="16.05" customHeight="1">
      <c r="A14" s="118">
        <v>10</v>
      </c>
      <c r="B14" s="119"/>
      <c r="C14" s="118">
        <v>10</v>
      </c>
      <c r="D14" s="119"/>
      <c r="E14" s="118">
        <v>10</v>
      </c>
      <c r="F14" s="119"/>
    </row>
    <row r="15" spans="1:7" ht="16.05" customHeight="1">
      <c r="A15" s="116">
        <v>11</v>
      </c>
      <c r="B15" s="117"/>
      <c r="C15" s="116">
        <v>11</v>
      </c>
      <c r="D15" s="117"/>
      <c r="E15" s="116">
        <v>11</v>
      </c>
      <c r="F15" s="117"/>
    </row>
    <row r="16" spans="1:7" ht="16.05" customHeight="1">
      <c r="A16" s="118">
        <v>12</v>
      </c>
      <c r="B16" s="119"/>
      <c r="C16" s="118">
        <v>12</v>
      </c>
      <c r="D16" s="119"/>
      <c r="E16" s="118">
        <v>12</v>
      </c>
      <c r="F16" s="119"/>
    </row>
    <row r="17" spans="1:6" ht="16.05" customHeight="1">
      <c r="A17" s="116">
        <v>13</v>
      </c>
      <c r="B17" s="117"/>
      <c r="C17" s="116">
        <v>13</v>
      </c>
      <c r="D17" s="117"/>
      <c r="E17" s="116">
        <v>13</v>
      </c>
      <c r="F17" s="117"/>
    </row>
    <row r="18" spans="1:6" ht="16.05" customHeight="1">
      <c r="A18" s="118">
        <v>14</v>
      </c>
      <c r="B18" s="119"/>
      <c r="C18" s="118">
        <v>14</v>
      </c>
      <c r="D18" s="119"/>
      <c r="E18" s="118">
        <v>14</v>
      </c>
      <c r="F18" s="119"/>
    </row>
    <row r="19" spans="1:6" ht="16.05" customHeight="1">
      <c r="A19" s="116">
        <v>15</v>
      </c>
      <c r="B19" s="117"/>
      <c r="C19" s="116">
        <v>15</v>
      </c>
      <c r="D19" s="117"/>
      <c r="E19" s="116">
        <v>15</v>
      </c>
      <c r="F19" s="117"/>
    </row>
    <row r="20" spans="1:6" ht="16.05" customHeight="1">
      <c r="A20" s="118">
        <v>16</v>
      </c>
      <c r="B20" s="119"/>
      <c r="C20" s="118">
        <v>16</v>
      </c>
      <c r="D20" s="119"/>
      <c r="E20" s="118">
        <v>16</v>
      </c>
      <c r="F20" s="119"/>
    </row>
    <row r="21" spans="1:6" ht="16.05" customHeight="1">
      <c r="A21" s="116">
        <v>17</v>
      </c>
      <c r="B21" s="117"/>
      <c r="C21" s="116">
        <v>17</v>
      </c>
      <c r="D21" s="117"/>
      <c r="E21" s="116">
        <v>17</v>
      </c>
      <c r="F21" s="117"/>
    </row>
    <row r="22" spans="1:6" ht="16.05" customHeight="1">
      <c r="A22" s="118">
        <v>18</v>
      </c>
      <c r="B22" s="119"/>
      <c r="C22" s="118">
        <v>18</v>
      </c>
      <c r="D22" s="119"/>
      <c r="E22" s="118">
        <v>18</v>
      </c>
      <c r="F22" s="119"/>
    </row>
    <row r="23" spans="1:6" ht="16.05" customHeight="1">
      <c r="A23" s="116">
        <v>19</v>
      </c>
      <c r="B23" s="117"/>
      <c r="C23" s="116">
        <v>19</v>
      </c>
      <c r="D23" s="117"/>
      <c r="E23" s="116">
        <v>19</v>
      </c>
      <c r="F23" s="117"/>
    </row>
    <row r="24" spans="1:6" ht="16.05" customHeight="1">
      <c r="A24" s="118">
        <v>20</v>
      </c>
      <c r="B24" s="119"/>
      <c r="C24" s="118">
        <v>20</v>
      </c>
      <c r="D24" s="119"/>
      <c r="E24" s="118">
        <v>20</v>
      </c>
      <c r="F24" s="119"/>
    </row>
    <row r="25" spans="1:6" ht="16.05" customHeight="1">
      <c r="A25" s="116">
        <v>21</v>
      </c>
      <c r="B25" s="117"/>
      <c r="C25" s="116">
        <v>21</v>
      </c>
      <c r="D25" s="117"/>
      <c r="E25" s="116">
        <v>21</v>
      </c>
      <c r="F25" s="117"/>
    </row>
    <row r="26" spans="1:6" ht="16.05" customHeight="1">
      <c r="A26" s="118">
        <v>22</v>
      </c>
      <c r="B26" s="119"/>
      <c r="C26" s="118">
        <v>22</v>
      </c>
      <c r="D26" s="119"/>
      <c r="E26" s="118">
        <v>22</v>
      </c>
      <c r="F26" s="119"/>
    </row>
    <row r="27" spans="1:6" ht="16.05" customHeight="1">
      <c r="A27" s="116">
        <v>23</v>
      </c>
      <c r="B27" s="117"/>
      <c r="C27" s="116">
        <v>23</v>
      </c>
      <c r="D27" s="117"/>
      <c r="E27" s="116">
        <v>23</v>
      </c>
      <c r="F27" s="117"/>
    </row>
    <row r="28" spans="1:6" ht="16.05" customHeight="1">
      <c r="A28" s="118">
        <v>24</v>
      </c>
      <c r="B28" s="119"/>
      <c r="C28" s="118">
        <v>24</v>
      </c>
      <c r="D28" s="119"/>
      <c r="E28" s="118">
        <v>24</v>
      </c>
      <c r="F28" s="119"/>
    </row>
    <row r="29" spans="1:6" ht="16.05" customHeight="1">
      <c r="A29" s="116">
        <v>25</v>
      </c>
      <c r="B29" s="117"/>
      <c r="C29" s="116">
        <v>25</v>
      </c>
      <c r="D29" s="117"/>
      <c r="E29" s="116">
        <v>25</v>
      </c>
      <c r="F29" s="117"/>
    </row>
    <row r="30" spans="1:6" ht="16.05" customHeight="1">
      <c r="A30" s="118">
        <v>26</v>
      </c>
      <c r="B30" s="119"/>
      <c r="C30" s="118">
        <v>26</v>
      </c>
      <c r="D30" s="119"/>
      <c r="E30" s="118">
        <v>26</v>
      </c>
      <c r="F30" s="119"/>
    </row>
    <row r="31" spans="1:6" ht="16.05" customHeight="1">
      <c r="A31" s="116">
        <v>27</v>
      </c>
      <c r="B31" s="117"/>
      <c r="C31" s="116">
        <v>27</v>
      </c>
      <c r="D31" s="117"/>
      <c r="E31" s="116">
        <v>27</v>
      </c>
      <c r="F31" s="117"/>
    </row>
    <row r="32" spans="1:6" ht="16.05" customHeight="1">
      <c r="A32" s="118">
        <v>28</v>
      </c>
      <c r="B32" s="119"/>
      <c r="C32" s="118">
        <v>28</v>
      </c>
      <c r="D32" s="119"/>
      <c r="E32" s="118">
        <v>28</v>
      </c>
      <c r="F32" s="119"/>
    </row>
    <row r="33" spans="1:6" ht="16.05" customHeight="1">
      <c r="A33" s="116">
        <v>29</v>
      </c>
      <c r="B33" s="117"/>
      <c r="C33" s="116">
        <v>29</v>
      </c>
      <c r="D33" s="117"/>
      <c r="E33" s="116">
        <v>29</v>
      </c>
      <c r="F33" s="117"/>
    </row>
    <row r="34" spans="1:6" ht="16.05" customHeight="1">
      <c r="A34" s="118">
        <v>30</v>
      </c>
      <c r="B34" s="119"/>
      <c r="C34" s="118">
        <v>30</v>
      </c>
      <c r="D34" s="119"/>
      <c r="E34" s="118">
        <v>30</v>
      </c>
      <c r="F34" s="119"/>
    </row>
    <row r="35" spans="1:6" ht="16.05" customHeight="1">
      <c r="A35" s="116">
        <v>31</v>
      </c>
      <c r="B35" s="117"/>
      <c r="C35" s="116">
        <v>31</v>
      </c>
      <c r="D35" s="117"/>
      <c r="E35" s="116">
        <v>31</v>
      </c>
      <c r="F35" s="117"/>
    </row>
    <row r="36" spans="1:6" ht="16.05" customHeight="1">
      <c r="A36" s="118">
        <v>32</v>
      </c>
      <c r="B36" s="119"/>
      <c r="C36" s="118">
        <v>32</v>
      </c>
      <c r="D36" s="119"/>
      <c r="E36" s="118">
        <v>32</v>
      </c>
      <c r="F36" s="119"/>
    </row>
    <row r="37" spans="1:6" ht="16.05" customHeight="1">
      <c r="A37" s="116">
        <v>33</v>
      </c>
      <c r="B37" s="117"/>
      <c r="C37" s="116">
        <v>33</v>
      </c>
      <c r="D37" s="117"/>
      <c r="E37" s="116">
        <v>33</v>
      </c>
      <c r="F37" s="117"/>
    </row>
    <row r="38" spans="1:6" ht="16.05" customHeight="1">
      <c r="A38" s="118">
        <v>34</v>
      </c>
      <c r="B38" s="119"/>
      <c r="C38" s="118">
        <v>34</v>
      </c>
      <c r="D38" s="119"/>
      <c r="E38" s="118">
        <v>34</v>
      </c>
      <c r="F38" s="119"/>
    </row>
    <row r="39" spans="1:6" ht="16.05" customHeight="1">
      <c r="A39" s="116">
        <v>35</v>
      </c>
      <c r="B39" s="117"/>
      <c r="C39" s="116">
        <v>35</v>
      </c>
      <c r="D39" s="117"/>
      <c r="E39" s="116">
        <v>35</v>
      </c>
      <c r="F39" s="117"/>
    </row>
    <row r="40" spans="1:6" ht="16.05" customHeight="1">
      <c r="A40" s="118">
        <v>36</v>
      </c>
      <c r="B40" s="119"/>
      <c r="C40" s="118">
        <v>36</v>
      </c>
      <c r="D40" s="119"/>
      <c r="E40" s="118">
        <v>36</v>
      </c>
      <c r="F40" s="119"/>
    </row>
    <row r="41" spans="1:6" ht="16.05" customHeight="1">
      <c r="A41" s="116">
        <v>37</v>
      </c>
      <c r="B41" s="117"/>
      <c r="C41" s="116">
        <v>37</v>
      </c>
      <c r="D41" s="117"/>
      <c r="E41" s="116">
        <v>37</v>
      </c>
      <c r="F41" s="117"/>
    </row>
    <row r="42" spans="1:6" ht="16.05" customHeight="1">
      <c r="A42" s="118">
        <v>38</v>
      </c>
      <c r="B42" s="119"/>
      <c r="C42" s="118">
        <v>38</v>
      </c>
      <c r="D42" s="119"/>
      <c r="E42" s="118">
        <v>38</v>
      </c>
      <c r="F42" s="119"/>
    </row>
    <row r="43" spans="1:6" ht="16.05" customHeight="1">
      <c r="A43" s="116">
        <v>39</v>
      </c>
      <c r="B43" s="117"/>
      <c r="C43" s="116">
        <v>39</v>
      </c>
      <c r="D43" s="117"/>
      <c r="E43" s="116">
        <v>39</v>
      </c>
      <c r="F43" s="117"/>
    </row>
    <row r="44" spans="1:6" ht="16.05" customHeight="1">
      <c r="A44" s="118">
        <v>40</v>
      </c>
      <c r="B44" s="119"/>
      <c r="C44" s="118">
        <v>40</v>
      </c>
      <c r="D44" s="119"/>
      <c r="E44" s="118">
        <v>40</v>
      </c>
      <c r="F44" s="119"/>
    </row>
    <row r="46" spans="1:6">
      <c r="A46" s="176" t="s">
        <v>29</v>
      </c>
      <c r="B46" s="168"/>
      <c r="C46" s="168"/>
      <c r="D46" s="168"/>
      <c r="E46" s="168"/>
      <c r="F46" s="168"/>
    </row>
  </sheetData>
  <mergeCells count="6">
    <mergeCell ref="A1:G1"/>
    <mergeCell ref="A46:F46"/>
    <mergeCell ref="A2:G2"/>
    <mergeCell ref="C3:D3"/>
    <mergeCell ref="A3:B3"/>
    <mergeCell ref="E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5623"/>
  </sheetPr>
  <dimension ref="A1:R137"/>
  <sheetViews>
    <sheetView tabSelected="1" workbookViewId="0">
      <pane ySplit="17" topLeftCell="A18" activePane="bottomLeft" state="frozen"/>
      <selection pane="bottomLeft" sqref="A1:R1"/>
    </sheetView>
  </sheetViews>
  <sheetFormatPr baseColWidth="10" defaultColWidth="8.88671875" defaultRowHeight="14.4"/>
  <cols>
    <col min="1" max="1" width="8" customWidth="1"/>
    <col min="2" max="2" width="5" customWidth="1"/>
    <col min="3" max="3" width="28" customWidth="1"/>
    <col min="4" max="4" width="12" customWidth="1"/>
    <col min="5" max="5" width="16" customWidth="1"/>
    <col min="6" max="6" width="10" customWidth="1"/>
    <col min="7" max="7" width="14" customWidth="1"/>
  </cols>
  <sheetData>
    <row r="1" spans="1:18" ht="30" customHeight="1">
      <c r="A1" s="195" t="s">
        <v>31</v>
      </c>
      <c r="B1" s="168"/>
      <c r="C1" s="168"/>
      <c r="D1" s="168"/>
      <c r="E1" s="168"/>
      <c r="F1" s="168"/>
      <c r="G1" s="168"/>
      <c r="H1" s="168"/>
      <c r="I1" s="168"/>
      <c r="J1" s="168"/>
      <c r="K1" s="168"/>
      <c r="L1" s="168"/>
      <c r="M1" s="168"/>
      <c r="N1" s="168"/>
      <c r="O1" s="168"/>
      <c r="P1" s="168"/>
      <c r="Q1" s="168"/>
      <c r="R1" s="168"/>
    </row>
    <row r="2" spans="1:18" ht="13.95" customHeight="1">
      <c r="A2" s="182" t="s">
        <v>32</v>
      </c>
      <c r="B2" s="168"/>
      <c r="C2" s="168"/>
      <c r="D2" s="168"/>
      <c r="E2" s="168"/>
      <c r="F2" s="168"/>
      <c r="G2" s="168"/>
      <c r="H2" s="168"/>
      <c r="I2" s="168"/>
      <c r="J2" s="168"/>
      <c r="K2" s="168"/>
      <c r="L2" s="168"/>
      <c r="M2" s="168"/>
      <c r="N2" s="168"/>
      <c r="O2" s="168"/>
      <c r="P2" s="168"/>
      <c r="Q2" s="168"/>
      <c r="R2" s="168"/>
    </row>
    <row r="4" spans="1:18" ht="19.95" customHeight="1">
      <c r="A4" s="193" t="s">
        <v>33</v>
      </c>
      <c r="B4" s="165"/>
      <c r="C4" s="165"/>
      <c r="D4" s="165"/>
      <c r="E4" s="166"/>
      <c r="G4" s="177" t="s">
        <v>34</v>
      </c>
      <c r="H4" s="165"/>
      <c r="I4" s="165"/>
      <c r="J4" s="165"/>
      <c r="K4" s="166"/>
      <c r="M4" s="179" t="s">
        <v>35</v>
      </c>
      <c r="N4" s="165"/>
      <c r="O4" s="165"/>
      <c r="P4" s="165"/>
      <c r="Q4" s="166"/>
    </row>
    <row r="5" spans="1:18" ht="18" customHeight="1">
      <c r="A5" s="188" t="s">
        <v>36</v>
      </c>
      <c r="B5" s="165"/>
      <c r="C5" s="166"/>
      <c r="D5" s="183">
        <f>COUNTA(MAESTRO!B5:'MAESTRO'!B44)</f>
        <v>0</v>
      </c>
      <c r="E5" s="166"/>
      <c r="G5" s="184" t="s">
        <v>36</v>
      </c>
      <c r="H5" s="165"/>
      <c r="I5" s="166"/>
      <c r="J5" s="183">
        <f>COUNTA(MAESTRO!D5:'MAESTRO'!D44)</f>
        <v>0</v>
      </c>
      <c r="K5" s="166"/>
      <c r="M5" s="185" t="s">
        <v>36</v>
      </c>
      <c r="N5" s="165"/>
      <c r="O5" s="166"/>
      <c r="P5" s="183">
        <f>COUNTA(MAESTRO!F5:'MAESTRO'!F44)</f>
        <v>0</v>
      </c>
      <c r="Q5" s="166"/>
    </row>
    <row r="6" spans="1:18" ht="18" customHeight="1">
      <c r="A6" s="188" t="s">
        <v>37</v>
      </c>
      <c r="B6" s="165"/>
      <c r="C6" s="166"/>
      <c r="D6" s="187">
        <f>COUNTIF(RESUMEN_7°!T5:'RESUMEN_7°'!T44,"✓ APROBADO")</f>
        <v>0</v>
      </c>
      <c r="E6" s="166"/>
      <c r="G6" s="184" t="s">
        <v>37</v>
      </c>
      <c r="H6" s="165"/>
      <c r="I6" s="166"/>
      <c r="J6" s="187">
        <f>COUNTIF(RESUMEN_8°!T5:'RESUMEN_8°'!T44,"✓ APROBADO")</f>
        <v>0</v>
      </c>
      <c r="K6" s="166"/>
      <c r="M6" s="185" t="s">
        <v>37</v>
      </c>
      <c r="N6" s="165"/>
      <c r="O6" s="166"/>
      <c r="P6" s="187">
        <f>COUNTIF(RESUMEN_9°!X5:'RESUMEN_9°'!X44,"✓ APROBADO")</f>
        <v>0</v>
      </c>
      <c r="Q6" s="166"/>
    </row>
    <row r="7" spans="1:18" ht="18" customHeight="1">
      <c r="A7" s="188" t="s">
        <v>38</v>
      </c>
      <c r="B7" s="165"/>
      <c r="C7" s="166"/>
      <c r="D7" s="191">
        <f>COUNTIF(RESUMEN_7°!T5:'RESUMEN_7°'!T44,"✗ REPROBADO")</f>
        <v>0</v>
      </c>
      <c r="E7" s="166"/>
      <c r="G7" s="184" t="s">
        <v>38</v>
      </c>
      <c r="H7" s="165"/>
      <c r="I7" s="166"/>
      <c r="J7" s="191">
        <f>COUNTIF(RESUMEN_8°!T5:'RESUMEN_8°'!T44,"✗ REPROBADO")</f>
        <v>0</v>
      </c>
      <c r="K7" s="166"/>
      <c r="M7" s="185" t="s">
        <v>38</v>
      </c>
      <c r="N7" s="165"/>
      <c r="O7" s="166"/>
      <c r="P7" s="191">
        <f>COUNTIF(RESUMEN_9°!X5:'RESUMEN_9°'!X44,"✗ REPROBADO")</f>
        <v>0</v>
      </c>
      <c r="Q7" s="166"/>
    </row>
    <row r="8" spans="1:18" ht="18" customHeight="1">
      <c r="A8" s="188" t="s">
        <v>39</v>
      </c>
      <c r="B8" s="165"/>
      <c r="C8" s="166"/>
      <c r="D8" s="189">
        <f>COUNTIF('Asistencia (7°)'!BI3:'Asistencia (7°)'!BI42,"&gt;5")</f>
        <v>0</v>
      </c>
      <c r="E8" s="166"/>
      <c r="G8" s="184" t="s">
        <v>39</v>
      </c>
      <c r="H8" s="165"/>
      <c r="I8" s="166"/>
      <c r="J8" s="189">
        <f>COUNTIF('Asistencia (8°)'!BI3:'Asistencia (8°)'!BI42,"&gt;5")</f>
        <v>0</v>
      </c>
      <c r="K8" s="166"/>
      <c r="M8" s="185" t="s">
        <v>39</v>
      </c>
      <c r="N8" s="165"/>
      <c r="O8" s="166"/>
      <c r="P8" s="189">
        <f>COUNTIF('Asistencia (9°)'!BI3:'Asistencia (9°)'!BI42,"&gt;5")</f>
        <v>0</v>
      </c>
      <c r="Q8" s="166"/>
    </row>
    <row r="10" spans="1:18" ht="18" customHeight="1">
      <c r="A10" s="171" t="s">
        <v>40</v>
      </c>
      <c r="B10" s="165"/>
      <c r="C10" s="165"/>
      <c r="D10" s="165"/>
      <c r="E10" s="165"/>
      <c r="F10" s="165"/>
      <c r="G10" s="165"/>
      <c r="H10" s="165"/>
      <c r="I10" s="165"/>
      <c r="J10" s="165"/>
      <c r="K10" s="165"/>
      <c r="L10" s="165"/>
      <c r="M10" s="165"/>
      <c r="N10" s="165"/>
      <c r="O10" s="165"/>
      <c r="P10" s="165"/>
      <c r="Q10" s="165"/>
      <c r="R10" s="166"/>
    </row>
    <row r="11" spans="1:18" ht="16.05" customHeight="1">
      <c r="A11" s="194" t="s">
        <v>41</v>
      </c>
      <c r="B11" s="165"/>
      <c r="C11" s="165"/>
      <c r="D11" s="165"/>
      <c r="E11" s="165"/>
      <c r="F11" s="165"/>
      <c r="G11" s="165"/>
      <c r="H11" s="165"/>
      <c r="I11" s="165"/>
      <c r="J11" s="165"/>
      <c r="K11" s="165"/>
      <c r="L11" s="165"/>
      <c r="M11" s="165"/>
      <c r="N11" s="165"/>
      <c r="O11" s="165"/>
      <c r="P11" s="165"/>
      <c r="Q11" s="165"/>
      <c r="R11" s="166"/>
    </row>
    <row r="12" spans="1:18" ht="16.05" customHeight="1">
      <c r="A12" s="186" t="s">
        <v>42</v>
      </c>
      <c r="B12" s="165"/>
      <c r="C12" s="165"/>
      <c r="D12" s="165"/>
      <c r="E12" s="165"/>
      <c r="F12" s="165"/>
      <c r="G12" s="165"/>
      <c r="H12" s="165"/>
      <c r="I12" s="165"/>
      <c r="J12" s="165"/>
      <c r="K12" s="165"/>
      <c r="L12" s="165"/>
      <c r="M12" s="165"/>
      <c r="N12" s="165"/>
      <c r="O12" s="165"/>
      <c r="P12" s="165"/>
      <c r="Q12" s="165"/>
      <c r="R12" s="166"/>
    </row>
    <row r="13" spans="1:18" ht="16.05" customHeight="1">
      <c r="A13" s="192" t="s">
        <v>43</v>
      </c>
      <c r="B13" s="165"/>
      <c r="C13" s="165"/>
      <c r="D13" s="165"/>
      <c r="E13" s="165"/>
      <c r="F13" s="165"/>
      <c r="G13" s="165"/>
      <c r="H13" s="165"/>
      <c r="I13" s="165"/>
      <c r="J13" s="165"/>
      <c r="K13" s="165"/>
      <c r="L13" s="165"/>
      <c r="M13" s="165"/>
      <c r="N13" s="165"/>
      <c r="O13" s="165"/>
      <c r="P13" s="165"/>
      <c r="Q13" s="165"/>
      <c r="R13" s="166"/>
    </row>
    <row r="14" spans="1:18" ht="16.05" customHeight="1">
      <c r="A14" s="190" t="s">
        <v>44</v>
      </c>
      <c r="B14" s="165"/>
      <c r="C14" s="165"/>
      <c r="D14" s="165"/>
      <c r="E14" s="165"/>
      <c r="F14" s="165"/>
      <c r="G14" s="165"/>
      <c r="H14" s="165"/>
      <c r="I14" s="165"/>
      <c r="J14" s="165"/>
      <c r="K14" s="165"/>
      <c r="L14" s="165"/>
      <c r="M14" s="165"/>
      <c r="N14" s="165"/>
      <c r="O14" s="165"/>
      <c r="P14" s="165"/>
      <c r="Q14" s="165"/>
      <c r="R14" s="166"/>
    </row>
    <row r="16" spans="1:18" ht="19.95" customHeight="1">
      <c r="A16" s="179" t="s">
        <v>45</v>
      </c>
      <c r="B16" s="165"/>
      <c r="C16" s="165"/>
      <c r="D16" s="165"/>
      <c r="E16" s="165"/>
      <c r="F16" s="165"/>
      <c r="G16" s="165"/>
      <c r="H16" s="165"/>
      <c r="I16" s="165"/>
      <c r="J16" s="165"/>
      <c r="K16" s="165"/>
      <c r="L16" s="165"/>
      <c r="M16" s="165"/>
      <c r="N16" s="165"/>
      <c r="O16" s="165"/>
      <c r="P16" s="165"/>
      <c r="Q16" s="165"/>
      <c r="R16" s="166"/>
    </row>
    <row r="17" spans="1:7" ht="18" customHeight="1">
      <c r="A17" s="130" t="s">
        <v>17</v>
      </c>
      <c r="B17" s="130" t="s">
        <v>2</v>
      </c>
      <c r="C17" s="130" t="s">
        <v>3</v>
      </c>
      <c r="D17" s="130" t="s">
        <v>46</v>
      </c>
      <c r="E17" s="130" t="s">
        <v>47</v>
      </c>
      <c r="F17" s="130" t="s">
        <v>30</v>
      </c>
      <c r="G17" s="130" t="s">
        <v>9</v>
      </c>
    </row>
    <row r="18" spans="1:7" ht="13.95" customHeight="1">
      <c r="A18" s="131" t="s">
        <v>19</v>
      </c>
      <c r="B18" s="131">
        <f>RESUMEN_7°!A5</f>
        <v>1</v>
      </c>
      <c r="C18" s="132">
        <f>RESUMEN_7°!B5</f>
        <v>0</v>
      </c>
      <c r="D18" s="131" t="str">
        <f>IFERROR(RESUMEN_7°!F5,"")</f>
        <v/>
      </c>
      <c r="E18" s="131" t="str">
        <f>IFERROR(RESUMEN_7°!R5,"")</f>
        <v/>
      </c>
      <c r="F18" s="131">
        <f>IFERROR('Asistencia (7°)'!BI3,"")</f>
        <v>0</v>
      </c>
      <c r="G18" s="131" t="str">
        <f>IF(AND(RESUMEN_7°!B5=""),"",IF(OR(IFERROR(RESUMEN_7°!F5,0)&lt;3,IFERROR(RESUMEN_7°!R5,0)&lt;3),"⚠ REVISAR","OK"))</f>
        <v>OK</v>
      </c>
    </row>
    <row r="19" spans="1:7" ht="13.95" customHeight="1">
      <c r="A19" s="133" t="s">
        <v>19</v>
      </c>
      <c r="B19" s="133">
        <f>RESUMEN_7°!A6</f>
        <v>2</v>
      </c>
      <c r="C19" s="134">
        <f>RESUMEN_7°!B6</f>
        <v>0</v>
      </c>
      <c r="D19" s="133" t="str">
        <f>IF(C19="","",IFERROR(RESUMEN_7°!F6,""))</f>
        <v/>
      </c>
      <c r="E19" s="133" t="str">
        <f>IF(C19="","",IFERROR(RESUMEN_7°!R6,""))</f>
        <v/>
      </c>
      <c r="F19" s="133">
        <f>IF(C19="","",IFERROR('Asistencia (7°)'!BI4,""))</f>
        <v>0</v>
      </c>
      <c r="G19" s="133" t="str">
        <f>IF(AND(RESUMEN_7°!B6=""),"",IF(OR(IFERROR(RESUMEN_7°!F6,0)&lt;3,IFERROR(RESUMEN_7°!R6,0)&lt;3),"⚠ REVISAR","OK"))</f>
        <v>OK</v>
      </c>
    </row>
    <row r="20" spans="1:7" ht="13.95" customHeight="1">
      <c r="A20" s="131" t="s">
        <v>19</v>
      </c>
      <c r="B20" s="131">
        <f>RESUMEN_7°!A7</f>
        <v>3</v>
      </c>
      <c r="C20" s="132">
        <f>RESUMEN_7°!B7</f>
        <v>0</v>
      </c>
      <c r="D20" s="131" t="str">
        <f>IF(C20="","",IFERROR(RESUMEN_7°!F7,""))</f>
        <v/>
      </c>
      <c r="E20" s="131" t="str">
        <f>IF(C20="","",IFERROR(RESUMEN_7°!R7,""))</f>
        <v/>
      </c>
      <c r="F20" s="131">
        <f>IF(C20="","",IFERROR('Asistencia (7°)'!BI5,""))</f>
        <v>0</v>
      </c>
      <c r="G20" s="131" t="str">
        <f>IF(AND(RESUMEN_7°!B7=""),"",IF(OR(IFERROR(RESUMEN_7°!F7,0)&lt;3,IFERROR(RESUMEN_7°!R7,0)&lt;3),"⚠ REVISAR","OK"))</f>
        <v>OK</v>
      </c>
    </row>
    <row r="21" spans="1:7" ht="13.95" customHeight="1">
      <c r="A21" s="133" t="s">
        <v>19</v>
      </c>
      <c r="B21" s="133">
        <f>RESUMEN_7°!A8</f>
        <v>4</v>
      </c>
      <c r="C21" s="134">
        <f>RESUMEN_7°!B8</f>
        <v>0</v>
      </c>
      <c r="D21" s="133" t="str">
        <f>IF(C21="","",IFERROR(RESUMEN_7°!F8,""))</f>
        <v/>
      </c>
      <c r="E21" s="133" t="str">
        <f>IF(C21="","",IFERROR(RESUMEN_7°!R8,""))</f>
        <v/>
      </c>
      <c r="F21" s="133">
        <f>IF(C21="","",IFERROR('Asistencia (7°)'!BI6,""))</f>
        <v>0</v>
      </c>
      <c r="G21" s="133" t="str">
        <f>IF(AND(RESUMEN_7°!B8=""),"",IF(OR(IFERROR(RESUMEN_7°!F8,0)&lt;3,IFERROR(RESUMEN_7°!R8,0)&lt;3),"⚠ REVISAR","OK"))</f>
        <v>OK</v>
      </c>
    </row>
    <row r="22" spans="1:7" ht="13.95" customHeight="1">
      <c r="A22" s="131" t="s">
        <v>19</v>
      </c>
      <c r="B22" s="131">
        <f>RESUMEN_7°!A9</f>
        <v>5</v>
      </c>
      <c r="C22" s="132">
        <f>RESUMEN_7°!B9</f>
        <v>0</v>
      </c>
      <c r="D22" s="131" t="str">
        <f>IF(C22="","",IFERROR(RESUMEN_7°!F9,""))</f>
        <v/>
      </c>
      <c r="E22" s="131" t="str">
        <f>IF(C22="","",IFERROR(RESUMEN_7°!R9,""))</f>
        <v/>
      </c>
      <c r="F22" s="131">
        <f>IF(C22="","",IFERROR('Asistencia (7°)'!BI7,""))</f>
        <v>0</v>
      </c>
      <c r="G22" s="131" t="str">
        <f>IF(AND(RESUMEN_7°!B9=""),"",IF(OR(IFERROR(RESUMEN_7°!F9,0)&lt;3,IFERROR(RESUMEN_7°!R9,0)&lt;3),"⚠ REVISAR","OK"))</f>
        <v>OK</v>
      </c>
    </row>
    <row r="23" spans="1:7" ht="13.95" customHeight="1">
      <c r="A23" s="133" t="s">
        <v>19</v>
      </c>
      <c r="B23" s="133">
        <f>RESUMEN_7°!A10</f>
        <v>6</v>
      </c>
      <c r="C23" s="134">
        <f>RESUMEN_7°!B10</f>
        <v>0</v>
      </c>
      <c r="D23" s="133" t="str">
        <f>IF(C23="","",IFERROR(RESUMEN_7°!F10,""))</f>
        <v/>
      </c>
      <c r="E23" s="133" t="str">
        <f>IF(C23="","",IFERROR(RESUMEN_7°!R10,""))</f>
        <v/>
      </c>
      <c r="F23" s="133">
        <f>IF(C23="","",IFERROR('Asistencia (7°)'!BI8,""))</f>
        <v>0</v>
      </c>
      <c r="G23" s="133" t="str">
        <f>IF(AND(RESUMEN_7°!B10=""),"",IF(OR(IFERROR(RESUMEN_7°!F10,0)&lt;3,IFERROR(RESUMEN_7°!R10,0)&lt;3),"⚠ REVISAR","OK"))</f>
        <v>OK</v>
      </c>
    </row>
    <row r="24" spans="1:7" ht="13.95" customHeight="1">
      <c r="A24" s="131" t="s">
        <v>19</v>
      </c>
      <c r="B24" s="131">
        <f>RESUMEN_7°!A11</f>
        <v>7</v>
      </c>
      <c r="C24" s="132">
        <f>RESUMEN_7°!B11</f>
        <v>0</v>
      </c>
      <c r="D24" s="131" t="str">
        <f>IF(C24="","",IFERROR(RESUMEN_7°!F11,""))</f>
        <v/>
      </c>
      <c r="E24" s="131" t="str">
        <f>IF(C24="","",IFERROR(RESUMEN_7°!R11,""))</f>
        <v/>
      </c>
      <c r="F24" s="131">
        <f>IF(C24="","",IFERROR('Asistencia (7°)'!BI9,""))</f>
        <v>0</v>
      </c>
      <c r="G24" s="131" t="str">
        <f>IF(AND(RESUMEN_7°!B11=""),"",IF(OR(IFERROR(RESUMEN_7°!F11,0)&lt;3,IFERROR(RESUMEN_7°!R11,0)&lt;3),"⚠ REVISAR","OK"))</f>
        <v>OK</v>
      </c>
    </row>
    <row r="25" spans="1:7" ht="13.95" customHeight="1">
      <c r="A25" s="133" t="s">
        <v>19</v>
      </c>
      <c r="B25" s="133">
        <f>RESUMEN_7°!A12</f>
        <v>8</v>
      </c>
      <c r="C25" s="134">
        <f>RESUMEN_7°!B12</f>
        <v>0</v>
      </c>
      <c r="D25" s="133" t="str">
        <f>IF(C25="","",IFERROR(RESUMEN_7°!F12,""))</f>
        <v/>
      </c>
      <c r="E25" s="133" t="str">
        <f>IF(C25="","",IFERROR(RESUMEN_7°!R12,""))</f>
        <v/>
      </c>
      <c r="F25" s="133">
        <f>IF(C25="","",IFERROR('Asistencia (7°)'!BI10,""))</f>
        <v>0</v>
      </c>
      <c r="G25" s="133" t="str">
        <f>IF(AND(RESUMEN_7°!B12=""),"",IF(OR(IFERROR(RESUMEN_7°!F12,0)&lt;3,IFERROR(RESUMEN_7°!R12,0)&lt;3),"⚠ REVISAR","OK"))</f>
        <v>OK</v>
      </c>
    </row>
    <row r="26" spans="1:7" ht="13.95" customHeight="1">
      <c r="A26" s="131" t="s">
        <v>19</v>
      </c>
      <c r="B26" s="131">
        <f>RESUMEN_7°!A13</f>
        <v>9</v>
      </c>
      <c r="C26" s="132">
        <f>RESUMEN_7°!B13</f>
        <v>0</v>
      </c>
      <c r="D26" s="131" t="str">
        <f>IF(C26="","",IFERROR(RESUMEN_7°!F13,""))</f>
        <v/>
      </c>
      <c r="E26" s="131" t="str">
        <f>IF(C26="","",IFERROR(RESUMEN_7°!R13,""))</f>
        <v/>
      </c>
      <c r="F26" s="131">
        <f>IF(C26="","",IFERROR('Asistencia (7°)'!BI11,""))</f>
        <v>0</v>
      </c>
      <c r="G26" s="131" t="str">
        <f>IF(AND(RESUMEN_7°!B13=""),"",IF(OR(IFERROR(RESUMEN_7°!F13,0)&lt;3,IFERROR(RESUMEN_7°!R13,0)&lt;3),"⚠ REVISAR","OK"))</f>
        <v>OK</v>
      </c>
    </row>
    <row r="27" spans="1:7" ht="13.95" customHeight="1">
      <c r="A27" s="133" t="s">
        <v>19</v>
      </c>
      <c r="B27" s="133">
        <f>RESUMEN_7°!A14</f>
        <v>10</v>
      </c>
      <c r="C27" s="134">
        <f>RESUMEN_7°!B14</f>
        <v>0</v>
      </c>
      <c r="D27" s="133" t="str">
        <f>IF(C27="","",IFERROR(RESUMEN_7°!F14,""))</f>
        <v/>
      </c>
      <c r="E27" s="133" t="str">
        <f>IF(C27="","",IFERROR(RESUMEN_7°!R14,""))</f>
        <v/>
      </c>
      <c r="F27" s="133">
        <f>IF(C27="","",IFERROR('Asistencia (7°)'!BI12,""))</f>
        <v>0</v>
      </c>
      <c r="G27" s="133" t="str">
        <f>IF(AND(RESUMEN_7°!B14=""),"",IF(OR(IFERROR(RESUMEN_7°!F14,0)&lt;3,IFERROR(RESUMEN_7°!R14,0)&lt;3),"⚠ REVISAR","OK"))</f>
        <v>OK</v>
      </c>
    </row>
    <row r="28" spans="1:7" ht="13.95" customHeight="1">
      <c r="A28" s="131" t="s">
        <v>19</v>
      </c>
      <c r="B28" s="131">
        <f>RESUMEN_7°!A15</f>
        <v>11</v>
      </c>
      <c r="C28" s="132">
        <f>RESUMEN_7°!B15</f>
        <v>0</v>
      </c>
      <c r="D28" s="131" t="str">
        <f>IF(C28="","",IFERROR(RESUMEN_7°!F15,""))</f>
        <v/>
      </c>
      <c r="E28" s="131" t="str">
        <f>IF(C28="","",IFERROR(RESUMEN_7°!R15,""))</f>
        <v/>
      </c>
      <c r="F28" s="131">
        <f>IF(C28="","",IFERROR('Asistencia (7°)'!BI13,""))</f>
        <v>0</v>
      </c>
      <c r="G28" s="131" t="str">
        <f>IF(AND(RESUMEN_7°!B15=""),"",IF(OR(IFERROR(RESUMEN_7°!F15,0)&lt;3,IFERROR(RESUMEN_7°!R15,0)&lt;3),"⚠ REVISAR","OK"))</f>
        <v>OK</v>
      </c>
    </row>
    <row r="29" spans="1:7" ht="13.95" customHeight="1">
      <c r="A29" s="133" t="s">
        <v>19</v>
      </c>
      <c r="B29" s="133">
        <f>RESUMEN_7°!A16</f>
        <v>12</v>
      </c>
      <c r="C29" s="134">
        <f>RESUMEN_7°!B16</f>
        <v>0</v>
      </c>
      <c r="D29" s="133" t="str">
        <f>IF(C29="","",IFERROR(RESUMEN_7°!F16,""))</f>
        <v/>
      </c>
      <c r="E29" s="133" t="str">
        <f>IF(C29="","",IFERROR(RESUMEN_7°!R16,""))</f>
        <v/>
      </c>
      <c r="F29" s="133">
        <f>IF(C29="","",IFERROR('Asistencia (7°)'!BI14,""))</f>
        <v>0</v>
      </c>
      <c r="G29" s="133" t="str">
        <f>IF(AND(RESUMEN_7°!B16=""),"",IF(OR(IFERROR(RESUMEN_7°!F16,0)&lt;3,IFERROR(RESUMEN_7°!R16,0)&lt;3),"⚠ REVISAR","OK"))</f>
        <v>OK</v>
      </c>
    </row>
    <row r="30" spans="1:7" ht="13.95" customHeight="1">
      <c r="A30" s="131" t="s">
        <v>19</v>
      </c>
      <c r="B30" s="131">
        <f>RESUMEN_7°!A17</f>
        <v>13</v>
      </c>
      <c r="C30" s="132">
        <f>RESUMEN_7°!B17</f>
        <v>0</v>
      </c>
      <c r="D30" s="131" t="str">
        <f>IF(C30="","",IFERROR(RESUMEN_7°!F17,""))</f>
        <v/>
      </c>
      <c r="E30" s="131" t="str">
        <f>IF(C30="","",IFERROR(RESUMEN_7°!R17,""))</f>
        <v/>
      </c>
      <c r="F30" s="131">
        <f>IF(C30="","",IFERROR('Asistencia (7°)'!BI15,""))</f>
        <v>0</v>
      </c>
      <c r="G30" s="131" t="str">
        <f>IF(AND(RESUMEN_7°!B17=""),"",IF(OR(IFERROR(RESUMEN_7°!F17,0)&lt;3,IFERROR(RESUMEN_7°!R17,0)&lt;3),"⚠ REVISAR","OK"))</f>
        <v>OK</v>
      </c>
    </row>
    <row r="31" spans="1:7" ht="13.95" customHeight="1">
      <c r="A31" s="133" t="s">
        <v>19</v>
      </c>
      <c r="B31" s="133">
        <f>RESUMEN_7°!A18</f>
        <v>14</v>
      </c>
      <c r="C31" s="134">
        <f>RESUMEN_7°!B18</f>
        <v>0</v>
      </c>
      <c r="D31" s="133" t="str">
        <f>IF(C31="","",IFERROR(RESUMEN_7°!F18,""))</f>
        <v/>
      </c>
      <c r="E31" s="133" t="str">
        <f>IF(C31="","",IFERROR(RESUMEN_7°!R18,""))</f>
        <v/>
      </c>
      <c r="F31" s="133">
        <f>IF(C31="","",IFERROR('Asistencia (7°)'!BI16,""))</f>
        <v>0</v>
      </c>
      <c r="G31" s="133" t="str">
        <f>IF(AND(RESUMEN_7°!B18=""),"",IF(OR(IFERROR(RESUMEN_7°!F18,0)&lt;3,IFERROR(RESUMEN_7°!R18,0)&lt;3),"⚠ REVISAR","OK"))</f>
        <v>OK</v>
      </c>
    </row>
    <row r="32" spans="1:7" ht="13.95" customHeight="1">
      <c r="A32" s="131" t="s">
        <v>19</v>
      </c>
      <c r="B32" s="131">
        <f>RESUMEN_7°!A19</f>
        <v>15</v>
      </c>
      <c r="C32" s="132">
        <f>RESUMEN_7°!B19</f>
        <v>0</v>
      </c>
      <c r="D32" s="131" t="str">
        <f>IF(C32="","",IFERROR(RESUMEN_7°!F19,""))</f>
        <v/>
      </c>
      <c r="E32" s="131" t="str">
        <f>IF(C32="","",IFERROR(RESUMEN_7°!R19,""))</f>
        <v/>
      </c>
      <c r="F32" s="131">
        <f>IF(C32="","",IFERROR('Asistencia (7°)'!BI17,""))</f>
        <v>0</v>
      </c>
      <c r="G32" s="131" t="str">
        <f>IF(AND(RESUMEN_7°!B19=""),"",IF(OR(IFERROR(RESUMEN_7°!F19,0)&lt;3,IFERROR(RESUMEN_7°!R19,0)&lt;3),"⚠ REVISAR","OK"))</f>
        <v>OK</v>
      </c>
    </row>
    <row r="33" spans="1:7" ht="13.95" customHeight="1">
      <c r="A33" s="133" t="s">
        <v>19</v>
      </c>
      <c r="B33" s="133">
        <f>RESUMEN_7°!A20</f>
        <v>16</v>
      </c>
      <c r="C33" s="134">
        <f>RESUMEN_7°!B20</f>
        <v>0</v>
      </c>
      <c r="D33" s="133" t="str">
        <f>IF(C33="","",IFERROR(RESUMEN_7°!F20,""))</f>
        <v/>
      </c>
      <c r="E33" s="133" t="str">
        <f>IF(C33="","",IFERROR(RESUMEN_7°!R20,""))</f>
        <v/>
      </c>
      <c r="F33" s="133">
        <f>IF(C33="","",IFERROR('Asistencia (7°)'!BI18,""))</f>
        <v>0</v>
      </c>
      <c r="G33" s="133" t="str">
        <f>IF(AND(RESUMEN_7°!B20=""),"",IF(OR(IFERROR(RESUMEN_7°!F20,0)&lt;3,IFERROR(RESUMEN_7°!R20,0)&lt;3),"⚠ REVISAR","OK"))</f>
        <v>OK</v>
      </c>
    </row>
    <row r="34" spans="1:7" ht="13.95" customHeight="1">
      <c r="A34" s="131" t="s">
        <v>19</v>
      </c>
      <c r="B34" s="131">
        <f>RESUMEN_7°!A21</f>
        <v>17</v>
      </c>
      <c r="C34" s="132">
        <f>RESUMEN_7°!B21</f>
        <v>0</v>
      </c>
      <c r="D34" s="131" t="str">
        <f>IF(C34="","",IFERROR(RESUMEN_7°!F21,""))</f>
        <v/>
      </c>
      <c r="E34" s="131" t="str">
        <f>IF(C34="","",IFERROR(RESUMEN_7°!R21,""))</f>
        <v/>
      </c>
      <c r="F34" s="131">
        <f>IF(C34="","",IFERROR('Asistencia (7°)'!BI19,""))</f>
        <v>0</v>
      </c>
      <c r="G34" s="131" t="str">
        <f>IF(AND(RESUMEN_7°!B21=""),"",IF(OR(IFERROR(RESUMEN_7°!F21,0)&lt;3,IFERROR(RESUMEN_7°!R21,0)&lt;3),"⚠ REVISAR","OK"))</f>
        <v>OK</v>
      </c>
    </row>
    <row r="35" spans="1:7" ht="13.95" customHeight="1">
      <c r="A35" s="133" t="s">
        <v>19</v>
      </c>
      <c r="B35" s="133">
        <f>RESUMEN_7°!A22</f>
        <v>18</v>
      </c>
      <c r="C35" s="134">
        <f>RESUMEN_7°!B22</f>
        <v>0</v>
      </c>
      <c r="D35" s="133" t="str">
        <f>IF(C35="","",IFERROR(RESUMEN_7°!F22,""))</f>
        <v/>
      </c>
      <c r="E35" s="133" t="str">
        <f>IF(C35="","",IFERROR(RESUMEN_7°!R22,""))</f>
        <v/>
      </c>
      <c r="F35" s="133">
        <f>IF(C35="","",IFERROR('Asistencia (7°)'!BI20,""))</f>
        <v>0</v>
      </c>
      <c r="G35" s="133" t="str">
        <f>IF(AND(RESUMEN_7°!B22=""),"",IF(OR(IFERROR(RESUMEN_7°!F22,0)&lt;3,IFERROR(RESUMEN_7°!R22,0)&lt;3),"⚠ REVISAR","OK"))</f>
        <v>OK</v>
      </c>
    </row>
    <row r="36" spans="1:7" ht="13.95" customHeight="1">
      <c r="A36" s="131" t="s">
        <v>19</v>
      </c>
      <c r="B36" s="131">
        <f>RESUMEN_7°!A23</f>
        <v>19</v>
      </c>
      <c r="C36" s="132">
        <f>RESUMEN_7°!B23</f>
        <v>0</v>
      </c>
      <c r="D36" s="131" t="str">
        <f>IF(C36="","",IFERROR(RESUMEN_7°!F23,""))</f>
        <v/>
      </c>
      <c r="E36" s="131" t="str">
        <f>IF(C36="","",IFERROR(RESUMEN_7°!R23,""))</f>
        <v/>
      </c>
      <c r="F36" s="131">
        <f>IF(C36="","",IFERROR('Asistencia (7°)'!BI21,""))</f>
        <v>0</v>
      </c>
      <c r="G36" s="131" t="str">
        <f>IF(AND(RESUMEN_7°!B23=""),"",IF(OR(IFERROR(RESUMEN_7°!F23,0)&lt;3,IFERROR(RESUMEN_7°!R23,0)&lt;3),"⚠ REVISAR","OK"))</f>
        <v>OK</v>
      </c>
    </row>
    <row r="37" spans="1:7" ht="13.95" customHeight="1">
      <c r="A37" s="133" t="s">
        <v>19</v>
      </c>
      <c r="B37" s="133">
        <f>RESUMEN_7°!A24</f>
        <v>20</v>
      </c>
      <c r="C37" s="134">
        <f>RESUMEN_7°!B24</f>
        <v>0</v>
      </c>
      <c r="D37" s="133" t="str">
        <f>IF(C37="","",IFERROR(RESUMEN_7°!F24,""))</f>
        <v/>
      </c>
      <c r="E37" s="133" t="str">
        <f>IF(C37="","",IFERROR(RESUMEN_7°!R24,""))</f>
        <v/>
      </c>
      <c r="F37" s="133">
        <f>IF(C37="","",IFERROR('Asistencia (7°)'!BI22,""))</f>
        <v>0</v>
      </c>
      <c r="G37" s="133" t="str">
        <f>IF(AND(RESUMEN_7°!B24=""),"",IF(OR(IFERROR(RESUMEN_7°!F24,0)&lt;3,IFERROR(RESUMEN_7°!R24,0)&lt;3),"⚠ REVISAR","OK"))</f>
        <v>OK</v>
      </c>
    </row>
    <row r="38" spans="1:7" ht="13.95" customHeight="1">
      <c r="A38" s="131" t="s">
        <v>19</v>
      </c>
      <c r="B38" s="131">
        <f>RESUMEN_7°!A25</f>
        <v>21</v>
      </c>
      <c r="C38" s="132">
        <f>RESUMEN_7°!B25</f>
        <v>0</v>
      </c>
      <c r="D38" s="131" t="str">
        <f>IF(C38="","",IFERROR(RESUMEN_7°!F25,""))</f>
        <v/>
      </c>
      <c r="E38" s="131" t="str">
        <f>IF(C38="","",IFERROR(RESUMEN_7°!R25,""))</f>
        <v/>
      </c>
      <c r="F38" s="131">
        <f>IF(C38="","",IFERROR('Asistencia (7°)'!BI23,""))</f>
        <v>0</v>
      </c>
      <c r="G38" s="131" t="str">
        <f>IF(AND(RESUMEN_7°!B25=""),"",IF(OR(IFERROR(RESUMEN_7°!F25,0)&lt;3,IFERROR(RESUMEN_7°!R25,0)&lt;3),"⚠ REVISAR","OK"))</f>
        <v>OK</v>
      </c>
    </row>
    <row r="39" spans="1:7" ht="13.95" customHeight="1">
      <c r="A39" s="133" t="s">
        <v>19</v>
      </c>
      <c r="B39" s="133">
        <f>RESUMEN_7°!A26</f>
        <v>22</v>
      </c>
      <c r="C39" s="134">
        <f>RESUMEN_7°!B26</f>
        <v>0</v>
      </c>
      <c r="D39" s="133" t="str">
        <f>IF(C39="","",IFERROR(RESUMEN_7°!F26,""))</f>
        <v/>
      </c>
      <c r="E39" s="133" t="str">
        <f>IF(C39="","",IFERROR(RESUMEN_7°!R26,""))</f>
        <v/>
      </c>
      <c r="F39" s="133">
        <f>IF(C39="","",IFERROR('Asistencia (7°)'!BI24,""))</f>
        <v>0</v>
      </c>
      <c r="G39" s="133" t="str">
        <f>IF(AND(RESUMEN_7°!B26=""),"",IF(OR(IFERROR(RESUMEN_7°!F26,0)&lt;3,IFERROR(RESUMEN_7°!R26,0)&lt;3),"⚠ REVISAR","OK"))</f>
        <v>OK</v>
      </c>
    </row>
    <row r="40" spans="1:7" ht="13.95" customHeight="1">
      <c r="A40" s="131" t="s">
        <v>19</v>
      </c>
      <c r="B40" s="131">
        <f>RESUMEN_7°!A27</f>
        <v>23</v>
      </c>
      <c r="C40" s="132">
        <f>RESUMEN_7°!B27</f>
        <v>0</v>
      </c>
      <c r="D40" s="131" t="str">
        <f>IF(C40="","",IFERROR(RESUMEN_7°!F27,""))</f>
        <v/>
      </c>
      <c r="E40" s="131" t="str">
        <f>IF(C40="","",IFERROR(RESUMEN_7°!R27,""))</f>
        <v/>
      </c>
      <c r="F40" s="131">
        <f>IF(C40="","",IFERROR('Asistencia (7°)'!BI25,""))</f>
        <v>0</v>
      </c>
      <c r="G40" s="131" t="str">
        <f>IF(AND(RESUMEN_7°!B27=""),"",IF(OR(IFERROR(RESUMEN_7°!F27,0)&lt;3,IFERROR(RESUMEN_7°!R27,0)&lt;3),"⚠ REVISAR","OK"))</f>
        <v>OK</v>
      </c>
    </row>
    <row r="41" spans="1:7" ht="13.95" customHeight="1">
      <c r="A41" s="133" t="s">
        <v>19</v>
      </c>
      <c r="B41" s="133">
        <f>RESUMEN_7°!A28</f>
        <v>24</v>
      </c>
      <c r="C41" s="134">
        <f>RESUMEN_7°!B28</f>
        <v>0</v>
      </c>
      <c r="D41" s="133" t="str">
        <f>IF(C41="","",IFERROR(RESUMEN_7°!F28,""))</f>
        <v/>
      </c>
      <c r="E41" s="133" t="str">
        <f>IF(C41="","",IFERROR(RESUMEN_7°!R28,""))</f>
        <v/>
      </c>
      <c r="F41" s="133">
        <f>IF(C41="","",IFERROR('Asistencia (7°)'!BI26,""))</f>
        <v>0</v>
      </c>
      <c r="G41" s="133" t="str">
        <f>IF(AND(RESUMEN_7°!B28=""),"",IF(OR(IFERROR(RESUMEN_7°!F28,0)&lt;3,IFERROR(RESUMEN_7°!R28,0)&lt;3),"⚠ REVISAR","OK"))</f>
        <v>OK</v>
      </c>
    </row>
    <row r="42" spans="1:7" ht="13.95" customHeight="1">
      <c r="A42" s="131" t="s">
        <v>19</v>
      </c>
      <c r="B42" s="131">
        <f>RESUMEN_7°!A29</f>
        <v>25</v>
      </c>
      <c r="C42" s="132">
        <f>RESUMEN_7°!B29</f>
        <v>0</v>
      </c>
      <c r="D42" s="131" t="str">
        <f>IF(C42="","",IFERROR(RESUMEN_7°!F29,""))</f>
        <v/>
      </c>
      <c r="E42" s="131" t="str">
        <f>IF(C42="","",IFERROR(RESUMEN_7°!R29,""))</f>
        <v/>
      </c>
      <c r="F42" s="131">
        <f>IF(C42="","",IFERROR('Asistencia (7°)'!BI27,""))</f>
        <v>0</v>
      </c>
      <c r="G42" s="131" t="str">
        <f>IF(AND(RESUMEN_7°!B29=""),"",IF(OR(IFERROR(RESUMEN_7°!F29,0)&lt;3,IFERROR(RESUMEN_7°!R29,0)&lt;3),"⚠ REVISAR","OK"))</f>
        <v>OK</v>
      </c>
    </row>
    <row r="43" spans="1:7" ht="13.95" customHeight="1">
      <c r="A43" s="133" t="s">
        <v>19</v>
      </c>
      <c r="B43" s="133">
        <f>RESUMEN_7°!A30</f>
        <v>26</v>
      </c>
      <c r="C43" s="134">
        <f>RESUMEN_7°!B30</f>
        <v>0</v>
      </c>
      <c r="D43" s="133" t="str">
        <f>IF(C43="","",IFERROR(RESUMEN_7°!F30,""))</f>
        <v/>
      </c>
      <c r="E43" s="133" t="str">
        <f>IF(C43="","",IFERROR(RESUMEN_7°!R30,""))</f>
        <v/>
      </c>
      <c r="F43" s="133">
        <f>IF(C43="","",IFERROR('Asistencia (7°)'!BI28,""))</f>
        <v>0</v>
      </c>
      <c r="G43" s="133" t="str">
        <f>IF(AND(RESUMEN_7°!B30=""),"",IF(OR(IFERROR(RESUMEN_7°!F30,0)&lt;3,IFERROR(RESUMEN_7°!R30,0)&lt;3),"⚠ REVISAR","OK"))</f>
        <v>OK</v>
      </c>
    </row>
    <row r="44" spans="1:7" ht="13.95" customHeight="1">
      <c r="A44" s="131" t="s">
        <v>19</v>
      </c>
      <c r="B44" s="131">
        <f>RESUMEN_7°!A31</f>
        <v>27</v>
      </c>
      <c r="C44" s="132">
        <f>RESUMEN_7°!B31</f>
        <v>0</v>
      </c>
      <c r="D44" s="131" t="str">
        <f>IF(C44="","",IFERROR(RESUMEN_7°!F31,""))</f>
        <v/>
      </c>
      <c r="E44" s="131" t="str">
        <f>IF(C44="","",IFERROR(RESUMEN_7°!R31,""))</f>
        <v/>
      </c>
      <c r="F44" s="131">
        <f>IF(C44="","",IFERROR('Asistencia (7°)'!BI29,""))</f>
        <v>0</v>
      </c>
      <c r="G44" s="131" t="str">
        <f>IF(AND(RESUMEN_7°!B31=""),"",IF(OR(IFERROR(RESUMEN_7°!F31,0)&lt;3,IFERROR(RESUMEN_7°!R31,0)&lt;3),"⚠ REVISAR","OK"))</f>
        <v>OK</v>
      </c>
    </row>
    <row r="45" spans="1:7" ht="13.95" customHeight="1">
      <c r="A45" s="133" t="s">
        <v>19</v>
      </c>
      <c r="B45" s="133">
        <f>RESUMEN_7°!A32</f>
        <v>28</v>
      </c>
      <c r="C45" s="134">
        <f>RESUMEN_7°!B32</f>
        <v>0</v>
      </c>
      <c r="D45" s="133" t="str">
        <f>IF(C45="","",IFERROR(RESUMEN_7°!F32,""))</f>
        <v/>
      </c>
      <c r="E45" s="133" t="str">
        <f>IF(C45="","",IFERROR(RESUMEN_7°!R32,""))</f>
        <v/>
      </c>
      <c r="F45" s="133">
        <f>IF(C45="","",IFERROR('Asistencia (7°)'!BI30,""))</f>
        <v>0</v>
      </c>
      <c r="G45" s="133" t="str">
        <f>IF(AND(RESUMEN_7°!B32=""),"",IF(OR(IFERROR(RESUMEN_7°!F32,0)&lt;3,IFERROR(RESUMEN_7°!R32,0)&lt;3),"⚠ REVISAR","OK"))</f>
        <v>OK</v>
      </c>
    </row>
    <row r="46" spans="1:7" ht="13.95" customHeight="1">
      <c r="A46" s="131" t="s">
        <v>19</v>
      </c>
      <c r="B46" s="131">
        <f>RESUMEN_7°!A33</f>
        <v>29</v>
      </c>
      <c r="C46" s="132">
        <f>RESUMEN_7°!B33</f>
        <v>0</v>
      </c>
      <c r="D46" s="131" t="str">
        <f>IF(C46="","",IFERROR(RESUMEN_7°!F33,""))</f>
        <v/>
      </c>
      <c r="E46" s="131" t="str">
        <f>IF(C46="","",IFERROR(RESUMEN_7°!R33,""))</f>
        <v/>
      </c>
      <c r="F46" s="131">
        <f>IF(C46="","",IFERROR('Asistencia (7°)'!BI31,""))</f>
        <v>0</v>
      </c>
      <c r="G46" s="131" t="str">
        <f>IF(AND(RESUMEN_7°!B33=""),"",IF(OR(IFERROR(RESUMEN_7°!F33,0)&lt;3,IFERROR(RESUMEN_7°!R33,0)&lt;3),"⚠ REVISAR","OK"))</f>
        <v>OK</v>
      </c>
    </row>
    <row r="47" spans="1:7" ht="13.95" customHeight="1">
      <c r="A47" s="133" t="s">
        <v>19</v>
      </c>
      <c r="B47" s="133">
        <f>RESUMEN_7°!A34</f>
        <v>30</v>
      </c>
      <c r="C47" s="134">
        <f>RESUMEN_7°!B34</f>
        <v>0</v>
      </c>
      <c r="D47" s="133" t="str">
        <f>IF(C47="","",IFERROR(RESUMEN_7°!F34,""))</f>
        <v/>
      </c>
      <c r="E47" s="133" t="str">
        <f>IF(C47="","",IFERROR(RESUMEN_7°!R34,""))</f>
        <v/>
      </c>
      <c r="F47" s="133">
        <f>IF(C47="","",IFERROR('Asistencia (7°)'!BI32,""))</f>
        <v>0</v>
      </c>
      <c r="G47" s="133" t="str">
        <f>IF(AND(RESUMEN_7°!B34=""),"",IF(OR(IFERROR(RESUMEN_7°!F34,0)&lt;3,IFERROR(RESUMEN_7°!R34,0)&lt;3),"⚠ REVISAR","OK"))</f>
        <v>OK</v>
      </c>
    </row>
    <row r="48" spans="1:7" ht="13.95" customHeight="1">
      <c r="A48" s="131" t="s">
        <v>19</v>
      </c>
      <c r="B48" s="131">
        <f>RESUMEN_7°!A35</f>
        <v>31</v>
      </c>
      <c r="C48" s="132">
        <f>RESUMEN_7°!B35</f>
        <v>0</v>
      </c>
      <c r="D48" s="131" t="str">
        <f>IF(C48="","",IFERROR(RESUMEN_7°!F35,""))</f>
        <v/>
      </c>
      <c r="E48" s="131" t="str">
        <f>IF(C48="","",IFERROR(RESUMEN_7°!R35,""))</f>
        <v/>
      </c>
      <c r="F48" s="131">
        <f>IF(C48="","",IFERROR('Asistencia (7°)'!BI33,""))</f>
        <v>0</v>
      </c>
      <c r="G48" s="131" t="str">
        <f>IF(AND(RESUMEN_7°!B35=""),"",IF(OR(IFERROR(RESUMEN_7°!F35,0)&lt;3,IFERROR(RESUMEN_7°!R35,0)&lt;3),"⚠ REVISAR","OK"))</f>
        <v>OK</v>
      </c>
    </row>
    <row r="49" spans="1:7" ht="13.95" customHeight="1">
      <c r="A49" s="133" t="s">
        <v>19</v>
      </c>
      <c r="B49" s="133">
        <f>RESUMEN_7°!A36</f>
        <v>32</v>
      </c>
      <c r="C49" s="134">
        <f>RESUMEN_7°!B36</f>
        <v>0</v>
      </c>
      <c r="D49" s="133" t="str">
        <f>IF(C49="","",IFERROR(RESUMEN_7°!F36,""))</f>
        <v/>
      </c>
      <c r="E49" s="133" t="str">
        <f>IF(C49="","",IFERROR(RESUMEN_7°!R36,""))</f>
        <v/>
      </c>
      <c r="F49" s="133">
        <f>IF(C49="","",IFERROR('Asistencia (7°)'!BI34,""))</f>
        <v>0</v>
      </c>
      <c r="G49" s="133" t="str">
        <f>IF(AND(RESUMEN_7°!B36=""),"",IF(OR(IFERROR(RESUMEN_7°!F36,0)&lt;3,IFERROR(RESUMEN_7°!R36,0)&lt;3),"⚠ REVISAR","OK"))</f>
        <v>OK</v>
      </c>
    </row>
    <row r="50" spans="1:7" ht="13.95" customHeight="1">
      <c r="A50" s="131" t="s">
        <v>19</v>
      </c>
      <c r="B50" s="131">
        <f>RESUMEN_7°!A37</f>
        <v>33</v>
      </c>
      <c r="C50" s="132">
        <f>RESUMEN_7°!B37</f>
        <v>0</v>
      </c>
      <c r="D50" s="131" t="str">
        <f>IF(C50="","",IFERROR(RESUMEN_7°!F37,""))</f>
        <v/>
      </c>
      <c r="E50" s="131" t="str">
        <f>IF(C50="","",IFERROR(RESUMEN_7°!R37,""))</f>
        <v/>
      </c>
      <c r="F50" s="131">
        <f>IF(C50="","",IFERROR('Asistencia (7°)'!BI35,""))</f>
        <v>0</v>
      </c>
      <c r="G50" s="131" t="str">
        <f>IF(AND(RESUMEN_7°!B37=""),"",IF(OR(IFERROR(RESUMEN_7°!F37,0)&lt;3,IFERROR(RESUMEN_7°!R37,0)&lt;3),"⚠ REVISAR","OK"))</f>
        <v>OK</v>
      </c>
    </row>
    <row r="51" spans="1:7" ht="13.95" customHeight="1">
      <c r="A51" s="133" t="s">
        <v>19</v>
      </c>
      <c r="B51" s="133">
        <f>RESUMEN_7°!A38</f>
        <v>34</v>
      </c>
      <c r="C51" s="134">
        <f>RESUMEN_7°!B38</f>
        <v>0</v>
      </c>
      <c r="D51" s="133" t="str">
        <f>IF(C51="","",IFERROR(RESUMEN_7°!F38,""))</f>
        <v/>
      </c>
      <c r="E51" s="133" t="str">
        <f>IF(C51="","",IFERROR(RESUMEN_7°!R38,""))</f>
        <v/>
      </c>
      <c r="F51" s="133">
        <f>IF(C51="","",IFERROR('Asistencia (7°)'!BI36,""))</f>
        <v>0</v>
      </c>
      <c r="G51" s="133" t="str">
        <f>IF(AND(RESUMEN_7°!B38=""),"",IF(OR(IFERROR(RESUMEN_7°!F38,0)&lt;3,IFERROR(RESUMEN_7°!R38,0)&lt;3),"⚠ REVISAR","OK"))</f>
        <v>OK</v>
      </c>
    </row>
    <row r="52" spans="1:7" ht="13.95" customHeight="1">
      <c r="A52" s="131" t="s">
        <v>19</v>
      </c>
      <c r="B52" s="131">
        <f>RESUMEN_7°!A39</f>
        <v>35</v>
      </c>
      <c r="C52" s="132">
        <f>RESUMEN_7°!B39</f>
        <v>0</v>
      </c>
      <c r="D52" s="131" t="str">
        <f>IF(C52="","",IFERROR(RESUMEN_7°!F39,""))</f>
        <v/>
      </c>
      <c r="E52" s="131" t="str">
        <f>IF(C52="","",IFERROR(RESUMEN_7°!R39,""))</f>
        <v/>
      </c>
      <c r="F52" s="131">
        <f>IF(C52="","",IFERROR('Asistencia (7°)'!BI37,""))</f>
        <v>0</v>
      </c>
      <c r="G52" s="131" t="str">
        <f>IF(AND(RESUMEN_7°!B39=""),"",IF(OR(IFERROR(RESUMEN_7°!F39,0)&lt;3,IFERROR(RESUMEN_7°!R39,0)&lt;3),"⚠ REVISAR","OK"))</f>
        <v>OK</v>
      </c>
    </row>
    <row r="53" spans="1:7" ht="13.95" customHeight="1">
      <c r="A53" s="133" t="s">
        <v>19</v>
      </c>
      <c r="B53" s="133">
        <f>RESUMEN_7°!A40</f>
        <v>36</v>
      </c>
      <c r="C53" s="134">
        <f>RESUMEN_7°!B40</f>
        <v>0</v>
      </c>
      <c r="D53" s="133" t="str">
        <f>IF(C53="","",IFERROR(RESUMEN_7°!F40,""))</f>
        <v/>
      </c>
      <c r="E53" s="133" t="str">
        <f>IF(C53="","",IFERROR(RESUMEN_7°!R40,""))</f>
        <v/>
      </c>
      <c r="F53" s="133">
        <f>IF(C53="","",IFERROR('Asistencia (7°)'!BI38,""))</f>
        <v>0</v>
      </c>
      <c r="G53" s="133" t="str">
        <f>IF(AND(RESUMEN_7°!B40=""),"",IF(OR(IFERROR(RESUMEN_7°!F40,0)&lt;3,IFERROR(RESUMEN_7°!R40,0)&lt;3),"⚠ REVISAR","OK"))</f>
        <v>OK</v>
      </c>
    </row>
    <row r="54" spans="1:7" ht="13.95" customHeight="1">
      <c r="A54" s="131" t="s">
        <v>19</v>
      </c>
      <c r="B54" s="131">
        <f>RESUMEN_7°!A41</f>
        <v>37</v>
      </c>
      <c r="C54" s="132">
        <f>RESUMEN_7°!B41</f>
        <v>0</v>
      </c>
      <c r="D54" s="131" t="str">
        <f>IF(C54="","",IFERROR(RESUMEN_7°!F41,""))</f>
        <v/>
      </c>
      <c r="E54" s="131" t="str">
        <f>IF(C54="","",IFERROR(RESUMEN_7°!R41,""))</f>
        <v/>
      </c>
      <c r="F54" s="131">
        <f>IF(C54="","",IFERROR('Asistencia (7°)'!BI39,""))</f>
        <v>0</v>
      </c>
      <c r="G54" s="131" t="str">
        <f>IF(AND(RESUMEN_7°!B41=""),"",IF(OR(IFERROR(RESUMEN_7°!F41,0)&lt;3,IFERROR(RESUMEN_7°!R41,0)&lt;3),"⚠ REVISAR","OK"))</f>
        <v>OK</v>
      </c>
    </row>
    <row r="55" spans="1:7" ht="13.95" customHeight="1">
      <c r="A55" s="133" t="s">
        <v>19</v>
      </c>
      <c r="B55" s="133">
        <f>RESUMEN_7°!A42</f>
        <v>38</v>
      </c>
      <c r="C55" s="134">
        <f>RESUMEN_7°!B42</f>
        <v>0</v>
      </c>
      <c r="D55" s="133" t="str">
        <f>IF(C55="","",IFERROR(RESUMEN_7°!F42,""))</f>
        <v/>
      </c>
      <c r="E55" s="133" t="str">
        <f>IF(C55="","",IFERROR(RESUMEN_7°!R42,""))</f>
        <v/>
      </c>
      <c r="F55" s="133">
        <f>IF(C55="","",IFERROR('Asistencia (7°)'!BI40,""))</f>
        <v>0</v>
      </c>
      <c r="G55" s="133" t="str">
        <f>IF(AND(RESUMEN_7°!B42=""),"",IF(OR(IFERROR(RESUMEN_7°!F42,0)&lt;3,IFERROR(RESUMEN_7°!R42,0)&lt;3),"⚠ REVISAR","OK"))</f>
        <v>OK</v>
      </c>
    </row>
    <row r="56" spans="1:7" ht="13.95" customHeight="1">
      <c r="A56" s="131" t="s">
        <v>19</v>
      </c>
      <c r="B56" s="131">
        <f>RESUMEN_7°!A43</f>
        <v>39</v>
      </c>
      <c r="C56" s="132">
        <f>RESUMEN_7°!B43</f>
        <v>0</v>
      </c>
      <c r="D56" s="131" t="str">
        <f>IF(C56="","",IFERROR(RESUMEN_7°!F43,""))</f>
        <v/>
      </c>
      <c r="E56" s="131" t="str">
        <f>IF(C56="","",IFERROR(RESUMEN_7°!R43,""))</f>
        <v/>
      </c>
      <c r="F56" s="131">
        <f>IF(C56="","",IFERROR('Asistencia (7°)'!BI41,""))</f>
        <v>0</v>
      </c>
      <c r="G56" s="131" t="str">
        <f>IF(AND(RESUMEN_7°!B43=""),"",IF(OR(IFERROR(RESUMEN_7°!F43,0)&lt;3,IFERROR(RESUMEN_7°!R43,0)&lt;3),"⚠ REVISAR","OK"))</f>
        <v>OK</v>
      </c>
    </row>
    <row r="57" spans="1:7" ht="13.95" customHeight="1">
      <c r="A57" s="133" t="s">
        <v>19</v>
      </c>
      <c r="B57" s="133">
        <f>RESUMEN_7°!A44</f>
        <v>40</v>
      </c>
      <c r="C57" s="134">
        <f>RESUMEN_7°!B44</f>
        <v>0</v>
      </c>
      <c r="D57" s="133" t="str">
        <f>IF(C57="","",IFERROR(RESUMEN_7°!F44,""))</f>
        <v/>
      </c>
      <c r="E57" s="133" t="str">
        <f>IF(C57="","",IFERROR(RESUMEN_7°!R44,""))</f>
        <v/>
      </c>
      <c r="F57" s="133">
        <f>IF(C57="","",IFERROR('Asistencia (7°)'!BI42,""))</f>
        <v>0</v>
      </c>
      <c r="G57" s="133" t="str">
        <f>IF(AND(RESUMEN_7°!B44=""),"",IF(OR(IFERROR(RESUMEN_7°!F44,0)&lt;3,IFERROR(RESUMEN_7°!R44,0)&lt;3),"⚠ REVISAR","OK"))</f>
        <v>OK</v>
      </c>
    </row>
    <row r="58" spans="1:7" ht="13.95" customHeight="1">
      <c r="A58" s="135" t="s">
        <v>20</v>
      </c>
      <c r="B58" s="135">
        <f>RESUMEN_8°!A5</f>
        <v>1</v>
      </c>
      <c r="C58" s="136">
        <f>RESUMEN_8°!B5</f>
        <v>0</v>
      </c>
      <c r="D58" s="135" t="str">
        <f>IF(C58="","",IFERROR(RESUMEN_8°!F5,""))</f>
        <v/>
      </c>
      <c r="E58" s="135" t="str">
        <f>IF(C58="","",IFERROR(RESUMEN_8°!R5,""))</f>
        <v/>
      </c>
      <c r="F58" s="135">
        <f>IF(C58="","",IFERROR('Asistencia (8°)'!BI3,""))</f>
        <v>0</v>
      </c>
      <c r="G58" s="135" t="str">
        <f>IF(AND(RESUMEN_8°!B5=""),"",IF(OR(IFERROR(RESUMEN_8°!F5,0)&lt;3,IFERROR(RESUMEN_8°!R5,0)&lt;3),"⚠ REVISAR","OK"))</f>
        <v>OK</v>
      </c>
    </row>
    <row r="59" spans="1:7" ht="13.95" customHeight="1">
      <c r="A59" s="133" t="s">
        <v>20</v>
      </c>
      <c r="B59" s="133">
        <f>RESUMEN_8°!A6</f>
        <v>2</v>
      </c>
      <c r="C59" s="134">
        <f>RESUMEN_8°!B6</f>
        <v>0</v>
      </c>
      <c r="D59" s="133" t="str">
        <f>IF(C59="","",IFERROR(RESUMEN_8°!F6,""))</f>
        <v/>
      </c>
      <c r="E59" s="133" t="str">
        <f>IF(C59="","",IFERROR(RESUMEN_8°!R6,""))</f>
        <v/>
      </c>
      <c r="F59" s="133">
        <f>IF(C59="","",IFERROR('Asistencia (8°)'!BI4,""))</f>
        <v>0</v>
      </c>
      <c r="G59" s="133" t="str">
        <f>IF(AND(RESUMEN_8°!B6=""),"",IF(OR(IFERROR(RESUMEN_8°!F6,0)&lt;3,IFERROR(RESUMEN_8°!R6,0)&lt;3),"⚠ REVISAR","OK"))</f>
        <v>OK</v>
      </c>
    </row>
    <row r="60" spans="1:7" ht="13.95" customHeight="1">
      <c r="A60" s="135" t="s">
        <v>20</v>
      </c>
      <c r="B60" s="135">
        <f>RESUMEN_8°!A7</f>
        <v>3</v>
      </c>
      <c r="C60" s="136">
        <f>RESUMEN_8°!B7</f>
        <v>0</v>
      </c>
      <c r="D60" s="135" t="str">
        <f>IF(C60="","",IFERROR(RESUMEN_8°!F7,""))</f>
        <v/>
      </c>
      <c r="E60" s="135" t="str">
        <f>IF(C60="","",IFERROR(RESUMEN_8°!R7,""))</f>
        <v/>
      </c>
      <c r="F60" s="135">
        <f>IF(C60="","",IFERROR('Asistencia (8°)'!BI5,""))</f>
        <v>0</v>
      </c>
      <c r="G60" s="135" t="str">
        <f>IF(AND(RESUMEN_8°!B7=""),"",IF(OR(IFERROR(RESUMEN_8°!F7,0)&lt;3,IFERROR(RESUMEN_8°!R7,0)&lt;3),"⚠ REVISAR","OK"))</f>
        <v>OK</v>
      </c>
    </row>
    <row r="61" spans="1:7" ht="13.95" customHeight="1">
      <c r="A61" s="133" t="s">
        <v>20</v>
      </c>
      <c r="B61" s="133">
        <f>RESUMEN_8°!A8</f>
        <v>4</v>
      </c>
      <c r="C61" s="134">
        <f>RESUMEN_8°!B8</f>
        <v>0</v>
      </c>
      <c r="D61" s="133" t="str">
        <f>IF(C61="","",IFERROR(RESUMEN_8°!F8,""))</f>
        <v/>
      </c>
      <c r="E61" s="133" t="str">
        <f>IF(C61="","",IFERROR(RESUMEN_8°!R8,""))</f>
        <v/>
      </c>
      <c r="F61" s="133">
        <f>IF(C61="","",IFERROR('Asistencia (8°)'!BI6,""))</f>
        <v>0</v>
      </c>
      <c r="G61" s="133" t="str">
        <f>IF(AND(RESUMEN_8°!B8=""),"",IF(OR(IFERROR(RESUMEN_8°!F8,0)&lt;3,IFERROR(RESUMEN_8°!R8,0)&lt;3),"⚠ REVISAR","OK"))</f>
        <v>OK</v>
      </c>
    </row>
    <row r="62" spans="1:7" ht="13.95" customHeight="1">
      <c r="A62" s="135" t="s">
        <v>20</v>
      </c>
      <c r="B62" s="135">
        <f>RESUMEN_8°!A9</f>
        <v>5</v>
      </c>
      <c r="C62" s="136">
        <f>RESUMEN_8°!B9</f>
        <v>0</v>
      </c>
      <c r="D62" s="135" t="str">
        <f>IF(C62="","",IFERROR(RESUMEN_8°!F9,""))</f>
        <v/>
      </c>
      <c r="E62" s="135" t="str">
        <f>IF(C62="","",IFERROR(RESUMEN_8°!R9,""))</f>
        <v/>
      </c>
      <c r="F62" s="135">
        <f>IF(C62="","",IFERROR('Asistencia (8°)'!BI7,""))</f>
        <v>0</v>
      </c>
      <c r="G62" s="135" t="str">
        <f>IF(AND(RESUMEN_8°!B9=""),"",IF(OR(IFERROR(RESUMEN_8°!F9,0)&lt;3,IFERROR(RESUMEN_8°!R9,0)&lt;3),"⚠ REVISAR","OK"))</f>
        <v>OK</v>
      </c>
    </row>
    <row r="63" spans="1:7" ht="13.95" customHeight="1">
      <c r="A63" s="133" t="s">
        <v>20</v>
      </c>
      <c r="B63" s="133">
        <f>RESUMEN_8°!A10</f>
        <v>6</v>
      </c>
      <c r="C63" s="134">
        <f>RESUMEN_8°!B10</f>
        <v>0</v>
      </c>
      <c r="D63" s="133" t="str">
        <f>IF(C63="","",IFERROR(RESUMEN_8°!F10,""))</f>
        <v/>
      </c>
      <c r="E63" s="133" t="str">
        <f>IF(C63="","",IFERROR(RESUMEN_8°!R10,""))</f>
        <v/>
      </c>
      <c r="F63" s="133">
        <f>IF(C63="","",IFERROR('Asistencia (8°)'!BI8,""))</f>
        <v>0</v>
      </c>
      <c r="G63" s="133" t="str">
        <f>IF(AND(RESUMEN_8°!B10=""),"",IF(OR(IFERROR(RESUMEN_8°!F10,0)&lt;3,IFERROR(RESUMEN_8°!R10,0)&lt;3),"⚠ REVISAR","OK"))</f>
        <v>OK</v>
      </c>
    </row>
    <row r="64" spans="1:7" ht="13.95" customHeight="1">
      <c r="A64" s="135" t="s">
        <v>20</v>
      </c>
      <c r="B64" s="135">
        <f>RESUMEN_8°!A11</f>
        <v>7</v>
      </c>
      <c r="C64" s="136">
        <f>RESUMEN_8°!B11</f>
        <v>0</v>
      </c>
      <c r="D64" s="135" t="str">
        <f>IF(C64="","",IFERROR(RESUMEN_8°!F11,""))</f>
        <v/>
      </c>
      <c r="E64" s="135" t="str">
        <f>IF(C64="","",IFERROR(RESUMEN_8°!R11,""))</f>
        <v/>
      </c>
      <c r="F64" s="135">
        <f>IF(C64="","",IFERROR('Asistencia (8°)'!BI9,""))</f>
        <v>0</v>
      </c>
      <c r="G64" s="135" t="str">
        <f>IF(AND(RESUMEN_8°!B11=""),"",IF(OR(IFERROR(RESUMEN_8°!F11,0)&lt;3,IFERROR(RESUMEN_8°!R11,0)&lt;3),"⚠ REVISAR","OK"))</f>
        <v>OK</v>
      </c>
    </row>
    <row r="65" spans="1:7" ht="13.95" customHeight="1">
      <c r="A65" s="133" t="s">
        <v>20</v>
      </c>
      <c r="B65" s="133">
        <f>RESUMEN_8°!A12</f>
        <v>8</v>
      </c>
      <c r="C65" s="134">
        <f>RESUMEN_8°!B12</f>
        <v>0</v>
      </c>
      <c r="D65" s="133" t="str">
        <f>IF(C65="","",IFERROR(RESUMEN_8°!F12,""))</f>
        <v/>
      </c>
      <c r="E65" s="133" t="str">
        <f>IF(C65="","",IFERROR(RESUMEN_8°!R12,""))</f>
        <v/>
      </c>
      <c r="F65" s="133">
        <f>IF(C65="","",IFERROR('Asistencia (8°)'!BI10,""))</f>
        <v>0</v>
      </c>
      <c r="G65" s="133" t="str">
        <f>IF(AND(RESUMEN_8°!B12=""),"",IF(OR(IFERROR(RESUMEN_8°!F12,0)&lt;3,IFERROR(RESUMEN_8°!R12,0)&lt;3),"⚠ REVISAR","OK"))</f>
        <v>OK</v>
      </c>
    </row>
    <row r="66" spans="1:7" ht="13.95" customHeight="1">
      <c r="A66" s="135" t="s">
        <v>20</v>
      </c>
      <c r="B66" s="135">
        <f>RESUMEN_8°!A13</f>
        <v>9</v>
      </c>
      <c r="C66" s="136">
        <f>RESUMEN_8°!B13</f>
        <v>0</v>
      </c>
      <c r="D66" s="135" t="str">
        <f>IF(C66="","",IFERROR(RESUMEN_8°!F13,""))</f>
        <v/>
      </c>
      <c r="E66" s="135" t="str">
        <f>IF(C66="","",IFERROR(RESUMEN_8°!R13,""))</f>
        <v/>
      </c>
      <c r="F66" s="135">
        <f>IF(C66="","",IFERROR('Asistencia (8°)'!BI11,""))</f>
        <v>0</v>
      </c>
      <c r="G66" s="135" t="str">
        <f>IF(AND(RESUMEN_8°!B13=""),"",IF(OR(IFERROR(RESUMEN_8°!F13,0)&lt;3,IFERROR(RESUMEN_8°!R13,0)&lt;3),"⚠ REVISAR","OK"))</f>
        <v>OK</v>
      </c>
    </row>
    <row r="67" spans="1:7" ht="13.95" customHeight="1">
      <c r="A67" s="133" t="s">
        <v>20</v>
      </c>
      <c r="B67" s="133">
        <f>RESUMEN_8°!A14</f>
        <v>10</v>
      </c>
      <c r="C67" s="134">
        <f>RESUMEN_8°!B14</f>
        <v>0</v>
      </c>
      <c r="D67" s="133" t="str">
        <f>IF(C67="","",IFERROR(RESUMEN_8°!F14,""))</f>
        <v/>
      </c>
      <c r="E67" s="133" t="str">
        <f>IF(C67="","",IFERROR(RESUMEN_8°!R14,""))</f>
        <v/>
      </c>
      <c r="F67" s="133">
        <f>IF(C67="","",IFERROR('Asistencia (8°)'!BI12,""))</f>
        <v>0</v>
      </c>
      <c r="G67" s="133" t="str">
        <f>IF(AND(RESUMEN_8°!B14=""),"",IF(OR(IFERROR(RESUMEN_8°!F14,0)&lt;3,IFERROR(RESUMEN_8°!R14,0)&lt;3),"⚠ REVISAR","OK"))</f>
        <v>OK</v>
      </c>
    </row>
    <row r="68" spans="1:7" ht="13.95" customHeight="1">
      <c r="A68" s="135" t="s">
        <v>20</v>
      </c>
      <c r="B68" s="135">
        <f>RESUMEN_8°!A15</f>
        <v>11</v>
      </c>
      <c r="C68" s="136">
        <f>RESUMEN_8°!B15</f>
        <v>0</v>
      </c>
      <c r="D68" s="135" t="str">
        <f>IF(C68="","",IFERROR(RESUMEN_8°!F15,""))</f>
        <v/>
      </c>
      <c r="E68" s="135" t="str">
        <f>IF(C68="","",IFERROR(RESUMEN_8°!R15,""))</f>
        <v/>
      </c>
      <c r="F68" s="135">
        <f>IF(C68="","",IFERROR('Asistencia (8°)'!BI13,""))</f>
        <v>0</v>
      </c>
      <c r="G68" s="135" t="str">
        <f>IF(AND(RESUMEN_8°!B15=""),"",IF(OR(IFERROR(RESUMEN_8°!F15,0)&lt;3,IFERROR(RESUMEN_8°!R15,0)&lt;3),"⚠ REVISAR","OK"))</f>
        <v>OK</v>
      </c>
    </row>
    <row r="69" spans="1:7" ht="13.95" customHeight="1">
      <c r="A69" s="133" t="s">
        <v>20</v>
      </c>
      <c r="B69" s="133">
        <f>RESUMEN_8°!A16</f>
        <v>12</v>
      </c>
      <c r="C69" s="134">
        <f>RESUMEN_8°!B16</f>
        <v>0</v>
      </c>
      <c r="D69" s="133" t="str">
        <f>IF(C69="","",IFERROR(RESUMEN_8°!F16,""))</f>
        <v/>
      </c>
      <c r="E69" s="133" t="str">
        <f>IF(C69="","",IFERROR(RESUMEN_8°!R16,""))</f>
        <v/>
      </c>
      <c r="F69" s="133">
        <f>IF(C69="","",IFERROR('Asistencia (8°)'!BI14,""))</f>
        <v>0</v>
      </c>
      <c r="G69" s="133" t="str">
        <f>IF(AND(RESUMEN_8°!B16=""),"",IF(OR(IFERROR(RESUMEN_8°!F16,0)&lt;3,IFERROR(RESUMEN_8°!R16,0)&lt;3),"⚠ REVISAR","OK"))</f>
        <v>OK</v>
      </c>
    </row>
    <row r="70" spans="1:7" ht="13.95" customHeight="1">
      <c r="A70" s="135" t="s">
        <v>20</v>
      </c>
      <c r="B70" s="135">
        <f>RESUMEN_8°!A17</f>
        <v>13</v>
      </c>
      <c r="C70" s="136">
        <f>RESUMEN_8°!B17</f>
        <v>0</v>
      </c>
      <c r="D70" s="135" t="str">
        <f>IF(C70="","",IFERROR(RESUMEN_8°!F17,""))</f>
        <v/>
      </c>
      <c r="E70" s="135" t="str">
        <f>IF(C70="","",IFERROR(RESUMEN_8°!R17,""))</f>
        <v/>
      </c>
      <c r="F70" s="135">
        <f>IF(C70="","",IFERROR('Asistencia (8°)'!BI15,""))</f>
        <v>0</v>
      </c>
      <c r="G70" s="135" t="str">
        <f>IF(AND(RESUMEN_8°!B17=""),"",IF(OR(IFERROR(RESUMEN_8°!F17,0)&lt;3,IFERROR(RESUMEN_8°!R17,0)&lt;3),"⚠ REVISAR","OK"))</f>
        <v>OK</v>
      </c>
    </row>
    <row r="71" spans="1:7" ht="13.95" customHeight="1">
      <c r="A71" s="133" t="s">
        <v>20</v>
      </c>
      <c r="B71" s="133">
        <f>RESUMEN_8°!A18</f>
        <v>14</v>
      </c>
      <c r="C71" s="134">
        <f>RESUMEN_8°!B18</f>
        <v>0</v>
      </c>
      <c r="D71" s="133" t="str">
        <f>IF(C71="","",IFERROR(RESUMEN_8°!F18,""))</f>
        <v/>
      </c>
      <c r="E71" s="133" t="str">
        <f>IF(C71="","",IFERROR(RESUMEN_8°!R18,""))</f>
        <v/>
      </c>
      <c r="F71" s="133">
        <f>IF(C71="","",IFERROR('Asistencia (8°)'!BI16,""))</f>
        <v>0</v>
      </c>
      <c r="G71" s="133" t="str">
        <f>IF(AND(RESUMEN_8°!B18=""),"",IF(OR(IFERROR(RESUMEN_8°!F18,0)&lt;3,IFERROR(RESUMEN_8°!R18,0)&lt;3),"⚠ REVISAR","OK"))</f>
        <v>OK</v>
      </c>
    </row>
    <row r="72" spans="1:7" ht="13.95" customHeight="1">
      <c r="A72" s="135" t="s">
        <v>20</v>
      </c>
      <c r="B72" s="135">
        <f>RESUMEN_8°!A19</f>
        <v>15</v>
      </c>
      <c r="C72" s="136">
        <f>RESUMEN_8°!B19</f>
        <v>0</v>
      </c>
      <c r="D72" s="135" t="str">
        <f>IF(C72="","",IFERROR(RESUMEN_8°!F19,""))</f>
        <v/>
      </c>
      <c r="E72" s="135" t="str">
        <f>IF(C72="","",IFERROR(RESUMEN_8°!R19,""))</f>
        <v/>
      </c>
      <c r="F72" s="135">
        <f>IF(C72="","",IFERROR('Asistencia (8°)'!BI17,""))</f>
        <v>0</v>
      </c>
      <c r="G72" s="135" t="str">
        <f>IF(AND(RESUMEN_8°!B19=""),"",IF(OR(IFERROR(RESUMEN_8°!F19,0)&lt;3,IFERROR(RESUMEN_8°!R19,0)&lt;3),"⚠ REVISAR","OK"))</f>
        <v>OK</v>
      </c>
    </row>
    <row r="73" spans="1:7" ht="13.95" customHeight="1">
      <c r="A73" s="133" t="s">
        <v>20</v>
      </c>
      <c r="B73" s="133">
        <f>RESUMEN_8°!A20</f>
        <v>16</v>
      </c>
      <c r="C73" s="134">
        <f>RESUMEN_8°!B20</f>
        <v>0</v>
      </c>
      <c r="D73" s="133" t="str">
        <f>IF(C73="","",IFERROR(RESUMEN_8°!F20,""))</f>
        <v/>
      </c>
      <c r="E73" s="133" t="str">
        <f>IF(C73="","",IFERROR(RESUMEN_8°!R20,""))</f>
        <v/>
      </c>
      <c r="F73" s="133">
        <f>IF(C73="","",IFERROR('Asistencia (8°)'!BI18,""))</f>
        <v>0</v>
      </c>
      <c r="G73" s="133" t="str">
        <f>IF(AND(RESUMEN_8°!B20=""),"",IF(OR(IFERROR(RESUMEN_8°!F20,0)&lt;3,IFERROR(RESUMEN_8°!R20,0)&lt;3),"⚠ REVISAR","OK"))</f>
        <v>OK</v>
      </c>
    </row>
    <row r="74" spans="1:7" ht="13.95" customHeight="1">
      <c r="A74" s="135" t="s">
        <v>20</v>
      </c>
      <c r="B74" s="135">
        <f>RESUMEN_8°!A21</f>
        <v>17</v>
      </c>
      <c r="C74" s="136">
        <f>RESUMEN_8°!B21</f>
        <v>0</v>
      </c>
      <c r="D74" s="135" t="str">
        <f>IF(C74="","",IFERROR(RESUMEN_8°!F21,""))</f>
        <v/>
      </c>
      <c r="E74" s="135" t="str">
        <f>IF(C74="","",IFERROR(RESUMEN_8°!R21,""))</f>
        <v/>
      </c>
      <c r="F74" s="135">
        <f>IF(C74="","",IFERROR('Asistencia (8°)'!BI19,""))</f>
        <v>0</v>
      </c>
      <c r="G74" s="135" t="str">
        <f>IF(AND(RESUMEN_8°!B21=""),"",IF(OR(IFERROR(RESUMEN_8°!F21,0)&lt;3,IFERROR(RESUMEN_8°!R21,0)&lt;3),"⚠ REVISAR","OK"))</f>
        <v>OK</v>
      </c>
    </row>
    <row r="75" spans="1:7" ht="13.95" customHeight="1">
      <c r="A75" s="133" t="s">
        <v>20</v>
      </c>
      <c r="B75" s="133">
        <f>RESUMEN_8°!A22</f>
        <v>18</v>
      </c>
      <c r="C75" s="134">
        <f>RESUMEN_8°!B22</f>
        <v>0</v>
      </c>
      <c r="D75" s="133" t="str">
        <f>IF(C75="","",IFERROR(RESUMEN_8°!F22,""))</f>
        <v/>
      </c>
      <c r="E75" s="133" t="str">
        <f>IF(C75="","",IFERROR(RESUMEN_8°!R22,""))</f>
        <v/>
      </c>
      <c r="F75" s="133">
        <f>IF(C75="","",IFERROR('Asistencia (8°)'!BI20,""))</f>
        <v>0</v>
      </c>
      <c r="G75" s="133" t="str">
        <f>IF(AND(RESUMEN_8°!B22=""),"",IF(OR(IFERROR(RESUMEN_8°!F22,0)&lt;3,IFERROR(RESUMEN_8°!R22,0)&lt;3),"⚠ REVISAR","OK"))</f>
        <v>OK</v>
      </c>
    </row>
    <row r="76" spans="1:7" ht="13.95" customHeight="1">
      <c r="A76" s="135" t="s">
        <v>20</v>
      </c>
      <c r="B76" s="135">
        <f>RESUMEN_8°!A23</f>
        <v>19</v>
      </c>
      <c r="C76" s="136">
        <f>RESUMEN_8°!B23</f>
        <v>0</v>
      </c>
      <c r="D76" s="135" t="str">
        <f>IF(C76="","",IFERROR(RESUMEN_8°!F23,""))</f>
        <v/>
      </c>
      <c r="E76" s="135" t="str">
        <f>IF(C76="","",IFERROR(RESUMEN_8°!R23,""))</f>
        <v/>
      </c>
      <c r="F76" s="135">
        <f>IF(C76="","",IFERROR('Asistencia (8°)'!BI21,""))</f>
        <v>0</v>
      </c>
      <c r="G76" s="135" t="str">
        <f>IF(AND(RESUMEN_8°!B23=""),"",IF(OR(IFERROR(RESUMEN_8°!F23,0)&lt;3,IFERROR(RESUMEN_8°!R23,0)&lt;3),"⚠ REVISAR","OK"))</f>
        <v>OK</v>
      </c>
    </row>
    <row r="77" spans="1:7" ht="13.95" customHeight="1">
      <c r="A77" s="133" t="s">
        <v>20</v>
      </c>
      <c r="B77" s="133">
        <f>RESUMEN_8°!A24</f>
        <v>20</v>
      </c>
      <c r="C77" s="134">
        <f>RESUMEN_8°!B24</f>
        <v>0</v>
      </c>
      <c r="D77" s="133" t="str">
        <f>IF(C77="","",IFERROR(RESUMEN_8°!F24,""))</f>
        <v/>
      </c>
      <c r="E77" s="133" t="str">
        <f>IF(C77="","",IFERROR(RESUMEN_8°!R24,""))</f>
        <v/>
      </c>
      <c r="F77" s="133">
        <f>IF(C77="","",IFERROR('Asistencia (8°)'!BI22,""))</f>
        <v>0</v>
      </c>
      <c r="G77" s="133" t="str">
        <f>IF(AND(RESUMEN_8°!B24=""),"",IF(OR(IFERROR(RESUMEN_8°!F24,0)&lt;3,IFERROR(RESUMEN_8°!R24,0)&lt;3),"⚠ REVISAR","OK"))</f>
        <v>OK</v>
      </c>
    </row>
    <row r="78" spans="1:7" ht="13.95" customHeight="1">
      <c r="A78" s="135" t="s">
        <v>20</v>
      </c>
      <c r="B78" s="135">
        <f>RESUMEN_8°!A25</f>
        <v>21</v>
      </c>
      <c r="C78" s="136">
        <f>RESUMEN_8°!B25</f>
        <v>0</v>
      </c>
      <c r="D78" s="135" t="str">
        <f>IF(C78="","",IFERROR(RESUMEN_8°!F25,""))</f>
        <v/>
      </c>
      <c r="E78" s="135" t="str">
        <f>IF(C78="","",IFERROR(RESUMEN_8°!R25,""))</f>
        <v/>
      </c>
      <c r="F78" s="135">
        <f>IF(C78="","",IFERROR('Asistencia (8°)'!BI23,""))</f>
        <v>0</v>
      </c>
      <c r="G78" s="135" t="str">
        <f>IF(AND(RESUMEN_8°!B25=""),"",IF(OR(IFERROR(RESUMEN_8°!F25,0)&lt;3,IFERROR(RESUMEN_8°!R25,0)&lt;3),"⚠ REVISAR","OK"))</f>
        <v>OK</v>
      </c>
    </row>
    <row r="79" spans="1:7" ht="13.95" customHeight="1">
      <c r="A79" s="133" t="s">
        <v>20</v>
      </c>
      <c r="B79" s="133">
        <f>RESUMEN_8°!A26</f>
        <v>22</v>
      </c>
      <c r="C79" s="134">
        <f>RESUMEN_8°!B26</f>
        <v>0</v>
      </c>
      <c r="D79" s="133" t="str">
        <f>IF(C79="","",IFERROR(RESUMEN_8°!F26,""))</f>
        <v/>
      </c>
      <c r="E79" s="133" t="str">
        <f>IF(C79="","",IFERROR(RESUMEN_8°!R26,""))</f>
        <v/>
      </c>
      <c r="F79" s="133">
        <f>IF(C79="","",IFERROR('Asistencia (8°)'!BI24,""))</f>
        <v>0</v>
      </c>
      <c r="G79" s="133" t="str">
        <f>IF(AND(RESUMEN_8°!B26=""),"",IF(OR(IFERROR(RESUMEN_8°!F26,0)&lt;3,IFERROR(RESUMEN_8°!R26,0)&lt;3),"⚠ REVISAR","OK"))</f>
        <v>OK</v>
      </c>
    </row>
    <row r="80" spans="1:7" ht="13.95" customHeight="1">
      <c r="A80" s="135" t="s">
        <v>20</v>
      </c>
      <c r="B80" s="135">
        <f>RESUMEN_8°!A27</f>
        <v>23</v>
      </c>
      <c r="C80" s="136">
        <f>RESUMEN_8°!B27</f>
        <v>0</v>
      </c>
      <c r="D80" s="135" t="str">
        <f>IF(C80="","",IFERROR(RESUMEN_8°!F27,""))</f>
        <v/>
      </c>
      <c r="E80" s="135" t="str">
        <f>IF(C80="","",IFERROR(RESUMEN_8°!R27,""))</f>
        <v/>
      </c>
      <c r="F80" s="135">
        <f>IF(C80="","",IFERROR('Asistencia (8°)'!BI25,""))</f>
        <v>0</v>
      </c>
      <c r="G80" s="135" t="str">
        <f>IF(AND(RESUMEN_8°!B27=""),"",IF(OR(IFERROR(RESUMEN_8°!F27,0)&lt;3,IFERROR(RESUMEN_8°!R27,0)&lt;3),"⚠ REVISAR","OK"))</f>
        <v>OK</v>
      </c>
    </row>
    <row r="81" spans="1:7" ht="13.95" customHeight="1">
      <c r="A81" s="133" t="s">
        <v>20</v>
      </c>
      <c r="B81" s="133">
        <f>RESUMEN_8°!A28</f>
        <v>24</v>
      </c>
      <c r="C81" s="134">
        <f>RESUMEN_8°!B28</f>
        <v>0</v>
      </c>
      <c r="D81" s="133" t="str">
        <f>IF(C81="","",IFERROR(RESUMEN_8°!F28,""))</f>
        <v/>
      </c>
      <c r="E81" s="133" t="str">
        <f>IF(C81="","",IFERROR(RESUMEN_8°!R28,""))</f>
        <v/>
      </c>
      <c r="F81" s="133">
        <f>IF(C81="","",IFERROR('Asistencia (8°)'!BI26,""))</f>
        <v>0</v>
      </c>
      <c r="G81" s="133" t="str">
        <f>IF(AND(RESUMEN_8°!B28=""),"",IF(OR(IFERROR(RESUMEN_8°!F28,0)&lt;3,IFERROR(RESUMEN_8°!R28,0)&lt;3),"⚠ REVISAR","OK"))</f>
        <v>OK</v>
      </c>
    </row>
    <row r="82" spans="1:7" ht="13.95" customHeight="1">
      <c r="A82" s="135" t="s">
        <v>20</v>
      </c>
      <c r="B82" s="135">
        <f>RESUMEN_8°!A29</f>
        <v>25</v>
      </c>
      <c r="C82" s="136">
        <f>RESUMEN_8°!B29</f>
        <v>0</v>
      </c>
      <c r="D82" s="135" t="str">
        <f>IF(C82="","",IFERROR(RESUMEN_8°!F29,""))</f>
        <v/>
      </c>
      <c r="E82" s="135" t="str">
        <f>IF(C82="","",IFERROR(RESUMEN_8°!R29,""))</f>
        <v/>
      </c>
      <c r="F82" s="135">
        <f>IF(C82="","",IFERROR('Asistencia (8°)'!BI27,""))</f>
        <v>0</v>
      </c>
      <c r="G82" s="135" t="str">
        <f>IF(AND(RESUMEN_8°!B29=""),"",IF(OR(IFERROR(RESUMEN_8°!F29,0)&lt;3,IFERROR(RESUMEN_8°!R29,0)&lt;3),"⚠ REVISAR","OK"))</f>
        <v>OK</v>
      </c>
    </row>
    <row r="83" spans="1:7" ht="13.95" customHeight="1">
      <c r="A83" s="133" t="s">
        <v>20</v>
      </c>
      <c r="B83" s="133">
        <f>RESUMEN_8°!A30</f>
        <v>26</v>
      </c>
      <c r="C83" s="134">
        <f>RESUMEN_8°!B30</f>
        <v>0</v>
      </c>
      <c r="D83" s="133" t="str">
        <f>IF(C83="","",IFERROR(RESUMEN_8°!F30,""))</f>
        <v/>
      </c>
      <c r="E83" s="133" t="str">
        <f>IF(C83="","",IFERROR(RESUMEN_8°!R30,""))</f>
        <v/>
      </c>
      <c r="F83" s="133">
        <f>IF(C83="","",IFERROR('Asistencia (8°)'!BI28,""))</f>
        <v>0</v>
      </c>
      <c r="G83" s="133" t="str">
        <f>IF(AND(RESUMEN_8°!B30=""),"",IF(OR(IFERROR(RESUMEN_8°!F30,0)&lt;3,IFERROR(RESUMEN_8°!R30,0)&lt;3),"⚠ REVISAR","OK"))</f>
        <v>OK</v>
      </c>
    </row>
    <row r="84" spans="1:7" ht="13.95" customHeight="1">
      <c r="A84" s="135" t="s">
        <v>20</v>
      </c>
      <c r="B84" s="135">
        <f>RESUMEN_8°!A31</f>
        <v>27</v>
      </c>
      <c r="C84" s="136">
        <f>RESUMEN_8°!B31</f>
        <v>0</v>
      </c>
      <c r="D84" s="135" t="str">
        <f>IF(C84="","",IFERROR(RESUMEN_8°!F31,""))</f>
        <v/>
      </c>
      <c r="E84" s="135" t="str">
        <f>IF(C84="","",IFERROR(RESUMEN_8°!R31,""))</f>
        <v/>
      </c>
      <c r="F84" s="135">
        <f>IF(C84="","",IFERROR('Asistencia (8°)'!BI29,""))</f>
        <v>0</v>
      </c>
      <c r="G84" s="135" t="str">
        <f>IF(AND(RESUMEN_8°!B31=""),"",IF(OR(IFERROR(RESUMEN_8°!F31,0)&lt;3,IFERROR(RESUMEN_8°!R31,0)&lt;3),"⚠ REVISAR","OK"))</f>
        <v>OK</v>
      </c>
    </row>
    <row r="85" spans="1:7" ht="13.95" customHeight="1">
      <c r="A85" s="133" t="s">
        <v>20</v>
      </c>
      <c r="B85" s="133">
        <f>RESUMEN_8°!A32</f>
        <v>28</v>
      </c>
      <c r="C85" s="134">
        <f>RESUMEN_8°!B32</f>
        <v>0</v>
      </c>
      <c r="D85" s="133" t="str">
        <f>IF(C85="","",IFERROR(RESUMEN_8°!F32,""))</f>
        <v/>
      </c>
      <c r="E85" s="133" t="str">
        <f>IF(C85="","",IFERROR(RESUMEN_8°!R32,""))</f>
        <v/>
      </c>
      <c r="F85" s="133">
        <f>IF(C85="","",IFERROR('Asistencia (8°)'!BI30,""))</f>
        <v>0</v>
      </c>
      <c r="G85" s="133" t="str">
        <f>IF(AND(RESUMEN_8°!B32=""),"",IF(OR(IFERROR(RESUMEN_8°!F32,0)&lt;3,IFERROR(RESUMEN_8°!R32,0)&lt;3),"⚠ REVISAR","OK"))</f>
        <v>OK</v>
      </c>
    </row>
    <row r="86" spans="1:7" ht="13.95" customHeight="1">
      <c r="A86" s="135" t="s">
        <v>20</v>
      </c>
      <c r="B86" s="135">
        <f>RESUMEN_8°!A33</f>
        <v>29</v>
      </c>
      <c r="C86" s="136">
        <f>RESUMEN_8°!B33</f>
        <v>0</v>
      </c>
      <c r="D86" s="135" t="str">
        <f>IF(C86="","",IFERROR(RESUMEN_8°!F33,""))</f>
        <v/>
      </c>
      <c r="E86" s="135" t="str">
        <f>IF(C86="","",IFERROR(RESUMEN_8°!R33,""))</f>
        <v/>
      </c>
      <c r="F86" s="135">
        <f>IF(C86="","",IFERROR('Asistencia (8°)'!BI31,""))</f>
        <v>0</v>
      </c>
      <c r="G86" s="135" t="str">
        <f>IF(AND(RESUMEN_8°!B33=""),"",IF(OR(IFERROR(RESUMEN_8°!F33,0)&lt;3,IFERROR(RESUMEN_8°!R33,0)&lt;3),"⚠ REVISAR","OK"))</f>
        <v>OK</v>
      </c>
    </row>
    <row r="87" spans="1:7" ht="13.95" customHeight="1">
      <c r="A87" s="133" t="s">
        <v>20</v>
      </c>
      <c r="B87" s="133">
        <f>RESUMEN_8°!A34</f>
        <v>30</v>
      </c>
      <c r="C87" s="134">
        <f>RESUMEN_8°!B34</f>
        <v>0</v>
      </c>
      <c r="D87" s="133" t="str">
        <f>IF(C87="","",IFERROR(RESUMEN_8°!F34,""))</f>
        <v/>
      </c>
      <c r="E87" s="133" t="str">
        <f>IF(C87="","",IFERROR(RESUMEN_8°!R34,""))</f>
        <v/>
      </c>
      <c r="F87" s="133">
        <f>IF(C87="","",IFERROR('Asistencia (8°)'!BI32,""))</f>
        <v>0</v>
      </c>
      <c r="G87" s="133" t="str">
        <f>IF(AND(RESUMEN_8°!B34=""),"",IF(OR(IFERROR(RESUMEN_8°!F34,0)&lt;3,IFERROR(RESUMEN_8°!R34,0)&lt;3),"⚠ REVISAR","OK"))</f>
        <v>OK</v>
      </c>
    </row>
    <row r="88" spans="1:7" ht="13.95" customHeight="1">
      <c r="A88" s="135" t="s">
        <v>20</v>
      </c>
      <c r="B88" s="135">
        <f>RESUMEN_8°!A35</f>
        <v>31</v>
      </c>
      <c r="C88" s="136">
        <f>RESUMEN_8°!B35</f>
        <v>0</v>
      </c>
      <c r="D88" s="135" t="str">
        <f>IF(C88="","",IFERROR(RESUMEN_8°!F35,""))</f>
        <v/>
      </c>
      <c r="E88" s="135" t="str">
        <f>IF(C88="","",IFERROR(RESUMEN_8°!R35,""))</f>
        <v/>
      </c>
      <c r="F88" s="135">
        <f>IF(C88="","",IFERROR('Asistencia (8°)'!BI33,""))</f>
        <v>0</v>
      </c>
      <c r="G88" s="135" t="str">
        <f>IF(AND(RESUMEN_8°!B35=""),"",IF(OR(IFERROR(RESUMEN_8°!F35,0)&lt;3,IFERROR(RESUMEN_8°!R35,0)&lt;3),"⚠ REVISAR","OK"))</f>
        <v>OK</v>
      </c>
    </row>
    <row r="89" spans="1:7" ht="13.95" customHeight="1">
      <c r="A89" s="133" t="s">
        <v>20</v>
      </c>
      <c r="B89" s="133">
        <f>RESUMEN_8°!A36</f>
        <v>32</v>
      </c>
      <c r="C89" s="134">
        <f>RESUMEN_8°!B36</f>
        <v>0</v>
      </c>
      <c r="D89" s="133" t="str">
        <f>IF(C89="","",IFERROR(RESUMEN_8°!F36,""))</f>
        <v/>
      </c>
      <c r="E89" s="133" t="str">
        <f>IF(C89="","",IFERROR(RESUMEN_8°!R36,""))</f>
        <v/>
      </c>
      <c r="F89" s="133">
        <f>IF(C89="","",IFERROR('Asistencia (8°)'!BI34,""))</f>
        <v>0</v>
      </c>
      <c r="G89" s="133" t="str">
        <f>IF(AND(RESUMEN_8°!B36=""),"",IF(OR(IFERROR(RESUMEN_8°!F36,0)&lt;3,IFERROR(RESUMEN_8°!R36,0)&lt;3),"⚠ REVISAR","OK"))</f>
        <v>OK</v>
      </c>
    </row>
    <row r="90" spans="1:7" ht="13.95" customHeight="1">
      <c r="A90" s="135" t="s">
        <v>20</v>
      </c>
      <c r="B90" s="135">
        <f>RESUMEN_8°!A37</f>
        <v>33</v>
      </c>
      <c r="C90" s="136">
        <f>RESUMEN_8°!B37</f>
        <v>0</v>
      </c>
      <c r="D90" s="135" t="str">
        <f>IF(C90="","",IFERROR(RESUMEN_8°!F37,""))</f>
        <v/>
      </c>
      <c r="E90" s="135" t="str">
        <f>IF(C90="","",IFERROR(RESUMEN_8°!R37,""))</f>
        <v/>
      </c>
      <c r="F90" s="135">
        <f>IF(C90="","",IFERROR('Asistencia (8°)'!BI35,""))</f>
        <v>0</v>
      </c>
      <c r="G90" s="135" t="str">
        <f>IF(AND(RESUMEN_8°!B37=""),"",IF(OR(IFERROR(RESUMEN_8°!F37,0)&lt;3,IFERROR(RESUMEN_8°!R37,0)&lt;3),"⚠ REVISAR","OK"))</f>
        <v>OK</v>
      </c>
    </row>
    <row r="91" spans="1:7" ht="13.95" customHeight="1">
      <c r="A91" s="133" t="s">
        <v>20</v>
      </c>
      <c r="B91" s="133">
        <f>RESUMEN_8°!A38</f>
        <v>34</v>
      </c>
      <c r="C91" s="134">
        <f>RESUMEN_8°!B38</f>
        <v>0</v>
      </c>
      <c r="D91" s="133" t="str">
        <f>IF(C91="","",IFERROR(RESUMEN_8°!F38,""))</f>
        <v/>
      </c>
      <c r="E91" s="133" t="str">
        <f>IF(C91="","",IFERROR(RESUMEN_8°!R38,""))</f>
        <v/>
      </c>
      <c r="F91" s="133">
        <f>IF(C91="","",IFERROR('Asistencia (8°)'!BI36,""))</f>
        <v>0</v>
      </c>
      <c r="G91" s="133" t="str">
        <f>IF(AND(RESUMEN_8°!B38=""),"",IF(OR(IFERROR(RESUMEN_8°!F38,0)&lt;3,IFERROR(RESUMEN_8°!R38,0)&lt;3),"⚠ REVISAR","OK"))</f>
        <v>OK</v>
      </c>
    </row>
    <row r="92" spans="1:7" ht="13.95" customHeight="1">
      <c r="A92" s="135" t="s">
        <v>20</v>
      </c>
      <c r="B92" s="135">
        <f>RESUMEN_8°!A39</f>
        <v>35</v>
      </c>
      <c r="C92" s="136">
        <f>RESUMEN_8°!B39</f>
        <v>0</v>
      </c>
      <c r="D92" s="135" t="str">
        <f>IF(C92="","",IFERROR(RESUMEN_8°!F39,""))</f>
        <v/>
      </c>
      <c r="E92" s="135" t="str">
        <f>IF(C92="","",IFERROR(RESUMEN_8°!R39,""))</f>
        <v/>
      </c>
      <c r="F92" s="135">
        <f>IF(C92="","",IFERROR('Asistencia (8°)'!BI37,""))</f>
        <v>0</v>
      </c>
      <c r="G92" s="135" t="str">
        <f>IF(AND(RESUMEN_8°!B39=""),"",IF(OR(IFERROR(RESUMEN_8°!F39,0)&lt;3,IFERROR(RESUMEN_8°!R39,0)&lt;3),"⚠ REVISAR","OK"))</f>
        <v>OK</v>
      </c>
    </row>
    <row r="93" spans="1:7" ht="13.95" customHeight="1">
      <c r="A93" s="133" t="s">
        <v>20</v>
      </c>
      <c r="B93" s="133">
        <f>RESUMEN_8°!A40</f>
        <v>36</v>
      </c>
      <c r="C93" s="134">
        <f>RESUMEN_8°!B40</f>
        <v>0</v>
      </c>
      <c r="D93" s="133" t="str">
        <f>IF(C93="","",IFERROR(RESUMEN_8°!F40,""))</f>
        <v/>
      </c>
      <c r="E93" s="133" t="str">
        <f>IF(C93="","",IFERROR(RESUMEN_8°!R40,""))</f>
        <v/>
      </c>
      <c r="F93" s="133">
        <f>IF(C93="","",IFERROR('Asistencia (8°)'!BI38,""))</f>
        <v>0</v>
      </c>
      <c r="G93" s="133" t="str">
        <f>IF(AND(RESUMEN_8°!B40=""),"",IF(OR(IFERROR(RESUMEN_8°!F40,0)&lt;3,IFERROR(RESUMEN_8°!R40,0)&lt;3),"⚠ REVISAR","OK"))</f>
        <v>OK</v>
      </c>
    </row>
    <row r="94" spans="1:7" ht="13.95" customHeight="1">
      <c r="A94" s="135" t="s">
        <v>20</v>
      </c>
      <c r="B94" s="135">
        <f>RESUMEN_8°!A41</f>
        <v>37</v>
      </c>
      <c r="C94" s="136">
        <f>RESUMEN_8°!B41</f>
        <v>0</v>
      </c>
      <c r="D94" s="135" t="str">
        <f>IF(C94="","",IFERROR(RESUMEN_8°!F41,""))</f>
        <v/>
      </c>
      <c r="E94" s="135" t="str">
        <f>IF(C94="","",IFERROR(RESUMEN_8°!R41,""))</f>
        <v/>
      </c>
      <c r="F94" s="135">
        <f>IF(C94="","",IFERROR('Asistencia (8°)'!BI39,""))</f>
        <v>0</v>
      </c>
      <c r="G94" s="135" t="str">
        <f>IF(AND(RESUMEN_8°!B41=""),"",IF(OR(IFERROR(RESUMEN_8°!F41,0)&lt;3,IFERROR(RESUMEN_8°!R41,0)&lt;3),"⚠ REVISAR","OK"))</f>
        <v>OK</v>
      </c>
    </row>
    <row r="95" spans="1:7" ht="13.95" customHeight="1">
      <c r="A95" s="133" t="s">
        <v>20</v>
      </c>
      <c r="B95" s="133">
        <f>RESUMEN_8°!A42</f>
        <v>38</v>
      </c>
      <c r="C95" s="134">
        <f>RESUMEN_8°!B42</f>
        <v>0</v>
      </c>
      <c r="D95" s="133" t="str">
        <f>IF(C95="","",IFERROR(RESUMEN_8°!F42,""))</f>
        <v/>
      </c>
      <c r="E95" s="133" t="str">
        <f>IF(C95="","",IFERROR(RESUMEN_8°!R42,""))</f>
        <v/>
      </c>
      <c r="F95" s="133">
        <f>IF(C95="","",IFERROR('Asistencia (8°)'!BI40,""))</f>
        <v>0</v>
      </c>
      <c r="G95" s="133" t="str">
        <f>IF(AND(RESUMEN_8°!B42=""),"",IF(OR(IFERROR(RESUMEN_8°!F42,0)&lt;3,IFERROR(RESUMEN_8°!R42,0)&lt;3),"⚠ REVISAR","OK"))</f>
        <v>OK</v>
      </c>
    </row>
    <row r="96" spans="1:7" ht="13.95" customHeight="1">
      <c r="A96" s="135" t="s">
        <v>20</v>
      </c>
      <c r="B96" s="135">
        <f>RESUMEN_8°!A43</f>
        <v>39</v>
      </c>
      <c r="C96" s="136">
        <f>RESUMEN_8°!B43</f>
        <v>0</v>
      </c>
      <c r="D96" s="135" t="str">
        <f>IF(C96="","",IFERROR(RESUMEN_8°!F43,""))</f>
        <v/>
      </c>
      <c r="E96" s="135" t="str">
        <f>IF(C96="","",IFERROR(RESUMEN_8°!R43,""))</f>
        <v/>
      </c>
      <c r="F96" s="135">
        <f>IF(C96="","",IFERROR('Asistencia (8°)'!BI41,""))</f>
        <v>0</v>
      </c>
      <c r="G96" s="135" t="str">
        <f>IF(AND(RESUMEN_8°!B43=""),"",IF(OR(IFERROR(RESUMEN_8°!F43,0)&lt;3,IFERROR(RESUMEN_8°!R43,0)&lt;3),"⚠ REVISAR","OK"))</f>
        <v>OK</v>
      </c>
    </row>
    <row r="97" spans="1:7" ht="13.95" customHeight="1">
      <c r="A97" s="133" t="s">
        <v>20</v>
      </c>
      <c r="B97" s="133">
        <f>RESUMEN_8°!A44</f>
        <v>40</v>
      </c>
      <c r="C97" s="134">
        <f>RESUMEN_8°!B44</f>
        <v>0</v>
      </c>
      <c r="D97" s="133" t="str">
        <f>IF(C97="","",IFERROR(RESUMEN_8°!F44,""))</f>
        <v/>
      </c>
      <c r="E97" s="133" t="str">
        <f>IF(C97="","",IFERROR(RESUMEN_8°!R44,""))</f>
        <v/>
      </c>
      <c r="F97" s="133">
        <f>IF(C97="","",IFERROR('Asistencia (8°)'!BI42,""))</f>
        <v>0</v>
      </c>
      <c r="G97" s="133" t="str">
        <f>IF(AND(RESUMEN_8°!B44=""),"",IF(OR(IFERROR(RESUMEN_8°!F44,0)&lt;3,IFERROR(RESUMEN_8°!R44,0)&lt;3),"⚠ REVISAR","OK"))</f>
        <v>OK</v>
      </c>
    </row>
    <row r="98" spans="1:7" ht="13.95" customHeight="1">
      <c r="A98" s="137" t="s">
        <v>21</v>
      </c>
      <c r="B98" s="137">
        <f>RESUMEN_9°!A5</f>
        <v>1</v>
      </c>
      <c r="C98" s="138">
        <f>RESUMEN_9°!B5</f>
        <v>0</v>
      </c>
      <c r="D98" s="137" t="str">
        <f>IF(C98="","",IFERROR(RESUMEN_9°!F5,""))</f>
        <v/>
      </c>
      <c r="E98" s="137" t="str">
        <f>IF(C98="","",IFERROR(RESUMEN_9°!V5,""))</f>
        <v/>
      </c>
      <c r="F98" s="137">
        <f>IF(C98="","",IFERROR('Asistencia (9°)'!BI3,""))</f>
        <v>0</v>
      </c>
      <c r="G98" s="137" t="str">
        <f>IF(AND(RESUMEN_9°!B5=""),"",IF(OR(IFERROR(RESUMEN_9°!F5,0)&lt;3,IFERROR(RESUMEN_9°!V5,0)&lt;3),"⚠ REVISAR","OK"))</f>
        <v>OK</v>
      </c>
    </row>
    <row r="99" spans="1:7" ht="13.95" customHeight="1">
      <c r="A99" s="133" t="s">
        <v>21</v>
      </c>
      <c r="B99" s="133">
        <f>RESUMEN_9°!A6</f>
        <v>2</v>
      </c>
      <c r="C99" s="134">
        <f>RESUMEN_9°!B6</f>
        <v>0</v>
      </c>
      <c r="D99" s="133" t="str">
        <f>IF(C99="","",IFERROR(RESUMEN_9°!F6,""))</f>
        <v/>
      </c>
      <c r="E99" s="133" t="str">
        <f>IF(C99="","",IFERROR(RESUMEN_9°!V6,""))</f>
        <v/>
      </c>
      <c r="F99" s="133">
        <f>IF(C99="","",IFERROR('Asistencia (9°)'!BI4,""))</f>
        <v>0</v>
      </c>
      <c r="G99" s="133" t="str">
        <f>IF(AND(RESUMEN_9°!B6=""),"",IF(OR(IFERROR(RESUMEN_9°!F6,0)&lt;3,IFERROR(RESUMEN_9°!V6,0)&lt;3),"⚠ REVISAR","OK"))</f>
        <v>OK</v>
      </c>
    </row>
    <row r="100" spans="1:7" ht="13.95" customHeight="1">
      <c r="A100" s="137" t="s">
        <v>21</v>
      </c>
      <c r="B100" s="137">
        <f>RESUMEN_9°!A7</f>
        <v>3</v>
      </c>
      <c r="C100" s="138">
        <f>RESUMEN_9°!B7</f>
        <v>0</v>
      </c>
      <c r="D100" s="137" t="str">
        <f>IF(C100="","",IFERROR(RESUMEN_9°!F7,""))</f>
        <v/>
      </c>
      <c r="E100" s="137" t="str">
        <f>IF(C100="","",IFERROR(RESUMEN_9°!V7,""))</f>
        <v/>
      </c>
      <c r="F100" s="137">
        <f>IF(C100="","",IFERROR('Asistencia (9°)'!BI5,""))</f>
        <v>0</v>
      </c>
      <c r="G100" s="137" t="str">
        <f>IF(AND(RESUMEN_9°!B7=""),"",IF(OR(IFERROR(RESUMEN_9°!F7,0)&lt;3,IFERROR(RESUMEN_9°!V7,0)&lt;3),"⚠ REVISAR","OK"))</f>
        <v>OK</v>
      </c>
    </row>
    <row r="101" spans="1:7" ht="13.95" customHeight="1">
      <c r="A101" s="133" t="s">
        <v>21</v>
      </c>
      <c r="B101" s="133">
        <f>RESUMEN_9°!A8</f>
        <v>4</v>
      </c>
      <c r="C101" s="134">
        <f>RESUMEN_9°!B8</f>
        <v>0</v>
      </c>
      <c r="D101" s="133" t="str">
        <f>IF(C101="","",IFERROR(RESUMEN_9°!F8,""))</f>
        <v/>
      </c>
      <c r="E101" s="133" t="str">
        <f>IF(C101="","",IFERROR(RESUMEN_9°!V8,""))</f>
        <v/>
      </c>
      <c r="F101" s="133">
        <f>IF(C101="","",IFERROR('Asistencia (9°)'!BI6,""))</f>
        <v>0</v>
      </c>
      <c r="G101" s="133" t="str">
        <f>IF(AND(RESUMEN_9°!B8=""),"",IF(OR(IFERROR(RESUMEN_9°!F8,0)&lt;3,IFERROR(RESUMEN_9°!V8,0)&lt;3),"⚠ REVISAR","OK"))</f>
        <v>OK</v>
      </c>
    </row>
    <row r="102" spans="1:7" ht="13.95" customHeight="1">
      <c r="A102" s="137" t="s">
        <v>21</v>
      </c>
      <c r="B102" s="137">
        <f>RESUMEN_9°!A9</f>
        <v>5</v>
      </c>
      <c r="C102" s="138">
        <f>RESUMEN_9°!B9</f>
        <v>0</v>
      </c>
      <c r="D102" s="137" t="str">
        <f>IF(C102="","",IFERROR(RESUMEN_9°!F9,""))</f>
        <v/>
      </c>
      <c r="E102" s="137" t="str">
        <f>IF(C102="","",IFERROR(RESUMEN_9°!V9,""))</f>
        <v/>
      </c>
      <c r="F102" s="137">
        <f>IF(C102="","",IFERROR('Asistencia (9°)'!BI7,""))</f>
        <v>0</v>
      </c>
      <c r="G102" s="137" t="str">
        <f>IF(AND(RESUMEN_9°!B9=""),"",IF(OR(IFERROR(RESUMEN_9°!F9,0)&lt;3,IFERROR(RESUMEN_9°!V9,0)&lt;3),"⚠ REVISAR","OK"))</f>
        <v>OK</v>
      </c>
    </row>
    <row r="103" spans="1:7" ht="13.95" customHeight="1">
      <c r="A103" s="133" t="s">
        <v>21</v>
      </c>
      <c r="B103" s="133">
        <f>RESUMEN_9°!A10</f>
        <v>6</v>
      </c>
      <c r="C103" s="134">
        <f>RESUMEN_9°!B10</f>
        <v>0</v>
      </c>
      <c r="D103" s="133" t="str">
        <f>IF(C103="","",IFERROR(RESUMEN_9°!F10,""))</f>
        <v/>
      </c>
      <c r="E103" s="133" t="str">
        <f>IF(C103="","",IFERROR(RESUMEN_9°!V10,""))</f>
        <v/>
      </c>
      <c r="F103" s="133">
        <f>IF(C103="","",IFERROR('Asistencia (9°)'!BI8,""))</f>
        <v>0</v>
      </c>
      <c r="G103" s="133" t="str">
        <f>IF(AND(RESUMEN_9°!B10=""),"",IF(OR(IFERROR(RESUMEN_9°!F10,0)&lt;3,IFERROR(RESUMEN_9°!V10,0)&lt;3),"⚠ REVISAR","OK"))</f>
        <v>OK</v>
      </c>
    </row>
    <row r="104" spans="1:7" ht="13.95" customHeight="1">
      <c r="A104" s="137" t="s">
        <v>21</v>
      </c>
      <c r="B104" s="137">
        <f>RESUMEN_9°!A11</f>
        <v>7</v>
      </c>
      <c r="C104" s="138">
        <f>RESUMEN_9°!B11</f>
        <v>0</v>
      </c>
      <c r="D104" s="137" t="str">
        <f>IF(C104="","",IFERROR(RESUMEN_9°!F11,""))</f>
        <v/>
      </c>
      <c r="E104" s="137" t="str">
        <f>IF(C104="","",IFERROR(RESUMEN_9°!V11,""))</f>
        <v/>
      </c>
      <c r="F104" s="137">
        <f>IF(C104="","",IFERROR('Asistencia (9°)'!BI9,""))</f>
        <v>0</v>
      </c>
      <c r="G104" s="137" t="str">
        <f>IF(AND(RESUMEN_9°!B11=""),"",IF(OR(IFERROR(RESUMEN_9°!F11,0)&lt;3,IFERROR(RESUMEN_9°!V11,0)&lt;3),"⚠ REVISAR","OK"))</f>
        <v>OK</v>
      </c>
    </row>
    <row r="105" spans="1:7" ht="13.95" customHeight="1">
      <c r="A105" s="133" t="s">
        <v>21</v>
      </c>
      <c r="B105" s="133">
        <f>RESUMEN_9°!A12</f>
        <v>8</v>
      </c>
      <c r="C105" s="134">
        <f>RESUMEN_9°!B12</f>
        <v>0</v>
      </c>
      <c r="D105" s="133" t="str">
        <f>IF(C105="","",IFERROR(RESUMEN_9°!F12,""))</f>
        <v/>
      </c>
      <c r="E105" s="133" t="str">
        <f>IF(C105="","",IFERROR(RESUMEN_9°!V12,""))</f>
        <v/>
      </c>
      <c r="F105" s="133">
        <f>IF(C105="","",IFERROR('Asistencia (9°)'!BI10,""))</f>
        <v>0</v>
      </c>
      <c r="G105" s="133" t="str">
        <f>IF(AND(RESUMEN_9°!B12=""),"",IF(OR(IFERROR(RESUMEN_9°!F12,0)&lt;3,IFERROR(RESUMEN_9°!V12,0)&lt;3),"⚠ REVISAR","OK"))</f>
        <v>OK</v>
      </c>
    </row>
    <row r="106" spans="1:7" ht="13.95" customHeight="1">
      <c r="A106" s="137" t="s">
        <v>21</v>
      </c>
      <c r="B106" s="137">
        <f>RESUMEN_9°!A13</f>
        <v>9</v>
      </c>
      <c r="C106" s="138">
        <f>RESUMEN_9°!B13</f>
        <v>0</v>
      </c>
      <c r="D106" s="137" t="str">
        <f>IF(C106="","",IFERROR(RESUMEN_9°!F13,""))</f>
        <v/>
      </c>
      <c r="E106" s="137" t="str">
        <f>IF(C106="","",IFERROR(RESUMEN_9°!V13,""))</f>
        <v/>
      </c>
      <c r="F106" s="137">
        <f>IF(C106="","",IFERROR('Asistencia (9°)'!BI11,""))</f>
        <v>0</v>
      </c>
      <c r="G106" s="137" t="str">
        <f>IF(AND(RESUMEN_9°!B13=""),"",IF(OR(IFERROR(RESUMEN_9°!F13,0)&lt;3,IFERROR(RESUMEN_9°!V13,0)&lt;3),"⚠ REVISAR","OK"))</f>
        <v>OK</v>
      </c>
    </row>
    <row r="107" spans="1:7" ht="13.95" customHeight="1">
      <c r="A107" s="133" t="s">
        <v>21</v>
      </c>
      <c r="B107" s="133">
        <f>RESUMEN_9°!A14</f>
        <v>10</v>
      </c>
      <c r="C107" s="134">
        <f>RESUMEN_9°!B14</f>
        <v>0</v>
      </c>
      <c r="D107" s="133" t="str">
        <f>IF(C107="","",IFERROR(RESUMEN_9°!F14,""))</f>
        <v/>
      </c>
      <c r="E107" s="133" t="str">
        <f>IF(C107="","",IFERROR(RESUMEN_9°!V14,""))</f>
        <v/>
      </c>
      <c r="F107" s="133">
        <f>IF(C107="","",IFERROR('Asistencia (9°)'!BI12,""))</f>
        <v>0</v>
      </c>
      <c r="G107" s="133" t="str">
        <f>IF(AND(RESUMEN_9°!B14=""),"",IF(OR(IFERROR(RESUMEN_9°!F14,0)&lt;3,IFERROR(RESUMEN_9°!V14,0)&lt;3),"⚠ REVISAR","OK"))</f>
        <v>OK</v>
      </c>
    </row>
    <row r="108" spans="1:7" ht="13.95" customHeight="1">
      <c r="A108" s="137" t="s">
        <v>21</v>
      </c>
      <c r="B108" s="137">
        <f>RESUMEN_9°!A15</f>
        <v>11</v>
      </c>
      <c r="C108" s="138">
        <f>RESUMEN_9°!B15</f>
        <v>0</v>
      </c>
      <c r="D108" s="137" t="str">
        <f>IF(C108="","",IFERROR(RESUMEN_9°!F15,""))</f>
        <v/>
      </c>
      <c r="E108" s="137" t="str">
        <f>IF(C108="","",IFERROR(RESUMEN_9°!V15,""))</f>
        <v/>
      </c>
      <c r="F108" s="137">
        <f>IF(C108="","",IFERROR('Asistencia (9°)'!BI13,""))</f>
        <v>0</v>
      </c>
      <c r="G108" s="137" t="str">
        <f>IF(AND(RESUMEN_9°!B15=""),"",IF(OR(IFERROR(RESUMEN_9°!F15,0)&lt;3,IFERROR(RESUMEN_9°!V15,0)&lt;3),"⚠ REVISAR","OK"))</f>
        <v>OK</v>
      </c>
    </row>
    <row r="109" spans="1:7" ht="13.95" customHeight="1">
      <c r="A109" s="133" t="s">
        <v>21</v>
      </c>
      <c r="B109" s="133">
        <f>RESUMEN_9°!A16</f>
        <v>12</v>
      </c>
      <c r="C109" s="134">
        <f>RESUMEN_9°!B16</f>
        <v>0</v>
      </c>
      <c r="D109" s="133" t="str">
        <f>IF(C109="","",IFERROR(RESUMEN_9°!F16,""))</f>
        <v/>
      </c>
      <c r="E109" s="133" t="str">
        <f>IF(C109="","",IFERROR(RESUMEN_9°!V16,""))</f>
        <v/>
      </c>
      <c r="F109" s="133">
        <f>IF(C109="","",IFERROR('Asistencia (9°)'!BI14,""))</f>
        <v>0</v>
      </c>
      <c r="G109" s="133" t="str">
        <f>IF(AND(RESUMEN_9°!B16=""),"",IF(OR(IFERROR(RESUMEN_9°!F16,0)&lt;3,IFERROR(RESUMEN_9°!V16,0)&lt;3),"⚠ REVISAR","OK"))</f>
        <v>OK</v>
      </c>
    </row>
    <row r="110" spans="1:7" ht="13.95" customHeight="1">
      <c r="A110" s="137" t="s">
        <v>21</v>
      </c>
      <c r="B110" s="137">
        <f>RESUMEN_9°!A17</f>
        <v>13</v>
      </c>
      <c r="C110" s="138">
        <f>RESUMEN_9°!B17</f>
        <v>0</v>
      </c>
      <c r="D110" s="137" t="str">
        <f>IF(C110="","",IFERROR(RESUMEN_9°!F17,""))</f>
        <v/>
      </c>
      <c r="E110" s="137" t="str">
        <f>IF(C110="","",IFERROR(RESUMEN_9°!V17,""))</f>
        <v/>
      </c>
      <c r="F110" s="137">
        <f>IF(C110="","",IFERROR('Asistencia (9°)'!BI15,""))</f>
        <v>0</v>
      </c>
      <c r="G110" s="137" t="str">
        <f>IF(AND(RESUMEN_9°!B17=""),"",IF(OR(IFERROR(RESUMEN_9°!F17,0)&lt;3,IFERROR(RESUMEN_9°!V17,0)&lt;3),"⚠ REVISAR","OK"))</f>
        <v>OK</v>
      </c>
    </row>
    <row r="111" spans="1:7" ht="13.95" customHeight="1">
      <c r="A111" s="133" t="s">
        <v>21</v>
      </c>
      <c r="B111" s="133">
        <f>RESUMEN_9°!A18</f>
        <v>14</v>
      </c>
      <c r="C111" s="134">
        <f>RESUMEN_9°!B18</f>
        <v>0</v>
      </c>
      <c r="D111" s="133" t="str">
        <f>IF(C111="","",IFERROR(RESUMEN_9°!F18,""))</f>
        <v/>
      </c>
      <c r="E111" s="133" t="str">
        <f>IF(C111="","",IFERROR(RESUMEN_9°!V18,""))</f>
        <v/>
      </c>
      <c r="F111" s="133">
        <f>IF(C111="","",IFERROR('Asistencia (9°)'!BI16,""))</f>
        <v>0</v>
      </c>
      <c r="G111" s="133" t="str">
        <f>IF(AND(RESUMEN_9°!B18=""),"",IF(OR(IFERROR(RESUMEN_9°!F18,0)&lt;3,IFERROR(RESUMEN_9°!V18,0)&lt;3),"⚠ REVISAR","OK"))</f>
        <v>OK</v>
      </c>
    </row>
    <row r="112" spans="1:7" ht="13.95" customHeight="1">
      <c r="A112" s="137" t="s">
        <v>21</v>
      </c>
      <c r="B112" s="137">
        <f>RESUMEN_9°!A19</f>
        <v>15</v>
      </c>
      <c r="C112" s="138">
        <f>RESUMEN_9°!B19</f>
        <v>0</v>
      </c>
      <c r="D112" s="137" t="str">
        <f>IF(C112="","",IFERROR(RESUMEN_9°!F19,""))</f>
        <v/>
      </c>
      <c r="E112" s="137" t="str">
        <f>IF(C112="","",IFERROR(RESUMEN_9°!V19,""))</f>
        <v/>
      </c>
      <c r="F112" s="137">
        <f>IF(C112="","",IFERROR('Asistencia (9°)'!BI17,""))</f>
        <v>0</v>
      </c>
      <c r="G112" s="137" t="str">
        <f>IF(AND(RESUMEN_9°!B19=""),"",IF(OR(IFERROR(RESUMEN_9°!F19,0)&lt;3,IFERROR(RESUMEN_9°!V19,0)&lt;3),"⚠ REVISAR","OK"))</f>
        <v>OK</v>
      </c>
    </row>
    <row r="113" spans="1:7" ht="13.95" customHeight="1">
      <c r="A113" s="133" t="s">
        <v>21</v>
      </c>
      <c r="B113" s="133">
        <f>RESUMEN_9°!A20</f>
        <v>16</v>
      </c>
      <c r="C113" s="134">
        <f>RESUMEN_9°!B20</f>
        <v>0</v>
      </c>
      <c r="D113" s="133" t="str">
        <f>IF(C113="","",IFERROR(RESUMEN_9°!F20,""))</f>
        <v/>
      </c>
      <c r="E113" s="133" t="str">
        <f>IF(C113="","",IFERROR(RESUMEN_9°!V20,""))</f>
        <v/>
      </c>
      <c r="F113" s="133">
        <f>IF(C113="","",IFERROR('Asistencia (9°)'!BI18,""))</f>
        <v>0</v>
      </c>
      <c r="G113" s="133" t="str">
        <f>IF(AND(RESUMEN_9°!B20=""),"",IF(OR(IFERROR(RESUMEN_9°!F20,0)&lt;3,IFERROR(RESUMEN_9°!V20,0)&lt;3),"⚠ REVISAR","OK"))</f>
        <v>OK</v>
      </c>
    </row>
    <row r="114" spans="1:7" ht="13.95" customHeight="1">
      <c r="A114" s="137" t="s">
        <v>21</v>
      </c>
      <c r="B114" s="137">
        <f>RESUMEN_9°!A21</f>
        <v>17</v>
      </c>
      <c r="C114" s="138">
        <f>RESUMEN_9°!B21</f>
        <v>0</v>
      </c>
      <c r="D114" s="137" t="str">
        <f>IF(C114="","",IFERROR(RESUMEN_9°!F21,""))</f>
        <v/>
      </c>
      <c r="E114" s="137" t="str">
        <f>IF(C114="","",IFERROR(RESUMEN_9°!V21,""))</f>
        <v/>
      </c>
      <c r="F114" s="137">
        <f>IF(C114="","",IFERROR('Asistencia (9°)'!BI19,""))</f>
        <v>0</v>
      </c>
      <c r="G114" s="137" t="str">
        <f>IF(AND(RESUMEN_9°!B21=""),"",IF(OR(IFERROR(RESUMEN_9°!F21,0)&lt;3,IFERROR(RESUMEN_9°!V21,0)&lt;3),"⚠ REVISAR","OK"))</f>
        <v>OK</v>
      </c>
    </row>
    <row r="115" spans="1:7" ht="13.95" customHeight="1">
      <c r="A115" s="133" t="s">
        <v>21</v>
      </c>
      <c r="B115" s="133">
        <f>RESUMEN_9°!A22</f>
        <v>18</v>
      </c>
      <c r="C115" s="134">
        <f>RESUMEN_9°!B22</f>
        <v>0</v>
      </c>
      <c r="D115" s="133" t="str">
        <f>IF(C115="","",IFERROR(RESUMEN_9°!F22,""))</f>
        <v/>
      </c>
      <c r="E115" s="133" t="str">
        <f>IF(C115="","",IFERROR(RESUMEN_9°!V22,""))</f>
        <v/>
      </c>
      <c r="F115" s="133">
        <f>IF(C115="","",IFERROR('Asistencia (9°)'!BI20,""))</f>
        <v>0</v>
      </c>
      <c r="G115" s="133" t="str">
        <f>IF(AND(RESUMEN_9°!B22=""),"",IF(OR(IFERROR(RESUMEN_9°!F22,0)&lt;3,IFERROR(RESUMEN_9°!V22,0)&lt;3),"⚠ REVISAR","OK"))</f>
        <v>OK</v>
      </c>
    </row>
    <row r="116" spans="1:7" ht="13.95" customHeight="1">
      <c r="A116" s="137" t="s">
        <v>21</v>
      </c>
      <c r="B116" s="137">
        <f>RESUMEN_9°!A23</f>
        <v>19</v>
      </c>
      <c r="C116" s="138">
        <f>RESUMEN_9°!B23</f>
        <v>0</v>
      </c>
      <c r="D116" s="137" t="str">
        <f>IF(C116="","",IFERROR(RESUMEN_9°!F23,""))</f>
        <v/>
      </c>
      <c r="E116" s="137" t="str">
        <f>IF(C116="","",IFERROR(RESUMEN_9°!V23,""))</f>
        <v/>
      </c>
      <c r="F116" s="137">
        <f>IF(C116="","",IFERROR('Asistencia (9°)'!BI21,""))</f>
        <v>0</v>
      </c>
      <c r="G116" s="137" t="str">
        <f>IF(AND(RESUMEN_9°!B23=""),"",IF(OR(IFERROR(RESUMEN_9°!F23,0)&lt;3,IFERROR(RESUMEN_9°!V23,0)&lt;3),"⚠ REVISAR","OK"))</f>
        <v>OK</v>
      </c>
    </row>
    <row r="117" spans="1:7" ht="13.95" customHeight="1">
      <c r="A117" s="133" t="s">
        <v>21</v>
      </c>
      <c r="B117" s="133">
        <f>RESUMEN_9°!A24</f>
        <v>20</v>
      </c>
      <c r="C117" s="134">
        <f>RESUMEN_9°!B24</f>
        <v>0</v>
      </c>
      <c r="D117" s="133" t="str">
        <f>IF(C117="","",IFERROR(RESUMEN_9°!F24,""))</f>
        <v/>
      </c>
      <c r="E117" s="133" t="str">
        <f>IF(C117="","",IFERROR(RESUMEN_9°!V24,""))</f>
        <v/>
      </c>
      <c r="F117" s="133">
        <f>IF(C117="","",IFERROR('Asistencia (9°)'!BI22,""))</f>
        <v>0</v>
      </c>
      <c r="G117" s="133" t="str">
        <f>IF(AND(RESUMEN_9°!B24=""),"",IF(OR(IFERROR(RESUMEN_9°!F24,0)&lt;3,IFERROR(RESUMEN_9°!V24,0)&lt;3),"⚠ REVISAR","OK"))</f>
        <v>OK</v>
      </c>
    </row>
    <row r="118" spans="1:7" ht="13.95" customHeight="1">
      <c r="A118" s="137" t="s">
        <v>21</v>
      </c>
      <c r="B118" s="137">
        <f>RESUMEN_9°!A25</f>
        <v>21</v>
      </c>
      <c r="C118" s="138">
        <f>RESUMEN_9°!B25</f>
        <v>0</v>
      </c>
      <c r="D118" s="137" t="str">
        <f>IF(C118="","",IFERROR(RESUMEN_9°!F25,""))</f>
        <v/>
      </c>
      <c r="E118" s="137" t="str">
        <f>IF(C118="","",IFERROR(RESUMEN_9°!V25,""))</f>
        <v/>
      </c>
      <c r="F118" s="137">
        <f>IF(C118="","",IFERROR('Asistencia (9°)'!BI23,""))</f>
        <v>0</v>
      </c>
      <c r="G118" s="137" t="str">
        <f>IF(AND(RESUMEN_9°!B25=""),"",IF(OR(IFERROR(RESUMEN_9°!F25,0)&lt;3,IFERROR(RESUMEN_9°!V25,0)&lt;3),"⚠ REVISAR","OK"))</f>
        <v>OK</v>
      </c>
    </row>
    <row r="119" spans="1:7" ht="13.95" customHeight="1">
      <c r="A119" s="133" t="s">
        <v>21</v>
      </c>
      <c r="B119" s="133">
        <f>RESUMEN_9°!A26</f>
        <v>22</v>
      </c>
      <c r="C119" s="134">
        <f>RESUMEN_9°!B26</f>
        <v>0</v>
      </c>
      <c r="D119" s="133" t="str">
        <f>IF(C119="","",IFERROR(RESUMEN_9°!F26,""))</f>
        <v/>
      </c>
      <c r="E119" s="133" t="str">
        <f>IF(C119="","",IFERROR(RESUMEN_9°!V26,""))</f>
        <v/>
      </c>
      <c r="F119" s="133">
        <f>IF(C119="","",IFERROR('Asistencia (9°)'!BI24,""))</f>
        <v>0</v>
      </c>
      <c r="G119" s="133" t="str">
        <f>IF(AND(RESUMEN_9°!B26=""),"",IF(OR(IFERROR(RESUMEN_9°!F26,0)&lt;3,IFERROR(RESUMEN_9°!V26,0)&lt;3),"⚠ REVISAR","OK"))</f>
        <v>OK</v>
      </c>
    </row>
    <row r="120" spans="1:7" ht="13.95" customHeight="1">
      <c r="A120" s="137" t="s">
        <v>21</v>
      </c>
      <c r="B120" s="137">
        <f>RESUMEN_9°!A27</f>
        <v>23</v>
      </c>
      <c r="C120" s="138">
        <f>RESUMEN_9°!B27</f>
        <v>0</v>
      </c>
      <c r="D120" s="137" t="str">
        <f>IF(C120="","",IFERROR(RESUMEN_9°!F27,""))</f>
        <v/>
      </c>
      <c r="E120" s="137" t="str">
        <f>IF(C120="","",IFERROR(RESUMEN_9°!V27,""))</f>
        <v/>
      </c>
      <c r="F120" s="137">
        <f>IF(C120="","",IFERROR('Asistencia (9°)'!BI25,""))</f>
        <v>0</v>
      </c>
      <c r="G120" s="137" t="str">
        <f>IF(AND(RESUMEN_9°!B27=""),"",IF(OR(IFERROR(RESUMEN_9°!F27,0)&lt;3,IFERROR(RESUMEN_9°!V27,0)&lt;3),"⚠ REVISAR","OK"))</f>
        <v>OK</v>
      </c>
    </row>
    <row r="121" spans="1:7" ht="13.95" customHeight="1">
      <c r="A121" s="133" t="s">
        <v>21</v>
      </c>
      <c r="B121" s="133">
        <f>RESUMEN_9°!A28</f>
        <v>24</v>
      </c>
      <c r="C121" s="134">
        <f>RESUMEN_9°!B28</f>
        <v>0</v>
      </c>
      <c r="D121" s="133" t="str">
        <f>IF(C121="","",IFERROR(RESUMEN_9°!F28,""))</f>
        <v/>
      </c>
      <c r="E121" s="133" t="str">
        <f>IF(C121="","",IFERROR(RESUMEN_9°!V28,""))</f>
        <v/>
      </c>
      <c r="F121" s="133">
        <f>IF(C121="","",IFERROR('Asistencia (9°)'!BI26,""))</f>
        <v>0</v>
      </c>
      <c r="G121" s="133" t="str">
        <f>IF(AND(RESUMEN_9°!B28=""),"",IF(OR(IFERROR(RESUMEN_9°!F28,0)&lt;3,IFERROR(RESUMEN_9°!V28,0)&lt;3),"⚠ REVISAR","OK"))</f>
        <v>OK</v>
      </c>
    </row>
    <row r="122" spans="1:7" ht="13.95" customHeight="1">
      <c r="A122" s="137" t="s">
        <v>21</v>
      </c>
      <c r="B122" s="137">
        <f>RESUMEN_9°!A29</f>
        <v>25</v>
      </c>
      <c r="C122" s="138">
        <f>RESUMEN_9°!B29</f>
        <v>0</v>
      </c>
      <c r="D122" s="137" t="str">
        <f>IF(C122="","",IFERROR(RESUMEN_9°!F29,""))</f>
        <v/>
      </c>
      <c r="E122" s="137" t="str">
        <f>IF(C122="","",IFERROR(RESUMEN_9°!V29,""))</f>
        <v/>
      </c>
      <c r="F122" s="137">
        <f>IF(C122="","",IFERROR('Asistencia (9°)'!BI27,""))</f>
        <v>0</v>
      </c>
      <c r="G122" s="137" t="str">
        <f>IF(AND(RESUMEN_9°!B29=""),"",IF(OR(IFERROR(RESUMEN_9°!F29,0)&lt;3,IFERROR(RESUMEN_9°!V29,0)&lt;3),"⚠ REVISAR","OK"))</f>
        <v>OK</v>
      </c>
    </row>
    <row r="123" spans="1:7" ht="13.95" customHeight="1">
      <c r="A123" s="133" t="s">
        <v>21</v>
      </c>
      <c r="B123" s="133">
        <f>RESUMEN_9°!A30</f>
        <v>26</v>
      </c>
      <c r="C123" s="134">
        <f>RESUMEN_9°!B30</f>
        <v>0</v>
      </c>
      <c r="D123" s="133" t="str">
        <f>IF(C123="","",IFERROR(RESUMEN_9°!F30,""))</f>
        <v/>
      </c>
      <c r="E123" s="133" t="str">
        <f>IF(C123="","",IFERROR(RESUMEN_9°!V30,""))</f>
        <v/>
      </c>
      <c r="F123" s="133">
        <f>IF(C123="","",IFERROR('Asistencia (9°)'!BI28,""))</f>
        <v>0</v>
      </c>
      <c r="G123" s="133" t="str">
        <f>IF(AND(RESUMEN_9°!B30=""),"",IF(OR(IFERROR(RESUMEN_9°!F30,0)&lt;3,IFERROR(RESUMEN_9°!V30,0)&lt;3),"⚠ REVISAR","OK"))</f>
        <v>OK</v>
      </c>
    </row>
    <row r="124" spans="1:7" ht="13.95" customHeight="1">
      <c r="A124" s="137" t="s">
        <v>21</v>
      </c>
      <c r="B124" s="137">
        <f>RESUMEN_9°!A31</f>
        <v>27</v>
      </c>
      <c r="C124" s="138">
        <f>RESUMEN_9°!B31</f>
        <v>0</v>
      </c>
      <c r="D124" s="137" t="str">
        <f>IF(C124="","",IFERROR(RESUMEN_9°!F31,""))</f>
        <v/>
      </c>
      <c r="E124" s="137" t="str">
        <f>IF(C124="","",IFERROR(RESUMEN_9°!V31,""))</f>
        <v/>
      </c>
      <c r="F124" s="137">
        <f>IF(C124="","",IFERROR('Asistencia (9°)'!BI29,""))</f>
        <v>0</v>
      </c>
      <c r="G124" s="137" t="str">
        <f>IF(AND(RESUMEN_9°!B31=""),"",IF(OR(IFERROR(RESUMEN_9°!F31,0)&lt;3,IFERROR(RESUMEN_9°!V31,0)&lt;3),"⚠ REVISAR","OK"))</f>
        <v>OK</v>
      </c>
    </row>
    <row r="125" spans="1:7" ht="13.95" customHeight="1">
      <c r="A125" s="133" t="s">
        <v>21</v>
      </c>
      <c r="B125" s="133">
        <f>RESUMEN_9°!A32</f>
        <v>28</v>
      </c>
      <c r="C125" s="134">
        <f>RESUMEN_9°!B32</f>
        <v>0</v>
      </c>
      <c r="D125" s="133" t="str">
        <f>IF(C125="","",IFERROR(RESUMEN_9°!F32,""))</f>
        <v/>
      </c>
      <c r="E125" s="133" t="str">
        <f>IF(C125="","",IFERROR(RESUMEN_9°!V32,""))</f>
        <v/>
      </c>
      <c r="F125" s="133">
        <f>IF(C125="","",IFERROR('Asistencia (9°)'!BI30,""))</f>
        <v>0</v>
      </c>
      <c r="G125" s="133" t="str">
        <f>IF(AND(RESUMEN_9°!B32=""),"",IF(OR(IFERROR(RESUMEN_9°!F32,0)&lt;3,IFERROR(RESUMEN_9°!V32,0)&lt;3),"⚠ REVISAR","OK"))</f>
        <v>OK</v>
      </c>
    </row>
    <row r="126" spans="1:7" ht="13.95" customHeight="1">
      <c r="A126" s="137" t="s">
        <v>21</v>
      </c>
      <c r="B126" s="137">
        <f>RESUMEN_9°!A33</f>
        <v>29</v>
      </c>
      <c r="C126" s="138">
        <f>RESUMEN_9°!B33</f>
        <v>0</v>
      </c>
      <c r="D126" s="137" t="str">
        <f>IF(C126="","",IFERROR(RESUMEN_9°!F33,""))</f>
        <v/>
      </c>
      <c r="E126" s="137" t="str">
        <f>IF(C126="","",IFERROR(RESUMEN_9°!V33,""))</f>
        <v/>
      </c>
      <c r="F126" s="137">
        <f>IF(C126="","",IFERROR('Asistencia (9°)'!BI31,""))</f>
        <v>0</v>
      </c>
      <c r="G126" s="137" t="str">
        <f>IF(AND(RESUMEN_9°!B33=""),"",IF(OR(IFERROR(RESUMEN_9°!F33,0)&lt;3,IFERROR(RESUMEN_9°!V33,0)&lt;3),"⚠ REVISAR","OK"))</f>
        <v>OK</v>
      </c>
    </row>
    <row r="127" spans="1:7" ht="13.95" customHeight="1">
      <c r="A127" s="133" t="s">
        <v>21</v>
      </c>
      <c r="B127" s="133">
        <f>RESUMEN_9°!A34</f>
        <v>30</v>
      </c>
      <c r="C127" s="134">
        <f>RESUMEN_9°!B34</f>
        <v>0</v>
      </c>
      <c r="D127" s="133" t="str">
        <f>IF(C127="","",IFERROR(RESUMEN_9°!F34,""))</f>
        <v/>
      </c>
      <c r="E127" s="133" t="str">
        <f>IF(C127="","",IFERROR(RESUMEN_9°!V34,""))</f>
        <v/>
      </c>
      <c r="F127" s="133">
        <f>IF(C127="","",IFERROR('Asistencia (9°)'!BI32,""))</f>
        <v>0</v>
      </c>
      <c r="G127" s="133" t="str">
        <f>IF(AND(RESUMEN_9°!B34=""),"",IF(OR(IFERROR(RESUMEN_9°!F34,0)&lt;3,IFERROR(RESUMEN_9°!V34,0)&lt;3),"⚠ REVISAR","OK"))</f>
        <v>OK</v>
      </c>
    </row>
    <row r="128" spans="1:7" ht="13.95" customHeight="1">
      <c r="A128" s="137" t="s">
        <v>21</v>
      </c>
      <c r="B128" s="137">
        <f>RESUMEN_9°!A35</f>
        <v>31</v>
      </c>
      <c r="C128" s="138">
        <f>RESUMEN_9°!B35</f>
        <v>0</v>
      </c>
      <c r="D128" s="137" t="str">
        <f>IF(C128="","",IFERROR(RESUMEN_9°!F35,""))</f>
        <v/>
      </c>
      <c r="E128" s="137" t="str">
        <f>IF(C128="","",IFERROR(RESUMEN_9°!V35,""))</f>
        <v/>
      </c>
      <c r="F128" s="137">
        <f>IF(C128="","",IFERROR('Asistencia (9°)'!BI33,""))</f>
        <v>0</v>
      </c>
      <c r="G128" s="137" t="str">
        <f>IF(AND(RESUMEN_9°!B35=""),"",IF(OR(IFERROR(RESUMEN_9°!F35,0)&lt;3,IFERROR(RESUMEN_9°!V35,0)&lt;3),"⚠ REVISAR","OK"))</f>
        <v>OK</v>
      </c>
    </row>
    <row r="129" spans="1:7" ht="13.95" customHeight="1">
      <c r="A129" s="133" t="s">
        <v>21</v>
      </c>
      <c r="B129" s="133">
        <f>RESUMEN_9°!A36</f>
        <v>32</v>
      </c>
      <c r="C129" s="134">
        <f>RESUMEN_9°!B36</f>
        <v>0</v>
      </c>
      <c r="D129" s="133" t="str">
        <f>IF(C129="","",IFERROR(RESUMEN_9°!F36,""))</f>
        <v/>
      </c>
      <c r="E129" s="133" t="str">
        <f>IF(C129="","",IFERROR(RESUMEN_9°!V36,""))</f>
        <v/>
      </c>
      <c r="F129" s="133">
        <f>IF(C129="","",IFERROR('Asistencia (9°)'!BI34,""))</f>
        <v>0</v>
      </c>
      <c r="G129" s="133" t="str">
        <f>IF(AND(RESUMEN_9°!B36=""),"",IF(OR(IFERROR(RESUMEN_9°!F36,0)&lt;3,IFERROR(RESUMEN_9°!V36,0)&lt;3),"⚠ REVISAR","OK"))</f>
        <v>OK</v>
      </c>
    </row>
    <row r="130" spans="1:7" ht="13.95" customHeight="1">
      <c r="A130" s="137" t="s">
        <v>21</v>
      </c>
      <c r="B130" s="137">
        <f>RESUMEN_9°!A37</f>
        <v>33</v>
      </c>
      <c r="C130" s="138">
        <f>RESUMEN_9°!B37</f>
        <v>0</v>
      </c>
      <c r="D130" s="137" t="str">
        <f>IF(C130="","",IFERROR(RESUMEN_9°!F37,""))</f>
        <v/>
      </c>
      <c r="E130" s="137" t="str">
        <f>IF(C130="","",IFERROR(RESUMEN_9°!V37,""))</f>
        <v/>
      </c>
      <c r="F130" s="137">
        <f>IF(C130="","",IFERROR('Asistencia (9°)'!BI35,""))</f>
        <v>0</v>
      </c>
      <c r="G130" s="137" t="str">
        <f>IF(AND(RESUMEN_9°!B37=""),"",IF(OR(IFERROR(RESUMEN_9°!F37,0)&lt;3,IFERROR(RESUMEN_9°!V37,0)&lt;3),"⚠ REVISAR","OK"))</f>
        <v>OK</v>
      </c>
    </row>
    <row r="131" spans="1:7" ht="13.95" customHeight="1">
      <c r="A131" s="133" t="s">
        <v>21</v>
      </c>
      <c r="B131" s="133">
        <f>RESUMEN_9°!A38</f>
        <v>34</v>
      </c>
      <c r="C131" s="134">
        <f>RESUMEN_9°!B38</f>
        <v>0</v>
      </c>
      <c r="D131" s="133" t="str">
        <f>IF(C131="","",IFERROR(RESUMEN_9°!F38,""))</f>
        <v/>
      </c>
      <c r="E131" s="133" t="str">
        <f>IF(C131="","",IFERROR(RESUMEN_9°!V38,""))</f>
        <v/>
      </c>
      <c r="F131" s="133">
        <f>IF(C131="","",IFERROR('Asistencia (9°)'!BI36,""))</f>
        <v>0</v>
      </c>
      <c r="G131" s="133" t="str">
        <f>IF(AND(RESUMEN_9°!B38=""),"",IF(OR(IFERROR(RESUMEN_9°!F38,0)&lt;3,IFERROR(RESUMEN_9°!V38,0)&lt;3),"⚠ REVISAR","OK"))</f>
        <v>OK</v>
      </c>
    </row>
    <row r="132" spans="1:7" ht="13.95" customHeight="1">
      <c r="A132" s="137" t="s">
        <v>21</v>
      </c>
      <c r="B132" s="137">
        <f>RESUMEN_9°!A39</f>
        <v>35</v>
      </c>
      <c r="C132" s="138">
        <f>RESUMEN_9°!B39</f>
        <v>0</v>
      </c>
      <c r="D132" s="137" t="str">
        <f>IF(C132="","",IFERROR(RESUMEN_9°!F39,""))</f>
        <v/>
      </c>
      <c r="E132" s="137" t="str">
        <f>IF(C132="","",IFERROR(RESUMEN_9°!V39,""))</f>
        <v/>
      </c>
      <c r="F132" s="137">
        <f>IF(C132="","",IFERROR('Asistencia (9°)'!BI37,""))</f>
        <v>0</v>
      </c>
      <c r="G132" s="137" t="str">
        <f>IF(AND(RESUMEN_9°!B39=""),"",IF(OR(IFERROR(RESUMEN_9°!F39,0)&lt;3,IFERROR(RESUMEN_9°!V39,0)&lt;3),"⚠ REVISAR","OK"))</f>
        <v>OK</v>
      </c>
    </row>
    <row r="133" spans="1:7" ht="13.95" customHeight="1">
      <c r="A133" s="133" t="s">
        <v>21</v>
      </c>
      <c r="B133" s="133">
        <f>RESUMEN_9°!A40</f>
        <v>36</v>
      </c>
      <c r="C133" s="134">
        <f>RESUMEN_9°!B40</f>
        <v>0</v>
      </c>
      <c r="D133" s="133" t="str">
        <f>IF(C133="","",IFERROR(RESUMEN_9°!F40,""))</f>
        <v/>
      </c>
      <c r="E133" s="133" t="str">
        <f>IF(C133="","",IFERROR(RESUMEN_9°!V40,""))</f>
        <v/>
      </c>
      <c r="F133" s="133">
        <f>IF(C133="","",IFERROR('Asistencia (9°)'!BI38,""))</f>
        <v>0</v>
      </c>
      <c r="G133" s="133" t="str">
        <f>IF(AND(RESUMEN_9°!B40=""),"",IF(OR(IFERROR(RESUMEN_9°!F40,0)&lt;3,IFERROR(RESUMEN_9°!V40,0)&lt;3),"⚠ REVISAR","OK"))</f>
        <v>OK</v>
      </c>
    </row>
    <row r="134" spans="1:7" ht="13.95" customHeight="1">
      <c r="A134" s="137" t="s">
        <v>21</v>
      </c>
      <c r="B134" s="137">
        <f>RESUMEN_9°!A41</f>
        <v>37</v>
      </c>
      <c r="C134" s="138">
        <f>RESUMEN_9°!B41</f>
        <v>0</v>
      </c>
      <c r="D134" s="137" t="str">
        <f>IF(C134="","",IFERROR(RESUMEN_9°!F41,""))</f>
        <v/>
      </c>
      <c r="E134" s="137" t="str">
        <f>IF(C134="","",IFERROR(RESUMEN_9°!V41,""))</f>
        <v/>
      </c>
      <c r="F134" s="137">
        <f>IF(C134="","",IFERROR('Asistencia (9°)'!BI39,""))</f>
        <v>0</v>
      </c>
      <c r="G134" s="137" t="str">
        <f>IF(AND(RESUMEN_9°!B41=""),"",IF(OR(IFERROR(RESUMEN_9°!F41,0)&lt;3,IFERROR(RESUMEN_9°!V41,0)&lt;3),"⚠ REVISAR","OK"))</f>
        <v>OK</v>
      </c>
    </row>
    <row r="135" spans="1:7" ht="13.95" customHeight="1">
      <c r="A135" s="133" t="s">
        <v>21</v>
      </c>
      <c r="B135" s="133">
        <f>RESUMEN_9°!A42</f>
        <v>38</v>
      </c>
      <c r="C135" s="134">
        <f>RESUMEN_9°!B42</f>
        <v>0</v>
      </c>
      <c r="D135" s="133" t="str">
        <f>IF(C135="","",IFERROR(RESUMEN_9°!F42,""))</f>
        <v/>
      </c>
      <c r="E135" s="133" t="str">
        <f>IF(C135="","",IFERROR(RESUMEN_9°!V42,""))</f>
        <v/>
      </c>
      <c r="F135" s="133">
        <f>IF(C135="","",IFERROR('Asistencia (9°)'!BI40,""))</f>
        <v>0</v>
      </c>
      <c r="G135" s="133" t="str">
        <f>IF(AND(RESUMEN_9°!B42=""),"",IF(OR(IFERROR(RESUMEN_9°!F42,0)&lt;3,IFERROR(RESUMEN_9°!V42,0)&lt;3),"⚠ REVISAR","OK"))</f>
        <v>OK</v>
      </c>
    </row>
    <row r="136" spans="1:7" ht="13.95" customHeight="1">
      <c r="A136" s="137" t="s">
        <v>21</v>
      </c>
      <c r="B136" s="137">
        <f>RESUMEN_9°!A43</f>
        <v>39</v>
      </c>
      <c r="C136" s="138">
        <f>RESUMEN_9°!B43</f>
        <v>0</v>
      </c>
      <c r="D136" s="137" t="str">
        <f>IF(C136="","",IFERROR(RESUMEN_9°!F43,""))</f>
        <v/>
      </c>
      <c r="E136" s="137" t="str">
        <f>IF(C136="","",IFERROR(RESUMEN_9°!V43,""))</f>
        <v/>
      </c>
      <c r="F136" s="137">
        <f>IF(C136="","",IFERROR('Asistencia (9°)'!BI41,""))</f>
        <v>0</v>
      </c>
      <c r="G136" s="137" t="str">
        <f>IF(AND(RESUMEN_9°!B43=""),"",IF(OR(IFERROR(RESUMEN_9°!F43,0)&lt;3,IFERROR(RESUMEN_9°!V43,0)&lt;3),"⚠ REVISAR","OK"))</f>
        <v>OK</v>
      </c>
    </row>
    <row r="137" spans="1:7" ht="13.95" customHeight="1">
      <c r="A137" s="133" t="s">
        <v>21</v>
      </c>
      <c r="B137" s="133">
        <f>RESUMEN_9°!A44</f>
        <v>40</v>
      </c>
      <c r="C137" s="134">
        <f>RESUMEN_9°!B44</f>
        <v>0</v>
      </c>
      <c r="D137" s="133" t="str">
        <f>IF(C137="","",IFERROR(RESUMEN_9°!F44,""))</f>
        <v/>
      </c>
      <c r="E137" s="133" t="str">
        <f>IF(C137="","",IFERROR(RESUMEN_9°!V44,""))</f>
        <v/>
      </c>
      <c r="F137" s="133">
        <f>IF(C137="","",IFERROR('Asistencia (9°)'!BI42,""))</f>
        <v>0</v>
      </c>
      <c r="G137" s="133" t="str">
        <f>IF(AND(RESUMEN_9°!B44=""),"",IF(OR(IFERROR(RESUMEN_9°!F44,0)&lt;3,IFERROR(RESUMEN_9°!V44,0)&lt;3),"⚠ REVISAR","OK"))</f>
        <v>OK</v>
      </c>
    </row>
  </sheetData>
  <mergeCells count="35">
    <mergeCell ref="A1:R1"/>
    <mergeCell ref="P5:Q5"/>
    <mergeCell ref="A7:C7"/>
    <mergeCell ref="G7:I7"/>
    <mergeCell ref="M4:Q4"/>
    <mergeCell ref="A2:R2"/>
    <mergeCell ref="J6:K6"/>
    <mergeCell ref="A8:C8"/>
    <mergeCell ref="P6:Q6"/>
    <mergeCell ref="P8:Q8"/>
    <mergeCell ref="J8:K8"/>
    <mergeCell ref="M8:O8"/>
    <mergeCell ref="D7:E7"/>
    <mergeCell ref="P7:Q7"/>
    <mergeCell ref="J7:K7"/>
    <mergeCell ref="G4:K4"/>
    <mergeCell ref="D8:E8"/>
    <mergeCell ref="A4:E4"/>
    <mergeCell ref="D5:E5"/>
    <mergeCell ref="A6:C6"/>
    <mergeCell ref="M5:O5"/>
    <mergeCell ref="J5:K5"/>
    <mergeCell ref="G6:I6"/>
    <mergeCell ref="A16:R16"/>
    <mergeCell ref="M7:O7"/>
    <mergeCell ref="M6:O6"/>
    <mergeCell ref="A12:R12"/>
    <mergeCell ref="D6:E6"/>
    <mergeCell ref="A5:C5"/>
    <mergeCell ref="G5:I5"/>
    <mergeCell ref="A14:R14"/>
    <mergeCell ref="A10:R10"/>
    <mergeCell ref="A13:R13"/>
    <mergeCell ref="A11:R11"/>
    <mergeCell ref="G8:I8"/>
  </mergeCells>
  <conditionalFormatting sqref="D19:E138">
    <cfRule type="cellIs" dxfId="41" priority="3" operator="lessThan">
      <formula>3</formula>
    </cfRule>
  </conditionalFormatting>
  <conditionalFormatting sqref="F19:F138">
    <cfRule type="cellIs" dxfId="40" priority="4" operator="greaterThan">
      <formula>5</formula>
    </cfRule>
  </conditionalFormatting>
  <conditionalFormatting sqref="G19:G138">
    <cfRule type="expression" dxfId="39" priority="1">
      <formula>G19="⚠ REVISAR"</formula>
    </cfRule>
    <cfRule type="expression" dxfId="38" priority="2">
      <formula>G19="OK"</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S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197" t="s">
        <v>48</v>
      </c>
      <c r="B1" s="168"/>
      <c r="C1" s="168"/>
      <c r="D1" s="168"/>
      <c r="E1" s="168"/>
      <c r="F1" s="168"/>
      <c r="G1" s="168"/>
      <c r="H1" s="168"/>
      <c r="I1" s="168"/>
      <c r="J1" s="168"/>
      <c r="K1" s="168"/>
      <c r="L1" s="168"/>
      <c r="M1" s="168"/>
      <c r="N1" s="168"/>
      <c r="O1" s="168"/>
      <c r="P1" s="168"/>
    </row>
    <row r="2" spans="1:19" ht="15" customHeight="1">
      <c r="A2" s="198" t="s">
        <v>1</v>
      </c>
      <c r="B2" s="168"/>
      <c r="C2" s="168"/>
      <c r="D2" s="168"/>
      <c r="E2" s="168"/>
      <c r="F2" s="168"/>
      <c r="G2" s="168"/>
      <c r="H2" s="168"/>
      <c r="I2" s="168"/>
      <c r="J2" s="168"/>
      <c r="K2" s="168"/>
      <c r="L2" s="168"/>
      <c r="M2" s="168"/>
      <c r="N2" s="168"/>
      <c r="O2" s="168"/>
      <c r="P2" s="168"/>
    </row>
    <row r="3" spans="1:19" ht="22.05" customHeight="1">
      <c r="A3" s="196" t="s">
        <v>2</v>
      </c>
      <c r="B3" s="196" t="s">
        <v>3</v>
      </c>
      <c r="C3" s="196" t="s">
        <v>4</v>
      </c>
      <c r="D3" s="165"/>
      <c r="E3" s="165"/>
      <c r="F3" s="166"/>
      <c r="G3" s="196" t="s">
        <v>5</v>
      </c>
      <c r="H3" s="165"/>
      <c r="I3" s="165"/>
      <c r="J3" s="166"/>
      <c r="K3" s="196" t="s">
        <v>49</v>
      </c>
      <c r="L3" s="165"/>
      <c r="M3" s="165"/>
      <c r="N3" s="166"/>
      <c r="O3" s="170" t="s">
        <v>7</v>
      </c>
      <c r="P3" s="165"/>
      <c r="Q3" s="165"/>
      <c r="R3" s="166"/>
      <c r="S3" s="172" t="s">
        <v>9</v>
      </c>
    </row>
    <row r="4" spans="1:19" ht="18" customHeight="1">
      <c r="A4" s="169"/>
      <c r="B4" s="169"/>
      <c r="C4" s="120" t="s">
        <v>10</v>
      </c>
      <c r="D4" s="120" t="s">
        <v>11</v>
      </c>
      <c r="E4" s="120" t="s">
        <v>12</v>
      </c>
      <c r="F4" s="113" t="s">
        <v>13</v>
      </c>
      <c r="G4" s="120" t="s">
        <v>10</v>
      </c>
      <c r="H4" s="120" t="s">
        <v>11</v>
      </c>
      <c r="I4" s="120" t="s">
        <v>12</v>
      </c>
      <c r="J4" s="113" t="s">
        <v>13</v>
      </c>
      <c r="K4" s="120" t="s">
        <v>10</v>
      </c>
      <c r="L4" s="120" t="s">
        <v>11</v>
      </c>
      <c r="M4" s="120" t="s">
        <v>12</v>
      </c>
      <c r="N4" s="113" t="s">
        <v>13</v>
      </c>
      <c r="O4" s="121" t="s">
        <v>10</v>
      </c>
      <c r="P4" s="121" t="s">
        <v>11</v>
      </c>
      <c r="Q4" s="121" t="s">
        <v>12</v>
      </c>
      <c r="R4" s="121" t="s">
        <v>13</v>
      </c>
      <c r="S4" s="169"/>
    </row>
    <row r="5" spans="1:19" ht="16.05" customHeight="1">
      <c r="A5" s="118">
        <v>1</v>
      </c>
      <c r="B5" s="119">
        <f>MAESTRO!B5</f>
        <v>0</v>
      </c>
      <c r="C5" s="122" t="str">
        <f>IF(MAESTRO!B5="","",IFERROR('PROM (Ingles 7°)'!AE5,""))</f>
        <v/>
      </c>
      <c r="D5" s="122" t="str">
        <f>IF(MAESTRO!B5="","",IFERROR('PROM (Ingles 7°)'!BM5,""))</f>
        <v/>
      </c>
      <c r="E5" s="122" t="str">
        <f>IF(MAESTRO!B5="","",IFERROR('PROM (Ingles 7°)'!CU5,""))</f>
        <v/>
      </c>
      <c r="F5" s="123" t="str">
        <f>IF(MAESTRO!B5="","",IFERROR(TRUNC(AVERAGE(C5,D5,E5),1),""))</f>
        <v/>
      </c>
      <c r="G5" s="122" t="str">
        <f>IF(MAESTRO!B5="","",IFERROR('PROM (Agropecuaria 7°)'!AE5,""))</f>
        <v/>
      </c>
      <c r="H5" s="122" t="str">
        <f>IF(MAESTRO!B5="","",IFERROR('PROM (Agropecuaria 7°)'!BM5,""))</f>
        <v/>
      </c>
      <c r="I5" s="122" t="str">
        <f>IF(MAESTRO!B5="","",IFERROR('PROM (Agropecuaria 7°)'!CU5,""))</f>
        <v/>
      </c>
      <c r="J5" s="123" t="str">
        <f>IF(MAESTRO!B5="","",IFERROR(TRUNC(AVERAGE(G5,H5,I5),1),""))</f>
        <v/>
      </c>
      <c r="K5" s="122" t="str">
        <f>IF(MAESTRO!B5="","",IFERROR('PROM (Hogar y Desarrollo 7°)'!AE5,""))</f>
        <v/>
      </c>
      <c r="L5" s="122" t="str">
        <f>IF(MAESTRO!B5="","",IFERROR('PROM (Hogar y Desarrollo 7°)'!BM5,""))</f>
        <v/>
      </c>
      <c r="M5" s="122" t="str">
        <f>IF(MAESTRO!B5="","",IFERROR('PROM (Hogar y Desarrollo 7°)'!CU5,""))</f>
        <v/>
      </c>
      <c r="N5" s="123" t="str">
        <f>IF(MAESTRO!B5="","",IFERROR(TRUNC(AVERAGE(K5,L5,M5),1),""))</f>
        <v/>
      </c>
      <c r="O5" s="124" t="str">
        <f>IF(MAESTRO!B5="","",IFERROR(AVERAGE(G5,K5),""))</f>
        <v/>
      </c>
      <c r="P5" s="124" t="str">
        <f>IF(MAESTRO!B5="","",IFERROR(AVERAGE(H5,L5),""))</f>
        <v/>
      </c>
      <c r="Q5" s="124" t="str">
        <f>IF(MAESTRO!B5="","",IFERROR(AVERAGE(I5,M5),""))</f>
        <v/>
      </c>
      <c r="R5" s="124" t="str">
        <f>IF(MAESTRO!B5="","",IFERROR(TRUNC(AVERAGE(O5,P5,Q5),1),""))</f>
        <v/>
      </c>
      <c r="S5" s="123" t="str">
        <f>IF(MAESTRO!B5="","",IF(AND(F5="",J5="",N5="",R5=""),"",IF(Y(OR(F5="",F5&gt;=3),OR(J5="",J5&gt;=3),OR(N5="",N5&gt;=3),OR(R5="",R5&gt;=3)),"✓ APROBADO","✗ REPROBADO")))</f>
        <v/>
      </c>
    </row>
    <row r="6" spans="1:19" ht="16.05" customHeight="1">
      <c r="A6" s="116">
        <v>2</v>
      </c>
      <c r="B6" s="117">
        <f>MAESTRO!B6</f>
        <v>0</v>
      </c>
      <c r="C6" s="125" t="str">
        <f>IF(MAESTRO!B6="","",IFERROR('PROM (Ingles 7°)'!AE6,""))</f>
        <v/>
      </c>
      <c r="D6" s="125" t="str">
        <f>IF(MAESTRO!B6="","",IFERROR('PROM (Ingles 7°)'!BM6,""))</f>
        <v/>
      </c>
      <c r="E6" s="125" t="str">
        <f>IF(MAESTRO!B6="","",IFERROR('PROM (Ingles 7°)'!CU6,""))</f>
        <v/>
      </c>
      <c r="F6" s="126" t="str">
        <f>IF(MAESTRO!B6="","",IFERROR(TRUNC(AVERAGE(C6,D6,E6),1),""))</f>
        <v/>
      </c>
      <c r="G6" s="125" t="str">
        <f>IF(MAESTRO!B6="","",IFERROR('PROM (Agropecuaria 7°)'!AE6,""))</f>
        <v/>
      </c>
      <c r="H6" s="125" t="str">
        <f>IF(MAESTRO!B6="","",IFERROR('PROM (Agropecuaria 7°)'!BM6,""))</f>
        <v/>
      </c>
      <c r="I6" s="125" t="str">
        <f>IF(MAESTRO!B6="","",IFERROR('PROM (Agropecuaria 7°)'!CU6,""))</f>
        <v/>
      </c>
      <c r="J6" s="126" t="str">
        <f>IF(MAESTRO!B6="","",IFERROR(TRUNC(AVERAGE(G6,H6,I6),1),""))</f>
        <v/>
      </c>
      <c r="K6" s="125" t="str">
        <f>IF(MAESTRO!B6="","",IFERROR('PROM (Hogar y Desarrollo 7°)'!AE6,""))</f>
        <v/>
      </c>
      <c r="L6" s="125" t="str">
        <f>IF(MAESTRO!B6="","",IFERROR('PROM (Hogar y Desarrollo 7°)'!BM6,""))</f>
        <v/>
      </c>
      <c r="M6" s="125" t="str">
        <f>IF(MAESTRO!B6="","",IFERROR('PROM (Hogar y Desarrollo 7°)'!CU6,""))</f>
        <v/>
      </c>
      <c r="N6" s="126" t="str">
        <f>IF(MAESTRO!B6="","",IFERROR(TRUNC(AVERAGE(K6,L6,M6),1),""))</f>
        <v/>
      </c>
      <c r="O6" s="124" t="str">
        <f>IF(MAESTRO!B6="","",IFERROR(AVERAGE(G6,K6),""))</f>
        <v/>
      </c>
      <c r="P6" s="124" t="str">
        <f>IF(MAESTRO!B6="","",IFERROR(AVERAGE(H6,L6),""))</f>
        <v/>
      </c>
      <c r="Q6" s="124" t="str">
        <f>IF(MAESTRO!B6="","",IFERROR(AVERAGE(I6,M6),""))</f>
        <v/>
      </c>
      <c r="R6" s="124" t="str">
        <f>IF(MAESTRO!B6="","",IFERROR(TRUNC(AVERAGE(O6,P6,Q6),1),""))</f>
        <v/>
      </c>
      <c r="S6" s="126" t="str">
        <f>IF(MAESTRO!B6="","",IF(AND(F6="",J6="",N6="",R6=""),"",IF(Y(OR(F6="",F6&gt;=3),OR(J6="",J6&gt;=3),OR(N6="",N6&gt;=3),OR(R6="",R6&gt;=3)),"✓ APROBADO","✗ REPROBADO")))</f>
        <v/>
      </c>
    </row>
    <row r="7" spans="1:19" ht="16.05" customHeight="1">
      <c r="A7" s="118">
        <v>3</v>
      </c>
      <c r="B7" s="119">
        <f>MAESTRO!B7</f>
        <v>0</v>
      </c>
      <c r="C7" s="122" t="str">
        <f>IF(MAESTRO!B7="","",IFERROR('PROM (Ingles 7°)'!AE7,""))</f>
        <v/>
      </c>
      <c r="D7" s="122" t="str">
        <f>IF(MAESTRO!B7="","",IFERROR('PROM (Ingles 7°)'!BM7,""))</f>
        <v/>
      </c>
      <c r="E7" s="122" t="str">
        <f>IF(MAESTRO!B7="","",IFERROR('PROM (Ingles 7°)'!CU7,""))</f>
        <v/>
      </c>
      <c r="F7" s="123" t="str">
        <f>IF(MAESTRO!B7="","",IFERROR(TRUNC(AVERAGE(C7,D7,E7),1),""))</f>
        <v/>
      </c>
      <c r="G7" s="122" t="str">
        <f>IF(MAESTRO!B7="","",IFERROR('PROM (Agropecuaria 7°)'!AE7,""))</f>
        <v/>
      </c>
      <c r="H7" s="122" t="str">
        <f>IF(MAESTRO!B7="","",IFERROR('PROM (Agropecuaria 7°)'!BM7,""))</f>
        <v/>
      </c>
      <c r="I7" s="122" t="str">
        <f>IF(MAESTRO!B7="","",IFERROR('PROM (Agropecuaria 7°)'!CU7,""))</f>
        <v/>
      </c>
      <c r="J7" s="123" t="str">
        <f>IF(MAESTRO!B7="","",IFERROR(TRUNC(AVERAGE(G7,H7,I7),1),""))</f>
        <v/>
      </c>
      <c r="K7" s="122" t="str">
        <f>IF(MAESTRO!B7="","",IFERROR('PROM (Hogar y Desarrollo 7°)'!AE7,""))</f>
        <v/>
      </c>
      <c r="L7" s="122" t="str">
        <f>IF(MAESTRO!B7="","",IFERROR('PROM (Hogar y Desarrollo 7°)'!BM7,""))</f>
        <v/>
      </c>
      <c r="M7" s="122" t="str">
        <f>IF(MAESTRO!B7="","",IFERROR('PROM (Hogar y Desarrollo 7°)'!CU7,""))</f>
        <v/>
      </c>
      <c r="N7" s="123" t="str">
        <f>IF(MAESTRO!B7="","",IFERROR(TRUNC(AVERAGE(K7,L7,M7),1),""))</f>
        <v/>
      </c>
      <c r="O7" s="124" t="str">
        <f>IF(MAESTRO!B7="","",IFERROR(AVERAGE(G7,K7),""))</f>
        <v/>
      </c>
      <c r="P7" s="124" t="str">
        <f>IF(MAESTRO!B7="","",IFERROR(AVERAGE(H7,L7),""))</f>
        <v/>
      </c>
      <c r="Q7" s="124" t="str">
        <f>IF(MAESTRO!B7="","",IFERROR(AVERAGE(I7,M7),""))</f>
        <v/>
      </c>
      <c r="R7" s="124" t="str">
        <f>IF(MAESTRO!B7="","",IFERROR(TRUNC(AVERAGE(O7,P7,Q7),1),""))</f>
        <v/>
      </c>
      <c r="S7" s="123" t="str">
        <f>IF(MAESTRO!B7="","",IF(AND(F7="",J7="",N7="",R7=""),"",IF(Y(OR(F7="",F7&gt;=3),OR(J7="",J7&gt;=3),OR(N7="",N7&gt;=3),OR(R7="",R7&gt;=3)),"✓ APROBADO","✗ REPROBADO")))</f>
        <v/>
      </c>
    </row>
    <row r="8" spans="1:19" ht="16.05" customHeight="1">
      <c r="A8" s="116">
        <v>4</v>
      </c>
      <c r="B8" s="117">
        <f>MAESTRO!B8</f>
        <v>0</v>
      </c>
      <c r="C8" s="125" t="str">
        <f>IF(MAESTRO!B8="","",IFERROR('PROM (Ingles 7°)'!AE8,""))</f>
        <v/>
      </c>
      <c r="D8" s="125" t="str">
        <f>IF(MAESTRO!B8="","",IFERROR('PROM (Ingles 7°)'!BM8,""))</f>
        <v/>
      </c>
      <c r="E8" s="125" t="str">
        <f>IF(MAESTRO!B8="","",IFERROR('PROM (Ingles 7°)'!CU8,""))</f>
        <v/>
      </c>
      <c r="F8" s="126" t="str">
        <f>IF(MAESTRO!B8="","",IFERROR(TRUNC(AVERAGE(C8,D8,E8),1),""))</f>
        <v/>
      </c>
      <c r="G8" s="125" t="str">
        <f>IF(MAESTRO!B8="","",IFERROR('PROM (Agropecuaria 7°)'!AE8,""))</f>
        <v/>
      </c>
      <c r="H8" s="125" t="str">
        <f>IF(MAESTRO!B8="","",IFERROR('PROM (Agropecuaria 7°)'!BM8,""))</f>
        <v/>
      </c>
      <c r="I8" s="125" t="str">
        <f>IF(MAESTRO!B8="","",IFERROR('PROM (Agropecuaria 7°)'!CU8,""))</f>
        <v/>
      </c>
      <c r="J8" s="126" t="str">
        <f>IF(MAESTRO!B8="","",IFERROR(TRUNC(AVERAGE(G8,H8,I8),1),""))</f>
        <v/>
      </c>
      <c r="K8" s="125" t="str">
        <f>IF(MAESTRO!B8="","",IFERROR('PROM (Hogar y Desarrollo 7°)'!AE8,""))</f>
        <v/>
      </c>
      <c r="L8" s="125" t="str">
        <f>IF(MAESTRO!B8="","",IFERROR('PROM (Hogar y Desarrollo 7°)'!BM8,""))</f>
        <v/>
      </c>
      <c r="M8" s="125" t="str">
        <f>IF(MAESTRO!B8="","",IFERROR('PROM (Hogar y Desarrollo 7°)'!CU8,""))</f>
        <v/>
      </c>
      <c r="N8" s="126" t="str">
        <f>IF(MAESTRO!B8="","",IFERROR(TRUNC(AVERAGE(K8,L8,M8),1),""))</f>
        <v/>
      </c>
      <c r="O8" s="124" t="str">
        <f>IF(MAESTRO!B8="","",IFERROR(AVERAGE(G8,K8),""))</f>
        <v/>
      </c>
      <c r="P8" s="124" t="str">
        <f>IF(MAESTRO!B8="","",IFERROR(AVERAGE(H8,L8),""))</f>
        <v/>
      </c>
      <c r="Q8" s="124" t="str">
        <f>IF(MAESTRO!B8="","",IFERROR(AVERAGE(I8,M8),""))</f>
        <v/>
      </c>
      <c r="R8" s="124" t="str">
        <f>IF(MAESTRO!B8="","",IFERROR(TRUNC(AVERAGE(O8,P8,Q8),1),""))</f>
        <v/>
      </c>
      <c r="S8" s="126" t="str">
        <f>IF(MAESTRO!B8="","",IF(AND(F8="",J8="",N8="",R8=""),"",IF(Y(OR(F8="",F8&gt;=3),OR(J8="",J8&gt;=3),OR(N8="",N8&gt;=3),OR(R8="",R8&gt;=3)),"✓ APROBADO","✗ REPROBADO")))</f>
        <v/>
      </c>
    </row>
    <row r="9" spans="1:19" ht="16.05" customHeight="1">
      <c r="A9" s="118">
        <v>5</v>
      </c>
      <c r="B9" s="119">
        <f>MAESTRO!B9</f>
        <v>0</v>
      </c>
      <c r="C9" s="122" t="str">
        <f>IF(MAESTRO!B9="","",IFERROR('PROM (Ingles 7°)'!AE9,""))</f>
        <v/>
      </c>
      <c r="D9" s="122" t="str">
        <f>IF(MAESTRO!B9="","",IFERROR('PROM (Ingles 7°)'!BM9,""))</f>
        <v/>
      </c>
      <c r="E9" s="122" t="str">
        <f>IF(MAESTRO!B9="","",IFERROR('PROM (Ingles 7°)'!CU9,""))</f>
        <v/>
      </c>
      <c r="F9" s="123" t="str">
        <f>IF(MAESTRO!B9="","",IFERROR(TRUNC(AVERAGE(C9,D9,E9),1),""))</f>
        <v/>
      </c>
      <c r="G9" s="122" t="str">
        <f>IF(MAESTRO!B9="","",IFERROR('PROM (Agropecuaria 7°)'!AE9,""))</f>
        <v/>
      </c>
      <c r="H9" s="122" t="str">
        <f>IF(MAESTRO!B9="","",IFERROR('PROM (Agropecuaria 7°)'!BM9,""))</f>
        <v/>
      </c>
      <c r="I9" s="122" t="str">
        <f>IF(MAESTRO!B9="","",IFERROR('PROM (Agropecuaria 7°)'!CU9,""))</f>
        <v/>
      </c>
      <c r="J9" s="123" t="str">
        <f>IF(MAESTRO!B9="","",IFERROR(TRUNC(AVERAGE(G9,H9,I9),1),""))</f>
        <v/>
      </c>
      <c r="K9" s="122" t="str">
        <f>IF(MAESTRO!B9="","",IFERROR('PROM (Hogar y Desarrollo 7°)'!AE9,""))</f>
        <v/>
      </c>
      <c r="L9" s="122" t="str">
        <f>IF(MAESTRO!B9="","",IFERROR('PROM (Hogar y Desarrollo 7°)'!BM9,""))</f>
        <v/>
      </c>
      <c r="M9" s="122" t="str">
        <f>IF(MAESTRO!B9="","",IFERROR('PROM (Hogar y Desarrollo 7°)'!CU9,""))</f>
        <v/>
      </c>
      <c r="N9" s="123" t="str">
        <f>IF(MAESTRO!B9="","",IFERROR(TRUNC(AVERAGE(K9,L9,M9),1),""))</f>
        <v/>
      </c>
      <c r="O9" s="124" t="str">
        <f>IF(MAESTRO!B9="","",IFERROR(AVERAGE(G9,K9),""))</f>
        <v/>
      </c>
      <c r="P9" s="124" t="str">
        <f>IF(MAESTRO!B9="","",IFERROR(AVERAGE(H9,L9),""))</f>
        <v/>
      </c>
      <c r="Q9" s="124" t="str">
        <f>IF(MAESTRO!B9="","",IFERROR(AVERAGE(I9,M9),""))</f>
        <v/>
      </c>
      <c r="R9" s="124" t="str">
        <f>IF(MAESTRO!B9="","",IFERROR(TRUNC(AVERAGE(O9,P9,Q9),1),""))</f>
        <v/>
      </c>
      <c r="S9" s="123" t="str">
        <f>IF(MAESTRO!B9="","",IF(AND(F9="",J9="",N9="",R9=""),"",IF(Y(OR(F9="",F9&gt;=3),OR(J9="",J9&gt;=3),OR(N9="",N9&gt;=3),OR(R9="",R9&gt;=3)),"✓ APROBADO","✗ REPROBADO")))</f>
        <v/>
      </c>
    </row>
    <row r="10" spans="1:19" ht="16.05" customHeight="1">
      <c r="A10" s="116">
        <v>6</v>
      </c>
      <c r="B10" s="117">
        <f>MAESTRO!B10</f>
        <v>0</v>
      </c>
      <c r="C10" s="125" t="str">
        <f>IF(MAESTRO!B10="","",IFERROR('PROM (Ingles 7°)'!AE10,""))</f>
        <v/>
      </c>
      <c r="D10" s="125" t="str">
        <f>IF(MAESTRO!B10="","",IFERROR('PROM (Ingles 7°)'!BM10,""))</f>
        <v/>
      </c>
      <c r="E10" s="125" t="str">
        <f>IF(MAESTRO!B10="","",IFERROR('PROM (Ingles 7°)'!CU10,""))</f>
        <v/>
      </c>
      <c r="F10" s="126" t="str">
        <f>IF(MAESTRO!B10="","",IFERROR(TRUNC(AVERAGE(C10,D10,E10),1),""))</f>
        <v/>
      </c>
      <c r="G10" s="125" t="str">
        <f>IF(MAESTRO!B10="","",IFERROR('PROM (Agropecuaria 7°)'!AE10,""))</f>
        <v/>
      </c>
      <c r="H10" s="125" t="str">
        <f>IF(MAESTRO!B10="","",IFERROR('PROM (Agropecuaria 7°)'!BM10,""))</f>
        <v/>
      </c>
      <c r="I10" s="125" t="str">
        <f>IF(MAESTRO!B10="","",IFERROR('PROM (Agropecuaria 7°)'!CU10,""))</f>
        <v/>
      </c>
      <c r="J10" s="126" t="str">
        <f>IF(MAESTRO!B10="","",IFERROR(TRUNC(AVERAGE(G10,H10,I10),1),""))</f>
        <v/>
      </c>
      <c r="K10" s="125" t="str">
        <f>IF(MAESTRO!B10="","",IFERROR('PROM (Hogar y Desarrollo 7°)'!AE10,""))</f>
        <v/>
      </c>
      <c r="L10" s="125" t="str">
        <f>IF(MAESTRO!B10="","",IFERROR('PROM (Hogar y Desarrollo 7°)'!BM10,""))</f>
        <v/>
      </c>
      <c r="M10" s="125" t="str">
        <f>IF(MAESTRO!B10="","",IFERROR('PROM (Hogar y Desarrollo 7°)'!CU10,""))</f>
        <v/>
      </c>
      <c r="N10" s="126" t="str">
        <f>IF(MAESTRO!B10="","",IFERROR(TRUNC(AVERAGE(K10,L10,M10),1),""))</f>
        <v/>
      </c>
      <c r="O10" s="124" t="str">
        <f>IF(MAESTRO!B10="","",IFERROR(AVERAGE(G10,K10),""))</f>
        <v/>
      </c>
      <c r="P10" s="124" t="str">
        <f>IF(MAESTRO!B10="","",IFERROR(AVERAGE(H10,L10),""))</f>
        <v/>
      </c>
      <c r="Q10" s="124" t="str">
        <f>IF(MAESTRO!B10="","",IFERROR(AVERAGE(I10,M10),""))</f>
        <v/>
      </c>
      <c r="R10" s="124" t="str">
        <f>IF(MAESTRO!B10="","",IFERROR(TRUNC(AVERAGE(O10,P10,Q10),1),""))</f>
        <v/>
      </c>
      <c r="S10" s="126" t="str">
        <f>IF(MAESTRO!B10="","",IF(AND(F10="",J10="",N10="",R10=""),"",IF(Y(OR(F10="",F10&gt;=3),OR(J10="",J10&gt;=3),OR(N10="",N10&gt;=3),OR(R10="",R10&gt;=3)),"✓ APROBADO","✗ REPROBADO")))</f>
        <v/>
      </c>
    </row>
    <row r="11" spans="1:19" ht="16.05" customHeight="1">
      <c r="A11" s="118">
        <v>7</v>
      </c>
      <c r="B11" s="119">
        <f>MAESTRO!B11</f>
        <v>0</v>
      </c>
      <c r="C11" s="122" t="str">
        <f>IF(MAESTRO!B11="","",IFERROR('PROM (Ingles 7°)'!AE11,""))</f>
        <v/>
      </c>
      <c r="D11" s="122" t="str">
        <f>IF(MAESTRO!B11="","",IFERROR('PROM (Ingles 7°)'!BM11,""))</f>
        <v/>
      </c>
      <c r="E11" s="122" t="str">
        <f>IF(MAESTRO!B11="","",IFERROR('PROM (Ingles 7°)'!CU11,""))</f>
        <v/>
      </c>
      <c r="F11" s="123" t="str">
        <f>IF(MAESTRO!B11="","",IFERROR(TRUNC(AVERAGE(C11,D11,E11),1),""))</f>
        <v/>
      </c>
      <c r="G11" s="122" t="str">
        <f>IF(MAESTRO!B11="","",IFERROR('PROM (Agropecuaria 7°)'!AE11,""))</f>
        <v/>
      </c>
      <c r="H11" s="122" t="str">
        <f>IF(MAESTRO!B11="","",IFERROR('PROM (Agropecuaria 7°)'!BM11,""))</f>
        <v/>
      </c>
      <c r="I11" s="122" t="str">
        <f>IF(MAESTRO!B11="","",IFERROR('PROM (Agropecuaria 7°)'!CU11,""))</f>
        <v/>
      </c>
      <c r="J11" s="123" t="str">
        <f>IF(MAESTRO!B11="","",IFERROR(TRUNC(AVERAGE(G11,H11,I11),1),""))</f>
        <v/>
      </c>
      <c r="K11" s="122" t="str">
        <f>IF(MAESTRO!B11="","",IFERROR('PROM (Hogar y Desarrollo 7°)'!AE11,""))</f>
        <v/>
      </c>
      <c r="L11" s="122" t="str">
        <f>IF(MAESTRO!B11="","",IFERROR('PROM (Hogar y Desarrollo 7°)'!BM11,""))</f>
        <v/>
      </c>
      <c r="M11" s="122" t="str">
        <f>IF(MAESTRO!B11="","",IFERROR('PROM (Hogar y Desarrollo 7°)'!CU11,""))</f>
        <v/>
      </c>
      <c r="N11" s="123" t="str">
        <f>IF(MAESTRO!B11="","",IFERROR(TRUNC(AVERAGE(K11,L11,M11),1),""))</f>
        <v/>
      </c>
      <c r="O11" s="124" t="str">
        <f>IF(MAESTRO!B11="","",IFERROR(AVERAGE(G11,K11),""))</f>
        <v/>
      </c>
      <c r="P11" s="124" t="str">
        <f>IF(MAESTRO!B11="","",IFERROR(AVERAGE(H11,L11),""))</f>
        <v/>
      </c>
      <c r="Q11" s="124" t="str">
        <f>IF(MAESTRO!B11="","",IFERROR(AVERAGE(I11,M11),""))</f>
        <v/>
      </c>
      <c r="R11" s="124" t="str">
        <f>IF(MAESTRO!B11="","",IFERROR(TRUNC(AVERAGE(O11,P11,Q11),1),""))</f>
        <v/>
      </c>
      <c r="S11" s="123" t="str">
        <f>IF(MAESTRO!B11="","",IF(AND(F11="",J11="",N11="",R11=""),"",IF(Y(OR(F11="",F11&gt;=3),OR(J11="",J11&gt;=3),OR(N11="",N11&gt;=3),OR(R11="",R11&gt;=3)),"✓ APROBADO","✗ REPROBADO")))</f>
        <v/>
      </c>
    </row>
    <row r="12" spans="1:19" ht="16.05" customHeight="1">
      <c r="A12" s="116">
        <v>8</v>
      </c>
      <c r="B12" s="117">
        <f>MAESTRO!B12</f>
        <v>0</v>
      </c>
      <c r="C12" s="125" t="str">
        <f>IF(MAESTRO!B12="","",IFERROR('PROM (Ingles 7°)'!AE12,""))</f>
        <v/>
      </c>
      <c r="D12" s="125" t="str">
        <f>IF(MAESTRO!B12="","",IFERROR('PROM (Ingles 7°)'!BM12,""))</f>
        <v/>
      </c>
      <c r="E12" s="125" t="str">
        <f>IF(MAESTRO!B12="","",IFERROR('PROM (Ingles 7°)'!CU12,""))</f>
        <v/>
      </c>
      <c r="F12" s="126" t="str">
        <f>IF(MAESTRO!B12="","",IFERROR(TRUNC(AVERAGE(C12,D12,E12),1),""))</f>
        <v/>
      </c>
      <c r="G12" s="125" t="str">
        <f>IF(MAESTRO!B12="","",IFERROR('PROM (Agropecuaria 7°)'!AE12,""))</f>
        <v/>
      </c>
      <c r="H12" s="125" t="str">
        <f>IF(MAESTRO!B12="","",IFERROR('PROM (Agropecuaria 7°)'!BM12,""))</f>
        <v/>
      </c>
      <c r="I12" s="125" t="str">
        <f>IF(MAESTRO!B12="","",IFERROR('PROM (Agropecuaria 7°)'!CU12,""))</f>
        <v/>
      </c>
      <c r="J12" s="126" t="str">
        <f>IF(MAESTRO!B12="","",IFERROR(TRUNC(AVERAGE(G12,H12,I12),1),""))</f>
        <v/>
      </c>
      <c r="K12" s="125" t="str">
        <f>IF(MAESTRO!B12="","",IFERROR('PROM (Hogar y Desarrollo 7°)'!AE12,""))</f>
        <v/>
      </c>
      <c r="L12" s="125" t="str">
        <f>IF(MAESTRO!B12="","",IFERROR('PROM (Hogar y Desarrollo 7°)'!BM12,""))</f>
        <v/>
      </c>
      <c r="M12" s="125" t="str">
        <f>IF(MAESTRO!B12="","",IFERROR('PROM (Hogar y Desarrollo 7°)'!CU12,""))</f>
        <v/>
      </c>
      <c r="N12" s="126" t="str">
        <f>IF(MAESTRO!B12="","",IFERROR(TRUNC(AVERAGE(K12,L12,M12),1),""))</f>
        <v/>
      </c>
      <c r="O12" s="124" t="str">
        <f>IF(MAESTRO!B12="","",IFERROR(AVERAGE(G12,K12),""))</f>
        <v/>
      </c>
      <c r="P12" s="124" t="str">
        <f>IF(MAESTRO!B12="","",IFERROR(AVERAGE(H12,L12),""))</f>
        <v/>
      </c>
      <c r="Q12" s="124" t="str">
        <f>IF(MAESTRO!B12="","",IFERROR(AVERAGE(I12,M12),""))</f>
        <v/>
      </c>
      <c r="R12" s="124" t="str">
        <f>IF(MAESTRO!B12="","",IFERROR(TRUNC(AVERAGE(O12,P12,Q12),1),""))</f>
        <v/>
      </c>
      <c r="S12" s="126" t="str">
        <f>IF(MAESTRO!B12="","",IF(AND(F12="",J12="",N12="",R12=""),"",IF(Y(OR(F12="",F12&gt;=3),OR(J12="",J12&gt;=3),OR(N12="",N12&gt;=3),OR(R12="",R12&gt;=3)),"✓ APROBADO","✗ REPROBADO")))</f>
        <v/>
      </c>
    </row>
    <row r="13" spans="1:19" ht="16.05" customHeight="1">
      <c r="A13" s="118">
        <v>9</v>
      </c>
      <c r="B13" s="119">
        <f>MAESTRO!B13</f>
        <v>0</v>
      </c>
      <c r="C13" s="122" t="str">
        <f>IF(MAESTRO!B13="","",IFERROR('PROM (Ingles 7°)'!AE13,""))</f>
        <v/>
      </c>
      <c r="D13" s="122" t="str">
        <f>IF(MAESTRO!B13="","",IFERROR('PROM (Ingles 7°)'!BM13,""))</f>
        <v/>
      </c>
      <c r="E13" s="122" t="str">
        <f>IF(MAESTRO!B13="","",IFERROR('PROM (Ingles 7°)'!CU13,""))</f>
        <v/>
      </c>
      <c r="F13" s="123" t="str">
        <f>IF(MAESTRO!B13="","",IFERROR(TRUNC(AVERAGE(C13,D13,E13),1),""))</f>
        <v/>
      </c>
      <c r="G13" s="122" t="str">
        <f>IF(MAESTRO!B13="","",IFERROR('PROM (Agropecuaria 7°)'!AE13,""))</f>
        <v/>
      </c>
      <c r="H13" s="122" t="str">
        <f>IF(MAESTRO!B13="","",IFERROR('PROM (Agropecuaria 7°)'!BM13,""))</f>
        <v/>
      </c>
      <c r="I13" s="122" t="str">
        <f>IF(MAESTRO!B13="","",IFERROR('PROM (Agropecuaria 7°)'!CU13,""))</f>
        <v/>
      </c>
      <c r="J13" s="123" t="str">
        <f>IF(MAESTRO!B13="","",IFERROR(TRUNC(AVERAGE(G13,H13,I13),1),""))</f>
        <v/>
      </c>
      <c r="K13" s="122" t="str">
        <f>IF(MAESTRO!B13="","",IFERROR('PROM (Hogar y Desarrollo 7°)'!AE13,""))</f>
        <v/>
      </c>
      <c r="L13" s="122" t="str">
        <f>IF(MAESTRO!B13="","",IFERROR('PROM (Hogar y Desarrollo 7°)'!BM13,""))</f>
        <v/>
      </c>
      <c r="M13" s="122" t="str">
        <f>IF(MAESTRO!B13="","",IFERROR('PROM (Hogar y Desarrollo 7°)'!CU13,""))</f>
        <v/>
      </c>
      <c r="N13" s="123" t="str">
        <f>IF(MAESTRO!B13="","",IFERROR(TRUNC(AVERAGE(K13,L13,M13),1),""))</f>
        <v/>
      </c>
      <c r="O13" s="124" t="str">
        <f>IF(MAESTRO!B13="","",IFERROR(AVERAGE(G13,K13),""))</f>
        <v/>
      </c>
      <c r="P13" s="124" t="str">
        <f>IF(MAESTRO!B13="","",IFERROR(AVERAGE(H13,L13),""))</f>
        <v/>
      </c>
      <c r="Q13" s="124" t="str">
        <f>IF(MAESTRO!B13="","",IFERROR(AVERAGE(I13,M13),""))</f>
        <v/>
      </c>
      <c r="R13" s="124" t="str">
        <f>IF(MAESTRO!B13="","",IFERROR(TRUNC(AVERAGE(O13,P13,Q13),1),""))</f>
        <v/>
      </c>
      <c r="S13" s="123" t="str">
        <f>IF(MAESTRO!B13="","",IF(AND(F13="",J13="",N13="",R13=""),"",IF(Y(OR(F13="",F13&gt;=3),OR(J13="",J13&gt;=3),OR(N13="",N13&gt;=3),OR(R13="",R13&gt;=3)),"✓ APROBADO","✗ REPROBADO")))</f>
        <v/>
      </c>
    </row>
    <row r="14" spans="1:19" ht="16.05" customHeight="1">
      <c r="A14" s="116">
        <v>10</v>
      </c>
      <c r="B14" s="117">
        <f>MAESTRO!B14</f>
        <v>0</v>
      </c>
      <c r="C14" s="125" t="str">
        <f>IF(MAESTRO!B14="","",IFERROR('PROM (Ingles 7°)'!AE14,""))</f>
        <v/>
      </c>
      <c r="D14" s="125" t="str">
        <f>IF(MAESTRO!B14="","",IFERROR('PROM (Ingles 7°)'!BM14,""))</f>
        <v/>
      </c>
      <c r="E14" s="125" t="str">
        <f>IF(MAESTRO!B14="","",IFERROR('PROM (Ingles 7°)'!CU14,""))</f>
        <v/>
      </c>
      <c r="F14" s="126" t="str">
        <f>IF(MAESTRO!B14="","",IFERROR(TRUNC(AVERAGE(C14,D14,E14),1),""))</f>
        <v/>
      </c>
      <c r="G14" s="125" t="str">
        <f>IF(MAESTRO!B14="","",IFERROR('PROM (Agropecuaria 7°)'!AE14,""))</f>
        <v/>
      </c>
      <c r="H14" s="125" t="str">
        <f>IF(MAESTRO!B14="","",IFERROR('PROM (Agropecuaria 7°)'!BM14,""))</f>
        <v/>
      </c>
      <c r="I14" s="125" t="str">
        <f>IF(MAESTRO!B14="","",IFERROR('PROM (Agropecuaria 7°)'!CU14,""))</f>
        <v/>
      </c>
      <c r="J14" s="126" t="str">
        <f>IF(MAESTRO!B14="","",IFERROR(TRUNC(AVERAGE(G14,H14,I14),1),""))</f>
        <v/>
      </c>
      <c r="K14" s="125" t="str">
        <f>IF(MAESTRO!B14="","",IFERROR('PROM (Hogar y Desarrollo 7°)'!AE14,""))</f>
        <v/>
      </c>
      <c r="L14" s="125" t="str">
        <f>IF(MAESTRO!B14="","",IFERROR('PROM (Hogar y Desarrollo 7°)'!BM14,""))</f>
        <v/>
      </c>
      <c r="M14" s="125" t="str">
        <f>IF(MAESTRO!B14="","",IFERROR('PROM (Hogar y Desarrollo 7°)'!CU14,""))</f>
        <v/>
      </c>
      <c r="N14" s="126" t="str">
        <f>IF(MAESTRO!B14="","",IFERROR(TRUNC(AVERAGE(K14,L14,M14),1),""))</f>
        <v/>
      </c>
      <c r="O14" s="124" t="str">
        <f>IF(MAESTRO!B14="","",IFERROR(AVERAGE(G14,K14),""))</f>
        <v/>
      </c>
      <c r="P14" s="124" t="str">
        <f>IF(MAESTRO!B14="","",IFERROR(AVERAGE(H14,L14),""))</f>
        <v/>
      </c>
      <c r="Q14" s="124" t="str">
        <f>IF(MAESTRO!B14="","",IFERROR(AVERAGE(I14,M14),""))</f>
        <v/>
      </c>
      <c r="R14" s="124" t="str">
        <f>IF(MAESTRO!B14="","",IFERROR(TRUNC(AVERAGE(O14,P14,Q14),1),""))</f>
        <v/>
      </c>
      <c r="S14" s="126" t="str">
        <f>IF(MAESTRO!B14="","",IF(AND(F14="",J14="",N14="",R14=""),"",IF(Y(OR(F14="",F14&gt;=3),OR(J14="",J14&gt;=3),OR(N14="",N14&gt;=3),OR(R14="",R14&gt;=3)),"✓ APROBADO","✗ REPROBADO")))</f>
        <v/>
      </c>
    </row>
    <row r="15" spans="1:19" ht="16.05" customHeight="1">
      <c r="A15" s="118">
        <v>11</v>
      </c>
      <c r="B15" s="119">
        <f>MAESTRO!B15</f>
        <v>0</v>
      </c>
      <c r="C15" s="122" t="str">
        <f>IF(MAESTRO!B15="","",IFERROR('PROM (Ingles 7°)'!AE15,""))</f>
        <v/>
      </c>
      <c r="D15" s="122" t="str">
        <f>IF(MAESTRO!B15="","",IFERROR('PROM (Ingles 7°)'!BM15,""))</f>
        <v/>
      </c>
      <c r="E15" s="122" t="str">
        <f>IF(MAESTRO!B15="","",IFERROR('PROM (Ingles 7°)'!CU15,""))</f>
        <v/>
      </c>
      <c r="F15" s="123" t="str">
        <f>IF(MAESTRO!B15="","",IFERROR(TRUNC(AVERAGE(C15,D15,E15),1),""))</f>
        <v/>
      </c>
      <c r="G15" s="122" t="str">
        <f>IF(MAESTRO!B15="","",IFERROR('PROM (Agropecuaria 7°)'!AE15,""))</f>
        <v/>
      </c>
      <c r="H15" s="122" t="str">
        <f>IF(MAESTRO!B15="","",IFERROR('PROM (Agropecuaria 7°)'!BM15,""))</f>
        <v/>
      </c>
      <c r="I15" s="122" t="str">
        <f>IF(MAESTRO!B15="","",IFERROR('PROM (Agropecuaria 7°)'!CU15,""))</f>
        <v/>
      </c>
      <c r="J15" s="123" t="str">
        <f>IF(MAESTRO!B15="","",IFERROR(TRUNC(AVERAGE(G15,H15,I15),1),""))</f>
        <v/>
      </c>
      <c r="K15" s="122" t="str">
        <f>IF(MAESTRO!B15="","",IFERROR('PROM (Hogar y Desarrollo 7°)'!AE15,""))</f>
        <v/>
      </c>
      <c r="L15" s="122" t="str">
        <f>IF(MAESTRO!B15="","",IFERROR('PROM (Hogar y Desarrollo 7°)'!BM15,""))</f>
        <v/>
      </c>
      <c r="M15" s="122" t="str">
        <f>IF(MAESTRO!B15="","",IFERROR('PROM (Hogar y Desarrollo 7°)'!CU15,""))</f>
        <v/>
      </c>
      <c r="N15" s="123" t="str">
        <f>IF(MAESTRO!B15="","",IFERROR(TRUNC(AVERAGE(K15,L15,M15),1),""))</f>
        <v/>
      </c>
      <c r="O15" s="124" t="str">
        <f>IF(MAESTRO!B15="","",IFERROR(AVERAGE(G15,K15),""))</f>
        <v/>
      </c>
      <c r="P15" s="124" t="str">
        <f>IF(MAESTRO!B15="","",IFERROR(AVERAGE(H15,L15),""))</f>
        <v/>
      </c>
      <c r="Q15" s="124" t="str">
        <f>IF(MAESTRO!B15="","",IFERROR(AVERAGE(I15,M15),""))</f>
        <v/>
      </c>
      <c r="R15" s="124" t="str">
        <f>IF(MAESTRO!B15="","",IFERROR(TRUNC(AVERAGE(O15,P15,Q15),1),""))</f>
        <v/>
      </c>
      <c r="S15" s="123" t="str">
        <f>IF(MAESTRO!B15="","",IF(AND(F15="",J15="",N15="",R15=""),"",IF(Y(OR(F15="",F15&gt;=3),OR(J15="",J15&gt;=3),OR(N15="",N15&gt;=3),OR(R15="",R15&gt;=3)),"✓ APROBADO","✗ REPROBADO")))</f>
        <v/>
      </c>
    </row>
    <row r="16" spans="1:19" ht="16.05" customHeight="1">
      <c r="A16" s="116">
        <v>12</v>
      </c>
      <c r="B16" s="117">
        <f>MAESTRO!B16</f>
        <v>0</v>
      </c>
      <c r="C16" s="125" t="str">
        <f>IF(MAESTRO!B16="","",IFERROR('PROM (Ingles 7°)'!AE16,""))</f>
        <v/>
      </c>
      <c r="D16" s="125" t="str">
        <f>IF(MAESTRO!B16="","",IFERROR('PROM (Ingles 7°)'!BM16,""))</f>
        <v/>
      </c>
      <c r="E16" s="125" t="str">
        <f>IF(MAESTRO!B16="","",IFERROR('PROM (Ingles 7°)'!CU16,""))</f>
        <v/>
      </c>
      <c r="F16" s="126" t="str">
        <f>IF(MAESTRO!B16="","",IFERROR(TRUNC(AVERAGE(C16,D16,E16),1),""))</f>
        <v/>
      </c>
      <c r="G16" s="125" t="str">
        <f>IF(MAESTRO!B16="","",IFERROR('PROM (Agropecuaria 7°)'!AE16,""))</f>
        <v/>
      </c>
      <c r="H16" s="125" t="str">
        <f>IF(MAESTRO!B16="","",IFERROR('PROM (Agropecuaria 7°)'!BM16,""))</f>
        <v/>
      </c>
      <c r="I16" s="125" t="str">
        <f>IF(MAESTRO!B16="","",IFERROR('PROM (Agropecuaria 7°)'!CU16,""))</f>
        <v/>
      </c>
      <c r="J16" s="126" t="str">
        <f>IF(MAESTRO!B16="","",IFERROR(TRUNC(AVERAGE(G16,H16,I16),1),""))</f>
        <v/>
      </c>
      <c r="K16" s="125" t="str">
        <f>IF(MAESTRO!B16="","",IFERROR('PROM (Hogar y Desarrollo 7°)'!AE16,""))</f>
        <v/>
      </c>
      <c r="L16" s="125" t="str">
        <f>IF(MAESTRO!B16="","",IFERROR('PROM (Hogar y Desarrollo 7°)'!BM16,""))</f>
        <v/>
      </c>
      <c r="M16" s="125" t="str">
        <f>IF(MAESTRO!B16="","",IFERROR('PROM (Hogar y Desarrollo 7°)'!CU16,""))</f>
        <v/>
      </c>
      <c r="N16" s="126" t="str">
        <f>IF(MAESTRO!B16="","",IFERROR(TRUNC(AVERAGE(K16,L16,M16),1),""))</f>
        <v/>
      </c>
      <c r="O16" s="124" t="str">
        <f>IF(MAESTRO!B16="","",IFERROR(AVERAGE(G16,K16),""))</f>
        <v/>
      </c>
      <c r="P16" s="124" t="str">
        <f>IF(MAESTRO!B16="","",IFERROR(AVERAGE(H16,L16),""))</f>
        <v/>
      </c>
      <c r="Q16" s="124" t="str">
        <f>IF(MAESTRO!B16="","",IFERROR(AVERAGE(I16,M16),""))</f>
        <v/>
      </c>
      <c r="R16" s="124" t="str">
        <f>IF(MAESTRO!B16="","",IFERROR(TRUNC(AVERAGE(O16,P16,Q16),1),""))</f>
        <v/>
      </c>
      <c r="S16" s="126" t="str">
        <f>IF(MAESTRO!B16="","",IF(AND(F16="",J16="",N16="",R16=""),"",IF(Y(OR(F16="",F16&gt;=3),OR(J16="",J16&gt;=3),OR(N16="",N16&gt;=3),OR(R16="",R16&gt;=3)),"✓ APROBADO","✗ REPROBADO")))</f>
        <v/>
      </c>
    </row>
    <row r="17" spans="1:19" ht="16.05" customHeight="1">
      <c r="A17" s="118">
        <v>13</v>
      </c>
      <c r="B17" s="119">
        <f>MAESTRO!B17</f>
        <v>0</v>
      </c>
      <c r="C17" s="122" t="str">
        <f>IF(MAESTRO!B17="","",IFERROR('PROM (Ingles 7°)'!AE17,""))</f>
        <v/>
      </c>
      <c r="D17" s="122" t="str">
        <f>IF(MAESTRO!B17="","",IFERROR('PROM (Ingles 7°)'!BM17,""))</f>
        <v/>
      </c>
      <c r="E17" s="122" t="str">
        <f>IF(MAESTRO!B17="","",IFERROR('PROM (Ingles 7°)'!CU17,""))</f>
        <v/>
      </c>
      <c r="F17" s="123" t="str">
        <f>IF(MAESTRO!B17="","",IFERROR(TRUNC(AVERAGE(C17,D17,E17),1),""))</f>
        <v/>
      </c>
      <c r="G17" s="122" t="str">
        <f>IF(MAESTRO!B17="","",IFERROR('PROM (Agropecuaria 7°)'!AE17,""))</f>
        <v/>
      </c>
      <c r="H17" s="122" t="str">
        <f>IF(MAESTRO!B17="","",IFERROR('PROM (Agropecuaria 7°)'!BM17,""))</f>
        <v/>
      </c>
      <c r="I17" s="122" t="str">
        <f>IF(MAESTRO!B17="","",IFERROR('PROM (Agropecuaria 7°)'!CU17,""))</f>
        <v/>
      </c>
      <c r="J17" s="123" t="str">
        <f>IF(MAESTRO!B17="","",IFERROR(TRUNC(AVERAGE(G17,H17,I17),1),""))</f>
        <v/>
      </c>
      <c r="K17" s="122" t="str">
        <f>IF(MAESTRO!B17="","",IFERROR('PROM (Hogar y Desarrollo 7°)'!AE17,""))</f>
        <v/>
      </c>
      <c r="L17" s="122" t="str">
        <f>IF(MAESTRO!B17="","",IFERROR('PROM (Hogar y Desarrollo 7°)'!BM17,""))</f>
        <v/>
      </c>
      <c r="M17" s="122" t="str">
        <f>IF(MAESTRO!B17="","",IFERROR('PROM (Hogar y Desarrollo 7°)'!CU17,""))</f>
        <v/>
      </c>
      <c r="N17" s="123" t="str">
        <f>IF(MAESTRO!B17="","",IFERROR(TRUNC(AVERAGE(K17,L17,M17),1),""))</f>
        <v/>
      </c>
      <c r="O17" s="124" t="str">
        <f>IF(MAESTRO!B17="","",IFERROR(AVERAGE(G17,K17),""))</f>
        <v/>
      </c>
      <c r="P17" s="124" t="str">
        <f>IF(MAESTRO!B17="","",IFERROR(AVERAGE(H17,L17),""))</f>
        <v/>
      </c>
      <c r="Q17" s="124" t="str">
        <f>IF(MAESTRO!B17="","",IFERROR(AVERAGE(I17,M17),""))</f>
        <v/>
      </c>
      <c r="R17" s="124" t="str">
        <f>IF(MAESTRO!B17="","",IFERROR(TRUNC(AVERAGE(O17,P17,Q17),1),""))</f>
        <v/>
      </c>
      <c r="S17" s="123" t="str">
        <f>IF(MAESTRO!B17="","",IF(AND(F17="",J17="",N17="",R17=""),"",IF(Y(OR(F17="",F17&gt;=3),OR(J17="",J17&gt;=3),OR(N17="",N17&gt;=3),OR(R17="",R17&gt;=3)),"✓ APROBADO","✗ REPROBADO")))</f>
        <v/>
      </c>
    </row>
    <row r="18" spans="1:19" ht="16.05" customHeight="1">
      <c r="A18" s="116">
        <v>14</v>
      </c>
      <c r="B18" s="117">
        <f>MAESTRO!B18</f>
        <v>0</v>
      </c>
      <c r="C18" s="125" t="str">
        <f>IF(MAESTRO!B18="","",IFERROR('PROM (Ingles 7°)'!AE18,""))</f>
        <v/>
      </c>
      <c r="D18" s="125" t="str">
        <f>IF(MAESTRO!B18="","",IFERROR('PROM (Ingles 7°)'!BM18,""))</f>
        <v/>
      </c>
      <c r="E18" s="125" t="str">
        <f>IF(MAESTRO!B18="","",IFERROR('PROM (Ingles 7°)'!CU18,""))</f>
        <v/>
      </c>
      <c r="F18" s="126" t="str">
        <f>IF(MAESTRO!B18="","",IFERROR(TRUNC(AVERAGE(C18,D18,E18),1),""))</f>
        <v/>
      </c>
      <c r="G18" s="125" t="str">
        <f>IF(MAESTRO!B18="","",IFERROR('PROM (Agropecuaria 7°)'!AE18,""))</f>
        <v/>
      </c>
      <c r="H18" s="125" t="str">
        <f>IF(MAESTRO!B18="","",IFERROR('PROM (Agropecuaria 7°)'!BM18,""))</f>
        <v/>
      </c>
      <c r="I18" s="125" t="str">
        <f>IF(MAESTRO!B18="","",IFERROR('PROM (Agropecuaria 7°)'!CU18,""))</f>
        <v/>
      </c>
      <c r="J18" s="126" t="str">
        <f>IF(MAESTRO!B18="","",IFERROR(TRUNC(AVERAGE(G18,H18,I18),1),""))</f>
        <v/>
      </c>
      <c r="K18" s="125" t="str">
        <f>IF(MAESTRO!B18="","",IFERROR('PROM (Hogar y Desarrollo 7°)'!AE18,""))</f>
        <v/>
      </c>
      <c r="L18" s="125" t="str">
        <f>IF(MAESTRO!B18="","",IFERROR('PROM (Hogar y Desarrollo 7°)'!BM18,""))</f>
        <v/>
      </c>
      <c r="M18" s="125" t="str">
        <f>IF(MAESTRO!B18="","",IFERROR('PROM (Hogar y Desarrollo 7°)'!CU18,""))</f>
        <v/>
      </c>
      <c r="N18" s="126" t="str">
        <f>IF(MAESTRO!B18="","",IFERROR(TRUNC(AVERAGE(K18,L18,M18),1),""))</f>
        <v/>
      </c>
      <c r="O18" s="124" t="str">
        <f>IF(MAESTRO!B18="","",IFERROR(AVERAGE(G18,K18),""))</f>
        <v/>
      </c>
      <c r="P18" s="124" t="str">
        <f>IF(MAESTRO!B18="","",IFERROR(AVERAGE(H18,L18),""))</f>
        <v/>
      </c>
      <c r="Q18" s="124" t="str">
        <f>IF(MAESTRO!B18="","",IFERROR(AVERAGE(I18,M18),""))</f>
        <v/>
      </c>
      <c r="R18" s="124" t="str">
        <f>IF(MAESTRO!B18="","",IFERROR(TRUNC(AVERAGE(O18,P18,Q18),1),""))</f>
        <v/>
      </c>
      <c r="S18" s="126" t="str">
        <f>IF(MAESTRO!B18="","",IF(AND(F18="",J18="",N18="",R18=""),"",IF(Y(OR(F18="",F18&gt;=3),OR(J18="",J18&gt;=3),OR(N18="",N18&gt;=3),OR(R18="",R18&gt;=3)),"✓ APROBADO","✗ REPROBADO")))</f>
        <v/>
      </c>
    </row>
    <row r="19" spans="1:19" ht="16.05" customHeight="1">
      <c r="A19" s="118">
        <v>15</v>
      </c>
      <c r="B19" s="119">
        <f>MAESTRO!B19</f>
        <v>0</v>
      </c>
      <c r="C19" s="122" t="str">
        <f>IF(MAESTRO!B19="","",IFERROR('PROM (Ingles 7°)'!AE19,""))</f>
        <v/>
      </c>
      <c r="D19" s="122" t="str">
        <f>IF(MAESTRO!B19="","",IFERROR('PROM (Ingles 7°)'!BM19,""))</f>
        <v/>
      </c>
      <c r="E19" s="122" t="str">
        <f>IF(MAESTRO!B19="","",IFERROR('PROM (Ingles 7°)'!CU19,""))</f>
        <v/>
      </c>
      <c r="F19" s="123" t="str">
        <f>IF(MAESTRO!B19="","",IFERROR(TRUNC(AVERAGE(C19,D19,E19),1),""))</f>
        <v/>
      </c>
      <c r="G19" s="122" t="str">
        <f>IF(MAESTRO!B19="","",IFERROR('PROM (Agropecuaria 7°)'!AE19,""))</f>
        <v/>
      </c>
      <c r="H19" s="122" t="str">
        <f>IF(MAESTRO!B19="","",IFERROR('PROM (Agropecuaria 7°)'!BM19,""))</f>
        <v/>
      </c>
      <c r="I19" s="122" t="str">
        <f>IF(MAESTRO!B19="","",IFERROR('PROM (Agropecuaria 7°)'!CU19,""))</f>
        <v/>
      </c>
      <c r="J19" s="123" t="str">
        <f>IF(MAESTRO!B19="","",IFERROR(TRUNC(AVERAGE(G19,H19,I19),1),""))</f>
        <v/>
      </c>
      <c r="K19" s="122" t="str">
        <f>IF(MAESTRO!B19="","",IFERROR('PROM (Hogar y Desarrollo 7°)'!AE19,""))</f>
        <v/>
      </c>
      <c r="L19" s="122" t="str">
        <f>IF(MAESTRO!B19="","",IFERROR('PROM (Hogar y Desarrollo 7°)'!BM19,""))</f>
        <v/>
      </c>
      <c r="M19" s="122" t="str">
        <f>IF(MAESTRO!B19="","",IFERROR('PROM (Hogar y Desarrollo 7°)'!CU19,""))</f>
        <v/>
      </c>
      <c r="N19" s="123" t="str">
        <f>IF(MAESTRO!B19="","",IFERROR(TRUNC(AVERAGE(K19,L19,M19),1),""))</f>
        <v/>
      </c>
      <c r="O19" s="124" t="str">
        <f>IF(MAESTRO!B19="","",IFERROR(AVERAGE(G19,K19),""))</f>
        <v/>
      </c>
      <c r="P19" s="124" t="str">
        <f>IF(MAESTRO!B19="","",IFERROR(AVERAGE(H19,L19),""))</f>
        <v/>
      </c>
      <c r="Q19" s="124" t="str">
        <f>IF(MAESTRO!B19="","",IFERROR(AVERAGE(I19,M19),""))</f>
        <v/>
      </c>
      <c r="R19" s="124" t="str">
        <f>IF(MAESTRO!B19="","",IFERROR(TRUNC(AVERAGE(O19,P19,Q19),1),""))</f>
        <v/>
      </c>
      <c r="S19" s="123" t="str">
        <f>IF(MAESTRO!B19="","",IF(AND(F19="",J19="",N19="",R19=""),"",IF(Y(OR(F19="",F19&gt;=3),OR(J19="",J19&gt;=3),OR(N19="",N19&gt;=3),OR(R19="",R19&gt;=3)),"✓ APROBADO","✗ REPROBADO")))</f>
        <v/>
      </c>
    </row>
    <row r="20" spans="1:19" ht="16.05" customHeight="1">
      <c r="A20" s="116">
        <v>16</v>
      </c>
      <c r="B20" s="117">
        <f>MAESTRO!B20</f>
        <v>0</v>
      </c>
      <c r="C20" s="125" t="str">
        <f>IF(MAESTRO!B20="","",IFERROR('PROM (Ingles 7°)'!AE20,""))</f>
        <v/>
      </c>
      <c r="D20" s="125" t="str">
        <f>IF(MAESTRO!B20="","",IFERROR('PROM (Ingles 7°)'!BM20,""))</f>
        <v/>
      </c>
      <c r="E20" s="125" t="str">
        <f>IF(MAESTRO!B20="","",IFERROR('PROM (Ingles 7°)'!CU20,""))</f>
        <v/>
      </c>
      <c r="F20" s="126" t="str">
        <f>IF(MAESTRO!B20="","",IFERROR(TRUNC(AVERAGE(C20,D20,E20),1),""))</f>
        <v/>
      </c>
      <c r="G20" s="125" t="str">
        <f>IF(MAESTRO!B20="","",IFERROR('PROM (Agropecuaria 7°)'!AE20,""))</f>
        <v/>
      </c>
      <c r="H20" s="125" t="str">
        <f>IF(MAESTRO!B20="","",IFERROR('PROM (Agropecuaria 7°)'!BM20,""))</f>
        <v/>
      </c>
      <c r="I20" s="125" t="str">
        <f>IF(MAESTRO!B20="","",IFERROR('PROM (Agropecuaria 7°)'!CU20,""))</f>
        <v/>
      </c>
      <c r="J20" s="126" t="str">
        <f>IF(MAESTRO!B20="","",IFERROR(TRUNC(AVERAGE(G20,H20,I20),1),""))</f>
        <v/>
      </c>
      <c r="K20" s="125" t="str">
        <f>IF(MAESTRO!B20="","",IFERROR('PROM (Hogar y Desarrollo 7°)'!AE20,""))</f>
        <v/>
      </c>
      <c r="L20" s="125" t="str">
        <f>IF(MAESTRO!B20="","",IFERROR('PROM (Hogar y Desarrollo 7°)'!BM20,""))</f>
        <v/>
      </c>
      <c r="M20" s="125" t="str">
        <f>IF(MAESTRO!B20="","",IFERROR('PROM (Hogar y Desarrollo 7°)'!CU20,""))</f>
        <v/>
      </c>
      <c r="N20" s="126" t="str">
        <f>IF(MAESTRO!B20="","",IFERROR(TRUNC(AVERAGE(K20,L20,M20),1),""))</f>
        <v/>
      </c>
      <c r="O20" s="124" t="str">
        <f>IF(MAESTRO!B20="","",IFERROR(AVERAGE(G20,K20),""))</f>
        <v/>
      </c>
      <c r="P20" s="124" t="str">
        <f>IF(MAESTRO!B20="","",IFERROR(AVERAGE(H20,L20),""))</f>
        <v/>
      </c>
      <c r="Q20" s="124" t="str">
        <f>IF(MAESTRO!B20="","",IFERROR(AVERAGE(I20,M20),""))</f>
        <v/>
      </c>
      <c r="R20" s="124" t="str">
        <f>IF(MAESTRO!B20="","",IFERROR(TRUNC(AVERAGE(O20,P20,Q20),1),""))</f>
        <v/>
      </c>
      <c r="S20" s="126" t="str">
        <f>IF(MAESTRO!B20="","",IF(AND(F20="",J20="",N20="",R20=""),"",IF(Y(OR(F20="",F20&gt;=3),OR(J20="",J20&gt;=3),OR(N20="",N20&gt;=3),OR(R20="",R20&gt;=3)),"✓ APROBADO","✗ REPROBADO")))</f>
        <v/>
      </c>
    </row>
    <row r="21" spans="1:19" ht="16.05" customHeight="1">
      <c r="A21" s="118">
        <v>17</v>
      </c>
      <c r="B21" s="119">
        <f>MAESTRO!B21</f>
        <v>0</v>
      </c>
      <c r="C21" s="122" t="str">
        <f>IF(MAESTRO!B21="","",IFERROR('PROM (Ingles 7°)'!AE21,""))</f>
        <v/>
      </c>
      <c r="D21" s="122" t="str">
        <f>IF(MAESTRO!B21="","",IFERROR('PROM (Ingles 7°)'!BM21,""))</f>
        <v/>
      </c>
      <c r="E21" s="122" t="str">
        <f>IF(MAESTRO!B21="","",IFERROR('PROM (Ingles 7°)'!CU21,""))</f>
        <v/>
      </c>
      <c r="F21" s="123" t="str">
        <f>IF(MAESTRO!B21="","",IFERROR(TRUNC(AVERAGE(C21,D21,E21),1),""))</f>
        <v/>
      </c>
      <c r="G21" s="122" t="str">
        <f>IF(MAESTRO!B21="","",IFERROR('PROM (Agropecuaria 7°)'!AE21,""))</f>
        <v/>
      </c>
      <c r="H21" s="122" t="str">
        <f>IF(MAESTRO!B21="","",IFERROR('PROM (Agropecuaria 7°)'!BM21,""))</f>
        <v/>
      </c>
      <c r="I21" s="122" t="str">
        <f>IF(MAESTRO!B21="","",IFERROR('PROM (Agropecuaria 7°)'!CU21,""))</f>
        <v/>
      </c>
      <c r="J21" s="123" t="str">
        <f>IF(MAESTRO!B21="","",IFERROR(TRUNC(AVERAGE(G21,H21,I21),1),""))</f>
        <v/>
      </c>
      <c r="K21" s="122" t="str">
        <f>IF(MAESTRO!B21="","",IFERROR('PROM (Hogar y Desarrollo 7°)'!AE21,""))</f>
        <v/>
      </c>
      <c r="L21" s="122" t="str">
        <f>IF(MAESTRO!B21="","",IFERROR('PROM (Hogar y Desarrollo 7°)'!BM21,""))</f>
        <v/>
      </c>
      <c r="M21" s="122" t="str">
        <f>IF(MAESTRO!B21="","",IFERROR('PROM (Hogar y Desarrollo 7°)'!CU21,""))</f>
        <v/>
      </c>
      <c r="N21" s="123" t="str">
        <f>IF(MAESTRO!B21="","",IFERROR(TRUNC(AVERAGE(K21,L21,M21),1),""))</f>
        <v/>
      </c>
      <c r="O21" s="124" t="str">
        <f>IF(MAESTRO!B21="","",IFERROR(AVERAGE(G21,K21),""))</f>
        <v/>
      </c>
      <c r="P21" s="124" t="str">
        <f>IF(MAESTRO!B21="","",IFERROR(AVERAGE(H21,L21),""))</f>
        <v/>
      </c>
      <c r="Q21" s="124" t="str">
        <f>IF(MAESTRO!B21="","",IFERROR(AVERAGE(I21,M21),""))</f>
        <v/>
      </c>
      <c r="R21" s="124" t="str">
        <f>IF(MAESTRO!B21="","",IFERROR(TRUNC(AVERAGE(O21,P21,Q21),1),""))</f>
        <v/>
      </c>
      <c r="S21" s="123" t="str">
        <f>IF(MAESTRO!B21="","",IF(AND(F21="",J21="",N21="",R21=""),"",IF(Y(OR(F21="",F21&gt;=3),OR(J21="",J21&gt;=3),OR(N21="",N21&gt;=3),OR(R21="",R21&gt;=3)),"✓ APROBADO","✗ REPROBADO")))</f>
        <v/>
      </c>
    </row>
    <row r="22" spans="1:19" ht="16.05" customHeight="1">
      <c r="A22" s="116">
        <v>18</v>
      </c>
      <c r="B22" s="117">
        <f>MAESTRO!B22</f>
        <v>0</v>
      </c>
      <c r="C22" s="125" t="str">
        <f>IF(MAESTRO!B22="","",IFERROR('PROM (Ingles 7°)'!AE22,""))</f>
        <v/>
      </c>
      <c r="D22" s="125" t="str">
        <f>IF(MAESTRO!B22="","",IFERROR('PROM (Ingles 7°)'!BM22,""))</f>
        <v/>
      </c>
      <c r="E22" s="125" t="str">
        <f>IF(MAESTRO!B22="","",IFERROR('PROM (Ingles 7°)'!CU22,""))</f>
        <v/>
      </c>
      <c r="F22" s="126" t="str">
        <f>IF(MAESTRO!B22="","",IFERROR(TRUNC(AVERAGE(C22,D22,E22),1),""))</f>
        <v/>
      </c>
      <c r="G22" s="125" t="str">
        <f>IF(MAESTRO!B22="","",IFERROR('PROM (Agropecuaria 7°)'!AE22,""))</f>
        <v/>
      </c>
      <c r="H22" s="125" t="str">
        <f>IF(MAESTRO!B22="","",IFERROR('PROM (Agropecuaria 7°)'!BM22,""))</f>
        <v/>
      </c>
      <c r="I22" s="125" t="str">
        <f>IF(MAESTRO!B22="","",IFERROR('PROM (Agropecuaria 7°)'!CU22,""))</f>
        <v/>
      </c>
      <c r="J22" s="126" t="str">
        <f>IF(MAESTRO!B22="","",IFERROR(TRUNC(AVERAGE(G22,H22,I22),1),""))</f>
        <v/>
      </c>
      <c r="K22" s="125" t="str">
        <f>IF(MAESTRO!B22="","",IFERROR('PROM (Hogar y Desarrollo 7°)'!AE22,""))</f>
        <v/>
      </c>
      <c r="L22" s="125" t="str">
        <f>IF(MAESTRO!B22="","",IFERROR('PROM (Hogar y Desarrollo 7°)'!BM22,""))</f>
        <v/>
      </c>
      <c r="M22" s="125" t="str">
        <f>IF(MAESTRO!B22="","",IFERROR('PROM (Hogar y Desarrollo 7°)'!CU22,""))</f>
        <v/>
      </c>
      <c r="N22" s="126" t="str">
        <f>IF(MAESTRO!B22="","",IFERROR(TRUNC(AVERAGE(K22,L22,M22),1),""))</f>
        <v/>
      </c>
      <c r="O22" s="124" t="str">
        <f>IF(MAESTRO!B22="","",IFERROR(AVERAGE(G22,K22),""))</f>
        <v/>
      </c>
      <c r="P22" s="124" t="str">
        <f>IF(MAESTRO!B22="","",IFERROR(AVERAGE(H22,L22),""))</f>
        <v/>
      </c>
      <c r="Q22" s="124" t="str">
        <f>IF(MAESTRO!B22="","",IFERROR(AVERAGE(I22,M22),""))</f>
        <v/>
      </c>
      <c r="R22" s="124" t="str">
        <f>IF(MAESTRO!B22="","",IFERROR(TRUNC(AVERAGE(O22,P22,Q22),1),""))</f>
        <v/>
      </c>
      <c r="S22" s="126" t="str">
        <f>IF(MAESTRO!B22="","",IF(AND(F22="",J22="",N22="",R22=""),"",IF(Y(OR(F22="",F22&gt;=3),OR(J22="",J22&gt;=3),OR(N22="",N22&gt;=3),OR(R22="",R22&gt;=3)),"✓ APROBADO","✗ REPROBADO")))</f>
        <v/>
      </c>
    </row>
    <row r="23" spans="1:19" ht="16.05" customHeight="1">
      <c r="A23" s="118">
        <v>19</v>
      </c>
      <c r="B23" s="119">
        <f>MAESTRO!B23</f>
        <v>0</v>
      </c>
      <c r="C23" s="122" t="str">
        <f>IF(MAESTRO!B23="","",IFERROR('PROM (Ingles 7°)'!AE23,""))</f>
        <v/>
      </c>
      <c r="D23" s="122" t="str">
        <f>IF(MAESTRO!B23="","",IFERROR('PROM (Ingles 7°)'!BM23,""))</f>
        <v/>
      </c>
      <c r="E23" s="122" t="str">
        <f>IF(MAESTRO!B23="","",IFERROR('PROM (Ingles 7°)'!CU23,""))</f>
        <v/>
      </c>
      <c r="F23" s="123" t="str">
        <f>IF(MAESTRO!B23="","",IFERROR(TRUNC(AVERAGE(C23,D23,E23),1),""))</f>
        <v/>
      </c>
      <c r="G23" s="122" t="str">
        <f>IF(MAESTRO!B23="","",IFERROR('PROM (Agropecuaria 7°)'!AE23,""))</f>
        <v/>
      </c>
      <c r="H23" s="122" t="str">
        <f>IF(MAESTRO!B23="","",IFERROR('PROM (Agropecuaria 7°)'!BM23,""))</f>
        <v/>
      </c>
      <c r="I23" s="122" t="str">
        <f>IF(MAESTRO!B23="","",IFERROR('PROM (Agropecuaria 7°)'!CU23,""))</f>
        <v/>
      </c>
      <c r="J23" s="123" t="str">
        <f>IF(MAESTRO!B23="","",IFERROR(TRUNC(AVERAGE(G23,H23,I23),1),""))</f>
        <v/>
      </c>
      <c r="K23" s="122" t="str">
        <f>IF(MAESTRO!B23="","",IFERROR('PROM (Hogar y Desarrollo 7°)'!AE23,""))</f>
        <v/>
      </c>
      <c r="L23" s="122" t="str">
        <f>IF(MAESTRO!B23="","",IFERROR('PROM (Hogar y Desarrollo 7°)'!BM23,""))</f>
        <v/>
      </c>
      <c r="M23" s="122" t="str">
        <f>IF(MAESTRO!B23="","",IFERROR('PROM (Hogar y Desarrollo 7°)'!CU23,""))</f>
        <v/>
      </c>
      <c r="N23" s="123" t="str">
        <f>IF(MAESTRO!B23="","",IFERROR(TRUNC(AVERAGE(K23,L23,M23),1),""))</f>
        <v/>
      </c>
      <c r="O23" s="124" t="str">
        <f>IF(MAESTRO!B23="","",IFERROR(AVERAGE(G23,K23),""))</f>
        <v/>
      </c>
      <c r="P23" s="124" t="str">
        <f>IF(MAESTRO!B23="","",IFERROR(AVERAGE(H23,L23),""))</f>
        <v/>
      </c>
      <c r="Q23" s="124" t="str">
        <f>IF(MAESTRO!B23="","",IFERROR(AVERAGE(I23,M23),""))</f>
        <v/>
      </c>
      <c r="R23" s="124" t="str">
        <f>IF(MAESTRO!B23="","",IFERROR(TRUNC(AVERAGE(O23,P23,Q23),1),""))</f>
        <v/>
      </c>
      <c r="S23" s="123" t="str">
        <f>IF(MAESTRO!B23="","",IF(AND(F23="",J23="",N23="",R23=""),"",IF(Y(OR(F23="",F23&gt;=3),OR(J23="",J23&gt;=3),OR(N23="",N23&gt;=3),OR(R23="",R23&gt;=3)),"✓ APROBADO","✗ REPROBADO")))</f>
        <v/>
      </c>
    </row>
    <row r="24" spans="1:19" ht="16.05" customHeight="1">
      <c r="A24" s="116">
        <v>20</v>
      </c>
      <c r="B24" s="117">
        <f>MAESTRO!B24</f>
        <v>0</v>
      </c>
      <c r="C24" s="125" t="str">
        <f>IF(MAESTRO!B24="","",IFERROR('PROM (Ingles 7°)'!AE24,""))</f>
        <v/>
      </c>
      <c r="D24" s="125" t="str">
        <f>IF(MAESTRO!B24="","",IFERROR('PROM (Ingles 7°)'!BM24,""))</f>
        <v/>
      </c>
      <c r="E24" s="125" t="str">
        <f>IF(MAESTRO!B24="","",IFERROR('PROM (Ingles 7°)'!CU24,""))</f>
        <v/>
      </c>
      <c r="F24" s="126" t="str">
        <f>IF(MAESTRO!B24="","",IFERROR(TRUNC(AVERAGE(C24,D24,E24),1),""))</f>
        <v/>
      </c>
      <c r="G24" s="125" t="str">
        <f>IF(MAESTRO!B24="","",IFERROR('PROM (Agropecuaria 7°)'!AE24,""))</f>
        <v/>
      </c>
      <c r="H24" s="125" t="str">
        <f>IF(MAESTRO!B24="","",IFERROR('PROM (Agropecuaria 7°)'!BM24,""))</f>
        <v/>
      </c>
      <c r="I24" s="125" t="str">
        <f>IF(MAESTRO!B24="","",IFERROR('PROM (Agropecuaria 7°)'!CU24,""))</f>
        <v/>
      </c>
      <c r="J24" s="126" t="str">
        <f>IF(MAESTRO!B24="","",IFERROR(TRUNC(AVERAGE(G24,H24,I24),1),""))</f>
        <v/>
      </c>
      <c r="K24" s="125" t="str">
        <f>IF(MAESTRO!B24="","",IFERROR('PROM (Hogar y Desarrollo 7°)'!AE24,""))</f>
        <v/>
      </c>
      <c r="L24" s="125" t="str">
        <f>IF(MAESTRO!B24="","",IFERROR('PROM (Hogar y Desarrollo 7°)'!BM24,""))</f>
        <v/>
      </c>
      <c r="M24" s="125" t="str">
        <f>IF(MAESTRO!B24="","",IFERROR('PROM (Hogar y Desarrollo 7°)'!CU24,""))</f>
        <v/>
      </c>
      <c r="N24" s="126" t="str">
        <f>IF(MAESTRO!B24="","",IFERROR(TRUNC(AVERAGE(K24,L24,M24),1),""))</f>
        <v/>
      </c>
      <c r="O24" s="124" t="str">
        <f>IF(MAESTRO!B24="","",IFERROR(AVERAGE(G24,K24),""))</f>
        <v/>
      </c>
      <c r="P24" s="124" t="str">
        <f>IF(MAESTRO!B24="","",IFERROR(AVERAGE(H24,L24),""))</f>
        <v/>
      </c>
      <c r="Q24" s="124" t="str">
        <f>IF(MAESTRO!B24="","",IFERROR(AVERAGE(I24,M24),""))</f>
        <v/>
      </c>
      <c r="R24" s="124" t="str">
        <f>IF(MAESTRO!B24="","",IFERROR(TRUNC(AVERAGE(O24,P24,Q24),1),""))</f>
        <v/>
      </c>
      <c r="S24" s="126" t="str">
        <f>IF(MAESTRO!B24="","",IF(AND(F24="",J24="",N24="",R24=""),"",IF(Y(OR(F24="",F24&gt;=3),OR(J24="",J24&gt;=3),OR(N24="",N24&gt;=3),OR(R24="",R24&gt;=3)),"✓ APROBADO","✗ REPROBADO")))</f>
        <v/>
      </c>
    </row>
    <row r="25" spans="1:19" ht="16.05" customHeight="1">
      <c r="A25" s="118">
        <v>21</v>
      </c>
      <c r="B25" s="119">
        <f>MAESTRO!B25</f>
        <v>0</v>
      </c>
      <c r="C25" s="122" t="str">
        <f>IF(MAESTRO!B25="","",IFERROR('PROM (Ingles 7°)'!AE25,""))</f>
        <v/>
      </c>
      <c r="D25" s="122" t="str">
        <f>IF(MAESTRO!B25="","",IFERROR('PROM (Ingles 7°)'!BM25,""))</f>
        <v/>
      </c>
      <c r="E25" s="122" t="str">
        <f>IF(MAESTRO!B25="","",IFERROR('PROM (Ingles 7°)'!CU25,""))</f>
        <v/>
      </c>
      <c r="F25" s="123" t="str">
        <f>IF(MAESTRO!B25="","",IFERROR(TRUNC(AVERAGE(C25,D25,E25),1),""))</f>
        <v/>
      </c>
      <c r="G25" s="122" t="str">
        <f>IF(MAESTRO!B25="","",IFERROR('PROM (Agropecuaria 7°)'!AE25,""))</f>
        <v/>
      </c>
      <c r="H25" s="122" t="str">
        <f>IF(MAESTRO!B25="","",IFERROR('PROM (Agropecuaria 7°)'!BM25,""))</f>
        <v/>
      </c>
      <c r="I25" s="122" t="str">
        <f>IF(MAESTRO!B25="","",IFERROR('PROM (Agropecuaria 7°)'!CU25,""))</f>
        <v/>
      </c>
      <c r="J25" s="123" t="str">
        <f>IF(MAESTRO!B25="","",IFERROR(TRUNC(AVERAGE(G25,H25,I25),1),""))</f>
        <v/>
      </c>
      <c r="K25" s="122" t="str">
        <f>IF(MAESTRO!B25="","",IFERROR('PROM (Hogar y Desarrollo 7°)'!AE25,""))</f>
        <v/>
      </c>
      <c r="L25" s="122" t="str">
        <f>IF(MAESTRO!B25="","",IFERROR('PROM (Hogar y Desarrollo 7°)'!BM25,""))</f>
        <v/>
      </c>
      <c r="M25" s="122" t="str">
        <f>IF(MAESTRO!B25="","",IFERROR('PROM (Hogar y Desarrollo 7°)'!CU25,""))</f>
        <v/>
      </c>
      <c r="N25" s="123" t="str">
        <f>IF(MAESTRO!B25="","",IFERROR(TRUNC(AVERAGE(K25,L25,M25),1),""))</f>
        <v/>
      </c>
      <c r="O25" s="124" t="str">
        <f>IF(MAESTRO!B25="","",IFERROR(AVERAGE(G25,K25),""))</f>
        <v/>
      </c>
      <c r="P25" s="124" t="str">
        <f>IF(MAESTRO!B25="","",IFERROR(AVERAGE(H25,L25),""))</f>
        <v/>
      </c>
      <c r="Q25" s="124" t="str">
        <f>IF(MAESTRO!B25="","",IFERROR(AVERAGE(I25,M25),""))</f>
        <v/>
      </c>
      <c r="R25" s="124" t="str">
        <f>IF(MAESTRO!B25="","",IFERROR(TRUNC(AVERAGE(O25,P25,Q25),1),""))</f>
        <v/>
      </c>
      <c r="S25" s="123" t="str">
        <f>IF(MAESTRO!B25="","",IF(AND(F25="",J25="",N25="",R25=""),"",IF(Y(OR(F25="",F25&gt;=3),OR(J25="",J25&gt;=3),OR(N25="",N25&gt;=3),OR(R25="",R25&gt;=3)),"✓ APROBADO","✗ REPROBADO")))</f>
        <v/>
      </c>
    </row>
    <row r="26" spans="1:19" ht="16.05" customHeight="1">
      <c r="A26" s="116">
        <v>22</v>
      </c>
      <c r="B26" s="117">
        <f>MAESTRO!B26</f>
        <v>0</v>
      </c>
      <c r="C26" s="125" t="str">
        <f>IF(MAESTRO!B26="","",IFERROR('PROM (Ingles 7°)'!AE26,""))</f>
        <v/>
      </c>
      <c r="D26" s="125" t="str">
        <f>IF(MAESTRO!B26="","",IFERROR('PROM (Ingles 7°)'!BM26,""))</f>
        <v/>
      </c>
      <c r="E26" s="125" t="str">
        <f>IF(MAESTRO!B26="","",IFERROR('PROM (Ingles 7°)'!CU26,""))</f>
        <v/>
      </c>
      <c r="F26" s="126" t="str">
        <f>IF(MAESTRO!B26="","",IFERROR(TRUNC(AVERAGE(C26,D26,E26),1),""))</f>
        <v/>
      </c>
      <c r="G26" s="125" t="str">
        <f>IF(MAESTRO!B26="","",IFERROR('PROM (Agropecuaria 7°)'!AE26,""))</f>
        <v/>
      </c>
      <c r="H26" s="125" t="str">
        <f>IF(MAESTRO!B26="","",IFERROR('PROM (Agropecuaria 7°)'!BM26,""))</f>
        <v/>
      </c>
      <c r="I26" s="125" t="str">
        <f>IF(MAESTRO!B26="","",IFERROR('PROM (Agropecuaria 7°)'!CU26,""))</f>
        <v/>
      </c>
      <c r="J26" s="126" t="str">
        <f>IF(MAESTRO!B26="","",IFERROR(TRUNC(AVERAGE(G26,H26,I26),1),""))</f>
        <v/>
      </c>
      <c r="K26" s="125" t="str">
        <f>IF(MAESTRO!B26="","",IFERROR('PROM (Hogar y Desarrollo 7°)'!AE26,""))</f>
        <v/>
      </c>
      <c r="L26" s="125" t="str">
        <f>IF(MAESTRO!B26="","",IFERROR('PROM (Hogar y Desarrollo 7°)'!BM26,""))</f>
        <v/>
      </c>
      <c r="M26" s="125" t="str">
        <f>IF(MAESTRO!B26="","",IFERROR('PROM (Hogar y Desarrollo 7°)'!CU26,""))</f>
        <v/>
      </c>
      <c r="N26" s="126" t="str">
        <f>IF(MAESTRO!B26="","",IFERROR(TRUNC(AVERAGE(K26,L26,M26),1),""))</f>
        <v/>
      </c>
      <c r="O26" s="124" t="str">
        <f>IF(MAESTRO!B26="","",IFERROR(AVERAGE(G26,K26),""))</f>
        <v/>
      </c>
      <c r="P26" s="124" t="str">
        <f>IF(MAESTRO!B26="","",IFERROR(AVERAGE(H26,L26),""))</f>
        <v/>
      </c>
      <c r="Q26" s="124" t="str">
        <f>IF(MAESTRO!B26="","",IFERROR(AVERAGE(I26,M26),""))</f>
        <v/>
      </c>
      <c r="R26" s="124" t="str">
        <f>IF(MAESTRO!B26="","",IFERROR(TRUNC(AVERAGE(O26,P26,Q26),1),""))</f>
        <v/>
      </c>
      <c r="S26" s="126" t="str">
        <f>IF(MAESTRO!B26="","",IF(AND(F26="",J26="",N26="",R26=""),"",IF(Y(OR(F26="",F26&gt;=3),OR(J26="",J26&gt;=3),OR(N26="",N26&gt;=3),OR(R26="",R26&gt;=3)),"✓ APROBADO","✗ REPROBADO")))</f>
        <v/>
      </c>
    </row>
    <row r="27" spans="1:19" ht="16.05" customHeight="1">
      <c r="A27" s="118">
        <v>23</v>
      </c>
      <c r="B27" s="119">
        <f>MAESTRO!B27</f>
        <v>0</v>
      </c>
      <c r="C27" s="122" t="str">
        <f>IF(MAESTRO!B27="","",IFERROR('PROM (Ingles 7°)'!AE27,""))</f>
        <v/>
      </c>
      <c r="D27" s="122" t="str">
        <f>IF(MAESTRO!B27="","",IFERROR('PROM (Ingles 7°)'!BM27,""))</f>
        <v/>
      </c>
      <c r="E27" s="122" t="str">
        <f>IF(MAESTRO!B27="","",IFERROR('PROM (Ingles 7°)'!CU27,""))</f>
        <v/>
      </c>
      <c r="F27" s="123" t="str">
        <f>IF(MAESTRO!B27="","",IFERROR(TRUNC(AVERAGE(C27,D27,E27),1),""))</f>
        <v/>
      </c>
      <c r="G27" s="122" t="str">
        <f>IF(MAESTRO!B27="","",IFERROR('PROM (Agropecuaria 7°)'!AE27,""))</f>
        <v/>
      </c>
      <c r="H27" s="122" t="str">
        <f>IF(MAESTRO!B27="","",IFERROR('PROM (Agropecuaria 7°)'!BM27,""))</f>
        <v/>
      </c>
      <c r="I27" s="122" t="str">
        <f>IF(MAESTRO!B27="","",IFERROR('PROM (Agropecuaria 7°)'!CU27,""))</f>
        <v/>
      </c>
      <c r="J27" s="123" t="str">
        <f>IF(MAESTRO!B27="","",IFERROR(TRUNC(AVERAGE(G27,H27,I27),1),""))</f>
        <v/>
      </c>
      <c r="K27" s="122" t="str">
        <f>IF(MAESTRO!B27="","",IFERROR('PROM (Hogar y Desarrollo 7°)'!AE27,""))</f>
        <v/>
      </c>
      <c r="L27" s="122" t="str">
        <f>IF(MAESTRO!B27="","",IFERROR('PROM (Hogar y Desarrollo 7°)'!BM27,""))</f>
        <v/>
      </c>
      <c r="M27" s="122" t="str">
        <f>IF(MAESTRO!B27="","",IFERROR('PROM (Hogar y Desarrollo 7°)'!CU27,""))</f>
        <v/>
      </c>
      <c r="N27" s="123" t="str">
        <f>IF(MAESTRO!B27="","",IFERROR(TRUNC(AVERAGE(K27,L27,M27),1),""))</f>
        <v/>
      </c>
      <c r="O27" s="124" t="str">
        <f>IF(MAESTRO!B27="","",IFERROR(AVERAGE(G27,K27),""))</f>
        <v/>
      </c>
      <c r="P27" s="124" t="str">
        <f>IF(MAESTRO!B27="","",IFERROR(AVERAGE(H27,L27),""))</f>
        <v/>
      </c>
      <c r="Q27" s="124" t="str">
        <f>IF(MAESTRO!B27="","",IFERROR(AVERAGE(I27,M27),""))</f>
        <v/>
      </c>
      <c r="R27" s="124" t="str">
        <f>IF(MAESTRO!B27="","",IFERROR(TRUNC(AVERAGE(O27,P27,Q27),1),""))</f>
        <v/>
      </c>
      <c r="S27" s="123" t="str">
        <f>IF(MAESTRO!B27="","",IF(AND(F27="",J27="",N27="",R27=""),"",IF(Y(OR(F27="",F27&gt;=3),OR(J27="",J27&gt;=3),OR(N27="",N27&gt;=3),OR(R27="",R27&gt;=3)),"✓ APROBADO","✗ REPROBADO")))</f>
        <v/>
      </c>
    </row>
    <row r="28" spans="1:19" ht="16.05" customHeight="1">
      <c r="A28" s="116">
        <v>24</v>
      </c>
      <c r="B28" s="117">
        <f>MAESTRO!B28</f>
        <v>0</v>
      </c>
      <c r="C28" s="125" t="str">
        <f>IF(MAESTRO!B28="","",IFERROR('PROM (Ingles 7°)'!AE28,""))</f>
        <v/>
      </c>
      <c r="D28" s="125" t="str">
        <f>IF(MAESTRO!B28="","",IFERROR('PROM (Ingles 7°)'!BM28,""))</f>
        <v/>
      </c>
      <c r="E28" s="125" t="str">
        <f>IF(MAESTRO!B28="","",IFERROR('PROM (Ingles 7°)'!CU28,""))</f>
        <v/>
      </c>
      <c r="F28" s="126" t="str">
        <f>IF(MAESTRO!B28="","",IFERROR(TRUNC(AVERAGE(C28,D28,E28),1),""))</f>
        <v/>
      </c>
      <c r="G28" s="125" t="str">
        <f>IF(MAESTRO!B28="","",IFERROR('PROM (Agropecuaria 7°)'!AE28,""))</f>
        <v/>
      </c>
      <c r="H28" s="125" t="str">
        <f>IF(MAESTRO!B28="","",IFERROR('PROM (Agropecuaria 7°)'!BM28,""))</f>
        <v/>
      </c>
      <c r="I28" s="125" t="str">
        <f>IF(MAESTRO!B28="","",IFERROR('PROM (Agropecuaria 7°)'!CU28,""))</f>
        <v/>
      </c>
      <c r="J28" s="126" t="str">
        <f>IF(MAESTRO!B28="","",IFERROR(TRUNC(AVERAGE(G28,H28,I28),1),""))</f>
        <v/>
      </c>
      <c r="K28" s="125" t="str">
        <f>IF(MAESTRO!B28="","",IFERROR('PROM (Hogar y Desarrollo 7°)'!AE28,""))</f>
        <v/>
      </c>
      <c r="L28" s="125" t="str">
        <f>IF(MAESTRO!B28="","",IFERROR('PROM (Hogar y Desarrollo 7°)'!BM28,""))</f>
        <v/>
      </c>
      <c r="M28" s="125" t="str">
        <f>IF(MAESTRO!B28="","",IFERROR('PROM (Hogar y Desarrollo 7°)'!CU28,""))</f>
        <v/>
      </c>
      <c r="N28" s="126" t="str">
        <f>IF(MAESTRO!B28="","",IFERROR(TRUNC(AVERAGE(K28,L28,M28),1),""))</f>
        <v/>
      </c>
      <c r="O28" s="124" t="str">
        <f>IF(MAESTRO!B28="","",IFERROR(AVERAGE(G28,K28),""))</f>
        <v/>
      </c>
      <c r="P28" s="124" t="str">
        <f>IF(MAESTRO!B28="","",IFERROR(AVERAGE(H28,L28),""))</f>
        <v/>
      </c>
      <c r="Q28" s="124" t="str">
        <f>IF(MAESTRO!B28="","",IFERROR(AVERAGE(I28,M28),""))</f>
        <v/>
      </c>
      <c r="R28" s="124" t="str">
        <f>IF(MAESTRO!B28="","",IFERROR(TRUNC(AVERAGE(O28,P28,Q28),1),""))</f>
        <v/>
      </c>
      <c r="S28" s="126" t="str">
        <f>IF(MAESTRO!B28="","",IF(AND(F28="",J28="",N28="",R28=""),"",IF(Y(OR(F28="",F28&gt;=3),OR(J28="",J28&gt;=3),OR(N28="",N28&gt;=3),OR(R28="",R28&gt;=3)),"✓ APROBADO","✗ REPROBADO")))</f>
        <v/>
      </c>
    </row>
    <row r="29" spans="1:19" ht="16.05" customHeight="1">
      <c r="A29" s="118">
        <v>25</v>
      </c>
      <c r="B29" s="119">
        <f>MAESTRO!B29</f>
        <v>0</v>
      </c>
      <c r="C29" s="122" t="str">
        <f>IF(MAESTRO!B29="","",IFERROR('PROM (Ingles 7°)'!AE29,""))</f>
        <v/>
      </c>
      <c r="D29" s="122" t="str">
        <f>IF(MAESTRO!B29="","",IFERROR('PROM (Ingles 7°)'!BM29,""))</f>
        <v/>
      </c>
      <c r="E29" s="122" t="str">
        <f>IF(MAESTRO!B29="","",IFERROR('PROM (Ingles 7°)'!CU29,""))</f>
        <v/>
      </c>
      <c r="F29" s="123" t="str">
        <f>IF(MAESTRO!B29="","",IFERROR(TRUNC(AVERAGE(C29,D29,E29),1),""))</f>
        <v/>
      </c>
      <c r="G29" s="122" t="str">
        <f>IF(MAESTRO!B29="","",IFERROR('PROM (Agropecuaria 7°)'!AE29,""))</f>
        <v/>
      </c>
      <c r="H29" s="122" t="str">
        <f>IF(MAESTRO!B29="","",IFERROR('PROM (Agropecuaria 7°)'!BM29,""))</f>
        <v/>
      </c>
      <c r="I29" s="122" t="str">
        <f>IF(MAESTRO!B29="","",IFERROR('PROM (Agropecuaria 7°)'!CU29,""))</f>
        <v/>
      </c>
      <c r="J29" s="123" t="str">
        <f>IF(MAESTRO!B29="","",IFERROR(TRUNC(AVERAGE(G29,H29,I29),1),""))</f>
        <v/>
      </c>
      <c r="K29" s="122" t="str">
        <f>IF(MAESTRO!B29="","",IFERROR('PROM (Hogar y Desarrollo 7°)'!AE29,""))</f>
        <v/>
      </c>
      <c r="L29" s="122" t="str">
        <f>IF(MAESTRO!B29="","",IFERROR('PROM (Hogar y Desarrollo 7°)'!BM29,""))</f>
        <v/>
      </c>
      <c r="M29" s="122" t="str">
        <f>IF(MAESTRO!B29="","",IFERROR('PROM (Hogar y Desarrollo 7°)'!CU29,""))</f>
        <v/>
      </c>
      <c r="N29" s="123" t="str">
        <f>IF(MAESTRO!B29="","",IFERROR(TRUNC(AVERAGE(K29,L29,M29),1),""))</f>
        <v/>
      </c>
      <c r="O29" s="124" t="str">
        <f>IF(MAESTRO!B29="","",IFERROR(AVERAGE(G29,K29),""))</f>
        <v/>
      </c>
      <c r="P29" s="124" t="str">
        <f>IF(MAESTRO!B29="","",IFERROR(AVERAGE(H29,L29),""))</f>
        <v/>
      </c>
      <c r="Q29" s="124" t="str">
        <f>IF(MAESTRO!B29="","",IFERROR(AVERAGE(I29,M29),""))</f>
        <v/>
      </c>
      <c r="R29" s="124" t="str">
        <f>IF(MAESTRO!B29="","",IFERROR(TRUNC(AVERAGE(O29,P29,Q29),1),""))</f>
        <v/>
      </c>
      <c r="S29" s="123" t="str">
        <f>IF(MAESTRO!B29="","",IF(AND(F29="",J29="",N29="",R29=""),"",IF(Y(OR(F29="",F29&gt;=3),OR(J29="",J29&gt;=3),OR(N29="",N29&gt;=3),OR(R29="",R29&gt;=3)),"✓ APROBADO","✗ REPROBADO")))</f>
        <v/>
      </c>
    </row>
    <row r="30" spans="1:19" ht="16.05" customHeight="1">
      <c r="A30" s="116">
        <v>26</v>
      </c>
      <c r="B30" s="117">
        <f>MAESTRO!B30</f>
        <v>0</v>
      </c>
      <c r="C30" s="125" t="str">
        <f>IF(MAESTRO!B30="","",IFERROR('PROM (Ingles 7°)'!AE30,""))</f>
        <v/>
      </c>
      <c r="D30" s="125" t="str">
        <f>IF(MAESTRO!B30="","",IFERROR('PROM (Ingles 7°)'!BM30,""))</f>
        <v/>
      </c>
      <c r="E30" s="125" t="str">
        <f>IF(MAESTRO!B30="","",IFERROR('PROM (Ingles 7°)'!CU30,""))</f>
        <v/>
      </c>
      <c r="F30" s="126" t="str">
        <f>IF(MAESTRO!B30="","",IFERROR(TRUNC(AVERAGE(C30,D30,E30),1),""))</f>
        <v/>
      </c>
      <c r="G30" s="125" t="str">
        <f>IF(MAESTRO!B30="","",IFERROR('PROM (Agropecuaria 7°)'!AE30,""))</f>
        <v/>
      </c>
      <c r="H30" s="125" t="str">
        <f>IF(MAESTRO!B30="","",IFERROR('PROM (Agropecuaria 7°)'!BM30,""))</f>
        <v/>
      </c>
      <c r="I30" s="125" t="str">
        <f>IF(MAESTRO!B30="","",IFERROR('PROM (Agropecuaria 7°)'!CU30,""))</f>
        <v/>
      </c>
      <c r="J30" s="126" t="str">
        <f>IF(MAESTRO!B30="","",IFERROR(TRUNC(AVERAGE(G30,H30,I30),1),""))</f>
        <v/>
      </c>
      <c r="K30" s="125" t="str">
        <f>IF(MAESTRO!B30="","",IFERROR('PROM (Hogar y Desarrollo 7°)'!AE30,""))</f>
        <v/>
      </c>
      <c r="L30" s="125" t="str">
        <f>IF(MAESTRO!B30="","",IFERROR('PROM (Hogar y Desarrollo 7°)'!BM30,""))</f>
        <v/>
      </c>
      <c r="M30" s="125" t="str">
        <f>IF(MAESTRO!B30="","",IFERROR('PROM (Hogar y Desarrollo 7°)'!CU30,""))</f>
        <v/>
      </c>
      <c r="N30" s="126" t="str">
        <f>IF(MAESTRO!B30="","",IFERROR(TRUNC(AVERAGE(K30,L30,M30),1),""))</f>
        <v/>
      </c>
      <c r="O30" s="124" t="str">
        <f>IF(MAESTRO!B30="","",IFERROR(AVERAGE(G30,K30),""))</f>
        <v/>
      </c>
      <c r="P30" s="124" t="str">
        <f>IF(MAESTRO!B30="","",IFERROR(AVERAGE(H30,L30),""))</f>
        <v/>
      </c>
      <c r="Q30" s="124" t="str">
        <f>IF(MAESTRO!B30="","",IFERROR(AVERAGE(I30,M30),""))</f>
        <v/>
      </c>
      <c r="R30" s="124" t="str">
        <f>IF(MAESTRO!B30="","",IFERROR(TRUNC(AVERAGE(O30,P30,Q30),1),""))</f>
        <v/>
      </c>
      <c r="S30" s="126" t="str">
        <f>IF(MAESTRO!B30="","",IF(AND(F30="",J30="",N30="",R30=""),"",IF(Y(OR(F30="",F30&gt;=3),OR(J30="",J30&gt;=3),OR(N30="",N30&gt;=3),OR(R30="",R30&gt;=3)),"✓ APROBADO","✗ REPROBADO")))</f>
        <v/>
      </c>
    </row>
    <row r="31" spans="1:19" ht="16.05" customHeight="1">
      <c r="A31" s="118">
        <v>27</v>
      </c>
      <c r="B31" s="119">
        <f>MAESTRO!B31</f>
        <v>0</v>
      </c>
      <c r="C31" s="122" t="str">
        <f>IF(MAESTRO!B31="","",IFERROR('PROM (Ingles 7°)'!AE31,""))</f>
        <v/>
      </c>
      <c r="D31" s="122" t="str">
        <f>IF(MAESTRO!B31="","",IFERROR('PROM (Ingles 7°)'!BM31,""))</f>
        <v/>
      </c>
      <c r="E31" s="122" t="str">
        <f>IF(MAESTRO!B31="","",IFERROR('PROM (Ingles 7°)'!CU31,""))</f>
        <v/>
      </c>
      <c r="F31" s="123" t="str">
        <f>IF(MAESTRO!B31="","",IFERROR(TRUNC(AVERAGE(C31,D31,E31),1),""))</f>
        <v/>
      </c>
      <c r="G31" s="122" t="str">
        <f>IF(MAESTRO!B31="","",IFERROR('PROM (Agropecuaria 7°)'!AE31,""))</f>
        <v/>
      </c>
      <c r="H31" s="122" t="str">
        <f>IF(MAESTRO!B31="","",IFERROR('PROM (Agropecuaria 7°)'!BM31,""))</f>
        <v/>
      </c>
      <c r="I31" s="122" t="str">
        <f>IF(MAESTRO!B31="","",IFERROR('PROM (Agropecuaria 7°)'!CU31,""))</f>
        <v/>
      </c>
      <c r="J31" s="123" t="str">
        <f>IF(MAESTRO!B31="","",IFERROR(TRUNC(AVERAGE(G31,H31,I31),1),""))</f>
        <v/>
      </c>
      <c r="K31" s="122" t="str">
        <f>IF(MAESTRO!B31="","",IFERROR('PROM (Hogar y Desarrollo 7°)'!AE31,""))</f>
        <v/>
      </c>
      <c r="L31" s="122" t="str">
        <f>IF(MAESTRO!B31="","",IFERROR('PROM (Hogar y Desarrollo 7°)'!BM31,""))</f>
        <v/>
      </c>
      <c r="M31" s="122" t="str">
        <f>IF(MAESTRO!B31="","",IFERROR('PROM (Hogar y Desarrollo 7°)'!CU31,""))</f>
        <v/>
      </c>
      <c r="N31" s="123" t="str">
        <f>IF(MAESTRO!B31="","",IFERROR(TRUNC(AVERAGE(K31,L31,M31),1),""))</f>
        <v/>
      </c>
      <c r="O31" s="124" t="str">
        <f>IF(MAESTRO!B31="","",IFERROR(AVERAGE(G31,K31),""))</f>
        <v/>
      </c>
      <c r="P31" s="124" t="str">
        <f>IF(MAESTRO!B31="","",IFERROR(AVERAGE(H31,L31),""))</f>
        <v/>
      </c>
      <c r="Q31" s="124" t="str">
        <f>IF(MAESTRO!B31="","",IFERROR(AVERAGE(I31,M31),""))</f>
        <v/>
      </c>
      <c r="R31" s="124" t="str">
        <f>IF(MAESTRO!B31="","",IFERROR(TRUNC(AVERAGE(O31,P31,Q31),1),""))</f>
        <v/>
      </c>
      <c r="S31" s="123" t="str">
        <f>IF(MAESTRO!B31="","",IF(AND(F31="",J31="",N31="",R31=""),"",IF(Y(OR(F31="",F31&gt;=3),OR(J31="",J31&gt;=3),OR(N31="",N31&gt;=3),OR(R31="",R31&gt;=3)),"✓ APROBADO","✗ REPROBADO")))</f>
        <v/>
      </c>
    </row>
    <row r="32" spans="1:19" ht="16.05" customHeight="1">
      <c r="A32" s="116">
        <v>28</v>
      </c>
      <c r="B32" s="117">
        <f>MAESTRO!B32</f>
        <v>0</v>
      </c>
      <c r="C32" s="125" t="str">
        <f>IF(MAESTRO!B32="","",IFERROR('PROM (Ingles 7°)'!AE32,""))</f>
        <v/>
      </c>
      <c r="D32" s="125" t="str">
        <f>IF(MAESTRO!B32="","",IFERROR('PROM (Ingles 7°)'!BM32,""))</f>
        <v/>
      </c>
      <c r="E32" s="125" t="str">
        <f>IF(MAESTRO!B32="","",IFERROR('PROM (Ingles 7°)'!CU32,""))</f>
        <v/>
      </c>
      <c r="F32" s="126" t="str">
        <f>IF(MAESTRO!B32="","",IFERROR(TRUNC(AVERAGE(C32,D32,E32),1),""))</f>
        <v/>
      </c>
      <c r="G32" s="125" t="str">
        <f>IF(MAESTRO!B32="","",IFERROR('PROM (Agropecuaria 7°)'!AE32,""))</f>
        <v/>
      </c>
      <c r="H32" s="125" t="str">
        <f>IF(MAESTRO!B32="","",IFERROR('PROM (Agropecuaria 7°)'!BM32,""))</f>
        <v/>
      </c>
      <c r="I32" s="125" t="str">
        <f>IF(MAESTRO!B32="","",IFERROR('PROM (Agropecuaria 7°)'!CU32,""))</f>
        <v/>
      </c>
      <c r="J32" s="126" t="str">
        <f>IF(MAESTRO!B32="","",IFERROR(TRUNC(AVERAGE(G32,H32,I32),1),""))</f>
        <v/>
      </c>
      <c r="K32" s="125" t="str">
        <f>IF(MAESTRO!B32="","",IFERROR('PROM (Hogar y Desarrollo 7°)'!AE32,""))</f>
        <v/>
      </c>
      <c r="L32" s="125" t="str">
        <f>IF(MAESTRO!B32="","",IFERROR('PROM (Hogar y Desarrollo 7°)'!BM32,""))</f>
        <v/>
      </c>
      <c r="M32" s="125" t="str">
        <f>IF(MAESTRO!B32="","",IFERROR('PROM (Hogar y Desarrollo 7°)'!CU32,""))</f>
        <v/>
      </c>
      <c r="N32" s="126" t="str">
        <f>IF(MAESTRO!B32="","",IFERROR(TRUNC(AVERAGE(K32,L32,M32),1),""))</f>
        <v/>
      </c>
      <c r="O32" s="124" t="str">
        <f>IF(MAESTRO!B32="","",IFERROR(AVERAGE(G32,K32),""))</f>
        <v/>
      </c>
      <c r="P32" s="124" t="str">
        <f>IF(MAESTRO!B32="","",IFERROR(AVERAGE(H32,L32),""))</f>
        <v/>
      </c>
      <c r="Q32" s="124" t="str">
        <f>IF(MAESTRO!B32="","",IFERROR(AVERAGE(I32,M32),""))</f>
        <v/>
      </c>
      <c r="R32" s="124" t="str">
        <f>IF(MAESTRO!B32="","",IFERROR(TRUNC(AVERAGE(O32,P32,Q32),1),""))</f>
        <v/>
      </c>
      <c r="S32" s="126" t="str">
        <f>IF(MAESTRO!B32="","",IF(AND(F32="",J32="",N32="",R32=""),"",IF(Y(OR(F32="",F32&gt;=3),OR(J32="",J32&gt;=3),OR(N32="",N32&gt;=3),OR(R32="",R32&gt;=3)),"✓ APROBADO","✗ REPROBADO")))</f>
        <v/>
      </c>
    </row>
    <row r="33" spans="1:19" ht="16.05" customHeight="1">
      <c r="A33" s="118">
        <v>29</v>
      </c>
      <c r="B33" s="119">
        <f>MAESTRO!B33</f>
        <v>0</v>
      </c>
      <c r="C33" s="122" t="str">
        <f>IF(MAESTRO!B33="","",IFERROR('PROM (Ingles 7°)'!AE33,""))</f>
        <v/>
      </c>
      <c r="D33" s="122" t="str">
        <f>IF(MAESTRO!B33="","",IFERROR('PROM (Ingles 7°)'!BM33,""))</f>
        <v/>
      </c>
      <c r="E33" s="122" t="str">
        <f>IF(MAESTRO!B33="","",IFERROR('PROM (Ingles 7°)'!CU33,""))</f>
        <v/>
      </c>
      <c r="F33" s="123" t="str">
        <f>IF(MAESTRO!B33="","",IFERROR(TRUNC(AVERAGE(C33,D33,E33),1),""))</f>
        <v/>
      </c>
      <c r="G33" s="122" t="str">
        <f>IF(MAESTRO!B33="","",IFERROR('PROM (Agropecuaria 7°)'!AE33,""))</f>
        <v/>
      </c>
      <c r="H33" s="122" t="str">
        <f>IF(MAESTRO!B33="","",IFERROR('PROM (Agropecuaria 7°)'!BM33,""))</f>
        <v/>
      </c>
      <c r="I33" s="122" t="str">
        <f>IF(MAESTRO!B33="","",IFERROR('PROM (Agropecuaria 7°)'!CU33,""))</f>
        <v/>
      </c>
      <c r="J33" s="123" t="str">
        <f>IF(MAESTRO!B33="","",IFERROR(TRUNC(AVERAGE(G33,H33,I33),1),""))</f>
        <v/>
      </c>
      <c r="K33" s="122" t="str">
        <f>IF(MAESTRO!B33="","",IFERROR('PROM (Hogar y Desarrollo 7°)'!AE33,""))</f>
        <v/>
      </c>
      <c r="L33" s="122" t="str">
        <f>IF(MAESTRO!B33="","",IFERROR('PROM (Hogar y Desarrollo 7°)'!BM33,""))</f>
        <v/>
      </c>
      <c r="M33" s="122" t="str">
        <f>IF(MAESTRO!B33="","",IFERROR('PROM (Hogar y Desarrollo 7°)'!CU33,""))</f>
        <v/>
      </c>
      <c r="N33" s="123" t="str">
        <f>IF(MAESTRO!B33="","",IFERROR(TRUNC(AVERAGE(K33,L33,M33),1),""))</f>
        <v/>
      </c>
      <c r="O33" s="124" t="str">
        <f>IF(MAESTRO!B33="","",IFERROR(AVERAGE(G33,K33),""))</f>
        <v/>
      </c>
      <c r="P33" s="124" t="str">
        <f>IF(MAESTRO!B33="","",IFERROR(AVERAGE(H33,L33),""))</f>
        <v/>
      </c>
      <c r="Q33" s="124" t="str">
        <f>IF(MAESTRO!B33="","",IFERROR(AVERAGE(I33,M33),""))</f>
        <v/>
      </c>
      <c r="R33" s="124" t="str">
        <f>IF(MAESTRO!B33="","",IFERROR(TRUNC(AVERAGE(O33,P33,Q33),1),""))</f>
        <v/>
      </c>
      <c r="S33" s="123" t="str">
        <f>IF(MAESTRO!B33="","",IF(AND(F33="",J33="",N33="",R33=""),"",IF(Y(OR(F33="",F33&gt;=3),OR(J33="",J33&gt;=3),OR(N33="",N33&gt;=3),OR(R33="",R33&gt;=3)),"✓ APROBADO","✗ REPROBADO")))</f>
        <v/>
      </c>
    </row>
    <row r="34" spans="1:19" ht="16.05" customHeight="1">
      <c r="A34" s="116">
        <v>30</v>
      </c>
      <c r="B34" s="117">
        <f>MAESTRO!B34</f>
        <v>0</v>
      </c>
      <c r="C34" s="125" t="str">
        <f>IF(MAESTRO!B34="","",IFERROR('PROM (Ingles 7°)'!AE34,""))</f>
        <v/>
      </c>
      <c r="D34" s="125" t="str">
        <f>IF(MAESTRO!B34="","",IFERROR('PROM (Ingles 7°)'!BM34,""))</f>
        <v/>
      </c>
      <c r="E34" s="125" t="str">
        <f>IF(MAESTRO!B34="","",IFERROR('PROM (Ingles 7°)'!CU34,""))</f>
        <v/>
      </c>
      <c r="F34" s="126" t="str">
        <f>IF(MAESTRO!B34="","",IFERROR(TRUNC(AVERAGE(C34,D34,E34),1),""))</f>
        <v/>
      </c>
      <c r="G34" s="125" t="str">
        <f>IF(MAESTRO!B34="","",IFERROR('PROM (Agropecuaria 7°)'!AE34,""))</f>
        <v/>
      </c>
      <c r="H34" s="125" t="str">
        <f>IF(MAESTRO!B34="","",IFERROR('PROM (Agropecuaria 7°)'!BM34,""))</f>
        <v/>
      </c>
      <c r="I34" s="125" t="str">
        <f>IF(MAESTRO!B34="","",IFERROR('PROM (Agropecuaria 7°)'!CU34,""))</f>
        <v/>
      </c>
      <c r="J34" s="126" t="str">
        <f>IF(MAESTRO!B34="","",IFERROR(TRUNC(AVERAGE(G34,H34,I34),1),""))</f>
        <v/>
      </c>
      <c r="K34" s="125" t="str">
        <f>IF(MAESTRO!B34="","",IFERROR('PROM (Hogar y Desarrollo 7°)'!AE34,""))</f>
        <v/>
      </c>
      <c r="L34" s="125" t="str">
        <f>IF(MAESTRO!B34="","",IFERROR('PROM (Hogar y Desarrollo 7°)'!BM34,""))</f>
        <v/>
      </c>
      <c r="M34" s="125" t="str">
        <f>IF(MAESTRO!B34="","",IFERROR('PROM (Hogar y Desarrollo 7°)'!CU34,""))</f>
        <v/>
      </c>
      <c r="N34" s="126" t="str">
        <f>IF(MAESTRO!B34="","",IFERROR(TRUNC(AVERAGE(K34,L34,M34),1),""))</f>
        <v/>
      </c>
      <c r="O34" s="124" t="str">
        <f>IF(MAESTRO!B34="","",IFERROR(AVERAGE(G34,K34),""))</f>
        <v/>
      </c>
      <c r="P34" s="124" t="str">
        <f>IF(MAESTRO!B34="","",IFERROR(AVERAGE(H34,L34),""))</f>
        <v/>
      </c>
      <c r="Q34" s="124" t="str">
        <f>IF(MAESTRO!B34="","",IFERROR(AVERAGE(I34,M34),""))</f>
        <v/>
      </c>
      <c r="R34" s="124" t="str">
        <f>IF(MAESTRO!B34="","",IFERROR(TRUNC(AVERAGE(O34,P34,Q34),1),""))</f>
        <v/>
      </c>
      <c r="S34" s="126" t="str">
        <f>IF(MAESTRO!B34="","",IF(AND(F34="",J34="",N34="",R34=""),"",IF(Y(OR(F34="",F34&gt;=3),OR(J34="",J34&gt;=3),OR(N34="",N34&gt;=3),OR(R34="",R34&gt;=3)),"✓ APROBADO","✗ REPROBADO")))</f>
        <v/>
      </c>
    </row>
    <row r="35" spans="1:19" ht="16.05" customHeight="1">
      <c r="A35" s="118">
        <v>31</v>
      </c>
      <c r="B35" s="119">
        <f>MAESTRO!B35</f>
        <v>0</v>
      </c>
      <c r="C35" s="122" t="str">
        <f>IF(MAESTRO!B35="","",IFERROR('PROM (Ingles 7°)'!AE35,""))</f>
        <v/>
      </c>
      <c r="D35" s="122" t="str">
        <f>IF(MAESTRO!B35="","",IFERROR('PROM (Ingles 7°)'!BM35,""))</f>
        <v/>
      </c>
      <c r="E35" s="122" t="str">
        <f>IF(MAESTRO!B35="","",IFERROR('PROM (Ingles 7°)'!CU35,""))</f>
        <v/>
      </c>
      <c r="F35" s="123" t="str">
        <f>IF(MAESTRO!B35="","",IFERROR(TRUNC(AVERAGE(C35,D35,E35),1),""))</f>
        <v/>
      </c>
      <c r="G35" s="122" t="str">
        <f>IF(MAESTRO!B35="","",IFERROR('PROM (Agropecuaria 7°)'!AE35,""))</f>
        <v/>
      </c>
      <c r="H35" s="122" t="str">
        <f>IF(MAESTRO!B35="","",IFERROR('PROM (Agropecuaria 7°)'!BM35,""))</f>
        <v/>
      </c>
      <c r="I35" s="122" t="str">
        <f>IF(MAESTRO!B35="","",IFERROR('PROM (Agropecuaria 7°)'!CU35,""))</f>
        <v/>
      </c>
      <c r="J35" s="123" t="str">
        <f>IF(MAESTRO!B35="","",IFERROR(TRUNC(AVERAGE(G35,H35,I35),1),""))</f>
        <v/>
      </c>
      <c r="K35" s="122" t="str">
        <f>IF(MAESTRO!B35="","",IFERROR('PROM (Hogar y Desarrollo 7°)'!AE35,""))</f>
        <v/>
      </c>
      <c r="L35" s="122" t="str">
        <f>IF(MAESTRO!B35="","",IFERROR('PROM (Hogar y Desarrollo 7°)'!BM35,""))</f>
        <v/>
      </c>
      <c r="M35" s="122" t="str">
        <f>IF(MAESTRO!B35="","",IFERROR('PROM (Hogar y Desarrollo 7°)'!CU35,""))</f>
        <v/>
      </c>
      <c r="N35" s="123" t="str">
        <f>IF(MAESTRO!B35="","",IFERROR(TRUNC(AVERAGE(K35,L35,M35),1),""))</f>
        <v/>
      </c>
      <c r="O35" s="124" t="str">
        <f>IF(MAESTRO!B35="","",IFERROR(AVERAGE(G35,K35),""))</f>
        <v/>
      </c>
      <c r="P35" s="124" t="str">
        <f>IF(MAESTRO!B35="","",IFERROR(AVERAGE(H35,L35),""))</f>
        <v/>
      </c>
      <c r="Q35" s="124" t="str">
        <f>IF(MAESTRO!B35="","",IFERROR(AVERAGE(I35,M35),""))</f>
        <v/>
      </c>
      <c r="R35" s="124" t="str">
        <f>IF(MAESTRO!B35="","",IFERROR(TRUNC(AVERAGE(O35,P35,Q35),1),""))</f>
        <v/>
      </c>
      <c r="S35" s="123" t="str">
        <f>IF(MAESTRO!B35="","",IF(AND(F35="",J35="",N35="",R35=""),"",IF(Y(OR(F35="",F35&gt;=3),OR(J35="",J35&gt;=3),OR(N35="",N35&gt;=3),OR(R35="",R35&gt;=3)),"✓ APROBADO","✗ REPROBADO")))</f>
        <v/>
      </c>
    </row>
    <row r="36" spans="1:19" ht="16.05" customHeight="1">
      <c r="A36" s="116">
        <v>32</v>
      </c>
      <c r="B36" s="117">
        <f>MAESTRO!B36</f>
        <v>0</v>
      </c>
      <c r="C36" s="125" t="str">
        <f>IF(MAESTRO!B36="","",IFERROR('PROM (Ingles 7°)'!AE36,""))</f>
        <v/>
      </c>
      <c r="D36" s="125" t="str">
        <f>IF(MAESTRO!B36="","",IFERROR('PROM (Ingles 7°)'!BM36,""))</f>
        <v/>
      </c>
      <c r="E36" s="125" t="str">
        <f>IF(MAESTRO!B36="","",IFERROR('PROM (Ingles 7°)'!CU36,""))</f>
        <v/>
      </c>
      <c r="F36" s="126" t="str">
        <f>IF(MAESTRO!B36="","",IFERROR(TRUNC(AVERAGE(C36,D36,E36),1),""))</f>
        <v/>
      </c>
      <c r="G36" s="125" t="str">
        <f>IF(MAESTRO!B36="","",IFERROR('PROM (Agropecuaria 7°)'!AE36,""))</f>
        <v/>
      </c>
      <c r="H36" s="125" t="str">
        <f>IF(MAESTRO!B36="","",IFERROR('PROM (Agropecuaria 7°)'!BM36,""))</f>
        <v/>
      </c>
      <c r="I36" s="125" t="str">
        <f>IF(MAESTRO!B36="","",IFERROR('PROM (Agropecuaria 7°)'!CU36,""))</f>
        <v/>
      </c>
      <c r="J36" s="126" t="str">
        <f>IF(MAESTRO!B36="","",IFERROR(TRUNC(AVERAGE(G36,H36,I36),1),""))</f>
        <v/>
      </c>
      <c r="K36" s="125" t="str">
        <f>IF(MAESTRO!B36="","",IFERROR('PROM (Hogar y Desarrollo 7°)'!AE36,""))</f>
        <v/>
      </c>
      <c r="L36" s="125" t="str">
        <f>IF(MAESTRO!B36="","",IFERROR('PROM (Hogar y Desarrollo 7°)'!BM36,""))</f>
        <v/>
      </c>
      <c r="M36" s="125" t="str">
        <f>IF(MAESTRO!B36="","",IFERROR('PROM (Hogar y Desarrollo 7°)'!CU36,""))</f>
        <v/>
      </c>
      <c r="N36" s="126" t="str">
        <f>IF(MAESTRO!B36="","",IFERROR(TRUNC(AVERAGE(K36,L36,M36),1),""))</f>
        <v/>
      </c>
      <c r="O36" s="124" t="str">
        <f>IF(MAESTRO!B36="","",IFERROR(AVERAGE(G36,K36),""))</f>
        <v/>
      </c>
      <c r="P36" s="124" t="str">
        <f>IF(MAESTRO!B36="","",IFERROR(AVERAGE(H36,L36),""))</f>
        <v/>
      </c>
      <c r="Q36" s="124" t="str">
        <f>IF(MAESTRO!B36="","",IFERROR(AVERAGE(I36,M36),""))</f>
        <v/>
      </c>
      <c r="R36" s="124" t="str">
        <f>IF(MAESTRO!B36="","",IFERROR(TRUNC(AVERAGE(O36,P36,Q36),1),""))</f>
        <v/>
      </c>
      <c r="S36" s="126" t="str">
        <f>IF(MAESTRO!B36="","",IF(AND(F36="",J36="",N36="",R36=""),"",IF(Y(OR(F36="",F36&gt;=3),OR(J36="",J36&gt;=3),OR(N36="",N36&gt;=3),OR(R36="",R36&gt;=3)),"✓ APROBADO","✗ REPROBADO")))</f>
        <v/>
      </c>
    </row>
    <row r="37" spans="1:19" ht="16.05" customHeight="1">
      <c r="A37" s="118">
        <v>33</v>
      </c>
      <c r="B37" s="119">
        <f>MAESTRO!B37</f>
        <v>0</v>
      </c>
      <c r="C37" s="122" t="str">
        <f>IF(MAESTRO!B37="","",IFERROR('PROM (Ingles 7°)'!AE37,""))</f>
        <v/>
      </c>
      <c r="D37" s="122" t="str">
        <f>IF(MAESTRO!B37="","",IFERROR('PROM (Ingles 7°)'!BM37,""))</f>
        <v/>
      </c>
      <c r="E37" s="122" t="str">
        <f>IF(MAESTRO!B37="","",IFERROR('PROM (Ingles 7°)'!CU37,""))</f>
        <v/>
      </c>
      <c r="F37" s="123" t="str">
        <f>IF(MAESTRO!B37="","",IFERROR(TRUNC(AVERAGE(C37,D37,E37),1),""))</f>
        <v/>
      </c>
      <c r="G37" s="122" t="str">
        <f>IF(MAESTRO!B37="","",IFERROR('PROM (Agropecuaria 7°)'!AE37,""))</f>
        <v/>
      </c>
      <c r="H37" s="122" t="str">
        <f>IF(MAESTRO!B37="","",IFERROR('PROM (Agropecuaria 7°)'!BM37,""))</f>
        <v/>
      </c>
      <c r="I37" s="122" t="str">
        <f>IF(MAESTRO!B37="","",IFERROR('PROM (Agropecuaria 7°)'!CU37,""))</f>
        <v/>
      </c>
      <c r="J37" s="123" t="str">
        <f>IF(MAESTRO!B37="","",IFERROR(TRUNC(AVERAGE(G37,H37,I37),1),""))</f>
        <v/>
      </c>
      <c r="K37" s="122" t="str">
        <f>IF(MAESTRO!B37="","",IFERROR('PROM (Hogar y Desarrollo 7°)'!AE37,""))</f>
        <v/>
      </c>
      <c r="L37" s="122" t="str">
        <f>IF(MAESTRO!B37="","",IFERROR('PROM (Hogar y Desarrollo 7°)'!BM37,""))</f>
        <v/>
      </c>
      <c r="M37" s="122" t="str">
        <f>IF(MAESTRO!B37="","",IFERROR('PROM (Hogar y Desarrollo 7°)'!CU37,""))</f>
        <v/>
      </c>
      <c r="N37" s="123" t="str">
        <f>IF(MAESTRO!B37="","",IFERROR(TRUNC(AVERAGE(K37,L37,M37),1),""))</f>
        <v/>
      </c>
      <c r="O37" s="124" t="str">
        <f>IF(MAESTRO!B37="","",IFERROR(AVERAGE(G37,K37),""))</f>
        <v/>
      </c>
      <c r="P37" s="124" t="str">
        <f>IF(MAESTRO!B37="","",IFERROR(AVERAGE(H37,L37),""))</f>
        <v/>
      </c>
      <c r="Q37" s="124" t="str">
        <f>IF(MAESTRO!B37="","",IFERROR(AVERAGE(I37,M37),""))</f>
        <v/>
      </c>
      <c r="R37" s="124" t="str">
        <f>IF(MAESTRO!B37="","",IFERROR(TRUNC(AVERAGE(O37,P37,Q37),1),""))</f>
        <v/>
      </c>
      <c r="S37" s="123" t="str">
        <f>IF(MAESTRO!B37="","",IF(AND(F37="",J37="",N37="",R37=""),"",IF(Y(OR(F37="",F37&gt;=3),OR(J37="",J37&gt;=3),OR(N37="",N37&gt;=3),OR(R37="",R37&gt;=3)),"✓ APROBADO","✗ REPROBADO")))</f>
        <v/>
      </c>
    </row>
    <row r="38" spans="1:19" ht="16.05" customHeight="1">
      <c r="A38" s="116">
        <v>34</v>
      </c>
      <c r="B38" s="117">
        <f>MAESTRO!B38</f>
        <v>0</v>
      </c>
      <c r="C38" s="125" t="str">
        <f>IF(MAESTRO!B38="","",IFERROR('PROM (Ingles 7°)'!AE38,""))</f>
        <v/>
      </c>
      <c r="D38" s="125" t="str">
        <f>IF(MAESTRO!B38="","",IFERROR('PROM (Ingles 7°)'!BM38,""))</f>
        <v/>
      </c>
      <c r="E38" s="125" t="str">
        <f>IF(MAESTRO!B38="","",IFERROR('PROM (Ingles 7°)'!CU38,""))</f>
        <v/>
      </c>
      <c r="F38" s="126" t="str">
        <f>IF(MAESTRO!B38="","",IFERROR(TRUNC(AVERAGE(C38,D38,E38),1),""))</f>
        <v/>
      </c>
      <c r="G38" s="125" t="str">
        <f>IF(MAESTRO!B38="","",IFERROR('PROM (Agropecuaria 7°)'!AE38,""))</f>
        <v/>
      </c>
      <c r="H38" s="125" t="str">
        <f>IF(MAESTRO!B38="","",IFERROR('PROM (Agropecuaria 7°)'!BM38,""))</f>
        <v/>
      </c>
      <c r="I38" s="125" t="str">
        <f>IF(MAESTRO!B38="","",IFERROR('PROM (Agropecuaria 7°)'!CU38,""))</f>
        <v/>
      </c>
      <c r="J38" s="126" t="str">
        <f>IF(MAESTRO!B38="","",IFERROR(TRUNC(AVERAGE(G38,H38,I38),1),""))</f>
        <v/>
      </c>
      <c r="K38" s="125" t="str">
        <f>IF(MAESTRO!B38="","",IFERROR('PROM (Hogar y Desarrollo 7°)'!AE38,""))</f>
        <v/>
      </c>
      <c r="L38" s="125" t="str">
        <f>IF(MAESTRO!B38="","",IFERROR('PROM (Hogar y Desarrollo 7°)'!BM38,""))</f>
        <v/>
      </c>
      <c r="M38" s="125" t="str">
        <f>IF(MAESTRO!B38="","",IFERROR('PROM (Hogar y Desarrollo 7°)'!CU38,""))</f>
        <v/>
      </c>
      <c r="N38" s="126" t="str">
        <f>IF(MAESTRO!B38="","",IFERROR(TRUNC(AVERAGE(K38,L38,M38),1),""))</f>
        <v/>
      </c>
      <c r="O38" s="124" t="str">
        <f>IF(MAESTRO!B38="","",IFERROR(AVERAGE(G38,K38),""))</f>
        <v/>
      </c>
      <c r="P38" s="124" t="str">
        <f>IF(MAESTRO!B38="","",IFERROR(AVERAGE(H38,L38),""))</f>
        <v/>
      </c>
      <c r="Q38" s="124" t="str">
        <f>IF(MAESTRO!B38="","",IFERROR(AVERAGE(I38,M38),""))</f>
        <v/>
      </c>
      <c r="R38" s="124" t="str">
        <f>IF(MAESTRO!B38="","",IFERROR(TRUNC(AVERAGE(O38,P38,Q38),1),""))</f>
        <v/>
      </c>
      <c r="S38" s="126" t="str">
        <f>IF(MAESTRO!B38="","",IF(AND(F38="",J38="",N38="",R38=""),"",IF(Y(OR(F38="",F38&gt;=3),OR(J38="",J38&gt;=3),OR(N38="",N38&gt;=3),OR(R38="",R38&gt;=3)),"✓ APROBADO","✗ REPROBADO")))</f>
        <v/>
      </c>
    </row>
    <row r="39" spans="1:19" ht="16.05" customHeight="1">
      <c r="A39" s="118">
        <v>35</v>
      </c>
      <c r="B39" s="119">
        <f>MAESTRO!B39</f>
        <v>0</v>
      </c>
      <c r="C39" s="122" t="str">
        <f>IF(MAESTRO!B39="","",IFERROR('PROM (Ingles 7°)'!AE39,""))</f>
        <v/>
      </c>
      <c r="D39" s="122" t="str">
        <f>IF(MAESTRO!B39="","",IFERROR('PROM (Ingles 7°)'!BM39,""))</f>
        <v/>
      </c>
      <c r="E39" s="122" t="str">
        <f>IF(MAESTRO!B39="","",IFERROR('PROM (Ingles 7°)'!CU39,""))</f>
        <v/>
      </c>
      <c r="F39" s="123" t="str">
        <f>IF(MAESTRO!B39="","",IFERROR(TRUNC(AVERAGE(C39,D39,E39),1),""))</f>
        <v/>
      </c>
      <c r="G39" s="122" t="str">
        <f>IF(MAESTRO!B39="","",IFERROR('PROM (Agropecuaria 7°)'!AE39,""))</f>
        <v/>
      </c>
      <c r="H39" s="122" t="str">
        <f>IF(MAESTRO!B39="","",IFERROR('PROM (Agropecuaria 7°)'!BM39,""))</f>
        <v/>
      </c>
      <c r="I39" s="122" t="str">
        <f>IF(MAESTRO!B39="","",IFERROR('PROM (Agropecuaria 7°)'!CU39,""))</f>
        <v/>
      </c>
      <c r="J39" s="123" t="str">
        <f>IF(MAESTRO!B39="","",IFERROR(TRUNC(AVERAGE(G39,H39,I39),1),""))</f>
        <v/>
      </c>
      <c r="K39" s="122" t="str">
        <f>IF(MAESTRO!B39="","",IFERROR('PROM (Hogar y Desarrollo 7°)'!AE39,""))</f>
        <v/>
      </c>
      <c r="L39" s="122" t="str">
        <f>IF(MAESTRO!B39="","",IFERROR('PROM (Hogar y Desarrollo 7°)'!BM39,""))</f>
        <v/>
      </c>
      <c r="M39" s="122" t="str">
        <f>IF(MAESTRO!B39="","",IFERROR('PROM (Hogar y Desarrollo 7°)'!CU39,""))</f>
        <v/>
      </c>
      <c r="N39" s="123" t="str">
        <f>IF(MAESTRO!B39="","",IFERROR(TRUNC(AVERAGE(K39,L39,M39),1),""))</f>
        <v/>
      </c>
      <c r="O39" s="124" t="str">
        <f>IF(MAESTRO!B39="","",IFERROR(AVERAGE(G39,K39),""))</f>
        <v/>
      </c>
      <c r="P39" s="124" t="str">
        <f>IF(MAESTRO!B39="","",IFERROR(AVERAGE(H39,L39),""))</f>
        <v/>
      </c>
      <c r="Q39" s="124" t="str">
        <f>IF(MAESTRO!B39="","",IFERROR(AVERAGE(I39,M39),""))</f>
        <v/>
      </c>
      <c r="R39" s="124" t="str">
        <f>IF(MAESTRO!B39="","",IFERROR(TRUNC(AVERAGE(O39,P39,Q39),1),""))</f>
        <v/>
      </c>
      <c r="S39" s="123" t="str">
        <f>IF(MAESTRO!B39="","",IF(AND(F39="",J39="",N39="",R39=""),"",IF(Y(OR(F39="",F39&gt;=3),OR(J39="",J39&gt;=3),OR(N39="",N39&gt;=3),OR(R39="",R39&gt;=3)),"✓ APROBADO","✗ REPROBADO")))</f>
        <v/>
      </c>
    </row>
    <row r="40" spans="1:19" ht="16.05" customHeight="1">
      <c r="A40" s="116">
        <v>36</v>
      </c>
      <c r="B40" s="117">
        <f>MAESTRO!B40</f>
        <v>0</v>
      </c>
      <c r="C40" s="125" t="str">
        <f>IF(MAESTRO!B40="","",IFERROR('PROM (Ingles 7°)'!AE40,""))</f>
        <v/>
      </c>
      <c r="D40" s="125" t="str">
        <f>IF(MAESTRO!B40="","",IFERROR('PROM (Ingles 7°)'!BM40,""))</f>
        <v/>
      </c>
      <c r="E40" s="125" t="str">
        <f>IF(MAESTRO!B40="","",IFERROR('PROM (Ingles 7°)'!CU40,""))</f>
        <v/>
      </c>
      <c r="F40" s="126" t="str">
        <f>IF(MAESTRO!B40="","",IFERROR(TRUNC(AVERAGE(C40,D40,E40),1),""))</f>
        <v/>
      </c>
      <c r="G40" s="125" t="str">
        <f>IF(MAESTRO!B40="","",IFERROR('PROM (Agropecuaria 7°)'!AE40,""))</f>
        <v/>
      </c>
      <c r="H40" s="125" t="str">
        <f>IF(MAESTRO!B40="","",IFERROR('PROM (Agropecuaria 7°)'!BM40,""))</f>
        <v/>
      </c>
      <c r="I40" s="125" t="str">
        <f>IF(MAESTRO!B40="","",IFERROR('PROM (Agropecuaria 7°)'!CU40,""))</f>
        <v/>
      </c>
      <c r="J40" s="126" t="str">
        <f>IF(MAESTRO!B40="","",IFERROR(TRUNC(AVERAGE(G40,H40,I40),1),""))</f>
        <v/>
      </c>
      <c r="K40" s="125" t="str">
        <f>IF(MAESTRO!B40="","",IFERROR('PROM (Hogar y Desarrollo 7°)'!AE40,""))</f>
        <v/>
      </c>
      <c r="L40" s="125" t="str">
        <f>IF(MAESTRO!B40="","",IFERROR('PROM (Hogar y Desarrollo 7°)'!BM40,""))</f>
        <v/>
      </c>
      <c r="M40" s="125" t="str">
        <f>IF(MAESTRO!B40="","",IFERROR('PROM (Hogar y Desarrollo 7°)'!CU40,""))</f>
        <v/>
      </c>
      <c r="N40" s="126" t="str">
        <f>IF(MAESTRO!B40="","",IFERROR(TRUNC(AVERAGE(K40,L40,M40),1),""))</f>
        <v/>
      </c>
      <c r="O40" s="124" t="str">
        <f>IF(MAESTRO!B40="","",IFERROR(AVERAGE(G40,K40),""))</f>
        <v/>
      </c>
      <c r="P40" s="124" t="str">
        <f>IF(MAESTRO!B40="","",IFERROR(AVERAGE(H40,L40),""))</f>
        <v/>
      </c>
      <c r="Q40" s="124" t="str">
        <f>IF(MAESTRO!B40="","",IFERROR(AVERAGE(I40,M40),""))</f>
        <v/>
      </c>
      <c r="R40" s="124" t="str">
        <f>IF(MAESTRO!B40="","",IFERROR(TRUNC(AVERAGE(O40,P40,Q40),1),""))</f>
        <v/>
      </c>
      <c r="S40" s="126" t="str">
        <f>IF(MAESTRO!B40="","",IF(AND(F40="",J40="",N40="",R40=""),"",IF(Y(OR(F40="",F40&gt;=3),OR(J40="",J40&gt;=3),OR(N40="",N40&gt;=3),OR(R40="",R40&gt;=3)),"✓ APROBADO","✗ REPROBADO")))</f>
        <v/>
      </c>
    </row>
    <row r="41" spans="1:19" ht="16.05" customHeight="1">
      <c r="A41" s="118">
        <v>37</v>
      </c>
      <c r="B41" s="119">
        <f>MAESTRO!B41</f>
        <v>0</v>
      </c>
      <c r="C41" s="122" t="str">
        <f>IF(MAESTRO!B41="","",IFERROR('PROM (Ingles 7°)'!AE41,""))</f>
        <v/>
      </c>
      <c r="D41" s="122" t="str">
        <f>IF(MAESTRO!B41="","",IFERROR('PROM (Ingles 7°)'!BM41,""))</f>
        <v/>
      </c>
      <c r="E41" s="122" t="str">
        <f>IF(MAESTRO!B41="","",IFERROR('PROM (Ingles 7°)'!CU41,""))</f>
        <v/>
      </c>
      <c r="F41" s="123" t="str">
        <f>IF(MAESTRO!B41="","",IFERROR(TRUNC(AVERAGE(C41,D41,E41),1),""))</f>
        <v/>
      </c>
      <c r="G41" s="122" t="str">
        <f>IF(MAESTRO!B41="","",IFERROR('PROM (Agropecuaria 7°)'!AE41,""))</f>
        <v/>
      </c>
      <c r="H41" s="122" t="str">
        <f>IF(MAESTRO!B41="","",IFERROR('PROM (Agropecuaria 7°)'!BM41,""))</f>
        <v/>
      </c>
      <c r="I41" s="122" t="str">
        <f>IF(MAESTRO!B41="","",IFERROR('PROM (Agropecuaria 7°)'!CU41,""))</f>
        <v/>
      </c>
      <c r="J41" s="123" t="str">
        <f>IF(MAESTRO!B41="","",IFERROR(TRUNC(AVERAGE(G41,H41,I41),1),""))</f>
        <v/>
      </c>
      <c r="K41" s="122" t="str">
        <f>IF(MAESTRO!B41="","",IFERROR('PROM (Hogar y Desarrollo 7°)'!AE41,""))</f>
        <v/>
      </c>
      <c r="L41" s="122" t="str">
        <f>IF(MAESTRO!B41="","",IFERROR('PROM (Hogar y Desarrollo 7°)'!BM41,""))</f>
        <v/>
      </c>
      <c r="M41" s="122" t="str">
        <f>IF(MAESTRO!B41="","",IFERROR('PROM (Hogar y Desarrollo 7°)'!CU41,""))</f>
        <v/>
      </c>
      <c r="N41" s="123" t="str">
        <f>IF(MAESTRO!B41="","",IFERROR(TRUNC(AVERAGE(K41,L41,M41),1),""))</f>
        <v/>
      </c>
      <c r="O41" s="124" t="str">
        <f>IF(MAESTRO!B41="","",IFERROR(AVERAGE(G41,K41),""))</f>
        <v/>
      </c>
      <c r="P41" s="124" t="str">
        <f>IF(MAESTRO!B41="","",IFERROR(AVERAGE(H41,L41),""))</f>
        <v/>
      </c>
      <c r="Q41" s="124" t="str">
        <f>IF(MAESTRO!B41="","",IFERROR(AVERAGE(I41,M41),""))</f>
        <v/>
      </c>
      <c r="R41" s="124" t="str">
        <f>IF(MAESTRO!B41="","",IFERROR(TRUNC(AVERAGE(O41,P41,Q41),1),""))</f>
        <v/>
      </c>
      <c r="S41" s="123" t="str">
        <f>IF(MAESTRO!B41="","",IF(AND(F41="",J41="",N41="",R41=""),"",IF(Y(OR(F41="",F41&gt;=3),OR(J41="",J41&gt;=3),OR(N41="",N41&gt;=3),OR(R41="",R41&gt;=3)),"✓ APROBADO","✗ REPROBADO")))</f>
        <v/>
      </c>
    </row>
    <row r="42" spans="1:19" ht="16.05" customHeight="1">
      <c r="A42" s="116">
        <v>38</v>
      </c>
      <c r="B42" s="117">
        <f>MAESTRO!B42</f>
        <v>0</v>
      </c>
      <c r="C42" s="125" t="str">
        <f>IF(MAESTRO!B42="","",IFERROR('PROM (Ingles 7°)'!AE42,""))</f>
        <v/>
      </c>
      <c r="D42" s="125" t="str">
        <f>IF(MAESTRO!B42="","",IFERROR('PROM (Ingles 7°)'!BM42,""))</f>
        <v/>
      </c>
      <c r="E42" s="125" t="str">
        <f>IF(MAESTRO!B42="","",IFERROR('PROM (Ingles 7°)'!CU42,""))</f>
        <v/>
      </c>
      <c r="F42" s="126" t="str">
        <f>IF(MAESTRO!B42="","",IFERROR(TRUNC(AVERAGE(C42,D42,E42),1),""))</f>
        <v/>
      </c>
      <c r="G42" s="125" t="str">
        <f>IF(MAESTRO!B42="","",IFERROR('PROM (Agropecuaria 7°)'!AE42,""))</f>
        <v/>
      </c>
      <c r="H42" s="125" t="str">
        <f>IF(MAESTRO!B42="","",IFERROR('PROM (Agropecuaria 7°)'!BM42,""))</f>
        <v/>
      </c>
      <c r="I42" s="125" t="str">
        <f>IF(MAESTRO!B42="","",IFERROR('PROM (Agropecuaria 7°)'!CU42,""))</f>
        <v/>
      </c>
      <c r="J42" s="126" t="str">
        <f>IF(MAESTRO!B42="","",IFERROR(TRUNC(AVERAGE(G42,H42,I42),1),""))</f>
        <v/>
      </c>
      <c r="K42" s="125" t="str">
        <f>IF(MAESTRO!B42="","",IFERROR('PROM (Hogar y Desarrollo 7°)'!AE42,""))</f>
        <v/>
      </c>
      <c r="L42" s="125" t="str">
        <f>IF(MAESTRO!B42="","",IFERROR('PROM (Hogar y Desarrollo 7°)'!BM42,""))</f>
        <v/>
      </c>
      <c r="M42" s="125" t="str">
        <f>IF(MAESTRO!B42="","",IFERROR('PROM (Hogar y Desarrollo 7°)'!CU42,""))</f>
        <v/>
      </c>
      <c r="N42" s="126" t="str">
        <f>IF(MAESTRO!B42="","",IFERROR(TRUNC(AVERAGE(K42,L42,M42),1),""))</f>
        <v/>
      </c>
      <c r="O42" s="124" t="str">
        <f>IF(MAESTRO!B42="","",IFERROR(AVERAGE(G42,K42),""))</f>
        <v/>
      </c>
      <c r="P42" s="124" t="str">
        <f>IF(MAESTRO!B42="","",IFERROR(AVERAGE(H42,L42),""))</f>
        <v/>
      </c>
      <c r="Q42" s="124" t="str">
        <f>IF(MAESTRO!B42="","",IFERROR(AVERAGE(I42,M42),""))</f>
        <v/>
      </c>
      <c r="R42" s="124" t="str">
        <f>IF(MAESTRO!B42="","",IFERROR(TRUNC(AVERAGE(O42,P42,Q42),1),""))</f>
        <v/>
      </c>
      <c r="S42" s="126" t="str">
        <f>IF(MAESTRO!B42="","",IF(AND(F42="",J42="",N42="",R42=""),"",IF(Y(OR(F42="",F42&gt;=3),OR(J42="",J42&gt;=3),OR(N42="",N42&gt;=3),OR(R42="",R42&gt;=3)),"✓ APROBADO","✗ REPROBADO")))</f>
        <v/>
      </c>
    </row>
    <row r="43" spans="1:19" ht="16.05" customHeight="1">
      <c r="A43" s="118">
        <v>39</v>
      </c>
      <c r="B43" s="119">
        <f>MAESTRO!B43</f>
        <v>0</v>
      </c>
      <c r="C43" s="122" t="str">
        <f>IF(MAESTRO!B43="","",IFERROR('PROM (Ingles 7°)'!AE43,""))</f>
        <v/>
      </c>
      <c r="D43" s="122" t="str">
        <f>IF(MAESTRO!B43="","",IFERROR('PROM (Ingles 7°)'!BM43,""))</f>
        <v/>
      </c>
      <c r="E43" s="122" t="str">
        <f>IF(MAESTRO!B43="","",IFERROR('PROM (Ingles 7°)'!CU43,""))</f>
        <v/>
      </c>
      <c r="F43" s="123" t="str">
        <f>IF(MAESTRO!B43="","",IFERROR(TRUNC(AVERAGE(C43,D43,E43),1),""))</f>
        <v/>
      </c>
      <c r="G43" s="122" t="str">
        <f>IF(MAESTRO!B43="","",IFERROR('PROM (Agropecuaria 7°)'!AE43,""))</f>
        <v/>
      </c>
      <c r="H43" s="122" t="str">
        <f>IF(MAESTRO!B43="","",IFERROR('PROM (Agropecuaria 7°)'!BM43,""))</f>
        <v/>
      </c>
      <c r="I43" s="122" t="str">
        <f>IF(MAESTRO!B43="","",IFERROR('PROM (Agropecuaria 7°)'!CU43,""))</f>
        <v/>
      </c>
      <c r="J43" s="123" t="str">
        <f>IF(MAESTRO!B43="","",IFERROR(TRUNC(AVERAGE(G43,H43,I43),1),""))</f>
        <v/>
      </c>
      <c r="K43" s="122" t="str">
        <f>IF(MAESTRO!B43="","",IFERROR('PROM (Hogar y Desarrollo 7°)'!AE43,""))</f>
        <v/>
      </c>
      <c r="L43" s="122" t="str">
        <f>IF(MAESTRO!B43="","",IFERROR('PROM (Hogar y Desarrollo 7°)'!BM43,""))</f>
        <v/>
      </c>
      <c r="M43" s="122" t="str">
        <f>IF(MAESTRO!B43="","",IFERROR('PROM (Hogar y Desarrollo 7°)'!CU43,""))</f>
        <v/>
      </c>
      <c r="N43" s="123" t="str">
        <f>IF(MAESTRO!B43="","",IFERROR(TRUNC(AVERAGE(K43,L43,M43),1),""))</f>
        <v/>
      </c>
      <c r="O43" s="124" t="str">
        <f>IF(MAESTRO!B43="","",IFERROR(AVERAGE(G43,K43),""))</f>
        <v/>
      </c>
      <c r="P43" s="124" t="str">
        <f>IF(MAESTRO!B43="","",IFERROR(AVERAGE(H43,L43),""))</f>
        <v/>
      </c>
      <c r="Q43" s="124" t="str">
        <f>IF(MAESTRO!B43="","",IFERROR(AVERAGE(I43,M43),""))</f>
        <v/>
      </c>
      <c r="R43" s="124" t="str">
        <f>IF(MAESTRO!B43="","",IFERROR(TRUNC(AVERAGE(O43,P43,Q43),1),""))</f>
        <v/>
      </c>
      <c r="S43" s="123" t="str">
        <f>IF(MAESTRO!B43="","",IF(AND(F43="",J43="",N43="",R43=""),"",IF(Y(OR(F43="",F43&gt;=3),OR(J43="",J43&gt;=3),OR(N43="",N43&gt;=3),OR(R43="",R43&gt;=3)),"✓ APROBADO","✗ REPROBADO")))</f>
        <v/>
      </c>
    </row>
    <row r="44" spans="1:19" ht="16.05" customHeight="1">
      <c r="A44" s="116">
        <v>40</v>
      </c>
      <c r="B44" s="117">
        <f>MAESTRO!B44</f>
        <v>0</v>
      </c>
      <c r="C44" s="125" t="str">
        <f>IF(MAESTRO!B44="","",IFERROR('PROM (Ingles 7°)'!AE44,""))</f>
        <v/>
      </c>
      <c r="D44" s="125" t="str">
        <f>IF(MAESTRO!B44="","",IFERROR('PROM (Ingles 7°)'!BM44,""))</f>
        <v/>
      </c>
      <c r="E44" s="125" t="str">
        <f>IF(MAESTRO!B44="","",IFERROR('PROM (Ingles 7°)'!CU44,""))</f>
        <v/>
      </c>
      <c r="F44" s="126" t="str">
        <f>IF(MAESTRO!B44="","",IFERROR(TRUNC(AVERAGE(C44,D44,E44),1),""))</f>
        <v/>
      </c>
      <c r="G44" s="125" t="str">
        <f>IF(MAESTRO!B44="","",IFERROR('PROM (Agropecuaria 7°)'!AE44,""))</f>
        <v/>
      </c>
      <c r="H44" s="125" t="str">
        <f>IF(MAESTRO!B44="","",IFERROR('PROM (Agropecuaria 7°)'!BM44,""))</f>
        <v/>
      </c>
      <c r="I44" s="125" t="str">
        <f>IF(MAESTRO!B44="","",IFERROR('PROM (Agropecuaria 7°)'!CU44,""))</f>
        <v/>
      </c>
      <c r="J44" s="126" t="str">
        <f>IF(MAESTRO!B44="","",IFERROR(TRUNC(AVERAGE(G44,H44,I44),1),""))</f>
        <v/>
      </c>
      <c r="K44" s="125" t="str">
        <f>IF(MAESTRO!B44="","",IFERROR('PROM (Hogar y Desarrollo 7°)'!AE44,""))</f>
        <v/>
      </c>
      <c r="L44" s="125" t="str">
        <f>IF(MAESTRO!B44="","",IFERROR('PROM (Hogar y Desarrollo 7°)'!BM44,""))</f>
        <v/>
      </c>
      <c r="M44" s="125" t="str">
        <f>IF(MAESTRO!B44="","",IFERROR('PROM (Hogar y Desarrollo 7°)'!CU44,""))</f>
        <v/>
      </c>
      <c r="N44" s="126" t="str">
        <f>IF(MAESTRO!B44="","",IFERROR(TRUNC(AVERAGE(K44,L44,M44),1),""))</f>
        <v/>
      </c>
      <c r="O44" s="124" t="str">
        <f>IF(MAESTRO!B44="","",IFERROR(AVERAGE(G44,K44),""))</f>
        <v/>
      </c>
      <c r="P44" s="124" t="str">
        <f>IF(MAESTRO!B44="","",IFERROR(AVERAGE(H44,L44),""))</f>
        <v/>
      </c>
      <c r="Q44" s="124" t="str">
        <f>IF(MAESTRO!B44="","",IFERROR(AVERAGE(I44,M44),""))</f>
        <v/>
      </c>
      <c r="R44" s="124" t="str">
        <f>IF(MAESTRO!B44="","",IFERROR(TRUNC(AVERAGE(O44,P44,Q44),1),""))</f>
        <v/>
      </c>
      <c r="S44" s="126" t="str">
        <f>IF(MAESTRO!B44="","",IF(AND(F44="",J44="",N44="",R44=""),"",IF(Y(OR(F44="",F44&gt;=3),OR(J44="",J44&gt;=3),OR(N44="",N44&gt;=3),OR(R44="",R44&gt;=3)),"✓ APROBADO","✗ REPROBADO")))</f>
        <v/>
      </c>
    </row>
    <row r="46" spans="1:19" ht="18" customHeight="1">
      <c r="A46" s="171" t="s">
        <v>14</v>
      </c>
      <c r="B46" s="166"/>
      <c r="C46" s="127" t="str">
        <f t="shared" ref="C46:R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8"/>
    </row>
  </sheetData>
  <mergeCells count="10">
    <mergeCell ref="A46:B46"/>
    <mergeCell ref="S3:S4"/>
    <mergeCell ref="A2:P2"/>
    <mergeCell ref="C3:F3"/>
    <mergeCell ref="G3:J3"/>
    <mergeCell ref="K3:N3"/>
    <mergeCell ref="A1:P1"/>
    <mergeCell ref="B3:B4"/>
    <mergeCell ref="A3:A4"/>
    <mergeCell ref="O3:R3"/>
  </mergeCells>
  <conditionalFormatting sqref="C5:R44">
    <cfRule type="cellIs" dxfId="37" priority="1" operator="lessThan">
      <formula>3</formula>
    </cfRule>
    <cfRule type="cellIs" dxfId="36" priority="2" operator="between">
      <formula>3</formula>
      <formula>3.4</formula>
    </cfRule>
    <cfRule type="cellIs" dxfId="35" priority="3" operator="greaterThanOrEqual">
      <formula>4.5</formula>
    </cfRule>
  </conditionalFormatting>
  <conditionalFormatting sqref="S5:S44">
    <cfRule type="expression" dxfId="34" priority="4">
      <formula>S5="✓ APROBADO"</formula>
    </cfRule>
    <cfRule type="expression" dxfId="33" priority="5">
      <formula>S5="✗ REPROBADO"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S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180" t="s">
        <v>50</v>
      </c>
      <c r="B1" s="168"/>
      <c r="C1" s="168"/>
      <c r="D1" s="168"/>
      <c r="E1" s="168"/>
      <c r="F1" s="168"/>
      <c r="G1" s="168"/>
      <c r="H1" s="168"/>
      <c r="I1" s="168"/>
      <c r="J1" s="168"/>
      <c r="K1" s="168"/>
      <c r="L1" s="168"/>
      <c r="M1" s="168"/>
      <c r="N1" s="168"/>
      <c r="O1" s="168"/>
      <c r="P1" s="168"/>
    </row>
    <row r="2" spans="1:19" ht="15" customHeight="1">
      <c r="A2" s="181" t="s">
        <v>1</v>
      </c>
      <c r="B2" s="168"/>
      <c r="C2" s="168"/>
      <c r="D2" s="168"/>
      <c r="E2" s="168"/>
      <c r="F2" s="168"/>
      <c r="G2" s="168"/>
      <c r="H2" s="168"/>
      <c r="I2" s="168"/>
      <c r="J2" s="168"/>
      <c r="K2" s="168"/>
      <c r="L2" s="168"/>
      <c r="M2" s="168"/>
      <c r="N2" s="168"/>
      <c r="O2" s="168"/>
      <c r="P2" s="168"/>
    </row>
    <row r="3" spans="1:19" ht="22.05" customHeight="1">
      <c r="A3" s="199" t="s">
        <v>2</v>
      </c>
      <c r="B3" s="199" t="s">
        <v>3</v>
      </c>
      <c r="C3" s="199" t="s">
        <v>4</v>
      </c>
      <c r="D3" s="165"/>
      <c r="E3" s="165"/>
      <c r="F3" s="166"/>
      <c r="G3" s="199" t="s">
        <v>5</v>
      </c>
      <c r="H3" s="165"/>
      <c r="I3" s="165"/>
      <c r="J3" s="166"/>
      <c r="K3" s="199" t="s">
        <v>6</v>
      </c>
      <c r="L3" s="165"/>
      <c r="M3" s="165"/>
      <c r="N3" s="166"/>
      <c r="O3" s="170" t="s">
        <v>7</v>
      </c>
      <c r="P3" s="165"/>
      <c r="Q3" s="165"/>
      <c r="R3" s="166"/>
      <c r="S3" s="172" t="s">
        <v>9</v>
      </c>
    </row>
    <row r="4" spans="1:19" ht="18" customHeight="1">
      <c r="A4" s="169"/>
      <c r="B4" s="169"/>
      <c r="C4" s="114" t="s">
        <v>10</v>
      </c>
      <c r="D4" s="114" t="s">
        <v>11</v>
      </c>
      <c r="E4" s="114" t="s">
        <v>12</v>
      </c>
      <c r="F4" s="113" t="s">
        <v>13</v>
      </c>
      <c r="G4" s="114" t="s">
        <v>10</v>
      </c>
      <c r="H4" s="114" t="s">
        <v>11</v>
      </c>
      <c r="I4" s="114" t="s">
        <v>12</v>
      </c>
      <c r="J4" s="113" t="s">
        <v>13</v>
      </c>
      <c r="K4" s="114" t="s">
        <v>10</v>
      </c>
      <c r="L4" s="114" t="s">
        <v>11</v>
      </c>
      <c r="M4" s="114" t="s">
        <v>12</v>
      </c>
      <c r="N4" s="113" t="s">
        <v>13</v>
      </c>
      <c r="O4" s="121" t="s">
        <v>10</v>
      </c>
      <c r="P4" s="121" t="s">
        <v>11</v>
      </c>
      <c r="Q4" s="121" t="s">
        <v>12</v>
      </c>
      <c r="R4" s="121" t="s">
        <v>13</v>
      </c>
      <c r="S4" s="169"/>
    </row>
    <row r="5" spans="1:19" ht="16.05" customHeight="1">
      <c r="A5" s="118">
        <v>1</v>
      </c>
      <c r="B5" s="119">
        <f>MAESTRO!D5</f>
        <v>0</v>
      </c>
      <c r="C5" s="122" t="str">
        <f>IF(MAESTRO!D5="","",IFERROR('PROM (Ingles 8°)'!AE5,""))</f>
        <v/>
      </c>
      <c r="D5" s="122" t="str">
        <f>IF(MAESTRO!D5="","",IFERROR('PROM (Ingles 8°)'!BM5,""))</f>
        <v/>
      </c>
      <c r="E5" s="122" t="str">
        <f>IF(MAESTRO!D5="","",IFERROR('PROM (Ingles 8°)'!CU5,""))</f>
        <v/>
      </c>
      <c r="F5" s="123" t="str">
        <f>IF(MAESTRO!D5="","",IFERROR(TRUNC(AVERAGE(C5,D5,E5),1),""))</f>
        <v/>
      </c>
      <c r="G5" s="122" t="str">
        <f>IF(MAESTRO!D5="","",IFERROR('PROM (Agropecuaria 8°)'!AE5,""))</f>
        <v/>
      </c>
      <c r="H5" s="122" t="str">
        <f>IF(MAESTRO!D5="","",IFERROR('PROM (Agropecuaria 8°)'!BM5,""))</f>
        <v/>
      </c>
      <c r="I5" s="122" t="str">
        <f>IF(MAESTRO!D5="","",IFERROR('PROM (Agropecuaria 8°)'!CU5,""))</f>
        <v/>
      </c>
      <c r="J5" s="123" t="str">
        <f>IF(MAESTRO!D5="","",IFERROR(TRUNC(AVERAGE(G5,H5,I5),1),""))</f>
        <v/>
      </c>
      <c r="K5" s="122" t="str">
        <f>IF(MAESTRO!D5="","",IFERROR('PROM (Comercio 8°)'!AE5,""))</f>
        <v/>
      </c>
      <c r="L5" s="122" t="str">
        <f>IF(MAESTRO!D5="","",IFERROR('PROM (Comercio 8°)'!BM5,""))</f>
        <v/>
      </c>
      <c r="M5" s="122" t="str">
        <f>IF(MAESTRO!D5="","",IFERROR('PROM (Comercio 8°)'!CU5,""))</f>
        <v/>
      </c>
      <c r="N5" s="123" t="str">
        <f>IF(MAESTRO!D5="","",IFERROR(TRUNC(AVERAGE(K5,L5,M5),1),""))</f>
        <v/>
      </c>
      <c r="O5" s="124" t="str">
        <f>IF(MAESTRO!D5="","",IFERROR(AVERAGE(G5,K5),""))</f>
        <v/>
      </c>
      <c r="P5" s="124" t="str">
        <f>IF(MAESTRO!D5="","",IFERROR(AVERAGE(H5,L5),""))</f>
        <v/>
      </c>
      <c r="Q5" s="124" t="str">
        <f>IF(MAESTRO!D5="","",IFERROR(AVERAGE(I5,M5),""))</f>
        <v/>
      </c>
      <c r="R5" s="124" t="str">
        <f>IF(MAESTRO!D5="","",IFERROR(TRUNC(AVERAGE(O5,P5,Q5),1),""))</f>
        <v/>
      </c>
      <c r="S5" s="123" t="str">
        <f>IF(MAESTRO!D5="","",IF(AND(F5="",J5="",N5="",R5=""),"",IF(Y(OR(F5="",F5&gt;=3),OR(J5="",J5&gt;=3),OR(N5="",N5&gt;=3),OR(R5="",R5&gt;=3)),"✓ APROBADO","✗ REPROBADO")))</f>
        <v/>
      </c>
    </row>
    <row r="6" spans="1:19" ht="16.05" customHeight="1">
      <c r="A6" s="116">
        <v>2</v>
      </c>
      <c r="B6" s="117">
        <f>MAESTRO!D6</f>
        <v>0</v>
      </c>
      <c r="C6" s="125" t="str">
        <f>IF(MAESTRO!D6="","",IFERROR('PROM (Ingles 8°)'!AE6,""))</f>
        <v/>
      </c>
      <c r="D6" s="125" t="str">
        <f>IF(MAESTRO!D6="","",IFERROR('PROM (Ingles 8°)'!BM6,""))</f>
        <v/>
      </c>
      <c r="E6" s="125" t="str">
        <f>IF(MAESTRO!D6="","",IFERROR('PROM (Ingles 8°)'!CU6,""))</f>
        <v/>
      </c>
      <c r="F6" s="126" t="str">
        <f>IF(MAESTRO!D6="","",IFERROR(TRUNC(AVERAGE(C6,D6,E6),1),""))</f>
        <v/>
      </c>
      <c r="G6" s="125" t="str">
        <f>IF(MAESTRO!D6="","",IFERROR('PROM (Agropecuaria 8°)'!AE6,""))</f>
        <v/>
      </c>
      <c r="H6" s="125" t="str">
        <f>IF(MAESTRO!D6="","",IFERROR('PROM (Agropecuaria 8°)'!BM6,""))</f>
        <v/>
      </c>
      <c r="I6" s="125" t="str">
        <f>IF(MAESTRO!D6="","",IFERROR('PROM (Agropecuaria 8°)'!CU6,""))</f>
        <v/>
      </c>
      <c r="J6" s="126" t="str">
        <f>IF(MAESTRO!D6="","",IFERROR(TRUNC(AVERAGE(G6,H6,I6),1),""))</f>
        <v/>
      </c>
      <c r="K6" s="125" t="str">
        <f>IF(MAESTRO!D6="","",IFERROR('PROM (Comercio 8°)'!AE6,""))</f>
        <v/>
      </c>
      <c r="L6" s="125" t="str">
        <f>IF(MAESTRO!D6="","",IFERROR('PROM (Comercio 8°)'!BM6,""))</f>
        <v/>
      </c>
      <c r="M6" s="125" t="str">
        <f>IF(MAESTRO!D6="","",IFERROR('PROM (Comercio 8°)'!CU6,""))</f>
        <v/>
      </c>
      <c r="N6" s="126" t="str">
        <f>IF(MAESTRO!D6="","",IFERROR(TRUNC(AVERAGE(K6,L6,M6),1),""))</f>
        <v/>
      </c>
      <c r="O6" s="124" t="str">
        <f>IF(MAESTRO!D6="","",IFERROR(AVERAGE(G6,K6),""))</f>
        <v/>
      </c>
      <c r="P6" s="124" t="str">
        <f>IF(MAESTRO!D6="","",IFERROR(AVERAGE(H6,L6),""))</f>
        <v/>
      </c>
      <c r="Q6" s="124" t="str">
        <f>IF(MAESTRO!D6="","",IFERROR(AVERAGE(I6,M6),""))</f>
        <v/>
      </c>
      <c r="R6" s="124" t="str">
        <f>IF(MAESTRO!D6="","",IFERROR(TRUNC(AVERAGE(O6,P6,Q6),1),""))</f>
        <v/>
      </c>
      <c r="S6" s="126" t="str">
        <f>IF(MAESTRO!D6="","",IF(AND(F6="",J6="",N6="",R6=""),"",IF(Y(OR(F6="",F6&gt;=3),OR(J6="",J6&gt;=3),OR(N6="",N6&gt;=3),OR(R6="",R6&gt;=3)),"✓ APROBADO","✗ REPROBADO")))</f>
        <v/>
      </c>
    </row>
    <row r="7" spans="1:19" ht="16.05" customHeight="1">
      <c r="A7" s="118">
        <v>3</v>
      </c>
      <c r="B7" s="119">
        <f>MAESTRO!D7</f>
        <v>0</v>
      </c>
      <c r="C7" s="122" t="str">
        <f>IF(MAESTRO!D7="","",IFERROR('PROM (Ingles 8°)'!AE7,""))</f>
        <v/>
      </c>
      <c r="D7" s="122" t="str">
        <f>IF(MAESTRO!D7="","",IFERROR('PROM (Ingles 8°)'!BM7,""))</f>
        <v/>
      </c>
      <c r="E7" s="122" t="str">
        <f>IF(MAESTRO!D7="","",IFERROR('PROM (Ingles 8°)'!CU7,""))</f>
        <v/>
      </c>
      <c r="F7" s="123" t="str">
        <f>IF(MAESTRO!D7="","",IFERROR(TRUNC(AVERAGE(C7,D7,E7),1),""))</f>
        <v/>
      </c>
      <c r="G7" s="122" t="str">
        <f>IF(MAESTRO!D7="","",IFERROR('PROM (Agropecuaria 8°)'!AE7,""))</f>
        <v/>
      </c>
      <c r="H7" s="122" t="str">
        <f>IF(MAESTRO!D7="","",IFERROR('PROM (Agropecuaria 8°)'!BM7,""))</f>
        <v/>
      </c>
      <c r="I7" s="122" t="str">
        <f>IF(MAESTRO!D7="","",IFERROR('PROM (Agropecuaria 8°)'!CU7,""))</f>
        <v/>
      </c>
      <c r="J7" s="123" t="str">
        <f>IF(MAESTRO!D7="","",IFERROR(TRUNC(AVERAGE(G7,H7,I7),1),""))</f>
        <v/>
      </c>
      <c r="K7" s="122" t="str">
        <f>IF(MAESTRO!D7="","",IFERROR('PROM (Comercio 8°)'!AE7,""))</f>
        <v/>
      </c>
      <c r="L7" s="122" t="str">
        <f>IF(MAESTRO!D7="","",IFERROR('PROM (Comercio 8°)'!BM7,""))</f>
        <v/>
      </c>
      <c r="M7" s="122" t="str">
        <f>IF(MAESTRO!D7="","",IFERROR('PROM (Comercio 8°)'!CU7,""))</f>
        <v/>
      </c>
      <c r="N7" s="123" t="str">
        <f>IF(MAESTRO!D7="","",IFERROR(TRUNC(AVERAGE(K7,L7,M7),1),""))</f>
        <v/>
      </c>
      <c r="O7" s="124" t="str">
        <f>IF(MAESTRO!D7="","",IFERROR(AVERAGE(G7,K7),""))</f>
        <v/>
      </c>
      <c r="P7" s="124" t="str">
        <f>IF(MAESTRO!D7="","",IFERROR(AVERAGE(H7,L7),""))</f>
        <v/>
      </c>
      <c r="Q7" s="124" t="str">
        <f>IF(MAESTRO!D7="","",IFERROR(AVERAGE(I7,M7),""))</f>
        <v/>
      </c>
      <c r="R7" s="124" t="str">
        <f>IF(MAESTRO!D7="","",IFERROR(TRUNC(AVERAGE(O7,P7,Q7),1),""))</f>
        <v/>
      </c>
      <c r="S7" s="123" t="str">
        <f>IF(MAESTRO!D7="","",IF(AND(F7="",J7="",N7="",R7=""),"",IF(Y(OR(F7="",F7&gt;=3),OR(J7="",J7&gt;=3),OR(N7="",N7&gt;=3),OR(R7="",R7&gt;=3)),"✓ APROBADO","✗ REPROBADO")))</f>
        <v/>
      </c>
    </row>
    <row r="8" spans="1:19" ht="16.05" customHeight="1">
      <c r="A8" s="116">
        <v>4</v>
      </c>
      <c r="B8" s="117">
        <f>MAESTRO!D8</f>
        <v>0</v>
      </c>
      <c r="C8" s="125" t="str">
        <f>IF(MAESTRO!D8="","",IFERROR('PROM (Ingles 8°)'!AE8,""))</f>
        <v/>
      </c>
      <c r="D8" s="125" t="str">
        <f>IF(MAESTRO!D8="","",IFERROR('PROM (Ingles 8°)'!BM8,""))</f>
        <v/>
      </c>
      <c r="E8" s="125" t="str">
        <f>IF(MAESTRO!D8="","",IFERROR('PROM (Ingles 8°)'!CU8,""))</f>
        <v/>
      </c>
      <c r="F8" s="126" t="str">
        <f>IF(MAESTRO!D8="","",IFERROR(TRUNC(AVERAGE(C8,D8,E8),1),""))</f>
        <v/>
      </c>
      <c r="G8" s="125" t="str">
        <f>IF(MAESTRO!D8="","",IFERROR('PROM (Agropecuaria 8°)'!AE8,""))</f>
        <v/>
      </c>
      <c r="H8" s="125" t="str">
        <f>IF(MAESTRO!D8="","",IFERROR('PROM (Agropecuaria 8°)'!BM8,""))</f>
        <v/>
      </c>
      <c r="I8" s="125" t="str">
        <f>IF(MAESTRO!D8="","",IFERROR('PROM (Agropecuaria 8°)'!CU8,""))</f>
        <v/>
      </c>
      <c r="J8" s="126" t="str">
        <f>IF(MAESTRO!D8="","",IFERROR(TRUNC(AVERAGE(G8,H8,I8),1),""))</f>
        <v/>
      </c>
      <c r="K8" s="125" t="str">
        <f>IF(MAESTRO!D8="","",IFERROR('PROM (Comercio 8°)'!AE8,""))</f>
        <v/>
      </c>
      <c r="L8" s="125" t="str">
        <f>IF(MAESTRO!D8="","",IFERROR('PROM (Comercio 8°)'!BM8,""))</f>
        <v/>
      </c>
      <c r="M8" s="125" t="str">
        <f>IF(MAESTRO!D8="","",IFERROR('PROM (Comercio 8°)'!CU8,""))</f>
        <v/>
      </c>
      <c r="N8" s="126" t="str">
        <f>IF(MAESTRO!D8="","",IFERROR(TRUNC(AVERAGE(K8,L8,M8),1),""))</f>
        <v/>
      </c>
      <c r="O8" s="124" t="str">
        <f>IF(MAESTRO!D8="","",IFERROR(AVERAGE(G8,K8),""))</f>
        <v/>
      </c>
      <c r="P8" s="124" t="str">
        <f>IF(MAESTRO!D8="","",IFERROR(AVERAGE(H8,L8),""))</f>
        <v/>
      </c>
      <c r="Q8" s="124" t="str">
        <f>IF(MAESTRO!D8="","",IFERROR(AVERAGE(I8,M8),""))</f>
        <v/>
      </c>
      <c r="R8" s="124" t="str">
        <f>IF(MAESTRO!D8="","",IFERROR(TRUNC(AVERAGE(O8,P8,Q8),1),""))</f>
        <v/>
      </c>
      <c r="S8" s="126" t="str">
        <f>IF(MAESTRO!D8="","",IF(AND(F8="",J8="",N8="",R8=""),"",IF(Y(OR(F8="",F8&gt;=3),OR(J8="",J8&gt;=3),OR(N8="",N8&gt;=3),OR(R8="",R8&gt;=3)),"✓ APROBADO","✗ REPROBADO")))</f>
        <v/>
      </c>
    </row>
    <row r="9" spans="1:19" ht="16.05" customHeight="1">
      <c r="A9" s="118">
        <v>5</v>
      </c>
      <c r="B9" s="119">
        <f>MAESTRO!D9</f>
        <v>0</v>
      </c>
      <c r="C9" s="122" t="str">
        <f>IF(MAESTRO!D9="","",IFERROR('PROM (Ingles 8°)'!AE9,""))</f>
        <v/>
      </c>
      <c r="D9" s="122" t="str">
        <f>IF(MAESTRO!D9="","",IFERROR('PROM (Ingles 8°)'!BM9,""))</f>
        <v/>
      </c>
      <c r="E9" s="122" t="str">
        <f>IF(MAESTRO!D9="","",IFERROR('PROM (Ingles 8°)'!CU9,""))</f>
        <v/>
      </c>
      <c r="F9" s="123" t="str">
        <f>IF(MAESTRO!D9="","",IFERROR(TRUNC(AVERAGE(C9,D9,E9),1),""))</f>
        <v/>
      </c>
      <c r="G9" s="122" t="str">
        <f>IF(MAESTRO!D9="","",IFERROR('PROM (Agropecuaria 8°)'!AE9,""))</f>
        <v/>
      </c>
      <c r="H9" s="122" t="str">
        <f>IF(MAESTRO!D9="","",IFERROR('PROM (Agropecuaria 8°)'!BM9,""))</f>
        <v/>
      </c>
      <c r="I9" s="122" t="str">
        <f>IF(MAESTRO!D9="","",IFERROR('PROM (Agropecuaria 8°)'!CU9,""))</f>
        <v/>
      </c>
      <c r="J9" s="123" t="str">
        <f>IF(MAESTRO!D9="","",IFERROR(TRUNC(AVERAGE(G9,H9,I9),1),""))</f>
        <v/>
      </c>
      <c r="K9" s="122" t="str">
        <f>IF(MAESTRO!D9="","",IFERROR('PROM (Comercio 8°)'!AE9,""))</f>
        <v/>
      </c>
      <c r="L9" s="122" t="str">
        <f>IF(MAESTRO!D9="","",IFERROR('PROM (Comercio 8°)'!BM9,""))</f>
        <v/>
      </c>
      <c r="M9" s="122" t="str">
        <f>IF(MAESTRO!D9="","",IFERROR('PROM (Comercio 8°)'!CU9,""))</f>
        <v/>
      </c>
      <c r="N9" s="123" t="str">
        <f>IF(MAESTRO!D9="","",IFERROR(TRUNC(AVERAGE(K9,L9,M9),1),""))</f>
        <v/>
      </c>
      <c r="O9" s="124" t="str">
        <f>IF(MAESTRO!D9="","",IFERROR(AVERAGE(G9,K9),""))</f>
        <v/>
      </c>
      <c r="P9" s="124" t="str">
        <f>IF(MAESTRO!D9="","",IFERROR(AVERAGE(H9,L9),""))</f>
        <v/>
      </c>
      <c r="Q9" s="124" t="str">
        <f>IF(MAESTRO!D9="","",IFERROR(AVERAGE(I9,M9),""))</f>
        <v/>
      </c>
      <c r="R9" s="124" t="str">
        <f>IF(MAESTRO!D9="","",IFERROR(TRUNC(AVERAGE(O9,P9,Q9),1),""))</f>
        <v/>
      </c>
      <c r="S9" s="123" t="str">
        <f>IF(MAESTRO!D9="","",IF(AND(F9="",J9="",N9="",R9=""),"",IF(Y(OR(F9="",F9&gt;=3),OR(J9="",J9&gt;=3),OR(N9="",N9&gt;=3),OR(R9="",R9&gt;=3)),"✓ APROBADO","✗ REPROBADO")))</f>
        <v/>
      </c>
    </row>
    <row r="10" spans="1:19" ht="16.05" customHeight="1">
      <c r="A10" s="116">
        <v>6</v>
      </c>
      <c r="B10" s="117">
        <f>MAESTRO!D10</f>
        <v>0</v>
      </c>
      <c r="C10" s="125" t="str">
        <f>IF(MAESTRO!D10="","",IFERROR('PROM (Ingles 8°)'!AE10,""))</f>
        <v/>
      </c>
      <c r="D10" s="125" t="str">
        <f>IF(MAESTRO!D10="","",IFERROR('PROM (Ingles 8°)'!BM10,""))</f>
        <v/>
      </c>
      <c r="E10" s="125" t="str">
        <f>IF(MAESTRO!D10="","",IFERROR('PROM (Ingles 8°)'!CU10,""))</f>
        <v/>
      </c>
      <c r="F10" s="126" t="str">
        <f>IF(MAESTRO!D10="","",IFERROR(TRUNC(AVERAGE(C10,D10,E10),1),""))</f>
        <v/>
      </c>
      <c r="G10" s="125" t="str">
        <f>IF(MAESTRO!D10="","",IFERROR('PROM (Agropecuaria 8°)'!AE10,""))</f>
        <v/>
      </c>
      <c r="H10" s="125" t="str">
        <f>IF(MAESTRO!D10="","",IFERROR('PROM (Agropecuaria 8°)'!BM10,""))</f>
        <v/>
      </c>
      <c r="I10" s="125" t="str">
        <f>IF(MAESTRO!D10="","",IFERROR('PROM (Agropecuaria 8°)'!CU10,""))</f>
        <v/>
      </c>
      <c r="J10" s="126" t="str">
        <f>IF(MAESTRO!D10="","",IFERROR(TRUNC(AVERAGE(G10,H10,I10),1),""))</f>
        <v/>
      </c>
      <c r="K10" s="125" t="str">
        <f>IF(MAESTRO!D10="","",IFERROR('PROM (Comercio 8°)'!AE10,""))</f>
        <v/>
      </c>
      <c r="L10" s="125" t="str">
        <f>IF(MAESTRO!D10="","",IFERROR('PROM (Comercio 8°)'!BM10,""))</f>
        <v/>
      </c>
      <c r="M10" s="125" t="str">
        <f>IF(MAESTRO!D10="","",IFERROR('PROM (Comercio 8°)'!CU10,""))</f>
        <v/>
      </c>
      <c r="N10" s="126" t="str">
        <f>IF(MAESTRO!D10="","",IFERROR(TRUNC(AVERAGE(K10,L10,M10),1),""))</f>
        <v/>
      </c>
      <c r="O10" s="124" t="str">
        <f>IF(MAESTRO!D10="","",IFERROR(AVERAGE(G10,K10),""))</f>
        <v/>
      </c>
      <c r="P10" s="124" t="str">
        <f>IF(MAESTRO!D10="","",IFERROR(AVERAGE(H10,L10),""))</f>
        <v/>
      </c>
      <c r="Q10" s="124" t="str">
        <f>IF(MAESTRO!D10="","",IFERROR(AVERAGE(I10,M10),""))</f>
        <v/>
      </c>
      <c r="R10" s="124" t="str">
        <f>IF(MAESTRO!D10="","",IFERROR(TRUNC(AVERAGE(O10,P10,Q10),1),""))</f>
        <v/>
      </c>
      <c r="S10" s="126" t="str">
        <f>IF(MAESTRO!D10="","",IF(AND(F10="",J10="",N10="",R10=""),"",IF(Y(OR(F10="",F10&gt;=3),OR(J10="",J10&gt;=3),OR(N10="",N10&gt;=3),OR(R10="",R10&gt;=3)),"✓ APROBADO","✗ REPROBADO")))</f>
        <v/>
      </c>
    </row>
    <row r="11" spans="1:19" ht="16.05" customHeight="1">
      <c r="A11" s="118">
        <v>7</v>
      </c>
      <c r="B11" s="119">
        <f>MAESTRO!D11</f>
        <v>0</v>
      </c>
      <c r="C11" s="122" t="str">
        <f>IF(MAESTRO!D11="","",IFERROR('PROM (Ingles 8°)'!AE11,""))</f>
        <v/>
      </c>
      <c r="D11" s="122" t="str">
        <f>IF(MAESTRO!D11="","",IFERROR('PROM (Ingles 8°)'!BM11,""))</f>
        <v/>
      </c>
      <c r="E11" s="122" t="str">
        <f>IF(MAESTRO!D11="","",IFERROR('PROM (Ingles 8°)'!CU11,""))</f>
        <v/>
      </c>
      <c r="F11" s="123" t="str">
        <f>IF(MAESTRO!D11="","",IFERROR(TRUNC(AVERAGE(C11,D11,E11),1),""))</f>
        <v/>
      </c>
      <c r="G11" s="122" t="str">
        <f>IF(MAESTRO!D11="","",IFERROR('PROM (Agropecuaria 8°)'!AE11,""))</f>
        <v/>
      </c>
      <c r="H11" s="122" t="str">
        <f>IF(MAESTRO!D11="","",IFERROR('PROM (Agropecuaria 8°)'!BM11,""))</f>
        <v/>
      </c>
      <c r="I11" s="122" t="str">
        <f>IF(MAESTRO!D11="","",IFERROR('PROM (Agropecuaria 8°)'!CU11,""))</f>
        <v/>
      </c>
      <c r="J11" s="123" t="str">
        <f>IF(MAESTRO!D11="","",IFERROR(TRUNC(AVERAGE(G11,H11,I11),1),""))</f>
        <v/>
      </c>
      <c r="K11" s="122" t="str">
        <f>IF(MAESTRO!D11="","",IFERROR('PROM (Comercio 8°)'!AE11,""))</f>
        <v/>
      </c>
      <c r="L11" s="122" t="str">
        <f>IF(MAESTRO!D11="","",IFERROR('PROM (Comercio 8°)'!BM11,""))</f>
        <v/>
      </c>
      <c r="M11" s="122" t="str">
        <f>IF(MAESTRO!D11="","",IFERROR('PROM (Comercio 8°)'!CU11,""))</f>
        <v/>
      </c>
      <c r="N11" s="123" t="str">
        <f>IF(MAESTRO!D11="","",IFERROR(TRUNC(AVERAGE(K11,L11,M11),1),""))</f>
        <v/>
      </c>
      <c r="O11" s="124" t="str">
        <f>IF(MAESTRO!D11="","",IFERROR(AVERAGE(G11,K11),""))</f>
        <v/>
      </c>
      <c r="P11" s="124" t="str">
        <f>IF(MAESTRO!D11="","",IFERROR(AVERAGE(H11,L11),""))</f>
        <v/>
      </c>
      <c r="Q11" s="124" t="str">
        <f>IF(MAESTRO!D11="","",IFERROR(AVERAGE(I11,M11),""))</f>
        <v/>
      </c>
      <c r="R11" s="124" t="str">
        <f>IF(MAESTRO!D11="","",IFERROR(TRUNC(AVERAGE(O11,P11,Q11),1),""))</f>
        <v/>
      </c>
      <c r="S11" s="123" t="str">
        <f>IF(MAESTRO!D11="","",IF(AND(F11="",J11="",N11="",R11=""),"",IF(Y(OR(F11="",F11&gt;=3),OR(J11="",J11&gt;=3),OR(N11="",N11&gt;=3),OR(R11="",R11&gt;=3)),"✓ APROBADO","✗ REPROBADO")))</f>
        <v/>
      </c>
    </row>
    <row r="12" spans="1:19" ht="16.05" customHeight="1">
      <c r="A12" s="116">
        <v>8</v>
      </c>
      <c r="B12" s="117">
        <f>MAESTRO!D12</f>
        <v>0</v>
      </c>
      <c r="C12" s="125" t="str">
        <f>IF(MAESTRO!D12="","",IFERROR('PROM (Ingles 8°)'!AE12,""))</f>
        <v/>
      </c>
      <c r="D12" s="125" t="str">
        <f>IF(MAESTRO!D12="","",IFERROR('PROM (Ingles 8°)'!BM12,""))</f>
        <v/>
      </c>
      <c r="E12" s="125" t="str">
        <f>IF(MAESTRO!D12="","",IFERROR('PROM (Ingles 8°)'!CU12,""))</f>
        <v/>
      </c>
      <c r="F12" s="126" t="str">
        <f>IF(MAESTRO!D12="","",IFERROR(TRUNC(AVERAGE(C12,D12,E12),1),""))</f>
        <v/>
      </c>
      <c r="G12" s="125" t="str">
        <f>IF(MAESTRO!D12="","",IFERROR('PROM (Agropecuaria 8°)'!AE12,""))</f>
        <v/>
      </c>
      <c r="H12" s="125" t="str">
        <f>IF(MAESTRO!D12="","",IFERROR('PROM (Agropecuaria 8°)'!BM12,""))</f>
        <v/>
      </c>
      <c r="I12" s="125" t="str">
        <f>IF(MAESTRO!D12="","",IFERROR('PROM (Agropecuaria 8°)'!CU12,""))</f>
        <v/>
      </c>
      <c r="J12" s="126" t="str">
        <f>IF(MAESTRO!D12="","",IFERROR(TRUNC(AVERAGE(G12,H12,I12),1),""))</f>
        <v/>
      </c>
      <c r="K12" s="125" t="str">
        <f>IF(MAESTRO!D12="","",IFERROR('PROM (Comercio 8°)'!AE12,""))</f>
        <v/>
      </c>
      <c r="L12" s="125" t="str">
        <f>IF(MAESTRO!D12="","",IFERROR('PROM (Comercio 8°)'!BM12,""))</f>
        <v/>
      </c>
      <c r="M12" s="125" t="str">
        <f>IF(MAESTRO!D12="","",IFERROR('PROM (Comercio 8°)'!CU12,""))</f>
        <v/>
      </c>
      <c r="N12" s="126" t="str">
        <f>IF(MAESTRO!D12="","",IFERROR(TRUNC(AVERAGE(K12,L12,M12),1),""))</f>
        <v/>
      </c>
      <c r="O12" s="124" t="str">
        <f>IF(MAESTRO!D12="","",IFERROR(AVERAGE(G12,K12),""))</f>
        <v/>
      </c>
      <c r="P12" s="124" t="str">
        <f>IF(MAESTRO!D12="","",IFERROR(AVERAGE(H12,L12),""))</f>
        <v/>
      </c>
      <c r="Q12" s="124" t="str">
        <f>IF(MAESTRO!D12="","",IFERROR(AVERAGE(I12,M12),""))</f>
        <v/>
      </c>
      <c r="R12" s="124" t="str">
        <f>IF(MAESTRO!D12="","",IFERROR(TRUNC(AVERAGE(O12,P12,Q12),1),""))</f>
        <v/>
      </c>
      <c r="S12" s="126" t="str">
        <f>IF(MAESTRO!D12="","",IF(AND(F12="",J12="",N12="",R12=""),"",IF(Y(OR(F12="",F12&gt;=3),OR(J12="",J12&gt;=3),OR(N12="",N12&gt;=3),OR(R12="",R12&gt;=3)),"✓ APROBADO","✗ REPROBADO")))</f>
        <v/>
      </c>
    </row>
    <row r="13" spans="1:19" ht="16.05" customHeight="1">
      <c r="A13" s="118">
        <v>9</v>
      </c>
      <c r="B13" s="119">
        <f>MAESTRO!D13</f>
        <v>0</v>
      </c>
      <c r="C13" s="122" t="str">
        <f>IF(MAESTRO!D13="","",IFERROR('PROM (Ingles 8°)'!AE13,""))</f>
        <v/>
      </c>
      <c r="D13" s="122" t="str">
        <f>IF(MAESTRO!D13="","",IFERROR('PROM (Ingles 8°)'!BM13,""))</f>
        <v/>
      </c>
      <c r="E13" s="122" t="str">
        <f>IF(MAESTRO!D13="","",IFERROR('PROM (Ingles 8°)'!CU13,""))</f>
        <v/>
      </c>
      <c r="F13" s="123" t="str">
        <f>IF(MAESTRO!D13="","",IFERROR(TRUNC(AVERAGE(C13,D13,E13),1),""))</f>
        <v/>
      </c>
      <c r="G13" s="122" t="str">
        <f>IF(MAESTRO!D13="","",IFERROR('PROM (Agropecuaria 8°)'!AE13,""))</f>
        <v/>
      </c>
      <c r="H13" s="122" t="str">
        <f>IF(MAESTRO!D13="","",IFERROR('PROM (Agropecuaria 8°)'!BM13,""))</f>
        <v/>
      </c>
      <c r="I13" s="122" t="str">
        <f>IF(MAESTRO!D13="","",IFERROR('PROM (Agropecuaria 8°)'!CU13,""))</f>
        <v/>
      </c>
      <c r="J13" s="123" t="str">
        <f>IF(MAESTRO!D13="","",IFERROR(TRUNC(AVERAGE(G13,H13,I13),1),""))</f>
        <v/>
      </c>
      <c r="K13" s="122" t="str">
        <f>IF(MAESTRO!D13="","",IFERROR('PROM (Comercio 8°)'!AE13,""))</f>
        <v/>
      </c>
      <c r="L13" s="122" t="str">
        <f>IF(MAESTRO!D13="","",IFERROR('PROM (Comercio 8°)'!BM13,""))</f>
        <v/>
      </c>
      <c r="M13" s="122" t="str">
        <f>IF(MAESTRO!D13="","",IFERROR('PROM (Comercio 8°)'!CU13,""))</f>
        <v/>
      </c>
      <c r="N13" s="123" t="str">
        <f>IF(MAESTRO!D13="","",IFERROR(TRUNC(AVERAGE(K13,L13,M13),1),""))</f>
        <v/>
      </c>
      <c r="O13" s="124" t="str">
        <f>IF(MAESTRO!D13="","",IFERROR(AVERAGE(G13,K13),""))</f>
        <v/>
      </c>
      <c r="P13" s="124" t="str">
        <f>IF(MAESTRO!D13="","",IFERROR(AVERAGE(H13,L13),""))</f>
        <v/>
      </c>
      <c r="Q13" s="124" t="str">
        <f>IF(MAESTRO!D13="","",IFERROR(AVERAGE(I13,M13),""))</f>
        <v/>
      </c>
      <c r="R13" s="124" t="str">
        <f>IF(MAESTRO!D13="","",IFERROR(TRUNC(AVERAGE(O13,P13,Q13),1),""))</f>
        <v/>
      </c>
      <c r="S13" s="123" t="str">
        <f>IF(MAESTRO!D13="","",IF(AND(F13="",J13="",N13="",R13=""),"",IF(Y(OR(F13="",F13&gt;=3),OR(J13="",J13&gt;=3),OR(N13="",N13&gt;=3),OR(R13="",R13&gt;=3)),"✓ APROBADO","✗ REPROBADO")))</f>
        <v/>
      </c>
    </row>
    <row r="14" spans="1:19" ht="16.05" customHeight="1">
      <c r="A14" s="116">
        <v>10</v>
      </c>
      <c r="B14" s="117">
        <f>MAESTRO!D14</f>
        <v>0</v>
      </c>
      <c r="C14" s="125" t="str">
        <f>IF(MAESTRO!D14="","",IFERROR('PROM (Ingles 8°)'!AE14,""))</f>
        <v/>
      </c>
      <c r="D14" s="125" t="str">
        <f>IF(MAESTRO!D14="","",IFERROR('PROM (Ingles 8°)'!BM14,""))</f>
        <v/>
      </c>
      <c r="E14" s="125" t="str">
        <f>IF(MAESTRO!D14="","",IFERROR('PROM (Ingles 8°)'!CU14,""))</f>
        <v/>
      </c>
      <c r="F14" s="126" t="str">
        <f>IF(MAESTRO!D14="","",IFERROR(TRUNC(AVERAGE(C14,D14,E14),1),""))</f>
        <v/>
      </c>
      <c r="G14" s="125" t="str">
        <f>IF(MAESTRO!D14="","",IFERROR('PROM (Agropecuaria 8°)'!AE14,""))</f>
        <v/>
      </c>
      <c r="H14" s="125" t="str">
        <f>IF(MAESTRO!D14="","",IFERROR('PROM (Agropecuaria 8°)'!BM14,""))</f>
        <v/>
      </c>
      <c r="I14" s="125" t="str">
        <f>IF(MAESTRO!D14="","",IFERROR('PROM (Agropecuaria 8°)'!CU14,""))</f>
        <v/>
      </c>
      <c r="J14" s="126" t="str">
        <f>IF(MAESTRO!D14="","",IFERROR(TRUNC(AVERAGE(G14,H14,I14),1),""))</f>
        <v/>
      </c>
      <c r="K14" s="125" t="str">
        <f>IF(MAESTRO!D14="","",IFERROR('PROM (Comercio 8°)'!AE14,""))</f>
        <v/>
      </c>
      <c r="L14" s="125" t="str">
        <f>IF(MAESTRO!D14="","",IFERROR('PROM (Comercio 8°)'!BM14,""))</f>
        <v/>
      </c>
      <c r="M14" s="125" t="str">
        <f>IF(MAESTRO!D14="","",IFERROR('PROM (Comercio 8°)'!CU14,""))</f>
        <v/>
      </c>
      <c r="N14" s="126" t="str">
        <f>IF(MAESTRO!D14="","",IFERROR(TRUNC(AVERAGE(K14,L14,M14),1),""))</f>
        <v/>
      </c>
      <c r="O14" s="124" t="str">
        <f>IF(MAESTRO!D14="","",IFERROR(AVERAGE(G14,K14),""))</f>
        <v/>
      </c>
      <c r="P14" s="124" t="str">
        <f>IF(MAESTRO!D14="","",IFERROR(AVERAGE(H14,L14),""))</f>
        <v/>
      </c>
      <c r="Q14" s="124" t="str">
        <f>IF(MAESTRO!D14="","",IFERROR(AVERAGE(I14,M14),""))</f>
        <v/>
      </c>
      <c r="R14" s="124" t="str">
        <f>IF(MAESTRO!D14="","",IFERROR(TRUNC(AVERAGE(O14,P14,Q14),1),""))</f>
        <v/>
      </c>
      <c r="S14" s="126" t="str">
        <f>IF(MAESTRO!D14="","",IF(AND(F14="",J14="",N14="",R14=""),"",IF(Y(OR(F14="",F14&gt;=3),OR(J14="",J14&gt;=3),OR(N14="",N14&gt;=3),OR(R14="",R14&gt;=3)),"✓ APROBADO","✗ REPROBADO")))</f>
        <v/>
      </c>
    </row>
    <row r="15" spans="1:19" ht="16.05" customHeight="1">
      <c r="A15" s="118">
        <v>11</v>
      </c>
      <c r="B15" s="119">
        <f>MAESTRO!D15</f>
        <v>0</v>
      </c>
      <c r="C15" s="122" t="str">
        <f>IF(MAESTRO!D15="","",IFERROR('PROM (Ingles 8°)'!AE15,""))</f>
        <v/>
      </c>
      <c r="D15" s="122" t="str">
        <f>IF(MAESTRO!D15="","",IFERROR('PROM (Ingles 8°)'!BM15,""))</f>
        <v/>
      </c>
      <c r="E15" s="122" t="str">
        <f>IF(MAESTRO!D15="","",IFERROR('PROM (Ingles 8°)'!CU15,""))</f>
        <v/>
      </c>
      <c r="F15" s="123" t="str">
        <f>IF(MAESTRO!D15="","",IFERROR(TRUNC(AVERAGE(C15,D15,E15),1),""))</f>
        <v/>
      </c>
      <c r="G15" s="122" t="str">
        <f>IF(MAESTRO!D15="","",IFERROR('PROM (Agropecuaria 8°)'!AE15,""))</f>
        <v/>
      </c>
      <c r="H15" s="122" t="str">
        <f>IF(MAESTRO!D15="","",IFERROR('PROM (Agropecuaria 8°)'!BM15,""))</f>
        <v/>
      </c>
      <c r="I15" s="122" t="str">
        <f>IF(MAESTRO!D15="","",IFERROR('PROM (Agropecuaria 8°)'!CU15,""))</f>
        <v/>
      </c>
      <c r="J15" s="123" t="str">
        <f>IF(MAESTRO!D15="","",IFERROR(TRUNC(AVERAGE(G15,H15,I15),1),""))</f>
        <v/>
      </c>
      <c r="K15" s="122" t="str">
        <f>IF(MAESTRO!D15="","",IFERROR('PROM (Comercio 8°)'!AE15,""))</f>
        <v/>
      </c>
      <c r="L15" s="122" t="str">
        <f>IF(MAESTRO!D15="","",IFERROR('PROM (Comercio 8°)'!BM15,""))</f>
        <v/>
      </c>
      <c r="M15" s="122" t="str">
        <f>IF(MAESTRO!D15="","",IFERROR('PROM (Comercio 8°)'!CU15,""))</f>
        <v/>
      </c>
      <c r="N15" s="123" t="str">
        <f>IF(MAESTRO!D15="","",IFERROR(TRUNC(AVERAGE(K15,L15,M15),1),""))</f>
        <v/>
      </c>
      <c r="O15" s="124" t="str">
        <f>IF(MAESTRO!D15="","",IFERROR(AVERAGE(G15,K15),""))</f>
        <v/>
      </c>
      <c r="P15" s="124" t="str">
        <f>IF(MAESTRO!D15="","",IFERROR(AVERAGE(H15,L15),""))</f>
        <v/>
      </c>
      <c r="Q15" s="124" t="str">
        <f>IF(MAESTRO!D15="","",IFERROR(AVERAGE(I15,M15),""))</f>
        <v/>
      </c>
      <c r="R15" s="124" t="str">
        <f>IF(MAESTRO!D15="","",IFERROR(TRUNC(AVERAGE(O15,P15,Q15),1),""))</f>
        <v/>
      </c>
      <c r="S15" s="123" t="str">
        <f>IF(MAESTRO!D15="","",IF(AND(F15="",J15="",N15="",R15=""),"",IF(Y(OR(F15="",F15&gt;=3),OR(J15="",J15&gt;=3),OR(N15="",N15&gt;=3),OR(R15="",R15&gt;=3)),"✓ APROBADO","✗ REPROBADO")))</f>
        <v/>
      </c>
    </row>
    <row r="16" spans="1:19" ht="16.05" customHeight="1">
      <c r="A16" s="116">
        <v>12</v>
      </c>
      <c r="B16" s="117">
        <f>MAESTRO!D16</f>
        <v>0</v>
      </c>
      <c r="C16" s="125" t="str">
        <f>IF(MAESTRO!D16="","",IFERROR('PROM (Ingles 8°)'!AE16,""))</f>
        <v/>
      </c>
      <c r="D16" s="125" t="str">
        <f>IF(MAESTRO!D16="","",IFERROR('PROM (Ingles 8°)'!BM16,""))</f>
        <v/>
      </c>
      <c r="E16" s="125" t="str">
        <f>IF(MAESTRO!D16="","",IFERROR('PROM (Ingles 8°)'!CU16,""))</f>
        <v/>
      </c>
      <c r="F16" s="126" t="str">
        <f>IF(MAESTRO!D16="","",IFERROR(TRUNC(AVERAGE(C16,D16,E16),1),""))</f>
        <v/>
      </c>
      <c r="G16" s="125" t="str">
        <f>IF(MAESTRO!D16="","",IFERROR('PROM (Agropecuaria 8°)'!AE16,""))</f>
        <v/>
      </c>
      <c r="H16" s="125" t="str">
        <f>IF(MAESTRO!D16="","",IFERROR('PROM (Agropecuaria 8°)'!BM16,""))</f>
        <v/>
      </c>
      <c r="I16" s="125" t="str">
        <f>IF(MAESTRO!D16="","",IFERROR('PROM (Agropecuaria 8°)'!CU16,""))</f>
        <v/>
      </c>
      <c r="J16" s="126" t="str">
        <f>IF(MAESTRO!D16="","",IFERROR(TRUNC(AVERAGE(G16,H16,I16),1),""))</f>
        <v/>
      </c>
      <c r="K16" s="125" t="str">
        <f>IF(MAESTRO!D16="","",IFERROR('PROM (Comercio 8°)'!AE16,""))</f>
        <v/>
      </c>
      <c r="L16" s="125" t="str">
        <f>IF(MAESTRO!D16="","",IFERROR('PROM (Comercio 8°)'!BM16,""))</f>
        <v/>
      </c>
      <c r="M16" s="125" t="str">
        <f>IF(MAESTRO!D16="","",IFERROR('PROM (Comercio 8°)'!CU16,""))</f>
        <v/>
      </c>
      <c r="N16" s="126" t="str">
        <f>IF(MAESTRO!D16="","",IFERROR(TRUNC(AVERAGE(K16,L16,M16),1),""))</f>
        <v/>
      </c>
      <c r="O16" s="124" t="str">
        <f>IF(MAESTRO!D16="","",IFERROR(AVERAGE(G16,K16),""))</f>
        <v/>
      </c>
      <c r="P16" s="124" t="str">
        <f>IF(MAESTRO!D16="","",IFERROR(AVERAGE(H16,L16),""))</f>
        <v/>
      </c>
      <c r="Q16" s="124" t="str">
        <f>IF(MAESTRO!D16="","",IFERROR(AVERAGE(I16,M16),""))</f>
        <v/>
      </c>
      <c r="R16" s="124" t="str">
        <f>IF(MAESTRO!D16="","",IFERROR(TRUNC(AVERAGE(O16,P16,Q16),1),""))</f>
        <v/>
      </c>
      <c r="S16" s="126" t="str">
        <f>IF(MAESTRO!D16="","",IF(AND(F16="",J16="",N16="",R16=""),"",IF(Y(OR(F16="",F16&gt;=3),OR(J16="",J16&gt;=3),OR(N16="",N16&gt;=3),OR(R16="",R16&gt;=3)),"✓ APROBADO","✗ REPROBADO")))</f>
        <v/>
      </c>
    </row>
    <row r="17" spans="1:19" ht="16.05" customHeight="1">
      <c r="A17" s="118">
        <v>13</v>
      </c>
      <c r="B17" s="119">
        <f>MAESTRO!D17</f>
        <v>0</v>
      </c>
      <c r="C17" s="122" t="str">
        <f>IF(MAESTRO!D17="","",IFERROR('PROM (Ingles 8°)'!AE17,""))</f>
        <v/>
      </c>
      <c r="D17" s="122" t="str">
        <f>IF(MAESTRO!D17="","",IFERROR('PROM (Ingles 8°)'!BM17,""))</f>
        <v/>
      </c>
      <c r="E17" s="122" t="str">
        <f>IF(MAESTRO!D17="","",IFERROR('PROM (Ingles 8°)'!CU17,""))</f>
        <v/>
      </c>
      <c r="F17" s="123" t="str">
        <f>IF(MAESTRO!D17="","",IFERROR(TRUNC(AVERAGE(C17,D17,E17),1),""))</f>
        <v/>
      </c>
      <c r="G17" s="122" t="str">
        <f>IF(MAESTRO!D17="","",IFERROR('PROM (Agropecuaria 8°)'!AE17,""))</f>
        <v/>
      </c>
      <c r="H17" s="122" t="str">
        <f>IF(MAESTRO!D17="","",IFERROR('PROM (Agropecuaria 8°)'!BM17,""))</f>
        <v/>
      </c>
      <c r="I17" s="122" t="str">
        <f>IF(MAESTRO!D17="","",IFERROR('PROM (Agropecuaria 8°)'!CU17,""))</f>
        <v/>
      </c>
      <c r="J17" s="123" t="str">
        <f>IF(MAESTRO!D17="","",IFERROR(TRUNC(AVERAGE(G17,H17,I17),1),""))</f>
        <v/>
      </c>
      <c r="K17" s="122" t="str">
        <f>IF(MAESTRO!D17="","",IFERROR('PROM (Comercio 8°)'!AE17,""))</f>
        <v/>
      </c>
      <c r="L17" s="122" t="str">
        <f>IF(MAESTRO!D17="","",IFERROR('PROM (Comercio 8°)'!BM17,""))</f>
        <v/>
      </c>
      <c r="M17" s="122" t="str">
        <f>IF(MAESTRO!D17="","",IFERROR('PROM (Comercio 8°)'!CU17,""))</f>
        <v/>
      </c>
      <c r="N17" s="123" t="str">
        <f>IF(MAESTRO!D17="","",IFERROR(TRUNC(AVERAGE(K17,L17,M17),1),""))</f>
        <v/>
      </c>
      <c r="O17" s="124" t="str">
        <f>IF(MAESTRO!D17="","",IFERROR(AVERAGE(G17,K17),""))</f>
        <v/>
      </c>
      <c r="P17" s="124" t="str">
        <f>IF(MAESTRO!D17="","",IFERROR(AVERAGE(H17,L17),""))</f>
        <v/>
      </c>
      <c r="Q17" s="124" t="str">
        <f>IF(MAESTRO!D17="","",IFERROR(AVERAGE(I17,M17),""))</f>
        <v/>
      </c>
      <c r="R17" s="124" t="str">
        <f>IF(MAESTRO!D17="","",IFERROR(TRUNC(AVERAGE(O17,P17,Q17),1),""))</f>
        <v/>
      </c>
      <c r="S17" s="123" t="str">
        <f>IF(MAESTRO!D17="","",IF(AND(F17="",J17="",N17="",R17=""),"",IF(Y(OR(F17="",F17&gt;=3),OR(J17="",J17&gt;=3),OR(N17="",N17&gt;=3),OR(R17="",R17&gt;=3)),"✓ APROBADO","✗ REPROBADO")))</f>
        <v/>
      </c>
    </row>
    <row r="18" spans="1:19" ht="16.05" customHeight="1">
      <c r="A18" s="116">
        <v>14</v>
      </c>
      <c r="B18" s="117">
        <f>MAESTRO!D18</f>
        <v>0</v>
      </c>
      <c r="C18" s="125" t="str">
        <f>IF(MAESTRO!D18="","",IFERROR('PROM (Ingles 8°)'!AE18,""))</f>
        <v/>
      </c>
      <c r="D18" s="125" t="str">
        <f>IF(MAESTRO!D18="","",IFERROR('PROM (Ingles 8°)'!BM18,""))</f>
        <v/>
      </c>
      <c r="E18" s="125" t="str">
        <f>IF(MAESTRO!D18="","",IFERROR('PROM (Ingles 8°)'!CU18,""))</f>
        <v/>
      </c>
      <c r="F18" s="126" t="str">
        <f>IF(MAESTRO!D18="","",IFERROR(TRUNC(AVERAGE(C18,D18,E18),1),""))</f>
        <v/>
      </c>
      <c r="G18" s="125" t="str">
        <f>IF(MAESTRO!D18="","",IFERROR('PROM (Agropecuaria 8°)'!AE18,""))</f>
        <v/>
      </c>
      <c r="H18" s="125" t="str">
        <f>IF(MAESTRO!D18="","",IFERROR('PROM (Agropecuaria 8°)'!BM18,""))</f>
        <v/>
      </c>
      <c r="I18" s="125" t="str">
        <f>IF(MAESTRO!D18="","",IFERROR('PROM (Agropecuaria 8°)'!CU18,""))</f>
        <v/>
      </c>
      <c r="J18" s="126" t="str">
        <f>IF(MAESTRO!D18="","",IFERROR(TRUNC(AVERAGE(G18,H18,I18),1),""))</f>
        <v/>
      </c>
      <c r="K18" s="125" t="str">
        <f>IF(MAESTRO!D18="","",IFERROR('PROM (Comercio 8°)'!AE18,""))</f>
        <v/>
      </c>
      <c r="L18" s="125" t="str">
        <f>IF(MAESTRO!D18="","",IFERROR('PROM (Comercio 8°)'!BM18,""))</f>
        <v/>
      </c>
      <c r="M18" s="125" t="str">
        <f>IF(MAESTRO!D18="","",IFERROR('PROM (Comercio 8°)'!CU18,""))</f>
        <v/>
      </c>
      <c r="N18" s="126" t="str">
        <f>IF(MAESTRO!D18="","",IFERROR(TRUNC(AVERAGE(K18,L18,M18),1),""))</f>
        <v/>
      </c>
      <c r="O18" s="124" t="str">
        <f>IF(MAESTRO!D18="","",IFERROR(AVERAGE(G18,K18),""))</f>
        <v/>
      </c>
      <c r="P18" s="124" t="str">
        <f>IF(MAESTRO!D18="","",IFERROR(AVERAGE(H18,L18),""))</f>
        <v/>
      </c>
      <c r="Q18" s="124" t="str">
        <f>IF(MAESTRO!D18="","",IFERROR(AVERAGE(I18,M18),""))</f>
        <v/>
      </c>
      <c r="R18" s="124" t="str">
        <f>IF(MAESTRO!D18="","",IFERROR(TRUNC(AVERAGE(O18,P18,Q18),1),""))</f>
        <v/>
      </c>
      <c r="S18" s="126" t="str">
        <f>IF(MAESTRO!D18="","",IF(AND(F18="",J18="",N18="",R18=""),"",IF(Y(OR(F18="",F18&gt;=3),OR(J18="",J18&gt;=3),OR(N18="",N18&gt;=3),OR(R18="",R18&gt;=3)),"✓ APROBADO","✗ REPROBADO")))</f>
        <v/>
      </c>
    </row>
    <row r="19" spans="1:19" ht="16.05" customHeight="1">
      <c r="A19" s="118">
        <v>15</v>
      </c>
      <c r="B19" s="119">
        <f>MAESTRO!D19</f>
        <v>0</v>
      </c>
      <c r="C19" s="122" t="str">
        <f>IF(MAESTRO!D19="","",IFERROR('PROM (Ingles 8°)'!AE19,""))</f>
        <v/>
      </c>
      <c r="D19" s="122" t="str">
        <f>IF(MAESTRO!D19="","",IFERROR('PROM (Ingles 8°)'!BM19,""))</f>
        <v/>
      </c>
      <c r="E19" s="122" t="str">
        <f>IF(MAESTRO!D19="","",IFERROR('PROM (Ingles 8°)'!CU19,""))</f>
        <v/>
      </c>
      <c r="F19" s="123" t="str">
        <f>IF(MAESTRO!D19="","",IFERROR(TRUNC(AVERAGE(C19,D19,E19),1),""))</f>
        <v/>
      </c>
      <c r="G19" s="122" t="str">
        <f>IF(MAESTRO!D19="","",IFERROR('PROM (Agropecuaria 8°)'!AE19,""))</f>
        <v/>
      </c>
      <c r="H19" s="122" t="str">
        <f>IF(MAESTRO!D19="","",IFERROR('PROM (Agropecuaria 8°)'!BM19,""))</f>
        <v/>
      </c>
      <c r="I19" s="122" t="str">
        <f>IF(MAESTRO!D19="","",IFERROR('PROM (Agropecuaria 8°)'!CU19,""))</f>
        <v/>
      </c>
      <c r="J19" s="123" t="str">
        <f>IF(MAESTRO!D19="","",IFERROR(TRUNC(AVERAGE(G19,H19,I19),1),""))</f>
        <v/>
      </c>
      <c r="K19" s="122" t="str">
        <f>IF(MAESTRO!D19="","",IFERROR('PROM (Comercio 8°)'!AE19,""))</f>
        <v/>
      </c>
      <c r="L19" s="122" t="str">
        <f>IF(MAESTRO!D19="","",IFERROR('PROM (Comercio 8°)'!BM19,""))</f>
        <v/>
      </c>
      <c r="M19" s="122" t="str">
        <f>IF(MAESTRO!D19="","",IFERROR('PROM (Comercio 8°)'!CU19,""))</f>
        <v/>
      </c>
      <c r="N19" s="123" t="str">
        <f>IF(MAESTRO!D19="","",IFERROR(TRUNC(AVERAGE(K19,L19,M19),1),""))</f>
        <v/>
      </c>
      <c r="O19" s="124" t="str">
        <f>IF(MAESTRO!D19="","",IFERROR(AVERAGE(G19,K19),""))</f>
        <v/>
      </c>
      <c r="P19" s="124" t="str">
        <f>IF(MAESTRO!D19="","",IFERROR(AVERAGE(H19,L19),""))</f>
        <v/>
      </c>
      <c r="Q19" s="124" t="str">
        <f>IF(MAESTRO!D19="","",IFERROR(AVERAGE(I19,M19),""))</f>
        <v/>
      </c>
      <c r="R19" s="124" t="str">
        <f>IF(MAESTRO!D19="","",IFERROR(TRUNC(AVERAGE(O19,P19,Q19),1),""))</f>
        <v/>
      </c>
      <c r="S19" s="123" t="str">
        <f>IF(MAESTRO!D19="","",IF(AND(F19="",J19="",N19="",R19=""),"",IF(Y(OR(F19="",F19&gt;=3),OR(J19="",J19&gt;=3),OR(N19="",N19&gt;=3),OR(R19="",R19&gt;=3)),"✓ APROBADO","✗ REPROBADO")))</f>
        <v/>
      </c>
    </row>
    <row r="20" spans="1:19" ht="16.05" customHeight="1">
      <c r="A20" s="116">
        <v>16</v>
      </c>
      <c r="B20" s="117">
        <f>MAESTRO!D20</f>
        <v>0</v>
      </c>
      <c r="C20" s="125" t="str">
        <f>IF(MAESTRO!D20="","",IFERROR('PROM (Ingles 8°)'!AE20,""))</f>
        <v/>
      </c>
      <c r="D20" s="125" t="str">
        <f>IF(MAESTRO!D20="","",IFERROR('PROM (Ingles 8°)'!BM20,""))</f>
        <v/>
      </c>
      <c r="E20" s="125" t="str">
        <f>IF(MAESTRO!D20="","",IFERROR('PROM (Ingles 8°)'!CU20,""))</f>
        <v/>
      </c>
      <c r="F20" s="126" t="str">
        <f>IF(MAESTRO!D20="","",IFERROR(TRUNC(AVERAGE(C20,D20,E20),1),""))</f>
        <v/>
      </c>
      <c r="G20" s="125" t="str">
        <f>IF(MAESTRO!D20="","",IFERROR('PROM (Agropecuaria 8°)'!AE20,""))</f>
        <v/>
      </c>
      <c r="H20" s="125" t="str">
        <f>IF(MAESTRO!D20="","",IFERROR('PROM (Agropecuaria 8°)'!BM20,""))</f>
        <v/>
      </c>
      <c r="I20" s="125" t="str">
        <f>IF(MAESTRO!D20="","",IFERROR('PROM (Agropecuaria 8°)'!CU20,""))</f>
        <v/>
      </c>
      <c r="J20" s="126" t="str">
        <f>IF(MAESTRO!D20="","",IFERROR(TRUNC(AVERAGE(G20,H20,I20),1),""))</f>
        <v/>
      </c>
      <c r="K20" s="125" t="str">
        <f>IF(MAESTRO!D20="","",IFERROR('PROM (Comercio 8°)'!AE20,""))</f>
        <v/>
      </c>
      <c r="L20" s="125" t="str">
        <f>IF(MAESTRO!D20="","",IFERROR('PROM (Comercio 8°)'!BM20,""))</f>
        <v/>
      </c>
      <c r="M20" s="125" t="str">
        <f>IF(MAESTRO!D20="","",IFERROR('PROM (Comercio 8°)'!CU20,""))</f>
        <v/>
      </c>
      <c r="N20" s="126" t="str">
        <f>IF(MAESTRO!D20="","",IFERROR(TRUNC(AVERAGE(K20,L20,M20),1),""))</f>
        <v/>
      </c>
      <c r="O20" s="124" t="str">
        <f>IF(MAESTRO!D20="","",IFERROR(AVERAGE(G20,K20),""))</f>
        <v/>
      </c>
      <c r="P20" s="124" t="str">
        <f>IF(MAESTRO!D20="","",IFERROR(AVERAGE(H20,L20),""))</f>
        <v/>
      </c>
      <c r="Q20" s="124" t="str">
        <f>IF(MAESTRO!D20="","",IFERROR(AVERAGE(I20,M20),""))</f>
        <v/>
      </c>
      <c r="R20" s="124" t="str">
        <f>IF(MAESTRO!D20="","",IFERROR(TRUNC(AVERAGE(O20,P20,Q20),1),""))</f>
        <v/>
      </c>
      <c r="S20" s="126" t="str">
        <f>IF(MAESTRO!D20="","",IF(AND(F20="",J20="",N20="",R20=""),"",IF(Y(OR(F20="",F20&gt;=3),OR(J20="",J20&gt;=3),OR(N20="",N20&gt;=3),OR(R20="",R20&gt;=3)),"✓ APROBADO","✗ REPROBADO")))</f>
        <v/>
      </c>
    </row>
    <row r="21" spans="1:19" ht="16.05" customHeight="1">
      <c r="A21" s="118">
        <v>17</v>
      </c>
      <c r="B21" s="119">
        <f>MAESTRO!D21</f>
        <v>0</v>
      </c>
      <c r="C21" s="122" t="str">
        <f>IF(MAESTRO!D21="","",IFERROR('PROM (Ingles 8°)'!AE21,""))</f>
        <v/>
      </c>
      <c r="D21" s="122" t="str">
        <f>IF(MAESTRO!D21="","",IFERROR('PROM (Ingles 8°)'!BM21,""))</f>
        <v/>
      </c>
      <c r="E21" s="122" t="str">
        <f>IF(MAESTRO!D21="","",IFERROR('PROM (Ingles 8°)'!CU21,""))</f>
        <v/>
      </c>
      <c r="F21" s="123" t="str">
        <f>IF(MAESTRO!D21="","",IFERROR(TRUNC(AVERAGE(C21,D21,E21),1),""))</f>
        <v/>
      </c>
      <c r="G21" s="122" t="str">
        <f>IF(MAESTRO!D21="","",IFERROR('PROM (Agropecuaria 8°)'!AE21,""))</f>
        <v/>
      </c>
      <c r="H21" s="122" t="str">
        <f>IF(MAESTRO!D21="","",IFERROR('PROM (Agropecuaria 8°)'!BM21,""))</f>
        <v/>
      </c>
      <c r="I21" s="122" t="str">
        <f>IF(MAESTRO!D21="","",IFERROR('PROM (Agropecuaria 8°)'!CU21,""))</f>
        <v/>
      </c>
      <c r="J21" s="123" t="str">
        <f>IF(MAESTRO!D21="","",IFERROR(TRUNC(AVERAGE(G21,H21,I21),1),""))</f>
        <v/>
      </c>
      <c r="K21" s="122" t="str">
        <f>IF(MAESTRO!D21="","",IFERROR('PROM (Comercio 8°)'!AE21,""))</f>
        <v/>
      </c>
      <c r="L21" s="122" t="str">
        <f>IF(MAESTRO!D21="","",IFERROR('PROM (Comercio 8°)'!BM21,""))</f>
        <v/>
      </c>
      <c r="M21" s="122" t="str">
        <f>IF(MAESTRO!D21="","",IFERROR('PROM (Comercio 8°)'!CU21,""))</f>
        <v/>
      </c>
      <c r="N21" s="123" t="str">
        <f>IF(MAESTRO!D21="","",IFERROR(TRUNC(AVERAGE(K21,L21,M21),1),""))</f>
        <v/>
      </c>
      <c r="O21" s="124" t="str">
        <f>IF(MAESTRO!D21="","",IFERROR(AVERAGE(G21,K21),""))</f>
        <v/>
      </c>
      <c r="P21" s="124" t="str">
        <f>IF(MAESTRO!D21="","",IFERROR(AVERAGE(H21,L21),""))</f>
        <v/>
      </c>
      <c r="Q21" s="124" t="str">
        <f>IF(MAESTRO!D21="","",IFERROR(AVERAGE(I21,M21),""))</f>
        <v/>
      </c>
      <c r="R21" s="124" t="str">
        <f>IF(MAESTRO!D21="","",IFERROR(TRUNC(AVERAGE(O21,P21,Q21),1),""))</f>
        <v/>
      </c>
      <c r="S21" s="123" t="str">
        <f>IF(MAESTRO!D21="","",IF(AND(F21="",J21="",N21="",R21=""),"",IF(Y(OR(F21="",F21&gt;=3),OR(J21="",J21&gt;=3),OR(N21="",N21&gt;=3),OR(R21="",R21&gt;=3)),"✓ APROBADO","✗ REPROBADO")))</f>
        <v/>
      </c>
    </row>
    <row r="22" spans="1:19" ht="16.05" customHeight="1">
      <c r="A22" s="116">
        <v>18</v>
      </c>
      <c r="B22" s="117">
        <f>MAESTRO!D22</f>
        <v>0</v>
      </c>
      <c r="C22" s="125" t="str">
        <f>IF(MAESTRO!D22="","",IFERROR('PROM (Ingles 8°)'!AE22,""))</f>
        <v/>
      </c>
      <c r="D22" s="125" t="str">
        <f>IF(MAESTRO!D22="","",IFERROR('PROM (Ingles 8°)'!BM22,""))</f>
        <v/>
      </c>
      <c r="E22" s="125" t="str">
        <f>IF(MAESTRO!D22="","",IFERROR('PROM (Ingles 8°)'!CU22,""))</f>
        <v/>
      </c>
      <c r="F22" s="126" t="str">
        <f>IF(MAESTRO!D22="","",IFERROR(TRUNC(AVERAGE(C22,D22,E22),1),""))</f>
        <v/>
      </c>
      <c r="G22" s="125" t="str">
        <f>IF(MAESTRO!D22="","",IFERROR('PROM (Agropecuaria 8°)'!AE22,""))</f>
        <v/>
      </c>
      <c r="H22" s="125" t="str">
        <f>IF(MAESTRO!D22="","",IFERROR('PROM (Agropecuaria 8°)'!BM22,""))</f>
        <v/>
      </c>
      <c r="I22" s="125" t="str">
        <f>IF(MAESTRO!D22="","",IFERROR('PROM (Agropecuaria 8°)'!CU22,""))</f>
        <v/>
      </c>
      <c r="J22" s="126" t="str">
        <f>IF(MAESTRO!D22="","",IFERROR(TRUNC(AVERAGE(G22,H22,I22),1),""))</f>
        <v/>
      </c>
      <c r="K22" s="125" t="str">
        <f>IF(MAESTRO!D22="","",IFERROR('PROM (Comercio 8°)'!AE22,""))</f>
        <v/>
      </c>
      <c r="L22" s="125" t="str">
        <f>IF(MAESTRO!D22="","",IFERROR('PROM (Comercio 8°)'!BM22,""))</f>
        <v/>
      </c>
      <c r="M22" s="125" t="str">
        <f>IF(MAESTRO!D22="","",IFERROR('PROM (Comercio 8°)'!CU22,""))</f>
        <v/>
      </c>
      <c r="N22" s="126" t="str">
        <f>IF(MAESTRO!D22="","",IFERROR(TRUNC(AVERAGE(K22,L22,M22),1),""))</f>
        <v/>
      </c>
      <c r="O22" s="124" t="str">
        <f>IF(MAESTRO!D22="","",IFERROR(AVERAGE(G22,K22),""))</f>
        <v/>
      </c>
      <c r="P22" s="124" t="str">
        <f>IF(MAESTRO!D22="","",IFERROR(AVERAGE(H22,L22),""))</f>
        <v/>
      </c>
      <c r="Q22" s="124" t="str">
        <f>IF(MAESTRO!D22="","",IFERROR(AVERAGE(I22,M22),""))</f>
        <v/>
      </c>
      <c r="R22" s="124" t="str">
        <f>IF(MAESTRO!D22="","",IFERROR(TRUNC(AVERAGE(O22,P22,Q22),1),""))</f>
        <v/>
      </c>
      <c r="S22" s="126" t="str">
        <f>IF(MAESTRO!D22="","",IF(AND(F22="",J22="",N22="",R22=""),"",IF(Y(OR(F22="",F22&gt;=3),OR(J22="",J22&gt;=3),OR(N22="",N22&gt;=3),OR(R22="",R22&gt;=3)),"✓ APROBADO","✗ REPROBADO")))</f>
        <v/>
      </c>
    </row>
    <row r="23" spans="1:19" ht="16.05" customHeight="1">
      <c r="A23" s="118">
        <v>19</v>
      </c>
      <c r="B23" s="119">
        <f>MAESTRO!D23</f>
        <v>0</v>
      </c>
      <c r="C23" s="122" t="str">
        <f>IF(MAESTRO!D23="","",IFERROR('PROM (Ingles 8°)'!AE23,""))</f>
        <v/>
      </c>
      <c r="D23" s="122" t="str">
        <f>IF(MAESTRO!D23="","",IFERROR('PROM (Ingles 8°)'!BM23,""))</f>
        <v/>
      </c>
      <c r="E23" s="122" t="str">
        <f>IF(MAESTRO!D23="","",IFERROR('PROM (Ingles 8°)'!CU23,""))</f>
        <v/>
      </c>
      <c r="F23" s="123" t="str">
        <f>IF(MAESTRO!D23="","",IFERROR(TRUNC(AVERAGE(C23,D23,E23),1),""))</f>
        <v/>
      </c>
      <c r="G23" s="122" t="str">
        <f>IF(MAESTRO!D23="","",IFERROR('PROM (Agropecuaria 8°)'!AE23,""))</f>
        <v/>
      </c>
      <c r="H23" s="122" t="str">
        <f>IF(MAESTRO!D23="","",IFERROR('PROM (Agropecuaria 8°)'!BM23,""))</f>
        <v/>
      </c>
      <c r="I23" s="122" t="str">
        <f>IF(MAESTRO!D23="","",IFERROR('PROM (Agropecuaria 8°)'!CU23,""))</f>
        <v/>
      </c>
      <c r="J23" s="123" t="str">
        <f>IF(MAESTRO!D23="","",IFERROR(TRUNC(AVERAGE(G23,H23,I23),1),""))</f>
        <v/>
      </c>
      <c r="K23" s="122" t="str">
        <f>IF(MAESTRO!D23="","",IFERROR('PROM (Comercio 8°)'!AE23,""))</f>
        <v/>
      </c>
      <c r="L23" s="122" t="str">
        <f>IF(MAESTRO!D23="","",IFERROR('PROM (Comercio 8°)'!BM23,""))</f>
        <v/>
      </c>
      <c r="M23" s="122" t="str">
        <f>IF(MAESTRO!D23="","",IFERROR('PROM (Comercio 8°)'!CU23,""))</f>
        <v/>
      </c>
      <c r="N23" s="123" t="str">
        <f>IF(MAESTRO!D23="","",IFERROR(TRUNC(AVERAGE(K23,L23,M23),1),""))</f>
        <v/>
      </c>
      <c r="O23" s="124" t="str">
        <f>IF(MAESTRO!D23="","",IFERROR(AVERAGE(G23,K23),""))</f>
        <v/>
      </c>
      <c r="P23" s="124" t="str">
        <f>IF(MAESTRO!D23="","",IFERROR(AVERAGE(H23,L23),""))</f>
        <v/>
      </c>
      <c r="Q23" s="124" t="str">
        <f>IF(MAESTRO!D23="","",IFERROR(AVERAGE(I23,M23),""))</f>
        <v/>
      </c>
      <c r="R23" s="124" t="str">
        <f>IF(MAESTRO!D23="","",IFERROR(TRUNC(AVERAGE(O23,P23,Q23),1),""))</f>
        <v/>
      </c>
      <c r="S23" s="123" t="str">
        <f>IF(MAESTRO!D23="","",IF(AND(F23="",J23="",N23="",R23=""),"",IF(Y(OR(F23="",F23&gt;=3),OR(J23="",J23&gt;=3),OR(N23="",N23&gt;=3),OR(R23="",R23&gt;=3)),"✓ APROBADO","✗ REPROBADO")))</f>
        <v/>
      </c>
    </row>
    <row r="24" spans="1:19" ht="16.05" customHeight="1">
      <c r="A24" s="116">
        <v>20</v>
      </c>
      <c r="B24" s="117">
        <f>MAESTRO!D24</f>
        <v>0</v>
      </c>
      <c r="C24" s="125" t="str">
        <f>IF(MAESTRO!D24="","",IFERROR('PROM (Ingles 8°)'!AE24,""))</f>
        <v/>
      </c>
      <c r="D24" s="125" t="str">
        <f>IF(MAESTRO!D24="","",IFERROR('PROM (Ingles 8°)'!BM24,""))</f>
        <v/>
      </c>
      <c r="E24" s="125" t="str">
        <f>IF(MAESTRO!D24="","",IFERROR('PROM (Ingles 8°)'!CU24,""))</f>
        <v/>
      </c>
      <c r="F24" s="126" t="str">
        <f>IF(MAESTRO!D24="","",IFERROR(TRUNC(AVERAGE(C24,D24,E24),1),""))</f>
        <v/>
      </c>
      <c r="G24" s="125" t="str">
        <f>IF(MAESTRO!D24="","",IFERROR('PROM (Agropecuaria 8°)'!AE24,""))</f>
        <v/>
      </c>
      <c r="H24" s="125" t="str">
        <f>IF(MAESTRO!D24="","",IFERROR('PROM (Agropecuaria 8°)'!BM24,""))</f>
        <v/>
      </c>
      <c r="I24" s="125" t="str">
        <f>IF(MAESTRO!D24="","",IFERROR('PROM (Agropecuaria 8°)'!CU24,""))</f>
        <v/>
      </c>
      <c r="J24" s="126" t="str">
        <f>IF(MAESTRO!D24="","",IFERROR(TRUNC(AVERAGE(G24,H24,I24),1),""))</f>
        <v/>
      </c>
      <c r="K24" s="125" t="str">
        <f>IF(MAESTRO!D24="","",IFERROR('PROM (Comercio 8°)'!AE24,""))</f>
        <v/>
      </c>
      <c r="L24" s="125" t="str">
        <f>IF(MAESTRO!D24="","",IFERROR('PROM (Comercio 8°)'!BM24,""))</f>
        <v/>
      </c>
      <c r="M24" s="125" t="str">
        <f>IF(MAESTRO!D24="","",IFERROR('PROM (Comercio 8°)'!CU24,""))</f>
        <v/>
      </c>
      <c r="N24" s="126" t="str">
        <f>IF(MAESTRO!D24="","",IFERROR(TRUNC(AVERAGE(K24,L24,M24),1),""))</f>
        <v/>
      </c>
      <c r="O24" s="124" t="str">
        <f>IF(MAESTRO!D24="","",IFERROR(AVERAGE(G24,K24),""))</f>
        <v/>
      </c>
      <c r="P24" s="124" t="str">
        <f>IF(MAESTRO!D24="","",IFERROR(AVERAGE(H24,L24),""))</f>
        <v/>
      </c>
      <c r="Q24" s="124" t="str">
        <f>IF(MAESTRO!D24="","",IFERROR(AVERAGE(I24,M24),""))</f>
        <v/>
      </c>
      <c r="R24" s="124" t="str">
        <f>IF(MAESTRO!D24="","",IFERROR(TRUNC(AVERAGE(O24,P24,Q24),1),""))</f>
        <v/>
      </c>
      <c r="S24" s="126" t="str">
        <f>IF(MAESTRO!D24="","",IF(AND(F24="",J24="",N24="",R24=""),"",IF(Y(OR(F24="",F24&gt;=3),OR(J24="",J24&gt;=3),OR(N24="",N24&gt;=3),OR(R24="",R24&gt;=3)),"✓ APROBADO","✗ REPROBADO")))</f>
        <v/>
      </c>
    </row>
    <row r="25" spans="1:19" ht="16.05" customHeight="1">
      <c r="A25" s="118">
        <v>21</v>
      </c>
      <c r="B25" s="119">
        <f>MAESTRO!D25</f>
        <v>0</v>
      </c>
      <c r="C25" s="122" t="str">
        <f>IF(MAESTRO!D25="","",IFERROR('PROM (Ingles 8°)'!AE25,""))</f>
        <v/>
      </c>
      <c r="D25" s="122" t="str">
        <f>IF(MAESTRO!D25="","",IFERROR('PROM (Ingles 8°)'!BM25,""))</f>
        <v/>
      </c>
      <c r="E25" s="122" t="str">
        <f>IF(MAESTRO!D25="","",IFERROR('PROM (Ingles 8°)'!CU25,""))</f>
        <v/>
      </c>
      <c r="F25" s="123" t="str">
        <f>IF(MAESTRO!D25="","",IFERROR(TRUNC(AVERAGE(C25,D25,E25),1),""))</f>
        <v/>
      </c>
      <c r="G25" s="122" t="str">
        <f>IF(MAESTRO!D25="","",IFERROR('PROM (Agropecuaria 8°)'!AE25,""))</f>
        <v/>
      </c>
      <c r="H25" s="122" t="str">
        <f>IF(MAESTRO!D25="","",IFERROR('PROM (Agropecuaria 8°)'!BM25,""))</f>
        <v/>
      </c>
      <c r="I25" s="122" t="str">
        <f>IF(MAESTRO!D25="","",IFERROR('PROM (Agropecuaria 8°)'!CU25,""))</f>
        <v/>
      </c>
      <c r="J25" s="123" t="str">
        <f>IF(MAESTRO!D25="","",IFERROR(TRUNC(AVERAGE(G25,H25,I25),1),""))</f>
        <v/>
      </c>
      <c r="K25" s="122" t="str">
        <f>IF(MAESTRO!D25="","",IFERROR('PROM (Comercio 8°)'!AE25,""))</f>
        <v/>
      </c>
      <c r="L25" s="122" t="str">
        <f>IF(MAESTRO!D25="","",IFERROR('PROM (Comercio 8°)'!BM25,""))</f>
        <v/>
      </c>
      <c r="M25" s="122" t="str">
        <f>IF(MAESTRO!D25="","",IFERROR('PROM (Comercio 8°)'!CU25,""))</f>
        <v/>
      </c>
      <c r="N25" s="123" t="str">
        <f>IF(MAESTRO!D25="","",IFERROR(TRUNC(AVERAGE(K25,L25,M25),1),""))</f>
        <v/>
      </c>
      <c r="O25" s="124" t="str">
        <f>IF(MAESTRO!D25="","",IFERROR(AVERAGE(G25,K25),""))</f>
        <v/>
      </c>
      <c r="P25" s="124" t="str">
        <f>IF(MAESTRO!D25="","",IFERROR(AVERAGE(H25,L25),""))</f>
        <v/>
      </c>
      <c r="Q25" s="124" t="str">
        <f>IF(MAESTRO!D25="","",IFERROR(AVERAGE(I25,M25),""))</f>
        <v/>
      </c>
      <c r="R25" s="124" t="str">
        <f>IF(MAESTRO!D25="","",IFERROR(TRUNC(AVERAGE(O25,P25,Q25),1),""))</f>
        <v/>
      </c>
      <c r="S25" s="123" t="str">
        <f>IF(MAESTRO!D25="","",IF(AND(F25="",J25="",N25="",R25=""),"",IF(Y(OR(F25="",F25&gt;=3),OR(J25="",J25&gt;=3),OR(N25="",N25&gt;=3),OR(R25="",R25&gt;=3)),"✓ APROBADO","✗ REPROBADO")))</f>
        <v/>
      </c>
    </row>
    <row r="26" spans="1:19" ht="16.05" customHeight="1">
      <c r="A26" s="116">
        <v>22</v>
      </c>
      <c r="B26" s="117">
        <f>MAESTRO!D26</f>
        <v>0</v>
      </c>
      <c r="C26" s="125" t="str">
        <f>IF(MAESTRO!D26="","",IFERROR('PROM (Ingles 8°)'!AE26,""))</f>
        <v/>
      </c>
      <c r="D26" s="125" t="str">
        <f>IF(MAESTRO!D26="","",IFERROR('PROM (Ingles 8°)'!BM26,""))</f>
        <v/>
      </c>
      <c r="E26" s="125" t="str">
        <f>IF(MAESTRO!D26="","",IFERROR('PROM (Ingles 8°)'!CU26,""))</f>
        <v/>
      </c>
      <c r="F26" s="126" t="str">
        <f>IF(MAESTRO!D26="","",IFERROR(TRUNC(AVERAGE(C26,D26,E26),1),""))</f>
        <v/>
      </c>
      <c r="G26" s="125" t="str">
        <f>IF(MAESTRO!D26="","",IFERROR('PROM (Agropecuaria 8°)'!AE26,""))</f>
        <v/>
      </c>
      <c r="H26" s="125" t="str">
        <f>IF(MAESTRO!D26="","",IFERROR('PROM (Agropecuaria 8°)'!BM26,""))</f>
        <v/>
      </c>
      <c r="I26" s="125" t="str">
        <f>IF(MAESTRO!D26="","",IFERROR('PROM (Agropecuaria 8°)'!CU26,""))</f>
        <v/>
      </c>
      <c r="J26" s="126" t="str">
        <f>IF(MAESTRO!D26="","",IFERROR(TRUNC(AVERAGE(G26,H26,I26),1),""))</f>
        <v/>
      </c>
      <c r="K26" s="125" t="str">
        <f>IF(MAESTRO!D26="","",IFERROR('PROM (Comercio 8°)'!AE26,""))</f>
        <v/>
      </c>
      <c r="L26" s="125" t="str">
        <f>IF(MAESTRO!D26="","",IFERROR('PROM (Comercio 8°)'!BM26,""))</f>
        <v/>
      </c>
      <c r="M26" s="125" t="str">
        <f>IF(MAESTRO!D26="","",IFERROR('PROM (Comercio 8°)'!CU26,""))</f>
        <v/>
      </c>
      <c r="N26" s="126" t="str">
        <f>IF(MAESTRO!D26="","",IFERROR(TRUNC(AVERAGE(K26,L26,M26),1),""))</f>
        <v/>
      </c>
      <c r="O26" s="124" t="str">
        <f>IF(MAESTRO!D26="","",IFERROR(AVERAGE(G26,K26),""))</f>
        <v/>
      </c>
      <c r="P26" s="124" t="str">
        <f>IF(MAESTRO!D26="","",IFERROR(AVERAGE(H26,L26),""))</f>
        <v/>
      </c>
      <c r="Q26" s="124" t="str">
        <f>IF(MAESTRO!D26="","",IFERROR(AVERAGE(I26,M26),""))</f>
        <v/>
      </c>
      <c r="R26" s="124" t="str">
        <f>IF(MAESTRO!D26="","",IFERROR(TRUNC(AVERAGE(O26,P26,Q26),1),""))</f>
        <v/>
      </c>
      <c r="S26" s="126" t="str">
        <f>IF(MAESTRO!D26="","",IF(AND(F26="",J26="",N26="",R26=""),"",IF(Y(OR(F26="",F26&gt;=3),OR(J26="",J26&gt;=3),OR(N26="",N26&gt;=3),OR(R26="",R26&gt;=3)),"✓ APROBADO","✗ REPROBADO")))</f>
        <v/>
      </c>
    </row>
    <row r="27" spans="1:19" ht="16.05" customHeight="1">
      <c r="A27" s="118">
        <v>23</v>
      </c>
      <c r="B27" s="119">
        <f>MAESTRO!D27</f>
        <v>0</v>
      </c>
      <c r="C27" s="122" t="str">
        <f>IF(MAESTRO!D27="","",IFERROR('PROM (Ingles 8°)'!AE27,""))</f>
        <v/>
      </c>
      <c r="D27" s="122" t="str">
        <f>IF(MAESTRO!D27="","",IFERROR('PROM (Ingles 8°)'!BM27,""))</f>
        <v/>
      </c>
      <c r="E27" s="122" t="str">
        <f>IF(MAESTRO!D27="","",IFERROR('PROM (Ingles 8°)'!CU27,""))</f>
        <v/>
      </c>
      <c r="F27" s="123" t="str">
        <f>IF(MAESTRO!D27="","",IFERROR(TRUNC(AVERAGE(C27,D27,E27),1),""))</f>
        <v/>
      </c>
      <c r="G27" s="122" t="str">
        <f>IF(MAESTRO!D27="","",IFERROR('PROM (Agropecuaria 8°)'!AE27,""))</f>
        <v/>
      </c>
      <c r="H27" s="122" t="str">
        <f>IF(MAESTRO!D27="","",IFERROR('PROM (Agropecuaria 8°)'!BM27,""))</f>
        <v/>
      </c>
      <c r="I27" s="122" t="str">
        <f>IF(MAESTRO!D27="","",IFERROR('PROM (Agropecuaria 8°)'!CU27,""))</f>
        <v/>
      </c>
      <c r="J27" s="123" t="str">
        <f>IF(MAESTRO!D27="","",IFERROR(TRUNC(AVERAGE(G27,H27,I27),1),""))</f>
        <v/>
      </c>
      <c r="K27" s="122" t="str">
        <f>IF(MAESTRO!D27="","",IFERROR('PROM (Comercio 8°)'!AE27,""))</f>
        <v/>
      </c>
      <c r="L27" s="122" t="str">
        <f>IF(MAESTRO!D27="","",IFERROR('PROM (Comercio 8°)'!BM27,""))</f>
        <v/>
      </c>
      <c r="M27" s="122" t="str">
        <f>IF(MAESTRO!D27="","",IFERROR('PROM (Comercio 8°)'!CU27,""))</f>
        <v/>
      </c>
      <c r="N27" s="123" t="str">
        <f>IF(MAESTRO!D27="","",IFERROR(TRUNC(AVERAGE(K27,L27,M27),1),""))</f>
        <v/>
      </c>
      <c r="O27" s="124" t="str">
        <f>IF(MAESTRO!D27="","",IFERROR(AVERAGE(G27,K27),""))</f>
        <v/>
      </c>
      <c r="P27" s="124" t="str">
        <f>IF(MAESTRO!D27="","",IFERROR(AVERAGE(H27,L27),""))</f>
        <v/>
      </c>
      <c r="Q27" s="124" t="str">
        <f>IF(MAESTRO!D27="","",IFERROR(AVERAGE(I27,M27),""))</f>
        <v/>
      </c>
      <c r="R27" s="124" t="str">
        <f>IF(MAESTRO!D27="","",IFERROR(TRUNC(AVERAGE(O27,P27,Q27),1),""))</f>
        <v/>
      </c>
      <c r="S27" s="123" t="str">
        <f>IF(MAESTRO!D27="","",IF(AND(F27="",J27="",N27="",R27=""),"",IF(Y(OR(F27="",F27&gt;=3),OR(J27="",J27&gt;=3),OR(N27="",N27&gt;=3),OR(R27="",R27&gt;=3)),"✓ APROBADO","✗ REPROBADO")))</f>
        <v/>
      </c>
    </row>
    <row r="28" spans="1:19" ht="16.05" customHeight="1">
      <c r="A28" s="116">
        <v>24</v>
      </c>
      <c r="B28" s="117">
        <f>MAESTRO!D28</f>
        <v>0</v>
      </c>
      <c r="C28" s="125" t="str">
        <f>IF(MAESTRO!D28="","",IFERROR('PROM (Ingles 8°)'!AE28,""))</f>
        <v/>
      </c>
      <c r="D28" s="125" t="str">
        <f>IF(MAESTRO!D28="","",IFERROR('PROM (Ingles 8°)'!BM28,""))</f>
        <v/>
      </c>
      <c r="E28" s="125" t="str">
        <f>IF(MAESTRO!D28="","",IFERROR('PROM (Ingles 8°)'!CU28,""))</f>
        <v/>
      </c>
      <c r="F28" s="126" t="str">
        <f>IF(MAESTRO!D28="","",IFERROR(TRUNC(AVERAGE(C28,D28,E28),1),""))</f>
        <v/>
      </c>
      <c r="G28" s="125" t="str">
        <f>IF(MAESTRO!D28="","",IFERROR('PROM (Agropecuaria 8°)'!AE28,""))</f>
        <v/>
      </c>
      <c r="H28" s="125" t="str">
        <f>IF(MAESTRO!D28="","",IFERROR('PROM (Agropecuaria 8°)'!BM28,""))</f>
        <v/>
      </c>
      <c r="I28" s="125" t="str">
        <f>IF(MAESTRO!D28="","",IFERROR('PROM (Agropecuaria 8°)'!CU28,""))</f>
        <v/>
      </c>
      <c r="J28" s="126" t="str">
        <f>IF(MAESTRO!D28="","",IFERROR(TRUNC(AVERAGE(G28,H28,I28),1),""))</f>
        <v/>
      </c>
      <c r="K28" s="125" t="str">
        <f>IF(MAESTRO!D28="","",IFERROR('PROM (Comercio 8°)'!AE28,""))</f>
        <v/>
      </c>
      <c r="L28" s="125" t="str">
        <f>IF(MAESTRO!D28="","",IFERROR('PROM (Comercio 8°)'!BM28,""))</f>
        <v/>
      </c>
      <c r="M28" s="125" t="str">
        <f>IF(MAESTRO!D28="","",IFERROR('PROM (Comercio 8°)'!CU28,""))</f>
        <v/>
      </c>
      <c r="N28" s="126" t="str">
        <f>IF(MAESTRO!D28="","",IFERROR(TRUNC(AVERAGE(K28,L28,M28),1),""))</f>
        <v/>
      </c>
      <c r="O28" s="124" t="str">
        <f>IF(MAESTRO!D28="","",IFERROR(AVERAGE(G28,K28),""))</f>
        <v/>
      </c>
      <c r="P28" s="124" t="str">
        <f>IF(MAESTRO!D28="","",IFERROR(AVERAGE(H28,L28),""))</f>
        <v/>
      </c>
      <c r="Q28" s="124" t="str">
        <f>IF(MAESTRO!D28="","",IFERROR(AVERAGE(I28,M28),""))</f>
        <v/>
      </c>
      <c r="R28" s="124" t="str">
        <f>IF(MAESTRO!D28="","",IFERROR(TRUNC(AVERAGE(O28,P28,Q28),1),""))</f>
        <v/>
      </c>
      <c r="S28" s="126" t="str">
        <f>IF(MAESTRO!D28="","",IF(AND(F28="",J28="",N28="",R28=""),"",IF(Y(OR(F28="",F28&gt;=3),OR(J28="",J28&gt;=3),OR(N28="",N28&gt;=3),OR(R28="",R28&gt;=3)),"✓ APROBADO","✗ REPROBADO")))</f>
        <v/>
      </c>
    </row>
    <row r="29" spans="1:19" ht="16.05" customHeight="1">
      <c r="A29" s="118">
        <v>25</v>
      </c>
      <c r="B29" s="119">
        <f>MAESTRO!D29</f>
        <v>0</v>
      </c>
      <c r="C29" s="122" t="str">
        <f>IF(MAESTRO!D29="","",IFERROR('PROM (Ingles 8°)'!AE29,""))</f>
        <v/>
      </c>
      <c r="D29" s="122" t="str">
        <f>IF(MAESTRO!D29="","",IFERROR('PROM (Ingles 8°)'!BM29,""))</f>
        <v/>
      </c>
      <c r="E29" s="122" t="str">
        <f>IF(MAESTRO!D29="","",IFERROR('PROM (Ingles 8°)'!CU29,""))</f>
        <v/>
      </c>
      <c r="F29" s="123" t="str">
        <f>IF(MAESTRO!D29="","",IFERROR(TRUNC(AVERAGE(C29,D29,E29),1),""))</f>
        <v/>
      </c>
      <c r="G29" s="122" t="str">
        <f>IF(MAESTRO!D29="","",IFERROR('PROM (Agropecuaria 8°)'!AE29,""))</f>
        <v/>
      </c>
      <c r="H29" s="122" t="str">
        <f>IF(MAESTRO!D29="","",IFERROR('PROM (Agropecuaria 8°)'!BM29,""))</f>
        <v/>
      </c>
      <c r="I29" s="122" t="str">
        <f>IF(MAESTRO!D29="","",IFERROR('PROM (Agropecuaria 8°)'!CU29,""))</f>
        <v/>
      </c>
      <c r="J29" s="123" t="str">
        <f>IF(MAESTRO!D29="","",IFERROR(TRUNC(AVERAGE(G29,H29,I29),1),""))</f>
        <v/>
      </c>
      <c r="K29" s="122" t="str">
        <f>IF(MAESTRO!D29="","",IFERROR('PROM (Comercio 8°)'!AE29,""))</f>
        <v/>
      </c>
      <c r="L29" s="122" t="str">
        <f>IF(MAESTRO!D29="","",IFERROR('PROM (Comercio 8°)'!BM29,""))</f>
        <v/>
      </c>
      <c r="M29" s="122" t="str">
        <f>IF(MAESTRO!D29="","",IFERROR('PROM (Comercio 8°)'!CU29,""))</f>
        <v/>
      </c>
      <c r="N29" s="123" t="str">
        <f>IF(MAESTRO!D29="","",IFERROR(TRUNC(AVERAGE(K29,L29,M29),1),""))</f>
        <v/>
      </c>
      <c r="O29" s="124" t="str">
        <f>IF(MAESTRO!D29="","",IFERROR(AVERAGE(G29,K29),""))</f>
        <v/>
      </c>
      <c r="P29" s="124" t="str">
        <f>IF(MAESTRO!D29="","",IFERROR(AVERAGE(H29,L29),""))</f>
        <v/>
      </c>
      <c r="Q29" s="124" t="str">
        <f>IF(MAESTRO!D29="","",IFERROR(AVERAGE(I29,M29),""))</f>
        <v/>
      </c>
      <c r="R29" s="124" t="str">
        <f>IF(MAESTRO!D29="","",IFERROR(TRUNC(AVERAGE(O29,P29,Q29),1),""))</f>
        <v/>
      </c>
      <c r="S29" s="123" t="str">
        <f>IF(MAESTRO!D29="","",IF(AND(F29="",J29="",N29="",R29=""),"",IF(Y(OR(F29="",F29&gt;=3),OR(J29="",J29&gt;=3),OR(N29="",N29&gt;=3),OR(R29="",R29&gt;=3)),"✓ APROBADO","✗ REPROBADO")))</f>
        <v/>
      </c>
    </row>
    <row r="30" spans="1:19" ht="16.05" customHeight="1">
      <c r="A30" s="116">
        <v>26</v>
      </c>
      <c r="B30" s="117">
        <f>MAESTRO!D30</f>
        <v>0</v>
      </c>
      <c r="C30" s="125" t="str">
        <f>IF(MAESTRO!D30="","",IFERROR('PROM (Ingles 8°)'!AE30,""))</f>
        <v/>
      </c>
      <c r="D30" s="125" t="str">
        <f>IF(MAESTRO!D30="","",IFERROR('PROM (Ingles 8°)'!BM30,""))</f>
        <v/>
      </c>
      <c r="E30" s="125" t="str">
        <f>IF(MAESTRO!D30="","",IFERROR('PROM (Ingles 8°)'!CU30,""))</f>
        <v/>
      </c>
      <c r="F30" s="126" t="str">
        <f>IF(MAESTRO!D30="","",IFERROR(TRUNC(AVERAGE(C30,D30,E30),1),""))</f>
        <v/>
      </c>
      <c r="G30" s="125" t="str">
        <f>IF(MAESTRO!D30="","",IFERROR('PROM (Agropecuaria 8°)'!AE30,""))</f>
        <v/>
      </c>
      <c r="H30" s="125" t="str">
        <f>IF(MAESTRO!D30="","",IFERROR('PROM (Agropecuaria 8°)'!BM30,""))</f>
        <v/>
      </c>
      <c r="I30" s="125" t="str">
        <f>IF(MAESTRO!D30="","",IFERROR('PROM (Agropecuaria 8°)'!CU30,""))</f>
        <v/>
      </c>
      <c r="J30" s="126" t="str">
        <f>IF(MAESTRO!D30="","",IFERROR(TRUNC(AVERAGE(G30,H30,I30),1),""))</f>
        <v/>
      </c>
      <c r="K30" s="125" t="str">
        <f>IF(MAESTRO!D30="","",IFERROR('PROM (Comercio 8°)'!AE30,""))</f>
        <v/>
      </c>
      <c r="L30" s="125" t="str">
        <f>IF(MAESTRO!D30="","",IFERROR('PROM (Comercio 8°)'!BM30,""))</f>
        <v/>
      </c>
      <c r="M30" s="125" t="str">
        <f>IF(MAESTRO!D30="","",IFERROR('PROM (Comercio 8°)'!CU30,""))</f>
        <v/>
      </c>
      <c r="N30" s="126" t="str">
        <f>IF(MAESTRO!D30="","",IFERROR(TRUNC(AVERAGE(K30,L30,M30),1),""))</f>
        <v/>
      </c>
      <c r="O30" s="124" t="str">
        <f>IF(MAESTRO!D30="","",IFERROR(AVERAGE(G30,K30),""))</f>
        <v/>
      </c>
      <c r="P30" s="124" t="str">
        <f>IF(MAESTRO!D30="","",IFERROR(AVERAGE(H30,L30),""))</f>
        <v/>
      </c>
      <c r="Q30" s="124" t="str">
        <f>IF(MAESTRO!D30="","",IFERROR(AVERAGE(I30,M30),""))</f>
        <v/>
      </c>
      <c r="R30" s="124" t="str">
        <f>IF(MAESTRO!D30="","",IFERROR(TRUNC(AVERAGE(O30,P30,Q30),1),""))</f>
        <v/>
      </c>
      <c r="S30" s="126" t="str">
        <f>IF(MAESTRO!D30="","",IF(AND(F30="",J30="",N30="",R30=""),"",IF(Y(OR(F30="",F30&gt;=3),OR(J30="",J30&gt;=3),OR(N30="",N30&gt;=3),OR(R30="",R30&gt;=3)),"✓ APROBADO","✗ REPROBADO")))</f>
        <v/>
      </c>
    </row>
    <row r="31" spans="1:19" ht="16.05" customHeight="1">
      <c r="A31" s="118">
        <v>27</v>
      </c>
      <c r="B31" s="119">
        <f>MAESTRO!D31</f>
        <v>0</v>
      </c>
      <c r="C31" s="122" t="str">
        <f>IF(MAESTRO!D31="","",IFERROR('PROM (Ingles 8°)'!AE31,""))</f>
        <v/>
      </c>
      <c r="D31" s="122" t="str">
        <f>IF(MAESTRO!D31="","",IFERROR('PROM (Ingles 8°)'!BM31,""))</f>
        <v/>
      </c>
      <c r="E31" s="122" t="str">
        <f>IF(MAESTRO!D31="","",IFERROR('PROM (Ingles 8°)'!CU31,""))</f>
        <v/>
      </c>
      <c r="F31" s="123" t="str">
        <f>IF(MAESTRO!D31="","",IFERROR(TRUNC(AVERAGE(C31,D31,E31),1),""))</f>
        <v/>
      </c>
      <c r="G31" s="122" t="str">
        <f>IF(MAESTRO!D31="","",IFERROR('PROM (Agropecuaria 8°)'!AE31,""))</f>
        <v/>
      </c>
      <c r="H31" s="122" t="str">
        <f>IF(MAESTRO!D31="","",IFERROR('PROM (Agropecuaria 8°)'!BM31,""))</f>
        <v/>
      </c>
      <c r="I31" s="122" t="str">
        <f>IF(MAESTRO!D31="","",IFERROR('PROM (Agropecuaria 8°)'!CU31,""))</f>
        <v/>
      </c>
      <c r="J31" s="123" t="str">
        <f>IF(MAESTRO!D31="","",IFERROR(TRUNC(AVERAGE(G31,H31,I31),1),""))</f>
        <v/>
      </c>
      <c r="K31" s="122" t="str">
        <f>IF(MAESTRO!D31="","",IFERROR('PROM (Comercio 8°)'!AE31,""))</f>
        <v/>
      </c>
      <c r="L31" s="122" t="str">
        <f>IF(MAESTRO!D31="","",IFERROR('PROM (Comercio 8°)'!BM31,""))</f>
        <v/>
      </c>
      <c r="M31" s="122" t="str">
        <f>IF(MAESTRO!D31="","",IFERROR('PROM (Comercio 8°)'!CU31,""))</f>
        <v/>
      </c>
      <c r="N31" s="123" t="str">
        <f>IF(MAESTRO!D31="","",IFERROR(TRUNC(AVERAGE(K31,L31,M31),1),""))</f>
        <v/>
      </c>
      <c r="O31" s="124" t="str">
        <f>IF(MAESTRO!D31="","",IFERROR(AVERAGE(G31,K31),""))</f>
        <v/>
      </c>
      <c r="P31" s="124" t="str">
        <f>IF(MAESTRO!D31="","",IFERROR(AVERAGE(H31,L31),""))</f>
        <v/>
      </c>
      <c r="Q31" s="124" t="str">
        <f>IF(MAESTRO!D31="","",IFERROR(AVERAGE(I31,M31),""))</f>
        <v/>
      </c>
      <c r="R31" s="124" t="str">
        <f>IF(MAESTRO!D31="","",IFERROR(TRUNC(AVERAGE(O31,P31,Q31),1),""))</f>
        <v/>
      </c>
      <c r="S31" s="123" t="str">
        <f>IF(MAESTRO!D31="","",IF(AND(F31="",J31="",N31="",R31=""),"",IF(Y(OR(F31="",F31&gt;=3),OR(J31="",J31&gt;=3),OR(N31="",N31&gt;=3),OR(R31="",R31&gt;=3)),"✓ APROBADO","✗ REPROBADO")))</f>
        <v/>
      </c>
    </row>
    <row r="32" spans="1:19" ht="16.05" customHeight="1">
      <c r="A32" s="116">
        <v>28</v>
      </c>
      <c r="B32" s="117">
        <f>MAESTRO!D32</f>
        <v>0</v>
      </c>
      <c r="C32" s="125" t="str">
        <f>IF(MAESTRO!D32="","",IFERROR('PROM (Ingles 8°)'!AE32,""))</f>
        <v/>
      </c>
      <c r="D32" s="125" t="str">
        <f>IF(MAESTRO!D32="","",IFERROR('PROM (Ingles 8°)'!BM32,""))</f>
        <v/>
      </c>
      <c r="E32" s="125" t="str">
        <f>IF(MAESTRO!D32="","",IFERROR('PROM (Ingles 8°)'!CU32,""))</f>
        <v/>
      </c>
      <c r="F32" s="126" t="str">
        <f>IF(MAESTRO!D32="","",IFERROR(TRUNC(AVERAGE(C32,D32,E32),1),""))</f>
        <v/>
      </c>
      <c r="G32" s="125" t="str">
        <f>IF(MAESTRO!D32="","",IFERROR('PROM (Agropecuaria 8°)'!AE32,""))</f>
        <v/>
      </c>
      <c r="H32" s="125" t="str">
        <f>IF(MAESTRO!D32="","",IFERROR('PROM (Agropecuaria 8°)'!BM32,""))</f>
        <v/>
      </c>
      <c r="I32" s="125" t="str">
        <f>IF(MAESTRO!D32="","",IFERROR('PROM (Agropecuaria 8°)'!CU32,""))</f>
        <v/>
      </c>
      <c r="J32" s="126" t="str">
        <f>IF(MAESTRO!D32="","",IFERROR(TRUNC(AVERAGE(G32,H32,I32),1),""))</f>
        <v/>
      </c>
      <c r="K32" s="125" t="str">
        <f>IF(MAESTRO!D32="","",IFERROR('PROM (Comercio 8°)'!AE32,""))</f>
        <v/>
      </c>
      <c r="L32" s="125" t="str">
        <f>IF(MAESTRO!D32="","",IFERROR('PROM (Comercio 8°)'!BM32,""))</f>
        <v/>
      </c>
      <c r="M32" s="125" t="str">
        <f>IF(MAESTRO!D32="","",IFERROR('PROM (Comercio 8°)'!CU32,""))</f>
        <v/>
      </c>
      <c r="N32" s="126" t="str">
        <f>IF(MAESTRO!D32="","",IFERROR(TRUNC(AVERAGE(K32,L32,M32),1),""))</f>
        <v/>
      </c>
      <c r="O32" s="124" t="str">
        <f>IF(MAESTRO!D32="","",IFERROR(AVERAGE(G32,K32),""))</f>
        <v/>
      </c>
      <c r="P32" s="124" t="str">
        <f>IF(MAESTRO!D32="","",IFERROR(AVERAGE(H32,L32),""))</f>
        <v/>
      </c>
      <c r="Q32" s="124" t="str">
        <f>IF(MAESTRO!D32="","",IFERROR(AVERAGE(I32,M32),""))</f>
        <v/>
      </c>
      <c r="R32" s="124" t="str">
        <f>IF(MAESTRO!D32="","",IFERROR(TRUNC(AVERAGE(O32,P32,Q32),1),""))</f>
        <v/>
      </c>
      <c r="S32" s="126" t="str">
        <f>IF(MAESTRO!D32="","",IF(AND(F32="",J32="",N32="",R32=""),"",IF(Y(OR(F32="",F32&gt;=3),OR(J32="",J32&gt;=3),OR(N32="",N32&gt;=3),OR(R32="",R32&gt;=3)),"✓ APROBADO","✗ REPROBADO")))</f>
        <v/>
      </c>
    </row>
    <row r="33" spans="1:19" ht="16.05" customHeight="1">
      <c r="A33" s="118">
        <v>29</v>
      </c>
      <c r="B33" s="119">
        <f>MAESTRO!D33</f>
        <v>0</v>
      </c>
      <c r="C33" s="122" t="str">
        <f>IF(MAESTRO!D33="","",IFERROR('PROM (Ingles 8°)'!AE33,""))</f>
        <v/>
      </c>
      <c r="D33" s="122" t="str">
        <f>IF(MAESTRO!D33="","",IFERROR('PROM (Ingles 8°)'!BM33,""))</f>
        <v/>
      </c>
      <c r="E33" s="122" t="str">
        <f>IF(MAESTRO!D33="","",IFERROR('PROM (Ingles 8°)'!CU33,""))</f>
        <v/>
      </c>
      <c r="F33" s="123" t="str">
        <f>IF(MAESTRO!D33="","",IFERROR(TRUNC(AVERAGE(C33,D33,E33),1),""))</f>
        <v/>
      </c>
      <c r="G33" s="122" t="str">
        <f>IF(MAESTRO!D33="","",IFERROR('PROM (Agropecuaria 8°)'!AE33,""))</f>
        <v/>
      </c>
      <c r="H33" s="122" t="str">
        <f>IF(MAESTRO!D33="","",IFERROR('PROM (Agropecuaria 8°)'!BM33,""))</f>
        <v/>
      </c>
      <c r="I33" s="122" t="str">
        <f>IF(MAESTRO!D33="","",IFERROR('PROM (Agropecuaria 8°)'!CU33,""))</f>
        <v/>
      </c>
      <c r="J33" s="123" t="str">
        <f>IF(MAESTRO!D33="","",IFERROR(TRUNC(AVERAGE(G33,H33,I33),1),""))</f>
        <v/>
      </c>
      <c r="K33" s="122" t="str">
        <f>IF(MAESTRO!D33="","",IFERROR('PROM (Comercio 8°)'!AE33,""))</f>
        <v/>
      </c>
      <c r="L33" s="122" t="str">
        <f>IF(MAESTRO!D33="","",IFERROR('PROM (Comercio 8°)'!BM33,""))</f>
        <v/>
      </c>
      <c r="M33" s="122" t="str">
        <f>IF(MAESTRO!D33="","",IFERROR('PROM (Comercio 8°)'!CU33,""))</f>
        <v/>
      </c>
      <c r="N33" s="123" t="str">
        <f>IF(MAESTRO!D33="","",IFERROR(TRUNC(AVERAGE(K33,L33,M33),1),""))</f>
        <v/>
      </c>
      <c r="O33" s="124" t="str">
        <f>IF(MAESTRO!D33="","",IFERROR(AVERAGE(G33,K33),""))</f>
        <v/>
      </c>
      <c r="P33" s="124" t="str">
        <f>IF(MAESTRO!D33="","",IFERROR(AVERAGE(H33,L33),""))</f>
        <v/>
      </c>
      <c r="Q33" s="124" t="str">
        <f>IF(MAESTRO!D33="","",IFERROR(AVERAGE(I33,M33),""))</f>
        <v/>
      </c>
      <c r="R33" s="124" t="str">
        <f>IF(MAESTRO!D33="","",IFERROR(TRUNC(AVERAGE(O33,P33,Q33),1),""))</f>
        <v/>
      </c>
      <c r="S33" s="123" t="str">
        <f>IF(MAESTRO!D33="","",IF(AND(F33="",J33="",N33="",R33=""),"",IF(Y(OR(F33="",F33&gt;=3),OR(J33="",J33&gt;=3),OR(N33="",N33&gt;=3),OR(R33="",R33&gt;=3)),"✓ APROBADO","✗ REPROBADO")))</f>
        <v/>
      </c>
    </row>
    <row r="34" spans="1:19" ht="16.05" customHeight="1">
      <c r="A34" s="116">
        <v>30</v>
      </c>
      <c r="B34" s="117">
        <f>MAESTRO!D34</f>
        <v>0</v>
      </c>
      <c r="C34" s="125" t="str">
        <f>IF(MAESTRO!D34="","",IFERROR('PROM (Ingles 8°)'!AE34,""))</f>
        <v/>
      </c>
      <c r="D34" s="125" t="str">
        <f>IF(MAESTRO!D34="","",IFERROR('PROM (Ingles 8°)'!BM34,""))</f>
        <v/>
      </c>
      <c r="E34" s="125" t="str">
        <f>IF(MAESTRO!D34="","",IFERROR('PROM (Ingles 8°)'!CU34,""))</f>
        <v/>
      </c>
      <c r="F34" s="126" t="str">
        <f>IF(MAESTRO!D34="","",IFERROR(TRUNC(AVERAGE(C34,D34,E34),1),""))</f>
        <v/>
      </c>
      <c r="G34" s="125" t="str">
        <f>IF(MAESTRO!D34="","",IFERROR('PROM (Agropecuaria 8°)'!AE34,""))</f>
        <v/>
      </c>
      <c r="H34" s="125" t="str">
        <f>IF(MAESTRO!D34="","",IFERROR('PROM (Agropecuaria 8°)'!BM34,""))</f>
        <v/>
      </c>
      <c r="I34" s="125" t="str">
        <f>IF(MAESTRO!D34="","",IFERROR('PROM (Agropecuaria 8°)'!CU34,""))</f>
        <v/>
      </c>
      <c r="J34" s="126" t="str">
        <f>IF(MAESTRO!D34="","",IFERROR(TRUNC(AVERAGE(G34,H34,I34),1),""))</f>
        <v/>
      </c>
      <c r="K34" s="125" t="str">
        <f>IF(MAESTRO!D34="","",IFERROR('PROM (Comercio 8°)'!AE34,""))</f>
        <v/>
      </c>
      <c r="L34" s="125" t="str">
        <f>IF(MAESTRO!D34="","",IFERROR('PROM (Comercio 8°)'!BM34,""))</f>
        <v/>
      </c>
      <c r="M34" s="125" t="str">
        <f>IF(MAESTRO!D34="","",IFERROR('PROM (Comercio 8°)'!CU34,""))</f>
        <v/>
      </c>
      <c r="N34" s="126" t="str">
        <f>IF(MAESTRO!D34="","",IFERROR(TRUNC(AVERAGE(K34,L34,M34),1),""))</f>
        <v/>
      </c>
      <c r="O34" s="124" t="str">
        <f>IF(MAESTRO!D34="","",IFERROR(AVERAGE(G34,K34),""))</f>
        <v/>
      </c>
      <c r="P34" s="124" t="str">
        <f>IF(MAESTRO!D34="","",IFERROR(AVERAGE(H34,L34),""))</f>
        <v/>
      </c>
      <c r="Q34" s="124" t="str">
        <f>IF(MAESTRO!D34="","",IFERROR(AVERAGE(I34,M34),""))</f>
        <v/>
      </c>
      <c r="R34" s="124" t="str">
        <f>IF(MAESTRO!D34="","",IFERROR(TRUNC(AVERAGE(O34,P34,Q34),1),""))</f>
        <v/>
      </c>
      <c r="S34" s="126" t="str">
        <f>IF(MAESTRO!D34="","",IF(AND(F34="",J34="",N34="",R34=""),"",IF(Y(OR(F34="",F34&gt;=3),OR(J34="",J34&gt;=3),OR(N34="",N34&gt;=3),OR(R34="",R34&gt;=3)),"✓ APROBADO","✗ REPROBADO")))</f>
        <v/>
      </c>
    </row>
    <row r="35" spans="1:19" ht="16.05" customHeight="1">
      <c r="A35" s="118">
        <v>31</v>
      </c>
      <c r="B35" s="119">
        <f>MAESTRO!D35</f>
        <v>0</v>
      </c>
      <c r="C35" s="122" t="str">
        <f>IF(MAESTRO!D35="","",IFERROR('PROM (Ingles 8°)'!AE35,""))</f>
        <v/>
      </c>
      <c r="D35" s="122" t="str">
        <f>IF(MAESTRO!D35="","",IFERROR('PROM (Ingles 8°)'!BM35,""))</f>
        <v/>
      </c>
      <c r="E35" s="122" t="str">
        <f>IF(MAESTRO!D35="","",IFERROR('PROM (Ingles 8°)'!CU35,""))</f>
        <v/>
      </c>
      <c r="F35" s="123" t="str">
        <f>IF(MAESTRO!D35="","",IFERROR(TRUNC(AVERAGE(C35,D35,E35),1),""))</f>
        <v/>
      </c>
      <c r="G35" s="122" t="str">
        <f>IF(MAESTRO!D35="","",IFERROR('PROM (Agropecuaria 8°)'!AE35,""))</f>
        <v/>
      </c>
      <c r="H35" s="122" t="str">
        <f>IF(MAESTRO!D35="","",IFERROR('PROM (Agropecuaria 8°)'!BM35,""))</f>
        <v/>
      </c>
      <c r="I35" s="122" t="str">
        <f>IF(MAESTRO!D35="","",IFERROR('PROM (Agropecuaria 8°)'!CU35,""))</f>
        <v/>
      </c>
      <c r="J35" s="123" t="str">
        <f>IF(MAESTRO!D35="","",IFERROR(TRUNC(AVERAGE(G35,H35,I35),1),""))</f>
        <v/>
      </c>
      <c r="K35" s="122" t="str">
        <f>IF(MAESTRO!D35="","",IFERROR('PROM (Comercio 8°)'!AE35,""))</f>
        <v/>
      </c>
      <c r="L35" s="122" t="str">
        <f>IF(MAESTRO!D35="","",IFERROR('PROM (Comercio 8°)'!BM35,""))</f>
        <v/>
      </c>
      <c r="M35" s="122" t="str">
        <f>IF(MAESTRO!D35="","",IFERROR('PROM (Comercio 8°)'!CU35,""))</f>
        <v/>
      </c>
      <c r="N35" s="123" t="str">
        <f>IF(MAESTRO!D35="","",IFERROR(TRUNC(AVERAGE(K35,L35,M35),1),""))</f>
        <v/>
      </c>
      <c r="O35" s="124" t="str">
        <f>IF(MAESTRO!D35="","",IFERROR(AVERAGE(G35,K35),""))</f>
        <v/>
      </c>
      <c r="P35" s="124" t="str">
        <f>IF(MAESTRO!D35="","",IFERROR(AVERAGE(H35,L35),""))</f>
        <v/>
      </c>
      <c r="Q35" s="124" t="str">
        <f>IF(MAESTRO!D35="","",IFERROR(AVERAGE(I35,M35),""))</f>
        <v/>
      </c>
      <c r="R35" s="124" t="str">
        <f>IF(MAESTRO!D35="","",IFERROR(TRUNC(AVERAGE(O35,P35,Q35),1),""))</f>
        <v/>
      </c>
      <c r="S35" s="123" t="str">
        <f>IF(MAESTRO!D35="","",IF(AND(F35="",J35="",N35="",R35=""),"",IF(Y(OR(F35="",F35&gt;=3),OR(J35="",J35&gt;=3),OR(N35="",N35&gt;=3),OR(R35="",R35&gt;=3)),"✓ APROBADO","✗ REPROBADO")))</f>
        <v/>
      </c>
    </row>
    <row r="36" spans="1:19" ht="16.05" customHeight="1">
      <c r="A36" s="116">
        <v>32</v>
      </c>
      <c r="B36" s="117">
        <f>MAESTRO!D36</f>
        <v>0</v>
      </c>
      <c r="C36" s="125" t="str">
        <f>IF(MAESTRO!D36="","",IFERROR('PROM (Ingles 8°)'!AE36,""))</f>
        <v/>
      </c>
      <c r="D36" s="125" t="str">
        <f>IF(MAESTRO!D36="","",IFERROR('PROM (Ingles 8°)'!BM36,""))</f>
        <v/>
      </c>
      <c r="E36" s="125" t="str">
        <f>IF(MAESTRO!D36="","",IFERROR('PROM (Ingles 8°)'!CU36,""))</f>
        <v/>
      </c>
      <c r="F36" s="126" t="str">
        <f>IF(MAESTRO!D36="","",IFERROR(TRUNC(AVERAGE(C36,D36,E36),1),""))</f>
        <v/>
      </c>
      <c r="G36" s="125" t="str">
        <f>IF(MAESTRO!D36="","",IFERROR('PROM (Agropecuaria 8°)'!AE36,""))</f>
        <v/>
      </c>
      <c r="H36" s="125" t="str">
        <f>IF(MAESTRO!D36="","",IFERROR('PROM (Agropecuaria 8°)'!BM36,""))</f>
        <v/>
      </c>
      <c r="I36" s="125" t="str">
        <f>IF(MAESTRO!D36="","",IFERROR('PROM (Agropecuaria 8°)'!CU36,""))</f>
        <v/>
      </c>
      <c r="J36" s="126" t="str">
        <f>IF(MAESTRO!D36="","",IFERROR(TRUNC(AVERAGE(G36,H36,I36),1),""))</f>
        <v/>
      </c>
      <c r="K36" s="125" t="str">
        <f>IF(MAESTRO!D36="","",IFERROR('PROM (Comercio 8°)'!AE36,""))</f>
        <v/>
      </c>
      <c r="L36" s="125" t="str">
        <f>IF(MAESTRO!D36="","",IFERROR('PROM (Comercio 8°)'!BM36,""))</f>
        <v/>
      </c>
      <c r="M36" s="125" t="str">
        <f>IF(MAESTRO!D36="","",IFERROR('PROM (Comercio 8°)'!CU36,""))</f>
        <v/>
      </c>
      <c r="N36" s="126" t="str">
        <f>IF(MAESTRO!D36="","",IFERROR(TRUNC(AVERAGE(K36,L36,M36),1),""))</f>
        <v/>
      </c>
      <c r="O36" s="124" t="str">
        <f>IF(MAESTRO!D36="","",IFERROR(AVERAGE(G36,K36),""))</f>
        <v/>
      </c>
      <c r="P36" s="124" t="str">
        <f>IF(MAESTRO!D36="","",IFERROR(AVERAGE(H36,L36),""))</f>
        <v/>
      </c>
      <c r="Q36" s="124" t="str">
        <f>IF(MAESTRO!D36="","",IFERROR(AVERAGE(I36,M36),""))</f>
        <v/>
      </c>
      <c r="R36" s="124" t="str">
        <f>IF(MAESTRO!D36="","",IFERROR(TRUNC(AVERAGE(O36,P36,Q36),1),""))</f>
        <v/>
      </c>
      <c r="S36" s="126" t="str">
        <f>IF(MAESTRO!D36="","",IF(AND(F36="",J36="",N36="",R36=""),"",IF(Y(OR(F36="",F36&gt;=3),OR(J36="",J36&gt;=3),OR(N36="",N36&gt;=3),OR(R36="",R36&gt;=3)),"✓ APROBADO","✗ REPROBADO")))</f>
        <v/>
      </c>
    </row>
    <row r="37" spans="1:19" ht="16.05" customHeight="1">
      <c r="A37" s="118">
        <v>33</v>
      </c>
      <c r="B37" s="119">
        <f>MAESTRO!D37</f>
        <v>0</v>
      </c>
      <c r="C37" s="122" t="str">
        <f>IF(MAESTRO!D37="","",IFERROR('PROM (Ingles 8°)'!AE37,""))</f>
        <v/>
      </c>
      <c r="D37" s="122" t="str">
        <f>IF(MAESTRO!D37="","",IFERROR('PROM (Ingles 8°)'!BM37,""))</f>
        <v/>
      </c>
      <c r="E37" s="122" t="str">
        <f>IF(MAESTRO!D37="","",IFERROR('PROM (Ingles 8°)'!CU37,""))</f>
        <v/>
      </c>
      <c r="F37" s="123" t="str">
        <f>IF(MAESTRO!D37="","",IFERROR(TRUNC(AVERAGE(C37,D37,E37),1),""))</f>
        <v/>
      </c>
      <c r="G37" s="122" t="str">
        <f>IF(MAESTRO!D37="","",IFERROR('PROM (Agropecuaria 8°)'!AE37,""))</f>
        <v/>
      </c>
      <c r="H37" s="122" t="str">
        <f>IF(MAESTRO!D37="","",IFERROR('PROM (Agropecuaria 8°)'!BM37,""))</f>
        <v/>
      </c>
      <c r="I37" s="122" t="str">
        <f>IF(MAESTRO!D37="","",IFERROR('PROM (Agropecuaria 8°)'!CU37,""))</f>
        <v/>
      </c>
      <c r="J37" s="123" t="str">
        <f>IF(MAESTRO!D37="","",IFERROR(TRUNC(AVERAGE(G37,H37,I37),1),""))</f>
        <v/>
      </c>
      <c r="K37" s="122" t="str">
        <f>IF(MAESTRO!D37="","",IFERROR('PROM (Comercio 8°)'!AE37,""))</f>
        <v/>
      </c>
      <c r="L37" s="122" t="str">
        <f>IF(MAESTRO!D37="","",IFERROR('PROM (Comercio 8°)'!BM37,""))</f>
        <v/>
      </c>
      <c r="M37" s="122" t="str">
        <f>IF(MAESTRO!D37="","",IFERROR('PROM (Comercio 8°)'!CU37,""))</f>
        <v/>
      </c>
      <c r="N37" s="123" t="str">
        <f>IF(MAESTRO!D37="","",IFERROR(TRUNC(AVERAGE(K37,L37,M37),1),""))</f>
        <v/>
      </c>
      <c r="O37" s="124" t="str">
        <f>IF(MAESTRO!D37="","",IFERROR(AVERAGE(G37,K37),""))</f>
        <v/>
      </c>
      <c r="P37" s="124" t="str">
        <f>IF(MAESTRO!D37="","",IFERROR(AVERAGE(H37,L37),""))</f>
        <v/>
      </c>
      <c r="Q37" s="124" t="str">
        <f>IF(MAESTRO!D37="","",IFERROR(AVERAGE(I37,M37),""))</f>
        <v/>
      </c>
      <c r="R37" s="124" t="str">
        <f>IF(MAESTRO!D37="","",IFERROR(TRUNC(AVERAGE(O37,P37,Q37),1),""))</f>
        <v/>
      </c>
      <c r="S37" s="123" t="str">
        <f>IF(MAESTRO!D37="","",IF(AND(F37="",J37="",N37="",R37=""),"",IF(Y(OR(F37="",F37&gt;=3),OR(J37="",J37&gt;=3),OR(N37="",N37&gt;=3),OR(R37="",R37&gt;=3)),"✓ APROBADO","✗ REPROBADO")))</f>
        <v/>
      </c>
    </row>
    <row r="38" spans="1:19" ht="16.05" customHeight="1">
      <c r="A38" s="116">
        <v>34</v>
      </c>
      <c r="B38" s="117">
        <f>MAESTRO!D38</f>
        <v>0</v>
      </c>
      <c r="C38" s="125" t="str">
        <f>IF(MAESTRO!D38="","",IFERROR('PROM (Ingles 8°)'!AE38,""))</f>
        <v/>
      </c>
      <c r="D38" s="125" t="str">
        <f>IF(MAESTRO!D38="","",IFERROR('PROM (Ingles 8°)'!BM38,""))</f>
        <v/>
      </c>
      <c r="E38" s="125" t="str">
        <f>IF(MAESTRO!D38="","",IFERROR('PROM (Ingles 8°)'!CU38,""))</f>
        <v/>
      </c>
      <c r="F38" s="126" t="str">
        <f>IF(MAESTRO!D38="","",IFERROR(TRUNC(AVERAGE(C38,D38,E38),1),""))</f>
        <v/>
      </c>
      <c r="G38" s="125" t="str">
        <f>IF(MAESTRO!D38="","",IFERROR('PROM (Agropecuaria 8°)'!AE38,""))</f>
        <v/>
      </c>
      <c r="H38" s="125" t="str">
        <f>IF(MAESTRO!D38="","",IFERROR('PROM (Agropecuaria 8°)'!BM38,""))</f>
        <v/>
      </c>
      <c r="I38" s="125" t="str">
        <f>IF(MAESTRO!D38="","",IFERROR('PROM (Agropecuaria 8°)'!CU38,""))</f>
        <v/>
      </c>
      <c r="J38" s="126" t="str">
        <f>IF(MAESTRO!D38="","",IFERROR(TRUNC(AVERAGE(G38,H38,I38),1),""))</f>
        <v/>
      </c>
      <c r="K38" s="125" t="str">
        <f>IF(MAESTRO!D38="","",IFERROR('PROM (Comercio 8°)'!AE38,""))</f>
        <v/>
      </c>
      <c r="L38" s="125" t="str">
        <f>IF(MAESTRO!D38="","",IFERROR('PROM (Comercio 8°)'!BM38,""))</f>
        <v/>
      </c>
      <c r="M38" s="125" t="str">
        <f>IF(MAESTRO!D38="","",IFERROR('PROM (Comercio 8°)'!CU38,""))</f>
        <v/>
      </c>
      <c r="N38" s="126" t="str">
        <f>IF(MAESTRO!D38="","",IFERROR(TRUNC(AVERAGE(K38,L38,M38),1),""))</f>
        <v/>
      </c>
      <c r="O38" s="124" t="str">
        <f>IF(MAESTRO!D38="","",IFERROR(AVERAGE(G38,K38),""))</f>
        <v/>
      </c>
      <c r="P38" s="124" t="str">
        <f>IF(MAESTRO!D38="","",IFERROR(AVERAGE(H38,L38),""))</f>
        <v/>
      </c>
      <c r="Q38" s="124" t="str">
        <f>IF(MAESTRO!D38="","",IFERROR(AVERAGE(I38,M38),""))</f>
        <v/>
      </c>
      <c r="R38" s="124" t="str">
        <f>IF(MAESTRO!D38="","",IFERROR(TRUNC(AVERAGE(O38,P38,Q38),1),""))</f>
        <v/>
      </c>
      <c r="S38" s="126" t="str">
        <f>IF(MAESTRO!D38="","",IF(AND(F38="",J38="",N38="",R38=""),"",IF(Y(OR(F38="",F38&gt;=3),OR(J38="",J38&gt;=3),OR(N38="",N38&gt;=3),OR(R38="",R38&gt;=3)),"✓ APROBADO","✗ REPROBADO")))</f>
        <v/>
      </c>
    </row>
    <row r="39" spans="1:19" ht="16.05" customHeight="1">
      <c r="A39" s="118">
        <v>35</v>
      </c>
      <c r="B39" s="119">
        <f>MAESTRO!D39</f>
        <v>0</v>
      </c>
      <c r="C39" s="122" t="str">
        <f>IF(MAESTRO!D39="","",IFERROR('PROM (Ingles 8°)'!AE39,""))</f>
        <v/>
      </c>
      <c r="D39" s="122" t="str">
        <f>IF(MAESTRO!D39="","",IFERROR('PROM (Ingles 8°)'!BM39,""))</f>
        <v/>
      </c>
      <c r="E39" s="122" t="str">
        <f>IF(MAESTRO!D39="","",IFERROR('PROM (Ingles 8°)'!CU39,""))</f>
        <v/>
      </c>
      <c r="F39" s="123" t="str">
        <f>IF(MAESTRO!D39="","",IFERROR(TRUNC(AVERAGE(C39,D39,E39),1),""))</f>
        <v/>
      </c>
      <c r="G39" s="122" t="str">
        <f>IF(MAESTRO!D39="","",IFERROR('PROM (Agropecuaria 8°)'!AE39,""))</f>
        <v/>
      </c>
      <c r="H39" s="122" t="str">
        <f>IF(MAESTRO!D39="","",IFERROR('PROM (Agropecuaria 8°)'!BM39,""))</f>
        <v/>
      </c>
      <c r="I39" s="122" t="str">
        <f>IF(MAESTRO!D39="","",IFERROR('PROM (Agropecuaria 8°)'!CU39,""))</f>
        <v/>
      </c>
      <c r="J39" s="123" t="str">
        <f>IF(MAESTRO!D39="","",IFERROR(TRUNC(AVERAGE(G39,H39,I39),1),""))</f>
        <v/>
      </c>
      <c r="K39" s="122" t="str">
        <f>IF(MAESTRO!D39="","",IFERROR('PROM (Comercio 8°)'!AE39,""))</f>
        <v/>
      </c>
      <c r="L39" s="122" t="str">
        <f>IF(MAESTRO!D39="","",IFERROR('PROM (Comercio 8°)'!BM39,""))</f>
        <v/>
      </c>
      <c r="M39" s="122" t="str">
        <f>IF(MAESTRO!D39="","",IFERROR('PROM (Comercio 8°)'!CU39,""))</f>
        <v/>
      </c>
      <c r="N39" s="123" t="str">
        <f>IF(MAESTRO!D39="","",IFERROR(TRUNC(AVERAGE(K39,L39,M39),1),""))</f>
        <v/>
      </c>
      <c r="O39" s="124" t="str">
        <f>IF(MAESTRO!D39="","",IFERROR(AVERAGE(G39,K39),""))</f>
        <v/>
      </c>
      <c r="P39" s="124" t="str">
        <f>IF(MAESTRO!D39="","",IFERROR(AVERAGE(H39,L39),""))</f>
        <v/>
      </c>
      <c r="Q39" s="124" t="str">
        <f>IF(MAESTRO!D39="","",IFERROR(AVERAGE(I39,M39),""))</f>
        <v/>
      </c>
      <c r="R39" s="124" t="str">
        <f>IF(MAESTRO!D39="","",IFERROR(TRUNC(AVERAGE(O39,P39,Q39),1),""))</f>
        <v/>
      </c>
      <c r="S39" s="123" t="str">
        <f>IF(MAESTRO!D39="","",IF(AND(F39="",J39="",N39="",R39=""),"",IF(Y(OR(F39="",F39&gt;=3),OR(J39="",J39&gt;=3),OR(N39="",N39&gt;=3),OR(R39="",R39&gt;=3)),"✓ APROBADO","✗ REPROBADO")))</f>
        <v/>
      </c>
    </row>
    <row r="40" spans="1:19" ht="16.05" customHeight="1">
      <c r="A40" s="116">
        <v>36</v>
      </c>
      <c r="B40" s="117">
        <f>MAESTRO!D40</f>
        <v>0</v>
      </c>
      <c r="C40" s="125" t="str">
        <f>IF(MAESTRO!D40="","",IFERROR('PROM (Ingles 8°)'!AE40,""))</f>
        <v/>
      </c>
      <c r="D40" s="125" t="str">
        <f>IF(MAESTRO!D40="","",IFERROR('PROM (Ingles 8°)'!BM40,""))</f>
        <v/>
      </c>
      <c r="E40" s="125" t="str">
        <f>IF(MAESTRO!D40="","",IFERROR('PROM (Ingles 8°)'!CU40,""))</f>
        <v/>
      </c>
      <c r="F40" s="126" t="str">
        <f>IF(MAESTRO!D40="","",IFERROR(TRUNC(AVERAGE(C40,D40,E40),1),""))</f>
        <v/>
      </c>
      <c r="G40" s="125" t="str">
        <f>IF(MAESTRO!D40="","",IFERROR('PROM (Agropecuaria 8°)'!AE40,""))</f>
        <v/>
      </c>
      <c r="H40" s="125" t="str">
        <f>IF(MAESTRO!D40="","",IFERROR('PROM (Agropecuaria 8°)'!BM40,""))</f>
        <v/>
      </c>
      <c r="I40" s="125" t="str">
        <f>IF(MAESTRO!D40="","",IFERROR('PROM (Agropecuaria 8°)'!CU40,""))</f>
        <v/>
      </c>
      <c r="J40" s="126" t="str">
        <f>IF(MAESTRO!D40="","",IFERROR(TRUNC(AVERAGE(G40,H40,I40),1),""))</f>
        <v/>
      </c>
      <c r="K40" s="125" t="str">
        <f>IF(MAESTRO!D40="","",IFERROR('PROM (Comercio 8°)'!AE40,""))</f>
        <v/>
      </c>
      <c r="L40" s="125" t="str">
        <f>IF(MAESTRO!D40="","",IFERROR('PROM (Comercio 8°)'!BM40,""))</f>
        <v/>
      </c>
      <c r="M40" s="125" t="str">
        <f>IF(MAESTRO!D40="","",IFERROR('PROM (Comercio 8°)'!CU40,""))</f>
        <v/>
      </c>
      <c r="N40" s="126" t="str">
        <f>IF(MAESTRO!D40="","",IFERROR(TRUNC(AVERAGE(K40,L40,M40),1),""))</f>
        <v/>
      </c>
      <c r="O40" s="124" t="str">
        <f>IF(MAESTRO!D40="","",IFERROR(AVERAGE(G40,K40),""))</f>
        <v/>
      </c>
      <c r="P40" s="124" t="str">
        <f>IF(MAESTRO!D40="","",IFERROR(AVERAGE(H40,L40),""))</f>
        <v/>
      </c>
      <c r="Q40" s="124" t="str">
        <f>IF(MAESTRO!D40="","",IFERROR(AVERAGE(I40,M40),""))</f>
        <v/>
      </c>
      <c r="R40" s="124" t="str">
        <f>IF(MAESTRO!D40="","",IFERROR(TRUNC(AVERAGE(O40,P40,Q40),1),""))</f>
        <v/>
      </c>
      <c r="S40" s="126" t="str">
        <f>IF(MAESTRO!D40="","",IF(AND(F40="",J40="",N40="",R40=""),"",IF(Y(OR(F40="",F40&gt;=3),OR(J40="",J40&gt;=3),OR(N40="",N40&gt;=3),OR(R40="",R40&gt;=3)),"✓ APROBADO","✗ REPROBADO")))</f>
        <v/>
      </c>
    </row>
    <row r="41" spans="1:19" ht="16.05" customHeight="1">
      <c r="A41" s="118">
        <v>37</v>
      </c>
      <c r="B41" s="119">
        <f>MAESTRO!D41</f>
        <v>0</v>
      </c>
      <c r="C41" s="122" t="str">
        <f>IF(MAESTRO!D41="","",IFERROR('PROM (Ingles 8°)'!AE41,""))</f>
        <v/>
      </c>
      <c r="D41" s="122" t="str">
        <f>IF(MAESTRO!D41="","",IFERROR('PROM (Ingles 8°)'!BM41,""))</f>
        <v/>
      </c>
      <c r="E41" s="122" t="str">
        <f>IF(MAESTRO!D41="","",IFERROR('PROM (Ingles 8°)'!CU41,""))</f>
        <v/>
      </c>
      <c r="F41" s="123" t="str">
        <f>IF(MAESTRO!D41="","",IFERROR(TRUNC(AVERAGE(C41,D41,E41),1),""))</f>
        <v/>
      </c>
      <c r="G41" s="122" t="str">
        <f>IF(MAESTRO!D41="","",IFERROR('PROM (Agropecuaria 8°)'!AE41,""))</f>
        <v/>
      </c>
      <c r="H41" s="122" t="str">
        <f>IF(MAESTRO!D41="","",IFERROR('PROM (Agropecuaria 8°)'!BM41,""))</f>
        <v/>
      </c>
      <c r="I41" s="122" t="str">
        <f>IF(MAESTRO!D41="","",IFERROR('PROM (Agropecuaria 8°)'!CU41,""))</f>
        <v/>
      </c>
      <c r="J41" s="123" t="str">
        <f>IF(MAESTRO!D41="","",IFERROR(TRUNC(AVERAGE(G41,H41,I41),1),""))</f>
        <v/>
      </c>
      <c r="K41" s="122" t="str">
        <f>IF(MAESTRO!D41="","",IFERROR('PROM (Comercio 8°)'!AE41,""))</f>
        <v/>
      </c>
      <c r="L41" s="122" t="str">
        <f>IF(MAESTRO!D41="","",IFERROR('PROM (Comercio 8°)'!BM41,""))</f>
        <v/>
      </c>
      <c r="M41" s="122" t="str">
        <f>IF(MAESTRO!D41="","",IFERROR('PROM (Comercio 8°)'!CU41,""))</f>
        <v/>
      </c>
      <c r="N41" s="123" t="str">
        <f>IF(MAESTRO!D41="","",IFERROR(TRUNC(AVERAGE(K41,L41,M41),1),""))</f>
        <v/>
      </c>
      <c r="O41" s="124" t="str">
        <f>IF(MAESTRO!D41="","",IFERROR(AVERAGE(G41,K41),""))</f>
        <v/>
      </c>
      <c r="P41" s="124" t="str">
        <f>IF(MAESTRO!D41="","",IFERROR(AVERAGE(H41,L41),""))</f>
        <v/>
      </c>
      <c r="Q41" s="124" t="str">
        <f>IF(MAESTRO!D41="","",IFERROR(AVERAGE(I41,M41),""))</f>
        <v/>
      </c>
      <c r="R41" s="124" t="str">
        <f>IF(MAESTRO!D41="","",IFERROR(TRUNC(AVERAGE(O41,P41,Q41),1),""))</f>
        <v/>
      </c>
      <c r="S41" s="123" t="str">
        <f>IF(MAESTRO!D41="","",IF(AND(F41="",J41="",N41="",R41=""),"",IF(Y(OR(F41="",F41&gt;=3),OR(J41="",J41&gt;=3),OR(N41="",N41&gt;=3),OR(R41="",R41&gt;=3)),"✓ APROBADO","✗ REPROBADO")))</f>
        <v/>
      </c>
    </row>
    <row r="42" spans="1:19" ht="16.05" customHeight="1">
      <c r="A42" s="116">
        <v>38</v>
      </c>
      <c r="B42" s="117">
        <f>MAESTRO!D42</f>
        <v>0</v>
      </c>
      <c r="C42" s="125" t="str">
        <f>IF(MAESTRO!D42="","",IFERROR('PROM (Ingles 8°)'!AE42,""))</f>
        <v/>
      </c>
      <c r="D42" s="125" t="str">
        <f>IF(MAESTRO!D42="","",IFERROR('PROM (Ingles 8°)'!BM42,""))</f>
        <v/>
      </c>
      <c r="E42" s="125" t="str">
        <f>IF(MAESTRO!D42="","",IFERROR('PROM (Ingles 8°)'!CU42,""))</f>
        <v/>
      </c>
      <c r="F42" s="126" t="str">
        <f>IF(MAESTRO!D42="","",IFERROR(TRUNC(AVERAGE(C42,D42,E42),1),""))</f>
        <v/>
      </c>
      <c r="G42" s="125" t="str">
        <f>IF(MAESTRO!D42="","",IFERROR('PROM (Agropecuaria 8°)'!AE42,""))</f>
        <v/>
      </c>
      <c r="H42" s="125" t="str">
        <f>IF(MAESTRO!D42="","",IFERROR('PROM (Agropecuaria 8°)'!BM42,""))</f>
        <v/>
      </c>
      <c r="I42" s="125" t="str">
        <f>IF(MAESTRO!D42="","",IFERROR('PROM (Agropecuaria 8°)'!CU42,""))</f>
        <v/>
      </c>
      <c r="J42" s="126" t="str">
        <f>IF(MAESTRO!D42="","",IFERROR(TRUNC(AVERAGE(G42,H42,I42),1),""))</f>
        <v/>
      </c>
      <c r="K42" s="125" t="str">
        <f>IF(MAESTRO!D42="","",IFERROR('PROM (Comercio 8°)'!AE42,""))</f>
        <v/>
      </c>
      <c r="L42" s="125" t="str">
        <f>IF(MAESTRO!D42="","",IFERROR('PROM (Comercio 8°)'!BM42,""))</f>
        <v/>
      </c>
      <c r="M42" s="125" t="str">
        <f>IF(MAESTRO!D42="","",IFERROR('PROM (Comercio 8°)'!CU42,""))</f>
        <v/>
      </c>
      <c r="N42" s="126" t="str">
        <f>IF(MAESTRO!D42="","",IFERROR(TRUNC(AVERAGE(K42,L42,M42),1),""))</f>
        <v/>
      </c>
      <c r="O42" s="124" t="str">
        <f>IF(MAESTRO!D42="","",IFERROR(AVERAGE(G42,K42),""))</f>
        <v/>
      </c>
      <c r="P42" s="124" t="str">
        <f>IF(MAESTRO!D42="","",IFERROR(AVERAGE(H42,L42),""))</f>
        <v/>
      </c>
      <c r="Q42" s="124" t="str">
        <f>IF(MAESTRO!D42="","",IFERROR(AVERAGE(I42,M42),""))</f>
        <v/>
      </c>
      <c r="R42" s="124" t="str">
        <f>IF(MAESTRO!D42="","",IFERROR(TRUNC(AVERAGE(O42,P42,Q42),1),""))</f>
        <v/>
      </c>
      <c r="S42" s="126" t="str">
        <f>IF(MAESTRO!D42="","",IF(AND(F42="",J42="",N42="",R42=""),"",IF(Y(OR(F42="",F42&gt;=3),OR(J42="",J42&gt;=3),OR(N42="",N42&gt;=3),OR(R42="",R42&gt;=3)),"✓ APROBADO","✗ REPROBADO")))</f>
        <v/>
      </c>
    </row>
    <row r="43" spans="1:19" ht="16.05" customHeight="1">
      <c r="A43" s="118">
        <v>39</v>
      </c>
      <c r="B43" s="119">
        <f>MAESTRO!D43</f>
        <v>0</v>
      </c>
      <c r="C43" s="122" t="str">
        <f>IF(MAESTRO!D43="","",IFERROR('PROM (Ingles 8°)'!AE43,""))</f>
        <v/>
      </c>
      <c r="D43" s="122" t="str">
        <f>IF(MAESTRO!D43="","",IFERROR('PROM (Ingles 8°)'!BM43,""))</f>
        <v/>
      </c>
      <c r="E43" s="122" t="str">
        <f>IF(MAESTRO!D43="","",IFERROR('PROM (Ingles 8°)'!CU43,""))</f>
        <v/>
      </c>
      <c r="F43" s="123" t="str">
        <f>IF(MAESTRO!D43="","",IFERROR(TRUNC(AVERAGE(C43,D43,E43),1),""))</f>
        <v/>
      </c>
      <c r="G43" s="122" t="str">
        <f>IF(MAESTRO!D43="","",IFERROR('PROM (Agropecuaria 8°)'!AE43,""))</f>
        <v/>
      </c>
      <c r="H43" s="122" t="str">
        <f>IF(MAESTRO!D43="","",IFERROR('PROM (Agropecuaria 8°)'!BM43,""))</f>
        <v/>
      </c>
      <c r="I43" s="122" t="str">
        <f>IF(MAESTRO!D43="","",IFERROR('PROM (Agropecuaria 8°)'!CU43,""))</f>
        <v/>
      </c>
      <c r="J43" s="123" t="str">
        <f>IF(MAESTRO!D43="","",IFERROR(TRUNC(AVERAGE(G43,H43,I43),1),""))</f>
        <v/>
      </c>
      <c r="K43" s="122" t="str">
        <f>IF(MAESTRO!D43="","",IFERROR('PROM (Comercio 8°)'!AE43,""))</f>
        <v/>
      </c>
      <c r="L43" s="122" t="str">
        <f>IF(MAESTRO!D43="","",IFERROR('PROM (Comercio 8°)'!BM43,""))</f>
        <v/>
      </c>
      <c r="M43" s="122" t="str">
        <f>IF(MAESTRO!D43="","",IFERROR('PROM (Comercio 8°)'!CU43,""))</f>
        <v/>
      </c>
      <c r="N43" s="123" t="str">
        <f>IF(MAESTRO!D43="","",IFERROR(TRUNC(AVERAGE(K43,L43,M43),1),""))</f>
        <v/>
      </c>
      <c r="O43" s="124" t="str">
        <f>IF(MAESTRO!D43="","",IFERROR(AVERAGE(G43,K43),""))</f>
        <v/>
      </c>
      <c r="P43" s="124" t="str">
        <f>IF(MAESTRO!D43="","",IFERROR(AVERAGE(H43,L43),""))</f>
        <v/>
      </c>
      <c r="Q43" s="124" t="str">
        <f>IF(MAESTRO!D43="","",IFERROR(AVERAGE(I43,M43),""))</f>
        <v/>
      </c>
      <c r="R43" s="124" t="str">
        <f>IF(MAESTRO!D43="","",IFERROR(TRUNC(AVERAGE(O43,P43,Q43),1),""))</f>
        <v/>
      </c>
      <c r="S43" s="123" t="str">
        <f>IF(MAESTRO!D43="","",IF(AND(F43="",J43="",N43="",R43=""),"",IF(Y(OR(F43="",F43&gt;=3),OR(J43="",J43&gt;=3),OR(N43="",N43&gt;=3),OR(R43="",R43&gt;=3)),"✓ APROBADO","✗ REPROBADO")))</f>
        <v/>
      </c>
    </row>
    <row r="44" spans="1:19" ht="16.05" customHeight="1">
      <c r="A44" s="116">
        <v>40</v>
      </c>
      <c r="B44" s="117">
        <f>MAESTRO!D44</f>
        <v>0</v>
      </c>
      <c r="C44" s="125" t="str">
        <f>IF(MAESTRO!D44="","",IFERROR('PROM (Ingles 8°)'!AE44,""))</f>
        <v/>
      </c>
      <c r="D44" s="125" t="str">
        <f>IF(MAESTRO!D44="","",IFERROR('PROM (Ingles 8°)'!BM44,""))</f>
        <v/>
      </c>
      <c r="E44" s="125" t="str">
        <f>IF(MAESTRO!D44="","",IFERROR('PROM (Ingles 8°)'!CU44,""))</f>
        <v/>
      </c>
      <c r="F44" s="126" t="str">
        <f>IF(MAESTRO!D44="","",IFERROR(TRUNC(AVERAGE(C44,D44,E44),1),""))</f>
        <v/>
      </c>
      <c r="G44" s="125" t="str">
        <f>IF(MAESTRO!D44="","",IFERROR('PROM (Agropecuaria 8°)'!AE44,""))</f>
        <v/>
      </c>
      <c r="H44" s="125" t="str">
        <f>IF(MAESTRO!D44="","",IFERROR('PROM (Agropecuaria 8°)'!BM44,""))</f>
        <v/>
      </c>
      <c r="I44" s="125" t="str">
        <f>IF(MAESTRO!D44="","",IFERROR('PROM (Agropecuaria 8°)'!CU44,""))</f>
        <v/>
      </c>
      <c r="J44" s="126" t="str">
        <f>IF(MAESTRO!D44="","",IFERROR(TRUNC(AVERAGE(G44,H44,I44),1),""))</f>
        <v/>
      </c>
      <c r="K44" s="125" t="str">
        <f>IF(MAESTRO!D44="","",IFERROR('PROM (Comercio 8°)'!AE44,""))</f>
        <v/>
      </c>
      <c r="L44" s="125" t="str">
        <f>IF(MAESTRO!D44="","",IFERROR('PROM (Comercio 8°)'!BM44,""))</f>
        <v/>
      </c>
      <c r="M44" s="125" t="str">
        <f>IF(MAESTRO!D44="","",IFERROR('PROM (Comercio 8°)'!CU44,""))</f>
        <v/>
      </c>
      <c r="N44" s="126" t="str">
        <f>IF(MAESTRO!D44="","",IFERROR(TRUNC(AVERAGE(K44,L44,M44),1),""))</f>
        <v/>
      </c>
      <c r="O44" s="124" t="str">
        <f>IF(MAESTRO!D44="","",IFERROR(AVERAGE(G44,K44),""))</f>
        <v/>
      </c>
      <c r="P44" s="124" t="str">
        <f>IF(MAESTRO!D44="","",IFERROR(AVERAGE(H44,L44),""))</f>
        <v/>
      </c>
      <c r="Q44" s="124" t="str">
        <f>IF(MAESTRO!D44="","",IFERROR(AVERAGE(I44,M44),""))</f>
        <v/>
      </c>
      <c r="R44" s="124" t="str">
        <f>IF(MAESTRO!D44="","",IFERROR(TRUNC(AVERAGE(O44,P44,Q44),1),""))</f>
        <v/>
      </c>
      <c r="S44" s="126" t="str">
        <f>IF(MAESTRO!D44="","",IF(AND(F44="",J44="",N44="",R44=""),"",IF(Y(OR(F44="",F44&gt;=3),OR(J44="",J44&gt;=3),OR(N44="",N44&gt;=3),OR(R44="",R44&gt;=3)),"✓ APROBADO","✗ REPROBADO")))</f>
        <v/>
      </c>
    </row>
    <row r="46" spans="1:19" ht="18" customHeight="1">
      <c r="A46" s="171" t="s">
        <v>14</v>
      </c>
      <c r="B46" s="166"/>
      <c r="C46" s="127" t="str">
        <f t="shared" ref="C46:R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8"/>
    </row>
  </sheetData>
  <mergeCells count="10">
    <mergeCell ref="A46:B46"/>
    <mergeCell ref="S3:S4"/>
    <mergeCell ref="A2:P2"/>
    <mergeCell ref="C3:F3"/>
    <mergeCell ref="G3:J3"/>
    <mergeCell ref="K3:N3"/>
    <mergeCell ref="A1:P1"/>
    <mergeCell ref="B3:B4"/>
    <mergeCell ref="A3:A4"/>
    <mergeCell ref="O3:R3"/>
  </mergeCells>
  <conditionalFormatting sqref="C5:R44">
    <cfRule type="cellIs" dxfId="32" priority="1" operator="lessThan">
      <formula>3</formula>
    </cfRule>
    <cfRule type="cellIs" dxfId="31" priority="2" operator="between">
      <formula>3</formula>
      <formula>3.4</formula>
    </cfRule>
    <cfRule type="cellIs" dxfId="30" priority="3" operator="greaterThanOrEqual">
      <formula>4.5</formula>
    </cfRule>
  </conditionalFormatting>
  <conditionalFormatting sqref="S5:S44">
    <cfRule type="expression" dxfId="29" priority="4">
      <formula>S5="✓ APROBADO"</formula>
    </cfRule>
    <cfRule type="expression" dxfId="28" priority="5">
      <formula>S5="✗ REPROBADO"</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W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22" width="7" customWidth="1"/>
    <col min="23" max="23" width="14" customWidth="1"/>
  </cols>
  <sheetData>
    <row r="1" spans="1:23" ht="28.05" customHeight="1">
      <c r="A1" s="167" t="s">
        <v>0</v>
      </c>
      <c r="B1" s="168"/>
      <c r="C1" s="168"/>
      <c r="D1" s="168"/>
      <c r="E1" s="168"/>
      <c r="F1" s="168"/>
      <c r="G1" s="168"/>
      <c r="H1" s="168"/>
      <c r="I1" s="168"/>
      <c r="J1" s="168"/>
      <c r="K1" s="168"/>
      <c r="L1" s="168"/>
      <c r="M1" s="168"/>
      <c r="N1" s="168"/>
      <c r="O1" s="168"/>
      <c r="P1" s="168"/>
    </row>
    <row r="2" spans="1:23" ht="15" customHeight="1">
      <c r="A2" s="173" t="s">
        <v>1</v>
      </c>
      <c r="B2" s="168"/>
      <c r="C2" s="168"/>
      <c r="D2" s="168"/>
      <c r="E2" s="168"/>
      <c r="F2" s="168"/>
      <c r="G2" s="168"/>
      <c r="H2" s="168"/>
      <c r="I2" s="168"/>
      <c r="J2" s="168"/>
      <c r="K2" s="168"/>
      <c r="L2" s="168"/>
      <c r="M2" s="168"/>
      <c r="N2" s="168"/>
      <c r="O2" s="168"/>
      <c r="P2" s="168"/>
    </row>
    <row r="3" spans="1:23" ht="22.05" customHeight="1">
      <c r="A3" s="164" t="s">
        <v>2</v>
      </c>
      <c r="B3" s="164" t="s">
        <v>3</v>
      </c>
      <c r="C3" s="164" t="s">
        <v>4</v>
      </c>
      <c r="D3" s="165"/>
      <c r="E3" s="165"/>
      <c r="F3" s="166"/>
      <c r="G3" s="164" t="s">
        <v>5</v>
      </c>
      <c r="H3" s="165"/>
      <c r="I3" s="165"/>
      <c r="J3" s="166"/>
      <c r="K3" s="164" t="s">
        <v>6</v>
      </c>
      <c r="L3" s="165"/>
      <c r="M3" s="165"/>
      <c r="N3" s="166"/>
      <c r="O3" s="170" t="s">
        <v>7</v>
      </c>
      <c r="P3" s="165"/>
      <c r="Q3" s="165"/>
      <c r="R3" s="166"/>
      <c r="S3" s="164" t="s">
        <v>8</v>
      </c>
      <c r="T3" s="165"/>
      <c r="U3" s="165"/>
      <c r="V3" s="166"/>
      <c r="W3" s="172" t="s">
        <v>9</v>
      </c>
    </row>
    <row r="4" spans="1:23" ht="18" customHeight="1">
      <c r="A4" s="169"/>
      <c r="B4" s="169"/>
      <c r="C4" s="115" t="s">
        <v>10</v>
      </c>
      <c r="D4" s="115" t="s">
        <v>11</v>
      </c>
      <c r="E4" s="115" t="s">
        <v>12</v>
      </c>
      <c r="F4" s="113" t="s">
        <v>13</v>
      </c>
      <c r="G4" s="115" t="s">
        <v>10</v>
      </c>
      <c r="H4" s="115" t="s">
        <v>11</v>
      </c>
      <c r="I4" s="115" t="s">
        <v>12</v>
      </c>
      <c r="J4" s="113" t="s">
        <v>13</v>
      </c>
      <c r="K4" s="115" t="s">
        <v>10</v>
      </c>
      <c r="L4" s="115" t="s">
        <v>11</v>
      </c>
      <c r="M4" s="115" t="s">
        <v>12</v>
      </c>
      <c r="N4" s="113" t="s">
        <v>13</v>
      </c>
      <c r="O4" s="121" t="s">
        <v>10</v>
      </c>
      <c r="P4" s="121" t="s">
        <v>11</v>
      </c>
      <c r="Q4" s="121" t="s">
        <v>12</v>
      </c>
      <c r="R4" s="121" t="s">
        <v>13</v>
      </c>
      <c r="S4" s="115" t="s">
        <v>10</v>
      </c>
      <c r="T4" s="115" t="s">
        <v>11</v>
      </c>
      <c r="U4" s="115" t="s">
        <v>12</v>
      </c>
      <c r="V4" s="113" t="s">
        <v>13</v>
      </c>
      <c r="W4" s="169"/>
    </row>
    <row r="5" spans="1:23" ht="16.05" customHeight="1">
      <c r="A5" s="118">
        <v>1</v>
      </c>
      <c r="B5" s="119">
        <f>MAESTRO!F5</f>
        <v>0</v>
      </c>
      <c r="C5" s="122" t="str">
        <f>IF(MAESTRO!F5="","",IFERROR('PROM (Ingles 9°)'!AE5,""))</f>
        <v/>
      </c>
      <c r="D5" s="122" t="str">
        <f>IF(MAESTRO!F5="","",IFERROR('PROM (Ingles 9°)'!BM5,""))</f>
        <v/>
      </c>
      <c r="E5" s="122" t="str">
        <f>IF(MAESTRO!F5="","",IFERROR('PROM (Ingles 9°)'!CU5,""))</f>
        <v/>
      </c>
      <c r="F5" s="123" t="str">
        <f>IF(MAESTRO!F5="","",IFERROR(TRUNC(AVERAGE(C5,D5,E5),1),""))</f>
        <v/>
      </c>
      <c r="G5" s="122" t="str">
        <f>IF(MAESTRO!F5="","",IFERROR('PROM (Agropecuaria 9°)'!AE5,""))</f>
        <v/>
      </c>
      <c r="H5" s="122" t="str">
        <f>IF(MAESTRO!F5="","",IFERROR('PROM (Agropecuaria 9°)'!BM5,""))</f>
        <v/>
      </c>
      <c r="I5" s="122" t="str">
        <f>IF(MAESTRO!F5="","",IFERROR('PROM (Agropecuaria 9°)'!CU5,""))</f>
        <v/>
      </c>
      <c r="J5" s="123" t="str">
        <f>IF(MAESTRO!F5="","",IFERROR(TRUNC(AVERAGE(G5,H5,I5),1),""))</f>
        <v/>
      </c>
      <c r="K5" s="122" t="str">
        <f>IF(MAESTRO!F5="","",IFERROR('PROM (Comercio 9°)'!AE5,""))</f>
        <v/>
      </c>
      <c r="L5" s="122" t="str">
        <f>IF(MAESTRO!F5="","",IFERROR('PROM (Comercio 9°)'!BM5,""))</f>
        <v/>
      </c>
      <c r="M5" s="122" t="str">
        <f>IF(MAESTRO!F5="","",IFERROR('PROM (Comercio 9°)'!CU5,""))</f>
        <v/>
      </c>
      <c r="N5" s="123" t="str">
        <f>IF(MAESTRO!F5="","",IFERROR(TRUNC(AVERAGE(K5,L5,M5),1),""))</f>
        <v/>
      </c>
      <c r="O5" s="124" t="str">
        <f>IF(MAESTRO!F5="","",IFERROR(AVERAGE(G5,K5),""))</f>
        <v/>
      </c>
      <c r="P5" s="124" t="str">
        <f>IF(MAESTRO!F5="","",IFERROR(AVERAGE(H5,L5),""))</f>
        <v/>
      </c>
      <c r="Q5" s="124" t="str">
        <f>IF(MAESTRO!F5="","",IFERROR(AVERAGE(I5,M5),""))</f>
        <v/>
      </c>
      <c r="R5" s="124" t="str">
        <f>IF(MAESTRO!F5="","",IFERROR(TRUNC(AVERAGE(O5,P5,Q5),1),""))</f>
        <v/>
      </c>
      <c r="S5" s="122" t="str">
        <f>IF(MAESTRO!F5="","",IFERROR('PROM (Artistica 9°)'!AE5,""))</f>
        <v/>
      </c>
      <c r="T5" s="122" t="str">
        <f>IF(MAESTRO!F5="","",IFERROR('PROM (Artistica 9°)'!BM5,""))</f>
        <v/>
      </c>
      <c r="U5" s="122" t="str">
        <f>IF(MAESTRO!F5="","",IFERROR('PROM (Artistica 9°)'!CU5,""))</f>
        <v/>
      </c>
      <c r="V5" s="123" t="str">
        <f>IF(MAESTRO!F5="","",IFERROR(TRUNC(AVERAGE(S5,T5,U5),1),""))</f>
        <v/>
      </c>
      <c r="W5" s="123" t="str">
        <f>IF(MAESTRO!F5="","",IF(AND(F5="",J5="",N5="",R5="",V5=""),"",IF(Y(OR(F5="",F5&gt;=3),OR(J5="",J5&gt;=3),OR(N5="",N5&gt;=3),OR(R5="",R5&gt;=3),OR(V5="",V5&gt;=3)),"✓ APROBADO","✗ REPROBADO")))</f>
        <v/>
      </c>
    </row>
    <row r="6" spans="1:23" ht="16.05" customHeight="1">
      <c r="A6" s="116">
        <v>2</v>
      </c>
      <c r="B6" s="117">
        <f>MAESTRO!F6</f>
        <v>0</v>
      </c>
      <c r="C6" s="125" t="str">
        <f>IF(MAESTRO!F6="","",IFERROR('PROM (Ingles 9°)'!AE6,""))</f>
        <v/>
      </c>
      <c r="D6" s="125" t="str">
        <f>IF(MAESTRO!F6="","",IFERROR('PROM (Ingles 9°)'!BM6,""))</f>
        <v/>
      </c>
      <c r="E6" s="125" t="str">
        <f>IF(MAESTRO!F6="","",IFERROR('PROM (Ingles 9°)'!CU6,""))</f>
        <v/>
      </c>
      <c r="F6" s="126" t="str">
        <f>IF(MAESTRO!F6="","",IFERROR(TRUNC(AVERAGE(C6,D6,E6),1),""))</f>
        <v/>
      </c>
      <c r="G6" s="125" t="str">
        <f>IF(MAESTRO!F6="","",IFERROR('PROM (Agropecuaria 9°)'!AE6,""))</f>
        <v/>
      </c>
      <c r="H6" s="125" t="str">
        <f>IF(MAESTRO!F6="","",IFERROR('PROM (Agropecuaria 9°)'!BM6,""))</f>
        <v/>
      </c>
      <c r="I6" s="125" t="str">
        <f>IF(MAESTRO!F6="","",IFERROR('PROM (Agropecuaria 9°)'!CU6,""))</f>
        <v/>
      </c>
      <c r="J6" s="126" t="str">
        <f>IF(MAESTRO!F6="","",IFERROR(TRUNC(AVERAGE(G6,H6,I6),1),""))</f>
        <v/>
      </c>
      <c r="K6" s="125" t="str">
        <f>IF(MAESTRO!F6="","",IFERROR('PROM (Comercio 9°)'!AE6,""))</f>
        <v/>
      </c>
      <c r="L6" s="125" t="str">
        <f>IF(MAESTRO!F6="","",IFERROR('PROM (Comercio 9°)'!BM6,""))</f>
        <v/>
      </c>
      <c r="M6" s="125" t="str">
        <f>IF(MAESTRO!F6="","",IFERROR('PROM (Comercio 9°)'!CU6,""))</f>
        <v/>
      </c>
      <c r="N6" s="126" t="str">
        <f>IF(MAESTRO!F6="","",IFERROR(TRUNC(AVERAGE(K6,L6,M6),1),""))</f>
        <v/>
      </c>
      <c r="O6" s="124" t="str">
        <f>IF(MAESTRO!F6="","",IFERROR(AVERAGE(G6,K6),""))</f>
        <v/>
      </c>
      <c r="P6" s="124" t="str">
        <f>IF(MAESTRO!F6="","",IFERROR(AVERAGE(H6,L6),""))</f>
        <v/>
      </c>
      <c r="Q6" s="124" t="str">
        <f>IF(MAESTRO!F6="","",IFERROR(AVERAGE(I6,M6),""))</f>
        <v/>
      </c>
      <c r="R6" s="124" t="str">
        <f>IF(MAESTRO!F6="","",IFERROR(TRUNC(AVERAGE(O6,P6,Q6),1),""))</f>
        <v/>
      </c>
      <c r="S6" s="125" t="str">
        <f>IF(MAESTRO!F6="","",IFERROR('PROM (Artistica 9°)'!AE6,""))</f>
        <v/>
      </c>
      <c r="T6" s="125" t="str">
        <f>IF(MAESTRO!F6="","",IFERROR('PROM (Artistica 9°)'!BM6,""))</f>
        <v/>
      </c>
      <c r="U6" s="125" t="str">
        <f>IF(MAESTRO!F6="","",IFERROR('PROM (Artistica 9°)'!CU6,""))</f>
        <v/>
      </c>
      <c r="V6" s="126" t="str">
        <f>IF(MAESTRO!F6="","",IFERROR(TRUNC(AVERAGE(S6,T6,U6),1),""))</f>
        <v/>
      </c>
      <c r="W6" s="126" t="str">
        <f>IF(MAESTRO!F6="","",IF(AND(F6="",J6="",N6="",R6="",V6=""),"",IF(Y(OR(F6="",F6&gt;=3),OR(J6="",J6&gt;=3),OR(N6="",N6&gt;=3),OR(R6="",R6&gt;=3),OR(V6="",V6&gt;=3)),"✓ APROBADO","✗ REPROBADO")))</f>
        <v/>
      </c>
    </row>
    <row r="7" spans="1:23" ht="16.05" customHeight="1">
      <c r="A7" s="118">
        <v>3</v>
      </c>
      <c r="B7" s="119">
        <f>MAESTRO!F7</f>
        <v>0</v>
      </c>
      <c r="C7" s="122" t="str">
        <f>IF(MAESTRO!F7="","",IFERROR('PROM (Ingles 9°)'!AE7,""))</f>
        <v/>
      </c>
      <c r="D7" s="122" t="str">
        <f>IF(MAESTRO!F7="","",IFERROR('PROM (Ingles 9°)'!BM7,""))</f>
        <v/>
      </c>
      <c r="E7" s="122" t="str">
        <f>IF(MAESTRO!F7="","",IFERROR('PROM (Ingles 9°)'!CU7,""))</f>
        <v/>
      </c>
      <c r="F7" s="123" t="str">
        <f>IF(MAESTRO!F7="","",IFERROR(TRUNC(AVERAGE(C7,D7,E7),1),""))</f>
        <v/>
      </c>
      <c r="G7" s="122" t="str">
        <f>IF(MAESTRO!F7="","",IFERROR('PROM (Agropecuaria 9°)'!AE7,""))</f>
        <v/>
      </c>
      <c r="H7" s="122" t="str">
        <f>IF(MAESTRO!F7="","",IFERROR('PROM (Agropecuaria 9°)'!BM7,""))</f>
        <v/>
      </c>
      <c r="I7" s="122" t="str">
        <f>IF(MAESTRO!F7="","",IFERROR('PROM (Agropecuaria 9°)'!CU7,""))</f>
        <v/>
      </c>
      <c r="J7" s="123" t="str">
        <f>IF(MAESTRO!F7="","",IFERROR(TRUNC(AVERAGE(G7,H7,I7),1),""))</f>
        <v/>
      </c>
      <c r="K7" s="122" t="str">
        <f>IF(MAESTRO!F7="","",IFERROR('PROM (Comercio 9°)'!AE7,""))</f>
        <v/>
      </c>
      <c r="L7" s="122" t="str">
        <f>IF(MAESTRO!F7="","",IFERROR('PROM (Comercio 9°)'!BM7,""))</f>
        <v/>
      </c>
      <c r="M7" s="122" t="str">
        <f>IF(MAESTRO!F7="","",IFERROR('PROM (Comercio 9°)'!CU7,""))</f>
        <v/>
      </c>
      <c r="N7" s="123" t="str">
        <f>IF(MAESTRO!F7="","",IFERROR(TRUNC(AVERAGE(K7,L7,M7),1),""))</f>
        <v/>
      </c>
      <c r="O7" s="124" t="str">
        <f>IF(MAESTRO!F7="","",IFERROR(AVERAGE(G7,K7),""))</f>
        <v/>
      </c>
      <c r="P7" s="124" t="str">
        <f>IF(MAESTRO!F7="","",IFERROR(AVERAGE(H7,L7),""))</f>
        <v/>
      </c>
      <c r="Q7" s="124" t="str">
        <f>IF(MAESTRO!F7="","",IFERROR(AVERAGE(I7,M7),""))</f>
        <v/>
      </c>
      <c r="R7" s="124" t="str">
        <f>IF(MAESTRO!F7="","",IFERROR(TRUNC(AVERAGE(O7,P7,Q7),1),""))</f>
        <v/>
      </c>
      <c r="S7" s="122" t="str">
        <f>IF(MAESTRO!F7="","",IFERROR('PROM (Artistica 9°)'!AE7,""))</f>
        <v/>
      </c>
      <c r="T7" s="122" t="str">
        <f>IF(MAESTRO!F7="","",IFERROR('PROM (Artistica 9°)'!BM7,""))</f>
        <v/>
      </c>
      <c r="U7" s="122" t="str">
        <f>IF(MAESTRO!F7="","",IFERROR('PROM (Artistica 9°)'!CU7,""))</f>
        <v/>
      </c>
      <c r="V7" s="123" t="str">
        <f>IF(MAESTRO!F7="","",IFERROR(TRUNC(AVERAGE(S7,T7,U7),1),""))</f>
        <v/>
      </c>
      <c r="W7" s="123" t="str">
        <f>IF(MAESTRO!F7="","",IF(AND(F7="",J7="",N7="",R7="",V7=""),"",IF(Y(OR(F7="",F7&gt;=3),OR(J7="",J7&gt;=3),OR(N7="",N7&gt;=3),OR(R7="",R7&gt;=3),OR(V7="",V7&gt;=3)),"✓ APROBADO","✗ REPROBADO")))</f>
        <v/>
      </c>
    </row>
    <row r="8" spans="1:23" ht="16.05" customHeight="1">
      <c r="A8" s="116">
        <v>4</v>
      </c>
      <c r="B8" s="117">
        <f>MAESTRO!F8</f>
        <v>0</v>
      </c>
      <c r="C8" s="125" t="str">
        <f>IF(MAESTRO!F8="","",IFERROR('PROM (Ingles 9°)'!AE8,""))</f>
        <v/>
      </c>
      <c r="D8" s="125" t="str">
        <f>IF(MAESTRO!F8="","",IFERROR('PROM (Ingles 9°)'!BM8,""))</f>
        <v/>
      </c>
      <c r="E8" s="125" t="str">
        <f>IF(MAESTRO!F8="","",IFERROR('PROM (Ingles 9°)'!CU8,""))</f>
        <v/>
      </c>
      <c r="F8" s="126" t="str">
        <f>IF(MAESTRO!F8="","",IFERROR(TRUNC(AVERAGE(C8,D8,E8),1),""))</f>
        <v/>
      </c>
      <c r="G8" s="125" t="str">
        <f>IF(MAESTRO!F8="","",IFERROR('PROM (Agropecuaria 9°)'!AE8,""))</f>
        <v/>
      </c>
      <c r="H8" s="125" t="str">
        <f>IF(MAESTRO!F8="","",IFERROR('PROM (Agropecuaria 9°)'!BM8,""))</f>
        <v/>
      </c>
      <c r="I8" s="125" t="str">
        <f>IF(MAESTRO!F8="","",IFERROR('PROM (Agropecuaria 9°)'!CU8,""))</f>
        <v/>
      </c>
      <c r="J8" s="126" t="str">
        <f>IF(MAESTRO!F8="","",IFERROR(TRUNC(AVERAGE(G8,H8,I8),1),""))</f>
        <v/>
      </c>
      <c r="K8" s="125" t="str">
        <f>IF(MAESTRO!F8="","",IFERROR('PROM (Comercio 9°)'!AE8,""))</f>
        <v/>
      </c>
      <c r="L8" s="125" t="str">
        <f>IF(MAESTRO!F8="","",IFERROR('PROM (Comercio 9°)'!BM8,""))</f>
        <v/>
      </c>
      <c r="M8" s="125" t="str">
        <f>IF(MAESTRO!F8="","",IFERROR('PROM (Comercio 9°)'!CU8,""))</f>
        <v/>
      </c>
      <c r="N8" s="126" t="str">
        <f>IF(MAESTRO!F8="","",IFERROR(TRUNC(AVERAGE(K8,L8,M8),1),""))</f>
        <v/>
      </c>
      <c r="O8" s="124" t="str">
        <f>IF(MAESTRO!F8="","",IFERROR(AVERAGE(G8,K8),""))</f>
        <v/>
      </c>
      <c r="P8" s="124" t="str">
        <f>IF(MAESTRO!F8="","",IFERROR(AVERAGE(H8,L8),""))</f>
        <v/>
      </c>
      <c r="Q8" s="124" t="str">
        <f>IF(MAESTRO!F8="","",IFERROR(AVERAGE(I8,M8),""))</f>
        <v/>
      </c>
      <c r="R8" s="124" t="str">
        <f>IF(MAESTRO!F8="","",IFERROR(TRUNC(AVERAGE(O8,P8,Q8),1),""))</f>
        <v/>
      </c>
      <c r="S8" s="125" t="str">
        <f>IF(MAESTRO!F8="","",IFERROR('PROM (Artistica 9°)'!AE8,""))</f>
        <v/>
      </c>
      <c r="T8" s="125" t="str">
        <f>IF(MAESTRO!F8="","",IFERROR('PROM (Artistica 9°)'!BM8,""))</f>
        <v/>
      </c>
      <c r="U8" s="125" t="str">
        <f>IF(MAESTRO!F8="","",IFERROR('PROM (Artistica 9°)'!CU8,""))</f>
        <v/>
      </c>
      <c r="V8" s="126" t="str">
        <f>IF(MAESTRO!F8="","",IFERROR(TRUNC(AVERAGE(S8,T8,U8),1),""))</f>
        <v/>
      </c>
      <c r="W8" s="126" t="str">
        <f>IF(MAESTRO!F8="","",IF(AND(F8="",J8="",N8="",R8="",V8=""),"",IF(Y(OR(F8="",F8&gt;=3),OR(J8="",J8&gt;=3),OR(N8="",N8&gt;=3),OR(R8="",R8&gt;=3),OR(V8="",V8&gt;=3)),"✓ APROBADO","✗ REPROBADO")))</f>
        <v/>
      </c>
    </row>
    <row r="9" spans="1:23" ht="16.05" customHeight="1">
      <c r="A9" s="118">
        <v>5</v>
      </c>
      <c r="B9" s="119">
        <f>MAESTRO!F9</f>
        <v>0</v>
      </c>
      <c r="C9" s="122" t="str">
        <f>IF(MAESTRO!F9="","",IFERROR('PROM (Ingles 9°)'!AE9,""))</f>
        <v/>
      </c>
      <c r="D9" s="122" t="str">
        <f>IF(MAESTRO!F9="","",IFERROR('PROM (Ingles 9°)'!BM9,""))</f>
        <v/>
      </c>
      <c r="E9" s="122" t="str">
        <f>IF(MAESTRO!F9="","",IFERROR('PROM (Ingles 9°)'!CU9,""))</f>
        <v/>
      </c>
      <c r="F9" s="123" t="str">
        <f>IF(MAESTRO!F9="","",IFERROR(TRUNC(AVERAGE(C9,D9,E9),1),""))</f>
        <v/>
      </c>
      <c r="G9" s="122" t="str">
        <f>IF(MAESTRO!F9="","",IFERROR('PROM (Agropecuaria 9°)'!AE9,""))</f>
        <v/>
      </c>
      <c r="H9" s="122" t="str">
        <f>IF(MAESTRO!F9="","",IFERROR('PROM (Agropecuaria 9°)'!BM9,""))</f>
        <v/>
      </c>
      <c r="I9" s="122" t="str">
        <f>IF(MAESTRO!F9="","",IFERROR('PROM (Agropecuaria 9°)'!CU9,""))</f>
        <v/>
      </c>
      <c r="J9" s="123" t="str">
        <f>IF(MAESTRO!F9="","",IFERROR(TRUNC(AVERAGE(G9,H9,I9),1),""))</f>
        <v/>
      </c>
      <c r="K9" s="122" t="str">
        <f>IF(MAESTRO!F9="","",IFERROR('PROM (Comercio 9°)'!AE9,""))</f>
        <v/>
      </c>
      <c r="L9" s="122" t="str">
        <f>IF(MAESTRO!F9="","",IFERROR('PROM (Comercio 9°)'!BM9,""))</f>
        <v/>
      </c>
      <c r="M9" s="122" t="str">
        <f>IF(MAESTRO!F9="","",IFERROR('PROM (Comercio 9°)'!CU9,""))</f>
        <v/>
      </c>
      <c r="N9" s="123" t="str">
        <f>IF(MAESTRO!F9="","",IFERROR(TRUNC(AVERAGE(K9,L9,M9),1),""))</f>
        <v/>
      </c>
      <c r="O9" s="124" t="str">
        <f>IF(MAESTRO!F9="","",IFERROR(AVERAGE(G9,K9),""))</f>
        <v/>
      </c>
      <c r="P9" s="124" t="str">
        <f>IF(MAESTRO!F9="","",IFERROR(AVERAGE(H9,L9),""))</f>
        <v/>
      </c>
      <c r="Q9" s="124" t="str">
        <f>IF(MAESTRO!F9="","",IFERROR(AVERAGE(I9,M9),""))</f>
        <v/>
      </c>
      <c r="R9" s="124" t="str">
        <f>IF(MAESTRO!F9="","",IFERROR(TRUNC(AVERAGE(O9,P9,Q9),1),""))</f>
        <v/>
      </c>
      <c r="S9" s="122" t="str">
        <f>IF(MAESTRO!F9="","",IFERROR('PROM (Artistica 9°)'!AE9,""))</f>
        <v/>
      </c>
      <c r="T9" s="122" t="str">
        <f>IF(MAESTRO!F9="","",IFERROR('PROM (Artistica 9°)'!BM9,""))</f>
        <v/>
      </c>
      <c r="U9" s="122" t="str">
        <f>IF(MAESTRO!F9="","",IFERROR('PROM (Artistica 9°)'!CU9,""))</f>
        <v/>
      </c>
      <c r="V9" s="123" t="str">
        <f>IF(MAESTRO!F9="","",IFERROR(TRUNC(AVERAGE(S9,T9,U9),1),""))</f>
        <v/>
      </c>
      <c r="W9" s="123" t="str">
        <f>IF(MAESTRO!F9="","",IF(AND(F9="",J9="",N9="",R9="",V9=""),"",IF(Y(OR(F9="",F9&gt;=3),OR(J9="",J9&gt;=3),OR(N9="",N9&gt;=3),OR(R9="",R9&gt;=3),OR(V9="",V9&gt;=3)),"✓ APROBADO","✗ REPROBADO")))</f>
        <v/>
      </c>
    </row>
    <row r="10" spans="1:23" ht="16.05" customHeight="1">
      <c r="A10" s="116">
        <v>6</v>
      </c>
      <c r="B10" s="117">
        <f>MAESTRO!F10</f>
        <v>0</v>
      </c>
      <c r="C10" s="125" t="str">
        <f>IF(MAESTRO!F10="","",IFERROR('PROM (Ingles 9°)'!AE10,""))</f>
        <v/>
      </c>
      <c r="D10" s="125" t="str">
        <f>IF(MAESTRO!F10="","",IFERROR('PROM (Ingles 9°)'!BM10,""))</f>
        <v/>
      </c>
      <c r="E10" s="125" t="str">
        <f>IF(MAESTRO!F10="","",IFERROR('PROM (Ingles 9°)'!CU10,""))</f>
        <v/>
      </c>
      <c r="F10" s="126" t="str">
        <f>IF(MAESTRO!F10="","",IFERROR(TRUNC(AVERAGE(C10,D10,E10),1),""))</f>
        <v/>
      </c>
      <c r="G10" s="125" t="str">
        <f>IF(MAESTRO!F10="","",IFERROR('PROM (Agropecuaria 9°)'!AE10,""))</f>
        <v/>
      </c>
      <c r="H10" s="125" t="str">
        <f>IF(MAESTRO!F10="","",IFERROR('PROM (Agropecuaria 9°)'!BM10,""))</f>
        <v/>
      </c>
      <c r="I10" s="125" t="str">
        <f>IF(MAESTRO!F10="","",IFERROR('PROM (Agropecuaria 9°)'!CU10,""))</f>
        <v/>
      </c>
      <c r="J10" s="126" t="str">
        <f>IF(MAESTRO!F10="","",IFERROR(TRUNC(AVERAGE(G10,H10,I10),1),""))</f>
        <v/>
      </c>
      <c r="K10" s="125" t="str">
        <f>IF(MAESTRO!F10="","",IFERROR('PROM (Comercio 9°)'!AE10,""))</f>
        <v/>
      </c>
      <c r="L10" s="125" t="str">
        <f>IF(MAESTRO!F10="","",IFERROR('PROM (Comercio 9°)'!BM10,""))</f>
        <v/>
      </c>
      <c r="M10" s="125" t="str">
        <f>IF(MAESTRO!F10="","",IFERROR('PROM (Comercio 9°)'!CU10,""))</f>
        <v/>
      </c>
      <c r="N10" s="126" t="str">
        <f>IF(MAESTRO!F10="","",IFERROR(TRUNC(AVERAGE(K10,L10,M10),1),""))</f>
        <v/>
      </c>
      <c r="O10" s="124" t="str">
        <f>IF(MAESTRO!F10="","",IFERROR(AVERAGE(G10,K10),""))</f>
        <v/>
      </c>
      <c r="P10" s="124" t="str">
        <f>IF(MAESTRO!F10="","",IFERROR(AVERAGE(H10,L10),""))</f>
        <v/>
      </c>
      <c r="Q10" s="124" t="str">
        <f>IF(MAESTRO!F10="","",IFERROR(AVERAGE(I10,M10),""))</f>
        <v/>
      </c>
      <c r="R10" s="124" t="str">
        <f>IF(MAESTRO!F10="","",IFERROR(TRUNC(AVERAGE(O10,P10,Q10),1),""))</f>
        <v/>
      </c>
      <c r="S10" s="125" t="str">
        <f>IF(MAESTRO!F10="","",IFERROR('PROM (Artistica 9°)'!AE10,""))</f>
        <v/>
      </c>
      <c r="T10" s="125" t="str">
        <f>IF(MAESTRO!F10="","",IFERROR('PROM (Artistica 9°)'!BM10,""))</f>
        <v/>
      </c>
      <c r="U10" s="125" t="str">
        <f>IF(MAESTRO!F10="","",IFERROR('PROM (Artistica 9°)'!CU10,""))</f>
        <v/>
      </c>
      <c r="V10" s="126" t="str">
        <f>IF(MAESTRO!F10="","",IFERROR(TRUNC(AVERAGE(S10,T10,U10),1),""))</f>
        <v/>
      </c>
      <c r="W10" s="126" t="str">
        <f>IF(MAESTRO!F10="","",IF(AND(F10="",J10="",N10="",R10="",V10=""),"",IF(Y(OR(F10="",F10&gt;=3),OR(J10="",J10&gt;=3),OR(N10="",N10&gt;=3),OR(R10="",R10&gt;=3),OR(V10="",V10&gt;=3)),"✓ APROBADO","✗ REPROBADO")))</f>
        <v/>
      </c>
    </row>
    <row r="11" spans="1:23" ht="16.05" customHeight="1">
      <c r="A11" s="118">
        <v>7</v>
      </c>
      <c r="B11" s="119">
        <f>MAESTRO!F11</f>
        <v>0</v>
      </c>
      <c r="C11" s="122" t="str">
        <f>IF(MAESTRO!F11="","",IFERROR('PROM (Ingles 9°)'!AE11,""))</f>
        <v/>
      </c>
      <c r="D11" s="122" t="str">
        <f>IF(MAESTRO!F11="","",IFERROR('PROM (Ingles 9°)'!BM11,""))</f>
        <v/>
      </c>
      <c r="E11" s="122" t="str">
        <f>IF(MAESTRO!F11="","",IFERROR('PROM (Ingles 9°)'!CU11,""))</f>
        <v/>
      </c>
      <c r="F11" s="123" t="str">
        <f>IF(MAESTRO!F11="","",IFERROR(TRUNC(AVERAGE(C11,D11,E11),1),""))</f>
        <v/>
      </c>
      <c r="G11" s="122" t="str">
        <f>IF(MAESTRO!F11="","",IFERROR('PROM (Agropecuaria 9°)'!AE11,""))</f>
        <v/>
      </c>
      <c r="H11" s="122" t="str">
        <f>IF(MAESTRO!F11="","",IFERROR('PROM (Agropecuaria 9°)'!BM11,""))</f>
        <v/>
      </c>
      <c r="I11" s="122" t="str">
        <f>IF(MAESTRO!F11="","",IFERROR('PROM (Agropecuaria 9°)'!CU11,""))</f>
        <v/>
      </c>
      <c r="J11" s="123" t="str">
        <f>IF(MAESTRO!F11="","",IFERROR(TRUNC(AVERAGE(G11,H11,I11),1),""))</f>
        <v/>
      </c>
      <c r="K11" s="122" t="str">
        <f>IF(MAESTRO!F11="","",IFERROR('PROM (Comercio 9°)'!AE11,""))</f>
        <v/>
      </c>
      <c r="L11" s="122" t="str">
        <f>IF(MAESTRO!F11="","",IFERROR('PROM (Comercio 9°)'!BM11,""))</f>
        <v/>
      </c>
      <c r="M11" s="122" t="str">
        <f>IF(MAESTRO!F11="","",IFERROR('PROM (Comercio 9°)'!CU11,""))</f>
        <v/>
      </c>
      <c r="N11" s="123" t="str">
        <f>IF(MAESTRO!F11="","",IFERROR(TRUNC(AVERAGE(K11,L11,M11),1),""))</f>
        <v/>
      </c>
      <c r="O11" s="124" t="str">
        <f>IF(MAESTRO!F11="","",IFERROR(AVERAGE(G11,K11),""))</f>
        <v/>
      </c>
      <c r="P11" s="124" t="str">
        <f>IF(MAESTRO!F11="","",IFERROR(AVERAGE(H11,L11),""))</f>
        <v/>
      </c>
      <c r="Q11" s="124" t="str">
        <f>IF(MAESTRO!F11="","",IFERROR(AVERAGE(I11,M11),""))</f>
        <v/>
      </c>
      <c r="R11" s="124" t="str">
        <f>IF(MAESTRO!F11="","",IFERROR(TRUNC(AVERAGE(O11,P11,Q11),1),""))</f>
        <v/>
      </c>
      <c r="S11" s="122" t="str">
        <f>IF(MAESTRO!F11="","",IFERROR('PROM (Artistica 9°)'!AE11,""))</f>
        <v/>
      </c>
      <c r="T11" s="122" t="str">
        <f>IF(MAESTRO!F11="","",IFERROR('PROM (Artistica 9°)'!BM11,""))</f>
        <v/>
      </c>
      <c r="U11" s="122" t="str">
        <f>IF(MAESTRO!F11="","",IFERROR('PROM (Artistica 9°)'!CU11,""))</f>
        <v/>
      </c>
      <c r="V11" s="123" t="str">
        <f>IF(MAESTRO!F11="","",IFERROR(TRUNC(AVERAGE(S11,T11,U11),1),""))</f>
        <v/>
      </c>
      <c r="W11" s="123" t="str">
        <f>IF(MAESTRO!F11="","",IF(AND(F11="",J11="",N11="",R11="",V11=""),"",IF(Y(OR(F11="",F11&gt;=3),OR(J11="",J11&gt;=3),OR(N11="",N11&gt;=3),OR(R11="",R11&gt;=3),OR(V11="",V11&gt;=3)),"✓ APROBADO","✗ REPROBADO")))</f>
        <v/>
      </c>
    </row>
    <row r="12" spans="1:23" ht="16.05" customHeight="1">
      <c r="A12" s="116">
        <v>8</v>
      </c>
      <c r="B12" s="117">
        <f>MAESTRO!F12</f>
        <v>0</v>
      </c>
      <c r="C12" s="125" t="str">
        <f>IF(MAESTRO!F12="","",IFERROR('PROM (Ingles 9°)'!AE12,""))</f>
        <v/>
      </c>
      <c r="D12" s="125" t="str">
        <f>IF(MAESTRO!F12="","",IFERROR('PROM (Ingles 9°)'!BM12,""))</f>
        <v/>
      </c>
      <c r="E12" s="125" t="str">
        <f>IF(MAESTRO!F12="","",IFERROR('PROM (Ingles 9°)'!CU12,""))</f>
        <v/>
      </c>
      <c r="F12" s="126" t="str">
        <f>IF(MAESTRO!F12="","",IFERROR(TRUNC(AVERAGE(C12,D12,E12),1),""))</f>
        <v/>
      </c>
      <c r="G12" s="125" t="str">
        <f>IF(MAESTRO!F12="","",IFERROR('PROM (Agropecuaria 9°)'!AE12,""))</f>
        <v/>
      </c>
      <c r="H12" s="125" t="str">
        <f>IF(MAESTRO!F12="","",IFERROR('PROM (Agropecuaria 9°)'!BM12,""))</f>
        <v/>
      </c>
      <c r="I12" s="125" t="str">
        <f>IF(MAESTRO!F12="","",IFERROR('PROM (Agropecuaria 9°)'!CU12,""))</f>
        <v/>
      </c>
      <c r="J12" s="126" t="str">
        <f>IF(MAESTRO!F12="","",IFERROR(TRUNC(AVERAGE(G12,H12,I12),1),""))</f>
        <v/>
      </c>
      <c r="K12" s="125" t="str">
        <f>IF(MAESTRO!F12="","",IFERROR('PROM (Comercio 9°)'!AE12,""))</f>
        <v/>
      </c>
      <c r="L12" s="125" t="str">
        <f>IF(MAESTRO!F12="","",IFERROR('PROM (Comercio 9°)'!BM12,""))</f>
        <v/>
      </c>
      <c r="M12" s="125" t="str">
        <f>IF(MAESTRO!F12="","",IFERROR('PROM (Comercio 9°)'!CU12,""))</f>
        <v/>
      </c>
      <c r="N12" s="126" t="str">
        <f>IF(MAESTRO!F12="","",IFERROR(TRUNC(AVERAGE(K12,L12,M12),1),""))</f>
        <v/>
      </c>
      <c r="O12" s="124" t="str">
        <f>IF(MAESTRO!F12="","",IFERROR(AVERAGE(G12,K12),""))</f>
        <v/>
      </c>
      <c r="P12" s="124" t="str">
        <f>IF(MAESTRO!F12="","",IFERROR(AVERAGE(H12,L12),""))</f>
        <v/>
      </c>
      <c r="Q12" s="124" t="str">
        <f>IF(MAESTRO!F12="","",IFERROR(AVERAGE(I12,M12),""))</f>
        <v/>
      </c>
      <c r="R12" s="124" t="str">
        <f>IF(MAESTRO!F12="","",IFERROR(TRUNC(AVERAGE(O12,P12,Q12),1),""))</f>
        <v/>
      </c>
      <c r="S12" s="125" t="str">
        <f>IF(MAESTRO!F12="","",IFERROR('PROM (Artistica 9°)'!AE12,""))</f>
        <v/>
      </c>
      <c r="T12" s="125" t="str">
        <f>IF(MAESTRO!F12="","",IFERROR('PROM (Artistica 9°)'!BM12,""))</f>
        <v/>
      </c>
      <c r="U12" s="125" t="str">
        <f>IF(MAESTRO!F12="","",IFERROR('PROM (Artistica 9°)'!CU12,""))</f>
        <v/>
      </c>
      <c r="V12" s="126" t="str">
        <f>IF(MAESTRO!F12="","",IFERROR(TRUNC(AVERAGE(S12,T12,U12),1),""))</f>
        <v/>
      </c>
      <c r="W12" s="126" t="str">
        <f>IF(MAESTRO!F12="","",IF(AND(F12="",J12="",N12="",R12="",V12=""),"",IF(Y(OR(F12="",F12&gt;=3),OR(J12="",J12&gt;=3),OR(N12="",N12&gt;=3),OR(R12="",R12&gt;=3),OR(V12="",V12&gt;=3)),"✓ APROBADO","✗ REPROBADO")))</f>
        <v/>
      </c>
    </row>
    <row r="13" spans="1:23" ht="16.05" customHeight="1">
      <c r="A13" s="118">
        <v>9</v>
      </c>
      <c r="B13" s="119">
        <f>MAESTRO!F13</f>
        <v>0</v>
      </c>
      <c r="C13" s="122" t="str">
        <f>IF(MAESTRO!F13="","",IFERROR('PROM (Ingles 9°)'!AE13,""))</f>
        <v/>
      </c>
      <c r="D13" s="122" t="str">
        <f>IF(MAESTRO!F13="","",IFERROR('PROM (Ingles 9°)'!BM13,""))</f>
        <v/>
      </c>
      <c r="E13" s="122" t="str">
        <f>IF(MAESTRO!F13="","",IFERROR('PROM (Ingles 9°)'!CU13,""))</f>
        <v/>
      </c>
      <c r="F13" s="123" t="str">
        <f>IF(MAESTRO!F13="","",IFERROR(TRUNC(AVERAGE(C13,D13,E13),1),""))</f>
        <v/>
      </c>
      <c r="G13" s="122" t="str">
        <f>IF(MAESTRO!F13="","",IFERROR('PROM (Agropecuaria 9°)'!AE13,""))</f>
        <v/>
      </c>
      <c r="H13" s="122" t="str">
        <f>IF(MAESTRO!F13="","",IFERROR('PROM (Agropecuaria 9°)'!BM13,""))</f>
        <v/>
      </c>
      <c r="I13" s="122" t="str">
        <f>IF(MAESTRO!F13="","",IFERROR('PROM (Agropecuaria 9°)'!CU13,""))</f>
        <v/>
      </c>
      <c r="J13" s="123" t="str">
        <f>IF(MAESTRO!F13="","",IFERROR(TRUNC(AVERAGE(G13,H13,I13),1),""))</f>
        <v/>
      </c>
      <c r="K13" s="122" t="str">
        <f>IF(MAESTRO!F13="","",IFERROR('PROM (Comercio 9°)'!AE13,""))</f>
        <v/>
      </c>
      <c r="L13" s="122" t="str">
        <f>IF(MAESTRO!F13="","",IFERROR('PROM (Comercio 9°)'!BM13,""))</f>
        <v/>
      </c>
      <c r="M13" s="122" t="str">
        <f>IF(MAESTRO!F13="","",IFERROR('PROM (Comercio 9°)'!CU13,""))</f>
        <v/>
      </c>
      <c r="N13" s="123" t="str">
        <f>IF(MAESTRO!F13="","",IFERROR(TRUNC(AVERAGE(K13,L13,M13),1),""))</f>
        <v/>
      </c>
      <c r="O13" s="124" t="str">
        <f>IF(MAESTRO!F13="","",IFERROR(AVERAGE(G13,K13),""))</f>
        <v/>
      </c>
      <c r="P13" s="124" t="str">
        <f>IF(MAESTRO!F13="","",IFERROR(AVERAGE(H13,L13),""))</f>
        <v/>
      </c>
      <c r="Q13" s="124" t="str">
        <f>IF(MAESTRO!F13="","",IFERROR(AVERAGE(I13,M13),""))</f>
        <v/>
      </c>
      <c r="R13" s="124" t="str">
        <f>IF(MAESTRO!F13="","",IFERROR(TRUNC(AVERAGE(O13,P13,Q13),1),""))</f>
        <v/>
      </c>
      <c r="S13" s="122" t="str">
        <f>IF(MAESTRO!F13="","",IFERROR('PROM (Artistica 9°)'!AE13,""))</f>
        <v/>
      </c>
      <c r="T13" s="122" t="str">
        <f>IF(MAESTRO!F13="","",IFERROR('PROM (Artistica 9°)'!BM13,""))</f>
        <v/>
      </c>
      <c r="U13" s="122" t="str">
        <f>IF(MAESTRO!F13="","",IFERROR('PROM (Artistica 9°)'!CU13,""))</f>
        <v/>
      </c>
      <c r="V13" s="123" t="str">
        <f>IF(MAESTRO!F13="","",IFERROR(TRUNC(AVERAGE(S13,T13,U13),1),""))</f>
        <v/>
      </c>
      <c r="W13" s="123" t="str">
        <f>IF(MAESTRO!F13="","",IF(AND(F13="",J13="",N13="",R13="",V13=""),"",IF(Y(OR(F13="",F13&gt;=3),OR(J13="",J13&gt;=3),OR(N13="",N13&gt;=3),OR(R13="",R13&gt;=3),OR(V13="",V13&gt;=3)),"✓ APROBADO","✗ REPROBADO")))</f>
        <v/>
      </c>
    </row>
    <row r="14" spans="1:23" ht="16.05" customHeight="1">
      <c r="A14" s="116">
        <v>10</v>
      </c>
      <c r="B14" s="117">
        <f>MAESTRO!F14</f>
        <v>0</v>
      </c>
      <c r="C14" s="125" t="str">
        <f>IF(MAESTRO!F14="","",IFERROR('PROM (Ingles 9°)'!AE14,""))</f>
        <v/>
      </c>
      <c r="D14" s="125" t="str">
        <f>IF(MAESTRO!F14="","",IFERROR('PROM (Ingles 9°)'!BM14,""))</f>
        <v/>
      </c>
      <c r="E14" s="125" t="str">
        <f>IF(MAESTRO!F14="","",IFERROR('PROM (Ingles 9°)'!CU14,""))</f>
        <v/>
      </c>
      <c r="F14" s="126" t="str">
        <f>IF(MAESTRO!F14="","",IFERROR(TRUNC(AVERAGE(C14,D14,E14),1),""))</f>
        <v/>
      </c>
      <c r="G14" s="125" t="str">
        <f>IF(MAESTRO!F14="","",IFERROR('PROM (Agropecuaria 9°)'!AE14,""))</f>
        <v/>
      </c>
      <c r="H14" s="125" t="str">
        <f>IF(MAESTRO!F14="","",IFERROR('PROM (Agropecuaria 9°)'!BM14,""))</f>
        <v/>
      </c>
      <c r="I14" s="125" t="str">
        <f>IF(MAESTRO!F14="","",IFERROR('PROM (Agropecuaria 9°)'!CU14,""))</f>
        <v/>
      </c>
      <c r="J14" s="126" t="str">
        <f>IF(MAESTRO!F14="","",IFERROR(TRUNC(AVERAGE(G14,H14,I14),1),""))</f>
        <v/>
      </c>
      <c r="K14" s="125" t="str">
        <f>IF(MAESTRO!F14="","",IFERROR('PROM (Comercio 9°)'!AE14,""))</f>
        <v/>
      </c>
      <c r="L14" s="125" t="str">
        <f>IF(MAESTRO!F14="","",IFERROR('PROM (Comercio 9°)'!BM14,""))</f>
        <v/>
      </c>
      <c r="M14" s="125" t="str">
        <f>IF(MAESTRO!F14="","",IFERROR('PROM (Comercio 9°)'!CU14,""))</f>
        <v/>
      </c>
      <c r="N14" s="126" t="str">
        <f>IF(MAESTRO!F14="","",IFERROR(TRUNC(AVERAGE(K14,L14,M14),1),""))</f>
        <v/>
      </c>
      <c r="O14" s="124" t="str">
        <f>IF(MAESTRO!F14="","",IFERROR(AVERAGE(G14,K14),""))</f>
        <v/>
      </c>
      <c r="P14" s="124" t="str">
        <f>IF(MAESTRO!F14="","",IFERROR(AVERAGE(H14,L14),""))</f>
        <v/>
      </c>
      <c r="Q14" s="124" t="str">
        <f>IF(MAESTRO!F14="","",IFERROR(AVERAGE(I14,M14),""))</f>
        <v/>
      </c>
      <c r="R14" s="124" t="str">
        <f>IF(MAESTRO!F14="","",IFERROR(TRUNC(AVERAGE(O14,P14,Q14),1),""))</f>
        <v/>
      </c>
      <c r="S14" s="125" t="str">
        <f>IF(MAESTRO!F14="","",IFERROR('PROM (Artistica 9°)'!AE14,""))</f>
        <v/>
      </c>
      <c r="T14" s="125" t="str">
        <f>IF(MAESTRO!F14="","",IFERROR('PROM (Artistica 9°)'!BM14,""))</f>
        <v/>
      </c>
      <c r="U14" s="125" t="str">
        <f>IF(MAESTRO!F14="","",IFERROR('PROM (Artistica 9°)'!CU14,""))</f>
        <v/>
      </c>
      <c r="V14" s="126" t="str">
        <f>IF(MAESTRO!F14="","",IFERROR(TRUNC(AVERAGE(S14,T14,U14),1),""))</f>
        <v/>
      </c>
      <c r="W14" s="126" t="str">
        <f>IF(MAESTRO!F14="","",IF(AND(F14="",J14="",N14="",R14="",V14=""),"",IF(Y(OR(F14="",F14&gt;=3),OR(J14="",J14&gt;=3),OR(N14="",N14&gt;=3),OR(R14="",R14&gt;=3),OR(V14="",V14&gt;=3)),"✓ APROBADO","✗ REPROBADO")))</f>
        <v/>
      </c>
    </row>
    <row r="15" spans="1:23" ht="16.05" customHeight="1">
      <c r="A15" s="118">
        <v>11</v>
      </c>
      <c r="B15" s="119">
        <f>MAESTRO!F15</f>
        <v>0</v>
      </c>
      <c r="C15" s="122" t="str">
        <f>IF(MAESTRO!F15="","",IFERROR('PROM (Ingles 9°)'!AE15,""))</f>
        <v/>
      </c>
      <c r="D15" s="122" t="str">
        <f>IF(MAESTRO!F15="","",IFERROR('PROM (Ingles 9°)'!BM15,""))</f>
        <v/>
      </c>
      <c r="E15" s="122" t="str">
        <f>IF(MAESTRO!F15="","",IFERROR('PROM (Ingles 9°)'!CU15,""))</f>
        <v/>
      </c>
      <c r="F15" s="123" t="str">
        <f>IF(MAESTRO!F15="","",IFERROR(TRUNC(AVERAGE(C15,D15,E15),1),""))</f>
        <v/>
      </c>
      <c r="G15" s="122" t="str">
        <f>IF(MAESTRO!F15="","",IFERROR('PROM (Agropecuaria 9°)'!AE15,""))</f>
        <v/>
      </c>
      <c r="H15" s="122" t="str">
        <f>IF(MAESTRO!F15="","",IFERROR('PROM (Agropecuaria 9°)'!BM15,""))</f>
        <v/>
      </c>
      <c r="I15" s="122" t="str">
        <f>IF(MAESTRO!F15="","",IFERROR('PROM (Agropecuaria 9°)'!CU15,""))</f>
        <v/>
      </c>
      <c r="J15" s="123" t="str">
        <f>IF(MAESTRO!F15="","",IFERROR(TRUNC(AVERAGE(G15,H15,I15),1),""))</f>
        <v/>
      </c>
      <c r="K15" s="122" t="str">
        <f>IF(MAESTRO!F15="","",IFERROR('PROM (Comercio 9°)'!AE15,""))</f>
        <v/>
      </c>
      <c r="L15" s="122" t="str">
        <f>IF(MAESTRO!F15="","",IFERROR('PROM (Comercio 9°)'!BM15,""))</f>
        <v/>
      </c>
      <c r="M15" s="122" t="str">
        <f>IF(MAESTRO!F15="","",IFERROR('PROM (Comercio 9°)'!CU15,""))</f>
        <v/>
      </c>
      <c r="N15" s="123" t="str">
        <f>IF(MAESTRO!F15="","",IFERROR(TRUNC(AVERAGE(K15,L15,M15),1),""))</f>
        <v/>
      </c>
      <c r="O15" s="124" t="str">
        <f>IF(MAESTRO!F15="","",IFERROR(AVERAGE(G15,K15),""))</f>
        <v/>
      </c>
      <c r="P15" s="124" t="str">
        <f>IF(MAESTRO!F15="","",IFERROR(AVERAGE(H15,L15),""))</f>
        <v/>
      </c>
      <c r="Q15" s="124" t="str">
        <f>IF(MAESTRO!F15="","",IFERROR(AVERAGE(I15,M15),""))</f>
        <v/>
      </c>
      <c r="R15" s="124" t="str">
        <f>IF(MAESTRO!F15="","",IFERROR(TRUNC(AVERAGE(O15,P15,Q15),1),""))</f>
        <v/>
      </c>
      <c r="S15" s="122" t="str">
        <f>IF(MAESTRO!F15="","",IFERROR('PROM (Artistica 9°)'!AE15,""))</f>
        <v/>
      </c>
      <c r="T15" s="122" t="str">
        <f>IF(MAESTRO!F15="","",IFERROR('PROM (Artistica 9°)'!BM15,""))</f>
        <v/>
      </c>
      <c r="U15" s="122" t="str">
        <f>IF(MAESTRO!F15="","",IFERROR('PROM (Artistica 9°)'!CU15,""))</f>
        <v/>
      </c>
      <c r="V15" s="123" t="str">
        <f>IF(MAESTRO!F15="","",IFERROR(TRUNC(AVERAGE(S15,T15,U15),1),""))</f>
        <v/>
      </c>
      <c r="W15" s="123" t="str">
        <f>IF(MAESTRO!F15="","",IF(AND(F15="",J15="",N15="",R15="",V15=""),"",IF(Y(OR(F15="",F15&gt;=3),OR(J15="",J15&gt;=3),OR(N15="",N15&gt;=3),OR(R15="",R15&gt;=3),OR(V15="",V15&gt;=3)),"✓ APROBADO","✗ REPROBADO")))</f>
        <v/>
      </c>
    </row>
    <row r="16" spans="1:23" ht="16.05" customHeight="1">
      <c r="A16" s="116">
        <v>12</v>
      </c>
      <c r="B16" s="117">
        <f>MAESTRO!F16</f>
        <v>0</v>
      </c>
      <c r="C16" s="125" t="str">
        <f>IF(MAESTRO!F16="","",IFERROR('PROM (Ingles 9°)'!AE16,""))</f>
        <v/>
      </c>
      <c r="D16" s="125" t="str">
        <f>IF(MAESTRO!F16="","",IFERROR('PROM (Ingles 9°)'!BM16,""))</f>
        <v/>
      </c>
      <c r="E16" s="125" t="str">
        <f>IF(MAESTRO!F16="","",IFERROR('PROM (Ingles 9°)'!CU16,""))</f>
        <v/>
      </c>
      <c r="F16" s="126" t="str">
        <f>IF(MAESTRO!F16="","",IFERROR(TRUNC(AVERAGE(C16,D16,E16),1),""))</f>
        <v/>
      </c>
      <c r="G16" s="125" t="str">
        <f>IF(MAESTRO!F16="","",IFERROR('PROM (Agropecuaria 9°)'!AE16,""))</f>
        <v/>
      </c>
      <c r="H16" s="125" t="str">
        <f>IF(MAESTRO!F16="","",IFERROR('PROM (Agropecuaria 9°)'!BM16,""))</f>
        <v/>
      </c>
      <c r="I16" s="125" t="str">
        <f>IF(MAESTRO!F16="","",IFERROR('PROM (Agropecuaria 9°)'!CU16,""))</f>
        <v/>
      </c>
      <c r="J16" s="126" t="str">
        <f>IF(MAESTRO!F16="","",IFERROR(TRUNC(AVERAGE(G16,H16,I16),1),""))</f>
        <v/>
      </c>
      <c r="K16" s="125" t="str">
        <f>IF(MAESTRO!F16="","",IFERROR('PROM (Comercio 9°)'!AE16,""))</f>
        <v/>
      </c>
      <c r="L16" s="125" t="str">
        <f>IF(MAESTRO!F16="","",IFERROR('PROM (Comercio 9°)'!BM16,""))</f>
        <v/>
      </c>
      <c r="M16" s="125" t="str">
        <f>IF(MAESTRO!F16="","",IFERROR('PROM (Comercio 9°)'!CU16,""))</f>
        <v/>
      </c>
      <c r="N16" s="126" t="str">
        <f>IF(MAESTRO!F16="","",IFERROR(TRUNC(AVERAGE(K16,L16,M16),1),""))</f>
        <v/>
      </c>
      <c r="O16" s="124" t="str">
        <f>IF(MAESTRO!F16="","",IFERROR(AVERAGE(G16,K16),""))</f>
        <v/>
      </c>
      <c r="P16" s="124" t="str">
        <f>IF(MAESTRO!F16="","",IFERROR(AVERAGE(H16,L16),""))</f>
        <v/>
      </c>
      <c r="Q16" s="124" t="str">
        <f>IF(MAESTRO!F16="","",IFERROR(AVERAGE(I16,M16),""))</f>
        <v/>
      </c>
      <c r="R16" s="124" t="str">
        <f>IF(MAESTRO!F16="","",IFERROR(TRUNC(AVERAGE(O16,P16,Q16),1),""))</f>
        <v/>
      </c>
      <c r="S16" s="125" t="str">
        <f>IF(MAESTRO!F16="","",IFERROR('PROM (Artistica 9°)'!AE16,""))</f>
        <v/>
      </c>
      <c r="T16" s="125" t="str">
        <f>IF(MAESTRO!F16="","",IFERROR('PROM (Artistica 9°)'!BM16,""))</f>
        <v/>
      </c>
      <c r="U16" s="125" t="str">
        <f>IF(MAESTRO!F16="","",IFERROR('PROM (Artistica 9°)'!CU16,""))</f>
        <v/>
      </c>
      <c r="V16" s="126" t="str">
        <f>IF(MAESTRO!F16="","",IFERROR(TRUNC(AVERAGE(S16,T16,U16),1),""))</f>
        <v/>
      </c>
      <c r="W16" s="126" t="str">
        <f>IF(MAESTRO!F16="","",IF(AND(F16="",J16="",N16="",R16="",V16=""),"",IF(Y(OR(F16="",F16&gt;=3),OR(J16="",J16&gt;=3),OR(N16="",N16&gt;=3),OR(R16="",R16&gt;=3),OR(V16="",V16&gt;=3)),"✓ APROBADO","✗ REPROBADO")))</f>
        <v/>
      </c>
    </row>
    <row r="17" spans="1:23" ht="16.05" customHeight="1">
      <c r="A17" s="118">
        <v>13</v>
      </c>
      <c r="B17" s="119">
        <f>MAESTRO!F17</f>
        <v>0</v>
      </c>
      <c r="C17" s="122" t="str">
        <f>IF(MAESTRO!F17="","",IFERROR('PROM (Ingles 9°)'!AE17,""))</f>
        <v/>
      </c>
      <c r="D17" s="122" t="str">
        <f>IF(MAESTRO!F17="","",IFERROR('PROM (Ingles 9°)'!BM17,""))</f>
        <v/>
      </c>
      <c r="E17" s="122" t="str">
        <f>IF(MAESTRO!F17="","",IFERROR('PROM (Ingles 9°)'!CU17,""))</f>
        <v/>
      </c>
      <c r="F17" s="123" t="str">
        <f>IF(MAESTRO!F17="","",IFERROR(TRUNC(AVERAGE(C17,D17,E17),1),""))</f>
        <v/>
      </c>
      <c r="G17" s="122" t="str">
        <f>IF(MAESTRO!F17="","",IFERROR('PROM (Agropecuaria 9°)'!AE17,""))</f>
        <v/>
      </c>
      <c r="H17" s="122" t="str">
        <f>IF(MAESTRO!F17="","",IFERROR('PROM (Agropecuaria 9°)'!BM17,""))</f>
        <v/>
      </c>
      <c r="I17" s="122" t="str">
        <f>IF(MAESTRO!F17="","",IFERROR('PROM (Agropecuaria 9°)'!CU17,""))</f>
        <v/>
      </c>
      <c r="J17" s="123" t="str">
        <f>IF(MAESTRO!F17="","",IFERROR(TRUNC(AVERAGE(G17,H17,I17),1),""))</f>
        <v/>
      </c>
      <c r="K17" s="122" t="str">
        <f>IF(MAESTRO!F17="","",IFERROR('PROM (Comercio 9°)'!AE17,""))</f>
        <v/>
      </c>
      <c r="L17" s="122" t="str">
        <f>IF(MAESTRO!F17="","",IFERROR('PROM (Comercio 9°)'!BM17,""))</f>
        <v/>
      </c>
      <c r="M17" s="122" t="str">
        <f>IF(MAESTRO!F17="","",IFERROR('PROM (Comercio 9°)'!CU17,""))</f>
        <v/>
      </c>
      <c r="N17" s="123" t="str">
        <f>IF(MAESTRO!F17="","",IFERROR(TRUNC(AVERAGE(K17,L17,M17),1),""))</f>
        <v/>
      </c>
      <c r="O17" s="124" t="str">
        <f>IF(MAESTRO!F17="","",IFERROR(AVERAGE(G17,K17),""))</f>
        <v/>
      </c>
      <c r="P17" s="124" t="str">
        <f>IF(MAESTRO!F17="","",IFERROR(AVERAGE(H17,L17),""))</f>
        <v/>
      </c>
      <c r="Q17" s="124" t="str">
        <f>IF(MAESTRO!F17="","",IFERROR(AVERAGE(I17,M17),""))</f>
        <v/>
      </c>
      <c r="R17" s="124" t="str">
        <f>IF(MAESTRO!F17="","",IFERROR(TRUNC(AVERAGE(O17,P17,Q17),1),""))</f>
        <v/>
      </c>
      <c r="S17" s="122" t="str">
        <f>IF(MAESTRO!F17="","",IFERROR('PROM (Artistica 9°)'!AE17,""))</f>
        <v/>
      </c>
      <c r="T17" s="122" t="str">
        <f>IF(MAESTRO!F17="","",IFERROR('PROM (Artistica 9°)'!BM17,""))</f>
        <v/>
      </c>
      <c r="U17" s="122" t="str">
        <f>IF(MAESTRO!F17="","",IFERROR('PROM (Artistica 9°)'!CU17,""))</f>
        <v/>
      </c>
      <c r="V17" s="123" t="str">
        <f>IF(MAESTRO!F17="","",IFERROR(TRUNC(AVERAGE(S17,T17,U17),1),""))</f>
        <v/>
      </c>
      <c r="W17" s="123" t="str">
        <f>IF(MAESTRO!F17="","",IF(AND(F17="",J17="",N17="",R17="",V17=""),"",IF(Y(OR(F17="",F17&gt;=3),OR(J17="",J17&gt;=3),OR(N17="",N17&gt;=3),OR(R17="",R17&gt;=3),OR(V17="",V17&gt;=3)),"✓ APROBADO","✗ REPROBADO")))</f>
        <v/>
      </c>
    </row>
    <row r="18" spans="1:23" ht="16.05" customHeight="1">
      <c r="A18" s="116">
        <v>14</v>
      </c>
      <c r="B18" s="117">
        <f>MAESTRO!F18</f>
        <v>0</v>
      </c>
      <c r="C18" s="125" t="str">
        <f>IF(MAESTRO!F18="","",IFERROR('PROM (Ingles 9°)'!AE18,""))</f>
        <v/>
      </c>
      <c r="D18" s="125" t="str">
        <f>IF(MAESTRO!F18="","",IFERROR('PROM (Ingles 9°)'!BM18,""))</f>
        <v/>
      </c>
      <c r="E18" s="125" t="str">
        <f>IF(MAESTRO!F18="","",IFERROR('PROM (Ingles 9°)'!CU18,""))</f>
        <v/>
      </c>
      <c r="F18" s="126" t="str">
        <f>IF(MAESTRO!F18="","",IFERROR(TRUNC(AVERAGE(C18,D18,E18),1),""))</f>
        <v/>
      </c>
      <c r="G18" s="125" t="str">
        <f>IF(MAESTRO!F18="","",IFERROR('PROM (Agropecuaria 9°)'!AE18,""))</f>
        <v/>
      </c>
      <c r="H18" s="125" t="str">
        <f>IF(MAESTRO!F18="","",IFERROR('PROM (Agropecuaria 9°)'!BM18,""))</f>
        <v/>
      </c>
      <c r="I18" s="125" t="str">
        <f>IF(MAESTRO!F18="","",IFERROR('PROM (Agropecuaria 9°)'!CU18,""))</f>
        <v/>
      </c>
      <c r="J18" s="126" t="str">
        <f>IF(MAESTRO!F18="","",IFERROR(TRUNC(AVERAGE(G18,H18,I18),1),""))</f>
        <v/>
      </c>
      <c r="K18" s="125" t="str">
        <f>IF(MAESTRO!F18="","",IFERROR('PROM (Comercio 9°)'!AE18,""))</f>
        <v/>
      </c>
      <c r="L18" s="125" t="str">
        <f>IF(MAESTRO!F18="","",IFERROR('PROM (Comercio 9°)'!BM18,""))</f>
        <v/>
      </c>
      <c r="M18" s="125" t="str">
        <f>IF(MAESTRO!F18="","",IFERROR('PROM (Comercio 9°)'!CU18,""))</f>
        <v/>
      </c>
      <c r="N18" s="126" t="str">
        <f>IF(MAESTRO!F18="","",IFERROR(TRUNC(AVERAGE(K18,L18,M18),1),""))</f>
        <v/>
      </c>
      <c r="O18" s="124" t="str">
        <f>IF(MAESTRO!F18="","",IFERROR(AVERAGE(G18,K18),""))</f>
        <v/>
      </c>
      <c r="P18" s="124" t="str">
        <f>IF(MAESTRO!F18="","",IFERROR(AVERAGE(H18,L18),""))</f>
        <v/>
      </c>
      <c r="Q18" s="124" t="str">
        <f>IF(MAESTRO!F18="","",IFERROR(AVERAGE(I18,M18),""))</f>
        <v/>
      </c>
      <c r="R18" s="124" t="str">
        <f>IF(MAESTRO!F18="","",IFERROR(TRUNC(AVERAGE(O18,P18,Q18),1),""))</f>
        <v/>
      </c>
      <c r="S18" s="125" t="str">
        <f>IF(MAESTRO!F18="","",IFERROR('PROM (Artistica 9°)'!AE18,""))</f>
        <v/>
      </c>
      <c r="T18" s="125" t="str">
        <f>IF(MAESTRO!F18="","",IFERROR('PROM (Artistica 9°)'!BM18,""))</f>
        <v/>
      </c>
      <c r="U18" s="125" t="str">
        <f>IF(MAESTRO!F18="","",IFERROR('PROM (Artistica 9°)'!CU18,""))</f>
        <v/>
      </c>
      <c r="V18" s="126" t="str">
        <f>IF(MAESTRO!F18="","",IFERROR(TRUNC(AVERAGE(S18,T18,U18),1),""))</f>
        <v/>
      </c>
      <c r="W18" s="126" t="str">
        <f>IF(MAESTRO!F18="","",IF(AND(F18="",J18="",N18="",R18="",V18=""),"",IF(Y(OR(F18="",F18&gt;=3),OR(J18="",J18&gt;=3),OR(N18="",N18&gt;=3),OR(R18="",R18&gt;=3),OR(V18="",V18&gt;=3)),"✓ APROBADO","✗ REPROBADO")))</f>
        <v/>
      </c>
    </row>
    <row r="19" spans="1:23" ht="16.05" customHeight="1">
      <c r="A19" s="118">
        <v>15</v>
      </c>
      <c r="B19" s="119">
        <f>MAESTRO!F19</f>
        <v>0</v>
      </c>
      <c r="C19" s="122" t="str">
        <f>IF(MAESTRO!F19="","",IFERROR('PROM (Ingles 9°)'!AE19,""))</f>
        <v/>
      </c>
      <c r="D19" s="122" t="str">
        <f>IF(MAESTRO!F19="","",IFERROR('PROM (Ingles 9°)'!BM19,""))</f>
        <v/>
      </c>
      <c r="E19" s="122" t="str">
        <f>IF(MAESTRO!F19="","",IFERROR('PROM (Ingles 9°)'!CU19,""))</f>
        <v/>
      </c>
      <c r="F19" s="123" t="str">
        <f>IF(MAESTRO!F19="","",IFERROR(TRUNC(AVERAGE(C19,D19,E19),1),""))</f>
        <v/>
      </c>
      <c r="G19" s="122" t="str">
        <f>IF(MAESTRO!F19="","",IFERROR('PROM (Agropecuaria 9°)'!AE19,""))</f>
        <v/>
      </c>
      <c r="H19" s="122" t="str">
        <f>IF(MAESTRO!F19="","",IFERROR('PROM (Agropecuaria 9°)'!BM19,""))</f>
        <v/>
      </c>
      <c r="I19" s="122" t="str">
        <f>IF(MAESTRO!F19="","",IFERROR('PROM (Agropecuaria 9°)'!CU19,""))</f>
        <v/>
      </c>
      <c r="J19" s="123" t="str">
        <f>IF(MAESTRO!F19="","",IFERROR(TRUNC(AVERAGE(G19,H19,I19),1),""))</f>
        <v/>
      </c>
      <c r="K19" s="122" t="str">
        <f>IF(MAESTRO!F19="","",IFERROR('PROM (Comercio 9°)'!AE19,""))</f>
        <v/>
      </c>
      <c r="L19" s="122" t="str">
        <f>IF(MAESTRO!F19="","",IFERROR('PROM (Comercio 9°)'!BM19,""))</f>
        <v/>
      </c>
      <c r="M19" s="122" t="str">
        <f>IF(MAESTRO!F19="","",IFERROR('PROM (Comercio 9°)'!CU19,""))</f>
        <v/>
      </c>
      <c r="N19" s="123" t="str">
        <f>IF(MAESTRO!F19="","",IFERROR(TRUNC(AVERAGE(K19,L19,M19),1),""))</f>
        <v/>
      </c>
      <c r="O19" s="124" t="str">
        <f>IF(MAESTRO!F19="","",IFERROR(AVERAGE(G19,K19),""))</f>
        <v/>
      </c>
      <c r="P19" s="124" t="str">
        <f>IF(MAESTRO!F19="","",IFERROR(AVERAGE(H19,L19),""))</f>
        <v/>
      </c>
      <c r="Q19" s="124" t="str">
        <f>IF(MAESTRO!F19="","",IFERROR(AVERAGE(I19,M19),""))</f>
        <v/>
      </c>
      <c r="R19" s="124" t="str">
        <f>IF(MAESTRO!F19="","",IFERROR(TRUNC(AVERAGE(O19,P19,Q19),1),""))</f>
        <v/>
      </c>
      <c r="S19" s="122" t="str">
        <f>IF(MAESTRO!F19="","",IFERROR('PROM (Artistica 9°)'!AE19,""))</f>
        <v/>
      </c>
      <c r="T19" s="122" t="str">
        <f>IF(MAESTRO!F19="","",IFERROR('PROM (Artistica 9°)'!BM19,""))</f>
        <v/>
      </c>
      <c r="U19" s="122" t="str">
        <f>IF(MAESTRO!F19="","",IFERROR('PROM (Artistica 9°)'!CU19,""))</f>
        <v/>
      </c>
      <c r="V19" s="123" t="str">
        <f>IF(MAESTRO!F19="","",IFERROR(TRUNC(AVERAGE(S19,T19,U19),1),""))</f>
        <v/>
      </c>
      <c r="W19" s="123" t="str">
        <f>IF(MAESTRO!F19="","",IF(AND(F19="",J19="",N19="",R19="",V19=""),"",IF(Y(OR(F19="",F19&gt;=3),OR(J19="",J19&gt;=3),OR(N19="",N19&gt;=3),OR(R19="",R19&gt;=3),OR(V19="",V19&gt;=3)),"✓ APROBADO","✗ REPROBADO")))</f>
        <v/>
      </c>
    </row>
    <row r="20" spans="1:23" ht="16.05" customHeight="1">
      <c r="A20" s="116">
        <v>16</v>
      </c>
      <c r="B20" s="117">
        <f>MAESTRO!F20</f>
        <v>0</v>
      </c>
      <c r="C20" s="125" t="str">
        <f>IF(MAESTRO!F20="","",IFERROR('PROM (Ingles 9°)'!AE20,""))</f>
        <v/>
      </c>
      <c r="D20" s="125" t="str">
        <f>IF(MAESTRO!F20="","",IFERROR('PROM (Ingles 9°)'!BM20,""))</f>
        <v/>
      </c>
      <c r="E20" s="125" t="str">
        <f>IF(MAESTRO!F20="","",IFERROR('PROM (Ingles 9°)'!CU20,""))</f>
        <v/>
      </c>
      <c r="F20" s="126" t="str">
        <f>IF(MAESTRO!F20="","",IFERROR(TRUNC(AVERAGE(C20,D20,E20),1),""))</f>
        <v/>
      </c>
      <c r="G20" s="125" t="str">
        <f>IF(MAESTRO!F20="","",IFERROR('PROM (Agropecuaria 9°)'!AE20,""))</f>
        <v/>
      </c>
      <c r="H20" s="125" t="str">
        <f>IF(MAESTRO!F20="","",IFERROR('PROM (Agropecuaria 9°)'!BM20,""))</f>
        <v/>
      </c>
      <c r="I20" s="125" t="str">
        <f>IF(MAESTRO!F20="","",IFERROR('PROM (Agropecuaria 9°)'!CU20,""))</f>
        <v/>
      </c>
      <c r="J20" s="126" t="str">
        <f>IF(MAESTRO!F20="","",IFERROR(TRUNC(AVERAGE(G20,H20,I20),1),""))</f>
        <v/>
      </c>
      <c r="K20" s="125" t="str">
        <f>IF(MAESTRO!F20="","",IFERROR('PROM (Comercio 9°)'!AE20,""))</f>
        <v/>
      </c>
      <c r="L20" s="125" t="str">
        <f>IF(MAESTRO!F20="","",IFERROR('PROM (Comercio 9°)'!BM20,""))</f>
        <v/>
      </c>
      <c r="M20" s="125" t="str">
        <f>IF(MAESTRO!F20="","",IFERROR('PROM (Comercio 9°)'!CU20,""))</f>
        <v/>
      </c>
      <c r="N20" s="126" t="str">
        <f>IF(MAESTRO!F20="","",IFERROR(TRUNC(AVERAGE(K20,L20,M20),1),""))</f>
        <v/>
      </c>
      <c r="O20" s="124" t="str">
        <f>IF(MAESTRO!F20="","",IFERROR(AVERAGE(G20,K20),""))</f>
        <v/>
      </c>
      <c r="P20" s="124" t="str">
        <f>IF(MAESTRO!F20="","",IFERROR(AVERAGE(H20,L20),""))</f>
        <v/>
      </c>
      <c r="Q20" s="124" t="str">
        <f>IF(MAESTRO!F20="","",IFERROR(AVERAGE(I20,M20),""))</f>
        <v/>
      </c>
      <c r="R20" s="124" t="str">
        <f>IF(MAESTRO!F20="","",IFERROR(TRUNC(AVERAGE(O20,P20,Q20),1),""))</f>
        <v/>
      </c>
      <c r="S20" s="125" t="str">
        <f>IF(MAESTRO!F20="","",IFERROR('PROM (Artistica 9°)'!AE20,""))</f>
        <v/>
      </c>
      <c r="T20" s="125" t="str">
        <f>IF(MAESTRO!F20="","",IFERROR('PROM (Artistica 9°)'!BM20,""))</f>
        <v/>
      </c>
      <c r="U20" s="125" t="str">
        <f>IF(MAESTRO!F20="","",IFERROR('PROM (Artistica 9°)'!CU20,""))</f>
        <v/>
      </c>
      <c r="V20" s="126" t="str">
        <f>IF(MAESTRO!F20="","",IFERROR(TRUNC(AVERAGE(S20,T20,U20),1),""))</f>
        <v/>
      </c>
      <c r="W20" s="126" t="str">
        <f>IF(MAESTRO!F20="","",IF(AND(F20="",J20="",N20="",R20="",V20=""),"",IF(Y(OR(F20="",F20&gt;=3),OR(J20="",J20&gt;=3),OR(N20="",N20&gt;=3),OR(R20="",R20&gt;=3),OR(V20="",V20&gt;=3)),"✓ APROBADO","✗ REPROBADO")))</f>
        <v/>
      </c>
    </row>
    <row r="21" spans="1:23" ht="16.05" customHeight="1">
      <c r="A21" s="118">
        <v>17</v>
      </c>
      <c r="B21" s="119">
        <f>MAESTRO!F21</f>
        <v>0</v>
      </c>
      <c r="C21" s="122" t="str">
        <f>IF(MAESTRO!F21="","",IFERROR('PROM (Ingles 9°)'!AE21,""))</f>
        <v/>
      </c>
      <c r="D21" s="122" t="str">
        <f>IF(MAESTRO!F21="","",IFERROR('PROM (Ingles 9°)'!BM21,""))</f>
        <v/>
      </c>
      <c r="E21" s="122" t="str">
        <f>IF(MAESTRO!F21="","",IFERROR('PROM (Ingles 9°)'!CU21,""))</f>
        <v/>
      </c>
      <c r="F21" s="123" t="str">
        <f>IF(MAESTRO!F21="","",IFERROR(TRUNC(AVERAGE(C21,D21,E21),1),""))</f>
        <v/>
      </c>
      <c r="G21" s="122" t="str">
        <f>IF(MAESTRO!F21="","",IFERROR('PROM (Agropecuaria 9°)'!AE21,""))</f>
        <v/>
      </c>
      <c r="H21" s="122" t="str">
        <f>IF(MAESTRO!F21="","",IFERROR('PROM (Agropecuaria 9°)'!BM21,""))</f>
        <v/>
      </c>
      <c r="I21" s="122" t="str">
        <f>IF(MAESTRO!F21="","",IFERROR('PROM (Agropecuaria 9°)'!CU21,""))</f>
        <v/>
      </c>
      <c r="J21" s="123" t="str">
        <f>IF(MAESTRO!F21="","",IFERROR(TRUNC(AVERAGE(G21,H21,I21),1),""))</f>
        <v/>
      </c>
      <c r="K21" s="122" t="str">
        <f>IF(MAESTRO!F21="","",IFERROR('PROM (Comercio 9°)'!AE21,""))</f>
        <v/>
      </c>
      <c r="L21" s="122" t="str">
        <f>IF(MAESTRO!F21="","",IFERROR('PROM (Comercio 9°)'!BM21,""))</f>
        <v/>
      </c>
      <c r="M21" s="122" t="str">
        <f>IF(MAESTRO!F21="","",IFERROR('PROM (Comercio 9°)'!CU21,""))</f>
        <v/>
      </c>
      <c r="N21" s="123" t="str">
        <f>IF(MAESTRO!F21="","",IFERROR(TRUNC(AVERAGE(K21,L21,M21),1),""))</f>
        <v/>
      </c>
      <c r="O21" s="124" t="str">
        <f>IF(MAESTRO!F21="","",IFERROR(AVERAGE(G21,K21),""))</f>
        <v/>
      </c>
      <c r="P21" s="124" t="str">
        <f>IF(MAESTRO!F21="","",IFERROR(AVERAGE(H21,L21),""))</f>
        <v/>
      </c>
      <c r="Q21" s="124" t="str">
        <f>IF(MAESTRO!F21="","",IFERROR(AVERAGE(I21,M21),""))</f>
        <v/>
      </c>
      <c r="R21" s="124" t="str">
        <f>IF(MAESTRO!F21="","",IFERROR(TRUNC(AVERAGE(O21,P21,Q21),1),""))</f>
        <v/>
      </c>
      <c r="S21" s="122" t="str">
        <f>IF(MAESTRO!F21="","",IFERROR('PROM (Artistica 9°)'!AE21,""))</f>
        <v/>
      </c>
      <c r="T21" s="122" t="str">
        <f>IF(MAESTRO!F21="","",IFERROR('PROM (Artistica 9°)'!BM21,""))</f>
        <v/>
      </c>
      <c r="U21" s="122" t="str">
        <f>IF(MAESTRO!F21="","",IFERROR('PROM (Artistica 9°)'!CU21,""))</f>
        <v/>
      </c>
      <c r="V21" s="123" t="str">
        <f>IF(MAESTRO!F21="","",IFERROR(TRUNC(AVERAGE(S21,T21,U21),1),""))</f>
        <v/>
      </c>
      <c r="W21" s="123" t="str">
        <f>IF(MAESTRO!F21="","",IF(AND(F21="",J21="",N21="",R21="",V21=""),"",IF(Y(OR(F21="",F21&gt;=3),OR(J21="",J21&gt;=3),OR(N21="",N21&gt;=3),OR(R21="",R21&gt;=3),OR(V21="",V21&gt;=3)),"✓ APROBADO","✗ REPROBADO")))</f>
        <v/>
      </c>
    </row>
    <row r="22" spans="1:23" ht="16.05" customHeight="1">
      <c r="A22" s="116">
        <v>18</v>
      </c>
      <c r="B22" s="117">
        <f>MAESTRO!F22</f>
        <v>0</v>
      </c>
      <c r="C22" s="125" t="str">
        <f>IF(MAESTRO!F22="","",IFERROR('PROM (Ingles 9°)'!AE22,""))</f>
        <v/>
      </c>
      <c r="D22" s="125" t="str">
        <f>IF(MAESTRO!F22="","",IFERROR('PROM (Ingles 9°)'!BM22,""))</f>
        <v/>
      </c>
      <c r="E22" s="125" t="str">
        <f>IF(MAESTRO!F22="","",IFERROR('PROM (Ingles 9°)'!CU22,""))</f>
        <v/>
      </c>
      <c r="F22" s="126" t="str">
        <f>IF(MAESTRO!F22="","",IFERROR(TRUNC(AVERAGE(C22,D22,E22),1),""))</f>
        <v/>
      </c>
      <c r="G22" s="125" t="str">
        <f>IF(MAESTRO!F22="","",IFERROR('PROM (Agropecuaria 9°)'!AE22,""))</f>
        <v/>
      </c>
      <c r="H22" s="125" t="str">
        <f>IF(MAESTRO!F22="","",IFERROR('PROM (Agropecuaria 9°)'!BM22,""))</f>
        <v/>
      </c>
      <c r="I22" s="125" t="str">
        <f>IF(MAESTRO!F22="","",IFERROR('PROM (Agropecuaria 9°)'!CU22,""))</f>
        <v/>
      </c>
      <c r="J22" s="126" t="str">
        <f>IF(MAESTRO!F22="","",IFERROR(TRUNC(AVERAGE(G22,H22,I22),1),""))</f>
        <v/>
      </c>
      <c r="K22" s="125" t="str">
        <f>IF(MAESTRO!F22="","",IFERROR('PROM (Comercio 9°)'!AE22,""))</f>
        <v/>
      </c>
      <c r="L22" s="125" t="str">
        <f>IF(MAESTRO!F22="","",IFERROR('PROM (Comercio 9°)'!BM22,""))</f>
        <v/>
      </c>
      <c r="M22" s="125" t="str">
        <f>IF(MAESTRO!F22="","",IFERROR('PROM (Comercio 9°)'!CU22,""))</f>
        <v/>
      </c>
      <c r="N22" s="126" t="str">
        <f>IF(MAESTRO!F22="","",IFERROR(TRUNC(AVERAGE(K22,L22,M22),1),""))</f>
        <v/>
      </c>
      <c r="O22" s="124" t="str">
        <f>IF(MAESTRO!F22="","",IFERROR(AVERAGE(G22,K22),""))</f>
        <v/>
      </c>
      <c r="P22" s="124" t="str">
        <f>IF(MAESTRO!F22="","",IFERROR(AVERAGE(H22,L22),""))</f>
        <v/>
      </c>
      <c r="Q22" s="124" t="str">
        <f>IF(MAESTRO!F22="","",IFERROR(AVERAGE(I22,M22),""))</f>
        <v/>
      </c>
      <c r="R22" s="124" t="str">
        <f>IF(MAESTRO!F22="","",IFERROR(TRUNC(AVERAGE(O22,P22,Q22),1),""))</f>
        <v/>
      </c>
      <c r="S22" s="125" t="str">
        <f>IF(MAESTRO!F22="","",IFERROR('PROM (Artistica 9°)'!AE22,""))</f>
        <v/>
      </c>
      <c r="T22" s="125" t="str">
        <f>IF(MAESTRO!F22="","",IFERROR('PROM (Artistica 9°)'!BM22,""))</f>
        <v/>
      </c>
      <c r="U22" s="125" t="str">
        <f>IF(MAESTRO!F22="","",IFERROR('PROM (Artistica 9°)'!CU22,""))</f>
        <v/>
      </c>
      <c r="V22" s="126" t="str">
        <f>IF(MAESTRO!F22="","",IFERROR(TRUNC(AVERAGE(S22,T22,U22),1),""))</f>
        <v/>
      </c>
      <c r="W22" s="126" t="str">
        <f>IF(MAESTRO!F22="","",IF(AND(F22="",J22="",N22="",R22="",V22=""),"",IF(Y(OR(F22="",F22&gt;=3),OR(J22="",J22&gt;=3),OR(N22="",N22&gt;=3),OR(R22="",R22&gt;=3),OR(V22="",V22&gt;=3)),"✓ APROBADO","✗ REPROBADO")))</f>
        <v/>
      </c>
    </row>
    <row r="23" spans="1:23" ht="16.05" customHeight="1">
      <c r="A23" s="118">
        <v>19</v>
      </c>
      <c r="B23" s="119">
        <f>MAESTRO!F23</f>
        <v>0</v>
      </c>
      <c r="C23" s="122" t="str">
        <f>IF(MAESTRO!F23="","",IFERROR('PROM (Ingles 9°)'!AE23,""))</f>
        <v/>
      </c>
      <c r="D23" s="122" t="str">
        <f>IF(MAESTRO!F23="","",IFERROR('PROM (Ingles 9°)'!BM23,""))</f>
        <v/>
      </c>
      <c r="E23" s="122" t="str">
        <f>IF(MAESTRO!F23="","",IFERROR('PROM (Ingles 9°)'!CU23,""))</f>
        <v/>
      </c>
      <c r="F23" s="123" t="str">
        <f>IF(MAESTRO!F23="","",IFERROR(TRUNC(AVERAGE(C23,D23,E23),1),""))</f>
        <v/>
      </c>
      <c r="G23" s="122" t="str">
        <f>IF(MAESTRO!F23="","",IFERROR('PROM (Agropecuaria 9°)'!AE23,""))</f>
        <v/>
      </c>
      <c r="H23" s="122" t="str">
        <f>IF(MAESTRO!F23="","",IFERROR('PROM (Agropecuaria 9°)'!BM23,""))</f>
        <v/>
      </c>
      <c r="I23" s="122" t="str">
        <f>IF(MAESTRO!F23="","",IFERROR('PROM (Agropecuaria 9°)'!CU23,""))</f>
        <v/>
      </c>
      <c r="J23" s="123" t="str">
        <f>IF(MAESTRO!F23="","",IFERROR(TRUNC(AVERAGE(G23,H23,I23),1),""))</f>
        <v/>
      </c>
      <c r="K23" s="122" t="str">
        <f>IF(MAESTRO!F23="","",IFERROR('PROM (Comercio 9°)'!AE23,""))</f>
        <v/>
      </c>
      <c r="L23" s="122" t="str">
        <f>IF(MAESTRO!F23="","",IFERROR('PROM (Comercio 9°)'!BM23,""))</f>
        <v/>
      </c>
      <c r="M23" s="122" t="str">
        <f>IF(MAESTRO!F23="","",IFERROR('PROM (Comercio 9°)'!CU23,""))</f>
        <v/>
      </c>
      <c r="N23" s="123" t="str">
        <f>IF(MAESTRO!F23="","",IFERROR(TRUNC(AVERAGE(K23,L23,M23),1),""))</f>
        <v/>
      </c>
      <c r="O23" s="124" t="str">
        <f>IF(MAESTRO!F23="","",IFERROR(AVERAGE(G23,K23),""))</f>
        <v/>
      </c>
      <c r="P23" s="124" t="str">
        <f>IF(MAESTRO!F23="","",IFERROR(AVERAGE(H23,L23),""))</f>
        <v/>
      </c>
      <c r="Q23" s="124" t="str">
        <f>IF(MAESTRO!F23="","",IFERROR(AVERAGE(I23,M23),""))</f>
        <v/>
      </c>
      <c r="R23" s="124" t="str">
        <f>IF(MAESTRO!F23="","",IFERROR(TRUNC(AVERAGE(O23,P23,Q23),1),""))</f>
        <v/>
      </c>
      <c r="S23" s="122" t="str">
        <f>IF(MAESTRO!F23="","",IFERROR('PROM (Artistica 9°)'!AE23,""))</f>
        <v/>
      </c>
      <c r="T23" s="122" t="str">
        <f>IF(MAESTRO!F23="","",IFERROR('PROM (Artistica 9°)'!BM23,""))</f>
        <v/>
      </c>
      <c r="U23" s="122" t="str">
        <f>IF(MAESTRO!F23="","",IFERROR('PROM (Artistica 9°)'!CU23,""))</f>
        <v/>
      </c>
      <c r="V23" s="123" t="str">
        <f>IF(MAESTRO!F23="","",IFERROR(TRUNC(AVERAGE(S23,T23,U23),1),""))</f>
        <v/>
      </c>
      <c r="W23" s="123" t="str">
        <f>IF(MAESTRO!F23="","",IF(AND(F23="",J23="",N23="",R23="",V23=""),"",IF(Y(OR(F23="",F23&gt;=3),OR(J23="",J23&gt;=3),OR(N23="",N23&gt;=3),OR(R23="",R23&gt;=3),OR(V23="",V23&gt;=3)),"✓ APROBADO","✗ REPROBADO")))</f>
        <v/>
      </c>
    </row>
    <row r="24" spans="1:23" ht="16.05" customHeight="1">
      <c r="A24" s="116">
        <v>20</v>
      </c>
      <c r="B24" s="117">
        <f>MAESTRO!F24</f>
        <v>0</v>
      </c>
      <c r="C24" s="125" t="str">
        <f>IF(MAESTRO!F24="","",IFERROR('PROM (Ingles 9°)'!AE24,""))</f>
        <v/>
      </c>
      <c r="D24" s="125" t="str">
        <f>IF(MAESTRO!F24="","",IFERROR('PROM (Ingles 9°)'!BM24,""))</f>
        <v/>
      </c>
      <c r="E24" s="125" t="str">
        <f>IF(MAESTRO!F24="","",IFERROR('PROM (Ingles 9°)'!CU24,""))</f>
        <v/>
      </c>
      <c r="F24" s="126" t="str">
        <f>IF(MAESTRO!F24="","",IFERROR(TRUNC(AVERAGE(C24,D24,E24),1),""))</f>
        <v/>
      </c>
      <c r="G24" s="125" t="str">
        <f>IF(MAESTRO!F24="","",IFERROR('PROM (Agropecuaria 9°)'!AE24,""))</f>
        <v/>
      </c>
      <c r="H24" s="125" t="str">
        <f>IF(MAESTRO!F24="","",IFERROR('PROM (Agropecuaria 9°)'!BM24,""))</f>
        <v/>
      </c>
      <c r="I24" s="125" t="str">
        <f>IF(MAESTRO!F24="","",IFERROR('PROM (Agropecuaria 9°)'!CU24,""))</f>
        <v/>
      </c>
      <c r="J24" s="126" t="str">
        <f>IF(MAESTRO!F24="","",IFERROR(TRUNC(AVERAGE(G24,H24,I24),1),""))</f>
        <v/>
      </c>
      <c r="K24" s="125" t="str">
        <f>IF(MAESTRO!F24="","",IFERROR('PROM (Comercio 9°)'!AE24,""))</f>
        <v/>
      </c>
      <c r="L24" s="125" t="str">
        <f>IF(MAESTRO!F24="","",IFERROR('PROM (Comercio 9°)'!BM24,""))</f>
        <v/>
      </c>
      <c r="M24" s="125" t="str">
        <f>IF(MAESTRO!F24="","",IFERROR('PROM (Comercio 9°)'!CU24,""))</f>
        <v/>
      </c>
      <c r="N24" s="126" t="str">
        <f>IF(MAESTRO!F24="","",IFERROR(TRUNC(AVERAGE(K24,L24,M24),1),""))</f>
        <v/>
      </c>
      <c r="O24" s="124" t="str">
        <f>IF(MAESTRO!F24="","",IFERROR(AVERAGE(G24,K24),""))</f>
        <v/>
      </c>
      <c r="P24" s="124" t="str">
        <f>IF(MAESTRO!F24="","",IFERROR(AVERAGE(H24,L24),""))</f>
        <v/>
      </c>
      <c r="Q24" s="124" t="str">
        <f>IF(MAESTRO!F24="","",IFERROR(AVERAGE(I24,M24),""))</f>
        <v/>
      </c>
      <c r="R24" s="124" t="str">
        <f>IF(MAESTRO!F24="","",IFERROR(TRUNC(AVERAGE(O24,P24,Q24),1),""))</f>
        <v/>
      </c>
      <c r="S24" s="125" t="str">
        <f>IF(MAESTRO!F24="","",IFERROR('PROM (Artistica 9°)'!AE24,""))</f>
        <v/>
      </c>
      <c r="T24" s="125" t="str">
        <f>IF(MAESTRO!F24="","",IFERROR('PROM (Artistica 9°)'!BM24,""))</f>
        <v/>
      </c>
      <c r="U24" s="125" t="str">
        <f>IF(MAESTRO!F24="","",IFERROR('PROM (Artistica 9°)'!CU24,""))</f>
        <v/>
      </c>
      <c r="V24" s="126" t="str">
        <f>IF(MAESTRO!F24="","",IFERROR(TRUNC(AVERAGE(S24,T24,U24),1),""))</f>
        <v/>
      </c>
      <c r="W24" s="126" t="str">
        <f>IF(MAESTRO!F24="","",IF(AND(F24="",J24="",N24="",R24="",V24=""),"",IF(Y(OR(F24="",F24&gt;=3),OR(J24="",J24&gt;=3),OR(N24="",N24&gt;=3),OR(R24="",R24&gt;=3),OR(V24="",V24&gt;=3)),"✓ APROBADO","✗ REPROBADO")))</f>
        <v/>
      </c>
    </row>
    <row r="25" spans="1:23" ht="16.05" customHeight="1">
      <c r="A25" s="118">
        <v>21</v>
      </c>
      <c r="B25" s="119">
        <f>MAESTRO!F25</f>
        <v>0</v>
      </c>
      <c r="C25" s="122" t="str">
        <f>IF(MAESTRO!F25="","",IFERROR('PROM (Ingles 9°)'!AE25,""))</f>
        <v/>
      </c>
      <c r="D25" s="122" t="str">
        <f>IF(MAESTRO!F25="","",IFERROR('PROM (Ingles 9°)'!BM25,""))</f>
        <v/>
      </c>
      <c r="E25" s="122" t="str">
        <f>IF(MAESTRO!F25="","",IFERROR('PROM (Ingles 9°)'!CU25,""))</f>
        <v/>
      </c>
      <c r="F25" s="123" t="str">
        <f>IF(MAESTRO!F25="","",IFERROR(TRUNC(AVERAGE(C25,D25,E25),1),""))</f>
        <v/>
      </c>
      <c r="G25" s="122" t="str">
        <f>IF(MAESTRO!F25="","",IFERROR('PROM (Agropecuaria 9°)'!AE25,""))</f>
        <v/>
      </c>
      <c r="H25" s="122" t="str">
        <f>IF(MAESTRO!F25="","",IFERROR('PROM (Agropecuaria 9°)'!BM25,""))</f>
        <v/>
      </c>
      <c r="I25" s="122" t="str">
        <f>IF(MAESTRO!F25="","",IFERROR('PROM (Agropecuaria 9°)'!CU25,""))</f>
        <v/>
      </c>
      <c r="J25" s="123" t="str">
        <f>IF(MAESTRO!F25="","",IFERROR(TRUNC(AVERAGE(G25,H25,I25),1),""))</f>
        <v/>
      </c>
      <c r="K25" s="122" t="str">
        <f>IF(MAESTRO!F25="","",IFERROR('PROM (Comercio 9°)'!AE25,""))</f>
        <v/>
      </c>
      <c r="L25" s="122" t="str">
        <f>IF(MAESTRO!F25="","",IFERROR('PROM (Comercio 9°)'!BM25,""))</f>
        <v/>
      </c>
      <c r="M25" s="122" t="str">
        <f>IF(MAESTRO!F25="","",IFERROR('PROM (Comercio 9°)'!CU25,""))</f>
        <v/>
      </c>
      <c r="N25" s="123" t="str">
        <f>IF(MAESTRO!F25="","",IFERROR(TRUNC(AVERAGE(K25,L25,M25),1),""))</f>
        <v/>
      </c>
      <c r="O25" s="124" t="str">
        <f>IF(MAESTRO!F25="","",IFERROR(AVERAGE(G25,K25),""))</f>
        <v/>
      </c>
      <c r="P25" s="124" t="str">
        <f>IF(MAESTRO!F25="","",IFERROR(AVERAGE(H25,L25),""))</f>
        <v/>
      </c>
      <c r="Q25" s="124" t="str">
        <f>IF(MAESTRO!F25="","",IFERROR(AVERAGE(I25,M25),""))</f>
        <v/>
      </c>
      <c r="R25" s="124" t="str">
        <f>IF(MAESTRO!F25="","",IFERROR(TRUNC(AVERAGE(O25,P25,Q25),1),""))</f>
        <v/>
      </c>
      <c r="S25" s="122" t="str">
        <f>IF(MAESTRO!F25="","",IFERROR('PROM (Artistica 9°)'!AE25,""))</f>
        <v/>
      </c>
      <c r="T25" s="122" t="str">
        <f>IF(MAESTRO!F25="","",IFERROR('PROM (Artistica 9°)'!BM25,""))</f>
        <v/>
      </c>
      <c r="U25" s="122" t="str">
        <f>IF(MAESTRO!F25="","",IFERROR('PROM (Artistica 9°)'!CU25,""))</f>
        <v/>
      </c>
      <c r="V25" s="123" t="str">
        <f>IF(MAESTRO!F25="","",IFERROR(TRUNC(AVERAGE(S25,T25,U25),1),""))</f>
        <v/>
      </c>
      <c r="W25" s="123" t="str">
        <f>IF(MAESTRO!F25="","",IF(AND(F25="",J25="",N25="",R25="",V25=""),"",IF(Y(OR(F25="",F25&gt;=3),OR(J25="",J25&gt;=3),OR(N25="",N25&gt;=3),OR(R25="",R25&gt;=3),OR(V25="",V25&gt;=3)),"✓ APROBADO","✗ REPROBADO")))</f>
        <v/>
      </c>
    </row>
    <row r="26" spans="1:23" ht="16.05" customHeight="1">
      <c r="A26" s="116">
        <v>22</v>
      </c>
      <c r="B26" s="117">
        <f>MAESTRO!F26</f>
        <v>0</v>
      </c>
      <c r="C26" s="125" t="str">
        <f>IF(MAESTRO!F26="","",IFERROR('PROM (Ingles 9°)'!AE26,""))</f>
        <v/>
      </c>
      <c r="D26" s="125" t="str">
        <f>IF(MAESTRO!F26="","",IFERROR('PROM (Ingles 9°)'!BM26,""))</f>
        <v/>
      </c>
      <c r="E26" s="125" t="str">
        <f>IF(MAESTRO!F26="","",IFERROR('PROM (Ingles 9°)'!CU26,""))</f>
        <v/>
      </c>
      <c r="F26" s="126" t="str">
        <f>IF(MAESTRO!F26="","",IFERROR(TRUNC(AVERAGE(C26,D26,E26),1),""))</f>
        <v/>
      </c>
      <c r="G26" s="125" t="str">
        <f>IF(MAESTRO!F26="","",IFERROR('PROM (Agropecuaria 9°)'!AE26,""))</f>
        <v/>
      </c>
      <c r="H26" s="125" t="str">
        <f>IF(MAESTRO!F26="","",IFERROR('PROM (Agropecuaria 9°)'!BM26,""))</f>
        <v/>
      </c>
      <c r="I26" s="125" t="str">
        <f>IF(MAESTRO!F26="","",IFERROR('PROM (Agropecuaria 9°)'!CU26,""))</f>
        <v/>
      </c>
      <c r="J26" s="126" t="str">
        <f>IF(MAESTRO!F26="","",IFERROR(TRUNC(AVERAGE(G26,H26,I26),1),""))</f>
        <v/>
      </c>
      <c r="K26" s="125" t="str">
        <f>IF(MAESTRO!F26="","",IFERROR('PROM (Comercio 9°)'!AE26,""))</f>
        <v/>
      </c>
      <c r="L26" s="125" t="str">
        <f>IF(MAESTRO!F26="","",IFERROR('PROM (Comercio 9°)'!BM26,""))</f>
        <v/>
      </c>
      <c r="M26" s="125" t="str">
        <f>IF(MAESTRO!F26="","",IFERROR('PROM (Comercio 9°)'!CU26,""))</f>
        <v/>
      </c>
      <c r="N26" s="126" t="str">
        <f>IF(MAESTRO!F26="","",IFERROR(TRUNC(AVERAGE(K26,L26,M26),1),""))</f>
        <v/>
      </c>
      <c r="O26" s="124" t="str">
        <f>IF(MAESTRO!F26="","",IFERROR(AVERAGE(G26,K26),""))</f>
        <v/>
      </c>
      <c r="P26" s="124" t="str">
        <f>IF(MAESTRO!F26="","",IFERROR(AVERAGE(H26,L26),""))</f>
        <v/>
      </c>
      <c r="Q26" s="124" t="str">
        <f>IF(MAESTRO!F26="","",IFERROR(AVERAGE(I26,M26),""))</f>
        <v/>
      </c>
      <c r="R26" s="124" t="str">
        <f>IF(MAESTRO!F26="","",IFERROR(TRUNC(AVERAGE(O26,P26,Q26),1),""))</f>
        <v/>
      </c>
      <c r="S26" s="125" t="str">
        <f>IF(MAESTRO!F26="","",IFERROR('PROM (Artistica 9°)'!AE26,""))</f>
        <v/>
      </c>
      <c r="T26" s="125" t="str">
        <f>IF(MAESTRO!F26="","",IFERROR('PROM (Artistica 9°)'!BM26,""))</f>
        <v/>
      </c>
      <c r="U26" s="125" t="str">
        <f>IF(MAESTRO!F26="","",IFERROR('PROM (Artistica 9°)'!CU26,""))</f>
        <v/>
      </c>
      <c r="V26" s="126" t="str">
        <f>IF(MAESTRO!F26="","",IFERROR(TRUNC(AVERAGE(S26,T26,U26),1),""))</f>
        <v/>
      </c>
      <c r="W26" s="126" t="str">
        <f>IF(MAESTRO!F26="","",IF(AND(F26="",J26="",N26="",R26="",V26=""),"",IF(Y(OR(F26="",F26&gt;=3),OR(J26="",J26&gt;=3),OR(N26="",N26&gt;=3),OR(R26="",R26&gt;=3),OR(V26="",V26&gt;=3)),"✓ APROBADO","✗ REPROBADO")))</f>
        <v/>
      </c>
    </row>
    <row r="27" spans="1:23" ht="16.05" customHeight="1">
      <c r="A27" s="118">
        <v>23</v>
      </c>
      <c r="B27" s="119">
        <f>MAESTRO!F27</f>
        <v>0</v>
      </c>
      <c r="C27" s="122" t="str">
        <f>IF(MAESTRO!F27="","",IFERROR('PROM (Ingles 9°)'!AE27,""))</f>
        <v/>
      </c>
      <c r="D27" s="122" t="str">
        <f>IF(MAESTRO!F27="","",IFERROR('PROM (Ingles 9°)'!BM27,""))</f>
        <v/>
      </c>
      <c r="E27" s="122" t="str">
        <f>IF(MAESTRO!F27="","",IFERROR('PROM (Ingles 9°)'!CU27,""))</f>
        <v/>
      </c>
      <c r="F27" s="123" t="str">
        <f>IF(MAESTRO!F27="","",IFERROR(TRUNC(AVERAGE(C27,D27,E27),1),""))</f>
        <v/>
      </c>
      <c r="G27" s="122" t="str">
        <f>IF(MAESTRO!F27="","",IFERROR('PROM (Agropecuaria 9°)'!AE27,""))</f>
        <v/>
      </c>
      <c r="H27" s="122" t="str">
        <f>IF(MAESTRO!F27="","",IFERROR('PROM (Agropecuaria 9°)'!BM27,""))</f>
        <v/>
      </c>
      <c r="I27" s="122" t="str">
        <f>IF(MAESTRO!F27="","",IFERROR('PROM (Agropecuaria 9°)'!CU27,""))</f>
        <v/>
      </c>
      <c r="J27" s="123" t="str">
        <f>IF(MAESTRO!F27="","",IFERROR(TRUNC(AVERAGE(G27,H27,I27),1),""))</f>
        <v/>
      </c>
      <c r="K27" s="122" t="str">
        <f>IF(MAESTRO!F27="","",IFERROR('PROM (Comercio 9°)'!AE27,""))</f>
        <v/>
      </c>
      <c r="L27" s="122" t="str">
        <f>IF(MAESTRO!F27="","",IFERROR('PROM (Comercio 9°)'!BM27,""))</f>
        <v/>
      </c>
      <c r="M27" s="122" t="str">
        <f>IF(MAESTRO!F27="","",IFERROR('PROM (Comercio 9°)'!CU27,""))</f>
        <v/>
      </c>
      <c r="N27" s="123" t="str">
        <f>IF(MAESTRO!F27="","",IFERROR(TRUNC(AVERAGE(K27,L27,M27),1),""))</f>
        <v/>
      </c>
      <c r="O27" s="124" t="str">
        <f>IF(MAESTRO!F27="","",IFERROR(AVERAGE(G27,K27),""))</f>
        <v/>
      </c>
      <c r="P27" s="124" t="str">
        <f>IF(MAESTRO!F27="","",IFERROR(AVERAGE(H27,L27),""))</f>
        <v/>
      </c>
      <c r="Q27" s="124" t="str">
        <f>IF(MAESTRO!F27="","",IFERROR(AVERAGE(I27,M27),""))</f>
        <v/>
      </c>
      <c r="R27" s="124" t="str">
        <f>IF(MAESTRO!F27="","",IFERROR(TRUNC(AVERAGE(O27,P27,Q27),1),""))</f>
        <v/>
      </c>
      <c r="S27" s="122" t="str">
        <f>IF(MAESTRO!F27="","",IFERROR('PROM (Artistica 9°)'!AE27,""))</f>
        <v/>
      </c>
      <c r="T27" s="122" t="str">
        <f>IF(MAESTRO!F27="","",IFERROR('PROM (Artistica 9°)'!BM27,""))</f>
        <v/>
      </c>
      <c r="U27" s="122" t="str">
        <f>IF(MAESTRO!F27="","",IFERROR('PROM (Artistica 9°)'!CU27,""))</f>
        <v/>
      </c>
      <c r="V27" s="123" t="str">
        <f>IF(MAESTRO!F27="","",IFERROR(TRUNC(AVERAGE(S27,T27,U27),1),""))</f>
        <v/>
      </c>
      <c r="W27" s="123" t="str">
        <f>IF(MAESTRO!F27="","",IF(AND(F27="",J27="",N27="",R27="",V27=""),"",IF(Y(OR(F27="",F27&gt;=3),OR(J27="",J27&gt;=3),OR(N27="",N27&gt;=3),OR(R27="",R27&gt;=3),OR(V27="",V27&gt;=3)),"✓ APROBADO","✗ REPROBADO")))</f>
        <v/>
      </c>
    </row>
    <row r="28" spans="1:23" ht="16.05" customHeight="1">
      <c r="A28" s="116">
        <v>24</v>
      </c>
      <c r="B28" s="117">
        <f>MAESTRO!F28</f>
        <v>0</v>
      </c>
      <c r="C28" s="125" t="str">
        <f>IF(MAESTRO!F28="","",IFERROR('PROM (Ingles 9°)'!AE28,""))</f>
        <v/>
      </c>
      <c r="D28" s="125" t="str">
        <f>IF(MAESTRO!F28="","",IFERROR('PROM (Ingles 9°)'!BM28,""))</f>
        <v/>
      </c>
      <c r="E28" s="125" t="str">
        <f>IF(MAESTRO!F28="","",IFERROR('PROM (Ingles 9°)'!CU28,""))</f>
        <v/>
      </c>
      <c r="F28" s="126" t="str">
        <f>IF(MAESTRO!F28="","",IFERROR(TRUNC(AVERAGE(C28,D28,E28),1),""))</f>
        <v/>
      </c>
      <c r="G28" s="125" t="str">
        <f>IF(MAESTRO!F28="","",IFERROR('PROM (Agropecuaria 9°)'!AE28,""))</f>
        <v/>
      </c>
      <c r="H28" s="125" t="str">
        <f>IF(MAESTRO!F28="","",IFERROR('PROM (Agropecuaria 9°)'!BM28,""))</f>
        <v/>
      </c>
      <c r="I28" s="125" t="str">
        <f>IF(MAESTRO!F28="","",IFERROR('PROM (Agropecuaria 9°)'!CU28,""))</f>
        <v/>
      </c>
      <c r="J28" s="126" t="str">
        <f>IF(MAESTRO!F28="","",IFERROR(TRUNC(AVERAGE(G28,H28,I28),1),""))</f>
        <v/>
      </c>
      <c r="K28" s="125" t="str">
        <f>IF(MAESTRO!F28="","",IFERROR('PROM (Comercio 9°)'!AE28,""))</f>
        <v/>
      </c>
      <c r="L28" s="125" t="str">
        <f>IF(MAESTRO!F28="","",IFERROR('PROM (Comercio 9°)'!BM28,""))</f>
        <v/>
      </c>
      <c r="M28" s="125" t="str">
        <f>IF(MAESTRO!F28="","",IFERROR('PROM (Comercio 9°)'!CU28,""))</f>
        <v/>
      </c>
      <c r="N28" s="126" t="str">
        <f>IF(MAESTRO!F28="","",IFERROR(TRUNC(AVERAGE(K28,L28,M28),1),""))</f>
        <v/>
      </c>
      <c r="O28" s="124" t="str">
        <f>IF(MAESTRO!F28="","",IFERROR(AVERAGE(G28,K28),""))</f>
        <v/>
      </c>
      <c r="P28" s="124" t="str">
        <f>IF(MAESTRO!F28="","",IFERROR(AVERAGE(H28,L28),""))</f>
        <v/>
      </c>
      <c r="Q28" s="124" t="str">
        <f>IF(MAESTRO!F28="","",IFERROR(AVERAGE(I28,M28),""))</f>
        <v/>
      </c>
      <c r="R28" s="124" t="str">
        <f>IF(MAESTRO!F28="","",IFERROR(TRUNC(AVERAGE(O28,P28,Q28),1),""))</f>
        <v/>
      </c>
      <c r="S28" s="125" t="str">
        <f>IF(MAESTRO!F28="","",IFERROR('PROM (Artistica 9°)'!AE28,""))</f>
        <v/>
      </c>
      <c r="T28" s="125" t="str">
        <f>IF(MAESTRO!F28="","",IFERROR('PROM (Artistica 9°)'!BM28,""))</f>
        <v/>
      </c>
      <c r="U28" s="125" t="str">
        <f>IF(MAESTRO!F28="","",IFERROR('PROM (Artistica 9°)'!CU28,""))</f>
        <v/>
      </c>
      <c r="V28" s="126" t="str">
        <f>IF(MAESTRO!F28="","",IFERROR(TRUNC(AVERAGE(S28,T28,U28),1),""))</f>
        <v/>
      </c>
      <c r="W28" s="126" t="str">
        <f>IF(MAESTRO!F28="","",IF(AND(F28="",J28="",N28="",R28="",V28=""),"",IF(Y(OR(F28="",F28&gt;=3),OR(J28="",J28&gt;=3),OR(N28="",N28&gt;=3),OR(R28="",R28&gt;=3),OR(V28="",V28&gt;=3)),"✓ APROBADO","✗ REPROBADO")))</f>
        <v/>
      </c>
    </row>
    <row r="29" spans="1:23" ht="16.05" customHeight="1">
      <c r="A29" s="118">
        <v>25</v>
      </c>
      <c r="B29" s="119">
        <f>MAESTRO!F29</f>
        <v>0</v>
      </c>
      <c r="C29" s="122" t="str">
        <f>IF(MAESTRO!F29="","",IFERROR('PROM (Ingles 9°)'!AE29,""))</f>
        <v/>
      </c>
      <c r="D29" s="122" t="str">
        <f>IF(MAESTRO!F29="","",IFERROR('PROM (Ingles 9°)'!BM29,""))</f>
        <v/>
      </c>
      <c r="E29" s="122" t="str">
        <f>IF(MAESTRO!F29="","",IFERROR('PROM (Ingles 9°)'!CU29,""))</f>
        <v/>
      </c>
      <c r="F29" s="123" t="str">
        <f>IF(MAESTRO!F29="","",IFERROR(TRUNC(AVERAGE(C29,D29,E29),1),""))</f>
        <v/>
      </c>
      <c r="G29" s="122" t="str">
        <f>IF(MAESTRO!F29="","",IFERROR('PROM (Agropecuaria 9°)'!AE29,""))</f>
        <v/>
      </c>
      <c r="H29" s="122" t="str">
        <f>IF(MAESTRO!F29="","",IFERROR('PROM (Agropecuaria 9°)'!BM29,""))</f>
        <v/>
      </c>
      <c r="I29" s="122" t="str">
        <f>IF(MAESTRO!F29="","",IFERROR('PROM (Agropecuaria 9°)'!CU29,""))</f>
        <v/>
      </c>
      <c r="J29" s="123" t="str">
        <f>IF(MAESTRO!F29="","",IFERROR(TRUNC(AVERAGE(G29,H29,I29),1),""))</f>
        <v/>
      </c>
      <c r="K29" s="122" t="str">
        <f>IF(MAESTRO!F29="","",IFERROR('PROM (Comercio 9°)'!AE29,""))</f>
        <v/>
      </c>
      <c r="L29" s="122" t="str">
        <f>IF(MAESTRO!F29="","",IFERROR('PROM (Comercio 9°)'!BM29,""))</f>
        <v/>
      </c>
      <c r="M29" s="122" t="str">
        <f>IF(MAESTRO!F29="","",IFERROR('PROM (Comercio 9°)'!CU29,""))</f>
        <v/>
      </c>
      <c r="N29" s="123" t="str">
        <f>IF(MAESTRO!F29="","",IFERROR(TRUNC(AVERAGE(K29,L29,M29),1),""))</f>
        <v/>
      </c>
      <c r="O29" s="124" t="str">
        <f>IF(MAESTRO!F29="","",IFERROR(AVERAGE(G29,K29),""))</f>
        <v/>
      </c>
      <c r="P29" s="124" t="str">
        <f>IF(MAESTRO!F29="","",IFERROR(AVERAGE(H29,L29),""))</f>
        <v/>
      </c>
      <c r="Q29" s="124" t="str">
        <f>IF(MAESTRO!F29="","",IFERROR(AVERAGE(I29,M29),""))</f>
        <v/>
      </c>
      <c r="R29" s="124" t="str">
        <f>IF(MAESTRO!F29="","",IFERROR(TRUNC(AVERAGE(O29,P29,Q29),1),""))</f>
        <v/>
      </c>
      <c r="S29" s="122" t="str">
        <f>IF(MAESTRO!F29="","",IFERROR('PROM (Artistica 9°)'!AE29,""))</f>
        <v/>
      </c>
      <c r="T29" s="122" t="str">
        <f>IF(MAESTRO!F29="","",IFERROR('PROM (Artistica 9°)'!BM29,""))</f>
        <v/>
      </c>
      <c r="U29" s="122" t="str">
        <f>IF(MAESTRO!F29="","",IFERROR('PROM (Artistica 9°)'!CU29,""))</f>
        <v/>
      </c>
      <c r="V29" s="123" t="str">
        <f>IF(MAESTRO!F29="","",IFERROR(TRUNC(AVERAGE(S29,T29,U29),1),""))</f>
        <v/>
      </c>
      <c r="W29" s="123" t="str">
        <f>IF(MAESTRO!F29="","",IF(AND(F29="",J29="",N29="",R29="",V29=""),"",IF(Y(OR(F29="",F29&gt;=3),OR(J29="",J29&gt;=3),OR(N29="",N29&gt;=3),OR(R29="",R29&gt;=3),OR(V29="",V29&gt;=3)),"✓ APROBADO","✗ REPROBADO")))</f>
        <v/>
      </c>
    </row>
    <row r="30" spans="1:23" ht="16.05" customHeight="1">
      <c r="A30" s="116">
        <v>26</v>
      </c>
      <c r="B30" s="117">
        <f>MAESTRO!F30</f>
        <v>0</v>
      </c>
      <c r="C30" s="125" t="str">
        <f>IF(MAESTRO!F30="","",IFERROR('PROM (Ingles 9°)'!AE30,""))</f>
        <v/>
      </c>
      <c r="D30" s="125" t="str">
        <f>IF(MAESTRO!F30="","",IFERROR('PROM (Ingles 9°)'!BM30,""))</f>
        <v/>
      </c>
      <c r="E30" s="125" t="str">
        <f>IF(MAESTRO!F30="","",IFERROR('PROM (Ingles 9°)'!CU30,""))</f>
        <v/>
      </c>
      <c r="F30" s="126" t="str">
        <f>IF(MAESTRO!F30="","",IFERROR(TRUNC(AVERAGE(C30,D30,E30),1),""))</f>
        <v/>
      </c>
      <c r="G30" s="125" t="str">
        <f>IF(MAESTRO!F30="","",IFERROR('PROM (Agropecuaria 9°)'!AE30,""))</f>
        <v/>
      </c>
      <c r="H30" s="125" t="str">
        <f>IF(MAESTRO!F30="","",IFERROR('PROM (Agropecuaria 9°)'!BM30,""))</f>
        <v/>
      </c>
      <c r="I30" s="125" t="str">
        <f>IF(MAESTRO!F30="","",IFERROR('PROM (Agropecuaria 9°)'!CU30,""))</f>
        <v/>
      </c>
      <c r="J30" s="126" t="str">
        <f>IF(MAESTRO!F30="","",IFERROR(TRUNC(AVERAGE(G30,H30,I30),1),""))</f>
        <v/>
      </c>
      <c r="K30" s="125" t="str">
        <f>IF(MAESTRO!F30="","",IFERROR('PROM (Comercio 9°)'!AE30,""))</f>
        <v/>
      </c>
      <c r="L30" s="125" t="str">
        <f>IF(MAESTRO!F30="","",IFERROR('PROM (Comercio 9°)'!BM30,""))</f>
        <v/>
      </c>
      <c r="M30" s="125" t="str">
        <f>IF(MAESTRO!F30="","",IFERROR('PROM (Comercio 9°)'!CU30,""))</f>
        <v/>
      </c>
      <c r="N30" s="126" t="str">
        <f>IF(MAESTRO!F30="","",IFERROR(TRUNC(AVERAGE(K30,L30,M30),1),""))</f>
        <v/>
      </c>
      <c r="O30" s="124" t="str">
        <f>IF(MAESTRO!F30="","",IFERROR(AVERAGE(G30,K30),""))</f>
        <v/>
      </c>
      <c r="P30" s="124" t="str">
        <f>IF(MAESTRO!F30="","",IFERROR(AVERAGE(H30,L30),""))</f>
        <v/>
      </c>
      <c r="Q30" s="124" t="str">
        <f>IF(MAESTRO!F30="","",IFERROR(AVERAGE(I30,M30),""))</f>
        <v/>
      </c>
      <c r="R30" s="124" t="str">
        <f>IF(MAESTRO!F30="","",IFERROR(TRUNC(AVERAGE(O30,P30,Q30),1),""))</f>
        <v/>
      </c>
      <c r="S30" s="125" t="str">
        <f>IF(MAESTRO!F30="","",IFERROR('PROM (Artistica 9°)'!AE30,""))</f>
        <v/>
      </c>
      <c r="T30" s="125" t="str">
        <f>IF(MAESTRO!F30="","",IFERROR('PROM (Artistica 9°)'!BM30,""))</f>
        <v/>
      </c>
      <c r="U30" s="125" t="str">
        <f>IF(MAESTRO!F30="","",IFERROR('PROM (Artistica 9°)'!CU30,""))</f>
        <v/>
      </c>
      <c r="V30" s="126" t="str">
        <f>IF(MAESTRO!F30="","",IFERROR(TRUNC(AVERAGE(S30,T30,U30),1),""))</f>
        <v/>
      </c>
      <c r="W30" s="126" t="str">
        <f>IF(MAESTRO!F30="","",IF(AND(F30="",J30="",N30="",R30="",V30=""),"",IF(Y(OR(F30="",F30&gt;=3),OR(J30="",J30&gt;=3),OR(N30="",N30&gt;=3),OR(R30="",R30&gt;=3),OR(V30="",V30&gt;=3)),"✓ APROBADO","✗ REPROBADO")))</f>
        <v/>
      </c>
    </row>
    <row r="31" spans="1:23" ht="16.05" customHeight="1">
      <c r="A31" s="118">
        <v>27</v>
      </c>
      <c r="B31" s="119">
        <f>MAESTRO!F31</f>
        <v>0</v>
      </c>
      <c r="C31" s="122" t="str">
        <f>IF(MAESTRO!F31="","",IFERROR('PROM (Ingles 9°)'!AE31,""))</f>
        <v/>
      </c>
      <c r="D31" s="122" t="str">
        <f>IF(MAESTRO!F31="","",IFERROR('PROM (Ingles 9°)'!BM31,""))</f>
        <v/>
      </c>
      <c r="E31" s="122" t="str">
        <f>IF(MAESTRO!F31="","",IFERROR('PROM (Ingles 9°)'!CU31,""))</f>
        <v/>
      </c>
      <c r="F31" s="123" t="str">
        <f>IF(MAESTRO!F31="","",IFERROR(TRUNC(AVERAGE(C31,D31,E31),1),""))</f>
        <v/>
      </c>
      <c r="G31" s="122" t="str">
        <f>IF(MAESTRO!F31="","",IFERROR('PROM (Agropecuaria 9°)'!AE31,""))</f>
        <v/>
      </c>
      <c r="H31" s="122" t="str">
        <f>IF(MAESTRO!F31="","",IFERROR('PROM (Agropecuaria 9°)'!BM31,""))</f>
        <v/>
      </c>
      <c r="I31" s="122" t="str">
        <f>IF(MAESTRO!F31="","",IFERROR('PROM (Agropecuaria 9°)'!CU31,""))</f>
        <v/>
      </c>
      <c r="J31" s="123" t="str">
        <f>IF(MAESTRO!F31="","",IFERROR(TRUNC(AVERAGE(G31,H31,I31),1),""))</f>
        <v/>
      </c>
      <c r="K31" s="122" t="str">
        <f>IF(MAESTRO!F31="","",IFERROR('PROM (Comercio 9°)'!AE31,""))</f>
        <v/>
      </c>
      <c r="L31" s="122" t="str">
        <f>IF(MAESTRO!F31="","",IFERROR('PROM (Comercio 9°)'!BM31,""))</f>
        <v/>
      </c>
      <c r="M31" s="122" t="str">
        <f>IF(MAESTRO!F31="","",IFERROR('PROM (Comercio 9°)'!CU31,""))</f>
        <v/>
      </c>
      <c r="N31" s="123" t="str">
        <f>IF(MAESTRO!F31="","",IFERROR(TRUNC(AVERAGE(K31,L31,M31),1),""))</f>
        <v/>
      </c>
      <c r="O31" s="124" t="str">
        <f>IF(MAESTRO!F31="","",IFERROR(AVERAGE(G31,K31),""))</f>
        <v/>
      </c>
      <c r="P31" s="124" t="str">
        <f>IF(MAESTRO!F31="","",IFERROR(AVERAGE(H31,L31),""))</f>
        <v/>
      </c>
      <c r="Q31" s="124" t="str">
        <f>IF(MAESTRO!F31="","",IFERROR(AVERAGE(I31,M31),""))</f>
        <v/>
      </c>
      <c r="R31" s="124" t="str">
        <f>IF(MAESTRO!F31="","",IFERROR(TRUNC(AVERAGE(O31,P31,Q31),1),""))</f>
        <v/>
      </c>
      <c r="S31" s="122" t="str">
        <f>IF(MAESTRO!F31="","",IFERROR('PROM (Artistica 9°)'!AE31,""))</f>
        <v/>
      </c>
      <c r="T31" s="122" t="str">
        <f>IF(MAESTRO!F31="","",IFERROR('PROM (Artistica 9°)'!BM31,""))</f>
        <v/>
      </c>
      <c r="U31" s="122" t="str">
        <f>IF(MAESTRO!F31="","",IFERROR('PROM (Artistica 9°)'!CU31,""))</f>
        <v/>
      </c>
      <c r="V31" s="123" t="str">
        <f>IF(MAESTRO!F31="","",IFERROR(TRUNC(AVERAGE(S31,T31,U31),1),""))</f>
        <v/>
      </c>
      <c r="W31" s="123" t="str">
        <f>IF(MAESTRO!F31="","",IF(AND(F31="",J31="",N31="",R31="",V31=""),"",IF(Y(OR(F31="",F31&gt;=3),OR(J31="",J31&gt;=3),OR(N31="",N31&gt;=3),OR(R31="",R31&gt;=3),OR(V31="",V31&gt;=3)),"✓ APROBADO","✗ REPROBADO")))</f>
        <v/>
      </c>
    </row>
    <row r="32" spans="1:23" ht="16.05" customHeight="1">
      <c r="A32" s="116">
        <v>28</v>
      </c>
      <c r="B32" s="117">
        <f>MAESTRO!F32</f>
        <v>0</v>
      </c>
      <c r="C32" s="125" t="str">
        <f>IF(MAESTRO!F32="","",IFERROR('PROM (Ingles 9°)'!AE32,""))</f>
        <v/>
      </c>
      <c r="D32" s="125" t="str">
        <f>IF(MAESTRO!F32="","",IFERROR('PROM (Ingles 9°)'!BM32,""))</f>
        <v/>
      </c>
      <c r="E32" s="125" t="str">
        <f>IF(MAESTRO!F32="","",IFERROR('PROM (Ingles 9°)'!CU32,""))</f>
        <v/>
      </c>
      <c r="F32" s="126" t="str">
        <f>IF(MAESTRO!F32="","",IFERROR(TRUNC(AVERAGE(C32,D32,E32),1),""))</f>
        <v/>
      </c>
      <c r="G32" s="125" t="str">
        <f>IF(MAESTRO!F32="","",IFERROR('PROM (Agropecuaria 9°)'!AE32,""))</f>
        <v/>
      </c>
      <c r="H32" s="125" t="str">
        <f>IF(MAESTRO!F32="","",IFERROR('PROM (Agropecuaria 9°)'!BM32,""))</f>
        <v/>
      </c>
      <c r="I32" s="125" t="str">
        <f>IF(MAESTRO!F32="","",IFERROR('PROM (Agropecuaria 9°)'!CU32,""))</f>
        <v/>
      </c>
      <c r="J32" s="126" t="str">
        <f>IF(MAESTRO!F32="","",IFERROR(TRUNC(AVERAGE(G32,H32,I32),1),""))</f>
        <v/>
      </c>
      <c r="K32" s="125" t="str">
        <f>IF(MAESTRO!F32="","",IFERROR('PROM (Comercio 9°)'!AE32,""))</f>
        <v/>
      </c>
      <c r="L32" s="125" t="str">
        <f>IF(MAESTRO!F32="","",IFERROR('PROM (Comercio 9°)'!BM32,""))</f>
        <v/>
      </c>
      <c r="M32" s="125" t="str">
        <f>IF(MAESTRO!F32="","",IFERROR('PROM (Comercio 9°)'!CU32,""))</f>
        <v/>
      </c>
      <c r="N32" s="126" t="str">
        <f>IF(MAESTRO!F32="","",IFERROR(TRUNC(AVERAGE(K32,L32,M32),1),""))</f>
        <v/>
      </c>
      <c r="O32" s="124" t="str">
        <f>IF(MAESTRO!F32="","",IFERROR(AVERAGE(G32,K32),""))</f>
        <v/>
      </c>
      <c r="P32" s="124" t="str">
        <f>IF(MAESTRO!F32="","",IFERROR(AVERAGE(H32,L32),""))</f>
        <v/>
      </c>
      <c r="Q32" s="124" t="str">
        <f>IF(MAESTRO!F32="","",IFERROR(AVERAGE(I32,M32),""))</f>
        <v/>
      </c>
      <c r="R32" s="124" t="str">
        <f>IF(MAESTRO!F32="","",IFERROR(TRUNC(AVERAGE(O32,P32,Q32),1),""))</f>
        <v/>
      </c>
      <c r="S32" s="125" t="str">
        <f>IF(MAESTRO!F32="","",IFERROR('PROM (Artistica 9°)'!AE32,""))</f>
        <v/>
      </c>
      <c r="T32" s="125" t="str">
        <f>IF(MAESTRO!F32="","",IFERROR('PROM (Artistica 9°)'!BM32,""))</f>
        <v/>
      </c>
      <c r="U32" s="125" t="str">
        <f>IF(MAESTRO!F32="","",IFERROR('PROM (Artistica 9°)'!CU32,""))</f>
        <v/>
      </c>
      <c r="V32" s="126" t="str">
        <f>IF(MAESTRO!F32="","",IFERROR(TRUNC(AVERAGE(S32,T32,U32),1),""))</f>
        <v/>
      </c>
      <c r="W32" s="126" t="str">
        <f>IF(MAESTRO!F32="","",IF(AND(F32="",J32="",N32="",R32="",V32=""),"",IF(Y(OR(F32="",F32&gt;=3),OR(J32="",J32&gt;=3),OR(N32="",N32&gt;=3),OR(R32="",R32&gt;=3),OR(V32="",V32&gt;=3)),"✓ APROBADO","✗ REPROBADO")))</f>
        <v/>
      </c>
    </row>
    <row r="33" spans="1:23" ht="16.05" customHeight="1">
      <c r="A33" s="118">
        <v>29</v>
      </c>
      <c r="B33" s="119">
        <f>MAESTRO!F33</f>
        <v>0</v>
      </c>
      <c r="C33" s="122" t="str">
        <f>IF(MAESTRO!F33="","",IFERROR('PROM (Ingles 9°)'!AE33,""))</f>
        <v/>
      </c>
      <c r="D33" s="122" t="str">
        <f>IF(MAESTRO!F33="","",IFERROR('PROM (Ingles 9°)'!BM33,""))</f>
        <v/>
      </c>
      <c r="E33" s="122" t="str">
        <f>IF(MAESTRO!F33="","",IFERROR('PROM (Ingles 9°)'!CU33,""))</f>
        <v/>
      </c>
      <c r="F33" s="123" t="str">
        <f>IF(MAESTRO!F33="","",IFERROR(TRUNC(AVERAGE(C33,D33,E33),1),""))</f>
        <v/>
      </c>
      <c r="G33" s="122" t="str">
        <f>IF(MAESTRO!F33="","",IFERROR('PROM (Agropecuaria 9°)'!AE33,""))</f>
        <v/>
      </c>
      <c r="H33" s="122" t="str">
        <f>IF(MAESTRO!F33="","",IFERROR('PROM (Agropecuaria 9°)'!BM33,""))</f>
        <v/>
      </c>
      <c r="I33" s="122" t="str">
        <f>IF(MAESTRO!F33="","",IFERROR('PROM (Agropecuaria 9°)'!CU33,""))</f>
        <v/>
      </c>
      <c r="J33" s="123" t="str">
        <f>IF(MAESTRO!F33="","",IFERROR(TRUNC(AVERAGE(G33,H33,I33),1),""))</f>
        <v/>
      </c>
      <c r="K33" s="122" t="str">
        <f>IF(MAESTRO!F33="","",IFERROR('PROM (Comercio 9°)'!AE33,""))</f>
        <v/>
      </c>
      <c r="L33" s="122" t="str">
        <f>IF(MAESTRO!F33="","",IFERROR('PROM (Comercio 9°)'!BM33,""))</f>
        <v/>
      </c>
      <c r="M33" s="122" t="str">
        <f>IF(MAESTRO!F33="","",IFERROR('PROM (Comercio 9°)'!CU33,""))</f>
        <v/>
      </c>
      <c r="N33" s="123" t="str">
        <f>IF(MAESTRO!F33="","",IFERROR(TRUNC(AVERAGE(K33,L33,M33),1),""))</f>
        <v/>
      </c>
      <c r="O33" s="124" t="str">
        <f>IF(MAESTRO!F33="","",IFERROR(AVERAGE(G33,K33),""))</f>
        <v/>
      </c>
      <c r="P33" s="124" t="str">
        <f>IF(MAESTRO!F33="","",IFERROR(AVERAGE(H33,L33),""))</f>
        <v/>
      </c>
      <c r="Q33" s="124" t="str">
        <f>IF(MAESTRO!F33="","",IFERROR(AVERAGE(I33,M33),""))</f>
        <v/>
      </c>
      <c r="R33" s="124" t="str">
        <f>IF(MAESTRO!F33="","",IFERROR(TRUNC(AVERAGE(O33,P33,Q33),1),""))</f>
        <v/>
      </c>
      <c r="S33" s="122" t="str">
        <f>IF(MAESTRO!F33="","",IFERROR('PROM (Artistica 9°)'!AE33,""))</f>
        <v/>
      </c>
      <c r="T33" s="122" t="str">
        <f>IF(MAESTRO!F33="","",IFERROR('PROM (Artistica 9°)'!BM33,""))</f>
        <v/>
      </c>
      <c r="U33" s="122" t="str">
        <f>IF(MAESTRO!F33="","",IFERROR('PROM (Artistica 9°)'!CU33,""))</f>
        <v/>
      </c>
      <c r="V33" s="123" t="str">
        <f>IF(MAESTRO!F33="","",IFERROR(TRUNC(AVERAGE(S33,T33,U33),1),""))</f>
        <v/>
      </c>
      <c r="W33" s="123" t="str">
        <f>IF(MAESTRO!F33="","",IF(AND(F33="",J33="",N33="",R33="",V33=""),"",IF(Y(OR(F33="",F33&gt;=3),OR(J33="",J33&gt;=3),OR(N33="",N33&gt;=3),OR(R33="",R33&gt;=3),OR(V33="",V33&gt;=3)),"✓ APROBADO","✗ REPROBADO")))</f>
        <v/>
      </c>
    </row>
    <row r="34" spans="1:23" ht="16.05" customHeight="1">
      <c r="A34" s="116">
        <v>30</v>
      </c>
      <c r="B34" s="117">
        <f>MAESTRO!F34</f>
        <v>0</v>
      </c>
      <c r="C34" s="125" t="str">
        <f>IF(MAESTRO!F34="","",IFERROR('PROM (Ingles 9°)'!AE34,""))</f>
        <v/>
      </c>
      <c r="D34" s="125" t="str">
        <f>IF(MAESTRO!F34="","",IFERROR('PROM (Ingles 9°)'!BM34,""))</f>
        <v/>
      </c>
      <c r="E34" s="125" t="str">
        <f>IF(MAESTRO!F34="","",IFERROR('PROM (Ingles 9°)'!CU34,""))</f>
        <v/>
      </c>
      <c r="F34" s="126" t="str">
        <f>IF(MAESTRO!F34="","",IFERROR(TRUNC(AVERAGE(C34,D34,E34),1),""))</f>
        <v/>
      </c>
      <c r="G34" s="125" t="str">
        <f>IF(MAESTRO!F34="","",IFERROR('PROM (Agropecuaria 9°)'!AE34,""))</f>
        <v/>
      </c>
      <c r="H34" s="125" t="str">
        <f>IF(MAESTRO!F34="","",IFERROR('PROM (Agropecuaria 9°)'!BM34,""))</f>
        <v/>
      </c>
      <c r="I34" s="125" t="str">
        <f>IF(MAESTRO!F34="","",IFERROR('PROM (Agropecuaria 9°)'!CU34,""))</f>
        <v/>
      </c>
      <c r="J34" s="126" t="str">
        <f>IF(MAESTRO!F34="","",IFERROR(TRUNC(AVERAGE(G34,H34,I34),1),""))</f>
        <v/>
      </c>
      <c r="K34" s="125" t="str">
        <f>IF(MAESTRO!F34="","",IFERROR('PROM (Comercio 9°)'!AE34,""))</f>
        <v/>
      </c>
      <c r="L34" s="125" t="str">
        <f>IF(MAESTRO!F34="","",IFERROR('PROM (Comercio 9°)'!BM34,""))</f>
        <v/>
      </c>
      <c r="M34" s="125" t="str">
        <f>IF(MAESTRO!F34="","",IFERROR('PROM (Comercio 9°)'!CU34,""))</f>
        <v/>
      </c>
      <c r="N34" s="126" t="str">
        <f>IF(MAESTRO!F34="","",IFERROR(TRUNC(AVERAGE(K34,L34,M34),1),""))</f>
        <v/>
      </c>
      <c r="O34" s="124" t="str">
        <f>IF(MAESTRO!F34="","",IFERROR(AVERAGE(G34,K34),""))</f>
        <v/>
      </c>
      <c r="P34" s="124" t="str">
        <f>IF(MAESTRO!F34="","",IFERROR(AVERAGE(H34,L34),""))</f>
        <v/>
      </c>
      <c r="Q34" s="124" t="str">
        <f>IF(MAESTRO!F34="","",IFERROR(AVERAGE(I34,M34),""))</f>
        <v/>
      </c>
      <c r="R34" s="124" t="str">
        <f>IF(MAESTRO!F34="","",IFERROR(TRUNC(AVERAGE(O34,P34,Q34),1),""))</f>
        <v/>
      </c>
      <c r="S34" s="125" t="str">
        <f>IF(MAESTRO!F34="","",IFERROR('PROM (Artistica 9°)'!AE34,""))</f>
        <v/>
      </c>
      <c r="T34" s="125" t="str">
        <f>IF(MAESTRO!F34="","",IFERROR('PROM (Artistica 9°)'!BM34,""))</f>
        <v/>
      </c>
      <c r="U34" s="125" t="str">
        <f>IF(MAESTRO!F34="","",IFERROR('PROM (Artistica 9°)'!CU34,""))</f>
        <v/>
      </c>
      <c r="V34" s="126" t="str">
        <f>IF(MAESTRO!F34="","",IFERROR(TRUNC(AVERAGE(S34,T34,U34),1),""))</f>
        <v/>
      </c>
      <c r="W34" s="126" t="str">
        <f>IF(MAESTRO!F34="","",IF(AND(F34="",J34="",N34="",R34="",V34=""),"",IF(Y(OR(F34="",F34&gt;=3),OR(J34="",J34&gt;=3),OR(N34="",N34&gt;=3),OR(R34="",R34&gt;=3),OR(V34="",V34&gt;=3)),"✓ APROBADO","✗ REPROBADO")))</f>
        <v/>
      </c>
    </row>
    <row r="35" spans="1:23" ht="16.05" customHeight="1">
      <c r="A35" s="118">
        <v>31</v>
      </c>
      <c r="B35" s="119">
        <f>MAESTRO!F35</f>
        <v>0</v>
      </c>
      <c r="C35" s="122" t="str">
        <f>IF(MAESTRO!F35="","",IFERROR('PROM (Ingles 9°)'!AE35,""))</f>
        <v/>
      </c>
      <c r="D35" s="122" t="str">
        <f>IF(MAESTRO!F35="","",IFERROR('PROM (Ingles 9°)'!BM35,""))</f>
        <v/>
      </c>
      <c r="E35" s="122" t="str">
        <f>IF(MAESTRO!F35="","",IFERROR('PROM (Ingles 9°)'!CU35,""))</f>
        <v/>
      </c>
      <c r="F35" s="123" t="str">
        <f>IF(MAESTRO!F35="","",IFERROR(TRUNC(AVERAGE(C35,D35,E35),1),""))</f>
        <v/>
      </c>
      <c r="G35" s="122" t="str">
        <f>IF(MAESTRO!F35="","",IFERROR('PROM (Agropecuaria 9°)'!AE35,""))</f>
        <v/>
      </c>
      <c r="H35" s="122" t="str">
        <f>IF(MAESTRO!F35="","",IFERROR('PROM (Agropecuaria 9°)'!BM35,""))</f>
        <v/>
      </c>
      <c r="I35" s="122" t="str">
        <f>IF(MAESTRO!F35="","",IFERROR('PROM (Agropecuaria 9°)'!CU35,""))</f>
        <v/>
      </c>
      <c r="J35" s="123" t="str">
        <f>IF(MAESTRO!F35="","",IFERROR(TRUNC(AVERAGE(G35,H35,I35),1),""))</f>
        <v/>
      </c>
      <c r="K35" s="122" t="str">
        <f>IF(MAESTRO!F35="","",IFERROR('PROM (Comercio 9°)'!AE35,""))</f>
        <v/>
      </c>
      <c r="L35" s="122" t="str">
        <f>IF(MAESTRO!F35="","",IFERROR('PROM (Comercio 9°)'!BM35,""))</f>
        <v/>
      </c>
      <c r="M35" s="122" t="str">
        <f>IF(MAESTRO!F35="","",IFERROR('PROM (Comercio 9°)'!CU35,""))</f>
        <v/>
      </c>
      <c r="N35" s="123" t="str">
        <f>IF(MAESTRO!F35="","",IFERROR(TRUNC(AVERAGE(K35,L35,M35),1),""))</f>
        <v/>
      </c>
      <c r="O35" s="124" t="str">
        <f>IF(MAESTRO!F35="","",IFERROR(AVERAGE(G35,K35),""))</f>
        <v/>
      </c>
      <c r="P35" s="124" t="str">
        <f>IF(MAESTRO!F35="","",IFERROR(AVERAGE(H35,L35),""))</f>
        <v/>
      </c>
      <c r="Q35" s="124" t="str">
        <f>IF(MAESTRO!F35="","",IFERROR(AVERAGE(I35,M35),""))</f>
        <v/>
      </c>
      <c r="R35" s="124" t="str">
        <f>IF(MAESTRO!F35="","",IFERROR(TRUNC(AVERAGE(O35,P35,Q35),1),""))</f>
        <v/>
      </c>
      <c r="S35" s="122" t="str">
        <f>IF(MAESTRO!F35="","",IFERROR('PROM (Artistica 9°)'!AE35,""))</f>
        <v/>
      </c>
      <c r="T35" s="122" t="str">
        <f>IF(MAESTRO!F35="","",IFERROR('PROM (Artistica 9°)'!BM35,""))</f>
        <v/>
      </c>
      <c r="U35" s="122" t="str">
        <f>IF(MAESTRO!F35="","",IFERROR('PROM (Artistica 9°)'!CU35,""))</f>
        <v/>
      </c>
      <c r="V35" s="123" t="str">
        <f>IF(MAESTRO!F35="","",IFERROR(TRUNC(AVERAGE(S35,T35,U35),1),""))</f>
        <v/>
      </c>
      <c r="W35" s="123" t="str">
        <f>IF(MAESTRO!F35="","",IF(AND(F35="",J35="",N35="",R35="",V35=""),"",IF(Y(OR(F35="",F35&gt;=3),OR(J35="",J35&gt;=3),OR(N35="",N35&gt;=3),OR(R35="",R35&gt;=3),OR(V35="",V35&gt;=3)),"✓ APROBADO","✗ REPROBADO")))</f>
        <v/>
      </c>
    </row>
    <row r="36" spans="1:23" ht="16.05" customHeight="1">
      <c r="A36" s="116">
        <v>32</v>
      </c>
      <c r="B36" s="117">
        <f>MAESTRO!F36</f>
        <v>0</v>
      </c>
      <c r="C36" s="125" t="str">
        <f>IF(MAESTRO!F36="","",IFERROR('PROM (Ingles 9°)'!AE36,""))</f>
        <v/>
      </c>
      <c r="D36" s="125" t="str">
        <f>IF(MAESTRO!F36="","",IFERROR('PROM (Ingles 9°)'!BM36,""))</f>
        <v/>
      </c>
      <c r="E36" s="125" t="str">
        <f>IF(MAESTRO!F36="","",IFERROR('PROM (Ingles 9°)'!CU36,""))</f>
        <v/>
      </c>
      <c r="F36" s="126" t="str">
        <f>IF(MAESTRO!F36="","",IFERROR(TRUNC(AVERAGE(C36,D36,E36),1),""))</f>
        <v/>
      </c>
      <c r="G36" s="125" t="str">
        <f>IF(MAESTRO!F36="","",IFERROR('PROM (Agropecuaria 9°)'!AE36,""))</f>
        <v/>
      </c>
      <c r="H36" s="125" t="str">
        <f>IF(MAESTRO!F36="","",IFERROR('PROM (Agropecuaria 9°)'!BM36,""))</f>
        <v/>
      </c>
      <c r="I36" s="125" t="str">
        <f>IF(MAESTRO!F36="","",IFERROR('PROM (Agropecuaria 9°)'!CU36,""))</f>
        <v/>
      </c>
      <c r="J36" s="126" t="str">
        <f>IF(MAESTRO!F36="","",IFERROR(TRUNC(AVERAGE(G36,H36,I36),1),""))</f>
        <v/>
      </c>
      <c r="K36" s="125" t="str">
        <f>IF(MAESTRO!F36="","",IFERROR('PROM (Comercio 9°)'!AE36,""))</f>
        <v/>
      </c>
      <c r="L36" s="125" t="str">
        <f>IF(MAESTRO!F36="","",IFERROR('PROM (Comercio 9°)'!BM36,""))</f>
        <v/>
      </c>
      <c r="M36" s="125" t="str">
        <f>IF(MAESTRO!F36="","",IFERROR('PROM (Comercio 9°)'!CU36,""))</f>
        <v/>
      </c>
      <c r="N36" s="126" t="str">
        <f>IF(MAESTRO!F36="","",IFERROR(TRUNC(AVERAGE(K36,L36,M36),1),""))</f>
        <v/>
      </c>
      <c r="O36" s="124" t="str">
        <f>IF(MAESTRO!F36="","",IFERROR(AVERAGE(G36,K36),""))</f>
        <v/>
      </c>
      <c r="P36" s="124" t="str">
        <f>IF(MAESTRO!F36="","",IFERROR(AVERAGE(H36,L36),""))</f>
        <v/>
      </c>
      <c r="Q36" s="124" t="str">
        <f>IF(MAESTRO!F36="","",IFERROR(AVERAGE(I36,M36),""))</f>
        <v/>
      </c>
      <c r="R36" s="124" t="str">
        <f>IF(MAESTRO!F36="","",IFERROR(TRUNC(AVERAGE(O36,P36,Q36),1),""))</f>
        <v/>
      </c>
      <c r="S36" s="125" t="str">
        <f>IF(MAESTRO!F36="","",IFERROR('PROM (Artistica 9°)'!AE36,""))</f>
        <v/>
      </c>
      <c r="T36" s="125" t="str">
        <f>IF(MAESTRO!F36="","",IFERROR('PROM (Artistica 9°)'!BM36,""))</f>
        <v/>
      </c>
      <c r="U36" s="125" t="str">
        <f>IF(MAESTRO!F36="","",IFERROR('PROM (Artistica 9°)'!CU36,""))</f>
        <v/>
      </c>
      <c r="V36" s="126" t="str">
        <f>IF(MAESTRO!F36="","",IFERROR(TRUNC(AVERAGE(S36,T36,U36),1),""))</f>
        <v/>
      </c>
      <c r="W36" s="126" t="str">
        <f>IF(MAESTRO!F36="","",IF(AND(F36="",J36="",N36="",R36="",V36=""),"",IF(Y(OR(F36="",F36&gt;=3),OR(J36="",J36&gt;=3),OR(N36="",N36&gt;=3),OR(R36="",R36&gt;=3),OR(V36="",V36&gt;=3)),"✓ APROBADO","✗ REPROBADO")))</f>
        <v/>
      </c>
    </row>
    <row r="37" spans="1:23" ht="16.05" customHeight="1">
      <c r="A37" s="118">
        <v>33</v>
      </c>
      <c r="B37" s="119">
        <f>MAESTRO!F37</f>
        <v>0</v>
      </c>
      <c r="C37" s="122" t="str">
        <f>IF(MAESTRO!F37="","",IFERROR('PROM (Ingles 9°)'!AE37,""))</f>
        <v/>
      </c>
      <c r="D37" s="122" t="str">
        <f>IF(MAESTRO!F37="","",IFERROR('PROM (Ingles 9°)'!BM37,""))</f>
        <v/>
      </c>
      <c r="E37" s="122" t="str">
        <f>IF(MAESTRO!F37="","",IFERROR('PROM (Ingles 9°)'!CU37,""))</f>
        <v/>
      </c>
      <c r="F37" s="123" t="str">
        <f>IF(MAESTRO!F37="","",IFERROR(TRUNC(AVERAGE(C37,D37,E37),1),""))</f>
        <v/>
      </c>
      <c r="G37" s="122" t="str">
        <f>IF(MAESTRO!F37="","",IFERROR('PROM (Agropecuaria 9°)'!AE37,""))</f>
        <v/>
      </c>
      <c r="H37" s="122" t="str">
        <f>IF(MAESTRO!F37="","",IFERROR('PROM (Agropecuaria 9°)'!BM37,""))</f>
        <v/>
      </c>
      <c r="I37" s="122" t="str">
        <f>IF(MAESTRO!F37="","",IFERROR('PROM (Agropecuaria 9°)'!CU37,""))</f>
        <v/>
      </c>
      <c r="J37" s="123" t="str">
        <f>IF(MAESTRO!F37="","",IFERROR(TRUNC(AVERAGE(G37,H37,I37),1),""))</f>
        <v/>
      </c>
      <c r="K37" s="122" t="str">
        <f>IF(MAESTRO!F37="","",IFERROR('PROM (Comercio 9°)'!AE37,""))</f>
        <v/>
      </c>
      <c r="L37" s="122" t="str">
        <f>IF(MAESTRO!F37="","",IFERROR('PROM (Comercio 9°)'!BM37,""))</f>
        <v/>
      </c>
      <c r="M37" s="122" t="str">
        <f>IF(MAESTRO!F37="","",IFERROR('PROM (Comercio 9°)'!CU37,""))</f>
        <v/>
      </c>
      <c r="N37" s="123" t="str">
        <f>IF(MAESTRO!F37="","",IFERROR(TRUNC(AVERAGE(K37,L37,M37),1),""))</f>
        <v/>
      </c>
      <c r="O37" s="124" t="str">
        <f>IF(MAESTRO!F37="","",IFERROR(AVERAGE(G37,K37),""))</f>
        <v/>
      </c>
      <c r="P37" s="124" t="str">
        <f>IF(MAESTRO!F37="","",IFERROR(AVERAGE(H37,L37),""))</f>
        <v/>
      </c>
      <c r="Q37" s="124" t="str">
        <f>IF(MAESTRO!F37="","",IFERROR(AVERAGE(I37,M37),""))</f>
        <v/>
      </c>
      <c r="R37" s="124" t="str">
        <f>IF(MAESTRO!F37="","",IFERROR(TRUNC(AVERAGE(O37,P37,Q37),1),""))</f>
        <v/>
      </c>
      <c r="S37" s="122" t="str">
        <f>IF(MAESTRO!F37="","",IFERROR('PROM (Artistica 9°)'!AE37,""))</f>
        <v/>
      </c>
      <c r="T37" s="122" t="str">
        <f>IF(MAESTRO!F37="","",IFERROR('PROM (Artistica 9°)'!BM37,""))</f>
        <v/>
      </c>
      <c r="U37" s="122" t="str">
        <f>IF(MAESTRO!F37="","",IFERROR('PROM (Artistica 9°)'!CU37,""))</f>
        <v/>
      </c>
      <c r="V37" s="123" t="str">
        <f>IF(MAESTRO!F37="","",IFERROR(TRUNC(AVERAGE(S37,T37,U37),1),""))</f>
        <v/>
      </c>
      <c r="W37" s="123" t="str">
        <f>IF(MAESTRO!F37="","",IF(AND(F37="",J37="",N37="",R37="",V37=""),"",IF(Y(OR(F37="",F37&gt;=3),OR(J37="",J37&gt;=3),OR(N37="",N37&gt;=3),OR(R37="",R37&gt;=3),OR(V37="",V37&gt;=3)),"✓ APROBADO","✗ REPROBADO")))</f>
        <v/>
      </c>
    </row>
    <row r="38" spans="1:23" ht="16.05" customHeight="1">
      <c r="A38" s="116">
        <v>34</v>
      </c>
      <c r="B38" s="117">
        <f>MAESTRO!F38</f>
        <v>0</v>
      </c>
      <c r="C38" s="125" t="str">
        <f>IF(MAESTRO!F38="","",IFERROR('PROM (Ingles 9°)'!AE38,""))</f>
        <v/>
      </c>
      <c r="D38" s="125" t="str">
        <f>IF(MAESTRO!F38="","",IFERROR('PROM (Ingles 9°)'!BM38,""))</f>
        <v/>
      </c>
      <c r="E38" s="125" t="str">
        <f>IF(MAESTRO!F38="","",IFERROR('PROM (Ingles 9°)'!CU38,""))</f>
        <v/>
      </c>
      <c r="F38" s="126" t="str">
        <f>IF(MAESTRO!F38="","",IFERROR(TRUNC(AVERAGE(C38,D38,E38),1),""))</f>
        <v/>
      </c>
      <c r="G38" s="125" t="str">
        <f>IF(MAESTRO!F38="","",IFERROR('PROM (Agropecuaria 9°)'!AE38,""))</f>
        <v/>
      </c>
      <c r="H38" s="125" t="str">
        <f>IF(MAESTRO!F38="","",IFERROR('PROM (Agropecuaria 9°)'!BM38,""))</f>
        <v/>
      </c>
      <c r="I38" s="125" t="str">
        <f>IF(MAESTRO!F38="","",IFERROR('PROM (Agropecuaria 9°)'!CU38,""))</f>
        <v/>
      </c>
      <c r="J38" s="126" t="str">
        <f>IF(MAESTRO!F38="","",IFERROR(TRUNC(AVERAGE(G38,H38,I38),1),""))</f>
        <v/>
      </c>
      <c r="K38" s="125" t="str">
        <f>IF(MAESTRO!F38="","",IFERROR('PROM (Comercio 9°)'!AE38,""))</f>
        <v/>
      </c>
      <c r="L38" s="125" t="str">
        <f>IF(MAESTRO!F38="","",IFERROR('PROM (Comercio 9°)'!BM38,""))</f>
        <v/>
      </c>
      <c r="M38" s="125" t="str">
        <f>IF(MAESTRO!F38="","",IFERROR('PROM (Comercio 9°)'!CU38,""))</f>
        <v/>
      </c>
      <c r="N38" s="126" t="str">
        <f>IF(MAESTRO!F38="","",IFERROR(TRUNC(AVERAGE(K38,L38,M38),1),""))</f>
        <v/>
      </c>
      <c r="O38" s="124" t="str">
        <f>IF(MAESTRO!F38="","",IFERROR(AVERAGE(G38,K38),""))</f>
        <v/>
      </c>
      <c r="P38" s="124" t="str">
        <f>IF(MAESTRO!F38="","",IFERROR(AVERAGE(H38,L38),""))</f>
        <v/>
      </c>
      <c r="Q38" s="124" t="str">
        <f>IF(MAESTRO!F38="","",IFERROR(AVERAGE(I38,M38),""))</f>
        <v/>
      </c>
      <c r="R38" s="124" t="str">
        <f>IF(MAESTRO!F38="","",IFERROR(TRUNC(AVERAGE(O38,P38,Q38),1),""))</f>
        <v/>
      </c>
      <c r="S38" s="125" t="str">
        <f>IF(MAESTRO!F38="","",IFERROR('PROM (Artistica 9°)'!AE38,""))</f>
        <v/>
      </c>
      <c r="T38" s="125" t="str">
        <f>IF(MAESTRO!F38="","",IFERROR('PROM (Artistica 9°)'!BM38,""))</f>
        <v/>
      </c>
      <c r="U38" s="125" t="str">
        <f>IF(MAESTRO!F38="","",IFERROR('PROM (Artistica 9°)'!CU38,""))</f>
        <v/>
      </c>
      <c r="V38" s="126" t="str">
        <f>IF(MAESTRO!F38="","",IFERROR(TRUNC(AVERAGE(S38,T38,U38),1),""))</f>
        <v/>
      </c>
      <c r="W38" s="126" t="str">
        <f>IF(MAESTRO!F38="","",IF(AND(F38="",J38="",N38="",R38="",V38=""),"",IF(Y(OR(F38="",F38&gt;=3),OR(J38="",J38&gt;=3),OR(N38="",N38&gt;=3),OR(R38="",R38&gt;=3),OR(V38="",V38&gt;=3)),"✓ APROBADO","✗ REPROBADO")))</f>
        <v/>
      </c>
    </row>
    <row r="39" spans="1:23" ht="16.05" customHeight="1">
      <c r="A39" s="118">
        <v>35</v>
      </c>
      <c r="B39" s="119">
        <f>MAESTRO!F39</f>
        <v>0</v>
      </c>
      <c r="C39" s="122" t="str">
        <f>IF(MAESTRO!F39="","",IFERROR('PROM (Ingles 9°)'!AE39,""))</f>
        <v/>
      </c>
      <c r="D39" s="122" t="str">
        <f>IF(MAESTRO!F39="","",IFERROR('PROM (Ingles 9°)'!BM39,""))</f>
        <v/>
      </c>
      <c r="E39" s="122" t="str">
        <f>IF(MAESTRO!F39="","",IFERROR('PROM (Ingles 9°)'!CU39,""))</f>
        <v/>
      </c>
      <c r="F39" s="123" t="str">
        <f>IF(MAESTRO!F39="","",IFERROR(TRUNC(AVERAGE(C39,D39,E39),1),""))</f>
        <v/>
      </c>
      <c r="G39" s="122" t="str">
        <f>IF(MAESTRO!F39="","",IFERROR('PROM (Agropecuaria 9°)'!AE39,""))</f>
        <v/>
      </c>
      <c r="H39" s="122" t="str">
        <f>IF(MAESTRO!F39="","",IFERROR('PROM (Agropecuaria 9°)'!BM39,""))</f>
        <v/>
      </c>
      <c r="I39" s="122" t="str">
        <f>IF(MAESTRO!F39="","",IFERROR('PROM (Agropecuaria 9°)'!CU39,""))</f>
        <v/>
      </c>
      <c r="J39" s="123" t="str">
        <f>IF(MAESTRO!F39="","",IFERROR(TRUNC(AVERAGE(G39,H39,I39),1),""))</f>
        <v/>
      </c>
      <c r="K39" s="122" t="str">
        <f>IF(MAESTRO!F39="","",IFERROR('PROM (Comercio 9°)'!AE39,""))</f>
        <v/>
      </c>
      <c r="L39" s="122" t="str">
        <f>IF(MAESTRO!F39="","",IFERROR('PROM (Comercio 9°)'!BM39,""))</f>
        <v/>
      </c>
      <c r="M39" s="122" t="str">
        <f>IF(MAESTRO!F39="","",IFERROR('PROM (Comercio 9°)'!CU39,""))</f>
        <v/>
      </c>
      <c r="N39" s="123" t="str">
        <f>IF(MAESTRO!F39="","",IFERROR(TRUNC(AVERAGE(K39,L39,M39),1),""))</f>
        <v/>
      </c>
      <c r="O39" s="124" t="str">
        <f>IF(MAESTRO!F39="","",IFERROR(AVERAGE(G39,K39),""))</f>
        <v/>
      </c>
      <c r="P39" s="124" t="str">
        <f>IF(MAESTRO!F39="","",IFERROR(AVERAGE(H39,L39),""))</f>
        <v/>
      </c>
      <c r="Q39" s="124" t="str">
        <f>IF(MAESTRO!F39="","",IFERROR(AVERAGE(I39,M39),""))</f>
        <v/>
      </c>
      <c r="R39" s="124" t="str">
        <f>IF(MAESTRO!F39="","",IFERROR(TRUNC(AVERAGE(O39,P39,Q39),1),""))</f>
        <v/>
      </c>
      <c r="S39" s="122" t="str">
        <f>IF(MAESTRO!F39="","",IFERROR('PROM (Artistica 9°)'!AE39,""))</f>
        <v/>
      </c>
      <c r="T39" s="122" t="str">
        <f>IF(MAESTRO!F39="","",IFERROR('PROM (Artistica 9°)'!BM39,""))</f>
        <v/>
      </c>
      <c r="U39" s="122" t="str">
        <f>IF(MAESTRO!F39="","",IFERROR('PROM (Artistica 9°)'!CU39,""))</f>
        <v/>
      </c>
      <c r="V39" s="123" t="str">
        <f>IF(MAESTRO!F39="","",IFERROR(TRUNC(AVERAGE(S39,T39,U39),1),""))</f>
        <v/>
      </c>
      <c r="W39" s="123" t="str">
        <f>IF(MAESTRO!F39="","",IF(AND(F39="",J39="",N39="",R39="",V39=""),"",IF(Y(OR(F39="",F39&gt;=3),OR(J39="",J39&gt;=3),OR(N39="",N39&gt;=3),OR(R39="",R39&gt;=3),OR(V39="",V39&gt;=3)),"✓ APROBADO","✗ REPROBADO")))</f>
        <v/>
      </c>
    </row>
    <row r="40" spans="1:23" ht="16.05" customHeight="1">
      <c r="A40" s="116">
        <v>36</v>
      </c>
      <c r="B40" s="117">
        <f>MAESTRO!F40</f>
        <v>0</v>
      </c>
      <c r="C40" s="125" t="str">
        <f>IF(MAESTRO!F40="","",IFERROR('PROM (Ingles 9°)'!AE40,""))</f>
        <v/>
      </c>
      <c r="D40" s="125" t="str">
        <f>IF(MAESTRO!F40="","",IFERROR('PROM (Ingles 9°)'!BM40,""))</f>
        <v/>
      </c>
      <c r="E40" s="125" t="str">
        <f>IF(MAESTRO!F40="","",IFERROR('PROM (Ingles 9°)'!CU40,""))</f>
        <v/>
      </c>
      <c r="F40" s="126" t="str">
        <f>IF(MAESTRO!F40="","",IFERROR(TRUNC(AVERAGE(C40,D40,E40),1),""))</f>
        <v/>
      </c>
      <c r="G40" s="125" t="str">
        <f>IF(MAESTRO!F40="","",IFERROR('PROM (Agropecuaria 9°)'!AE40,""))</f>
        <v/>
      </c>
      <c r="H40" s="125" t="str">
        <f>IF(MAESTRO!F40="","",IFERROR('PROM (Agropecuaria 9°)'!BM40,""))</f>
        <v/>
      </c>
      <c r="I40" s="125" t="str">
        <f>IF(MAESTRO!F40="","",IFERROR('PROM (Agropecuaria 9°)'!CU40,""))</f>
        <v/>
      </c>
      <c r="J40" s="126" t="str">
        <f>IF(MAESTRO!F40="","",IFERROR(TRUNC(AVERAGE(G40,H40,I40),1),""))</f>
        <v/>
      </c>
      <c r="K40" s="125" t="str">
        <f>IF(MAESTRO!F40="","",IFERROR('PROM (Comercio 9°)'!AE40,""))</f>
        <v/>
      </c>
      <c r="L40" s="125" t="str">
        <f>IF(MAESTRO!F40="","",IFERROR('PROM (Comercio 9°)'!BM40,""))</f>
        <v/>
      </c>
      <c r="M40" s="125" t="str">
        <f>IF(MAESTRO!F40="","",IFERROR('PROM (Comercio 9°)'!CU40,""))</f>
        <v/>
      </c>
      <c r="N40" s="126" t="str">
        <f>IF(MAESTRO!F40="","",IFERROR(TRUNC(AVERAGE(K40,L40,M40),1),""))</f>
        <v/>
      </c>
      <c r="O40" s="124" t="str">
        <f>IF(MAESTRO!F40="","",IFERROR(AVERAGE(G40,K40),""))</f>
        <v/>
      </c>
      <c r="P40" s="124" t="str">
        <f>IF(MAESTRO!F40="","",IFERROR(AVERAGE(H40,L40),""))</f>
        <v/>
      </c>
      <c r="Q40" s="124" t="str">
        <f>IF(MAESTRO!F40="","",IFERROR(AVERAGE(I40,M40),""))</f>
        <v/>
      </c>
      <c r="R40" s="124" t="str">
        <f>IF(MAESTRO!F40="","",IFERROR(TRUNC(AVERAGE(O40,P40,Q40),1),""))</f>
        <v/>
      </c>
      <c r="S40" s="125" t="str">
        <f>IF(MAESTRO!F40="","",IFERROR('PROM (Artistica 9°)'!AE40,""))</f>
        <v/>
      </c>
      <c r="T40" s="125" t="str">
        <f>IF(MAESTRO!F40="","",IFERROR('PROM (Artistica 9°)'!BM40,""))</f>
        <v/>
      </c>
      <c r="U40" s="125" t="str">
        <f>IF(MAESTRO!F40="","",IFERROR('PROM (Artistica 9°)'!CU40,""))</f>
        <v/>
      </c>
      <c r="V40" s="126" t="str">
        <f>IF(MAESTRO!F40="","",IFERROR(TRUNC(AVERAGE(S40,T40,U40),1),""))</f>
        <v/>
      </c>
      <c r="W40" s="126" t="str">
        <f>IF(MAESTRO!F40="","",IF(AND(F40="",J40="",N40="",R40="",V40=""),"",IF(Y(OR(F40="",F40&gt;=3),OR(J40="",J40&gt;=3),OR(N40="",N40&gt;=3),OR(R40="",R40&gt;=3),OR(V40="",V40&gt;=3)),"✓ APROBADO","✗ REPROBADO")))</f>
        <v/>
      </c>
    </row>
    <row r="41" spans="1:23" ht="16.05" customHeight="1">
      <c r="A41" s="118">
        <v>37</v>
      </c>
      <c r="B41" s="119">
        <f>MAESTRO!F41</f>
        <v>0</v>
      </c>
      <c r="C41" s="122" t="str">
        <f>IF(MAESTRO!F41="","",IFERROR('PROM (Ingles 9°)'!AE41,""))</f>
        <v/>
      </c>
      <c r="D41" s="122" t="str">
        <f>IF(MAESTRO!F41="","",IFERROR('PROM (Ingles 9°)'!BM41,""))</f>
        <v/>
      </c>
      <c r="E41" s="122" t="str">
        <f>IF(MAESTRO!F41="","",IFERROR('PROM (Ingles 9°)'!CU41,""))</f>
        <v/>
      </c>
      <c r="F41" s="123" t="str">
        <f>IF(MAESTRO!F41="","",IFERROR(TRUNC(AVERAGE(C41,D41,E41),1),""))</f>
        <v/>
      </c>
      <c r="G41" s="122" t="str">
        <f>IF(MAESTRO!F41="","",IFERROR('PROM (Agropecuaria 9°)'!AE41,""))</f>
        <v/>
      </c>
      <c r="H41" s="122" t="str">
        <f>IF(MAESTRO!F41="","",IFERROR('PROM (Agropecuaria 9°)'!BM41,""))</f>
        <v/>
      </c>
      <c r="I41" s="122" t="str">
        <f>IF(MAESTRO!F41="","",IFERROR('PROM (Agropecuaria 9°)'!CU41,""))</f>
        <v/>
      </c>
      <c r="J41" s="123" t="str">
        <f>IF(MAESTRO!F41="","",IFERROR(TRUNC(AVERAGE(G41,H41,I41),1),""))</f>
        <v/>
      </c>
      <c r="K41" s="122" t="str">
        <f>IF(MAESTRO!F41="","",IFERROR('PROM (Comercio 9°)'!AE41,""))</f>
        <v/>
      </c>
      <c r="L41" s="122" t="str">
        <f>IF(MAESTRO!F41="","",IFERROR('PROM (Comercio 9°)'!BM41,""))</f>
        <v/>
      </c>
      <c r="M41" s="122" t="str">
        <f>IF(MAESTRO!F41="","",IFERROR('PROM (Comercio 9°)'!CU41,""))</f>
        <v/>
      </c>
      <c r="N41" s="123" t="str">
        <f>IF(MAESTRO!F41="","",IFERROR(TRUNC(AVERAGE(K41,L41,M41),1),""))</f>
        <v/>
      </c>
      <c r="O41" s="124" t="str">
        <f>IF(MAESTRO!F41="","",IFERROR(AVERAGE(G41,K41),""))</f>
        <v/>
      </c>
      <c r="P41" s="124" t="str">
        <f>IF(MAESTRO!F41="","",IFERROR(AVERAGE(H41,L41),""))</f>
        <v/>
      </c>
      <c r="Q41" s="124" t="str">
        <f>IF(MAESTRO!F41="","",IFERROR(AVERAGE(I41,M41),""))</f>
        <v/>
      </c>
      <c r="R41" s="124" t="str">
        <f>IF(MAESTRO!F41="","",IFERROR(TRUNC(AVERAGE(O41,P41,Q41),1),""))</f>
        <v/>
      </c>
      <c r="S41" s="122" t="str">
        <f>IF(MAESTRO!F41="","",IFERROR('PROM (Artistica 9°)'!AE41,""))</f>
        <v/>
      </c>
      <c r="T41" s="122" t="str">
        <f>IF(MAESTRO!F41="","",IFERROR('PROM (Artistica 9°)'!BM41,""))</f>
        <v/>
      </c>
      <c r="U41" s="122" t="str">
        <f>IF(MAESTRO!F41="","",IFERROR('PROM (Artistica 9°)'!CU41,""))</f>
        <v/>
      </c>
      <c r="V41" s="123" t="str">
        <f>IF(MAESTRO!F41="","",IFERROR(TRUNC(AVERAGE(S41,T41,U41),1),""))</f>
        <v/>
      </c>
      <c r="W41" s="123" t="str">
        <f>IF(MAESTRO!F41="","",IF(AND(F41="",J41="",N41="",R41="",V41=""),"",IF(Y(OR(F41="",F41&gt;=3),OR(J41="",J41&gt;=3),OR(N41="",N41&gt;=3),OR(R41="",R41&gt;=3),OR(V41="",V41&gt;=3)),"✓ APROBADO","✗ REPROBADO")))</f>
        <v/>
      </c>
    </row>
    <row r="42" spans="1:23" ht="16.05" customHeight="1">
      <c r="A42" s="116">
        <v>38</v>
      </c>
      <c r="B42" s="117">
        <f>MAESTRO!F42</f>
        <v>0</v>
      </c>
      <c r="C42" s="125" t="str">
        <f>IF(MAESTRO!F42="","",IFERROR('PROM (Ingles 9°)'!AE42,""))</f>
        <v/>
      </c>
      <c r="D42" s="125" t="str">
        <f>IF(MAESTRO!F42="","",IFERROR('PROM (Ingles 9°)'!BM42,""))</f>
        <v/>
      </c>
      <c r="E42" s="125" t="str">
        <f>IF(MAESTRO!F42="","",IFERROR('PROM (Ingles 9°)'!CU42,""))</f>
        <v/>
      </c>
      <c r="F42" s="126" t="str">
        <f>IF(MAESTRO!F42="","",IFERROR(TRUNC(AVERAGE(C42,D42,E42),1),""))</f>
        <v/>
      </c>
      <c r="G42" s="125" t="str">
        <f>IF(MAESTRO!F42="","",IFERROR('PROM (Agropecuaria 9°)'!AE42,""))</f>
        <v/>
      </c>
      <c r="H42" s="125" t="str">
        <f>IF(MAESTRO!F42="","",IFERROR('PROM (Agropecuaria 9°)'!BM42,""))</f>
        <v/>
      </c>
      <c r="I42" s="125" t="str">
        <f>IF(MAESTRO!F42="","",IFERROR('PROM (Agropecuaria 9°)'!CU42,""))</f>
        <v/>
      </c>
      <c r="J42" s="126" t="str">
        <f>IF(MAESTRO!F42="","",IFERROR(TRUNC(AVERAGE(G42,H42,I42),1),""))</f>
        <v/>
      </c>
      <c r="K42" s="125" t="str">
        <f>IF(MAESTRO!F42="","",IFERROR('PROM (Comercio 9°)'!AE42,""))</f>
        <v/>
      </c>
      <c r="L42" s="125" t="str">
        <f>IF(MAESTRO!F42="","",IFERROR('PROM (Comercio 9°)'!BM42,""))</f>
        <v/>
      </c>
      <c r="M42" s="125" t="str">
        <f>IF(MAESTRO!F42="","",IFERROR('PROM (Comercio 9°)'!CU42,""))</f>
        <v/>
      </c>
      <c r="N42" s="126" t="str">
        <f>IF(MAESTRO!F42="","",IFERROR(TRUNC(AVERAGE(K42,L42,M42),1),""))</f>
        <v/>
      </c>
      <c r="O42" s="124" t="str">
        <f>IF(MAESTRO!F42="","",IFERROR(AVERAGE(G42,K42),""))</f>
        <v/>
      </c>
      <c r="P42" s="124" t="str">
        <f>IF(MAESTRO!F42="","",IFERROR(AVERAGE(H42,L42),""))</f>
        <v/>
      </c>
      <c r="Q42" s="124" t="str">
        <f>IF(MAESTRO!F42="","",IFERROR(AVERAGE(I42,M42),""))</f>
        <v/>
      </c>
      <c r="R42" s="124" t="str">
        <f>IF(MAESTRO!F42="","",IFERROR(TRUNC(AVERAGE(O42,P42,Q42),1),""))</f>
        <v/>
      </c>
      <c r="S42" s="125" t="str">
        <f>IF(MAESTRO!F42="","",IFERROR('PROM (Artistica 9°)'!AE42,""))</f>
        <v/>
      </c>
      <c r="T42" s="125" t="str">
        <f>IF(MAESTRO!F42="","",IFERROR('PROM (Artistica 9°)'!BM42,""))</f>
        <v/>
      </c>
      <c r="U42" s="125" t="str">
        <f>IF(MAESTRO!F42="","",IFERROR('PROM (Artistica 9°)'!CU42,""))</f>
        <v/>
      </c>
      <c r="V42" s="126" t="str">
        <f>IF(MAESTRO!F42="","",IFERROR(TRUNC(AVERAGE(S42,T42,U42),1),""))</f>
        <v/>
      </c>
      <c r="W42" s="126" t="str">
        <f>IF(MAESTRO!F42="","",IF(AND(F42="",J42="",N42="",R42="",V42=""),"",IF(Y(OR(F42="",F42&gt;=3),OR(J42="",J42&gt;=3),OR(N42="",N42&gt;=3),OR(R42="",R42&gt;=3),OR(V42="",V42&gt;=3)),"✓ APROBADO","✗ REPROBADO")))</f>
        <v/>
      </c>
    </row>
    <row r="43" spans="1:23" ht="16.05" customHeight="1">
      <c r="A43" s="118">
        <v>39</v>
      </c>
      <c r="B43" s="119">
        <f>MAESTRO!F43</f>
        <v>0</v>
      </c>
      <c r="C43" s="122" t="str">
        <f>IF(MAESTRO!F43="","",IFERROR('PROM (Ingles 9°)'!AE43,""))</f>
        <v/>
      </c>
      <c r="D43" s="122" t="str">
        <f>IF(MAESTRO!F43="","",IFERROR('PROM (Ingles 9°)'!BM43,""))</f>
        <v/>
      </c>
      <c r="E43" s="122" t="str">
        <f>IF(MAESTRO!F43="","",IFERROR('PROM (Ingles 9°)'!CU43,""))</f>
        <v/>
      </c>
      <c r="F43" s="123" t="str">
        <f>IF(MAESTRO!F43="","",IFERROR(TRUNC(AVERAGE(C43,D43,E43),1),""))</f>
        <v/>
      </c>
      <c r="G43" s="122" t="str">
        <f>IF(MAESTRO!F43="","",IFERROR('PROM (Agropecuaria 9°)'!AE43,""))</f>
        <v/>
      </c>
      <c r="H43" s="122" t="str">
        <f>IF(MAESTRO!F43="","",IFERROR('PROM (Agropecuaria 9°)'!BM43,""))</f>
        <v/>
      </c>
      <c r="I43" s="122" t="str">
        <f>IF(MAESTRO!F43="","",IFERROR('PROM (Agropecuaria 9°)'!CU43,""))</f>
        <v/>
      </c>
      <c r="J43" s="123" t="str">
        <f>IF(MAESTRO!F43="","",IFERROR(TRUNC(AVERAGE(G43,H43,I43),1),""))</f>
        <v/>
      </c>
      <c r="K43" s="122" t="str">
        <f>IF(MAESTRO!F43="","",IFERROR('PROM (Comercio 9°)'!AE43,""))</f>
        <v/>
      </c>
      <c r="L43" s="122" t="str">
        <f>IF(MAESTRO!F43="","",IFERROR('PROM (Comercio 9°)'!BM43,""))</f>
        <v/>
      </c>
      <c r="M43" s="122" t="str">
        <f>IF(MAESTRO!F43="","",IFERROR('PROM (Comercio 9°)'!CU43,""))</f>
        <v/>
      </c>
      <c r="N43" s="123" t="str">
        <f>IF(MAESTRO!F43="","",IFERROR(TRUNC(AVERAGE(K43,L43,M43),1),""))</f>
        <v/>
      </c>
      <c r="O43" s="124" t="str">
        <f>IF(MAESTRO!F43="","",IFERROR(AVERAGE(G43,K43),""))</f>
        <v/>
      </c>
      <c r="P43" s="124" t="str">
        <f>IF(MAESTRO!F43="","",IFERROR(AVERAGE(H43,L43),""))</f>
        <v/>
      </c>
      <c r="Q43" s="124" t="str">
        <f>IF(MAESTRO!F43="","",IFERROR(AVERAGE(I43,M43),""))</f>
        <v/>
      </c>
      <c r="R43" s="124" t="str">
        <f>IF(MAESTRO!F43="","",IFERROR(TRUNC(AVERAGE(O43,P43,Q43),1),""))</f>
        <v/>
      </c>
      <c r="S43" s="122" t="str">
        <f>IF(MAESTRO!F43="","",IFERROR('PROM (Artistica 9°)'!AE43,""))</f>
        <v/>
      </c>
      <c r="T43" s="122" t="str">
        <f>IF(MAESTRO!F43="","",IFERROR('PROM (Artistica 9°)'!BM43,""))</f>
        <v/>
      </c>
      <c r="U43" s="122" t="str">
        <f>IF(MAESTRO!F43="","",IFERROR('PROM (Artistica 9°)'!CU43,""))</f>
        <v/>
      </c>
      <c r="V43" s="123" t="str">
        <f>IF(MAESTRO!F43="","",IFERROR(TRUNC(AVERAGE(S43,T43,U43),1),""))</f>
        <v/>
      </c>
      <c r="W43" s="123" t="str">
        <f>IF(MAESTRO!F43="","",IF(AND(F43="",J43="",N43="",R43="",V43=""),"",IF(Y(OR(F43="",F43&gt;=3),OR(J43="",J43&gt;=3),OR(N43="",N43&gt;=3),OR(R43="",R43&gt;=3),OR(V43="",V43&gt;=3)),"✓ APROBADO","✗ REPROBADO")))</f>
        <v/>
      </c>
    </row>
    <row r="44" spans="1:23" ht="16.05" customHeight="1">
      <c r="A44" s="116">
        <v>40</v>
      </c>
      <c r="B44" s="117">
        <f>MAESTRO!F44</f>
        <v>0</v>
      </c>
      <c r="C44" s="125" t="str">
        <f>IF(MAESTRO!F44="","",IFERROR('PROM (Ingles 9°)'!AE44,""))</f>
        <v/>
      </c>
      <c r="D44" s="125" t="str">
        <f>IF(MAESTRO!F44="","",IFERROR('PROM (Ingles 9°)'!BM44,""))</f>
        <v/>
      </c>
      <c r="E44" s="125" t="str">
        <f>IF(MAESTRO!F44="","",IFERROR('PROM (Ingles 9°)'!CU44,""))</f>
        <v/>
      </c>
      <c r="F44" s="126" t="str">
        <f>IF(MAESTRO!F44="","",IFERROR(TRUNC(AVERAGE(C44,D44,E44),1),""))</f>
        <v/>
      </c>
      <c r="G44" s="125" t="str">
        <f>IF(MAESTRO!F44="","",IFERROR('PROM (Agropecuaria 9°)'!AE44,""))</f>
        <v/>
      </c>
      <c r="H44" s="125" t="str">
        <f>IF(MAESTRO!F44="","",IFERROR('PROM (Agropecuaria 9°)'!BM44,""))</f>
        <v/>
      </c>
      <c r="I44" s="125" t="str">
        <f>IF(MAESTRO!F44="","",IFERROR('PROM (Agropecuaria 9°)'!CU44,""))</f>
        <v/>
      </c>
      <c r="J44" s="126" t="str">
        <f>IF(MAESTRO!F44="","",IFERROR(TRUNC(AVERAGE(G44,H44,I44),1),""))</f>
        <v/>
      </c>
      <c r="K44" s="125" t="str">
        <f>IF(MAESTRO!F44="","",IFERROR('PROM (Comercio 9°)'!AE44,""))</f>
        <v/>
      </c>
      <c r="L44" s="125" t="str">
        <f>IF(MAESTRO!F44="","",IFERROR('PROM (Comercio 9°)'!BM44,""))</f>
        <v/>
      </c>
      <c r="M44" s="125" t="str">
        <f>IF(MAESTRO!F44="","",IFERROR('PROM (Comercio 9°)'!CU44,""))</f>
        <v/>
      </c>
      <c r="N44" s="126" t="str">
        <f>IF(MAESTRO!F44="","",IFERROR(TRUNC(AVERAGE(K44,L44,M44),1),""))</f>
        <v/>
      </c>
      <c r="O44" s="124" t="str">
        <f>IF(MAESTRO!F44="","",IFERROR(AVERAGE(G44,K44),""))</f>
        <v/>
      </c>
      <c r="P44" s="124" t="str">
        <f>IF(MAESTRO!F44="","",IFERROR(AVERAGE(H44,L44),""))</f>
        <v/>
      </c>
      <c r="Q44" s="124" t="str">
        <f>IF(MAESTRO!F44="","",IFERROR(AVERAGE(I44,M44),""))</f>
        <v/>
      </c>
      <c r="R44" s="124" t="str">
        <f>IF(MAESTRO!F44="","",IFERROR(TRUNC(AVERAGE(O44,P44,Q44),1),""))</f>
        <v/>
      </c>
      <c r="S44" s="125" t="str">
        <f>IF(MAESTRO!F44="","",IFERROR('PROM (Artistica 9°)'!AE44,""))</f>
        <v/>
      </c>
      <c r="T44" s="125" t="str">
        <f>IF(MAESTRO!F44="","",IFERROR('PROM (Artistica 9°)'!BM44,""))</f>
        <v/>
      </c>
      <c r="U44" s="125" t="str">
        <f>IF(MAESTRO!F44="","",IFERROR('PROM (Artistica 9°)'!CU44,""))</f>
        <v/>
      </c>
      <c r="V44" s="126" t="str">
        <f>IF(MAESTRO!F44="","",IFERROR(TRUNC(AVERAGE(S44,T44,U44),1),""))</f>
        <v/>
      </c>
      <c r="W44" s="126" t="str">
        <f>IF(MAESTRO!F44="","",IF(AND(F44="",J44="",N44="",R44="",V44=""),"",IF(Y(OR(F44="",F44&gt;=3),OR(J44="",J44&gt;=3),OR(N44="",N44&gt;=3),OR(R44="",R44&gt;=3),OR(V44="",V44&gt;=3)),"✓ APROBADO","✗ REPROBADO")))</f>
        <v/>
      </c>
    </row>
    <row r="46" spans="1:23" ht="18" customHeight="1">
      <c r="A46" s="171" t="s">
        <v>14</v>
      </c>
      <c r="B46" s="166"/>
      <c r="C46" s="127" t="str">
        <f t="shared" ref="C46:V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7" t="str">
        <f t="shared" si="0"/>
        <v/>
      </c>
      <c r="T46" s="127" t="str">
        <f t="shared" si="0"/>
        <v/>
      </c>
      <c r="U46" s="127" t="str">
        <f t="shared" si="0"/>
        <v/>
      </c>
      <c r="V46" s="127" t="str">
        <f t="shared" si="0"/>
        <v/>
      </c>
      <c r="W46" s="128"/>
    </row>
  </sheetData>
  <mergeCells count="11">
    <mergeCell ref="A46:B46"/>
    <mergeCell ref="W3:W4"/>
    <mergeCell ref="A2:P2"/>
    <mergeCell ref="C3:F3"/>
    <mergeCell ref="S3:V3"/>
    <mergeCell ref="G3:J3"/>
    <mergeCell ref="K3:N3"/>
    <mergeCell ref="A1:P1"/>
    <mergeCell ref="B3:B4"/>
    <mergeCell ref="A3:A4"/>
    <mergeCell ref="O3:R3"/>
  </mergeCells>
  <conditionalFormatting sqref="C5:V44">
    <cfRule type="cellIs" dxfId="27" priority="1" operator="lessThan">
      <formula>3</formula>
    </cfRule>
    <cfRule type="cellIs" dxfId="26" priority="2" operator="between">
      <formula>3</formula>
      <formula>3.4</formula>
    </cfRule>
    <cfRule type="cellIs" dxfId="25" priority="3" operator="greaterThanOrEqual">
      <formula>4.5</formula>
    </cfRule>
  </conditionalFormatting>
  <conditionalFormatting sqref="W5:W44">
    <cfRule type="expression" dxfId="24" priority="4">
      <formula>W5="✓ APROBADO"</formula>
    </cfRule>
    <cfRule type="expression" dxfId="23" priority="5">
      <formula>W5="✗ REPROBADO"</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P152"/>
  <sheetViews>
    <sheetView workbookViewId="0">
      <pane ySplit="6" topLeftCell="A7" activePane="bottomLeft" state="frozen"/>
      <selection pane="bottomLeft" sqref="A1:P1"/>
    </sheetView>
  </sheetViews>
  <sheetFormatPr baseColWidth="10" defaultColWidth="8.88671875" defaultRowHeight="14.4"/>
  <cols>
    <col min="1" max="1" width="5" customWidth="1"/>
    <col min="2" max="2" width="8" customWidth="1"/>
    <col min="3" max="3" width="30" customWidth="1"/>
    <col min="4" max="4" width="10" customWidth="1"/>
    <col min="5" max="5" width="12" customWidth="1"/>
    <col min="6" max="6" width="25" customWidth="1"/>
  </cols>
  <sheetData>
    <row r="1" spans="1:16" ht="24" customHeight="1">
      <c r="A1" s="202" t="s">
        <v>51</v>
      </c>
      <c r="B1" s="165"/>
      <c r="C1" s="165"/>
      <c r="D1" s="165"/>
      <c r="E1" s="165"/>
      <c r="F1" s="165"/>
      <c r="G1" s="165"/>
      <c r="H1" s="165"/>
      <c r="I1" s="165"/>
      <c r="J1" s="165"/>
      <c r="K1" s="165"/>
      <c r="L1" s="165"/>
      <c r="M1" s="165"/>
      <c r="N1" s="165"/>
      <c r="O1" s="165"/>
      <c r="P1" s="166"/>
    </row>
    <row r="2" spans="1:16" ht="19.95" customHeight="1">
      <c r="A2" s="206" t="s">
        <v>52</v>
      </c>
      <c r="B2" s="165"/>
      <c r="C2" s="165"/>
      <c r="D2" s="165"/>
      <c r="E2" s="165"/>
      <c r="F2" s="165"/>
      <c r="G2" s="165"/>
      <c r="H2" s="165"/>
      <c r="I2" s="165"/>
      <c r="J2" s="165"/>
      <c r="K2" s="165"/>
      <c r="L2" s="165"/>
      <c r="M2" s="165"/>
      <c r="N2" s="165"/>
      <c r="O2" s="165"/>
      <c r="P2" s="166"/>
    </row>
    <row r="3" spans="1:16" ht="19.95" customHeight="1">
      <c r="A3" s="205" t="s">
        <v>53</v>
      </c>
      <c r="B3" s="165"/>
      <c r="C3" s="165"/>
      <c r="D3" s="165"/>
      <c r="E3" s="165"/>
      <c r="F3" s="165"/>
      <c r="G3" s="165"/>
      <c r="H3" s="165"/>
      <c r="I3" s="165"/>
      <c r="J3" s="165"/>
      <c r="K3" s="165"/>
      <c r="L3" s="165"/>
      <c r="M3" s="165"/>
      <c r="N3" s="165"/>
      <c r="O3" s="165"/>
      <c r="P3" s="166"/>
    </row>
    <row r="4" spans="1:16" ht="16.05" customHeight="1">
      <c r="A4" s="204" t="s">
        <v>54</v>
      </c>
      <c r="B4" s="165"/>
      <c r="C4" s="165"/>
      <c r="D4" s="165"/>
      <c r="E4" s="165"/>
      <c r="F4" s="165"/>
      <c r="G4" s="165"/>
      <c r="H4" s="165"/>
      <c r="I4" s="165"/>
      <c r="J4" s="165"/>
      <c r="K4" s="165"/>
      <c r="L4" s="165"/>
      <c r="M4" s="165"/>
      <c r="N4" s="165"/>
      <c r="O4" s="165"/>
      <c r="P4" s="166"/>
    </row>
    <row r="6" spans="1:16" ht="19.95" customHeight="1">
      <c r="A6" s="201" t="s">
        <v>55</v>
      </c>
      <c r="B6" s="165"/>
      <c r="C6" s="165"/>
      <c r="D6" s="165"/>
      <c r="E6" s="165"/>
      <c r="F6" s="165"/>
      <c r="G6" s="165"/>
      <c r="H6" s="165"/>
      <c r="I6" s="165"/>
      <c r="J6" s="165"/>
      <c r="K6" s="165"/>
      <c r="L6" s="165"/>
      <c r="M6" s="165"/>
      <c r="N6" s="165"/>
      <c r="O6" s="165"/>
      <c r="P6" s="166"/>
    </row>
    <row r="7" spans="1:16" ht="18" customHeight="1">
      <c r="A7" s="130" t="s">
        <v>17</v>
      </c>
      <c r="B7" s="130" t="s">
        <v>56</v>
      </c>
      <c r="C7" s="130" t="s">
        <v>57</v>
      </c>
      <c r="D7" s="130" t="s">
        <v>58</v>
      </c>
    </row>
    <row r="8" spans="1:16" ht="16.05" customHeight="1">
      <c r="A8" s="139" t="s">
        <v>19</v>
      </c>
      <c r="B8" s="140">
        <f>COUNTA(MAESTRO!B5:'MAESTRO'!B44)</f>
        <v>0</v>
      </c>
      <c r="C8" s="141"/>
      <c r="D8" s="141"/>
    </row>
    <row r="9" spans="1:16" ht="16.05" customHeight="1">
      <c r="A9" s="142" t="s">
        <v>20</v>
      </c>
      <c r="B9" s="143">
        <f>COUNTA(MAESTRO!D5:'MAESTRO'!D44)</f>
        <v>0</v>
      </c>
      <c r="C9" s="144"/>
      <c r="D9" s="144"/>
    </row>
    <row r="10" spans="1:16" ht="16.05" customHeight="1">
      <c r="A10" s="139" t="s">
        <v>21</v>
      </c>
      <c r="B10" s="140">
        <f>COUNTA(MAESTRO!F5:'MAESTRO'!F44)</f>
        <v>0</v>
      </c>
      <c r="C10" s="141"/>
      <c r="D10" s="141"/>
    </row>
    <row r="11" spans="1:16" ht="18" customHeight="1">
      <c r="A11" s="127" t="s">
        <v>59</v>
      </c>
      <c r="B11" s="145">
        <f>COUNTA(MAESTRO!B5:'MAESTRO'!B44)+COUNTA(MAESTRO!D5:'MAESTRO'!D44)+COUNTA(MAESTRO!F5:'MAESTRO'!F44)</f>
        <v>0</v>
      </c>
      <c r="C11" s="128"/>
      <c r="D11" s="128"/>
    </row>
    <row r="13" spans="1:16" ht="19.95" customHeight="1">
      <c r="A13" s="201" t="s">
        <v>60</v>
      </c>
      <c r="B13" s="165"/>
      <c r="C13" s="165"/>
      <c r="D13" s="165"/>
      <c r="E13" s="165"/>
      <c r="F13" s="165"/>
      <c r="G13" s="165"/>
      <c r="H13" s="165"/>
      <c r="I13" s="165"/>
      <c r="J13" s="165"/>
      <c r="K13" s="165"/>
      <c r="L13" s="165"/>
      <c r="M13" s="165"/>
      <c r="N13" s="165"/>
      <c r="O13" s="165"/>
      <c r="P13" s="166"/>
    </row>
    <row r="14" spans="1:16" ht="30" customHeight="1">
      <c r="A14" s="130" t="s">
        <v>17</v>
      </c>
      <c r="B14" s="130" t="s">
        <v>61</v>
      </c>
      <c r="C14" s="130" t="s">
        <v>62</v>
      </c>
      <c r="D14" s="130" t="s">
        <v>63</v>
      </c>
      <c r="E14" s="130" t="s">
        <v>64</v>
      </c>
      <c r="F14" s="130" t="s">
        <v>65</v>
      </c>
      <c r="G14" s="130" t="s">
        <v>66</v>
      </c>
    </row>
    <row r="15" spans="1:16" ht="16.05" customHeight="1">
      <c r="A15" s="139" t="s">
        <v>19</v>
      </c>
      <c r="B15" s="126">
        <f>COUNTA(MAESTRO!B5:'MAESTRO'!B44)</f>
        <v>0</v>
      </c>
      <c r="C15" s="126">
        <f>COUNTIF(RESUMEN_7°!S5:'RESUMEN_7°'!S44,"✓ APROBADO")</f>
        <v>0</v>
      </c>
      <c r="D15" s="126">
        <f>COUNTIF(RESUMEN_7°!S5:'RESUMEN_7°'!S44,"✗ REPROBADO")</f>
        <v>0</v>
      </c>
      <c r="E15" s="125" t="str">
        <f>IFERROR(ROUND(C15/B15*100,1)&amp;"%","")</f>
        <v/>
      </c>
      <c r="F15" s="125" t="str">
        <f>IFERROR(ROUND(AVERAGEIF(RESUMEN_7°!F5:'RESUMEN_7°'!F44,"&lt;&gt;"&amp;""),1),"")</f>
        <v/>
      </c>
      <c r="G15" s="125" t="str">
        <f>IFERROR(ROUND(AVERAGEIF(RESUMEN_7°!R5:'RESUMEN_7°'!R44,"&lt;&gt;"&amp;""),1),"")</f>
        <v/>
      </c>
    </row>
    <row r="16" spans="1:16" ht="16.05" customHeight="1">
      <c r="A16" s="142" t="s">
        <v>20</v>
      </c>
      <c r="B16" s="123">
        <f>COUNTA(MAESTRO!D5:'MAESTRO'!D44)</f>
        <v>0</v>
      </c>
      <c r="C16" s="123">
        <f>COUNTIF(RESUMEN_8°!S5:'RESUMEN_8°'!S44,"✓ APROBADO")</f>
        <v>0</v>
      </c>
      <c r="D16" s="123">
        <f>COUNTIF(RESUMEN_8°!S5:'RESUMEN_8°'!S44,"✗ REPROBADO")</f>
        <v>0</v>
      </c>
      <c r="E16" s="122" t="str">
        <f>IFERROR(ROUND(C16/B16*100,1)&amp;"%","")</f>
        <v/>
      </c>
      <c r="F16" s="122" t="str">
        <f>IFERROR(ROUND(AVERAGEIF(RESUMEN_8°!F5:'RESUMEN_8°'!F44,"&lt;&gt;"&amp;""),1),"")</f>
        <v/>
      </c>
      <c r="G16" s="122" t="str">
        <f>IFERROR(ROUND(AVERAGEIF(RESUMEN_8°!R5:'RESUMEN_8°'!R44,"&lt;&gt;"&amp;""),1),"")</f>
        <v/>
      </c>
    </row>
    <row r="17" spans="1:16" ht="16.05" customHeight="1">
      <c r="A17" s="139" t="s">
        <v>21</v>
      </c>
      <c r="B17" s="126">
        <f>COUNTA(MAESTRO!F5:'MAESTRO'!F44)</f>
        <v>0</v>
      </c>
      <c r="C17" s="126">
        <f>COUNTIF(RESUMEN_9°!W5:'RESUMEN_9°'!W44,"✓ APROBADO")</f>
        <v>0</v>
      </c>
      <c r="D17" s="126">
        <f>COUNTIF(RESUMEN_9°!W5:'RESUMEN_9°'!W44,"✗ REPROBADO")</f>
        <v>0</v>
      </c>
      <c r="E17" s="125" t="str">
        <f>IFERROR(ROUND(C17/B17*100,1)&amp;"%","")</f>
        <v/>
      </c>
      <c r="F17" s="125" t="str">
        <f>IFERROR(ROUND(AVERAGEIF(RESUMEN_9°!F5:'RESUMEN_9°'!F44,"&lt;&gt;"&amp;""),1),"")</f>
        <v/>
      </c>
      <c r="G17" s="125" t="str">
        <f>IFERROR(ROUND(AVERAGEIF(RESUMEN_9°!V5:'RESUMEN_9°'!V44,"&lt;&gt;"&amp;""),1),"")</f>
        <v/>
      </c>
    </row>
    <row r="19" spans="1:16" ht="19.95" customHeight="1">
      <c r="A19" s="205" t="s">
        <v>67</v>
      </c>
      <c r="B19" s="165"/>
      <c r="C19" s="165"/>
      <c r="D19" s="165"/>
      <c r="E19" s="165"/>
      <c r="F19" s="165"/>
      <c r="G19" s="165"/>
      <c r="H19" s="165"/>
      <c r="I19" s="165"/>
      <c r="J19" s="165"/>
      <c r="K19" s="165"/>
      <c r="L19" s="165"/>
      <c r="M19" s="165"/>
      <c r="N19" s="165"/>
      <c r="O19" s="165"/>
      <c r="P19" s="166"/>
    </row>
    <row r="20" spans="1:16" ht="18" customHeight="1">
      <c r="A20" s="146" t="s">
        <v>2</v>
      </c>
      <c r="B20" s="146" t="s">
        <v>17</v>
      </c>
      <c r="C20" s="146" t="s">
        <v>3</v>
      </c>
      <c r="D20" s="146" t="s">
        <v>4</v>
      </c>
      <c r="E20" s="146" t="s">
        <v>7</v>
      </c>
      <c r="F20" s="146" t="s">
        <v>18</v>
      </c>
    </row>
    <row r="21" spans="1:16" ht="13.95" customHeight="1">
      <c r="A21" s="125" t="str">
        <f>IF(DASHBOARD!G19="⚠ REVISAR",1,"")</f>
        <v/>
      </c>
      <c r="B21" s="125" t="str">
        <f>IF(DASHBOARD!G19="⚠ REVISAR",DASHBOARD!A19,"")</f>
        <v/>
      </c>
      <c r="C21" s="117" t="str">
        <f>IF(DASHBOARD!G19="⚠ REVISAR",DASHBOARD!C19,"")</f>
        <v/>
      </c>
      <c r="D21" s="125" t="str">
        <f>IF(DASHBOARD!G19="⚠ REVISAR",DASHBOARD!D19,"")</f>
        <v/>
      </c>
      <c r="E21" s="125" t="str">
        <f>IF(DASHBOARD!G19="⚠ REVISAR",DASHBOARD!E19,"")</f>
        <v/>
      </c>
      <c r="F21" s="125"/>
    </row>
    <row r="22" spans="1:16" ht="13.95" customHeight="1">
      <c r="A22" s="122" t="str">
        <f>IF(DASHBOARD!G20="⚠ REVISAR",2,"")</f>
        <v/>
      </c>
      <c r="B22" s="122" t="str">
        <f>IF(DASHBOARD!G20="⚠ REVISAR",DASHBOARD!A20,"")</f>
        <v/>
      </c>
      <c r="C22" s="119" t="str">
        <f>IF(DASHBOARD!G20="⚠ REVISAR",DASHBOARD!C20,"")</f>
        <v/>
      </c>
      <c r="D22" s="122" t="str">
        <f>IF(DASHBOARD!G20="⚠ REVISAR",DASHBOARD!D20,"")</f>
        <v/>
      </c>
      <c r="E22" s="122" t="str">
        <f>IF(DASHBOARD!G20="⚠ REVISAR",DASHBOARD!E20,"")</f>
        <v/>
      </c>
      <c r="F22" s="122"/>
    </row>
    <row r="23" spans="1:16" ht="13.95" customHeight="1">
      <c r="A23" s="125" t="str">
        <f>IF(DASHBOARD!G21="⚠ REVISAR",3,"")</f>
        <v/>
      </c>
      <c r="B23" s="125" t="str">
        <f>IF(DASHBOARD!G21="⚠ REVISAR",DASHBOARD!A21,"")</f>
        <v/>
      </c>
      <c r="C23" s="117" t="str">
        <f>IF(DASHBOARD!G21="⚠ REVISAR",DASHBOARD!C21,"")</f>
        <v/>
      </c>
      <c r="D23" s="125" t="str">
        <f>IF(DASHBOARD!G21="⚠ REVISAR",DASHBOARD!D21,"")</f>
        <v/>
      </c>
      <c r="E23" s="125" t="str">
        <f>IF(DASHBOARD!G21="⚠ REVISAR",DASHBOARD!E21,"")</f>
        <v/>
      </c>
      <c r="F23" s="125"/>
    </row>
    <row r="24" spans="1:16" ht="13.95" customHeight="1">
      <c r="A24" s="122" t="str">
        <f>IF(DASHBOARD!G22="⚠ REVISAR",4,"")</f>
        <v/>
      </c>
      <c r="B24" s="122" t="str">
        <f>IF(DASHBOARD!G22="⚠ REVISAR",DASHBOARD!A22,"")</f>
        <v/>
      </c>
      <c r="C24" s="119" t="str">
        <f>IF(DASHBOARD!G22="⚠ REVISAR",DASHBOARD!C22,"")</f>
        <v/>
      </c>
      <c r="D24" s="122" t="str">
        <f>IF(DASHBOARD!G22="⚠ REVISAR",DASHBOARD!D22,"")</f>
        <v/>
      </c>
      <c r="E24" s="122" t="str">
        <f>IF(DASHBOARD!G22="⚠ REVISAR",DASHBOARD!E22,"")</f>
        <v/>
      </c>
      <c r="F24" s="122"/>
    </row>
    <row r="25" spans="1:16" ht="13.95" customHeight="1">
      <c r="A25" s="125" t="str">
        <f>IF(DASHBOARD!G23="⚠ REVISAR",5,"")</f>
        <v/>
      </c>
      <c r="B25" s="125" t="str">
        <f>IF(DASHBOARD!G23="⚠ REVISAR",DASHBOARD!A23,"")</f>
        <v/>
      </c>
      <c r="C25" s="117" t="str">
        <f>IF(DASHBOARD!G23="⚠ REVISAR",DASHBOARD!C23,"")</f>
        <v/>
      </c>
      <c r="D25" s="125" t="str">
        <f>IF(DASHBOARD!G23="⚠ REVISAR",DASHBOARD!D23,"")</f>
        <v/>
      </c>
      <c r="E25" s="125" t="str">
        <f>IF(DASHBOARD!G23="⚠ REVISAR",DASHBOARD!E23,"")</f>
        <v/>
      </c>
      <c r="F25" s="125"/>
    </row>
    <row r="26" spans="1:16" ht="13.95" customHeight="1">
      <c r="A26" s="122" t="str">
        <f>IF(DASHBOARD!G24="⚠ REVISAR",6,"")</f>
        <v/>
      </c>
      <c r="B26" s="122" t="str">
        <f>IF(DASHBOARD!G24="⚠ REVISAR",DASHBOARD!A24,"")</f>
        <v/>
      </c>
      <c r="C26" s="119" t="str">
        <f>IF(DASHBOARD!G24="⚠ REVISAR",DASHBOARD!C24,"")</f>
        <v/>
      </c>
      <c r="D26" s="122" t="str">
        <f>IF(DASHBOARD!G24="⚠ REVISAR",DASHBOARD!D24,"")</f>
        <v/>
      </c>
      <c r="E26" s="122" t="str">
        <f>IF(DASHBOARD!G24="⚠ REVISAR",DASHBOARD!E24,"")</f>
        <v/>
      </c>
      <c r="F26" s="122"/>
    </row>
    <row r="27" spans="1:16" ht="13.95" customHeight="1">
      <c r="A27" s="125" t="str">
        <f>IF(DASHBOARD!G25="⚠ REVISAR",7,"")</f>
        <v/>
      </c>
      <c r="B27" s="125" t="str">
        <f>IF(DASHBOARD!G25="⚠ REVISAR",DASHBOARD!A25,"")</f>
        <v/>
      </c>
      <c r="C27" s="117" t="str">
        <f>IF(DASHBOARD!G25="⚠ REVISAR",DASHBOARD!C25,"")</f>
        <v/>
      </c>
      <c r="D27" s="125" t="str">
        <f>IF(DASHBOARD!G25="⚠ REVISAR",DASHBOARD!D25,"")</f>
        <v/>
      </c>
      <c r="E27" s="125" t="str">
        <f>IF(DASHBOARD!G25="⚠ REVISAR",DASHBOARD!E25,"")</f>
        <v/>
      </c>
      <c r="F27" s="125"/>
    </row>
    <row r="28" spans="1:16" ht="13.95" customHeight="1">
      <c r="A28" s="122" t="str">
        <f>IF(DASHBOARD!G26="⚠ REVISAR",8,"")</f>
        <v/>
      </c>
      <c r="B28" s="122" t="str">
        <f>IF(DASHBOARD!G26="⚠ REVISAR",DASHBOARD!A26,"")</f>
        <v/>
      </c>
      <c r="C28" s="119" t="str">
        <f>IF(DASHBOARD!G26="⚠ REVISAR",DASHBOARD!C26,"")</f>
        <v/>
      </c>
      <c r="D28" s="122" t="str">
        <f>IF(DASHBOARD!G26="⚠ REVISAR",DASHBOARD!D26,"")</f>
        <v/>
      </c>
      <c r="E28" s="122" t="str">
        <f>IF(DASHBOARD!G26="⚠ REVISAR",DASHBOARD!E26,"")</f>
        <v/>
      </c>
      <c r="F28" s="122"/>
    </row>
    <row r="29" spans="1:16" ht="13.95" customHeight="1">
      <c r="A29" s="125" t="str">
        <f>IF(DASHBOARD!G27="⚠ REVISAR",9,"")</f>
        <v/>
      </c>
      <c r="B29" s="125" t="str">
        <f>IF(DASHBOARD!G27="⚠ REVISAR",DASHBOARD!A27,"")</f>
        <v/>
      </c>
      <c r="C29" s="117" t="str">
        <f>IF(DASHBOARD!G27="⚠ REVISAR",DASHBOARD!C27,"")</f>
        <v/>
      </c>
      <c r="D29" s="125" t="str">
        <f>IF(DASHBOARD!G27="⚠ REVISAR",DASHBOARD!D27,"")</f>
        <v/>
      </c>
      <c r="E29" s="125" t="str">
        <f>IF(DASHBOARD!G27="⚠ REVISAR",DASHBOARD!E27,"")</f>
        <v/>
      </c>
      <c r="F29" s="125"/>
    </row>
    <row r="30" spans="1:16" ht="13.95" customHeight="1">
      <c r="A30" s="122" t="str">
        <f>IF(DASHBOARD!G28="⚠ REVISAR",10,"")</f>
        <v/>
      </c>
      <c r="B30" s="122" t="str">
        <f>IF(DASHBOARD!G28="⚠ REVISAR",DASHBOARD!A28,"")</f>
        <v/>
      </c>
      <c r="C30" s="119" t="str">
        <f>IF(DASHBOARD!G28="⚠ REVISAR",DASHBOARD!C28,"")</f>
        <v/>
      </c>
      <c r="D30" s="122" t="str">
        <f>IF(DASHBOARD!G28="⚠ REVISAR",DASHBOARD!D28,"")</f>
        <v/>
      </c>
      <c r="E30" s="122" t="str">
        <f>IF(DASHBOARD!G28="⚠ REVISAR",DASHBOARD!E28,"")</f>
        <v/>
      </c>
      <c r="F30" s="122"/>
    </row>
    <row r="31" spans="1:16" ht="13.95" customHeight="1">
      <c r="A31" s="125" t="str">
        <f>IF(DASHBOARD!G29="⚠ REVISAR",11,"")</f>
        <v/>
      </c>
      <c r="B31" s="125" t="str">
        <f>IF(DASHBOARD!G29="⚠ REVISAR",DASHBOARD!A29,"")</f>
        <v/>
      </c>
      <c r="C31" s="117" t="str">
        <f>IF(DASHBOARD!G29="⚠ REVISAR",DASHBOARD!C29,"")</f>
        <v/>
      </c>
      <c r="D31" s="125" t="str">
        <f>IF(DASHBOARD!G29="⚠ REVISAR",DASHBOARD!D29,"")</f>
        <v/>
      </c>
      <c r="E31" s="125" t="str">
        <f>IF(DASHBOARD!G29="⚠ REVISAR",DASHBOARD!E29,"")</f>
        <v/>
      </c>
      <c r="F31" s="125"/>
    </row>
    <row r="32" spans="1:16" ht="13.95" customHeight="1">
      <c r="A32" s="122" t="str">
        <f>IF(DASHBOARD!G30="⚠ REVISAR",12,"")</f>
        <v/>
      </c>
      <c r="B32" s="122" t="str">
        <f>IF(DASHBOARD!G30="⚠ REVISAR",DASHBOARD!A30,"")</f>
        <v/>
      </c>
      <c r="C32" s="119" t="str">
        <f>IF(DASHBOARD!G30="⚠ REVISAR",DASHBOARD!C30,"")</f>
        <v/>
      </c>
      <c r="D32" s="122" t="str">
        <f>IF(DASHBOARD!G30="⚠ REVISAR",DASHBOARD!D30,"")</f>
        <v/>
      </c>
      <c r="E32" s="122" t="str">
        <f>IF(DASHBOARD!G30="⚠ REVISAR",DASHBOARD!E30,"")</f>
        <v/>
      </c>
      <c r="F32" s="122"/>
    </row>
    <row r="33" spans="1:6" ht="13.95" customHeight="1">
      <c r="A33" s="125" t="str">
        <f>IF(DASHBOARD!G31="⚠ REVISAR",13,"")</f>
        <v/>
      </c>
      <c r="B33" s="125" t="str">
        <f>IF(DASHBOARD!G31="⚠ REVISAR",DASHBOARD!A31,"")</f>
        <v/>
      </c>
      <c r="C33" s="117" t="str">
        <f>IF(DASHBOARD!G31="⚠ REVISAR",DASHBOARD!C31,"")</f>
        <v/>
      </c>
      <c r="D33" s="125" t="str">
        <f>IF(DASHBOARD!G31="⚠ REVISAR",DASHBOARD!D31,"")</f>
        <v/>
      </c>
      <c r="E33" s="125" t="str">
        <f>IF(DASHBOARD!G31="⚠ REVISAR",DASHBOARD!E31,"")</f>
        <v/>
      </c>
      <c r="F33" s="125"/>
    </row>
    <row r="34" spans="1:6" ht="13.95" customHeight="1">
      <c r="A34" s="122" t="str">
        <f>IF(DASHBOARD!G32="⚠ REVISAR",14,"")</f>
        <v/>
      </c>
      <c r="B34" s="122" t="str">
        <f>IF(DASHBOARD!G32="⚠ REVISAR",DASHBOARD!A32,"")</f>
        <v/>
      </c>
      <c r="C34" s="119" t="str">
        <f>IF(DASHBOARD!G32="⚠ REVISAR",DASHBOARD!C32,"")</f>
        <v/>
      </c>
      <c r="D34" s="122" t="str">
        <f>IF(DASHBOARD!G32="⚠ REVISAR",DASHBOARD!D32,"")</f>
        <v/>
      </c>
      <c r="E34" s="122" t="str">
        <f>IF(DASHBOARD!G32="⚠ REVISAR",DASHBOARD!E32,"")</f>
        <v/>
      </c>
      <c r="F34" s="122"/>
    </row>
    <row r="35" spans="1:6" ht="13.95" customHeight="1">
      <c r="A35" s="125" t="str">
        <f>IF(DASHBOARD!G33="⚠ REVISAR",15,"")</f>
        <v/>
      </c>
      <c r="B35" s="125" t="str">
        <f>IF(DASHBOARD!G33="⚠ REVISAR",DASHBOARD!A33,"")</f>
        <v/>
      </c>
      <c r="C35" s="117" t="str">
        <f>IF(DASHBOARD!G33="⚠ REVISAR",DASHBOARD!C33,"")</f>
        <v/>
      </c>
      <c r="D35" s="125" t="str">
        <f>IF(DASHBOARD!G33="⚠ REVISAR",DASHBOARD!D33,"")</f>
        <v/>
      </c>
      <c r="E35" s="125" t="str">
        <f>IF(DASHBOARD!G33="⚠ REVISAR",DASHBOARD!E33,"")</f>
        <v/>
      </c>
      <c r="F35" s="125"/>
    </row>
    <row r="36" spans="1:6" ht="13.95" customHeight="1">
      <c r="A36" s="122" t="str">
        <f>IF(DASHBOARD!G34="⚠ REVISAR",16,"")</f>
        <v/>
      </c>
      <c r="B36" s="122" t="str">
        <f>IF(DASHBOARD!G34="⚠ REVISAR",DASHBOARD!A34,"")</f>
        <v/>
      </c>
      <c r="C36" s="119" t="str">
        <f>IF(DASHBOARD!G34="⚠ REVISAR",DASHBOARD!C34,"")</f>
        <v/>
      </c>
      <c r="D36" s="122" t="str">
        <f>IF(DASHBOARD!G34="⚠ REVISAR",DASHBOARD!D34,"")</f>
        <v/>
      </c>
      <c r="E36" s="122" t="str">
        <f>IF(DASHBOARD!G34="⚠ REVISAR",DASHBOARD!E34,"")</f>
        <v/>
      </c>
      <c r="F36" s="122"/>
    </row>
    <row r="37" spans="1:6" ht="13.95" customHeight="1">
      <c r="A37" s="125" t="str">
        <f>IF(DASHBOARD!G35="⚠ REVISAR",17,"")</f>
        <v/>
      </c>
      <c r="B37" s="125" t="str">
        <f>IF(DASHBOARD!G35="⚠ REVISAR",DASHBOARD!A35,"")</f>
        <v/>
      </c>
      <c r="C37" s="117" t="str">
        <f>IF(DASHBOARD!G35="⚠ REVISAR",DASHBOARD!C35,"")</f>
        <v/>
      </c>
      <c r="D37" s="125" t="str">
        <f>IF(DASHBOARD!G35="⚠ REVISAR",DASHBOARD!D35,"")</f>
        <v/>
      </c>
      <c r="E37" s="125" t="str">
        <f>IF(DASHBOARD!G35="⚠ REVISAR",DASHBOARD!E35,"")</f>
        <v/>
      </c>
      <c r="F37" s="125"/>
    </row>
    <row r="38" spans="1:6" ht="13.95" customHeight="1">
      <c r="A38" s="122" t="str">
        <f>IF(DASHBOARD!G36="⚠ REVISAR",18,"")</f>
        <v/>
      </c>
      <c r="B38" s="122" t="str">
        <f>IF(DASHBOARD!G36="⚠ REVISAR",DASHBOARD!A36,"")</f>
        <v/>
      </c>
      <c r="C38" s="119" t="str">
        <f>IF(DASHBOARD!G36="⚠ REVISAR",DASHBOARD!C36,"")</f>
        <v/>
      </c>
      <c r="D38" s="122" t="str">
        <f>IF(DASHBOARD!G36="⚠ REVISAR",DASHBOARD!D36,"")</f>
        <v/>
      </c>
      <c r="E38" s="122" t="str">
        <f>IF(DASHBOARD!G36="⚠ REVISAR",DASHBOARD!E36,"")</f>
        <v/>
      </c>
      <c r="F38" s="122"/>
    </row>
    <row r="39" spans="1:6" ht="13.95" customHeight="1">
      <c r="A39" s="125" t="str">
        <f>IF(DASHBOARD!G37="⚠ REVISAR",19,"")</f>
        <v/>
      </c>
      <c r="B39" s="125" t="str">
        <f>IF(DASHBOARD!G37="⚠ REVISAR",DASHBOARD!A37,"")</f>
        <v/>
      </c>
      <c r="C39" s="117" t="str">
        <f>IF(DASHBOARD!G37="⚠ REVISAR",DASHBOARD!C37,"")</f>
        <v/>
      </c>
      <c r="D39" s="125" t="str">
        <f>IF(DASHBOARD!G37="⚠ REVISAR",DASHBOARD!D37,"")</f>
        <v/>
      </c>
      <c r="E39" s="125" t="str">
        <f>IF(DASHBOARD!G37="⚠ REVISAR",DASHBOARD!E37,"")</f>
        <v/>
      </c>
      <c r="F39" s="125"/>
    </row>
    <row r="40" spans="1:6" ht="13.95" customHeight="1">
      <c r="A40" s="122" t="str">
        <f>IF(DASHBOARD!G38="⚠ REVISAR",20,"")</f>
        <v/>
      </c>
      <c r="B40" s="122" t="str">
        <f>IF(DASHBOARD!G38="⚠ REVISAR",DASHBOARD!A38,"")</f>
        <v/>
      </c>
      <c r="C40" s="119" t="str">
        <f>IF(DASHBOARD!G38="⚠ REVISAR",DASHBOARD!C38,"")</f>
        <v/>
      </c>
      <c r="D40" s="122" t="str">
        <f>IF(DASHBOARD!G38="⚠ REVISAR",DASHBOARD!D38,"")</f>
        <v/>
      </c>
      <c r="E40" s="122" t="str">
        <f>IF(DASHBOARD!G38="⚠ REVISAR",DASHBOARD!E38,"")</f>
        <v/>
      </c>
      <c r="F40" s="122"/>
    </row>
    <row r="41" spans="1:6" ht="13.95" customHeight="1">
      <c r="A41" s="125" t="str">
        <f>IF(DASHBOARD!G39="⚠ REVISAR",21,"")</f>
        <v/>
      </c>
      <c r="B41" s="125" t="str">
        <f>IF(DASHBOARD!G39="⚠ REVISAR",DASHBOARD!A39,"")</f>
        <v/>
      </c>
      <c r="C41" s="117" t="str">
        <f>IF(DASHBOARD!G39="⚠ REVISAR",DASHBOARD!C39,"")</f>
        <v/>
      </c>
      <c r="D41" s="125" t="str">
        <f>IF(DASHBOARD!G39="⚠ REVISAR",DASHBOARD!D39,"")</f>
        <v/>
      </c>
      <c r="E41" s="125" t="str">
        <f>IF(DASHBOARD!G39="⚠ REVISAR",DASHBOARD!E39,"")</f>
        <v/>
      </c>
      <c r="F41" s="125"/>
    </row>
    <row r="42" spans="1:6" ht="13.95" customHeight="1">
      <c r="A42" s="122" t="str">
        <f>IF(DASHBOARD!G40="⚠ REVISAR",22,"")</f>
        <v/>
      </c>
      <c r="B42" s="122" t="str">
        <f>IF(DASHBOARD!G40="⚠ REVISAR",DASHBOARD!A40,"")</f>
        <v/>
      </c>
      <c r="C42" s="119" t="str">
        <f>IF(DASHBOARD!G40="⚠ REVISAR",DASHBOARD!C40,"")</f>
        <v/>
      </c>
      <c r="D42" s="122" t="str">
        <f>IF(DASHBOARD!G40="⚠ REVISAR",DASHBOARD!D40,"")</f>
        <v/>
      </c>
      <c r="E42" s="122" t="str">
        <f>IF(DASHBOARD!G40="⚠ REVISAR",DASHBOARD!E40,"")</f>
        <v/>
      </c>
      <c r="F42" s="122"/>
    </row>
    <row r="43" spans="1:6" ht="13.95" customHeight="1">
      <c r="A43" s="125" t="str">
        <f>IF(DASHBOARD!G41="⚠ REVISAR",23,"")</f>
        <v/>
      </c>
      <c r="B43" s="125" t="str">
        <f>IF(DASHBOARD!G41="⚠ REVISAR",DASHBOARD!A41,"")</f>
        <v/>
      </c>
      <c r="C43" s="117" t="str">
        <f>IF(DASHBOARD!G41="⚠ REVISAR",DASHBOARD!C41,"")</f>
        <v/>
      </c>
      <c r="D43" s="125" t="str">
        <f>IF(DASHBOARD!G41="⚠ REVISAR",DASHBOARD!D41,"")</f>
        <v/>
      </c>
      <c r="E43" s="125" t="str">
        <f>IF(DASHBOARD!G41="⚠ REVISAR",DASHBOARD!E41,"")</f>
        <v/>
      </c>
      <c r="F43" s="125"/>
    </row>
    <row r="44" spans="1:6" ht="13.95" customHeight="1">
      <c r="A44" s="122" t="str">
        <f>IF(DASHBOARD!G42="⚠ REVISAR",24,"")</f>
        <v/>
      </c>
      <c r="B44" s="122" t="str">
        <f>IF(DASHBOARD!G42="⚠ REVISAR",DASHBOARD!A42,"")</f>
        <v/>
      </c>
      <c r="C44" s="119" t="str">
        <f>IF(DASHBOARD!G42="⚠ REVISAR",DASHBOARD!C42,"")</f>
        <v/>
      </c>
      <c r="D44" s="122" t="str">
        <f>IF(DASHBOARD!G42="⚠ REVISAR",DASHBOARD!D42,"")</f>
        <v/>
      </c>
      <c r="E44" s="122" t="str">
        <f>IF(DASHBOARD!G42="⚠ REVISAR",DASHBOARD!E42,"")</f>
        <v/>
      </c>
      <c r="F44" s="122"/>
    </row>
    <row r="45" spans="1:6" ht="13.95" customHeight="1">
      <c r="A45" s="125" t="str">
        <f>IF(DASHBOARD!G43="⚠ REVISAR",25,"")</f>
        <v/>
      </c>
      <c r="B45" s="125" t="str">
        <f>IF(DASHBOARD!G43="⚠ REVISAR",DASHBOARD!A43,"")</f>
        <v/>
      </c>
      <c r="C45" s="117" t="str">
        <f>IF(DASHBOARD!G43="⚠ REVISAR",DASHBOARD!C43,"")</f>
        <v/>
      </c>
      <c r="D45" s="125" t="str">
        <f>IF(DASHBOARD!G43="⚠ REVISAR",DASHBOARD!D43,"")</f>
        <v/>
      </c>
      <c r="E45" s="125" t="str">
        <f>IF(DASHBOARD!G43="⚠ REVISAR",DASHBOARD!E43,"")</f>
        <v/>
      </c>
      <c r="F45" s="125"/>
    </row>
    <row r="46" spans="1:6" ht="13.95" customHeight="1">
      <c r="A46" s="122" t="str">
        <f>IF(DASHBOARD!G44="⚠ REVISAR",26,"")</f>
        <v/>
      </c>
      <c r="B46" s="122" t="str">
        <f>IF(DASHBOARD!G44="⚠ REVISAR",DASHBOARD!A44,"")</f>
        <v/>
      </c>
      <c r="C46" s="119" t="str">
        <f>IF(DASHBOARD!G44="⚠ REVISAR",DASHBOARD!C44,"")</f>
        <v/>
      </c>
      <c r="D46" s="122" t="str">
        <f>IF(DASHBOARD!G44="⚠ REVISAR",DASHBOARD!D44,"")</f>
        <v/>
      </c>
      <c r="E46" s="122" t="str">
        <f>IF(DASHBOARD!G44="⚠ REVISAR",DASHBOARD!E44,"")</f>
        <v/>
      </c>
      <c r="F46" s="122"/>
    </row>
    <row r="47" spans="1:6" ht="13.95" customHeight="1">
      <c r="A47" s="125" t="str">
        <f>IF(DASHBOARD!G45="⚠ REVISAR",27,"")</f>
        <v/>
      </c>
      <c r="B47" s="125" t="str">
        <f>IF(DASHBOARD!G45="⚠ REVISAR",DASHBOARD!A45,"")</f>
        <v/>
      </c>
      <c r="C47" s="117" t="str">
        <f>IF(DASHBOARD!G45="⚠ REVISAR",DASHBOARD!C45,"")</f>
        <v/>
      </c>
      <c r="D47" s="125" t="str">
        <f>IF(DASHBOARD!G45="⚠ REVISAR",DASHBOARD!D45,"")</f>
        <v/>
      </c>
      <c r="E47" s="125" t="str">
        <f>IF(DASHBOARD!G45="⚠ REVISAR",DASHBOARD!E45,"")</f>
        <v/>
      </c>
      <c r="F47" s="125"/>
    </row>
    <row r="48" spans="1:6" ht="13.95" customHeight="1">
      <c r="A48" s="122" t="str">
        <f>IF(DASHBOARD!G46="⚠ REVISAR",28,"")</f>
        <v/>
      </c>
      <c r="B48" s="122" t="str">
        <f>IF(DASHBOARD!G46="⚠ REVISAR",DASHBOARD!A46,"")</f>
        <v/>
      </c>
      <c r="C48" s="119" t="str">
        <f>IF(DASHBOARD!G46="⚠ REVISAR",DASHBOARD!C46,"")</f>
        <v/>
      </c>
      <c r="D48" s="122" t="str">
        <f>IF(DASHBOARD!G46="⚠ REVISAR",DASHBOARD!D46,"")</f>
        <v/>
      </c>
      <c r="E48" s="122" t="str">
        <f>IF(DASHBOARD!G46="⚠ REVISAR",DASHBOARD!E46,"")</f>
        <v/>
      </c>
      <c r="F48" s="122"/>
    </row>
    <row r="49" spans="1:6" ht="13.95" customHeight="1">
      <c r="A49" s="125" t="str">
        <f>IF(DASHBOARD!G47="⚠ REVISAR",29,"")</f>
        <v/>
      </c>
      <c r="B49" s="125" t="str">
        <f>IF(DASHBOARD!G47="⚠ REVISAR",DASHBOARD!A47,"")</f>
        <v/>
      </c>
      <c r="C49" s="117" t="str">
        <f>IF(DASHBOARD!G47="⚠ REVISAR",DASHBOARD!C47,"")</f>
        <v/>
      </c>
      <c r="D49" s="125" t="str">
        <f>IF(DASHBOARD!G47="⚠ REVISAR",DASHBOARD!D47,"")</f>
        <v/>
      </c>
      <c r="E49" s="125" t="str">
        <f>IF(DASHBOARD!G47="⚠ REVISAR",DASHBOARD!E47,"")</f>
        <v/>
      </c>
      <c r="F49" s="125"/>
    </row>
    <row r="50" spans="1:6" ht="13.95" customHeight="1">
      <c r="A50" s="122" t="str">
        <f>IF(DASHBOARD!G48="⚠ REVISAR",30,"")</f>
        <v/>
      </c>
      <c r="B50" s="122" t="str">
        <f>IF(DASHBOARD!G48="⚠ REVISAR",DASHBOARD!A48,"")</f>
        <v/>
      </c>
      <c r="C50" s="119" t="str">
        <f>IF(DASHBOARD!G48="⚠ REVISAR",DASHBOARD!C48,"")</f>
        <v/>
      </c>
      <c r="D50" s="122" t="str">
        <f>IF(DASHBOARD!G48="⚠ REVISAR",DASHBOARD!D48,"")</f>
        <v/>
      </c>
      <c r="E50" s="122" t="str">
        <f>IF(DASHBOARD!G48="⚠ REVISAR",DASHBOARD!E48,"")</f>
        <v/>
      </c>
      <c r="F50" s="122"/>
    </row>
    <row r="51" spans="1:6" ht="13.95" customHeight="1">
      <c r="A51" s="125" t="str">
        <f>IF(DASHBOARD!G49="⚠ REVISAR",31,"")</f>
        <v/>
      </c>
      <c r="B51" s="125" t="str">
        <f>IF(DASHBOARD!G49="⚠ REVISAR",DASHBOARD!A49,"")</f>
        <v/>
      </c>
      <c r="C51" s="117" t="str">
        <f>IF(DASHBOARD!G49="⚠ REVISAR",DASHBOARD!C49,"")</f>
        <v/>
      </c>
      <c r="D51" s="125" t="str">
        <f>IF(DASHBOARD!G49="⚠ REVISAR",DASHBOARD!D49,"")</f>
        <v/>
      </c>
      <c r="E51" s="125" t="str">
        <f>IF(DASHBOARD!G49="⚠ REVISAR",DASHBOARD!E49,"")</f>
        <v/>
      </c>
      <c r="F51" s="125"/>
    </row>
    <row r="52" spans="1:6" ht="13.95" customHeight="1">
      <c r="A52" s="122" t="str">
        <f>IF(DASHBOARD!G50="⚠ REVISAR",32,"")</f>
        <v/>
      </c>
      <c r="B52" s="122" t="str">
        <f>IF(DASHBOARD!G50="⚠ REVISAR",DASHBOARD!A50,"")</f>
        <v/>
      </c>
      <c r="C52" s="119" t="str">
        <f>IF(DASHBOARD!G50="⚠ REVISAR",DASHBOARD!C50,"")</f>
        <v/>
      </c>
      <c r="D52" s="122" t="str">
        <f>IF(DASHBOARD!G50="⚠ REVISAR",DASHBOARD!D50,"")</f>
        <v/>
      </c>
      <c r="E52" s="122" t="str">
        <f>IF(DASHBOARD!G50="⚠ REVISAR",DASHBOARD!E50,"")</f>
        <v/>
      </c>
      <c r="F52" s="122"/>
    </row>
    <row r="53" spans="1:6" ht="13.95" customHeight="1">
      <c r="A53" s="125" t="str">
        <f>IF(DASHBOARD!G51="⚠ REVISAR",33,"")</f>
        <v/>
      </c>
      <c r="B53" s="125" t="str">
        <f>IF(DASHBOARD!G51="⚠ REVISAR",DASHBOARD!A51,"")</f>
        <v/>
      </c>
      <c r="C53" s="117" t="str">
        <f>IF(DASHBOARD!G51="⚠ REVISAR",DASHBOARD!C51,"")</f>
        <v/>
      </c>
      <c r="D53" s="125" t="str">
        <f>IF(DASHBOARD!G51="⚠ REVISAR",DASHBOARD!D51,"")</f>
        <v/>
      </c>
      <c r="E53" s="125" t="str">
        <f>IF(DASHBOARD!G51="⚠ REVISAR",DASHBOARD!E51,"")</f>
        <v/>
      </c>
      <c r="F53" s="125"/>
    </row>
    <row r="54" spans="1:6" ht="13.95" customHeight="1">
      <c r="A54" s="122" t="str">
        <f>IF(DASHBOARD!G52="⚠ REVISAR",34,"")</f>
        <v/>
      </c>
      <c r="B54" s="122" t="str">
        <f>IF(DASHBOARD!G52="⚠ REVISAR",DASHBOARD!A52,"")</f>
        <v/>
      </c>
      <c r="C54" s="119" t="str">
        <f>IF(DASHBOARD!G52="⚠ REVISAR",DASHBOARD!C52,"")</f>
        <v/>
      </c>
      <c r="D54" s="122" t="str">
        <f>IF(DASHBOARD!G52="⚠ REVISAR",DASHBOARD!D52,"")</f>
        <v/>
      </c>
      <c r="E54" s="122" t="str">
        <f>IF(DASHBOARD!G52="⚠ REVISAR",DASHBOARD!E52,"")</f>
        <v/>
      </c>
      <c r="F54" s="122"/>
    </row>
    <row r="55" spans="1:6" ht="13.95" customHeight="1">
      <c r="A55" s="125" t="str">
        <f>IF(DASHBOARD!G53="⚠ REVISAR",35,"")</f>
        <v/>
      </c>
      <c r="B55" s="125" t="str">
        <f>IF(DASHBOARD!G53="⚠ REVISAR",DASHBOARD!A53,"")</f>
        <v/>
      </c>
      <c r="C55" s="117" t="str">
        <f>IF(DASHBOARD!G53="⚠ REVISAR",DASHBOARD!C53,"")</f>
        <v/>
      </c>
      <c r="D55" s="125" t="str">
        <f>IF(DASHBOARD!G53="⚠ REVISAR",DASHBOARD!D53,"")</f>
        <v/>
      </c>
      <c r="E55" s="125" t="str">
        <f>IF(DASHBOARD!G53="⚠ REVISAR",DASHBOARD!E53,"")</f>
        <v/>
      </c>
      <c r="F55" s="125"/>
    </row>
    <row r="56" spans="1:6" ht="13.95" customHeight="1">
      <c r="A56" s="122" t="str">
        <f>IF(DASHBOARD!G54="⚠ REVISAR",36,"")</f>
        <v/>
      </c>
      <c r="B56" s="122" t="str">
        <f>IF(DASHBOARD!G54="⚠ REVISAR",DASHBOARD!A54,"")</f>
        <v/>
      </c>
      <c r="C56" s="119" t="str">
        <f>IF(DASHBOARD!G54="⚠ REVISAR",DASHBOARD!C54,"")</f>
        <v/>
      </c>
      <c r="D56" s="122" t="str">
        <f>IF(DASHBOARD!G54="⚠ REVISAR",DASHBOARD!D54,"")</f>
        <v/>
      </c>
      <c r="E56" s="122" t="str">
        <f>IF(DASHBOARD!G54="⚠ REVISAR",DASHBOARD!E54,"")</f>
        <v/>
      </c>
      <c r="F56" s="122"/>
    </row>
    <row r="57" spans="1:6" ht="13.95" customHeight="1">
      <c r="A57" s="125" t="str">
        <f>IF(DASHBOARD!G55="⚠ REVISAR",37,"")</f>
        <v/>
      </c>
      <c r="B57" s="125" t="str">
        <f>IF(DASHBOARD!G55="⚠ REVISAR",DASHBOARD!A55,"")</f>
        <v/>
      </c>
      <c r="C57" s="117" t="str">
        <f>IF(DASHBOARD!G55="⚠ REVISAR",DASHBOARD!C55,"")</f>
        <v/>
      </c>
      <c r="D57" s="125" t="str">
        <f>IF(DASHBOARD!G55="⚠ REVISAR",DASHBOARD!D55,"")</f>
        <v/>
      </c>
      <c r="E57" s="125" t="str">
        <f>IF(DASHBOARD!G55="⚠ REVISAR",DASHBOARD!E55,"")</f>
        <v/>
      </c>
      <c r="F57" s="125"/>
    </row>
    <row r="58" spans="1:6" ht="13.95" customHeight="1">
      <c r="A58" s="122" t="str">
        <f>IF(DASHBOARD!G56="⚠ REVISAR",38,"")</f>
        <v/>
      </c>
      <c r="B58" s="122" t="str">
        <f>IF(DASHBOARD!G56="⚠ REVISAR",DASHBOARD!A56,"")</f>
        <v/>
      </c>
      <c r="C58" s="119" t="str">
        <f>IF(DASHBOARD!G56="⚠ REVISAR",DASHBOARD!C56,"")</f>
        <v/>
      </c>
      <c r="D58" s="122" t="str">
        <f>IF(DASHBOARD!G56="⚠ REVISAR",DASHBOARD!D56,"")</f>
        <v/>
      </c>
      <c r="E58" s="122" t="str">
        <f>IF(DASHBOARD!G56="⚠ REVISAR",DASHBOARD!E56,"")</f>
        <v/>
      </c>
      <c r="F58" s="122"/>
    </row>
    <row r="59" spans="1:6" ht="13.95" customHeight="1">
      <c r="A59" s="125" t="str">
        <f>IF(DASHBOARD!G57="⚠ REVISAR",39,"")</f>
        <v/>
      </c>
      <c r="B59" s="125" t="str">
        <f>IF(DASHBOARD!G57="⚠ REVISAR",DASHBOARD!A57,"")</f>
        <v/>
      </c>
      <c r="C59" s="117" t="str">
        <f>IF(DASHBOARD!G57="⚠ REVISAR",DASHBOARD!C57,"")</f>
        <v/>
      </c>
      <c r="D59" s="125" t="str">
        <f>IF(DASHBOARD!G57="⚠ REVISAR",DASHBOARD!D57,"")</f>
        <v/>
      </c>
      <c r="E59" s="125" t="str">
        <f>IF(DASHBOARD!G57="⚠ REVISAR",DASHBOARD!E57,"")</f>
        <v/>
      </c>
      <c r="F59" s="125"/>
    </row>
    <row r="60" spans="1:6" ht="13.95" customHeight="1">
      <c r="A60" s="122" t="str">
        <f>IF(DASHBOARD!G58="⚠ REVISAR",40,"")</f>
        <v/>
      </c>
      <c r="B60" s="122" t="str">
        <f>IF(DASHBOARD!G58="⚠ REVISAR",DASHBOARD!A58,"")</f>
        <v/>
      </c>
      <c r="C60" s="119" t="str">
        <f>IF(DASHBOARD!G58="⚠ REVISAR",DASHBOARD!C58,"")</f>
        <v/>
      </c>
      <c r="D60" s="122" t="str">
        <f>IF(DASHBOARD!G58="⚠ REVISAR",DASHBOARD!D58,"")</f>
        <v/>
      </c>
      <c r="E60" s="122" t="str">
        <f>IF(DASHBOARD!G58="⚠ REVISAR",DASHBOARD!E58,"")</f>
        <v/>
      </c>
      <c r="F60" s="122"/>
    </row>
    <row r="61" spans="1:6" ht="13.95" customHeight="1">
      <c r="A61" s="125" t="str">
        <f>IF(DASHBOARD!G59="⚠ REVISAR",41,"")</f>
        <v/>
      </c>
      <c r="B61" s="125" t="str">
        <f>IF(DASHBOARD!G59="⚠ REVISAR",DASHBOARD!A59,"")</f>
        <v/>
      </c>
      <c r="C61" s="117" t="str">
        <f>IF(DASHBOARD!G59="⚠ REVISAR",DASHBOARD!C59,"")</f>
        <v/>
      </c>
      <c r="D61" s="125" t="str">
        <f>IF(DASHBOARD!G59="⚠ REVISAR",DASHBOARD!D59,"")</f>
        <v/>
      </c>
      <c r="E61" s="125" t="str">
        <f>IF(DASHBOARD!G59="⚠ REVISAR",DASHBOARD!E59,"")</f>
        <v/>
      </c>
      <c r="F61" s="125"/>
    </row>
    <row r="62" spans="1:6" ht="13.95" customHeight="1">
      <c r="A62" s="122" t="str">
        <f>IF(DASHBOARD!G60="⚠ REVISAR",42,"")</f>
        <v/>
      </c>
      <c r="B62" s="122" t="str">
        <f>IF(DASHBOARD!G60="⚠ REVISAR",DASHBOARD!A60,"")</f>
        <v/>
      </c>
      <c r="C62" s="119" t="str">
        <f>IF(DASHBOARD!G60="⚠ REVISAR",DASHBOARD!C60,"")</f>
        <v/>
      </c>
      <c r="D62" s="122" t="str">
        <f>IF(DASHBOARD!G60="⚠ REVISAR",DASHBOARD!D60,"")</f>
        <v/>
      </c>
      <c r="E62" s="122" t="str">
        <f>IF(DASHBOARD!G60="⚠ REVISAR",DASHBOARD!E60,"")</f>
        <v/>
      </c>
      <c r="F62" s="122"/>
    </row>
    <row r="63" spans="1:6" ht="13.95" customHeight="1">
      <c r="A63" s="125" t="str">
        <f>IF(DASHBOARD!G61="⚠ REVISAR",43,"")</f>
        <v/>
      </c>
      <c r="B63" s="125" t="str">
        <f>IF(DASHBOARD!G61="⚠ REVISAR",DASHBOARD!A61,"")</f>
        <v/>
      </c>
      <c r="C63" s="117" t="str">
        <f>IF(DASHBOARD!G61="⚠ REVISAR",DASHBOARD!C61,"")</f>
        <v/>
      </c>
      <c r="D63" s="125" t="str">
        <f>IF(DASHBOARD!G61="⚠ REVISAR",DASHBOARD!D61,"")</f>
        <v/>
      </c>
      <c r="E63" s="125" t="str">
        <f>IF(DASHBOARD!G61="⚠ REVISAR",DASHBOARD!E61,"")</f>
        <v/>
      </c>
      <c r="F63" s="125"/>
    </row>
    <row r="64" spans="1:6" ht="13.95" customHeight="1">
      <c r="A64" s="122" t="str">
        <f>IF(DASHBOARD!G62="⚠ REVISAR",44,"")</f>
        <v/>
      </c>
      <c r="B64" s="122" t="str">
        <f>IF(DASHBOARD!G62="⚠ REVISAR",DASHBOARD!A62,"")</f>
        <v/>
      </c>
      <c r="C64" s="119" t="str">
        <f>IF(DASHBOARD!G62="⚠ REVISAR",DASHBOARD!C62,"")</f>
        <v/>
      </c>
      <c r="D64" s="122" t="str">
        <f>IF(DASHBOARD!G62="⚠ REVISAR",DASHBOARD!D62,"")</f>
        <v/>
      </c>
      <c r="E64" s="122" t="str">
        <f>IF(DASHBOARD!G62="⚠ REVISAR",DASHBOARD!E62,"")</f>
        <v/>
      </c>
      <c r="F64" s="122"/>
    </row>
    <row r="65" spans="1:6" ht="13.95" customHeight="1">
      <c r="A65" s="125" t="str">
        <f>IF(DASHBOARD!G63="⚠ REVISAR",45,"")</f>
        <v/>
      </c>
      <c r="B65" s="125" t="str">
        <f>IF(DASHBOARD!G63="⚠ REVISAR",DASHBOARD!A63,"")</f>
        <v/>
      </c>
      <c r="C65" s="117" t="str">
        <f>IF(DASHBOARD!G63="⚠ REVISAR",DASHBOARD!C63,"")</f>
        <v/>
      </c>
      <c r="D65" s="125" t="str">
        <f>IF(DASHBOARD!G63="⚠ REVISAR",DASHBOARD!D63,"")</f>
        <v/>
      </c>
      <c r="E65" s="125" t="str">
        <f>IF(DASHBOARD!G63="⚠ REVISAR",DASHBOARD!E63,"")</f>
        <v/>
      </c>
      <c r="F65" s="125"/>
    </row>
    <row r="66" spans="1:6" ht="13.95" customHeight="1">
      <c r="A66" s="122" t="str">
        <f>IF(DASHBOARD!G64="⚠ REVISAR",46,"")</f>
        <v/>
      </c>
      <c r="B66" s="122" t="str">
        <f>IF(DASHBOARD!G64="⚠ REVISAR",DASHBOARD!A64,"")</f>
        <v/>
      </c>
      <c r="C66" s="119" t="str">
        <f>IF(DASHBOARD!G64="⚠ REVISAR",DASHBOARD!C64,"")</f>
        <v/>
      </c>
      <c r="D66" s="122" t="str">
        <f>IF(DASHBOARD!G64="⚠ REVISAR",DASHBOARD!D64,"")</f>
        <v/>
      </c>
      <c r="E66" s="122" t="str">
        <f>IF(DASHBOARD!G64="⚠ REVISAR",DASHBOARD!E64,"")</f>
        <v/>
      </c>
      <c r="F66" s="122"/>
    </row>
    <row r="67" spans="1:6" ht="13.95" customHeight="1">
      <c r="A67" s="125" t="str">
        <f>IF(DASHBOARD!G65="⚠ REVISAR",47,"")</f>
        <v/>
      </c>
      <c r="B67" s="125" t="str">
        <f>IF(DASHBOARD!G65="⚠ REVISAR",DASHBOARD!A65,"")</f>
        <v/>
      </c>
      <c r="C67" s="117" t="str">
        <f>IF(DASHBOARD!G65="⚠ REVISAR",DASHBOARD!C65,"")</f>
        <v/>
      </c>
      <c r="D67" s="125" t="str">
        <f>IF(DASHBOARD!G65="⚠ REVISAR",DASHBOARD!D65,"")</f>
        <v/>
      </c>
      <c r="E67" s="125" t="str">
        <f>IF(DASHBOARD!G65="⚠ REVISAR",DASHBOARD!E65,"")</f>
        <v/>
      </c>
      <c r="F67" s="125"/>
    </row>
    <row r="68" spans="1:6" ht="13.95" customHeight="1">
      <c r="A68" s="122" t="str">
        <f>IF(DASHBOARD!G66="⚠ REVISAR",48,"")</f>
        <v/>
      </c>
      <c r="B68" s="122" t="str">
        <f>IF(DASHBOARD!G66="⚠ REVISAR",DASHBOARD!A66,"")</f>
        <v/>
      </c>
      <c r="C68" s="119" t="str">
        <f>IF(DASHBOARD!G66="⚠ REVISAR",DASHBOARD!C66,"")</f>
        <v/>
      </c>
      <c r="D68" s="122" t="str">
        <f>IF(DASHBOARD!G66="⚠ REVISAR",DASHBOARD!D66,"")</f>
        <v/>
      </c>
      <c r="E68" s="122" t="str">
        <f>IF(DASHBOARD!G66="⚠ REVISAR",DASHBOARD!E66,"")</f>
        <v/>
      </c>
      <c r="F68" s="122"/>
    </row>
    <row r="69" spans="1:6" ht="13.95" customHeight="1">
      <c r="A69" s="125" t="str">
        <f>IF(DASHBOARD!G67="⚠ REVISAR",49,"")</f>
        <v/>
      </c>
      <c r="B69" s="125" t="str">
        <f>IF(DASHBOARD!G67="⚠ REVISAR",DASHBOARD!A67,"")</f>
        <v/>
      </c>
      <c r="C69" s="117" t="str">
        <f>IF(DASHBOARD!G67="⚠ REVISAR",DASHBOARD!C67,"")</f>
        <v/>
      </c>
      <c r="D69" s="125" t="str">
        <f>IF(DASHBOARD!G67="⚠ REVISAR",DASHBOARD!D67,"")</f>
        <v/>
      </c>
      <c r="E69" s="125" t="str">
        <f>IF(DASHBOARD!G67="⚠ REVISAR",DASHBOARD!E67,"")</f>
        <v/>
      </c>
      <c r="F69" s="125"/>
    </row>
    <row r="70" spans="1:6" ht="13.95" customHeight="1">
      <c r="A70" s="122" t="str">
        <f>IF(DASHBOARD!G68="⚠ REVISAR",50,"")</f>
        <v/>
      </c>
      <c r="B70" s="122" t="str">
        <f>IF(DASHBOARD!G68="⚠ REVISAR",DASHBOARD!A68,"")</f>
        <v/>
      </c>
      <c r="C70" s="119" t="str">
        <f>IF(DASHBOARD!G68="⚠ REVISAR",DASHBOARD!C68,"")</f>
        <v/>
      </c>
      <c r="D70" s="122" t="str">
        <f>IF(DASHBOARD!G68="⚠ REVISAR",DASHBOARD!D68,"")</f>
        <v/>
      </c>
      <c r="E70" s="122" t="str">
        <f>IF(DASHBOARD!G68="⚠ REVISAR",DASHBOARD!E68,"")</f>
        <v/>
      </c>
      <c r="F70" s="122"/>
    </row>
    <row r="71" spans="1:6" ht="13.95" customHeight="1">
      <c r="A71" s="125" t="str">
        <f>IF(DASHBOARD!G69="⚠ REVISAR",51,"")</f>
        <v/>
      </c>
      <c r="B71" s="125" t="str">
        <f>IF(DASHBOARD!G69="⚠ REVISAR",DASHBOARD!A69,"")</f>
        <v/>
      </c>
      <c r="C71" s="117" t="str">
        <f>IF(DASHBOARD!G69="⚠ REVISAR",DASHBOARD!C69,"")</f>
        <v/>
      </c>
      <c r="D71" s="125" t="str">
        <f>IF(DASHBOARD!G69="⚠ REVISAR",DASHBOARD!D69,"")</f>
        <v/>
      </c>
      <c r="E71" s="125" t="str">
        <f>IF(DASHBOARD!G69="⚠ REVISAR",DASHBOARD!E69,"")</f>
        <v/>
      </c>
      <c r="F71" s="125"/>
    </row>
    <row r="72" spans="1:6" ht="13.95" customHeight="1">
      <c r="A72" s="122" t="str">
        <f>IF(DASHBOARD!G70="⚠ REVISAR",52,"")</f>
        <v/>
      </c>
      <c r="B72" s="122" t="str">
        <f>IF(DASHBOARD!G70="⚠ REVISAR",DASHBOARD!A70,"")</f>
        <v/>
      </c>
      <c r="C72" s="119" t="str">
        <f>IF(DASHBOARD!G70="⚠ REVISAR",DASHBOARD!C70,"")</f>
        <v/>
      </c>
      <c r="D72" s="122" t="str">
        <f>IF(DASHBOARD!G70="⚠ REVISAR",DASHBOARD!D70,"")</f>
        <v/>
      </c>
      <c r="E72" s="122" t="str">
        <f>IF(DASHBOARD!G70="⚠ REVISAR",DASHBOARD!E70,"")</f>
        <v/>
      </c>
      <c r="F72" s="122"/>
    </row>
    <row r="73" spans="1:6" ht="13.95" customHeight="1">
      <c r="A73" s="125" t="str">
        <f>IF(DASHBOARD!G71="⚠ REVISAR",53,"")</f>
        <v/>
      </c>
      <c r="B73" s="125" t="str">
        <f>IF(DASHBOARD!G71="⚠ REVISAR",DASHBOARD!A71,"")</f>
        <v/>
      </c>
      <c r="C73" s="117" t="str">
        <f>IF(DASHBOARD!G71="⚠ REVISAR",DASHBOARD!C71,"")</f>
        <v/>
      </c>
      <c r="D73" s="125" t="str">
        <f>IF(DASHBOARD!G71="⚠ REVISAR",DASHBOARD!D71,"")</f>
        <v/>
      </c>
      <c r="E73" s="125" t="str">
        <f>IF(DASHBOARD!G71="⚠ REVISAR",DASHBOARD!E71,"")</f>
        <v/>
      </c>
      <c r="F73" s="125"/>
    </row>
    <row r="74" spans="1:6" ht="13.95" customHeight="1">
      <c r="A74" s="122" t="str">
        <f>IF(DASHBOARD!G72="⚠ REVISAR",54,"")</f>
        <v/>
      </c>
      <c r="B74" s="122" t="str">
        <f>IF(DASHBOARD!G72="⚠ REVISAR",DASHBOARD!A72,"")</f>
        <v/>
      </c>
      <c r="C74" s="119" t="str">
        <f>IF(DASHBOARD!G72="⚠ REVISAR",DASHBOARD!C72,"")</f>
        <v/>
      </c>
      <c r="D74" s="122" t="str">
        <f>IF(DASHBOARD!G72="⚠ REVISAR",DASHBOARD!D72,"")</f>
        <v/>
      </c>
      <c r="E74" s="122" t="str">
        <f>IF(DASHBOARD!G72="⚠ REVISAR",DASHBOARD!E72,"")</f>
        <v/>
      </c>
      <c r="F74" s="122"/>
    </row>
    <row r="75" spans="1:6" ht="13.95" customHeight="1">
      <c r="A75" s="125" t="str">
        <f>IF(DASHBOARD!G73="⚠ REVISAR",55,"")</f>
        <v/>
      </c>
      <c r="B75" s="125" t="str">
        <f>IF(DASHBOARD!G73="⚠ REVISAR",DASHBOARD!A73,"")</f>
        <v/>
      </c>
      <c r="C75" s="117" t="str">
        <f>IF(DASHBOARD!G73="⚠ REVISAR",DASHBOARD!C73,"")</f>
        <v/>
      </c>
      <c r="D75" s="125" t="str">
        <f>IF(DASHBOARD!G73="⚠ REVISAR",DASHBOARD!D73,"")</f>
        <v/>
      </c>
      <c r="E75" s="125" t="str">
        <f>IF(DASHBOARD!G73="⚠ REVISAR",DASHBOARD!E73,"")</f>
        <v/>
      </c>
      <c r="F75" s="125"/>
    </row>
    <row r="76" spans="1:6" ht="13.95" customHeight="1">
      <c r="A76" s="122" t="str">
        <f>IF(DASHBOARD!G74="⚠ REVISAR",56,"")</f>
        <v/>
      </c>
      <c r="B76" s="122" t="str">
        <f>IF(DASHBOARD!G74="⚠ REVISAR",DASHBOARD!A74,"")</f>
        <v/>
      </c>
      <c r="C76" s="119" t="str">
        <f>IF(DASHBOARD!G74="⚠ REVISAR",DASHBOARD!C74,"")</f>
        <v/>
      </c>
      <c r="D76" s="122" t="str">
        <f>IF(DASHBOARD!G74="⚠ REVISAR",DASHBOARD!D74,"")</f>
        <v/>
      </c>
      <c r="E76" s="122" t="str">
        <f>IF(DASHBOARD!G74="⚠ REVISAR",DASHBOARD!E74,"")</f>
        <v/>
      </c>
      <c r="F76" s="122"/>
    </row>
    <row r="77" spans="1:6" ht="13.95" customHeight="1">
      <c r="A77" s="125" t="str">
        <f>IF(DASHBOARD!G75="⚠ REVISAR",57,"")</f>
        <v/>
      </c>
      <c r="B77" s="125" t="str">
        <f>IF(DASHBOARD!G75="⚠ REVISAR",DASHBOARD!A75,"")</f>
        <v/>
      </c>
      <c r="C77" s="117" t="str">
        <f>IF(DASHBOARD!G75="⚠ REVISAR",DASHBOARD!C75,"")</f>
        <v/>
      </c>
      <c r="D77" s="125" t="str">
        <f>IF(DASHBOARD!G75="⚠ REVISAR",DASHBOARD!D75,"")</f>
        <v/>
      </c>
      <c r="E77" s="125" t="str">
        <f>IF(DASHBOARD!G75="⚠ REVISAR",DASHBOARD!E75,"")</f>
        <v/>
      </c>
      <c r="F77" s="125"/>
    </row>
    <row r="78" spans="1:6" ht="13.95" customHeight="1">
      <c r="A78" s="122" t="str">
        <f>IF(DASHBOARD!G76="⚠ REVISAR",58,"")</f>
        <v/>
      </c>
      <c r="B78" s="122" t="str">
        <f>IF(DASHBOARD!G76="⚠ REVISAR",DASHBOARD!A76,"")</f>
        <v/>
      </c>
      <c r="C78" s="119" t="str">
        <f>IF(DASHBOARD!G76="⚠ REVISAR",DASHBOARD!C76,"")</f>
        <v/>
      </c>
      <c r="D78" s="122" t="str">
        <f>IF(DASHBOARD!G76="⚠ REVISAR",DASHBOARD!D76,"")</f>
        <v/>
      </c>
      <c r="E78" s="122" t="str">
        <f>IF(DASHBOARD!G76="⚠ REVISAR",DASHBOARD!E76,"")</f>
        <v/>
      </c>
      <c r="F78" s="122"/>
    </row>
    <row r="79" spans="1:6" ht="13.95" customHeight="1">
      <c r="A79" s="125" t="str">
        <f>IF(DASHBOARD!G77="⚠ REVISAR",59,"")</f>
        <v/>
      </c>
      <c r="B79" s="125" t="str">
        <f>IF(DASHBOARD!G77="⚠ REVISAR",DASHBOARD!A77,"")</f>
        <v/>
      </c>
      <c r="C79" s="117" t="str">
        <f>IF(DASHBOARD!G77="⚠ REVISAR",DASHBOARD!C77,"")</f>
        <v/>
      </c>
      <c r="D79" s="125" t="str">
        <f>IF(DASHBOARD!G77="⚠ REVISAR",DASHBOARD!D77,"")</f>
        <v/>
      </c>
      <c r="E79" s="125" t="str">
        <f>IF(DASHBOARD!G77="⚠ REVISAR",DASHBOARD!E77,"")</f>
        <v/>
      </c>
      <c r="F79" s="125"/>
    </row>
    <row r="80" spans="1:6" ht="13.95" customHeight="1">
      <c r="A80" s="122" t="str">
        <f>IF(DASHBOARD!G78="⚠ REVISAR",60,"")</f>
        <v/>
      </c>
      <c r="B80" s="122" t="str">
        <f>IF(DASHBOARD!G78="⚠ REVISAR",DASHBOARD!A78,"")</f>
        <v/>
      </c>
      <c r="C80" s="119" t="str">
        <f>IF(DASHBOARD!G78="⚠ REVISAR",DASHBOARD!C78,"")</f>
        <v/>
      </c>
      <c r="D80" s="122" t="str">
        <f>IF(DASHBOARD!G78="⚠ REVISAR",DASHBOARD!D78,"")</f>
        <v/>
      </c>
      <c r="E80" s="122" t="str">
        <f>IF(DASHBOARD!G78="⚠ REVISAR",DASHBOARD!E78,"")</f>
        <v/>
      </c>
      <c r="F80" s="122"/>
    </row>
    <row r="81" spans="1:6" ht="13.95" customHeight="1">
      <c r="A81" s="125" t="str">
        <f>IF(DASHBOARD!G79="⚠ REVISAR",61,"")</f>
        <v/>
      </c>
      <c r="B81" s="125" t="str">
        <f>IF(DASHBOARD!G79="⚠ REVISAR",DASHBOARD!A79,"")</f>
        <v/>
      </c>
      <c r="C81" s="117" t="str">
        <f>IF(DASHBOARD!G79="⚠ REVISAR",DASHBOARD!C79,"")</f>
        <v/>
      </c>
      <c r="D81" s="125" t="str">
        <f>IF(DASHBOARD!G79="⚠ REVISAR",DASHBOARD!D79,"")</f>
        <v/>
      </c>
      <c r="E81" s="125" t="str">
        <f>IF(DASHBOARD!G79="⚠ REVISAR",DASHBOARD!E79,"")</f>
        <v/>
      </c>
      <c r="F81" s="125"/>
    </row>
    <row r="82" spans="1:6" ht="13.95" customHeight="1">
      <c r="A82" s="122" t="str">
        <f>IF(DASHBOARD!G80="⚠ REVISAR",62,"")</f>
        <v/>
      </c>
      <c r="B82" s="122" t="str">
        <f>IF(DASHBOARD!G80="⚠ REVISAR",DASHBOARD!A80,"")</f>
        <v/>
      </c>
      <c r="C82" s="119" t="str">
        <f>IF(DASHBOARD!G80="⚠ REVISAR",DASHBOARD!C80,"")</f>
        <v/>
      </c>
      <c r="D82" s="122" t="str">
        <f>IF(DASHBOARD!G80="⚠ REVISAR",DASHBOARD!D80,"")</f>
        <v/>
      </c>
      <c r="E82" s="122" t="str">
        <f>IF(DASHBOARD!G80="⚠ REVISAR",DASHBOARD!E80,"")</f>
        <v/>
      </c>
      <c r="F82" s="122"/>
    </row>
    <row r="83" spans="1:6" ht="13.95" customHeight="1">
      <c r="A83" s="125" t="str">
        <f>IF(DASHBOARD!G81="⚠ REVISAR",63,"")</f>
        <v/>
      </c>
      <c r="B83" s="125" t="str">
        <f>IF(DASHBOARD!G81="⚠ REVISAR",DASHBOARD!A81,"")</f>
        <v/>
      </c>
      <c r="C83" s="117" t="str">
        <f>IF(DASHBOARD!G81="⚠ REVISAR",DASHBOARD!C81,"")</f>
        <v/>
      </c>
      <c r="D83" s="125" t="str">
        <f>IF(DASHBOARD!G81="⚠ REVISAR",DASHBOARD!D81,"")</f>
        <v/>
      </c>
      <c r="E83" s="125" t="str">
        <f>IF(DASHBOARD!G81="⚠ REVISAR",DASHBOARD!E81,"")</f>
        <v/>
      </c>
      <c r="F83" s="125"/>
    </row>
    <row r="84" spans="1:6" ht="13.95" customHeight="1">
      <c r="A84" s="122" t="str">
        <f>IF(DASHBOARD!G82="⚠ REVISAR",64,"")</f>
        <v/>
      </c>
      <c r="B84" s="122" t="str">
        <f>IF(DASHBOARD!G82="⚠ REVISAR",DASHBOARD!A82,"")</f>
        <v/>
      </c>
      <c r="C84" s="119" t="str">
        <f>IF(DASHBOARD!G82="⚠ REVISAR",DASHBOARD!C82,"")</f>
        <v/>
      </c>
      <c r="D84" s="122" t="str">
        <f>IF(DASHBOARD!G82="⚠ REVISAR",DASHBOARD!D82,"")</f>
        <v/>
      </c>
      <c r="E84" s="122" t="str">
        <f>IF(DASHBOARD!G82="⚠ REVISAR",DASHBOARD!E82,"")</f>
        <v/>
      </c>
      <c r="F84" s="122"/>
    </row>
    <row r="85" spans="1:6" ht="13.95" customHeight="1">
      <c r="A85" s="125" t="str">
        <f>IF(DASHBOARD!G83="⚠ REVISAR",65,"")</f>
        <v/>
      </c>
      <c r="B85" s="125" t="str">
        <f>IF(DASHBOARD!G83="⚠ REVISAR",DASHBOARD!A83,"")</f>
        <v/>
      </c>
      <c r="C85" s="117" t="str">
        <f>IF(DASHBOARD!G83="⚠ REVISAR",DASHBOARD!C83,"")</f>
        <v/>
      </c>
      <c r="D85" s="125" t="str">
        <f>IF(DASHBOARD!G83="⚠ REVISAR",DASHBOARD!D83,"")</f>
        <v/>
      </c>
      <c r="E85" s="125" t="str">
        <f>IF(DASHBOARD!G83="⚠ REVISAR",DASHBOARD!E83,"")</f>
        <v/>
      </c>
      <c r="F85" s="125"/>
    </row>
    <row r="86" spans="1:6" ht="13.95" customHeight="1">
      <c r="A86" s="122" t="str">
        <f>IF(DASHBOARD!G84="⚠ REVISAR",66,"")</f>
        <v/>
      </c>
      <c r="B86" s="122" t="str">
        <f>IF(DASHBOARD!G84="⚠ REVISAR",DASHBOARD!A84,"")</f>
        <v/>
      </c>
      <c r="C86" s="119" t="str">
        <f>IF(DASHBOARD!G84="⚠ REVISAR",DASHBOARD!C84,"")</f>
        <v/>
      </c>
      <c r="D86" s="122" t="str">
        <f>IF(DASHBOARD!G84="⚠ REVISAR",DASHBOARD!D84,"")</f>
        <v/>
      </c>
      <c r="E86" s="122" t="str">
        <f>IF(DASHBOARD!G84="⚠ REVISAR",DASHBOARD!E84,"")</f>
        <v/>
      </c>
      <c r="F86" s="122"/>
    </row>
    <row r="87" spans="1:6" ht="13.95" customHeight="1">
      <c r="A87" s="125" t="str">
        <f>IF(DASHBOARD!G85="⚠ REVISAR",67,"")</f>
        <v/>
      </c>
      <c r="B87" s="125" t="str">
        <f>IF(DASHBOARD!G85="⚠ REVISAR",DASHBOARD!A85,"")</f>
        <v/>
      </c>
      <c r="C87" s="117" t="str">
        <f>IF(DASHBOARD!G85="⚠ REVISAR",DASHBOARD!C85,"")</f>
        <v/>
      </c>
      <c r="D87" s="125" t="str">
        <f>IF(DASHBOARD!G85="⚠ REVISAR",DASHBOARD!D85,"")</f>
        <v/>
      </c>
      <c r="E87" s="125" t="str">
        <f>IF(DASHBOARD!G85="⚠ REVISAR",DASHBOARD!E85,"")</f>
        <v/>
      </c>
      <c r="F87" s="125"/>
    </row>
    <row r="88" spans="1:6" ht="13.95" customHeight="1">
      <c r="A88" s="122" t="str">
        <f>IF(DASHBOARD!G86="⚠ REVISAR",68,"")</f>
        <v/>
      </c>
      <c r="B88" s="122" t="str">
        <f>IF(DASHBOARD!G86="⚠ REVISAR",DASHBOARD!A86,"")</f>
        <v/>
      </c>
      <c r="C88" s="119" t="str">
        <f>IF(DASHBOARD!G86="⚠ REVISAR",DASHBOARD!C86,"")</f>
        <v/>
      </c>
      <c r="D88" s="122" t="str">
        <f>IF(DASHBOARD!G86="⚠ REVISAR",DASHBOARD!D86,"")</f>
        <v/>
      </c>
      <c r="E88" s="122" t="str">
        <f>IF(DASHBOARD!G86="⚠ REVISAR",DASHBOARD!E86,"")</f>
        <v/>
      </c>
      <c r="F88" s="122"/>
    </row>
    <row r="89" spans="1:6" ht="13.95" customHeight="1">
      <c r="A89" s="125" t="str">
        <f>IF(DASHBOARD!G87="⚠ REVISAR",69,"")</f>
        <v/>
      </c>
      <c r="B89" s="125" t="str">
        <f>IF(DASHBOARD!G87="⚠ REVISAR",DASHBOARD!A87,"")</f>
        <v/>
      </c>
      <c r="C89" s="117" t="str">
        <f>IF(DASHBOARD!G87="⚠ REVISAR",DASHBOARD!C87,"")</f>
        <v/>
      </c>
      <c r="D89" s="125" t="str">
        <f>IF(DASHBOARD!G87="⚠ REVISAR",DASHBOARD!D87,"")</f>
        <v/>
      </c>
      <c r="E89" s="125" t="str">
        <f>IF(DASHBOARD!G87="⚠ REVISAR",DASHBOARD!E87,"")</f>
        <v/>
      </c>
      <c r="F89" s="125"/>
    </row>
    <row r="90" spans="1:6" ht="13.95" customHeight="1">
      <c r="A90" s="122" t="str">
        <f>IF(DASHBOARD!G88="⚠ REVISAR",70,"")</f>
        <v/>
      </c>
      <c r="B90" s="122" t="str">
        <f>IF(DASHBOARD!G88="⚠ REVISAR",DASHBOARD!A88,"")</f>
        <v/>
      </c>
      <c r="C90" s="119" t="str">
        <f>IF(DASHBOARD!G88="⚠ REVISAR",DASHBOARD!C88,"")</f>
        <v/>
      </c>
      <c r="D90" s="122" t="str">
        <f>IF(DASHBOARD!G88="⚠ REVISAR",DASHBOARD!D88,"")</f>
        <v/>
      </c>
      <c r="E90" s="122" t="str">
        <f>IF(DASHBOARD!G88="⚠ REVISAR",DASHBOARD!E88,"")</f>
        <v/>
      </c>
      <c r="F90" s="122"/>
    </row>
    <row r="91" spans="1:6" ht="13.95" customHeight="1">
      <c r="A91" s="125" t="str">
        <f>IF(DASHBOARD!G89="⚠ REVISAR",71,"")</f>
        <v/>
      </c>
      <c r="B91" s="125" t="str">
        <f>IF(DASHBOARD!G89="⚠ REVISAR",DASHBOARD!A89,"")</f>
        <v/>
      </c>
      <c r="C91" s="117" t="str">
        <f>IF(DASHBOARD!G89="⚠ REVISAR",DASHBOARD!C89,"")</f>
        <v/>
      </c>
      <c r="D91" s="125" t="str">
        <f>IF(DASHBOARD!G89="⚠ REVISAR",DASHBOARD!D89,"")</f>
        <v/>
      </c>
      <c r="E91" s="125" t="str">
        <f>IF(DASHBOARD!G89="⚠ REVISAR",DASHBOARD!E89,"")</f>
        <v/>
      </c>
      <c r="F91" s="125"/>
    </row>
    <row r="92" spans="1:6" ht="13.95" customHeight="1">
      <c r="A92" s="122" t="str">
        <f>IF(DASHBOARD!G90="⚠ REVISAR",72,"")</f>
        <v/>
      </c>
      <c r="B92" s="122" t="str">
        <f>IF(DASHBOARD!G90="⚠ REVISAR",DASHBOARD!A90,"")</f>
        <v/>
      </c>
      <c r="C92" s="119" t="str">
        <f>IF(DASHBOARD!G90="⚠ REVISAR",DASHBOARD!C90,"")</f>
        <v/>
      </c>
      <c r="D92" s="122" t="str">
        <f>IF(DASHBOARD!G90="⚠ REVISAR",DASHBOARD!D90,"")</f>
        <v/>
      </c>
      <c r="E92" s="122" t="str">
        <f>IF(DASHBOARD!G90="⚠ REVISAR",DASHBOARD!E90,"")</f>
        <v/>
      </c>
      <c r="F92" s="122"/>
    </row>
    <row r="93" spans="1:6" ht="13.95" customHeight="1">
      <c r="A93" s="125" t="str">
        <f>IF(DASHBOARD!G91="⚠ REVISAR",73,"")</f>
        <v/>
      </c>
      <c r="B93" s="125" t="str">
        <f>IF(DASHBOARD!G91="⚠ REVISAR",DASHBOARD!A91,"")</f>
        <v/>
      </c>
      <c r="C93" s="117" t="str">
        <f>IF(DASHBOARD!G91="⚠ REVISAR",DASHBOARD!C91,"")</f>
        <v/>
      </c>
      <c r="D93" s="125" t="str">
        <f>IF(DASHBOARD!G91="⚠ REVISAR",DASHBOARD!D91,"")</f>
        <v/>
      </c>
      <c r="E93" s="125" t="str">
        <f>IF(DASHBOARD!G91="⚠ REVISAR",DASHBOARD!E91,"")</f>
        <v/>
      </c>
      <c r="F93" s="125"/>
    </row>
    <row r="94" spans="1:6" ht="13.95" customHeight="1">
      <c r="A94" s="122" t="str">
        <f>IF(DASHBOARD!G92="⚠ REVISAR",74,"")</f>
        <v/>
      </c>
      <c r="B94" s="122" t="str">
        <f>IF(DASHBOARD!G92="⚠ REVISAR",DASHBOARD!A92,"")</f>
        <v/>
      </c>
      <c r="C94" s="119" t="str">
        <f>IF(DASHBOARD!G92="⚠ REVISAR",DASHBOARD!C92,"")</f>
        <v/>
      </c>
      <c r="D94" s="122" t="str">
        <f>IF(DASHBOARD!G92="⚠ REVISAR",DASHBOARD!D92,"")</f>
        <v/>
      </c>
      <c r="E94" s="122" t="str">
        <f>IF(DASHBOARD!G92="⚠ REVISAR",DASHBOARD!E92,"")</f>
        <v/>
      </c>
      <c r="F94" s="122"/>
    </row>
    <row r="95" spans="1:6" ht="13.95" customHeight="1">
      <c r="A95" s="125" t="str">
        <f>IF(DASHBOARD!G93="⚠ REVISAR",75,"")</f>
        <v/>
      </c>
      <c r="B95" s="125" t="str">
        <f>IF(DASHBOARD!G93="⚠ REVISAR",DASHBOARD!A93,"")</f>
        <v/>
      </c>
      <c r="C95" s="117" t="str">
        <f>IF(DASHBOARD!G93="⚠ REVISAR",DASHBOARD!C93,"")</f>
        <v/>
      </c>
      <c r="D95" s="125" t="str">
        <f>IF(DASHBOARD!G93="⚠ REVISAR",DASHBOARD!D93,"")</f>
        <v/>
      </c>
      <c r="E95" s="125" t="str">
        <f>IF(DASHBOARD!G93="⚠ REVISAR",DASHBOARD!E93,"")</f>
        <v/>
      </c>
      <c r="F95" s="125"/>
    </row>
    <row r="96" spans="1:6" ht="13.95" customHeight="1">
      <c r="A96" s="122" t="str">
        <f>IF(DASHBOARD!G94="⚠ REVISAR",76,"")</f>
        <v/>
      </c>
      <c r="B96" s="122" t="str">
        <f>IF(DASHBOARD!G94="⚠ REVISAR",DASHBOARD!A94,"")</f>
        <v/>
      </c>
      <c r="C96" s="119" t="str">
        <f>IF(DASHBOARD!G94="⚠ REVISAR",DASHBOARD!C94,"")</f>
        <v/>
      </c>
      <c r="D96" s="122" t="str">
        <f>IF(DASHBOARD!G94="⚠ REVISAR",DASHBOARD!D94,"")</f>
        <v/>
      </c>
      <c r="E96" s="122" t="str">
        <f>IF(DASHBOARD!G94="⚠ REVISAR",DASHBOARD!E94,"")</f>
        <v/>
      </c>
      <c r="F96" s="122"/>
    </row>
    <row r="97" spans="1:6" ht="13.95" customHeight="1">
      <c r="A97" s="125" t="str">
        <f>IF(DASHBOARD!G95="⚠ REVISAR",77,"")</f>
        <v/>
      </c>
      <c r="B97" s="125" t="str">
        <f>IF(DASHBOARD!G95="⚠ REVISAR",DASHBOARD!A95,"")</f>
        <v/>
      </c>
      <c r="C97" s="117" t="str">
        <f>IF(DASHBOARD!G95="⚠ REVISAR",DASHBOARD!C95,"")</f>
        <v/>
      </c>
      <c r="D97" s="125" t="str">
        <f>IF(DASHBOARD!G95="⚠ REVISAR",DASHBOARD!D95,"")</f>
        <v/>
      </c>
      <c r="E97" s="125" t="str">
        <f>IF(DASHBOARD!G95="⚠ REVISAR",DASHBOARD!E95,"")</f>
        <v/>
      </c>
      <c r="F97" s="125"/>
    </row>
    <row r="98" spans="1:6" ht="13.95" customHeight="1">
      <c r="A98" s="122" t="str">
        <f>IF(DASHBOARD!G96="⚠ REVISAR",78,"")</f>
        <v/>
      </c>
      <c r="B98" s="122" t="str">
        <f>IF(DASHBOARD!G96="⚠ REVISAR",DASHBOARD!A96,"")</f>
        <v/>
      </c>
      <c r="C98" s="119" t="str">
        <f>IF(DASHBOARD!G96="⚠ REVISAR",DASHBOARD!C96,"")</f>
        <v/>
      </c>
      <c r="D98" s="122" t="str">
        <f>IF(DASHBOARD!G96="⚠ REVISAR",DASHBOARD!D96,"")</f>
        <v/>
      </c>
      <c r="E98" s="122" t="str">
        <f>IF(DASHBOARD!G96="⚠ REVISAR",DASHBOARD!E96,"")</f>
        <v/>
      </c>
      <c r="F98" s="122"/>
    </row>
    <row r="99" spans="1:6" ht="13.95" customHeight="1">
      <c r="A99" s="125" t="str">
        <f>IF(DASHBOARD!G97="⚠ REVISAR",79,"")</f>
        <v/>
      </c>
      <c r="B99" s="125" t="str">
        <f>IF(DASHBOARD!G97="⚠ REVISAR",DASHBOARD!A97,"")</f>
        <v/>
      </c>
      <c r="C99" s="117" t="str">
        <f>IF(DASHBOARD!G97="⚠ REVISAR",DASHBOARD!C97,"")</f>
        <v/>
      </c>
      <c r="D99" s="125" t="str">
        <f>IF(DASHBOARD!G97="⚠ REVISAR",DASHBOARD!D97,"")</f>
        <v/>
      </c>
      <c r="E99" s="125" t="str">
        <f>IF(DASHBOARD!G97="⚠ REVISAR",DASHBOARD!E97,"")</f>
        <v/>
      </c>
      <c r="F99" s="125"/>
    </row>
    <row r="100" spans="1:6" ht="13.95" customHeight="1">
      <c r="A100" s="122" t="str">
        <f>IF(DASHBOARD!G98="⚠ REVISAR",80,"")</f>
        <v/>
      </c>
      <c r="B100" s="122" t="str">
        <f>IF(DASHBOARD!G98="⚠ REVISAR",DASHBOARD!A98,"")</f>
        <v/>
      </c>
      <c r="C100" s="119" t="str">
        <f>IF(DASHBOARD!G98="⚠ REVISAR",DASHBOARD!C98,"")</f>
        <v/>
      </c>
      <c r="D100" s="122" t="str">
        <f>IF(DASHBOARD!G98="⚠ REVISAR",DASHBOARD!D98,"")</f>
        <v/>
      </c>
      <c r="E100" s="122" t="str">
        <f>IF(DASHBOARD!G98="⚠ REVISAR",DASHBOARD!E98,"")</f>
        <v/>
      </c>
      <c r="F100" s="122"/>
    </row>
    <row r="101" spans="1:6" ht="13.95" customHeight="1">
      <c r="A101" s="125" t="str">
        <f>IF(DASHBOARD!G99="⚠ REVISAR",81,"")</f>
        <v/>
      </c>
      <c r="B101" s="125" t="str">
        <f>IF(DASHBOARD!G99="⚠ REVISAR",DASHBOARD!A99,"")</f>
        <v/>
      </c>
      <c r="C101" s="117" t="str">
        <f>IF(DASHBOARD!G99="⚠ REVISAR",DASHBOARD!C99,"")</f>
        <v/>
      </c>
      <c r="D101" s="125" t="str">
        <f>IF(DASHBOARD!G99="⚠ REVISAR",DASHBOARD!D99,"")</f>
        <v/>
      </c>
      <c r="E101" s="125" t="str">
        <f>IF(DASHBOARD!G99="⚠ REVISAR",DASHBOARD!E99,"")</f>
        <v/>
      </c>
      <c r="F101" s="125"/>
    </row>
    <row r="102" spans="1:6" ht="13.95" customHeight="1">
      <c r="A102" s="122" t="str">
        <f>IF(DASHBOARD!G100="⚠ REVISAR",82,"")</f>
        <v/>
      </c>
      <c r="B102" s="122" t="str">
        <f>IF(DASHBOARD!G100="⚠ REVISAR",DASHBOARD!A100,"")</f>
        <v/>
      </c>
      <c r="C102" s="119" t="str">
        <f>IF(DASHBOARD!G100="⚠ REVISAR",DASHBOARD!C100,"")</f>
        <v/>
      </c>
      <c r="D102" s="122" t="str">
        <f>IF(DASHBOARD!G100="⚠ REVISAR",DASHBOARD!D100,"")</f>
        <v/>
      </c>
      <c r="E102" s="122" t="str">
        <f>IF(DASHBOARD!G100="⚠ REVISAR",DASHBOARD!E100,"")</f>
        <v/>
      </c>
      <c r="F102" s="122"/>
    </row>
    <row r="103" spans="1:6" ht="13.95" customHeight="1">
      <c r="A103" s="125" t="str">
        <f>IF(DASHBOARD!G101="⚠ REVISAR",83,"")</f>
        <v/>
      </c>
      <c r="B103" s="125" t="str">
        <f>IF(DASHBOARD!G101="⚠ REVISAR",DASHBOARD!A101,"")</f>
        <v/>
      </c>
      <c r="C103" s="117" t="str">
        <f>IF(DASHBOARD!G101="⚠ REVISAR",DASHBOARD!C101,"")</f>
        <v/>
      </c>
      <c r="D103" s="125" t="str">
        <f>IF(DASHBOARD!G101="⚠ REVISAR",DASHBOARD!D101,"")</f>
        <v/>
      </c>
      <c r="E103" s="125" t="str">
        <f>IF(DASHBOARD!G101="⚠ REVISAR",DASHBOARD!E101,"")</f>
        <v/>
      </c>
      <c r="F103" s="125"/>
    </row>
    <row r="104" spans="1:6" ht="13.95" customHeight="1">
      <c r="A104" s="122" t="str">
        <f>IF(DASHBOARD!G102="⚠ REVISAR",84,"")</f>
        <v/>
      </c>
      <c r="B104" s="122" t="str">
        <f>IF(DASHBOARD!G102="⚠ REVISAR",DASHBOARD!A102,"")</f>
        <v/>
      </c>
      <c r="C104" s="119" t="str">
        <f>IF(DASHBOARD!G102="⚠ REVISAR",DASHBOARD!C102,"")</f>
        <v/>
      </c>
      <c r="D104" s="122" t="str">
        <f>IF(DASHBOARD!G102="⚠ REVISAR",DASHBOARD!D102,"")</f>
        <v/>
      </c>
      <c r="E104" s="122" t="str">
        <f>IF(DASHBOARD!G102="⚠ REVISAR",DASHBOARD!E102,"")</f>
        <v/>
      </c>
      <c r="F104" s="122"/>
    </row>
    <row r="105" spans="1:6" ht="13.95" customHeight="1">
      <c r="A105" s="125" t="str">
        <f>IF(DASHBOARD!G103="⚠ REVISAR",85,"")</f>
        <v/>
      </c>
      <c r="B105" s="125" t="str">
        <f>IF(DASHBOARD!G103="⚠ REVISAR",DASHBOARD!A103,"")</f>
        <v/>
      </c>
      <c r="C105" s="117" t="str">
        <f>IF(DASHBOARD!G103="⚠ REVISAR",DASHBOARD!C103,"")</f>
        <v/>
      </c>
      <c r="D105" s="125" t="str">
        <f>IF(DASHBOARD!G103="⚠ REVISAR",DASHBOARD!D103,"")</f>
        <v/>
      </c>
      <c r="E105" s="125" t="str">
        <f>IF(DASHBOARD!G103="⚠ REVISAR",DASHBOARD!E103,"")</f>
        <v/>
      </c>
      <c r="F105" s="125"/>
    </row>
    <row r="106" spans="1:6" ht="13.95" customHeight="1">
      <c r="A106" s="122" t="str">
        <f>IF(DASHBOARD!G104="⚠ REVISAR",86,"")</f>
        <v/>
      </c>
      <c r="B106" s="122" t="str">
        <f>IF(DASHBOARD!G104="⚠ REVISAR",DASHBOARD!A104,"")</f>
        <v/>
      </c>
      <c r="C106" s="119" t="str">
        <f>IF(DASHBOARD!G104="⚠ REVISAR",DASHBOARD!C104,"")</f>
        <v/>
      </c>
      <c r="D106" s="122" t="str">
        <f>IF(DASHBOARD!G104="⚠ REVISAR",DASHBOARD!D104,"")</f>
        <v/>
      </c>
      <c r="E106" s="122" t="str">
        <f>IF(DASHBOARD!G104="⚠ REVISAR",DASHBOARD!E104,"")</f>
        <v/>
      </c>
      <c r="F106" s="122"/>
    </row>
    <row r="107" spans="1:6" ht="13.95" customHeight="1">
      <c r="A107" s="125" t="str">
        <f>IF(DASHBOARD!G105="⚠ REVISAR",87,"")</f>
        <v/>
      </c>
      <c r="B107" s="125" t="str">
        <f>IF(DASHBOARD!G105="⚠ REVISAR",DASHBOARD!A105,"")</f>
        <v/>
      </c>
      <c r="C107" s="117" t="str">
        <f>IF(DASHBOARD!G105="⚠ REVISAR",DASHBOARD!C105,"")</f>
        <v/>
      </c>
      <c r="D107" s="125" t="str">
        <f>IF(DASHBOARD!G105="⚠ REVISAR",DASHBOARD!D105,"")</f>
        <v/>
      </c>
      <c r="E107" s="125" t="str">
        <f>IF(DASHBOARD!G105="⚠ REVISAR",DASHBOARD!E105,"")</f>
        <v/>
      </c>
      <c r="F107" s="125"/>
    </row>
    <row r="108" spans="1:6" ht="13.95" customHeight="1">
      <c r="A108" s="122" t="str">
        <f>IF(DASHBOARD!G106="⚠ REVISAR",88,"")</f>
        <v/>
      </c>
      <c r="B108" s="122" t="str">
        <f>IF(DASHBOARD!G106="⚠ REVISAR",DASHBOARD!A106,"")</f>
        <v/>
      </c>
      <c r="C108" s="119" t="str">
        <f>IF(DASHBOARD!G106="⚠ REVISAR",DASHBOARD!C106,"")</f>
        <v/>
      </c>
      <c r="D108" s="122" t="str">
        <f>IF(DASHBOARD!G106="⚠ REVISAR",DASHBOARD!D106,"")</f>
        <v/>
      </c>
      <c r="E108" s="122" t="str">
        <f>IF(DASHBOARD!G106="⚠ REVISAR",DASHBOARD!E106,"")</f>
        <v/>
      </c>
      <c r="F108" s="122"/>
    </row>
    <row r="109" spans="1:6" ht="13.95" customHeight="1">
      <c r="A109" s="125" t="str">
        <f>IF(DASHBOARD!G107="⚠ REVISAR",89,"")</f>
        <v/>
      </c>
      <c r="B109" s="125" t="str">
        <f>IF(DASHBOARD!G107="⚠ REVISAR",DASHBOARD!A107,"")</f>
        <v/>
      </c>
      <c r="C109" s="117" t="str">
        <f>IF(DASHBOARD!G107="⚠ REVISAR",DASHBOARD!C107,"")</f>
        <v/>
      </c>
      <c r="D109" s="125" t="str">
        <f>IF(DASHBOARD!G107="⚠ REVISAR",DASHBOARD!D107,"")</f>
        <v/>
      </c>
      <c r="E109" s="125" t="str">
        <f>IF(DASHBOARD!G107="⚠ REVISAR",DASHBOARD!E107,"")</f>
        <v/>
      </c>
      <c r="F109" s="125"/>
    </row>
    <row r="110" spans="1:6" ht="13.95" customHeight="1">
      <c r="A110" s="122" t="str">
        <f>IF(DASHBOARD!G108="⚠ REVISAR",90,"")</f>
        <v/>
      </c>
      <c r="B110" s="122" t="str">
        <f>IF(DASHBOARD!G108="⚠ REVISAR",DASHBOARD!A108,"")</f>
        <v/>
      </c>
      <c r="C110" s="119" t="str">
        <f>IF(DASHBOARD!G108="⚠ REVISAR",DASHBOARD!C108,"")</f>
        <v/>
      </c>
      <c r="D110" s="122" t="str">
        <f>IF(DASHBOARD!G108="⚠ REVISAR",DASHBOARD!D108,"")</f>
        <v/>
      </c>
      <c r="E110" s="122" t="str">
        <f>IF(DASHBOARD!G108="⚠ REVISAR",DASHBOARD!E108,"")</f>
        <v/>
      </c>
      <c r="F110" s="122"/>
    </row>
    <row r="111" spans="1:6" ht="13.95" customHeight="1">
      <c r="A111" s="125" t="str">
        <f>IF(DASHBOARD!G109="⚠ REVISAR",91,"")</f>
        <v/>
      </c>
      <c r="B111" s="125" t="str">
        <f>IF(DASHBOARD!G109="⚠ REVISAR",DASHBOARD!A109,"")</f>
        <v/>
      </c>
      <c r="C111" s="117" t="str">
        <f>IF(DASHBOARD!G109="⚠ REVISAR",DASHBOARD!C109,"")</f>
        <v/>
      </c>
      <c r="D111" s="125" t="str">
        <f>IF(DASHBOARD!G109="⚠ REVISAR",DASHBOARD!D109,"")</f>
        <v/>
      </c>
      <c r="E111" s="125" t="str">
        <f>IF(DASHBOARD!G109="⚠ REVISAR",DASHBOARD!E109,"")</f>
        <v/>
      </c>
      <c r="F111" s="125"/>
    </row>
    <row r="112" spans="1:6" ht="13.95" customHeight="1">
      <c r="A112" s="122" t="str">
        <f>IF(DASHBOARD!G110="⚠ REVISAR",92,"")</f>
        <v/>
      </c>
      <c r="B112" s="122" t="str">
        <f>IF(DASHBOARD!G110="⚠ REVISAR",DASHBOARD!A110,"")</f>
        <v/>
      </c>
      <c r="C112" s="119" t="str">
        <f>IF(DASHBOARD!G110="⚠ REVISAR",DASHBOARD!C110,"")</f>
        <v/>
      </c>
      <c r="D112" s="122" t="str">
        <f>IF(DASHBOARD!G110="⚠ REVISAR",DASHBOARD!D110,"")</f>
        <v/>
      </c>
      <c r="E112" s="122" t="str">
        <f>IF(DASHBOARD!G110="⚠ REVISAR",DASHBOARD!E110,"")</f>
        <v/>
      </c>
      <c r="F112" s="122"/>
    </row>
    <row r="113" spans="1:6" ht="13.95" customHeight="1">
      <c r="A113" s="125" t="str">
        <f>IF(DASHBOARD!G111="⚠ REVISAR",93,"")</f>
        <v/>
      </c>
      <c r="B113" s="125" t="str">
        <f>IF(DASHBOARD!G111="⚠ REVISAR",DASHBOARD!A111,"")</f>
        <v/>
      </c>
      <c r="C113" s="117" t="str">
        <f>IF(DASHBOARD!G111="⚠ REVISAR",DASHBOARD!C111,"")</f>
        <v/>
      </c>
      <c r="D113" s="125" t="str">
        <f>IF(DASHBOARD!G111="⚠ REVISAR",DASHBOARD!D111,"")</f>
        <v/>
      </c>
      <c r="E113" s="125" t="str">
        <f>IF(DASHBOARD!G111="⚠ REVISAR",DASHBOARD!E111,"")</f>
        <v/>
      </c>
      <c r="F113" s="125"/>
    </row>
    <row r="114" spans="1:6" ht="13.95" customHeight="1">
      <c r="A114" s="122" t="str">
        <f>IF(DASHBOARD!G112="⚠ REVISAR",94,"")</f>
        <v/>
      </c>
      <c r="B114" s="122" t="str">
        <f>IF(DASHBOARD!G112="⚠ REVISAR",DASHBOARD!A112,"")</f>
        <v/>
      </c>
      <c r="C114" s="119" t="str">
        <f>IF(DASHBOARD!G112="⚠ REVISAR",DASHBOARD!C112,"")</f>
        <v/>
      </c>
      <c r="D114" s="122" t="str">
        <f>IF(DASHBOARD!G112="⚠ REVISAR",DASHBOARD!D112,"")</f>
        <v/>
      </c>
      <c r="E114" s="122" t="str">
        <f>IF(DASHBOARD!G112="⚠ REVISAR",DASHBOARD!E112,"")</f>
        <v/>
      </c>
      <c r="F114" s="122"/>
    </row>
    <row r="115" spans="1:6" ht="13.95" customHeight="1">
      <c r="A115" s="125" t="str">
        <f>IF(DASHBOARD!G113="⚠ REVISAR",95,"")</f>
        <v/>
      </c>
      <c r="B115" s="125" t="str">
        <f>IF(DASHBOARD!G113="⚠ REVISAR",DASHBOARD!A113,"")</f>
        <v/>
      </c>
      <c r="C115" s="117" t="str">
        <f>IF(DASHBOARD!G113="⚠ REVISAR",DASHBOARD!C113,"")</f>
        <v/>
      </c>
      <c r="D115" s="125" t="str">
        <f>IF(DASHBOARD!G113="⚠ REVISAR",DASHBOARD!D113,"")</f>
        <v/>
      </c>
      <c r="E115" s="125" t="str">
        <f>IF(DASHBOARD!G113="⚠ REVISAR",DASHBOARD!E113,"")</f>
        <v/>
      </c>
      <c r="F115" s="125"/>
    </row>
    <row r="116" spans="1:6" ht="13.95" customHeight="1">
      <c r="A116" s="122" t="str">
        <f>IF(DASHBOARD!G114="⚠ REVISAR",96,"")</f>
        <v/>
      </c>
      <c r="B116" s="122" t="str">
        <f>IF(DASHBOARD!G114="⚠ REVISAR",DASHBOARD!A114,"")</f>
        <v/>
      </c>
      <c r="C116" s="119" t="str">
        <f>IF(DASHBOARD!G114="⚠ REVISAR",DASHBOARD!C114,"")</f>
        <v/>
      </c>
      <c r="D116" s="122" t="str">
        <f>IF(DASHBOARD!G114="⚠ REVISAR",DASHBOARD!D114,"")</f>
        <v/>
      </c>
      <c r="E116" s="122" t="str">
        <f>IF(DASHBOARD!G114="⚠ REVISAR",DASHBOARD!E114,"")</f>
        <v/>
      </c>
      <c r="F116" s="122"/>
    </row>
    <row r="117" spans="1:6" ht="13.95" customHeight="1">
      <c r="A117" s="125" t="str">
        <f>IF(DASHBOARD!G115="⚠ REVISAR",97,"")</f>
        <v/>
      </c>
      <c r="B117" s="125" t="str">
        <f>IF(DASHBOARD!G115="⚠ REVISAR",DASHBOARD!A115,"")</f>
        <v/>
      </c>
      <c r="C117" s="117" t="str">
        <f>IF(DASHBOARD!G115="⚠ REVISAR",DASHBOARD!C115,"")</f>
        <v/>
      </c>
      <c r="D117" s="125" t="str">
        <f>IF(DASHBOARD!G115="⚠ REVISAR",DASHBOARD!D115,"")</f>
        <v/>
      </c>
      <c r="E117" s="125" t="str">
        <f>IF(DASHBOARD!G115="⚠ REVISAR",DASHBOARD!E115,"")</f>
        <v/>
      </c>
      <c r="F117" s="125"/>
    </row>
    <row r="118" spans="1:6" ht="13.95" customHeight="1">
      <c r="A118" s="122" t="str">
        <f>IF(DASHBOARD!G116="⚠ REVISAR",98,"")</f>
        <v/>
      </c>
      <c r="B118" s="122" t="str">
        <f>IF(DASHBOARD!G116="⚠ REVISAR",DASHBOARD!A116,"")</f>
        <v/>
      </c>
      <c r="C118" s="119" t="str">
        <f>IF(DASHBOARD!G116="⚠ REVISAR",DASHBOARD!C116,"")</f>
        <v/>
      </c>
      <c r="D118" s="122" t="str">
        <f>IF(DASHBOARD!G116="⚠ REVISAR",DASHBOARD!D116,"")</f>
        <v/>
      </c>
      <c r="E118" s="122" t="str">
        <f>IF(DASHBOARD!G116="⚠ REVISAR",DASHBOARD!E116,"")</f>
        <v/>
      </c>
      <c r="F118" s="122"/>
    </row>
    <row r="119" spans="1:6" ht="13.95" customHeight="1">
      <c r="A119" s="125" t="str">
        <f>IF(DASHBOARD!G117="⚠ REVISAR",99,"")</f>
        <v/>
      </c>
      <c r="B119" s="125" t="str">
        <f>IF(DASHBOARD!G117="⚠ REVISAR",DASHBOARD!A117,"")</f>
        <v/>
      </c>
      <c r="C119" s="117" t="str">
        <f>IF(DASHBOARD!G117="⚠ REVISAR",DASHBOARD!C117,"")</f>
        <v/>
      </c>
      <c r="D119" s="125" t="str">
        <f>IF(DASHBOARD!G117="⚠ REVISAR",DASHBOARD!D117,"")</f>
        <v/>
      </c>
      <c r="E119" s="125" t="str">
        <f>IF(DASHBOARD!G117="⚠ REVISAR",DASHBOARD!E117,"")</f>
        <v/>
      </c>
      <c r="F119" s="125"/>
    </row>
    <row r="120" spans="1:6" ht="13.95" customHeight="1">
      <c r="A120" s="122" t="str">
        <f>IF(DASHBOARD!G118="⚠ REVISAR",100,"")</f>
        <v/>
      </c>
      <c r="B120" s="122" t="str">
        <f>IF(DASHBOARD!G118="⚠ REVISAR",DASHBOARD!A118,"")</f>
        <v/>
      </c>
      <c r="C120" s="119" t="str">
        <f>IF(DASHBOARD!G118="⚠ REVISAR",DASHBOARD!C118,"")</f>
        <v/>
      </c>
      <c r="D120" s="122" t="str">
        <f>IF(DASHBOARD!G118="⚠ REVISAR",DASHBOARD!D118,"")</f>
        <v/>
      </c>
      <c r="E120" s="122" t="str">
        <f>IF(DASHBOARD!G118="⚠ REVISAR",DASHBOARD!E118,"")</f>
        <v/>
      </c>
      <c r="F120" s="122"/>
    </row>
    <row r="121" spans="1:6" ht="13.95" customHeight="1">
      <c r="A121" s="125" t="str">
        <f>IF(DASHBOARD!G119="⚠ REVISAR",101,"")</f>
        <v/>
      </c>
      <c r="B121" s="125" t="str">
        <f>IF(DASHBOARD!G119="⚠ REVISAR",DASHBOARD!A119,"")</f>
        <v/>
      </c>
      <c r="C121" s="117" t="str">
        <f>IF(DASHBOARD!G119="⚠ REVISAR",DASHBOARD!C119,"")</f>
        <v/>
      </c>
      <c r="D121" s="125" t="str">
        <f>IF(DASHBOARD!G119="⚠ REVISAR",DASHBOARD!D119,"")</f>
        <v/>
      </c>
      <c r="E121" s="125" t="str">
        <f>IF(DASHBOARD!G119="⚠ REVISAR",DASHBOARD!E119,"")</f>
        <v/>
      </c>
      <c r="F121" s="125"/>
    </row>
    <row r="122" spans="1:6" ht="13.95" customHeight="1">
      <c r="A122" s="122" t="str">
        <f>IF(DASHBOARD!G120="⚠ REVISAR",102,"")</f>
        <v/>
      </c>
      <c r="B122" s="122" t="str">
        <f>IF(DASHBOARD!G120="⚠ REVISAR",DASHBOARD!A120,"")</f>
        <v/>
      </c>
      <c r="C122" s="119" t="str">
        <f>IF(DASHBOARD!G120="⚠ REVISAR",DASHBOARD!C120,"")</f>
        <v/>
      </c>
      <c r="D122" s="122" t="str">
        <f>IF(DASHBOARD!G120="⚠ REVISAR",DASHBOARD!D120,"")</f>
        <v/>
      </c>
      <c r="E122" s="122" t="str">
        <f>IF(DASHBOARD!G120="⚠ REVISAR",DASHBOARD!E120,"")</f>
        <v/>
      </c>
      <c r="F122" s="122"/>
    </row>
    <row r="123" spans="1:6" ht="13.95" customHeight="1">
      <c r="A123" s="125" t="str">
        <f>IF(DASHBOARD!G121="⚠ REVISAR",103,"")</f>
        <v/>
      </c>
      <c r="B123" s="125" t="str">
        <f>IF(DASHBOARD!G121="⚠ REVISAR",DASHBOARD!A121,"")</f>
        <v/>
      </c>
      <c r="C123" s="117" t="str">
        <f>IF(DASHBOARD!G121="⚠ REVISAR",DASHBOARD!C121,"")</f>
        <v/>
      </c>
      <c r="D123" s="125" t="str">
        <f>IF(DASHBOARD!G121="⚠ REVISAR",DASHBOARD!D121,"")</f>
        <v/>
      </c>
      <c r="E123" s="125" t="str">
        <f>IF(DASHBOARD!G121="⚠ REVISAR",DASHBOARD!E121,"")</f>
        <v/>
      </c>
      <c r="F123" s="125"/>
    </row>
    <row r="124" spans="1:6" ht="13.95" customHeight="1">
      <c r="A124" s="122" t="str">
        <f>IF(DASHBOARD!G122="⚠ REVISAR",104,"")</f>
        <v/>
      </c>
      <c r="B124" s="122" t="str">
        <f>IF(DASHBOARD!G122="⚠ REVISAR",DASHBOARD!A122,"")</f>
        <v/>
      </c>
      <c r="C124" s="119" t="str">
        <f>IF(DASHBOARD!G122="⚠ REVISAR",DASHBOARD!C122,"")</f>
        <v/>
      </c>
      <c r="D124" s="122" t="str">
        <f>IF(DASHBOARD!G122="⚠ REVISAR",DASHBOARD!D122,"")</f>
        <v/>
      </c>
      <c r="E124" s="122" t="str">
        <f>IF(DASHBOARD!G122="⚠ REVISAR",DASHBOARD!E122,"")</f>
        <v/>
      </c>
      <c r="F124" s="122"/>
    </row>
    <row r="125" spans="1:6" ht="13.95" customHeight="1">
      <c r="A125" s="125" t="str">
        <f>IF(DASHBOARD!G123="⚠ REVISAR",105,"")</f>
        <v/>
      </c>
      <c r="B125" s="125" t="str">
        <f>IF(DASHBOARD!G123="⚠ REVISAR",DASHBOARD!A123,"")</f>
        <v/>
      </c>
      <c r="C125" s="117" t="str">
        <f>IF(DASHBOARD!G123="⚠ REVISAR",DASHBOARD!C123,"")</f>
        <v/>
      </c>
      <c r="D125" s="125" t="str">
        <f>IF(DASHBOARD!G123="⚠ REVISAR",DASHBOARD!D123,"")</f>
        <v/>
      </c>
      <c r="E125" s="125" t="str">
        <f>IF(DASHBOARD!G123="⚠ REVISAR",DASHBOARD!E123,"")</f>
        <v/>
      </c>
      <c r="F125" s="125"/>
    </row>
    <row r="126" spans="1:6" ht="13.95" customHeight="1">
      <c r="A126" s="122" t="str">
        <f>IF(DASHBOARD!G124="⚠ REVISAR",106,"")</f>
        <v/>
      </c>
      <c r="B126" s="122" t="str">
        <f>IF(DASHBOARD!G124="⚠ REVISAR",DASHBOARD!A124,"")</f>
        <v/>
      </c>
      <c r="C126" s="119" t="str">
        <f>IF(DASHBOARD!G124="⚠ REVISAR",DASHBOARD!C124,"")</f>
        <v/>
      </c>
      <c r="D126" s="122" t="str">
        <f>IF(DASHBOARD!G124="⚠ REVISAR",DASHBOARD!D124,"")</f>
        <v/>
      </c>
      <c r="E126" s="122" t="str">
        <f>IF(DASHBOARD!G124="⚠ REVISAR",DASHBOARD!E124,"")</f>
        <v/>
      </c>
      <c r="F126" s="122"/>
    </row>
    <row r="127" spans="1:6" ht="13.95" customHeight="1">
      <c r="A127" s="125" t="str">
        <f>IF(DASHBOARD!G125="⚠ REVISAR",107,"")</f>
        <v/>
      </c>
      <c r="B127" s="125" t="str">
        <f>IF(DASHBOARD!G125="⚠ REVISAR",DASHBOARD!A125,"")</f>
        <v/>
      </c>
      <c r="C127" s="117" t="str">
        <f>IF(DASHBOARD!G125="⚠ REVISAR",DASHBOARD!C125,"")</f>
        <v/>
      </c>
      <c r="D127" s="125" t="str">
        <f>IF(DASHBOARD!G125="⚠ REVISAR",DASHBOARD!D125,"")</f>
        <v/>
      </c>
      <c r="E127" s="125" t="str">
        <f>IF(DASHBOARD!G125="⚠ REVISAR",DASHBOARD!E125,"")</f>
        <v/>
      </c>
      <c r="F127" s="125"/>
    </row>
    <row r="128" spans="1:6" ht="13.95" customHeight="1">
      <c r="A128" s="122" t="str">
        <f>IF(DASHBOARD!G126="⚠ REVISAR",108,"")</f>
        <v/>
      </c>
      <c r="B128" s="122" t="str">
        <f>IF(DASHBOARD!G126="⚠ REVISAR",DASHBOARD!A126,"")</f>
        <v/>
      </c>
      <c r="C128" s="119" t="str">
        <f>IF(DASHBOARD!G126="⚠ REVISAR",DASHBOARD!C126,"")</f>
        <v/>
      </c>
      <c r="D128" s="122" t="str">
        <f>IF(DASHBOARD!G126="⚠ REVISAR",DASHBOARD!D126,"")</f>
        <v/>
      </c>
      <c r="E128" s="122" t="str">
        <f>IF(DASHBOARD!G126="⚠ REVISAR",DASHBOARD!E126,"")</f>
        <v/>
      </c>
      <c r="F128" s="122"/>
    </row>
    <row r="129" spans="1:16" ht="13.95" customHeight="1">
      <c r="A129" s="125" t="str">
        <f>IF(DASHBOARD!G127="⚠ REVISAR",109,"")</f>
        <v/>
      </c>
      <c r="B129" s="125" t="str">
        <f>IF(DASHBOARD!G127="⚠ REVISAR",DASHBOARD!A127,"")</f>
        <v/>
      </c>
      <c r="C129" s="117" t="str">
        <f>IF(DASHBOARD!G127="⚠ REVISAR",DASHBOARD!C127,"")</f>
        <v/>
      </c>
      <c r="D129" s="125" t="str">
        <f>IF(DASHBOARD!G127="⚠ REVISAR",DASHBOARD!D127,"")</f>
        <v/>
      </c>
      <c r="E129" s="125" t="str">
        <f>IF(DASHBOARD!G127="⚠ REVISAR",DASHBOARD!E127,"")</f>
        <v/>
      </c>
      <c r="F129" s="125"/>
    </row>
    <row r="130" spans="1:16" ht="13.95" customHeight="1">
      <c r="A130" s="122" t="str">
        <f>IF(DASHBOARD!G128="⚠ REVISAR",110,"")</f>
        <v/>
      </c>
      <c r="B130" s="122" t="str">
        <f>IF(DASHBOARD!G128="⚠ REVISAR",DASHBOARD!A128,"")</f>
        <v/>
      </c>
      <c r="C130" s="119" t="str">
        <f>IF(DASHBOARD!G128="⚠ REVISAR",DASHBOARD!C128,"")</f>
        <v/>
      </c>
      <c r="D130" s="122" t="str">
        <f>IF(DASHBOARD!G128="⚠ REVISAR",DASHBOARD!D128,"")</f>
        <v/>
      </c>
      <c r="E130" s="122" t="str">
        <f>IF(DASHBOARD!G128="⚠ REVISAR",DASHBOARD!E128,"")</f>
        <v/>
      </c>
      <c r="F130" s="122"/>
    </row>
    <row r="131" spans="1:16" ht="13.95" customHeight="1">
      <c r="A131" s="125" t="str">
        <f>IF(DASHBOARD!G129="⚠ REVISAR",111,"")</f>
        <v/>
      </c>
      <c r="B131" s="125" t="str">
        <f>IF(DASHBOARD!G129="⚠ REVISAR",DASHBOARD!A129,"")</f>
        <v/>
      </c>
      <c r="C131" s="117" t="str">
        <f>IF(DASHBOARD!G129="⚠ REVISAR",DASHBOARD!C129,"")</f>
        <v/>
      </c>
      <c r="D131" s="125" t="str">
        <f>IF(DASHBOARD!G129="⚠ REVISAR",DASHBOARD!D129,"")</f>
        <v/>
      </c>
      <c r="E131" s="125" t="str">
        <f>IF(DASHBOARD!G129="⚠ REVISAR",DASHBOARD!E129,"")</f>
        <v/>
      </c>
      <c r="F131" s="125"/>
    </row>
    <row r="132" spans="1:16" ht="13.95" customHeight="1">
      <c r="A132" s="122" t="str">
        <f>IF(DASHBOARD!G130="⚠ REVISAR",112,"")</f>
        <v/>
      </c>
      <c r="B132" s="122" t="str">
        <f>IF(DASHBOARD!G130="⚠ REVISAR",DASHBOARD!A130,"")</f>
        <v/>
      </c>
      <c r="C132" s="119" t="str">
        <f>IF(DASHBOARD!G130="⚠ REVISAR",DASHBOARD!C130,"")</f>
        <v/>
      </c>
      <c r="D132" s="122" t="str">
        <f>IF(DASHBOARD!G130="⚠ REVISAR",DASHBOARD!D130,"")</f>
        <v/>
      </c>
      <c r="E132" s="122" t="str">
        <f>IF(DASHBOARD!G130="⚠ REVISAR",DASHBOARD!E130,"")</f>
        <v/>
      </c>
      <c r="F132" s="122"/>
    </row>
    <row r="133" spans="1:16" ht="13.95" customHeight="1">
      <c r="A133" s="125" t="str">
        <f>IF(DASHBOARD!G131="⚠ REVISAR",113,"")</f>
        <v/>
      </c>
      <c r="B133" s="125" t="str">
        <f>IF(DASHBOARD!G131="⚠ REVISAR",DASHBOARD!A131,"")</f>
        <v/>
      </c>
      <c r="C133" s="117" t="str">
        <f>IF(DASHBOARD!G131="⚠ REVISAR",DASHBOARD!C131,"")</f>
        <v/>
      </c>
      <c r="D133" s="125" t="str">
        <f>IF(DASHBOARD!G131="⚠ REVISAR",DASHBOARD!D131,"")</f>
        <v/>
      </c>
      <c r="E133" s="125" t="str">
        <f>IF(DASHBOARD!G131="⚠ REVISAR",DASHBOARD!E131,"")</f>
        <v/>
      </c>
      <c r="F133" s="125"/>
    </row>
    <row r="134" spans="1:16" ht="13.95" customHeight="1">
      <c r="A134" s="122" t="str">
        <f>IF(DASHBOARD!G132="⚠ REVISAR",114,"")</f>
        <v/>
      </c>
      <c r="B134" s="122" t="str">
        <f>IF(DASHBOARD!G132="⚠ REVISAR",DASHBOARD!A132,"")</f>
        <v/>
      </c>
      <c r="C134" s="119" t="str">
        <f>IF(DASHBOARD!G132="⚠ REVISAR",DASHBOARD!C132,"")</f>
        <v/>
      </c>
      <c r="D134" s="122" t="str">
        <f>IF(DASHBOARD!G132="⚠ REVISAR",DASHBOARD!D132,"")</f>
        <v/>
      </c>
      <c r="E134" s="122" t="str">
        <f>IF(DASHBOARD!G132="⚠ REVISAR",DASHBOARD!E132,"")</f>
        <v/>
      </c>
      <c r="F134" s="122"/>
    </row>
    <row r="135" spans="1:16" ht="13.95" customHeight="1">
      <c r="A135" s="125" t="str">
        <f>IF(DASHBOARD!G133="⚠ REVISAR",115,"")</f>
        <v/>
      </c>
      <c r="B135" s="125" t="str">
        <f>IF(DASHBOARD!G133="⚠ REVISAR",DASHBOARD!A133,"")</f>
        <v/>
      </c>
      <c r="C135" s="117" t="str">
        <f>IF(DASHBOARD!G133="⚠ REVISAR",DASHBOARD!C133,"")</f>
        <v/>
      </c>
      <c r="D135" s="125" t="str">
        <f>IF(DASHBOARD!G133="⚠ REVISAR",DASHBOARD!D133,"")</f>
        <v/>
      </c>
      <c r="E135" s="125" t="str">
        <f>IF(DASHBOARD!G133="⚠ REVISAR",DASHBOARD!E133,"")</f>
        <v/>
      </c>
      <c r="F135" s="125"/>
    </row>
    <row r="136" spans="1:16" ht="13.95" customHeight="1">
      <c r="A136" s="122" t="str">
        <f>IF(DASHBOARD!G134="⚠ REVISAR",116,"")</f>
        <v/>
      </c>
      <c r="B136" s="122" t="str">
        <f>IF(DASHBOARD!G134="⚠ REVISAR",DASHBOARD!A134,"")</f>
        <v/>
      </c>
      <c r="C136" s="119" t="str">
        <f>IF(DASHBOARD!G134="⚠ REVISAR",DASHBOARD!C134,"")</f>
        <v/>
      </c>
      <c r="D136" s="122" t="str">
        <f>IF(DASHBOARD!G134="⚠ REVISAR",DASHBOARD!D134,"")</f>
        <v/>
      </c>
      <c r="E136" s="122" t="str">
        <f>IF(DASHBOARD!G134="⚠ REVISAR",DASHBOARD!E134,"")</f>
        <v/>
      </c>
      <c r="F136" s="122"/>
    </row>
    <row r="137" spans="1:16" ht="13.95" customHeight="1">
      <c r="A137" s="125" t="str">
        <f>IF(DASHBOARD!G135="⚠ REVISAR",117,"")</f>
        <v/>
      </c>
      <c r="B137" s="125" t="str">
        <f>IF(DASHBOARD!G135="⚠ REVISAR",DASHBOARD!A135,"")</f>
        <v/>
      </c>
      <c r="C137" s="117" t="str">
        <f>IF(DASHBOARD!G135="⚠ REVISAR",DASHBOARD!C135,"")</f>
        <v/>
      </c>
      <c r="D137" s="125" t="str">
        <f>IF(DASHBOARD!G135="⚠ REVISAR",DASHBOARD!D135,"")</f>
        <v/>
      </c>
      <c r="E137" s="125" t="str">
        <f>IF(DASHBOARD!G135="⚠ REVISAR",DASHBOARD!E135,"")</f>
        <v/>
      </c>
      <c r="F137" s="125"/>
    </row>
    <row r="138" spans="1:16" ht="13.95" customHeight="1">
      <c r="A138" s="122" t="str">
        <f>IF(DASHBOARD!G136="⚠ REVISAR",118,"")</f>
        <v/>
      </c>
      <c r="B138" s="122" t="str">
        <f>IF(DASHBOARD!G136="⚠ REVISAR",DASHBOARD!A136,"")</f>
        <v/>
      </c>
      <c r="C138" s="119" t="str">
        <f>IF(DASHBOARD!G136="⚠ REVISAR",DASHBOARD!C136,"")</f>
        <v/>
      </c>
      <c r="D138" s="122" t="str">
        <f>IF(DASHBOARD!G136="⚠ REVISAR",DASHBOARD!D136,"")</f>
        <v/>
      </c>
      <c r="E138" s="122" t="str">
        <f>IF(DASHBOARD!G136="⚠ REVISAR",DASHBOARD!E136,"")</f>
        <v/>
      </c>
      <c r="F138" s="122"/>
    </row>
    <row r="139" spans="1:16" ht="13.95" customHeight="1">
      <c r="A139" s="125" t="str">
        <f>IF(DASHBOARD!G137="⚠ REVISAR",119,"")</f>
        <v/>
      </c>
      <c r="B139" s="125" t="str">
        <f>IF(DASHBOARD!G137="⚠ REVISAR",DASHBOARD!A137,"")</f>
        <v/>
      </c>
      <c r="C139" s="117" t="str">
        <f>IF(DASHBOARD!G137="⚠ REVISAR",DASHBOARD!C137,"")</f>
        <v/>
      </c>
      <c r="D139" s="125" t="str">
        <f>IF(DASHBOARD!G137="⚠ REVISAR",DASHBOARD!D137,"")</f>
        <v/>
      </c>
      <c r="E139" s="125" t="str">
        <f>IF(DASHBOARD!G137="⚠ REVISAR",DASHBOARD!E137,"")</f>
        <v/>
      </c>
      <c r="F139" s="125"/>
    </row>
    <row r="140" spans="1:16" ht="13.95" customHeight="1">
      <c r="A140" s="122" t="str">
        <f>IF(DASHBOARD!G138="⚠ REVISAR",120,"")</f>
        <v/>
      </c>
      <c r="B140" s="122" t="str">
        <f>IF(DASHBOARD!G138="⚠ REVISAR",DASHBOARD!A138,"")</f>
        <v/>
      </c>
      <c r="C140" s="119" t="str">
        <f>IF(DASHBOARD!G138="⚠ REVISAR",DASHBOARD!C138,"")</f>
        <v/>
      </c>
      <c r="D140" s="122" t="str">
        <f>IF(DASHBOARD!G138="⚠ REVISAR",DASHBOARD!D138,"")</f>
        <v/>
      </c>
      <c r="E140" s="122" t="str">
        <f>IF(DASHBOARD!G138="⚠ REVISAR",DASHBOARD!E138,"")</f>
        <v/>
      </c>
      <c r="F140" s="122"/>
    </row>
    <row r="143" spans="1:16" ht="18" customHeight="1">
      <c r="A143" s="201" t="s">
        <v>68</v>
      </c>
      <c r="B143" s="165"/>
      <c r="C143" s="165"/>
      <c r="D143" s="165"/>
      <c r="E143" s="165"/>
      <c r="F143" s="165"/>
      <c r="G143" s="165"/>
      <c r="H143" s="165"/>
      <c r="I143" s="165"/>
      <c r="J143" s="165"/>
      <c r="K143" s="165"/>
      <c r="L143" s="165"/>
      <c r="M143" s="165"/>
      <c r="N143" s="165"/>
      <c r="O143" s="165"/>
      <c r="P143" s="166"/>
    </row>
    <row r="145" spans="1:5">
      <c r="A145" s="200" t="s">
        <v>69</v>
      </c>
      <c r="B145" s="168"/>
      <c r="C145" s="168"/>
      <c r="D145" s="168"/>
      <c r="E145" s="168"/>
    </row>
    <row r="146" spans="1:5">
      <c r="A146" s="203" t="s">
        <v>70</v>
      </c>
      <c r="B146" s="168"/>
      <c r="C146" s="168"/>
      <c r="D146" s="168"/>
      <c r="E146" s="168"/>
    </row>
    <row r="148" spans="1:5">
      <c r="A148" s="200" t="s">
        <v>71</v>
      </c>
      <c r="B148" s="168"/>
      <c r="C148" s="168"/>
      <c r="D148" s="168"/>
      <c r="E148" s="168"/>
    </row>
    <row r="149" spans="1:5">
      <c r="A149" s="203" t="s">
        <v>70</v>
      </c>
      <c r="B149" s="168"/>
      <c r="C149" s="168"/>
      <c r="D149" s="168"/>
      <c r="E149" s="168"/>
    </row>
    <row r="151" spans="1:5">
      <c r="A151" s="200" t="s">
        <v>72</v>
      </c>
      <c r="B151" s="168"/>
      <c r="C151" s="168"/>
      <c r="D151" s="168"/>
      <c r="E151" s="168"/>
    </row>
    <row r="152" spans="1:5">
      <c r="A152" s="203" t="s">
        <v>70</v>
      </c>
      <c r="B152" s="168"/>
      <c r="C152" s="168"/>
      <c r="D152" s="168"/>
      <c r="E152" s="168"/>
    </row>
  </sheetData>
  <mergeCells count="17">
    <mergeCell ref="A2:P2"/>
    <mergeCell ref="A145:B145"/>
    <mergeCell ref="C151:E152"/>
    <mergeCell ref="A13:P13"/>
    <mergeCell ref="A148:B148"/>
    <mergeCell ref="A1:P1"/>
    <mergeCell ref="A151:B151"/>
    <mergeCell ref="A152:B152"/>
    <mergeCell ref="A6:P6"/>
    <mergeCell ref="C145:E146"/>
    <mergeCell ref="A4:P4"/>
    <mergeCell ref="A143:P143"/>
    <mergeCell ref="A3:P3"/>
    <mergeCell ref="A149:B149"/>
    <mergeCell ref="A146:B146"/>
    <mergeCell ref="C148:E149"/>
    <mergeCell ref="A19:P19"/>
  </mergeCells>
  <conditionalFormatting sqref="D1:E200">
    <cfRule type="cellIs" dxfId="22" priority="1" operator="lessThan">
      <formula>3</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75623"/>
  </sheetPr>
  <dimension ref="A1:L134"/>
  <sheetViews>
    <sheetView workbookViewId="0">
      <pane ySplit="3" topLeftCell="A4" activePane="bottomLeft" state="frozen"/>
      <selection pane="bottomLeft" sqref="A1:L1"/>
    </sheetView>
  </sheetViews>
  <sheetFormatPr baseColWidth="10" defaultColWidth="8.88671875" defaultRowHeight="14.4"/>
  <cols>
    <col min="1" max="1" width="6" customWidth="1"/>
    <col min="2" max="2" width="32" customWidth="1"/>
    <col min="3" max="3" width="14" customWidth="1"/>
    <col min="4" max="4" width="16" customWidth="1"/>
    <col min="5" max="5" width="14" customWidth="1"/>
  </cols>
  <sheetData>
    <row r="1" spans="1:12" ht="24" customHeight="1">
      <c r="A1" s="209" t="s">
        <v>73</v>
      </c>
      <c r="B1" s="165"/>
      <c r="C1" s="165"/>
      <c r="D1" s="165"/>
      <c r="E1" s="165"/>
      <c r="F1" s="165"/>
      <c r="G1" s="165"/>
      <c r="H1" s="165"/>
      <c r="I1" s="165"/>
      <c r="J1" s="165"/>
      <c r="K1" s="165"/>
      <c r="L1" s="166"/>
    </row>
    <row r="2" spans="1:12" ht="16.05" customHeight="1">
      <c r="A2" s="207" t="s">
        <v>74</v>
      </c>
      <c r="B2" s="165"/>
      <c r="C2" s="165"/>
      <c r="D2" s="165"/>
      <c r="E2" s="165"/>
      <c r="F2" s="165"/>
      <c r="G2" s="165"/>
      <c r="H2" s="165"/>
      <c r="I2" s="165"/>
      <c r="J2" s="165"/>
      <c r="K2" s="165"/>
      <c r="L2" s="166"/>
    </row>
    <row r="4" spans="1:12" ht="19.95" customHeight="1">
      <c r="A4" s="201" t="s">
        <v>75</v>
      </c>
      <c r="B4" s="165"/>
      <c r="C4" s="165"/>
      <c r="D4" s="165"/>
      <c r="E4" s="165"/>
      <c r="F4" s="165"/>
      <c r="G4" s="165"/>
      <c r="H4" s="165"/>
      <c r="I4" s="165"/>
      <c r="J4" s="165"/>
      <c r="K4" s="165"/>
      <c r="L4" s="166"/>
    </row>
    <row r="5" spans="1:12" ht="18" customHeight="1">
      <c r="A5" s="147" t="s">
        <v>2</v>
      </c>
      <c r="B5" s="147" t="s">
        <v>3</v>
      </c>
      <c r="C5" s="147" t="s">
        <v>46</v>
      </c>
      <c r="D5" s="147" t="s">
        <v>47</v>
      </c>
      <c r="E5" s="147" t="s">
        <v>76</v>
      </c>
    </row>
    <row r="6" spans="1:12" ht="13.95" customHeight="1">
      <c r="A6" s="148" t="str">
        <f>IF(RESUMEN_7°!S5="✓ APROBADO",1,"")</f>
        <v/>
      </c>
      <c r="B6" s="149" t="str">
        <f>IF(RESUMEN_7°!S5="✓ APROBADO",RESUMEN_7°!B5,"")</f>
        <v/>
      </c>
      <c r="C6" s="148" t="str">
        <f>IF(RESUMEN_7°!S5="✓ APROBADO",RESUMEN_7°!F5,"")</f>
        <v/>
      </c>
      <c r="D6" s="148" t="str">
        <f>IF(RESUMEN_7°!S5="✓ APROBADO",RESUMEN_7°!R5,"")</f>
        <v/>
      </c>
      <c r="E6" s="148" t="str">
        <f>IF(RESUMEN_7°!S5="✓ APROBADO",IFERROR(ROUND(AVERAGE(RESUMEN_7°!F5,RESUMEN_7°!R5),1),""),"")</f>
        <v/>
      </c>
    </row>
    <row r="7" spans="1:12" ht="13.95" customHeight="1">
      <c r="A7" s="125" t="str">
        <f>IF(RESUMEN_7°!S6="✓ APROBADO",2,"")</f>
        <v/>
      </c>
      <c r="B7" s="117" t="str">
        <f>IF(RESUMEN_7°!S6="✓ APROBADO",RESUMEN_7°!B6,"")</f>
        <v/>
      </c>
      <c r="C7" s="125" t="str">
        <f>IF(RESUMEN_7°!S6="✓ APROBADO",RESUMEN_7°!F6,"")</f>
        <v/>
      </c>
      <c r="D7" s="125" t="str">
        <f>IF(RESUMEN_7°!S6="✓ APROBADO",RESUMEN_7°!R6,"")</f>
        <v/>
      </c>
      <c r="E7" s="125" t="str">
        <f>IF(RESUMEN_7°!S6="✓ APROBADO",IFERROR(ROUND(AVERAGE(RESUMEN_7°!F6,RESUMEN_7°!R6),1),""),"")</f>
        <v/>
      </c>
    </row>
    <row r="8" spans="1:12" ht="13.95" customHeight="1">
      <c r="A8" s="148" t="str">
        <f>IF(RESUMEN_7°!S7="✓ APROBADO",3,"")</f>
        <v/>
      </c>
      <c r="B8" s="149" t="str">
        <f>IF(RESUMEN_7°!S7="✓ APROBADO",RESUMEN_7°!B7,"")</f>
        <v/>
      </c>
      <c r="C8" s="148" t="str">
        <f>IF(RESUMEN_7°!S7="✓ APROBADO",RESUMEN_7°!F7,"")</f>
        <v/>
      </c>
      <c r="D8" s="148" t="str">
        <f>IF(RESUMEN_7°!S7="✓ APROBADO",RESUMEN_7°!R7,"")</f>
        <v/>
      </c>
      <c r="E8" s="148" t="str">
        <f>IF(RESUMEN_7°!S7="✓ APROBADO",IFERROR(ROUND(AVERAGE(RESUMEN_7°!F7,RESUMEN_7°!R7),1),""),"")</f>
        <v/>
      </c>
    </row>
    <row r="9" spans="1:12" ht="13.95" customHeight="1">
      <c r="A9" s="125" t="str">
        <f>IF(RESUMEN_7°!S8="✓ APROBADO",4,"")</f>
        <v/>
      </c>
      <c r="B9" s="117" t="str">
        <f>IF(RESUMEN_7°!S8="✓ APROBADO",RESUMEN_7°!B8,"")</f>
        <v/>
      </c>
      <c r="C9" s="125" t="str">
        <f>IF(RESUMEN_7°!S8="✓ APROBADO",RESUMEN_7°!F8,"")</f>
        <v/>
      </c>
      <c r="D9" s="125" t="str">
        <f>IF(RESUMEN_7°!S8="✓ APROBADO",RESUMEN_7°!R8,"")</f>
        <v/>
      </c>
      <c r="E9" s="125" t="str">
        <f>IF(RESUMEN_7°!S8="✓ APROBADO",IFERROR(ROUND(AVERAGE(RESUMEN_7°!F8,RESUMEN_7°!R8),1),""),"")</f>
        <v/>
      </c>
    </row>
    <row r="10" spans="1:12" ht="13.95" customHeight="1">
      <c r="A10" s="148" t="str">
        <f>IF(RESUMEN_7°!S9="✓ APROBADO",5,"")</f>
        <v/>
      </c>
      <c r="B10" s="149" t="str">
        <f>IF(RESUMEN_7°!S9="✓ APROBADO",RESUMEN_7°!B9,"")</f>
        <v/>
      </c>
      <c r="C10" s="148" t="str">
        <f>IF(RESUMEN_7°!S9="✓ APROBADO",RESUMEN_7°!F9,"")</f>
        <v/>
      </c>
      <c r="D10" s="148" t="str">
        <f>IF(RESUMEN_7°!S9="✓ APROBADO",RESUMEN_7°!R9,"")</f>
        <v/>
      </c>
      <c r="E10" s="148" t="str">
        <f>IF(RESUMEN_7°!S9="✓ APROBADO",IFERROR(ROUND(AVERAGE(RESUMEN_7°!F9,RESUMEN_7°!R9),1),""),"")</f>
        <v/>
      </c>
    </row>
    <row r="11" spans="1:12" ht="13.95" customHeight="1">
      <c r="A11" s="125" t="str">
        <f>IF(RESUMEN_7°!S10="✓ APROBADO",6,"")</f>
        <v/>
      </c>
      <c r="B11" s="117" t="str">
        <f>IF(RESUMEN_7°!S10="✓ APROBADO",RESUMEN_7°!B10,"")</f>
        <v/>
      </c>
      <c r="C11" s="125" t="str">
        <f>IF(RESUMEN_7°!S10="✓ APROBADO",RESUMEN_7°!F10,"")</f>
        <v/>
      </c>
      <c r="D11" s="125" t="str">
        <f>IF(RESUMEN_7°!S10="✓ APROBADO",RESUMEN_7°!R10,"")</f>
        <v/>
      </c>
      <c r="E11" s="125" t="str">
        <f>IF(RESUMEN_7°!S10="✓ APROBADO",IFERROR(ROUND(AVERAGE(RESUMEN_7°!F10,RESUMEN_7°!R10),1),""),"")</f>
        <v/>
      </c>
    </row>
    <row r="12" spans="1:12" ht="13.95" customHeight="1">
      <c r="A12" s="148" t="str">
        <f>IF(RESUMEN_7°!S11="✓ APROBADO",7,"")</f>
        <v/>
      </c>
      <c r="B12" s="149" t="str">
        <f>IF(RESUMEN_7°!S11="✓ APROBADO",RESUMEN_7°!B11,"")</f>
        <v/>
      </c>
      <c r="C12" s="148" t="str">
        <f>IF(RESUMEN_7°!S11="✓ APROBADO",RESUMEN_7°!F11,"")</f>
        <v/>
      </c>
      <c r="D12" s="148" t="str">
        <f>IF(RESUMEN_7°!S11="✓ APROBADO",RESUMEN_7°!R11,"")</f>
        <v/>
      </c>
      <c r="E12" s="148" t="str">
        <f>IF(RESUMEN_7°!S11="✓ APROBADO",IFERROR(ROUND(AVERAGE(RESUMEN_7°!F11,RESUMEN_7°!R11),1),""),"")</f>
        <v/>
      </c>
    </row>
    <row r="13" spans="1:12" ht="13.95" customHeight="1">
      <c r="A13" s="125" t="str">
        <f>IF(RESUMEN_7°!S12="✓ APROBADO",8,"")</f>
        <v/>
      </c>
      <c r="B13" s="117" t="str">
        <f>IF(RESUMEN_7°!S12="✓ APROBADO",RESUMEN_7°!B12,"")</f>
        <v/>
      </c>
      <c r="C13" s="125" t="str">
        <f>IF(RESUMEN_7°!S12="✓ APROBADO",RESUMEN_7°!F12,"")</f>
        <v/>
      </c>
      <c r="D13" s="125" t="str">
        <f>IF(RESUMEN_7°!S12="✓ APROBADO",RESUMEN_7°!R12,"")</f>
        <v/>
      </c>
      <c r="E13" s="125" t="str">
        <f>IF(RESUMEN_7°!S12="✓ APROBADO",IFERROR(ROUND(AVERAGE(RESUMEN_7°!F12,RESUMEN_7°!R12),1),""),"")</f>
        <v/>
      </c>
    </row>
    <row r="14" spans="1:12" ht="13.95" customHeight="1">
      <c r="A14" s="148" t="str">
        <f>IF(RESUMEN_7°!S13="✓ APROBADO",9,"")</f>
        <v/>
      </c>
      <c r="B14" s="149" t="str">
        <f>IF(RESUMEN_7°!S13="✓ APROBADO",RESUMEN_7°!B13,"")</f>
        <v/>
      </c>
      <c r="C14" s="148" t="str">
        <f>IF(RESUMEN_7°!S13="✓ APROBADO",RESUMEN_7°!F13,"")</f>
        <v/>
      </c>
      <c r="D14" s="148" t="str">
        <f>IF(RESUMEN_7°!S13="✓ APROBADO",RESUMEN_7°!R13,"")</f>
        <v/>
      </c>
      <c r="E14" s="148" t="str">
        <f>IF(RESUMEN_7°!S13="✓ APROBADO",IFERROR(ROUND(AVERAGE(RESUMEN_7°!F13,RESUMEN_7°!R13),1),""),"")</f>
        <v/>
      </c>
    </row>
    <row r="15" spans="1:12" ht="13.95" customHeight="1">
      <c r="A15" s="125" t="str">
        <f>IF(RESUMEN_7°!S14="✓ APROBADO",10,"")</f>
        <v/>
      </c>
      <c r="B15" s="117" t="str">
        <f>IF(RESUMEN_7°!S14="✓ APROBADO",RESUMEN_7°!B14,"")</f>
        <v/>
      </c>
      <c r="C15" s="125" t="str">
        <f>IF(RESUMEN_7°!S14="✓ APROBADO",RESUMEN_7°!F14,"")</f>
        <v/>
      </c>
      <c r="D15" s="125" t="str">
        <f>IF(RESUMEN_7°!S14="✓ APROBADO",RESUMEN_7°!R14,"")</f>
        <v/>
      </c>
      <c r="E15" s="125" t="str">
        <f>IF(RESUMEN_7°!S14="✓ APROBADO",IFERROR(ROUND(AVERAGE(RESUMEN_7°!F14,RESUMEN_7°!R14),1),""),"")</f>
        <v/>
      </c>
    </row>
    <row r="16" spans="1:12" ht="13.95" customHeight="1">
      <c r="A16" s="148" t="str">
        <f>IF(RESUMEN_7°!S15="✓ APROBADO",11,"")</f>
        <v/>
      </c>
      <c r="B16" s="149" t="str">
        <f>IF(RESUMEN_7°!S15="✓ APROBADO",RESUMEN_7°!B15,"")</f>
        <v/>
      </c>
      <c r="C16" s="148" t="str">
        <f>IF(RESUMEN_7°!S15="✓ APROBADO",RESUMEN_7°!F15,"")</f>
        <v/>
      </c>
      <c r="D16" s="148" t="str">
        <f>IF(RESUMEN_7°!S15="✓ APROBADO",RESUMEN_7°!R15,"")</f>
        <v/>
      </c>
      <c r="E16" s="148" t="str">
        <f>IF(RESUMEN_7°!S15="✓ APROBADO",IFERROR(ROUND(AVERAGE(RESUMEN_7°!F15,RESUMEN_7°!R15),1),""),"")</f>
        <v/>
      </c>
    </row>
    <row r="17" spans="1:5" ht="13.95" customHeight="1">
      <c r="A17" s="125" t="str">
        <f>IF(RESUMEN_7°!S16="✓ APROBADO",12,"")</f>
        <v/>
      </c>
      <c r="B17" s="117" t="str">
        <f>IF(RESUMEN_7°!S16="✓ APROBADO",RESUMEN_7°!B16,"")</f>
        <v/>
      </c>
      <c r="C17" s="125" t="str">
        <f>IF(RESUMEN_7°!S16="✓ APROBADO",RESUMEN_7°!F16,"")</f>
        <v/>
      </c>
      <c r="D17" s="125" t="str">
        <f>IF(RESUMEN_7°!S16="✓ APROBADO",RESUMEN_7°!R16,"")</f>
        <v/>
      </c>
      <c r="E17" s="125" t="str">
        <f>IF(RESUMEN_7°!S16="✓ APROBADO",IFERROR(ROUND(AVERAGE(RESUMEN_7°!F16,RESUMEN_7°!R16),1),""),"")</f>
        <v/>
      </c>
    </row>
    <row r="18" spans="1:5" ht="13.95" customHeight="1">
      <c r="A18" s="148" t="str">
        <f>IF(RESUMEN_7°!S17="✓ APROBADO",13,"")</f>
        <v/>
      </c>
      <c r="B18" s="149" t="str">
        <f>IF(RESUMEN_7°!S17="✓ APROBADO",RESUMEN_7°!B17,"")</f>
        <v/>
      </c>
      <c r="C18" s="148" t="str">
        <f>IF(RESUMEN_7°!S17="✓ APROBADO",RESUMEN_7°!F17,"")</f>
        <v/>
      </c>
      <c r="D18" s="148" t="str">
        <f>IF(RESUMEN_7°!S17="✓ APROBADO",RESUMEN_7°!R17,"")</f>
        <v/>
      </c>
      <c r="E18" s="148" t="str">
        <f>IF(RESUMEN_7°!S17="✓ APROBADO",IFERROR(ROUND(AVERAGE(RESUMEN_7°!F17,RESUMEN_7°!R17),1),""),"")</f>
        <v/>
      </c>
    </row>
    <row r="19" spans="1:5" ht="13.95" customHeight="1">
      <c r="A19" s="125" t="str">
        <f>IF(RESUMEN_7°!S18="✓ APROBADO",14,"")</f>
        <v/>
      </c>
      <c r="B19" s="117" t="str">
        <f>IF(RESUMEN_7°!S18="✓ APROBADO",RESUMEN_7°!B18,"")</f>
        <v/>
      </c>
      <c r="C19" s="125" t="str">
        <f>IF(RESUMEN_7°!S18="✓ APROBADO",RESUMEN_7°!F18,"")</f>
        <v/>
      </c>
      <c r="D19" s="125" t="str">
        <f>IF(RESUMEN_7°!S18="✓ APROBADO",RESUMEN_7°!R18,"")</f>
        <v/>
      </c>
      <c r="E19" s="125" t="str">
        <f>IF(RESUMEN_7°!S18="✓ APROBADO",IFERROR(ROUND(AVERAGE(RESUMEN_7°!F18,RESUMEN_7°!R18),1),""),"")</f>
        <v/>
      </c>
    </row>
    <row r="20" spans="1:5" ht="13.95" customHeight="1">
      <c r="A20" s="148" t="str">
        <f>IF(RESUMEN_7°!S19="✓ APROBADO",15,"")</f>
        <v/>
      </c>
      <c r="B20" s="149" t="str">
        <f>IF(RESUMEN_7°!S19="✓ APROBADO",RESUMEN_7°!B19,"")</f>
        <v/>
      </c>
      <c r="C20" s="148" t="str">
        <f>IF(RESUMEN_7°!S19="✓ APROBADO",RESUMEN_7°!F19,"")</f>
        <v/>
      </c>
      <c r="D20" s="148" t="str">
        <f>IF(RESUMEN_7°!S19="✓ APROBADO",RESUMEN_7°!R19,"")</f>
        <v/>
      </c>
      <c r="E20" s="148" t="str">
        <f>IF(RESUMEN_7°!S19="✓ APROBADO",IFERROR(ROUND(AVERAGE(RESUMEN_7°!F19,RESUMEN_7°!R19),1),""),"")</f>
        <v/>
      </c>
    </row>
    <row r="21" spans="1:5" ht="13.95" customHeight="1">
      <c r="A21" s="125" t="str">
        <f>IF(RESUMEN_7°!S20="✓ APROBADO",16,"")</f>
        <v/>
      </c>
      <c r="B21" s="117" t="str">
        <f>IF(RESUMEN_7°!S20="✓ APROBADO",RESUMEN_7°!B20,"")</f>
        <v/>
      </c>
      <c r="C21" s="125" t="str">
        <f>IF(RESUMEN_7°!S20="✓ APROBADO",RESUMEN_7°!F20,"")</f>
        <v/>
      </c>
      <c r="D21" s="125" t="str">
        <f>IF(RESUMEN_7°!S20="✓ APROBADO",RESUMEN_7°!R20,"")</f>
        <v/>
      </c>
      <c r="E21" s="125" t="str">
        <f>IF(RESUMEN_7°!S20="✓ APROBADO",IFERROR(ROUND(AVERAGE(RESUMEN_7°!F20,RESUMEN_7°!R20),1),""),"")</f>
        <v/>
      </c>
    </row>
    <row r="22" spans="1:5" ht="13.95" customHeight="1">
      <c r="A22" s="148" t="str">
        <f>IF(RESUMEN_7°!S21="✓ APROBADO",17,"")</f>
        <v/>
      </c>
      <c r="B22" s="149" t="str">
        <f>IF(RESUMEN_7°!S21="✓ APROBADO",RESUMEN_7°!B21,"")</f>
        <v/>
      </c>
      <c r="C22" s="148" t="str">
        <f>IF(RESUMEN_7°!S21="✓ APROBADO",RESUMEN_7°!F21,"")</f>
        <v/>
      </c>
      <c r="D22" s="148" t="str">
        <f>IF(RESUMEN_7°!S21="✓ APROBADO",RESUMEN_7°!R21,"")</f>
        <v/>
      </c>
      <c r="E22" s="148" t="str">
        <f>IF(RESUMEN_7°!S21="✓ APROBADO",IFERROR(ROUND(AVERAGE(RESUMEN_7°!F21,RESUMEN_7°!R21),1),""),"")</f>
        <v/>
      </c>
    </row>
    <row r="23" spans="1:5" ht="13.95" customHeight="1">
      <c r="A23" s="125" t="str">
        <f>IF(RESUMEN_7°!S22="✓ APROBADO",18,"")</f>
        <v/>
      </c>
      <c r="B23" s="117" t="str">
        <f>IF(RESUMEN_7°!S22="✓ APROBADO",RESUMEN_7°!B22,"")</f>
        <v/>
      </c>
      <c r="C23" s="125" t="str">
        <f>IF(RESUMEN_7°!S22="✓ APROBADO",RESUMEN_7°!F22,"")</f>
        <v/>
      </c>
      <c r="D23" s="125" t="str">
        <f>IF(RESUMEN_7°!S22="✓ APROBADO",RESUMEN_7°!R22,"")</f>
        <v/>
      </c>
      <c r="E23" s="125" t="str">
        <f>IF(RESUMEN_7°!S22="✓ APROBADO",IFERROR(ROUND(AVERAGE(RESUMEN_7°!F22,RESUMEN_7°!R22),1),""),"")</f>
        <v/>
      </c>
    </row>
    <row r="24" spans="1:5" ht="13.95" customHeight="1">
      <c r="A24" s="148" t="str">
        <f>IF(RESUMEN_7°!S23="✓ APROBADO",19,"")</f>
        <v/>
      </c>
      <c r="B24" s="149" t="str">
        <f>IF(RESUMEN_7°!S23="✓ APROBADO",RESUMEN_7°!B23,"")</f>
        <v/>
      </c>
      <c r="C24" s="148" t="str">
        <f>IF(RESUMEN_7°!S23="✓ APROBADO",RESUMEN_7°!F23,"")</f>
        <v/>
      </c>
      <c r="D24" s="148" t="str">
        <f>IF(RESUMEN_7°!S23="✓ APROBADO",RESUMEN_7°!R23,"")</f>
        <v/>
      </c>
      <c r="E24" s="148" t="str">
        <f>IF(RESUMEN_7°!S23="✓ APROBADO",IFERROR(ROUND(AVERAGE(RESUMEN_7°!F23,RESUMEN_7°!R23),1),""),"")</f>
        <v/>
      </c>
    </row>
    <row r="25" spans="1:5" ht="13.95" customHeight="1">
      <c r="A25" s="125" t="str">
        <f>IF(RESUMEN_7°!S24="✓ APROBADO",20,"")</f>
        <v/>
      </c>
      <c r="B25" s="117" t="str">
        <f>IF(RESUMEN_7°!S24="✓ APROBADO",RESUMEN_7°!B24,"")</f>
        <v/>
      </c>
      <c r="C25" s="125" t="str">
        <f>IF(RESUMEN_7°!S24="✓ APROBADO",RESUMEN_7°!F24,"")</f>
        <v/>
      </c>
      <c r="D25" s="125" t="str">
        <f>IF(RESUMEN_7°!S24="✓ APROBADO",RESUMEN_7°!R24,"")</f>
        <v/>
      </c>
      <c r="E25" s="125" t="str">
        <f>IF(RESUMEN_7°!S24="✓ APROBADO",IFERROR(ROUND(AVERAGE(RESUMEN_7°!F24,RESUMEN_7°!R24),1),""),"")</f>
        <v/>
      </c>
    </row>
    <row r="26" spans="1:5" ht="13.95" customHeight="1">
      <c r="A26" s="148" t="str">
        <f>IF(RESUMEN_7°!S25="✓ APROBADO",21,"")</f>
        <v/>
      </c>
      <c r="B26" s="149" t="str">
        <f>IF(RESUMEN_7°!S25="✓ APROBADO",RESUMEN_7°!B25,"")</f>
        <v/>
      </c>
      <c r="C26" s="148" t="str">
        <f>IF(RESUMEN_7°!S25="✓ APROBADO",RESUMEN_7°!F25,"")</f>
        <v/>
      </c>
      <c r="D26" s="148" t="str">
        <f>IF(RESUMEN_7°!S25="✓ APROBADO",RESUMEN_7°!R25,"")</f>
        <v/>
      </c>
      <c r="E26" s="148" t="str">
        <f>IF(RESUMEN_7°!S25="✓ APROBADO",IFERROR(ROUND(AVERAGE(RESUMEN_7°!F25,RESUMEN_7°!R25),1),""),"")</f>
        <v/>
      </c>
    </row>
    <row r="27" spans="1:5" ht="13.95" customHeight="1">
      <c r="A27" s="125" t="str">
        <f>IF(RESUMEN_7°!S26="✓ APROBADO",22,"")</f>
        <v/>
      </c>
      <c r="B27" s="117" t="str">
        <f>IF(RESUMEN_7°!S26="✓ APROBADO",RESUMEN_7°!B26,"")</f>
        <v/>
      </c>
      <c r="C27" s="125" t="str">
        <f>IF(RESUMEN_7°!S26="✓ APROBADO",RESUMEN_7°!F26,"")</f>
        <v/>
      </c>
      <c r="D27" s="125" t="str">
        <f>IF(RESUMEN_7°!S26="✓ APROBADO",RESUMEN_7°!R26,"")</f>
        <v/>
      </c>
      <c r="E27" s="125" t="str">
        <f>IF(RESUMEN_7°!S26="✓ APROBADO",IFERROR(ROUND(AVERAGE(RESUMEN_7°!F26,RESUMEN_7°!R26),1),""),"")</f>
        <v/>
      </c>
    </row>
    <row r="28" spans="1:5" ht="13.95" customHeight="1">
      <c r="A28" s="148" t="str">
        <f>IF(RESUMEN_7°!S27="✓ APROBADO",23,"")</f>
        <v/>
      </c>
      <c r="B28" s="149" t="str">
        <f>IF(RESUMEN_7°!S27="✓ APROBADO",RESUMEN_7°!B27,"")</f>
        <v/>
      </c>
      <c r="C28" s="148" t="str">
        <f>IF(RESUMEN_7°!S27="✓ APROBADO",RESUMEN_7°!F27,"")</f>
        <v/>
      </c>
      <c r="D28" s="148" t="str">
        <f>IF(RESUMEN_7°!S27="✓ APROBADO",RESUMEN_7°!R27,"")</f>
        <v/>
      </c>
      <c r="E28" s="148" t="str">
        <f>IF(RESUMEN_7°!S27="✓ APROBADO",IFERROR(ROUND(AVERAGE(RESUMEN_7°!F27,RESUMEN_7°!R27),1),""),"")</f>
        <v/>
      </c>
    </row>
    <row r="29" spans="1:5" ht="13.95" customHeight="1">
      <c r="A29" s="125" t="str">
        <f>IF(RESUMEN_7°!S28="✓ APROBADO",24,"")</f>
        <v/>
      </c>
      <c r="B29" s="117" t="str">
        <f>IF(RESUMEN_7°!S28="✓ APROBADO",RESUMEN_7°!B28,"")</f>
        <v/>
      </c>
      <c r="C29" s="125" t="str">
        <f>IF(RESUMEN_7°!S28="✓ APROBADO",RESUMEN_7°!F28,"")</f>
        <v/>
      </c>
      <c r="D29" s="125" t="str">
        <f>IF(RESUMEN_7°!S28="✓ APROBADO",RESUMEN_7°!R28,"")</f>
        <v/>
      </c>
      <c r="E29" s="125" t="str">
        <f>IF(RESUMEN_7°!S28="✓ APROBADO",IFERROR(ROUND(AVERAGE(RESUMEN_7°!F28,RESUMEN_7°!R28),1),""),"")</f>
        <v/>
      </c>
    </row>
    <row r="30" spans="1:5" ht="13.95" customHeight="1">
      <c r="A30" s="148" t="str">
        <f>IF(RESUMEN_7°!S29="✓ APROBADO",25,"")</f>
        <v/>
      </c>
      <c r="B30" s="149" t="str">
        <f>IF(RESUMEN_7°!S29="✓ APROBADO",RESUMEN_7°!B29,"")</f>
        <v/>
      </c>
      <c r="C30" s="148" t="str">
        <f>IF(RESUMEN_7°!S29="✓ APROBADO",RESUMEN_7°!F29,"")</f>
        <v/>
      </c>
      <c r="D30" s="148" t="str">
        <f>IF(RESUMEN_7°!S29="✓ APROBADO",RESUMEN_7°!R29,"")</f>
        <v/>
      </c>
      <c r="E30" s="148" t="str">
        <f>IF(RESUMEN_7°!S29="✓ APROBADO",IFERROR(ROUND(AVERAGE(RESUMEN_7°!F29,RESUMEN_7°!R29),1),""),"")</f>
        <v/>
      </c>
    </row>
    <row r="31" spans="1:5" ht="13.95" customHeight="1">
      <c r="A31" s="125" t="str">
        <f>IF(RESUMEN_7°!S30="✓ APROBADO",26,"")</f>
        <v/>
      </c>
      <c r="B31" s="117" t="str">
        <f>IF(RESUMEN_7°!S30="✓ APROBADO",RESUMEN_7°!B30,"")</f>
        <v/>
      </c>
      <c r="C31" s="125" t="str">
        <f>IF(RESUMEN_7°!S30="✓ APROBADO",RESUMEN_7°!F30,"")</f>
        <v/>
      </c>
      <c r="D31" s="125" t="str">
        <f>IF(RESUMEN_7°!S30="✓ APROBADO",RESUMEN_7°!R30,"")</f>
        <v/>
      </c>
      <c r="E31" s="125" t="str">
        <f>IF(RESUMEN_7°!S30="✓ APROBADO",IFERROR(ROUND(AVERAGE(RESUMEN_7°!F30,RESUMEN_7°!R30),1),""),"")</f>
        <v/>
      </c>
    </row>
    <row r="32" spans="1:5" ht="13.95" customHeight="1">
      <c r="A32" s="148" t="str">
        <f>IF(RESUMEN_7°!S31="✓ APROBADO",27,"")</f>
        <v/>
      </c>
      <c r="B32" s="149" t="str">
        <f>IF(RESUMEN_7°!S31="✓ APROBADO",RESUMEN_7°!B31,"")</f>
        <v/>
      </c>
      <c r="C32" s="148" t="str">
        <f>IF(RESUMEN_7°!S31="✓ APROBADO",RESUMEN_7°!F31,"")</f>
        <v/>
      </c>
      <c r="D32" s="148" t="str">
        <f>IF(RESUMEN_7°!S31="✓ APROBADO",RESUMEN_7°!R31,"")</f>
        <v/>
      </c>
      <c r="E32" s="148" t="str">
        <f>IF(RESUMEN_7°!S31="✓ APROBADO",IFERROR(ROUND(AVERAGE(RESUMEN_7°!F31,RESUMEN_7°!R31),1),""),"")</f>
        <v/>
      </c>
    </row>
    <row r="33" spans="1:12" ht="13.95" customHeight="1">
      <c r="A33" s="125" t="str">
        <f>IF(RESUMEN_7°!S32="✓ APROBADO",28,"")</f>
        <v/>
      </c>
      <c r="B33" s="117" t="str">
        <f>IF(RESUMEN_7°!S32="✓ APROBADO",RESUMEN_7°!B32,"")</f>
        <v/>
      </c>
      <c r="C33" s="125" t="str">
        <f>IF(RESUMEN_7°!S32="✓ APROBADO",RESUMEN_7°!F32,"")</f>
        <v/>
      </c>
      <c r="D33" s="125" t="str">
        <f>IF(RESUMEN_7°!S32="✓ APROBADO",RESUMEN_7°!R32,"")</f>
        <v/>
      </c>
      <c r="E33" s="125" t="str">
        <f>IF(RESUMEN_7°!S32="✓ APROBADO",IFERROR(ROUND(AVERAGE(RESUMEN_7°!F32,RESUMEN_7°!R32),1),""),"")</f>
        <v/>
      </c>
    </row>
    <row r="34" spans="1:12" ht="13.95" customHeight="1">
      <c r="A34" s="148" t="str">
        <f>IF(RESUMEN_7°!S33="✓ APROBADO",29,"")</f>
        <v/>
      </c>
      <c r="B34" s="149" t="str">
        <f>IF(RESUMEN_7°!S33="✓ APROBADO",RESUMEN_7°!B33,"")</f>
        <v/>
      </c>
      <c r="C34" s="148" t="str">
        <f>IF(RESUMEN_7°!S33="✓ APROBADO",RESUMEN_7°!F33,"")</f>
        <v/>
      </c>
      <c r="D34" s="148" t="str">
        <f>IF(RESUMEN_7°!S33="✓ APROBADO",RESUMEN_7°!R33,"")</f>
        <v/>
      </c>
      <c r="E34" s="148" t="str">
        <f>IF(RESUMEN_7°!S33="✓ APROBADO",IFERROR(ROUND(AVERAGE(RESUMEN_7°!F33,RESUMEN_7°!R33),1),""),"")</f>
        <v/>
      </c>
    </row>
    <row r="35" spans="1:12" ht="13.95" customHeight="1">
      <c r="A35" s="125" t="str">
        <f>IF(RESUMEN_7°!S34="✓ APROBADO",30,"")</f>
        <v/>
      </c>
      <c r="B35" s="117" t="str">
        <f>IF(RESUMEN_7°!S34="✓ APROBADO",RESUMEN_7°!B34,"")</f>
        <v/>
      </c>
      <c r="C35" s="125" t="str">
        <f>IF(RESUMEN_7°!S34="✓ APROBADO",RESUMEN_7°!F34,"")</f>
        <v/>
      </c>
      <c r="D35" s="125" t="str">
        <f>IF(RESUMEN_7°!S34="✓ APROBADO",RESUMEN_7°!R34,"")</f>
        <v/>
      </c>
      <c r="E35" s="125" t="str">
        <f>IF(RESUMEN_7°!S34="✓ APROBADO",IFERROR(ROUND(AVERAGE(RESUMEN_7°!F34,RESUMEN_7°!R34),1),""),"")</f>
        <v/>
      </c>
    </row>
    <row r="36" spans="1:12" ht="13.95" customHeight="1">
      <c r="A36" s="148" t="str">
        <f>IF(RESUMEN_7°!S35="✓ APROBADO",31,"")</f>
        <v/>
      </c>
      <c r="B36" s="149" t="str">
        <f>IF(RESUMEN_7°!S35="✓ APROBADO",RESUMEN_7°!B35,"")</f>
        <v/>
      </c>
      <c r="C36" s="148" t="str">
        <f>IF(RESUMEN_7°!S35="✓ APROBADO",RESUMEN_7°!F35,"")</f>
        <v/>
      </c>
      <c r="D36" s="148" t="str">
        <f>IF(RESUMEN_7°!S35="✓ APROBADO",RESUMEN_7°!R35,"")</f>
        <v/>
      </c>
      <c r="E36" s="148" t="str">
        <f>IF(RESUMEN_7°!S35="✓ APROBADO",IFERROR(ROUND(AVERAGE(RESUMEN_7°!F35,RESUMEN_7°!R35),1),""),"")</f>
        <v/>
      </c>
    </row>
    <row r="37" spans="1:12" ht="13.95" customHeight="1">
      <c r="A37" s="125" t="str">
        <f>IF(RESUMEN_7°!S36="✓ APROBADO",32,"")</f>
        <v/>
      </c>
      <c r="B37" s="117" t="str">
        <f>IF(RESUMEN_7°!S36="✓ APROBADO",RESUMEN_7°!B36,"")</f>
        <v/>
      </c>
      <c r="C37" s="125" t="str">
        <f>IF(RESUMEN_7°!S36="✓ APROBADO",RESUMEN_7°!F36,"")</f>
        <v/>
      </c>
      <c r="D37" s="125" t="str">
        <f>IF(RESUMEN_7°!S36="✓ APROBADO",RESUMEN_7°!R36,"")</f>
        <v/>
      </c>
      <c r="E37" s="125" t="str">
        <f>IF(RESUMEN_7°!S36="✓ APROBADO",IFERROR(ROUND(AVERAGE(RESUMEN_7°!F36,RESUMEN_7°!R36),1),""),"")</f>
        <v/>
      </c>
    </row>
    <row r="38" spans="1:12" ht="13.95" customHeight="1">
      <c r="A38" s="148" t="str">
        <f>IF(RESUMEN_7°!S37="✓ APROBADO",33,"")</f>
        <v/>
      </c>
      <c r="B38" s="149" t="str">
        <f>IF(RESUMEN_7°!S37="✓ APROBADO",RESUMEN_7°!B37,"")</f>
        <v/>
      </c>
      <c r="C38" s="148" t="str">
        <f>IF(RESUMEN_7°!S37="✓ APROBADO",RESUMEN_7°!F37,"")</f>
        <v/>
      </c>
      <c r="D38" s="148" t="str">
        <f>IF(RESUMEN_7°!S37="✓ APROBADO",RESUMEN_7°!R37,"")</f>
        <v/>
      </c>
      <c r="E38" s="148" t="str">
        <f>IF(RESUMEN_7°!S37="✓ APROBADO",IFERROR(ROUND(AVERAGE(RESUMEN_7°!F37,RESUMEN_7°!R37),1),""),"")</f>
        <v/>
      </c>
    </row>
    <row r="39" spans="1:12" ht="13.95" customHeight="1">
      <c r="A39" s="125" t="str">
        <f>IF(RESUMEN_7°!S38="✓ APROBADO",34,"")</f>
        <v/>
      </c>
      <c r="B39" s="117" t="str">
        <f>IF(RESUMEN_7°!S38="✓ APROBADO",RESUMEN_7°!B38,"")</f>
        <v/>
      </c>
      <c r="C39" s="125" t="str">
        <f>IF(RESUMEN_7°!S38="✓ APROBADO",RESUMEN_7°!F38,"")</f>
        <v/>
      </c>
      <c r="D39" s="125" t="str">
        <f>IF(RESUMEN_7°!S38="✓ APROBADO",RESUMEN_7°!R38,"")</f>
        <v/>
      </c>
      <c r="E39" s="125" t="str">
        <f>IF(RESUMEN_7°!S38="✓ APROBADO",IFERROR(ROUND(AVERAGE(RESUMEN_7°!F38,RESUMEN_7°!R38),1),""),"")</f>
        <v/>
      </c>
    </row>
    <row r="40" spans="1:12" ht="13.95" customHeight="1">
      <c r="A40" s="148" t="str">
        <f>IF(RESUMEN_7°!S39="✓ APROBADO",35,"")</f>
        <v/>
      </c>
      <c r="B40" s="149" t="str">
        <f>IF(RESUMEN_7°!S39="✓ APROBADO",RESUMEN_7°!B39,"")</f>
        <v/>
      </c>
      <c r="C40" s="148" t="str">
        <f>IF(RESUMEN_7°!S39="✓ APROBADO",RESUMEN_7°!F39,"")</f>
        <v/>
      </c>
      <c r="D40" s="148" t="str">
        <f>IF(RESUMEN_7°!S39="✓ APROBADO",RESUMEN_7°!R39,"")</f>
        <v/>
      </c>
      <c r="E40" s="148" t="str">
        <f>IF(RESUMEN_7°!S39="✓ APROBADO",IFERROR(ROUND(AVERAGE(RESUMEN_7°!F39,RESUMEN_7°!R39),1),""),"")</f>
        <v/>
      </c>
    </row>
    <row r="41" spans="1:12" ht="13.95" customHeight="1">
      <c r="A41" s="125" t="str">
        <f>IF(RESUMEN_7°!S40="✓ APROBADO",36,"")</f>
        <v/>
      </c>
      <c r="B41" s="117" t="str">
        <f>IF(RESUMEN_7°!S40="✓ APROBADO",RESUMEN_7°!B40,"")</f>
        <v/>
      </c>
      <c r="C41" s="125" t="str">
        <f>IF(RESUMEN_7°!S40="✓ APROBADO",RESUMEN_7°!F40,"")</f>
        <v/>
      </c>
      <c r="D41" s="125" t="str">
        <f>IF(RESUMEN_7°!S40="✓ APROBADO",RESUMEN_7°!R40,"")</f>
        <v/>
      </c>
      <c r="E41" s="125" t="str">
        <f>IF(RESUMEN_7°!S40="✓ APROBADO",IFERROR(ROUND(AVERAGE(RESUMEN_7°!F40,RESUMEN_7°!R40),1),""),"")</f>
        <v/>
      </c>
    </row>
    <row r="42" spans="1:12" ht="13.95" customHeight="1">
      <c r="A42" s="148" t="str">
        <f>IF(RESUMEN_7°!S41="✓ APROBADO",37,"")</f>
        <v/>
      </c>
      <c r="B42" s="149" t="str">
        <f>IF(RESUMEN_7°!S41="✓ APROBADO",RESUMEN_7°!B41,"")</f>
        <v/>
      </c>
      <c r="C42" s="148" t="str">
        <f>IF(RESUMEN_7°!S41="✓ APROBADO",RESUMEN_7°!F41,"")</f>
        <v/>
      </c>
      <c r="D42" s="148" t="str">
        <f>IF(RESUMEN_7°!S41="✓ APROBADO",RESUMEN_7°!R41,"")</f>
        <v/>
      </c>
      <c r="E42" s="148" t="str">
        <f>IF(RESUMEN_7°!S41="✓ APROBADO",IFERROR(ROUND(AVERAGE(RESUMEN_7°!F41,RESUMEN_7°!R41),1),""),"")</f>
        <v/>
      </c>
    </row>
    <row r="43" spans="1:12" ht="13.95" customHeight="1">
      <c r="A43" s="125" t="str">
        <f>IF(RESUMEN_7°!S42="✓ APROBADO",38,"")</f>
        <v/>
      </c>
      <c r="B43" s="117" t="str">
        <f>IF(RESUMEN_7°!S42="✓ APROBADO",RESUMEN_7°!B42,"")</f>
        <v/>
      </c>
      <c r="C43" s="125" t="str">
        <f>IF(RESUMEN_7°!S42="✓ APROBADO",RESUMEN_7°!F42,"")</f>
        <v/>
      </c>
      <c r="D43" s="125" t="str">
        <f>IF(RESUMEN_7°!S42="✓ APROBADO",RESUMEN_7°!R42,"")</f>
        <v/>
      </c>
      <c r="E43" s="125" t="str">
        <f>IF(RESUMEN_7°!S42="✓ APROBADO",IFERROR(ROUND(AVERAGE(RESUMEN_7°!F42,RESUMEN_7°!R42),1),""),"")</f>
        <v/>
      </c>
    </row>
    <row r="44" spans="1:12" ht="13.95" customHeight="1">
      <c r="A44" s="148" t="str">
        <f>IF(RESUMEN_7°!S43="✓ APROBADO",39,"")</f>
        <v/>
      </c>
      <c r="B44" s="149" t="str">
        <f>IF(RESUMEN_7°!S43="✓ APROBADO",RESUMEN_7°!B43,"")</f>
        <v/>
      </c>
      <c r="C44" s="148" t="str">
        <f>IF(RESUMEN_7°!S43="✓ APROBADO",RESUMEN_7°!F43,"")</f>
        <v/>
      </c>
      <c r="D44" s="148" t="str">
        <f>IF(RESUMEN_7°!S43="✓ APROBADO",RESUMEN_7°!R43,"")</f>
        <v/>
      </c>
      <c r="E44" s="148" t="str">
        <f>IF(RESUMEN_7°!S43="✓ APROBADO",IFERROR(ROUND(AVERAGE(RESUMEN_7°!F43,RESUMEN_7°!R43),1),""),"")</f>
        <v/>
      </c>
    </row>
    <row r="45" spans="1:12" ht="13.95" customHeight="1">
      <c r="A45" s="125" t="str">
        <f>IF(RESUMEN_7°!S44="✓ APROBADO",40,"")</f>
        <v/>
      </c>
      <c r="B45" s="117" t="str">
        <f>IF(RESUMEN_7°!S44="✓ APROBADO",RESUMEN_7°!B44,"")</f>
        <v/>
      </c>
      <c r="C45" s="125" t="str">
        <f>IF(RESUMEN_7°!S44="✓ APROBADO",RESUMEN_7°!F44,"")</f>
        <v/>
      </c>
      <c r="D45" s="125" t="str">
        <f>IF(RESUMEN_7°!S44="✓ APROBADO",RESUMEN_7°!R44,"")</f>
        <v/>
      </c>
      <c r="E45" s="125" t="str">
        <f>IF(RESUMEN_7°!S44="✓ APROBADO",IFERROR(ROUND(AVERAGE(RESUMEN_7°!F44,RESUMEN_7°!R44),1),""),"")</f>
        <v/>
      </c>
    </row>
    <row r="46" spans="1:12" ht="18" customHeight="1">
      <c r="A46" s="208" t="s">
        <v>77</v>
      </c>
      <c r="B46" s="166"/>
      <c r="C46" s="150">
        <f>COUNTIF(RESUMEN_7°!S5:'RESUMEN_7°'!S44,"✓ APROBADO")</f>
        <v>0</v>
      </c>
      <c r="D46" s="129"/>
      <c r="E46" s="129"/>
    </row>
    <row r="48" spans="1:12" ht="19.95" customHeight="1">
      <c r="A48" s="210" t="s">
        <v>78</v>
      </c>
      <c r="B48" s="165"/>
      <c r="C48" s="165"/>
      <c r="D48" s="165"/>
      <c r="E48" s="165"/>
      <c r="F48" s="165"/>
      <c r="G48" s="165"/>
      <c r="H48" s="165"/>
      <c r="I48" s="165"/>
      <c r="J48" s="165"/>
      <c r="K48" s="165"/>
      <c r="L48" s="166"/>
    </row>
    <row r="49" spans="1:5" ht="18" customHeight="1">
      <c r="A49" s="151" t="s">
        <v>2</v>
      </c>
      <c r="B49" s="151" t="s">
        <v>3</v>
      </c>
      <c r="C49" s="151" t="s">
        <v>46</v>
      </c>
      <c r="D49" s="151" t="s">
        <v>47</v>
      </c>
      <c r="E49" s="151" t="s">
        <v>76</v>
      </c>
    </row>
    <row r="50" spans="1:5" ht="13.95" customHeight="1">
      <c r="A50" s="148" t="str">
        <f>IF(RESUMEN_8°!S5="✓ APROBADO",1,"")</f>
        <v/>
      </c>
      <c r="B50" s="149" t="str">
        <f>IF(RESUMEN_8°!S5="✓ APROBADO",RESUMEN_8°!B5,"")</f>
        <v/>
      </c>
      <c r="C50" s="148" t="str">
        <f>IF(RESUMEN_8°!S5="✓ APROBADO",RESUMEN_8°!F5,"")</f>
        <v/>
      </c>
      <c r="D50" s="148" t="str">
        <f>IF(RESUMEN_8°!S5="✓ APROBADO",RESUMEN_8°!R5,"")</f>
        <v/>
      </c>
      <c r="E50" s="148" t="str">
        <f>IF(RESUMEN_8°!S5="✓ APROBADO",IFERROR(ROUND(AVERAGE(RESUMEN_8°!F5,RESUMEN_8°!R5),1),""),"")</f>
        <v/>
      </c>
    </row>
    <row r="51" spans="1:5" ht="13.95" customHeight="1">
      <c r="A51" s="125" t="str">
        <f>IF(RESUMEN_8°!S6="✓ APROBADO",2,"")</f>
        <v/>
      </c>
      <c r="B51" s="117" t="str">
        <f>IF(RESUMEN_8°!S6="✓ APROBADO",RESUMEN_8°!B6,"")</f>
        <v/>
      </c>
      <c r="C51" s="125" t="str">
        <f>IF(RESUMEN_8°!S6="✓ APROBADO",RESUMEN_8°!F6,"")</f>
        <v/>
      </c>
      <c r="D51" s="125" t="str">
        <f>IF(RESUMEN_8°!S6="✓ APROBADO",RESUMEN_8°!R6,"")</f>
        <v/>
      </c>
      <c r="E51" s="125" t="str">
        <f>IF(RESUMEN_8°!S6="✓ APROBADO",IFERROR(ROUND(AVERAGE(RESUMEN_8°!F6,RESUMEN_8°!R6),1),""),"")</f>
        <v/>
      </c>
    </row>
    <row r="52" spans="1:5" ht="13.95" customHeight="1">
      <c r="A52" s="148" t="str">
        <f>IF(RESUMEN_8°!S7="✓ APROBADO",3,"")</f>
        <v/>
      </c>
      <c r="B52" s="149" t="str">
        <f>IF(RESUMEN_8°!S7="✓ APROBADO",RESUMEN_8°!B7,"")</f>
        <v/>
      </c>
      <c r="C52" s="148" t="str">
        <f>IF(RESUMEN_8°!S7="✓ APROBADO",RESUMEN_8°!F7,"")</f>
        <v/>
      </c>
      <c r="D52" s="148" t="str">
        <f>IF(RESUMEN_8°!S7="✓ APROBADO",RESUMEN_8°!R7,"")</f>
        <v/>
      </c>
      <c r="E52" s="148" t="str">
        <f>IF(RESUMEN_8°!S7="✓ APROBADO",IFERROR(ROUND(AVERAGE(RESUMEN_8°!F7,RESUMEN_8°!R7),1),""),"")</f>
        <v/>
      </c>
    </row>
    <row r="53" spans="1:5" ht="13.95" customHeight="1">
      <c r="A53" s="125" t="str">
        <f>IF(RESUMEN_8°!S8="✓ APROBADO",4,"")</f>
        <v/>
      </c>
      <c r="B53" s="117" t="str">
        <f>IF(RESUMEN_8°!S8="✓ APROBADO",RESUMEN_8°!B8,"")</f>
        <v/>
      </c>
      <c r="C53" s="125" t="str">
        <f>IF(RESUMEN_8°!S8="✓ APROBADO",RESUMEN_8°!F8,"")</f>
        <v/>
      </c>
      <c r="D53" s="125" t="str">
        <f>IF(RESUMEN_8°!S8="✓ APROBADO",RESUMEN_8°!R8,"")</f>
        <v/>
      </c>
      <c r="E53" s="125" t="str">
        <f>IF(RESUMEN_8°!S8="✓ APROBADO",IFERROR(ROUND(AVERAGE(RESUMEN_8°!F8,RESUMEN_8°!R8),1),""),"")</f>
        <v/>
      </c>
    </row>
    <row r="54" spans="1:5" ht="13.95" customHeight="1">
      <c r="A54" s="148" t="str">
        <f>IF(RESUMEN_8°!S9="✓ APROBADO",5,"")</f>
        <v/>
      </c>
      <c r="B54" s="149" t="str">
        <f>IF(RESUMEN_8°!S9="✓ APROBADO",RESUMEN_8°!B9,"")</f>
        <v/>
      </c>
      <c r="C54" s="148" t="str">
        <f>IF(RESUMEN_8°!S9="✓ APROBADO",RESUMEN_8°!F9,"")</f>
        <v/>
      </c>
      <c r="D54" s="148" t="str">
        <f>IF(RESUMEN_8°!S9="✓ APROBADO",RESUMEN_8°!R9,"")</f>
        <v/>
      </c>
      <c r="E54" s="148" t="str">
        <f>IF(RESUMEN_8°!S9="✓ APROBADO",IFERROR(ROUND(AVERAGE(RESUMEN_8°!F9,RESUMEN_8°!R9),1),""),"")</f>
        <v/>
      </c>
    </row>
    <row r="55" spans="1:5" ht="13.95" customHeight="1">
      <c r="A55" s="125" t="str">
        <f>IF(RESUMEN_8°!S10="✓ APROBADO",6,"")</f>
        <v/>
      </c>
      <c r="B55" s="117" t="str">
        <f>IF(RESUMEN_8°!S10="✓ APROBADO",RESUMEN_8°!B10,"")</f>
        <v/>
      </c>
      <c r="C55" s="125" t="str">
        <f>IF(RESUMEN_8°!S10="✓ APROBADO",RESUMEN_8°!F10,"")</f>
        <v/>
      </c>
      <c r="D55" s="125" t="str">
        <f>IF(RESUMEN_8°!S10="✓ APROBADO",RESUMEN_8°!R10,"")</f>
        <v/>
      </c>
      <c r="E55" s="125" t="str">
        <f>IF(RESUMEN_8°!S10="✓ APROBADO",IFERROR(ROUND(AVERAGE(RESUMEN_8°!F10,RESUMEN_8°!R10),1),""),"")</f>
        <v/>
      </c>
    </row>
    <row r="56" spans="1:5" ht="13.95" customHeight="1">
      <c r="A56" s="148" t="str">
        <f>IF(RESUMEN_8°!S11="✓ APROBADO",7,"")</f>
        <v/>
      </c>
      <c r="B56" s="149" t="str">
        <f>IF(RESUMEN_8°!S11="✓ APROBADO",RESUMEN_8°!B11,"")</f>
        <v/>
      </c>
      <c r="C56" s="148" t="str">
        <f>IF(RESUMEN_8°!S11="✓ APROBADO",RESUMEN_8°!F11,"")</f>
        <v/>
      </c>
      <c r="D56" s="148" t="str">
        <f>IF(RESUMEN_8°!S11="✓ APROBADO",RESUMEN_8°!R11,"")</f>
        <v/>
      </c>
      <c r="E56" s="148" t="str">
        <f>IF(RESUMEN_8°!S11="✓ APROBADO",IFERROR(ROUND(AVERAGE(RESUMEN_8°!F11,RESUMEN_8°!R11),1),""),"")</f>
        <v/>
      </c>
    </row>
    <row r="57" spans="1:5" ht="13.95" customHeight="1">
      <c r="A57" s="125" t="str">
        <f>IF(RESUMEN_8°!S12="✓ APROBADO",8,"")</f>
        <v/>
      </c>
      <c r="B57" s="117" t="str">
        <f>IF(RESUMEN_8°!S12="✓ APROBADO",RESUMEN_8°!B12,"")</f>
        <v/>
      </c>
      <c r="C57" s="125" t="str">
        <f>IF(RESUMEN_8°!S12="✓ APROBADO",RESUMEN_8°!F12,"")</f>
        <v/>
      </c>
      <c r="D57" s="125" t="str">
        <f>IF(RESUMEN_8°!S12="✓ APROBADO",RESUMEN_8°!R12,"")</f>
        <v/>
      </c>
      <c r="E57" s="125" t="str">
        <f>IF(RESUMEN_8°!S12="✓ APROBADO",IFERROR(ROUND(AVERAGE(RESUMEN_8°!F12,RESUMEN_8°!R12),1),""),"")</f>
        <v/>
      </c>
    </row>
    <row r="58" spans="1:5" ht="13.95" customHeight="1">
      <c r="A58" s="148" t="str">
        <f>IF(RESUMEN_8°!S13="✓ APROBADO",9,"")</f>
        <v/>
      </c>
      <c r="B58" s="149" t="str">
        <f>IF(RESUMEN_8°!S13="✓ APROBADO",RESUMEN_8°!B13,"")</f>
        <v/>
      </c>
      <c r="C58" s="148" t="str">
        <f>IF(RESUMEN_8°!S13="✓ APROBADO",RESUMEN_8°!F13,"")</f>
        <v/>
      </c>
      <c r="D58" s="148" t="str">
        <f>IF(RESUMEN_8°!S13="✓ APROBADO",RESUMEN_8°!R13,"")</f>
        <v/>
      </c>
      <c r="E58" s="148" t="str">
        <f>IF(RESUMEN_8°!S13="✓ APROBADO",IFERROR(ROUND(AVERAGE(RESUMEN_8°!F13,RESUMEN_8°!R13),1),""),"")</f>
        <v/>
      </c>
    </row>
    <row r="59" spans="1:5" ht="13.95" customHeight="1">
      <c r="A59" s="125" t="str">
        <f>IF(RESUMEN_8°!S14="✓ APROBADO",10,"")</f>
        <v/>
      </c>
      <c r="B59" s="117" t="str">
        <f>IF(RESUMEN_8°!S14="✓ APROBADO",RESUMEN_8°!B14,"")</f>
        <v/>
      </c>
      <c r="C59" s="125" t="str">
        <f>IF(RESUMEN_8°!S14="✓ APROBADO",RESUMEN_8°!F14,"")</f>
        <v/>
      </c>
      <c r="D59" s="125" t="str">
        <f>IF(RESUMEN_8°!S14="✓ APROBADO",RESUMEN_8°!R14,"")</f>
        <v/>
      </c>
      <c r="E59" s="125" t="str">
        <f>IF(RESUMEN_8°!S14="✓ APROBADO",IFERROR(ROUND(AVERAGE(RESUMEN_8°!F14,RESUMEN_8°!R14),1),""),"")</f>
        <v/>
      </c>
    </row>
    <row r="60" spans="1:5" ht="13.95" customHeight="1">
      <c r="A60" s="148" t="str">
        <f>IF(RESUMEN_8°!S15="✓ APROBADO",11,"")</f>
        <v/>
      </c>
      <c r="B60" s="149" t="str">
        <f>IF(RESUMEN_8°!S15="✓ APROBADO",RESUMEN_8°!B15,"")</f>
        <v/>
      </c>
      <c r="C60" s="148" t="str">
        <f>IF(RESUMEN_8°!S15="✓ APROBADO",RESUMEN_8°!F15,"")</f>
        <v/>
      </c>
      <c r="D60" s="148" t="str">
        <f>IF(RESUMEN_8°!S15="✓ APROBADO",RESUMEN_8°!R15,"")</f>
        <v/>
      </c>
      <c r="E60" s="148" t="str">
        <f>IF(RESUMEN_8°!S15="✓ APROBADO",IFERROR(ROUND(AVERAGE(RESUMEN_8°!F15,RESUMEN_8°!R15),1),""),"")</f>
        <v/>
      </c>
    </row>
    <row r="61" spans="1:5" ht="13.95" customHeight="1">
      <c r="A61" s="125" t="str">
        <f>IF(RESUMEN_8°!S16="✓ APROBADO",12,"")</f>
        <v/>
      </c>
      <c r="B61" s="117" t="str">
        <f>IF(RESUMEN_8°!S16="✓ APROBADO",RESUMEN_8°!B16,"")</f>
        <v/>
      </c>
      <c r="C61" s="125" t="str">
        <f>IF(RESUMEN_8°!S16="✓ APROBADO",RESUMEN_8°!F16,"")</f>
        <v/>
      </c>
      <c r="D61" s="125" t="str">
        <f>IF(RESUMEN_8°!S16="✓ APROBADO",RESUMEN_8°!R16,"")</f>
        <v/>
      </c>
      <c r="E61" s="125" t="str">
        <f>IF(RESUMEN_8°!S16="✓ APROBADO",IFERROR(ROUND(AVERAGE(RESUMEN_8°!F16,RESUMEN_8°!R16),1),""),"")</f>
        <v/>
      </c>
    </row>
    <row r="62" spans="1:5" ht="13.95" customHeight="1">
      <c r="A62" s="148" t="str">
        <f>IF(RESUMEN_8°!S17="✓ APROBADO",13,"")</f>
        <v/>
      </c>
      <c r="B62" s="149" t="str">
        <f>IF(RESUMEN_8°!S17="✓ APROBADO",RESUMEN_8°!B17,"")</f>
        <v/>
      </c>
      <c r="C62" s="148" t="str">
        <f>IF(RESUMEN_8°!S17="✓ APROBADO",RESUMEN_8°!F17,"")</f>
        <v/>
      </c>
      <c r="D62" s="148" t="str">
        <f>IF(RESUMEN_8°!S17="✓ APROBADO",RESUMEN_8°!R17,"")</f>
        <v/>
      </c>
      <c r="E62" s="148" t="str">
        <f>IF(RESUMEN_8°!S17="✓ APROBADO",IFERROR(ROUND(AVERAGE(RESUMEN_8°!F17,RESUMEN_8°!R17),1),""),"")</f>
        <v/>
      </c>
    </row>
    <row r="63" spans="1:5" ht="13.95" customHeight="1">
      <c r="A63" s="125" t="str">
        <f>IF(RESUMEN_8°!S18="✓ APROBADO",14,"")</f>
        <v/>
      </c>
      <c r="B63" s="117" t="str">
        <f>IF(RESUMEN_8°!S18="✓ APROBADO",RESUMEN_8°!B18,"")</f>
        <v/>
      </c>
      <c r="C63" s="125" t="str">
        <f>IF(RESUMEN_8°!S18="✓ APROBADO",RESUMEN_8°!F18,"")</f>
        <v/>
      </c>
      <c r="D63" s="125" t="str">
        <f>IF(RESUMEN_8°!S18="✓ APROBADO",RESUMEN_8°!R18,"")</f>
        <v/>
      </c>
      <c r="E63" s="125" t="str">
        <f>IF(RESUMEN_8°!S18="✓ APROBADO",IFERROR(ROUND(AVERAGE(RESUMEN_8°!F18,RESUMEN_8°!R18),1),""),"")</f>
        <v/>
      </c>
    </row>
    <row r="64" spans="1:5" ht="13.95" customHeight="1">
      <c r="A64" s="148" t="str">
        <f>IF(RESUMEN_8°!S19="✓ APROBADO",15,"")</f>
        <v/>
      </c>
      <c r="B64" s="149" t="str">
        <f>IF(RESUMEN_8°!S19="✓ APROBADO",RESUMEN_8°!B19,"")</f>
        <v/>
      </c>
      <c r="C64" s="148" t="str">
        <f>IF(RESUMEN_8°!S19="✓ APROBADO",RESUMEN_8°!F19,"")</f>
        <v/>
      </c>
      <c r="D64" s="148" t="str">
        <f>IF(RESUMEN_8°!S19="✓ APROBADO",RESUMEN_8°!R19,"")</f>
        <v/>
      </c>
      <c r="E64" s="148" t="str">
        <f>IF(RESUMEN_8°!S19="✓ APROBADO",IFERROR(ROUND(AVERAGE(RESUMEN_8°!F19,RESUMEN_8°!R19),1),""),"")</f>
        <v/>
      </c>
    </row>
    <row r="65" spans="1:5" ht="13.95" customHeight="1">
      <c r="A65" s="125" t="str">
        <f>IF(RESUMEN_8°!S20="✓ APROBADO",16,"")</f>
        <v/>
      </c>
      <c r="B65" s="117" t="str">
        <f>IF(RESUMEN_8°!S20="✓ APROBADO",RESUMEN_8°!B20,"")</f>
        <v/>
      </c>
      <c r="C65" s="125" t="str">
        <f>IF(RESUMEN_8°!S20="✓ APROBADO",RESUMEN_8°!F20,"")</f>
        <v/>
      </c>
      <c r="D65" s="125" t="str">
        <f>IF(RESUMEN_8°!S20="✓ APROBADO",RESUMEN_8°!R20,"")</f>
        <v/>
      </c>
      <c r="E65" s="125" t="str">
        <f>IF(RESUMEN_8°!S20="✓ APROBADO",IFERROR(ROUND(AVERAGE(RESUMEN_8°!F20,RESUMEN_8°!R20),1),""),"")</f>
        <v/>
      </c>
    </row>
    <row r="66" spans="1:5" ht="13.95" customHeight="1">
      <c r="A66" s="148" t="str">
        <f>IF(RESUMEN_8°!S21="✓ APROBADO",17,"")</f>
        <v/>
      </c>
      <c r="B66" s="149" t="str">
        <f>IF(RESUMEN_8°!S21="✓ APROBADO",RESUMEN_8°!B21,"")</f>
        <v/>
      </c>
      <c r="C66" s="148" t="str">
        <f>IF(RESUMEN_8°!S21="✓ APROBADO",RESUMEN_8°!F21,"")</f>
        <v/>
      </c>
      <c r="D66" s="148" t="str">
        <f>IF(RESUMEN_8°!S21="✓ APROBADO",RESUMEN_8°!R21,"")</f>
        <v/>
      </c>
      <c r="E66" s="148" t="str">
        <f>IF(RESUMEN_8°!S21="✓ APROBADO",IFERROR(ROUND(AVERAGE(RESUMEN_8°!F21,RESUMEN_8°!R21),1),""),"")</f>
        <v/>
      </c>
    </row>
    <row r="67" spans="1:5" ht="13.95" customHeight="1">
      <c r="A67" s="125" t="str">
        <f>IF(RESUMEN_8°!S22="✓ APROBADO",18,"")</f>
        <v/>
      </c>
      <c r="B67" s="117" t="str">
        <f>IF(RESUMEN_8°!S22="✓ APROBADO",RESUMEN_8°!B22,"")</f>
        <v/>
      </c>
      <c r="C67" s="125" t="str">
        <f>IF(RESUMEN_8°!S22="✓ APROBADO",RESUMEN_8°!F22,"")</f>
        <v/>
      </c>
      <c r="D67" s="125" t="str">
        <f>IF(RESUMEN_8°!S22="✓ APROBADO",RESUMEN_8°!R22,"")</f>
        <v/>
      </c>
      <c r="E67" s="125" t="str">
        <f>IF(RESUMEN_8°!S22="✓ APROBADO",IFERROR(ROUND(AVERAGE(RESUMEN_8°!F22,RESUMEN_8°!R22),1),""),"")</f>
        <v/>
      </c>
    </row>
    <row r="68" spans="1:5" ht="13.95" customHeight="1">
      <c r="A68" s="148" t="str">
        <f>IF(RESUMEN_8°!S23="✓ APROBADO",19,"")</f>
        <v/>
      </c>
      <c r="B68" s="149" t="str">
        <f>IF(RESUMEN_8°!S23="✓ APROBADO",RESUMEN_8°!B23,"")</f>
        <v/>
      </c>
      <c r="C68" s="148" t="str">
        <f>IF(RESUMEN_8°!S23="✓ APROBADO",RESUMEN_8°!F23,"")</f>
        <v/>
      </c>
      <c r="D68" s="148" t="str">
        <f>IF(RESUMEN_8°!S23="✓ APROBADO",RESUMEN_8°!R23,"")</f>
        <v/>
      </c>
      <c r="E68" s="148" t="str">
        <f>IF(RESUMEN_8°!S23="✓ APROBADO",IFERROR(ROUND(AVERAGE(RESUMEN_8°!F23,RESUMEN_8°!R23),1),""),"")</f>
        <v/>
      </c>
    </row>
    <row r="69" spans="1:5" ht="13.95" customHeight="1">
      <c r="A69" s="125" t="str">
        <f>IF(RESUMEN_8°!S24="✓ APROBADO",20,"")</f>
        <v/>
      </c>
      <c r="B69" s="117" t="str">
        <f>IF(RESUMEN_8°!S24="✓ APROBADO",RESUMEN_8°!B24,"")</f>
        <v/>
      </c>
      <c r="C69" s="125" t="str">
        <f>IF(RESUMEN_8°!S24="✓ APROBADO",RESUMEN_8°!F24,"")</f>
        <v/>
      </c>
      <c r="D69" s="125" t="str">
        <f>IF(RESUMEN_8°!S24="✓ APROBADO",RESUMEN_8°!R24,"")</f>
        <v/>
      </c>
      <c r="E69" s="125" t="str">
        <f>IF(RESUMEN_8°!S24="✓ APROBADO",IFERROR(ROUND(AVERAGE(RESUMEN_8°!F24,RESUMEN_8°!R24),1),""),"")</f>
        <v/>
      </c>
    </row>
    <row r="70" spans="1:5" ht="13.95" customHeight="1">
      <c r="A70" s="148" t="str">
        <f>IF(RESUMEN_8°!S25="✓ APROBADO",21,"")</f>
        <v/>
      </c>
      <c r="B70" s="149" t="str">
        <f>IF(RESUMEN_8°!S25="✓ APROBADO",RESUMEN_8°!B25,"")</f>
        <v/>
      </c>
      <c r="C70" s="148" t="str">
        <f>IF(RESUMEN_8°!S25="✓ APROBADO",RESUMEN_8°!F25,"")</f>
        <v/>
      </c>
      <c r="D70" s="148" t="str">
        <f>IF(RESUMEN_8°!S25="✓ APROBADO",RESUMEN_8°!R25,"")</f>
        <v/>
      </c>
      <c r="E70" s="148" t="str">
        <f>IF(RESUMEN_8°!S25="✓ APROBADO",IFERROR(ROUND(AVERAGE(RESUMEN_8°!F25,RESUMEN_8°!R25),1),""),"")</f>
        <v/>
      </c>
    </row>
    <row r="71" spans="1:5" ht="13.95" customHeight="1">
      <c r="A71" s="125" t="str">
        <f>IF(RESUMEN_8°!S26="✓ APROBADO",22,"")</f>
        <v/>
      </c>
      <c r="B71" s="117" t="str">
        <f>IF(RESUMEN_8°!S26="✓ APROBADO",RESUMEN_8°!B26,"")</f>
        <v/>
      </c>
      <c r="C71" s="125" t="str">
        <f>IF(RESUMEN_8°!S26="✓ APROBADO",RESUMEN_8°!F26,"")</f>
        <v/>
      </c>
      <c r="D71" s="125" t="str">
        <f>IF(RESUMEN_8°!S26="✓ APROBADO",RESUMEN_8°!R26,"")</f>
        <v/>
      </c>
      <c r="E71" s="125" t="str">
        <f>IF(RESUMEN_8°!S26="✓ APROBADO",IFERROR(ROUND(AVERAGE(RESUMEN_8°!F26,RESUMEN_8°!R26),1),""),"")</f>
        <v/>
      </c>
    </row>
    <row r="72" spans="1:5" ht="13.95" customHeight="1">
      <c r="A72" s="148" t="str">
        <f>IF(RESUMEN_8°!S27="✓ APROBADO",23,"")</f>
        <v/>
      </c>
      <c r="B72" s="149" t="str">
        <f>IF(RESUMEN_8°!S27="✓ APROBADO",RESUMEN_8°!B27,"")</f>
        <v/>
      </c>
      <c r="C72" s="148" t="str">
        <f>IF(RESUMEN_8°!S27="✓ APROBADO",RESUMEN_8°!F27,"")</f>
        <v/>
      </c>
      <c r="D72" s="148" t="str">
        <f>IF(RESUMEN_8°!S27="✓ APROBADO",RESUMEN_8°!R27,"")</f>
        <v/>
      </c>
      <c r="E72" s="148" t="str">
        <f>IF(RESUMEN_8°!S27="✓ APROBADO",IFERROR(ROUND(AVERAGE(RESUMEN_8°!F27,RESUMEN_8°!R27),1),""),"")</f>
        <v/>
      </c>
    </row>
    <row r="73" spans="1:5" ht="13.95" customHeight="1">
      <c r="A73" s="125" t="str">
        <f>IF(RESUMEN_8°!S28="✓ APROBADO",24,"")</f>
        <v/>
      </c>
      <c r="B73" s="117" t="str">
        <f>IF(RESUMEN_8°!S28="✓ APROBADO",RESUMEN_8°!B28,"")</f>
        <v/>
      </c>
      <c r="C73" s="125" t="str">
        <f>IF(RESUMEN_8°!S28="✓ APROBADO",RESUMEN_8°!F28,"")</f>
        <v/>
      </c>
      <c r="D73" s="125" t="str">
        <f>IF(RESUMEN_8°!S28="✓ APROBADO",RESUMEN_8°!R28,"")</f>
        <v/>
      </c>
      <c r="E73" s="125" t="str">
        <f>IF(RESUMEN_8°!S28="✓ APROBADO",IFERROR(ROUND(AVERAGE(RESUMEN_8°!F28,RESUMEN_8°!R28),1),""),"")</f>
        <v/>
      </c>
    </row>
    <row r="74" spans="1:5" ht="13.95" customHeight="1">
      <c r="A74" s="148" t="str">
        <f>IF(RESUMEN_8°!S29="✓ APROBADO",25,"")</f>
        <v/>
      </c>
      <c r="B74" s="149" t="str">
        <f>IF(RESUMEN_8°!S29="✓ APROBADO",RESUMEN_8°!B29,"")</f>
        <v/>
      </c>
      <c r="C74" s="148" t="str">
        <f>IF(RESUMEN_8°!S29="✓ APROBADO",RESUMEN_8°!F29,"")</f>
        <v/>
      </c>
      <c r="D74" s="148" t="str">
        <f>IF(RESUMEN_8°!S29="✓ APROBADO",RESUMEN_8°!R29,"")</f>
        <v/>
      </c>
      <c r="E74" s="148" t="str">
        <f>IF(RESUMEN_8°!S29="✓ APROBADO",IFERROR(ROUND(AVERAGE(RESUMEN_8°!F29,RESUMEN_8°!R29),1),""),"")</f>
        <v/>
      </c>
    </row>
    <row r="75" spans="1:5" ht="13.95" customHeight="1">
      <c r="A75" s="125" t="str">
        <f>IF(RESUMEN_8°!S30="✓ APROBADO",26,"")</f>
        <v/>
      </c>
      <c r="B75" s="117" t="str">
        <f>IF(RESUMEN_8°!S30="✓ APROBADO",RESUMEN_8°!B30,"")</f>
        <v/>
      </c>
      <c r="C75" s="125" t="str">
        <f>IF(RESUMEN_8°!S30="✓ APROBADO",RESUMEN_8°!F30,"")</f>
        <v/>
      </c>
      <c r="D75" s="125" t="str">
        <f>IF(RESUMEN_8°!S30="✓ APROBADO",RESUMEN_8°!R30,"")</f>
        <v/>
      </c>
      <c r="E75" s="125" t="str">
        <f>IF(RESUMEN_8°!S30="✓ APROBADO",IFERROR(ROUND(AVERAGE(RESUMEN_8°!F30,RESUMEN_8°!R30),1),""),"")</f>
        <v/>
      </c>
    </row>
    <row r="76" spans="1:5" ht="13.95" customHeight="1">
      <c r="A76" s="148" t="str">
        <f>IF(RESUMEN_8°!S31="✓ APROBADO",27,"")</f>
        <v/>
      </c>
      <c r="B76" s="149" t="str">
        <f>IF(RESUMEN_8°!S31="✓ APROBADO",RESUMEN_8°!B31,"")</f>
        <v/>
      </c>
      <c r="C76" s="148" t="str">
        <f>IF(RESUMEN_8°!S31="✓ APROBADO",RESUMEN_8°!F31,"")</f>
        <v/>
      </c>
      <c r="D76" s="148" t="str">
        <f>IF(RESUMEN_8°!S31="✓ APROBADO",RESUMEN_8°!R31,"")</f>
        <v/>
      </c>
      <c r="E76" s="148" t="str">
        <f>IF(RESUMEN_8°!S31="✓ APROBADO",IFERROR(ROUND(AVERAGE(RESUMEN_8°!F31,RESUMEN_8°!R31),1),""),"")</f>
        <v/>
      </c>
    </row>
    <row r="77" spans="1:5" ht="13.95" customHeight="1">
      <c r="A77" s="125" t="str">
        <f>IF(RESUMEN_8°!S32="✓ APROBADO",28,"")</f>
        <v/>
      </c>
      <c r="B77" s="117" t="str">
        <f>IF(RESUMEN_8°!S32="✓ APROBADO",RESUMEN_8°!B32,"")</f>
        <v/>
      </c>
      <c r="C77" s="125" t="str">
        <f>IF(RESUMEN_8°!S32="✓ APROBADO",RESUMEN_8°!F32,"")</f>
        <v/>
      </c>
      <c r="D77" s="125" t="str">
        <f>IF(RESUMEN_8°!S32="✓ APROBADO",RESUMEN_8°!R32,"")</f>
        <v/>
      </c>
      <c r="E77" s="125" t="str">
        <f>IF(RESUMEN_8°!S32="✓ APROBADO",IFERROR(ROUND(AVERAGE(RESUMEN_8°!F32,RESUMEN_8°!R32),1),""),"")</f>
        <v/>
      </c>
    </row>
    <row r="78" spans="1:5" ht="13.95" customHeight="1">
      <c r="A78" s="148" t="str">
        <f>IF(RESUMEN_8°!S33="✓ APROBADO",29,"")</f>
        <v/>
      </c>
      <c r="B78" s="149" t="str">
        <f>IF(RESUMEN_8°!S33="✓ APROBADO",RESUMEN_8°!B33,"")</f>
        <v/>
      </c>
      <c r="C78" s="148" t="str">
        <f>IF(RESUMEN_8°!S33="✓ APROBADO",RESUMEN_8°!F33,"")</f>
        <v/>
      </c>
      <c r="D78" s="148" t="str">
        <f>IF(RESUMEN_8°!S33="✓ APROBADO",RESUMEN_8°!R33,"")</f>
        <v/>
      </c>
      <c r="E78" s="148" t="str">
        <f>IF(RESUMEN_8°!S33="✓ APROBADO",IFERROR(ROUND(AVERAGE(RESUMEN_8°!F33,RESUMEN_8°!R33),1),""),"")</f>
        <v/>
      </c>
    </row>
    <row r="79" spans="1:5" ht="13.95" customHeight="1">
      <c r="A79" s="125" t="str">
        <f>IF(RESUMEN_8°!S34="✓ APROBADO",30,"")</f>
        <v/>
      </c>
      <c r="B79" s="117" t="str">
        <f>IF(RESUMEN_8°!S34="✓ APROBADO",RESUMEN_8°!B34,"")</f>
        <v/>
      </c>
      <c r="C79" s="125" t="str">
        <f>IF(RESUMEN_8°!S34="✓ APROBADO",RESUMEN_8°!F34,"")</f>
        <v/>
      </c>
      <c r="D79" s="125" t="str">
        <f>IF(RESUMEN_8°!S34="✓ APROBADO",RESUMEN_8°!R34,"")</f>
        <v/>
      </c>
      <c r="E79" s="125" t="str">
        <f>IF(RESUMEN_8°!S34="✓ APROBADO",IFERROR(ROUND(AVERAGE(RESUMEN_8°!F34,RESUMEN_8°!R34),1),""),"")</f>
        <v/>
      </c>
    </row>
    <row r="80" spans="1:5" ht="13.95" customHeight="1">
      <c r="A80" s="148" t="str">
        <f>IF(RESUMEN_8°!S35="✓ APROBADO",31,"")</f>
        <v/>
      </c>
      <c r="B80" s="149" t="str">
        <f>IF(RESUMEN_8°!S35="✓ APROBADO",RESUMEN_8°!B35,"")</f>
        <v/>
      </c>
      <c r="C80" s="148" t="str">
        <f>IF(RESUMEN_8°!S35="✓ APROBADO",RESUMEN_8°!F35,"")</f>
        <v/>
      </c>
      <c r="D80" s="148" t="str">
        <f>IF(RESUMEN_8°!S35="✓ APROBADO",RESUMEN_8°!R35,"")</f>
        <v/>
      </c>
      <c r="E80" s="148" t="str">
        <f>IF(RESUMEN_8°!S35="✓ APROBADO",IFERROR(ROUND(AVERAGE(RESUMEN_8°!F35,RESUMEN_8°!R35),1),""),"")</f>
        <v/>
      </c>
    </row>
    <row r="81" spans="1:12" ht="13.95" customHeight="1">
      <c r="A81" s="125" t="str">
        <f>IF(RESUMEN_8°!S36="✓ APROBADO",32,"")</f>
        <v/>
      </c>
      <c r="B81" s="117" t="str">
        <f>IF(RESUMEN_8°!S36="✓ APROBADO",RESUMEN_8°!B36,"")</f>
        <v/>
      </c>
      <c r="C81" s="125" t="str">
        <f>IF(RESUMEN_8°!S36="✓ APROBADO",RESUMEN_8°!F36,"")</f>
        <v/>
      </c>
      <c r="D81" s="125" t="str">
        <f>IF(RESUMEN_8°!S36="✓ APROBADO",RESUMEN_8°!R36,"")</f>
        <v/>
      </c>
      <c r="E81" s="125" t="str">
        <f>IF(RESUMEN_8°!S36="✓ APROBADO",IFERROR(ROUND(AVERAGE(RESUMEN_8°!F36,RESUMEN_8°!R36),1),""),"")</f>
        <v/>
      </c>
    </row>
    <row r="82" spans="1:12" ht="13.95" customHeight="1">
      <c r="A82" s="148" t="str">
        <f>IF(RESUMEN_8°!S37="✓ APROBADO",33,"")</f>
        <v/>
      </c>
      <c r="B82" s="149" t="str">
        <f>IF(RESUMEN_8°!S37="✓ APROBADO",RESUMEN_8°!B37,"")</f>
        <v/>
      </c>
      <c r="C82" s="148" t="str">
        <f>IF(RESUMEN_8°!S37="✓ APROBADO",RESUMEN_8°!F37,"")</f>
        <v/>
      </c>
      <c r="D82" s="148" t="str">
        <f>IF(RESUMEN_8°!S37="✓ APROBADO",RESUMEN_8°!R37,"")</f>
        <v/>
      </c>
      <c r="E82" s="148" t="str">
        <f>IF(RESUMEN_8°!S37="✓ APROBADO",IFERROR(ROUND(AVERAGE(RESUMEN_8°!F37,RESUMEN_8°!R37),1),""),"")</f>
        <v/>
      </c>
    </row>
    <row r="83" spans="1:12" ht="13.95" customHeight="1">
      <c r="A83" s="125" t="str">
        <f>IF(RESUMEN_8°!S38="✓ APROBADO",34,"")</f>
        <v/>
      </c>
      <c r="B83" s="117" t="str">
        <f>IF(RESUMEN_8°!S38="✓ APROBADO",RESUMEN_8°!B38,"")</f>
        <v/>
      </c>
      <c r="C83" s="125" t="str">
        <f>IF(RESUMEN_8°!S38="✓ APROBADO",RESUMEN_8°!F38,"")</f>
        <v/>
      </c>
      <c r="D83" s="125" t="str">
        <f>IF(RESUMEN_8°!S38="✓ APROBADO",RESUMEN_8°!R38,"")</f>
        <v/>
      </c>
      <c r="E83" s="125" t="str">
        <f>IF(RESUMEN_8°!S38="✓ APROBADO",IFERROR(ROUND(AVERAGE(RESUMEN_8°!F38,RESUMEN_8°!R38),1),""),"")</f>
        <v/>
      </c>
    </row>
    <row r="84" spans="1:12" ht="13.95" customHeight="1">
      <c r="A84" s="148" t="str">
        <f>IF(RESUMEN_8°!S39="✓ APROBADO",35,"")</f>
        <v/>
      </c>
      <c r="B84" s="149" t="str">
        <f>IF(RESUMEN_8°!S39="✓ APROBADO",RESUMEN_8°!B39,"")</f>
        <v/>
      </c>
      <c r="C84" s="148" t="str">
        <f>IF(RESUMEN_8°!S39="✓ APROBADO",RESUMEN_8°!F39,"")</f>
        <v/>
      </c>
      <c r="D84" s="148" t="str">
        <f>IF(RESUMEN_8°!S39="✓ APROBADO",RESUMEN_8°!R39,"")</f>
        <v/>
      </c>
      <c r="E84" s="148" t="str">
        <f>IF(RESUMEN_8°!S39="✓ APROBADO",IFERROR(ROUND(AVERAGE(RESUMEN_8°!F39,RESUMEN_8°!R39),1),""),"")</f>
        <v/>
      </c>
    </row>
    <row r="85" spans="1:12" ht="13.95" customHeight="1">
      <c r="A85" s="125" t="str">
        <f>IF(RESUMEN_8°!S40="✓ APROBADO",36,"")</f>
        <v/>
      </c>
      <c r="B85" s="117" t="str">
        <f>IF(RESUMEN_8°!S40="✓ APROBADO",RESUMEN_8°!B40,"")</f>
        <v/>
      </c>
      <c r="C85" s="125" t="str">
        <f>IF(RESUMEN_8°!S40="✓ APROBADO",RESUMEN_8°!F40,"")</f>
        <v/>
      </c>
      <c r="D85" s="125" t="str">
        <f>IF(RESUMEN_8°!S40="✓ APROBADO",RESUMEN_8°!R40,"")</f>
        <v/>
      </c>
      <c r="E85" s="125" t="str">
        <f>IF(RESUMEN_8°!S40="✓ APROBADO",IFERROR(ROUND(AVERAGE(RESUMEN_8°!F40,RESUMEN_8°!R40),1),""),"")</f>
        <v/>
      </c>
    </row>
    <row r="86" spans="1:12" ht="13.95" customHeight="1">
      <c r="A86" s="148" t="str">
        <f>IF(RESUMEN_8°!S41="✓ APROBADO",37,"")</f>
        <v/>
      </c>
      <c r="B86" s="149" t="str">
        <f>IF(RESUMEN_8°!S41="✓ APROBADO",RESUMEN_8°!B41,"")</f>
        <v/>
      </c>
      <c r="C86" s="148" t="str">
        <f>IF(RESUMEN_8°!S41="✓ APROBADO",RESUMEN_8°!F41,"")</f>
        <v/>
      </c>
      <c r="D86" s="148" t="str">
        <f>IF(RESUMEN_8°!S41="✓ APROBADO",RESUMEN_8°!R41,"")</f>
        <v/>
      </c>
      <c r="E86" s="148" t="str">
        <f>IF(RESUMEN_8°!S41="✓ APROBADO",IFERROR(ROUND(AVERAGE(RESUMEN_8°!F41,RESUMEN_8°!R41),1),""),"")</f>
        <v/>
      </c>
    </row>
    <row r="87" spans="1:12" ht="13.95" customHeight="1">
      <c r="A87" s="125" t="str">
        <f>IF(RESUMEN_8°!S42="✓ APROBADO",38,"")</f>
        <v/>
      </c>
      <c r="B87" s="117" t="str">
        <f>IF(RESUMEN_8°!S42="✓ APROBADO",RESUMEN_8°!B42,"")</f>
        <v/>
      </c>
      <c r="C87" s="125" t="str">
        <f>IF(RESUMEN_8°!S42="✓ APROBADO",RESUMEN_8°!F42,"")</f>
        <v/>
      </c>
      <c r="D87" s="125" t="str">
        <f>IF(RESUMEN_8°!S42="✓ APROBADO",RESUMEN_8°!R42,"")</f>
        <v/>
      </c>
      <c r="E87" s="125" t="str">
        <f>IF(RESUMEN_8°!S42="✓ APROBADO",IFERROR(ROUND(AVERAGE(RESUMEN_8°!F42,RESUMEN_8°!R42),1),""),"")</f>
        <v/>
      </c>
    </row>
    <row r="88" spans="1:12" ht="13.95" customHeight="1">
      <c r="A88" s="148" t="str">
        <f>IF(RESUMEN_8°!S43="✓ APROBADO",39,"")</f>
        <v/>
      </c>
      <c r="B88" s="149" t="str">
        <f>IF(RESUMEN_8°!S43="✓ APROBADO",RESUMEN_8°!B43,"")</f>
        <v/>
      </c>
      <c r="C88" s="148" t="str">
        <f>IF(RESUMEN_8°!S43="✓ APROBADO",RESUMEN_8°!F43,"")</f>
        <v/>
      </c>
      <c r="D88" s="148" t="str">
        <f>IF(RESUMEN_8°!S43="✓ APROBADO",RESUMEN_8°!R43,"")</f>
        <v/>
      </c>
      <c r="E88" s="148" t="str">
        <f>IF(RESUMEN_8°!S43="✓ APROBADO",IFERROR(ROUND(AVERAGE(RESUMEN_8°!F43,RESUMEN_8°!R43),1),""),"")</f>
        <v/>
      </c>
    </row>
    <row r="89" spans="1:12" ht="13.95" customHeight="1">
      <c r="A89" s="125" t="str">
        <f>IF(RESUMEN_8°!S44="✓ APROBADO",40,"")</f>
        <v/>
      </c>
      <c r="B89" s="117" t="str">
        <f>IF(RESUMEN_8°!S44="✓ APROBADO",RESUMEN_8°!B44,"")</f>
        <v/>
      </c>
      <c r="C89" s="125" t="str">
        <f>IF(RESUMEN_8°!S44="✓ APROBADO",RESUMEN_8°!F44,"")</f>
        <v/>
      </c>
      <c r="D89" s="125" t="str">
        <f>IF(RESUMEN_8°!S44="✓ APROBADO",RESUMEN_8°!R44,"")</f>
        <v/>
      </c>
      <c r="E89" s="125" t="str">
        <f>IF(RESUMEN_8°!S44="✓ APROBADO",IFERROR(ROUND(AVERAGE(RESUMEN_8°!F44,RESUMEN_8°!R44),1),""),"")</f>
        <v/>
      </c>
    </row>
    <row r="90" spans="1:12" ht="18" customHeight="1">
      <c r="A90" s="208" t="s">
        <v>79</v>
      </c>
      <c r="B90" s="166"/>
      <c r="C90" s="150">
        <f>COUNTIF(RESUMEN_8°!S5:'RESUMEN_8°'!S44,"✓ APROBADO")</f>
        <v>0</v>
      </c>
      <c r="D90" s="129"/>
      <c r="E90" s="129"/>
    </row>
    <row r="92" spans="1:12" ht="19.95" customHeight="1">
      <c r="A92" s="205" t="s">
        <v>80</v>
      </c>
      <c r="B92" s="165"/>
      <c r="C92" s="165"/>
      <c r="D92" s="165"/>
      <c r="E92" s="165"/>
      <c r="F92" s="165"/>
      <c r="G92" s="165"/>
      <c r="H92" s="165"/>
      <c r="I92" s="165"/>
      <c r="J92" s="165"/>
      <c r="K92" s="165"/>
      <c r="L92" s="166"/>
    </row>
    <row r="93" spans="1:12" ht="18" customHeight="1">
      <c r="A93" s="146" t="s">
        <v>2</v>
      </c>
      <c r="B93" s="146" t="s">
        <v>3</v>
      </c>
      <c r="C93" s="146" t="s">
        <v>46</v>
      </c>
      <c r="D93" s="146" t="s">
        <v>47</v>
      </c>
      <c r="E93" s="146" t="s">
        <v>76</v>
      </c>
    </row>
    <row r="94" spans="1:12" ht="13.95" customHeight="1">
      <c r="A94" s="148" t="str">
        <f>IF(RESUMEN_9°!W5="✓ APROBADO",1,"")</f>
        <v/>
      </c>
      <c r="B94" s="149" t="str">
        <f>IF(RESUMEN_9°!W5="✓ APROBADO",RESUMEN_9°!B5,"")</f>
        <v/>
      </c>
      <c r="C94" s="148" t="str">
        <f>IF(RESUMEN_9°!W5="✓ APROBADO",RESUMEN_9°!F5,"")</f>
        <v/>
      </c>
      <c r="D94" s="148" t="str">
        <f>IF(RESUMEN_9°!W5="✓ APROBADO",RESUMEN_9°!V5,"")</f>
        <v/>
      </c>
      <c r="E94" s="148" t="str">
        <f>IF(RESUMEN_9°!W5="✓ APROBADO",IFERROR(ROUND(AVERAGE(RESUMEN_9°!F5,RESUMEN_9°!V5),1),""),"")</f>
        <v/>
      </c>
    </row>
    <row r="95" spans="1:12" ht="13.95" customHeight="1">
      <c r="A95" s="125" t="str">
        <f>IF(RESUMEN_9°!W6="✓ APROBADO",2,"")</f>
        <v/>
      </c>
      <c r="B95" s="117" t="str">
        <f>IF(RESUMEN_9°!W6="✓ APROBADO",RESUMEN_9°!B6,"")</f>
        <v/>
      </c>
      <c r="C95" s="125" t="str">
        <f>IF(RESUMEN_9°!W6="✓ APROBADO",RESUMEN_9°!F6,"")</f>
        <v/>
      </c>
      <c r="D95" s="125" t="str">
        <f>IF(RESUMEN_9°!W6="✓ APROBADO",RESUMEN_9°!V6,"")</f>
        <v/>
      </c>
      <c r="E95" s="125" t="str">
        <f>IF(RESUMEN_9°!W6="✓ APROBADO",IFERROR(ROUND(AVERAGE(RESUMEN_9°!F6,RESUMEN_9°!V6),1),""),"")</f>
        <v/>
      </c>
    </row>
    <row r="96" spans="1:12" ht="13.95" customHeight="1">
      <c r="A96" s="148" t="str">
        <f>IF(RESUMEN_9°!W7="✓ APROBADO",3,"")</f>
        <v/>
      </c>
      <c r="B96" s="149" t="str">
        <f>IF(RESUMEN_9°!W7="✓ APROBADO",RESUMEN_9°!B7,"")</f>
        <v/>
      </c>
      <c r="C96" s="148" t="str">
        <f>IF(RESUMEN_9°!W7="✓ APROBADO",RESUMEN_9°!F7,"")</f>
        <v/>
      </c>
      <c r="D96" s="148" t="str">
        <f>IF(RESUMEN_9°!W7="✓ APROBADO",RESUMEN_9°!V7,"")</f>
        <v/>
      </c>
      <c r="E96" s="148" t="str">
        <f>IF(RESUMEN_9°!W7="✓ APROBADO",IFERROR(ROUND(AVERAGE(RESUMEN_9°!F7,RESUMEN_9°!V7),1),""),"")</f>
        <v/>
      </c>
    </row>
    <row r="97" spans="1:5" ht="13.95" customHeight="1">
      <c r="A97" s="125" t="str">
        <f>IF(RESUMEN_9°!W8="✓ APROBADO",4,"")</f>
        <v/>
      </c>
      <c r="B97" s="117" t="str">
        <f>IF(RESUMEN_9°!W8="✓ APROBADO",RESUMEN_9°!B8,"")</f>
        <v/>
      </c>
      <c r="C97" s="125" t="str">
        <f>IF(RESUMEN_9°!W8="✓ APROBADO",RESUMEN_9°!F8,"")</f>
        <v/>
      </c>
      <c r="D97" s="125" t="str">
        <f>IF(RESUMEN_9°!W8="✓ APROBADO",RESUMEN_9°!V8,"")</f>
        <v/>
      </c>
      <c r="E97" s="125" t="str">
        <f>IF(RESUMEN_9°!W8="✓ APROBADO",IFERROR(ROUND(AVERAGE(RESUMEN_9°!F8,RESUMEN_9°!V8),1),""),"")</f>
        <v/>
      </c>
    </row>
    <row r="98" spans="1:5" ht="13.95" customHeight="1">
      <c r="A98" s="148" t="str">
        <f>IF(RESUMEN_9°!W9="✓ APROBADO",5,"")</f>
        <v/>
      </c>
      <c r="B98" s="149" t="str">
        <f>IF(RESUMEN_9°!W9="✓ APROBADO",RESUMEN_9°!B9,"")</f>
        <v/>
      </c>
      <c r="C98" s="148" t="str">
        <f>IF(RESUMEN_9°!W9="✓ APROBADO",RESUMEN_9°!F9,"")</f>
        <v/>
      </c>
      <c r="D98" s="148" t="str">
        <f>IF(RESUMEN_9°!W9="✓ APROBADO",RESUMEN_9°!V9,"")</f>
        <v/>
      </c>
      <c r="E98" s="148" t="str">
        <f>IF(RESUMEN_9°!W9="✓ APROBADO",IFERROR(ROUND(AVERAGE(RESUMEN_9°!F9,RESUMEN_9°!V9),1),""),"")</f>
        <v/>
      </c>
    </row>
    <row r="99" spans="1:5" ht="13.95" customHeight="1">
      <c r="A99" s="125" t="str">
        <f>IF(RESUMEN_9°!W10="✓ APROBADO",6,"")</f>
        <v/>
      </c>
      <c r="B99" s="117" t="str">
        <f>IF(RESUMEN_9°!W10="✓ APROBADO",RESUMEN_9°!B10,"")</f>
        <v/>
      </c>
      <c r="C99" s="125" t="str">
        <f>IF(RESUMEN_9°!W10="✓ APROBADO",RESUMEN_9°!F10,"")</f>
        <v/>
      </c>
      <c r="D99" s="125" t="str">
        <f>IF(RESUMEN_9°!W10="✓ APROBADO",RESUMEN_9°!V10,"")</f>
        <v/>
      </c>
      <c r="E99" s="125" t="str">
        <f>IF(RESUMEN_9°!W10="✓ APROBADO",IFERROR(ROUND(AVERAGE(RESUMEN_9°!F10,RESUMEN_9°!V10),1),""),"")</f>
        <v/>
      </c>
    </row>
    <row r="100" spans="1:5" ht="13.95" customHeight="1">
      <c r="A100" s="148" t="str">
        <f>IF(RESUMEN_9°!W11="✓ APROBADO",7,"")</f>
        <v/>
      </c>
      <c r="B100" s="149" t="str">
        <f>IF(RESUMEN_9°!W11="✓ APROBADO",RESUMEN_9°!B11,"")</f>
        <v/>
      </c>
      <c r="C100" s="148" t="str">
        <f>IF(RESUMEN_9°!W11="✓ APROBADO",RESUMEN_9°!F11,"")</f>
        <v/>
      </c>
      <c r="D100" s="148" t="str">
        <f>IF(RESUMEN_9°!W11="✓ APROBADO",RESUMEN_9°!V11,"")</f>
        <v/>
      </c>
      <c r="E100" s="148" t="str">
        <f>IF(RESUMEN_9°!W11="✓ APROBADO",IFERROR(ROUND(AVERAGE(RESUMEN_9°!F11,RESUMEN_9°!V11),1),""),"")</f>
        <v/>
      </c>
    </row>
    <row r="101" spans="1:5" ht="13.95" customHeight="1">
      <c r="A101" s="125" t="str">
        <f>IF(RESUMEN_9°!W12="✓ APROBADO",8,"")</f>
        <v/>
      </c>
      <c r="B101" s="117" t="str">
        <f>IF(RESUMEN_9°!W12="✓ APROBADO",RESUMEN_9°!B12,"")</f>
        <v/>
      </c>
      <c r="C101" s="125" t="str">
        <f>IF(RESUMEN_9°!W12="✓ APROBADO",RESUMEN_9°!F12,"")</f>
        <v/>
      </c>
      <c r="D101" s="125" t="str">
        <f>IF(RESUMEN_9°!W12="✓ APROBADO",RESUMEN_9°!V12,"")</f>
        <v/>
      </c>
      <c r="E101" s="125" t="str">
        <f>IF(RESUMEN_9°!W12="✓ APROBADO",IFERROR(ROUND(AVERAGE(RESUMEN_9°!F12,RESUMEN_9°!V12),1),""),"")</f>
        <v/>
      </c>
    </row>
    <row r="102" spans="1:5" ht="13.95" customHeight="1">
      <c r="A102" s="148" t="str">
        <f>IF(RESUMEN_9°!W13="✓ APROBADO",9,"")</f>
        <v/>
      </c>
      <c r="B102" s="149" t="str">
        <f>IF(RESUMEN_9°!W13="✓ APROBADO",RESUMEN_9°!B13,"")</f>
        <v/>
      </c>
      <c r="C102" s="148" t="str">
        <f>IF(RESUMEN_9°!W13="✓ APROBADO",RESUMEN_9°!F13,"")</f>
        <v/>
      </c>
      <c r="D102" s="148" t="str">
        <f>IF(RESUMEN_9°!W13="✓ APROBADO",RESUMEN_9°!V13,"")</f>
        <v/>
      </c>
      <c r="E102" s="148" t="str">
        <f>IF(RESUMEN_9°!W13="✓ APROBADO",IFERROR(ROUND(AVERAGE(RESUMEN_9°!F13,RESUMEN_9°!V13),1),""),"")</f>
        <v/>
      </c>
    </row>
    <row r="103" spans="1:5" ht="13.95" customHeight="1">
      <c r="A103" s="125" t="str">
        <f>IF(RESUMEN_9°!W14="✓ APROBADO",10,"")</f>
        <v/>
      </c>
      <c r="B103" s="117" t="str">
        <f>IF(RESUMEN_9°!W14="✓ APROBADO",RESUMEN_9°!B14,"")</f>
        <v/>
      </c>
      <c r="C103" s="125" t="str">
        <f>IF(RESUMEN_9°!W14="✓ APROBADO",RESUMEN_9°!F14,"")</f>
        <v/>
      </c>
      <c r="D103" s="125" t="str">
        <f>IF(RESUMEN_9°!W14="✓ APROBADO",RESUMEN_9°!V14,"")</f>
        <v/>
      </c>
      <c r="E103" s="125" t="str">
        <f>IF(RESUMEN_9°!W14="✓ APROBADO",IFERROR(ROUND(AVERAGE(RESUMEN_9°!F14,RESUMEN_9°!V14),1),""),"")</f>
        <v/>
      </c>
    </row>
    <row r="104" spans="1:5" ht="13.95" customHeight="1">
      <c r="A104" s="148" t="str">
        <f>IF(RESUMEN_9°!W15="✓ APROBADO",11,"")</f>
        <v/>
      </c>
      <c r="B104" s="149" t="str">
        <f>IF(RESUMEN_9°!W15="✓ APROBADO",RESUMEN_9°!B15,"")</f>
        <v/>
      </c>
      <c r="C104" s="148" t="str">
        <f>IF(RESUMEN_9°!W15="✓ APROBADO",RESUMEN_9°!F15,"")</f>
        <v/>
      </c>
      <c r="D104" s="148" t="str">
        <f>IF(RESUMEN_9°!W15="✓ APROBADO",RESUMEN_9°!V15,"")</f>
        <v/>
      </c>
      <c r="E104" s="148" t="str">
        <f>IF(RESUMEN_9°!W15="✓ APROBADO",IFERROR(ROUND(AVERAGE(RESUMEN_9°!F15,RESUMEN_9°!V15),1),""),"")</f>
        <v/>
      </c>
    </row>
    <row r="105" spans="1:5" ht="13.95" customHeight="1">
      <c r="A105" s="125" t="str">
        <f>IF(RESUMEN_9°!W16="✓ APROBADO",12,"")</f>
        <v/>
      </c>
      <c r="B105" s="117" t="str">
        <f>IF(RESUMEN_9°!W16="✓ APROBADO",RESUMEN_9°!B16,"")</f>
        <v/>
      </c>
      <c r="C105" s="125" t="str">
        <f>IF(RESUMEN_9°!W16="✓ APROBADO",RESUMEN_9°!F16,"")</f>
        <v/>
      </c>
      <c r="D105" s="125" t="str">
        <f>IF(RESUMEN_9°!W16="✓ APROBADO",RESUMEN_9°!V16,"")</f>
        <v/>
      </c>
      <c r="E105" s="125" t="str">
        <f>IF(RESUMEN_9°!W16="✓ APROBADO",IFERROR(ROUND(AVERAGE(RESUMEN_9°!F16,RESUMEN_9°!V16),1),""),"")</f>
        <v/>
      </c>
    </row>
    <row r="106" spans="1:5" ht="13.95" customHeight="1">
      <c r="A106" s="148" t="str">
        <f>IF(RESUMEN_9°!W17="✓ APROBADO",13,"")</f>
        <v/>
      </c>
      <c r="B106" s="149" t="str">
        <f>IF(RESUMEN_9°!W17="✓ APROBADO",RESUMEN_9°!B17,"")</f>
        <v/>
      </c>
      <c r="C106" s="148" t="str">
        <f>IF(RESUMEN_9°!W17="✓ APROBADO",RESUMEN_9°!F17,"")</f>
        <v/>
      </c>
      <c r="D106" s="148" t="str">
        <f>IF(RESUMEN_9°!W17="✓ APROBADO",RESUMEN_9°!V17,"")</f>
        <v/>
      </c>
      <c r="E106" s="148" t="str">
        <f>IF(RESUMEN_9°!W17="✓ APROBADO",IFERROR(ROUND(AVERAGE(RESUMEN_9°!F17,RESUMEN_9°!V17),1),""),"")</f>
        <v/>
      </c>
    </row>
    <row r="107" spans="1:5" ht="13.95" customHeight="1">
      <c r="A107" s="125" t="str">
        <f>IF(RESUMEN_9°!W18="✓ APROBADO",14,"")</f>
        <v/>
      </c>
      <c r="B107" s="117" t="str">
        <f>IF(RESUMEN_9°!W18="✓ APROBADO",RESUMEN_9°!B18,"")</f>
        <v/>
      </c>
      <c r="C107" s="125" t="str">
        <f>IF(RESUMEN_9°!W18="✓ APROBADO",RESUMEN_9°!F18,"")</f>
        <v/>
      </c>
      <c r="D107" s="125" t="str">
        <f>IF(RESUMEN_9°!W18="✓ APROBADO",RESUMEN_9°!V18,"")</f>
        <v/>
      </c>
      <c r="E107" s="125" t="str">
        <f>IF(RESUMEN_9°!W18="✓ APROBADO",IFERROR(ROUND(AVERAGE(RESUMEN_9°!F18,RESUMEN_9°!V18),1),""),"")</f>
        <v/>
      </c>
    </row>
    <row r="108" spans="1:5" ht="13.95" customHeight="1">
      <c r="A108" s="148" t="str">
        <f>IF(RESUMEN_9°!W19="✓ APROBADO",15,"")</f>
        <v/>
      </c>
      <c r="B108" s="149" t="str">
        <f>IF(RESUMEN_9°!W19="✓ APROBADO",RESUMEN_9°!B19,"")</f>
        <v/>
      </c>
      <c r="C108" s="148" t="str">
        <f>IF(RESUMEN_9°!W19="✓ APROBADO",RESUMEN_9°!F19,"")</f>
        <v/>
      </c>
      <c r="D108" s="148" t="str">
        <f>IF(RESUMEN_9°!W19="✓ APROBADO",RESUMEN_9°!V19,"")</f>
        <v/>
      </c>
      <c r="E108" s="148" t="str">
        <f>IF(RESUMEN_9°!W19="✓ APROBADO",IFERROR(ROUND(AVERAGE(RESUMEN_9°!F19,RESUMEN_9°!V19),1),""),"")</f>
        <v/>
      </c>
    </row>
    <row r="109" spans="1:5" ht="13.95" customHeight="1">
      <c r="A109" s="125" t="str">
        <f>IF(RESUMEN_9°!W20="✓ APROBADO",16,"")</f>
        <v/>
      </c>
      <c r="B109" s="117" t="str">
        <f>IF(RESUMEN_9°!W20="✓ APROBADO",RESUMEN_9°!B20,"")</f>
        <v/>
      </c>
      <c r="C109" s="125" t="str">
        <f>IF(RESUMEN_9°!W20="✓ APROBADO",RESUMEN_9°!F20,"")</f>
        <v/>
      </c>
      <c r="D109" s="125" t="str">
        <f>IF(RESUMEN_9°!W20="✓ APROBADO",RESUMEN_9°!V20,"")</f>
        <v/>
      </c>
      <c r="E109" s="125" t="str">
        <f>IF(RESUMEN_9°!W20="✓ APROBADO",IFERROR(ROUND(AVERAGE(RESUMEN_9°!F20,RESUMEN_9°!V20),1),""),"")</f>
        <v/>
      </c>
    </row>
    <row r="110" spans="1:5" ht="13.95" customHeight="1">
      <c r="A110" s="148" t="str">
        <f>IF(RESUMEN_9°!W21="✓ APROBADO",17,"")</f>
        <v/>
      </c>
      <c r="B110" s="149" t="str">
        <f>IF(RESUMEN_9°!W21="✓ APROBADO",RESUMEN_9°!B21,"")</f>
        <v/>
      </c>
      <c r="C110" s="148" t="str">
        <f>IF(RESUMEN_9°!W21="✓ APROBADO",RESUMEN_9°!F21,"")</f>
        <v/>
      </c>
      <c r="D110" s="148" t="str">
        <f>IF(RESUMEN_9°!W21="✓ APROBADO",RESUMEN_9°!V21,"")</f>
        <v/>
      </c>
      <c r="E110" s="148" t="str">
        <f>IF(RESUMEN_9°!W21="✓ APROBADO",IFERROR(ROUND(AVERAGE(RESUMEN_9°!F21,RESUMEN_9°!V21),1),""),"")</f>
        <v/>
      </c>
    </row>
    <row r="111" spans="1:5" ht="13.95" customHeight="1">
      <c r="A111" s="125" t="str">
        <f>IF(RESUMEN_9°!W22="✓ APROBADO",18,"")</f>
        <v/>
      </c>
      <c r="B111" s="117" t="str">
        <f>IF(RESUMEN_9°!W22="✓ APROBADO",RESUMEN_9°!B22,"")</f>
        <v/>
      </c>
      <c r="C111" s="125" t="str">
        <f>IF(RESUMEN_9°!W22="✓ APROBADO",RESUMEN_9°!F22,"")</f>
        <v/>
      </c>
      <c r="D111" s="125" t="str">
        <f>IF(RESUMEN_9°!W22="✓ APROBADO",RESUMEN_9°!V22,"")</f>
        <v/>
      </c>
      <c r="E111" s="125" t="str">
        <f>IF(RESUMEN_9°!W22="✓ APROBADO",IFERROR(ROUND(AVERAGE(RESUMEN_9°!F22,RESUMEN_9°!V22),1),""),"")</f>
        <v/>
      </c>
    </row>
    <row r="112" spans="1:5" ht="13.95" customHeight="1">
      <c r="A112" s="148" t="str">
        <f>IF(RESUMEN_9°!W23="✓ APROBADO",19,"")</f>
        <v/>
      </c>
      <c r="B112" s="149" t="str">
        <f>IF(RESUMEN_9°!W23="✓ APROBADO",RESUMEN_9°!B23,"")</f>
        <v/>
      </c>
      <c r="C112" s="148" t="str">
        <f>IF(RESUMEN_9°!W23="✓ APROBADO",RESUMEN_9°!F23,"")</f>
        <v/>
      </c>
      <c r="D112" s="148" t="str">
        <f>IF(RESUMEN_9°!W23="✓ APROBADO",RESUMEN_9°!V23,"")</f>
        <v/>
      </c>
      <c r="E112" s="148" t="str">
        <f>IF(RESUMEN_9°!W23="✓ APROBADO",IFERROR(ROUND(AVERAGE(RESUMEN_9°!F23,RESUMEN_9°!V23),1),""),"")</f>
        <v/>
      </c>
    </row>
    <row r="113" spans="1:5" ht="13.95" customHeight="1">
      <c r="A113" s="125" t="str">
        <f>IF(RESUMEN_9°!W24="✓ APROBADO",20,"")</f>
        <v/>
      </c>
      <c r="B113" s="117" t="str">
        <f>IF(RESUMEN_9°!W24="✓ APROBADO",RESUMEN_9°!B24,"")</f>
        <v/>
      </c>
      <c r="C113" s="125" t="str">
        <f>IF(RESUMEN_9°!W24="✓ APROBADO",RESUMEN_9°!F24,"")</f>
        <v/>
      </c>
      <c r="D113" s="125" t="str">
        <f>IF(RESUMEN_9°!W24="✓ APROBADO",RESUMEN_9°!V24,"")</f>
        <v/>
      </c>
      <c r="E113" s="125" t="str">
        <f>IF(RESUMEN_9°!W24="✓ APROBADO",IFERROR(ROUND(AVERAGE(RESUMEN_9°!F24,RESUMEN_9°!V24),1),""),"")</f>
        <v/>
      </c>
    </row>
    <row r="114" spans="1:5" ht="13.95" customHeight="1">
      <c r="A114" s="148" t="str">
        <f>IF(RESUMEN_9°!W25="✓ APROBADO",21,"")</f>
        <v/>
      </c>
      <c r="B114" s="149" t="str">
        <f>IF(RESUMEN_9°!W25="✓ APROBADO",RESUMEN_9°!B25,"")</f>
        <v/>
      </c>
      <c r="C114" s="148" t="str">
        <f>IF(RESUMEN_9°!W25="✓ APROBADO",RESUMEN_9°!F25,"")</f>
        <v/>
      </c>
      <c r="D114" s="148" t="str">
        <f>IF(RESUMEN_9°!W25="✓ APROBADO",RESUMEN_9°!V25,"")</f>
        <v/>
      </c>
      <c r="E114" s="148" t="str">
        <f>IF(RESUMEN_9°!W25="✓ APROBADO",IFERROR(ROUND(AVERAGE(RESUMEN_9°!F25,RESUMEN_9°!V25),1),""),"")</f>
        <v/>
      </c>
    </row>
    <row r="115" spans="1:5" ht="13.95" customHeight="1">
      <c r="A115" s="125" t="str">
        <f>IF(RESUMEN_9°!W26="✓ APROBADO",22,"")</f>
        <v/>
      </c>
      <c r="B115" s="117" t="str">
        <f>IF(RESUMEN_9°!W26="✓ APROBADO",RESUMEN_9°!B26,"")</f>
        <v/>
      </c>
      <c r="C115" s="125" t="str">
        <f>IF(RESUMEN_9°!W26="✓ APROBADO",RESUMEN_9°!F26,"")</f>
        <v/>
      </c>
      <c r="D115" s="125" t="str">
        <f>IF(RESUMEN_9°!W26="✓ APROBADO",RESUMEN_9°!V26,"")</f>
        <v/>
      </c>
      <c r="E115" s="125" t="str">
        <f>IF(RESUMEN_9°!W26="✓ APROBADO",IFERROR(ROUND(AVERAGE(RESUMEN_9°!F26,RESUMEN_9°!V26),1),""),"")</f>
        <v/>
      </c>
    </row>
    <row r="116" spans="1:5" ht="13.95" customHeight="1">
      <c r="A116" s="148" t="str">
        <f>IF(RESUMEN_9°!W27="✓ APROBADO",23,"")</f>
        <v/>
      </c>
      <c r="B116" s="149" t="str">
        <f>IF(RESUMEN_9°!W27="✓ APROBADO",RESUMEN_9°!B27,"")</f>
        <v/>
      </c>
      <c r="C116" s="148" t="str">
        <f>IF(RESUMEN_9°!W27="✓ APROBADO",RESUMEN_9°!F27,"")</f>
        <v/>
      </c>
      <c r="D116" s="148" t="str">
        <f>IF(RESUMEN_9°!W27="✓ APROBADO",RESUMEN_9°!V27,"")</f>
        <v/>
      </c>
      <c r="E116" s="148" t="str">
        <f>IF(RESUMEN_9°!W27="✓ APROBADO",IFERROR(ROUND(AVERAGE(RESUMEN_9°!F27,RESUMEN_9°!V27),1),""),"")</f>
        <v/>
      </c>
    </row>
    <row r="117" spans="1:5" ht="13.95" customHeight="1">
      <c r="A117" s="125" t="str">
        <f>IF(RESUMEN_9°!W28="✓ APROBADO",24,"")</f>
        <v/>
      </c>
      <c r="B117" s="117" t="str">
        <f>IF(RESUMEN_9°!W28="✓ APROBADO",RESUMEN_9°!B28,"")</f>
        <v/>
      </c>
      <c r="C117" s="125" t="str">
        <f>IF(RESUMEN_9°!W28="✓ APROBADO",RESUMEN_9°!F28,"")</f>
        <v/>
      </c>
      <c r="D117" s="125" t="str">
        <f>IF(RESUMEN_9°!W28="✓ APROBADO",RESUMEN_9°!V28,"")</f>
        <v/>
      </c>
      <c r="E117" s="125" t="str">
        <f>IF(RESUMEN_9°!W28="✓ APROBADO",IFERROR(ROUND(AVERAGE(RESUMEN_9°!F28,RESUMEN_9°!V28),1),""),"")</f>
        <v/>
      </c>
    </row>
    <row r="118" spans="1:5" ht="13.95" customHeight="1">
      <c r="A118" s="148" t="str">
        <f>IF(RESUMEN_9°!W29="✓ APROBADO",25,"")</f>
        <v/>
      </c>
      <c r="B118" s="149" t="str">
        <f>IF(RESUMEN_9°!W29="✓ APROBADO",RESUMEN_9°!B29,"")</f>
        <v/>
      </c>
      <c r="C118" s="148" t="str">
        <f>IF(RESUMEN_9°!W29="✓ APROBADO",RESUMEN_9°!F29,"")</f>
        <v/>
      </c>
      <c r="D118" s="148" t="str">
        <f>IF(RESUMEN_9°!W29="✓ APROBADO",RESUMEN_9°!V29,"")</f>
        <v/>
      </c>
      <c r="E118" s="148" t="str">
        <f>IF(RESUMEN_9°!W29="✓ APROBADO",IFERROR(ROUND(AVERAGE(RESUMEN_9°!F29,RESUMEN_9°!V29),1),""),"")</f>
        <v/>
      </c>
    </row>
    <row r="119" spans="1:5" ht="13.95" customHeight="1">
      <c r="A119" s="125" t="str">
        <f>IF(RESUMEN_9°!W30="✓ APROBADO",26,"")</f>
        <v/>
      </c>
      <c r="B119" s="117" t="str">
        <f>IF(RESUMEN_9°!W30="✓ APROBADO",RESUMEN_9°!B30,"")</f>
        <v/>
      </c>
      <c r="C119" s="125" t="str">
        <f>IF(RESUMEN_9°!W30="✓ APROBADO",RESUMEN_9°!F30,"")</f>
        <v/>
      </c>
      <c r="D119" s="125" t="str">
        <f>IF(RESUMEN_9°!W30="✓ APROBADO",RESUMEN_9°!V30,"")</f>
        <v/>
      </c>
      <c r="E119" s="125" t="str">
        <f>IF(RESUMEN_9°!W30="✓ APROBADO",IFERROR(ROUND(AVERAGE(RESUMEN_9°!F30,RESUMEN_9°!V30),1),""),"")</f>
        <v/>
      </c>
    </row>
    <row r="120" spans="1:5" ht="13.95" customHeight="1">
      <c r="A120" s="148" t="str">
        <f>IF(RESUMEN_9°!W31="✓ APROBADO",27,"")</f>
        <v/>
      </c>
      <c r="B120" s="149" t="str">
        <f>IF(RESUMEN_9°!W31="✓ APROBADO",RESUMEN_9°!B31,"")</f>
        <v/>
      </c>
      <c r="C120" s="148" t="str">
        <f>IF(RESUMEN_9°!W31="✓ APROBADO",RESUMEN_9°!F31,"")</f>
        <v/>
      </c>
      <c r="D120" s="148" t="str">
        <f>IF(RESUMEN_9°!W31="✓ APROBADO",RESUMEN_9°!V31,"")</f>
        <v/>
      </c>
      <c r="E120" s="148" t="str">
        <f>IF(RESUMEN_9°!W31="✓ APROBADO",IFERROR(ROUND(AVERAGE(RESUMEN_9°!F31,RESUMEN_9°!V31),1),""),"")</f>
        <v/>
      </c>
    </row>
    <row r="121" spans="1:5" ht="13.95" customHeight="1">
      <c r="A121" s="125" t="str">
        <f>IF(RESUMEN_9°!W32="✓ APROBADO",28,"")</f>
        <v/>
      </c>
      <c r="B121" s="117" t="str">
        <f>IF(RESUMEN_9°!W32="✓ APROBADO",RESUMEN_9°!B32,"")</f>
        <v/>
      </c>
      <c r="C121" s="125" t="str">
        <f>IF(RESUMEN_9°!W32="✓ APROBADO",RESUMEN_9°!F32,"")</f>
        <v/>
      </c>
      <c r="D121" s="125" t="str">
        <f>IF(RESUMEN_9°!W32="✓ APROBADO",RESUMEN_9°!V32,"")</f>
        <v/>
      </c>
      <c r="E121" s="125" t="str">
        <f>IF(RESUMEN_9°!W32="✓ APROBADO",IFERROR(ROUND(AVERAGE(RESUMEN_9°!F32,RESUMEN_9°!V32),1),""),"")</f>
        <v/>
      </c>
    </row>
    <row r="122" spans="1:5" ht="13.95" customHeight="1">
      <c r="A122" s="148" t="str">
        <f>IF(RESUMEN_9°!W33="✓ APROBADO",29,"")</f>
        <v/>
      </c>
      <c r="B122" s="149" t="str">
        <f>IF(RESUMEN_9°!W33="✓ APROBADO",RESUMEN_9°!B33,"")</f>
        <v/>
      </c>
      <c r="C122" s="148" t="str">
        <f>IF(RESUMEN_9°!W33="✓ APROBADO",RESUMEN_9°!F33,"")</f>
        <v/>
      </c>
      <c r="D122" s="148" t="str">
        <f>IF(RESUMEN_9°!W33="✓ APROBADO",RESUMEN_9°!V33,"")</f>
        <v/>
      </c>
      <c r="E122" s="148" t="str">
        <f>IF(RESUMEN_9°!W33="✓ APROBADO",IFERROR(ROUND(AVERAGE(RESUMEN_9°!F33,RESUMEN_9°!V33),1),""),"")</f>
        <v/>
      </c>
    </row>
    <row r="123" spans="1:5" ht="13.95" customHeight="1">
      <c r="A123" s="125" t="str">
        <f>IF(RESUMEN_9°!W34="✓ APROBADO",30,"")</f>
        <v/>
      </c>
      <c r="B123" s="117" t="str">
        <f>IF(RESUMEN_9°!W34="✓ APROBADO",RESUMEN_9°!B34,"")</f>
        <v/>
      </c>
      <c r="C123" s="125" t="str">
        <f>IF(RESUMEN_9°!W34="✓ APROBADO",RESUMEN_9°!F34,"")</f>
        <v/>
      </c>
      <c r="D123" s="125" t="str">
        <f>IF(RESUMEN_9°!W34="✓ APROBADO",RESUMEN_9°!V34,"")</f>
        <v/>
      </c>
      <c r="E123" s="125" t="str">
        <f>IF(RESUMEN_9°!W34="✓ APROBADO",IFERROR(ROUND(AVERAGE(RESUMEN_9°!F34,RESUMEN_9°!V34),1),""),"")</f>
        <v/>
      </c>
    </row>
    <row r="124" spans="1:5" ht="13.95" customHeight="1">
      <c r="A124" s="148" t="str">
        <f>IF(RESUMEN_9°!W35="✓ APROBADO",31,"")</f>
        <v/>
      </c>
      <c r="B124" s="149" t="str">
        <f>IF(RESUMEN_9°!W35="✓ APROBADO",RESUMEN_9°!B35,"")</f>
        <v/>
      </c>
      <c r="C124" s="148" t="str">
        <f>IF(RESUMEN_9°!W35="✓ APROBADO",RESUMEN_9°!F35,"")</f>
        <v/>
      </c>
      <c r="D124" s="148" t="str">
        <f>IF(RESUMEN_9°!W35="✓ APROBADO",RESUMEN_9°!V35,"")</f>
        <v/>
      </c>
      <c r="E124" s="148" t="str">
        <f>IF(RESUMEN_9°!W35="✓ APROBADO",IFERROR(ROUND(AVERAGE(RESUMEN_9°!F35,RESUMEN_9°!V35),1),""),"")</f>
        <v/>
      </c>
    </row>
    <row r="125" spans="1:5" ht="13.95" customHeight="1">
      <c r="A125" s="125" t="str">
        <f>IF(RESUMEN_9°!W36="✓ APROBADO",32,"")</f>
        <v/>
      </c>
      <c r="B125" s="117" t="str">
        <f>IF(RESUMEN_9°!W36="✓ APROBADO",RESUMEN_9°!B36,"")</f>
        <v/>
      </c>
      <c r="C125" s="125" t="str">
        <f>IF(RESUMEN_9°!W36="✓ APROBADO",RESUMEN_9°!F36,"")</f>
        <v/>
      </c>
      <c r="D125" s="125" t="str">
        <f>IF(RESUMEN_9°!W36="✓ APROBADO",RESUMEN_9°!V36,"")</f>
        <v/>
      </c>
      <c r="E125" s="125" t="str">
        <f>IF(RESUMEN_9°!W36="✓ APROBADO",IFERROR(ROUND(AVERAGE(RESUMEN_9°!F36,RESUMEN_9°!V36),1),""),"")</f>
        <v/>
      </c>
    </row>
    <row r="126" spans="1:5" ht="13.95" customHeight="1">
      <c r="A126" s="148" t="str">
        <f>IF(RESUMEN_9°!W37="✓ APROBADO",33,"")</f>
        <v/>
      </c>
      <c r="B126" s="149" t="str">
        <f>IF(RESUMEN_9°!W37="✓ APROBADO",RESUMEN_9°!B37,"")</f>
        <v/>
      </c>
      <c r="C126" s="148" t="str">
        <f>IF(RESUMEN_9°!W37="✓ APROBADO",RESUMEN_9°!F37,"")</f>
        <v/>
      </c>
      <c r="D126" s="148" t="str">
        <f>IF(RESUMEN_9°!W37="✓ APROBADO",RESUMEN_9°!V37,"")</f>
        <v/>
      </c>
      <c r="E126" s="148" t="str">
        <f>IF(RESUMEN_9°!W37="✓ APROBADO",IFERROR(ROUND(AVERAGE(RESUMEN_9°!F37,RESUMEN_9°!V37),1),""),"")</f>
        <v/>
      </c>
    </row>
    <row r="127" spans="1:5" ht="13.95" customHeight="1">
      <c r="A127" s="125" t="str">
        <f>IF(RESUMEN_9°!W38="✓ APROBADO",34,"")</f>
        <v/>
      </c>
      <c r="B127" s="117" t="str">
        <f>IF(RESUMEN_9°!W38="✓ APROBADO",RESUMEN_9°!B38,"")</f>
        <v/>
      </c>
      <c r="C127" s="125" t="str">
        <f>IF(RESUMEN_9°!W38="✓ APROBADO",RESUMEN_9°!F38,"")</f>
        <v/>
      </c>
      <c r="D127" s="125" t="str">
        <f>IF(RESUMEN_9°!W38="✓ APROBADO",RESUMEN_9°!V38,"")</f>
        <v/>
      </c>
      <c r="E127" s="125" t="str">
        <f>IF(RESUMEN_9°!W38="✓ APROBADO",IFERROR(ROUND(AVERAGE(RESUMEN_9°!F38,RESUMEN_9°!V38),1),""),"")</f>
        <v/>
      </c>
    </row>
    <row r="128" spans="1:5" ht="13.95" customHeight="1">
      <c r="A128" s="148" t="str">
        <f>IF(RESUMEN_9°!W39="✓ APROBADO",35,"")</f>
        <v/>
      </c>
      <c r="B128" s="149" t="str">
        <f>IF(RESUMEN_9°!W39="✓ APROBADO",RESUMEN_9°!B39,"")</f>
        <v/>
      </c>
      <c r="C128" s="148" t="str">
        <f>IF(RESUMEN_9°!W39="✓ APROBADO",RESUMEN_9°!F39,"")</f>
        <v/>
      </c>
      <c r="D128" s="148" t="str">
        <f>IF(RESUMEN_9°!W39="✓ APROBADO",RESUMEN_9°!V39,"")</f>
        <v/>
      </c>
      <c r="E128" s="148" t="str">
        <f>IF(RESUMEN_9°!W39="✓ APROBADO",IFERROR(ROUND(AVERAGE(RESUMEN_9°!F39,RESUMEN_9°!V39),1),""),"")</f>
        <v/>
      </c>
    </row>
    <row r="129" spans="1:5" ht="13.95" customHeight="1">
      <c r="A129" s="125" t="str">
        <f>IF(RESUMEN_9°!W40="✓ APROBADO",36,"")</f>
        <v/>
      </c>
      <c r="B129" s="117" t="str">
        <f>IF(RESUMEN_9°!W40="✓ APROBADO",RESUMEN_9°!B40,"")</f>
        <v/>
      </c>
      <c r="C129" s="125" t="str">
        <f>IF(RESUMEN_9°!W40="✓ APROBADO",RESUMEN_9°!F40,"")</f>
        <v/>
      </c>
      <c r="D129" s="125" t="str">
        <f>IF(RESUMEN_9°!W40="✓ APROBADO",RESUMEN_9°!V40,"")</f>
        <v/>
      </c>
      <c r="E129" s="125" t="str">
        <f>IF(RESUMEN_9°!W40="✓ APROBADO",IFERROR(ROUND(AVERAGE(RESUMEN_9°!F40,RESUMEN_9°!V40),1),""),"")</f>
        <v/>
      </c>
    </row>
    <row r="130" spans="1:5" ht="13.95" customHeight="1">
      <c r="A130" s="148" t="str">
        <f>IF(RESUMEN_9°!W41="✓ APROBADO",37,"")</f>
        <v/>
      </c>
      <c r="B130" s="149" t="str">
        <f>IF(RESUMEN_9°!W41="✓ APROBADO",RESUMEN_9°!B41,"")</f>
        <v/>
      </c>
      <c r="C130" s="148" t="str">
        <f>IF(RESUMEN_9°!W41="✓ APROBADO",RESUMEN_9°!F41,"")</f>
        <v/>
      </c>
      <c r="D130" s="148" t="str">
        <f>IF(RESUMEN_9°!W41="✓ APROBADO",RESUMEN_9°!V41,"")</f>
        <v/>
      </c>
      <c r="E130" s="148" t="str">
        <f>IF(RESUMEN_9°!W41="✓ APROBADO",IFERROR(ROUND(AVERAGE(RESUMEN_9°!F41,RESUMEN_9°!V41),1),""),"")</f>
        <v/>
      </c>
    </row>
    <row r="131" spans="1:5" ht="13.95" customHeight="1">
      <c r="A131" s="125" t="str">
        <f>IF(RESUMEN_9°!W42="✓ APROBADO",38,"")</f>
        <v/>
      </c>
      <c r="B131" s="117" t="str">
        <f>IF(RESUMEN_9°!W42="✓ APROBADO",RESUMEN_9°!B42,"")</f>
        <v/>
      </c>
      <c r="C131" s="125" t="str">
        <f>IF(RESUMEN_9°!W42="✓ APROBADO",RESUMEN_9°!F42,"")</f>
        <v/>
      </c>
      <c r="D131" s="125" t="str">
        <f>IF(RESUMEN_9°!W42="✓ APROBADO",RESUMEN_9°!V42,"")</f>
        <v/>
      </c>
      <c r="E131" s="125" t="str">
        <f>IF(RESUMEN_9°!W42="✓ APROBADO",IFERROR(ROUND(AVERAGE(RESUMEN_9°!F42,RESUMEN_9°!V42),1),""),"")</f>
        <v/>
      </c>
    </row>
    <row r="132" spans="1:5" ht="13.95" customHeight="1">
      <c r="A132" s="148" t="str">
        <f>IF(RESUMEN_9°!W43="✓ APROBADO",39,"")</f>
        <v/>
      </c>
      <c r="B132" s="149" t="str">
        <f>IF(RESUMEN_9°!W43="✓ APROBADO",RESUMEN_9°!B43,"")</f>
        <v/>
      </c>
      <c r="C132" s="148" t="str">
        <f>IF(RESUMEN_9°!W43="✓ APROBADO",RESUMEN_9°!F43,"")</f>
        <v/>
      </c>
      <c r="D132" s="148" t="str">
        <f>IF(RESUMEN_9°!W43="✓ APROBADO",RESUMEN_9°!V43,"")</f>
        <v/>
      </c>
      <c r="E132" s="148" t="str">
        <f>IF(RESUMEN_9°!W43="✓ APROBADO",IFERROR(ROUND(AVERAGE(RESUMEN_9°!F43,RESUMEN_9°!V43),1),""),"")</f>
        <v/>
      </c>
    </row>
    <row r="133" spans="1:5" ht="13.95" customHeight="1">
      <c r="A133" s="125" t="str">
        <f>IF(RESUMEN_9°!W44="✓ APROBADO",40,"")</f>
        <v/>
      </c>
      <c r="B133" s="117" t="str">
        <f>IF(RESUMEN_9°!W44="✓ APROBADO",RESUMEN_9°!B44,"")</f>
        <v/>
      </c>
      <c r="C133" s="125" t="str">
        <f>IF(RESUMEN_9°!W44="✓ APROBADO",RESUMEN_9°!F44,"")</f>
        <v/>
      </c>
      <c r="D133" s="125" t="str">
        <f>IF(RESUMEN_9°!W44="✓ APROBADO",RESUMEN_9°!V44,"")</f>
        <v/>
      </c>
      <c r="E133" s="125" t="str">
        <f>IF(RESUMEN_9°!W44="✓ APROBADO",IFERROR(ROUND(AVERAGE(RESUMEN_9°!F44,RESUMEN_9°!V44),1),""),"")</f>
        <v/>
      </c>
    </row>
    <row r="134" spans="1:5" ht="18" customHeight="1">
      <c r="A134" s="208" t="s">
        <v>81</v>
      </c>
      <c r="B134" s="166"/>
      <c r="C134" s="150">
        <f>COUNTIF(RESUMEN_9°!W5:'RESUMEN_9°'!W44,"✓ APROBADO")</f>
        <v>0</v>
      </c>
      <c r="D134" s="129"/>
      <c r="E134" s="129"/>
    </row>
  </sheetData>
  <mergeCells count="8">
    <mergeCell ref="A92:L92"/>
    <mergeCell ref="A2:L2"/>
    <mergeCell ref="A134:B134"/>
    <mergeCell ref="A90:B90"/>
    <mergeCell ref="A1:L1"/>
    <mergeCell ref="A46:B46"/>
    <mergeCell ref="A4:L4"/>
    <mergeCell ref="A48:L48"/>
  </mergeCells>
  <conditionalFormatting sqref="D1:E200">
    <cfRule type="cellIs" dxfId="21" priority="1" operator="lessThan">
      <formula>3</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5A11"/>
  </sheetPr>
  <dimension ref="A1:N29"/>
  <sheetViews>
    <sheetView workbookViewId="0">
      <pane ySplit="3" topLeftCell="A4" activePane="bottomLeft" state="frozen"/>
      <selection pane="bottomLeft" sqref="A1:N1"/>
    </sheetView>
  </sheetViews>
  <sheetFormatPr baseColWidth="10" defaultColWidth="8.88671875" defaultRowHeight="14.4"/>
  <cols>
    <col min="1" max="1" width="22" customWidth="1"/>
    <col min="2" max="4" width="14" customWidth="1"/>
    <col min="5" max="5" width="12" customWidth="1"/>
  </cols>
  <sheetData>
    <row r="1" spans="1:14" ht="25.95" customHeight="1">
      <c r="A1" s="205" t="s">
        <v>82</v>
      </c>
      <c r="B1" s="165"/>
      <c r="C1" s="165"/>
      <c r="D1" s="165"/>
      <c r="E1" s="165"/>
      <c r="F1" s="165"/>
      <c r="G1" s="165"/>
      <c r="H1" s="165"/>
      <c r="I1" s="165"/>
      <c r="J1" s="165"/>
      <c r="K1" s="165"/>
      <c r="L1" s="165"/>
      <c r="M1" s="165"/>
      <c r="N1" s="166"/>
    </row>
    <row r="2" spans="1:14" ht="16.05" customHeight="1">
      <c r="A2" s="213" t="s">
        <v>83</v>
      </c>
      <c r="B2" s="165"/>
      <c r="C2" s="165"/>
      <c r="D2" s="165"/>
      <c r="E2" s="165"/>
      <c r="F2" s="165"/>
      <c r="G2" s="165"/>
      <c r="H2" s="165"/>
      <c r="I2" s="165"/>
      <c r="J2" s="165"/>
      <c r="K2" s="165"/>
      <c r="L2" s="165"/>
      <c r="M2" s="165"/>
      <c r="N2" s="166"/>
    </row>
    <row r="4" spans="1:14" ht="19.95" customHeight="1">
      <c r="A4" s="201" t="s">
        <v>84</v>
      </c>
      <c r="B4" s="165"/>
      <c r="C4" s="165"/>
      <c r="D4" s="165"/>
      <c r="E4" s="165"/>
      <c r="F4" s="165"/>
      <c r="G4" s="165"/>
      <c r="H4" s="165"/>
      <c r="I4" s="165"/>
      <c r="J4" s="165"/>
      <c r="K4" s="165"/>
      <c r="L4" s="165"/>
      <c r="M4" s="165"/>
      <c r="N4" s="166"/>
    </row>
    <row r="5" spans="1:14" ht="18" customHeight="1">
      <c r="A5" s="113"/>
      <c r="B5" s="113" t="s">
        <v>26</v>
      </c>
      <c r="C5" s="113" t="s">
        <v>27</v>
      </c>
      <c r="D5" s="113" t="s">
        <v>28</v>
      </c>
      <c r="E5" s="113" t="s">
        <v>85</v>
      </c>
    </row>
    <row r="6" spans="1:14" ht="18" customHeight="1">
      <c r="A6" s="152" t="s">
        <v>36</v>
      </c>
      <c r="B6" s="153">
        <f>COUNTA(MAESTRO!B5:'MAESTRO'!B44)</f>
        <v>0</v>
      </c>
      <c r="C6" s="153">
        <f>COUNTA(MAESTRO!D5:'MAESTRO'!D44)</f>
        <v>0</v>
      </c>
      <c r="D6" s="153">
        <f>COUNTA(MAESTRO!F5:'MAESTRO'!F44)</f>
        <v>0</v>
      </c>
      <c r="E6" s="154">
        <f t="shared" ref="E6:E11" si="0">IFERROR(B6+C6+D6,"")</f>
        <v>0</v>
      </c>
    </row>
    <row r="7" spans="1:14" ht="18" customHeight="1">
      <c r="A7" s="155" t="s">
        <v>37</v>
      </c>
      <c r="B7" s="156">
        <f>COUNTIF(RESUMEN_7°!S5:'RESUMEN_7°'!S44,"✓ APROBADO")</f>
        <v>0</v>
      </c>
      <c r="C7" s="156">
        <f>COUNTIF(RESUMEN_8°!S5:'RESUMEN_8°'!S44,"✓ APROBADO")</f>
        <v>0</v>
      </c>
      <c r="D7" s="156">
        <f>COUNTIF(RESUMEN_9°!W5:'RESUMEN_9°'!W44,"✓ APROBADO")</f>
        <v>0</v>
      </c>
      <c r="E7" s="157">
        <f t="shared" si="0"/>
        <v>0</v>
      </c>
    </row>
    <row r="8" spans="1:14" ht="18" customHeight="1">
      <c r="A8" s="158" t="s">
        <v>38</v>
      </c>
      <c r="B8" s="159">
        <f>COUNTIF(RESUMEN_7°!S5:'RESUMEN_7°'!S44,"✗ REPROBADO")</f>
        <v>0</v>
      </c>
      <c r="C8" s="159">
        <f>COUNTIF(RESUMEN_8°!S5:'RESUMEN_8°'!S44,"✗ REPROBADO")</f>
        <v>0</v>
      </c>
      <c r="D8" s="159">
        <f>COUNTIF(RESUMEN_9°!W5:'RESUMEN_9°'!W44,"✗ REPROBADO")</f>
        <v>0</v>
      </c>
      <c r="E8" s="160">
        <f t="shared" si="0"/>
        <v>0</v>
      </c>
    </row>
    <row r="9" spans="1:14" ht="18" customHeight="1">
      <c r="A9" s="161" t="s">
        <v>86</v>
      </c>
      <c r="B9" s="162">
        <f>COUNTIF('Asistencia (7°)'!BI3:'Asistencia (7°)'!BI42,"&gt;5")</f>
        <v>0</v>
      </c>
      <c r="C9" s="162">
        <f>COUNTIF('Asistencia (8°)'!BI3:'Asistencia (8°)'!BI42,"&gt;5")</f>
        <v>0</v>
      </c>
      <c r="D9" s="162">
        <f>COUNTIF('Asistencia (9°)'!BI3:'Asistencia (9°)'!BI42,"&gt;5")</f>
        <v>0</v>
      </c>
      <c r="E9" s="163">
        <f t="shared" si="0"/>
        <v>0</v>
      </c>
    </row>
    <row r="10" spans="1:14" ht="18" customHeight="1">
      <c r="A10" s="152" t="s">
        <v>87</v>
      </c>
      <c r="B10" s="153" t="str">
        <f>IFERROR(ROUND(AVERAGEIF(RESUMEN_7°!F5:'RESUMEN_7°'!F44,"&lt;&gt;"&amp;""),1),"")</f>
        <v/>
      </c>
      <c r="C10" s="153" t="str">
        <f>IFERROR(ROUND(AVERAGEIF(RESUMEN_8°!F5:'RESUMEN_8°'!F44,"&lt;&gt;"&amp;""),1),"")</f>
        <v/>
      </c>
      <c r="D10" s="153" t="str">
        <f>IFERROR(ROUND(AVERAGEIF(RESUMEN_9°!F5:'RESUMEN_9°'!F44,"&lt;&gt;"&amp;""),1),"")</f>
        <v/>
      </c>
      <c r="E10" s="154" t="str">
        <f t="shared" si="0"/>
        <v/>
      </c>
    </row>
    <row r="11" spans="1:14" ht="18" customHeight="1">
      <c r="A11" s="152" t="s">
        <v>88</v>
      </c>
      <c r="B11" s="153" t="str">
        <f>IFERROR(ROUND(AVERAGEIF(RESUMEN_7°!R5:'RESUMEN_7°'!R44,"&lt;&gt;"&amp;""),1),"")</f>
        <v/>
      </c>
      <c r="C11" s="153" t="str">
        <f>IFERROR(ROUND(AVERAGEIF(RESUMEN_8°!R5:'RESUMEN_8°'!R44,"&lt;&gt;"&amp;""),1),"")</f>
        <v/>
      </c>
      <c r="D11" s="153" t="str">
        <f>IFERROR(ROUND(AVERAGEIF(RESUMEN_9°!V5:'RESUMEN_9°'!V44,"&lt;&gt;"&amp;""),1),"")</f>
        <v/>
      </c>
      <c r="E11" s="154" t="str">
        <f t="shared" si="0"/>
        <v/>
      </c>
    </row>
    <row r="14" spans="1:14" ht="18" customHeight="1">
      <c r="A14" s="201" t="s">
        <v>89</v>
      </c>
      <c r="B14" s="165"/>
      <c r="C14" s="165"/>
      <c r="D14" s="165"/>
      <c r="E14" s="165"/>
      <c r="F14" s="165"/>
      <c r="G14" s="165"/>
      <c r="H14" s="165"/>
      <c r="I14" s="165"/>
      <c r="J14" s="165"/>
      <c r="K14" s="165"/>
      <c r="L14" s="165"/>
      <c r="M14" s="165"/>
      <c r="N14" s="166"/>
    </row>
    <row r="15" spans="1:14" ht="18" customHeight="1">
      <c r="A15" s="212"/>
      <c r="B15" s="165"/>
      <c r="C15" s="165"/>
      <c r="D15" s="165"/>
      <c r="E15" s="165"/>
      <c r="F15" s="165"/>
      <c r="G15" s="165"/>
      <c r="H15" s="165"/>
      <c r="I15" s="165"/>
      <c r="J15" s="165"/>
      <c r="K15" s="165"/>
      <c r="L15" s="165"/>
      <c r="M15" s="165"/>
      <c r="N15" s="166"/>
    </row>
    <row r="16" spans="1:14" ht="18" customHeight="1">
      <c r="A16" s="211"/>
      <c r="B16" s="165"/>
      <c r="C16" s="165"/>
      <c r="D16" s="165"/>
      <c r="E16" s="165"/>
      <c r="F16" s="165"/>
      <c r="G16" s="165"/>
      <c r="H16" s="165"/>
      <c r="I16" s="165"/>
      <c r="J16" s="165"/>
      <c r="K16" s="165"/>
      <c r="L16" s="165"/>
      <c r="M16" s="165"/>
      <c r="N16" s="166"/>
    </row>
    <row r="17" spans="1:14" ht="18" customHeight="1">
      <c r="A17" s="212"/>
      <c r="B17" s="165"/>
      <c r="C17" s="165"/>
      <c r="D17" s="165"/>
      <c r="E17" s="165"/>
      <c r="F17" s="165"/>
      <c r="G17" s="165"/>
      <c r="H17" s="165"/>
      <c r="I17" s="165"/>
      <c r="J17" s="165"/>
      <c r="K17" s="165"/>
      <c r="L17" s="165"/>
      <c r="M17" s="165"/>
      <c r="N17" s="166"/>
    </row>
    <row r="18" spans="1:14" ht="18" customHeight="1">
      <c r="A18" s="211"/>
      <c r="B18" s="165"/>
      <c r="C18" s="165"/>
      <c r="D18" s="165"/>
      <c r="E18" s="165"/>
      <c r="F18" s="165"/>
      <c r="G18" s="165"/>
      <c r="H18" s="165"/>
      <c r="I18" s="165"/>
      <c r="J18" s="165"/>
      <c r="K18" s="165"/>
      <c r="L18" s="165"/>
      <c r="M18" s="165"/>
      <c r="N18" s="166"/>
    </row>
    <row r="19" spans="1:14" ht="18" customHeight="1">
      <c r="A19" s="212"/>
      <c r="B19" s="165"/>
      <c r="C19" s="165"/>
      <c r="D19" s="165"/>
      <c r="E19" s="165"/>
      <c r="F19" s="165"/>
      <c r="G19" s="165"/>
      <c r="H19" s="165"/>
      <c r="I19" s="165"/>
      <c r="J19" s="165"/>
      <c r="K19" s="165"/>
      <c r="L19" s="165"/>
      <c r="M19" s="165"/>
      <c r="N19" s="166"/>
    </row>
    <row r="20" spans="1:14" ht="18" customHeight="1">
      <c r="A20" s="211"/>
      <c r="B20" s="165"/>
      <c r="C20" s="165"/>
      <c r="D20" s="165"/>
      <c r="E20" s="165"/>
      <c r="F20" s="165"/>
      <c r="G20" s="165"/>
      <c r="H20" s="165"/>
      <c r="I20" s="165"/>
      <c r="J20" s="165"/>
      <c r="K20" s="165"/>
      <c r="L20" s="165"/>
      <c r="M20" s="165"/>
      <c r="N20" s="166"/>
    </row>
    <row r="21" spans="1:14" ht="18" customHeight="1">
      <c r="A21" s="212"/>
      <c r="B21" s="165"/>
      <c r="C21" s="165"/>
      <c r="D21" s="165"/>
      <c r="E21" s="165"/>
      <c r="F21" s="165"/>
      <c r="G21" s="165"/>
      <c r="H21" s="165"/>
      <c r="I21" s="165"/>
      <c r="J21" s="165"/>
      <c r="K21" s="165"/>
      <c r="L21" s="165"/>
      <c r="M21" s="165"/>
      <c r="N21" s="166"/>
    </row>
    <row r="22" spans="1:14" ht="18" customHeight="1">
      <c r="A22" s="211"/>
      <c r="B22" s="165"/>
      <c r="C22" s="165"/>
      <c r="D22" s="165"/>
      <c r="E22" s="165"/>
      <c r="F22" s="165"/>
      <c r="G22" s="165"/>
      <c r="H22" s="165"/>
      <c r="I22" s="165"/>
      <c r="J22" s="165"/>
      <c r="K22" s="165"/>
      <c r="L22" s="165"/>
      <c r="M22" s="165"/>
      <c r="N22" s="166"/>
    </row>
    <row r="23" spans="1:14" ht="18" customHeight="1">
      <c r="A23" s="212"/>
      <c r="B23" s="165"/>
      <c r="C23" s="165"/>
      <c r="D23" s="165"/>
      <c r="E23" s="165"/>
      <c r="F23" s="165"/>
      <c r="G23" s="165"/>
      <c r="H23" s="165"/>
      <c r="I23" s="165"/>
      <c r="J23" s="165"/>
      <c r="K23" s="165"/>
      <c r="L23" s="165"/>
      <c r="M23" s="165"/>
      <c r="N23" s="166"/>
    </row>
    <row r="24" spans="1:14" ht="18" customHeight="1">
      <c r="A24" s="211"/>
      <c r="B24" s="165"/>
      <c r="C24" s="165"/>
      <c r="D24" s="165"/>
      <c r="E24" s="165"/>
      <c r="F24" s="165"/>
      <c r="G24" s="165"/>
      <c r="H24" s="165"/>
      <c r="I24" s="165"/>
      <c r="J24" s="165"/>
      <c r="K24" s="165"/>
      <c r="L24" s="165"/>
      <c r="M24" s="165"/>
      <c r="N24" s="166"/>
    </row>
    <row r="25" spans="1:14" ht="18" customHeight="1">
      <c r="A25" s="212"/>
      <c r="B25" s="165"/>
      <c r="C25" s="165"/>
      <c r="D25" s="165"/>
      <c r="E25" s="165"/>
      <c r="F25" s="165"/>
      <c r="G25" s="165"/>
      <c r="H25" s="165"/>
      <c r="I25" s="165"/>
      <c r="J25" s="165"/>
      <c r="K25" s="165"/>
      <c r="L25" s="165"/>
      <c r="M25" s="165"/>
      <c r="N25" s="166"/>
    </row>
    <row r="26" spans="1:14" ht="18" customHeight="1">
      <c r="A26" s="211"/>
      <c r="B26" s="165"/>
      <c r="C26" s="165"/>
      <c r="D26" s="165"/>
      <c r="E26" s="165"/>
      <c r="F26" s="165"/>
      <c r="G26" s="165"/>
      <c r="H26" s="165"/>
      <c r="I26" s="165"/>
      <c r="J26" s="165"/>
      <c r="K26" s="165"/>
      <c r="L26" s="165"/>
      <c r="M26" s="165"/>
      <c r="N26" s="166"/>
    </row>
    <row r="27" spans="1:14" ht="18" customHeight="1">
      <c r="A27" s="212"/>
      <c r="B27" s="165"/>
      <c r="C27" s="165"/>
      <c r="D27" s="165"/>
      <c r="E27" s="165"/>
      <c r="F27" s="165"/>
      <c r="G27" s="165"/>
      <c r="H27" s="165"/>
      <c r="I27" s="165"/>
      <c r="J27" s="165"/>
      <c r="K27" s="165"/>
      <c r="L27" s="165"/>
      <c r="M27" s="165"/>
      <c r="N27" s="166"/>
    </row>
    <row r="28" spans="1:14" ht="18" customHeight="1">
      <c r="A28" s="211"/>
      <c r="B28" s="165"/>
      <c r="C28" s="165"/>
      <c r="D28" s="165"/>
      <c r="E28" s="165"/>
      <c r="F28" s="165"/>
      <c r="G28" s="165"/>
      <c r="H28" s="165"/>
      <c r="I28" s="165"/>
      <c r="J28" s="165"/>
      <c r="K28" s="165"/>
      <c r="L28" s="165"/>
      <c r="M28" s="165"/>
      <c r="N28" s="166"/>
    </row>
    <row r="29" spans="1:14" ht="18" customHeight="1">
      <c r="A29" s="212"/>
      <c r="B29" s="165"/>
      <c r="C29" s="165"/>
      <c r="D29" s="165"/>
      <c r="E29" s="165"/>
      <c r="F29" s="165"/>
      <c r="G29" s="165"/>
      <c r="H29" s="165"/>
      <c r="I29" s="165"/>
      <c r="J29" s="165"/>
      <c r="K29" s="165"/>
      <c r="L29" s="165"/>
      <c r="M29" s="165"/>
      <c r="N29" s="166"/>
    </row>
  </sheetData>
  <mergeCells count="19">
    <mergeCell ref="A29:N29"/>
    <mergeCell ref="A19:N19"/>
    <mergeCell ref="A28:N28"/>
    <mergeCell ref="A27:N27"/>
    <mergeCell ref="A26:N26"/>
    <mergeCell ref="A21:N21"/>
    <mergeCell ref="A2:N2"/>
    <mergeCell ref="A23:N23"/>
    <mergeCell ref="A14:N14"/>
    <mergeCell ref="A17:N17"/>
    <mergeCell ref="A22:N22"/>
    <mergeCell ref="A4:N4"/>
    <mergeCell ref="A20:N20"/>
    <mergeCell ref="A24:N24"/>
    <mergeCell ref="A15:N15"/>
    <mergeCell ref="A1:N1"/>
    <mergeCell ref="A16:N16"/>
    <mergeCell ref="A25:N25"/>
    <mergeCell ref="A18:N18"/>
  </mergeCells>
  <conditionalFormatting sqref="D1:E200">
    <cfRule type="cellIs" dxfId="20" priority="1" operator="lessThan">
      <formula>3</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7">
    <tabColor rgb="FF4472C4"/>
  </sheetPr>
  <dimension ref="A1:BL140"/>
  <sheetViews>
    <sheetView view="pageLayout" zoomScale="70" zoomScaleNormal="100" zoomScalePageLayoutView="70" workbookViewId="0">
      <selection activeCell="B3" sqref="B3"/>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27"/>
      <c r="B1" s="221" t="s">
        <v>90</v>
      </c>
      <c r="C1" s="217" t="s">
        <v>91</v>
      </c>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6"/>
      <c r="BI1" s="214" t="s">
        <v>92</v>
      </c>
      <c r="BJ1" s="216"/>
      <c r="BK1" s="218" t="s">
        <v>18</v>
      </c>
      <c r="BL1" s="223"/>
    </row>
    <row r="2" spans="1:64" ht="46.5" customHeight="1">
      <c r="A2" s="228"/>
      <c r="B2" s="219"/>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93</v>
      </c>
      <c r="BJ2" s="9" t="s">
        <v>94</v>
      </c>
      <c r="BK2" s="224"/>
      <c r="BL2" s="225"/>
    </row>
    <row r="3" spans="1:64" ht="15" customHeight="1">
      <c r="A3" s="1">
        <v>1</v>
      </c>
      <c r="B3" s="75">
        <f>MAESTRO!B5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MAESTRO!B6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MAESTRO!B7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MAESTRO!B8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MAESTRO!B9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MAESTRO!B10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MAESTRO!B11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MAESTRO!B12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MAESTRO!B13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MAESTRO!B14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MAESTRO!B15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MAESTRO!B16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MAESTRO!B17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MAESTRO!B18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MAESTRO!B19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MAESTRO!B20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MAESTRO!B21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MAESTRO!B22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MAESTRO!B23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MAESTRO!B24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MAESTRO!B25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MAESTRO!B26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MAESTRO!B27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MAESTRO!B28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MAESTRO!B29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MAESTRO!B30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MAESTRO!B31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MAESTRO!B32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MAESTRO!B33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MAESTRO!B34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MAESTRO!B35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MAESTRO!B36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MAESTRO!B37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MAESTRO!B38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MAESTRO!B39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MAESTRO!B40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MAESTRO!B41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MAESTRO!B42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MAESTRO!B43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MAESTRO!B44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22"/>
      <c r="B44" s="226" t="s">
        <v>90</v>
      </c>
      <c r="C44" s="217" t="s">
        <v>95</v>
      </c>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c r="AR44" s="215"/>
      <c r="AS44" s="215"/>
      <c r="AT44" s="215"/>
      <c r="AU44" s="215"/>
      <c r="AV44" s="215"/>
      <c r="AW44" s="215"/>
      <c r="AX44" s="215"/>
      <c r="AY44" s="215"/>
      <c r="AZ44" s="215"/>
      <c r="BA44" s="215"/>
      <c r="BB44" s="215"/>
      <c r="BC44" s="215"/>
      <c r="BD44" s="215"/>
      <c r="BE44" s="215"/>
      <c r="BF44" s="215"/>
      <c r="BG44" s="215"/>
      <c r="BH44" s="216"/>
      <c r="BI44" s="214" t="s">
        <v>96</v>
      </c>
      <c r="BJ44" s="216"/>
      <c r="BK44" s="218" t="s">
        <v>18</v>
      </c>
      <c r="BL44" s="77"/>
    </row>
    <row r="45" spans="1:64" ht="42.6" customHeight="1">
      <c r="A45" s="219"/>
      <c r="B45" s="219"/>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93</v>
      </c>
      <c r="BJ45" s="2" t="s">
        <v>94</v>
      </c>
      <c r="BK45" s="219"/>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97</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97</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97</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97</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97</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22"/>
      <c r="B89" s="226" t="s">
        <v>90</v>
      </c>
      <c r="C89" s="214" t="s">
        <v>98</v>
      </c>
      <c r="D89" s="215"/>
      <c r="E89" s="215"/>
      <c r="F89" s="215"/>
      <c r="G89" s="215"/>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5"/>
      <c r="AZ89" s="215"/>
      <c r="BA89" s="215"/>
      <c r="BB89" s="215"/>
      <c r="BC89" s="215"/>
      <c r="BD89" s="215"/>
      <c r="BE89" s="215"/>
      <c r="BF89" s="215"/>
      <c r="BG89" s="215"/>
      <c r="BH89" s="216"/>
      <c r="BI89" s="214" t="s">
        <v>99</v>
      </c>
      <c r="BJ89" s="216"/>
      <c r="BK89" s="218" t="s">
        <v>18</v>
      </c>
      <c r="BL89" s="77"/>
    </row>
    <row r="90" spans="1:64" ht="43.2" customHeight="1">
      <c r="A90" s="219"/>
      <c r="B90" s="219"/>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93</v>
      </c>
      <c r="BJ90" s="2" t="s">
        <v>94</v>
      </c>
      <c r="BK90" s="219"/>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20"/>
      <c r="BJ139" s="168"/>
      <c r="BK139" s="79"/>
      <c r="BL139" s="79"/>
    </row>
    <row r="140" spans="1:64" ht="21.75" customHeight="1">
      <c r="A140" s="87"/>
      <c r="B140" s="86"/>
      <c r="BI140" s="85"/>
      <c r="BJ140" s="85"/>
      <c r="BK140" s="79"/>
      <c r="BL140" s="79"/>
    </row>
  </sheetData>
  <mergeCells count="16">
    <mergeCell ref="BI1:BJ1"/>
    <mergeCell ref="B1:B2"/>
    <mergeCell ref="A89:A90"/>
    <mergeCell ref="A44:A45"/>
    <mergeCell ref="BK1:BL2"/>
    <mergeCell ref="B89:B90"/>
    <mergeCell ref="C1:BH1"/>
    <mergeCell ref="BI89:BJ89"/>
    <mergeCell ref="BI44:BJ44"/>
    <mergeCell ref="B44:B45"/>
    <mergeCell ref="A1:A2"/>
    <mergeCell ref="C89:BH89"/>
    <mergeCell ref="C44:BH44"/>
    <mergeCell ref="BK89:BK90"/>
    <mergeCell ref="BK44:BK45"/>
    <mergeCell ref="BI139:BJ139"/>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&amp;U_______7°_______&amp;U                    NOMBRE DEL PROF./A CONSEJERO/A: _&amp;U_________________&amp;U__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8">
    <tabColor rgb="FF9966CC"/>
  </sheetPr>
  <dimension ref="A1:BL140"/>
  <sheetViews>
    <sheetView view="pageLayout" zoomScale="70" zoomScaleNormal="100" zoomScalePageLayoutView="70" workbookViewId="0">
      <selection activeCell="O10" sqref="O10"/>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27"/>
      <c r="B1" s="221" t="s">
        <v>90</v>
      </c>
      <c r="C1" s="217" t="s">
        <v>91</v>
      </c>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6"/>
      <c r="BI1" s="214" t="s">
        <v>92</v>
      </c>
      <c r="BJ1" s="216"/>
      <c r="BK1" s="218" t="s">
        <v>18</v>
      </c>
      <c r="BL1" s="223"/>
    </row>
    <row r="2" spans="1:64" ht="46.5" customHeight="1">
      <c r="A2" s="228"/>
      <c r="B2" s="219"/>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93</v>
      </c>
      <c r="BJ2" s="9" t="s">
        <v>94</v>
      </c>
      <c r="BK2" s="224"/>
      <c r="BL2" s="225"/>
    </row>
    <row r="3" spans="1:64" ht="15" customHeight="1">
      <c r="A3" s="1">
        <v>1</v>
      </c>
      <c r="B3" s="75">
        <f>MAESTRO!D5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MAESTRO!D6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MAESTRO!D7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MAESTRO!D8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MAESTRO!D9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MAESTRO!D10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MAESTRO!D11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MAESTRO!D12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MAESTRO!D13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MAESTRO!D14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MAESTRO!D15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MAESTRO!D16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MAESTRO!D17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MAESTRO!D18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MAESTRO!D19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MAESTRO!D20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MAESTRO!D21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MAESTRO!D22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MAESTRO!D23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MAESTRO!D24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MAESTRO!D25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MAESTRO!D26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MAESTRO!D27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MAESTRO!D28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MAESTRO!D29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MAESTRO!D30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MAESTRO!D31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MAESTRO!D32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MAESTRO!D33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MAESTRO!D34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MAESTRO!D35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MAESTRO!D36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MAESTRO!D37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MAESTRO!D38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MAESTRO!D39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MAESTRO!D40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MAESTRO!D41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MAESTRO!D42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MAESTRO!D43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MAESTRO!D44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22"/>
      <c r="B44" s="226" t="s">
        <v>90</v>
      </c>
      <c r="C44" s="217" t="s">
        <v>95</v>
      </c>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c r="AR44" s="215"/>
      <c r="AS44" s="215"/>
      <c r="AT44" s="215"/>
      <c r="AU44" s="215"/>
      <c r="AV44" s="215"/>
      <c r="AW44" s="215"/>
      <c r="AX44" s="215"/>
      <c r="AY44" s="215"/>
      <c r="AZ44" s="215"/>
      <c r="BA44" s="215"/>
      <c r="BB44" s="215"/>
      <c r="BC44" s="215"/>
      <c r="BD44" s="215"/>
      <c r="BE44" s="215"/>
      <c r="BF44" s="215"/>
      <c r="BG44" s="215"/>
      <c r="BH44" s="216"/>
      <c r="BI44" s="214" t="s">
        <v>96</v>
      </c>
      <c r="BJ44" s="216"/>
      <c r="BK44" s="218" t="s">
        <v>18</v>
      </c>
      <c r="BL44" s="77"/>
    </row>
    <row r="45" spans="1:64" ht="42.6" customHeight="1">
      <c r="A45" s="219"/>
      <c r="B45" s="219"/>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93</v>
      </c>
      <c r="BJ45" s="2" t="s">
        <v>94</v>
      </c>
      <c r="BK45" s="219"/>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97</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97</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97</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97</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97</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22"/>
      <c r="B89" s="226" t="s">
        <v>90</v>
      </c>
      <c r="C89" s="214" t="s">
        <v>98</v>
      </c>
      <c r="D89" s="215"/>
      <c r="E89" s="215"/>
      <c r="F89" s="215"/>
      <c r="G89" s="215"/>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5"/>
      <c r="AZ89" s="215"/>
      <c r="BA89" s="215"/>
      <c r="BB89" s="215"/>
      <c r="BC89" s="215"/>
      <c r="BD89" s="215"/>
      <c r="BE89" s="215"/>
      <c r="BF89" s="215"/>
      <c r="BG89" s="215"/>
      <c r="BH89" s="216"/>
      <c r="BI89" s="214" t="s">
        <v>99</v>
      </c>
      <c r="BJ89" s="216"/>
      <c r="BK89" s="218" t="s">
        <v>18</v>
      </c>
      <c r="BL89" s="77"/>
    </row>
    <row r="90" spans="1:64" ht="43.2" customHeight="1">
      <c r="A90" s="219"/>
      <c r="B90" s="219"/>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93</v>
      </c>
      <c r="BJ90" s="2" t="s">
        <v>94</v>
      </c>
      <c r="BK90" s="219"/>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20"/>
      <c r="BJ139" s="168"/>
      <c r="BK139" s="79"/>
      <c r="BL139" s="79"/>
    </row>
    <row r="140" spans="1:64" ht="21.75" customHeight="1">
      <c r="A140" s="87"/>
      <c r="B140" s="86"/>
      <c r="BI140" s="85"/>
      <c r="BJ140" s="85"/>
      <c r="BK140" s="79"/>
      <c r="BL140" s="79"/>
    </row>
  </sheetData>
  <mergeCells count="16">
    <mergeCell ref="BI1:BJ1"/>
    <mergeCell ref="B1:B2"/>
    <mergeCell ref="A89:A90"/>
    <mergeCell ref="A44:A45"/>
    <mergeCell ref="BK1:BL2"/>
    <mergeCell ref="B89:B90"/>
    <mergeCell ref="C1:BH1"/>
    <mergeCell ref="BI89:BJ89"/>
    <mergeCell ref="BI44:BJ44"/>
    <mergeCell ref="B44:B45"/>
    <mergeCell ref="A1:A2"/>
    <mergeCell ref="C89:BH89"/>
    <mergeCell ref="C44:BH44"/>
    <mergeCell ref="BK89:BK90"/>
    <mergeCell ref="BK44:BK45"/>
    <mergeCell ref="BI139:BJ139"/>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&amp;U_______8°_______&amp;U                    NOMBRE DEL PROF./A CONSEJERO/A: _&amp;U_________________&amp;U__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6">
    <tabColor rgb="FFE07020"/>
  </sheetPr>
  <dimension ref="A1:BL140"/>
  <sheetViews>
    <sheetView view="pageLayout" zoomScale="70" zoomScaleNormal="100" zoomScalePageLayoutView="70" workbookViewId="0">
      <selection activeCell="AC9" sqref="AC9"/>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27"/>
      <c r="B1" s="221" t="s">
        <v>90</v>
      </c>
      <c r="C1" s="217" t="s">
        <v>91</v>
      </c>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6"/>
      <c r="BI1" s="214" t="s">
        <v>92</v>
      </c>
      <c r="BJ1" s="216"/>
      <c r="BK1" s="218" t="s">
        <v>18</v>
      </c>
      <c r="BL1" s="223"/>
    </row>
    <row r="2" spans="1:64" ht="46.5" customHeight="1">
      <c r="A2" s="228"/>
      <c r="B2" s="219"/>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93</v>
      </c>
      <c r="BJ2" s="9" t="s">
        <v>94</v>
      </c>
      <c r="BK2" s="224"/>
      <c r="BL2" s="225"/>
    </row>
    <row r="3" spans="1:64" ht="15" customHeight="1">
      <c r="A3" s="1">
        <v>1</v>
      </c>
      <c r="B3" s="75">
        <f>MAESTRO!F5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MAESTRO!F6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MAESTRO!F7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MAESTRO!F8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MAESTRO!F9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MAESTRO!F10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MAESTRO!F11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MAESTRO!F12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MAESTRO!F13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MAESTRO!F14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MAESTRO!F15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MAESTRO!F16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MAESTRO!F17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MAESTRO!F18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MAESTRO!F19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MAESTRO!F20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MAESTRO!F21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MAESTRO!F22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MAESTRO!F23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MAESTRO!F24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MAESTRO!F25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MAESTRO!F26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MAESTRO!F27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MAESTRO!F28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MAESTRO!F29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MAESTRO!F30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MAESTRO!F31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MAESTRO!F32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MAESTRO!F33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MAESTRO!F34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MAESTRO!F35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MAESTRO!F36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MAESTRO!F37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MAESTRO!F38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MAESTRO!F39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MAESTRO!F40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MAESTRO!F41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MAESTRO!F42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MAESTRO!F43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MAESTRO!F44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22"/>
      <c r="B44" s="226" t="s">
        <v>90</v>
      </c>
      <c r="C44" s="217" t="s">
        <v>95</v>
      </c>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c r="AR44" s="215"/>
      <c r="AS44" s="215"/>
      <c r="AT44" s="215"/>
      <c r="AU44" s="215"/>
      <c r="AV44" s="215"/>
      <c r="AW44" s="215"/>
      <c r="AX44" s="215"/>
      <c r="AY44" s="215"/>
      <c r="AZ44" s="215"/>
      <c r="BA44" s="215"/>
      <c r="BB44" s="215"/>
      <c r="BC44" s="215"/>
      <c r="BD44" s="215"/>
      <c r="BE44" s="215"/>
      <c r="BF44" s="215"/>
      <c r="BG44" s="215"/>
      <c r="BH44" s="216"/>
      <c r="BI44" s="214" t="s">
        <v>96</v>
      </c>
      <c r="BJ44" s="216"/>
      <c r="BK44" s="218" t="s">
        <v>18</v>
      </c>
      <c r="BL44" s="77"/>
    </row>
    <row r="45" spans="1:64" ht="42.6" customHeight="1">
      <c r="A45" s="219"/>
      <c r="B45" s="219"/>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93</v>
      </c>
      <c r="BJ45" s="2" t="s">
        <v>94</v>
      </c>
      <c r="BK45" s="219"/>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97</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97</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97</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97</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97</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22"/>
      <c r="B89" s="226" t="s">
        <v>90</v>
      </c>
      <c r="C89" s="214" t="s">
        <v>98</v>
      </c>
      <c r="D89" s="215"/>
      <c r="E89" s="215"/>
      <c r="F89" s="215"/>
      <c r="G89" s="215"/>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5"/>
      <c r="AZ89" s="215"/>
      <c r="BA89" s="215"/>
      <c r="BB89" s="215"/>
      <c r="BC89" s="215"/>
      <c r="BD89" s="215"/>
      <c r="BE89" s="215"/>
      <c r="BF89" s="215"/>
      <c r="BG89" s="215"/>
      <c r="BH89" s="216"/>
      <c r="BI89" s="214" t="s">
        <v>99</v>
      </c>
      <c r="BJ89" s="216"/>
      <c r="BK89" s="218" t="s">
        <v>18</v>
      </c>
      <c r="BL89" s="77"/>
    </row>
    <row r="90" spans="1:64" ht="43.2" customHeight="1">
      <c r="A90" s="219"/>
      <c r="B90" s="219"/>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93</v>
      </c>
      <c r="BJ90" s="2" t="s">
        <v>94</v>
      </c>
      <c r="BK90" s="219"/>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20"/>
      <c r="BJ139" s="168"/>
      <c r="BK139" s="79"/>
      <c r="BL139" s="79"/>
    </row>
    <row r="140" spans="1:64" ht="21.75" customHeight="1">
      <c r="A140" s="87"/>
      <c r="B140" s="86"/>
      <c r="BI140" s="85"/>
      <c r="BJ140" s="85"/>
      <c r="BK140" s="79"/>
      <c r="BL140" s="79"/>
    </row>
  </sheetData>
  <mergeCells count="16">
    <mergeCell ref="BI1:BJ1"/>
    <mergeCell ref="B1:B2"/>
    <mergeCell ref="A89:A90"/>
    <mergeCell ref="BK1:BL2"/>
    <mergeCell ref="B89:B90"/>
    <mergeCell ref="C1:BH1"/>
    <mergeCell ref="BI89:BJ89"/>
    <mergeCell ref="BI44:BJ44"/>
    <mergeCell ref="B44:B45"/>
    <mergeCell ref="A44:A45"/>
    <mergeCell ref="A1:A2"/>
    <mergeCell ref="BK89:BK90"/>
    <mergeCell ref="C44:BH44"/>
    <mergeCell ref="C89:BH89"/>
    <mergeCell ref="BK44:BK45"/>
    <mergeCell ref="BI139:BJ139"/>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ASIGNATURA___&amp;UTECNOLOGIA - INGLES&amp;U_- &amp;UARTISTICA________&amp;U
AÑO_&amp;U2025&amp;U_____   AULA_  &amp;U_______9°_______&amp;U                    NOMBRE DEL PROF./A CONSEJERO/A: _&amp;U_________________&amp;U__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
    <tabColor rgb="FF4472C4"/>
  </sheetPr>
  <dimension ref="A1:EE49"/>
  <sheetViews>
    <sheetView view="pageLayout" zoomScale="70" zoomScaleNormal="100" zoomScalePageLayoutView="70" workbookViewId="0"/>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102</v>
      </c>
      <c r="BQ1" s="215"/>
      <c r="BR1" s="215"/>
      <c r="BS1" s="215"/>
      <c r="BT1" s="215"/>
      <c r="BU1" s="215"/>
      <c r="BV1" s="215"/>
      <c r="BW1" s="215"/>
      <c r="BX1" s="215"/>
      <c r="BY1" s="215"/>
      <c r="BZ1" s="215"/>
      <c r="CA1" s="215"/>
      <c r="CB1" s="215"/>
      <c r="CC1" s="215"/>
      <c r="CD1" s="215"/>
      <c r="CE1" s="215"/>
      <c r="CF1" s="216"/>
      <c r="CG1" s="245" t="s">
        <v>103</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25"/>
      <c r="H4" s="25"/>
      <c r="I4" s="25"/>
      <c r="J4" s="25"/>
      <c r="K4" s="25"/>
      <c r="L4" s="25"/>
      <c r="M4" s="25"/>
      <c r="N4" s="25"/>
      <c r="O4" s="25"/>
      <c r="P4" s="219"/>
      <c r="Q4" s="61"/>
      <c r="R4" s="25"/>
      <c r="S4" s="25"/>
      <c r="T4" s="25"/>
      <c r="U4" s="25"/>
      <c r="V4" s="25"/>
      <c r="W4" s="25"/>
      <c r="X4" s="25"/>
      <c r="Y4" s="25"/>
      <c r="Z4" s="25"/>
      <c r="AA4" s="219"/>
      <c r="AB4" s="224"/>
      <c r="AC4" s="225"/>
      <c r="AD4" s="219"/>
      <c r="AE4" s="219"/>
      <c r="AF4" s="224"/>
      <c r="AG4" s="225"/>
      <c r="AH4" s="219"/>
      <c r="AI4" s="224"/>
      <c r="AJ4" s="225"/>
      <c r="AK4" s="25"/>
      <c r="AL4" s="25"/>
      <c r="AM4" s="25"/>
      <c r="AN4" s="25"/>
      <c r="AO4" s="25"/>
      <c r="AP4" s="25"/>
      <c r="AQ4" s="25"/>
      <c r="AR4" s="25"/>
      <c r="AS4" s="25"/>
      <c r="AT4" s="25"/>
      <c r="AU4" s="25"/>
      <c r="AV4" s="25"/>
      <c r="AW4" s="70"/>
      <c r="AX4" s="219"/>
      <c r="AY4" s="25"/>
      <c r="AZ4" s="25"/>
      <c r="BA4" s="25"/>
      <c r="BB4" s="25"/>
      <c r="BC4" s="25"/>
      <c r="BD4" s="25"/>
      <c r="BE4" s="25"/>
      <c r="BF4" s="25"/>
      <c r="BG4" s="25"/>
      <c r="BH4" s="25"/>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25"/>
      <c r="CL4" s="25"/>
      <c r="CM4" s="25"/>
      <c r="CN4" s="25"/>
      <c r="CO4" s="25"/>
      <c r="CP4" s="2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75">
        <f>MAESTRO!B5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TRUNC(AVERAGE(CF5,CT5,CQ5),1)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MAESTRO!B6</f>
        <v>0</v>
      </c>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2" customHeight="1">
      <c r="A20" s="4">
        <v>16</v>
      </c>
      <c r="B20" s="10">
        <f>MAESTRO!B20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2" customHeight="1">
      <c r="A21" s="4">
        <v>17</v>
      </c>
      <c r="B21" s="10">
        <f>MAESTRO!B21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10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10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10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10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10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10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5"/>
      <c r="BU28" s="5"/>
      <c r="BV28" s="5"/>
      <c r="BW28" s="5"/>
      <c r="BX28" s="5"/>
      <c r="BY28" s="5"/>
      <c r="BZ28" s="5"/>
      <c r="CA28" s="5"/>
      <c r="CB28" s="5"/>
      <c r="CC28" s="5"/>
      <c r="CD28" s="5"/>
      <c r="CE28" s="5"/>
      <c r="CF28" s="5" t="e">
        <f t="shared" si="10"/>
        <v>#DIV/0!</v>
      </c>
      <c r="CG28" s="5"/>
      <c r="CH28" s="5"/>
      <c r="CI28" s="5"/>
      <c r="CJ28" s="5"/>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65"/>
      <c r="AM29" s="105"/>
      <c r="AN29" s="65"/>
      <c r="AO29" s="65"/>
      <c r="AP29" s="105"/>
      <c r="AQ29" s="10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5"/>
      <c r="BT29" s="5"/>
      <c r="BU29" s="5"/>
      <c r="BV29" s="5"/>
      <c r="BW29" s="5"/>
      <c r="BX29" s="5"/>
      <c r="BY29" s="5"/>
      <c r="BZ29" s="5"/>
      <c r="CA29" s="5"/>
      <c r="CB29" s="5"/>
      <c r="CC29" s="5"/>
      <c r="CD29" s="5"/>
      <c r="CE29" s="5"/>
      <c r="CF29" s="5" t="e">
        <f t="shared" si="10"/>
        <v>#DIV/0!</v>
      </c>
      <c r="CG29" s="5"/>
      <c r="CH29" s="5"/>
      <c r="CI29" s="5"/>
      <c r="CJ29" s="5"/>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65"/>
      <c r="AL30" s="65"/>
      <c r="AM30" s="105"/>
      <c r="AN30" s="65"/>
      <c r="AO30" s="65"/>
      <c r="AP30" s="105"/>
      <c r="AQ30" s="10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5"/>
      <c r="BT30" s="5"/>
      <c r="BU30" s="5"/>
      <c r="BV30" s="5"/>
      <c r="BW30" s="5"/>
      <c r="BX30" s="5"/>
      <c r="BY30" s="5"/>
      <c r="BZ30" s="5"/>
      <c r="CA30" s="5"/>
      <c r="CB30" s="5"/>
      <c r="CC30" s="5"/>
      <c r="CD30" s="5"/>
      <c r="CE30" s="5"/>
      <c r="CF30" s="5" t="e">
        <f t="shared" si="10"/>
        <v>#DIV/0!</v>
      </c>
      <c r="CG30" s="5"/>
      <c r="CH30" s="5"/>
      <c r="CI30" s="5"/>
      <c r="CJ30" s="5"/>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103"/>
      <c r="D31" s="104"/>
      <c r="E31" s="103"/>
      <c r="F31" s="103"/>
      <c r="G31" s="103"/>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65"/>
      <c r="AL31" s="65"/>
      <c r="AM31" s="105"/>
      <c r="AN31" s="65"/>
      <c r="AO31" s="65"/>
      <c r="AP31" s="105"/>
      <c r="AQ31" s="10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103"/>
      <c r="BW31" s="104"/>
      <c r="BX31" s="5"/>
      <c r="BY31" s="5"/>
      <c r="BZ31" s="5"/>
      <c r="CA31" s="5"/>
      <c r="CB31" s="5"/>
      <c r="CC31" s="5"/>
      <c r="CD31" s="5"/>
      <c r="CE31" s="5"/>
      <c r="CF31" s="5" t="e">
        <f t="shared" si="10"/>
        <v>#DIV/0!</v>
      </c>
      <c r="CG31" s="5"/>
      <c r="CH31" s="5"/>
      <c r="CI31" s="5"/>
      <c r="CJ31" s="5"/>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103"/>
      <c r="D32" s="104"/>
      <c r="E32" s="103"/>
      <c r="F32" s="103"/>
      <c r="G32" s="103"/>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65"/>
      <c r="AL32" s="65"/>
      <c r="AM32" s="105"/>
      <c r="AN32" s="65"/>
      <c r="AO32" s="6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103"/>
      <c r="BW32" s="104"/>
      <c r="BX32" s="5"/>
      <c r="BY32" s="5"/>
      <c r="BZ32" s="5"/>
      <c r="CA32" s="5"/>
      <c r="CB32" s="5"/>
      <c r="CC32" s="5"/>
      <c r="CD32" s="5"/>
      <c r="CE32" s="5"/>
      <c r="CF32" s="5" t="e">
        <f t="shared" si="10"/>
        <v>#DIV/0!</v>
      </c>
      <c r="CG32" s="5"/>
      <c r="CH32" s="5"/>
      <c r="CI32" s="5"/>
      <c r="CJ32" s="5"/>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103"/>
      <c r="D33" s="104"/>
      <c r="E33" s="103"/>
      <c r="F33" s="103"/>
      <c r="G33" s="103"/>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65"/>
      <c r="AL33" s="65"/>
      <c r="AM33" s="105"/>
      <c r="AN33" s="6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103"/>
      <c r="BW33" s="104"/>
      <c r="BX33" s="5"/>
      <c r="BY33" s="5"/>
      <c r="BZ33" s="5"/>
      <c r="CA33" s="5"/>
      <c r="CB33" s="5"/>
      <c r="CC33" s="5"/>
      <c r="CD33" s="5"/>
      <c r="CE33" s="5"/>
      <c r="CF33" s="5" t="e">
        <f t="shared" si="10"/>
        <v>#DIV/0!</v>
      </c>
      <c r="CG33" s="5"/>
      <c r="CH33" s="5"/>
      <c r="CI33" s="5"/>
      <c r="CJ33" s="5"/>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4"/>
      <c r="E34" s="103"/>
      <c r="F34" s="103"/>
      <c r="G34" s="103"/>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65"/>
      <c r="AL34" s="65"/>
      <c r="AM34" s="105"/>
      <c r="AN34" s="6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103"/>
      <c r="BW34" s="104"/>
      <c r="BX34" s="5"/>
      <c r="BY34" s="5"/>
      <c r="BZ34" s="5"/>
      <c r="CA34" s="5"/>
      <c r="CB34" s="5"/>
      <c r="CC34" s="5"/>
      <c r="CD34" s="5"/>
      <c r="CE34" s="5"/>
      <c r="CF34" s="5" t="e">
        <f t="shared" si="10"/>
        <v>#DIV/0!</v>
      </c>
      <c r="CG34" s="5"/>
      <c r="CH34" s="5"/>
      <c r="CI34" s="5"/>
      <c r="CJ34" s="5"/>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4"/>
      <c r="E35" s="103"/>
      <c r="F35" s="103"/>
      <c r="G35" s="103"/>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65"/>
      <c r="AL35" s="6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103"/>
      <c r="BW35" s="104"/>
      <c r="BX35" s="5"/>
      <c r="BY35" s="5"/>
      <c r="BZ35" s="5"/>
      <c r="CA35" s="5"/>
      <c r="CB35" s="5"/>
      <c r="CC35" s="5"/>
      <c r="CD35" s="5"/>
      <c r="CE35" s="5"/>
      <c r="CF35" s="5" t="e">
        <f t="shared" si="10"/>
        <v>#DIV/0!</v>
      </c>
      <c r="CG35" s="5"/>
      <c r="CH35" s="5"/>
      <c r="CI35" s="5"/>
      <c r="CJ35" s="5"/>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4"/>
      <c r="E36" s="103"/>
      <c r="F36" s="103"/>
      <c r="G36" s="103"/>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103"/>
      <c r="BW36" s="104"/>
      <c r="BX36" s="5"/>
      <c r="BY36" s="5"/>
      <c r="BZ36" s="5"/>
      <c r="CA36" s="5"/>
      <c r="CB36" s="5"/>
      <c r="CC36" s="5"/>
      <c r="CD36" s="5"/>
      <c r="CE36" s="5"/>
      <c r="CF36" s="5" t="e">
        <f t="shared" si="10"/>
        <v>#DIV/0!</v>
      </c>
      <c r="CG36" s="5"/>
      <c r="CH36" s="5"/>
      <c r="CI36" s="5"/>
      <c r="CJ36" s="5"/>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4"/>
      <c r="E37" s="103"/>
      <c r="F37" s="103"/>
      <c r="G37" s="103"/>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103"/>
      <c r="BW37" s="104"/>
      <c r="BX37" s="5"/>
      <c r="BY37" s="5"/>
      <c r="BZ37" s="5"/>
      <c r="CA37" s="5"/>
      <c r="CB37" s="5"/>
      <c r="CC37" s="5"/>
      <c r="CD37" s="5"/>
      <c r="CE37" s="5"/>
      <c r="CF37" s="5" t="e">
        <f t="shared" si="10"/>
        <v>#DIV/0!</v>
      </c>
      <c r="CG37" s="5"/>
      <c r="CH37" s="5"/>
      <c r="CI37" s="5"/>
      <c r="CJ37" s="5"/>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4"/>
      <c r="E38" s="103"/>
      <c r="F38" s="103"/>
      <c r="G38" s="103"/>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103"/>
      <c r="BW38" s="104"/>
      <c r="BX38" s="5"/>
      <c r="BY38" s="5"/>
      <c r="BZ38" s="5"/>
      <c r="CA38" s="5"/>
      <c r="CB38" s="5"/>
      <c r="CC38" s="5"/>
      <c r="CD38" s="5"/>
      <c r="CE38" s="5"/>
      <c r="CF38" s="5" t="e">
        <f t="shared" si="10"/>
        <v>#DIV/0!</v>
      </c>
      <c r="CG38" s="5"/>
      <c r="CH38" s="5"/>
      <c r="CI38" s="5"/>
      <c r="CJ38" s="5"/>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4"/>
      <c r="E39" s="103"/>
      <c r="F39" s="103"/>
      <c r="G39" s="103"/>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103"/>
      <c r="BW39" s="104"/>
      <c r="BX39" s="5"/>
      <c r="BY39" s="5"/>
      <c r="BZ39" s="5"/>
      <c r="CA39" s="5"/>
      <c r="CB39" s="5"/>
      <c r="CC39" s="5"/>
      <c r="CD39" s="5"/>
      <c r="CE39" s="5"/>
      <c r="CF39" s="5" t="e">
        <f t="shared" si="10"/>
        <v>#DIV/0!</v>
      </c>
      <c r="CG39" s="5"/>
      <c r="CH39" s="5"/>
      <c r="CI39" s="5"/>
      <c r="CJ39" s="5"/>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4"/>
      <c r="E40" s="103"/>
      <c r="F40" s="103"/>
      <c r="G40" s="103"/>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103"/>
      <c r="BW40" s="104"/>
      <c r="BX40" s="5"/>
      <c r="BY40" s="5"/>
      <c r="BZ40" s="5"/>
      <c r="CA40" s="5"/>
      <c r="CB40" s="5"/>
      <c r="CC40" s="5"/>
      <c r="CD40" s="5"/>
      <c r="CE40" s="5"/>
      <c r="CF40" s="5" t="e">
        <f t="shared" si="10"/>
        <v>#DIV/0!</v>
      </c>
      <c r="CG40" s="5"/>
      <c r="CH40" s="5"/>
      <c r="CI40" s="5"/>
      <c r="CJ40" s="5"/>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4"/>
      <c r="E41" s="103"/>
      <c r="F41" s="103"/>
      <c r="G41" s="103"/>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103"/>
      <c r="BW41" s="104"/>
      <c r="BX41" s="5"/>
      <c r="BY41" s="5"/>
      <c r="BZ41" s="5"/>
      <c r="CA41" s="5"/>
      <c r="CB41" s="5"/>
      <c r="CC41" s="5"/>
      <c r="CD41" s="5"/>
      <c r="CE41" s="5"/>
      <c r="CF41" s="5" t="e">
        <f t="shared" si="10"/>
        <v>#DIV/0!</v>
      </c>
      <c r="CG41" s="5"/>
      <c r="CH41" s="5"/>
      <c r="CI41" s="5"/>
      <c r="CJ41" s="5"/>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4"/>
      <c r="E42" s="103"/>
      <c r="F42" s="103"/>
      <c r="G42" s="103"/>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103"/>
      <c r="BW42" s="104"/>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4"/>
      <c r="E43" s="103"/>
      <c r="F43" s="103"/>
      <c r="G43" s="103"/>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103"/>
      <c r="BW43" s="104"/>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4"/>
      <c r="E44" s="103"/>
      <c r="F44" s="103"/>
      <c r="G44" s="103"/>
      <c r="H44" s="93"/>
      <c r="I44" s="93"/>
      <c r="J44" s="93"/>
      <c r="K44" s="93"/>
      <c r="L44" s="93"/>
      <c r="M44" s="93"/>
      <c r="N44" s="93"/>
      <c r="O44" s="93"/>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105"/>
      <c r="AQ44" s="105"/>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103"/>
      <c r="BW44" s="104"/>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4"/>
      <c r="E45" s="103"/>
      <c r="F45" s="103"/>
      <c r="G45" s="103"/>
      <c r="H45" s="93"/>
      <c r="I45" s="93"/>
      <c r="J45" s="93"/>
      <c r="K45" s="93"/>
      <c r="L45" s="93"/>
      <c r="M45" s="93"/>
      <c r="N45" s="93"/>
      <c r="O45" s="93"/>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103"/>
      <c r="BW45" s="104"/>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4"/>
      <c r="E46" s="103"/>
      <c r="F46" s="103"/>
      <c r="G46" s="103"/>
      <c r="H46" s="93"/>
      <c r="I46" s="93"/>
      <c r="J46" s="93"/>
      <c r="K46" s="93"/>
      <c r="L46" s="93"/>
      <c r="M46" s="93"/>
      <c r="N46" s="93"/>
      <c r="O46" s="93"/>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103"/>
      <c r="BW46" s="104"/>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4"/>
      <c r="E47" s="103"/>
      <c r="F47" s="103"/>
      <c r="G47" s="103"/>
      <c r="H47" s="93"/>
      <c r="I47" s="93"/>
      <c r="J47" s="93"/>
      <c r="K47" s="93"/>
      <c r="L47" s="93"/>
      <c r="M47" s="93"/>
      <c r="N47" s="93"/>
      <c r="O47" s="93"/>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103"/>
      <c r="BW47" s="104"/>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4"/>
      <c r="E48" s="103"/>
      <c r="F48" s="103"/>
      <c r="G48" s="103"/>
      <c r="H48" s="93"/>
      <c r="I48" s="93"/>
      <c r="J48" s="93"/>
      <c r="K48" s="93"/>
      <c r="L48" s="93"/>
      <c r="M48" s="93"/>
      <c r="N48" s="93"/>
      <c r="O48" s="93"/>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7">
        <v>44</v>
      </c>
      <c r="BQ48" s="229"/>
      <c r="BR48" s="216"/>
      <c r="BS48" s="103"/>
      <c r="BT48" s="103"/>
      <c r="BU48" s="103"/>
      <c r="BV48" s="103"/>
      <c r="BW48" s="104"/>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90">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1"/>
      <c r="D49" s="92"/>
      <c r="E49" s="91"/>
      <c r="F49" s="91"/>
      <c r="G49" s="91"/>
      <c r="H49" s="91"/>
      <c r="I49" s="91"/>
      <c r="J49" s="91"/>
      <c r="K49" s="91"/>
      <c r="L49" s="91"/>
      <c r="M49" s="91"/>
      <c r="N49" s="91"/>
      <c r="O49" s="91"/>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59">
        <v>45</v>
      </c>
      <c r="BQ49" s="168"/>
      <c r="BR49" s="168"/>
      <c r="BU49" s="96"/>
      <c r="BV49" s="96"/>
      <c r="CF49" s="51"/>
      <c r="CY49" s="168"/>
      <c r="CZ49" s="168"/>
      <c r="DA49" s="51"/>
      <c r="DB49" s="51"/>
      <c r="DC49" s="51"/>
      <c r="DD49" s="51"/>
      <c r="DE49" s="51"/>
      <c r="DF49" s="51"/>
      <c r="DG49" s="51"/>
      <c r="DH49" s="51"/>
      <c r="DI49" s="51"/>
      <c r="DJ49" s="51"/>
      <c r="DK49" s="51"/>
      <c r="DL49" s="51"/>
      <c r="DM49" s="51"/>
      <c r="DN49" s="51"/>
      <c r="EB49" s="51"/>
      <c r="EC49" s="51"/>
    </row>
  </sheetData>
  <mergeCells count="192">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AI23:AJ23"/>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CY46:CZ46"/>
    <mergeCell ref="A2:P2"/>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A1:P1"/>
    <mergeCell ref="CY3:CZ4"/>
    <mergeCell ref="BQ21:BR21"/>
    <mergeCell ref="CY21:CZ21"/>
    <mergeCell ref="AI16:AJ16"/>
    <mergeCell ref="CV3:CW4"/>
    <mergeCell ref="CY41:CZ41"/>
    <mergeCell ref="AI43:AJ43"/>
    <mergeCell ref="BQ23:BR23"/>
    <mergeCell ref="CY23:CZ23"/>
    <mergeCell ref="AI18:AJ18"/>
    <mergeCell ref="CY13:CZ13"/>
    <mergeCell ref="BQ7:BR7"/>
    <mergeCell ref="AI33:AJ33"/>
    <mergeCell ref="CY7:CZ7"/>
    <mergeCell ref="AI42:AJ42"/>
    <mergeCell ref="CY43:CZ43"/>
    <mergeCell ref="CY40:CZ40"/>
    <mergeCell ref="CY27:CZ27"/>
    <mergeCell ref="AE3:AE4"/>
    <mergeCell ref="BQ34:BR34"/>
    <mergeCell ref="AI34:AJ34"/>
    <mergeCell ref="AI28:AJ28"/>
    <mergeCell ref="BI3:BI4"/>
    <mergeCell ref="R1:AG1"/>
    <mergeCell ref="CY6:CZ6"/>
    <mergeCell ref="CY44:CZ44"/>
    <mergeCell ref="CY15:CZ15"/>
    <mergeCell ref="BS3:CE3"/>
    <mergeCell ref="AX3:AX4"/>
    <mergeCell ref="DA3:DM3"/>
    <mergeCell ref="CG2:CW2"/>
    <mergeCell ref="BQ31:BR31"/>
    <mergeCell ref="AI26:AJ26"/>
    <mergeCell ref="AF3:AG4"/>
    <mergeCell ref="CY12:CZ12"/>
    <mergeCell ref="AI7:AJ7"/>
    <mergeCell ref="AI44:AJ44"/>
    <mergeCell ref="CQ3:CQ4"/>
    <mergeCell ref="BQ36:BR36"/>
    <mergeCell ref="AI30:AJ30"/>
    <mergeCell ref="BQ33:BR33"/>
    <mergeCell ref="AI6:AJ6"/>
    <mergeCell ref="BQ20:BR20"/>
    <mergeCell ref="AI11:AJ11"/>
    <mergeCell ref="CY25:CZ25"/>
    <mergeCell ref="AY3:BH3"/>
    <mergeCell ref="CY30:CZ30"/>
    <mergeCell ref="CY49:CZ49"/>
    <mergeCell ref="CY18:CZ18"/>
    <mergeCell ref="BP3:BP4"/>
    <mergeCell ref="BQ5:BR5"/>
    <mergeCell ref="AU44:AV44"/>
    <mergeCell ref="AI40:AJ40"/>
    <mergeCell ref="AI15:AJ15"/>
    <mergeCell ref="BQ29:BR29"/>
    <mergeCell ref="AI24:AJ24"/>
    <mergeCell ref="BQ46:BR46"/>
    <mergeCell ref="BQ48:BR48"/>
    <mergeCell ref="BQ49:BR49"/>
    <mergeCell ref="BQ35:BR35"/>
    <mergeCell ref="CY5:CZ5"/>
    <mergeCell ref="CY34:CZ34"/>
    <mergeCell ref="BQ22:BR22"/>
    <mergeCell ref="AI32:AJ32"/>
    <mergeCell ref="BQ12:BR12"/>
    <mergeCell ref="CY11:CZ11"/>
    <mergeCell ref="AI46:AJ46"/>
    <mergeCell ref="BL3:BL4"/>
    <mergeCell ref="AI47:AJ47"/>
    <mergeCell ref="CY32:CZ32"/>
    <mergeCell ref="BQ39:BR39"/>
    <mergeCell ref="AI48:AJ48"/>
    <mergeCell ref="BQ28:BR28"/>
    <mergeCell ref="AI29:AJ29"/>
    <mergeCell ref="BQ9:BR9"/>
    <mergeCell ref="B3:B4"/>
    <mergeCell ref="AI38:AJ38"/>
    <mergeCell ref="CY39:CZ39"/>
    <mergeCell ref="BQ3:BR4"/>
    <mergeCell ref="CY36:CZ36"/>
    <mergeCell ref="AB3:AC4"/>
    <mergeCell ref="C3:O3"/>
    <mergeCell ref="P3:P4"/>
    <mergeCell ref="AD3:AD4"/>
    <mergeCell ref="BQ14:BR14"/>
    <mergeCell ref="BN3:BO4"/>
    <mergeCell ref="CY42:CZ42"/>
    <mergeCell ref="AH3:AH4"/>
    <mergeCell ref="CY47:CZ47"/>
    <mergeCell ref="BQ38:BR38"/>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BQ10:BR10"/>
    <mergeCell ref="AI5:AJ5"/>
    <mergeCell ref="BM3:BM4"/>
    <mergeCell ref="BQ19:BR19"/>
    <mergeCell ref="CY19:CZ19"/>
    <mergeCell ref="AI39:AJ39"/>
    <mergeCell ref="DO3:DX3"/>
    <mergeCell ref="EC3:EC4"/>
    <mergeCell ref="DN3:DN4"/>
    <mergeCell ref="CG1:CW1"/>
  </mergeCells>
  <conditionalFormatting sqref="AE1:AE41 AE50:AE1048576">
    <cfRule type="cellIs" dxfId="19" priority="3"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8">
    <tabColor rgb="FF70A0D4"/>
  </sheetPr>
  <dimension ref="B3:Q58"/>
  <sheetViews>
    <sheetView view="pageLayout" zoomScale="70" zoomScaleNormal="100" zoomScalePageLayoutView="70" workbookViewId="0">
      <selection activeCell="C20" sqref="C20"/>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19</v>
      </c>
      <c r="M9" s="215"/>
      <c r="N9" s="215"/>
      <c r="O9" s="215"/>
      <c r="P9" s="215"/>
      <c r="Q9" s="216"/>
    </row>
    <row r="10" spans="2:17">
      <c r="B10" s="266" t="s">
        <v>117</v>
      </c>
      <c r="C10" s="216"/>
      <c r="D10" s="261" t="s">
        <v>118</v>
      </c>
      <c r="E10" s="215"/>
      <c r="F10" s="215"/>
      <c r="G10" s="216"/>
      <c r="H10" s="13"/>
      <c r="I10" s="49"/>
      <c r="J10" s="13"/>
      <c r="K10" s="13"/>
      <c r="L10" s="13"/>
      <c r="M10" s="13"/>
      <c r="N10" s="13"/>
      <c r="O10" s="13"/>
      <c r="P10" s="13"/>
      <c r="Q10" s="13"/>
    </row>
    <row r="11" spans="2:17">
      <c r="B11" s="258" t="s">
        <v>119</v>
      </c>
      <c r="C11" s="216"/>
      <c r="D11" s="259" t="s">
        <v>120</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MAESTRO!B5</f>
        <v>0</v>
      </c>
      <c r="D16" s="17"/>
      <c r="E16" s="17"/>
      <c r="F16" s="52" t="e">
        <f>'PROM (Ingles 7°)'!AE5</f>
        <v>#DIV/0!</v>
      </c>
      <c r="G16" s="52" t="e">
        <f>'PROM (Ingles 7°)'!BM5</f>
        <v>#DIV/0!</v>
      </c>
      <c r="H16" s="52" t="e">
        <f>'PROM (Ingles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(Ingles 7°)'!AE6</f>
        <v>#DIV/0!</v>
      </c>
      <c r="G17" s="52" t="e">
        <f>'PROM (Ingles 7°)'!BM6</f>
        <v>#DIV/0!</v>
      </c>
      <c r="H17" s="52" t="e">
        <f>'PROM (Ingles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(Ingles 7°)'!AE7</f>
        <v>#DIV/0!</v>
      </c>
      <c r="G18" s="52" t="e">
        <f>'PROM (Ingles 7°)'!BM7</f>
        <v>#DIV/0!</v>
      </c>
      <c r="H18" s="52" t="e">
        <f>'PROM (Ingles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(Ingles 7°)'!AE8</f>
        <v>#DIV/0!</v>
      </c>
      <c r="G19" s="52" t="e">
        <f>'PROM (Ingles 7°)'!BM8</f>
        <v>#DIV/0!</v>
      </c>
      <c r="H19" s="52" t="e">
        <f>'PROM (Ingles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(Ingles 7°)'!AE9</f>
        <v>#DIV/0!</v>
      </c>
      <c r="G20" s="52" t="e">
        <f>'PROM (Ingles 7°)'!BM9</f>
        <v>#DIV/0!</v>
      </c>
      <c r="H20" s="52" t="e">
        <f>'PROM (Ingles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(Ingles 7°)'!AE10</f>
        <v>#DIV/0!</v>
      </c>
      <c r="G21" s="52" t="e">
        <f>'PROM (Ingles 7°)'!BM10</f>
        <v>#DIV/0!</v>
      </c>
      <c r="H21" s="52" t="e">
        <f>'PROM (Ingles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(Ingles 7°)'!AE11</f>
        <v>#DIV/0!</v>
      </c>
      <c r="G22" s="52" t="e">
        <f>'PROM (Ingles 7°)'!BM11</f>
        <v>#DIV/0!</v>
      </c>
      <c r="H22" s="52" t="e">
        <f>'PROM (Ingles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(Ingles 7°)'!AE12</f>
        <v>#DIV/0!</v>
      </c>
      <c r="G23" s="52" t="e">
        <f>'PROM (Ingles 7°)'!BM12</f>
        <v>#DIV/0!</v>
      </c>
      <c r="H23" s="52" t="e">
        <f>'PROM (Ingles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(Ingles 7°)'!AE13</f>
        <v>#DIV/0!</v>
      </c>
      <c r="G24" s="52" t="e">
        <f>'PROM (Ingles 7°)'!BM13</f>
        <v>#DIV/0!</v>
      </c>
      <c r="H24" s="52" t="e">
        <f>'PROM (Ingles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(Ingles 7°)'!AE14</f>
        <v>#DIV/0!</v>
      </c>
      <c r="G25" s="52" t="e">
        <f>'PROM (Ingles 7°)'!BM14</f>
        <v>#DIV/0!</v>
      </c>
      <c r="H25" s="52" t="e">
        <f>'PROM (Ingles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(Ingles 7°)'!AE15</f>
        <v>#DIV/0!</v>
      </c>
      <c r="G26" s="52" t="e">
        <f>'PROM (Ingles 7°)'!BM15</f>
        <v>#DIV/0!</v>
      </c>
      <c r="H26" s="52" t="e">
        <f>'PROM (Ingles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(Ingles 7°)'!AE16</f>
        <v>#DIV/0!</v>
      </c>
      <c r="G27" s="52" t="e">
        <f>'PROM (Ingles 7°)'!BM16</f>
        <v>#DIV/0!</v>
      </c>
      <c r="H27" s="52" t="e">
        <f>'PROM (Ingles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(Ingles 7°)'!AE17</f>
        <v>#DIV/0!</v>
      </c>
      <c r="G28" s="52" t="e">
        <f>'PROM (Ingles 7°)'!BM17</f>
        <v>#DIV/0!</v>
      </c>
      <c r="H28" s="52" t="e">
        <f>'PROM (Ingles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(Ingles 7°)'!AE18</f>
        <v>#DIV/0!</v>
      </c>
      <c r="G29" s="52" t="e">
        <f>'PROM (Ingles 7°)'!BM18</f>
        <v>#DIV/0!</v>
      </c>
      <c r="H29" s="52" t="e">
        <f>'PROM (Ingles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(Ingles 7°)'!AE19</f>
        <v>#DIV/0!</v>
      </c>
      <c r="G30" s="52" t="e">
        <f>'PROM (Ingles 7°)'!BM19</f>
        <v>#DIV/0!</v>
      </c>
      <c r="H30" s="52" t="e">
        <f>'PROM (Ingles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(Ingles 7°)'!AE20</f>
        <v>#DIV/0!</v>
      </c>
      <c r="G31" s="52" t="e">
        <f>'PROM (Ingles 7°)'!BM20</f>
        <v>#DIV/0!</v>
      </c>
      <c r="H31" s="52" t="e">
        <f>'PROM (Ingles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(Ingles 7°)'!AE21</f>
        <v>#DIV/0!</v>
      </c>
      <c r="G32" s="52" t="e">
        <f>'PROM (Ingles 7°)'!BM21</f>
        <v>#DIV/0!</v>
      </c>
      <c r="H32" s="52" t="e">
        <f>'PROM (Ingles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(Ingles 7°)'!AE22</f>
        <v>#DIV/0!</v>
      </c>
      <c r="G33" s="52" t="e">
        <f>'PROM (Ingles 7°)'!BM22</f>
        <v>#DIV/0!</v>
      </c>
      <c r="H33" s="52" t="e">
        <f>'PROM (Ingles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(Ingles 7°)'!AE23</f>
        <v>#DIV/0!</v>
      </c>
      <c r="G34" s="52" t="e">
        <f>'PROM (Ingles 7°)'!BM23</f>
        <v>#DIV/0!</v>
      </c>
      <c r="H34" s="52" t="e">
        <f>'PROM (Ingles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(Ingles 7°)'!AE24</f>
        <v>#DIV/0!</v>
      </c>
      <c r="G35" s="52" t="e">
        <f>'PROM (Ingles 7°)'!BM24</f>
        <v>#DIV/0!</v>
      </c>
      <c r="H35" s="52" t="e">
        <f>'PROM (Ingles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(Ingles 7°)'!AE25</f>
        <v>#DIV/0!</v>
      </c>
      <c r="G36" s="52" t="e">
        <f>'PROM (Ingles 7°)'!BM25</f>
        <v>#DIV/0!</v>
      </c>
      <c r="H36" s="52" t="e">
        <f>'PROM (Ingles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(Ingles 7°)'!AE26</f>
        <v>#DIV/0!</v>
      </c>
      <c r="G37" s="52" t="e">
        <f>'PROM (Ingles 7°)'!BM26</f>
        <v>#DIV/0!</v>
      </c>
      <c r="H37" s="52" t="e">
        <f>'PROM (Ingles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(Ingles 7°)'!AE27</f>
        <v>#DIV/0!</v>
      </c>
      <c r="G38" s="52" t="e">
        <f>'PROM (Ingles 7°)'!BM27</f>
        <v>#DIV/0!</v>
      </c>
      <c r="H38" s="52" t="e">
        <f>'PROM (Ingles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(Ingles 7°)'!AE28</f>
        <v>#DIV/0!</v>
      </c>
      <c r="G39" s="52" t="e">
        <f>'PROM (Ingles 7°)'!BM28</f>
        <v>#DIV/0!</v>
      </c>
      <c r="H39" s="52" t="e">
        <f>'PROM (Ingles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(Ingles 7°)'!AE29</f>
        <v>#DIV/0!</v>
      </c>
      <c r="G40" s="52" t="e">
        <f>'PROM (Ingles 7°)'!BM29</f>
        <v>#DIV/0!</v>
      </c>
      <c r="H40" s="52" t="e">
        <f>'PROM (Ingles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(Ingles 7°)'!AE30</f>
        <v>#DIV/0!</v>
      </c>
      <c r="G41" s="52" t="e">
        <f>'PROM (Ingles 7°)'!BM30</f>
        <v>#DIV/0!</v>
      </c>
      <c r="H41" s="52" t="e">
        <f>'PROM (Ingles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(Ingles 7°)'!AE31</f>
        <v>#DIV/0!</v>
      </c>
      <c r="G42" s="52" t="e">
        <f>'PROM (Ingles 7°)'!BM31</f>
        <v>#DIV/0!</v>
      </c>
      <c r="H42" s="52" t="e">
        <f>'PROM (Ingles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(Ingles 7°)'!AE32</f>
        <v>#DIV/0!</v>
      </c>
      <c r="G43" s="52" t="e">
        <f>'PROM (Ingles 7°)'!BM32</f>
        <v>#DIV/0!</v>
      </c>
      <c r="H43" s="52" t="e">
        <f>'PROM (Ingles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(Ingles 7°)'!AE33</f>
        <v>#DIV/0!</v>
      </c>
      <c r="G44" s="52" t="e">
        <f>'PROM (Ingles 7°)'!BM33</f>
        <v>#DIV/0!</v>
      </c>
      <c r="H44" s="52" t="e">
        <f>'PROM (Ingles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(Ingles 7°)'!AE34</f>
        <v>#DIV/0!</v>
      </c>
      <c r="G45" s="52" t="e">
        <f>'PROM (Ingles 7°)'!BM34</f>
        <v>#DIV/0!</v>
      </c>
      <c r="H45" s="52" t="e">
        <f>'PROM (Ingles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(Ingles 7°)'!AE35</f>
        <v>#DIV/0!</v>
      </c>
      <c r="G46" s="52" t="e">
        <f>'PROM (Ingles 7°)'!BM35</f>
        <v>#DIV/0!</v>
      </c>
      <c r="H46" s="52" t="e">
        <f>'PROM (Ingles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(Ingles 7°)'!AE36</f>
        <v>#DIV/0!</v>
      </c>
      <c r="G47" s="52" t="e">
        <f>'PROM (Ingles 7°)'!BM36</f>
        <v>#DIV/0!</v>
      </c>
      <c r="H47" s="52" t="e">
        <f>'PROM (Ingles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(Ingles 7°)'!AE37</f>
        <v>#DIV/0!</v>
      </c>
      <c r="G48" s="52" t="e">
        <f>'PROM (Ingles 7°)'!BM37</f>
        <v>#DIV/0!</v>
      </c>
      <c r="H48" s="52" t="e">
        <f>'PROM (Ingles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(Ingles 7°)'!AE38</f>
        <v>#DIV/0!</v>
      </c>
      <c r="G49" s="52" t="e">
        <f>'PROM (Ingles 7°)'!BM38</f>
        <v>#DIV/0!</v>
      </c>
      <c r="H49" s="52" t="e">
        <f>'PROM (Ingles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(Ingles 7°)'!AE39</f>
        <v>#DIV/0!</v>
      </c>
      <c r="G50" s="52" t="e">
        <f>'PROM (Ingles 7°)'!BM39</f>
        <v>#DIV/0!</v>
      </c>
      <c r="H50" s="52" t="e">
        <f>'PROM (Ingles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(Ingles 7°)'!AE40</f>
        <v>#DIV/0!</v>
      </c>
      <c r="G51" s="52" t="e">
        <f>'PROM (Ingles 7°)'!BM40</f>
        <v>#DIV/0!</v>
      </c>
      <c r="H51" s="52" t="e">
        <f>'PROM (Ingles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(Ingles 7°)'!AE41</f>
        <v>#DIV/0!</v>
      </c>
      <c r="G52" s="52" t="e">
        <f>'PROM (Ingles 7°)'!BM41</f>
        <v>#DIV/0!</v>
      </c>
      <c r="H52" s="52" t="e">
        <f>'PROM (Ingles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s>
  <conditionalFormatting sqref="F16:I52">
    <cfRule type="cellIs" dxfId="18" priority="1" operator="lessThan">
      <formula>3</formula>
    </cfRule>
  </conditionalFormatting>
  <pageMargins left="0.25" right="4.9479166666666657E-2" top="0.75" bottom="0.75" header="0.3" footer="0.3"/>
  <pageSetup orientation="portrait" horizont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3">
    <tabColor rgb="FF4472C4"/>
  </sheetPr>
  <dimension ref="A1:EE49"/>
  <sheetViews>
    <sheetView view="pageLayout" zoomScale="60" zoomScaleNormal="100" zoomScalePageLayoutView="60" workbookViewId="0">
      <selection activeCell="H12" sqref="H12"/>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110"/>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111"/>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4"/>
      <c r="H4" s="4"/>
      <c r="I4" s="4"/>
      <c r="J4" s="4"/>
      <c r="K4" s="4"/>
      <c r="L4" s="4"/>
      <c r="M4" s="4"/>
      <c r="N4" s="4"/>
      <c r="O4" s="4"/>
      <c r="P4" s="219"/>
      <c r="Q4" s="112"/>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2"/>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25"/>
      <c r="CL4" s="25"/>
      <c r="CM4" s="25"/>
      <c r="CN4" s="25"/>
      <c r="CO4" s="25"/>
      <c r="CP4" s="2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MAESTRO!B5</f>
        <v>0</v>
      </c>
      <c r="C5" s="5"/>
      <c r="D5" s="5"/>
      <c r="E5" s="5"/>
      <c r="F5" s="5"/>
      <c r="G5" s="5"/>
      <c r="H5" s="5"/>
      <c r="I5" s="5"/>
      <c r="J5" s="5"/>
      <c r="K5" s="5"/>
      <c r="L5" s="5"/>
      <c r="M5" s="5"/>
      <c r="N5" s="5"/>
      <c r="O5" s="5"/>
      <c r="P5" s="5" t="e">
        <f t="shared" ref="P5:P41" si="0">TRUNC(AVERAGE(C5:O5),1)</f>
        <v>#DIV/0!</v>
      </c>
      <c r="Q5" s="109">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c r="CU5" s="5" t="e">
        <f t="shared" ref="CU5:CU41" si="12">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MAESTRO!B6</f>
        <v>0</v>
      </c>
      <c r="C6" s="5"/>
      <c r="D6" s="5"/>
      <c r="E6" s="5"/>
      <c r="F6" s="5"/>
      <c r="G6" s="5"/>
      <c r="H6" s="5"/>
      <c r="I6" s="5"/>
      <c r="J6" s="5"/>
      <c r="K6" s="5"/>
      <c r="L6" s="5"/>
      <c r="M6" s="5"/>
      <c r="N6" s="5"/>
      <c r="O6" s="5"/>
      <c r="P6" s="5" t="e">
        <f t="shared" si="0"/>
        <v>#DIV/0!</v>
      </c>
      <c r="Q6" s="109">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c r="CU6" s="5" t="e">
        <f t="shared" si="12"/>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109">
        <v>3</v>
      </c>
      <c r="R7" s="24"/>
      <c r="S7" s="24"/>
      <c r="T7" s="24"/>
      <c r="U7" s="24"/>
      <c r="V7" s="24"/>
      <c r="W7" s="24"/>
      <c r="X7" s="24"/>
      <c r="Y7" s="24"/>
      <c r="Z7" s="24"/>
      <c r="AA7" s="48" t="e">
        <f t="shared" si="1"/>
        <v>#DIV/0!</v>
      </c>
      <c r="AB7" s="4"/>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c r="CU7" s="5" t="e">
        <f t="shared" si="12"/>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109">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c r="CU8" s="5" t="e">
        <f t="shared" si="12"/>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109">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c r="CU9" s="5" t="e">
        <f t="shared" si="12"/>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109">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c r="CU10" s="5" t="e">
        <f t="shared" si="12"/>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109">
        <v>7</v>
      </c>
      <c r="R11" s="24"/>
      <c r="S11" s="24"/>
      <c r="T11" s="24"/>
      <c r="U11" s="24"/>
      <c r="V11" s="24"/>
      <c r="W11" s="24"/>
      <c r="X11" s="24"/>
      <c r="Y11" s="24"/>
      <c r="Z11" s="24"/>
      <c r="AA11" s="48" t="e">
        <f t="shared" si="1"/>
        <v>#DIV/0!</v>
      </c>
      <c r="AB11" s="4"/>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c r="CU11" s="5" t="e">
        <f t="shared" si="12"/>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109">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c r="CU12" s="5" t="e">
        <f t="shared" si="12"/>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109">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6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c r="CU13" s="5" t="e">
        <f t="shared" si="12"/>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109">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c r="CU14" s="5" t="e">
        <f t="shared" si="12"/>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109">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c r="CU15" s="5" t="e">
        <f t="shared" si="12"/>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109">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c r="CU16" s="5" t="e">
        <f t="shared" si="12"/>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109">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c r="CU17" s="5" t="e">
        <f t="shared" si="12"/>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109">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c r="CU18" s="5" t="e">
        <f t="shared" si="12"/>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109">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c r="CU19" s="5" t="e">
        <f t="shared" si="12"/>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MAESTRO!B20</f>
        <v>0</v>
      </c>
      <c r="C20" s="5"/>
      <c r="D20" s="5"/>
      <c r="E20" s="5"/>
      <c r="F20" s="5"/>
      <c r="G20" s="5"/>
      <c r="H20" s="5"/>
      <c r="I20" s="5"/>
      <c r="J20" s="5"/>
      <c r="K20" s="5"/>
      <c r="L20" s="5"/>
      <c r="M20" s="5"/>
      <c r="N20" s="5"/>
      <c r="O20" s="5"/>
      <c r="P20" s="5" t="e">
        <f t="shared" si="0"/>
        <v>#DIV/0!</v>
      </c>
      <c r="Q20" s="109">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c r="CU20" s="5" t="e">
        <f t="shared" si="12"/>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MAESTRO!B21</f>
        <v>0</v>
      </c>
      <c r="C21" s="5"/>
      <c r="D21" s="5"/>
      <c r="E21" s="5"/>
      <c r="F21" s="5"/>
      <c r="G21" s="5"/>
      <c r="H21" s="5"/>
      <c r="I21" s="5"/>
      <c r="J21" s="5"/>
      <c r="K21" s="5"/>
      <c r="L21" s="5"/>
      <c r="M21" s="5"/>
      <c r="N21" s="5"/>
      <c r="O21" s="5"/>
      <c r="P21" s="5" t="e">
        <f t="shared" si="0"/>
        <v>#DIV/0!</v>
      </c>
      <c r="Q21" s="109">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c r="CU21" s="5" t="e">
        <f t="shared" si="12"/>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109">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c r="CU22" s="5" t="e">
        <f t="shared" si="12"/>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109">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c r="CU23" s="5" t="e">
        <f t="shared" si="12"/>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109">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107"/>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c r="CU24" s="5" t="e">
        <f t="shared" si="12"/>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103"/>
      <c r="E25" s="5"/>
      <c r="F25" s="5"/>
      <c r="G25" s="5"/>
      <c r="H25" s="5"/>
      <c r="I25" s="5"/>
      <c r="J25" s="5"/>
      <c r="K25" s="5"/>
      <c r="L25" s="5"/>
      <c r="M25" s="5"/>
      <c r="N25" s="5"/>
      <c r="O25" s="5"/>
      <c r="P25" s="5" t="e">
        <f t="shared" si="0"/>
        <v>#DIV/0!</v>
      </c>
      <c r="Q25" s="109">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107"/>
      <c r="AL25" s="65"/>
      <c r="AM25" s="65"/>
      <c r="AN25" s="65"/>
      <c r="AO25" s="10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c r="CU25" s="5" t="e">
        <f t="shared" si="12"/>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103"/>
      <c r="E26" s="5"/>
      <c r="F26" s="5"/>
      <c r="G26" s="5"/>
      <c r="H26" s="5"/>
      <c r="I26" s="5"/>
      <c r="J26" s="5"/>
      <c r="K26" s="5"/>
      <c r="L26" s="5"/>
      <c r="M26" s="5"/>
      <c r="N26" s="5"/>
      <c r="O26" s="5"/>
      <c r="P26" s="5" t="e">
        <f t="shared" si="0"/>
        <v>#DIV/0!</v>
      </c>
      <c r="Q26" s="109">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107"/>
      <c r="AL26" s="65"/>
      <c r="AM26" s="105"/>
      <c r="AN26" s="65"/>
      <c r="AO26" s="10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103"/>
      <c r="BU26" s="103"/>
      <c r="BV26" s="5"/>
      <c r="BW26" s="104"/>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c r="CU26" s="5" t="e">
        <f t="shared" si="12"/>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103"/>
      <c r="E27" s="5"/>
      <c r="F27" s="5"/>
      <c r="G27" s="5"/>
      <c r="H27" s="5"/>
      <c r="I27" s="5"/>
      <c r="J27" s="5"/>
      <c r="K27" s="5"/>
      <c r="L27" s="5"/>
      <c r="M27" s="5"/>
      <c r="N27" s="5"/>
      <c r="O27" s="5"/>
      <c r="P27" s="5" t="e">
        <f t="shared" si="0"/>
        <v>#DIV/0!</v>
      </c>
      <c r="Q27" s="109">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107"/>
      <c r="AL27" s="65"/>
      <c r="AM27" s="105"/>
      <c r="AN27" s="65"/>
      <c r="AO27" s="10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103"/>
      <c r="BU27" s="103"/>
      <c r="BV27" s="5"/>
      <c r="BW27" s="104"/>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c r="CU27" s="5" t="e">
        <f t="shared" si="12"/>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103"/>
      <c r="E28" s="103"/>
      <c r="F28" s="5"/>
      <c r="G28" s="5"/>
      <c r="H28" s="5"/>
      <c r="I28" s="5"/>
      <c r="J28" s="5"/>
      <c r="K28" s="5"/>
      <c r="L28" s="5"/>
      <c r="M28" s="5"/>
      <c r="N28" s="5"/>
      <c r="O28" s="5"/>
      <c r="P28" s="5" t="e">
        <f t="shared" si="0"/>
        <v>#DIV/0!</v>
      </c>
      <c r="Q28" s="109">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107"/>
      <c r="AL28" s="105"/>
      <c r="AM28" s="105"/>
      <c r="AN28" s="105"/>
      <c r="AO28" s="105"/>
      <c r="AP28" s="10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103"/>
      <c r="BU28" s="103"/>
      <c r="BV28" s="5"/>
      <c r="BW28" s="104"/>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c r="CU28" s="5" t="e">
        <f t="shared" si="12"/>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103"/>
      <c r="E29" s="103"/>
      <c r="F29" s="103"/>
      <c r="G29" s="5"/>
      <c r="H29" s="5"/>
      <c r="I29" s="5"/>
      <c r="J29" s="5"/>
      <c r="K29" s="5"/>
      <c r="L29" s="5"/>
      <c r="M29" s="5"/>
      <c r="N29" s="5"/>
      <c r="O29" s="5"/>
      <c r="P29" s="5" t="e">
        <f t="shared" si="0"/>
        <v>#DIV/0!</v>
      </c>
      <c r="Q29" s="109">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107"/>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5"/>
      <c r="BT29" s="103"/>
      <c r="BU29" s="103"/>
      <c r="BV29" s="5"/>
      <c r="BW29" s="104"/>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c r="CU29" s="5" t="e">
        <f t="shared" si="12"/>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103"/>
      <c r="E30" s="103"/>
      <c r="F30" s="103"/>
      <c r="G30" s="5"/>
      <c r="H30" s="5"/>
      <c r="I30" s="5"/>
      <c r="J30" s="5"/>
      <c r="K30" s="5"/>
      <c r="L30" s="5"/>
      <c r="M30" s="5"/>
      <c r="N30" s="5"/>
      <c r="O30" s="5"/>
      <c r="P30" s="5" t="e">
        <f t="shared" si="0"/>
        <v>#DIV/0!</v>
      </c>
      <c r="Q30" s="109">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7"/>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103"/>
      <c r="BW30" s="104"/>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c r="CU30" s="5" t="e">
        <f t="shared" si="12"/>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5"/>
      <c r="D31" s="103"/>
      <c r="E31" s="103"/>
      <c r="F31" s="103"/>
      <c r="G31" s="5"/>
      <c r="H31" s="5"/>
      <c r="I31" s="5"/>
      <c r="J31" s="5"/>
      <c r="K31" s="5"/>
      <c r="L31" s="5"/>
      <c r="M31" s="5"/>
      <c r="N31" s="5"/>
      <c r="O31" s="5"/>
      <c r="P31" s="5" t="e">
        <f t="shared" si="0"/>
        <v>#DIV/0!</v>
      </c>
      <c r="Q31" s="109">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7"/>
      <c r="AL31" s="105"/>
      <c r="AM31" s="105"/>
      <c r="AN31" s="105"/>
      <c r="AO31" s="105"/>
      <c r="AP31" s="10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103"/>
      <c r="BW31" s="104"/>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c r="CU31" s="5" t="e">
        <f t="shared" si="12"/>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5"/>
      <c r="D32" s="103"/>
      <c r="E32" s="103"/>
      <c r="F32" s="103"/>
      <c r="G32" s="5"/>
      <c r="H32" s="5"/>
      <c r="I32" s="5"/>
      <c r="J32" s="5"/>
      <c r="K32" s="5"/>
      <c r="L32" s="5"/>
      <c r="M32" s="5"/>
      <c r="N32" s="5"/>
      <c r="O32" s="5"/>
      <c r="P32" s="5" t="e">
        <f t="shared" si="0"/>
        <v>#DIV/0!</v>
      </c>
      <c r="Q32" s="109">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7"/>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103"/>
      <c r="BW32" s="104"/>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c r="CU32" s="5" t="e">
        <f t="shared" si="12"/>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103"/>
      <c r="D33" s="103"/>
      <c r="E33" s="103"/>
      <c r="F33" s="103"/>
      <c r="G33" s="5"/>
      <c r="H33" s="5"/>
      <c r="I33" s="5"/>
      <c r="J33" s="5"/>
      <c r="K33" s="5"/>
      <c r="L33" s="5"/>
      <c r="M33" s="5"/>
      <c r="N33" s="5"/>
      <c r="O33" s="5"/>
      <c r="P33" s="5" t="e">
        <f t="shared" si="0"/>
        <v>#DIV/0!</v>
      </c>
      <c r="Q33" s="109">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7"/>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103"/>
      <c r="BW33" s="104"/>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c r="CU33" s="5" t="e">
        <f t="shared" si="12"/>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3"/>
      <c r="E34" s="103"/>
      <c r="F34" s="103"/>
      <c r="G34" s="5"/>
      <c r="H34" s="5"/>
      <c r="I34" s="5"/>
      <c r="J34" s="5"/>
      <c r="K34" s="5"/>
      <c r="L34" s="5"/>
      <c r="M34" s="5"/>
      <c r="N34" s="5"/>
      <c r="O34" s="5"/>
      <c r="P34" s="5" t="e">
        <f t="shared" si="0"/>
        <v>#DIV/0!</v>
      </c>
      <c r="Q34" s="109">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7"/>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103"/>
      <c r="BW34" s="104"/>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c r="CU34" s="5" t="e">
        <f t="shared" si="12"/>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3"/>
      <c r="E35" s="103"/>
      <c r="F35" s="103"/>
      <c r="G35" s="5"/>
      <c r="H35" s="5"/>
      <c r="I35" s="5"/>
      <c r="J35" s="5"/>
      <c r="K35" s="5"/>
      <c r="L35" s="5"/>
      <c r="M35" s="5"/>
      <c r="N35" s="5"/>
      <c r="O35" s="5"/>
      <c r="P35" s="5" t="e">
        <f t="shared" si="0"/>
        <v>#DIV/0!</v>
      </c>
      <c r="Q35" s="109">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7"/>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103"/>
      <c r="BW35" s="104"/>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c r="CU35" s="5" t="e">
        <f t="shared" si="12"/>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3"/>
      <c r="E36" s="103"/>
      <c r="F36" s="103"/>
      <c r="G36" s="5"/>
      <c r="H36" s="5"/>
      <c r="I36" s="5"/>
      <c r="J36" s="5"/>
      <c r="K36" s="5"/>
      <c r="L36" s="5"/>
      <c r="M36" s="5"/>
      <c r="N36" s="5"/>
      <c r="O36" s="5"/>
      <c r="P36" s="5" t="e">
        <f t="shared" si="0"/>
        <v>#DIV/0!</v>
      </c>
      <c r="Q36" s="109">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7"/>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103"/>
      <c r="BW36" s="104"/>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c r="CU36" s="5" t="e">
        <f t="shared" si="12"/>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3"/>
      <c r="E37" s="103"/>
      <c r="F37" s="103"/>
      <c r="G37" s="5"/>
      <c r="H37" s="5"/>
      <c r="I37" s="5"/>
      <c r="J37" s="5"/>
      <c r="K37" s="5"/>
      <c r="L37" s="5"/>
      <c r="M37" s="5"/>
      <c r="N37" s="5"/>
      <c r="O37" s="5"/>
      <c r="P37" s="5" t="e">
        <f t="shared" si="0"/>
        <v>#DIV/0!</v>
      </c>
      <c r="Q37" s="109">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7"/>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103"/>
      <c r="BW37" s="104"/>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c r="CU37" s="5" t="e">
        <f t="shared" si="12"/>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3"/>
      <c r="E38" s="103"/>
      <c r="F38" s="103"/>
      <c r="G38" s="5"/>
      <c r="H38" s="5"/>
      <c r="I38" s="5"/>
      <c r="J38" s="5"/>
      <c r="K38" s="5"/>
      <c r="L38" s="5"/>
      <c r="M38" s="5"/>
      <c r="N38" s="5"/>
      <c r="O38" s="5"/>
      <c r="P38" s="5" t="e">
        <f t="shared" si="0"/>
        <v>#DIV/0!</v>
      </c>
      <c r="Q38" s="109">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7"/>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103"/>
      <c r="BW38" s="104"/>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c r="CU38" s="5" t="e">
        <f t="shared" si="12"/>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3"/>
      <c r="E39" s="103"/>
      <c r="F39" s="103"/>
      <c r="G39" s="5"/>
      <c r="H39" s="5"/>
      <c r="I39" s="5"/>
      <c r="J39" s="5"/>
      <c r="K39" s="5"/>
      <c r="L39" s="5"/>
      <c r="M39" s="5"/>
      <c r="N39" s="5"/>
      <c r="O39" s="5"/>
      <c r="P39" s="5" t="e">
        <f t="shared" si="0"/>
        <v>#DIV/0!</v>
      </c>
      <c r="Q39" s="109">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7"/>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103"/>
      <c r="BW39" s="104"/>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c r="CU39" s="5" t="e">
        <f t="shared" si="12"/>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3"/>
      <c r="E40" s="103"/>
      <c r="F40" s="103"/>
      <c r="G40" s="5"/>
      <c r="H40" s="5"/>
      <c r="I40" s="5"/>
      <c r="J40" s="5"/>
      <c r="K40" s="5"/>
      <c r="L40" s="5"/>
      <c r="M40" s="5"/>
      <c r="N40" s="5"/>
      <c r="O40" s="5"/>
      <c r="P40" s="5" t="e">
        <f t="shared" si="0"/>
        <v>#DIV/0!</v>
      </c>
      <c r="Q40" s="109">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7"/>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103"/>
      <c r="BW40" s="104"/>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c r="CU40" s="5" t="e">
        <f t="shared" si="12"/>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3"/>
      <c r="E41" s="103"/>
      <c r="F41" s="103"/>
      <c r="G41" s="5"/>
      <c r="H41" s="5"/>
      <c r="I41" s="5"/>
      <c r="J41" s="5"/>
      <c r="K41" s="5"/>
      <c r="L41" s="5"/>
      <c r="M41" s="5"/>
      <c r="N41" s="5"/>
      <c r="O41" s="5"/>
      <c r="P41" s="5" t="e">
        <f t="shared" si="0"/>
        <v>#DIV/0!</v>
      </c>
      <c r="Q41" s="109">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7"/>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103"/>
      <c r="BW41" s="104"/>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c r="CU41" s="5" t="e">
        <f t="shared" si="12"/>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3"/>
      <c r="E42" s="103"/>
      <c r="F42" s="103"/>
      <c r="G42" s="5"/>
      <c r="H42" s="5"/>
      <c r="I42" s="5"/>
      <c r="J42" s="5"/>
      <c r="K42" s="5"/>
      <c r="L42" s="5"/>
      <c r="M42" s="5"/>
      <c r="N42" s="5"/>
      <c r="O42" s="5"/>
      <c r="P42" s="5"/>
      <c r="Q42" s="109">
        <v>38</v>
      </c>
      <c r="R42" s="104"/>
      <c r="S42" s="104"/>
      <c r="T42" s="24"/>
      <c r="U42" s="24"/>
      <c r="V42" s="24"/>
      <c r="W42" s="24"/>
      <c r="X42" s="24"/>
      <c r="Y42" s="24"/>
      <c r="Z42" s="24"/>
      <c r="AA42" s="48"/>
      <c r="AB42" s="4"/>
      <c r="AC42" s="45"/>
      <c r="AD42" s="5"/>
      <c r="AE42" s="47"/>
      <c r="AF42" s="4"/>
      <c r="AG42" s="4">
        <v>38</v>
      </c>
      <c r="AH42" s="4">
        <v>38</v>
      </c>
      <c r="AI42" s="229"/>
      <c r="AJ42" s="216"/>
      <c r="AK42" s="107"/>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103"/>
      <c r="BW42" s="104"/>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3"/>
      <c r="E43" s="103"/>
      <c r="F43" s="103"/>
      <c r="G43" s="5"/>
      <c r="H43" s="5"/>
      <c r="I43" s="5"/>
      <c r="J43" s="5"/>
      <c r="K43" s="5"/>
      <c r="L43" s="5"/>
      <c r="M43" s="5"/>
      <c r="N43" s="5"/>
      <c r="O43" s="5"/>
      <c r="P43" s="5"/>
      <c r="Q43" s="109">
        <v>39</v>
      </c>
      <c r="R43" s="104"/>
      <c r="S43" s="104"/>
      <c r="T43" s="24"/>
      <c r="U43" s="24"/>
      <c r="V43" s="24"/>
      <c r="W43" s="24"/>
      <c r="X43" s="24"/>
      <c r="Y43" s="24"/>
      <c r="Z43" s="24"/>
      <c r="AA43" s="48"/>
      <c r="AB43" s="4"/>
      <c r="AC43" s="45"/>
      <c r="AD43" s="5"/>
      <c r="AE43" s="47"/>
      <c r="AF43" s="4"/>
      <c r="AG43" s="4">
        <v>39</v>
      </c>
      <c r="AH43" s="4">
        <v>39</v>
      </c>
      <c r="AI43" s="229"/>
      <c r="AJ43" s="216"/>
      <c r="AK43" s="107"/>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103"/>
      <c r="BW43" s="104"/>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3"/>
      <c r="E44" s="103"/>
      <c r="F44" s="103"/>
      <c r="G44" s="93"/>
      <c r="H44" s="93"/>
      <c r="I44" s="93"/>
      <c r="J44" s="93"/>
      <c r="K44" s="5"/>
      <c r="L44" s="5"/>
      <c r="M44" s="5"/>
      <c r="N44" s="5"/>
      <c r="O44" s="5"/>
      <c r="P44" s="5"/>
      <c r="Q44" s="109">
        <v>40</v>
      </c>
      <c r="R44" s="104"/>
      <c r="S44" s="104"/>
      <c r="T44" s="93"/>
      <c r="U44" s="93"/>
      <c r="V44" s="93"/>
      <c r="W44" s="93"/>
      <c r="X44" s="93"/>
      <c r="Y44" s="93"/>
      <c r="Z44" s="93"/>
      <c r="AA44" s="24"/>
      <c r="AB44" s="24"/>
      <c r="AC44" s="24"/>
      <c r="AD44" s="24"/>
      <c r="AE44" s="24"/>
      <c r="AF44" s="4"/>
      <c r="AG44" s="4">
        <v>40</v>
      </c>
      <c r="AH44" s="4">
        <v>40</v>
      </c>
      <c r="AI44" s="229"/>
      <c r="AJ44" s="216"/>
      <c r="AK44" s="107"/>
      <c r="AL44" s="105"/>
      <c r="AM44" s="105"/>
      <c r="AN44" s="105"/>
      <c r="AO44" s="105"/>
      <c r="AP44" s="105"/>
      <c r="AQ44" s="4"/>
      <c r="AR44" s="4"/>
      <c r="AS44" s="4"/>
      <c r="AT44" s="4"/>
      <c r="AU44" s="4"/>
      <c r="AV44" s="4"/>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103"/>
      <c r="BW44" s="104"/>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93"/>
      <c r="H45" s="93"/>
      <c r="I45" s="93"/>
      <c r="J45" s="93"/>
      <c r="K45" s="5"/>
      <c r="L45" s="5"/>
      <c r="M45" s="5"/>
      <c r="N45" s="5"/>
      <c r="O45" s="5"/>
      <c r="P45" s="5"/>
      <c r="Q45" s="109">
        <v>41</v>
      </c>
      <c r="R45" s="104"/>
      <c r="S45" s="104"/>
      <c r="T45" s="93"/>
      <c r="U45" s="93"/>
      <c r="V45" s="93"/>
      <c r="W45" s="93"/>
      <c r="X45" s="93"/>
      <c r="Y45" s="93"/>
      <c r="Z45" s="93"/>
      <c r="AA45" s="24"/>
      <c r="AB45" s="24"/>
      <c r="AC45" s="24"/>
      <c r="AD45" s="24"/>
      <c r="AE45" s="24"/>
      <c r="AF45" s="4"/>
      <c r="AG45" s="4">
        <v>41</v>
      </c>
      <c r="AH45" s="4">
        <v>41</v>
      </c>
      <c r="AI45" s="229"/>
      <c r="AJ45" s="216"/>
      <c r="AK45" s="107"/>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103"/>
      <c r="BW45" s="104"/>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93"/>
      <c r="H46" s="93"/>
      <c r="I46" s="93"/>
      <c r="J46" s="93"/>
      <c r="K46" s="5"/>
      <c r="L46" s="5"/>
      <c r="M46" s="5"/>
      <c r="N46" s="5"/>
      <c r="O46" s="5"/>
      <c r="P46" s="5"/>
      <c r="Q46" s="109">
        <v>42</v>
      </c>
      <c r="R46" s="104"/>
      <c r="S46" s="104"/>
      <c r="T46" s="93"/>
      <c r="U46" s="93"/>
      <c r="V46" s="93"/>
      <c r="W46" s="93"/>
      <c r="X46" s="93"/>
      <c r="Y46" s="93"/>
      <c r="Z46" s="93"/>
      <c r="AA46" s="24"/>
      <c r="AB46" s="24"/>
      <c r="AC46" s="24"/>
      <c r="AD46" s="24"/>
      <c r="AE46" s="24"/>
      <c r="AF46" s="4"/>
      <c r="AG46" s="4">
        <v>42</v>
      </c>
      <c r="AH46" s="4">
        <v>42</v>
      </c>
      <c r="AI46" s="229"/>
      <c r="AJ46" s="216"/>
      <c r="AK46" s="107"/>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103"/>
      <c r="BW46" s="104"/>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93"/>
      <c r="H47" s="93"/>
      <c r="I47" s="93"/>
      <c r="J47" s="93"/>
      <c r="K47" s="5"/>
      <c r="L47" s="5"/>
      <c r="M47" s="5"/>
      <c r="N47" s="5"/>
      <c r="O47" s="5"/>
      <c r="P47" s="5"/>
      <c r="Q47" s="109">
        <v>43</v>
      </c>
      <c r="R47" s="104"/>
      <c r="S47" s="104"/>
      <c r="T47" s="93"/>
      <c r="U47" s="93"/>
      <c r="V47" s="93"/>
      <c r="W47" s="93"/>
      <c r="X47" s="93"/>
      <c r="Y47" s="93"/>
      <c r="Z47" s="93"/>
      <c r="AA47" s="24"/>
      <c r="AB47" s="24"/>
      <c r="AC47" s="24"/>
      <c r="AD47" s="24"/>
      <c r="AE47" s="24"/>
      <c r="AF47" s="4"/>
      <c r="AG47" s="4">
        <v>43</v>
      </c>
      <c r="AH47" s="4">
        <v>43</v>
      </c>
      <c r="AI47" s="229"/>
      <c r="AJ47" s="216"/>
      <c r="AK47" s="107"/>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103"/>
      <c r="BW47" s="104"/>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93"/>
      <c r="H48" s="93"/>
      <c r="I48" s="93"/>
      <c r="J48" s="93"/>
      <c r="K48" s="5"/>
      <c r="L48" s="5"/>
      <c r="M48" s="5"/>
      <c r="N48" s="5"/>
      <c r="O48" s="5"/>
      <c r="P48" s="5"/>
      <c r="Q48" s="109">
        <v>44</v>
      </c>
      <c r="R48" s="104"/>
      <c r="S48" s="104"/>
      <c r="T48" s="93"/>
      <c r="U48" s="93"/>
      <c r="V48" s="93"/>
      <c r="W48" s="93"/>
      <c r="X48" s="93"/>
      <c r="Y48" s="93"/>
      <c r="Z48" s="93"/>
      <c r="AA48" s="24"/>
      <c r="AB48" s="24"/>
      <c r="AC48" s="24"/>
      <c r="AD48" s="24"/>
      <c r="AE48" s="24"/>
      <c r="AF48" s="4"/>
      <c r="AG48" s="4">
        <v>44</v>
      </c>
      <c r="AH48" s="4">
        <v>44</v>
      </c>
      <c r="AI48" s="229"/>
      <c r="AJ48" s="216"/>
      <c r="AK48" s="107"/>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103"/>
      <c r="BW48" s="104"/>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98"/>
      <c r="AN49" s="98"/>
      <c r="AO49" s="98"/>
      <c r="AP49" s="98"/>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5"/>
      <c r="BU49" s="95"/>
      <c r="BV49" s="95"/>
      <c r="BW49" s="9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1">
    <mergeCell ref="A2:P2"/>
    <mergeCell ref="R2:AG2"/>
    <mergeCell ref="AI9:AJ9"/>
    <mergeCell ref="CY10:CZ10"/>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EC3:EC4"/>
    <mergeCell ref="CG1:CW1"/>
    <mergeCell ref="DN3:DN4"/>
    <mergeCell ref="AI47:AJ47"/>
    <mergeCell ref="BQ14:BR14"/>
    <mergeCell ref="CY32:CZ32"/>
    <mergeCell ref="BQ39:BR39"/>
    <mergeCell ref="BN3:BO4"/>
    <mergeCell ref="CY42:CZ42"/>
    <mergeCell ref="CY47:CZ47"/>
    <mergeCell ref="BQ38:BR38"/>
    <mergeCell ref="AH1:AX1"/>
    <mergeCell ref="AI45:AJ45"/>
    <mergeCell ref="CY45:CZ45"/>
    <mergeCell ref="BQ42:BR42"/>
    <mergeCell ref="BQ43:BR43"/>
    <mergeCell ref="AY1:BO1"/>
    <mergeCell ref="CY46:CZ46"/>
    <mergeCell ref="BQ49:BR49"/>
    <mergeCell ref="BQ36:BR36"/>
    <mergeCell ref="AI30:AJ30"/>
    <mergeCell ref="BQ33:BR33"/>
    <mergeCell ref="AI6:AJ6"/>
    <mergeCell ref="AI11:AJ11"/>
    <mergeCell ref="C3:O3"/>
    <mergeCell ref="AY3:BH3"/>
    <mergeCell ref="BQ20:BR20"/>
    <mergeCell ref="BQ35:BR35"/>
    <mergeCell ref="BQ22:BR22"/>
    <mergeCell ref="P3:P4"/>
    <mergeCell ref="BQ12:BR12"/>
    <mergeCell ref="AI32:AJ32"/>
    <mergeCell ref="AI46:AJ46"/>
    <mergeCell ref="AD3:AD4"/>
    <mergeCell ref="BL3:BL4"/>
    <mergeCell ref="AH3:AH4"/>
    <mergeCell ref="AI49:AJ49"/>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BI3:BI4"/>
    <mergeCell ref="CQ3:CQ4"/>
    <mergeCell ref="CY49:CZ49"/>
    <mergeCell ref="BP3:BP4"/>
    <mergeCell ref="BQ5:BR5"/>
    <mergeCell ref="AI40:AJ40"/>
    <mergeCell ref="AI15:AJ15"/>
    <mergeCell ref="BQ29:BR29"/>
    <mergeCell ref="AI24:AJ24"/>
    <mergeCell ref="AB3:AC4"/>
    <mergeCell ref="R1:AG1"/>
    <mergeCell ref="CY6:CZ6"/>
    <mergeCell ref="AX3:AX4"/>
    <mergeCell ref="BS3:CE3"/>
    <mergeCell ref="CY15:CZ15"/>
    <mergeCell ref="CY44:CZ44"/>
    <mergeCell ref="CG2:CW2"/>
    <mergeCell ref="BQ31:BR31"/>
    <mergeCell ref="AI26:AJ26"/>
    <mergeCell ref="AF3:AG4"/>
    <mergeCell ref="AI43:AJ43"/>
    <mergeCell ref="BQ46:BR46"/>
    <mergeCell ref="AI42:AJ42"/>
    <mergeCell ref="CY43:CZ43"/>
    <mergeCell ref="BQ48:BR48"/>
    <mergeCell ref="AI44:AJ44"/>
    <mergeCell ref="AI48:AJ48"/>
    <mergeCell ref="BQ9:BR9"/>
    <mergeCell ref="AI29:AJ29"/>
    <mergeCell ref="B3:B4"/>
    <mergeCell ref="AI38:AJ38"/>
    <mergeCell ref="CY39:CZ39"/>
    <mergeCell ref="BQ3:BR4"/>
    <mergeCell ref="CY36:CZ36"/>
    <mergeCell ref="CY18:CZ18"/>
    <mergeCell ref="CY25:CZ25"/>
    <mergeCell ref="CY30:CZ30"/>
    <mergeCell ref="CY5:CZ5"/>
    <mergeCell ref="CY11:CZ11"/>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CX1:DN1"/>
    <mergeCell ref="BP1:CF1"/>
    <mergeCell ref="AH2:AX2"/>
    <mergeCell ref="CY38:CZ38"/>
    <mergeCell ref="BQ10:BR10"/>
    <mergeCell ref="AI5:AJ5"/>
    <mergeCell ref="BM3:BM4"/>
    <mergeCell ref="AI39:AJ39"/>
    <mergeCell ref="CY19:CZ19"/>
    <mergeCell ref="BQ19:BR19"/>
    <mergeCell ref="BQ28:BR28"/>
    <mergeCell ref="DA3:DM3"/>
    <mergeCell ref="DO3:DX3"/>
  </mergeCells>
  <conditionalFormatting sqref="AE1:AE42 AE50:AE1048576">
    <cfRule type="cellIs" dxfId="17" priority="1" operator="lessThan">
      <formula>3</formula>
    </cfRule>
  </conditionalFormatting>
  <pageMargins left="0.7" right="0.7" top="0.75" bottom="0.75" header="0.3" footer="0.3"/>
  <pageSetup orientation="portrait" horizontalDpi="4294967293" r:id="rId1"/>
  <headerFooter>
    <oddHeader>&amp;LHOGAR Y DESARROLLO &amp;CGRUPO 7°</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4">
    <tabColor rgb="FF70A0D4"/>
  </sheetPr>
  <dimension ref="B3:Q58"/>
  <sheetViews>
    <sheetView view="pageLayout" zoomScale="70" zoomScaleNormal="100" zoomScalePageLayoutView="70" workbookViewId="0">
      <selection activeCell="AA23" sqref="AA23"/>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19</v>
      </c>
      <c r="M9" s="215"/>
      <c r="N9" s="215"/>
      <c r="O9" s="215"/>
      <c r="P9" s="215"/>
      <c r="Q9" s="216"/>
    </row>
    <row r="10" spans="2:17">
      <c r="B10" s="266" t="s">
        <v>117</v>
      </c>
      <c r="C10" s="216"/>
      <c r="D10" s="261" t="s">
        <v>118</v>
      </c>
      <c r="E10" s="215"/>
      <c r="F10" s="215"/>
      <c r="G10" s="216"/>
      <c r="H10" s="13"/>
      <c r="I10" s="49"/>
      <c r="J10" s="13"/>
      <c r="K10" s="13"/>
      <c r="L10" s="13"/>
      <c r="M10" s="13"/>
      <c r="N10" s="13"/>
      <c r="O10" s="13"/>
      <c r="P10" s="13"/>
      <c r="Q10" s="13"/>
    </row>
    <row r="11" spans="2:17">
      <c r="B11" s="258" t="s">
        <v>119</v>
      </c>
      <c r="C11" s="216"/>
      <c r="D11" s="261" t="s">
        <v>133</v>
      </c>
      <c r="E11" s="215"/>
      <c r="F11" s="215"/>
      <c r="G11" s="216"/>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MAESTRO!B5</f>
        <v>0</v>
      </c>
      <c r="D16" s="17"/>
      <c r="E16" s="17"/>
      <c r="F16" s="52" t="e">
        <f>'PROM (Hogar y Desarrollo 7°)'!AE5</f>
        <v>#DIV/0!</v>
      </c>
      <c r="G16" s="52" t="e">
        <f>'PROM (Hogar y Desarrollo 7°)'!BM5</f>
        <v>#DIV/0!</v>
      </c>
      <c r="H16" s="52" t="e">
        <f>'PROM (Ingles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(Hogar y Desarrollo 7°)'!AE6</f>
        <v>#DIV/0!</v>
      </c>
      <c r="G17" s="52" t="e">
        <f>'PROM (Hogar y Desarrollo 7°)'!BM6</f>
        <v>#DIV/0!</v>
      </c>
      <c r="H17" s="52" t="e">
        <f>'PROM (Ingles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(Hogar y Desarrollo 7°)'!AE7</f>
        <v>#DIV/0!</v>
      </c>
      <c r="G18" s="52" t="e">
        <f>'PROM (Hogar y Desarrollo 7°)'!BM7</f>
        <v>#DIV/0!</v>
      </c>
      <c r="H18" s="52" t="e">
        <f>'PROM (Ingles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(Hogar y Desarrollo 7°)'!AE8</f>
        <v>#DIV/0!</v>
      </c>
      <c r="G19" s="52" t="e">
        <f>'PROM (Hogar y Desarrollo 7°)'!BM8</f>
        <v>#DIV/0!</v>
      </c>
      <c r="H19" s="52" t="e">
        <f>'PROM (Ingles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(Hogar y Desarrollo 7°)'!AE9</f>
        <v>#DIV/0!</v>
      </c>
      <c r="G20" s="52" t="e">
        <f>'PROM (Hogar y Desarrollo 7°)'!BM9</f>
        <v>#DIV/0!</v>
      </c>
      <c r="H20" s="52" t="e">
        <f>'PROM (Ingles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(Hogar y Desarrollo 7°)'!AE10</f>
        <v>#DIV/0!</v>
      </c>
      <c r="G21" s="52" t="e">
        <f>'PROM (Hogar y Desarrollo 7°)'!BM10</f>
        <v>#DIV/0!</v>
      </c>
      <c r="H21" s="52" t="e">
        <f>'PROM (Ingles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(Hogar y Desarrollo 7°)'!AE11</f>
        <v>#DIV/0!</v>
      </c>
      <c r="G22" s="52" t="e">
        <f>'PROM (Hogar y Desarrollo 7°)'!BM11</f>
        <v>#DIV/0!</v>
      </c>
      <c r="H22" s="52" t="e">
        <f>'PROM (Ingles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(Hogar y Desarrollo 7°)'!AE12</f>
        <v>#DIV/0!</v>
      </c>
      <c r="G23" s="52" t="e">
        <f>'PROM (Hogar y Desarrollo 7°)'!BM12</f>
        <v>#DIV/0!</v>
      </c>
      <c r="H23" s="52" t="e">
        <f>'PROM (Ingles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(Hogar y Desarrollo 7°)'!AE13</f>
        <v>#DIV/0!</v>
      </c>
      <c r="G24" s="52" t="e">
        <f>'PROM (Hogar y Desarrollo 7°)'!BM13</f>
        <v>#DIV/0!</v>
      </c>
      <c r="H24" s="52" t="e">
        <f>'PROM (Ingles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(Hogar y Desarrollo 7°)'!AE14</f>
        <v>#DIV/0!</v>
      </c>
      <c r="G25" s="52" t="e">
        <f>'PROM (Hogar y Desarrollo 7°)'!BM14</f>
        <v>#DIV/0!</v>
      </c>
      <c r="H25" s="52" t="e">
        <f>'PROM (Ingles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(Hogar y Desarrollo 7°)'!AE15</f>
        <v>#DIV/0!</v>
      </c>
      <c r="G26" s="52" t="e">
        <f>'PROM (Hogar y Desarrollo 7°)'!BM15</f>
        <v>#DIV/0!</v>
      </c>
      <c r="H26" s="52" t="e">
        <f>'PROM (Ingles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(Hogar y Desarrollo 7°)'!AE16</f>
        <v>#DIV/0!</v>
      </c>
      <c r="G27" s="52" t="e">
        <f>'PROM (Hogar y Desarrollo 7°)'!BM16</f>
        <v>#DIV/0!</v>
      </c>
      <c r="H27" s="52" t="e">
        <f>'PROM (Ingles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(Hogar y Desarrollo 7°)'!AE17</f>
        <v>#DIV/0!</v>
      </c>
      <c r="G28" s="52" t="e">
        <f>'PROM (Hogar y Desarrollo 7°)'!BM17</f>
        <v>#DIV/0!</v>
      </c>
      <c r="H28" s="52" t="e">
        <f>'PROM (Ingles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(Hogar y Desarrollo 7°)'!AE18</f>
        <v>#DIV/0!</v>
      </c>
      <c r="G29" s="52" t="e">
        <f>'PROM (Hogar y Desarrollo 7°)'!BM18</f>
        <v>#DIV/0!</v>
      </c>
      <c r="H29" s="52" t="e">
        <f>'PROM (Ingles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(Hogar y Desarrollo 7°)'!AE19</f>
        <v>#DIV/0!</v>
      </c>
      <c r="G30" s="52" t="e">
        <f>'PROM (Hogar y Desarrollo 7°)'!BM19</f>
        <v>#DIV/0!</v>
      </c>
      <c r="H30" s="52" t="e">
        <f>'PROM (Ingles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(Hogar y Desarrollo 7°)'!AE20</f>
        <v>#DIV/0!</v>
      </c>
      <c r="G31" s="52" t="e">
        <f>'PROM (Hogar y Desarrollo 7°)'!BM20</f>
        <v>#DIV/0!</v>
      </c>
      <c r="H31" s="52" t="e">
        <f>'PROM (Ingles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(Hogar y Desarrollo 7°)'!AE21</f>
        <v>#DIV/0!</v>
      </c>
      <c r="G32" s="73" t="e">
        <f>'PROM (Hogar y Desarrollo 7°)'!BM21</f>
        <v>#DIV/0!</v>
      </c>
      <c r="H32" s="52" t="e">
        <f>'PROM (Ingles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(Hogar y Desarrollo 7°)'!AE22</f>
        <v>#DIV/0!</v>
      </c>
      <c r="G33" s="73" t="e">
        <f>'PROM (Hogar y Desarrollo 7°)'!BM22</f>
        <v>#DIV/0!</v>
      </c>
      <c r="H33" s="52" t="e">
        <f>'PROM (Ingles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(Hogar y Desarrollo 7°)'!AE23</f>
        <v>#DIV/0!</v>
      </c>
      <c r="G34" s="73" t="e">
        <f>'PROM (Hogar y Desarrollo 7°)'!BM23</f>
        <v>#DIV/0!</v>
      </c>
      <c r="H34" s="52" t="e">
        <f>'PROM (Ingles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(Hogar y Desarrollo 7°)'!AE24</f>
        <v>#DIV/0!</v>
      </c>
      <c r="G35" s="73" t="e">
        <f>'PROM (Hogar y Desarrollo 7°)'!BM24</f>
        <v>#DIV/0!</v>
      </c>
      <c r="H35" s="52" t="e">
        <f>'PROM (Ingles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(Hogar y Desarrollo 7°)'!AE25</f>
        <v>#DIV/0!</v>
      </c>
      <c r="G36" s="73" t="e">
        <f>'PROM (Hogar y Desarrollo 7°)'!BM25</f>
        <v>#DIV/0!</v>
      </c>
      <c r="H36" s="52" t="e">
        <f>'PROM (Ingles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(Hogar y Desarrollo 7°)'!AE26</f>
        <v>#DIV/0!</v>
      </c>
      <c r="G37" s="73" t="e">
        <f>'PROM (Hogar y Desarrollo 7°)'!BM26</f>
        <v>#DIV/0!</v>
      </c>
      <c r="H37" s="52" t="e">
        <f>'PROM (Ingles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(Hogar y Desarrollo 7°)'!AE27</f>
        <v>#DIV/0!</v>
      </c>
      <c r="G38" s="73" t="e">
        <f>'PROM (Hogar y Desarrollo 7°)'!BM27</f>
        <v>#DIV/0!</v>
      </c>
      <c r="H38" s="52" t="e">
        <f>'PROM (Ingles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(Hogar y Desarrollo 7°)'!AE28</f>
        <v>#DIV/0!</v>
      </c>
      <c r="G39" s="73" t="e">
        <f>'PROM (Hogar y Desarrollo 7°)'!BM28</f>
        <v>#DIV/0!</v>
      </c>
      <c r="H39" s="52" t="e">
        <f>'PROM (Ingles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(Hogar y Desarrollo 7°)'!AE29</f>
        <v>#DIV/0!</v>
      </c>
      <c r="G40" s="73" t="e">
        <f>'PROM (Hogar y Desarrollo 7°)'!BM29</f>
        <v>#DIV/0!</v>
      </c>
      <c r="H40" s="52" t="e">
        <f>'PROM (Ingles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(Hogar y Desarrollo 7°)'!AE30</f>
        <v>#DIV/0!</v>
      </c>
      <c r="G41" s="73" t="e">
        <f>'PROM (Hogar y Desarrollo 7°)'!BM30</f>
        <v>#DIV/0!</v>
      </c>
      <c r="H41" s="52" t="e">
        <f>'PROM (Ingles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(Hogar y Desarrollo 7°)'!AE31</f>
        <v>#DIV/0!</v>
      </c>
      <c r="G42" s="73" t="e">
        <f>'PROM (Hogar y Desarrollo 7°)'!BM31</f>
        <v>#DIV/0!</v>
      </c>
      <c r="H42" s="52" t="e">
        <f>'PROM (Ingles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(Hogar y Desarrollo 7°)'!AE32</f>
        <v>#DIV/0!</v>
      </c>
      <c r="G43" s="73" t="e">
        <f>'PROM (Hogar y Desarrollo 7°)'!BM32</f>
        <v>#DIV/0!</v>
      </c>
      <c r="H43" s="52" t="e">
        <f>'PROM (Ingles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(Hogar y Desarrollo 7°)'!AE33</f>
        <v>#DIV/0!</v>
      </c>
      <c r="G44" s="73" t="e">
        <f>'PROM (Hogar y Desarrollo 7°)'!BM33</f>
        <v>#DIV/0!</v>
      </c>
      <c r="H44" s="52" t="e">
        <f>'PROM (Ingles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(Hogar y Desarrollo 7°)'!AE34</f>
        <v>#DIV/0!</v>
      </c>
      <c r="G45" s="73" t="e">
        <f>'PROM (Hogar y Desarrollo 7°)'!BM34</f>
        <v>#DIV/0!</v>
      </c>
      <c r="H45" s="52" t="e">
        <f>'PROM (Ingles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(Hogar y Desarrollo 7°)'!AE35</f>
        <v>#DIV/0!</v>
      </c>
      <c r="G46" s="73" t="e">
        <f>'PROM (Hogar y Desarrollo 7°)'!BM35</f>
        <v>#DIV/0!</v>
      </c>
      <c r="H46" s="52" t="e">
        <f>'PROM (Ingles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(Hogar y Desarrollo 7°)'!AE36</f>
        <v>#DIV/0!</v>
      </c>
      <c r="G47" s="73" t="e">
        <f>'PROM (Hogar y Desarrollo 7°)'!BM36</f>
        <v>#DIV/0!</v>
      </c>
      <c r="H47" s="52" t="e">
        <f>'PROM (Ingles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(Hogar y Desarrollo 7°)'!AE37</f>
        <v>#DIV/0!</v>
      </c>
      <c r="G48" s="73" t="e">
        <f>'PROM (Hogar y Desarrollo 7°)'!BM37</f>
        <v>#DIV/0!</v>
      </c>
      <c r="H48" s="52" t="e">
        <f>'PROM (Ingles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(Hogar y Desarrollo 7°)'!AE38</f>
        <v>#DIV/0!</v>
      </c>
      <c r="G49" s="73" t="e">
        <f>'PROM (Hogar y Desarrollo 7°)'!BM38</f>
        <v>#DIV/0!</v>
      </c>
      <c r="H49" s="52" t="e">
        <f>'PROM (Ingles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(Hogar y Desarrollo 7°)'!AE39</f>
        <v>#DIV/0!</v>
      </c>
      <c r="G50" s="73" t="e">
        <f>'PROM (Hogar y Desarrollo 7°)'!BM39</f>
        <v>#DIV/0!</v>
      </c>
      <c r="H50" s="52" t="e">
        <f>'PROM (Ingles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(Hogar y Desarrollo 7°)'!AE40</f>
        <v>#DIV/0!</v>
      </c>
      <c r="G51" s="73" t="e">
        <f>'PROM (Hogar y Desarrollo 7°)'!BM40</f>
        <v>#DIV/0!</v>
      </c>
      <c r="H51" s="52" t="e">
        <f>'PROM (Ingles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(Hogar y Desarrollo 7°)'!AE41</f>
        <v>#DIV/0!</v>
      </c>
      <c r="G52" s="73" t="e">
        <f>'PROM (Hogar y Desarrollo 7°)'!BM41</f>
        <v>#DIV/0!</v>
      </c>
      <c r="H52" s="52" t="e">
        <f>'PROM (Ingles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L9:Q9"/>
    <mergeCell ref="D10:G10"/>
    <mergeCell ref="L14:M14"/>
    <mergeCell ref="B7:Q7"/>
    <mergeCell ref="N14:O14"/>
    <mergeCell ref="G14:G15"/>
  </mergeCells>
  <conditionalFormatting sqref="F16:I52">
    <cfRule type="cellIs" dxfId="16" priority="1" operator="lessThan">
      <formula>3</formula>
    </cfRule>
  </conditionalFormatting>
  <pageMargins left="0.25" right="4.9479166666666657E-2" top="0.75" bottom="0.75" header="0.3" footer="0.3"/>
  <pageSetup orientation="portrait" horizont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rgb="FF4472C4"/>
  </sheetPr>
  <dimension ref="A1:EE49"/>
  <sheetViews>
    <sheetView view="pageLayout" zoomScale="80" zoomScaleNormal="100" zoomScalePageLayoutView="80" workbookViewId="0">
      <selection activeCell="I9" sqref="I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103</v>
      </c>
      <c r="BQ1" s="215"/>
      <c r="BR1" s="215"/>
      <c r="BS1" s="215"/>
      <c r="BT1" s="215"/>
      <c r="BU1" s="215"/>
      <c r="BV1" s="215"/>
      <c r="BW1" s="215"/>
      <c r="BX1" s="215"/>
      <c r="BY1" s="215"/>
      <c r="BZ1" s="215"/>
      <c r="CA1" s="215"/>
      <c r="CB1" s="215"/>
      <c r="CC1" s="215"/>
      <c r="CD1" s="215"/>
      <c r="CE1" s="215"/>
      <c r="CF1" s="216"/>
      <c r="CG1" s="245" t="s">
        <v>103</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25"/>
      <c r="H4" s="25"/>
      <c r="I4" s="25"/>
      <c r="K4" s="25"/>
      <c r="L4" s="25"/>
      <c r="M4" s="25"/>
      <c r="N4" s="25"/>
      <c r="O4" s="25"/>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5"/>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MAESTRO!B5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MAESTRO!B6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MAESTRO!B20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MAESTRO!B21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53"/>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53"/>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53"/>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53"/>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103"/>
      <c r="BT26" s="103"/>
      <c r="BU26" s="103"/>
      <c r="BV26" s="103"/>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105"/>
      <c r="AM27" s="65"/>
      <c r="AN27" s="65"/>
      <c r="AO27" s="65"/>
      <c r="AP27" s="53"/>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103"/>
      <c r="BT27" s="103"/>
      <c r="BU27" s="103"/>
      <c r="BV27" s="103"/>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105"/>
      <c r="AM28" s="65"/>
      <c r="AN28" s="65"/>
      <c r="AO28" s="65"/>
      <c r="AP28" s="53"/>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103"/>
      <c r="BT28" s="103"/>
      <c r="BU28" s="103"/>
      <c r="BV28" s="103"/>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105"/>
      <c r="AM29" s="65"/>
      <c r="AN29" s="65"/>
      <c r="AO29" s="65"/>
      <c r="AP29" s="53"/>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103"/>
      <c r="BT29" s="103"/>
      <c r="BU29" s="103"/>
      <c r="BV29" s="103"/>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5"/>
      <c r="AL30" s="105"/>
      <c r="AM30" s="105"/>
      <c r="AN30" s="105"/>
      <c r="AO30" s="105"/>
      <c r="AP30" s="105"/>
      <c r="AQ30" s="10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103"/>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5"/>
      <c r="D31" s="5"/>
      <c r="E31" s="103"/>
      <c r="F31" s="5"/>
      <c r="G31" s="5"/>
      <c r="H31" s="5"/>
      <c r="I31" s="103"/>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5"/>
      <c r="AL31" s="105"/>
      <c r="AM31" s="105"/>
      <c r="AN31" s="105"/>
      <c r="AO31" s="105"/>
      <c r="AP31" s="105"/>
      <c r="AQ31" s="10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103"/>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5"/>
      <c r="D32" s="5"/>
      <c r="E32" s="103"/>
      <c r="F32" s="5"/>
      <c r="G32" s="5"/>
      <c r="H32" s="5"/>
      <c r="I32" s="103"/>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103"/>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5"/>
      <c r="D33" s="5"/>
      <c r="E33" s="103"/>
      <c r="F33" s="5"/>
      <c r="G33" s="5"/>
      <c r="H33" s="5"/>
      <c r="I33" s="103"/>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3"/>
      <c r="E34" s="103"/>
      <c r="F34" s="103"/>
      <c r="G34" s="103"/>
      <c r="H34" s="103"/>
      <c r="I34" s="103"/>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3"/>
      <c r="E35" s="103"/>
      <c r="F35" s="103"/>
      <c r="G35" s="103"/>
      <c r="H35" s="103"/>
      <c r="I35" s="103"/>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3"/>
      <c r="E36" s="103"/>
      <c r="F36" s="103"/>
      <c r="G36" s="103"/>
      <c r="H36" s="103"/>
      <c r="I36" s="103"/>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3"/>
      <c r="E37" s="103"/>
      <c r="F37" s="103"/>
      <c r="G37" s="103"/>
      <c r="H37" s="103"/>
      <c r="I37" s="103"/>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3"/>
      <c r="E38" s="103"/>
      <c r="F38" s="103"/>
      <c r="G38" s="103"/>
      <c r="H38" s="103"/>
      <c r="I38" s="103"/>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3"/>
      <c r="E39" s="103"/>
      <c r="F39" s="103"/>
      <c r="G39" s="103"/>
      <c r="H39" s="103"/>
      <c r="I39" s="103"/>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3"/>
      <c r="E40" s="103"/>
      <c r="F40" s="103"/>
      <c r="G40" s="103"/>
      <c r="H40" s="103"/>
      <c r="I40" s="103"/>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3"/>
      <c r="E41" s="103"/>
      <c r="F41" s="103"/>
      <c r="G41" s="103"/>
      <c r="H41" s="103"/>
      <c r="I41" s="103"/>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3"/>
      <c r="E42" s="103"/>
      <c r="F42" s="103"/>
      <c r="G42" s="103"/>
      <c r="H42" s="103"/>
      <c r="I42" s="103"/>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3"/>
      <c r="E43" s="103"/>
      <c r="F43" s="103"/>
      <c r="G43" s="103"/>
      <c r="H43" s="103"/>
      <c r="I43" s="103"/>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3"/>
      <c r="E44" s="103"/>
      <c r="F44" s="103"/>
      <c r="G44" s="103"/>
      <c r="H44" s="103"/>
      <c r="I44" s="10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105"/>
      <c r="AQ44" s="105"/>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103"/>
      <c r="H45" s="103"/>
      <c r="I45" s="10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103"/>
      <c r="H46" s="103"/>
      <c r="I46" s="10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103"/>
      <c r="H47" s="103"/>
      <c r="I47" s="10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103"/>
      <c r="H48" s="103"/>
      <c r="I48" s="10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5"/>
      <c r="E49" s="95"/>
      <c r="F49" s="95"/>
      <c r="G49" s="95"/>
      <c r="H49" s="95"/>
      <c r="I49" s="95"/>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95"/>
      <c r="BU49" s="95"/>
      <c r="BV49" s="95"/>
      <c r="BW49" s="5"/>
      <c r="BX49" s="5"/>
      <c r="BY49" s="5"/>
      <c r="BZ49" s="5"/>
      <c r="CA49" s="5"/>
      <c r="CB49" s="5"/>
      <c r="CC49" s="5"/>
      <c r="CD49" s="5"/>
      <c r="CE49" s="5"/>
      <c r="CF49" s="5" t="e">
        <f>TRUNC(AVERAGE(BS49:CE49),1)</f>
        <v>#DIV/0!</v>
      </c>
      <c r="CG49" s="5"/>
      <c r="CH49" s="5"/>
      <c r="CI49" s="5"/>
      <c r="CJ49" s="5"/>
      <c r="CK49" s="5"/>
      <c r="CL49" s="5"/>
      <c r="CM49" s="5"/>
      <c r="CN49" s="5"/>
      <c r="CO49" s="5"/>
      <c r="CP49" s="5"/>
      <c r="CQ49" s="5"/>
      <c r="CR49" s="5"/>
      <c r="CS49" s="5"/>
      <c r="CT49" s="5"/>
      <c r="CU49" s="5"/>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AI29:AJ29"/>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s>
  <conditionalFormatting sqref="AE1:AE41 AE50:AE1048576">
    <cfRule type="cellIs" dxfId="15" priority="1" operator="lessThan">
      <formula>3</formula>
    </cfRule>
  </conditionalFormatting>
  <pageMargins left="0.7" right="0.7" top="0.75" bottom="0.75" header="0.3" footer="0.3"/>
  <pageSetup orientation="portrait" horizontalDpi="4294967293" r:id="rId1"/>
  <headerFooter>
    <oddHeader>&amp;LAGROPECUARIA&amp;CGRUPO 7°</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tabColor rgb="FF70A0D4"/>
  </sheetPr>
  <dimension ref="B3:Q58"/>
  <sheetViews>
    <sheetView view="pageLayout" zoomScale="70" zoomScaleNormal="100" zoomScalePageLayoutView="70" workbookViewId="0">
      <selection activeCell="E24" sqref="E24"/>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19</v>
      </c>
      <c r="M9" s="215"/>
      <c r="N9" s="215"/>
      <c r="O9" s="215"/>
      <c r="P9" s="215"/>
      <c r="Q9" s="216"/>
    </row>
    <row r="10" spans="2:17">
      <c r="B10" s="266" t="s">
        <v>117</v>
      </c>
      <c r="C10" s="216"/>
      <c r="D10" s="261" t="s">
        <v>118</v>
      </c>
      <c r="E10" s="215"/>
      <c r="F10" s="215"/>
      <c r="G10" s="216"/>
      <c r="H10" s="13"/>
      <c r="I10" s="49"/>
      <c r="J10" s="13"/>
      <c r="K10" s="13"/>
      <c r="L10" s="13"/>
      <c r="M10" s="13"/>
      <c r="N10" s="13"/>
      <c r="O10" s="13"/>
      <c r="P10" s="13"/>
      <c r="Q10" s="13"/>
    </row>
    <row r="11" spans="2:17">
      <c r="B11" s="258" t="s">
        <v>119</v>
      </c>
      <c r="C11" s="216"/>
      <c r="D11" s="259" t="s">
        <v>5</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MAESTRO!B5</f>
        <v>0</v>
      </c>
      <c r="D16" s="17"/>
      <c r="E16" s="17"/>
      <c r="F16" s="52" t="e">
        <f>'PROM (Agropecuaria 7°)'!AE5</f>
        <v>#DIV/0!</v>
      </c>
      <c r="G16" s="52" t="e">
        <f>'PROM (Agropecuaria 7°)'!BM5</f>
        <v>#DIV/0!</v>
      </c>
      <c r="H16" s="52" t="e">
        <f>'PROM (Agropecuaria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(Agropecuaria 7°)'!AE6</f>
        <v>#DIV/0!</v>
      </c>
      <c r="G17" s="52" t="e">
        <f>'PROM (Agropecuaria 7°)'!BM6</f>
        <v>#DIV/0!</v>
      </c>
      <c r="H17" s="52" t="e">
        <f>'PROM (Agropecuaria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(Agropecuaria 7°)'!AE7</f>
        <v>#DIV/0!</v>
      </c>
      <c r="G18" s="52" t="e">
        <f>'PROM (Agropecuaria 7°)'!BM7</f>
        <v>#DIV/0!</v>
      </c>
      <c r="H18" s="52" t="e">
        <f>'PROM (Agropecuaria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(Agropecuaria 7°)'!AE8</f>
        <v>#DIV/0!</v>
      </c>
      <c r="G19" s="52" t="e">
        <f>'PROM (Agropecuaria 7°)'!BM8</f>
        <v>#DIV/0!</v>
      </c>
      <c r="H19" s="52" t="e">
        <f>'PROM (Agropecuaria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(Agropecuaria 7°)'!AE9</f>
        <v>#DIV/0!</v>
      </c>
      <c r="G20" s="52" t="e">
        <f>'PROM (Agropecuaria 7°)'!BM9</f>
        <v>#DIV/0!</v>
      </c>
      <c r="H20" s="52" t="e">
        <f>'PROM (Agropecuaria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(Agropecuaria 7°)'!AE10</f>
        <v>#DIV/0!</v>
      </c>
      <c r="G21" s="52" t="e">
        <f>'PROM (Agropecuaria 7°)'!BM10</f>
        <v>#DIV/0!</v>
      </c>
      <c r="H21" s="52" t="e">
        <f>'PROM (Agropecuaria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(Agropecuaria 7°)'!AE11</f>
        <v>#DIV/0!</v>
      </c>
      <c r="G22" s="52" t="e">
        <f>'PROM (Agropecuaria 7°)'!BM11</f>
        <v>#DIV/0!</v>
      </c>
      <c r="H22" s="52" t="e">
        <f>'PROM (Agropecuaria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(Agropecuaria 7°)'!AE12</f>
        <v>#DIV/0!</v>
      </c>
      <c r="G23" s="52" t="e">
        <f>'PROM (Agropecuaria 7°)'!BM12</f>
        <v>#DIV/0!</v>
      </c>
      <c r="H23" s="52" t="e">
        <f>'PROM (Agropecuaria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(Agropecuaria 7°)'!AE13</f>
        <v>#DIV/0!</v>
      </c>
      <c r="G24" s="52" t="e">
        <f>'PROM (Agropecuaria 7°)'!BM13</f>
        <v>#DIV/0!</v>
      </c>
      <c r="H24" s="52" t="e">
        <f>'PROM (Agropecuaria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(Agropecuaria 7°)'!AE14</f>
        <v>#DIV/0!</v>
      </c>
      <c r="G25" s="52" t="e">
        <f>'PROM (Agropecuaria 7°)'!BM14</f>
        <v>#DIV/0!</v>
      </c>
      <c r="H25" s="52" t="e">
        <f>'PROM (Agropecuaria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(Agropecuaria 7°)'!AE15</f>
        <v>#DIV/0!</v>
      </c>
      <c r="G26" s="52" t="e">
        <f>'PROM (Agropecuaria 7°)'!BM15</f>
        <v>#DIV/0!</v>
      </c>
      <c r="H26" s="52" t="e">
        <f>'PROM (Agropecuaria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(Agropecuaria 7°)'!AE16</f>
        <v>#DIV/0!</v>
      </c>
      <c r="G27" s="52" t="e">
        <f>'PROM (Agropecuaria 7°)'!BM16</f>
        <v>#DIV/0!</v>
      </c>
      <c r="H27" s="52" t="e">
        <f>'PROM (Agropecuaria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(Agropecuaria 7°)'!AE17</f>
        <v>#DIV/0!</v>
      </c>
      <c r="G28" s="52" t="e">
        <f>'PROM (Agropecuaria 7°)'!BM17</f>
        <v>#DIV/0!</v>
      </c>
      <c r="H28" s="52" t="e">
        <f>'PROM (Agropecuaria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(Agropecuaria 7°)'!AE18</f>
        <v>#DIV/0!</v>
      </c>
      <c r="G29" s="52" t="e">
        <f>'PROM (Agropecuaria 7°)'!BM18</f>
        <v>#DIV/0!</v>
      </c>
      <c r="H29" s="52" t="e">
        <f>'PROM (Agropecuaria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(Agropecuaria 7°)'!AE19</f>
        <v>#DIV/0!</v>
      </c>
      <c r="G30" s="52" t="e">
        <f>'PROM (Agropecuaria 7°)'!BM19</f>
        <v>#DIV/0!</v>
      </c>
      <c r="H30" s="52" t="e">
        <f>'PROM (Agropecuaria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(Agropecuaria 7°)'!AE20</f>
        <v>#DIV/0!</v>
      </c>
      <c r="G31" s="52" t="e">
        <f>'PROM (Agropecuaria 7°)'!BM20</f>
        <v>#DIV/0!</v>
      </c>
      <c r="H31" s="52" t="e">
        <f>'PROM (Agropecuaria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(Agropecuaria 7°)'!AE21</f>
        <v>#DIV/0!</v>
      </c>
      <c r="G32" s="73" t="e">
        <f>'PROM (Agropecuaria 7°)'!BM21</f>
        <v>#DIV/0!</v>
      </c>
      <c r="H32" s="52" t="e">
        <f>'PROM (Agropecuaria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(Agropecuaria 7°)'!AE22</f>
        <v>#DIV/0!</v>
      </c>
      <c r="G33" s="73" t="e">
        <f>'PROM (Agropecuaria 7°)'!BM22</f>
        <v>#DIV/0!</v>
      </c>
      <c r="H33" s="52" t="e">
        <f>'PROM (Agropecuaria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(Agropecuaria 7°)'!AE23</f>
        <v>#DIV/0!</v>
      </c>
      <c r="G34" s="73" t="e">
        <f>'PROM (Agropecuaria 7°)'!BM23</f>
        <v>#DIV/0!</v>
      </c>
      <c r="H34" s="52" t="e">
        <f>'PROM (Agropecuaria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(Agropecuaria 7°)'!AE24</f>
        <v>#DIV/0!</v>
      </c>
      <c r="G35" s="73" t="e">
        <f>'PROM (Agropecuaria 7°)'!BM24</f>
        <v>#DIV/0!</v>
      </c>
      <c r="H35" s="52" t="e">
        <f>'PROM (Agropecuaria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(Agropecuaria 7°)'!AE25</f>
        <v>#DIV/0!</v>
      </c>
      <c r="G36" s="73" t="e">
        <f>'PROM (Agropecuaria 7°)'!BM25</f>
        <v>#DIV/0!</v>
      </c>
      <c r="H36" s="52" t="e">
        <f>'PROM (Agropecuaria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(Agropecuaria 7°)'!AE26</f>
        <v>#DIV/0!</v>
      </c>
      <c r="G37" s="73" t="e">
        <f>'PROM (Agropecuaria 7°)'!BM26</f>
        <v>#DIV/0!</v>
      </c>
      <c r="H37" s="52" t="e">
        <f>'PROM (Agropecuaria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(Agropecuaria 7°)'!AE27</f>
        <v>#DIV/0!</v>
      </c>
      <c r="G38" s="73" t="e">
        <f>'PROM (Agropecuaria 7°)'!BM27</f>
        <v>#DIV/0!</v>
      </c>
      <c r="H38" s="52" t="e">
        <f>'PROM (Agropecuaria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(Agropecuaria 7°)'!AE28</f>
        <v>#DIV/0!</v>
      </c>
      <c r="G39" s="73" t="e">
        <f>'PROM (Agropecuaria 7°)'!BM28</f>
        <v>#DIV/0!</v>
      </c>
      <c r="H39" s="52" t="e">
        <f>'PROM (Agropecuaria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(Agropecuaria 7°)'!AE29</f>
        <v>#DIV/0!</v>
      </c>
      <c r="G40" s="73" t="e">
        <f>'PROM (Agropecuaria 7°)'!BM29</f>
        <v>#DIV/0!</v>
      </c>
      <c r="H40" s="52" t="e">
        <f>'PROM (Agropecuaria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(Agropecuaria 7°)'!AE30</f>
        <v>#DIV/0!</v>
      </c>
      <c r="G41" s="73" t="e">
        <f>'PROM (Agropecuaria 7°)'!BM30</f>
        <v>#DIV/0!</v>
      </c>
      <c r="H41" s="52" t="e">
        <f>'PROM (Agropecuaria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(Agropecuaria 7°)'!AE31</f>
        <v>#DIV/0!</v>
      </c>
      <c r="G42" s="73" t="e">
        <f>'PROM (Agropecuaria 7°)'!BM31</f>
        <v>#DIV/0!</v>
      </c>
      <c r="H42" s="52" t="e">
        <f>'PROM (Agropecuaria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(Agropecuaria 7°)'!AE32</f>
        <v>#DIV/0!</v>
      </c>
      <c r="G43" s="73" t="e">
        <f>'PROM (Agropecuaria 7°)'!BM32</f>
        <v>#DIV/0!</v>
      </c>
      <c r="H43" s="52" t="e">
        <f>'PROM (Agropecuaria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(Agropecuaria 7°)'!AE33</f>
        <v>#DIV/0!</v>
      </c>
      <c r="G44" s="73" t="e">
        <f>'PROM (Agropecuaria 7°)'!BM33</f>
        <v>#DIV/0!</v>
      </c>
      <c r="H44" s="52" t="e">
        <f>'PROM (Agropecuaria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(Agropecuaria 7°)'!AE34</f>
        <v>#DIV/0!</v>
      </c>
      <c r="G45" s="73" t="e">
        <f>'PROM (Agropecuaria 7°)'!BM34</f>
        <v>#DIV/0!</v>
      </c>
      <c r="H45" s="52" t="e">
        <f>'PROM (Agropecuaria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(Agropecuaria 7°)'!AE35</f>
        <v>#DIV/0!</v>
      </c>
      <c r="G46" s="73" t="e">
        <f>'PROM (Agropecuaria 7°)'!BM35</f>
        <v>#DIV/0!</v>
      </c>
      <c r="H46" s="52" t="e">
        <f>'PROM (Agropecuaria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(Agropecuaria 7°)'!AE36</f>
        <v>#DIV/0!</v>
      </c>
      <c r="G47" s="73" t="e">
        <f>'PROM (Agropecuaria 7°)'!BM36</f>
        <v>#DIV/0!</v>
      </c>
      <c r="H47" s="52" t="e">
        <f>'PROM (Agropecuaria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(Agropecuaria 7°)'!AE37</f>
        <v>#DIV/0!</v>
      </c>
      <c r="G48" s="73" t="e">
        <f>'PROM (Agropecuaria 7°)'!BM37</f>
        <v>#DIV/0!</v>
      </c>
      <c r="H48" s="52" t="e">
        <f>'PROM (Agropecuaria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(Agropecuaria 7°)'!AE38</f>
        <v>#DIV/0!</v>
      </c>
      <c r="G49" s="73" t="e">
        <f>'PROM (Agropecuaria 7°)'!BM38</f>
        <v>#DIV/0!</v>
      </c>
      <c r="H49" s="52" t="e">
        <f>'PROM (Agropecuaria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(Agropecuaria 7°)'!AE39</f>
        <v>#DIV/0!</v>
      </c>
      <c r="G50" s="73" t="e">
        <f>'PROM (Agropecuaria 7°)'!BM39</f>
        <v>#DIV/0!</v>
      </c>
      <c r="H50" s="52" t="e">
        <f>'PROM (Agropecuaria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(Agropecuaria 7°)'!AE40</f>
        <v>#DIV/0!</v>
      </c>
      <c r="G51" s="73" t="e">
        <f>'PROM (Agropecuaria 7°)'!BM40</f>
        <v>#DIV/0!</v>
      </c>
      <c r="H51" s="52" t="e">
        <f>'PROM (Agropecuaria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(Agropecuaria 7°)'!AE41</f>
        <v>#DIV/0!</v>
      </c>
      <c r="G52" s="73" t="e">
        <f>'PROM (Agropecuaria 7°)'!BM41</f>
        <v>#DIV/0!</v>
      </c>
      <c r="H52" s="52" t="e">
        <f>'PROM (Agropecuaria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4" priority="1" operator="lessThan">
      <formula>3</formula>
    </cfRule>
  </conditionalFormatting>
  <pageMargins left="0.25" right="4.9479166666666657E-2" top="0.75" bottom="0.75" header="0.3" footer="0.3"/>
  <pageSetup orientation="portrait" horizont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
    <tabColor rgb="FF9966CC"/>
  </sheetPr>
  <dimension ref="A1:EE49"/>
  <sheetViews>
    <sheetView view="pageLayout" zoomScale="60" zoomScaleNormal="100" zoomScalePageLayoutView="60" workbookViewId="0">
      <selection activeCell="B7" sqref="B7"/>
    </sheetView>
  </sheetViews>
  <sheetFormatPr baseColWidth="10" defaultRowHeight="14.4"/>
  <cols>
    <col min="1" max="1" width="3.21875" bestFit="1" customWidth="1"/>
    <col min="2" max="2" width="19.554687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102</v>
      </c>
      <c r="BQ1" s="215"/>
      <c r="BR1" s="215"/>
      <c r="BS1" s="215"/>
      <c r="BT1" s="215"/>
      <c r="BU1" s="215"/>
      <c r="BV1" s="215"/>
      <c r="BW1" s="215"/>
      <c r="BX1" s="215"/>
      <c r="BY1" s="215"/>
      <c r="BZ1" s="215"/>
      <c r="CA1" s="215"/>
      <c r="CB1" s="215"/>
      <c r="CC1" s="215"/>
      <c r="CD1" s="215"/>
      <c r="CE1" s="215"/>
      <c r="CF1" s="216"/>
      <c r="CG1" s="245" t="s">
        <v>102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4"/>
      <c r="H4" s="4"/>
      <c r="I4" s="4"/>
      <c r="J4" s="4"/>
      <c r="K4" s="4"/>
      <c r="L4" s="4"/>
      <c r="M4" s="4"/>
      <c r="N4" s="4"/>
      <c r="O4" s="4"/>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2"/>
      <c r="AX4" s="219"/>
      <c r="AY4" s="25">
        <v>171</v>
      </c>
      <c r="AZ4" s="25">
        <v>45512</v>
      </c>
      <c r="BA4" s="25">
        <v>45532</v>
      </c>
      <c r="BB4" s="25">
        <v>45547</v>
      </c>
      <c r="BC4" s="25">
        <v>45548</v>
      </c>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25"/>
      <c r="CL4" s="25"/>
      <c r="CM4" s="25"/>
      <c r="CN4" s="25"/>
      <c r="CO4" s="25"/>
      <c r="CP4" s="2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103"/>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103"/>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103"/>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10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103"/>
      <c r="BT26" s="103"/>
      <c r="BU26" s="103"/>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10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103"/>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105"/>
      <c r="AL28" s="105"/>
      <c r="AM28" s="105"/>
      <c r="AN28" s="105"/>
      <c r="AO28" s="10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103"/>
      <c r="BT28" s="103"/>
      <c r="BU28" s="103"/>
      <c r="BV28" s="5"/>
      <c r="BW28" s="5"/>
      <c r="BX28" s="5"/>
      <c r="BY28" s="5"/>
      <c r="BZ28" s="5"/>
      <c r="CA28" s="5"/>
      <c r="CB28" s="5"/>
      <c r="CC28" s="5"/>
      <c r="CD28" s="5"/>
      <c r="CE28" s="5"/>
      <c r="CF28" s="5" t="e">
        <f t="shared" si="10"/>
        <v>#DIV/0!</v>
      </c>
      <c r="CG28" s="5"/>
      <c r="CH28" s="5"/>
      <c r="CI28" s="5"/>
      <c r="CJ28" s="5"/>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105"/>
      <c r="AL29" s="105"/>
      <c r="AM29" s="105"/>
      <c r="AN29" s="105"/>
      <c r="AO29" s="10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103"/>
      <c r="BT29" s="103"/>
      <c r="BU29" s="103"/>
      <c r="BV29" s="5"/>
      <c r="BW29" s="5"/>
      <c r="BX29" s="5"/>
      <c r="BY29" s="5"/>
      <c r="BZ29" s="5"/>
      <c r="CA29" s="5"/>
      <c r="CB29" s="5"/>
      <c r="CC29" s="5"/>
      <c r="CD29" s="5"/>
      <c r="CE29" s="5"/>
      <c r="CF29" s="5" t="e">
        <f t="shared" si="10"/>
        <v>#DIV/0!</v>
      </c>
      <c r="CG29" s="5"/>
      <c r="CH29" s="5"/>
      <c r="CI29" s="5"/>
      <c r="CJ29" s="5"/>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5"/>
      <c r="AL30" s="105"/>
      <c r="AM30" s="105"/>
      <c r="AN30" s="105"/>
      <c r="AO30" s="10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5"/>
      <c r="BW30" s="5"/>
      <c r="BX30" s="5"/>
      <c r="BY30" s="5"/>
      <c r="BZ30" s="5"/>
      <c r="CA30" s="5"/>
      <c r="CB30" s="5"/>
      <c r="CC30" s="5"/>
      <c r="CD30" s="5"/>
      <c r="CE30" s="5"/>
      <c r="CF30" s="5" t="e">
        <f t="shared" si="10"/>
        <v>#DIV/0!</v>
      </c>
      <c r="CG30" s="5"/>
      <c r="CH30" s="5"/>
      <c r="CI30" s="5"/>
      <c r="CJ30" s="5"/>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104"/>
      <c r="D31" s="104"/>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5"/>
      <c r="AL31" s="105"/>
      <c r="AM31" s="105"/>
      <c r="AN31" s="105"/>
      <c r="AO31" s="10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4"/>
      <c r="D32" s="104"/>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4"/>
      <c r="D33" s="104"/>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4"/>
      <c r="D34" s="104"/>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4"/>
      <c r="D35" s="104"/>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4"/>
      <c r="D36" s="104"/>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4"/>
      <c r="D37" s="104"/>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4"/>
      <c r="D38" s="104"/>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4"/>
      <c r="D39" s="104"/>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4"/>
      <c r="D40" s="104"/>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4"/>
      <c r="D41" s="104"/>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4"/>
      <c r="D42" s="104"/>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4"/>
      <c r="D43" s="104"/>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4"/>
      <c r="D44" s="104"/>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4"/>
      <c r="AQ44" s="4"/>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4"/>
      <c r="D45" s="104"/>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4"/>
      <c r="D46" s="104"/>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4"/>
      <c r="D47" s="104"/>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4"/>
      <c r="D48" s="104"/>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f>'Asistencia (9°)'!B46</f>
        <v>0</v>
      </c>
      <c r="C49" s="93"/>
      <c r="D49" s="94"/>
      <c r="E49" s="93"/>
      <c r="F49" s="93"/>
      <c r="G49" s="93"/>
      <c r="H49" s="93"/>
      <c r="I49" s="93"/>
      <c r="J49" s="93"/>
      <c r="K49" s="5"/>
      <c r="L49" s="5"/>
      <c r="M49" s="5"/>
      <c r="N49" s="5"/>
      <c r="O49" s="5"/>
      <c r="P49" s="5"/>
      <c r="Q49" s="42"/>
      <c r="R49" s="92"/>
      <c r="S49" s="92"/>
      <c r="T49" s="91"/>
      <c r="U49" s="91"/>
      <c r="V49" s="91"/>
      <c r="W49" s="91"/>
      <c r="X49" s="91"/>
      <c r="Y49" s="91"/>
      <c r="Z49" s="91"/>
      <c r="AA49" s="24"/>
      <c r="AB49" s="24"/>
      <c r="AC49" s="24"/>
      <c r="AD49" s="24"/>
      <c r="AE49" s="24"/>
      <c r="AF49" s="4"/>
      <c r="AG49" s="4">
        <v>45</v>
      </c>
      <c r="AH49" s="4">
        <v>45</v>
      </c>
      <c r="AI49" s="229"/>
      <c r="AJ49" s="216"/>
      <c r="AK49" s="53"/>
      <c r="AL49" s="99"/>
      <c r="AM49" s="99"/>
      <c r="AN49" s="99"/>
      <c r="AO49" s="99"/>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100"/>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AI23:AJ23"/>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CY46:CZ46"/>
    <mergeCell ref="A2:P2"/>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A1:P1"/>
    <mergeCell ref="BQ21:BR21"/>
    <mergeCell ref="CY21:CZ21"/>
    <mergeCell ref="AI16:AJ16"/>
    <mergeCell ref="CV3:CW4"/>
    <mergeCell ref="CY41:CZ41"/>
    <mergeCell ref="AI43:AJ43"/>
    <mergeCell ref="AI18:AJ18"/>
    <mergeCell ref="BQ23:BR23"/>
    <mergeCell ref="CY23:CZ23"/>
    <mergeCell ref="CY13:CZ13"/>
    <mergeCell ref="BQ7:BR7"/>
    <mergeCell ref="AI33:AJ33"/>
    <mergeCell ref="CY7:CZ7"/>
    <mergeCell ref="AI42:AJ42"/>
    <mergeCell ref="CY43:CZ43"/>
    <mergeCell ref="CY40:CZ40"/>
    <mergeCell ref="CY27:CZ27"/>
    <mergeCell ref="AE3:AE4"/>
    <mergeCell ref="AI34:AJ34"/>
    <mergeCell ref="BQ34:BR34"/>
    <mergeCell ref="AI28:AJ28"/>
    <mergeCell ref="BI3:BI4"/>
    <mergeCell ref="CQ3:CQ4"/>
    <mergeCell ref="R1:AG1"/>
    <mergeCell ref="CY6:CZ6"/>
    <mergeCell ref="CY44:CZ44"/>
    <mergeCell ref="CY15:CZ15"/>
    <mergeCell ref="AX3:AX4"/>
    <mergeCell ref="BS3:CE3"/>
    <mergeCell ref="DA3:DM3"/>
    <mergeCell ref="CG2:CW2"/>
    <mergeCell ref="BQ31:BR31"/>
    <mergeCell ref="AI26:AJ26"/>
    <mergeCell ref="AF3:AG4"/>
    <mergeCell ref="CY12:CZ12"/>
    <mergeCell ref="AI7:AJ7"/>
    <mergeCell ref="CY3:CZ4"/>
    <mergeCell ref="AI44:AJ44"/>
    <mergeCell ref="BQ36:BR36"/>
    <mergeCell ref="AI30:AJ30"/>
    <mergeCell ref="BQ33:BR33"/>
    <mergeCell ref="AI6:AJ6"/>
    <mergeCell ref="BQ20:BR20"/>
    <mergeCell ref="AI11:AJ11"/>
    <mergeCell ref="AY3:BH3"/>
    <mergeCell ref="CY25:CZ25"/>
    <mergeCell ref="CY30:CZ30"/>
    <mergeCell ref="CY49:CZ49"/>
    <mergeCell ref="CY18:CZ18"/>
    <mergeCell ref="BP3:BP4"/>
    <mergeCell ref="BQ5:BR5"/>
    <mergeCell ref="AU44:AV44"/>
    <mergeCell ref="AI40:AJ40"/>
    <mergeCell ref="AI15:AJ15"/>
    <mergeCell ref="BQ29:BR29"/>
    <mergeCell ref="AI24:AJ24"/>
    <mergeCell ref="BQ46:BR46"/>
    <mergeCell ref="BQ48:BR48"/>
    <mergeCell ref="BQ49:BR49"/>
    <mergeCell ref="BQ35:BR35"/>
    <mergeCell ref="CY5:CZ5"/>
    <mergeCell ref="CY34:CZ34"/>
    <mergeCell ref="BQ22:BR22"/>
    <mergeCell ref="AI32:AJ32"/>
    <mergeCell ref="BQ12:BR12"/>
    <mergeCell ref="CY11:CZ11"/>
    <mergeCell ref="AI46:AJ46"/>
    <mergeCell ref="BL3:BL4"/>
    <mergeCell ref="AI47:AJ47"/>
    <mergeCell ref="CY32:CZ32"/>
    <mergeCell ref="BQ39:BR39"/>
    <mergeCell ref="AI48:AJ48"/>
    <mergeCell ref="BQ28:BR28"/>
    <mergeCell ref="AI29:AJ29"/>
    <mergeCell ref="BQ9:BR9"/>
    <mergeCell ref="B3:B4"/>
    <mergeCell ref="AI38:AJ38"/>
    <mergeCell ref="CY39:CZ39"/>
    <mergeCell ref="BQ3:BR4"/>
    <mergeCell ref="CY36:CZ36"/>
    <mergeCell ref="AB3:AC4"/>
    <mergeCell ref="C3:O3"/>
    <mergeCell ref="P3:P4"/>
    <mergeCell ref="AD3:AD4"/>
    <mergeCell ref="BQ14:BR14"/>
    <mergeCell ref="BN3:BO4"/>
    <mergeCell ref="CY42:CZ42"/>
    <mergeCell ref="AH3:AH4"/>
    <mergeCell ref="CY47:CZ47"/>
    <mergeCell ref="BQ38:BR38"/>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BQ10:BR10"/>
    <mergeCell ref="AI5:AJ5"/>
    <mergeCell ref="BM3:BM4"/>
    <mergeCell ref="BQ19:BR19"/>
    <mergeCell ref="CY19:CZ19"/>
    <mergeCell ref="AI39:AJ39"/>
    <mergeCell ref="DO3:DX3"/>
    <mergeCell ref="EC3:EC4"/>
    <mergeCell ref="DN3:DN4"/>
    <mergeCell ref="CG1:CW1"/>
  </mergeCells>
  <conditionalFormatting sqref="AE1:AE41 AE50:AE1048576">
    <cfRule type="cellIs" dxfId="13" priority="1" operator="lessThan">
      <formula>3</formula>
    </cfRule>
  </conditionalFormatting>
  <pageMargins left="0.7" right="0.7" top="0.75" bottom="0.75" header="0.3" footer="0.3"/>
  <pageSetup orientation="portrait" horizontalDpi="4294967293" r:id="rId1"/>
  <headerFooter>
    <oddHeader>&amp;LINLGES&amp;CGRUPO 8°</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0">
    <tabColor rgb="FFBB99EE"/>
  </sheetPr>
  <dimension ref="B3:Q58"/>
  <sheetViews>
    <sheetView view="pageLayout" zoomScale="70" zoomScaleNormal="100" zoomScalePageLayoutView="70" workbookViewId="0">
      <selection activeCell="D9" sqref="D9:E9"/>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134</v>
      </c>
      <c r="M9" s="215"/>
      <c r="N9" s="215"/>
      <c r="O9" s="215"/>
      <c r="P9" s="215"/>
      <c r="Q9" s="216"/>
    </row>
    <row r="10" spans="2:17">
      <c r="B10" s="266" t="s">
        <v>117</v>
      </c>
      <c r="C10" s="216"/>
      <c r="D10" s="261" t="s">
        <v>135</v>
      </c>
      <c r="E10" s="215"/>
      <c r="F10" s="215"/>
      <c r="G10" s="216"/>
      <c r="H10" s="13"/>
      <c r="I10" s="49"/>
      <c r="J10" s="13"/>
      <c r="K10" s="13"/>
      <c r="L10" s="13"/>
      <c r="M10" s="13"/>
      <c r="N10" s="13"/>
      <c r="O10" s="13"/>
      <c r="P10" s="13"/>
      <c r="Q10" s="13"/>
    </row>
    <row r="11" spans="2:17">
      <c r="B11" s="258" t="s">
        <v>119</v>
      </c>
      <c r="C11" s="216"/>
      <c r="D11" s="259" t="s">
        <v>120</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MAESTRO!D5</f>
        <v>0</v>
      </c>
      <c r="D16" s="17"/>
      <c r="E16" s="17"/>
      <c r="F16" s="52" t="e">
        <f>'PROM (Ingles 8°)'!AE5</f>
        <v>#DIV/0!</v>
      </c>
      <c r="G16" s="52" t="e">
        <f>'PROM (Ingles 8°)'!BM5</f>
        <v>#DIV/0!</v>
      </c>
      <c r="H16" s="52" t="e">
        <f>'PROM (Ingles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(Ingles 8°)'!AE6</f>
        <v>#DIV/0!</v>
      </c>
      <c r="G17" s="52" t="e">
        <f>'PROM (Ingles 8°)'!BM6</f>
        <v>#DIV/0!</v>
      </c>
      <c r="H17" s="52" t="e">
        <f>'PROM (Ingles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(Ingles 8°)'!AE7</f>
        <v>#DIV/0!</v>
      </c>
      <c r="G18" s="52" t="e">
        <f>'PROM (Ingles 8°)'!BM7</f>
        <v>#DIV/0!</v>
      </c>
      <c r="H18" s="52" t="e">
        <f>'PROM (Ingles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(Ingles 8°)'!AE8</f>
        <v>#DIV/0!</v>
      </c>
      <c r="G19" s="52" t="e">
        <f>'PROM (Ingles 8°)'!BM8</f>
        <v>#DIV/0!</v>
      </c>
      <c r="H19" s="52" t="e">
        <f>'PROM (Ingles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(Ingles 8°)'!AE9</f>
        <v>#DIV/0!</v>
      </c>
      <c r="G20" s="52" t="e">
        <f>'PROM (Ingles 8°)'!BM9</f>
        <v>#DIV/0!</v>
      </c>
      <c r="H20" s="52" t="e">
        <f>'PROM (Ingles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(Ingles 8°)'!AE10</f>
        <v>#DIV/0!</v>
      </c>
      <c r="G21" s="52" t="e">
        <f>'PROM (Ingles 8°)'!BM10</f>
        <v>#DIV/0!</v>
      </c>
      <c r="H21" s="52" t="e">
        <f>'PROM (Ingles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(Ingles 8°)'!AE11</f>
        <v>#DIV/0!</v>
      </c>
      <c r="G22" s="52" t="e">
        <f>'PROM (Ingles 8°)'!BM11</f>
        <v>#DIV/0!</v>
      </c>
      <c r="H22" s="52" t="e">
        <f>'PROM (Ingles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(Ingles 8°)'!AE12</f>
        <v>#DIV/0!</v>
      </c>
      <c r="G23" s="52" t="e">
        <f>'PROM (Ingles 8°)'!BM12</f>
        <v>#DIV/0!</v>
      </c>
      <c r="H23" s="52" t="e">
        <f>'PROM (Ingles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(Ingles 8°)'!AE13</f>
        <v>#DIV/0!</v>
      </c>
      <c r="G24" s="52" t="e">
        <f>'PROM (Ingles 8°)'!BM13</f>
        <v>#DIV/0!</v>
      </c>
      <c r="H24" s="52" t="e">
        <f>'PROM (Ingles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(Ingles 8°)'!AE14</f>
        <v>#DIV/0!</v>
      </c>
      <c r="G25" s="52" t="e">
        <f>'PROM (Ingles 8°)'!BM14</f>
        <v>#DIV/0!</v>
      </c>
      <c r="H25" s="52" t="e">
        <f>'PROM (Ingles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(Ingles 8°)'!AE15</f>
        <v>#DIV/0!</v>
      </c>
      <c r="G26" s="52" t="e">
        <f>'PROM (Ingles 8°)'!BM15</f>
        <v>#DIV/0!</v>
      </c>
      <c r="H26" s="52" t="e">
        <f>'PROM (Ingles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(Ingles 8°)'!AE16</f>
        <v>#DIV/0!</v>
      </c>
      <c r="G27" s="52" t="e">
        <f>'PROM (Ingles 8°)'!BM16</f>
        <v>#DIV/0!</v>
      </c>
      <c r="H27" s="52" t="e">
        <f>'PROM (Ingles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(Ingles 8°)'!AE17</f>
        <v>#DIV/0!</v>
      </c>
      <c r="G28" s="52" t="e">
        <f>'PROM (Ingles 8°)'!BM17</f>
        <v>#DIV/0!</v>
      </c>
      <c r="H28" s="52" t="e">
        <f>'PROM (Ingles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(Ingles 8°)'!AE18</f>
        <v>#DIV/0!</v>
      </c>
      <c r="G29" s="52" t="e">
        <f>'PROM (Ingles 8°)'!BM18</f>
        <v>#DIV/0!</v>
      </c>
      <c r="H29" s="52" t="e">
        <f>'PROM (Ingles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(Ingles 8°)'!AE19</f>
        <v>#DIV/0!</v>
      </c>
      <c r="G30" s="52" t="e">
        <f>'PROM (Ingles 8°)'!BM19</f>
        <v>#DIV/0!</v>
      </c>
      <c r="H30" s="52" t="e">
        <f>'PROM (Ingles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(Ingles 8°)'!AE20</f>
        <v>#DIV/0!</v>
      </c>
      <c r="G31" s="52" t="e">
        <f>'PROM (Ingles 8°)'!BM20</f>
        <v>#DIV/0!</v>
      </c>
      <c r="H31" s="52" t="e">
        <f>'PROM (Ingles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(Ingles 8°)'!AE21</f>
        <v>#DIV/0!</v>
      </c>
      <c r="G32" s="52" t="e">
        <f>'PROM (Ingles 8°)'!BM21</f>
        <v>#DIV/0!</v>
      </c>
      <c r="H32" s="52" t="e">
        <f>'PROM (Ingles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(Ingles 8°)'!AE22</f>
        <v>#DIV/0!</v>
      </c>
      <c r="G33" s="52" t="e">
        <f>'PROM (Ingles 8°)'!BM22</f>
        <v>#DIV/0!</v>
      </c>
      <c r="H33" s="52" t="e">
        <f>'PROM (Ingles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(Ingles 8°)'!AE23</f>
        <v>#DIV/0!</v>
      </c>
      <c r="G34" s="52" t="e">
        <f>'PROM (Ingles 8°)'!BM23</f>
        <v>#DIV/0!</v>
      </c>
      <c r="H34" s="52" t="e">
        <f>'PROM (Ingles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(Ingles 8°)'!AE24</f>
        <v>#DIV/0!</v>
      </c>
      <c r="G35" s="52" t="e">
        <f>'PROM (Ingles 8°)'!BM24</f>
        <v>#DIV/0!</v>
      </c>
      <c r="H35" s="52" t="e">
        <f>'PROM (Ingles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(Ingles 8°)'!AE25</f>
        <v>#DIV/0!</v>
      </c>
      <c r="G36" s="52" t="e">
        <f>'PROM (Ingles 8°)'!BM25</f>
        <v>#DIV/0!</v>
      </c>
      <c r="H36" s="52" t="e">
        <f>'PROM (Ingles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(Ingles 8°)'!AE26</f>
        <v>#DIV/0!</v>
      </c>
      <c r="G37" s="52" t="e">
        <f>'PROM (Ingles 8°)'!BM26</f>
        <v>#DIV/0!</v>
      </c>
      <c r="H37" s="52" t="e">
        <f>'PROM (Ingles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(Ingles 8°)'!AE27</f>
        <v>#DIV/0!</v>
      </c>
      <c r="G38" s="52" t="e">
        <f>'PROM (Ingles 8°)'!BM27</f>
        <v>#DIV/0!</v>
      </c>
      <c r="H38" s="52" t="e">
        <f>'PROM (Ingles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(Ingles 8°)'!AE28</f>
        <v>#DIV/0!</v>
      </c>
      <c r="G39" s="52" t="e">
        <f>'PROM (Ingles 8°)'!BM28</f>
        <v>#DIV/0!</v>
      </c>
      <c r="H39" s="52" t="e">
        <f>'PROM (Ingles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(Ingles 8°)'!AE29</f>
        <v>#DIV/0!</v>
      </c>
      <c r="G40" s="52" t="e">
        <f>'PROM (Ingles 8°)'!BM29</f>
        <v>#DIV/0!</v>
      </c>
      <c r="H40" s="52" t="e">
        <f>'PROM (Ingles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(Ingles 8°)'!AE30</f>
        <v>#DIV/0!</v>
      </c>
      <c r="G41" s="52" t="e">
        <f>'PROM (Ingles 8°)'!BM30</f>
        <v>#DIV/0!</v>
      </c>
      <c r="H41" s="52" t="e">
        <f>'PROM (Ingles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(Ingles 8°)'!AE31</f>
        <v>#DIV/0!</v>
      </c>
      <c r="G42" s="52" t="e">
        <f>'PROM (Ingles 8°)'!BM31</f>
        <v>#DIV/0!</v>
      </c>
      <c r="H42" s="52" t="e">
        <f>'PROM (Ingles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(Ingles 8°)'!AE32</f>
        <v>#DIV/0!</v>
      </c>
      <c r="G43" s="52" t="e">
        <f>'PROM (Ingles 8°)'!BM32</f>
        <v>#DIV/0!</v>
      </c>
      <c r="H43" s="52" t="e">
        <f>'PROM (Ingles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(Ingles 8°)'!AE33</f>
        <v>#DIV/0!</v>
      </c>
      <c r="G44" s="52" t="e">
        <f>'PROM (Ingles 8°)'!BM33</f>
        <v>#DIV/0!</v>
      </c>
      <c r="H44" s="52" t="e">
        <f>'PROM (Ingles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(Ingles 8°)'!AE34</f>
        <v>#DIV/0!</v>
      </c>
      <c r="G45" s="52" t="e">
        <f>'PROM (Ingles 8°)'!BM34</f>
        <v>#DIV/0!</v>
      </c>
      <c r="H45" s="52" t="e">
        <f>'PROM (Ingles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(Ingles 8°)'!AE35</f>
        <v>#DIV/0!</v>
      </c>
      <c r="G46" s="52" t="e">
        <f>'PROM (Ingles 8°)'!BM35</f>
        <v>#DIV/0!</v>
      </c>
      <c r="H46" s="52" t="e">
        <f>'PROM (Ingles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(Ingles 8°)'!AE36</f>
        <v>#DIV/0!</v>
      </c>
      <c r="G47" s="52" t="e">
        <f>'PROM (Ingles 8°)'!BM36</f>
        <v>#DIV/0!</v>
      </c>
      <c r="H47" s="52" t="e">
        <f>'PROM (Ingles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(Ingles 8°)'!AE37</f>
        <v>#DIV/0!</v>
      </c>
      <c r="G48" s="52" t="e">
        <f>'PROM (Ingles 8°)'!BM37</f>
        <v>#DIV/0!</v>
      </c>
      <c r="H48" s="52" t="e">
        <f>'PROM (Ingles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(Ingles 8°)'!AE38</f>
        <v>#DIV/0!</v>
      </c>
      <c r="G49" s="52" t="e">
        <f>'PROM (Ingles 8°)'!BM38</f>
        <v>#DIV/0!</v>
      </c>
      <c r="H49" s="52" t="e">
        <f>'PROM (Ingles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(Ingles 8°)'!AE39</f>
        <v>#DIV/0!</v>
      </c>
      <c r="G50" s="52" t="e">
        <f>'PROM (Ingles 8°)'!BM39</f>
        <v>#DIV/0!</v>
      </c>
      <c r="H50" s="52" t="e">
        <f>'PROM (Ingles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(Ingles 8°)'!AE40</f>
        <v>#DIV/0!</v>
      </c>
      <c r="G51" s="52" t="e">
        <f>'PROM (Ingles 8°)'!BM40</f>
        <v>#DIV/0!</v>
      </c>
      <c r="H51" s="52" t="e">
        <f>'PROM (Ingles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(Ingles 8°)'!AE41</f>
        <v>#DIV/0!</v>
      </c>
      <c r="G52" s="52" t="e">
        <f>'PROM (Ingles 8°)'!BM41</f>
        <v>#DIV/0!</v>
      </c>
      <c r="H52" s="52" t="e">
        <f>'PROM (Ingles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2" priority="1" operator="lessThan">
      <formula>3</formula>
    </cfRule>
  </conditionalFormatting>
  <pageMargins left="0.25" right="4.9479166666666657E-2" top="0.75" bottom="0.75" header="0.3" footer="0.3"/>
  <pageSetup orientation="portrait" horizont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5">
    <tabColor rgb="FF9966CC"/>
  </sheetPr>
  <dimension ref="A1:EE49"/>
  <sheetViews>
    <sheetView view="pageLayout" zoomScale="70" zoomScaleNormal="100" zoomScalePageLayoutView="70" workbookViewId="0">
      <selection activeCell="I19" sqref="I1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4"/>
      <c r="H4" s="4"/>
      <c r="I4" s="4"/>
      <c r="J4" s="4"/>
      <c r="K4" s="4"/>
      <c r="L4" s="4"/>
      <c r="M4" s="4"/>
      <c r="N4" s="4"/>
      <c r="O4" s="4"/>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2"/>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103"/>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103"/>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103"/>
      <c r="BT26" s="103"/>
      <c r="BU26" s="103"/>
      <c r="BV26" s="103"/>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103"/>
      <c r="BT27" s="103"/>
      <c r="BU27" s="103"/>
      <c r="BV27" s="103"/>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105"/>
      <c r="AL28" s="105"/>
      <c r="AM28" s="105"/>
      <c r="AN28" s="105"/>
      <c r="AO28" s="105"/>
      <c r="AP28" s="10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103"/>
      <c r="BT28" s="103"/>
      <c r="BU28" s="103"/>
      <c r="BV28" s="103"/>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5"/>
      <c r="D29" s="5"/>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105"/>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103"/>
      <c r="BT29" s="103"/>
      <c r="BU29" s="103"/>
      <c r="BV29" s="103"/>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5"/>
      <c r="D30" s="5"/>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5"/>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103"/>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5"/>
      <c r="D31" s="5"/>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5"/>
      <c r="AL31" s="105"/>
      <c r="AM31" s="105"/>
      <c r="AN31" s="105"/>
      <c r="AO31" s="105"/>
      <c r="AP31" s="10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103"/>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3"/>
      <c r="D32" s="103"/>
      <c r="E32" s="103"/>
      <c r="F32" s="103"/>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103"/>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3"/>
      <c r="D33" s="103"/>
      <c r="E33" s="103"/>
      <c r="F33" s="103"/>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3"/>
      <c r="D34" s="103"/>
      <c r="E34" s="103"/>
      <c r="F34" s="103"/>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3"/>
      <c r="D35" s="103"/>
      <c r="E35" s="103"/>
      <c r="F35" s="103"/>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3"/>
      <c r="D36" s="103"/>
      <c r="E36" s="103"/>
      <c r="F36" s="103"/>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3"/>
      <c r="D37" s="103"/>
      <c r="E37" s="103"/>
      <c r="F37" s="103"/>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3"/>
      <c r="D38" s="103"/>
      <c r="E38" s="103"/>
      <c r="F38" s="103"/>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3"/>
      <c r="D39" s="103"/>
      <c r="E39" s="103"/>
      <c r="F39" s="103"/>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3"/>
      <c r="D40" s="103"/>
      <c r="E40" s="103"/>
      <c r="F40" s="103"/>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3"/>
      <c r="D41" s="103"/>
      <c r="E41" s="103"/>
      <c r="F41" s="103"/>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3"/>
      <c r="D42" s="103"/>
      <c r="E42" s="103"/>
      <c r="F42" s="103"/>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3"/>
      <c r="D43" s="103"/>
      <c r="E43" s="103"/>
      <c r="F43" s="103"/>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3"/>
      <c r="D44" s="103"/>
      <c r="E44" s="103"/>
      <c r="F44" s="10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105"/>
      <c r="AQ44" s="4"/>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5"/>
      <c r="BU49" s="5"/>
      <c r="BV49" s="5"/>
      <c r="BW49" s="5"/>
      <c r="BX49" s="5"/>
      <c r="BY49" s="5"/>
      <c r="BZ49" s="5"/>
      <c r="CA49" s="5"/>
      <c r="CB49" s="5"/>
      <c r="CC49" s="5"/>
      <c r="CD49" s="5"/>
      <c r="CE49" s="5"/>
      <c r="CF49" s="5"/>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CG1:CW1"/>
    <mergeCell ref="DN3:DN4"/>
    <mergeCell ref="AI47:AJ47"/>
    <mergeCell ref="BQ14:BR14"/>
    <mergeCell ref="BQ39:BR39"/>
    <mergeCell ref="CY32:CZ32"/>
    <mergeCell ref="BN3:BO4"/>
    <mergeCell ref="CY42:CZ42"/>
    <mergeCell ref="AH3:AH4"/>
    <mergeCell ref="CY47:CZ47"/>
    <mergeCell ref="BQ38:BR38"/>
    <mergeCell ref="AH1:AX1"/>
    <mergeCell ref="AI45:AJ45"/>
    <mergeCell ref="CY45:CZ45"/>
    <mergeCell ref="BQ42:BR42"/>
    <mergeCell ref="BQ43:BR43"/>
    <mergeCell ref="AY1:BO1"/>
    <mergeCell ref="CY46:CZ46"/>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AI29:AJ29"/>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s>
  <conditionalFormatting sqref="AE1:AE41 AE50:AE1048576">
    <cfRule type="cellIs" dxfId="11" priority="1" operator="lessThan">
      <formula>3</formula>
    </cfRule>
  </conditionalFormatting>
  <pageMargins left="0.7" right="0.7" top="0.75" bottom="0.75" header="0.3" footer="0.3"/>
  <pageSetup orientation="portrait" horizontalDpi="4294967293" r:id="rId1"/>
  <headerFooter>
    <oddHeader>&amp;LCOMERCIO&amp;CGRUPO 8°</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6">
    <tabColor rgb="FFBB99EE"/>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134</v>
      </c>
      <c r="M9" s="215"/>
      <c r="N9" s="215"/>
      <c r="O9" s="215"/>
      <c r="P9" s="215"/>
      <c r="Q9" s="216"/>
    </row>
    <row r="10" spans="2:17">
      <c r="B10" s="266" t="s">
        <v>117</v>
      </c>
      <c r="C10" s="216"/>
      <c r="D10" s="261" t="s">
        <v>135</v>
      </c>
      <c r="E10" s="215"/>
      <c r="F10" s="215"/>
      <c r="G10" s="216"/>
      <c r="H10" s="13"/>
      <c r="I10" s="49"/>
      <c r="J10" s="13"/>
      <c r="K10" s="13"/>
      <c r="L10" s="13"/>
      <c r="M10" s="13"/>
      <c r="N10" s="13"/>
      <c r="O10" s="13"/>
      <c r="P10" s="13"/>
      <c r="Q10" s="13"/>
    </row>
    <row r="11" spans="2:17">
      <c r="B11" s="258" t="s">
        <v>119</v>
      </c>
      <c r="C11" s="216"/>
      <c r="D11" s="259" t="s">
        <v>6</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MAESTRO!D5</f>
        <v>0</v>
      </c>
      <c r="D16" s="17"/>
      <c r="E16" s="17"/>
      <c r="F16" s="52" t="e">
        <f>'PROM (Comercio 8°)'!AE5</f>
        <v>#DIV/0!</v>
      </c>
      <c r="G16" s="52" t="e">
        <f>'PROM (Comercio 8°)'!BM5</f>
        <v>#DIV/0!</v>
      </c>
      <c r="H16" s="52" t="e">
        <f>'PROM (Comercio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(Comercio 8°)'!AE6</f>
        <v>#DIV/0!</v>
      </c>
      <c r="G17" s="52" t="e">
        <f>'PROM (Comercio 8°)'!BM6</f>
        <v>#DIV/0!</v>
      </c>
      <c r="H17" s="52" t="e">
        <f>'PROM (Comercio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(Comercio 8°)'!AE7</f>
        <v>#DIV/0!</v>
      </c>
      <c r="G18" s="52" t="e">
        <f>'PROM (Comercio 8°)'!BM7</f>
        <v>#DIV/0!</v>
      </c>
      <c r="H18" s="52" t="e">
        <f>'PROM (Comercio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(Comercio 8°)'!AE8</f>
        <v>#DIV/0!</v>
      </c>
      <c r="G19" s="52" t="e">
        <f>'PROM (Comercio 8°)'!BM8</f>
        <v>#DIV/0!</v>
      </c>
      <c r="H19" s="52" t="e">
        <f>'PROM (Comercio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(Comercio 8°)'!AE9</f>
        <v>#DIV/0!</v>
      </c>
      <c r="G20" s="52" t="e">
        <f>'PROM (Comercio 8°)'!BM9</f>
        <v>#DIV/0!</v>
      </c>
      <c r="H20" s="52" t="e">
        <f>'PROM (Comercio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(Comercio 8°)'!AE10</f>
        <v>#DIV/0!</v>
      </c>
      <c r="G21" s="52" t="e">
        <f>'PROM (Comercio 8°)'!BM10</f>
        <v>#DIV/0!</v>
      </c>
      <c r="H21" s="52" t="e">
        <f>'PROM (Comercio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(Comercio 8°)'!AE11</f>
        <v>#DIV/0!</v>
      </c>
      <c r="G22" s="52" t="e">
        <f>'PROM (Comercio 8°)'!BM11</f>
        <v>#DIV/0!</v>
      </c>
      <c r="H22" s="52" t="e">
        <f>'PROM (Comercio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(Comercio 8°)'!AE12</f>
        <v>#DIV/0!</v>
      </c>
      <c r="G23" s="52" t="e">
        <f>'PROM (Comercio 8°)'!BM12</f>
        <v>#DIV/0!</v>
      </c>
      <c r="H23" s="52" t="e">
        <f>'PROM (Comercio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(Comercio 8°)'!AE13</f>
        <v>#DIV/0!</v>
      </c>
      <c r="G24" s="52" t="e">
        <f>'PROM (Comercio 8°)'!BM13</f>
        <v>#DIV/0!</v>
      </c>
      <c r="H24" s="52" t="e">
        <f>'PROM (Comercio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(Comercio 8°)'!AE14</f>
        <v>#DIV/0!</v>
      </c>
      <c r="G25" s="52" t="e">
        <f>'PROM (Comercio 8°)'!BM14</f>
        <v>#DIV/0!</v>
      </c>
      <c r="H25" s="52" t="e">
        <f>'PROM (Comercio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(Comercio 8°)'!AE15</f>
        <v>#DIV/0!</v>
      </c>
      <c r="G26" s="52" t="e">
        <f>'PROM (Comercio 8°)'!BM15</f>
        <v>#DIV/0!</v>
      </c>
      <c r="H26" s="52" t="e">
        <f>'PROM (Comercio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(Comercio 8°)'!AE16</f>
        <v>#DIV/0!</v>
      </c>
      <c r="G27" s="52" t="e">
        <f>'PROM (Comercio 8°)'!BM16</f>
        <v>#DIV/0!</v>
      </c>
      <c r="H27" s="52" t="e">
        <f>'PROM (Comercio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(Comercio 8°)'!AE17</f>
        <v>#DIV/0!</v>
      </c>
      <c r="G28" s="52" t="e">
        <f>'PROM (Comercio 8°)'!BM17</f>
        <v>#DIV/0!</v>
      </c>
      <c r="H28" s="52" t="e">
        <f>'PROM (Comercio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(Comercio 8°)'!AE18</f>
        <v>#DIV/0!</v>
      </c>
      <c r="G29" s="52" t="e">
        <f>'PROM (Comercio 8°)'!BM18</f>
        <v>#DIV/0!</v>
      </c>
      <c r="H29" s="52" t="e">
        <f>'PROM (Comercio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(Comercio 8°)'!AE19</f>
        <v>#DIV/0!</v>
      </c>
      <c r="G30" s="52" t="e">
        <f>'PROM (Comercio 8°)'!BM19</f>
        <v>#DIV/0!</v>
      </c>
      <c r="H30" s="52" t="e">
        <f>'PROM (Comercio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(Comercio 8°)'!AE20</f>
        <v>#DIV/0!</v>
      </c>
      <c r="G31" s="52" t="e">
        <f>'PROM (Comercio 8°)'!BM20</f>
        <v>#DIV/0!</v>
      </c>
      <c r="H31" s="52" t="e">
        <f>'PROM (Comercio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(Comercio 8°)'!AE21</f>
        <v>#DIV/0!</v>
      </c>
      <c r="G32" s="52" t="e">
        <f>'PROM (Comercio 8°)'!BM21</f>
        <v>#DIV/0!</v>
      </c>
      <c r="H32" s="52" t="e">
        <f>'PROM (Comercio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(Comercio 8°)'!AE22</f>
        <v>#DIV/0!</v>
      </c>
      <c r="G33" s="52" t="e">
        <f>'PROM (Comercio 8°)'!BM22</f>
        <v>#DIV/0!</v>
      </c>
      <c r="H33" s="52" t="e">
        <f>'PROM (Comercio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(Comercio 8°)'!AE23</f>
        <v>#DIV/0!</v>
      </c>
      <c r="G34" s="52" t="e">
        <f>'PROM (Comercio 8°)'!BM23</f>
        <v>#DIV/0!</v>
      </c>
      <c r="H34" s="52" t="e">
        <f>'PROM (Comercio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(Comercio 8°)'!AE24</f>
        <v>#DIV/0!</v>
      </c>
      <c r="G35" s="52" t="e">
        <f>'PROM (Comercio 8°)'!BM24</f>
        <v>#DIV/0!</v>
      </c>
      <c r="H35" s="52" t="e">
        <f>'PROM (Comercio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(Comercio 8°)'!AE25</f>
        <v>#DIV/0!</v>
      </c>
      <c r="G36" s="52" t="e">
        <f>'PROM (Comercio 8°)'!BM25</f>
        <v>#DIV/0!</v>
      </c>
      <c r="H36" s="52" t="e">
        <f>'PROM (Comercio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(Comercio 8°)'!AE26</f>
        <v>#DIV/0!</v>
      </c>
      <c r="G37" s="52" t="e">
        <f>'PROM (Comercio 8°)'!BM26</f>
        <v>#DIV/0!</v>
      </c>
      <c r="H37" s="52" t="e">
        <f>'PROM (Comercio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(Comercio 8°)'!AE27</f>
        <v>#DIV/0!</v>
      </c>
      <c r="G38" s="52" t="e">
        <f>'PROM (Comercio 8°)'!BM27</f>
        <v>#DIV/0!</v>
      </c>
      <c r="H38" s="52" t="e">
        <f>'PROM (Comercio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(Comercio 8°)'!AE28</f>
        <v>#DIV/0!</v>
      </c>
      <c r="G39" s="52" t="e">
        <f>'PROM (Comercio 8°)'!BM28</f>
        <v>#DIV/0!</v>
      </c>
      <c r="H39" s="52" t="e">
        <f>'PROM (Comercio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(Comercio 8°)'!AE29</f>
        <v>#DIV/0!</v>
      </c>
      <c r="G40" s="52" t="e">
        <f>'PROM (Comercio 8°)'!BM29</f>
        <v>#DIV/0!</v>
      </c>
      <c r="H40" s="52" t="e">
        <f>'PROM (Comercio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(Comercio 8°)'!AE30</f>
        <v>#DIV/0!</v>
      </c>
      <c r="G41" s="52" t="e">
        <f>'PROM (Comercio 8°)'!BM30</f>
        <v>#DIV/0!</v>
      </c>
      <c r="H41" s="52" t="e">
        <f>'PROM (Comercio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(Comercio 8°)'!AE31</f>
        <v>#DIV/0!</v>
      </c>
      <c r="G42" s="52" t="e">
        <f>'PROM (Comercio 8°)'!BM31</f>
        <v>#DIV/0!</v>
      </c>
      <c r="H42" s="52" t="e">
        <f>'PROM (Comercio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(Comercio 8°)'!AE32</f>
        <v>#DIV/0!</v>
      </c>
      <c r="G43" s="52" t="e">
        <f>'PROM (Comercio 8°)'!BM32</f>
        <v>#DIV/0!</v>
      </c>
      <c r="H43" s="52" t="e">
        <f>'PROM (Comercio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(Comercio 8°)'!AE33</f>
        <v>#DIV/0!</v>
      </c>
      <c r="G44" s="52" t="e">
        <f>'PROM (Comercio 8°)'!BM33</f>
        <v>#DIV/0!</v>
      </c>
      <c r="H44" s="52" t="e">
        <f>'PROM (Comercio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(Comercio 8°)'!AE34</f>
        <v>#DIV/0!</v>
      </c>
      <c r="G45" s="52" t="e">
        <f>'PROM (Comercio 8°)'!BM34</f>
        <v>#DIV/0!</v>
      </c>
      <c r="H45" s="52" t="e">
        <f>'PROM (Comercio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(Comercio 8°)'!AE35</f>
        <v>#DIV/0!</v>
      </c>
      <c r="G46" s="52" t="e">
        <f>'PROM (Comercio 8°)'!BM35</f>
        <v>#DIV/0!</v>
      </c>
      <c r="H46" s="52" t="e">
        <f>'PROM (Comercio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(Comercio 8°)'!AE36</f>
        <v>#DIV/0!</v>
      </c>
      <c r="G47" s="52" t="e">
        <f>'PROM (Comercio 8°)'!BM36</f>
        <v>#DIV/0!</v>
      </c>
      <c r="H47" s="52" t="e">
        <f>'PROM (Comercio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(Comercio 8°)'!AE37</f>
        <v>#DIV/0!</v>
      </c>
      <c r="G48" s="52" t="e">
        <f>'PROM (Comercio 8°)'!BM37</f>
        <v>#DIV/0!</v>
      </c>
      <c r="H48" s="52" t="e">
        <f>'PROM (Comercio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(Comercio 8°)'!AE38</f>
        <v>#DIV/0!</v>
      </c>
      <c r="G49" s="52" t="e">
        <f>'PROM (Comercio 8°)'!BM38</f>
        <v>#DIV/0!</v>
      </c>
      <c r="H49" s="52" t="e">
        <f>'PROM (Comercio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(Comercio 8°)'!AE39</f>
        <v>#DIV/0!</v>
      </c>
      <c r="G50" s="52" t="e">
        <f>'PROM (Comercio 8°)'!BM39</f>
        <v>#DIV/0!</v>
      </c>
      <c r="H50" s="52" t="e">
        <f>'PROM (Comercio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(Comercio 8°)'!AE40</f>
        <v>#DIV/0!</v>
      </c>
      <c r="G51" s="52" t="e">
        <f>'PROM (Comercio 8°)'!BM40</f>
        <v>#DIV/0!</v>
      </c>
      <c r="H51" s="52" t="e">
        <f>'PROM (Comercio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(Comercio 8°)'!AE41</f>
        <v>#DIV/0!</v>
      </c>
      <c r="G52" s="52" t="e">
        <f>'PROM (Comercio 8°)'!BM41</f>
        <v>#DIV/0!</v>
      </c>
      <c r="H52" s="52" t="e">
        <f>'PROM (Comercio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0" priority="1" operator="lessThan">
      <formula>3</formula>
    </cfRule>
  </conditionalFormatting>
  <pageMargins left="0.25" right="4.9479166666666657E-2" top="0.75" bottom="0.75" header="0.3" footer="0.3"/>
  <pageSetup orientation="portrait" horizont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3">
    <tabColor rgb="FF9966CC"/>
  </sheetPr>
  <dimension ref="A1:EE49"/>
  <sheetViews>
    <sheetView view="pageLayout" zoomScale="80" zoomScaleNormal="100" zoomScalePageLayoutView="80" workbookViewId="0">
      <selection activeCell="H20" sqref="H20"/>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25"/>
      <c r="H4" s="25"/>
      <c r="I4" s="25"/>
      <c r="J4" s="25"/>
      <c r="K4" s="25"/>
      <c r="L4" s="25"/>
      <c r="M4" s="25"/>
      <c r="N4" s="25"/>
      <c r="O4" s="25"/>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5"/>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103"/>
      <c r="D25" s="103"/>
      <c r="E25" s="103"/>
      <c r="F25" s="103"/>
      <c r="G25" s="103"/>
      <c r="H25" s="103"/>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103"/>
      <c r="D26" s="103"/>
      <c r="E26" s="103"/>
      <c r="F26" s="103"/>
      <c r="G26" s="103"/>
      <c r="H26" s="103"/>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103"/>
      <c r="D27" s="103"/>
      <c r="E27" s="103"/>
      <c r="F27" s="103"/>
      <c r="G27" s="103"/>
      <c r="H27" s="103"/>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5"/>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103"/>
      <c r="D28" s="103"/>
      <c r="E28" s="103"/>
      <c r="F28" s="103"/>
      <c r="G28" s="103"/>
      <c r="H28" s="103"/>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5"/>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103"/>
      <c r="D29" s="103"/>
      <c r="E29" s="103"/>
      <c r="F29" s="103"/>
      <c r="G29" s="103"/>
      <c r="H29" s="103"/>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65"/>
      <c r="AM29" s="6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5"/>
      <c r="BT29" s="5"/>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103"/>
      <c r="D30" s="103"/>
      <c r="E30" s="103"/>
      <c r="F30" s="103"/>
      <c r="G30" s="103"/>
      <c r="H30" s="103"/>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65"/>
      <c r="AL30" s="65"/>
      <c r="AM30" s="65"/>
      <c r="AN30" s="6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5"/>
      <c r="BT30" s="5"/>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103"/>
      <c r="D31" s="103"/>
      <c r="E31" s="103"/>
      <c r="F31" s="103"/>
      <c r="G31" s="103"/>
      <c r="H31" s="103"/>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65"/>
      <c r="AL31" s="65"/>
      <c r="AM31" s="65"/>
      <c r="AN31" s="6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5"/>
      <c r="BT31" s="5"/>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3"/>
      <c r="D32" s="103"/>
      <c r="E32" s="103"/>
      <c r="F32" s="103"/>
      <c r="G32" s="103"/>
      <c r="H32" s="103"/>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5"/>
      <c r="BT32" s="5"/>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3"/>
      <c r="D33" s="103"/>
      <c r="E33" s="103"/>
      <c r="F33" s="103"/>
      <c r="G33" s="103"/>
      <c r="H33" s="103"/>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3"/>
      <c r="D34" s="103"/>
      <c r="E34" s="103"/>
      <c r="F34" s="103"/>
      <c r="G34" s="103"/>
      <c r="H34" s="103"/>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3"/>
      <c r="D35" s="103"/>
      <c r="E35" s="103"/>
      <c r="F35" s="103"/>
      <c r="G35" s="103"/>
      <c r="H35" s="103"/>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3"/>
      <c r="D36" s="103"/>
      <c r="E36" s="103"/>
      <c r="F36" s="103"/>
      <c r="G36" s="103"/>
      <c r="H36" s="103"/>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3"/>
      <c r="D37" s="103"/>
      <c r="E37" s="103"/>
      <c r="F37" s="103"/>
      <c r="G37" s="103"/>
      <c r="H37" s="103"/>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3"/>
      <c r="D38" s="103"/>
      <c r="E38" s="103"/>
      <c r="F38" s="103"/>
      <c r="G38" s="103"/>
      <c r="H38" s="103"/>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3"/>
      <c r="D39" s="103"/>
      <c r="E39" s="103"/>
      <c r="F39" s="103"/>
      <c r="G39" s="103"/>
      <c r="H39" s="103"/>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3"/>
      <c r="D40" s="103"/>
      <c r="E40" s="103"/>
      <c r="F40" s="103"/>
      <c r="G40" s="103"/>
      <c r="H40" s="103"/>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3"/>
      <c r="D41" s="103"/>
      <c r="E41" s="103"/>
      <c r="F41" s="103"/>
      <c r="G41" s="103"/>
      <c r="H41" s="103"/>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3"/>
      <c r="D42" s="103"/>
      <c r="E42" s="103"/>
      <c r="F42" s="103"/>
      <c r="G42" s="103"/>
      <c r="H42" s="103"/>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3"/>
      <c r="D43" s="103"/>
      <c r="E43" s="103"/>
      <c r="F43" s="103"/>
      <c r="G43" s="103"/>
      <c r="H43" s="103"/>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3"/>
      <c r="D44" s="103"/>
      <c r="E44" s="103"/>
      <c r="F44" s="103"/>
      <c r="G44" s="103"/>
      <c r="H44" s="10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105"/>
      <c r="AQ44" s="105"/>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103"/>
      <c r="H45" s="10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103"/>
      <c r="H46" s="10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103"/>
      <c r="H47" s="10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103"/>
      <c r="H48" s="10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95"/>
      <c r="BU49" s="95"/>
      <c r="BV49" s="9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2:P2"/>
    <mergeCell ref="R2:AG2"/>
    <mergeCell ref="AI9:AJ9"/>
    <mergeCell ref="CY10:CZ10"/>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BI3:BI4"/>
    <mergeCell ref="CQ3:CQ4"/>
    <mergeCell ref="R1:AG1"/>
    <mergeCell ref="CY6:CZ6"/>
    <mergeCell ref="AX3:AX4"/>
    <mergeCell ref="BS3:CE3"/>
    <mergeCell ref="DA3:DM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AI29:AJ29"/>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CX1:DN1"/>
    <mergeCell ref="BP1:CF1"/>
    <mergeCell ref="AH2:AX2"/>
    <mergeCell ref="CY38:CZ38"/>
    <mergeCell ref="BQ10:BR10"/>
    <mergeCell ref="AI5:AJ5"/>
    <mergeCell ref="BM3:BM4"/>
    <mergeCell ref="AI39:AJ39"/>
    <mergeCell ref="CY19:CZ19"/>
    <mergeCell ref="BQ19:BR19"/>
    <mergeCell ref="BQ28:BR28"/>
    <mergeCell ref="DO3:DX3"/>
    <mergeCell ref="EC3:EC4"/>
  </mergeCells>
  <conditionalFormatting sqref="AE1:AE41 AE50:AE1048576">
    <cfRule type="cellIs" dxfId="9" priority="1" operator="lessThan">
      <formula>3</formula>
    </cfRule>
  </conditionalFormatting>
  <pageMargins left="0.7" right="0.7" top="0.75" bottom="0.75" header="0.3" footer="0.3"/>
  <pageSetup orientation="portrait" horizontalDpi="4294967293" r:id="rId1"/>
  <headerFooter>
    <oddHeader>&amp;LAGROPECUARIA &amp;CGRUPO 8°</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4">
    <tabColor rgb="FFBB99EE"/>
  </sheetPr>
  <dimension ref="B3:Q58"/>
  <sheetViews>
    <sheetView view="pageLayout" zoomScale="70" zoomScaleNormal="100" zoomScalePageLayoutView="70" workbookViewId="0">
      <selection activeCell="S8" sqref="S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134</v>
      </c>
      <c r="M9" s="215"/>
      <c r="N9" s="215"/>
      <c r="O9" s="215"/>
      <c r="P9" s="215"/>
      <c r="Q9" s="216"/>
    </row>
    <row r="10" spans="2:17">
      <c r="B10" s="266" t="s">
        <v>117</v>
      </c>
      <c r="C10" s="216"/>
      <c r="D10" s="261" t="s">
        <v>135</v>
      </c>
      <c r="E10" s="215"/>
      <c r="F10" s="215"/>
      <c r="G10" s="216"/>
      <c r="H10" s="13"/>
      <c r="I10" s="49"/>
      <c r="J10" s="13"/>
      <c r="K10" s="13"/>
      <c r="L10" s="13"/>
      <c r="M10" s="13"/>
      <c r="N10" s="13"/>
      <c r="O10" s="13"/>
      <c r="P10" s="13"/>
      <c r="Q10" s="13"/>
    </row>
    <row r="11" spans="2:17">
      <c r="B11" s="258" t="s">
        <v>119</v>
      </c>
      <c r="C11" s="216"/>
      <c r="D11" s="259" t="s">
        <v>5</v>
      </c>
      <c r="E11" s="225"/>
      <c r="F11" s="15"/>
      <c r="G11" s="13"/>
      <c r="H11" s="13"/>
      <c r="I11" s="258" t="s">
        <v>121</v>
      </c>
      <c r="J11" s="215"/>
      <c r="K11" s="216"/>
      <c r="L11" s="265" t="s">
        <v>136</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MAESTRO!D5</f>
        <v>0</v>
      </c>
      <c r="D16" s="17"/>
      <c r="E16" s="17"/>
      <c r="F16" s="52" t="e">
        <f>'PROM (Agropecuaria 8°)'!AE5</f>
        <v>#DIV/0!</v>
      </c>
      <c r="G16" s="52" t="e">
        <f>'PROM (Agropecuaria 8°)'!BM5</f>
        <v>#DIV/0!</v>
      </c>
      <c r="H16" s="52" t="e">
        <f>'PROM (Agropecuaria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(Agropecuaria 8°)'!AE6</f>
        <v>#DIV/0!</v>
      </c>
      <c r="G17" s="52" t="e">
        <f>'PROM (Agropecuaria 8°)'!BM6</f>
        <v>#DIV/0!</v>
      </c>
      <c r="H17" s="52" t="e">
        <f>'PROM (Agropecuaria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(Agropecuaria 8°)'!AE7</f>
        <v>#DIV/0!</v>
      </c>
      <c r="G18" s="52" t="e">
        <f>'PROM (Agropecuaria 8°)'!BM7</f>
        <v>#DIV/0!</v>
      </c>
      <c r="H18" s="52" t="e">
        <f>'PROM (Agropecuaria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(Agropecuaria 8°)'!AE8</f>
        <v>#DIV/0!</v>
      </c>
      <c r="G19" s="52" t="e">
        <f>'PROM (Agropecuaria 8°)'!BM8</f>
        <v>#DIV/0!</v>
      </c>
      <c r="H19" s="52" t="e">
        <f>'PROM (Agropecuaria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(Agropecuaria 8°)'!AE9</f>
        <v>#DIV/0!</v>
      </c>
      <c r="G20" s="52" t="e">
        <f>'PROM (Agropecuaria 8°)'!BM9</f>
        <v>#DIV/0!</v>
      </c>
      <c r="H20" s="52" t="e">
        <f>'PROM (Agropecuaria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(Agropecuaria 8°)'!AE10</f>
        <v>#DIV/0!</v>
      </c>
      <c r="G21" s="52" t="e">
        <f>'PROM (Agropecuaria 8°)'!BM10</f>
        <v>#DIV/0!</v>
      </c>
      <c r="H21" s="52" t="e">
        <f>'PROM (Agropecuaria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(Agropecuaria 8°)'!AE11</f>
        <v>#DIV/0!</v>
      </c>
      <c r="G22" s="52" t="e">
        <f>'PROM (Agropecuaria 8°)'!BM11</f>
        <v>#DIV/0!</v>
      </c>
      <c r="H22" s="52" t="e">
        <f>'PROM (Agropecuaria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(Agropecuaria 8°)'!AE12</f>
        <v>#DIV/0!</v>
      </c>
      <c r="G23" s="52" t="e">
        <f>'PROM (Agropecuaria 8°)'!BM12</f>
        <v>#DIV/0!</v>
      </c>
      <c r="H23" s="52" t="e">
        <f>'PROM (Agropecuaria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(Agropecuaria 8°)'!AE13</f>
        <v>#DIV/0!</v>
      </c>
      <c r="G24" s="52" t="e">
        <f>'PROM (Agropecuaria 8°)'!BM13</f>
        <v>#DIV/0!</v>
      </c>
      <c r="H24" s="52" t="e">
        <f>'PROM (Agropecuaria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(Agropecuaria 8°)'!AE14</f>
        <v>#DIV/0!</v>
      </c>
      <c r="G25" s="52" t="e">
        <f>'PROM (Agropecuaria 8°)'!BM14</f>
        <v>#DIV/0!</v>
      </c>
      <c r="H25" s="52" t="e">
        <f>'PROM (Agropecuaria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(Agropecuaria 8°)'!AE15</f>
        <v>#DIV/0!</v>
      </c>
      <c r="G26" s="52" t="e">
        <f>'PROM (Agropecuaria 8°)'!BM15</f>
        <v>#DIV/0!</v>
      </c>
      <c r="H26" s="52" t="e">
        <f>'PROM (Agropecuaria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(Agropecuaria 8°)'!AE16</f>
        <v>#DIV/0!</v>
      </c>
      <c r="G27" s="52" t="e">
        <f>'PROM (Agropecuaria 8°)'!BM16</f>
        <v>#DIV/0!</v>
      </c>
      <c r="H27" s="52" t="e">
        <f>'PROM (Agropecuaria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(Agropecuaria 8°)'!AE17</f>
        <v>#DIV/0!</v>
      </c>
      <c r="G28" s="52" t="e">
        <f>'PROM (Agropecuaria 8°)'!BM17</f>
        <v>#DIV/0!</v>
      </c>
      <c r="H28" s="52" t="e">
        <f>'PROM (Agropecuaria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(Agropecuaria 8°)'!AE18</f>
        <v>#DIV/0!</v>
      </c>
      <c r="G29" s="52" t="e">
        <f>'PROM (Agropecuaria 8°)'!BM18</f>
        <v>#DIV/0!</v>
      </c>
      <c r="H29" s="52" t="e">
        <f>'PROM (Agropecuaria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(Agropecuaria 8°)'!AE19</f>
        <v>#DIV/0!</v>
      </c>
      <c r="G30" s="52" t="e">
        <f>'PROM (Agropecuaria 8°)'!BM19</f>
        <v>#DIV/0!</v>
      </c>
      <c r="H30" s="52" t="e">
        <f>'PROM (Agropecuaria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(Agropecuaria 8°)'!AE20</f>
        <v>#DIV/0!</v>
      </c>
      <c r="G31" s="52" t="e">
        <f>'PROM (Agropecuaria 8°)'!BM20</f>
        <v>#DIV/0!</v>
      </c>
      <c r="H31" s="52" t="e">
        <f>'PROM (Agropecuaria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(Agropecuaria 8°)'!AE21</f>
        <v>#DIV/0!</v>
      </c>
      <c r="G32" s="73" t="e">
        <f>'PROM (Agropecuaria 8°)'!BM21</f>
        <v>#DIV/0!</v>
      </c>
      <c r="H32" s="52" t="e">
        <f>'PROM (Agropecuaria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(Agropecuaria 8°)'!AE22</f>
        <v>#DIV/0!</v>
      </c>
      <c r="G33" s="73" t="e">
        <f>'PROM (Agropecuaria 8°)'!BM22</f>
        <v>#DIV/0!</v>
      </c>
      <c r="H33" s="52" t="e">
        <f>'PROM (Agropecuaria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(Agropecuaria 8°)'!AE23</f>
        <v>#DIV/0!</v>
      </c>
      <c r="G34" s="73" t="e">
        <f>'PROM (Agropecuaria 8°)'!BM23</f>
        <v>#DIV/0!</v>
      </c>
      <c r="H34" s="52" t="e">
        <f>'PROM (Agropecuaria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(Agropecuaria 8°)'!AE24</f>
        <v>#DIV/0!</v>
      </c>
      <c r="G35" s="73" t="e">
        <f>'PROM (Agropecuaria 8°)'!BM24</f>
        <v>#DIV/0!</v>
      </c>
      <c r="H35" s="52" t="e">
        <f>'PROM (Agropecuaria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(Agropecuaria 8°)'!AE25</f>
        <v>#DIV/0!</v>
      </c>
      <c r="G36" s="73" t="e">
        <f>'PROM (Agropecuaria 8°)'!BM25</f>
        <v>#DIV/0!</v>
      </c>
      <c r="H36" s="52" t="e">
        <f>'PROM (Agropecuaria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(Agropecuaria 8°)'!AE26</f>
        <v>#DIV/0!</v>
      </c>
      <c r="G37" s="73" t="e">
        <f>'PROM (Agropecuaria 8°)'!BM26</f>
        <v>#DIV/0!</v>
      </c>
      <c r="H37" s="52" t="e">
        <f>'PROM (Agropecuaria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(Agropecuaria 8°)'!AE27</f>
        <v>#DIV/0!</v>
      </c>
      <c r="G38" s="73" t="e">
        <f>'PROM (Agropecuaria 8°)'!BM27</f>
        <v>#DIV/0!</v>
      </c>
      <c r="H38" s="52" t="e">
        <f>'PROM (Agropecuaria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(Agropecuaria 8°)'!AE28</f>
        <v>#DIV/0!</v>
      </c>
      <c r="G39" s="73" t="e">
        <f>'PROM (Agropecuaria 8°)'!BM28</f>
        <v>#DIV/0!</v>
      </c>
      <c r="H39" s="52" t="e">
        <f>'PROM (Agropecuaria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(Agropecuaria 8°)'!AE29</f>
        <v>#DIV/0!</v>
      </c>
      <c r="G40" s="73" t="e">
        <f>'PROM (Agropecuaria 8°)'!BM29</f>
        <v>#DIV/0!</v>
      </c>
      <c r="H40" s="52" t="e">
        <f>'PROM (Agropecuaria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(Agropecuaria 8°)'!AE30</f>
        <v>#DIV/0!</v>
      </c>
      <c r="G41" s="73" t="e">
        <f>'PROM (Agropecuaria 8°)'!BM30</f>
        <v>#DIV/0!</v>
      </c>
      <c r="H41" s="52" t="e">
        <f>'PROM (Agropecuaria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(Agropecuaria 8°)'!AE31</f>
        <v>#DIV/0!</v>
      </c>
      <c r="G42" s="73" t="e">
        <f>'PROM (Agropecuaria 8°)'!BM31</f>
        <v>#DIV/0!</v>
      </c>
      <c r="H42" s="52" t="e">
        <f>'PROM (Agropecuaria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(Agropecuaria 8°)'!AE32</f>
        <v>#DIV/0!</v>
      </c>
      <c r="G43" s="73" t="e">
        <f>'PROM (Agropecuaria 8°)'!BM32</f>
        <v>#DIV/0!</v>
      </c>
      <c r="H43" s="52" t="e">
        <f>'PROM (Agropecuaria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(Agropecuaria 8°)'!AE33</f>
        <v>#DIV/0!</v>
      </c>
      <c r="G44" s="73" t="e">
        <f>'PROM (Agropecuaria 8°)'!BM33</f>
        <v>#DIV/0!</v>
      </c>
      <c r="H44" s="52" t="e">
        <f>'PROM (Agropecuaria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(Agropecuaria 8°)'!AE34</f>
        <v>#DIV/0!</v>
      </c>
      <c r="G45" s="73" t="e">
        <f>'PROM (Agropecuaria 8°)'!BM34</f>
        <v>#DIV/0!</v>
      </c>
      <c r="H45" s="52" t="e">
        <f>'PROM (Agropecuaria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(Agropecuaria 8°)'!AE35</f>
        <v>#DIV/0!</v>
      </c>
      <c r="G46" s="73" t="e">
        <f>'PROM (Agropecuaria 8°)'!BM35</f>
        <v>#DIV/0!</v>
      </c>
      <c r="H46" s="52" t="e">
        <f>'PROM (Agropecuaria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(Agropecuaria 8°)'!AE36</f>
        <v>#DIV/0!</v>
      </c>
      <c r="G47" s="73" t="e">
        <f>'PROM (Agropecuaria 8°)'!BM36</f>
        <v>#DIV/0!</v>
      </c>
      <c r="H47" s="52" t="e">
        <f>'PROM (Agropecuaria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(Agropecuaria 8°)'!AE37</f>
        <v>#DIV/0!</v>
      </c>
      <c r="G48" s="73" t="e">
        <f>'PROM (Agropecuaria 8°)'!BM37</f>
        <v>#DIV/0!</v>
      </c>
      <c r="H48" s="52" t="e">
        <f>'PROM (Agropecuaria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(Agropecuaria 8°)'!AE38</f>
        <v>#DIV/0!</v>
      </c>
      <c r="G49" s="73" t="e">
        <f>'PROM (Agropecuaria 8°)'!BM38</f>
        <v>#DIV/0!</v>
      </c>
      <c r="H49" s="52" t="e">
        <f>'PROM (Agropecuaria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(Agropecuaria 8°)'!AE39</f>
        <v>#DIV/0!</v>
      </c>
      <c r="G50" s="73" t="e">
        <f>'PROM (Agropecuaria 8°)'!BM39</f>
        <v>#DIV/0!</v>
      </c>
      <c r="H50" s="52" t="e">
        <f>'PROM (Agropecuaria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(Agropecuaria 8°)'!AE40</f>
        <v>#DIV/0!</v>
      </c>
      <c r="G51" s="73" t="e">
        <f>'PROM (Agropecuaria 8°)'!BM40</f>
        <v>#DIV/0!</v>
      </c>
      <c r="H51" s="52" t="e">
        <f>'PROM (Agropecuaria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(Agropecuaria 8°)'!AE41</f>
        <v>#DIV/0!</v>
      </c>
      <c r="G52" s="73" t="e">
        <f>'PROM (Agropecuaria 8°)'!BM41</f>
        <v>#DIV/0!</v>
      </c>
      <c r="H52" s="52" t="e">
        <f>'PROM (Agropecuaria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8" priority="1" operator="lessThan">
      <formula>3</formula>
    </cfRule>
  </conditionalFormatting>
  <pageMargins left="0.25" right="4.9479166666666657E-2" top="0.75" bottom="0.75" header="0.3" footer="0.3"/>
  <pageSetup orientation="portrait" horizont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1">
    <tabColor rgb="FFE07020"/>
  </sheetPr>
  <dimension ref="A1:EE49"/>
  <sheetViews>
    <sheetView view="pageLayout" zoomScale="60" zoomScaleNormal="100" zoomScalePageLayoutView="60" workbookViewId="0">
      <selection activeCell="CB156" sqref="CB156"/>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4"/>
      <c r="H4" s="4"/>
      <c r="I4" s="4"/>
      <c r="J4" s="4"/>
      <c r="K4" s="4"/>
      <c r="L4" s="4"/>
      <c r="M4" s="4"/>
      <c r="N4" s="4"/>
      <c r="O4" s="4"/>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2"/>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MAESTRO!F5</f>
        <v>0</v>
      </c>
      <c r="C5" s="5"/>
      <c r="D5" s="5"/>
      <c r="E5" s="5"/>
      <c r="F5" s="5"/>
      <c r="G5" s="5"/>
      <c r="H5" s="5"/>
      <c r="I5" s="5"/>
      <c r="J5" s="5"/>
      <c r="K5" s="5"/>
      <c r="L5" s="5"/>
      <c r="M5" s="5"/>
      <c r="N5" s="5"/>
      <c r="O5" s="5"/>
      <c r="P5" s="5" t="e">
        <f t="shared" ref="P5:P41" si="0">TRUNC(AVERAGE(C5:O5),1)</f>
        <v>#DIV/0!</v>
      </c>
      <c r="Q5" s="109">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B5</f>
        <v>0</v>
      </c>
      <c r="BR5" s="216"/>
      <c r="BS5" s="5"/>
      <c r="BT5" s="5"/>
      <c r="BU5" s="5"/>
      <c r="BV5" s="5"/>
      <c r="BW5" s="5"/>
      <c r="BX5" s="5"/>
      <c r="BY5" s="5"/>
      <c r="BZ5" s="5"/>
      <c r="CA5" s="5"/>
      <c r="CB5" s="5"/>
      <c r="CC5" s="5"/>
      <c r="CD5" s="5"/>
      <c r="CE5" s="5"/>
      <c r="CF5" s="5" t="e">
        <f t="shared" ref="CF5:CF42"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4">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109">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4">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109">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4">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109">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4">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109">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4">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109">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4">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109">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4">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109">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4">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109">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4">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109">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4">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109">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4">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109">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4">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109">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4">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109">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4">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109">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4">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109">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4">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109">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4">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109">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4">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109">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4">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109">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4">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109">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10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103"/>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4">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109">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10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103"/>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4">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5"/>
      <c r="D27" s="5"/>
      <c r="E27" s="5"/>
      <c r="F27" s="5"/>
      <c r="G27" s="5"/>
      <c r="H27" s="5"/>
      <c r="I27" s="5"/>
      <c r="J27" s="5"/>
      <c r="K27" s="5"/>
      <c r="L27" s="5"/>
      <c r="M27" s="5"/>
      <c r="N27" s="5"/>
      <c r="O27" s="5"/>
      <c r="P27" s="5" t="e">
        <f t="shared" si="0"/>
        <v>#DIV/0!</v>
      </c>
      <c r="Q27" s="109">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10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4">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5"/>
      <c r="D28" s="5"/>
      <c r="E28" s="5"/>
      <c r="F28" s="5"/>
      <c r="G28" s="5"/>
      <c r="H28" s="5"/>
      <c r="I28" s="5"/>
      <c r="J28" s="5"/>
      <c r="K28" s="5"/>
      <c r="L28" s="5"/>
      <c r="M28" s="5"/>
      <c r="N28" s="5"/>
      <c r="O28" s="5"/>
      <c r="P28" s="5" t="e">
        <f t="shared" si="0"/>
        <v>#DIV/0!</v>
      </c>
      <c r="Q28" s="109">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10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103"/>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4">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5"/>
      <c r="D29" s="5"/>
      <c r="E29" s="5"/>
      <c r="F29" s="5"/>
      <c r="G29" s="5"/>
      <c r="H29" s="5"/>
      <c r="I29" s="5"/>
      <c r="J29" s="5"/>
      <c r="K29" s="5"/>
      <c r="L29" s="5"/>
      <c r="M29" s="5"/>
      <c r="N29" s="5"/>
      <c r="O29" s="5"/>
      <c r="P29" s="5" t="e">
        <f t="shared" si="0"/>
        <v>#DIV/0!</v>
      </c>
      <c r="Q29" s="109">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65"/>
      <c r="AM29" s="10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5"/>
      <c r="BT29" s="103"/>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4">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5"/>
      <c r="D30" s="5"/>
      <c r="E30" s="5"/>
      <c r="F30" s="5"/>
      <c r="G30" s="5"/>
      <c r="H30" s="5"/>
      <c r="I30" s="5"/>
      <c r="J30" s="5"/>
      <c r="K30" s="5"/>
      <c r="L30" s="5"/>
      <c r="M30" s="5"/>
      <c r="N30" s="5"/>
      <c r="O30" s="5"/>
      <c r="P30" s="5" t="e">
        <f t="shared" si="0"/>
        <v>#DIV/0!</v>
      </c>
      <c r="Q30" s="109">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5"/>
      <c r="AL30" s="105"/>
      <c r="AM30" s="105"/>
      <c r="AN30" s="105"/>
      <c r="AO30" s="10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5"/>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4">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5"/>
      <c r="D31" s="5"/>
      <c r="E31" s="5"/>
      <c r="F31" s="5"/>
      <c r="G31" s="5"/>
      <c r="H31" s="5"/>
      <c r="I31" s="5"/>
      <c r="J31" s="5"/>
      <c r="K31" s="5"/>
      <c r="L31" s="5"/>
      <c r="M31" s="5"/>
      <c r="N31" s="5"/>
      <c r="O31" s="5"/>
      <c r="P31" s="5" t="e">
        <f t="shared" si="0"/>
        <v>#DIV/0!</v>
      </c>
      <c r="Q31" s="109">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5"/>
      <c r="AL31" s="105"/>
      <c r="AM31" s="105"/>
      <c r="AN31" s="105"/>
      <c r="AO31" s="10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5"/>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4">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3"/>
      <c r="E32" s="103"/>
      <c r="F32" s="5"/>
      <c r="G32" s="5"/>
      <c r="H32" s="5"/>
      <c r="I32" s="5"/>
      <c r="J32" s="5"/>
      <c r="K32" s="5"/>
      <c r="L32" s="5"/>
      <c r="M32" s="5"/>
      <c r="N32" s="5"/>
      <c r="O32" s="5"/>
      <c r="P32" s="5" t="e">
        <f t="shared" si="0"/>
        <v>#DIV/0!</v>
      </c>
      <c r="Q32" s="109">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5"/>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4">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3"/>
      <c r="E33" s="103"/>
      <c r="F33" s="5"/>
      <c r="G33" s="5"/>
      <c r="H33" s="5"/>
      <c r="I33" s="5"/>
      <c r="J33" s="5"/>
      <c r="K33" s="5"/>
      <c r="L33" s="5"/>
      <c r="M33" s="5"/>
      <c r="N33" s="5"/>
      <c r="O33" s="5"/>
      <c r="P33" s="5" t="e">
        <f t="shared" si="0"/>
        <v>#DIV/0!</v>
      </c>
      <c r="Q33" s="109">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5"/>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4">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3"/>
      <c r="E34" s="103"/>
      <c r="F34" s="5"/>
      <c r="G34" s="5"/>
      <c r="H34" s="5"/>
      <c r="I34" s="5"/>
      <c r="J34" s="5"/>
      <c r="K34" s="5"/>
      <c r="L34" s="5"/>
      <c r="M34" s="5"/>
      <c r="N34" s="5"/>
      <c r="O34" s="5"/>
      <c r="P34" s="5" t="e">
        <f t="shared" si="0"/>
        <v>#DIV/0!</v>
      </c>
      <c r="Q34" s="109">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5"/>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4">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3"/>
      <c r="E35" s="103"/>
      <c r="F35" s="5"/>
      <c r="G35" s="5"/>
      <c r="H35" s="5"/>
      <c r="I35" s="5"/>
      <c r="J35" s="5"/>
      <c r="K35" s="5"/>
      <c r="L35" s="5"/>
      <c r="M35" s="5"/>
      <c r="N35" s="5"/>
      <c r="O35" s="5"/>
      <c r="P35" s="5" t="e">
        <f t="shared" si="0"/>
        <v>#DIV/0!</v>
      </c>
      <c r="Q35" s="109">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5"/>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4">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3"/>
      <c r="E36" s="103"/>
      <c r="F36" s="5"/>
      <c r="G36" s="5"/>
      <c r="H36" s="5"/>
      <c r="I36" s="5"/>
      <c r="J36" s="5"/>
      <c r="K36" s="5"/>
      <c r="L36" s="5"/>
      <c r="M36" s="5"/>
      <c r="N36" s="5"/>
      <c r="O36" s="5"/>
      <c r="P36" s="5" t="e">
        <f t="shared" si="0"/>
        <v>#DIV/0!</v>
      </c>
      <c r="Q36" s="109">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5"/>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4">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3"/>
      <c r="E37" s="103"/>
      <c r="F37" s="5"/>
      <c r="G37" s="5"/>
      <c r="H37" s="5"/>
      <c r="I37" s="5"/>
      <c r="J37" s="5"/>
      <c r="K37" s="5"/>
      <c r="L37" s="5"/>
      <c r="M37" s="5"/>
      <c r="N37" s="5"/>
      <c r="O37" s="5"/>
      <c r="P37" s="5" t="e">
        <f t="shared" si="0"/>
        <v>#DIV/0!</v>
      </c>
      <c r="Q37" s="109">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5"/>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4">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3"/>
      <c r="E38" s="103"/>
      <c r="F38" s="5"/>
      <c r="G38" s="5"/>
      <c r="H38" s="5"/>
      <c r="I38" s="5"/>
      <c r="J38" s="5"/>
      <c r="K38" s="5"/>
      <c r="L38" s="5"/>
      <c r="M38" s="5"/>
      <c r="N38" s="5"/>
      <c r="O38" s="5"/>
      <c r="P38" s="5" t="e">
        <f t="shared" si="0"/>
        <v>#DIV/0!</v>
      </c>
      <c r="Q38" s="109">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5"/>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4">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3"/>
      <c r="E39" s="103"/>
      <c r="F39" s="5"/>
      <c r="G39" s="5"/>
      <c r="H39" s="5"/>
      <c r="I39" s="5"/>
      <c r="J39" s="5"/>
      <c r="K39" s="5"/>
      <c r="L39" s="5"/>
      <c r="M39" s="5"/>
      <c r="N39" s="5"/>
      <c r="O39" s="5"/>
      <c r="P39" s="5" t="e">
        <f t="shared" si="0"/>
        <v>#DIV/0!</v>
      </c>
      <c r="Q39" s="109">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5"/>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4">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3"/>
      <c r="E40" s="103"/>
      <c r="F40" s="5"/>
      <c r="G40" s="5"/>
      <c r="H40" s="5"/>
      <c r="I40" s="5"/>
      <c r="J40" s="5"/>
      <c r="K40" s="5"/>
      <c r="L40" s="5"/>
      <c r="M40" s="5"/>
      <c r="N40" s="5"/>
      <c r="O40" s="5"/>
      <c r="P40" s="5" t="e">
        <f t="shared" si="0"/>
        <v>#DIV/0!</v>
      </c>
      <c r="Q40" s="109">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5"/>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4">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3"/>
      <c r="E41" s="103"/>
      <c r="F41" s="5"/>
      <c r="G41" s="5"/>
      <c r="H41" s="5"/>
      <c r="I41" s="5"/>
      <c r="J41" s="5"/>
      <c r="K41" s="5"/>
      <c r="L41" s="5"/>
      <c r="M41" s="5"/>
      <c r="N41" s="5"/>
      <c r="O41" s="5"/>
      <c r="P41" s="5" t="e">
        <f t="shared" si="0"/>
        <v>#DIV/0!</v>
      </c>
      <c r="Q41" s="109">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5"/>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4">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109">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5"/>
      <c r="BT42" s="103"/>
      <c r="BU42" s="103"/>
      <c r="BV42" s="5"/>
      <c r="BW42" s="5"/>
      <c r="BX42" s="5"/>
      <c r="BY42" s="5"/>
      <c r="BZ42" s="5"/>
      <c r="CA42" s="5"/>
      <c r="CB42" s="5"/>
      <c r="CC42" s="5"/>
      <c r="CD42" s="5"/>
      <c r="CE42" s="5"/>
      <c r="CF42" s="5" t="e">
        <f t="shared" si="10"/>
        <v>#DIV/0!</v>
      </c>
      <c r="CG42" s="103"/>
      <c r="CH42" s="103"/>
      <c r="CI42" s="103"/>
      <c r="CJ42" s="103"/>
      <c r="CK42" s="5"/>
      <c r="CL42" s="5"/>
      <c r="CM42" s="5"/>
      <c r="CN42" s="5"/>
      <c r="CO42" s="5"/>
      <c r="CP42" s="5"/>
      <c r="CQ42" s="5"/>
      <c r="CR42" s="5"/>
      <c r="CS42" s="5"/>
      <c r="CT42" s="5"/>
      <c r="CU42" s="5"/>
      <c r="CV42" s="4"/>
      <c r="CW42" s="4">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109">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5"/>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4">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109">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4"/>
      <c r="AQ44" s="4"/>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5"/>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4">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109">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5"/>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4">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109">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5"/>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4">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109">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5"/>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4">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109">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5"/>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4">
        <v>44</v>
      </c>
      <c r="CY48" s="168"/>
      <c r="CZ48" s="168"/>
      <c r="DA48" s="51"/>
      <c r="DB48" s="51"/>
      <c r="DC48" s="51"/>
      <c r="DD48" s="51"/>
      <c r="DE48" s="51"/>
      <c r="DF48" s="51"/>
      <c r="DG48" s="51"/>
      <c r="DH48" s="51"/>
      <c r="DI48" s="51"/>
      <c r="DJ48" s="51"/>
      <c r="DK48" s="51"/>
      <c r="DL48" s="51"/>
      <c r="DM48" s="51"/>
      <c r="DN48" s="51"/>
      <c r="EB48" s="51"/>
      <c r="EC48" s="51"/>
    </row>
    <row r="49" spans="2:32" ht="15" customHeight="1">
      <c r="B49" s="168"/>
      <c r="C49" s="168"/>
      <c r="D49" s="51"/>
      <c r="E49" s="51"/>
      <c r="F49" s="51"/>
      <c r="G49" s="51"/>
      <c r="H49" s="51"/>
      <c r="I49" s="51"/>
      <c r="J49" s="51"/>
      <c r="K49" s="51"/>
      <c r="L49" s="51"/>
      <c r="M49" s="51"/>
      <c r="N49" s="51"/>
      <c r="O49" s="51"/>
      <c r="P49" s="51"/>
      <c r="Q49" s="51"/>
      <c r="AE49" s="51"/>
      <c r="AF49" s="51"/>
    </row>
  </sheetData>
  <mergeCells count="190">
    <mergeCell ref="CY46:CZ46"/>
    <mergeCell ref="AI23:AJ23"/>
    <mergeCell ref="A2:P2"/>
    <mergeCell ref="A3:A4"/>
    <mergeCell ref="CY29:CZ29"/>
    <mergeCell ref="R3:Z3"/>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AI8:AJ8"/>
    <mergeCell ref="CX3:CX4"/>
    <mergeCell ref="AI17:AJ17"/>
    <mergeCell ref="BQ40:BR40"/>
    <mergeCell ref="CY28:CZ28"/>
    <mergeCell ref="BQ37:BR37"/>
    <mergeCell ref="CY37:CZ37"/>
    <mergeCell ref="AI10:AJ10"/>
    <mergeCell ref="BQ24:BR24"/>
    <mergeCell ref="BQ46:BR46"/>
    <mergeCell ref="AI43:AJ43"/>
    <mergeCell ref="CY13:CZ13"/>
    <mergeCell ref="BQ7:BR7"/>
    <mergeCell ref="CY7:CZ7"/>
    <mergeCell ref="AI33:AJ33"/>
    <mergeCell ref="AI42:AJ42"/>
    <mergeCell ref="CY43:CZ43"/>
    <mergeCell ref="BQ48:BR48"/>
    <mergeCell ref="CY40:CZ40"/>
    <mergeCell ref="CY27:CZ27"/>
    <mergeCell ref="AI44:AJ44"/>
    <mergeCell ref="AI34:AJ34"/>
    <mergeCell ref="BQ34:BR34"/>
    <mergeCell ref="AI28:AJ28"/>
    <mergeCell ref="BQ36:BR36"/>
    <mergeCell ref="AI30:AJ30"/>
    <mergeCell ref="BQ33:BR33"/>
    <mergeCell ref="AI11:AJ11"/>
    <mergeCell ref="BQ20:BR20"/>
    <mergeCell ref="CY25:CZ25"/>
    <mergeCell ref="CY30:CZ30"/>
    <mergeCell ref="BQ35:BR35"/>
    <mergeCell ref="BQ22:BR22"/>
    <mergeCell ref="A1:P1"/>
    <mergeCell ref="CY3:CZ4"/>
    <mergeCell ref="AI7:AJ7"/>
    <mergeCell ref="CY12:CZ12"/>
    <mergeCell ref="BQ21:BR21"/>
    <mergeCell ref="AI16:AJ16"/>
    <mergeCell ref="CY21:CZ21"/>
    <mergeCell ref="CV3:CW4"/>
    <mergeCell ref="CY41:CZ41"/>
    <mergeCell ref="BQ23:BR23"/>
    <mergeCell ref="AI18:AJ18"/>
    <mergeCell ref="CY23:CZ23"/>
    <mergeCell ref="AE3:AE4"/>
    <mergeCell ref="CQ3:CQ4"/>
    <mergeCell ref="BI3:BI4"/>
    <mergeCell ref="AI6:AJ6"/>
    <mergeCell ref="C3:O3"/>
    <mergeCell ref="AY3:BH3"/>
    <mergeCell ref="CY5:CZ5"/>
    <mergeCell ref="P3:P4"/>
    <mergeCell ref="BQ12:BR12"/>
    <mergeCell ref="AI32:AJ32"/>
    <mergeCell ref="CY11:CZ11"/>
    <mergeCell ref="CR3:CS4"/>
    <mergeCell ref="AB3:AC4"/>
    <mergeCell ref="R1:AG1"/>
    <mergeCell ref="CY6:CZ6"/>
    <mergeCell ref="AX3:AX4"/>
    <mergeCell ref="DA3:DM3"/>
    <mergeCell ref="BS3:CE3"/>
    <mergeCell ref="CY15:CZ15"/>
    <mergeCell ref="CY44:CZ44"/>
    <mergeCell ref="CG2:CW2"/>
    <mergeCell ref="BQ31:BR31"/>
    <mergeCell ref="AI26:AJ26"/>
    <mergeCell ref="AF3:AG4"/>
    <mergeCell ref="AI19:AJ19"/>
    <mergeCell ref="CY24:CZ24"/>
    <mergeCell ref="R2:AG2"/>
    <mergeCell ref="CY10:CZ10"/>
    <mergeCell ref="AI9:AJ9"/>
    <mergeCell ref="AI3:AJ4"/>
    <mergeCell ref="BQ26:BR26"/>
    <mergeCell ref="AI12:AJ12"/>
    <mergeCell ref="AY1:BO1"/>
    <mergeCell ref="AI21:AJ21"/>
    <mergeCell ref="CY22:CZ22"/>
    <mergeCell ref="CY31:CZ31"/>
    <mergeCell ref="B49:C49"/>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I38:AJ38"/>
    <mergeCell ref="CY39:CZ39"/>
    <mergeCell ref="BQ3:BR4"/>
    <mergeCell ref="CY36:CZ36"/>
    <mergeCell ref="CY18:CZ18"/>
    <mergeCell ref="BP3:BP4"/>
    <mergeCell ref="BQ5:BR5"/>
    <mergeCell ref="AU44:AV44"/>
    <mergeCell ref="AI13:AJ13"/>
    <mergeCell ref="BQ13:BR13"/>
    <mergeCell ref="BQ44:BR44"/>
    <mergeCell ref="DO1:EE1"/>
    <mergeCell ref="CY33:CZ33"/>
    <mergeCell ref="BQ6:BR6"/>
    <mergeCell ref="BQ15:BR15"/>
    <mergeCell ref="DY3:DY4"/>
    <mergeCell ref="CY14:CZ14"/>
    <mergeCell ref="EB3:EB4"/>
    <mergeCell ref="AY2:BO2"/>
    <mergeCell ref="AI40:AJ40"/>
    <mergeCell ref="AI15:AJ15"/>
    <mergeCell ref="BQ29:BR29"/>
    <mergeCell ref="AI24:AJ24"/>
    <mergeCell ref="DO3:DX3"/>
    <mergeCell ref="ED3:EE4"/>
    <mergeCell ref="DO2:EE2"/>
    <mergeCell ref="CY34:CZ34"/>
  </mergeCells>
  <conditionalFormatting sqref="AE1:AE41 AE96:AE1048576">
    <cfRule type="cellIs" dxfId="7" priority="1" operator="lessThan">
      <formula>3</formula>
    </cfRule>
  </conditionalFormatting>
  <pageMargins left="0.7" right="0.7" top="0.75" bottom="0.75" header="0.3" footer="0.3"/>
  <pageSetup orientation="portrait" horizontalDpi="4294967293" r:id="rId1"/>
  <headerFooter>
    <oddHeader>&amp;LINGLES&amp;CGRUPO 9°</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12">
    <tabColor rgb="FFF0A060"/>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21</v>
      </c>
      <c r="M9" s="215"/>
      <c r="N9" s="215"/>
      <c r="O9" s="215"/>
      <c r="P9" s="215"/>
      <c r="Q9" s="216"/>
    </row>
    <row r="10" spans="2:17">
      <c r="B10" s="266" t="s">
        <v>117</v>
      </c>
      <c r="C10" s="216"/>
      <c r="D10" s="261" t="s">
        <v>137</v>
      </c>
      <c r="E10" s="215"/>
      <c r="F10" s="215"/>
      <c r="G10" s="216"/>
      <c r="H10" s="13"/>
      <c r="I10" s="49"/>
      <c r="J10" s="13"/>
      <c r="K10" s="13"/>
      <c r="L10" s="13"/>
      <c r="M10" s="13"/>
      <c r="N10" s="13"/>
      <c r="O10" s="13"/>
      <c r="P10" s="13"/>
      <c r="Q10" s="13"/>
    </row>
    <row r="11" spans="2:17">
      <c r="B11" s="258" t="s">
        <v>119</v>
      </c>
      <c r="C11" s="216"/>
      <c r="D11" s="259" t="s">
        <v>120</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MAESTRO!F5</f>
        <v>0</v>
      </c>
      <c r="D16" s="17"/>
      <c r="E16" s="17"/>
      <c r="F16" s="52" t="e">
        <f>'PROM (Ingles 9°)'!AE5</f>
        <v>#DIV/0!</v>
      </c>
      <c r="G16" s="52" t="e">
        <f>'PROM (Ingles 9°)'!BM5</f>
        <v>#DIV/0!</v>
      </c>
      <c r="H16" s="52" t="e">
        <f>'PROM (Ingles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(Ingles 9°)'!AE6</f>
        <v>#DIV/0!</v>
      </c>
      <c r="G17" s="52" t="e">
        <f>'PROM (Ingles 9°)'!BM6</f>
        <v>#DIV/0!</v>
      </c>
      <c r="H17" s="52" t="e">
        <f>'PROM (Ingles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(Ingles 9°)'!AE7</f>
        <v>#DIV/0!</v>
      </c>
      <c r="G18" s="52" t="e">
        <f>'PROM (Ingles 9°)'!BM7</f>
        <v>#DIV/0!</v>
      </c>
      <c r="H18" s="52" t="e">
        <f>'PROM (Ingles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(Ingles 9°)'!AE8</f>
        <v>#DIV/0!</v>
      </c>
      <c r="G19" s="52" t="e">
        <f>'PROM (Ingles 9°)'!BM8</f>
        <v>#DIV/0!</v>
      </c>
      <c r="H19" s="52" t="e">
        <f>'PROM (Ingles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(Ingles 9°)'!AE9</f>
        <v>#DIV/0!</v>
      </c>
      <c r="G20" s="52" t="e">
        <f>'PROM (Ingles 9°)'!BM9</f>
        <v>#DIV/0!</v>
      </c>
      <c r="H20" s="52" t="e">
        <f>'PROM (Ingles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(Ingles 9°)'!AE10</f>
        <v>#DIV/0!</v>
      </c>
      <c r="G21" s="52" t="e">
        <f>'PROM (Ingles 9°)'!BM10</f>
        <v>#DIV/0!</v>
      </c>
      <c r="H21" s="52" t="e">
        <f>'PROM (Ingles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(Ingles 9°)'!AE11</f>
        <v>#DIV/0!</v>
      </c>
      <c r="G22" s="52" t="e">
        <f>'PROM (Ingles 9°)'!BM11</f>
        <v>#DIV/0!</v>
      </c>
      <c r="H22" s="52" t="e">
        <f>'PROM (Ingles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(Ingles 9°)'!AE12</f>
        <v>#DIV/0!</v>
      </c>
      <c r="G23" s="52" t="e">
        <f>'PROM (Ingles 9°)'!BM12</f>
        <v>#DIV/0!</v>
      </c>
      <c r="H23" s="52" t="e">
        <f>'PROM (Ingles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(Ingles 9°)'!AE13</f>
        <v>#DIV/0!</v>
      </c>
      <c r="G24" s="52" t="e">
        <f>'PROM (Ingles 9°)'!BM13</f>
        <v>#DIV/0!</v>
      </c>
      <c r="H24" s="52" t="e">
        <f>'PROM (Ingles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(Ingles 9°)'!AE14</f>
        <v>#DIV/0!</v>
      </c>
      <c r="G25" s="52" t="e">
        <f>'PROM (Ingles 9°)'!BM14</f>
        <v>#DIV/0!</v>
      </c>
      <c r="H25" s="52" t="e">
        <f>'PROM (Ingles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(Ingles 9°)'!AE15</f>
        <v>#DIV/0!</v>
      </c>
      <c r="G26" s="52" t="e">
        <f>'PROM (Ingles 9°)'!BM15</f>
        <v>#DIV/0!</v>
      </c>
      <c r="H26" s="52" t="e">
        <f>'PROM (Ingles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(Ingles 9°)'!AE16</f>
        <v>#DIV/0!</v>
      </c>
      <c r="G27" s="52" t="e">
        <f>'PROM (Ingles 9°)'!BM16</f>
        <v>#DIV/0!</v>
      </c>
      <c r="H27" s="52" t="e">
        <f>'PROM (Ingles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(Ingles 9°)'!AE17</f>
        <v>#DIV/0!</v>
      </c>
      <c r="G28" s="52" t="e">
        <f>'PROM (Ingles 9°)'!BM17</f>
        <v>#DIV/0!</v>
      </c>
      <c r="H28" s="52" t="e">
        <f>'PROM (Ingles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(Ingles 9°)'!AE18</f>
        <v>#DIV/0!</v>
      </c>
      <c r="G29" s="52" t="e">
        <f>'PROM (Ingles 9°)'!BM18</f>
        <v>#DIV/0!</v>
      </c>
      <c r="H29" s="52" t="e">
        <f>'PROM (Ingles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(Ingles 9°)'!AE19</f>
        <v>#DIV/0!</v>
      </c>
      <c r="G30" s="52" t="e">
        <f>'PROM (Ingles 9°)'!BM19</f>
        <v>#DIV/0!</v>
      </c>
      <c r="H30" s="52" t="e">
        <f>'PROM (Ingles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(Ingles 9°)'!AE20</f>
        <v>#DIV/0!</v>
      </c>
      <c r="G31" s="52" t="e">
        <f>'PROM (Ingles 9°)'!BM20</f>
        <v>#DIV/0!</v>
      </c>
      <c r="H31" s="52" t="e">
        <f>'PROM (Ingles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(Ingles 9°)'!AE21</f>
        <v>#DIV/0!</v>
      </c>
      <c r="G32" s="73" t="e">
        <f>'PROM (Ingles 9°)'!BM21</f>
        <v>#DIV/0!</v>
      </c>
      <c r="H32" s="52" t="e">
        <f>'PROM (Ingles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(Ingles 9°)'!AE22</f>
        <v>#DIV/0!</v>
      </c>
      <c r="G33" s="73" t="e">
        <f>'PROM (Ingles 9°)'!BM22</f>
        <v>#DIV/0!</v>
      </c>
      <c r="H33" s="52" t="e">
        <f>'PROM (Ingles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(Ingles 9°)'!AE23</f>
        <v>#DIV/0!</v>
      </c>
      <c r="G34" s="73" t="e">
        <f>'PROM (Ingles 9°)'!BM23</f>
        <v>#DIV/0!</v>
      </c>
      <c r="H34" s="52" t="e">
        <f>'PROM (Ingles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(Ingles 9°)'!AE24</f>
        <v>#DIV/0!</v>
      </c>
      <c r="G35" s="73" t="e">
        <f>'PROM (Ingles 9°)'!BM24</f>
        <v>#DIV/0!</v>
      </c>
      <c r="H35" s="52" t="e">
        <f>'PROM (Ingles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(Ingles 9°)'!AE25</f>
        <v>#DIV/0!</v>
      </c>
      <c r="G36" s="73" t="e">
        <f>'PROM (Ingles 9°)'!BM25</f>
        <v>#DIV/0!</v>
      </c>
      <c r="H36" s="52" t="e">
        <f>'PROM (Ingles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(Ingles 9°)'!AE26</f>
        <v>#DIV/0!</v>
      </c>
      <c r="G37" s="73" t="e">
        <f>'PROM (Ingles 9°)'!BM26</f>
        <v>#DIV/0!</v>
      </c>
      <c r="H37" s="52" t="e">
        <f>'PROM (Ingles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(Ingles 9°)'!AE27</f>
        <v>#DIV/0!</v>
      </c>
      <c r="G38" s="73" t="e">
        <f>'PROM (Ingles 9°)'!BM27</f>
        <v>#DIV/0!</v>
      </c>
      <c r="H38" s="52" t="e">
        <f>'PROM (Ingles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(Ingles 9°)'!AE28</f>
        <v>#DIV/0!</v>
      </c>
      <c r="G39" s="73" t="e">
        <f>'PROM (Ingles 9°)'!BM28</f>
        <v>#DIV/0!</v>
      </c>
      <c r="H39" s="52" t="e">
        <f>'PROM (Ingles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(Ingles 9°)'!AE29</f>
        <v>#DIV/0!</v>
      </c>
      <c r="G40" s="73" t="e">
        <f>'PROM (Ingles 9°)'!BM29</f>
        <v>#DIV/0!</v>
      </c>
      <c r="H40" s="52" t="e">
        <f>'PROM (Ingles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(Ingles 9°)'!AE30</f>
        <v>#DIV/0!</v>
      </c>
      <c r="G41" s="73" t="e">
        <f>'PROM (Ingles 9°)'!BM30</f>
        <v>#DIV/0!</v>
      </c>
      <c r="H41" s="52" t="e">
        <f>'PROM (Ingles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(Ingles 9°)'!AE31</f>
        <v>#DIV/0!</v>
      </c>
      <c r="G42" s="73" t="e">
        <f>'PROM (Ingles 9°)'!BM31</f>
        <v>#DIV/0!</v>
      </c>
      <c r="H42" s="52" t="e">
        <f>'PROM (Ingles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(Ingles 9°)'!AE32</f>
        <v>#DIV/0!</v>
      </c>
      <c r="G43" s="73" t="e">
        <f>'PROM (Ingles 9°)'!BM32</f>
        <v>#DIV/0!</v>
      </c>
      <c r="H43" s="52" t="e">
        <f>'PROM (Ingles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(Ingles 9°)'!AE33</f>
        <v>#DIV/0!</v>
      </c>
      <c r="G44" s="73" t="e">
        <f>'PROM (Ingles 9°)'!BM33</f>
        <v>#DIV/0!</v>
      </c>
      <c r="H44" s="52" t="e">
        <f>'PROM (Ingles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(Ingles 9°)'!AE34</f>
        <v>#DIV/0!</v>
      </c>
      <c r="G45" s="73" t="e">
        <f>'PROM (Ingles 9°)'!BM34</f>
        <v>#DIV/0!</v>
      </c>
      <c r="H45" s="52" t="e">
        <f>'PROM (Ingles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(Ingles 9°)'!AE35</f>
        <v>#DIV/0!</v>
      </c>
      <c r="G46" s="73" t="e">
        <f>'PROM (Ingles 9°)'!BM35</f>
        <v>#DIV/0!</v>
      </c>
      <c r="H46" s="52" t="e">
        <f>'PROM (Ingles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(Ingles 9°)'!AE36</f>
        <v>#DIV/0!</v>
      </c>
      <c r="G47" s="73" t="e">
        <f>'PROM (Ingles 9°)'!BM36</f>
        <v>#DIV/0!</v>
      </c>
      <c r="H47" s="52" t="e">
        <f>'PROM (Ingles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(Ingles 9°)'!AE37</f>
        <v>#DIV/0!</v>
      </c>
      <c r="G48" s="73" t="e">
        <f>'PROM (Ingles 9°)'!BM37</f>
        <v>#DIV/0!</v>
      </c>
      <c r="H48" s="52" t="e">
        <f>'PROM (Ingles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(Ingles 9°)'!AE38</f>
        <v>#DIV/0!</v>
      </c>
      <c r="G49" s="73" t="e">
        <f>'PROM (Ingles 9°)'!BM38</f>
        <v>#DIV/0!</v>
      </c>
      <c r="H49" s="52" t="e">
        <f>'PROM (Ingles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(Ingles 9°)'!AE39</f>
        <v>#DIV/0!</v>
      </c>
      <c r="G50" s="73" t="e">
        <f>'PROM (Ingles 9°)'!BM39</f>
        <v>#DIV/0!</v>
      </c>
      <c r="H50" s="52" t="e">
        <f>'PROM (Ingles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(Ingles 9°)'!AE40</f>
        <v>#DIV/0!</v>
      </c>
      <c r="G51" s="73" t="e">
        <f>'PROM (Ingles 9°)'!BM40</f>
        <v>#DIV/0!</v>
      </c>
      <c r="H51" s="52" t="e">
        <f>'PROM (Ingles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(Ingles 9°)'!AE41</f>
        <v>#DIV/0!</v>
      </c>
      <c r="G52" s="73" t="e">
        <f>'PROM (Ingles 9°)'!BM41</f>
        <v>#DIV/0!</v>
      </c>
      <c r="H52" s="52" t="e">
        <f>'PROM (Ingles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6" priority="1" operator="lessThan">
      <formula>3</formula>
    </cfRule>
  </conditionalFormatting>
  <pageMargins left="0.25" right="4.9479166666666657E-2" top="0.75" bottom="0.75" header="0.3" footer="0.3"/>
  <pageSetup orientation="portrait" horizont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17">
    <tabColor rgb="FFE07020"/>
  </sheetPr>
  <dimension ref="A1:EE49"/>
  <sheetViews>
    <sheetView view="pageLayout" zoomScale="70" zoomScaleNormal="100" zoomScalePageLayoutView="70" workbookViewId="0">
      <selection activeCell="X18" sqref="X1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103</v>
      </c>
      <c r="BQ1" s="215"/>
      <c r="BR1" s="215"/>
      <c r="BS1" s="215"/>
      <c r="BT1" s="215"/>
      <c r="BU1" s="215"/>
      <c r="BV1" s="215"/>
      <c r="BW1" s="215"/>
      <c r="BX1" s="215"/>
      <c r="BY1" s="215"/>
      <c r="BZ1" s="215"/>
      <c r="CA1" s="215"/>
      <c r="CB1" s="215"/>
      <c r="CC1" s="215"/>
      <c r="CD1" s="215"/>
      <c r="CE1" s="215"/>
      <c r="CF1" s="216"/>
      <c r="CG1" s="245" t="s">
        <v>103</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25"/>
      <c r="H4" s="25"/>
      <c r="I4" s="25"/>
      <c r="J4" s="25"/>
      <c r="K4" s="25"/>
      <c r="L4" s="25"/>
      <c r="M4" s="25"/>
      <c r="N4" s="25"/>
      <c r="O4" s="25"/>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2"/>
      <c r="AW4" s="22"/>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103"/>
      <c r="BT25" s="103"/>
      <c r="BU25" s="103"/>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103"/>
      <c r="BT26" s="103"/>
      <c r="BU26" s="103"/>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103"/>
      <c r="D27" s="104"/>
      <c r="E27" s="104"/>
      <c r="F27" s="104"/>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103"/>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103"/>
      <c r="D28" s="104"/>
      <c r="E28" s="104"/>
      <c r="F28" s="104"/>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103"/>
      <c r="BT28" s="103"/>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103"/>
      <c r="D29" s="104"/>
      <c r="E29" s="104"/>
      <c r="F29" s="104"/>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105"/>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103"/>
      <c r="BT29" s="103"/>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103"/>
      <c r="D30" s="104"/>
      <c r="E30" s="104"/>
      <c r="F30" s="104"/>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105"/>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103"/>
      <c r="D31" s="104"/>
      <c r="E31" s="104"/>
      <c r="F31" s="104"/>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5"/>
      <c r="AL31" s="105"/>
      <c r="AM31" s="105"/>
      <c r="AN31" s="105"/>
      <c r="AO31" s="105"/>
      <c r="AP31" s="105"/>
      <c r="AQ31" s="65"/>
      <c r="AR31" s="65"/>
      <c r="AS31" s="65"/>
      <c r="AT31" s="65"/>
      <c r="AU31" s="65"/>
      <c r="AV31" s="65"/>
      <c r="AW31" s="22"/>
      <c r="AX31" s="5" t="e">
        <f t="shared" si="5"/>
        <v>#DIV/0!</v>
      </c>
      <c r="AY31" s="106"/>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4"/>
      <c r="E32" s="104"/>
      <c r="F32" s="104"/>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4"/>
      <c r="E33" s="104"/>
      <c r="F33" s="104"/>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4"/>
      <c r="E34" s="104"/>
      <c r="F34" s="104"/>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4"/>
      <c r="E35" s="104"/>
      <c r="F35" s="104"/>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4"/>
      <c r="E36" s="104"/>
      <c r="F36" s="104"/>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4"/>
      <c r="E37" s="104"/>
      <c r="F37" s="104"/>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4"/>
      <c r="E38" s="104"/>
      <c r="F38" s="104"/>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4"/>
      <c r="E39" s="104"/>
      <c r="F39" s="104"/>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4"/>
      <c r="E40" s="104"/>
      <c r="F40" s="104"/>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4"/>
      <c r="E41" s="104"/>
      <c r="F41" s="104"/>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4"/>
      <c r="E42" s="104"/>
      <c r="F42" s="104"/>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4"/>
      <c r="E43" s="104"/>
      <c r="F43" s="104"/>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4"/>
      <c r="E44" s="104"/>
      <c r="F44" s="104"/>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105"/>
      <c r="AP44" s="105"/>
      <c r="AQ44" s="4"/>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4"/>
      <c r="E45" s="104"/>
      <c r="F45" s="104"/>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4"/>
      <c r="E46" s="104"/>
      <c r="F46" s="104"/>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4"/>
      <c r="E47" s="104"/>
      <c r="F47" s="104"/>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4"/>
      <c r="E48" s="104"/>
      <c r="F48" s="104"/>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98"/>
      <c r="AM49" s="98"/>
      <c r="AN49" s="98"/>
      <c r="AO49" s="98"/>
      <c r="AP49" s="98"/>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5"/>
      <c r="BU49" s="5"/>
      <c r="BV49" s="5"/>
      <c r="BW49" s="5"/>
      <c r="BX49" s="5"/>
      <c r="BY49" s="5"/>
      <c r="BZ49" s="5"/>
      <c r="CA49" s="5"/>
      <c r="CB49" s="5"/>
      <c r="CC49" s="5"/>
      <c r="CD49" s="5"/>
      <c r="CE49" s="5"/>
      <c r="CF49" s="5"/>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CG1:CW1"/>
    <mergeCell ref="DN3:DN4"/>
    <mergeCell ref="AI47:AJ47"/>
    <mergeCell ref="BQ14:BR14"/>
    <mergeCell ref="BQ39:BR39"/>
    <mergeCell ref="CY32:CZ32"/>
    <mergeCell ref="BN3:BO4"/>
    <mergeCell ref="CY42:CZ42"/>
    <mergeCell ref="AH3:AH4"/>
    <mergeCell ref="CY47:CZ47"/>
    <mergeCell ref="BQ38:BR38"/>
    <mergeCell ref="AH1:AX1"/>
    <mergeCell ref="AI45:AJ45"/>
    <mergeCell ref="CY45:CZ45"/>
    <mergeCell ref="BQ42:BR42"/>
    <mergeCell ref="BQ43:BR43"/>
    <mergeCell ref="AY1:BO1"/>
    <mergeCell ref="CY46:CZ46"/>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AI29:AJ29"/>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s>
  <conditionalFormatting sqref="AE1:AE41 AE50:AE1048576">
    <cfRule type="cellIs" dxfId="5" priority="1" operator="lessThan">
      <formula>3</formula>
    </cfRule>
  </conditionalFormatting>
  <pageMargins left="0.7" right="0.7" top="0.75" bottom="0.75" header="0.3" footer="0.3"/>
  <pageSetup orientation="portrait" horizontalDpi="4294967293" r:id="rId1"/>
  <headerFooter>
    <oddHeader>&amp;LCOMERCIO&amp;CGRUPO 9°</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18">
    <tabColor rgb="FFF0A060"/>
  </sheetPr>
  <dimension ref="B3:Q58"/>
  <sheetViews>
    <sheetView showWhiteSpace="0" view="pageLayout" zoomScale="70" zoomScaleNormal="100" zoomScalePageLayoutView="70" workbookViewId="0">
      <selection activeCell="C16" sqref="C16:E52"/>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v>9</v>
      </c>
      <c r="M9" s="215"/>
      <c r="N9" s="215"/>
      <c r="O9" s="215"/>
      <c r="P9" s="215"/>
      <c r="Q9" s="216"/>
    </row>
    <row r="10" spans="2:17">
      <c r="B10" s="266" t="s">
        <v>117</v>
      </c>
      <c r="C10" s="216"/>
      <c r="D10" s="261" t="s">
        <v>137</v>
      </c>
      <c r="E10" s="215"/>
      <c r="F10" s="215"/>
      <c r="G10" s="216"/>
      <c r="H10" s="13"/>
      <c r="I10" s="49"/>
      <c r="J10" s="13"/>
      <c r="K10" s="13"/>
      <c r="L10" s="13"/>
      <c r="M10" s="13"/>
      <c r="N10" s="13"/>
      <c r="O10" s="13"/>
      <c r="P10" s="13"/>
      <c r="Q10" s="13"/>
    </row>
    <row r="11" spans="2:17">
      <c r="B11" s="258" t="s">
        <v>119</v>
      </c>
      <c r="C11" s="216"/>
      <c r="D11" s="259" t="s">
        <v>6</v>
      </c>
      <c r="E11" s="225"/>
      <c r="F11" s="15"/>
      <c r="G11" s="13"/>
      <c r="H11" s="13"/>
      <c r="I11" s="258" t="s">
        <v>121</v>
      </c>
      <c r="J11" s="215"/>
      <c r="K11" s="216"/>
      <c r="L11" s="265" t="s">
        <v>136</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MAESTRO!F5</f>
        <v>0</v>
      </c>
      <c r="D16" s="17"/>
      <c r="E16" s="17"/>
      <c r="F16" s="52" t="e">
        <f>'PROM (Comercio 9°)'!AE5</f>
        <v>#DIV/0!</v>
      </c>
      <c r="G16" s="52" t="e">
        <f>'PROM (Comercio 9°)'!BM5</f>
        <v>#DIV/0!</v>
      </c>
      <c r="H16" s="52" t="e">
        <f>'PROM (Comercio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(Comercio 9°)'!AE6</f>
        <v>#DIV/0!</v>
      </c>
      <c r="G17" s="52" t="e">
        <f>'PROM (Comercio 9°)'!BM6</f>
        <v>#DIV/0!</v>
      </c>
      <c r="H17" s="52" t="e">
        <f>'PROM (Comercio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(Comercio 9°)'!AE7</f>
        <v>#DIV/0!</v>
      </c>
      <c r="G18" s="52" t="e">
        <f>'PROM (Comercio 9°)'!BM7</f>
        <v>#DIV/0!</v>
      </c>
      <c r="H18" s="52" t="e">
        <f>'PROM (Comercio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(Comercio 9°)'!AE8</f>
        <v>#DIV/0!</v>
      </c>
      <c r="G19" s="52" t="e">
        <f>'PROM (Comercio 9°)'!BM8</f>
        <v>#DIV/0!</v>
      </c>
      <c r="H19" s="52" t="e">
        <f>'PROM (Comercio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(Comercio 9°)'!AE9</f>
        <v>#DIV/0!</v>
      </c>
      <c r="G20" s="52" t="e">
        <f>'PROM (Comercio 9°)'!BM9</f>
        <v>#DIV/0!</v>
      </c>
      <c r="H20" s="52" t="e">
        <f>'PROM (Comercio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(Comercio 9°)'!AE10</f>
        <v>#DIV/0!</v>
      </c>
      <c r="G21" s="52" t="e">
        <f>'PROM (Comercio 9°)'!BM10</f>
        <v>#DIV/0!</v>
      </c>
      <c r="H21" s="52" t="e">
        <f>'PROM (Comercio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(Comercio 9°)'!AE11</f>
        <v>#DIV/0!</v>
      </c>
      <c r="G22" s="52" t="e">
        <f>'PROM (Comercio 9°)'!BM11</f>
        <v>#DIV/0!</v>
      </c>
      <c r="H22" s="52" t="e">
        <f>'PROM (Comercio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(Comercio 9°)'!AE12</f>
        <v>#DIV/0!</v>
      </c>
      <c r="G23" s="52" t="e">
        <f>'PROM (Comercio 9°)'!BM12</f>
        <v>#DIV/0!</v>
      </c>
      <c r="H23" s="52" t="e">
        <f>'PROM (Comercio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(Comercio 9°)'!AE13</f>
        <v>#DIV/0!</v>
      </c>
      <c r="G24" s="52" t="e">
        <f>'PROM (Comercio 9°)'!BM13</f>
        <v>#DIV/0!</v>
      </c>
      <c r="H24" s="52" t="e">
        <f>'PROM (Comercio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(Comercio 9°)'!AE14</f>
        <v>#DIV/0!</v>
      </c>
      <c r="G25" s="52" t="e">
        <f>'PROM (Comercio 9°)'!BM14</f>
        <v>#DIV/0!</v>
      </c>
      <c r="H25" s="52" t="e">
        <f>'PROM (Comercio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(Comercio 9°)'!AE15</f>
        <v>#DIV/0!</v>
      </c>
      <c r="G26" s="52" t="e">
        <f>'PROM (Comercio 9°)'!BM15</f>
        <v>#DIV/0!</v>
      </c>
      <c r="H26" s="52" t="e">
        <f>'PROM (Comercio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(Comercio 9°)'!AE16</f>
        <v>#DIV/0!</v>
      </c>
      <c r="G27" s="52" t="e">
        <f>'PROM (Comercio 9°)'!BM16</f>
        <v>#DIV/0!</v>
      </c>
      <c r="H27" s="52" t="e">
        <f>'PROM (Comercio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(Comercio 9°)'!AE17</f>
        <v>#DIV/0!</v>
      </c>
      <c r="G28" s="52" t="e">
        <f>'PROM (Comercio 9°)'!BM17</f>
        <v>#DIV/0!</v>
      </c>
      <c r="H28" s="52" t="e">
        <f>'PROM (Comercio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(Comercio 9°)'!AE18</f>
        <v>#DIV/0!</v>
      </c>
      <c r="G29" s="52" t="e">
        <f>'PROM (Comercio 9°)'!BM18</f>
        <v>#DIV/0!</v>
      </c>
      <c r="H29" s="52" t="e">
        <f>'PROM (Comercio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(Comercio 9°)'!AE19</f>
        <v>#DIV/0!</v>
      </c>
      <c r="G30" s="52" t="e">
        <f>'PROM (Comercio 9°)'!BM19</f>
        <v>#DIV/0!</v>
      </c>
      <c r="H30" s="52" t="e">
        <f>'PROM (Comercio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(Comercio 9°)'!AE20</f>
        <v>#DIV/0!</v>
      </c>
      <c r="G31" s="52" t="e">
        <f>'PROM (Comercio 9°)'!BM20</f>
        <v>#DIV/0!</v>
      </c>
      <c r="H31" s="52" t="e">
        <f>'PROM (Comercio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(Comercio 9°)'!AE21</f>
        <v>#DIV/0!</v>
      </c>
      <c r="G32" s="72" t="e">
        <f>'PROM (Comercio 9°)'!BM21</f>
        <v>#DIV/0!</v>
      </c>
      <c r="H32" s="52" t="e">
        <f>'PROM (Comercio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(Comercio 9°)'!AE22</f>
        <v>#DIV/0!</v>
      </c>
      <c r="G33" s="72" t="e">
        <f>'PROM (Comercio 9°)'!BM22</f>
        <v>#DIV/0!</v>
      </c>
      <c r="H33" s="52" t="e">
        <f>'PROM (Comercio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(Comercio 9°)'!AE23</f>
        <v>#DIV/0!</v>
      </c>
      <c r="G34" s="72" t="e">
        <f>'PROM (Comercio 9°)'!BM23</f>
        <v>#DIV/0!</v>
      </c>
      <c r="H34" s="52" t="e">
        <f>'PROM (Comercio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(Comercio 9°)'!AE24</f>
        <v>#DIV/0!</v>
      </c>
      <c r="G35" s="72" t="e">
        <f>'PROM (Comercio 9°)'!BM24</f>
        <v>#DIV/0!</v>
      </c>
      <c r="H35" s="52" t="e">
        <f>'PROM (Comercio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(Comercio 9°)'!AE25</f>
        <v>#DIV/0!</v>
      </c>
      <c r="G36" s="72" t="e">
        <f>'PROM (Comercio 9°)'!BM25</f>
        <v>#DIV/0!</v>
      </c>
      <c r="H36" s="52" t="e">
        <f>'PROM (Comercio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(Comercio 9°)'!AE26</f>
        <v>#DIV/0!</v>
      </c>
      <c r="G37" s="72" t="e">
        <f>'PROM (Comercio 9°)'!BM26</f>
        <v>#DIV/0!</v>
      </c>
      <c r="H37" s="52" t="e">
        <f>'PROM (Comercio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(Comercio 9°)'!AE27</f>
        <v>#DIV/0!</v>
      </c>
      <c r="G38" s="72" t="e">
        <f>'PROM (Comercio 9°)'!BM27</f>
        <v>#DIV/0!</v>
      </c>
      <c r="H38" s="52" t="e">
        <f>'PROM (Comercio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(Comercio 9°)'!AE28</f>
        <v>#DIV/0!</v>
      </c>
      <c r="G39" s="72" t="e">
        <f>'PROM (Comercio 9°)'!BM28</f>
        <v>#DIV/0!</v>
      </c>
      <c r="H39" s="52" t="e">
        <f>'PROM (Comercio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(Comercio 9°)'!AE29</f>
        <v>#DIV/0!</v>
      </c>
      <c r="G40" s="72" t="e">
        <f>'PROM (Comercio 9°)'!BM29</f>
        <v>#DIV/0!</v>
      </c>
      <c r="H40" s="52" t="e">
        <f>'PROM (Comercio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(Comercio 9°)'!AE30</f>
        <v>#DIV/0!</v>
      </c>
      <c r="G41" s="72" t="e">
        <f>'PROM (Comercio 9°)'!BM30</f>
        <v>#DIV/0!</v>
      </c>
      <c r="H41" s="52" t="e">
        <f>'PROM (Comercio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(Comercio 9°)'!AE31</f>
        <v>#DIV/0!</v>
      </c>
      <c r="G42" s="72" t="e">
        <f>'PROM (Comercio 9°)'!BM31</f>
        <v>#DIV/0!</v>
      </c>
      <c r="H42" s="52" t="e">
        <f>'PROM (Comercio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(Comercio 9°)'!AE32</f>
        <v>#DIV/0!</v>
      </c>
      <c r="G43" s="72" t="e">
        <f>'PROM (Comercio 9°)'!BM32</f>
        <v>#DIV/0!</v>
      </c>
      <c r="H43" s="52" t="e">
        <f>'PROM (Comercio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(Comercio 9°)'!AE33</f>
        <v>#DIV/0!</v>
      </c>
      <c r="G44" s="72" t="e">
        <f>'PROM (Comercio 9°)'!BM33</f>
        <v>#DIV/0!</v>
      </c>
      <c r="H44" s="52" t="e">
        <f>'PROM (Comercio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(Comercio 9°)'!AE34</f>
        <v>#DIV/0!</v>
      </c>
      <c r="G45" s="72" t="e">
        <f>'PROM (Comercio 9°)'!BM34</f>
        <v>#DIV/0!</v>
      </c>
      <c r="H45" s="52" t="e">
        <f>'PROM (Comercio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(Comercio 9°)'!AE35</f>
        <v>#DIV/0!</v>
      </c>
      <c r="G46" s="72" t="e">
        <f>'PROM (Comercio 9°)'!BM35</f>
        <v>#DIV/0!</v>
      </c>
      <c r="H46" s="52" t="e">
        <f>'PROM (Comercio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(Comercio 9°)'!AE36</f>
        <v>#DIV/0!</v>
      </c>
      <c r="G47" s="72" t="e">
        <f>'PROM (Comercio 9°)'!BM36</f>
        <v>#DIV/0!</v>
      </c>
      <c r="H47" s="52" t="e">
        <f>'PROM (Comercio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(Comercio 9°)'!AE37</f>
        <v>#DIV/0!</v>
      </c>
      <c r="G48" s="72" t="e">
        <f>'PROM (Comercio 9°)'!BM37</f>
        <v>#DIV/0!</v>
      </c>
      <c r="H48" s="52" t="e">
        <f>'PROM (Comercio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(Comercio 9°)'!AE38</f>
        <v>#DIV/0!</v>
      </c>
      <c r="G49" s="72" t="e">
        <f>'PROM (Comercio 9°)'!BM38</f>
        <v>#DIV/0!</v>
      </c>
      <c r="H49" s="52" t="e">
        <f>'PROM (Comercio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(Comercio 9°)'!AE39</f>
        <v>#DIV/0!</v>
      </c>
      <c r="G50" s="72" t="e">
        <f>'PROM (Comercio 9°)'!BM39</f>
        <v>#DIV/0!</v>
      </c>
      <c r="H50" s="52" t="e">
        <f>'PROM (Comercio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(Comercio 9°)'!AE40</f>
        <v>#DIV/0!</v>
      </c>
      <c r="G51" s="72" t="e">
        <f>'PROM (Comercio 9°)'!BM40</f>
        <v>#DIV/0!</v>
      </c>
      <c r="H51" s="52" t="e">
        <f>'PROM (Comercio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(Comercio 9°)'!AE41</f>
        <v>#DIV/0!</v>
      </c>
      <c r="G52" s="72" t="e">
        <f>'PROM (Comercio 9°)'!BM41</f>
        <v>#DIV/0!</v>
      </c>
      <c r="H52" s="52" t="e">
        <f>'PROM (Comercio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4" priority="1" operator="lessThan">
      <formula>3</formula>
    </cfRule>
  </conditionalFormatting>
  <pageMargins left="0.25" right="4.9479166666666657E-2" top="0.75" bottom="0.75" header="0.3" footer="0.3"/>
  <pageSetup orientation="portrait" horizont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19">
    <tabColor rgb="FFE07020"/>
  </sheetPr>
  <dimension ref="A1:EE49"/>
  <sheetViews>
    <sheetView view="pageLayout" zoomScale="80" zoomScaleNormal="100" zoomScalePageLayoutView="80" workbookViewId="0">
      <selection activeCell="K6" sqref="K6"/>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4"/>
      <c r="H4" s="4"/>
      <c r="I4" s="4"/>
      <c r="J4" s="4"/>
      <c r="K4" s="4"/>
      <c r="L4" s="4"/>
      <c r="M4" s="4"/>
      <c r="N4" s="4"/>
      <c r="O4" s="4"/>
      <c r="P4" s="219"/>
      <c r="Q4" s="61"/>
      <c r="R4" s="25"/>
      <c r="S4" s="25"/>
      <c r="T4" s="61"/>
      <c r="U4" s="61"/>
      <c r="V4" s="61"/>
      <c r="W4" s="4"/>
      <c r="X4" s="4"/>
      <c r="Y4" s="4"/>
      <c r="Z4" s="4"/>
      <c r="AA4" s="219"/>
      <c r="AB4" s="224"/>
      <c r="AC4" s="225"/>
      <c r="AD4" s="219"/>
      <c r="AE4" s="219"/>
      <c r="AF4" s="224"/>
      <c r="AG4" s="225"/>
      <c r="AH4" s="219"/>
      <c r="AI4" s="224"/>
      <c r="AJ4" s="225"/>
      <c r="AK4" s="25"/>
      <c r="AL4" s="25"/>
      <c r="AM4" s="25"/>
      <c r="AN4" s="25"/>
      <c r="AO4" s="25"/>
      <c r="AP4" s="25"/>
      <c r="AQ4" s="25"/>
      <c r="AR4" s="25"/>
      <c r="AS4" s="25"/>
      <c r="AT4" s="25"/>
      <c r="AU4" s="25"/>
      <c r="AV4" s="25"/>
      <c r="AW4" s="25"/>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97">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97">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97">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97">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97">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97">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97">
        <f>MAESTRO!F27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97">
        <f>MAESTRO!F28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5"/>
      <c r="BU28" s="5"/>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97">
        <f>MAESTRO!F29</f>
        <v>0</v>
      </c>
      <c r="C29" s="103"/>
      <c r="D29" s="103"/>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65"/>
      <c r="AM29" s="65"/>
      <c r="AN29" s="10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5"/>
      <c r="BT29" s="5"/>
      <c r="BU29" s="5"/>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97">
        <f>MAESTRO!F30</f>
        <v>0</v>
      </c>
      <c r="C30" s="103"/>
      <c r="D30" s="103"/>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65"/>
      <c r="AL30" s="65"/>
      <c r="AM30" s="105"/>
      <c r="AN30" s="10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103"/>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97">
        <f>MAESTRO!F31</f>
        <v>0</v>
      </c>
      <c r="C31" s="103"/>
      <c r="D31" s="103"/>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65"/>
      <c r="AL31" s="65"/>
      <c r="AM31" s="105"/>
      <c r="AN31" s="10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97">
        <f>MAESTRO!F32</f>
        <v>0</v>
      </c>
      <c r="C32" s="103"/>
      <c r="D32" s="103"/>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5"/>
      <c r="AL32" s="105"/>
      <c r="AM32" s="105"/>
      <c r="AN32" s="105"/>
      <c r="AO32" s="6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97">
        <f>MAESTRO!F33</f>
        <v>0</v>
      </c>
      <c r="C33" s="103"/>
      <c r="D33" s="103"/>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5"/>
      <c r="AL33" s="105"/>
      <c r="AM33" s="105"/>
      <c r="AN33" s="105"/>
      <c r="AO33" s="6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97">
        <f>MAESTRO!F34</f>
        <v>0</v>
      </c>
      <c r="C34" s="103"/>
      <c r="D34" s="103"/>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5"/>
      <c r="AL34" s="105"/>
      <c r="AM34" s="105"/>
      <c r="AN34" s="105"/>
      <c r="AO34" s="6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97">
        <f>MAESTRO!F35</f>
        <v>0</v>
      </c>
      <c r="C35" s="103"/>
      <c r="D35" s="103"/>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5"/>
      <c r="AL35" s="105"/>
      <c r="AM35" s="105"/>
      <c r="AN35" s="105"/>
      <c r="AO35" s="6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97">
        <f>MAESTRO!F36</f>
        <v>0</v>
      </c>
      <c r="C36" s="103"/>
      <c r="D36" s="103"/>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5"/>
      <c r="AL36" s="105"/>
      <c r="AM36" s="105"/>
      <c r="AN36" s="105"/>
      <c r="AO36" s="6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97">
        <f>MAESTRO!F37</f>
        <v>0</v>
      </c>
      <c r="C37" s="103"/>
      <c r="D37" s="103"/>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5"/>
      <c r="AL37" s="105"/>
      <c r="AM37" s="105"/>
      <c r="AN37" s="105"/>
      <c r="AO37" s="6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97">
        <f>MAESTRO!F38</f>
        <v>0</v>
      </c>
      <c r="C38" s="103"/>
      <c r="D38" s="103"/>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5"/>
      <c r="AL38" s="105"/>
      <c r="AM38" s="105"/>
      <c r="AN38" s="105"/>
      <c r="AO38" s="6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97">
        <f>MAESTRO!F39</f>
        <v>0</v>
      </c>
      <c r="C39" s="103"/>
      <c r="D39" s="103"/>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5"/>
      <c r="AL39" s="105"/>
      <c r="AM39" s="105"/>
      <c r="AN39" s="105"/>
      <c r="AO39" s="6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97">
        <f>MAESTRO!F40</f>
        <v>0</v>
      </c>
      <c r="C40" s="103"/>
      <c r="D40" s="103"/>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5"/>
      <c r="AL40" s="105"/>
      <c r="AM40" s="105"/>
      <c r="AN40" s="105"/>
      <c r="AO40" s="6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97">
        <f>MAESTRO!F41</f>
        <v>0</v>
      </c>
      <c r="C41" s="103"/>
      <c r="D41" s="103"/>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5"/>
      <c r="AL41" s="105"/>
      <c r="AM41" s="105"/>
      <c r="AN41" s="105"/>
      <c r="AO41" s="6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5"/>
      <c r="AL42" s="105"/>
      <c r="AM42" s="105"/>
      <c r="AN42" s="105"/>
      <c r="AO42" s="6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5"/>
      <c r="AL43" s="105"/>
      <c r="AM43" s="105"/>
      <c r="AN43" s="105"/>
      <c r="AO43" s="6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5"/>
      <c r="AL44" s="105"/>
      <c r="AM44" s="105"/>
      <c r="AN44" s="105"/>
      <c r="AO44" s="4"/>
      <c r="AP44" s="4"/>
      <c r="AQ44" s="4"/>
      <c r="AR44" s="4"/>
      <c r="AS44" s="4"/>
      <c r="AT44" s="4"/>
      <c r="AU44" s="229"/>
      <c r="AV44" s="216"/>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5"/>
      <c r="AL45" s="105"/>
      <c r="AM45" s="105"/>
      <c r="AN45" s="105"/>
      <c r="AO45" s="53"/>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5"/>
      <c r="AL46" s="105"/>
      <c r="AM46" s="105"/>
      <c r="AN46" s="105"/>
      <c r="AO46" s="53"/>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5"/>
      <c r="AL47" s="105"/>
      <c r="AM47" s="105"/>
      <c r="AN47" s="105"/>
      <c r="AO47" s="53"/>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5"/>
      <c r="AL48" s="105"/>
      <c r="AM48" s="105"/>
      <c r="AN48" s="105"/>
      <c r="AO48" s="53"/>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5"/>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2">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 ref="CY22:CZ22"/>
    <mergeCell ref="ED3:EE4"/>
    <mergeCell ref="AI8:AJ8"/>
    <mergeCell ref="CX3:CX4"/>
    <mergeCell ref="AI17:AJ17"/>
    <mergeCell ref="BQ40:BR40"/>
    <mergeCell ref="CY28:CZ28"/>
    <mergeCell ref="CY37:CZ37"/>
    <mergeCell ref="BQ37:BR37"/>
    <mergeCell ref="AI10:AJ10"/>
    <mergeCell ref="BQ24:BR24"/>
    <mergeCell ref="CR3:CS4"/>
    <mergeCell ref="AI19:AJ19"/>
    <mergeCell ref="CY24:CZ24"/>
    <mergeCell ref="AI36:AJ36"/>
    <mergeCell ref="AI31:AJ31"/>
    <mergeCell ref="AI37:AJ37"/>
    <mergeCell ref="CY35:CZ35"/>
    <mergeCell ref="CY31:CZ31"/>
    <mergeCell ref="CY34:CZ34"/>
    <mergeCell ref="AI23:AJ23"/>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AI29:AJ29"/>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s>
  <conditionalFormatting sqref="AE1:AE41 AE50:AE1048576">
    <cfRule type="cellIs" dxfId="3" priority="1" operator="lessThan">
      <formula>3</formula>
    </cfRule>
  </conditionalFormatting>
  <pageMargins left="0.7" right="0.7" top="0.75" bottom="0.75" header="0.3" footer="0.3"/>
  <pageSetup orientation="portrait" horizontalDpi="4294967293" r:id="rId1"/>
  <headerFooter>
    <oddHeader>&amp;LEXPRECIONES ARTISTICAS&amp;CGRUPO 9°</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0">
    <tabColor rgb="FFF0A060"/>
  </sheetPr>
  <dimension ref="B3:Q58"/>
  <sheetViews>
    <sheetView view="pageLayout" zoomScale="70" zoomScaleNormal="100" zoomScalePageLayoutView="70" workbookViewId="0">
      <selection activeCell="R16" sqref="R1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21</v>
      </c>
      <c r="M9" s="215"/>
      <c r="N9" s="215"/>
      <c r="O9" s="215"/>
      <c r="P9" s="215"/>
      <c r="Q9" s="216"/>
    </row>
    <row r="10" spans="2:17">
      <c r="B10" s="266" t="s">
        <v>117</v>
      </c>
      <c r="C10" s="216"/>
      <c r="D10" s="261" t="s">
        <v>137</v>
      </c>
      <c r="E10" s="215"/>
      <c r="F10" s="215"/>
      <c r="G10" s="216"/>
      <c r="H10" s="13"/>
      <c r="I10" s="49"/>
      <c r="J10" s="13"/>
      <c r="K10" s="13"/>
      <c r="L10" s="13"/>
      <c r="M10" s="13"/>
      <c r="N10" s="13"/>
      <c r="O10" s="13"/>
      <c r="P10" s="13"/>
      <c r="Q10" s="13"/>
    </row>
    <row r="11" spans="2:17">
      <c r="B11" s="258" t="s">
        <v>119</v>
      </c>
      <c r="C11" s="216"/>
      <c r="D11" s="259" t="s">
        <v>138</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MAESTRO!F5</f>
        <v>0</v>
      </c>
      <c r="D16" s="17"/>
      <c r="E16" s="17"/>
      <c r="F16" s="52" t="e">
        <f>'PROM (Artistica 9°)'!AE5</f>
        <v>#DIV/0!</v>
      </c>
      <c r="G16" s="52" t="e">
        <f>'PROM (Artistica 9°)'!BM5</f>
        <v>#DIV/0!</v>
      </c>
      <c r="H16" s="52" t="e">
        <f>'PROM (Artistica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(Artistica 9°)'!AE6</f>
        <v>#DIV/0!</v>
      </c>
      <c r="G17" s="52" t="e">
        <f>'PROM (Artistica 9°)'!BM6</f>
        <v>#DIV/0!</v>
      </c>
      <c r="H17" s="52" t="e">
        <f>'PROM (Artistica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(Artistica 9°)'!AE7</f>
        <v>#DIV/0!</v>
      </c>
      <c r="G18" s="52" t="e">
        <f>'PROM (Artistica 9°)'!BM7</f>
        <v>#DIV/0!</v>
      </c>
      <c r="H18" s="52" t="e">
        <f>'PROM (Artistica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(Artistica 9°)'!AE8</f>
        <v>#DIV/0!</v>
      </c>
      <c r="G19" s="52" t="e">
        <f>'PROM (Artistica 9°)'!BM8</f>
        <v>#DIV/0!</v>
      </c>
      <c r="H19" s="52" t="e">
        <f>'PROM (Artistica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(Artistica 9°)'!AE9</f>
        <v>#DIV/0!</v>
      </c>
      <c r="G20" s="52" t="e">
        <f>'PROM (Artistica 9°)'!BM9</f>
        <v>#DIV/0!</v>
      </c>
      <c r="H20" s="52" t="e">
        <f>'PROM (Artistica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(Artistica 9°)'!AE10</f>
        <v>#DIV/0!</v>
      </c>
      <c r="G21" s="52" t="e">
        <f>'PROM (Artistica 9°)'!BM10</f>
        <v>#DIV/0!</v>
      </c>
      <c r="H21" s="52" t="e">
        <f>'PROM (Artistica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(Artistica 9°)'!AE11</f>
        <v>#DIV/0!</v>
      </c>
      <c r="G22" s="52" t="e">
        <f>'PROM (Artistica 9°)'!BM11</f>
        <v>#DIV/0!</v>
      </c>
      <c r="H22" s="52" t="e">
        <f>'PROM (Artistica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(Artistica 9°)'!AE12</f>
        <v>#DIV/0!</v>
      </c>
      <c r="G23" s="52" t="e">
        <f>'PROM (Artistica 9°)'!BM12</f>
        <v>#DIV/0!</v>
      </c>
      <c r="H23" s="52" t="e">
        <f>'PROM (Artistica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(Artistica 9°)'!AE13</f>
        <v>#DIV/0!</v>
      </c>
      <c r="G24" s="52" t="e">
        <f>'PROM (Artistica 9°)'!BM13</f>
        <v>#DIV/0!</v>
      </c>
      <c r="H24" s="52" t="e">
        <f>'PROM (Artistica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(Artistica 9°)'!AE14</f>
        <v>#DIV/0!</v>
      </c>
      <c r="G25" s="52" t="e">
        <f>'PROM (Artistica 9°)'!BM14</f>
        <v>#DIV/0!</v>
      </c>
      <c r="H25" s="52" t="e">
        <f>'PROM (Artistica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(Artistica 9°)'!AE15</f>
        <v>#DIV/0!</v>
      </c>
      <c r="G26" s="52" t="e">
        <f>'PROM (Artistica 9°)'!BM15</f>
        <v>#DIV/0!</v>
      </c>
      <c r="H26" s="52" t="e">
        <f>'PROM (Artistica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(Artistica 9°)'!AE16</f>
        <v>#DIV/0!</v>
      </c>
      <c r="G27" s="52" t="e">
        <f>'PROM (Artistica 9°)'!BM16</f>
        <v>#DIV/0!</v>
      </c>
      <c r="H27" s="52" t="e">
        <f>'PROM (Artistica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(Artistica 9°)'!AE17</f>
        <v>#DIV/0!</v>
      </c>
      <c r="G28" s="52" t="e">
        <f>'PROM (Artistica 9°)'!BM17</f>
        <v>#DIV/0!</v>
      </c>
      <c r="H28" s="52" t="e">
        <f>'PROM (Artistica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(Artistica 9°)'!AE18</f>
        <v>#DIV/0!</v>
      </c>
      <c r="G29" s="52" t="e">
        <f>'PROM (Artistica 9°)'!BM18</f>
        <v>#DIV/0!</v>
      </c>
      <c r="H29" s="52" t="e">
        <f>'PROM (Artistica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(Artistica 9°)'!AE19</f>
        <v>#DIV/0!</v>
      </c>
      <c r="G30" s="52" t="e">
        <f>'PROM (Artistica 9°)'!BM19</f>
        <v>#DIV/0!</v>
      </c>
      <c r="H30" s="52" t="e">
        <f>'PROM (Artistica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(Artistica 9°)'!AE20</f>
        <v>#DIV/0!</v>
      </c>
      <c r="G31" s="52" t="e">
        <f>'PROM (Artistica 9°)'!BM20</f>
        <v>#DIV/0!</v>
      </c>
      <c r="H31" s="52" t="e">
        <f>'PROM (Artistica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(Artistica 9°)'!AE21</f>
        <v>#DIV/0!</v>
      </c>
      <c r="G32" s="52" t="e">
        <f>'PROM (Artistica 9°)'!BM21</f>
        <v>#DIV/0!</v>
      </c>
      <c r="H32" s="52" t="e">
        <f>'PROM (Artistica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(Artistica 9°)'!AE22</f>
        <v>#DIV/0!</v>
      </c>
      <c r="G33" s="52" t="e">
        <f>'PROM (Artistica 9°)'!BM22</f>
        <v>#DIV/0!</v>
      </c>
      <c r="H33" s="52" t="e">
        <f>'PROM (Artistica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(Artistica 9°)'!AE23</f>
        <v>#DIV/0!</v>
      </c>
      <c r="G34" s="52" t="e">
        <f>'PROM (Artistica 9°)'!BM23</f>
        <v>#DIV/0!</v>
      </c>
      <c r="H34" s="52" t="e">
        <f>'PROM (Artistica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(Artistica 9°)'!AE24</f>
        <v>#DIV/0!</v>
      </c>
      <c r="G35" s="52" t="e">
        <f>'PROM (Artistica 9°)'!BM24</f>
        <v>#DIV/0!</v>
      </c>
      <c r="H35" s="52" t="e">
        <f>'PROM (Artistica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(Artistica 9°)'!AE25</f>
        <v>#DIV/0!</v>
      </c>
      <c r="G36" s="52" t="e">
        <f>'PROM (Artistica 9°)'!BM25</f>
        <v>#DIV/0!</v>
      </c>
      <c r="H36" s="52" t="e">
        <f>'PROM (Artistica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(Artistica 9°)'!AE26</f>
        <v>#DIV/0!</v>
      </c>
      <c r="G37" s="52" t="e">
        <f>'PROM (Artistica 9°)'!BM26</f>
        <v>#DIV/0!</v>
      </c>
      <c r="H37" s="52" t="e">
        <f>'PROM (Artistica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(Artistica 9°)'!AE27</f>
        <v>#DIV/0!</v>
      </c>
      <c r="G38" s="52" t="e">
        <f>'PROM (Artistica 9°)'!BM27</f>
        <v>#DIV/0!</v>
      </c>
      <c r="H38" s="52" t="e">
        <f>'PROM (Artistica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(Artistica 9°)'!AE28</f>
        <v>#DIV/0!</v>
      </c>
      <c r="G39" s="52" t="e">
        <f>'PROM (Artistica 9°)'!BM28</f>
        <v>#DIV/0!</v>
      </c>
      <c r="H39" s="52" t="e">
        <f>'PROM (Artistica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(Artistica 9°)'!AE29</f>
        <v>#DIV/0!</v>
      </c>
      <c r="G40" s="52" t="e">
        <f>'PROM (Artistica 9°)'!BM29</f>
        <v>#DIV/0!</v>
      </c>
      <c r="H40" s="52" t="e">
        <f>'PROM (Artistica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(Artistica 9°)'!AE30</f>
        <v>#DIV/0!</v>
      </c>
      <c r="G41" s="52" t="e">
        <f>'PROM (Artistica 9°)'!BM30</f>
        <v>#DIV/0!</v>
      </c>
      <c r="H41" s="52" t="e">
        <f>'PROM (Artistica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(Artistica 9°)'!AE31</f>
        <v>#DIV/0!</v>
      </c>
      <c r="G42" s="52" t="e">
        <f>'PROM (Artistica 9°)'!BM31</f>
        <v>#DIV/0!</v>
      </c>
      <c r="H42" s="52" t="e">
        <f>'PROM (Artistica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(Artistica 9°)'!AE32</f>
        <v>#DIV/0!</v>
      </c>
      <c r="G43" s="52" t="e">
        <f>'PROM (Artistica 9°)'!BM32</f>
        <v>#DIV/0!</v>
      </c>
      <c r="H43" s="52" t="e">
        <f>'PROM (Artistica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(Artistica 9°)'!AE33</f>
        <v>#DIV/0!</v>
      </c>
      <c r="G44" s="52" t="e">
        <f>'PROM (Artistica 9°)'!BM33</f>
        <v>#DIV/0!</v>
      </c>
      <c r="H44" s="52" t="e">
        <f>'PROM (Artistica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(Artistica 9°)'!AE34</f>
        <v>#DIV/0!</v>
      </c>
      <c r="G45" s="52" t="e">
        <f>'PROM (Artistica 9°)'!BM34</f>
        <v>#DIV/0!</v>
      </c>
      <c r="H45" s="52" t="e">
        <f>'PROM (Artistica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(Artistica 9°)'!AE35</f>
        <v>#DIV/0!</v>
      </c>
      <c r="G46" s="52" t="e">
        <f>'PROM (Artistica 9°)'!BM35</f>
        <v>#DIV/0!</v>
      </c>
      <c r="H46" s="52" t="e">
        <f>'PROM (Artistica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(Artistica 9°)'!AE36</f>
        <v>#DIV/0!</v>
      </c>
      <c r="G47" s="52" t="e">
        <f>'PROM (Artistica 9°)'!BM36</f>
        <v>#DIV/0!</v>
      </c>
      <c r="H47" s="52" t="e">
        <f>'PROM (Artistica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(Artistica 9°)'!AE37</f>
        <v>#DIV/0!</v>
      </c>
      <c r="G48" s="52" t="e">
        <f>'PROM (Artistica 9°)'!BM37</f>
        <v>#DIV/0!</v>
      </c>
      <c r="H48" s="52" t="e">
        <f>'PROM (Artistica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(Artistica 9°)'!AE38</f>
        <v>#DIV/0!</v>
      </c>
      <c r="G49" s="52" t="e">
        <f>'PROM (Artistica 9°)'!BM38</f>
        <v>#DIV/0!</v>
      </c>
      <c r="H49" s="52" t="e">
        <f>'PROM (Artistica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(Artistica 9°)'!AE39</f>
        <v>#DIV/0!</v>
      </c>
      <c r="G50" s="52" t="e">
        <f>'PROM (Artistica 9°)'!BM39</f>
        <v>#DIV/0!</v>
      </c>
      <c r="H50" s="52" t="e">
        <f>'PROM (Artistica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(Artistica 9°)'!AE40</f>
        <v>#DIV/0!</v>
      </c>
      <c r="G51" s="52" t="e">
        <f>'PROM (Artistica 9°)'!BM40</f>
        <v>#DIV/0!</v>
      </c>
      <c r="H51" s="52" t="e">
        <f>'PROM (Artistica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(Artistica 9°)'!AE41</f>
        <v>#DIV/0!</v>
      </c>
      <c r="G52" s="52" t="e">
        <f>'PROM (Artistica 9°)'!BM41</f>
        <v>#DIV/0!</v>
      </c>
      <c r="H52" s="52" t="e">
        <f>'PROM (Artistica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2" priority="1" operator="lessThan">
      <formula>3</formula>
    </cfRule>
  </conditionalFormatting>
  <pageMargins left="0.25" right="4.9479166666666657E-2" top="0.75" bottom="0.75" header="0.3" footer="0.3"/>
  <pageSetup orientation="portrait" horizont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5">
    <tabColor rgb="FFE07020"/>
  </sheetPr>
  <dimension ref="A1:EE49"/>
  <sheetViews>
    <sheetView view="pageLayout" zoomScale="80" zoomScaleNormal="100" zoomScalePageLayoutView="80" workbookViewId="0">
      <selection activeCell="L10" sqref="L10"/>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26" t="s">
        <v>100</v>
      </c>
      <c r="B1" s="215"/>
      <c r="C1" s="215"/>
      <c r="D1" s="215"/>
      <c r="E1" s="215"/>
      <c r="F1" s="215"/>
      <c r="G1" s="215"/>
      <c r="H1" s="215"/>
      <c r="I1" s="215"/>
      <c r="J1" s="215"/>
      <c r="K1" s="215"/>
      <c r="L1" s="215"/>
      <c r="M1" s="215"/>
      <c r="N1" s="215"/>
      <c r="O1" s="215"/>
      <c r="P1" s="216"/>
      <c r="Q1" s="41"/>
      <c r="R1" s="245" t="s">
        <v>100</v>
      </c>
      <c r="S1" s="215"/>
      <c r="T1" s="215"/>
      <c r="U1" s="215"/>
      <c r="V1" s="215"/>
      <c r="W1" s="215"/>
      <c r="X1" s="215"/>
      <c r="Y1" s="215"/>
      <c r="Z1" s="215"/>
      <c r="AA1" s="215"/>
      <c r="AB1" s="215"/>
      <c r="AC1" s="215"/>
      <c r="AD1" s="215"/>
      <c r="AE1" s="215"/>
      <c r="AF1" s="215"/>
      <c r="AG1" s="216"/>
      <c r="AH1" s="226" t="s">
        <v>101</v>
      </c>
      <c r="AI1" s="215"/>
      <c r="AJ1" s="215"/>
      <c r="AK1" s="215"/>
      <c r="AL1" s="215"/>
      <c r="AM1" s="215"/>
      <c r="AN1" s="215"/>
      <c r="AO1" s="215"/>
      <c r="AP1" s="215"/>
      <c r="AQ1" s="215"/>
      <c r="AR1" s="215"/>
      <c r="AS1" s="215"/>
      <c r="AT1" s="215"/>
      <c r="AU1" s="215"/>
      <c r="AV1" s="215"/>
      <c r="AW1" s="215"/>
      <c r="AX1" s="216"/>
      <c r="AY1" s="245" t="s">
        <v>101</v>
      </c>
      <c r="AZ1" s="215"/>
      <c r="BA1" s="215"/>
      <c r="BB1" s="215"/>
      <c r="BC1" s="215"/>
      <c r="BD1" s="215"/>
      <c r="BE1" s="215"/>
      <c r="BF1" s="215"/>
      <c r="BG1" s="215"/>
      <c r="BH1" s="215"/>
      <c r="BI1" s="215"/>
      <c r="BJ1" s="215"/>
      <c r="BK1" s="215"/>
      <c r="BL1" s="215"/>
      <c r="BM1" s="215"/>
      <c r="BN1" s="215"/>
      <c r="BO1" s="216"/>
      <c r="BP1" s="226" t="s">
        <v>132</v>
      </c>
      <c r="BQ1" s="215"/>
      <c r="BR1" s="215"/>
      <c r="BS1" s="215"/>
      <c r="BT1" s="215"/>
      <c r="BU1" s="215"/>
      <c r="BV1" s="215"/>
      <c r="BW1" s="215"/>
      <c r="BX1" s="215"/>
      <c r="BY1" s="215"/>
      <c r="BZ1" s="215"/>
      <c r="CA1" s="215"/>
      <c r="CB1" s="215"/>
      <c r="CC1" s="215"/>
      <c r="CD1" s="215"/>
      <c r="CE1" s="215"/>
      <c r="CF1" s="216"/>
      <c r="CG1" s="245" t="s">
        <v>132</v>
      </c>
      <c r="CH1" s="215"/>
      <c r="CI1" s="215"/>
      <c r="CJ1" s="215"/>
      <c r="CK1" s="215"/>
      <c r="CL1" s="215"/>
      <c r="CM1" s="215"/>
      <c r="CN1" s="215"/>
      <c r="CO1" s="215"/>
      <c r="CP1" s="215"/>
      <c r="CQ1" s="215"/>
      <c r="CR1" s="215"/>
      <c r="CS1" s="215"/>
      <c r="CT1" s="215"/>
      <c r="CU1" s="215"/>
      <c r="CV1" s="215"/>
      <c r="CW1" s="216"/>
      <c r="CX1" s="239"/>
      <c r="CY1" s="168"/>
      <c r="CZ1" s="168"/>
      <c r="DA1" s="168"/>
      <c r="DB1" s="168"/>
      <c r="DC1" s="168"/>
      <c r="DD1" s="168"/>
      <c r="DE1" s="168"/>
      <c r="DF1" s="168"/>
      <c r="DG1" s="168"/>
      <c r="DH1" s="168"/>
      <c r="DI1" s="168"/>
      <c r="DJ1" s="168"/>
      <c r="DK1" s="168"/>
      <c r="DL1" s="168"/>
      <c r="DM1" s="168"/>
      <c r="DN1" s="168"/>
      <c r="DO1" s="230"/>
      <c r="DP1" s="168"/>
      <c r="DQ1" s="168"/>
      <c r="DR1" s="168"/>
      <c r="DS1" s="168"/>
      <c r="DT1" s="168"/>
      <c r="DU1" s="168"/>
      <c r="DV1" s="168"/>
      <c r="DW1" s="168"/>
      <c r="DX1" s="168"/>
      <c r="DY1" s="168"/>
      <c r="DZ1" s="168"/>
      <c r="EA1" s="168"/>
      <c r="EB1" s="168"/>
      <c r="EC1" s="168"/>
      <c r="ED1" s="168"/>
      <c r="EE1" s="168"/>
    </row>
    <row r="2" spans="1:135" ht="6" customHeight="1">
      <c r="A2" s="241"/>
      <c r="B2" s="168"/>
      <c r="C2" s="168"/>
      <c r="D2" s="168"/>
      <c r="E2" s="168"/>
      <c r="F2" s="168"/>
      <c r="G2" s="168"/>
      <c r="H2" s="168"/>
      <c r="I2" s="168"/>
      <c r="J2" s="168"/>
      <c r="K2" s="168"/>
      <c r="L2" s="168"/>
      <c r="M2" s="168"/>
      <c r="N2" s="168"/>
      <c r="O2" s="168"/>
      <c r="P2" s="168"/>
      <c r="Q2" s="29"/>
      <c r="R2" s="220"/>
      <c r="S2" s="168"/>
      <c r="T2" s="168"/>
      <c r="U2" s="168"/>
      <c r="V2" s="168"/>
      <c r="W2" s="168"/>
      <c r="X2" s="168"/>
      <c r="Y2" s="168"/>
      <c r="Z2" s="168"/>
      <c r="AA2" s="168"/>
      <c r="AB2" s="168"/>
      <c r="AC2" s="253"/>
      <c r="AD2" s="168"/>
      <c r="AE2" s="168"/>
      <c r="AF2" s="168"/>
      <c r="AG2" s="168"/>
      <c r="AH2" s="241"/>
      <c r="AI2" s="168"/>
      <c r="AJ2" s="168"/>
      <c r="AK2" s="242"/>
      <c r="AL2" s="242"/>
      <c r="AM2" s="242"/>
      <c r="AN2" s="242"/>
      <c r="AO2" s="242"/>
      <c r="AP2" s="242"/>
      <c r="AQ2" s="242"/>
      <c r="AR2" s="242"/>
      <c r="AS2" s="243"/>
      <c r="AT2" s="243"/>
      <c r="AU2" s="243"/>
      <c r="AV2" s="243"/>
      <c r="AW2" s="243"/>
      <c r="AX2" s="168"/>
      <c r="AY2" s="220"/>
      <c r="AZ2" s="236"/>
      <c r="BA2" s="236"/>
      <c r="BB2" s="236"/>
      <c r="BC2" s="236"/>
      <c r="BD2" s="236"/>
      <c r="BE2" s="236"/>
      <c r="BF2" s="236"/>
      <c r="BG2" s="236"/>
      <c r="BH2" s="236"/>
      <c r="BI2" s="168"/>
      <c r="BJ2" s="168"/>
      <c r="BK2" s="237"/>
      <c r="BL2" s="168"/>
      <c r="BM2" s="168"/>
      <c r="BN2" s="168"/>
      <c r="BO2" s="168"/>
      <c r="BP2" s="241"/>
      <c r="BQ2" s="168"/>
      <c r="BR2" s="168"/>
      <c r="BS2" s="247"/>
      <c r="BT2" s="247"/>
      <c r="BU2" s="247"/>
      <c r="BV2" s="247"/>
      <c r="BW2" s="247"/>
      <c r="BX2" s="247"/>
      <c r="BY2" s="247"/>
      <c r="BZ2" s="247"/>
      <c r="CA2" s="247"/>
      <c r="CB2" s="247"/>
      <c r="CC2" s="247"/>
      <c r="CD2" s="247"/>
      <c r="CE2" s="247"/>
      <c r="CF2" s="168"/>
      <c r="CG2" s="220"/>
      <c r="CH2" s="247"/>
      <c r="CI2" s="247"/>
      <c r="CJ2" s="247"/>
      <c r="CK2" s="247"/>
      <c r="CL2" s="247"/>
      <c r="CM2" s="247"/>
      <c r="CN2" s="247"/>
      <c r="CO2" s="247"/>
      <c r="CP2" s="247"/>
      <c r="CQ2" s="247"/>
      <c r="CR2" s="247"/>
      <c r="CS2" s="247"/>
      <c r="CT2" s="247"/>
      <c r="CU2" s="247"/>
      <c r="CV2" s="168"/>
      <c r="CW2" s="168"/>
      <c r="CX2" s="241"/>
      <c r="CY2" s="168"/>
      <c r="CZ2" s="168"/>
      <c r="DA2" s="168"/>
      <c r="DB2" s="168"/>
      <c r="DC2" s="168"/>
      <c r="DD2" s="168"/>
      <c r="DE2" s="168"/>
      <c r="DF2" s="168"/>
      <c r="DG2" s="168"/>
      <c r="DH2" s="168"/>
      <c r="DI2" s="168"/>
      <c r="DJ2" s="168"/>
      <c r="DK2" s="168"/>
      <c r="DL2" s="168"/>
      <c r="DM2" s="168"/>
      <c r="DN2" s="168"/>
      <c r="DO2" s="220"/>
      <c r="DP2" s="168"/>
      <c r="DQ2" s="168"/>
      <c r="DR2" s="168"/>
      <c r="DS2" s="168"/>
      <c r="DT2" s="168"/>
      <c r="DU2" s="168"/>
      <c r="DV2" s="168"/>
      <c r="DW2" s="168"/>
      <c r="DX2" s="168"/>
      <c r="DY2" s="168"/>
      <c r="DZ2" s="168"/>
      <c r="EA2" s="168"/>
      <c r="EB2" s="168"/>
      <c r="EC2" s="168"/>
      <c r="ED2" s="168"/>
      <c r="EE2" s="168"/>
    </row>
    <row r="3" spans="1:135" ht="15" customHeight="1">
      <c r="A3" s="214"/>
      <c r="B3" s="226" t="s">
        <v>90</v>
      </c>
      <c r="C3" s="217" t="s">
        <v>104</v>
      </c>
      <c r="D3" s="215"/>
      <c r="E3" s="215"/>
      <c r="F3" s="215"/>
      <c r="G3" s="215"/>
      <c r="H3" s="215"/>
      <c r="I3" s="215"/>
      <c r="J3" s="215"/>
      <c r="K3" s="215"/>
      <c r="L3" s="215"/>
      <c r="M3" s="215"/>
      <c r="N3" s="215"/>
      <c r="O3" s="216"/>
      <c r="P3" s="233" t="s">
        <v>105</v>
      </c>
      <c r="Q3" s="60"/>
      <c r="R3" s="217" t="s">
        <v>106</v>
      </c>
      <c r="S3" s="215"/>
      <c r="T3" s="215"/>
      <c r="U3" s="215"/>
      <c r="V3" s="215"/>
      <c r="W3" s="215"/>
      <c r="X3" s="215"/>
      <c r="Y3" s="215"/>
      <c r="Z3" s="216"/>
      <c r="AA3" s="233" t="s">
        <v>105</v>
      </c>
      <c r="AB3" s="232" t="s">
        <v>107</v>
      </c>
      <c r="AC3" s="223"/>
      <c r="AD3" s="233" t="s">
        <v>105</v>
      </c>
      <c r="AE3" s="244" t="s">
        <v>108</v>
      </c>
      <c r="AF3" s="248" t="s">
        <v>18</v>
      </c>
      <c r="AG3" s="223"/>
      <c r="AH3" s="214"/>
      <c r="AI3" s="226" t="s">
        <v>90</v>
      </c>
      <c r="AJ3" s="223"/>
      <c r="AK3" s="217" t="s">
        <v>104</v>
      </c>
      <c r="AL3" s="215"/>
      <c r="AM3" s="215"/>
      <c r="AN3" s="215"/>
      <c r="AO3" s="215"/>
      <c r="AP3" s="215"/>
      <c r="AQ3" s="215"/>
      <c r="AR3" s="215"/>
      <c r="AS3" s="215"/>
      <c r="AT3" s="215"/>
      <c r="AU3" s="215"/>
      <c r="AV3" s="215"/>
      <c r="AW3" s="216"/>
      <c r="AX3" s="233" t="s">
        <v>105</v>
      </c>
      <c r="AY3" s="249" t="s">
        <v>106</v>
      </c>
      <c r="AZ3" s="215"/>
      <c r="BA3" s="215"/>
      <c r="BB3" s="215"/>
      <c r="BC3" s="215"/>
      <c r="BD3" s="215"/>
      <c r="BE3" s="215"/>
      <c r="BF3" s="215"/>
      <c r="BG3" s="215"/>
      <c r="BH3" s="216"/>
      <c r="BI3" s="233" t="s">
        <v>105</v>
      </c>
      <c r="BJ3" s="232" t="s">
        <v>109</v>
      </c>
      <c r="BK3" s="223"/>
      <c r="BL3" s="233" t="s">
        <v>105</v>
      </c>
      <c r="BM3" s="244" t="s">
        <v>110</v>
      </c>
      <c r="BN3" s="248" t="s">
        <v>18</v>
      </c>
      <c r="BO3" s="223"/>
      <c r="BP3" s="214"/>
      <c r="BQ3" s="226" t="s">
        <v>90</v>
      </c>
      <c r="BR3" s="223"/>
      <c r="BS3" s="238" t="s">
        <v>104</v>
      </c>
      <c r="BT3" s="215"/>
      <c r="BU3" s="215"/>
      <c r="BV3" s="215"/>
      <c r="BW3" s="215"/>
      <c r="BX3" s="215"/>
      <c r="BY3" s="215"/>
      <c r="BZ3" s="215"/>
      <c r="CA3" s="215"/>
      <c r="CB3" s="215"/>
      <c r="CC3" s="215"/>
      <c r="CD3" s="215"/>
      <c r="CE3" s="216"/>
      <c r="CF3" s="233" t="s">
        <v>105</v>
      </c>
      <c r="CG3" s="238" t="s">
        <v>106</v>
      </c>
      <c r="CH3" s="215"/>
      <c r="CI3" s="215"/>
      <c r="CJ3" s="215"/>
      <c r="CK3" s="215"/>
      <c r="CL3" s="215"/>
      <c r="CM3" s="215"/>
      <c r="CN3" s="215"/>
      <c r="CO3" s="215"/>
      <c r="CP3" s="216"/>
      <c r="CQ3" s="235" t="s">
        <v>105</v>
      </c>
      <c r="CR3" s="252" t="s">
        <v>109</v>
      </c>
      <c r="CS3" s="223"/>
      <c r="CT3" s="235" t="s">
        <v>105</v>
      </c>
      <c r="CU3" s="240" t="s">
        <v>110</v>
      </c>
      <c r="CV3" s="248" t="s">
        <v>18</v>
      </c>
      <c r="CW3" s="223"/>
      <c r="CX3" s="220"/>
      <c r="CY3" s="239"/>
      <c r="CZ3" s="168"/>
      <c r="DA3" s="246"/>
      <c r="DB3" s="168"/>
      <c r="DC3" s="168"/>
      <c r="DD3" s="168"/>
      <c r="DE3" s="168"/>
      <c r="DF3" s="168"/>
      <c r="DG3" s="168"/>
      <c r="DH3" s="168"/>
      <c r="DI3" s="168"/>
      <c r="DJ3" s="168"/>
      <c r="DK3" s="168"/>
      <c r="DL3" s="168"/>
      <c r="DM3" s="168"/>
      <c r="DN3" s="231"/>
      <c r="DO3" s="246"/>
      <c r="DP3" s="168"/>
      <c r="DQ3" s="168"/>
      <c r="DR3" s="168"/>
      <c r="DS3" s="168"/>
      <c r="DT3" s="168"/>
      <c r="DU3" s="168"/>
      <c r="DV3" s="168"/>
      <c r="DW3" s="168"/>
      <c r="DX3" s="168"/>
      <c r="DY3" s="231"/>
      <c r="DZ3" s="234"/>
      <c r="EA3" s="168"/>
      <c r="EB3" s="231"/>
      <c r="EC3" s="250"/>
      <c r="ED3" s="251"/>
      <c r="EE3" s="168"/>
    </row>
    <row r="4" spans="1:135" ht="44.25" customHeight="1">
      <c r="A4" s="219"/>
      <c r="B4" s="219"/>
      <c r="C4" s="25"/>
      <c r="D4" s="25"/>
      <c r="E4" s="25"/>
      <c r="F4" s="25"/>
      <c r="G4" s="25"/>
      <c r="H4" s="25"/>
      <c r="I4" s="25"/>
      <c r="J4" s="25"/>
      <c r="K4" s="25"/>
      <c r="L4" s="25"/>
      <c r="M4" s="25"/>
      <c r="N4" s="25"/>
      <c r="O4" s="25"/>
      <c r="P4" s="219"/>
      <c r="Q4" s="61"/>
      <c r="R4" s="25"/>
      <c r="S4" s="25"/>
      <c r="T4" s="25"/>
      <c r="U4" s="25"/>
      <c r="V4" s="25"/>
      <c r="W4" s="25"/>
      <c r="X4" s="25"/>
      <c r="Y4" s="25"/>
      <c r="Z4" s="25"/>
      <c r="AA4" s="219"/>
      <c r="AB4" s="224"/>
      <c r="AC4" s="225"/>
      <c r="AD4" s="219"/>
      <c r="AE4" s="219"/>
      <c r="AF4" s="224"/>
      <c r="AG4" s="225"/>
      <c r="AH4" s="219"/>
      <c r="AI4" s="224"/>
      <c r="AJ4" s="225"/>
      <c r="AK4" s="25"/>
      <c r="AL4" s="25"/>
      <c r="AM4" s="25"/>
      <c r="AN4" s="25"/>
      <c r="AO4" s="25"/>
      <c r="AP4" s="25"/>
      <c r="AQ4" s="25"/>
      <c r="AR4" s="25"/>
      <c r="AS4" s="25"/>
      <c r="AT4" s="25"/>
      <c r="AU4" s="25"/>
      <c r="AV4" s="25"/>
      <c r="AW4" s="25"/>
      <c r="AX4" s="219"/>
      <c r="AY4" s="25"/>
      <c r="AZ4" s="25"/>
      <c r="BA4" s="25"/>
      <c r="BB4" s="25"/>
      <c r="BC4" s="25"/>
      <c r="BD4" s="56"/>
      <c r="BE4" s="56"/>
      <c r="BF4" s="56"/>
      <c r="BG4" s="56"/>
      <c r="BH4" s="56"/>
      <c r="BI4" s="219"/>
      <c r="BJ4" s="224"/>
      <c r="BK4" s="225"/>
      <c r="BL4" s="219"/>
      <c r="BM4" s="219"/>
      <c r="BN4" s="224"/>
      <c r="BO4" s="225"/>
      <c r="BP4" s="219"/>
      <c r="BQ4" s="224"/>
      <c r="BR4" s="225"/>
      <c r="BS4" s="25"/>
      <c r="BT4" s="25"/>
      <c r="BU4" s="25"/>
      <c r="BV4" s="25"/>
      <c r="BW4" s="25"/>
      <c r="BX4" s="25"/>
      <c r="BY4" s="25"/>
      <c r="BZ4" s="25"/>
      <c r="CA4" s="25"/>
      <c r="CB4" s="25"/>
      <c r="CC4" s="25"/>
      <c r="CD4" s="25"/>
      <c r="CE4" s="25"/>
      <c r="CF4" s="219"/>
      <c r="CG4" s="25"/>
      <c r="CH4" s="25"/>
      <c r="CI4" s="25"/>
      <c r="CJ4" s="25"/>
      <c r="CK4" s="5"/>
      <c r="CL4" s="5"/>
      <c r="CM4" s="5"/>
      <c r="CN4" s="5"/>
      <c r="CO4" s="5"/>
      <c r="CP4" s="5"/>
      <c r="CQ4" s="219"/>
      <c r="CR4" s="224"/>
      <c r="CS4" s="225"/>
      <c r="CT4" s="219"/>
      <c r="CU4" s="219"/>
      <c r="CV4" s="224"/>
      <c r="CW4" s="225"/>
      <c r="CX4" s="168"/>
      <c r="CY4" s="168"/>
      <c r="CZ4" s="168"/>
      <c r="DN4" s="168"/>
      <c r="DY4" s="168"/>
      <c r="DZ4" s="168"/>
      <c r="EA4" s="168"/>
      <c r="EB4" s="168"/>
      <c r="EC4" s="168"/>
      <c r="ED4" s="168"/>
      <c r="EE4" s="168"/>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29">
        <f t="shared" ref="AI5:AI41" si="4">B5</f>
        <v>0</v>
      </c>
      <c r="AJ5" s="216"/>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29">
        <f t="shared" ref="BQ5:BQ41" si="9">AI5</f>
        <v>0</v>
      </c>
      <c r="BR5" s="216"/>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68"/>
      <c r="CZ5" s="168"/>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29">
        <f t="shared" si="4"/>
        <v>0</v>
      </c>
      <c r="AJ6" s="216"/>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29">
        <f t="shared" si="9"/>
        <v>0</v>
      </c>
      <c r="BR6" s="216"/>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68"/>
      <c r="CZ6" s="168"/>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29">
        <f t="shared" si="4"/>
        <v>0</v>
      </c>
      <c r="AJ7" s="216"/>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29">
        <f t="shared" si="9"/>
        <v>0</v>
      </c>
      <c r="BR7" s="216"/>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68"/>
      <c r="CZ7" s="168"/>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29">
        <f t="shared" si="4"/>
        <v>0</v>
      </c>
      <c r="AJ8" s="216"/>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29">
        <f t="shared" si="9"/>
        <v>0</v>
      </c>
      <c r="BR8" s="216"/>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68"/>
      <c r="CZ8" s="168"/>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29">
        <f t="shared" si="4"/>
        <v>0</v>
      </c>
      <c r="AJ9" s="216"/>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29">
        <f t="shared" si="9"/>
        <v>0</v>
      </c>
      <c r="BR9" s="216"/>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68"/>
      <c r="CZ9" s="168"/>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29">
        <f t="shared" si="4"/>
        <v>0</v>
      </c>
      <c r="AJ10" s="216"/>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29">
        <f t="shared" si="9"/>
        <v>0</v>
      </c>
      <c r="BR10" s="216"/>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68"/>
      <c r="CZ10" s="168"/>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29">
        <f t="shared" si="4"/>
        <v>0</v>
      </c>
      <c r="AJ11" s="216"/>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29">
        <f t="shared" si="9"/>
        <v>0</v>
      </c>
      <c r="BR11" s="216"/>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68"/>
      <c r="CZ11" s="168"/>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29">
        <f t="shared" si="4"/>
        <v>0</v>
      </c>
      <c r="AJ12" s="216"/>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29">
        <f t="shared" si="9"/>
        <v>0</v>
      </c>
      <c r="BR12" s="216"/>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68"/>
      <c r="CZ12" s="168"/>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29">
        <f t="shared" si="4"/>
        <v>0</v>
      </c>
      <c r="AJ13" s="216"/>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29">
        <f t="shared" si="9"/>
        <v>0</v>
      </c>
      <c r="BR13" s="216"/>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68"/>
      <c r="CZ13" s="168"/>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29">
        <f t="shared" si="4"/>
        <v>0</v>
      </c>
      <c r="AJ14" s="216"/>
      <c r="AK14" s="45"/>
      <c r="AL14" s="4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29">
        <f t="shared" si="9"/>
        <v>0</v>
      </c>
      <c r="BR14" s="216"/>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68"/>
      <c r="CZ14" s="168"/>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29">
        <f t="shared" si="4"/>
        <v>0</v>
      </c>
      <c r="AJ15" s="216"/>
      <c r="AK15" s="45"/>
      <c r="AL15" s="4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29">
        <f t="shared" si="9"/>
        <v>0</v>
      </c>
      <c r="BR15" s="216"/>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68"/>
      <c r="CZ15" s="168"/>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29">
        <f t="shared" si="4"/>
        <v>0</v>
      </c>
      <c r="AJ16" s="216"/>
      <c r="AK16" s="45"/>
      <c r="AL16" s="4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29">
        <f t="shared" si="9"/>
        <v>0</v>
      </c>
      <c r="BR16" s="216"/>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68"/>
      <c r="CZ16" s="168"/>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29">
        <f t="shared" si="4"/>
        <v>0</v>
      </c>
      <c r="AJ17" s="216"/>
      <c r="AK17" s="45"/>
      <c r="AL17" s="4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29">
        <f t="shared" si="9"/>
        <v>0</v>
      </c>
      <c r="BR17" s="216"/>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68"/>
      <c r="CZ17" s="168"/>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29">
        <f t="shared" si="4"/>
        <v>0</v>
      </c>
      <c r="AJ18" s="216"/>
      <c r="AK18" s="45"/>
      <c r="AL18" s="4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29">
        <f t="shared" si="9"/>
        <v>0</v>
      </c>
      <c r="BR18" s="216"/>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68"/>
      <c r="CZ18" s="168"/>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29">
        <f t="shared" si="4"/>
        <v>0</v>
      </c>
      <c r="AJ19" s="216"/>
      <c r="AK19" s="45"/>
      <c r="AL19" s="4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29">
        <f t="shared" si="9"/>
        <v>0</v>
      </c>
      <c r="BR19" s="216"/>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68"/>
      <c r="CZ19" s="168"/>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29">
        <f t="shared" si="4"/>
        <v>0</v>
      </c>
      <c r="AJ20" s="216"/>
      <c r="AK20" s="45"/>
      <c r="AL20" s="4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29">
        <f t="shared" si="9"/>
        <v>0</v>
      </c>
      <c r="BR20" s="216"/>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68"/>
      <c r="CZ20" s="168"/>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29">
        <f t="shared" si="4"/>
        <v>0</v>
      </c>
      <c r="AJ21" s="216"/>
      <c r="AK21" s="45"/>
      <c r="AL21" s="4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29">
        <f t="shared" si="9"/>
        <v>0</v>
      </c>
      <c r="BR21" s="216"/>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68"/>
      <c r="CZ21" s="168"/>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29">
        <f t="shared" si="4"/>
        <v>0</v>
      </c>
      <c r="AJ22" s="216"/>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29">
        <f t="shared" si="9"/>
        <v>0</v>
      </c>
      <c r="BR22" s="216"/>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68"/>
      <c r="CZ22" s="168"/>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29">
        <f t="shared" si="4"/>
        <v>0</v>
      </c>
      <c r="AJ23" s="216"/>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29">
        <f t="shared" si="9"/>
        <v>0</v>
      </c>
      <c r="BR23" s="216"/>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68"/>
      <c r="CZ23" s="168"/>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29">
        <f t="shared" si="4"/>
        <v>0</v>
      </c>
      <c r="AJ24" s="216"/>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29">
        <f t="shared" si="9"/>
        <v>0</v>
      </c>
      <c r="BR24" s="216"/>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68"/>
      <c r="CZ24" s="168"/>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29">
        <f t="shared" si="4"/>
        <v>0</v>
      </c>
      <c r="AJ25" s="216"/>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29">
        <f t="shared" si="9"/>
        <v>0</v>
      </c>
      <c r="BR25" s="216"/>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68"/>
      <c r="CZ25" s="168"/>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29">
        <f t="shared" si="4"/>
        <v>0</v>
      </c>
      <c r="AJ26" s="216"/>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29">
        <f t="shared" si="9"/>
        <v>0</v>
      </c>
      <c r="BR26" s="216"/>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68"/>
      <c r="CZ26" s="168"/>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29">
        <f t="shared" si="4"/>
        <v>0</v>
      </c>
      <c r="AJ27" s="216"/>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29">
        <f t="shared" si="9"/>
        <v>0</v>
      </c>
      <c r="BR27" s="216"/>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68"/>
      <c r="CZ27" s="168"/>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103"/>
      <c r="D28" s="103"/>
      <c r="E28" s="103"/>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29">
        <f t="shared" si="4"/>
        <v>0</v>
      </c>
      <c r="AJ28" s="216"/>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29">
        <f t="shared" si="9"/>
        <v>0</v>
      </c>
      <c r="BR28" s="216"/>
      <c r="BS28" s="5"/>
      <c r="BT28" s="5"/>
      <c r="BU28" s="5"/>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68"/>
      <c r="CZ28" s="168"/>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103"/>
      <c r="D29" s="103"/>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29">
        <f t="shared" si="4"/>
        <v>0</v>
      </c>
      <c r="AJ29" s="216"/>
      <c r="AK29" s="65"/>
      <c r="AL29" s="65"/>
      <c r="AM29" s="6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29">
        <f t="shared" si="9"/>
        <v>0</v>
      </c>
      <c r="BR29" s="216"/>
      <c r="BS29" s="93"/>
      <c r="BT29" s="93"/>
      <c r="BU29" s="5"/>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68"/>
      <c r="CZ29" s="168"/>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103"/>
      <c r="D30" s="103"/>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29">
        <f t="shared" si="4"/>
        <v>0</v>
      </c>
      <c r="AJ30" s="216"/>
      <c r="AK30" s="65"/>
      <c r="AL30" s="65"/>
      <c r="AM30" s="65"/>
      <c r="AN30" s="6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29">
        <f t="shared" si="9"/>
        <v>0</v>
      </c>
      <c r="BR30" s="216"/>
      <c r="BS30" s="93"/>
      <c r="BT30" s="93"/>
      <c r="BU30" s="5"/>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68"/>
      <c r="CZ30" s="168"/>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103"/>
      <c r="D31" s="103"/>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29">
        <f t="shared" si="4"/>
        <v>0</v>
      </c>
      <c r="AJ31" s="216"/>
      <c r="AK31" s="108"/>
      <c r="AL31" s="108"/>
      <c r="AM31" s="65"/>
      <c r="AN31" s="6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29">
        <f t="shared" si="9"/>
        <v>0</v>
      </c>
      <c r="BR31" s="216"/>
      <c r="BS31" s="93"/>
      <c r="BT31" s="93"/>
      <c r="BU31" s="5"/>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68"/>
      <c r="CZ31" s="168"/>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3"/>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29">
        <f t="shared" si="4"/>
        <v>0</v>
      </c>
      <c r="AJ32" s="216"/>
      <c r="AK32" s="108"/>
      <c r="AL32" s="108"/>
      <c r="AM32" s="65"/>
      <c r="AN32" s="65"/>
      <c r="AO32" s="6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29">
        <f t="shared" si="9"/>
        <v>0</v>
      </c>
      <c r="BR32" s="216"/>
      <c r="BS32" s="93"/>
      <c r="BT32" s="93"/>
      <c r="BU32" s="5"/>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68"/>
      <c r="CZ32" s="168"/>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3"/>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29">
        <f t="shared" si="4"/>
        <v>0</v>
      </c>
      <c r="AJ33" s="216"/>
      <c r="AK33" s="108"/>
      <c r="AL33" s="108"/>
      <c r="AM33" s="65"/>
      <c r="AN33" s="65"/>
      <c r="AO33" s="6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29">
        <f t="shared" si="9"/>
        <v>0</v>
      </c>
      <c r="BR33" s="216"/>
      <c r="BS33" s="93"/>
      <c r="BT33" s="93"/>
      <c r="BU33" s="5"/>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68"/>
      <c r="CZ33" s="168"/>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3"/>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29">
        <f t="shared" si="4"/>
        <v>0</v>
      </c>
      <c r="AJ34" s="216"/>
      <c r="AK34" s="108"/>
      <c r="AL34" s="108"/>
      <c r="AM34" s="65"/>
      <c r="AN34" s="65"/>
      <c r="AO34" s="6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29">
        <f t="shared" si="9"/>
        <v>0</v>
      </c>
      <c r="BR34" s="216"/>
      <c r="BS34" s="93"/>
      <c r="BT34" s="93"/>
      <c r="BU34" s="5"/>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68"/>
      <c r="CZ34" s="168"/>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3"/>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29">
        <f t="shared" si="4"/>
        <v>0</v>
      </c>
      <c r="AJ35" s="216"/>
      <c r="AK35" s="108"/>
      <c r="AL35" s="108"/>
      <c r="AM35" s="65"/>
      <c r="AN35" s="65"/>
      <c r="AO35" s="6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29">
        <f t="shared" si="9"/>
        <v>0</v>
      </c>
      <c r="BR35" s="216"/>
      <c r="BS35" s="93"/>
      <c r="BT35" s="93"/>
      <c r="BU35" s="5"/>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68"/>
      <c r="CZ35" s="168"/>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3"/>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29">
        <f t="shared" si="4"/>
        <v>0</v>
      </c>
      <c r="AJ36" s="216"/>
      <c r="AK36" s="108"/>
      <c r="AL36" s="108"/>
      <c r="AM36" s="65"/>
      <c r="AN36" s="65"/>
      <c r="AO36" s="6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29">
        <f t="shared" si="9"/>
        <v>0</v>
      </c>
      <c r="BR36" s="216"/>
      <c r="BS36" s="93"/>
      <c r="BT36" s="93"/>
      <c r="BU36" s="5"/>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68"/>
      <c r="CZ36" s="168"/>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3"/>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29">
        <f t="shared" si="4"/>
        <v>0</v>
      </c>
      <c r="AJ37" s="216"/>
      <c r="AK37" s="108"/>
      <c r="AL37" s="108"/>
      <c r="AM37" s="65"/>
      <c r="AN37" s="65"/>
      <c r="AO37" s="6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29">
        <f t="shared" si="9"/>
        <v>0</v>
      </c>
      <c r="BR37" s="216"/>
      <c r="BS37" s="93"/>
      <c r="BT37" s="93"/>
      <c r="BU37" s="5"/>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68"/>
      <c r="CZ37" s="168"/>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3"/>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29">
        <f t="shared" si="4"/>
        <v>0</v>
      </c>
      <c r="AJ38" s="216"/>
      <c r="AK38" s="108"/>
      <c r="AL38" s="108"/>
      <c r="AM38" s="65"/>
      <c r="AN38" s="65"/>
      <c r="AO38" s="6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29">
        <f t="shared" si="9"/>
        <v>0</v>
      </c>
      <c r="BR38" s="216"/>
      <c r="BS38" s="93"/>
      <c r="BT38" s="93"/>
      <c r="BU38" s="5"/>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68"/>
      <c r="CZ38" s="168"/>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3"/>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29">
        <f t="shared" si="4"/>
        <v>0</v>
      </c>
      <c r="AJ39" s="216"/>
      <c r="AK39" s="108"/>
      <c r="AL39" s="108"/>
      <c r="AM39" s="65"/>
      <c r="AN39" s="65"/>
      <c r="AO39" s="6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29">
        <f t="shared" si="9"/>
        <v>0</v>
      </c>
      <c r="BR39" s="216"/>
      <c r="BS39" s="93"/>
      <c r="BT39" s="93"/>
      <c r="BU39" s="5"/>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68"/>
      <c r="CZ39" s="168"/>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3"/>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29">
        <f t="shared" si="4"/>
        <v>0</v>
      </c>
      <c r="AJ40" s="216"/>
      <c r="AK40" s="108"/>
      <c r="AL40" s="108"/>
      <c r="AM40" s="65"/>
      <c r="AN40" s="65"/>
      <c r="AO40" s="6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29">
        <f t="shared" si="9"/>
        <v>0</v>
      </c>
      <c r="BR40" s="216"/>
      <c r="BS40" s="93"/>
      <c r="BT40" s="93"/>
      <c r="BU40" s="5"/>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68"/>
      <c r="CZ40" s="168"/>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3"/>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29">
        <f t="shared" si="4"/>
        <v>0</v>
      </c>
      <c r="AJ41" s="216"/>
      <c r="AK41" s="108"/>
      <c r="AL41" s="108"/>
      <c r="AM41" s="65"/>
      <c r="AN41" s="65"/>
      <c r="AO41" s="6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29">
        <f t="shared" si="9"/>
        <v>0</v>
      </c>
      <c r="BR41" s="216"/>
      <c r="BS41" s="93"/>
      <c r="BT41" s="93"/>
      <c r="BU41" s="5"/>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68"/>
      <c r="CZ41" s="168"/>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29"/>
      <c r="AJ42" s="216"/>
      <c r="AK42" s="108"/>
      <c r="AL42" s="108"/>
      <c r="AM42" s="65"/>
      <c r="AN42" s="65"/>
      <c r="AO42" s="6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29"/>
      <c r="BR42" s="216"/>
      <c r="BS42" s="93"/>
      <c r="BT42" s="93"/>
      <c r="BU42" s="5"/>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68"/>
      <c r="CZ42" s="168"/>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29"/>
      <c r="AJ43" s="216"/>
      <c r="AK43" s="108"/>
      <c r="AL43" s="108"/>
      <c r="AM43" s="65"/>
      <c r="AN43" s="65"/>
      <c r="AO43" s="6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29"/>
      <c r="BR43" s="216"/>
      <c r="BS43" s="93"/>
      <c r="BT43" s="93"/>
      <c r="BU43" s="5"/>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68"/>
      <c r="CZ43" s="168"/>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29"/>
      <c r="AJ44" s="216"/>
      <c r="AK44" s="108"/>
      <c r="AL44" s="108"/>
      <c r="AM44" s="4"/>
      <c r="AN44" s="4"/>
      <c r="AO44" s="4"/>
      <c r="AP44" s="4"/>
      <c r="AQ44" s="4"/>
      <c r="AR44" s="4"/>
      <c r="AS44" s="4"/>
      <c r="AT44" s="4"/>
      <c r="AU44" s="4"/>
      <c r="AV44" s="4"/>
      <c r="AW44" s="22"/>
      <c r="AX44" s="5"/>
      <c r="AY44" s="106"/>
      <c r="AZ44" s="106"/>
      <c r="BA44" s="106"/>
      <c r="BB44" s="106"/>
      <c r="BC44" s="106"/>
      <c r="BD44" s="24"/>
      <c r="BE44" s="24"/>
      <c r="BF44" s="24"/>
      <c r="BG44" s="24"/>
      <c r="BH44" s="24"/>
      <c r="BI44" s="24"/>
      <c r="BJ44" s="24"/>
      <c r="BK44" s="24"/>
      <c r="BL44" s="24"/>
      <c r="BM44" s="24"/>
      <c r="BN44" s="4"/>
      <c r="BO44" s="4">
        <v>40</v>
      </c>
      <c r="BP44" s="4">
        <v>40</v>
      </c>
      <c r="BQ44" s="229"/>
      <c r="BR44" s="216"/>
      <c r="BS44" s="93"/>
      <c r="BT44" s="93"/>
      <c r="BU44" s="5"/>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68"/>
      <c r="CZ44" s="168"/>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29"/>
      <c r="AJ45" s="216"/>
      <c r="AK45" s="108"/>
      <c r="AL45" s="108"/>
      <c r="AM45" s="53"/>
      <c r="AN45" s="53"/>
      <c r="AO45" s="53"/>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29"/>
      <c r="BR45" s="216"/>
      <c r="BS45" s="93"/>
      <c r="BT45" s="93"/>
      <c r="BU45" s="5"/>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68"/>
      <c r="CZ45" s="168"/>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29"/>
      <c r="AJ46" s="216"/>
      <c r="AK46" s="108"/>
      <c r="AL46" s="108"/>
      <c r="AM46" s="53"/>
      <c r="AN46" s="53"/>
      <c r="AO46" s="53"/>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29"/>
      <c r="BR46" s="216"/>
      <c r="BS46" s="93"/>
      <c r="BT46" s="93"/>
      <c r="BU46" s="5"/>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68"/>
      <c r="CZ46" s="168"/>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29"/>
      <c r="AJ47" s="216"/>
      <c r="AK47" s="108"/>
      <c r="AL47" s="108"/>
      <c r="AM47" s="53"/>
      <c r="AN47" s="53"/>
      <c r="AO47" s="53"/>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29"/>
      <c r="BR47" s="216"/>
      <c r="BS47" s="93"/>
      <c r="BT47" s="93"/>
      <c r="BU47" s="5"/>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68"/>
      <c r="CZ47" s="168"/>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29"/>
      <c r="AJ48" s="216"/>
      <c r="AK48" s="108"/>
      <c r="AL48" s="108"/>
      <c r="AM48" s="53"/>
      <c r="AN48" s="53"/>
      <c r="AO48" s="53"/>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29"/>
      <c r="BR48" s="216"/>
      <c r="BS48" s="93"/>
      <c r="BT48" s="93"/>
      <c r="BU48" s="5"/>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68"/>
      <c r="CZ48" s="168"/>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29"/>
      <c r="AJ49" s="216"/>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29"/>
      <c r="BR49" s="216"/>
      <c r="BS49" s="5"/>
      <c r="BT49" s="5"/>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68"/>
      <c r="CZ49" s="168"/>
      <c r="DA49" s="51"/>
      <c r="DB49" s="51"/>
      <c r="DC49" s="51"/>
      <c r="DD49" s="51"/>
      <c r="DE49" s="51"/>
      <c r="DF49" s="51"/>
      <c r="DG49" s="51"/>
      <c r="DH49" s="51"/>
      <c r="DI49" s="51"/>
      <c r="DJ49" s="51"/>
      <c r="DK49" s="51"/>
      <c r="DL49" s="51"/>
      <c r="DM49" s="51"/>
      <c r="DN49" s="51"/>
      <c r="EB49" s="51"/>
      <c r="EC49" s="51"/>
    </row>
  </sheetData>
  <mergeCells count="191">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AI23:AJ23"/>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CY46:CZ46"/>
    <mergeCell ref="A2:P2"/>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A1:P1"/>
    <mergeCell ref="BQ21:BR21"/>
    <mergeCell ref="CY21:CZ21"/>
    <mergeCell ref="AI16:AJ16"/>
    <mergeCell ref="CV3:CW4"/>
    <mergeCell ref="CY41:CZ41"/>
    <mergeCell ref="AI43:AJ43"/>
    <mergeCell ref="BQ23:BR23"/>
    <mergeCell ref="CY23:CZ23"/>
    <mergeCell ref="AI18:AJ18"/>
    <mergeCell ref="CY13:CZ13"/>
    <mergeCell ref="BQ7:BR7"/>
    <mergeCell ref="AI33:AJ33"/>
    <mergeCell ref="CY7:CZ7"/>
    <mergeCell ref="AI42:AJ42"/>
    <mergeCell ref="CY43:CZ43"/>
    <mergeCell ref="CY40:CZ40"/>
    <mergeCell ref="CY27:CZ27"/>
    <mergeCell ref="AE3:AE4"/>
    <mergeCell ref="AI34:AJ34"/>
    <mergeCell ref="BQ34:BR34"/>
    <mergeCell ref="AI28:AJ28"/>
    <mergeCell ref="BI3:BI4"/>
    <mergeCell ref="CQ3:CQ4"/>
    <mergeCell ref="R1:AG1"/>
    <mergeCell ref="CY6:CZ6"/>
    <mergeCell ref="CY44:CZ44"/>
    <mergeCell ref="CY15:CZ15"/>
    <mergeCell ref="DA3:DM3"/>
    <mergeCell ref="BS3:CE3"/>
    <mergeCell ref="AX3:AX4"/>
    <mergeCell ref="CG2:CW2"/>
    <mergeCell ref="BQ31:BR31"/>
    <mergeCell ref="AI26:AJ26"/>
    <mergeCell ref="AF3:AG4"/>
    <mergeCell ref="CY12:CZ12"/>
    <mergeCell ref="AI7:AJ7"/>
    <mergeCell ref="CY3:CZ4"/>
    <mergeCell ref="AI44:AJ44"/>
    <mergeCell ref="BQ36:BR36"/>
    <mergeCell ref="AI30:AJ30"/>
    <mergeCell ref="BQ33:BR33"/>
    <mergeCell ref="AI6:AJ6"/>
    <mergeCell ref="BQ20:BR20"/>
    <mergeCell ref="AI11:AJ11"/>
    <mergeCell ref="AY3:BH3"/>
    <mergeCell ref="CY25:CZ25"/>
    <mergeCell ref="CY30:CZ30"/>
    <mergeCell ref="CY49:CZ49"/>
    <mergeCell ref="CY18:CZ18"/>
    <mergeCell ref="BP3:BP4"/>
    <mergeCell ref="BQ5:BR5"/>
    <mergeCell ref="AI40:AJ40"/>
    <mergeCell ref="AI15:AJ15"/>
    <mergeCell ref="BQ29:BR29"/>
    <mergeCell ref="AI24:AJ24"/>
    <mergeCell ref="AB3:AC4"/>
    <mergeCell ref="BQ46:BR46"/>
    <mergeCell ref="BQ48:BR48"/>
    <mergeCell ref="BQ49:BR49"/>
    <mergeCell ref="BQ35:BR35"/>
    <mergeCell ref="CY5:CZ5"/>
    <mergeCell ref="CY34:CZ34"/>
    <mergeCell ref="BQ22:BR22"/>
    <mergeCell ref="AI32:AJ32"/>
    <mergeCell ref="BQ12:BR12"/>
    <mergeCell ref="CY11:CZ11"/>
    <mergeCell ref="AI46:AJ46"/>
    <mergeCell ref="BL3:BL4"/>
    <mergeCell ref="AD3:AD4"/>
    <mergeCell ref="AI47:AJ47"/>
    <mergeCell ref="CY32:CZ32"/>
    <mergeCell ref="AI48:AJ48"/>
    <mergeCell ref="BQ28:BR28"/>
    <mergeCell ref="AI29:AJ29"/>
    <mergeCell ref="BQ9:BR9"/>
    <mergeCell ref="B3:B4"/>
    <mergeCell ref="AI38:AJ38"/>
    <mergeCell ref="CY39:CZ39"/>
    <mergeCell ref="BQ3:BR4"/>
    <mergeCell ref="CY36:CZ36"/>
    <mergeCell ref="C3:O3"/>
    <mergeCell ref="P3:P4"/>
    <mergeCell ref="BQ39:BR39"/>
    <mergeCell ref="BQ14:BR14"/>
    <mergeCell ref="BN3:BO4"/>
    <mergeCell ref="CY42:CZ42"/>
    <mergeCell ref="AH3:AH4"/>
    <mergeCell ref="CY47:CZ47"/>
    <mergeCell ref="BQ38:BR38"/>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DO1:EE1"/>
    <mergeCell ref="CY33:CZ33"/>
    <mergeCell ref="BQ6:BR6"/>
    <mergeCell ref="BQ15:BR15"/>
    <mergeCell ref="DY3:DY4"/>
    <mergeCell ref="CY14:CZ14"/>
    <mergeCell ref="EB3:EB4"/>
    <mergeCell ref="AY2:BO2"/>
    <mergeCell ref="CX1:DN1"/>
    <mergeCell ref="BP1:CF1"/>
    <mergeCell ref="AH2:AX2"/>
    <mergeCell ref="BQ10:BR10"/>
    <mergeCell ref="AI5:AJ5"/>
    <mergeCell ref="BM3:BM4"/>
    <mergeCell ref="BQ19:BR19"/>
    <mergeCell ref="CY19:CZ19"/>
    <mergeCell ref="AI39:AJ39"/>
    <mergeCell ref="DO3:DX3"/>
    <mergeCell ref="EC3:EC4"/>
    <mergeCell ref="DN3:DN4"/>
    <mergeCell ref="CG1:CW1"/>
  </mergeCells>
  <conditionalFormatting sqref="AE1:AE41 AE50:AE1048576">
    <cfRule type="cellIs" dxfId="1" priority="1" operator="lessThan">
      <formula>3</formula>
    </cfRule>
  </conditionalFormatting>
  <pageMargins left="0.7" right="0.7" top="0.75" bottom="0.75" header="0.3" footer="0.3"/>
  <pageSetup orientation="portrait" horizontalDpi="4294967293" r:id="rId1"/>
  <headerFooter>
    <oddHeader>&amp;LAGROPECUARIA &amp;CGRUPO 9°</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26">
    <tabColor rgb="FFF0A060"/>
  </sheetPr>
  <dimension ref="B3:Q58"/>
  <sheetViews>
    <sheetView view="pageLayout" zoomScale="70" zoomScaleNormal="100" zoomScalePageLayoutView="70" workbookViewId="0">
      <selection activeCell="I21" sqref="I2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62" t="s">
        <v>111</v>
      </c>
      <c r="C3" s="168"/>
      <c r="D3" s="168"/>
      <c r="E3" s="168"/>
      <c r="F3" s="168"/>
      <c r="G3" s="168"/>
      <c r="H3" s="168"/>
      <c r="I3" s="247"/>
      <c r="J3" s="168"/>
      <c r="K3" s="168"/>
      <c r="L3" s="168"/>
      <c r="M3" s="168"/>
      <c r="N3" s="168"/>
      <c r="O3" s="168"/>
      <c r="P3" s="168"/>
      <c r="Q3" s="168"/>
    </row>
    <row r="4" spans="2:17">
      <c r="B4" s="13"/>
      <c r="C4" s="13"/>
      <c r="D4" s="13"/>
      <c r="E4" s="13"/>
      <c r="F4" s="13"/>
      <c r="G4" s="13"/>
      <c r="H4" s="13"/>
      <c r="I4" s="49"/>
      <c r="J4" s="13"/>
      <c r="K4" s="13"/>
      <c r="L4" s="13"/>
      <c r="M4" s="13"/>
      <c r="N4" s="13"/>
      <c r="O4" s="13"/>
      <c r="P4" s="13"/>
      <c r="Q4" s="13"/>
    </row>
    <row r="5" spans="2:17">
      <c r="B5" s="255" t="s">
        <v>112</v>
      </c>
      <c r="C5" s="168"/>
      <c r="D5" s="168"/>
      <c r="E5" s="168"/>
      <c r="F5" s="168"/>
      <c r="G5" s="168"/>
      <c r="H5" s="168"/>
      <c r="I5" s="247"/>
      <c r="J5" s="168"/>
      <c r="K5" s="168"/>
      <c r="L5" s="168"/>
      <c r="M5" s="168"/>
      <c r="N5" s="168"/>
      <c r="O5" s="168"/>
      <c r="P5" s="168"/>
      <c r="Q5" s="168"/>
    </row>
    <row r="6" spans="2:17">
      <c r="B6" s="255" t="s">
        <v>113</v>
      </c>
      <c r="C6" s="168"/>
      <c r="D6" s="168"/>
      <c r="E6" s="168"/>
      <c r="F6" s="168"/>
      <c r="G6" s="168"/>
      <c r="H6" s="168"/>
      <c r="I6" s="247"/>
      <c r="J6" s="168"/>
      <c r="K6" s="168"/>
      <c r="L6" s="168"/>
      <c r="M6" s="168"/>
      <c r="N6" s="168"/>
      <c r="O6" s="168"/>
      <c r="P6" s="168"/>
      <c r="Q6" s="168"/>
    </row>
    <row r="7" spans="2:17">
      <c r="B7" s="255" t="s">
        <v>114</v>
      </c>
      <c r="C7" s="168"/>
      <c r="D7" s="168"/>
      <c r="E7" s="168"/>
      <c r="F7" s="168"/>
      <c r="G7" s="168"/>
      <c r="H7" s="168"/>
      <c r="I7" s="247"/>
      <c r="J7" s="168"/>
      <c r="K7" s="168"/>
      <c r="L7" s="168"/>
      <c r="M7" s="168"/>
      <c r="N7" s="168"/>
      <c r="O7" s="168"/>
      <c r="P7" s="168"/>
      <c r="Q7" s="168"/>
    </row>
    <row r="8" spans="2:17">
      <c r="B8" s="13"/>
      <c r="C8" s="14"/>
      <c r="D8" s="14"/>
      <c r="E8" s="14"/>
      <c r="F8" s="13"/>
      <c r="G8" s="13"/>
      <c r="H8" s="13"/>
      <c r="I8" s="49"/>
      <c r="J8" s="13"/>
      <c r="K8" s="13"/>
      <c r="L8" s="13"/>
      <c r="M8" s="13"/>
      <c r="N8" s="13"/>
      <c r="O8" s="13"/>
      <c r="P8" s="13"/>
      <c r="Q8" s="13"/>
    </row>
    <row r="9" spans="2:17">
      <c r="B9" s="268" t="s">
        <v>115</v>
      </c>
      <c r="C9" s="223"/>
      <c r="D9" s="269">
        <v>2026</v>
      </c>
      <c r="E9" s="223"/>
      <c r="F9" s="15"/>
      <c r="G9" s="13"/>
      <c r="H9" s="13"/>
      <c r="I9" s="258" t="s">
        <v>116</v>
      </c>
      <c r="J9" s="215"/>
      <c r="K9" s="216"/>
      <c r="L9" s="260" t="s">
        <v>21</v>
      </c>
      <c r="M9" s="215"/>
      <c r="N9" s="215"/>
      <c r="O9" s="215"/>
      <c r="P9" s="215"/>
      <c r="Q9" s="216"/>
    </row>
    <row r="10" spans="2:17">
      <c r="B10" s="266" t="s">
        <v>117</v>
      </c>
      <c r="C10" s="216"/>
      <c r="D10" s="261" t="s">
        <v>137</v>
      </c>
      <c r="E10" s="215"/>
      <c r="F10" s="215"/>
      <c r="G10" s="216"/>
      <c r="H10" s="13"/>
      <c r="I10" s="49"/>
      <c r="J10" s="13"/>
      <c r="K10" s="13"/>
      <c r="L10" s="13"/>
      <c r="M10" s="13"/>
      <c r="N10" s="13"/>
      <c r="O10" s="13"/>
      <c r="P10" s="13"/>
      <c r="Q10" s="13"/>
    </row>
    <row r="11" spans="2:17">
      <c r="B11" s="258" t="s">
        <v>119</v>
      </c>
      <c r="C11" s="216"/>
      <c r="D11" s="259" t="s">
        <v>5</v>
      </c>
      <c r="E11" s="225"/>
      <c r="F11" s="15"/>
      <c r="G11" s="13"/>
      <c r="H11" s="13"/>
      <c r="I11" s="258" t="s">
        <v>121</v>
      </c>
      <c r="J11" s="215"/>
      <c r="K11" s="216"/>
      <c r="L11" s="265" t="s">
        <v>122</v>
      </c>
      <c r="M11" s="215"/>
      <c r="N11" s="215"/>
      <c r="O11" s="215"/>
      <c r="P11" s="215"/>
      <c r="Q11" s="216"/>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254" t="s">
        <v>22</v>
      </c>
      <c r="G13" s="215"/>
      <c r="H13" s="216"/>
      <c r="I13" s="49"/>
      <c r="J13" s="254" t="s">
        <v>123</v>
      </c>
      <c r="K13" s="215"/>
      <c r="L13" s="215"/>
      <c r="M13" s="215"/>
      <c r="N13" s="215"/>
      <c r="O13" s="216"/>
      <c r="P13" s="256" t="s">
        <v>124</v>
      </c>
      <c r="Q13" s="223"/>
    </row>
    <row r="14" spans="2:17" ht="15" customHeight="1">
      <c r="B14" s="257" t="s">
        <v>23</v>
      </c>
      <c r="C14" s="267" t="s">
        <v>3</v>
      </c>
      <c r="D14" s="223"/>
      <c r="E14" s="270" t="s">
        <v>125</v>
      </c>
      <c r="F14" s="257" t="s">
        <v>126</v>
      </c>
      <c r="G14" s="257" t="s">
        <v>127</v>
      </c>
      <c r="H14" s="257" t="s">
        <v>128</v>
      </c>
      <c r="I14" s="263" t="s">
        <v>129</v>
      </c>
      <c r="J14" s="254" t="s">
        <v>126</v>
      </c>
      <c r="K14" s="216"/>
      <c r="L14" s="254" t="s">
        <v>127</v>
      </c>
      <c r="M14" s="216"/>
      <c r="N14" s="254" t="s">
        <v>128</v>
      </c>
      <c r="O14" s="216"/>
      <c r="P14" s="224"/>
      <c r="Q14" s="225"/>
    </row>
    <row r="15" spans="2:17">
      <c r="B15" s="219"/>
      <c r="C15" s="224"/>
      <c r="D15" s="225"/>
      <c r="E15" s="219"/>
      <c r="F15" s="219"/>
      <c r="G15" s="219"/>
      <c r="H15" s="219"/>
      <c r="I15" s="264"/>
      <c r="J15" s="16" t="s">
        <v>130</v>
      </c>
      <c r="K15" s="16" t="s">
        <v>131</v>
      </c>
      <c r="L15" s="16" t="s">
        <v>130</v>
      </c>
      <c r="M15" s="16" t="s">
        <v>131</v>
      </c>
      <c r="N15" s="16" t="s">
        <v>130</v>
      </c>
      <c r="O15" s="16" t="s">
        <v>131</v>
      </c>
      <c r="P15" s="16" t="s">
        <v>130</v>
      </c>
      <c r="Q15" s="16" t="s">
        <v>131</v>
      </c>
    </row>
    <row r="16" spans="2:17">
      <c r="B16" s="10">
        <v>1</v>
      </c>
      <c r="C16" s="12">
        <f>MAESTRO!F5</f>
        <v>0</v>
      </c>
      <c r="D16" s="17"/>
      <c r="E16" s="17"/>
      <c r="F16" s="52" t="e">
        <f>'PROM (Agropecuaria 9°)'!AE5</f>
        <v>#DIV/0!</v>
      </c>
      <c r="G16" s="52" t="e">
        <f>'PROM (Agropecuaria 9°)'!BM5</f>
        <v>#DIV/0!</v>
      </c>
      <c r="H16" s="52" t="e">
        <f>'PROM (Agropecuaria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(Agropecuaria 9°)'!AE6</f>
        <v>#DIV/0!</v>
      </c>
      <c r="G17" s="52" t="e">
        <f>'PROM (Agropecuaria 9°)'!BM6</f>
        <v>#DIV/0!</v>
      </c>
      <c r="H17" s="52" t="e">
        <f>'PROM (Agropecuaria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(Agropecuaria 9°)'!AE7</f>
        <v>#DIV/0!</v>
      </c>
      <c r="G18" s="52" t="e">
        <f>'PROM (Agropecuaria 9°)'!BM7</f>
        <v>#DIV/0!</v>
      </c>
      <c r="H18" s="52" t="e">
        <f>'PROM (Agropecuaria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(Agropecuaria 9°)'!AE8</f>
        <v>#DIV/0!</v>
      </c>
      <c r="G19" s="52" t="e">
        <f>'PROM (Agropecuaria 9°)'!BM8</f>
        <v>#DIV/0!</v>
      </c>
      <c r="H19" s="52" t="e">
        <f>'PROM (Agropecuaria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(Agropecuaria 9°)'!AE9</f>
        <v>#DIV/0!</v>
      </c>
      <c r="G20" s="52" t="e">
        <f>'PROM (Agropecuaria 9°)'!BM9</f>
        <v>#DIV/0!</v>
      </c>
      <c r="H20" s="52" t="e">
        <f>'PROM (Agropecuaria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(Agropecuaria 9°)'!AE10</f>
        <v>#DIV/0!</v>
      </c>
      <c r="G21" s="52" t="e">
        <f>'PROM (Agropecuaria 9°)'!BM10</f>
        <v>#DIV/0!</v>
      </c>
      <c r="H21" s="52" t="e">
        <f>'PROM (Agropecuaria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(Agropecuaria 9°)'!AE11</f>
        <v>#DIV/0!</v>
      </c>
      <c r="G22" s="52" t="e">
        <f>'PROM (Agropecuaria 9°)'!BM11</f>
        <v>#DIV/0!</v>
      </c>
      <c r="H22" s="52" t="e">
        <f>'PROM (Agropecuaria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(Agropecuaria 9°)'!AE12</f>
        <v>#DIV/0!</v>
      </c>
      <c r="G23" s="52" t="e">
        <f>'PROM (Agropecuaria 9°)'!BM12</f>
        <v>#DIV/0!</v>
      </c>
      <c r="H23" s="52" t="e">
        <f>'PROM (Agropecuaria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(Agropecuaria 9°)'!AE13</f>
        <v>#DIV/0!</v>
      </c>
      <c r="G24" s="52" t="e">
        <f>'PROM (Agropecuaria 9°)'!BM13</f>
        <v>#DIV/0!</v>
      </c>
      <c r="H24" s="52" t="e">
        <f>'PROM (Agropecuaria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(Agropecuaria 9°)'!AE14</f>
        <v>#DIV/0!</v>
      </c>
      <c r="G25" s="52" t="e">
        <f>'PROM (Agropecuaria 9°)'!BM14</f>
        <v>#DIV/0!</v>
      </c>
      <c r="H25" s="52" t="e">
        <f>'PROM (Agropecuaria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(Agropecuaria 9°)'!AE15</f>
        <v>#DIV/0!</v>
      </c>
      <c r="G26" s="52" t="e">
        <f>'PROM (Agropecuaria 9°)'!BM15</f>
        <v>#DIV/0!</v>
      </c>
      <c r="H26" s="52" t="e">
        <f>'PROM (Agropecuaria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(Agropecuaria 9°)'!AE16</f>
        <v>#DIV/0!</v>
      </c>
      <c r="G27" s="52" t="e">
        <f>'PROM (Agropecuaria 9°)'!BM16</f>
        <v>#DIV/0!</v>
      </c>
      <c r="H27" s="52" t="e">
        <f>'PROM (Agropecuaria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(Agropecuaria 9°)'!AE17</f>
        <v>#DIV/0!</v>
      </c>
      <c r="G28" s="52" t="e">
        <f>'PROM (Agropecuaria 9°)'!BM17</f>
        <v>#DIV/0!</v>
      </c>
      <c r="H28" s="52" t="e">
        <f>'PROM (Agropecuaria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(Agropecuaria 9°)'!AE18</f>
        <v>#DIV/0!</v>
      </c>
      <c r="G29" s="52" t="e">
        <f>'PROM (Agropecuaria 9°)'!BM18</f>
        <v>#DIV/0!</v>
      </c>
      <c r="H29" s="52" t="e">
        <f>'PROM (Agropecuaria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(Agropecuaria 9°)'!AE19</f>
        <v>#DIV/0!</v>
      </c>
      <c r="G30" s="52" t="e">
        <f>'PROM (Agropecuaria 9°)'!BM19</f>
        <v>#DIV/0!</v>
      </c>
      <c r="H30" s="52" t="e">
        <f>'PROM (Agropecuaria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(Agropecuaria 9°)'!AE20</f>
        <v>#DIV/0!</v>
      </c>
      <c r="G31" s="52" t="e">
        <f>'PROM (Agropecuaria 9°)'!BM20</f>
        <v>#DIV/0!</v>
      </c>
      <c r="H31" s="52" t="e">
        <f>'PROM (Agropecuaria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(Agropecuaria 9°)'!AE21</f>
        <v>#DIV/0!</v>
      </c>
      <c r="G32" s="52" t="e">
        <f>'PROM (Agropecuaria 9°)'!BM21</f>
        <v>#DIV/0!</v>
      </c>
      <c r="H32" s="52" t="e">
        <f>'PROM (Agropecuaria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(Agropecuaria 9°)'!AE22</f>
        <v>#DIV/0!</v>
      </c>
      <c r="G33" s="52" t="e">
        <f>'PROM (Agropecuaria 9°)'!BM22</f>
        <v>#DIV/0!</v>
      </c>
      <c r="H33" s="52" t="e">
        <f>'PROM (Agropecuaria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(Agropecuaria 9°)'!AE23</f>
        <v>#DIV/0!</v>
      </c>
      <c r="G34" s="52" t="e">
        <f>'PROM (Agropecuaria 9°)'!BM23</f>
        <v>#DIV/0!</v>
      </c>
      <c r="H34" s="52" t="e">
        <f>'PROM (Agropecuaria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(Agropecuaria 9°)'!AE24</f>
        <v>#DIV/0!</v>
      </c>
      <c r="G35" s="52" t="e">
        <f>'PROM (Agropecuaria 9°)'!BM24</f>
        <v>#DIV/0!</v>
      </c>
      <c r="H35" s="52" t="e">
        <f>'PROM (Agropecuaria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(Agropecuaria 9°)'!AE25</f>
        <v>#DIV/0!</v>
      </c>
      <c r="G36" s="52" t="e">
        <f>'PROM (Agropecuaria 9°)'!BM25</f>
        <v>#DIV/0!</v>
      </c>
      <c r="H36" s="52" t="e">
        <f>'PROM (Agropecuaria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(Agropecuaria 9°)'!AE26</f>
        <v>#DIV/0!</v>
      </c>
      <c r="G37" s="52" t="e">
        <f>'PROM (Agropecuaria 9°)'!BM26</f>
        <v>#DIV/0!</v>
      </c>
      <c r="H37" s="52" t="e">
        <f>'PROM (Agropecuaria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(Agropecuaria 9°)'!AE27</f>
        <v>#DIV/0!</v>
      </c>
      <c r="G38" s="52" t="e">
        <f>'PROM (Agropecuaria 9°)'!BM27</f>
        <v>#DIV/0!</v>
      </c>
      <c r="H38" s="52" t="e">
        <f>'PROM (Agropecuaria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(Agropecuaria 9°)'!AE28</f>
        <v>#DIV/0!</v>
      </c>
      <c r="G39" s="52" t="e">
        <f>'PROM (Agropecuaria 9°)'!BM28</f>
        <v>#DIV/0!</v>
      </c>
      <c r="H39" s="52" t="e">
        <f>'PROM (Agropecuaria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(Agropecuaria 9°)'!AE29</f>
        <v>#DIV/0!</v>
      </c>
      <c r="G40" s="52" t="e">
        <f>'PROM (Agropecuaria 9°)'!BM29</f>
        <v>#DIV/0!</v>
      </c>
      <c r="H40" s="52" t="e">
        <f>'PROM (Agropecuaria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(Agropecuaria 9°)'!AE30</f>
        <v>#DIV/0!</v>
      </c>
      <c r="G41" s="52" t="e">
        <f>'PROM (Agropecuaria 9°)'!BM30</f>
        <v>#DIV/0!</v>
      </c>
      <c r="H41" s="52" t="e">
        <f>'PROM (Agropecuaria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(Agropecuaria 9°)'!AE31</f>
        <v>#DIV/0!</v>
      </c>
      <c r="G42" s="52" t="e">
        <f>'PROM (Agropecuaria 9°)'!BM31</f>
        <v>#DIV/0!</v>
      </c>
      <c r="H42" s="52" t="e">
        <f>'PROM (Agropecuaria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(Agropecuaria 9°)'!AE32</f>
        <v>#DIV/0!</v>
      </c>
      <c r="G43" s="52" t="e">
        <f>'PROM (Agropecuaria 9°)'!BM32</f>
        <v>#DIV/0!</v>
      </c>
      <c r="H43" s="52" t="e">
        <f>'PROM (Agropecuaria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(Agropecuaria 9°)'!AE33</f>
        <v>#DIV/0!</v>
      </c>
      <c r="G44" s="52" t="e">
        <f>'PROM (Agropecuaria 9°)'!BM33</f>
        <v>#DIV/0!</v>
      </c>
      <c r="H44" s="52" t="e">
        <f>'PROM (Agropecuaria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(Agropecuaria 9°)'!AE34</f>
        <v>#DIV/0!</v>
      </c>
      <c r="G45" s="52" t="e">
        <f>'PROM (Agropecuaria 9°)'!BM34</f>
        <v>#DIV/0!</v>
      </c>
      <c r="H45" s="52" t="e">
        <f>'PROM (Agropecuaria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(Agropecuaria 9°)'!AE35</f>
        <v>#DIV/0!</v>
      </c>
      <c r="G46" s="52" t="e">
        <f>'PROM (Agropecuaria 9°)'!BM35</f>
        <v>#DIV/0!</v>
      </c>
      <c r="H46" s="52" t="e">
        <f>'PROM (Agropecuaria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(Agropecuaria 9°)'!AE36</f>
        <v>#DIV/0!</v>
      </c>
      <c r="G47" s="52" t="e">
        <f>'PROM (Agropecuaria 9°)'!BM36</f>
        <v>#DIV/0!</v>
      </c>
      <c r="H47" s="52" t="e">
        <f>'PROM (Agropecuaria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(Agropecuaria 9°)'!AE37</f>
        <v>#DIV/0!</v>
      </c>
      <c r="G48" s="52" t="e">
        <f>'PROM (Agropecuaria 9°)'!BM37</f>
        <v>#DIV/0!</v>
      </c>
      <c r="H48" s="52" t="e">
        <f>'PROM (Agropecuaria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(Agropecuaria 9°)'!AE38</f>
        <v>#DIV/0!</v>
      </c>
      <c r="G49" s="52" t="e">
        <f>'PROM (Agropecuaria 9°)'!BM38</f>
        <v>#DIV/0!</v>
      </c>
      <c r="H49" s="52" t="e">
        <f>'PROM (Agropecuaria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(Agropecuaria 9°)'!AE39</f>
        <v>#DIV/0!</v>
      </c>
      <c r="G50" s="52" t="e">
        <f>'PROM (Agropecuaria 9°)'!BM39</f>
        <v>#DIV/0!</v>
      </c>
      <c r="H50" s="52" t="e">
        <f>'PROM (Agropecuaria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(Agropecuaria 9°)'!AE40</f>
        <v>#DIV/0!</v>
      </c>
      <c r="G51" s="52" t="e">
        <f>'PROM (Agropecuaria 9°)'!BM40</f>
        <v>#DIV/0!</v>
      </c>
      <c r="H51" s="52" t="e">
        <f>'PROM (Agropecuaria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(Agropecuaria 9°)'!AE41</f>
        <v>#DIV/0!</v>
      </c>
      <c r="G52" s="52" t="e">
        <f>'PROM (Agropecuaria 9°)'!BM41</f>
        <v>#DIV/0!</v>
      </c>
      <c r="H52" s="52" t="e">
        <f>'PROM (Agropecuaria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0" priority="1" operator="lessThan">
      <formula>3</formula>
    </cfRule>
  </conditionalFormatting>
  <pageMargins left="0.25" right="4.9479166666666657E-2" top="0.75" bottom="0.75" header="0.3" footer="0.3"/>
  <pageSetup orientation="portrait" horizont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1">
    <tabColor theme="0" tint="-0.249977111117893"/>
  </sheetPr>
  <dimension ref="A7:AD25"/>
  <sheetViews>
    <sheetView topLeftCell="A7" workbookViewId="0">
      <selection activeCell="Q23" sqref="Q23:AD23"/>
    </sheetView>
  </sheetViews>
  <sheetFormatPr baseColWidth="10" defaultRowHeight="14.4"/>
  <cols>
    <col min="1" max="39" width="2.6640625" customWidth="1"/>
  </cols>
  <sheetData>
    <row r="7" spans="1:30">
      <c r="L7" s="271"/>
      <c r="M7" s="168"/>
      <c r="N7" s="168"/>
      <c r="O7" s="168"/>
      <c r="P7" s="168"/>
      <c r="Q7" s="168"/>
      <c r="R7" s="168"/>
      <c r="S7" s="168"/>
      <c r="T7" s="168"/>
    </row>
    <row r="15" spans="1:30" ht="31.8" customHeight="1">
      <c r="A15" s="272" t="s">
        <v>139</v>
      </c>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row>
    <row r="16" spans="1:30" ht="31.8" customHeight="1">
      <c r="A16" s="272" t="s">
        <v>140</v>
      </c>
      <c r="B16" s="168"/>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row>
    <row r="17" spans="1:30" ht="31.8" customHeight="1">
      <c r="A17" s="272" t="s">
        <v>141</v>
      </c>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row>
    <row r="18" spans="1:30" ht="31.8" customHeight="1">
      <c r="A18" s="272" t="s">
        <v>142</v>
      </c>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row>
    <row r="23" spans="1:30" ht="17.399999999999999" customHeight="1">
      <c r="Q23" s="273" t="s">
        <v>143</v>
      </c>
      <c r="R23" s="168"/>
      <c r="S23" s="168"/>
      <c r="T23" s="168"/>
      <c r="U23" s="168"/>
      <c r="V23" s="168"/>
      <c r="W23" s="168"/>
      <c r="X23" s="168"/>
      <c r="Y23" s="168"/>
      <c r="Z23" s="168"/>
      <c r="AA23" s="168"/>
      <c r="AB23" s="168"/>
      <c r="AC23" s="168"/>
      <c r="AD23" s="168"/>
    </row>
    <row r="24" spans="1:30" ht="17.399999999999999" customHeight="1">
      <c r="Q24" s="273" t="s">
        <v>144</v>
      </c>
      <c r="R24" s="168"/>
      <c r="S24" s="168"/>
      <c r="T24" s="168"/>
      <c r="U24" s="168"/>
      <c r="V24" s="168"/>
      <c r="W24" s="168"/>
      <c r="X24" s="168"/>
      <c r="Y24" s="168"/>
      <c r="Z24" s="168"/>
      <c r="AA24" s="168"/>
      <c r="AB24" s="168"/>
      <c r="AC24" s="168"/>
      <c r="AD24" s="168"/>
    </row>
    <row r="25" spans="1:30" ht="17.399999999999999" customHeight="1">
      <c r="Q25" s="273" t="s">
        <v>145</v>
      </c>
      <c r="R25" s="168"/>
      <c r="S25" s="168"/>
      <c r="T25" s="168"/>
      <c r="U25" s="168"/>
      <c r="V25" s="168"/>
      <c r="W25" s="168"/>
      <c r="X25" s="168"/>
      <c r="Y25" s="168"/>
      <c r="Z25" s="168"/>
      <c r="AA25" s="168"/>
      <c r="AB25" s="168"/>
      <c r="AC25" s="168"/>
      <c r="AD25" s="168"/>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
    <tabColor theme="0" tint="-0.249977111117893"/>
  </sheetPr>
  <dimension ref="A4:AZ43"/>
  <sheetViews>
    <sheetView workbookViewId="0">
      <selection activeCell="AM17" sqref="AM17"/>
    </sheetView>
  </sheetViews>
  <sheetFormatPr baseColWidth="10" defaultRowHeight="14.4"/>
  <cols>
    <col min="1" max="1" width="6.44140625" customWidth="1"/>
    <col min="2" max="63" width="1.6640625" customWidth="1"/>
  </cols>
  <sheetData>
    <row r="4" spans="1:52" ht="18" customHeight="1">
      <c r="A4" s="276" t="s">
        <v>146</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68"/>
      <c r="AS4" s="168"/>
      <c r="AT4" s="168"/>
      <c r="AU4" s="168"/>
      <c r="AV4" s="168"/>
      <c r="AW4" s="168"/>
      <c r="AX4" s="168"/>
      <c r="AY4" s="168"/>
      <c r="AZ4" s="168"/>
    </row>
    <row r="5" spans="1:52" ht="18" customHeight="1">
      <c r="A5" s="276" t="s">
        <v>147</v>
      </c>
      <c r="B5" s="168"/>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row>
    <row r="6" spans="1:52" ht="18" customHeight="1">
      <c r="A6" s="276" t="s">
        <v>148</v>
      </c>
      <c r="B6" s="168"/>
      <c r="C6" s="168"/>
      <c r="D6" s="168"/>
      <c r="E6" s="168"/>
      <c r="F6" s="168"/>
      <c r="G6" s="168"/>
      <c r="H6" s="168"/>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row>
    <row r="7" spans="1:52" ht="18" customHeight="1"/>
    <row r="8" spans="1:52">
      <c r="A8" t="s">
        <v>15</v>
      </c>
      <c r="E8" s="71"/>
      <c r="F8" s="71"/>
      <c r="G8" s="71"/>
      <c r="H8" s="71"/>
      <c r="I8" s="71"/>
      <c r="J8" s="71"/>
      <c r="K8" s="71"/>
      <c r="L8" s="71"/>
      <c r="M8" s="71"/>
      <c r="N8" s="71"/>
      <c r="O8" s="71"/>
      <c r="P8" s="274">
        <v>2026</v>
      </c>
      <c r="Q8" s="275"/>
      <c r="R8" s="275"/>
      <c r="S8" s="275"/>
      <c r="T8" s="275"/>
      <c r="U8" s="275"/>
      <c r="V8" s="275"/>
      <c r="W8" s="275"/>
      <c r="X8" s="275"/>
      <c r="Y8" s="275"/>
      <c r="Z8" s="275"/>
      <c r="AA8" s="275"/>
      <c r="AB8" s="275"/>
      <c r="AC8" s="275"/>
      <c r="AD8" s="275"/>
      <c r="AE8" s="275"/>
      <c r="AF8" s="275"/>
      <c r="AG8" s="71"/>
      <c r="AH8" s="71"/>
      <c r="AI8" s="71"/>
      <c r="AJ8" s="71"/>
      <c r="AK8" s="71"/>
      <c r="AL8" s="71"/>
      <c r="AM8" s="71"/>
      <c r="AN8" s="71"/>
      <c r="AO8" s="71"/>
      <c r="AP8" s="71"/>
      <c r="AQ8" s="71"/>
      <c r="AR8" s="71"/>
      <c r="AS8" s="71"/>
      <c r="AT8" s="71"/>
      <c r="AU8" s="71"/>
      <c r="AV8" s="71"/>
      <c r="AW8" s="71"/>
      <c r="AX8" s="71"/>
      <c r="AY8" s="71"/>
    </row>
    <row r="10" spans="1:52" ht="19.5" customHeight="1">
      <c r="A10" t="s">
        <v>149</v>
      </c>
      <c r="B10" s="71"/>
      <c r="C10" s="71"/>
      <c r="D10" s="71"/>
      <c r="E10" s="71"/>
      <c r="F10" s="71"/>
      <c r="G10" s="71"/>
      <c r="H10" s="71"/>
      <c r="I10" s="71"/>
      <c r="J10" s="71"/>
      <c r="K10" s="71"/>
      <c r="L10" s="71"/>
      <c r="M10" s="71"/>
      <c r="N10" s="71"/>
      <c r="O10" s="71"/>
      <c r="P10" s="71"/>
      <c r="Q10" s="71"/>
      <c r="R10" s="274"/>
      <c r="S10" s="275"/>
      <c r="T10" s="275"/>
      <c r="U10" s="275"/>
      <c r="V10" s="275"/>
      <c r="W10" s="275"/>
      <c r="X10" s="275"/>
      <c r="Y10" s="275"/>
      <c r="Z10" s="275"/>
      <c r="AA10" s="275"/>
      <c r="AB10" s="275"/>
      <c r="AC10" s="275"/>
      <c r="AD10" s="275"/>
      <c r="AE10" s="275"/>
      <c r="AF10" s="275"/>
      <c r="AG10" s="71"/>
      <c r="AH10" s="71"/>
      <c r="AI10" s="71"/>
      <c r="AJ10" s="71"/>
      <c r="AK10" s="71"/>
      <c r="AL10" s="71"/>
      <c r="AM10" s="71"/>
      <c r="AN10" s="71"/>
      <c r="AO10" s="71"/>
      <c r="AP10" s="71"/>
      <c r="AQ10" s="71"/>
      <c r="AR10" s="71"/>
      <c r="AS10" s="71"/>
      <c r="AT10" s="71"/>
      <c r="AU10" s="71"/>
      <c r="AV10" s="71"/>
      <c r="AW10" s="71"/>
      <c r="AX10" s="71"/>
      <c r="AY10" s="71"/>
    </row>
    <row r="11" spans="1:52" ht="18" customHeight="1"/>
    <row r="12" spans="1:52" ht="18" customHeight="1">
      <c r="A12" t="s">
        <v>150</v>
      </c>
      <c r="G12" s="30"/>
      <c r="H12" s="30"/>
      <c r="I12" s="30"/>
      <c r="J12" s="30"/>
      <c r="K12" s="30"/>
      <c r="L12" s="30"/>
      <c r="M12" s="30"/>
      <c r="N12" s="30"/>
      <c r="O12" s="274" t="s">
        <v>151</v>
      </c>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30"/>
      <c r="AN12" s="30"/>
      <c r="AO12" s="30"/>
      <c r="AP12" s="30"/>
      <c r="AQ12" s="30"/>
      <c r="AR12" s="30"/>
      <c r="AS12" s="30"/>
      <c r="AT12" s="30"/>
      <c r="AU12" s="30"/>
      <c r="AV12" s="30"/>
      <c r="AW12" s="30"/>
      <c r="AX12" s="30"/>
      <c r="AY12" s="30"/>
    </row>
    <row r="13" spans="1:52" ht="18" customHeight="1"/>
    <row r="14" spans="1:52" ht="18" customHeight="1">
      <c r="A14" t="s">
        <v>152</v>
      </c>
      <c r="J14" s="71"/>
      <c r="K14" s="71"/>
      <c r="L14" s="71"/>
      <c r="M14" s="71"/>
      <c r="N14" s="71"/>
      <c r="O14" s="71"/>
      <c r="P14" s="274" t="s">
        <v>153</v>
      </c>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5"/>
      <c r="AP14" s="71"/>
      <c r="AQ14" s="71"/>
      <c r="AR14" s="71"/>
      <c r="AS14" s="71"/>
      <c r="AT14" s="71"/>
      <c r="AU14" s="71"/>
      <c r="AV14" s="71"/>
      <c r="AW14" s="71"/>
      <c r="AX14" s="71"/>
      <c r="AY14" s="71"/>
    </row>
    <row r="15" spans="1:52" ht="18" customHeight="1"/>
    <row r="16" spans="1:52" ht="18" customHeight="1">
      <c r="A16" s="31" t="s">
        <v>154</v>
      </c>
      <c r="F16" s="30"/>
      <c r="G16" s="71"/>
      <c r="H16" s="274" t="s">
        <v>155</v>
      </c>
      <c r="I16" s="275"/>
      <c r="J16" s="275"/>
      <c r="K16" s="275"/>
      <c r="L16" s="275"/>
      <c r="M16" s="275"/>
      <c r="N16" s="275"/>
      <c r="O16" s="275"/>
      <c r="P16" s="275"/>
      <c r="Q16" s="275"/>
      <c r="R16" s="275"/>
      <c r="S16" s="71"/>
      <c r="T16" s="71"/>
      <c r="V16" t="s">
        <v>156</v>
      </c>
      <c r="Z16" s="30"/>
      <c r="AA16" s="30"/>
      <c r="AB16" s="30"/>
      <c r="AC16" s="30"/>
      <c r="AD16" s="30"/>
      <c r="AE16" s="30"/>
      <c r="AF16" s="30"/>
      <c r="AG16" s="30"/>
      <c r="AI16" t="s">
        <v>157</v>
      </c>
      <c r="AJ16" s="30"/>
      <c r="AO16" s="30"/>
      <c r="AP16" s="30"/>
      <c r="AQ16" s="274"/>
      <c r="AR16" s="275"/>
      <c r="AS16" s="275"/>
      <c r="AT16" s="275"/>
      <c r="AU16" s="275"/>
      <c r="AV16" s="275"/>
      <c r="AW16" s="275"/>
      <c r="AX16" s="30"/>
      <c r="AY16" s="30"/>
    </row>
    <row r="17" spans="1:51" ht="18" customHeight="1">
      <c r="A17" s="31"/>
    </row>
    <row r="18" spans="1:51" ht="18" customHeight="1">
      <c r="A18" s="31" t="s">
        <v>158</v>
      </c>
      <c r="O18" s="30"/>
      <c r="P18" s="71"/>
      <c r="Q18" s="71"/>
      <c r="R18" s="71"/>
      <c r="S18" s="71"/>
      <c r="T18" s="71"/>
      <c r="U18" s="274" t="s">
        <v>159</v>
      </c>
      <c r="V18" s="275"/>
      <c r="W18" s="275"/>
      <c r="X18" s="275"/>
      <c r="Y18" s="275"/>
      <c r="Z18" s="275"/>
      <c r="AA18" s="275"/>
      <c r="AB18" s="275"/>
      <c r="AC18" s="275"/>
      <c r="AD18" s="275"/>
      <c r="AE18" s="275"/>
      <c r="AF18" s="275"/>
      <c r="AG18" s="275"/>
      <c r="AH18" s="275"/>
      <c r="AI18" s="275"/>
      <c r="AJ18" s="275"/>
      <c r="AK18" s="275"/>
      <c r="AL18" s="275"/>
      <c r="AM18" s="275"/>
      <c r="AN18" s="275"/>
      <c r="AO18" s="275"/>
      <c r="AP18" s="275"/>
      <c r="AQ18" s="71"/>
      <c r="AR18" s="71"/>
      <c r="AS18" s="71"/>
      <c r="AT18" s="71"/>
      <c r="AU18" s="71"/>
      <c r="AV18" s="71"/>
      <c r="AW18" s="71"/>
      <c r="AX18" s="71"/>
      <c r="AY18" s="30"/>
    </row>
    <row r="19" spans="1:51" ht="18" customHeight="1">
      <c r="A19" s="31"/>
    </row>
    <row r="20" spans="1:51" ht="18" customHeight="1">
      <c r="A20" s="31" t="s">
        <v>160</v>
      </c>
      <c r="C20" s="30"/>
      <c r="D20" s="71"/>
      <c r="E20" s="71"/>
      <c r="F20" s="71"/>
      <c r="G20" s="71"/>
      <c r="H20" s="274" t="s">
        <v>161</v>
      </c>
      <c r="I20" s="275"/>
      <c r="J20" s="275"/>
      <c r="K20" s="275"/>
      <c r="L20" s="275"/>
      <c r="M20" s="275"/>
      <c r="N20" s="275"/>
      <c r="O20" s="275"/>
      <c r="P20" s="275"/>
      <c r="Q20" s="71"/>
      <c r="R20" s="71"/>
      <c r="S20" s="71"/>
      <c r="T20" s="71"/>
      <c r="U20" s="71"/>
      <c r="V20" s="71"/>
      <c r="W20" s="30"/>
      <c r="X20" t="s">
        <v>162</v>
      </c>
      <c r="AD20" s="274" t="s">
        <v>163</v>
      </c>
      <c r="AE20" s="275"/>
      <c r="AF20" s="275"/>
      <c r="AG20" s="275"/>
      <c r="AH20" s="275"/>
      <c r="AI20" s="275"/>
      <c r="AJ20" s="275"/>
      <c r="AK20" s="275"/>
      <c r="AL20" s="275"/>
      <c r="AM20" s="275"/>
      <c r="AN20" s="275"/>
      <c r="AO20" s="275"/>
      <c r="AP20" s="275"/>
      <c r="AQ20" s="275"/>
      <c r="AR20" s="275"/>
      <c r="AS20" s="275"/>
      <c r="AT20" s="275"/>
      <c r="AU20" s="275"/>
      <c r="AV20" s="275"/>
      <c r="AW20" s="275"/>
      <c r="AX20" s="275"/>
      <c r="AY20" s="275"/>
    </row>
    <row r="21" spans="1:51" ht="18" customHeight="1">
      <c r="A21" s="31"/>
    </row>
    <row r="22" spans="1:51" ht="18" customHeight="1">
      <c r="A22" s="31" t="s">
        <v>164</v>
      </c>
      <c r="J22" s="30"/>
      <c r="K22" s="30"/>
      <c r="L22" s="30"/>
      <c r="M22" s="30"/>
      <c r="N22" s="30"/>
      <c r="O22" s="30"/>
      <c r="P22" s="30"/>
      <c r="Q22" s="30"/>
      <c r="R22" s="30"/>
      <c r="S22" s="274" t="s">
        <v>165</v>
      </c>
      <c r="T22" s="275"/>
      <c r="U22" s="275"/>
      <c r="V22" s="275"/>
      <c r="W22" s="275"/>
      <c r="X22" s="275"/>
      <c r="Y22" s="275"/>
      <c r="Z22" s="275"/>
      <c r="AA22" s="275"/>
      <c r="AB22" s="275"/>
      <c r="AC22" s="275"/>
      <c r="AD22" s="275"/>
      <c r="AE22" s="275"/>
      <c r="AF22" s="275"/>
      <c r="AG22" s="275"/>
      <c r="AH22" s="275"/>
      <c r="AI22" s="275"/>
      <c r="AJ22" s="275"/>
      <c r="AK22" s="275"/>
      <c r="AL22" s="275"/>
      <c r="AM22" s="275"/>
      <c r="AN22" s="275"/>
      <c r="AO22" s="275"/>
      <c r="AP22" s="30"/>
      <c r="AQ22" s="30"/>
      <c r="AR22" s="30"/>
      <c r="AS22" s="30"/>
      <c r="AT22" s="30"/>
      <c r="AU22" s="30"/>
      <c r="AV22" s="30"/>
      <c r="AW22" s="30"/>
      <c r="AX22" s="30"/>
      <c r="AY22" s="30"/>
    </row>
    <row r="23" spans="1:51" ht="18" customHeight="1">
      <c r="A23" s="31"/>
    </row>
    <row r="24" spans="1:51" ht="18" customHeight="1">
      <c r="A24" s="31" t="s">
        <v>166</v>
      </c>
      <c r="L24" s="30"/>
      <c r="M24" s="30"/>
      <c r="N24" s="30"/>
      <c r="O24" s="30"/>
      <c r="P24" s="30"/>
      <c r="Q24" s="30"/>
      <c r="R24" s="30"/>
      <c r="S24" s="30"/>
      <c r="T24" s="274" t="s">
        <v>167</v>
      </c>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30"/>
      <c r="AS24" s="30"/>
      <c r="AT24" s="30"/>
      <c r="AU24" s="30"/>
      <c r="AV24" s="30"/>
      <c r="AW24" s="30"/>
      <c r="AX24" s="30"/>
      <c r="AY24" s="30"/>
    </row>
    <row r="25" spans="1:51" ht="18" customHeight="1">
      <c r="A25" s="31"/>
    </row>
    <row r="26" spans="1:51" ht="18" customHeight="1">
      <c r="A26" s="31" t="s">
        <v>168</v>
      </c>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row>
    <row r="27" spans="1:51" ht="18" customHeight="1">
      <c r="A27" s="31"/>
    </row>
    <row r="28" spans="1:51" ht="18" customHeight="1">
      <c r="A28" s="31" t="s">
        <v>169</v>
      </c>
      <c r="H28" s="30"/>
      <c r="I28" s="30"/>
      <c r="J28" s="30"/>
      <c r="K28" s="30"/>
      <c r="L28" s="71"/>
      <c r="M28" s="71"/>
      <c r="N28" s="71"/>
      <c r="O28" s="71"/>
      <c r="P28" s="71"/>
      <c r="Q28" s="274" t="s">
        <v>170</v>
      </c>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275"/>
      <c r="AO28" s="275"/>
      <c r="AP28" s="275"/>
      <c r="AQ28" s="275"/>
      <c r="AR28" s="71"/>
      <c r="AS28" s="30"/>
      <c r="AT28" s="30"/>
      <c r="AU28" s="30"/>
      <c r="AV28" s="30"/>
      <c r="AW28" s="30"/>
      <c r="AX28" s="30"/>
      <c r="AY28" s="30"/>
    </row>
    <row r="29" spans="1:51" ht="18" customHeight="1">
      <c r="A29" s="31"/>
    </row>
    <row r="30" spans="1:51" ht="18" customHeight="1">
      <c r="A30" s="31" t="s">
        <v>171</v>
      </c>
      <c r="D30" s="30"/>
      <c r="E30" s="30"/>
      <c r="F30" s="274">
        <v>64185780</v>
      </c>
      <c r="G30" s="275"/>
      <c r="H30" s="275"/>
      <c r="I30" s="275"/>
      <c r="J30" s="275"/>
      <c r="K30" s="275"/>
      <c r="L30" s="275"/>
      <c r="M30" s="275"/>
      <c r="N30" s="275"/>
      <c r="O30" s="275"/>
      <c r="P30" s="275"/>
      <c r="Q30" s="71"/>
      <c r="R30" s="71"/>
      <c r="S30" s="30"/>
      <c r="U30" t="s">
        <v>172</v>
      </c>
      <c r="AE30" s="30"/>
      <c r="AF30" s="278" t="s">
        <v>173</v>
      </c>
      <c r="AG30" s="275"/>
      <c r="AH30" s="275"/>
      <c r="AI30" s="275"/>
      <c r="AJ30" s="275"/>
      <c r="AK30" s="275"/>
      <c r="AL30" s="275"/>
      <c r="AM30" s="275"/>
      <c r="AN30" s="275"/>
      <c r="AO30" s="275"/>
      <c r="AP30" s="275"/>
      <c r="AQ30" s="275"/>
      <c r="AR30" s="275"/>
      <c r="AS30" s="275"/>
      <c r="AT30" s="275"/>
      <c r="AU30" s="275"/>
      <c r="AV30" s="275"/>
      <c r="AW30" s="275"/>
      <c r="AX30" s="275"/>
      <c r="AY30" s="30"/>
    </row>
    <row r="31" spans="1:51" ht="18" customHeight="1">
      <c r="A31" s="31"/>
    </row>
    <row r="32" spans="1:51" ht="18" customHeight="1">
      <c r="A32" s="31" t="s">
        <v>174</v>
      </c>
      <c r="E32" s="30"/>
      <c r="F32" s="30"/>
      <c r="G32" s="71"/>
      <c r="H32" s="71"/>
      <c r="I32" s="71"/>
      <c r="J32" s="71"/>
      <c r="K32" s="71"/>
      <c r="L32" s="71"/>
      <c r="M32" s="274" t="s">
        <v>175</v>
      </c>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71"/>
      <c r="AR32" s="71"/>
      <c r="AS32" s="71"/>
      <c r="AT32" s="71"/>
      <c r="AU32" s="71"/>
      <c r="AV32" s="71"/>
      <c r="AW32" s="71"/>
      <c r="AX32" s="30"/>
      <c r="AY32" s="30"/>
    </row>
    <row r="33" spans="1:51" ht="18" customHeight="1">
      <c r="A33" s="31"/>
    </row>
    <row r="34" spans="1:51" ht="18" customHeight="1">
      <c r="A34" s="31" t="s">
        <v>176</v>
      </c>
      <c r="E34" s="30"/>
      <c r="F34" s="30"/>
      <c r="G34" s="30"/>
      <c r="H34" s="30"/>
      <c r="I34" s="30"/>
      <c r="J34" s="30"/>
      <c r="K34" s="30"/>
      <c r="L34" s="274" t="s">
        <v>177</v>
      </c>
      <c r="M34" s="275"/>
      <c r="N34" s="275"/>
      <c r="O34" s="275"/>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30"/>
      <c r="AT34" s="30"/>
      <c r="AU34" s="30"/>
      <c r="AV34" s="30"/>
      <c r="AW34" s="30"/>
      <c r="AX34" s="30"/>
      <c r="AY34" s="30"/>
    </row>
    <row r="35" spans="1:51" ht="18" customHeight="1">
      <c r="A35" s="31"/>
    </row>
    <row r="36" spans="1:51" ht="18" customHeight="1">
      <c r="A36" s="31" t="s">
        <v>178</v>
      </c>
      <c r="I36" s="30"/>
      <c r="J36" s="30"/>
      <c r="K36" s="30"/>
      <c r="L36" s="30"/>
      <c r="M36" s="30"/>
      <c r="N36" s="30"/>
      <c r="O36" s="30"/>
      <c r="P36" s="30"/>
      <c r="Q36" s="274" t="s">
        <v>179</v>
      </c>
      <c r="R36" s="275"/>
      <c r="S36" s="275"/>
      <c r="T36" s="275"/>
      <c r="U36" s="275"/>
      <c r="V36" s="275"/>
      <c r="W36" s="275"/>
      <c r="X36" s="275"/>
      <c r="Y36" s="275"/>
      <c r="Z36" s="275"/>
      <c r="AA36" s="275"/>
      <c r="AB36" s="275"/>
      <c r="AC36" s="275"/>
      <c r="AD36" s="275"/>
      <c r="AE36" s="275"/>
      <c r="AF36" s="275"/>
      <c r="AG36" s="275"/>
      <c r="AH36" s="275"/>
      <c r="AI36" s="275"/>
      <c r="AJ36" s="275"/>
      <c r="AK36" s="275"/>
      <c r="AL36" s="275"/>
      <c r="AM36" s="275"/>
      <c r="AN36" s="275"/>
      <c r="AO36" s="275"/>
      <c r="AP36" s="275"/>
      <c r="AQ36" s="275"/>
      <c r="AR36" s="30"/>
      <c r="AS36" s="30"/>
      <c r="AT36" s="30"/>
      <c r="AU36" s="30"/>
      <c r="AV36" s="30"/>
      <c r="AW36" s="30"/>
      <c r="AX36" s="30"/>
      <c r="AY36" s="30"/>
    </row>
    <row r="37" spans="1:51" ht="18" customHeight="1">
      <c r="A37" s="31"/>
    </row>
    <row r="38" spans="1:51" ht="18" customHeight="1">
      <c r="A38" s="31" t="s">
        <v>180</v>
      </c>
      <c r="F38" s="30"/>
      <c r="G38" s="88"/>
      <c r="H38" s="88"/>
      <c r="I38" s="88"/>
      <c r="J38" s="88"/>
      <c r="K38" s="88"/>
      <c r="L38" s="88"/>
      <c r="M38" s="88"/>
      <c r="N38" s="88"/>
      <c r="O38" s="277">
        <v>31</v>
      </c>
      <c r="P38" s="275"/>
      <c r="Q38" s="275"/>
      <c r="R38" s="275"/>
      <c r="S38" s="275"/>
      <c r="T38" s="275"/>
      <c r="U38" s="275"/>
      <c r="V38" s="275"/>
      <c r="W38" s="275"/>
      <c r="X38" s="275"/>
      <c r="Y38" s="275"/>
      <c r="Z38" s="275"/>
      <c r="AA38" s="275"/>
      <c r="AB38" s="275"/>
      <c r="AC38" s="275"/>
      <c r="AD38" s="275"/>
      <c r="AE38" s="275"/>
      <c r="AF38" s="275"/>
      <c r="AG38" s="275"/>
      <c r="AH38" s="275"/>
      <c r="AI38" s="275"/>
      <c r="AJ38" s="275"/>
      <c r="AK38" s="275"/>
      <c r="AL38" s="275"/>
      <c r="AM38" s="88"/>
      <c r="AN38" s="88"/>
      <c r="AO38" s="88"/>
      <c r="AP38" s="88"/>
      <c r="AQ38" s="88"/>
      <c r="AR38" s="88"/>
      <c r="AS38" s="88"/>
      <c r="AT38" s="88"/>
      <c r="AU38" s="88"/>
      <c r="AV38" s="88"/>
      <c r="AW38" s="88"/>
      <c r="AX38" s="88"/>
      <c r="AY38" s="88"/>
    </row>
    <row r="39" spans="1:51" ht="18" customHeight="1"/>
    <row r="40" spans="1:51" ht="18" customHeight="1"/>
    <row r="41" spans="1:51" ht="18" customHeight="1"/>
    <row r="42" spans="1:51" ht="15.6" customHeight="1">
      <c r="A42" s="31"/>
    </row>
    <row r="43" spans="1:51" ht="15.6" customHeight="1">
      <c r="A43" s="31"/>
    </row>
  </sheetData>
  <mergeCells count="21">
    <mergeCell ref="O38:AL38"/>
    <mergeCell ref="AQ16:AW16"/>
    <mergeCell ref="H20:P20"/>
    <mergeCell ref="A6:AZ6"/>
    <mergeCell ref="T24:AQ24"/>
    <mergeCell ref="R10:AF10"/>
    <mergeCell ref="Q28:AQ28"/>
    <mergeCell ref="AF30:AX30"/>
    <mergeCell ref="A4:AZ4"/>
    <mergeCell ref="P8:AF8"/>
    <mergeCell ref="Q36:AQ36"/>
    <mergeCell ref="O12:AL12"/>
    <mergeCell ref="AD20:AY20"/>
    <mergeCell ref="H16:R16"/>
    <mergeCell ref="L34:AR34"/>
    <mergeCell ref="M32:AP32"/>
    <mergeCell ref="P14:AO14"/>
    <mergeCell ref="S22:AO22"/>
    <mergeCell ref="U18:AP18"/>
    <mergeCell ref="A5:AZ5"/>
    <mergeCell ref="F30:P30"/>
  </mergeCells>
  <hyperlinks>
    <hyperlink ref="AF30" r:id="rId1" xr:uid="{00000000-0004-0000-2400-000000000000}"/>
  </hyperlinks>
  <pageMargins left="0.62992125984251968" right="0.23622047244094491" top="0.74803149606299213" bottom="0.74803149606299213" header="0.31496062992125978" footer="0.31496062992125978"/>
  <pageSetup orientation="portrait"/>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
    <tabColor theme="0" tint="-0.249977111117893"/>
  </sheetPr>
  <dimension ref="A1:X65"/>
  <sheetViews>
    <sheetView workbookViewId="0">
      <selection activeCell="AB16" sqref="AB16"/>
    </sheetView>
  </sheetViews>
  <sheetFormatPr baseColWidth="10" defaultRowHeight="14.4"/>
  <cols>
    <col min="1" max="14" width="1.6640625" customWidth="1"/>
    <col min="15" max="19" width="13.6640625" customWidth="1"/>
    <col min="20" max="67" width="1.6640625" customWidth="1"/>
  </cols>
  <sheetData>
    <row r="1" spans="1:24" ht="18" customHeight="1"/>
    <row r="2" spans="1:24" ht="16.05" customHeight="1">
      <c r="I2" t="s">
        <v>181</v>
      </c>
      <c r="N2" s="30"/>
      <c r="O2" s="274" t="s">
        <v>16</v>
      </c>
      <c r="P2" s="275"/>
      <c r="Q2" s="275"/>
      <c r="R2" s="30"/>
    </row>
    <row r="3" spans="1:24" ht="16.05" customHeight="1"/>
    <row r="4" spans="1:24" ht="16.05" customHeight="1">
      <c r="C4" t="s">
        <v>160</v>
      </c>
      <c r="H4" s="274" t="s">
        <v>182</v>
      </c>
      <c r="I4" s="275"/>
      <c r="J4" s="275"/>
      <c r="K4" s="275"/>
      <c r="L4" s="275"/>
      <c r="M4" s="275"/>
      <c r="N4" s="275"/>
      <c r="O4" s="275"/>
      <c r="P4" s="275"/>
      <c r="Q4" s="275"/>
      <c r="R4" s="275"/>
    </row>
    <row r="5" spans="1:24" ht="16.05" customHeight="1"/>
    <row r="6" spans="1:24" ht="16.05" customHeight="1">
      <c r="C6" t="s">
        <v>162</v>
      </c>
      <c r="I6" s="274" t="s">
        <v>183</v>
      </c>
      <c r="J6" s="275"/>
      <c r="K6" s="275"/>
      <c r="L6" s="275"/>
      <c r="M6" s="275"/>
      <c r="N6" s="275"/>
      <c r="O6" s="275"/>
      <c r="P6" s="275"/>
      <c r="Q6" s="275"/>
      <c r="R6" s="275"/>
    </row>
    <row r="7" spans="1:24" ht="16.05" customHeight="1"/>
    <row r="8" spans="1:24" ht="16.05" customHeight="1">
      <c r="C8" t="s">
        <v>184</v>
      </c>
      <c r="H8" s="30"/>
      <c r="I8" s="30"/>
      <c r="J8" s="30"/>
      <c r="K8" s="30"/>
      <c r="L8" s="30"/>
      <c r="M8" s="30"/>
      <c r="N8" s="30"/>
      <c r="O8" s="274"/>
      <c r="P8" s="275"/>
      <c r="Q8" s="275"/>
      <c r="R8" s="30"/>
    </row>
    <row r="9" spans="1:24" ht="18" customHeight="1"/>
    <row r="10" spans="1:24" s="31" customFormat="1" ht="22.95" customHeight="1">
      <c r="D10" s="248" t="s">
        <v>185</v>
      </c>
      <c r="E10" s="215"/>
      <c r="F10" s="215"/>
      <c r="G10" s="215"/>
      <c r="H10" s="215"/>
      <c r="I10" s="216"/>
      <c r="J10" s="76" t="s">
        <v>186</v>
      </c>
      <c r="K10" s="76"/>
      <c r="L10" s="76"/>
      <c r="M10" s="76"/>
      <c r="N10" s="76"/>
      <c r="O10" s="28" t="s">
        <v>187</v>
      </c>
      <c r="P10" s="28" t="s">
        <v>188</v>
      </c>
      <c r="Q10" s="28" t="s">
        <v>189</v>
      </c>
      <c r="R10" s="28" t="s">
        <v>190</v>
      </c>
      <c r="S10" s="28" t="s">
        <v>191</v>
      </c>
      <c r="T10" s="80"/>
      <c r="U10" s="81"/>
      <c r="V10" s="81"/>
      <c r="W10" s="81"/>
      <c r="X10" s="81"/>
    </row>
    <row r="11" spans="1:24" ht="22.95" customHeight="1">
      <c r="D11" s="218" t="s">
        <v>126</v>
      </c>
      <c r="E11" s="215"/>
      <c r="F11" s="215"/>
      <c r="G11" s="215"/>
      <c r="H11" s="215"/>
      <c r="I11" s="216"/>
      <c r="J11" s="279" t="s">
        <v>192</v>
      </c>
      <c r="K11" s="215"/>
      <c r="L11" s="215"/>
      <c r="M11" s="215"/>
      <c r="N11" s="216"/>
      <c r="O11" s="27" t="s">
        <v>193</v>
      </c>
      <c r="P11" s="83" t="s">
        <v>194</v>
      </c>
      <c r="Q11" s="83" t="s">
        <v>194</v>
      </c>
      <c r="R11" s="27"/>
      <c r="S11" s="84"/>
      <c r="T11" s="78"/>
      <c r="U11" s="79"/>
      <c r="V11" s="79"/>
      <c r="W11" s="79"/>
      <c r="X11" s="79"/>
    </row>
    <row r="12" spans="1:24" ht="22.95" customHeight="1">
      <c r="D12" s="218" t="s">
        <v>127</v>
      </c>
      <c r="E12" s="215"/>
      <c r="F12" s="215"/>
      <c r="G12" s="215"/>
      <c r="H12" s="215"/>
      <c r="I12" s="216"/>
      <c r="J12" s="279" t="s">
        <v>195</v>
      </c>
      <c r="K12" s="215"/>
      <c r="L12" s="215"/>
      <c r="M12" s="215"/>
      <c r="N12" s="216"/>
      <c r="O12" s="218" t="s">
        <v>196</v>
      </c>
      <c r="P12" s="218" t="s">
        <v>197</v>
      </c>
      <c r="Q12" s="218" t="s">
        <v>198</v>
      </c>
      <c r="R12" s="27"/>
      <c r="S12" s="84"/>
      <c r="T12" s="78"/>
      <c r="U12" s="79"/>
      <c r="V12" s="79"/>
      <c r="W12" s="79"/>
      <c r="X12" s="79"/>
    </row>
    <row r="13" spans="1:24" ht="22.95" customHeight="1">
      <c r="D13" s="218" t="s">
        <v>128</v>
      </c>
      <c r="E13" s="215"/>
      <c r="F13" s="215"/>
      <c r="G13" s="215"/>
      <c r="H13" s="215"/>
      <c r="I13" s="216"/>
      <c r="J13" s="279" t="s">
        <v>199</v>
      </c>
      <c r="K13" s="215"/>
      <c r="L13" s="215"/>
      <c r="M13" s="215"/>
      <c r="N13" s="216"/>
      <c r="O13" s="219"/>
      <c r="P13" s="219"/>
      <c r="Q13" s="219"/>
      <c r="R13" s="218" t="s">
        <v>200</v>
      </c>
      <c r="S13" s="27"/>
      <c r="T13" s="78"/>
      <c r="U13" s="79"/>
      <c r="V13" s="79"/>
      <c r="W13" s="79"/>
      <c r="X13" s="79"/>
    </row>
    <row r="14" spans="1:24" ht="22.95" customHeight="1">
      <c r="D14" s="282" t="s">
        <v>201</v>
      </c>
      <c r="E14" s="283"/>
      <c r="F14" s="283"/>
      <c r="G14" s="283"/>
      <c r="H14" s="283"/>
      <c r="I14" s="223"/>
      <c r="J14" s="279" t="s">
        <v>202</v>
      </c>
      <c r="K14" s="215"/>
      <c r="L14" s="215"/>
      <c r="M14" s="215"/>
      <c r="N14" s="216"/>
      <c r="O14" s="83" t="s">
        <v>203</v>
      </c>
      <c r="P14" s="83"/>
      <c r="Q14" s="83" t="s">
        <v>200</v>
      </c>
      <c r="R14" s="219"/>
      <c r="S14" s="84" t="s">
        <v>204</v>
      </c>
      <c r="T14" s="78"/>
      <c r="U14" s="79"/>
      <c r="V14" s="79"/>
      <c r="W14" s="79"/>
      <c r="X14" s="79"/>
    </row>
    <row r="15" spans="1:24" ht="22.95" customHeight="1">
      <c r="A15" s="79"/>
      <c r="B15" s="82"/>
      <c r="C15" s="82"/>
      <c r="D15" s="281" t="s">
        <v>205</v>
      </c>
      <c r="E15" s="215"/>
      <c r="F15" s="215"/>
      <c r="G15" s="215"/>
      <c r="H15" s="215"/>
      <c r="I15" s="215"/>
      <c r="J15" s="215"/>
      <c r="K15" s="215"/>
      <c r="L15" s="215"/>
      <c r="M15" s="215"/>
      <c r="N15" s="215"/>
      <c r="O15" s="215"/>
      <c r="P15" s="215"/>
      <c r="Q15" s="215"/>
      <c r="R15" s="215"/>
      <c r="S15" s="216"/>
    </row>
    <row r="16" spans="1:24" ht="22.95" customHeight="1">
      <c r="B16" s="79"/>
      <c r="C16" s="79"/>
      <c r="D16" s="218" t="s">
        <v>206</v>
      </c>
      <c r="E16" s="215"/>
      <c r="F16" s="215"/>
      <c r="G16" s="215"/>
      <c r="H16" s="215"/>
      <c r="I16" s="216"/>
      <c r="J16" s="279" t="s">
        <v>207</v>
      </c>
      <c r="K16" s="215"/>
      <c r="L16" s="215"/>
      <c r="M16" s="215"/>
      <c r="N16" s="216"/>
      <c r="O16" s="83" t="s">
        <v>203</v>
      </c>
      <c r="P16" s="84"/>
      <c r="Q16" s="84" t="s">
        <v>200</v>
      </c>
      <c r="R16" s="218" t="s">
        <v>204</v>
      </c>
      <c r="S16" s="84" t="s">
        <v>204</v>
      </c>
    </row>
    <row r="17" spans="1:19" ht="22.95" customHeight="1">
      <c r="B17" s="79"/>
      <c r="C17" s="79"/>
      <c r="D17" s="218" t="s">
        <v>208</v>
      </c>
      <c r="E17" s="215"/>
      <c r="F17" s="215"/>
      <c r="G17" s="215"/>
      <c r="H17" s="215"/>
      <c r="I17" s="216"/>
      <c r="J17" s="279" t="s">
        <v>209</v>
      </c>
      <c r="K17" s="215"/>
      <c r="L17" s="215"/>
      <c r="M17" s="215"/>
      <c r="N17" s="216"/>
      <c r="O17" s="218" t="s">
        <v>198</v>
      </c>
      <c r="P17" s="27"/>
      <c r="Q17" s="218" t="s">
        <v>203</v>
      </c>
      <c r="R17" s="219"/>
      <c r="S17" s="83" t="s">
        <v>194</v>
      </c>
    </row>
    <row r="18" spans="1:19" ht="22.95" customHeight="1">
      <c r="B18" s="79"/>
      <c r="C18" s="79"/>
      <c r="D18" s="218" t="s">
        <v>210</v>
      </c>
      <c r="E18" s="215"/>
      <c r="F18" s="215"/>
      <c r="G18" s="215"/>
      <c r="H18" s="215"/>
      <c r="I18" s="216"/>
      <c r="J18" s="279" t="s">
        <v>211</v>
      </c>
      <c r="K18" s="215"/>
      <c r="L18" s="215"/>
      <c r="M18" s="215"/>
      <c r="N18" s="216"/>
      <c r="O18" s="219"/>
      <c r="P18" s="218" t="s">
        <v>196</v>
      </c>
      <c r="Q18" s="219"/>
      <c r="R18" s="218" t="s">
        <v>197</v>
      </c>
      <c r="S18" s="218" t="s">
        <v>212</v>
      </c>
    </row>
    <row r="19" spans="1:19" ht="22.95" customHeight="1">
      <c r="B19" s="79"/>
      <c r="C19" s="79"/>
      <c r="D19" s="218" t="s">
        <v>213</v>
      </c>
      <c r="E19" s="215"/>
      <c r="F19" s="215"/>
      <c r="G19" s="215"/>
      <c r="H19" s="215"/>
      <c r="I19" s="216"/>
      <c r="J19" s="279" t="s">
        <v>214</v>
      </c>
      <c r="K19" s="215"/>
      <c r="L19" s="215"/>
      <c r="M19" s="215"/>
      <c r="N19" s="216"/>
      <c r="O19" s="89"/>
      <c r="P19" s="219"/>
      <c r="Q19" s="27" t="s">
        <v>194</v>
      </c>
      <c r="R19" s="219"/>
      <c r="S19" s="219"/>
    </row>
    <row r="20" spans="1:19" ht="18" customHeight="1">
      <c r="A20" s="32"/>
      <c r="B20" s="32"/>
      <c r="C20" s="32"/>
      <c r="D20" s="32"/>
      <c r="E20" s="32"/>
      <c r="F20" s="32"/>
      <c r="G20" s="32"/>
      <c r="H20" s="32"/>
      <c r="I20" s="32"/>
      <c r="J20" s="32"/>
      <c r="K20" s="32"/>
      <c r="L20" s="32"/>
      <c r="M20" s="32"/>
      <c r="N20" s="32"/>
      <c r="O20" s="32"/>
      <c r="P20" s="32"/>
      <c r="Q20" s="32"/>
      <c r="R20" s="32"/>
      <c r="S20" s="32"/>
    </row>
    <row r="21" spans="1:19" ht="18" customHeight="1">
      <c r="A21" s="276"/>
      <c r="B21" s="168"/>
      <c r="C21" s="168"/>
      <c r="D21" s="168"/>
      <c r="E21" s="168"/>
      <c r="F21" s="168"/>
      <c r="G21" s="168"/>
      <c r="H21" s="168"/>
      <c r="I21" s="168"/>
      <c r="J21" s="168"/>
      <c r="K21" s="168"/>
      <c r="L21" s="168"/>
      <c r="M21" s="168"/>
      <c r="N21" s="168"/>
      <c r="O21" s="168"/>
      <c r="P21" s="168"/>
      <c r="Q21" s="168"/>
      <c r="R21" s="168"/>
      <c r="S21" s="168"/>
    </row>
    <row r="22" spans="1:19" ht="18" customHeight="1">
      <c r="A22" s="276"/>
      <c r="B22" s="168"/>
      <c r="C22" s="168"/>
      <c r="D22" s="168"/>
      <c r="E22" s="168"/>
      <c r="F22" s="168"/>
      <c r="G22" s="168"/>
      <c r="H22" s="168"/>
      <c r="I22" s="168"/>
      <c r="J22" s="168"/>
      <c r="K22" s="168"/>
      <c r="L22" s="168"/>
      <c r="M22" s="168"/>
      <c r="N22" s="168"/>
      <c r="O22" s="168"/>
      <c r="P22" s="168"/>
      <c r="Q22" s="168"/>
      <c r="R22" s="168"/>
      <c r="S22" s="168"/>
    </row>
    <row r="23" spans="1:19" ht="18" customHeight="1"/>
    <row r="24" spans="1:19" s="31" customFormat="1" ht="22.95" customHeight="1">
      <c r="A24" s="251"/>
      <c r="B24" s="284"/>
      <c r="C24" s="284"/>
      <c r="D24" s="284"/>
      <c r="E24" s="284"/>
      <c r="F24" s="284"/>
      <c r="G24" s="251"/>
      <c r="H24" s="284"/>
      <c r="I24" s="284"/>
      <c r="J24" s="284"/>
      <c r="K24" s="284"/>
      <c r="L24" s="284"/>
      <c r="M24" s="284"/>
      <c r="N24" s="284"/>
      <c r="O24" s="74"/>
      <c r="P24" s="74"/>
      <c r="Q24" s="74"/>
      <c r="R24" s="74"/>
      <c r="S24" s="74"/>
    </row>
    <row r="25" spans="1:19" ht="22.95" customHeight="1">
      <c r="A25" s="280"/>
      <c r="B25" s="168"/>
      <c r="C25" s="168"/>
      <c r="D25" s="168"/>
      <c r="E25" s="168"/>
      <c r="F25" s="168"/>
      <c r="G25" s="280"/>
      <c r="H25" s="168"/>
      <c r="I25" s="168"/>
      <c r="J25" s="168"/>
      <c r="K25" s="168"/>
      <c r="L25" s="168"/>
      <c r="M25" s="168"/>
      <c r="N25" s="168"/>
      <c r="O25" s="32"/>
      <c r="P25" s="32"/>
      <c r="Q25" s="32"/>
      <c r="R25" s="32"/>
      <c r="S25" s="32"/>
    </row>
    <row r="26" spans="1:19" ht="22.95" customHeight="1">
      <c r="A26" s="280"/>
      <c r="B26" s="168"/>
      <c r="C26" s="168"/>
      <c r="D26" s="168"/>
      <c r="E26" s="168"/>
      <c r="F26" s="168"/>
      <c r="G26" s="280"/>
      <c r="H26" s="168"/>
      <c r="I26" s="168"/>
      <c r="J26" s="168"/>
      <c r="K26" s="168"/>
      <c r="L26" s="168"/>
      <c r="M26" s="168"/>
      <c r="N26" s="168"/>
      <c r="O26" s="32"/>
      <c r="P26" s="32"/>
      <c r="Q26" s="32"/>
      <c r="R26" s="32"/>
      <c r="S26" s="32"/>
    </row>
    <row r="27" spans="1:19" ht="22.95" customHeight="1">
      <c r="A27" s="280"/>
      <c r="B27" s="168"/>
      <c r="C27" s="168"/>
      <c r="D27" s="168"/>
      <c r="E27" s="168"/>
      <c r="F27" s="168"/>
      <c r="G27" s="280"/>
      <c r="H27" s="168"/>
      <c r="I27" s="168"/>
      <c r="J27" s="168"/>
      <c r="K27" s="168"/>
      <c r="L27" s="168"/>
      <c r="M27" s="168"/>
      <c r="N27" s="168"/>
      <c r="O27" s="32"/>
      <c r="P27" s="32"/>
      <c r="Q27" s="32"/>
      <c r="R27" s="32"/>
      <c r="S27" s="32"/>
    </row>
    <row r="28" spans="1:19" ht="22.95" customHeight="1">
      <c r="A28" s="280"/>
      <c r="B28" s="168"/>
      <c r="C28" s="168"/>
      <c r="D28" s="168"/>
      <c r="E28" s="168"/>
      <c r="F28" s="168"/>
      <c r="G28" s="280"/>
      <c r="H28" s="168"/>
      <c r="I28" s="168"/>
      <c r="J28" s="168"/>
      <c r="K28" s="168"/>
      <c r="L28" s="168"/>
      <c r="M28" s="168"/>
      <c r="N28" s="168"/>
      <c r="O28" s="32"/>
      <c r="P28" s="32"/>
      <c r="Q28" s="32"/>
      <c r="R28" s="32"/>
      <c r="S28" s="32"/>
    </row>
    <row r="29" spans="1:19" ht="22.95" customHeight="1">
      <c r="A29" s="276"/>
      <c r="B29" s="168"/>
      <c r="C29" s="168"/>
      <c r="D29" s="168"/>
      <c r="E29" s="168"/>
      <c r="F29" s="168"/>
      <c r="G29" s="168"/>
      <c r="H29" s="168"/>
      <c r="I29" s="168"/>
      <c r="J29" s="168"/>
      <c r="K29" s="168"/>
      <c r="L29" s="168"/>
      <c r="M29" s="168"/>
      <c r="N29" s="168"/>
      <c r="O29" s="168"/>
      <c r="P29" s="168"/>
      <c r="Q29" s="168"/>
      <c r="R29" s="168"/>
      <c r="S29" s="168"/>
    </row>
    <row r="30" spans="1:19" ht="22.95" customHeight="1">
      <c r="A30" s="280"/>
      <c r="B30" s="168"/>
      <c r="C30" s="168"/>
      <c r="D30" s="168"/>
      <c r="E30" s="168"/>
      <c r="F30" s="168"/>
      <c r="G30" s="280"/>
      <c r="H30" s="168"/>
      <c r="I30" s="168"/>
      <c r="J30" s="168"/>
      <c r="K30" s="168"/>
      <c r="L30" s="168"/>
      <c r="M30" s="168"/>
      <c r="N30" s="168"/>
      <c r="O30" s="32"/>
      <c r="P30" s="32"/>
      <c r="Q30" s="32"/>
      <c r="R30" s="32"/>
      <c r="S30" s="32"/>
    </row>
    <row r="31" spans="1:19" ht="22.95" customHeight="1">
      <c r="A31" s="280"/>
      <c r="B31" s="168"/>
      <c r="C31" s="168"/>
      <c r="D31" s="168"/>
      <c r="E31" s="168"/>
      <c r="F31" s="168"/>
      <c r="G31" s="280"/>
      <c r="H31" s="168"/>
      <c r="I31" s="168"/>
      <c r="J31" s="168"/>
      <c r="K31" s="168"/>
      <c r="L31" s="168"/>
      <c r="M31" s="168"/>
      <c r="N31" s="168"/>
      <c r="O31" s="32"/>
      <c r="P31" s="32"/>
      <c r="Q31" s="32"/>
      <c r="R31" s="32"/>
      <c r="S31" s="32"/>
    </row>
    <row r="32" spans="1:19" ht="22.95" customHeight="1">
      <c r="A32" s="280"/>
      <c r="B32" s="168"/>
      <c r="C32" s="168"/>
      <c r="D32" s="168"/>
      <c r="E32" s="168"/>
      <c r="F32" s="168"/>
      <c r="G32" s="280"/>
      <c r="H32" s="168"/>
      <c r="I32" s="168"/>
      <c r="J32" s="168"/>
      <c r="K32" s="168"/>
      <c r="L32" s="168"/>
      <c r="M32" s="168"/>
      <c r="N32" s="168"/>
      <c r="O32" s="32"/>
      <c r="P32" s="32"/>
      <c r="Q32" s="32"/>
      <c r="R32" s="32"/>
      <c r="S32" s="32"/>
    </row>
    <row r="33" spans="1:19" ht="22.95" customHeight="1">
      <c r="A33" s="280"/>
      <c r="B33" s="168"/>
      <c r="C33" s="168"/>
      <c r="D33" s="168"/>
      <c r="E33" s="168"/>
      <c r="F33" s="168"/>
      <c r="G33" s="280"/>
      <c r="H33" s="168"/>
      <c r="I33" s="168"/>
      <c r="J33" s="168"/>
      <c r="K33" s="168"/>
      <c r="L33" s="168"/>
      <c r="M33" s="168"/>
      <c r="N33" s="168"/>
      <c r="O33" s="32"/>
      <c r="P33" s="32"/>
      <c r="Q33" s="32"/>
      <c r="R33" s="32"/>
      <c r="S33" s="32"/>
    </row>
    <row r="34" spans="1:19" ht="18" customHeight="1"/>
    <row r="35" spans="1:19" ht="18" customHeight="1"/>
    <row r="36" spans="1:19" ht="18" customHeight="1"/>
    <row r="37" spans="1:19" ht="18" customHeight="1"/>
    <row r="38" spans="1:19" ht="18" customHeight="1"/>
    <row r="39" spans="1:19" ht="18" customHeight="1"/>
    <row r="40" spans="1:19" ht="18" customHeight="1"/>
    <row r="41" spans="1:19" ht="18" customHeight="1"/>
    <row r="42" spans="1:19" ht="18" customHeight="1"/>
    <row r="43" spans="1:19" ht="18" customHeight="1"/>
    <row r="44" spans="1:19" ht="18" customHeight="1"/>
    <row r="45" spans="1:19" ht="18" customHeight="1"/>
    <row r="46" spans="1:19" ht="18" customHeight="1"/>
    <row r="47" spans="1:19" ht="18" customHeight="1"/>
    <row r="48" spans="1: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sheetData>
  <mergeCells count="53">
    <mergeCell ref="G32:N32"/>
    <mergeCell ref="Q12:Q13"/>
    <mergeCell ref="J18:N18"/>
    <mergeCell ref="A21:S21"/>
    <mergeCell ref="G31:N31"/>
    <mergeCell ref="A25:F25"/>
    <mergeCell ref="O2:Q2"/>
    <mergeCell ref="A28:F28"/>
    <mergeCell ref="D14:I14"/>
    <mergeCell ref="J11:N11"/>
    <mergeCell ref="G30:N30"/>
    <mergeCell ref="O17:O18"/>
    <mergeCell ref="J16:N16"/>
    <mergeCell ref="Q17:Q18"/>
    <mergeCell ref="P12:P13"/>
    <mergeCell ref="G24:N24"/>
    <mergeCell ref="A30:F30"/>
    <mergeCell ref="P18:P19"/>
    <mergeCell ref="D19:I19"/>
    <mergeCell ref="A24:F24"/>
    <mergeCell ref="D10:I10"/>
    <mergeCell ref="G26:N26"/>
    <mergeCell ref="H4:R4"/>
    <mergeCell ref="D15:S15"/>
    <mergeCell ref="A29:S29"/>
    <mergeCell ref="A33:F33"/>
    <mergeCell ref="D18:I18"/>
    <mergeCell ref="A32:F32"/>
    <mergeCell ref="D12:I12"/>
    <mergeCell ref="O12:O13"/>
    <mergeCell ref="G28:N28"/>
    <mergeCell ref="O8:Q8"/>
    <mergeCell ref="I6:R6"/>
    <mergeCell ref="R18:R19"/>
    <mergeCell ref="G33:N33"/>
    <mergeCell ref="A31:F31"/>
    <mergeCell ref="J12:N12"/>
    <mergeCell ref="G25:N25"/>
    <mergeCell ref="A22:S22"/>
    <mergeCell ref="A27:F27"/>
    <mergeCell ref="J14:N14"/>
    <mergeCell ref="D17:I17"/>
    <mergeCell ref="R16:R17"/>
    <mergeCell ref="G27:N27"/>
    <mergeCell ref="A26:F26"/>
    <mergeCell ref="D16:I16"/>
    <mergeCell ref="J19:N19"/>
    <mergeCell ref="D11:I11"/>
    <mergeCell ref="S18:S19"/>
    <mergeCell ref="J17:N17"/>
    <mergeCell ref="R13:R14"/>
    <mergeCell ref="D13:I13"/>
    <mergeCell ref="J13:N13"/>
  </mergeCells>
  <pageMargins left="0.25" right="0.25"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
    <tabColor theme="0" tint="-0.249977111117893"/>
  </sheetPr>
  <dimension ref="A1:C124"/>
  <sheetViews>
    <sheetView topLeftCell="A23" workbookViewId="0">
      <selection activeCell="A18" sqref="A18:A21"/>
    </sheetView>
  </sheetViews>
  <sheetFormatPr baseColWidth="10" defaultRowHeight="14.4"/>
  <cols>
    <col min="1" max="1" width="44.6640625" customWidth="1"/>
    <col min="2" max="2" width="6.33203125" customWidth="1"/>
    <col min="3" max="3" width="46.109375" customWidth="1"/>
  </cols>
  <sheetData>
    <row r="1" spans="1:3" ht="28.8" customHeight="1">
      <c r="A1" s="33" t="s">
        <v>215</v>
      </c>
      <c r="C1" s="34" t="s">
        <v>216</v>
      </c>
    </row>
    <row r="2" spans="1:3" ht="13.05" customHeight="1">
      <c r="A2" s="35"/>
      <c r="C2" s="285" t="s">
        <v>217</v>
      </c>
    </row>
    <row r="3" spans="1:3">
      <c r="A3" s="286" t="s">
        <v>218</v>
      </c>
      <c r="C3" s="168"/>
    </row>
    <row r="4" spans="1:3" ht="11.25" customHeight="1">
      <c r="A4" s="168"/>
      <c r="C4" s="168"/>
    </row>
    <row r="5" spans="1:3" ht="55.2" customHeight="1">
      <c r="A5" s="168"/>
      <c r="C5" s="34" t="s">
        <v>219</v>
      </c>
    </row>
    <row r="6" spans="1:3">
      <c r="A6" s="168"/>
      <c r="C6" s="34"/>
    </row>
    <row r="7" spans="1:3" ht="15.6" customHeight="1">
      <c r="A7" s="39"/>
      <c r="C7" s="36" t="s">
        <v>220</v>
      </c>
    </row>
    <row r="8" spans="1:3">
      <c r="A8" s="39"/>
      <c r="C8" s="34"/>
    </row>
    <row r="9" spans="1:3" ht="13.05" customHeight="1">
      <c r="A9" s="37"/>
      <c r="C9" s="285" t="s">
        <v>221</v>
      </c>
    </row>
    <row r="10" spans="1:3" ht="14.4" customHeight="1">
      <c r="A10" s="285" t="s">
        <v>222</v>
      </c>
      <c r="C10" s="168"/>
    </row>
    <row r="11" spans="1:3">
      <c r="A11" s="168"/>
      <c r="C11" s="168"/>
    </row>
    <row r="12" spans="1:3">
      <c r="A12" s="168"/>
      <c r="C12" s="168"/>
    </row>
    <row r="13" spans="1:3" ht="8.25" customHeight="1">
      <c r="A13" s="168"/>
      <c r="C13" s="168"/>
    </row>
    <row r="14" spans="1:3" ht="13.05" customHeight="1">
      <c r="C14" s="34"/>
    </row>
    <row r="15" spans="1:3" ht="14.4" customHeight="1">
      <c r="A15" s="285" t="s">
        <v>223</v>
      </c>
      <c r="C15" s="285" t="s">
        <v>224</v>
      </c>
    </row>
    <row r="16" spans="1:3">
      <c r="A16" s="168"/>
      <c r="C16" s="168"/>
    </row>
    <row r="17" spans="1:3" ht="13.05" customHeight="1">
      <c r="C17" s="168"/>
    </row>
    <row r="18" spans="1:3" ht="14.4" customHeight="1">
      <c r="A18" s="285" t="s">
        <v>225</v>
      </c>
      <c r="C18" s="34" t="s">
        <v>226</v>
      </c>
    </row>
    <row r="19" spans="1:3">
      <c r="A19" s="168"/>
      <c r="C19" s="34" t="s">
        <v>227</v>
      </c>
    </row>
    <row r="20" spans="1:3">
      <c r="A20" s="168"/>
      <c r="C20" s="34" t="s">
        <v>228</v>
      </c>
    </row>
    <row r="21" spans="1:3">
      <c r="A21" s="168"/>
      <c r="C21" s="34" t="s">
        <v>229</v>
      </c>
    </row>
    <row r="22" spans="1:3" ht="13.05" customHeight="1">
      <c r="A22" s="34"/>
      <c r="C22" s="34" t="s">
        <v>230</v>
      </c>
    </row>
    <row r="23" spans="1:3">
      <c r="A23" s="38" t="s">
        <v>231</v>
      </c>
      <c r="C23" s="34" t="s">
        <v>232</v>
      </c>
    </row>
    <row r="24" spans="1:3" ht="13.05" customHeight="1">
      <c r="A24" s="38"/>
      <c r="C24" s="34" t="s">
        <v>233</v>
      </c>
    </row>
    <row r="25" spans="1:3" ht="14.4" customHeight="1">
      <c r="A25" s="285" t="s">
        <v>234</v>
      </c>
      <c r="C25" s="34" t="s">
        <v>235</v>
      </c>
    </row>
    <row r="26" spans="1:3">
      <c r="A26" s="168"/>
      <c r="C26" s="34"/>
    </row>
    <row r="27" spans="1:3" ht="10.5" customHeight="1">
      <c r="A27" s="168"/>
      <c r="C27" s="287" t="s">
        <v>236</v>
      </c>
    </row>
    <row r="28" spans="1:3" ht="10.5" customHeight="1">
      <c r="A28" s="34"/>
      <c r="C28" s="168"/>
    </row>
    <row r="29" spans="1:3" ht="14.4" customHeight="1">
      <c r="A29" s="285" t="s">
        <v>237</v>
      </c>
      <c r="C29" s="34"/>
    </row>
    <row r="30" spans="1:3">
      <c r="A30" s="168"/>
      <c r="C30" s="285" t="s">
        <v>238</v>
      </c>
    </row>
    <row r="31" spans="1:3" ht="13.05" customHeight="1">
      <c r="A31" s="39"/>
      <c r="C31" s="168"/>
    </row>
    <row r="32" spans="1:3" ht="14.4" customHeight="1">
      <c r="A32" s="285" t="s">
        <v>239</v>
      </c>
      <c r="C32" s="168"/>
    </row>
    <row r="33" spans="1:3" ht="12" customHeight="1">
      <c r="A33" s="168"/>
      <c r="C33" s="168"/>
    </row>
    <row r="34" spans="1:3" ht="14.4" customHeight="1">
      <c r="A34" s="285" t="s">
        <v>240</v>
      </c>
      <c r="C34" s="34"/>
    </row>
    <row r="35" spans="1:3" ht="12" customHeight="1">
      <c r="A35" s="168"/>
      <c r="C35" s="285" t="s">
        <v>241</v>
      </c>
    </row>
    <row r="36" spans="1:3" ht="14.4" customHeight="1">
      <c r="A36" s="285" t="s">
        <v>242</v>
      </c>
      <c r="C36" s="168"/>
    </row>
    <row r="37" spans="1:3" ht="12" customHeight="1">
      <c r="A37" s="168"/>
      <c r="C37" s="285" t="s">
        <v>243</v>
      </c>
    </row>
    <row r="38" spans="1:3" ht="14.4" customHeight="1">
      <c r="A38" s="285" t="s">
        <v>244</v>
      </c>
      <c r="C38" s="168"/>
    </row>
    <row r="39" spans="1:3" ht="12" customHeight="1">
      <c r="A39" s="168"/>
      <c r="C39" s="34" t="s">
        <v>245</v>
      </c>
    </row>
    <row r="40" spans="1:3" ht="14.4" customHeight="1">
      <c r="A40" s="285" t="s">
        <v>246</v>
      </c>
      <c r="C40" s="285" t="s">
        <v>247</v>
      </c>
    </row>
    <row r="41" spans="1:3">
      <c r="A41" s="168"/>
      <c r="C41" s="168"/>
    </row>
    <row r="42" spans="1:3" ht="13.05" customHeight="1">
      <c r="A42" s="34"/>
      <c r="C42" s="285" t="s">
        <v>248</v>
      </c>
    </row>
    <row r="43" spans="1:3" ht="14.4" customHeight="1">
      <c r="A43" s="288" t="s">
        <v>249</v>
      </c>
      <c r="C43" s="168"/>
    </row>
    <row r="44" spans="1:3">
      <c r="A44" s="168"/>
      <c r="C44" s="285" t="s">
        <v>250</v>
      </c>
    </row>
    <row r="45" spans="1:3" ht="13.05" customHeight="1">
      <c r="A45" s="34"/>
      <c r="C45" s="168"/>
    </row>
    <row r="46" spans="1:3" ht="27.6" customHeight="1">
      <c r="A46" s="34" t="s">
        <v>251</v>
      </c>
      <c r="C46" s="34"/>
    </row>
    <row r="47" spans="1:3" ht="27.6" customHeight="1">
      <c r="A47" s="40" t="s">
        <v>252</v>
      </c>
      <c r="C47" s="34"/>
    </row>
    <row r="48" spans="1:3">
      <c r="A48" s="34"/>
      <c r="C48" s="34"/>
    </row>
    <row r="49" spans="1:3">
      <c r="A49" s="34"/>
      <c r="C49" s="34"/>
    </row>
    <row r="50" spans="1:3">
      <c r="A50" s="34"/>
      <c r="C50" s="34"/>
    </row>
    <row r="51" spans="1:3" ht="12.75" customHeight="1">
      <c r="C51" s="34"/>
    </row>
    <row r="52" spans="1:3" ht="30" customHeight="1">
      <c r="C52" s="34"/>
    </row>
    <row r="53" spans="1:3" ht="11.25" customHeight="1">
      <c r="A53" s="34"/>
      <c r="C53" s="34"/>
    </row>
    <row r="54" spans="1:3">
      <c r="C54" s="34"/>
    </row>
    <row r="55" spans="1:3">
      <c r="C55" s="34"/>
    </row>
    <row r="56" spans="1:3">
      <c r="A56" s="34"/>
      <c r="C56" s="34"/>
    </row>
    <row r="57" spans="1:3">
      <c r="A57" s="34"/>
      <c r="C57" s="34"/>
    </row>
    <row r="58" spans="1:3">
      <c r="A58" s="34"/>
      <c r="C58" s="34"/>
    </row>
    <row r="59" spans="1:3">
      <c r="A59" s="34"/>
      <c r="C59" s="34"/>
    </row>
    <row r="60" spans="1:3">
      <c r="A60" s="34"/>
      <c r="C60" s="34"/>
    </row>
    <row r="61" spans="1:3">
      <c r="A61" s="34"/>
      <c r="C61" s="34"/>
    </row>
    <row r="62" spans="1:3">
      <c r="A62" s="34"/>
      <c r="C62" s="34"/>
    </row>
    <row r="63" spans="1:3">
      <c r="A63" s="34"/>
      <c r="C63" s="34"/>
    </row>
    <row r="64" spans="1:3">
      <c r="A64" s="34"/>
      <c r="C64" s="34"/>
    </row>
    <row r="65" spans="1:3">
      <c r="A65" s="34"/>
      <c r="C65" s="34"/>
    </row>
    <row r="66" spans="1:3">
      <c r="A66" s="34"/>
      <c r="C66" s="34"/>
    </row>
    <row r="67" spans="1:3">
      <c r="A67" s="34"/>
      <c r="C67" s="34"/>
    </row>
    <row r="68" spans="1:3">
      <c r="A68" s="34"/>
      <c r="C68" s="34"/>
    </row>
    <row r="69" spans="1:3">
      <c r="A69" s="34"/>
      <c r="C69" s="34"/>
    </row>
    <row r="70" spans="1:3">
      <c r="A70" s="34"/>
      <c r="C70" s="34"/>
    </row>
    <row r="71" spans="1:3">
      <c r="A71" s="34"/>
      <c r="C71" s="34"/>
    </row>
    <row r="72" spans="1:3">
      <c r="A72" s="34"/>
      <c r="C72" s="34"/>
    </row>
    <row r="73" spans="1:3">
      <c r="A73" s="34"/>
      <c r="C73" s="34"/>
    </row>
    <row r="74" spans="1:3">
      <c r="A74" s="34"/>
      <c r="C74" s="34"/>
    </row>
    <row r="75" spans="1:3">
      <c r="A75" s="34"/>
      <c r="C75" s="34"/>
    </row>
    <row r="76" spans="1:3">
      <c r="A76" s="34"/>
      <c r="C76" s="34"/>
    </row>
    <row r="77" spans="1:3">
      <c r="A77" s="34"/>
      <c r="C77" s="34"/>
    </row>
    <row r="78" spans="1:3">
      <c r="A78" s="34"/>
      <c r="C78" s="34"/>
    </row>
    <row r="79" spans="1:3">
      <c r="A79" s="34"/>
      <c r="C79" s="34"/>
    </row>
    <row r="80" spans="1:3">
      <c r="A80" s="34"/>
      <c r="C80" s="34"/>
    </row>
    <row r="81" spans="1:3">
      <c r="A81" s="34"/>
      <c r="C81" s="34"/>
    </row>
    <row r="82" spans="1:3">
      <c r="A82" s="34"/>
      <c r="C82" s="34"/>
    </row>
    <row r="83" spans="1:3">
      <c r="A83" s="34"/>
      <c r="C83" s="34"/>
    </row>
    <row r="84" spans="1:3">
      <c r="A84" s="34"/>
      <c r="C84" s="34"/>
    </row>
    <row r="85" spans="1:3">
      <c r="A85" s="34"/>
      <c r="C85" s="34"/>
    </row>
    <row r="86" spans="1:3">
      <c r="A86" s="34"/>
      <c r="C86" s="34"/>
    </row>
    <row r="87" spans="1:3">
      <c r="A87" s="34"/>
    </row>
    <row r="88" spans="1:3">
      <c r="A88" s="34"/>
    </row>
    <row r="89" spans="1:3">
      <c r="A89" s="34"/>
    </row>
    <row r="90" spans="1:3">
      <c r="A90" s="34"/>
    </row>
    <row r="91" spans="1:3">
      <c r="A91" s="34"/>
    </row>
    <row r="92" spans="1:3">
      <c r="A92" s="34"/>
    </row>
    <row r="93" spans="1:3">
      <c r="A93" s="34"/>
    </row>
    <row r="94" spans="1:3">
      <c r="A94" s="34"/>
    </row>
    <row r="95" spans="1:3">
      <c r="A95" s="34"/>
    </row>
    <row r="96" spans="1:3">
      <c r="A96" s="34"/>
    </row>
    <row r="97" spans="1:1">
      <c r="A97" s="34"/>
    </row>
    <row r="98" spans="1:1">
      <c r="A98" s="34"/>
    </row>
    <row r="99" spans="1:1">
      <c r="A99" s="34"/>
    </row>
    <row r="100" spans="1:1">
      <c r="A100" s="34"/>
    </row>
    <row r="101" spans="1:1">
      <c r="A101" s="34"/>
    </row>
    <row r="102" spans="1:1">
      <c r="A102" s="34"/>
    </row>
    <row r="103" spans="1:1">
      <c r="A103" s="34"/>
    </row>
    <row r="104" spans="1:1">
      <c r="A104" s="34"/>
    </row>
    <row r="105" spans="1:1">
      <c r="A105" s="34"/>
    </row>
    <row r="106" spans="1:1">
      <c r="A106" s="34"/>
    </row>
    <row r="107" spans="1:1">
      <c r="A107" s="34"/>
    </row>
    <row r="108" spans="1:1">
      <c r="A108" s="34"/>
    </row>
    <row r="109" spans="1:1">
      <c r="A109" s="34"/>
    </row>
    <row r="110" spans="1:1">
      <c r="A110" s="34"/>
    </row>
    <row r="111" spans="1:1">
      <c r="A111" s="34"/>
    </row>
    <row r="112" spans="1:1">
      <c r="A112" s="34"/>
    </row>
    <row r="113" spans="1:1">
      <c r="A113" s="34"/>
    </row>
    <row r="114" spans="1:1">
      <c r="A114" s="34"/>
    </row>
    <row r="115" spans="1:1">
      <c r="A115" s="34"/>
    </row>
    <row r="116" spans="1:1">
      <c r="A116" s="34"/>
    </row>
    <row r="117" spans="1:1">
      <c r="A117" s="34"/>
    </row>
    <row r="118" spans="1:1">
      <c r="A118" s="34"/>
    </row>
    <row r="119" spans="1:1">
      <c r="A119" s="34"/>
    </row>
    <row r="120" spans="1:1">
      <c r="A120" s="34"/>
    </row>
    <row r="121" spans="1:1">
      <c r="A121" s="34"/>
    </row>
    <row r="122" spans="1:1">
      <c r="A122" s="34"/>
    </row>
    <row r="123" spans="1:1">
      <c r="A123" s="34"/>
    </row>
    <row r="124" spans="1:1">
      <c r="A124" s="34"/>
    </row>
  </sheetData>
  <mergeCells count="22">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C9:C13"/>
    <mergeCell ref="C42:C43"/>
    <mergeCell ref="C2:C4"/>
    <mergeCell ref="A36:A37"/>
    <mergeCell ref="C30:C33"/>
    <mergeCell ref="A40:A41"/>
  </mergeCells>
  <pageMargins left="0.62992125984251968" right="0.23622047244094491" top="0.74803149606299213" bottom="0" header="0.31496062992125978" footer="0.31496062992125978"/>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5">
    <tabColor theme="0" tint="-0.249977111117893"/>
  </sheetPr>
  <dimension ref="A4:H30"/>
  <sheetViews>
    <sheetView workbookViewId="0">
      <selection activeCell="I30" sqref="I30"/>
    </sheetView>
  </sheetViews>
  <sheetFormatPr baseColWidth="10" defaultRowHeight="14.4"/>
  <sheetData>
    <row r="4" spans="1:8" ht="18" customHeight="1">
      <c r="A4" s="289" t="s">
        <v>18</v>
      </c>
      <c r="B4" s="168"/>
      <c r="C4" s="168"/>
      <c r="D4" s="168"/>
      <c r="E4" s="168"/>
      <c r="F4" s="168"/>
      <c r="G4" s="168"/>
      <c r="H4" s="168"/>
    </row>
    <row r="7" spans="1:8" ht="25.05" customHeight="1">
      <c r="A7" s="30"/>
      <c r="B7" s="30"/>
      <c r="C7" s="30"/>
      <c r="D7" s="30"/>
      <c r="E7" s="30"/>
      <c r="F7" s="30"/>
      <c r="G7" s="30"/>
    </row>
    <row r="8" spans="1:8" ht="25.05" customHeight="1">
      <c r="A8" s="30"/>
      <c r="B8" s="30"/>
      <c r="C8" s="30"/>
      <c r="D8" s="30"/>
      <c r="E8" s="30"/>
      <c r="F8" s="30"/>
      <c r="G8" s="30"/>
    </row>
    <row r="9" spans="1:8" ht="25.05" customHeight="1">
      <c r="A9" s="30"/>
      <c r="B9" s="30"/>
      <c r="C9" s="30"/>
      <c r="D9" s="30"/>
      <c r="E9" s="30"/>
      <c r="F9" s="30"/>
      <c r="G9" s="30"/>
    </row>
    <row r="10" spans="1:8" ht="25.05" customHeight="1">
      <c r="A10" s="30"/>
      <c r="B10" s="30"/>
      <c r="C10" s="30"/>
      <c r="D10" s="30"/>
      <c r="E10" s="30"/>
      <c r="F10" s="30"/>
      <c r="G10" s="30"/>
    </row>
    <row r="11" spans="1:8" ht="25.05" customHeight="1">
      <c r="A11" s="30"/>
      <c r="B11" s="30"/>
      <c r="C11" s="30"/>
      <c r="D11" s="30"/>
      <c r="E11" s="30"/>
      <c r="F11" s="30"/>
      <c r="G11" s="30"/>
    </row>
    <row r="12" spans="1:8" ht="25.05" customHeight="1">
      <c r="A12" s="30"/>
      <c r="B12" s="30"/>
      <c r="C12" s="30"/>
      <c r="D12" s="30"/>
      <c r="E12" s="30"/>
      <c r="F12" s="30"/>
      <c r="G12" s="30"/>
    </row>
    <row r="13" spans="1:8" ht="25.05" customHeight="1">
      <c r="A13" s="30"/>
      <c r="B13" s="30"/>
      <c r="C13" s="30"/>
      <c r="D13" s="30"/>
      <c r="E13" s="30"/>
      <c r="F13" s="30"/>
      <c r="G13" s="30"/>
    </row>
    <row r="14" spans="1:8" ht="25.05" customHeight="1">
      <c r="A14" s="30"/>
      <c r="B14" s="30"/>
      <c r="C14" s="30"/>
      <c r="D14" s="30"/>
      <c r="E14" s="30"/>
      <c r="F14" s="30"/>
      <c r="G14" s="30"/>
    </row>
    <row r="15" spans="1:8" ht="25.05" customHeight="1">
      <c r="A15" s="30"/>
      <c r="B15" s="30"/>
      <c r="C15" s="30"/>
      <c r="D15" s="30"/>
      <c r="E15" s="30"/>
      <c r="F15" s="30"/>
      <c r="G15" s="30"/>
    </row>
    <row r="16" spans="1:8" ht="25.05" customHeight="1">
      <c r="A16" s="30"/>
      <c r="B16" s="30"/>
      <c r="C16" s="30"/>
      <c r="D16" s="30"/>
      <c r="E16" s="30"/>
      <c r="F16" s="30"/>
      <c r="G16" s="30"/>
    </row>
    <row r="17" spans="1:7" ht="25.05" customHeight="1">
      <c r="A17" s="30"/>
      <c r="B17" s="30"/>
      <c r="C17" s="30"/>
      <c r="D17" s="30"/>
      <c r="E17" s="30"/>
      <c r="F17" s="30"/>
      <c r="G17" s="30"/>
    </row>
    <row r="18" spans="1:7" ht="25.05" customHeight="1">
      <c r="A18" s="30"/>
      <c r="B18" s="30"/>
      <c r="C18" s="30"/>
      <c r="D18" s="30"/>
      <c r="E18" s="30"/>
      <c r="F18" s="30"/>
      <c r="G18" s="30"/>
    </row>
    <row r="19" spans="1:7" ht="25.05" customHeight="1">
      <c r="A19" s="30"/>
      <c r="B19" s="30"/>
      <c r="C19" s="30"/>
      <c r="D19" s="30"/>
      <c r="E19" s="30"/>
      <c r="F19" s="30"/>
      <c r="G19" s="30"/>
    </row>
    <row r="20" spans="1:7" ht="25.05" customHeight="1">
      <c r="A20" s="30"/>
      <c r="B20" s="30"/>
      <c r="C20" s="30"/>
      <c r="D20" s="30"/>
      <c r="E20" s="30"/>
      <c r="F20" s="30"/>
      <c r="G20" s="30"/>
    </row>
    <row r="21" spans="1:7" ht="25.05" customHeight="1">
      <c r="A21" s="30"/>
      <c r="B21" s="30"/>
      <c r="C21" s="30"/>
      <c r="D21" s="30"/>
      <c r="E21" s="30"/>
      <c r="F21" s="30"/>
      <c r="G21" s="30"/>
    </row>
    <row r="22" spans="1:7" ht="25.05" customHeight="1">
      <c r="A22" s="30"/>
      <c r="B22" s="30"/>
      <c r="C22" s="30"/>
      <c r="D22" s="30"/>
      <c r="E22" s="30"/>
      <c r="F22" s="30"/>
      <c r="G22" s="30"/>
    </row>
    <row r="23" spans="1:7" ht="25.05" customHeight="1">
      <c r="A23" s="30"/>
      <c r="B23" s="30"/>
      <c r="C23" s="30"/>
      <c r="D23" s="30"/>
      <c r="E23" s="30"/>
      <c r="F23" s="30"/>
      <c r="G23" s="30"/>
    </row>
    <row r="24" spans="1:7" ht="25.05" customHeight="1">
      <c r="A24" s="30"/>
      <c r="B24" s="30"/>
      <c r="C24" s="30"/>
      <c r="D24" s="30"/>
      <c r="E24" s="30"/>
      <c r="F24" s="30"/>
      <c r="G24" s="30"/>
    </row>
    <row r="25" spans="1:7" ht="25.05" customHeight="1">
      <c r="A25" s="30"/>
      <c r="B25" s="30"/>
      <c r="C25" s="30"/>
      <c r="D25" s="30"/>
      <c r="E25" s="30"/>
      <c r="F25" s="30"/>
      <c r="G25" s="30"/>
    </row>
    <row r="26" spans="1:7" ht="25.05" customHeight="1">
      <c r="A26" s="30"/>
      <c r="B26" s="30"/>
      <c r="C26" s="30"/>
      <c r="D26" s="30"/>
      <c r="E26" s="30"/>
      <c r="F26" s="30"/>
      <c r="G26" s="30"/>
    </row>
    <row r="27" spans="1:7" ht="25.05" customHeight="1">
      <c r="A27" s="30"/>
      <c r="B27" s="30"/>
      <c r="C27" s="30"/>
      <c r="D27" s="30"/>
      <c r="E27" s="30"/>
      <c r="F27" s="30"/>
      <c r="G27" s="30"/>
    </row>
    <row r="28" spans="1:7" ht="25.05" customHeight="1">
      <c r="A28" s="30"/>
      <c r="B28" s="30"/>
      <c r="C28" s="30"/>
      <c r="D28" s="30"/>
      <c r="E28" s="30"/>
      <c r="F28" s="30"/>
      <c r="G28" s="30"/>
    </row>
    <row r="29" spans="1:7" ht="25.05" customHeight="1"/>
    <row r="30" spans="1:7" ht="25.05" customHeight="1"/>
  </sheetData>
  <mergeCells count="1">
    <mergeCell ref="A4:H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MAESTRO</vt:lpstr>
      <vt:lpstr>DASHBOARD</vt:lpstr>
      <vt:lpstr>RESUMEN_7°</vt:lpstr>
      <vt:lpstr>RESUMEN_8°</vt:lpstr>
      <vt:lpstr>RESUMEN_9°</vt:lpstr>
      <vt:lpstr>REPORTE_DIRECCIÓN</vt:lpstr>
      <vt:lpstr>REPORTE_APROBADOS</vt:lpstr>
      <vt:lpstr>REPORTE_DOCENTE</vt:lpstr>
      <vt:lpstr>Asistencia (7°)</vt:lpstr>
      <vt:lpstr>Asistencia (8°)</vt:lpstr>
      <vt:lpstr>Asistencia (9°)</vt:lpstr>
      <vt:lpstr>PROM (Ingles 7°)</vt:lpstr>
      <vt:lpstr>Planilla (Ingles 7°) </vt:lpstr>
      <vt:lpstr>PROM (Hogar y Desarrollo 7°)</vt:lpstr>
      <vt:lpstr>Planilla (Hogar y Desarrollo 7)</vt:lpstr>
      <vt:lpstr>PROM (Agropecuaria 7°)</vt:lpstr>
      <vt:lpstr>Planilla (Agropecuaria 7°)</vt:lpstr>
      <vt:lpstr>PROM (Ingles 8°)</vt:lpstr>
      <vt:lpstr>Planilla (Ingles 8°)</vt:lpstr>
      <vt:lpstr>PROM (Comercio 8°)</vt:lpstr>
      <vt:lpstr>Planilla (Comercio 8°)</vt:lpstr>
      <vt:lpstr>PROM (Agropecuaria 8°)</vt:lpstr>
      <vt:lpstr>Planilla (Agropecuaria 8°) </vt:lpstr>
      <vt:lpstr>PROM (Ingles 9°)</vt:lpstr>
      <vt:lpstr>Planilla (Ingles 9°) </vt:lpstr>
      <vt:lpstr>PROM (Comercio 9°)</vt:lpstr>
      <vt:lpstr>Planilla (Comercio 9°)</vt:lpstr>
      <vt:lpstr>PROM (Artistica 9°)</vt:lpstr>
      <vt:lpstr>Planilla (Artistica 9°)</vt:lpstr>
      <vt:lpstr>PROM (Agropecuaria 9°)</vt:lpstr>
      <vt:lpstr>Planilla (Agropecuaria 9°)</vt:lpstr>
      <vt:lpstr>Caratula</vt:lpstr>
      <vt:lpstr>Portada</vt:lpstr>
      <vt:lpstr>Horarios</vt:lpstr>
      <vt:lpstr>Guía del Registro</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Elmer</dc:creator>
  <cp:lastModifiedBy>Elmer  Tugri</cp:lastModifiedBy>
  <cp:lastPrinted>2026-03-15T17:27:55Z</cp:lastPrinted>
  <dcterms:created xsi:type="dcterms:W3CDTF">2008-12-01T04:09:55Z</dcterms:created>
  <dcterms:modified xsi:type="dcterms:W3CDTF">2026-03-16T03:55:19Z</dcterms:modified>
</cp:coreProperties>
</file>